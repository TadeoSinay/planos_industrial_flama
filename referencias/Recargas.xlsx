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Demanda y mix" sheetId="3" state="visible" r:id="rId5"/>
    <sheet name="Vehículos y viajes" sheetId="4" state="visible" r:id="rId6"/>
    <sheet name="Transitorios y pulm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<sst xmlns="http://schemas.openxmlformats.org/spreadsheetml/2006/main" count="626" uniqueCount="387">
  <si>
    <t xml:space="preserve">Recargas 2035 — pulmón, vehículos y transitorios</t>
  </si>
  <si>
    <t xml:space="preserve">FLAMA S.A. · Proyecto Final UTN-FRBA. Todo se calcula con los datos de Supuestos (celdas amarillas).</t>
  </si>
  <si>
    <t xml:space="preserve">1. ¿Cuántos llegan?</t>
  </si>
  <si>
    <t xml:space="preserve">Recargas 2035 (u/año)</t>
  </si>
  <si>
    <t xml:space="preserve">Dimensionamiento_Recargas, datos_base</t>
  </si>
  <si>
    <t xml:space="preserve">Llegan por día — mes promedio (u/día)</t>
  </si>
  <si>
    <t xml:space="preserve">año ÷ 12 meses ÷ 20 días hábiles</t>
  </si>
  <si>
    <t xml:space="preserve">Llegan por día — mes pico (u/día)</t>
  </si>
  <si>
    <t xml:space="preserve">Mes pico</t>
  </si>
  <si>
    <t xml:space="preserve">Llegan en el día pico (u/día)</t>
  </si>
  <si>
    <t xml:space="preserve">mes pico × factor del día pico</t>
  </si>
  <si>
    <t xml:space="preserve">Llegan por turno en el día pico (u/turno)</t>
  </si>
  <si>
    <t xml:space="preserve">2. Mix entrante</t>
  </si>
  <si>
    <t xml:space="preserve">Familia</t>
  </si>
  <si>
    <t xml:space="preserve">% del total</t>
  </si>
  <si>
    <t xml:space="preserve">u/día promedio</t>
  </si>
  <si>
    <t xml:space="preserve">u/día mes pico</t>
  </si>
  <si>
    <t xml:space="preserve">Rubro</t>
  </si>
  <si>
    <t xml:space="preserve">Vehículo</t>
  </si>
  <si>
    <t xml:space="preserve">3. Vehículos y viajes (dimensionado para el día pico)</t>
  </si>
  <si>
    <t xml:space="preserve">Kangoo Express furgón (cantidad)</t>
  </si>
  <si>
    <t xml:space="preserve">autos (puntos de acopio) y supermercados</t>
  </si>
  <si>
    <t xml:space="preserve">Master que conviene</t>
  </si>
  <si>
    <t xml:space="preserve">menos vehículos y, si empatan, la más barata</t>
  </si>
  <si>
    <t xml:space="preserve">Master (cantidad)</t>
  </si>
  <si>
    <t xml:space="preserve">edificios, salud, educación, hoteles e industrias</t>
  </si>
  <si>
    <t xml:space="preserve">Viajes por día en el día pico</t>
  </si>
  <si>
    <t xml:space="preserve">cada viaje entrega, retira y cambia transitorios</t>
  </si>
  <si>
    <t xml:space="preserve">Paradas por día en el día pico</t>
  </si>
  <si>
    <t xml:space="preserve">Inversión en vehículos (ARS, oct-2026)</t>
  </si>
  <si>
    <t xml:space="preserve">4. Transitorios</t>
  </si>
  <si>
    <t xml:space="preserve">Stock recomendado (u)</t>
  </si>
  <si>
    <t xml:space="preserve">mes pico, ciclo base, con margen</t>
  </si>
  <si>
    <t xml:space="preserve">Punto mínimo (u)</t>
  </si>
  <si>
    <t xml:space="preserve">día promedio con el ciclo más corto</t>
  </si>
  <si>
    <t xml:space="preserve">Días que tarda en volver (base)</t>
  </si>
  <si>
    <t xml:space="preserve">proceso + espera + revisión del transitorio</t>
  </si>
  <si>
    <t xml:space="preserve">Revisiones y recargas extra por año (u)</t>
  </si>
  <si>
    <t xml:space="preserve">… como % de las recargas 2035</t>
  </si>
  <si>
    <t xml:space="preserve">5. Pulmón de recargas (día pico)</t>
  </si>
  <si>
    <t xml:space="preserve">Zona</t>
  </si>
  <si>
    <t xml:space="preserve">Posiciones necesarias</t>
  </si>
  <si>
    <t xml:space="preserve">En el plano</t>
  </si>
  <si>
    <t xml:space="preserve">Faltan (−) / sobran (+)</t>
  </si>
  <si>
    <t xml:space="preserve">Superficie del pulmón con su pasillo (m²)</t>
  </si>
  <si>
    <t xml:space="preserve">6. Supuestos para validar con el grupo</t>
  </si>
  <si>
    <t xml:space="preserve">• Estacionalidad: el archivo la tiene pareja (8,33 %); se usó un perfil supuesto por rubro (Supuestos, punto 8).</t>
  </si>
  <si>
    <t xml:space="preserve">• Cantidad de matafuegos por cliente y minutos por matafuego en el cliente (Supuestos, punto 7): el consolidado no trae clientes.</t>
  </si>
  <si>
    <t xml:space="preserve">• Zona de clientes en AMBA, a ~1,5 h ida y vuelta; 2 turnos de logística de 7,5 h.</t>
  </si>
  <si>
    <t xml:space="preserve">• Precios de Master L2H2 y L3H2 estimados con la relación de precios de lanzamiento; Kangoo = Express furgón.</t>
  </si>
  <si>
    <t xml:space="preserve">• Los autos (1 kg) se retiran en puntos de acopio (flotas, concesionarias, lubricentros), no casa por casa.</t>
  </si>
  <si>
    <t xml:space="preserve">• Peso lleno de cada tipo: valores típicos de catálogo (Supuestos, punto 6).</t>
  </si>
  <si>
    <t xml:space="preserve">Fuentes</t>
  </si>
  <si>
    <t xml:space="preserve">Dimensionamiento_Recargas_Planta_Industrial.xlsx (datos_base y parametros_recargas) — demanda 2035, % con PH, horas.</t>
  </si>
  <si>
    <t xml:space="preserve">CONSOLIDADO_24.xlsx — recargas del mercado por rubro y tipo (hojas MERCADO TOTAL de cada rubro).</t>
  </si>
  <si>
    <t xml:space="preserve">Renault Master MY2026: 16 Válvulas, jul-2025 (precios de lanzamiento, volumen y capacidad de carga) y configurador Renault (L1H1).</t>
  </si>
  <si>
    <t xml:space="preserve">Kangoo Express: Autotest (3,3 m³, hasta 750 kg) y elcerokm (precio furgón 1.6 SCe).</t>
  </si>
  <si>
    <t xml:space="preserve">Proceso de recargas (documento del grupo): jaulas A y B de 1,2 × 1,0 m y sustitutos (9.4.5).</t>
  </si>
  <si>
    <t xml:space="preserve">Supuestos — pulmón de recargas, vehículos y transitorios (FLAMA S.A., año 2035)</t>
  </si>
  <si>
    <t xml:space="preserve">Celdas con fondo amarillo y texto azul: datos o supuestos que se pueden cambiar. Todo lo demás del libro se calcula solo con fórmulas.</t>
  </si>
  <si>
    <t xml:space="preserve">1. Generales</t>
  </si>
  <si>
    <t xml:space="preserve">Dato</t>
  </si>
  <si>
    <t xml:space="preserve">Valor</t>
  </si>
  <si>
    <t xml:space="preserve">Unidad</t>
  </si>
  <si>
    <t xml:space="preserve">Fuente / criterio</t>
  </si>
  <si>
    <t xml:space="preserve">Días hábiles por mes</t>
  </si>
  <si>
    <t xml:space="preserve">días</t>
  </si>
  <si>
    <t xml:space="preserve">Dimensionamiento_Recargas (parametros_recargas). Pedido: dividir por 12 y por 20.</t>
  </si>
  <si>
    <t xml:space="preserve">Meses por año</t>
  </si>
  <si>
    <t xml:space="preserve">meses</t>
  </si>
  <si>
    <t xml:space="preserve">Turnos de logística por día</t>
  </si>
  <si>
    <t xml:space="preserve">turnos</t>
  </si>
  <si>
    <t xml:space="preserve">Dos turnos: los vehículos salen a la mañana y a la tarde.</t>
  </si>
  <si>
    <t xml:space="preserve">Horas productivas por turno</t>
  </si>
  <si>
    <t xml:space="preserve">h</t>
  </si>
  <si>
    <t xml:space="preserve">Dimensionamiento_Recargas: 8 h − 30 min de refrigerio.</t>
  </si>
  <si>
    <t xml:space="preserve">Factor del día pico dentro del mes pico</t>
  </si>
  <si>
    <t xml:space="preserve">×</t>
  </si>
  <si>
    <t xml:space="preserve">Supuesto: variación de un día a otro (+15 %).</t>
  </si>
  <si>
    <t xml:space="preserve">2. Recorrido de los vehículos</t>
  </si>
  <si>
    <t xml:space="preserve">Ida y vuelta planta ↔ zona de clientes</t>
  </si>
  <si>
    <t xml:space="preserve">h por viaje</t>
  </si>
  <si>
    <t xml:space="preserve">Supuesto: clientes en AMBA, ~25 km promedio por tramo.</t>
  </si>
  <si>
    <t xml:space="preserve">Tiempo fijo por parada</t>
  </si>
  <si>
    <t xml:space="preserve">min</t>
  </si>
  <si>
    <t xml:space="preserve">Supuesto: estacionar, presentarse, remito y firma.</t>
  </si>
  <si>
    <t xml:space="preserve">Tiempo de manejo entre paradas</t>
  </si>
  <si>
    <t xml:space="preserve">Supuesto.</t>
  </si>
  <si>
    <t xml:space="preserve">Personas en el vehículo (chofer + ayudante)</t>
  </si>
  <si>
    <t xml:space="preserve">personas</t>
  </si>
  <si>
    <t xml:space="preserve">Se descuentan de la carga útil.</t>
  </si>
  <si>
    <t xml:space="preserve">Peso por persona</t>
  </si>
  <si>
    <t xml:space="preserve">kg</t>
  </si>
  <si>
    <t xml:space="preserve">Tara de estantería, cinchas y cajones</t>
  </si>
  <si>
    <t xml:space="preserve">de la carga útil</t>
  </si>
  <si>
    <t xml:space="preserve">Aprovechamiento del piso de carga</t>
  </si>
  <si>
    <t xml:space="preserve">del piso</t>
  </si>
  <si>
    <t xml:space="preserve">Descuenta pasarruedas, pasillo de carga y ataduras.</t>
  </si>
  <si>
    <t xml:space="preserve">Niveles de carga (estantería con celdas)</t>
  </si>
  <si>
    <t xml:space="preserve">niveles</t>
  </si>
  <si>
    <t xml:space="preserve">Manuales en 2 niveles; los rodantes ocupan toda la altura.</t>
  </si>
  <si>
    <t xml:space="preserve">3. Ciclo del transitorio (días hábiles)</t>
  </si>
  <si>
    <t xml:space="preserve">Base</t>
  </si>
  <si>
    <t xml:space="preserve">Mínimo</t>
  </si>
  <si>
    <t xml:space="preserve">Proceso en planta sin prueba hidráulica</t>
  </si>
  <si>
    <t xml:space="preserve">Supuesto: entra un día y sale al siguiente.</t>
  </si>
  <si>
    <t xml:space="preserve">Proceso en planta con prueba hidráulica (PH + secado)</t>
  </si>
  <si>
    <t xml:space="preserve">Espera en despacho hasta el recorrido</t>
  </si>
  <si>
    <t xml:space="preserve">Con 2 turnos sale en el turno siguiente.</t>
  </si>
  <si>
    <t xml:space="preserve">Revisión del transitorio cuando vuelve</t>
  </si>
  <si>
    <t xml:space="preserve">Control de peso, presión y precinto antes de volver a salir.</t>
  </si>
  <si>
    <t xml:space="preserve">Margen de seguridad del stock de transitorios</t>
  </si>
  <si>
    <t xml:space="preserve">del stock</t>
  </si>
  <si>
    <t xml:space="preserve">Revisión o recarga anual de cada transitorio</t>
  </si>
  <si>
    <t xml:space="preserve">veces por año</t>
  </si>
  <si>
    <t xml:space="preserve">Pedido: todos los años se les hace recarga o revisión.</t>
  </si>
  <si>
    <t xml:space="preserve">Días fuera de servicio por revisión o recarga</t>
  </si>
  <si>
    <t xml:space="preserve">Supuesto: pasa por el proceso como cualquier recarga.</t>
  </si>
  <si>
    <t xml:space="preserve">Salidas en que el cliente usa el transitorio</t>
  </si>
  <si>
    <t xml:space="preserve">de las salidas</t>
  </si>
  <si>
    <t xml:space="preserve">Supuesto: si lo usa, vuelve para recarga.</t>
  </si>
  <si>
    <t xml:space="preserve">4. Pulmón de recargas</t>
  </si>
  <si>
    <t xml:space="preserve">Días de llegada que se guardan en recepción</t>
  </si>
  <si>
    <t xml:space="preserve">Con 2 turnos en la planta, lo que trae un turno entra al proceso en el turno siguiente.</t>
  </si>
  <si>
    <t xml:space="preserve">Días de recargados esperando el recorrido</t>
  </si>
  <si>
    <t xml:space="preserve">Con 2 turnos salen en el turno siguiente.</t>
  </si>
  <si>
    <t xml:space="preserve">Factor de jaulas a medio llenar</t>
  </si>
  <si>
    <t xml:space="preserve">Las jaulas se separan por cliente y familia de agente.</t>
  </si>
  <si>
    <t xml:space="preserve">Jaulas vacías de reserva</t>
  </si>
  <si>
    <t xml:space="preserve">de las ocupadas</t>
  </si>
  <si>
    <t xml:space="preserve">Niveles de la estantería de transitorios</t>
  </si>
  <si>
    <t xml:space="preserve">Los transitorios son stock: van en estantería (los rodantes, en el piso).</t>
  </si>
  <si>
    <t xml:space="preserve">Jaulas vacías apiladas por posición</t>
  </si>
  <si>
    <t xml:space="preserve">jaulas</t>
  </si>
  <si>
    <t xml:space="preserve">Vacías se apilan con transpaleta manual de a 2 (o con el apilador).</t>
  </si>
  <si>
    <t xml:space="preserve">Posiciones de recepción en el plano actual (R0)</t>
  </si>
  <si>
    <t xml:space="preserve">posic. 1,2 × 1,0</t>
  </si>
  <si>
    <t xml:space="preserve">Plano rev 50: 9 contra el muro norte + 7 contra el muro viejo.</t>
  </si>
  <si>
    <t xml:space="preserve">Posiciones de despacho en el plano actual</t>
  </si>
  <si>
    <t xml:space="preserve">Plano rev 50.</t>
  </si>
  <si>
    <t xml:space="preserve">Posiciones de jaulas vacías en el plano actual</t>
  </si>
  <si>
    <t xml:space="preserve">Posiciones de transitorios en el plano actual</t>
  </si>
  <si>
    <t xml:space="preserve">Plano rev 50: todavía no hay lugar para transitorios.</t>
  </si>
  <si>
    <t xml:space="preserve">5. Vehículos (Renault Argentina)</t>
  </si>
  <si>
    <t xml:space="preserve">Kangoo Express</t>
  </si>
  <si>
    <t xml:space="preserve">Master L1H1</t>
  </si>
  <si>
    <t xml:space="preserve">Master L2H2</t>
  </si>
  <si>
    <t xml:space="preserve">Master L3H2</t>
  </si>
  <si>
    <t xml:space="preserve">Fuente</t>
  </si>
  <si>
    <t xml:space="preserve">Largo útil de carga (m)</t>
  </si>
  <si>
    <t xml:space="preserve">Master: ficha Master III (L1H1 2.583 mm confirmado en el configurador de Renault). Kangoo: ficha Kangoo II Express.</t>
  </si>
  <si>
    <t xml:space="preserve">Ancho útil máximo (m)</t>
  </si>
  <si>
    <t xml:space="preserve">Ídem.</t>
  </si>
  <si>
    <t xml:space="preserve">Alto útil (m)</t>
  </si>
  <si>
    <t xml:space="preserve">H1 = techo bajo, H2 = techo alto.</t>
  </si>
  <si>
    <t xml:space="preserve">Volumen de carga (m³)</t>
  </si>
  <si>
    <t xml:space="preserve">Autotest (Kangoo) y 16 Válvulas, jul-2025 (Master).</t>
  </si>
  <si>
    <t xml:space="preserve">Carga útil (kg)</t>
  </si>
  <si>
    <t xml:space="preserve">Puede llevar rodantes (1 = sí)</t>
  </si>
  <si>
    <t xml:space="preserve">Kangoo: los rodantes no entran por altura (1,13 m) ni por peso.</t>
  </si>
  <si>
    <t xml:space="preserve">Precio de lanzamiento jul-2025 (ARS)</t>
  </si>
  <si>
    <t xml:space="preserve">—</t>
  </si>
  <si>
    <t xml:space="preserve">16 Válvulas, lanzamiento Master MY2026.</t>
  </si>
  <si>
    <t xml:space="preserve">Precio actual (ARS, oct-2026)</t>
  </si>
  <si>
    <t xml:space="preserve">Kangoo Express furgón 1.6 SCe (elcerokm). L1H1: configurador Renault (captura). L2H2 y L3H2: estimados con la relación de precios del lanzamiento; reemplazar por el precio del configurador.</t>
  </si>
  <si>
    <t xml:space="preserve">La Kangoo de la captura (Stepway) es de pasajeros: para recargas va la Kangoo Express furgón, con compartimiento de carga.</t>
  </si>
  <si>
    <t xml:space="preserve">6. Tipos de matafuego</t>
  </si>
  <si>
    <t xml:space="preserve">Tipo</t>
  </si>
  <si>
    <t xml:space="preserve">Código en el consolidado</t>
  </si>
  <si>
    <t xml:space="preserve">Agente</t>
  </si>
  <si>
    <t xml:space="preserve">Peso lleno (kg)</t>
  </si>
  <si>
    <t xml:space="preserve">u. por jaula 1,2 × 1,0</t>
  </si>
  <si>
    <t xml:space="preserve">Rodante (1 = sí)</t>
  </si>
  <si>
    <t xml:space="preserve">% con PH</t>
  </si>
  <si>
    <t xml:space="preserve">m² de piso en el vehículo por u.</t>
  </si>
  <si>
    <t xml:space="preserve">ABC 1 kg</t>
  </si>
  <si>
    <t xml:space="preserve">ABC-1</t>
  </si>
  <si>
    <t xml:space="preserve">ABC</t>
  </si>
  <si>
    <t xml:space="preserve">ABC 2,5 kg</t>
  </si>
  <si>
    <t xml:space="preserve">ABC-2.5</t>
  </si>
  <si>
    <t xml:space="preserve">Manual 2,5 a 6 kg/l</t>
  </si>
  <si>
    <t xml:space="preserve">ABC 5 kg</t>
  </si>
  <si>
    <t xml:space="preserve">ABC-5</t>
  </si>
  <si>
    <t xml:space="preserve">ABC 10 kg</t>
  </si>
  <si>
    <t xml:space="preserve">ABC-10P</t>
  </si>
  <si>
    <t xml:space="preserve">Manual 9 a 10 kg/l</t>
  </si>
  <si>
    <t xml:space="preserve">Agua 10 l</t>
  </si>
  <si>
    <t xml:space="preserve">AGUA-10</t>
  </si>
  <si>
    <t xml:space="preserve">Agua</t>
  </si>
  <si>
    <t xml:space="preserve">AFFF 10 l</t>
  </si>
  <si>
    <t xml:space="preserve">AFFF-9</t>
  </si>
  <si>
    <t xml:space="preserve">AFFF</t>
  </si>
  <si>
    <t xml:space="preserve">AFFF 50 l s/ruedas</t>
  </si>
  <si>
    <t xml:space="preserve">AFFF-50R</t>
  </si>
  <si>
    <t xml:space="preserve">Rodante</t>
  </si>
  <si>
    <t xml:space="preserve">BC 5 kg</t>
  </si>
  <si>
    <t xml:space="preserve">BC-5</t>
  </si>
  <si>
    <t xml:space="preserve">BC</t>
  </si>
  <si>
    <t xml:space="preserve">Sales K 6 l</t>
  </si>
  <si>
    <t xml:space="preserve">SALK-6</t>
  </si>
  <si>
    <t xml:space="preserve">Sales K</t>
  </si>
  <si>
    <t xml:space="preserve">CO₂ 2 kg</t>
  </si>
  <si>
    <t xml:space="preserve">CO2-2</t>
  </si>
  <si>
    <t xml:space="preserve">CO₂</t>
  </si>
  <si>
    <t xml:space="preserve">CO₂ 5 kg</t>
  </si>
  <si>
    <t xml:space="preserve">CO2-5</t>
  </si>
  <si>
    <t xml:space="preserve">HCFC/HFC 5 kg</t>
  </si>
  <si>
    <t xml:space="preserve">HCFC</t>
  </si>
  <si>
    <t xml:space="preserve">Halogenado</t>
  </si>
  <si>
    <t xml:space="preserve">Clase D 9 l</t>
  </si>
  <si>
    <t xml:space="preserve">CLD-10</t>
  </si>
  <si>
    <t xml:space="preserve">Clase D</t>
  </si>
  <si>
    <t xml:space="preserve">ABC 25 kg s/ruedas</t>
  </si>
  <si>
    <t xml:space="preserve">ABC-50R</t>
  </si>
  <si>
    <t xml:space="preserve">ABC 50 kg s/ruedas</t>
  </si>
  <si>
    <t xml:space="preserve">ABC 70 kg s/ruedas</t>
  </si>
  <si>
    <t xml:space="preserve">ABC 100 kg s/ruedas</t>
  </si>
  <si>
    <t xml:space="preserve">Peso lleno: valores típicos de catálogo, a confirmar. u. por jaula: archivo de recargas (A: 72 de 1 kg; B: 30 de 2,5 kg, 24 de 5 kg o 16 de 10 kg); el resto, por tamaño parecido.</t>
  </si>
  <si>
    <t xml:space="preserve">% con PH: Dimensionamiento_Recargas (polvos 25 %, agua/AFFF/sales K 50 %, CO₂ 25 %, halogenados 25 %).</t>
  </si>
  <si>
    <t xml:space="preserve">7. Segmentos de clientes (los 7 rubros del consolidado comercial)</t>
  </si>
  <si>
    <t xml:space="preserve">Segmento</t>
  </si>
  <si>
    <t xml:space="preserve">u. por cliente (por parada)</t>
  </si>
  <si>
    <t xml:space="preserve">% de u. con transitorio</t>
  </si>
  <si>
    <t xml:space="preserve">min por u. en el cliente</t>
  </si>
  <si>
    <t xml:space="preserve">Cliente típico (criterio del supuesto)</t>
  </si>
  <si>
    <t xml:space="preserve">Automotriz</t>
  </si>
  <si>
    <t xml:space="preserve">Kangoo</t>
  </si>
  <si>
    <t xml:space="preserve">Punto de acopio: flota, concesionaria o lubricentro. 97 % son de 1 kg.</t>
  </si>
  <si>
    <t xml:space="preserve">Edificios</t>
  </si>
  <si>
    <t xml:space="preserve">Master</t>
  </si>
  <si>
    <t xml:space="preserve">Consorcio de ~10 pisos: uno por piso + cocheras, medidores y sala de máquinas.</t>
  </si>
  <si>
    <t xml:space="preserve">Salud</t>
  </si>
  <si>
    <t xml:space="preserve">Clínica mediana; algunas tienen dotación de reserva propia.</t>
  </si>
  <si>
    <t xml:space="preserve">Educación</t>
  </si>
  <si>
    <t xml:space="preserve">Escuela: aulas, pasillos, tableros y cocina.</t>
  </si>
  <si>
    <t xml:space="preserve">Hoteles</t>
  </si>
  <si>
    <t xml:space="preserve">Hotel mediano; los alquileres temporarios se juntan por administradora.</t>
  </si>
  <si>
    <t xml:space="preserve">Industrias</t>
  </si>
  <si>
    <t xml:space="preserve">Planta o depósito; el 20 % tiene reserva propia y no pide transitorio.</t>
  </si>
  <si>
    <t xml:space="preserve">Supermercados</t>
  </si>
  <si>
    <t xml:space="preserve">Sucursal: salón, cajas, depósito y tableros.</t>
  </si>
  <si>
    <t xml:space="preserve">u. por cliente y min por u.: supuestos (el consolidado no trae cantidad de clientes). Criterio: Kangoo para clientes chicos y puntos de acopio; Master para empresas, industrias y edificios completos.</t>
  </si>
  <si>
    <t xml:space="preserve">% con transitorio: se deja sustituto si el cliente no tiene dotación de reserva (proceso de recargas, 9.4.5).</t>
  </si>
  <si>
    <t xml:space="preserve">8. Estacionalidad (% de la demanda anual de cada mes)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</si>
  <si>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</si>
  <si>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</si>
  <si>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</si>
  <si>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</si>
  <si>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</si>
  <si>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</si>
  <si>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</si>
  <si>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</si>
  <si>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</si>
  <si>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</si>
  <si>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</si>
  <si>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</si>
  <si>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(debe dar 100 %)</t>
  </si>
  <si>
    <t xml:space="preserve">En Dimensionamiento_Recargas la estacionalidad es pareja (8,33 % todos los meses). Este perfil es un supuesto para tener mes pico: autos con pico en diciembre (viajes), escuelas antes de clases (feb) y en el receso (jul),</t>
  </si>
  <si>
    <t xml:space="preserve">hoteles antes de temporada (oct-dic), consorcios e industrias más bajos en enero. Si tienen el perfil real, se pega acá y se recalcula todo.</t>
  </si>
  <si>
    <t xml:space="preserve">Demanda 2035 y mix entrante</t>
  </si>
  <si>
    <t xml:space="preserve">Cuántos matafuegos llegan por año, mes y día, de qué tipo y de qué rubro.</t>
  </si>
  <si>
    <t xml:space="preserve">1. Recargas 2035 por tipo y por rubro (u/año)</t>
  </si>
  <si>
    <t xml:space="preserve">Código</t>
  </si>
  <si>
    <t xml:space="preserve">Control</t>
  </si>
  <si>
    <t xml:space="preserve">u/día día pico</t>
  </si>
  <si>
    <t xml:space="preserve">← Recargas 2035: Dimensionamiento_Recargas, hoja datos_base (127.340 u).</t>
  </si>
  <si>
    <t xml:space="preserve">La tabla de la captura suma además "TOTAL CARROS" (1.427) y da 128.766: cuenta los rodantes dos veces.</t>
  </si>
  <si>
    <t xml:space="preserve">Reparto por rubro: cada tipo se reparte como se reparten las recargas de ese tipo en el mercado (tabla 2).</t>
  </si>
  <si>
    <t xml:space="preserve">Total</t>
  </si>
  <si>
    <t xml:space="preserve">Estacionalidad del mes pico</t>
  </si>
  <si>
    <t xml:space="preserve">% con transitorio</t>
  </si>
  <si>
    <t xml:space="preserve">2. Mercado argentino de recargas por rubro y tipo (u/año) — CONSOLIDADO_24</t>
  </si>
  <si>
    <t xml:space="preserve">← Suma de la columna RECARGAS de cada hoja de rubro de CONSOLIDADO_24 (industrias incluye almacenes;</t>
  </si>
  <si>
    <t xml:space="preserve">   supermercados incluye góndola; hoteles incluye alquiler temporario). Los rodantes del mercado vienen</t>
  </si>
  <si>
    <t xml:space="preserve">   todos como ABC 50 kg: los de 25, 70 y 100 kg se reparten igual.</t>
  </si>
  <si>
    <t xml:space="preserve">% del mercado</t>
  </si>
  <si>
    <t xml:space="preserve">3. Llegadas por mes y por día (u)</t>
  </si>
  <si>
    <t xml:space="preserve">Total año</t>
  </si>
  <si>
    <t xml:space="preserve">Peso medio (kg/u)</t>
  </si>
  <si>
    <t xml:space="preserve">m² de piso por u.</t>
  </si>
  <si>
    <t xml:space="preserve">% rodantes</t>
  </si>
  <si>
    <t xml:space="preserve">u/día de cada mes</t>
  </si>
  <si>
    <t xml:space="preserve">← n.º de mes (lo usan las demás hojas)</t>
  </si>
  <si>
    <t xml:space="preserve">Factor mes pico / promedio</t>
  </si>
  <si>
    <t xml:space="preserve">4. Mix entrante por familia</t>
  </si>
  <si>
    <t xml:space="preserve">u/año</t>
  </si>
  <si>
    <t xml:space="preserve">Cómo llega</t>
  </si>
  <si>
    <t xml:space="preserve">Casi todos de autos (puntos de acopio): Kangoo. Jaula A de 72.</t>
  </si>
  <si>
    <t xml:space="preserve">ABC 2,5 y 5, BC, sales K, CO₂ 2 y HCFC: jaula B (24 a 30 por jaula).</t>
  </si>
  <si>
    <t xml:space="preserve">ABC 10, agua, AFFF, CO₂ 5 y clase D: jaula B en cuadrícula de 16.</t>
  </si>
  <si>
    <t xml:space="preserve">Rodantes: solo en Master, en el piso y con cinchas; jaula de rodantes (1 a 3).</t>
  </si>
  <si>
    <t xml:space="preserve">5. Qué tiene un cliente típico de cada rubro (u. por cliente × mix del rubro)</t>
  </si>
  <si>
    <t xml:space="preserve">← por ejemplo, un edificio típico de 14 matafuegos: ~9 ABC 5 kg, ~2 CO₂ 2 kg, ~1 ABC 2,5 kg, ~1 agua y el resto</t>
  </si>
  <si>
    <t xml:space="preserve">   (cocheras, cocina). El mix sale del consolidado comercial; la cantidad por cliente es un supuesto.</t>
  </si>
  <si>
    <t xml:space="preserve">u. por cliente</t>
  </si>
  <si>
    <t xml:space="preserve">Vehículos y viajes</t>
  </si>
  <si>
    <t xml:space="preserve">Cada viaje sale con recargados + transitorios para dejar y vuelve con los del cliente + los transitorios que retira. En cada turno el vehículo hace su recorrido y vuelve cargado.</t>
  </si>
  <si>
    <t xml:space="preserve">1. Capacidad de cada vehículo</t>
  </si>
  <si>
    <t xml:space="preserve">Cómo se calcula</t>
  </si>
  <si>
    <t xml:space="preserve">Piso útil (m²)</t>
  </si>
  <si>
    <t xml:space="preserve">largo × ancho × aprovechamiento</t>
  </si>
  <si>
    <t xml:space="preserve">Carga neta disponible (kg)</t>
  </si>
  <si>
    <t xml:space="preserve">(carga útil − personas) × (1 − tara)</t>
  </si>
  <si>
    <t xml:space="preserve">Volumen nominal (m³)</t>
  </si>
  <si>
    <t xml:space="preserve">dato de Renault</t>
  </si>
  <si>
    <t xml:space="preserve">Precio actual (ARS)</t>
  </si>
  <si>
    <t xml:space="preserve">ver Supuestos</t>
  </si>
  <si>
    <t xml:space="preserve">Lleva rodantes</t>
  </si>
  <si>
    <t xml:space="preserve">2. Datos de cada rubro para el recorrido</t>
  </si>
  <si>
    <t xml:space="preserve">u/día pico</t>
  </si>
  <si>
    <t xml:space="preserve">min por u.</t>
  </si>
  <si>
    <t xml:space="preserve">h por u. del cliente</t>
  </si>
  <si>
    <t xml:space="preserve">u. del cliente por turno (límite de tiempo)</t>
  </si>
  <si>
    <t xml:space="preserve">h por u. del cliente = 2 paradas cada "u. por cliente" (una para retirar y otra para entregar) × (parada + manejo) + 2 manipulaciones por u. (retiro con transitorio y entrega).</t>
  </si>
  <si>
    <t xml:space="preserve">3. Carga por viaje (u. en cada sentido, recargados o del cliente + transitorios) — el menor entre espacio y peso</t>
  </si>
  <si>
    <t xml:space="preserve">← espacio: piso útil / m² por u. (2 niveles; los rodantes ocupan toda la altura)</t>
  </si>
  <si>
    <t xml:space="preserve">   peso: carga neta / peso medio del mix del rubro</t>
  </si>
  <si>
    <t xml:space="preserve">4. Matafuegos del cliente que mueve un vehículo en un turno</t>
  </si>
  <si>
    <t xml:space="preserve">Viajes por turno (Kangoo)</t>
  </si>
  <si>
    <t xml:space="preserve">Viajes por turno (L1H1)</t>
  </si>
  <si>
    <t xml:space="preserve">Viajes por turno (L2H2)</t>
  </si>
  <si>
    <t xml:space="preserve">Viajes por turno (L3H2)</t>
  </si>
  <si>
    <t xml:space="preserve">Si el vehículo se llena antes de que se termine el turno, puede hacer más de un viaje; si no, el límite es el tiempo (un solo recorrido por turno).</t>
  </si>
  <si>
    <t xml:space="preserve">5. ¿Qué Master conviene? (rubros asignados a Master, en el mes pico)</t>
  </si>
  <si>
    <t xml:space="preserve">Vehículo-turnos por día (pico)</t>
  </si>
  <si>
    <t xml:space="preserve">Vehículos necesarios</t>
  </si>
  <si>
    <t xml:space="preserve">Inversión (ARS)</t>
  </si>
  <si>
    <t xml:space="preserve">Puntaje (menos vehículos, después menor precio)</t>
  </si>
  <si>
    <t xml:space="preserve">← columna del modelo elegido (1 = Kangoo, 2 a 4 = Master)</t>
  </si>
  <si>
    <t xml:space="preserve">6. Plan de recorridos con los vehículos elegidos</t>
  </si>
  <si>
    <t xml:space="preserve">Modelo</t>
  </si>
  <si>
    <t xml:space="preserve">u. del cliente por vehículo-turno</t>
  </si>
  <si>
    <t xml:space="preserve">Viajes por turno</t>
  </si>
  <si>
    <t xml:space="preserve">Vehículo-turnos (prom.)</t>
  </si>
  <si>
    <t xml:space="preserve">Vehículo-turnos (pico)</t>
  </si>
  <si>
    <t xml:space="preserve">Viajes por día (pico)</t>
  </si>
  <si>
    <t xml:space="preserve">Paradas por día (pico)</t>
  </si>
  <si>
    <t xml:space="preserve">Carga por viaje (u., cada sentido)</t>
  </si>
  <si>
    <t xml:space="preserve">7. Flota</t>
  </si>
  <si>
    <t xml:space="preserve">Ocupación en el mes promedio</t>
  </si>
  <si>
    <t xml:space="preserve">Vehículos necesarios = vehículo-turnos del día pico / turnos. Viajes por día = vehículo-turnos × viajes por turno.</t>
  </si>
  <si>
    <t xml:space="preserve">Master: se cargan a mano en el cliente, en estantería con celdas; en la planta se descargan a las jaulas A/B con transpaleta (no hace falta autoelevador en recargas).</t>
  </si>
  <si>
    <t xml:space="preserve">Transitorios y pulmón de recargas</t>
  </si>
  <si>
    <t xml:space="preserve">Transitorio = matafuego de FLAMA que se le deja al cliente mientras el suyo está en la planta. Pulmón = lugar en la planta para lo que llega, lo que sale y los transitorios.</t>
  </si>
  <si>
    <t xml:space="preserve">1. Transitorios por tipo</t>
  </si>
  <si>
    <t xml:space="preserve">Salen por día (prom.)</t>
  </si>
  <si>
    <t xml:space="preserve">Salen por día (mes pico)</t>
  </si>
  <si>
    <t xml:space="preserve">Días afuera + revisión (base)</t>
  </si>
  <si>
    <t xml:space="preserve">Días (mínimo)</t>
  </si>
  <si>
    <t xml:space="preserve">Fuera de servicio por su revisión</t>
  </si>
  <si>
    <t xml:space="preserve">En la planta (u)</t>
  </si>
  <si>
    <t xml:space="preserve">Jaulas en la planta</t>
  </si>
  <si>
    <t xml:space="preserve">Stock recomendado = salen por día en el mes pico × días afuera (+ revisión) × (1 + margen) / (1 − fuera de servicio). Es la ley de Little: lo que hay afuera = lo que sale por día × los días que tarda en volver.</t>
  </si>
  <si>
    <t xml:space="preserve">Punto mínimo = salidas de un día promedio × el ciclo más corto posible (proceso en 1 día, PH en 3, sin espera). Por debajo de eso falta transitorio aunque todo salga perfecto. Salen de la propia línea de manuales y carros.</t>
  </si>
  <si>
    <t xml:space="preserve">2. ¿Cuántos transitorios hacen falta según los días que tarda en volver el matafuego del cliente?</t>
  </si>
  <si>
    <t xml:space="preserve">Días afuera + revisión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</si>
  <si>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</si>
  <si>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</si>
  <si>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</si>
  <si>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</si>
  <si>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</si>
  <si>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</si>
  <si>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</si>
  <si>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Transitorios (u)</t>
  </si>
  <si>
    <t xml:space="preserve">Días del caso base (promedio)</t>
  </si>
  <si>
    <t xml:space="preserve">← cada día que se acorta el ciclo ahorra una fila de transitorios: es la palanca más fuerte.</t>
  </si>
  <si>
    <t xml:space="preserve">3. Trabajo extra en la planta por los transitorios (por año)</t>
  </si>
  <si>
    <t xml:space="preserve">Concepto</t>
  </si>
  <si>
    <t xml:space="preserve">% de las recargas 2035</t>
  </si>
  <si>
    <t xml:space="preserve">Revisión o recarga anual</t>
  </si>
  <si>
    <t xml:space="preserve">Recarga porque el cliente lo usó</t>
  </si>
  <si>
    <t xml:space="preserve">4. Pulmón de recargas en el día pico (posiciones de 1,2 × 1,0 m en el piso, 1 nivel: en recargas se mueve con transpaleta)</t>
  </si>
  <si>
    <t xml:space="preserve">Matafuegos (u)</t>
  </si>
  <si>
    <t xml:space="preserve">Jaulas de manuales</t>
  </si>
  <si>
    <t xml:space="preserve">Jaulas de rodantes</t>
  </si>
  <si>
    <t xml:space="preserve">Posiciones en el plano</t>
  </si>
  <si>
    <t xml:space="preserve">Dónde y cómo van</t>
  </si>
  <si>
    <t xml:space="preserve">Recepción (R0)</t>
  </si>
  <si>
    <t xml:space="preserve">Jaulas A (1 kg) y B por cliente, en orden de llegada, contra el muro norte. Rodantes en jaula de rodantes junto a la abertura a R1, para entrar con rampa.</t>
  </si>
  <si>
    <t xml:space="preserve">Despacho</t>
  </si>
  <si>
    <t xml:space="preserve">Jaulas armadas por recorrido y en el orden de entrega, al lado del portón R.</t>
  </si>
  <si>
    <t xml:space="preserve">Transitorios en la planta</t>
  </si>
  <si>
    <t xml:space="preserve">Estantería de 3 niveles con faja amarilla, separados por tipo, entre despacho y el portón R (salen en el mismo viaje). Rodantes en el piso.</t>
  </si>
  <si>
    <t xml:space="preserve">Jaulas vacías</t>
  </si>
  <si>
    <t xml:space="preserve">Apiladas de a 2, junto a despacho.</t>
  </si>
  <si>
    <t xml:space="preserve">Superficie necesaria (m²)</t>
  </si>
  <si>
    <t xml:space="preserve">← posiciones × 1,2 m² × 2 (pasillo de transpaleta de 2,5 m compartido por las dos filas)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</si>
</sst>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#,##0.0"/>
    <numFmt numFmtId="168" formatCode="&quot;$ &quot;#,##0"/>
    <numFmt numFmtId="169" formatCode="\+#,##0;\-#,##0;0"/>
    <numFmt numFmtId="170" formatCode="#,##0.00"/>
    <numFmt numFmtId="171" formatCode="0%"/>
    <numFmt numFmtId="172" formatCode="0.0000"/>
    <numFmt numFmtId="173" formatCode="#,##0;\-#,##0;&quot;ok&quot;"/>
    <numFmt numFmtId="174" formatCode="0.0;\-0.0;&quot;&quot;"/>
    <numFmt numFmtId="175" formatCode="0.000"/>
    <numFmt numFmtId="176" formatCode="0.00E+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'Demanda y mix'!D23</f>
        <v>127340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f aca="false">'Demanda y mix'!O57</f>
        <v>530.583333333333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f aca="false">'Demanda y mix'!P57</f>
        <v>594.895651848574</v>
      </c>
    </row>
    <row r="8" customFormat="false" ht="15" hidden="false" customHeight="false" outlineLevel="0" collapsed="false">
      <c r="A8" s="4" t="s">
        <v>8</v>
      </c>
      <c r="B8" s="7" t="str">
        <f aca="false">'Demanda y mix'!B59</f>
        <v>Dic</v>
      </c>
    </row>
    <row r="9" customFormat="false" ht="15" hidden="false" customHeight="false" outlineLevel="0" collapsed="false">
      <c r="A9" s="4" t="s">
        <v>9</v>
      </c>
      <c r="B9" s="5" t="n">
        <f aca="false">'Demanda y mix'!Q57</f>
        <v>684.12999962586</v>
      </c>
      <c r="C9" s="6" t="s">
        <v>10</v>
      </c>
    </row>
    <row r="10" customFormat="false" ht="15" hidden="false" customHeight="false" outlineLevel="0" collapsed="false">
      <c r="A10" s="4" t="s">
        <v>11</v>
      </c>
      <c r="B10" s="5" t="n">
        <f aca="false">B9/Supuestos!$B$8</f>
        <v>342.06499981293</v>
      </c>
    </row>
    <row r="12" customFormat="false" ht="15" hidden="false" customHeight="false" outlineLevel="0" collapsed="false">
      <c r="A12" s="3" t="s">
        <v>12</v>
      </c>
    </row>
    <row r="13" customFormat="false" ht="30" hidden="false" customHeight="true" outlineLevel="0" collapsed="false">
      <c r="A13" s="8" t="s">
        <v>13</v>
      </c>
      <c r="B13" s="8" t="s">
        <v>14</v>
      </c>
      <c r="C13" s="8" t="s">
        <v>15</v>
      </c>
      <c r="D13" s="8" t="s">
        <v>16</v>
      </c>
    </row>
    <row r="14" customFormat="false" ht="15" hidden="false" customHeight="false" outlineLevel="0" collapsed="false">
      <c r="A14" s="9" t="str">
        <f aca="false">'Demanda y mix'!A64</f>
        <v>ABC 1 kg</v>
      </c>
      <c r="B14" s="10" t="n">
        <f aca="false">'Demanda y mix'!C64</f>
        <v>0.527768179676457</v>
      </c>
      <c r="C14" s="11" t="n">
        <f aca="false">'Demanda y mix'!D64</f>
        <v>280.025</v>
      </c>
      <c r="D14" s="11" t="n">
        <f aca="false">'Demanda y mix'!E64</f>
        <v>336.022668639146</v>
      </c>
    </row>
    <row r="15" customFormat="false" ht="15" hidden="false" customHeight="false" outlineLevel="0" collapsed="false">
      <c r="A15" s="9" t="str">
        <f aca="false">'Demanda y mix'!A65</f>
        <v>Manual 2,5 a 6 kg/l</v>
      </c>
      <c r="B15" s="10" t="n">
        <f aca="false">'Demanda y mix'!C65</f>
        <v>0.393568399560232</v>
      </c>
      <c r="C15" s="11" t="n">
        <f aca="false">'Demanda y mix'!D65</f>
        <v>208.820833333333</v>
      </c>
      <c r="D15" s="11" t="n">
        <f aca="false">'Demanda y mix'!E65</f>
        <v>216.712401805587</v>
      </c>
    </row>
    <row r="16" customFormat="false" ht="15" hidden="false" customHeight="false" outlineLevel="0" collapsed="false">
      <c r="A16" s="9" t="str">
        <f aca="false">'Demanda y mix'!A66</f>
        <v>Manual 9 a 10 kg/l</v>
      </c>
      <c r="B16" s="10" t="n">
        <f aca="false">'Demanda y mix'!C66</f>
        <v>0.0652033924925397</v>
      </c>
      <c r="C16" s="11" t="n">
        <f aca="false">'Demanda y mix'!D66</f>
        <v>34.5958333333333</v>
      </c>
      <c r="D16" s="11" t="n">
        <f aca="false">'Demanda y mix'!E66</f>
        <v>35.0016360292476</v>
      </c>
    </row>
    <row r="17" customFormat="false" ht="15" hidden="false" customHeight="false" outlineLevel="0" collapsed="false">
      <c r="A17" s="9" t="str">
        <f aca="false">'Demanda y mix'!A67</f>
        <v>Rodante</v>
      </c>
      <c r="B17" s="10" t="n">
        <f aca="false">'Demanda y mix'!C67</f>
        <v>0.0134600282707712</v>
      </c>
      <c r="C17" s="11" t="n">
        <f aca="false">'Demanda y mix'!D67</f>
        <v>7.14166666666667</v>
      </c>
      <c r="D17" s="11" t="n">
        <f aca="false">'Demanda y mix'!E67</f>
        <v>7.15894537459346</v>
      </c>
    </row>
    <row r="19" customFormat="false" ht="30" hidden="false" customHeight="true" outlineLevel="0" collapsed="false">
      <c r="A19" s="8" t="s">
        <v>17</v>
      </c>
      <c r="B19" s="8" t="s">
        <v>14</v>
      </c>
      <c r="C19" s="8" t="s">
        <v>15</v>
      </c>
      <c r="D19" s="8" t="s">
        <v>16</v>
      </c>
      <c r="E19" s="8" t="s">
        <v>18</v>
      </c>
    </row>
    <row r="20" customFormat="false" ht="15" hidden="false" customHeight="false" outlineLevel="0" collapsed="false">
      <c r="A20" s="9" t="str">
        <f aca="false">'Demanda y mix'!A50</f>
        <v>Automotriz</v>
      </c>
      <c r="B20" s="12" t="n">
        <f aca="false">'Demanda y mix'!B50/'Demanda y mix'!B57</f>
        <v>0.549498063146785</v>
      </c>
      <c r="C20" s="11" t="n">
        <f aca="false">'Demanda y mix'!O50</f>
        <v>291.554514004631</v>
      </c>
      <c r="D20" s="11" t="n">
        <f aca="false">'Demanda y mix'!P50</f>
        <v>349.865416805558</v>
      </c>
      <c r="E20" s="13" t="str">
        <f aca="false">'Vehículos y viajes'!B14</f>
        <v>Kangoo</v>
      </c>
    </row>
    <row r="21" customFormat="false" ht="15" hidden="false" customHeight="false" outlineLevel="0" collapsed="false">
      <c r="A21" s="9" t="str">
        <f aca="false">'Demanda y mix'!A51</f>
        <v>Edificios</v>
      </c>
      <c r="B21" s="12" t="n">
        <f aca="false">'Demanda y mix'!B51/'Demanda y mix'!B57</f>
        <v>0.248914993275277</v>
      </c>
      <c r="C21" s="11" t="n">
        <f aca="false">'Demanda y mix'!O51</f>
        <v>132.070146848641</v>
      </c>
      <c r="D21" s="11" t="n">
        <f aca="false">'Demanda y mix'!P51</f>
        <v>142.635758596532</v>
      </c>
      <c r="E21" s="13" t="str">
        <f aca="false">'Vehículos y viajes'!B15</f>
        <v>Master</v>
      </c>
    </row>
    <row r="22" customFormat="false" ht="15" hidden="false" customHeight="false" outlineLevel="0" collapsed="false">
      <c r="A22" s="9" t="str">
        <f aca="false">'Demanda y mix'!A52</f>
        <v>Salud</v>
      </c>
      <c r="B22" s="12" t="n">
        <f aca="false">'Demanda y mix'!B52/'Demanda y mix'!B57</f>
        <v>0.0387444949373092</v>
      </c>
      <c r="C22" s="11" t="n">
        <f aca="false">'Demanda y mix'!O52</f>
        <v>20.557183272154</v>
      </c>
      <c r="D22" s="11" t="n">
        <f aca="false">'Demanda y mix'!P52</f>
        <v>19.7348959412678</v>
      </c>
      <c r="E22" s="13" t="str">
        <f aca="false">'Vehículos y viajes'!B16</f>
        <v>Master</v>
      </c>
    </row>
    <row r="23" customFormat="false" ht="15" hidden="false" customHeight="false" outlineLevel="0" collapsed="false">
      <c r="A23" s="9" t="str">
        <f aca="false">'Demanda y mix'!A53</f>
        <v>Educación</v>
      </c>
      <c r="B23" s="12" t="n">
        <f aca="false">'Demanda y mix'!B53/'Demanda y mix'!B57</f>
        <v>0.0733014490555784</v>
      </c>
      <c r="C23" s="11" t="n">
        <f aca="false">'Demanda y mix'!O53</f>
        <v>38.8925271780723</v>
      </c>
      <c r="D23" s="11" t="n">
        <f aca="false">'Demanda y mix'!P53</f>
        <v>32.6697228295807</v>
      </c>
      <c r="E23" s="13" t="str">
        <f aca="false">'Vehículos y viajes'!B17</f>
        <v>Master</v>
      </c>
    </row>
    <row r="24" customFormat="false" ht="15" hidden="false" customHeight="false" outlineLevel="0" collapsed="false">
      <c r="A24" s="9" t="str">
        <f aca="false">'Demanda y mix'!A54</f>
        <v>Hoteles</v>
      </c>
      <c r="B24" s="12" t="n">
        <f aca="false">'Demanda y mix'!B54/'Demanda y mix'!B57</f>
        <v>0.0323567215811577</v>
      </c>
      <c r="C24" s="11" t="n">
        <f aca="false">'Demanda y mix'!O54</f>
        <v>17.1679371922692</v>
      </c>
      <c r="D24" s="11" t="n">
        <f aca="false">'Demanda y mix'!P54</f>
        <v>20.6015246307231</v>
      </c>
      <c r="E24" s="13" t="str">
        <f aca="false">'Vehículos y viajes'!B18</f>
        <v>Master</v>
      </c>
    </row>
    <row r="25" customFormat="false" ht="15" hidden="false" customHeight="false" outlineLevel="0" collapsed="false">
      <c r="A25" s="9" t="str">
        <f aca="false">'Demanda y mix'!A55</f>
        <v>Industrias</v>
      </c>
      <c r="B25" s="12" t="n">
        <f aca="false">'Demanda y mix'!B55/'Demanda y mix'!B57</f>
        <v>0.053085814035785</v>
      </c>
      <c r="C25" s="11" t="n">
        <f aca="false">'Demanda y mix'!O55</f>
        <v>28.1664481638203</v>
      </c>
      <c r="D25" s="11" t="n">
        <f aca="false">'Demanda y mix'!P55</f>
        <v>27.0397902372674</v>
      </c>
      <c r="E25" s="13" t="str">
        <f aca="false">'Vehículos y viajes'!B19</f>
        <v>Master</v>
      </c>
    </row>
    <row r="26" customFormat="false" ht="15" hidden="false" customHeight="false" outlineLevel="0" collapsed="false">
      <c r="A26" s="9" t="str">
        <f aca="false">'Demanda y mix'!A56</f>
        <v>Supermercados</v>
      </c>
      <c r="B26" s="12" t="n">
        <f aca="false">'Demanda y mix'!B56/'Demanda y mix'!B57</f>
        <v>0.0040984639681086</v>
      </c>
      <c r="C26" s="11" t="n">
        <f aca="false">'Demanda y mix'!O56</f>
        <v>2.17457667374562</v>
      </c>
      <c r="D26" s="11" t="n">
        <f aca="false">'Demanda y mix'!P56</f>
        <v>2.34854280764527</v>
      </c>
      <c r="E26" s="13" t="str">
        <f aca="false">'Vehículos y viajes'!B20</f>
        <v>Kangoo</v>
      </c>
    </row>
    <row r="28" customFormat="false" ht="15" hidden="false" customHeight="false" outlineLevel="0" collapsed="false">
      <c r="A28" s="3" t="s">
        <v>19</v>
      </c>
    </row>
    <row r="29" customFormat="false" ht="15" hidden="false" customHeight="false" outlineLevel="0" collapsed="false">
      <c r="A29" s="4" t="s">
        <v>20</v>
      </c>
      <c r="B29" s="5" t="n">
        <f aca="false">'Vehículos y viajes'!E65</f>
        <v>3</v>
      </c>
      <c r="C29" s="6" t="s">
        <v>21</v>
      </c>
    </row>
    <row r="30" customFormat="false" ht="15" hidden="false" customHeight="false" outlineLevel="0" collapsed="false">
      <c r="A30" s="4" t="s">
        <v>22</v>
      </c>
      <c r="B30" s="7" t="str">
        <f aca="false">'Vehículos y viajes'!B50</f>
        <v>Master L1H1</v>
      </c>
      <c r="C30" s="6" t="s">
        <v>23</v>
      </c>
    </row>
    <row r="31" customFormat="false" ht="15" hidden="false" customHeight="false" outlineLevel="0" collapsed="false">
      <c r="A31" s="4" t="s">
        <v>24</v>
      </c>
      <c r="B31" s="5" t="n">
        <f aca="false">'Vehículos y viajes'!E66</f>
        <v>4</v>
      </c>
      <c r="C31" s="6" t="s">
        <v>25</v>
      </c>
    </row>
    <row r="32" customFormat="false" ht="15" hidden="false" customHeight="false" outlineLevel="0" collapsed="false">
      <c r="A32" s="4" t="s">
        <v>26</v>
      </c>
      <c r="B32" s="14" t="n">
        <f aca="false">'Vehículos y viajes'!G67</f>
        <v>11.6676177423761</v>
      </c>
      <c r="C32" s="6" t="s">
        <v>27</v>
      </c>
    </row>
    <row r="33" customFormat="false" ht="15" hidden="false" customHeight="false" outlineLevel="0" collapsed="false">
      <c r="A33" s="4" t="s">
        <v>28</v>
      </c>
      <c r="B33" s="5" t="n">
        <f aca="false">'Vehículos y viajes'!I61</f>
        <v>65.1807770884034</v>
      </c>
    </row>
    <row r="34" customFormat="false" ht="15" hidden="false" customHeight="false" outlineLevel="0" collapsed="false">
      <c r="A34" s="4" t="s">
        <v>29</v>
      </c>
      <c r="B34" s="15" t="n">
        <f aca="false">'Vehículos y viajes'!H67</f>
        <v>371999455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4" t="s">
        <v>31</v>
      </c>
      <c r="B37" s="5" t="n">
        <f aca="false">'Transitorios y pulmón'!H23</f>
        <v>2646</v>
      </c>
      <c r="C37" s="6" t="s">
        <v>32</v>
      </c>
    </row>
    <row r="38" customFormat="false" ht="15" hidden="false" customHeight="false" outlineLevel="0" collapsed="false">
      <c r="A38" s="4" t="s">
        <v>33</v>
      </c>
      <c r="B38" s="5" t="n">
        <f aca="false">'Transitorios y pulmón'!I23</f>
        <v>1066</v>
      </c>
      <c r="C38" s="6" t="s">
        <v>34</v>
      </c>
    </row>
    <row r="39" customFormat="false" ht="15" hidden="false" customHeight="false" outlineLevel="0" collapsed="false">
      <c r="A39" s="4" t="s">
        <v>35</v>
      </c>
      <c r="B39" s="14" t="n">
        <f aca="false">'Transitorios y pulmón'!B30</f>
        <v>4.01739515584518</v>
      </c>
      <c r="C39" s="6" t="s">
        <v>36</v>
      </c>
    </row>
    <row r="40" customFormat="false" ht="15" hidden="false" customHeight="false" outlineLevel="0" collapsed="false">
      <c r="A40" s="4" t="s">
        <v>37</v>
      </c>
      <c r="B40" s="5" t="n">
        <f aca="false">'Transitorios y pulmón'!B36</f>
        <v>3436.33333333333</v>
      </c>
    </row>
    <row r="41" customFormat="false" ht="15" hidden="false" customHeight="false" outlineLevel="0" collapsed="false">
      <c r="A41" s="4" t="s">
        <v>38</v>
      </c>
      <c r="B41" s="16" t="n">
        <f aca="false">'Transitorios y pulmón'!C36</f>
        <v>0.0269854981414586</v>
      </c>
    </row>
    <row r="43" customFormat="false" ht="15" hidden="false" customHeight="false" outlineLevel="0" collapsed="false">
      <c r="A43" s="3" t="s">
        <v>39</v>
      </c>
    </row>
    <row r="44" customFormat="false" ht="30" hidden="false" customHeight="true" outlineLevel="0" collapsed="false">
      <c r="A44" s="8" t="s">
        <v>40</v>
      </c>
      <c r="B44" s="8" t="s">
        <v>41</v>
      </c>
      <c r="C44" s="8" t="s">
        <v>42</v>
      </c>
      <c r="D44" s="8" t="s">
        <v>43</v>
      </c>
    </row>
    <row r="45" customFormat="false" ht="15" hidden="false" customHeight="false" outlineLevel="0" collapsed="false">
      <c r="A45" s="9" t="str">
        <f aca="false">'Transitorios y pulmón'!A40</f>
        <v>Recepción (R0)</v>
      </c>
      <c r="B45" s="11" t="n">
        <f aca="false">'Transitorios y pulmón'!E40</f>
        <v>14</v>
      </c>
      <c r="C45" s="11" t="n">
        <f aca="false">'Transitorios y pulmón'!F40</f>
        <v>16</v>
      </c>
      <c r="D45" s="17" t="n">
        <f aca="false">'Transitorios y pulmón'!G40</f>
        <v>2</v>
      </c>
    </row>
    <row r="46" customFormat="false" ht="15" hidden="false" customHeight="false" outlineLevel="0" collapsed="false">
      <c r="A46" s="9" t="str">
        <f aca="false">'Transitorios y pulmón'!A41</f>
        <v>Despacho</v>
      </c>
      <c r="B46" s="11" t="n">
        <f aca="false">'Transitorios y pulmón'!E41</f>
        <v>14</v>
      </c>
      <c r="C46" s="11" t="n">
        <f aca="false">'Transitorios y pulmón'!F41</f>
        <v>7</v>
      </c>
      <c r="D46" s="17" t="n">
        <f aca="false">'Transitorios y pulmón'!G41</f>
        <v>-7</v>
      </c>
    </row>
    <row r="47" customFormat="false" ht="15" hidden="false" customHeight="false" outlineLevel="0" collapsed="false">
      <c r="A47" s="9" t="str">
        <f aca="false">'Transitorios y pulmón'!A42</f>
        <v>Transitorios en la planta</v>
      </c>
      <c r="B47" s="11" t="n">
        <f aca="false">'Transitorios y pulmón'!E42</f>
        <v>14</v>
      </c>
      <c r="C47" s="11" t="n">
        <f aca="false">'Transitorios y pulmón'!F42</f>
        <v>0</v>
      </c>
      <c r="D47" s="17" t="n">
        <f aca="false">'Transitorios y pulmón'!G42</f>
        <v>-14</v>
      </c>
    </row>
    <row r="48" customFormat="false" ht="15" hidden="false" customHeight="false" outlineLevel="0" collapsed="false">
      <c r="A48" s="9" t="str">
        <f aca="false">'Transitorios y pulmón'!A43</f>
        <v>Jaulas vacías</v>
      </c>
      <c r="B48" s="11" t="n">
        <f aca="false">'Transitorios y pulmón'!E43</f>
        <v>4</v>
      </c>
      <c r="C48" s="11" t="n">
        <f aca="false">'Transitorios y pulmón'!F43</f>
        <v>5</v>
      </c>
      <c r="D48" s="17" t="n">
        <f aca="false">'Transitorios y pulmón'!G43</f>
        <v>1</v>
      </c>
    </row>
    <row r="49" customFormat="false" ht="15" hidden="false" customHeight="false" outlineLevel="0" collapsed="false">
      <c r="A49" s="18" t="str">
        <f aca="false">'Transitorios y pulmón'!A44</f>
        <v>Total</v>
      </c>
      <c r="B49" s="19" t="n">
        <f aca="false">'Transitorios y pulmón'!E44</f>
        <v>46</v>
      </c>
      <c r="C49" s="19" t="n">
        <f aca="false">'Transitorios y pulmón'!F44</f>
        <v>28</v>
      </c>
      <c r="D49" s="20" t="n">
        <f aca="false">'Transitorios y pulmón'!G44</f>
        <v>-18</v>
      </c>
    </row>
    <row r="50" customFormat="false" ht="15" hidden="false" customHeight="false" outlineLevel="0" collapsed="false">
      <c r="A50" s="4" t="s">
        <v>44</v>
      </c>
      <c r="B50" s="5" t="n">
        <f aca="false">'Transitorios y pulmón'!B45</f>
        <v>110.4</v>
      </c>
    </row>
    <row r="52" customFormat="false" ht="15" hidden="false" customHeight="false" outlineLevel="0" collapsed="false">
      <c r="A52" s="3" t="s">
        <v>45</v>
      </c>
    </row>
    <row r="53" customFormat="false" ht="15" hidden="false" customHeight="false" outlineLevel="0" collapsed="false">
      <c r="A53" s="21" t="s">
        <v>46</v>
      </c>
    </row>
    <row r="54" customFormat="false" ht="15" hidden="false" customHeight="false" outlineLevel="0" collapsed="false">
      <c r="A54" s="21" t="s">
        <v>47</v>
      </c>
    </row>
    <row r="55" customFormat="false" ht="15" hidden="false" customHeight="false" outlineLevel="0" collapsed="false">
      <c r="A55" s="21" t="s">
        <v>48</v>
      </c>
    </row>
    <row r="56" customFormat="false" ht="15" hidden="false" customHeight="false" outlineLevel="0" collapsed="false">
      <c r="A56" s="21" t="s">
        <v>49</v>
      </c>
    </row>
    <row r="57" customFormat="false" ht="15" hidden="false" customHeight="false" outlineLevel="0" collapsed="false">
      <c r="A57" s="21" t="s">
        <v>50</v>
      </c>
    </row>
    <row r="58" customFormat="false" ht="15" hidden="false" customHeight="false" outlineLevel="0" collapsed="false">
      <c r="A58" s="21" t="s">
        <v>51</v>
      </c>
    </row>
    <row r="60" customFormat="false" ht="15" hidden="false" customHeight="false" outlineLevel="0" collapsed="false">
      <c r="A60" s="3" t="s">
        <v>52</v>
      </c>
    </row>
    <row r="61" customFormat="false" ht="15" hidden="false" customHeight="false" outlineLevel="0" collapsed="false">
      <c r="A61" s="2" t="s">
        <v>53</v>
      </c>
    </row>
    <row r="62" customFormat="false" ht="15" hidden="false" customHeight="false" outlineLevel="0" collapsed="false">
      <c r="A62" s="2" t="s">
        <v>54</v>
      </c>
    </row>
    <row r="63" customFormat="false" ht="15" hidden="false" customHeight="false" outlineLevel="0" collapsed="false">
      <c r="A63" s="2" t="s">
        <v>55</v>
      </c>
    </row>
    <row r="64" customFormat="false" ht="15" hidden="false" customHeight="false" outlineLevel="0" collapsed="false">
      <c r="A64" s="2" t="s">
        <v>56</v>
      </c>
    </row>
    <row r="65" customFormat="false" ht="15" hidden="false" customHeight="false" outlineLevel="0" collapsed="false">
      <c r="A65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6" min="2" style="0" width="14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3" t="s">
        <v>60</v>
      </c>
    </row>
    <row r="5" customFormat="false" ht="30" hidden="false" customHeight="true" outlineLevel="0" collapsed="false">
      <c r="A5" s="8" t="s">
        <v>61</v>
      </c>
      <c r="B5" s="8" t="s">
        <v>62</v>
      </c>
      <c r="C5" s="8" t="s">
        <v>63</v>
      </c>
      <c r="D5" s="8" t="s">
        <v>64</v>
      </c>
    </row>
    <row r="6" customFormat="false" ht="15" hidden="false" customHeight="false" outlineLevel="0" collapsed="false">
      <c r="A6" s="4" t="s">
        <v>65</v>
      </c>
      <c r="B6" s="22" t="n">
        <v>20</v>
      </c>
      <c r="C6" s="4" t="s">
        <v>66</v>
      </c>
      <c r="D6" s="6" t="s">
        <v>67</v>
      </c>
    </row>
    <row r="7" customFormat="false" ht="15" hidden="false" customHeight="false" outlineLevel="0" collapsed="false">
      <c r="A7" s="4" t="s">
        <v>68</v>
      </c>
      <c r="B7" s="22" t="n">
        <v>12</v>
      </c>
      <c r="C7" s="4" t="s">
        <v>69</v>
      </c>
      <c r="D7" s="6"/>
    </row>
    <row r="8" customFormat="false" ht="15" hidden="false" customHeight="false" outlineLevel="0" collapsed="false">
      <c r="A8" s="4" t="s">
        <v>70</v>
      </c>
      <c r="B8" s="23" t="n">
        <v>2</v>
      </c>
      <c r="C8" s="4" t="s">
        <v>71</v>
      </c>
      <c r="D8" s="6" t="s">
        <v>72</v>
      </c>
    </row>
    <row r="9" customFormat="false" ht="15" hidden="false" customHeight="false" outlineLevel="0" collapsed="false">
      <c r="A9" s="4" t="s">
        <v>73</v>
      </c>
      <c r="B9" s="24" t="n">
        <v>7.5</v>
      </c>
      <c r="C9" s="4" t="s">
        <v>74</v>
      </c>
      <c r="D9" s="6" t="s">
        <v>75</v>
      </c>
    </row>
    <row r="10" customFormat="false" ht="15" hidden="false" customHeight="false" outlineLevel="0" collapsed="false">
      <c r="A10" s="4" t="s">
        <v>76</v>
      </c>
      <c r="B10" s="25" t="n">
        <v>1.15</v>
      </c>
      <c r="C10" s="4" t="s">
        <v>77</v>
      </c>
      <c r="D10" s="6" t="s">
        <v>78</v>
      </c>
    </row>
    <row r="12" customFormat="false" ht="15" hidden="false" customHeight="false" outlineLevel="0" collapsed="false">
      <c r="A12" s="3" t="s">
        <v>79</v>
      </c>
    </row>
    <row r="13" customFormat="false" ht="30" hidden="false" customHeight="true" outlineLevel="0" collapsed="false">
      <c r="A13" s="8" t="s">
        <v>61</v>
      </c>
      <c r="B13" s="8" t="s">
        <v>62</v>
      </c>
      <c r="C13" s="8" t="s">
        <v>63</v>
      </c>
      <c r="D13" s="8" t="s">
        <v>64</v>
      </c>
    </row>
    <row r="14" customFormat="false" ht="15" hidden="false" customHeight="false" outlineLevel="0" collapsed="false">
      <c r="A14" s="4" t="s">
        <v>80</v>
      </c>
      <c r="B14" s="26" t="n">
        <v>1.5</v>
      </c>
      <c r="C14" s="4" t="s">
        <v>81</v>
      </c>
      <c r="D14" s="6" t="s">
        <v>82</v>
      </c>
    </row>
    <row r="15" customFormat="false" ht="15" hidden="false" customHeight="false" outlineLevel="0" collapsed="false">
      <c r="A15" s="4" t="s">
        <v>83</v>
      </c>
      <c r="B15" s="22" t="n">
        <v>20</v>
      </c>
      <c r="C15" s="4" t="s">
        <v>84</v>
      </c>
      <c r="D15" s="6" t="s">
        <v>85</v>
      </c>
    </row>
    <row r="16" customFormat="false" ht="15" hidden="false" customHeight="false" outlineLevel="0" collapsed="false">
      <c r="A16" s="4" t="s">
        <v>86</v>
      </c>
      <c r="B16" s="22" t="n">
        <v>15</v>
      </c>
      <c r="C16" s="4" t="s">
        <v>84</v>
      </c>
      <c r="D16" s="6" t="s">
        <v>87</v>
      </c>
    </row>
    <row r="17" customFormat="false" ht="15" hidden="false" customHeight="false" outlineLevel="0" collapsed="false">
      <c r="A17" s="4" t="s">
        <v>88</v>
      </c>
      <c r="B17" s="22" t="n">
        <v>2</v>
      </c>
      <c r="C17" s="4" t="s">
        <v>89</v>
      </c>
      <c r="D17" s="6" t="s">
        <v>90</v>
      </c>
    </row>
    <row r="18" customFormat="false" ht="15" hidden="false" customHeight="false" outlineLevel="0" collapsed="false">
      <c r="A18" s="4" t="s">
        <v>91</v>
      </c>
      <c r="B18" s="22" t="n">
        <v>80</v>
      </c>
      <c r="C18" s="4" t="s">
        <v>92</v>
      </c>
      <c r="D18" s="6"/>
    </row>
    <row r="19" customFormat="false" ht="15" hidden="false" customHeight="false" outlineLevel="0" collapsed="false">
      <c r="A19" s="4" t="s">
        <v>93</v>
      </c>
      <c r="B19" s="27" t="n">
        <v>0.1</v>
      </c>
      <c r="C19" s="4" t="s">
        <v>94</v>
      </c>
      <c r="D19" s="6" t="s">
        <v>87</v>
      </c>
    </row>
    <row r="20" customFormat="false" ht="15" hidden="false" customHeight="false" outlineLevel="0" collapsed="false">
      <c r="A20" s="4" t="s">
        <v>95</v>
      </c>
      <c r="B20" s="27" t="n">
        <v>0.75</v>
      </c>
      <c r="C20" s="4" t="s">
        <v>96</v>
      </c>
      <c r="D20" s="6" t="s">
        <v>97</v>
      </c>
    </row>
    <row r="21" customFormat="false" ht="15" hidden="false" customHeight="false" outlineLevel="0" collapsed="false">
      <c r="A21" s="4" t="s">
        <v>98</v>
      </c>
      <c r="B21" s="22" t="n">
        <v>2</v>
      </c>
      <c r="C21" s="4" t="s">
        <v>99</v>
      </c>
      <c r="D21" s="6" t="s">
        <v>100</v>
      </c>
    </row>
    <row r="23" customFormat="false" ht="15" hidden="false" customHeight="false" outlineLevel="0" collapsed="false">
      <c r="A23" s="3" t="s">
        <v>101</v>
      </c>
    </row>
    <row r="24" customFormat="false" ht="30" hidden="false" customHeight="true" outlineLevel="0" collapsed="false">
      <c r="A24" s="8" t="s">
        <v>61</v>
      </c>
      <c r="B24" s="8" t="s">
        <v>102</v>
      </c>
      <c r="C24" s="8" t="s">
        <v>103</v>
      </c>
      <c r="D24" s="8" t="s">
        <v>64</v>
      </c>
    </row>
    <row r="25" customFormat="false" ht="15" hidden="false" customHeight="false" outlineLevel="0" collapsed="false">
      <c r="A25" s="4" t="s">
        <v>104</v>
      </c>
      <c r="B25" s="24" t="n">
        <v>2</v>
      </c>
      <c r="C25" s="24" t="n">
        <v>1</v>
      </c>
      <c r="D25" s="6" t="s">
        <v>105</v>
      </c>
    </row>
    <row r="26" customFormat="false" ht="15" hidden="false" customHeight="false" outlineLevel="0" collapsed="false">
      <c r="A26" s="4" t="s">
        <v>106</v>
      </c>
      <c r="B26" s="24" t="n">
        <v>4</v>
      </c>
      <c r="C26" s="24" t="n">
        <v>3</v>
      </c>
      <c r="D26" s="6" t="s">
        <v>87</v>
      </c>
    </row>
    <row r="27" customFormat="false" ht="15" hidden="false" customHeight="false" outlineLevel="0" collapsed="false">
      <c r="A27" s="4" t="s">
        <v>107</v>
      </c>
      <c r="B27" s="24" t="n">
        <v>0.5</v>
      </c>
      <c r="C27" s="24" t="n">
        <v>0</v>
      </c>
      <c r="D27" s="6" t="s">
        <v>108</v>
      </c>
    </row>
    <row r="28" customFormat="false" ht="15" hidden="false" customHeight="false" outlineLevel="0" collapsed="false">
      <c r="A28" s="4" t="s">
        <v>109</v>
      </c>
      <c r="B28" s="24" t="n">
        <v>1</v>
      </c>
      <c r="C28" s="24" t="n">
        <v>0.5</v>
      </c>
      <c r="D28" s="6" t="s">
        <v>110</v>
      </c>
    </row>
    <row r="29" customFormat="false" ht="30" hidden="false" customHeight="true" outlineLevel="0" collapsed="false">
      <c r="A29" s="8" t="s">
        <v>61</v>
      </c>
      <c r="B29" s="8" t="s">
        <v>62</v>
      </c>
      <c r="C29" s="8" t="s">
        <v>63</v>
      </c>
      <c r="D29" s="8" t="s">
        <v>64</v>
      </c>
    </row>
    <row r="30" customFormat="false" ht="15" hidden="false" customHeight="false" outlineLevel="0" collapsed="false">
      <c r="A30" s="4" t="s">
        <v>111</v>
      </c>
      <c r="B30" s="27" t="n">
        <v>0.1</v>
      </c>
      <c r="C30" s="4" t="s">
        <v>112</v>
      </c>
      <c r="D30" s="6" t="s">
        <v>87</v>
      </c>
    </row>
    <row r="31" customFormat="false" ht="15" hidden="false" customHeight="false" outlineLevel="0" collapsed="false">
      <c r="A31" s="4" t="s">
        <v>113</v>
      </c>
      <c r="B31" s="22" t="n">
        <v>1</v>
      </c>
      <c r="C31" s="4" t="s">
        <v>114</v>
      </c>
      <c r="D31" s="6" t="s">
        <v>115</v>
      </c>
    </row>
    <row r="32" customFormat="false" ht="15" hidden="false" customHeight="false" outlineLevel="0" collapsed="false">
      <c r="A32" s="4" t="s">
        <v>116</v>
      </c>
      <c r="B32" s="22" t="n">
        <v>3</v>
      </c>
      <c r="C32" s="4" t="s">
        <v>66</v>
      </c>
      <c r="D32" s="6" t="s">
        <v>117</v>
      </c>
    </row>
    <row r="33" customFormat="false" ht="15" hidden="false" customHeight="false" outlineLevel="0" collapsed="false">
      <c r="A33" s="4" t="s">
        <v>118</v>
      </c>
      <c r="B33" s="28" t="n">
        <v>0.005</v>
      </c>
      <c r="C33" s="4" t="s">
        <v>119</v>
      </c>
      <c r="D33" s="6" t="s">
        <v>120</v>
      </c>
    </row>
    <row r="35" customFormat="false" ht="15" hidden="false" customHeight="false" outlineLevel="0" collapsed="false">
      <c r="A35" s="3" t="s">
        <v>121</v>
      </c>
    </row>
    <row r="36" customFormat="false" ht="30" hidden="false" customHeight="true" outlineLevel="0" collapsed="false">
      <c r="A36" s="8" t="s">
        <v>61</v>
      </c>
      <c r="B36" s="8" t="s">
        <v>62</v>
      </c>
      <c r="C36" s="8" t="s">
        <v>63</v>
      </c>
      <c r="D36" s="8" t="s">
        <v>64</v>
      </c>
    </row>
    <row r="37" customFormat="false" ht="15" hidden="false" customHeight="false" outlineLevel="0" collapsed="false">
      <c r="A37" s="4" t="s">
        <v>122</v>
      </c>
      <c r="B37" s="26" t="n">
        <v>0.5</v>
      </c>
      <c r="C37" s="4" t="s">
        <v>66</v>
      </c>
      <c r="D37" s="6" t="s">
        <v>123</v>
      </c>
    </row>
    <row r="38" customFormat="false" ht="15" hidden="false" customHeight="false" outlineLevel="0" collapsed="false">
      <c r="A38" s="4" t="s">
        <v>124</v>
      </c>
      <c r="B38" s="24" t="n">
        <v>0.5</v>
      </c>
      <c r="C38" s="4" t="s">
        <v>66</v>
      </c>
      <c r="D38" s="6" t="s">
        <v>125</v>
      </c>
    </row>
    <row r="39" customFormat="false" ht="15" hidden="false" customHeight="false" outlineLevel="0" collapsed="false">
      <c r="A39" s="4" t="s">
        <v>126</v>
      </c>
      <c r="B39" s="29" t="n">
        <v>1.15</v>
      </c>
      <c r="C39" s="4" t="s">
        <v>77</v>
      </c>
      <c r="D39" s="6" t="s">
        <v>127</v>
      </c>
    </row>
    <row r="40" customFormat="false" ht="15" hidden="false" customHeight="false" outlineLevel="0" collapsed="false">
      <c r="A40" s="4" t="s">
        <v>128</v>
      </c>
      <c r="B40" s="27" t="n">
        <v>0.15</v>
      </c>
      <c r="C40" s="4" t="s">
        <v>129</v>
      </c>
      <c r="D40" s="6" t="s">
        <v>87</v>
      </c>
    </row>
    <row r="41" customFormat="false" ht="15" hidden="false" customHeight="false" outlineLevel="0" collapsed="false">
      <c r="A41" s="4" t="s">
        <v>130</v>
      </c>
      <c r="B41" s="22" t="n">
        <v>3</v>
      </c>
      <c r="C41" s="4" t="s">
        <v>99</v>
      </c>
      <c r="D41" s="6" t="s">
        <v>131</v>
      </c>
    </row>
    <row r="42" customFormat="false" ht="15" hidden="false" customHeight="false" outlineLevel="0" collapsed="false">
      <c r="A42" s="4" t="s">
        <v>132</v>
      </c>
      <c r="B42" s="22" t="n">
        <v>2</v>
      </c>
      <c r="C42" s="4" t="s">
        <v>133</v>
      </c>
      <c r="D42" s="6" t="s">
        <v>134</v>
      </c>
    </row>
    <row r="43" customFormat="false" ht="15" hidden="false" customHeight="false" outlineLevel="0" collapsed="false">
      <c r="A43" s="4" t="s">
        <v>135</v>
      </c>
      <c r="B43" s="22" t="n">
        <v>16</v>
      </c>
      <c r="C43" s="4" t="s">
        <v>136</v>
      </c>
      <c r="D43" s="6" t="s">
        <v>137</v>
      </c>
    </row>
    <row r="44" customFormat="false" ht="15" hidden="false" customHeight="false" outlineLevel="0" collapsed="false">
      <c r="A44" s="4" t="s">
        <v>138</v>
      </c>
      <c r="B44" s="22" t="n">
        <v>7</v>
      </c>
      <c r="C44" s="4" t="s">
        <v>136</v>
      </c>
      <c r="D44" s="6" t="s">
        <v>139</v>
      </c>
    </row>
    <row r="45" customFormat="false" ht="15" hidden="false" customHeight="false" outlineLevel="0" collapsed="false">
      <c r="A45" s="4" t="s">
        <v>140</v>
      </c>
      <c r="B45" s="22" t="n">
        <v>5</v>
      </c>
      <c r="C45" s="4" t="s">
        <v>136</v>
      </c>
      <c r="D45" s="6" t="s">
        <v>139</v>
      </c>
    </row>
    <row r="46" customFormat="false" ht="15" hidden="false" customHeight="false" outlineLevel="0" collapsed="false">
      <c r="A46" s="4" t="s">
        <v>141</v>
      </c>
      <c r="B46" s="22" t="n">
        <v>0</v>
      </c>
      <c r="C46" s="4" t="s">
        <v>136</v>
      </c>
      <c r="D46" s="6" t="s">
        <v>142</v>
      </c>
    </row>
    <row r="48" customFormat="false" ht="15" hidden="false" customHeight="false" outlineLevel="0" collapsed="false">
      <c r="A48" s="3" t="s">
        <v>143</v>
      </c>
    </row>
    <row r="49" customFormat="false" ht="30" hidden="false" customHeight="true" outlineLevel="0" collapsed="false">
      <c r="A49" s="8" t="s">
        <v>61</v>
      </c>
      <c r="B49" s="8" t="s">
        <v>144</v>
      </c>
      <c r="C49" s="8" t="s">
        <v>145</v>
      </c>
      <c r="D49" s="8" t="s">
        <v>146</v>
      </c>
      <c r="E49" s="8" t="s">
        <v>147</v>
      </c>
      <c r="F49" s="8" t="s">
        <v>148</v>
      </c>
    </row>
    <row r="50" customFormat="false" ht="15" hidden="false" customHeight="false" outlineLevel="0" collapsed="false">
      <c r="A50" s="4" t="s">
        <v>149</v>
      </c>
      <c r="B50" s="29" t="n">
        <v>1.48</v>
      </c>
      <c r="C50" s="29" t="n">
        <v>2.583</v>
      </c>
      <c r="D50" s="29" t="n">
        <v>3.083</v>
      </c>
      <c r="E50" s="29" t="n">
        <v>3.733</v>
      </c>
      <c r="F50" s="6" t="s">
        <v>150</v>
      </c>
    </row>
    <row r="51" customFormat="false" ht="15" hidden="false" customHeight="false" outlineLevel="0" collapsed="false">
      <c r="A51" s="4" t="s">
        <v>151</v>
      </c>
      <c r="B51" s="29" t="n">
        <v>1.46</v>
      </c>
      <c r="C51" s="29" t="n">
        <v>1.765</v>
      </c>
      <c r="D51" s="29" t="n">
        <v>1.765</v>
      </c>
      <c r="E51" s="29" t="n">
        <v>1.765</v>
      </c>
      <c r="F51" s="6" t="s">
        <v>152</v>
      </c>
    </row>
    <row r="52" customFormat="false" ht="15" hidden="false" customHeight="false" outlineLevel="0" collapsed="false">
      <c r="A52" s="4" t="s">
        <v>153</v>
      </c>
      <c r="B52" s="29" t="n">
        <v>1.13</v>
      </c>
      <c r="C52" s="29" t="n">
        <v>1.7</v>
      </c>
      <c r="D52" s="29" t="n">
        <v>1.894</v>
      </c>
      <c r="E52" s="29" t="n">
        <v>1.894</v>
      </c>
      <c r="F52" s="6" t="s">
        <v>154</v>
      </c>
    </row>
    <row r="53" customFormat="false" ht="15" hidden="false" customHeight="false" outlineLevel="0" collapsed="false">
      <c r="A53" s="4" t="s">
        <v>155</v>
      </c>
      <c r="B53" s="24" t="n">
        <v>3.3</v>
      </c>
      <c r="C53" s="24" t="n">
        <v>8</v>
      </c>
      <c r="D53" s="24" t="n">
        <v>10.8</v>
      </c>
      <c r="E53" s="24" t="n">
        <v>13</v>
      </c>
      <c r="F53" s="6" t="s">
        <v>156</v>
      </c>
    </row>
    <row r="54" customFormat="false" ht="15" hidden="false" customHeight="false" outlineLevel="0" collapsed="false">
      <c r="A54" s="4" t="s">
        <v>157</v>
      </c>
      <c r="B54" s="22" t="n">
        <v>750</v>
      </c>
      <c r="C54" s="22" t="n">
        <v>1522</v>
      </c>
      <c r="D54" s="22" t="n">
        <v>1451</v>
      </c>
      <c r="E54" s="22" t="n">
        <v>1375</v>
      </c>
      <c r="F54" s="6" t="s">
        <v>156</v>
      </c>
    </row>
    <row r="55" customFormat="false" ht="15" hidden="false" customHeight="false" outlineLevel="0" collapsed="false">
      <c r="A55" s="4" t="s">
        <v>158</v>
      </c>
      <c r="B55" s="22" t="n">
        <v>0</v>
      </c>
      <c r="C55" s="22" t="n">
        <v>1</v>
      </c>
      <c r="D55" s="22" t="n">
        <v>1</v>
      </c>
      <c r="E55" s="22" t="n">
        <v>1</v>
      </c>
      <c r="F55" s="6" t="s">
        <v>159</v>
      </c>
    </row>
    <row r="56" customFormat="false" ht="15" hidden="false" customHeight="false" outlineLevel="0" collapsed="false">
      <c r="A56" s="4" t="s">
        <v>160</v>
      </c>
      <c r="B56" s="30" t="s">
        <v>161</v>
      </c>
      <c r="C56" s="31" t="n">
        <v>48750000</v>
      </c>
      <c r="D56" s="31" t="n">
        <v>53140000</v>
      </c>
      <c r="E56" s="31" t="n">
        <v>56332600</v>
      </c>
      <c r="F56" s="6" t="s">
        <v>162</v>
      </c>
    </row>
    <row r="57" customFormat="false" ht="15" hidden="false" customHeight="false" outlineLevel="0" collapsed="false">
      <c r="A57" s="4" t="s">
        <v>163</v>
      </c>
      <c r="B57" s="31" t="n">
        <v>33626485</v>
      </c>
      <c r="C57" s="31" t="n">
        <v>67780000</v>
      </c>
      <c r="D57" s="32" t="n">
        <f aca="false">C57*D56/C56</f>
        <v>73883675.8974359</v>
      </c>
      <c r="E57" s="32" t="n">
        <f aca="false">C57*E56/C56</f>
        <v>78322535.9589744</v>
      </c>
      <c r="F57" s="6" t="s">
        <v>164</v>
      </c>
    </row>
    <row r="58" customFormat="false" ht="15" hidden="false" customHeight="false" outlineLevel="0" collapsed="false">
      <c r="A58" s="2" t="s">
        <v>165</v>
      </c>
    </row>
    <row r="60" customFormat="false" ht="15" hidden="false" customHeight="false" outlineLevel="0" collapsed="false">
      <c r="A60" s="3" t="s">
        <v>166</v>
      </c>
    </row>
    <row r="61" customFormat="false" ht="30" hidden="false" customHeight="true" outlineLevel="0" collapsed="false">
      <c r="A61" s="8" t="s">
        <v>167</v>
      </c>
      <c r="B61" s="8" t="s">
        <v>168</v>
      </c>
      <c r="C61" s="8" t="s">
        <v>169</v>
      </c>
      <c r="D61" s="8" t="s">
        <v>13</v>
      </c>
      <c r="E61" s="8" t="s">
        <v>170</v>
      </c>
      <c r="F61" s="8" t="s">
        <v>171</v>
      </c>
      <c r="G61" s="8" t="s">
        <v>172</v>
      </c>
      <c r="H61" s="8" t="s">
        <v>173</v>
      </c>
      <c r="I61" s="8" t="s">
        <v>174</v>
      </c>
    </row>
    <row r="62" customFormat="false" ht="15" hidden="false" customHeight="false" outlineLevel="0" collapsed="false">
      <c r="A62" s="4" t="s">
        <v>175</v>
      </c>
      <c r="B62" s="30" t="s">
        <v>176</v>
      </c>
      <c r="C62" s="4" t="s">
        <v>177</v>
      </c>
      <c r="D62" s="4" t="s">
        <v>175</v>
      </c>
      <c r="E62" s="24" t="n">
        <v>2</v>
      </c>
      <c r="F62" s="22" t="n">
        <v>72</v>
      </c>
      <c r="G62" s="22" t="n">
        <v>0</v>
      </c>
      <c r="H62" s="27" t="n">
        <v>0.25</v>
      </c>
      <c r="I62" s="33" t="n">
        <f aca="false">1.2/F62/IF(G62=1,1,Supuestos!$B$21)</f>
        <v>0.00833333333333333</v>
      </c>
    </row>
    <row r="63" customFormat="false" ht="15" hidden="false" customHeight="false" outlineLevel="0" collapsed="false">
      <c r="A63" s="4" t="s">
        <v>178</v>
      </c>
      <c r="B63" s="30" t="s">
        <v>179</v>
      </c>
      <c r="C63" s="4" t="s">
        <v>177</v>
      </c>
      <c r="D63" s="4" t="s">
        <v>180</v>
      </c>
      <c r="E63" s="24" t="n">
        <v>4.5</v>
      </c>
      <c r="F63" s="22" t="n">
        <v>30</v>
      </c>
      <c r="G63" s="22" t="n">
        <v>0</v>
      </c>
      <c r="H63" s="27" t="n">
        <v>0.25</v>
      </c>
      <c r="I63" s="33" t="n">
        <f aca="false">1.2/F63/IF(G63=1,1,Supuestos!$B$21)</f>
        <v>0.02</v>
      </c>
    </row>
    <row r="64" customFormat="false" ht="15" hidden="false" customHeight="false" outlineLevel="0" collapsed="false">
      <c r="A64" s="4" t="s">
        <v>181</v>
      </c>
      <c r="B64" s="30" t="s">
        <v>182</v>
      </c>
      <c r="C64" s="4" t="s">
        <v>177</v>
      </c>
      <c r="D64" s="4" t="s">
        <v>180</v>
      </c>
      <c r="E64" s="24" t="n">
        <v>8.5</v>
      </c>
      <c r="F64" s="22" t="n">
        <v>24</v>
      </c>
      <c r="G64" s="22" t="n">
        <v>0</v>
      </c>
      <c r="H64" s="27" t="n">
        <v>0.25</v>
      </c>
      <c r="I64" s="33" t="n">
        <f aca="false">1.2/F64/IF(G64=1,1,Supuestos!$B$21)</f>
        <v>0.025</v>
      </c>
    </row>
    <row r="65" customFormat="false" ht="15" hidden="false" customHeight="false" outlineLevel="0" collapsed="false">
      <c r="A65" s="4" t="s">
        <v>183</v>
      </c>
      <c r="B65" s="30" t="s">
        <v>184</v>
      </c>
      <c r="C65" s="4" t="s">
        <v>177</v>
      </c>
      <c r="D65" s="4" t="s">
        <v>185</v>
      </c>
      <c r="E65" s="24" t="n">
        <v>16</v>
      </c>
      <c r="F65" s="22" t="n">
        <v>16</v>
      </c>
      <c r="G65" s="22" t="n">
        <v>0</v>
      </c>
      <c r="H65" s="27" t="n">
        <v>0.25</v>
      </c>
      <c r="I65" s="33" t="n">
        <f aca="false">1.2/F65/IF(G65=1,1,Supuestos!$B$21)</f>
        <v>0.0375</v>
      </c>
    </row>
    <row r="66" customFormat="false" ht="15" hidden="false" customHeight="false" outlineLevel="0" collapsed="false">
      <c r="A66" s="4" t="s">
        <v>186</v>
      </c>
      <c r="B66" s="30" t="s">
        <v>187</v>
      </c>
      <c r="C66" s="4" t="s">
        <v>188</v>
      </c>
      <c r="D66" s="4" t="s">
        <v>185</v>
      </c>
      <c r="E66" s="24" t="n">
        <v>14</v>
      </c>
      <c r="F66" s="22" t="n">
        <v>16</v>
      </c>
      <c r="G66" s="22" t="n">
        <v>0</v>
      </c>
      <c r="H66" s="27" t="n">
        <v>0.5</v>
      </c>
      <c r="I66" s="33" t="n">
        <f aca="false">1.2/F66/IF(G66=1,1,Supuestos!$B$21)</f>
        <v>0.0375</v>
      </c>
    </row>
    <row r="67" customFormat="false" ht="15" hidden="false" customHeight="false" outlineLevel="0" collapsed="false">
      <c r="A67" s="4" t="s">
        <v>189</v>
      </c>
      <c r="B67" s="30" t="s">
        <v>190</v>
      </c>
      <c r="C67" s="4" t="s">
        <v>191</v>
      </c>
      <c r="D67" s="4" t="s">
        <v>185</v>
      </c>
      <c r="E67" s="24" t="n">
        <v>14.5</v>
      </c>
      <c r="F67" s="22" t="n">
        <v>16</v>
      </c>
      <c r="G67" s="22" t="n">
        <v>0</v>
      </c>
      <c r="H67" s="27" t="n">
        <v>0.5</v>
      </c>
      <c r="I67" s="33" t="n">
        <f aca="false">1.2/F67/IF(G67=1,1,Supuestos!$B$21)</f>
        <v>0.0375</v>
      </c>
    </row>
    <row r="68" customFormat="false" ht="15" hidden="false" customHeight="false" outlineLevel="0" collapsed="false">
      <c r="A68" s="4" t="s">
        <v>192</v>
      </c>
      <c r="B68" s="30" t="s">
        <v>193</v>
      </c>
      <c r="C68" s="4" t="s">
        <v>191</v>
      </c>
      <c r="D68" s="4" t="s">
        <v>194</v>
      </c>
      <c r="E68" s="24" t="n">
        <v>90</v>
      </c>
      <c r="F68" s="22" t="n">
        <v>2</v>
      </c>
      <c r="G68" s="22" t="n">
        <v>1</v>
      </c>
      <c r="H68" s="27" t="n">
        <v>0.5</v>
      </c>
      <c r="I68" s="33" t="n">
        <f aca="false">1.2/F68/IF(G68=1,1,Supuestos!$B$21)</f>
        <v>0.6</v>
      </c>
    </row>
    <row r="69" customFormat="false" ht="15" hidden="false" customHeight="false" outlineLevel="0" collapsed="false">
      <c r="A69" s="4" t="s">
        <v>195</v>
      </c>
      <c r="B69" s="30" t="s">
        <v>196</v>
      </c>
      <c r="C69" s="4" t="s">
        <v>197</v>
      </c>
      <c r="D69" s="4" t="s">
        <v>180</v>
      </c>
      <c r="E69" s="24" t="n">
        <v>8.5</v>
      </c>
      <c r="F69" s="22" t="n">
        <v>24</v>
      </c>
      <c r="G69" s="22" t="n">
        <v>0</v>
      </c>
      <c r="H69" s="27" t="n">
        <v>0.25</v>
      </c>
      <c r="I69" s="33" t="n">
        <f aca="false">1.2/F69/IF(G69=1,1,Supuestos!$B$21)</f>
        <v>0.025</v>
      </c>
    </row>
    <row r="70" customFormat="false" ht="15" hidden="false" customHeight="false" outlineLevel="0" collapsed="false">
      <c r="A70" s="4" t="s">
        <v>198</v>
      </c>
      <c r="B70" s="30" t="s">
        <v>199</v>
      </c>
      <c r="C70" s="4" t="s">
        <v>200</v>
      </c>
      <c r="D70" s="4" t="s">
        <v>180</v>
      </c>
      <c r="E70" s="24" t="n">
        <v>10.5</v>
      </c>
      <c r="F70" s="22" t="n">
        <v>20</v>
      </c>
      <c r="G70" s="22" t="n">
        <v>0</v>
      </c>
      <c r="H70" s="27" t="n">
        <v>0.5</v>
      </c>
      <c r="I70" s="33" t="n">
        <f aca="false">1.2/F70/IF(G70=1,1,Supuestos!$B$21)</f>
        <v>0.03</v>
      </c>
    </row>
    <row r="71" customFormat="false" ht="15" hidden="false" customHeight="false" outlineLevel="0" collapsed="false">
      <c r="A71" s="4" t="s">
        <v>201</v>
      </c>
      <c r="B71" s="30" t="s">
        <v>202</v>
      </c>
      <c r="C71" s="4" t="s">
        <v>203</v>
      </c>
      <c r="D71" s="4" t="s">
        <v>180</v>
      </c>
      <c r="E71" s="24" t="n">
        <v>7</v>
      </c>
      <c r="F71" s="22" t="n">
        <v>30</v>
      </c>
      <c r="G71" s="22" t="n">
        <v>0</v>
      </c>
      <c r="H71" s="27" t="n">
        <v>0.25</v>
      </c>
      <c r="I71" s="33" t="n">
        <f aca="false">1.2/F71/IF(G71=1,1,Supuestos!$B$21)</f>
        <v>0.02</v>
      </c>
    </row>
    <row r="72" customFormat="false" ht="15" hidden="false" customHeight="false" outlineLevel="0" collapsed="false">
      <c r="A72" s="4" t="s">
        <v>204</v>
      </c>
      <c r="B72" s="30" t="s">
        <v>205</v>
      </c>
      <c r="C72" s="4" t="s">
        <v>203</v>
      </c>
      <c r="D72" s="4" t="s">
        <v>185</v>
      </c>
      <c r="E72" s="24" t="n">
        <v>15</v>
      </c>
      <c r="F72" s="22" t="n">
        <v>20</v>
      </c>
      <c r="G72" s="22" t="n">
        <v>0</v>
      </c>
      <c r="H72" s="27" t="n">
        <v>0.25</v>
      </c>
      <c r="I72" s="33" t="n">
        <f aca="false">1.2/F72/IF(G72=1,1,Supuestos!$B$21)</f>
        <v>0.03</v>
      </c>
    </row>
    <row r="73" customFormat="false" ht="15" hidden="false" customHeight="false" outlineLevel="0" collapsed="false">
      <c r="A73" s="4" t="s">
        <v>206</v>
      </c>
      <c r="B73" s="30" t="s">
        <v>207</v>
      </c>
      <c r="C73" s="4" t="s">
        <v>208</v>
      </c>
      <c r="D73" s="4" t="s">
        <v>180</v>
      </c>
      <c r="E73" s="24" t="n">
        <v>10</v>
      </c>
      <c r="F73" s="22" t="n">
        <v>24</v>
      </c>
      <c r="G73" s="22" t="n">
        <v>0</v>
      </c>
      <c r="H73" s="27" t="n">
        <v>0.25</v>
      </c>
      <c r="I73" s="33" t="n">
        <f aca="false">1.2/F73/IF(G73=1,1,Supuestos!$B$21)</f>
        <v>0.025</v>
      </c>
    </row>
    <row r="74" customFormat="false" ht="15" hidden="false" customHeight="false" outlineLevel="0" collapsed="false">
      <c r="A74" s="4" t="s">
        <v>209</v>
      </c>
      <c r="B74" s="30" t="s">
        <v>210</v>
      </c>
      <c r="C74" s="4" t="s">
        <v>211</v>
      </c>
      <c r="D74" s="4" t="s">
        <v>185</v>
      </c>
      <c r="E74" s="24" t="n">
        <v>15</v>
      </c>
      <c r="F74" s="22" t="n">
        <v>16</v>
      </c>
      <c r="G74" s="22" t="n">
        <v>0</v>
      </c>
      <c r="H74" s="27" t="n">
        <v>0.25</v>
      </c>
      <c r="I74" s="33" t="n">
        <f aca="false">1.2/F74/IF(G74=1,1,Supuestos!$B$21)</f>
        <v>0.0375</v>
      </c>
    </row>
    <row r="75" customFormat="false" ht="15" hidden="false" customHeight="false" outlineLevel="0" collapsed="false">
      <c r="A75" s="4" t="s">
        <v>212</v>
      </c>
      <c r="B75" s="30" t="s">
        <v>213</v>
      </c>
      <c r="C75" s="4" t="s">
        <v>177</v>
      </c>
      <c r="D75" s="4" t="s">
        <v>194</v>
      </c>
      <c r="E75" s="24" t="n">
        <v>48</v>
      </c>
      <c r="F75" s="22" t="n">
        <v>3</v>
      </c>
      <c r="G75" s="22" t="n">
        <v>1</v>
      </c>
      <c r="H75" s="27" t="n">
        <v>0.25</v>
      </c>
      <c r="I75" s="33" t="n">
        <f aca="false">1.2/F75/IF(G75=1,1,Supuestos!$B$21)</f>
        <v>0.4</v>
      </c>
    </row>
    <row r="76" customFormat="false" ht="15" hidden="false" customHeight="false" outlineLevel="0" collapsed="false">
      <c r="A76" s="4" t="s">
        <v>214</v>
      </c>
      <c r="B76" s="30" t="s">
        <v>213</v>
      </c>
      <c r="C76" s="4" t="s">
        <v>177</v>
      </c>
      <c r="D76" s="4" t="s">
        <v>194</v>
      </c>
      <c r="E76" s="24" t="n">
        <v>90</v>
      </c>
      <c r="F76" s="22" t="n">
        <v>2</v>
      </c>
      <c r="G76" s="22" t="n">
        <v>1</v>
      </c>
      <c r="H76" s="27" t="n">
        <v>0.25</v>
      </c>
      <c r="I76" s="33" t="n">
        <f aca="false">1.2/F76/IF(G76=1,1,Supuestos!$B$21)</f>
        <v>0.6</v>
      </c>
    </row>
    <row r="77" customFormat="false" ht="15" hidden="false" customHeight="false" outlineLevel="0" collapsed="false">
      <c r="A77" s="4" t="s">
        <v>215</v>
      </c>
      <c r="B77" s="30" t="s">
        <v>213</v>
      </c>
      <c r="C77" s="4" t="s">
        <v>177</v>
      </c>
      <c r="D77" s="4" t="s">
        <v>194</v>
      </c>
      <c r="E77" s="24" t="n">
        <v>120</v>
      </c>
      <c r="F77" s="22" t="n">
        <v>2</v>
      </c>
      <c r="G77" s="22" t="n">
        <v>1</v>
      </c>
      <c r="H77" s="27" t="n">
        <v>0.25</v>
      </c>
      <c r="I77" s="33" t="n">
        <f aca="false">1.2/F77/IF(G77=1,1,Supuestos!$B$21)</f>
        <v>0.6</v>
      </c>
    </row>
    <row r="78" customFormat="false" ht="15" hidden="false" customHeight="false" outlineLevel="0" collapsed="false">
      <c r="A78" s="4" t="s">
        <v>216</v>
      </c>
      <c r="B78" s="30" t="s">
        <v>213</v>
      </c>
      <c r="C78" s="4" t="s">
        <v>177</v>
      </c>
      <c r="D78" s="4" t="s">
        <v>194</v>
      </c>
      <c r="E78" s="24" t="n">
        <v>160</v>
      </c>
      <c r="F78" s="22" t="n">
        <v>1</v>
      </c>
      <c r="G78" s="22" t="n">
        <v>1</v>
      </c>
      <c r="H78" s="27" t="n">
        <v>0.25</v>
      </c>
      <c r="I78" s="33" t="n">
        <f aca="false">1.2/F78/IF(G78=1,1,Supuestos!$B$21)</f>
        <v>1.2</v>
      </c>
    </row>
    <row r="79" customFormat="false" ht="15" hidden="false" customHeight="false" outlineLevel="0" collapsed="false">
      <c r="A79" s="6" t="s">
        <v>217</v>
      </c>
    </row>
    <row r="80" customFormat="false" ht="15" hidden="false" customHeight="false" outlineLevel="0" collapsed="false">
      <c r="A80" s="6" t="s">
        <v>218</v>
      </c>
    </row>
    <row r="82" customFormat="false" ht="15" hidden="false" customHeight="false" outlineLevel="0" collapsed="false">
      <c r="A82" s="3" t="s">
        <v>219</v>
      </c>
    </row>
    <row r="83" customFormat="false" ht="30" hidden="false" customHeight="true" outlineLevel="0" collapsed="false">
      <c r="A83" s="8" t="s">
        <v>220</v>
      </c>
      <c r="B83" s="8" t="s">
        <v>18</v>
      </c>
      <c r="C83" s="8" t="s">
        <v>221</v>
      </c>
      <c r="D83" s="8" t="s">
        <v>222</v>
      </c>
      <c r="E83" s="8" t="s">
        <v>223</v>
      </c>
      <c r="F83" s="8" t="s">
        <v>224</v>
      </c>
      <c r="G83" s="8"/>
      <c r="H83" s="8"/>
      <c r="I83" s="8"/>
      <c r="J83" s="8"/>
    </row>
    <row r="84" customFormat="false" ht="15" hidden="false" customHeight="false" outlineLevel="0" collapsed="false">
      <c r="A84" s="4" t="s">
        <v>225</v>
      </c>
      <c r="B84" s="34" t="s">
        <v>226</v>
      </c>
      <c r="C84" s="23" t="n">
        <v>25</v>
      </c>
      <c r="D84" s="27" t="n">
        <v>1</v>
      </c>
      <c r="E84" s="24" t="n">
        <v>0.5</v>
      </c>
      <c r="F84" s="35" t="s">
        <v>227</v>
      </c>
      <c r="G84" s="35"/>
      <c r="H84" s="35"/>
      <c r="I84" s="35"/>
      <c r="J84" s="35"/>
    </row>
    <row r="85" customFormat="false" ht="15" hidden="false" customHeight="false" outlineLevel="0" collapsed="false">
      <c r="A85" s="4" t="s">
        <v>228</v>
      </c>
      <c r="B85" s="34" t="s">
        <v>229</v>
      </c>
      <c r="C85" s="23" t="n">
        <v>14</v>
      </c>
      <c r="D85" s="27" t="n">
        <v>1</v>
      </c>
      <c r="E85" s="24" t="n">
        <v>1.5</v>
      </c>
      <c r="F85" s="35" t="s">
        <v>230</v>
      </c>
      <c r="G85" s="35"/>
      <c r="H85" s="35"/>
      <c r="I85" s="35"/>
      <c r="J85" s="35"/>
    </row>
    <row r="86" customFormat="false" ht="15" hidden="false" customHeight="false" outlineLevel="0" collapsed="false">
      <c r="A86" s="4" t="s">
        <v>231</v>
      </c>
      <c r="B86" s="34" t="s">
        <v>229</v>
      </c>
      <c r="C86" s="23" t="n">
        <v>35</v>
      </c>
      <c r="D86" s="27" t="n">
        <v>0.9</v>
      </c>
      <c r="E86" s="24" t="n">
        <v>1.5</v>
      </c>
      <c r="F86" s="35" t="s">
        <v>232</v>
      </c>
      <c r="G86" s="35"/>
      <c r="H86" s="35"/>
      <c r="I86" s="35"/>
      <c r="J86" s="35"/>
    </row>
    <row r="87" customFormat="false" ht="15" hidden="false" customHeight="false" outlineLevel="0" collapsed="false">
      <c r="A87" s="4" t="s">
        <v>233</v>
      </c>
      <c r="B87" s="34" t="s">
        <v>229</v>
      </c>
      <c r="C87" s="23" t="n">
        <v>18</v>
      </c>
      <c r="D87" s="27" t="n">
        <v>1</v>
      </c>
      <c r="E87" s="24" t="n">
        <v>1.5</v>
      </c>
      <c r="F87" s="35" t="s">
        <v>234</v>
      </c>
      <c r="G87" s="35"/>
      <c r="H87" s="35"/>
      <c r="I87" s="35"/>
      <c r="J87" s="35"/>
    </row>
    <row r="88" customFormat="false" ht="15" hidden="false" customHeight="false" outlineLevel="0" collapsed="false">
      <c r="A88" s="4" t="s">
        <v>235</v>
      </c>
      <c r="B88" s="34" t="s">
        <v>229</v>
      </c>
      <c r="C88" s="23" t="n">
        <v>20</v>
      </c>
      <c r="D88" s="27" t="n">
        <v>1</v>
      </c>
      <c r="E88" s="24" t="n">
        <v>1.5</v>
      </c>
      <c r="F88" s="35" t="s">
        <v>236</v>
      </c>
      <c r="G88" s="35"/>
      <c r="H88" s="35"/>
      <c r="I88" s="35"/>
      <c r="J88" s="35"/>
    </row>
    <row r="89" customFormat="false" ht="15" hidden="false" customHeight="false" outlineLevel="0" collapsed="false">
      <c r="A89" s="4" t="s">
        <v>237</v>
      </c>
      <c r="B89" s="34" t="s">
        <v>229</v>
      </c>
      <c r="C89" s="23" t="n">
        <v>45</v>
      </c>
      <c r="D89" s="27" t="n">
        <v>0.8</v>
      </c>
      <c r="E89" s="24" t="n">
        <v>1.5</v>
      </c>
      <c r="F89" s="35" t="s">
        <v>238</v>
      </c>
      <c r="G89" s="35"/>
      <c r="H89" s="35"/>
      <c r="I89" s="35"/>
      <c r="J89" s="35"/>
    </row>
    <row r="90" customFormat="false" ht="15" hidden="false" customHeight="false" outlineLevel="0" collapsed="false">
      <c r="A90" s="4" t="s">
        <v>239</v>
      </c>
      <c r="B90" s="34" t="s">
        <v>226</v>
      </c>
      <c r="C90" s="23" t="n">
        <v>16</v>
      </c>
      <c r="D90" s="27" t="n">
        <v>1</v>
      </c>
      <c r="E90" s="24" t="n">
        <v>1</v>
      </c>
      <c r="F90" s="35" t="s">
        <v>240</v>
      </c>
      <c r="G90" s="35"/>
      <c r="H90" s="35"/>
      <c r="I90" s="35"/>
      <c r="J90" s="35"/>
    </row>
    <row r="91" customFormat="false" ht="15" hidden="false" customHeight="false" outlineLevel="0" collapsed="false">
      <c r="A91" s="6" t="s">
        <v>241</v>
      </c>
    </row>
    <row r="92" customFormat="false" ht="15" hidden="false" customHeight="false" outlineLevel="0" collapsed="false">
      <c r="A92" s="6" t="s">
        <v>242</v>
      </c>
    </row>
    <row r="94" customFormat="false" ht="15" hidden="false" customHeight="false" outlineLevel="0" collapsed="false">
      <c r="A94" s="3" t="s">
        <v>243</v>
      </c>
    </row>
    <row r="95" customFormat="false" ht="30" hidden="false" customHeight="true" outlineLevel="0" collapsed="false">
      <c r="A95" s="8" t="s">
        <v>220</v>
      </c>
      <c r="B95" s="8" t="s">
        <v>244</v>
      </c>
      <c r="C95" s="8" t="s">
        <v>245</v>
      </c>
      <c r="D95" s="8" t="s">
        <v>246</v>
      </c>
      <c r="E95" s="8" t="s">
        <v>247</v>
      </c>
      <c r="F95" s="8" t="s">
        <v>248</v>
      </c>
      <c r="G95" s="8" t="s">
        <v>249</v>
      </c>
      <c r="H95" s="8" t="s">
        <v>250</v>
      </c>
      <c r="I95" s="8" t="s">
        <v>251</v>
      </c>
      <c r="J95" s="8" t="s">
        <v>252</v>
      </c>
      <c r="K95" s="8" t="s">
        <v>253</v>
      </c>
      <c r="L95" s="8" t="s">
        <v>254</v>
      </c>
      <c r="M95" s="8" t="s">
        <v>255</v>
      </c>
      <c r="N95" s="8" t="s">
        <v>256</v>
      </c>
    </row>
    <row r="96" customFormat="false" ht="15" hidden="false" customHeight="false" outlineLevel="0" collapsed="false">
      <c r="A96" s="4" t="s">
        <v>225</v>
      </c>
      <c r="B96" s="27" t="n">
        <v>0.09</v>
      </c>
      <c r="C96" s="27" t="n">
        <v>0.08</v>
      </c>
      <c r="D96" s="27" t="n">
        <v>0.08</v>
      </c>
      <c r="E96" s="27" t="n">
        <v>0.08</v>
      </c>
      <c r="F96" s="27" t="n">
        <v>0.08</v>
      </c>
      <c r="G96" s="27" t="n">
        <v>0.08</v>
      </c>
      <c r="H96" s="27" t="n">
        <v>0.08</v>
      </c>
      <c r="I96" s="27" t="n">
        <v>0.08</v>
      </c>
      <c r="J96" s="27" t="n">
        <v>0.08</v>
      </c>
      <c r="K96" s="27" t="n">
        <v>0.08</v>
      </c>
      <c r="L96" s="27" t="n">
        <v>0.09</v>
      </c>
      <c r="M96" s="27" t="n">
        <v>0.1</v>
      </c>
      <c r="N96" s="36" t="n">
        <f aca="false">SUM(B96:M96)</f>
        <v>1</v>
      </c>
    </row>
    <row r="97" customFormat="false" ht="15" hidden="false" customHeight="false" outlineLevel="0" collapsed="false">
      <c r="A97" s="4" t="s">
        <v>228</v>
      </c>
      <c r="B97" s="27" t="n">
        <v>0.06</v>
      </c>
      <c r="C97" s="27" t="n">
        <v>0.07</v>
      </c>
      <c r="D97" s="27" t="n">
        <v>0.09</v>
      </c>
      <c r="E97" s="27" t="n">
        <v>0.09</v>
      </c>
      <c r="F97" s="27" t="n">
        <v>0.09</v>
      </c>
      <c r="G97" s="27" t="n">
        <v>0.08</v>
      </c>
      <c r="H97" s="27" t="n">
        <v>0.07</v>
      </c>
      <c r="I97" s="27" t="n">
        <v>0.09</v>
      </c>
      <c r="J97" s="27" t="n">
        <v>0.09</v>
      </c>
      <c r="K97" s="27" t="n">
        <v>0.09</v>
      </c>
      <c r="L97" s="27" t="n">
        <v>0.09</v>
      </c>
      <c r="M97" s="27" t="n">
        <v>0.09</v>
      </c>
      <c r="N97" s="36" t="n">
        <f aca="false">SUM(B97:M97)</f>
        <v>1</v>
      </c>
    </row>
    <row r="98" customFormat="false" ht="15" hidden="false" customHeight="false" outlineLevel="0" collapsed="false">
      <c r="A98" s="4" t="s">
        <v>231</v>
      </c>
      <c r="B98" s="27" t="n">
        <v>0.08</v>
      </c>
      <c r="C98" s="27" t="n">
        <v>0.08</v>
      </c>
      <c r="D98" s="27" t="n">
        <v>0.09</v>
      </c>
      <c r="E98" s="27" t="n">
        <v>0.08</v>
      </c>
      <c r="F98" s="27" t="n">
        <v>0.08</v>
      </c>
      <c r="G98" s="27" t="n">
        <v>0.08</v>
      </c>
      <c r="H98" s="27" t="n">
        <v>0.08</v>
      </c>
      <c r="I98" s="27" t="n">
        <v>0.09</v>
      </c>
      <c r="J98" s="27" t="n">
        <v>0.09</v>
      </c>
      <c r="K98" s="27" t="n">
        <v>0.08</v>
      </c>
      <c r="L98" s="27" t="n">
        <v>0.09</v>
      </c>
      <c r="M98" s="27" t="n">
        <v>0.08</v>
      </c>
      <c r="N98" s="36" t="n">
        <f aca="false">SUM(B98:M98)</f>
        <v>1</v>
      </c>
    </row>
    <row r="99" customFormat="false" ht="15" hidden="false" customHeight="false" outlineLevel="0" collapsed="false">
      <c r="A99" s="4" t="s">
        <v>233</v>
      </c>
      <c r="B99" s="27" t="n">
        <v>0.04</v>
      </c>
      <c r="C99" s="27" t="n">
        <v>0.18</v>
      </c>
      <c r="D99" s="27" t="n">
        <v>0.1</v>
      </c>
      <c r="E99" s="27" t="n">
        <v>0.07</v>
      </c>
      <c r="F99" s="27" t="n">
        <v>0.07</v>
      </c>
      <c r="G99" s="27" t="n">
        <v>0.07</v>
      </c>
      <c r="H99" s="27" t="n">
        <v>0.14</v>
      </c>
      <c r="I99" s="27" t="n">
        <v>0.07</v>
      </c>
      <c r="J99" s="27" t="n">
        <v>0.07</v>
      </c>
      <c r="K99" s="27" t="n">
        <v>0.06</v>
      </c>
      <c r="L99" s="27" t="n">
        <v>0.06</v>
      </c>
      <c r="M99" s="27" t="n">
        <v>0.07</v>
      </c>
      <c r="N99" s="36" t="n">
        <f aca="false">SUM(B99:M99)</f>
        <v>1</v>
      </c>
    </row>
    <row r="100" customFormat="false" ht="15" hidden="false" customHeight="false" outlineLevel="0" collapsed="false">
      <c r="A100" s="4" t="s">
        <v>235</v>
      </c>
      <c r="B100" s="27" t="n">
        <v>0.05</v>
      </c>
      <c r="C100" s="27" t="n">
        <v>0.05</v>
      </c>
      <c r="D100" s="27" t="n">
        <v>0.07</v>
      </c>
      <c r="E100" s="27" t="n">
        <v>0.08</v>
      </c>
      <c r="F100" s="27" t="n">
        <v>0.09</v>
      </c>
      <c r="G100" s="27" t="n">
        <v>0.1</v>
      </c>
      <c r="H100" s="27" t="n">
        <v>0.06</v>
      </c>
      <c r="I100" s="27" t="n">
        <v>0.07</v>
      </c>
      <c r="J100" s="27" t="n">
        <v>0.09</v>
      </c>
      <c r="K100" s="27" t="n">
        <v>0.11</v>
      </c>
      <c r="L100" s="27" t="n">
        <v>0.13</v>
      </c>
      <c r="M100" s="27" t="n">
        <v>0.1</v>
      </c>
      <c r="N100" s="36" t="n">
        <f aca="false">SUM(B100:M100)</f>
        <v>1</v>
      </c>
    </row>
    <row r="101" customFormat="false" ht="15" hidden="false" customHeight="false" outlineLevel="0" collapsed="false">
      <c r="A101" s="4" t="s">
        <v>237</v>
      </c>
      <c r="B101" s="27" t="n">
        <v>0.05</v>
      </c>
      <c r="C101" s="27" t="n">
        <v>0.08</v>
      </c>
      <c r="D101" s="27" t="n">
        <v>0.09</v>
      </c>
      <c r="E101" s="27" t="n">
        <v>0.09</v>
      </c>
      <c r="F101" s="27" t="n">
        <v>0.09</v>
      </c>
      <c r="G101" s="27" t="n">
        <v>0.08</v>
      </c>
      <c r="H101" s="27" t="n">
        <v>0.08</v>
      </c>
      <c r="I101" s="27" t="n">
        <v>0.09</v>
      </c>
      <c r="J101" s="27" t="n">
        <v>0.09</v>
      </c>
      <c r="K101" s="27" t="n">
        <v>0.09</v>
      </c>
      <c r="L101" s="27" t="n">
        <v>0.09</v>
      </c>
      <c r="M101" s="27" t="n">
        <v>0.08</v>
      </c>
      <c r="N101" s="36" t="n">
        <f aca="false">SUM(B101:M101)</f>
        <v>1</v>
      </c>
    </row>
    <row r="102" customFormat="false" ht="15" hidden="false" customHeight="false" outlineLevel="0" collapsed="false">
      <c r="A102" s="4" t="s">
        <v>239</v>
      </c>
      <c r="B102" s="27" t="n">
        <v>0.08</v>
      </c>
      <c r="C102" s="27" t="n">
        <v>0.08</v>
      </c>
      <c r="D102" s="27" t="n">
        <v>0.08</v>
      </c>
      <c r="E102" s="27" t="n">
        <v>0.08</v>
      </c>
      <c r="F102" s="27" t="n">
        <v>0.08</v>
      </c>
      <c r="G102" s="27" t="n">
        <v>0.08</v>
      </c>
      <c r="H102" s="27" t="n">
        <v>0.08</v>
      </c>
      <c r="I102" s="27" t="n">
        <v>0.08</v>
      </c>
      <c r="J102" s="27" t="n">
        <v>0.09</v>
      </c>
      <c r="K102" s="27" t="n">
        <v>0.09</v>
      </c>
      <c r="L102" s="27" t="n">
        <v>0.09</v>
      </c>
      <c r="M102" s="27" t="n">
        <v>0.09</v>
      </c>
      <c r="N102" s="36" t="n">
        <f aca="false">SUM(B102:M102)</f>
        <v>1</v>
      </c>
    </row>
    <row r="103" customFormat="false" ht="15" hidden="false" customHeight="false" outlineLevel="0" collapsed="false">
      <c r="A103" s="6" t="s">
        <v>257</v>
      </c>
    </row>
    <row r="104" customFormat="false" ht="15" hidden="false" customHeight="false" outlineLevel="0" collapsed="false">
      <c r="A104" s="6" t="s">
        <v>258</v>
      </c>
    </row>
  </sheetData>
  <mergeCells count="8">
    <mergeCell ref="F83:J83"/>
    <mergeCell ref="F84:J84"/>
    <mergeCell ref="F85:J85"/>
    <mergeCell ref="F86:J86"/>
    <mergeCell ref="F87:J87"/>
    <mergeCell ref="F88:J88"/>
    <mergeCell ref="F89:J89"/>
    <mergeCell ref="F90:J90"/>
  </mergeCells>
  <dataValidations count="1">
    <dataValidation allowBlank="false" errorStyle="stop" operator="between" showDropDown="false" showErrorMessage="false" showInputMessage="false" sqref="B84:B90" type="list">
      <formula1>"Kangoo,Master"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T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1" min="2" style="0" width="12.5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4" customFormat="false" ht="15" hidden="false" customHeight="false" outlineLevel="0" collapsed="false">
      <c r="A4" s="3" t="s">
        <v>261</v>
      </c>
    </row>
    <row r="5" customFormat="false" ht="30" hidden="false" customHeight="true" outlineLevel="0" collapsed="false">
      <c r="A5" s="8" t="s">
        <v>167</v>
      </c>
      <c r="B5" s="8" t="s">
        <v>262</v>
      </c>
      <c r="C5" s="8" t="s">
        <v>13</v>
      </c>
      <c r="D5" s="8" t="s">
        <v>3</v>
      </c>
      <c r="E5" s="8" t="s">
        <v>14</v>
      </c>
      <c r="F5" s="8" t="s">
        <v>225</v>
      </c>
      <c r="G5" s="8" t="s">
        <v>228</v>
      </c>
      <c r="H5" s="8" t="s">
        <v>231</v>
      </c>
      <c r="I5" s="8" t="s">
        <v>233</v>
      </c>
      <c r="J5" s="8" t="s">
        <v>235</v>
      </c>
      <c r="K5" s="8" t="s">
        <v>237</v>
      </c>
      <c r="L5" s="8" t="s">
        <v>239</v>
      </c>
      <c r="M5" s="8" t="s">
        <v>263</v>
      </c>
      <c r="N5" s="8" t="s">
        <v>15</v>
      </c>
      <c r="O5" s="8" t="s">
        <v>16</v>
      </c>
      <c r="P5" s="8" t="s">
        <v>264</v>
      </c>
    </row>
    <row r="6" customFormat="false" ht="15" hidden="false" customHeight="false" outlineLevel="0" collapsed="false">
      <c r="A6" s="9" t="str">
        <f aca="false">Supuestos!A62</f>
        <v>ABC 1 kg</v>
      </c>
      <c r="B6" s="13" t="str">
        <f aca="false">Supuestos!B62</f>
        <v>ABC-1</v>
      </c>
      <c r="C6" s="9" t="str">
        <f aca="false">Supuestos!D62</f>
        <v>ABC 1 kg</v>
      </c>
      <c r="D6" s="22" t="n">
        <v>67206</v>
      </c>
      <c r="E6" s="12" t="n">
        <f aca="false">D6/$D$23</f>
        <v>0.527768179676457</v>
      </c>
      <c r="F6" s="37" t="n">
        <f aca="false">IFERROR($D6*INDEX($B$31:$B$44,MATCH($B6,$A$31:$A$44,0))/INDEX($I$31:$I$44,MATCH($B6,$A$31:$A$44,0)),0)</f>
        <v>67173.0771202073</v>
      </c>
      <c r="G6" s="37" t="n">
        <f aca="false">IFERROR($D6*INDEX($C$31:$C$44,MATCH($B6,$A$31:$A$44,0))/INDEX($I$31:$I$44,MATCH($B6,$A$31:$A$44,0)),0)</f>
        <v>0</v>
      </c>
      <c r="H6" s="37" t="n">
        <f aca="false">IFERROR($D6*INDEX($D$31:$D$44,MATCH($B6,$A$31:$A$44,0))/INDEX($I$31:$I$44,MATCH($B6,$A$31:$A$44,0)),0)</f>
        <v>0</v>
      </c>
      <c r="I6" s="37" t="n">
        <f aca="false">IFERROR($D6*INDEX($E$31:$E$44,MATCH($B6,$A$31:$A$44,0))/INDEX($I$31:$I$44,MATCH($B6,$A$31:$A$44,0)),0)</f>
        <v>0</v>
      </c>
      <c r="J6" s="37" t="n">
        <f aca="false">IFERROR($D6*INDEX($F$31:$F$44,MATCH($B6,$A$31:$A$44,0))/INDEX($I$31:$I$44,MATCH($B6,$A$31:$A$44,0)),0)</f>
        <v>18.2601580846023</v>
      </c>
      <c r="K6" s="37" t="n">
        <f aca="false">IFERROR($D6*INDEX($G$31:$G$44,MATCH($B6,$A$31:$A$44,0))/INDEX($I$31:$I$44,MATCH($B6,$A$31:$A$44,0)),0)</f>
        <v>0</v>
      </c>
      <c r="L6" s="37" t="n">
        <f aca="false">IFERROR($D6*INDEX($H$31:$H$44,MATCH($B6,$A$31:$A$44,0))/INDEX($I$31:$I$44,MATCH($B6,$A$31:$A$44,0)),0)</f>
        <v>14.6627217080843</v>
      </c>
      <c r="M6" s="38" t="n">
        <f aca="false">SUM(F6:L6)-D6</f>
        <v>0</v>
      </c>
      <c r="N6" s="39" t="n">
        <f aca="false">D6/(Supuestos!$B$7*Supuestos!$B$6)</f>
        <v>280.025</v>
      </c>
      <c r="O6" s="39" t="n">
        <f aca="false">SUMPRODUCT(F6:L6,$F$24:$L$24)/Supuestos!$B$6</f>
        <v>336.022668639146</v>
      </c>
      <c r="P6" s="39" t="n">
        <f aca="false">O6*Supuestos!$B$10</f>
        <v>386.426068935018</v>
      </c>
      <c r="Q6" s="6" t="s">
        <v>265</v>
      </c>
    </row>
    <row r="7" customFormat="false" ht="15" hidden="false" customHeight="false" outlineLevel="0" collapsed="false">
      <c r="A7" s="9" t="str">
        <f aca="false">Supuestos!A63</f>
        <v>ABC 2,5 kg</v>
      </c>
      <c r="B7" s="13" t="str">
        <f aca="false">Supuestos!B63</f>
        <v>ABC-2.5</v>
      </c>
      <c r="C7" s="9" t="str">
        <f aca="false">Supuestos!D63</f>
        <v>Manual 2,5 a 6 kg/l</v>
      </c>
      <c r="D7" s="22" t="n">
        <v>5691</v>
      </c>
      <c r="E7" s="12" t="n">
        <f aca="false">D7/$D$23</f>
        <v>0.044691377414795</v>
      </c>
      <c r="F7" s="37" t="n">
        <f aca="false">IFERROR($D7*INDEX($B$31:$B$44,MATCH($B7,$A$31:$A$44,0))/INDEX($I$31:$I$44,MATCH($B7,$A$31:$A$44,0)),0)</f>
        <v>0</v>
      </c>
      <c r="G7" s="37" t="n">
        <f aca="false">IFERROR($D7*INDEX($C$31:$C$44,MATCH($B7,$A$31:$A$44,0))/INDEX($I$31:$I$44,MATCH($B7,$A$31:$A$44,0)),0)</f>
        <v>2409.83327812898</v>
      </c>
      <c r="H7" s="37" t="n">
        <f aca="false">IFERROR($D7*INDEX($D$31:$D$44,MATCH($B7,$A$31:$A$44,0))/INDEX($I$31:$I$44,MATCH($B7,$A$31:$A$44,0)),0)</f>
        <v>313.405564195262</v>
      </c>
      <c r="I7" s="37" t="n">
        <f aca="false">IFERROR($D7*INDEX($E$31:$E$44,MATCH($B7,$A$31:$A$44,0))/INDEX($I$31:$I$44,MATCH($B7,$A$31:$A$44,0)),0)</f>
        <v>1171.14166380547</v>
      </c>
      <c r="J7" s="37" t="n">
        <f aca="false">IFERROR($D7*INDEX($F$31:$F$44,MATCH($B7,$A$31:$A$44,0))/INDEX($I$31:$I$44,MATCH($B7,$A$31:$A$44,0)),0)</f>
        <v>1597.5787429564</v>
      </c>
      <c r="K7" s="37" t="n">
        <f aca="false">IFERROR($D7*INDEX($G$31:$G$44,MATCH($B7,$A$31:$A$44,0))/INDEX($I$31:$I$44,MATCH($B7,$A$31:$A$44,0)),0)</f>
        <v>0</v>
      </c>
      <c r="L7" s="37" t="n">
        <f aca="false">IFERROR($D7*INDEX($H$31:$H$44,MATCH($B7,$A$31:$A$44,0))/INDEX($I$31:$I$44,MATCH($B7,$A$31:$A$44,0)),0)</f>
        <v>199.040750913901</v>
      </c>
      <c r="M7" s="38" t="n">
        <f aca="false">SUM(F7:L7)-D7</f>
        <v>0</v>
      </c>
      <c r="N7" s="39" t="n">
        <f aca="false">D7/(Supuestos!$B$7*Supuestos!$B$6)</f>
        <v>23.7125</v>
      </c>
      <c r="O7" s="39" t="n">
        <f aca="false">SUMPRODUCT(F7:L7,$F$24:$L$24)/Supuestos!$B$6</f>
        <v>25.0804449255751</v>
      </c>
      <c r="P7" s="39" t="n">
        <f aca="false">O7*Supuestos!$B$10</f>
        <v>28.8425116644114</v>
      </c>
      <c r="Q7" s="6" t="s">
        <v>266</v>
      </c>
    </row>
    <row r="8" customFormat="false" ht="15" hidden="false" customHeight="false" outlineLevel="0" collapsed="false">
      <c r="A8" s="9" t="str">
        <f aca="false">Supuestos!A64</f>
        <v>ABC 5 kg</v>
      </c>
      <c r="B8" s="13" t="str">
        <f aca="false">Supuestos!B64</f>
        <v>ABC-5</v>
      </c>
      <c r="C8" s="9" t="str">
        <f aca="false">Supuestos!D64</f>
        <v>Manual 2,5 a 6 kg/l</v>
      </c>
      <c r="D8" s="22" t="n">
        <v>34614</v>
      </c>
      <c r="E8" s="12" t="n">
        <f aca="false">D8/$D$23</f>
        <v>0.271823464740066</v>
      </c>
      <c r="F8" s="37" t="n">
        <f aca="false">IFERROR($D8*INDEX($B$31:$B$44,MATCH($B8,$A$31:$A$44,0))/INDEX($I$31:$I$44,MATCH($B8,$A$31:$A$44,0)),0)</f>
        <v>2800.00624090422</v>
      </c>
      <c r="G8" s="37" t="n">
        <f aca="false">IFERROR($D8*INDEX($C$31:$C$44,MATCH($B8,$A$31:$A$44,0))/INDEX($I$31:$I$44,MATCH($B8,$A$31:$A$44,0)),0)</f>
        <v>20119.4584605491</v>
      </c>
      <c r="H8" s="37" t="n">
        <f aca="false">IFERROR($D8*INDEX($D$31:$D$44,MATCH($B8,$A$31:$A$44,0))/INDEX($I$31:$I$44,MATCH($B8,$A$31:$A$44,0)),0)</f>
        <v>2293.27391754329</v>
      </c>
      <c r="I8" s="37" t="n">
        <f aca="false">IFERROR($D8*INDEX($E$31:$E$44,MATCH($B8,$A$31:$A$44,0))/INDEX($I$31:$I$44,MATCH($B8,$A$31:$A$44,0)),0)</f>
        <v>4992.33363828373</v>
      </c>
      <c r="J8" s="37" t="n">
        <f aca="false">IFERROR($D8*INDEX($F$31:$F$44,MATCH($B8,$A$31:$A$44,0))/INDEX($I$31:$I$44,MATCH($B8,$A$31:$A$44,0)),0)</f>
        <v>1057.10332877365</v>
      </c>
      <c r="K8" s="37" t="n">
        <f aca="false">IFERROR($D8*INDEX($G$31:$G$44,MATCH($B8,$A$31:$A$44,0))/INDEX($I$31:$I$44,MATCH($B8,$A$31:$A$44,0)),0)</f>
        <v>3154.3123447138</v>
      </c>
      <c r="L8" s="37" t="n">
        <f aca="false">IFERROR($D8*INDEX($H$31:$H$44,MATCH($B8,$A$31:$A$44,0))/INDEX($I$31:$I$44,MATCH($B8,$A$31:$A$44,0)),0)</f>
        <v>197.512069232228</v>
      </c>
      <c r="M8" s="38" t="n">
        <f aca="false">SUM(F8:L8)-D8</f>
        <v>0</v>
      </c>
      <c r="N8" s="39" t="n">
        <f aca="false">D8/(Supuestos!$B$7*Supuestos!$B$6)</f>
        <v>144.225</v>
      </c>
      <c r="O8" s="39" t="n">
        <f aca="false">SUMPRODUCT(F8:L8,$F$24:$L$24)/Supuestos!$B$6</f>
        <v>149.975428015427</v>
      </c>
      <c r="P8" s="39" t="n">
        <f aca="false">O8*Supuestos!$B$10</f>
        <v>172.471742217741</v>
      </c>
      <c r="Q8" s="6" t="s">
        <v>267</v>
      </c>
    </row>
    <row r="9" customFormat="false" ht="15" hidden="false" customHeight="false" outlineLevel="0" collapsed="false">
      <c r="A9" s="9" t="str">
        <f aca="false">Supuestos!A65</f>
        <v>ABC 10 kg</v>
      </c>
      <c r="B9" s="13" t="str">
        <f aca="false">Supuestos!B65</f>
        <v>ABC-10P</v>
      </c>
      <c r="C9" s="9" t="str">
        <f aca="false">Supuestos!D65</f>
        <v>Manual 9 a 10 kg/l</v>
      </c>
      <c r="D9" s="22" t="n">
        <v>2050</v>
      </c>
      <c r="E9" s="12" t="n">
        <f aca="false">D9/$D$23</f>
        <v>0.0160986335793938</v>
      </c>
      <c r="F9" s="37" t="n">
        <f aca="false">IFERROR($D9*INDEX($B$31:$B$44,MATCH($B9,$A$31:$A$44,0))/INDEX($I$31:$I$44,MATCH($B9,$A$31:$A$44,0)),0)</f>
        <v>0</v>
      </c>
      <c r="G9" s="37" t="n">
        <f aca="false">IFERROR($D9*INDEX($C$31:$C$44,MATCH($B9,$A$31:$A$44,0))/INDEX($I$31:$I$44,MATCH($B9,$A$31:$A$44,0)),0)</f>
        <v>1084.95367102759</v>
      </c>
      <c r="H9" s="37" t="n">
        <f aca="false">IFERROR($D9*INDEX($D$31:$D$44,MATCH($B9,$A$31:$A$44,0))/INDEX($I$31:$I$44,MATCH($B9,$A$31:$A$44,0)),0)</f>
        <v>269.748112680192</v>
      </c>
      <c r="I9" s="37" t="n">
        <f aca="false">IFERROR($D9*INDEX($E$31:$E$44,MATCH($B9,$A$31:$A$44,0))/INDEX($I$31:$I$44,MATCH($B9,$A$31:$A$44,0)),0)</f>
        <v>472.082347560459</v>
      </c>
      <c r="J9" s="37" t="n">
        <f aca="false">IFERROR($D9*INDEX($F$31:$F$44,MATCH($B9,$A$31:$A$44,0))/INDEX($I$31:$I$44,MATCH($B9,$A$31:$A$44,0)),0)</f>
        <v>223.215868731755</v>
      </c>
      <c r="K9" s="37" t="n">
        <f aca="false">IFERROR($D9*INDEX($G$31:$G$44,MATCH($B9,$A$31:$A$44,0))/INDEX($I$31:$I$44,MATCH($B9,$A$31:$A$44,0)),0)</f>
        <v>0</v>
      </c>
      <c r="L9" s="37" t="n">
        <f aca="false">IFERROR($D9*INDEX($H$31:$H$44,MATCH($B9,$A$31:$A$44,0))/INDEX($I$31:$I$44,MATCH($B9,$A$31:$A$44,0)),0)</f>
        <v>0</v>
      </c>
      <c r="M9" s="38" t="n">
        <f aca="false">SUM(F9:L9)-D9</f>
        <v>0</v>
      </c>
      <c r="N9" s="39" t="n">
        <f aca="false">D9/(Supuestos!$B$7*Supuestos!$B$6)</f>
        <v>8.54166666666667</v>
      </c>
      <c r="O9" s="39" t="n">
        <f aca="false">SUMPRODUCT(F9:L9,$F$24:$L$24)/Supuestos!$B$6</f>
        <v>8.72965153046532</v>
      </c>
      <c r="P9" s="39" t="n">
        <f aca="false">O9*Supuestos!$B$10</f>
        <v>10.0390992600351</v>
      </c>
    </row>
    <row r="10" customFormat="false" ht="15" hidden="false" customHeight="false" outlineLevel="0" collapsed="false">
      <c r="A10" s="9" t="str">
        <f aca="false">Supuestos!A66</f>
        <v>Agua 10 l</v>
      </c>
      <c r="B10" s="13" t="str">
        <f aca="false">Supuestos!B66</f>
        <v>AGUA-10</v>
      </c>
      <c r="C10" s="9" t="str">
        <f aca="false">Supuestos!D66</f>
        <v>Manual 9 a 10 kg/l</v>
      </c>
      <c r="D10" s="22" t="n">
        <v>2893</v>
      </c>
      <c r="E10" s="12" t="n">
        <f aca="false">D10/$D$23</f>
        <v>0.0227187058269201</v>
      </c>
      <c r="F10" s="37" t="n">
        <f aca="false">IFERROR($D10*INDEX($B$31:$B$44,MATCH($B10,$A$31:$A$44,0))/INDEX($I$31:$I$44,MATCH($B10,$A$31:$A$44,0)),0)</f>
        <v>0</v>
      </c>
      <c r="G10" s="37" t="n">
        <f aca="false">IFERROR($D10*INDEX($C$31:$C$44,MATCH($B10,$A$31:$A$44,0))/INDEX($I$31:$I$44,MATCH($B10,$A$31:$A$44,0)),0)</f>
        <v>1516.96910015324</v>
      </c>
      <c r="H10" s="37" t="n">
        <f aca="false">IFERROR($D10*INDEX($D$31:$D$44,MATCH($B10,$A$31:$A$44,0))/INDEX($I$31:$I$44,MATCH($B10,$A$31:$A$44,0)),0)</f>
        <v>426.594307200368</v>
      </c>
      <c r="I10" s="37" t="n">
        <f aca="false">IFERROR($D10*INDEX($E$31:$E$44,MATCH($B10,$A$31:$A$44,0))/INDEX($I$31:$I$44,MATCH($B10,$A$31:$A$44,0)),0)</f>
        <v>449.144419249404</v>
      </c>
      <c r="J10" s="37" t="n">
        <f aca="false">IFERROR($D10*INDEX($F$31:$F$44,MATCH($B10,$A$31:$A$44,0))/INDEX($I$31:$I$44,MATCH($B10,$A$31:$A$44,0)),0)</f>
        <v>164.718318467275</v>
      </c>
      <c r="K10" s="37" t="n">
        <f aca="false">IFERROR($D10*INDEX($G$31:$G$44,MATCH($B10,$A$31:$A$44,0))/INDEX($I$31:$I$44,MATCH($B10,$A$31:$A$44,0)),0)</f>
        <v>315.368442031232</v>
      </c>
      <c r="L10" s="37" t="n">
        <f aca="false">IFERROR($D10*INDEX($H$31:$H$44,MATCH($B10,$A$31:$A$44,0))/INDEX($I$31:$I$44,MATCH($B10,$A$31:$A$44,0)),0)</f>
        <v>20.2054128984827</v>
      </c>
      <c r="M10" s="38" t="n">
        <f aca="false">SUM(F10:L10)-D10</f>
        <v>0</v>
      </c>
      <c r="N10" s="39" t="n">
        <f aca="false">D10/(Supuestos!$B$7*Supuestos!$B$6)</f>
        <v>12.0541666666667</v>
      </c>
      <c r="O10" s="39" t="n">
        <f aca="false">SUMPRODUCT(F10:L10,$F$24:$L$24)/Supuestos!$B$6</f>
        <v>12.2807333653684</v>
      </c>
      <c r="P10" s="39" t="n">
        <f aca="false">O10*Supuestos!$B$10</f>
        <v>14.1228433701737</v>
      </c>
    </row>
    <row r="11" customFormat="false" ht="15" hidden="false" customHeight="false" outlineLevel="0" collapsed="false">
      <c r="A11" s="9" t="str">
        <f aca="false">Supuestos!A67</f>
        <v>AFFF 10 l</v>
      </c>
      <c r="B11" s="13" t="str">
        <f aca="false">Supuestos!B67</f>
        <v>AFFF-9</v>
      </c>
      <c r="C11" s="9" t="str">
        <f aca="false">Supuestos!D67</f>
        <v>Manual 9 a 10 kg/l</v>
      </c>
      <c r="D11" s="22" t="n">
        <v>550</v>
      </c>
      <c r="E11" s="12" t="n">
        <f aca="false">D11/$D$23</f>
        <v>0.00431914559447149</v>
      </c>
      <c r="F11" s="37" t="n">
        <f aca="false">IFERROR($D11*INDEX($B$31:$B$44,MATCH($B11,$A$31:$A$44,0))/INDEX($I$31:$I$44,MATCH($B11,$A$31:$A$44,0)),0)</f>
        <v>0</v>
      </c>
      <c r="G11" s="37" t="n">
        <f aca="false">IFERROR($D11*INDEX($C$31:$C$44,MATCH($B11,$A$31:$A$44,0))/INDEX($I$31:$I$44,MATCH($B11,$A$31:$A$44,0)),0)</f>
        <v>0</v>
      </c>
      <c r="H11" s="37" t="n">
        <f aca="false">IFERROR($D11*INDEX($D$31:$D$44,MATCH($B11,$A$31:$A$44,0))/INDEX($I$31:$I$44,MATCH($B11,$A$31:$A$44,0)),0)</f>
        <v>0</v>
      </c>
      <c r="I11" s="37" t="n">
        <f aca="false">IFERROR($D11*INDEX($E$31:$E$44,MATCH($B11,$A$31:$A$44,0))/INDEX($I$31:$I$44,MATCH($B11,$A$31:$A$44,0)),0)</f>
        <v>0</v>
      </c>
      <c r="J11" s="37" t="n">
        <f aca="false">IFERROR($D11*INDEX($F$31:$F$44,MATCH($B11,$A$31:$A$44,0))/INDEX($I$31:$I$44,MATCH($B11,$A$31:$A$44,0)),0)</f>
        <v>0</v>
      </c>
      <c r="K11" s="37" t="n">
        <f aca="false">IFERROR($D11*INDEX($G$31:$G$44,MATCH($B11,$A$31:$A$44,0))/INDEX($I$31:$I$44,MATCH($B11,$A$31:$A$44,0)),0)</f>
        <v>550</v>
      </c>
      <c r="L11" s="37" t="n">
        <f aca="false">IFERROR($D11*INDEX($H$31:$H$44,MATCH($B11,$A$31:$A$44,0))/INDEX($I$31:$I$44,MATCH($B11,$A$31:$A$44,0)),0)</f>
        <v>0</v>
      </c>
      <c r="M11" s="38" t="n">
        <f aca="false">SUM(F11:L11)-D11</f>
        <v>0</v>
      </c>
      <c r="N11" s="39" t="n">
        <f aca="false">D11/(Supuestos!$B$7*Supuestos!$B$6)</f>
        <v>2.29166666666667</v>
      </c>
      <c r="O11" s="39" t="n">
        <f aca="false">SUMPRODUCT(F11:L11,$F$24:$L$24)/Supuestos!$B$6</f>
        <v>2.2</v>
      </c>
      <c r="P11" s="39" t="n">
        <f aca="false">O11*Supuestos!$B$10</f>
        <v>2.53</v>
      </c>
    </row>
    <row r="12" customFormat="false" ht="15" hidden="false" customHeight="false" outlineLevel="0" collapsed="false">
      <c r="A12" s="9" t="str">
        <f aca="false">Supuestos!A68</f>
        <v>AFFF 50 l s/ruedas</v>
      </c>
      <c r="B12" s="13" t="str">
        <f aca="false">Supuestos!B68</f>
        <v>AFFF-50R</v>
      </c>
      <c r="C12" s="9" t="str">
        <f aca="false">Supuestos!D68</f>
        <v>Rodante</v>
      </c>
      <c r="D12" s="22" t="n">
        <v>287</v>
      </c>
      <c r="E12" s="12" t="n">
        <f aca="false">D12/$D$23</f>
        <v>0.00225380870111512</v>
      </c>
      <c r="F12" s="37" t="n">
        <f aca="false">IFERROR($D12*INDEX($B$31:$B$44,MATCH($B12,$A$31:$A$44,0))/INDEX($I$31:$I$44,MATCH($B12,$A$31:$A$44,0)),0)</f>
        <v>0</v>
      </c>
      <c r="G12" s="37" t="n">
        <f aca="false">IFERROR($D12*INDEX($C$31:$C$44,MATCH($B12,$A$31:$A$44,0))/INDEX($I$31:$I$44,MATCH($B12,$A$31:$A$44,0)),0)</f>
        <v>0</v>
      </c>
      <c r="H12" s="37" t="n">
        <f aca="false">IFERROR($D12*INDEX($D$31:$D$44,MATCH($B12,$A$31:$A$44,0))/INDEX($I$31:$I$44,MATCH($B12,$A$31:$A$44,0)),0)</f>
        <v>0</v>
      </c>
      <c r="I12" s="37" t="n">
        <f aca="false">IFERROR($D12*INDEX($E$31:$E$44,MATCH($B12,$A$31:$A$44,0))/INDEX($I$31:$I$44,MATCH($B12,$A$31:$A$44,0)),0)</f>
        <v>0</v>
      </c>
      <c r="J12" s="37" t="n">
        <f aca="false">IFERROR($D12*INDEX($F$31:$F$44,MATCH($B12,$A$31:$A$44,0))/INDEX($I$31:$I$44,MATCH($B12,$A$31:$A$44,0)),0)</f>
        <v>0</v>
      </c>
      <c r="K12" s="37" t="n">
        <f aca="false">IFERROR($D12*INDEX($G$31:$G$44,MATCH($B12,$A$31:$A$44,0))/INDEX($I$31:$I$44,MATCH($B12,$A$31:$A$44,0)),0)</f>
        <v>287</v>
      </c>
      <c r="L12" s="37" t="n">
        <f aca="false">IFERROR($D12*INDEX($H$31:$H$44,MATCH($B12,$A$31:$A$44,0))/INDEX($I$31:$I$44,MATCH($B12,$A$31:$A$44,0)),0)</f>
        <v>0</v>
      </c>
      <c r="M12" s="38" t="n">
        <f aca="false">SUM(F12:L12)-D12</f>
        <v>0</v>
      </c>
      <c r="N12" s="39" t="n">
        <f aca="false">D12/(Supuestos!$B$7*Supuestos!$B$6)</f>
        <v>1.19583333333333</v>
      </c>
      <c r="O12" s="39" t="n">
        <f aca="false">SUMPRODUCT(F12:L12,$F$24:$L$24)/Supuestos!$B$6</f>
        <v>1.148</v>
      </c>
      <c r="P12" s="39" t="n">
        <f aca="false">O12*Supuestos!$B$10</f>
        <v>1.3202</v>
      </c>
    </row>
    <row r="13" customFormat="false" ht="15" hidden="false" customHeight="false" outlineLevel="0" collapsed="false">
      <c r="A13" s="9" t="str">
        <f aca="false">Supuestos!A69</f>
        <v>BC 5 kg</v>
      </c>
      <c r="B13" s="13" t="str">
        <f aca="false">Supuestos!B69</f>
        <v>BC-5</v>
      </c>
      <c r="C13" s="9" t="str">
        <f aca="false">Supuestos!D69</f>
        <v>Manual 2,5 a 6 kg/l</v>
      </c>
      <c r="D13" s="22" t="n">
        <v>165</v>
      </c>
      <c r="E13" s="12" t="n">
        <f aca="false">D13/$D$23</f>
        <v>0.00129574367834145</v>
      </c>
      <c r="F13" s="37" t="n">
        <f aca="false">IFERROR($D13*INDEX($B$31:$B$44,MATCH($B13,$A$31:$A$44,0))/INDEX($I$31:$I$44,MATCH($B13,$A$31:$A$44,0)),0)</f>
        <v>0</v>
      </c>
      <c r="G13" s="37" t="n">
        <f aca="false">IFERROR($D13*INDEX($C$31:$C$44,MATCH($B13,$A$31:$A$44,0))/INDEX($I$31:$I$44,MATCH($B13,$A$31:$A$44,0)),0)</f>
        <v>0</v>
      </c>
      <c r="H13" s="37" t="n">
        <f aca="false">IFERROR($D13*INDEX($D$31:$D$44,MATCH($B13,$A$31:$A$44,0))/INDEX($I$31:$I$44,MATCH($B13,$A$31:$A$44,0)),0)</f>
        <v>0</v>
      </c>
      <c r="I13" s="37" t="n">
        <f aca="false">IFERROR($D13*INDEX($E$31:$E$44,MATCH($B13,$A$31:$A$44,0))/INDEX($I$31:$I$44,MATCH($B13,$A$31:$A$44,0)),0)</f>
        <v>0</v>
      </c>
      <c r="J13" s="37" t="n">
        <f aca="false">IFERROR($D13*INDEX($F$31:$F$44,MATCH($B13,$A$31:$A$44,0))/INDEX($I$31:$I$44,MATCH($B13,$A$31:$A$44,0)),0)</f>
        <v>0</v>
      </c>
      <c r="K13" s="37" t="n">
        <f aca="false">IFERROR($D13*INDEX($G$31:$G$44,MATCH($B13,$A$31:$A$44,0))/INDEX($I$31:$I$44,MATCH($B13,$A$31:$A$44,0)),0)</f>
        <v>165</v>
      </c>
      <c r="L13" s="37" t="n">
        <f aca="false">IFERROR($D13*INDEX($H$31:$H$44,MATCH($B13,$A$31:$A$44,0))/INDEX($I$31:$I$44,MATCH($B13,$A$31:$A$44,0)),0)</f>
        <v>0</v>
      </c>
      <c r="M13" s="38" t="n">
        <f aca="false">SUM(F13:L13)-D13</f>
        <v>0</v>
      </c>
      <c r="N13" s="39" t="n">
        <f aca="false">D13/(Supuestos!$B$7*Supuestos!$B$6)</f>
        <v>0.6875</v>
      </c>
      <c r="O13" s="39" t="n">
        <f aca="false">SUMPRODUCT(F13:L13,$F$24:$L$24)/Supuestos!$B$6</f>
        <v>0.66</v>
      </c>
      <c r="P13" s="39" t="n">
        <f aca="false">O13*Supuestos!$B$10</f>
        <v>0.759</v>
      </c>
    </row>
    <row r="14" customFormat="false" ht="15" hidden="false" customHeight="false" outlineLevel="0" collapsed="false">
      <c r="A14" s="9" t="str">
        <f aca="false">Supuestos!A70</f>
        <v>Sales K 6 l</v>
      </c>
      <c r="B14" s="13" t="str">
        <f aca="false">Supuestos!B70</f>
        <v>SALK-6</v>
      </c>
      <c r="C14" s="9" t="str">
        <f aca="false">Supuestos!D70</f>
        <v>Manual 2,5 a 6 kg/l</v>
      </c>
      <c r="D14" s="22" t="n">
        <v>1427</v>
      </c>
      <c r="E14" s="12" t="n">
        <f aca="false">D14/$D$23</f>
        <v>0.011206219569656</v>
      </c>
      <c r="F14" s="37" t="n">
        <f aca="false">IFERROR($D14*INDEX($B$31:$B$44,MATCH($B14,$A$31:$A$44,0))/INDEX($I$31:$I$44,MATCH($B14,$A$31:$A$44,0)),0)</f>
        <v>0</v>
      </c>
      <c r="G14" s="37" t="n">
        <f aca="false">IFERROR($D14*INDEX($C$31:$C$44,MATCH($B14,$A$31:$A$44,0))/INDEX($I$31:$I$44,MATCH($B14,$A$31:$A$44,0)),0)</f>
        <v>444.487921556975</v>
      </c>
      <c r="H14" s="37" t="n">
        <f aca="false">IFERROR($D14*INDEX($D$31:$D$44,MATCH($B14,$A$31:$A$44,0))/INDEX($I$31:$I$44,MATCH($B14,$A$31:$A$44,0)),0)</f>
        <v>110.475367701679</v>
      </c>
      <c r="I14" s="37" t="n">
        <f aca="false">IFERROR($D14*INDEX($E$31:$E$44,MATCH($B14,$A$31:$A$44,0))/INDEX($I$31:$I$44,MATCH($B14,$A$31:$A$44,0)),0)</f>
        <v>339.779067003417</v>
      </c>
      <c r="J14" s="37" t="n">
        <f aca="false">IFERROR($D14*INDEX($F$31:$F$44,MATCH($B14,$A$31:$A$44,0))/INDEX($I$31:$I$44,MATCH($B14,$A$31:$A$44,0)),0)</f>
        <v>340.690684890804</v>
      </c>
      <c r="K14" s="37" t="n">
        <f aca="false">IFERROR($D14*INDEX($G$31:$G$44,MATCH($B14,$A$31:$A$44,0))/INDEX($I$31:$I$44,MATCH($B14,$A$31:$A$44,0)),0)</f>
        <v>191.566958847125</v>
      </c>
      <c r="L14" s="37" t="n">
        <f aca="false">IFERROR($D14*INDEX($H$31:$H$44,MATCH($B14,$A$31:$A$44,0))/INDEX($I$31:$I$44,MATCH($B14,$A$31:$A$44,0)),0)</f>
        <v>0</v>
      </c>
      <c r="M14" s="38" t="n">
        <f aca="false">SUM(F14:L14)-D14</f>
        <v>0</v>
      </c>
      <c r="N14" s="39" t="n">
        <f aca="false">D14/(Supuestos!$B$7*Supuestos!$B$6)</f>
        <v>5.94583333333333</v>
      </c>
      <c r="O14" s="39" t="n">
        <f aca="false">SUMPRODUCT(F14:L14,$F$24:$L$24)/Supuestos!$B$6</f>
        <v>6.10104511216758</v>
      </c>
      <c r="P14" s="39" t="n">
        <f aca="false">O14*Supuestos!$B$10</f>
        <v>7.01620187899272</v>
      </c>
    </row>
    <row r="15" customFormat="false" ht="15" hidden="false" customHeight="false" outlineLevel="0" collapsed="false">
      <c r="A15" s="9" t="str">
        <f aca="false">Supuestos!A71</f>
        <v>CO₂ 2 kg</v>
      </c>
      <c r="B15" s="13" t="str">
        <f aca="false">Supuestos!B71</f>
        <v>CO2-2</v>
      </c>
      <c r="C15" s="9" t="str">
        <f aca="false">Supuestos!D71</f>
        <v>Manual 2,5 a 6 kg/l</v>
      </c>
      <c r="D15" s="22" t="n">
        <v>7784</v>
      </c>
      <c r="E15" s="12" t="n">
        <f aca="false">D15/$D$23</f>
        <v>0.0611276896497566</v>
      </c>
      <c r="F15" s="37" t="n">
        <f aca="false">IFERROR($D15*INDEX($B$31:$B$44,MATCH($B15,$A$31:$A$44,0))/INDEX($I$31:$I$44,MATCH($B15,$A$31:$A$44,0)),0)</f>
        <v>0</v>
      </c>
      <c r="G15" s="37" t="n">
        <f aca="false">IFERROR($D15*INDEX($C$31:$C$44,MATCH($B15,$A$31:$A$44,0))/INDEX($I$31:$I$44,MATCH($B15,$A$31:$A$44,0)),0)</f>
        <v>4865.20519674149</v>
      </c>
      <c r="H15" s="37" t="n">
        <f aca="false">IFERROR($D15*INDEX($D$31:$D$44,MATCH($B15,$A$31:$A$44,0))/INDEX($I$31:$I$44,MATCH($B15,$A$31:$A$44,0)),0)</f>
        <v>498.936672274073</v>
      </c>
      <c r="I15" s="37" t="n">
        <f aca="false">IFERROR($D15*INDEX($E$31:$E$44,MATCH($B15,$A$31:$A$44,0))/INDEX($I$31:$I$44,MATCH($B15,$A$31:$A$44,0)),0)</f>
        <v>1742.70252137108</v>
      </c>
      <c r="J15" s="37" t="n">
        <f aca="false">IFERROR($D15*INDEX($F$31:$F$44,MATCH($B15,$A$31:$A$44,0))/INDEX($I$31:$I$44,MATCH($B15,$A$31:$A$44,0)),0)</f>
        <v>408.993691259149</v>
      </c>
      <c r="K15" s="37" t="n">
        <f aca="false">IFERROR($D15*INDEX($G$31:$G$44,MATCH($B15,$A$31:$A$44,0))/INDEX($I$31:$I$44,MATCH($B15,$A$31:$A$44,0)),0)</f>
        <v>177.684471407949</v>
      </c>
      <c r="L15" s="37" t="n">
        <f aca="false">IFERROR($D15*INDEX($H$31:$H$44,MATCH($B15,$A$31:$A$44,0))/INDEX($I$31:$I$44,MATCH($B15,$A$31:$A$44,0)),0)</f>
        <v>90.4774469462523</v>
      </c>
      <c r="M15" s="38" t="n">
        <f aca="false">SUM(F15:L15)-D15</f>
        <v>0</v>
      </c>
      <c r="N15" s="39" t="n">
        <f aca="false">D15/(Supuestos!$B$7*Supuestos!$B$6)</f>
        <v>32.4333333333333</v>
      </c>
      <c r="O15" s="39" t="n">
        <f aca="false">SUMPRODUCT(F15:L15,$F$24:$L$24)/Supuestos!$B$6</f>
        <v>33.1514837524175</v>
      </c>
      <c r="P15" s="39" t="n">
        <f aca="false">O15*Supuestos!$B$10</f>
        <v>38.1242063152801</v>
      </c>
    </row>
    <row r="16" customFormat="false" ht="15" hidden="false" customHeight="false" outlineLevel="0" collapsed="false">
      <c r="A16" s="9" t="str">
        <f aca="false">Supuestos!A72</f>
        <v>CO₂ 5 kg</v>
      </c>
      <c r="B16" s="13" t="str">
        <f aca="false">Supuestos!B72</f>
        <v>CO2-5</v>
      </c>
      <c r="C16" s="9" t="str">
        <f aca="false">Supuestos!D72</f>
        <v>Manual 9 a 10 kg/l</v>
      </c>
      <c r="D16" s="22" t="n">
        <v>2660</v>
      </c>
      <c r="E16" s="12" t="n">
        <f aca="false">D16/$D$23</f>
        <v>0.0208889586932621</v>
      </c>
      <c r="F16" s="37" t="n">
        <f aca="false">IFERROR($D16*INDEX($B$31:$B$44,MATCH($B16,$A$31:$A$44,0))/INDEX($I$31:$I$44,MATCH($B16,$A$31:$A$44,0)),0)</f>
        <v>0</v>
      </c>
      <c r="G16" s="37" t="n">
        <f aca="false">IFERROR($D16*INDEX($C$31:$C$44,MATCH($B16,$A$31:$A$44,0))/INDEX($I$31:$I$44,MATCH($B16,$A$31:$A$44,0)),0)</f>
        <v>747.897161154605</v>
      </c>
      <c r="H16" s="37" t="n">
        <f aca="false">IFERROR($D16*INDEX($D$31:$D$44,MATCH($B16,$A$31:$A$44,0))/INDEX($I$31:$I$44,MATCH($B16,$A$31:$A$44,0)),0)</f>
        <v>605.966912088538</v>
      </c>
      <c r="I16" s="37" t="n">
        <f aca="false">IFERROR($D16*INDEX($E$31:$E$44,MATCH($B16,$A$31:$A$44,0))/INDEX($I$31:$I$44,MATCH($B16,$A$31:$A$44,0)),0)</f>
        <v>88.3584022880711</v>
      </c>
      <c r="J16" s="37" t="n">
        <f aca="false">IFERROR($D16*INDEX($F$31:$F$44,MATCH($B16,$A$31:$A$44,0))/INDEX($I$31:$I$44,MATCH($B16,$A$31:$A$44,0)),0)</f>
        <v>221.481753980549</v>
      </c>
      <c r="K16" s="37" t="n">
        <f aca="false">IFERROR($D16*INDEX($G$31:$G$44,MATCH($B16,$A$31:$A$44,0))/INDEX($I$31:$I$44,MATCH($B16,$A$31:$A$44,0)),0)</f>
        <v>996.295770488236</v>
      </c>
      <c r="L16" s="37" t="n">
        <f aca="false">IFERROR($D16*INDEX($H$31:$H$44,MATCH($B16,$A$31:$A$44,0))/INDEX($I$31:$I$44,MATCH($B16,$A$31:$A$44,0)),0)</f>
        <v>0</v>
      </c>
      <c r="M16" s="38" t="n">
        <f aca="false">SUM(F16:L16)-D16</f>
        <v>0</v>
      </c>
      <c r="N16" s="39" t="n">
        <f aca="false">D16/(Supuestos!$B$7*Supuestos!$B$6)</f>
        <v>11.0833333333333</v>
      </c>
      <c r="O16" s="39" t="n">
        <f aca="false">SUMPRODUCT(F16:L16,$F$24:$L$24)/Supuestos!$B$6</f>
        <v>11.1912511334138</v>
      </c>
      <c r="P16" s="39" t="n">
        <f aca="false">O16*Supuestos!$B$10</f>
        <v>12.8699388034259</v>
      </c>
    </row>
    <row r="17" customFormat="false" ht="15" hidden="false" customHeight="false" outlineLevel="0" collapsed="false">
      <c r="A17" s="9" t="str">
        <f aca="false">Supuestos!A73</f>
        <v>HCFC/HFC 5 kg</v>
      </c>
      <c r="B17" s="13" t="str">
        <f aca="false">Supuestos!B73</f>
        <v>HCFC</v>
      </c>
      <c r="C17" s="9" t="str">
        <f aca="false">Supuestos!D73</f>
        <v>Manual 2,5 a 6 kg/l</v>
      </c>
      <c r="D17" s="22" t="n">
        <v>436</v>
      </c>
      <c r="E17" s="12" t="n">
        <f aca="false">D17/$D$23</f>
        <v>0.0034239045076174</v>
      </c>
      <c r="F17" s="37" t="n">
        <f aca="false">IFERROR($D17*INDEX($B$31:$B$44,MATCH($B17,$A$31:$A$44,0))/INDEX($I$31:$I$44,MATCH($B17,$A$31:$A$44,0)),0)</f>
        <v>0</v>
      </c>
      <c r="G17" s="37" t="n">
        <f aca="false">IFERROR($D17*INDEX($C$31:$C$44,MATCH($B17,$A$31:$A$44,0))/INDEX($I$31:$I$44,MATCH($B17,$A$31:$A$44,0)),0)</f>
        <v>0</v>
      </c>
      <c r="H17" s="37" t="n">
        <f aca="false">IFERROR($D17*INDEX($D$31:$D$44,MATCH($B17,$A$31:$A$44,0))/INDEX($I$31:$I$44,MATCH($B17,$A$31:$A$44,0)),0)</f>
        <v>136.832532553443</v>
      </c>
      <c r="I17" s="37" t="n">
        <f aca="false">IFERROR($D17*INDEX($E$31:$E$44,MATCH($B17,$A$31:$A$44,0))/INDEX($I$31:$I$44,MATCH($B17,$A$31:$A$44,0)),0)</f>
        <v>0</v>
      </c>
      <c r="J17" s="37" t="n">
        <f aca="false">IFERROR($D17*INDEX($F$31:$F$44,MATCH($B17,$A$31:$A$44,0))/INDEX($I$31:$I$44,MATCH($B17,$A$31:$A$44,0)),0)</f>
        <v>0</v>
      </c>
      <c r="K17" s="37" t="n">
        <f aca="false">IFERROR($D17*INDEX($G$31:$G$44,MATCH($B17,$A$31:$A$44,0))/INDEX($I$31:$I$44,MATCH($B17,$A$31:$A$44,0)),0)</f>
        <v>299.167467446557</v>
      </c>
      <c r="L17" s="37" t="n">
        <f aca="false">IFERROR($D17*INDEX($H$31:$H$44,MATCH($B17,$A$31:$A$44,0))/INDEX($I$31:$I$44,MATCH($B17,$A$31:$A$44,0)),0)</f>
        <v>0</v>
      </c>
      <c r="M17" s="38" t="n">
        <f aca="false">SUM(F17:L17)-D17</f>
        <v>0</v>
      </c>
      <c r="N17" s="39" t="n">
        <f aca="false">D17/(Supuestos!$B$7*Supuestos!$B$6)</f>
        <v>1.81666666666667</v>
      </c>
      <c r="O17" s="39" t="n">
        <f aca="false">SUMPRODUCT(F17:L17,$F$24:$L$24)/Supuestos!$B$6</f>
        <v>1.744</v>
      </c>
      <c r="P17" s="39" t="n">
        <f aca="false">O17*Supuestos!$B$10</f>
        <v>2.0056</v>
      </c>
    </row>
    <row r="18" customFormat="false" ht="15" hidden="false" customHeight="false" outlineLevel="0" collapsed="false">
      <c r="A18" s="9" t="str">
        <f aca="false">Supuestos!A74</f>
        <v>Clase D 9 l</v>
      </c>
      <c r="B18" s="13" t="str">
        <f aca="false">Supuestos!B74</f>
        <v>CLD-10</v>
      </c>
      <c r="C18" s="9" t="str">
        <f aca="false">Supuestos!D74</f>
        <v>Manual 9 a 10 kg/l</v>
      </c>
      <c r="D18" s="22" t="n">
        <v>150</v>
      </c>
      <c r="E18" s="12" t="n">
        <f aca="false">D18/$D$23</f>
        <v>0.00117794879849223</v>
      </c>
      <c r="F18" s="37" t="n">
        <f aca="false">IFERROR($D18*INDEX($B$31:$B$44,MATCH($B18,$A$31:$A$44,0))/INDEX($I$31:$I$44,MATCH($B18,$A$31:$A$44,0)),0)</f>
        <v>0</v>
      </c>
      <c r="G18" s="37" t="n">
        <f aca="false">IFERROR($D18*INDEX($C$31:$C$44,MATCH($B18,$A$31:$A$44,0))/INDEX($I$31:$I$44,MATCH($B18,$A$31:$A$44,0)),0)</f>
        <v>0</v>
      </c>
      <c r="H18" s="37" t="n">
        <f aca="false">IFERROR($D18*INDEX($D$31:$D$44,MATCH($B18,$A$31:$A$44,0))/INDEX($I$31:$I$44,MATCH($B18,$A$31:$A$44,0)),0)</f>
        <v>0</v>
      </c>
      <c r="I18" s="37" t="n">
        <f aca="false">IFERROR($D18*INDEX($E$31:$E$44,MATCH($B18,$A$31:$A$44,0))/INDEX($I$31:$I$44,MATCH($B18,$A$31:$A$44,0)),0)</f>
        <v>0</v>
      </c>
      <c r="J18" s="37" t="n">
        <f aca="false">IFERROR($D18*INDEX($F$31:$F$44,MATCH($B18,$A$31:$A$44,0))/INDEX($I$31:$I$44,MATCH($B18,$A$31:$A$44,0)),0)</f>
        <v>0</v>
      </c>
      <c r="K18" s="37" t="n">
        <f aca="false">IFERROR($D18*INDEX($G$31:$G$44,MATCH($B18,$A$31:$A$44,0))/INDEX($I$31:$I$44,MATCH($B18,$A$31:$A$44,0)),0)</f>
        <v>150</v>
      </c>
      <c r="L18" s="37" t="n">
        <f aca="false">IFERROR($D18*INDEX($H$31:$H$44,MATCH($B18,$A$31:$A$44,0))/INDEX($I$31:$I$44,MATCH($B18,$A$31:$A$44,0)),0)</f>
        <v>0</v>
      </c>
      <c r="M18" s="38" t="n">
        <f aca="false">SUM(F18:L18)-D18</f>
        <v>0</v>
      </c>
      <c r="N18" s="39" t="n">
        <f aca="false">D18/(Supuestos!$B$7*Supuestos!$B$6)</f>
        <v>0.625</v>
      </c>
      <c r="O18" s="39" t="n">
        <f aca="false">SUMPRODUCT(F18:L18,$F$24:$L$24)/Supuestos!$B$6</f>
        <v>0.6</v>
      </c>
      <c r="P18" s="39" t="n">
        <f aca="false">O18*Supuestos!$B$10</f>
        <v>0.69</v>
      </c>
    </row>
    <row r="19" customFormat="false" ht="15" hidden="false" customHeight="false" outlineLevel="0" collapsed="false">
      <c r="A19" s="9" t="str">
        <f aca="false">Supuestos!A75</f>
        <v>ABC 25 kg s/ruedas</v>
      </c>
      <c r="B19" s="13" t="str">
        <f aca="false">Supuestos!B75</f>
        <v>ABC-50R</v>
      </c>
      <c r="C19" s="9" t="str">
        <f aca="false">Supuestos!D75</f>
        <v>Rodante</v>
      </c>
      <c r="D19" s="22" t="n">
        <v>357</v>
      </c>
      <c r="E19" s="12" t="n">
        <f aca="false">D19/$D$23</f>
        <v>0.0028035181404115</v>
      </c>
      <c r="F19" s="37" t="n">
        <f aca="false">IFERROR($D19*INDEX($B$31:$B$44,MATCH($B19,$A$31:$A$44,0))/INDEX($I$31:$I$44,MATCH($B19,$A$31:$A$44,0)),0)</f>
        <v>0</v>
      </c>
      <c r="G19" s="37" t="n">
        <f aca="false">IFERROR($D19*INDEX($C$31:$C$44,MATCH($B19,$A$31:$A$44,0))/INDEX($I$31:$I$44,MATCH($B19,$A$31:$A$44,0)),0)</f>
        <v>127.096616823509</v>
      </c>
      <c r="H19" s="37" t="n">
        <f aca="false">IFERROR($D19*INDEX($D$31:$D$44,MATCH($B19,$A$31:$A$44,0))/INDEX($I$31:$I$44,MATCH($B19,$A$31:$A$44,0)),0)</f>
        <v>69.6714392933433</v>
      </c>
      <c r="I19" s="37" t="n">
        <f aca="false">IFERROR($D19*INDEX($E$31:$E$44,MATCH($B19,$A$31:$A$44,0))/INDEX($I$31:$I$44,MATCH($B19,$A$31:$A$44,0)),0)</f>
        <v>19.6798972345708</v>
      </c>
      <c r="J19" s="37" t="n">
        <f aca="false">IFERROR($D19*INDEX($F$31:$F$44,MATCH($B19,$A$31:$A$44,0))/INDEX($I$31:$I$44,MATCH($B19,$A$31:$A$44,0)),0)</f>
        <v>22.0810576756538</v>
      </c>
      <c r="K19" s="37" t="n">
        <f aca="false">IFERROR($D19*INDEX($G$31:$G$44,MATCH($B19,$A$31:$A$44,0))/INDEX($I$31:$I$44,MATCH($B19,$A$31:$A$44,0)),0)</f>
        <v>118.470988972923</v>
      </c>
      <c r="L19" s="37" t="n">
        <f aca="false">IFERROR($D19*INDEX($H$31:$H$44,MATCH($B19,$A$31:$A$44,0))/INDEX($I$31:$I$44,MATCH($B19,$A$31:$A$44,0)),0)</f>
        <v>0</v>
      </c>
      <c r="M19" s="38" t="n">
        <f aca="false">SUM(F19:L19)-D19</f>
        <v>0</v>
      </c>
      <c r="N19" s="39" t="n">
        <f aca="false">D19/(Supuestos!$B$7*Supuestos!$B$6)</f>
        <v>1.4875</v>
      </c>
      <c r="O19" s="39" t="n">
        <f aca="false">SUMPRODUCT(F19:L19,$F$24:$L$24)/Supuestos!$B$6</f>
        <v>1.50378941747012</v>
      </c>
      <c r="P19" s="39" t="n">
        <f aca="false">O19*Supuestos!$B$10</f>
        <v>1.72935783009064</v>
      </c>
    </row>
    <row r="20" customFormat="false" ht="15" hidden="false" customHeight="false" outlineLevel="0" collapsed="false">
      <c r="A20" s="9" t="str">
        <f aca="false">Supuestos!A76</f>
        <v>ABC 50 kg s/ruedas</v>
      </c>
      <c r="B20" s="13" t="str">
        <f aca="false">Supuestos!B76</f>
        <v>ABC-50R</v>
      </c>
      <c r="C20" s="9" t="str">
        <f aca="false">Supuestos!D76</f>
        <v>Rodante</v>
      </c>
      <c r="D20" s="22" t="n">
        <v>785</v>
      </c>
      <c r="E20" s="12" t="n">
        <f aca="false">D20/$D$23</f>
        <v>0.00616459871210931</v>
      </c>
      <c r="F20" s="37" t="n">
        <f aca="false">IFERROR($D20*INDEX($B$31:$B$44,MATCH($B20,$A$31:$A$44,0))/INDEX($I$31:$I$44,MATCH($B20,$A$31:$A$44,0)),0)</f>
        <v>0</v>
      </c>
      <c r="G20" s="37" t="n">
        <f aca="false">IFERROR($D20*INDEX($C$31:$C$44,MATCH($B20,$A$31:$A$44,0))/INDEX($I$31:$I$44,MATCH($B20,$A$31:$A$44,0)),0)</f>
        <v>279.470151838808</v>
      </c>
      <c r="H20" s="37" t="n">
        <f aca="false">IFERROR($D20*INDEX($D$31:$D$44,MATCH($B20,$A$31:$A$44,0))/INDEX($I$31:$I$44,MATCH($B20,$A$31:$A$44,0)),0)</f>
        <v>153.199103208052</v>
      </c>
      <c r="I20" s="37" t="n">
        <f aca="false">IFERROR($D20*INDEX($E$31:$E$44,MATCH($B20,$A$31:$A$44,0))/INDEX($I$31:$I$44,MATCH($B20,$A$31:$A$44,0)),0)</f>
        <v>43.2737236110309</v>
      </c>
      <c r="J20" s="37" t="n">
        <f aca="false">IFERROR($D20*INDEX($F$31:$F$44,MATCH($B20,$A$31:$A$44,0))/INDEX($I$31:$I$44,MATCH($B20,$A$31:$A$44,0)),0)</f>
        <v>48.5535862055693</v>
      </c>
      <c r="K20" s="37" t="n">
        <f aca="false">IFERROR($D20*INDEX($G$31:$G$44,MATCH($B20,$A$31:$A$44,0))/INDEX($I$31:$I$44,MATCH($B20,$A$31:$A$44,0)),0)</f>
        <v>260.503435136539</v>
      </c>
      <c r="L20" s="37" t="n">
        <f aca="false">IFERROR($D20*INDEX($H$31:$H$44,MATCH($B20,$A$31:$A$44,0))/INDEX($I$31:$I$44,MATCH($B20,$A$31:$A$44,0)),0)</f>
        <v>0</v>
      </c>
      <c r="M20" s="38" t="n">
        <f aca="false">SUM(F20:L20)-D20</f>
        <v>0</v>
      </c>
      <c r="N20" s="39" t="n">
        <f aca="false">D20/(Supuestos!$B$7*Supuestos!$B$6)</f>
        <v>3.27083333333333</v>
      </c>
      <c r="O20" s="39" t="n">
        <f aca="false">SUMPRODUCT(F20:L20,$F$24:$L$24)/Supuestos!$B$6</f>
        <v>3.30665180031946</v>
      </c>
      <c r="P20" s="39" t="n">
        <f aca="false">O20*Supuestos!$B$10</f>
        <v>3.80264957036738</v>
      </c>
    </row>
    <row r="21" customFormat="false" ht="15" hidden="false" customHeight="false" outlineLevel="0" collapsed="false">
      <c r="A21" s="9" t="str">
        <f aca="false">Supuestos!A77</f>
        <v>ABC 70 kg s/ruedas</v>
      </c>
      <c r="B21" s="13" t="str">
        <f aca="false">Supuestos!B77</f>
        <v>ABC-50R</v>
      </c>
      <c r="C21" s="9" t="str">
        <f aca="false">Supuestos!D77</f>
        <v>Rodante</v>
      </c>
      <c r="D21" s="22" t="n">
        <v>171</v>
      </c>
      <c r="E21" s="12" t="n">
        <f aca="false">D21/$D$23</f>
        <v>0.00134286163028114</v>
      </c>
      <c r="F21" s="37" t="n">
        <f aca="false">IFERROR($D21*INDEX($B$31:$B$44,MATCH($B21,$A$31:$A$44,0))/INDEX($I$31:$I$44,MATCH($B21,$A$31:$A$44,0)),0)</f>
        <v>0</v>
      </c>
      <c r="G21" s="37" t="n">
        <f aca="false">IFERROR($D21*INDEX($C$31:$C$44,MATCH($B21,$A$31:$A$44,0))/INDEX($I$31:$I$44,MATCH($B21,$A$31:$A$44,0)),0)</f>
        <v>60.878211419664</v>
      </c>
      <c r="H21" s="37" t="n">
        <f aca="false">IFERROR($D21*INDEX($D$31:$D$44,MATCH($B21,$A$31:$A$44,0))/INDEX($I$31:$I$44,MATCH($B21,$A$31:$A$44,0)),0)</f>
        <v>33.3720339472317</v>
      </c>
      <c r="I21" s="37" t="n">
        <f aca="false">IFERROR($D21*INDEX($E$31:$E$44,MATCH($B21,$A$31:$A$44,0))/INDEX($I$31:$I$44,MATCH($B21,$A$31:$A$44,0)),0)</f>
        <v>9.4265053980717</v>
      </c>
      <c r="J21" s="37" t="n">
        <f aca="false">IFERROR($D21*INDEX($F$31:$F$44,MATCH($B21,$A$31:$A$44,0))/INDEX($I$31:$I$44,MATCH($B21,$A$31:$A$44,0)),0)</f>
        <v>10.5766410715317</v>
      </c>
      <c r="K21" s="37" t="n">
        <f aca="false">IFERROR($D21*INDEX($G$31:$G$44,MATCH($B21,$A$31:$A$44,0))/INDEX($I$31:$I$44,MATCH($B21,$A$31:$A$44,0)),0)</f>
        <v>56.746608163501</v>
      </c>
      <c r="L21" s="37" t="n">
        <f aca="false">IFERROR($D21*INDEX($H$31:$H$44,MATCH($B21,$A$31:$A$44,0))/INDEX($I$31:$I$44,MATCH($B21,$A$31:$A$44,0)),0)</f>
        <v>0</v>
      </c>
      <c r="M21" s="38" t="n">
        <f aca="false">SUM(F21:L21)-D21</f>
        <v>0</v>
      </c>
      <c r="N21" s="39" t="n">
        <f aca="false">D21/(Supuestos!$B$7*Supuestos!$B$6)</f>
        <v>0.7125</v>
      </c>
      <c r="O21" s="39" t="n">
        <f aca="false">SUMPRODUCT(F21:L21,$F$24:$L$24)/Supuestos!$B$6</f>
        <v>0.720302494082328</v>
      </c>
      <c r="P21" s="39" t="n">
        <f aca="false">O21*Supuestos!$B$10</f>
        <v>0.828347868194677</v>
      </c>
    </row>
    <row r="22" customFormat="false" ht="15" hidden="false" customHeight="false" outlineLevel="0" collapsed="false">
      <c r="A22" s="9" t="str">
        <f aca="false">Supuestos!A78</f>
        <v>ABC 100 kg s/ruedas</v>
      </c>
      <c r="B22" s="13" t="str">
        <f aca="false">Supuestos!B78</f>
        <v>ABC-50R</v>
      </c>
      <c r="C22" s="9" t="str">
        <f aca="false">Supuestos!D78</f>
        <v>Rodante</v>
      </c>
      <c r="D22" s="22" t="n">
        <v>114</v>
      </c>
      <c r="E22" s="12" t="n">
        <f aca="false">D22/$D$23</f>
        <v>0.000895241086854091</v>
      </c>
      <c r="F22" s="37" t="n">
        <f aca="false">IFERROR($D22*INDEX($B$31:$B$44,MATCH($B22,$A$31:$A$44,0))/INDEX($I$31:$I$44,MATCH($B22,$A$31:$A$44,0)),0)</f>
        <v>0</v>
      </c>
      <c r="G22" s="37" t="n">
        <f aca="false">IFERROR($D22*INDEX($C$31:$C$44,MATCH($B22,$A$31:$A$44,0))/INDEX($I$31:$I$44,MATCH($B22,$A$31:$A$44,0)),0)</f>
        <v>40.585474279776</v>
      </c>
      <c r="H22" s="37" t="n">
        <f aca="false">IFERROR($D22*INDEX($D$31:$D$44,MATCH($B22,$A$31:$A$44,0))/INDEX($I$31:$I$44,MATCH($B22,$A$31:$A$44,0)),0)</f>
        <v>22.2480226314878</v>
      </c>
      <c r="I22" s="37" t="n">
        <f aca="false">IFERROR($D22*INDEX($E$31:$E$44,MATCH($B22,$A$31:$A$44,0))/INDEX($I$31:$I$44,MATCH($B22,$A$31:$A$44,0)),0)</f>
        <v>6.2843369320478</v>
      </c>
      <c r="J22" s="37" t="n">
        <f aca="false">IFERROR($D22*INDEX($F$31:$F$44,MATCH($B22,$A$31:$A$44,0))/INDEX($I$31:$I$44,MATCH($B22,$A$31:$A$44,0)),0)</f>
        <v>7.05109404768778</v>
      </c>
      <c r="K22" s="37" t="n">
        <f aca="false">IFERROR($D22*INDEX($G$31:$G$44,MATCH($B22,$A$31:$A$44,0))/INDEX($I$31:$I$44,MATCH($B22,$A$31:$A$44,0)),0)</f>
        <v>37.8310721090006</v>
      </c>
      <c r="L22" s="37" t="n">
        <f aca="false">IFERROR($D22*INDEX($H$31:$H$44,MATCH($B22,$A$31:$A$44,0))/INDEX($I$31:$I$44,MATCH($B22,$A$31:$A$44,0)),0)</f>
        <v>0</v>
      </c>
      <c r="M22" s="38" t="n">
        <f aca="false">SUM(F22:L22)-D22</f>
        <v>0</v>
      </c>
      <c r="N22" s="39" t="n">
        <f aca="false">D22/(Supuestos!$B$7*Supuestos!$B$6)</f>
        <v>0.475</v>
      </c>
      <c r="O22" s="39" t="n">
        <f aca="false">SUMPRODUCT(F22:L22,$F$24:$L$24)/Supuestos!$B$6</f>
        <v>0.480201662721552</v>
      </c>
      <c r="P22" s="39" t="n">
        <f aca="false">O22*Supuestos!$B$10</f>
        <v>0.552231912129785</v>
      </c>
    </row>
    <row r="23" customFormat="false" ht="15" hidden="false" customHeight="false" outlineLevel="0" collapsed="false">
      <c r="A23" s="40" t="s">
        <v>268</v>
      </c>
      <c r="B23" s="41"/>
      <c r="C23" s="41"/>
      <c r="D23" s="42" t="n">
        <f aca="false">SUM(D6:D22)</f>
        <v>127340</v>
      </c>
      <c r="E23" s="43" t="n">
        <f aca="false">SUM(E6:E22)</f>
        <v>1</v>
      </c>
      <c r="F23" s="42" t="n">
        <f aca="false">SUM(F6:F22)</f>
        <v>69973.0833611115</v>
      </c>
      <c r="G23" s="42" t="n">
        <f aca="false">SUM(G6:G22)</f>
        <v>31696.8352436737</v>
      </c>
      <c r="H23" s="42" t="n">
        <f aca="false">SUM(H6:H22)</f>
        <v>4933.72398531696</v>
      </c>
      <c r="I23" s="42" t="n">
        <f aca="false">SUM(I6:I22)</f>
        <v>9334.20652273735</v>
      </c>
      <c r="J23" s="42" t="n">
        <f aca="false">SUM(J6:J22)</f>
        <v>4120.30492614462</v>
      </c>
      <c r="K23" s="42" t="n">
        <f aca="false">SUM(K6:K22)</f>
        <v>6759.94755931686</v>
      </c>
      <c r="L23" s="42" t="n">
        <f aca="false">SUM(L6:L22)</f>
        <v>521.898401698949</v>
      </c>
      <c r="M23" s="42" t="n">
        <f aca="false">SUM(M6:M22)</f>
        <v>0</v>
      </c>
      <c r="N23" s="44" t="n">
        <f aca="false">SUM(N6:N22)</f>
        <v>530.583333333333</v>
      </c>
      <c r="O23" s="44" t="n">
        <f aca="false">SUM(O6:O22)</f>
        <v>594.895651848574</v>
      </c>
      <c r="P23" s="44" t="n">
        <f aca="false">SUM(P6:P22)</f>
        <v>684.12999962586</v>
      </c>
    </row>
    <row r="24" customFormat="false" ht="15" hidden="false" customHeight="false" outlineLevel="0" collapsed="false">
      <c r="A24" s="45" t="s">
        <v>269</v>
      </c>
      <c r="F24" s="12" t="n">
        <f aca="false">INDEX(Supuestos!$B$96:$M$102,MATCH(F$5,Supuestos!$A$96:$A$102,0),$C$59)</f>
        <v>0.1</v>
      </c>
      <c r="G24" s="12" t="n">
        <f aca="false">INDEX(Supuestos!$B$96:$M$102,MATCH(G$5,Supuestos!$A$96:$A$102,0),$C$59)</f>
        <v>0.09</v>
      </c>
      <c r="H24" s="12" t="n">
        <f aca="false">INDEX(Supuestos!$B$96:$M$102,MATCH(H$5,Supuestos!$A$96:$A$102,0),$C$59)</f>
        <v>0.08</v>
      </c>
      <c r="I24" s="12" t="n">
        <f aca="false">INDEX(Supuestos!$B$96:$M$102,MATCH(I$5,Supuestos!$A$96:$A$102,0),$C$59)</f>
        <v>0.07</v>
      </c>
      <c r="J24" s="12" t="n">
        <f aca="false">INDEX(Supuestos!$B$96:$M$102,MATCH(J$5,Supuestos!$A$96:$A$102,0),$C$59)</f>
        <v>0.1</v>
      </c>
      <c r="K24" s="12" t="n">
        <f aca="false">INDEX(Supuestos!$B$96:$M$102,MATCH(K$5,Supuestos!$A$96:$A$102,0),$C$59)</f>
        <v>0.08</v>
      </c>
      <c r="L24" s="12" t="n">
        <f aca="false">INDEX(Supuestos!$B$96:$M$102,MATCH(L$5,Supuestos!$A$96:$A$102,0),$C$59)</f>
        <v>0.09</v>
      </c>
    </row>
    <row r="25" customFormat="false" ht="15" hidden="false" customHeight="false" outlineLevel="0" collapsed="false">
      <c r="A25" s="45" t="s">
        <v>270</v>
      </c>
      <c r="F25" s="46" t="n">
        <f aca="false">INDEX(Supuestos!$D$84:$D$90,MATCH(F$5,Supuestos!$A$84:$A$90,0))</f>
        <v>1</v>
      </c>
      <c r="G25" s="46" t="n">
        <f aca="false">INDEX(Supuestos!$D$84:$D$90,MATCH(G$5,Supuestos!$A$84:$A$90,0))</f>
        <v>1</v>
      </c>
      <c r="H25" s="46" t="n">
        <f aca="false">INDEX(Supuestos!$D$84:$D$90,MATCH(H$5,Supuestos!$A$84:$A$90,0))</f>
        <v>0.9</v>
      </c>
      <c r="I25" s="46" t="n">
        <f aca="false">INDEX(Supuestos!$D$84:$D$90,MATCH(I$5,Supuestos!$A$84:$A$90,0))</f>
        <v>1</v>
      </c>
      <c r="J25" s="46" t="n">
        <f aca="false">INDEX(Supuestos!$D$84:$D$90,MATCH(J$5,Supuestos!$A$84:$A$90,0))</f>
        <v>1</v>
      </c>
      <c r="K25" s="46" t="n">
        <f aca="false">INDEX(Supuestos!$D$84:$D$90,MATCH(K$5,Supuestos!$A$84:$A$90,0))</f>
        <v>0.8</v>
      </c>
      <c r="L25" s="46" t="n">
        <f aca="false">INDEX(Supuestos!$D$84:$D$90,MATCH(L$5,Supuestos!$A$84:$A$90,0))</f>
        <v>1</v>
      </c>
    </row>
    <row r="29" customFormat="false" ht="15" hidden="false" customHeight="false" outlineLevel="0" collapsed="false">
      <c r="A29" s="3" t="s">
        <v>271</v>
      </c>
    </row>
    <row r="30" customFormat="false" ht="30" hidden="false" customHeight="true" outlineLevel="0" collapsed="false">
      <c r="A30" s="8" t="s">
        <v>262</v>
      </c>
      <c r="B30" s="8" t="s">
        <v>225</v>
      </c>
      <c r="C30" s="8" t="s">
        <v>228</v>
      </c>
      <c r="D30" s="8" t="s">
        <v>231</v>
      </c>
      <c r="E30" s="8" t="s">
        <v>233</v>
      </c>
      <c r="F30" s="8" t="s">
        <v>235</v>
      </c>
      <c r="G30" s="8" t="s">
        <v>237</v>
      </c>
      <c r="H30" s="8" t="s">
        <v>239</v>
      </c>
      <c r="I30" s="8" t="s">
        <v>268</v>
      </c>
    </row>
    <row r="31" customFormat="false" ht="15" hidden="false" customHeight="false" outlineLevel="0" collapsed="false">
      <c r="A31" s="30" t="s">
        <v>176</v>
      </c>
      <c r="B31" s="47" t="n">
        <v>6890147</v>
      </c>
      <c r="C31" s="47" t="n">
        <v>0</v>
      </c>
      <c r="D31" s="47" t="n">
        <v>0</v>
      </c>
      <c r="E31" s="47" t="n">
        <v>0</v>
      </c>
      <c r="F31" s="47" t="n">
        <v>1873</v>
      </c>
      <c r="G31" s="47" t="n">
        <v>0</v>
      </c>
      <c r="H31" s="47" t="n">
        <v>1504</v>
      </c>
      <c r="I31" s="48" t="n">
        <f aca="false">SUM(B31:H31)</f>
        <v>6893524</v>
      </c>
      <c r="J31" s="6" t="s">
        <v>272</v>
      </c>
    </row>
    <row r="32" customFormat="false" ht="15" hidden="false" customHeight="false" outlineLevel="0" collapsed="false">
      <c r="A32" s="30" t="s">
        <v>179</v>
      </c>
      <c r="B32" s="47" t="n">
        <v>0</v>
      </c>
      <c r="C32" s="47" t="n">
        <v>209661</v>
      </c>
      <c r="D32" s="47" t="n">
        <v>27267</v>
      </c>
      <c r="E32" s="47" t="n">
        <v>101892</v>
      </c>
      <c r="F32" s="47" t="n">
        <v>138993</v>
      </c>
      <c r="G32" s="47" t="n">
        <v>0</v>
      </c>
      <c r="H32" s="47" t="n">
        <v>17317</v>
      </c>
      <c r="I32" s="48" t="n">
        <f aca="false">SUM(B32:H32)</f>
        <v>495130</v>
      </c>
      <c r="J32" s="6" t="s">
        <v>273</v>
      </c>
    </row>
    <row r="33" customFormat="false" ht="15" hidden="false" customHeight="false" outlineLevel="0" collapsed="false">
      <c r="A33" s="30" t="s">
        <v>182</v>
      </c>
      <c r="B33" s="47" t="n">
        <v>212830</v>
      </c>
      <c r="C33" s="47" t="n">
        <v>1529291</v>
      </c>
      <c r="D33" s="47" t="n">
        <v>174313</v>
      </c>
      <c r="E33" s="47" t="n">
        <v>379470</v>
      </c>
      <c r="F33" s="47" t="n">
        <v>80351</v>
      </c>
      <c r="G33" s="47" t="n">
        <v>239761</v>
      </c>
      <c r="H33" s="47" t="n">
        <v>15013</v>
      </c>
      <c r="I33" s="48" t="n">
        <f aca="false">SUM(B33:H33)</f>
        <v>2631029</v>
      </c>
      <c r="J33" s="6" t="s">
        <v>274</v>
      </c>
    </row>
    <row r="34" customFormat="false" ht="15" hidden="false" customHeight="false" outlineLevel="0" collapsed="false">
      <c r="A34" s="30" t="s">
        <v>184</v>
      </c>
      <c r="B34" s="47" t="n">
        <v>0</v>
      </c>
      <c r="C34" s="47" t="n">
        <v>93731</v>
      </c>
      <c r="D34" s="47" t="n">
        <v>23304</v>
      </c>
      <c r="E34" s="47" t="n">
        <v>40784</v>
      </c>
      <c r="F34" s="47" t="n">
        <v>19284</v>
      </c>
      <c r="G34" s="47" t="n">
        <v>0</v>
      </c>
      <c r="H34" s="47" t="n">
        <v>0</v>
      </c>
      <c r="I34" s="48" t="n">
        <f aca="false">SUM(B34:H34)</f>
        <v>177103</v>
      </c>
    </row>
    <row r="35" customFormat="false" ht="15" hidden="false" customHeight="false" outlineLevel="0" collapsed="false">
      <c r="A35" s="30" t="s">
        <v>187</v>
      </c>
      <c r="B35" s="47" t="n">
        <v>0</v>
      </c>
      <c r="C35" s="47" t="n">
        <v>118397</v>
      </c>
      <c r="D35" s="47" t="n">
        <v>33295</v>
      </c>
      <c r="E35" s="47" t="n">
        <v>35055</v>
      </c>
      <c r="F35" s="47" t="n">
        <v>12856</v>
      </c>
      <c r="G35" s="47" t="n">
        <v>24614</v>
      </c>
      <c r="H35" s="47" t="n">
        <v>1577</v>
      </c>
      <c r="I35" s="48" t="n">
        <f aca="false">SUM(B35:H35)</f>
        <v>225794</v>
      </c>
    </row>
    <row r="36" customFormat="false" ht="15" hidden="false" customHeight="false" outlineLevel="0" collapsed="false">
      <c r="A36" s="30" t="s">
        <v>190</v>
      </c>
      <c r="B36" s="47" t="n">
        <v>0</v>
      </c>
      <c r="C36" s="47" t="n">
        <v>0</v>
      </c>
      <c r="D36" s="47" t="n">
        <v>0</v>
      </c>
      <c r="E36" s="47" t="n">
        <v>0</v>
      </c>
      <c r="F36" s="47" t="n">
        <v>0</v>
      </c>
      <c r="G36" s="47" t="n">
        <v>33670</v>
      </c>
      <c r="H36" s="47" t="n">
        <v>0</v>
      </c>
      <c r="I36" s="48" t="n">
        <f aca="false">SUM(B36:H36)</f>
        <v>33670</v>
      </c>
    </row>
    <row r="37" customFormat="false" ht="15" hidden="false" customHeight="false" outlineLevel="0" collapsed="false">
      <c r="A37" s="30" t="s">
        <v>193</v>
      </c>
      <c r="B37" s="47" t="n">
        <v>0</v>
      </c>
      <c r="C37" s="47" t="n">
        <v>0</v>
      </c>
      <c r="D37" s="47" t="n">
        <v>0</v>
      </c>
      <c r="E37" s="47" t="n">
        <v>0</v>
      </c>
      <c r="F37" s="47" t="n">
        <v>0</v>
      </c>
      <c r="G37" s="47" t="n">
        <v>18051</v>
      </c>
      <c r="H37" s="47" t="n">
        <v>0</v>
      </c>
      <c r="I37" s="48" t="n">
        <f aca="false">SUM(B37:H37)</f>
        <v>18051</v>
      </c>
    </row>
    <row r="38" customFormat="false" ht="15" hidden="false" customHeight="false" outlineLevel="0" collapsed="false">
      <c r="A38" s="30" t="s">
        <v>196</v>
      </c>
      <c r="B38" s="47" t="n">
        <v>0</v>
      </c>
      <c r="C38" s="47" t="n">
        <v>0</v>
      </c>
      <c r="D38" s="47" t="n">
        <v>0</v>
      </c>
      <c r="E38" s="47" t="n">
        <v>0</v>
      </c>
      <c r="F38" s="47" t="n">
        <v>0</v>
      </c>
      <c r="G38" s="47" t="n">
        <v>9854</v>
      </c>
      <c r="H38" s="47" t="n">
        <v>0</v>
      </c>
      <c r="I38" s="48" t="n">
        <f aca="false">SUM(B38:H38)</f>
        <v>9854</v>
      </c>
    </row>
    <row r="39" customFormat="false" ht="15" hidden="false" customHeight="false" outlineLevel="0" collapsed="false">
      <c r="A39" s="30" t="s">
        <v>199</v>
      </c>
      <c r="B39" s="47" t="n">
        <v>0</v>
      </c>
      <c r="C39" s="47" t="n">
        <v>41932</v>
      </c>
      <c r="D39" s="47" t="n">
        <v>10422</v>
      </c>
      <c r="E39" s="47" t="n">
        <v>32054</v>
      </c>
      <c r="F39" s="47" t="n">
        <v>32140</v>
      </c>
      <c r="G39" s="47" t="n">
        <v>18072</v>
      </c>
      <c r="H39" s="47" t="n">
        <v>0</v>
      </c>
      <c r="I39" s="48" t="n">
        <f aca="false">SUM(B39:H39)</f>
        <v>134620</v>
      </c>
    </row>
    <row r="40" customFormat="false" ht="15" hidden="false" customHeight="false" outlineLevel="0" collapsed="false">
      <c r="A40" s="30" t="s">
        <v>202</v>
      </c>
      <c r="B40" s="47" t="n">
        <v>0</v>
      </c>
      <c r="C40" s="47" t="n">
        <v>382323</v>
      </c>
      <c r="D40" s="47" t="n">
        <v>39208</v>
      </c>
      <c r="E40" s="47" t="n">
        <v>136947</v>
      </c>
      <c r="F40" s="47" t="n">
        <v>32140</v>
      </c>
      <c r="G40" s="47" t="n">
        <v>13963</v>
      </c>
      <c r="H40" s="47" t="n">
        <v>7110</v>
      </c>
      <c r="I40" s="48" t="n">
        <f aca="false">SUM(B40:H40)</f>
        <v>611691</v>
      </c>
    </row>
    <row r="41" customFormat="false" ht="15" hidden="false" customHeight="false" outlineLevel="0" collapsed="false">
      <c r="A41" s="30" t="s">
        <v>205</v>
      </c>
      <c r="B41" s="47" t="n">
        <v>0</v>
      </c>
      <c r="C41" s="47" t="n">
        <v>54265</v>
      </c>
      <c r="D41" s="47" t="n">
        <v>43967</v>
      </c>
      <c r="E41" s="47" t="n">
        <v>6411</v>
      </c>
      <c r="F41" s="47" t="n">
        <v>16070</v>
      </c>
      <c r="G41" s="47" t="n">
        <v>72288</v>
      </c>
      <c r="H41" s="47" t="n">
        <v>0</v>
      </c>
      <c r="I41" s="48" t="n">
        <f aca="false">SUM(B41:H41)</f>
        <v>193001</v>
      </c>
    </row>
    <row r="42" customFormat="false" ht="15" hidden="false" customHeight="false" outlineLevel="0" collapsed="false">
      <c r="A42" s="30" t="s">
        <v>207</v>
      </c>
      <c r="B42" s="47" t="n">
        <v>0</v>
      </c>
      <c r="C42" s="47" t="n">
        <v>0</v>
      </c>
      <c r="D42" s="47" t="n">
        <v>9014</v>
      </c>
      <c r="E42" s="47" t="n">
        <v>0</v>
      </c>
      <c r="F42" s="47" t="n">
        <v>0</v>
      </c>
      <c r="G42" s="47" t="n">
        <v>19708</v>
      </c>
      <c r="H42" s="47" t="n">
        <v>0</v>
      </c>
      <c r="I42" s="48" t="n">
        <f aca="false">SUM(B42:H42)</f>
        <v>28722</v>
      </c>
    </row>
    <row r="43" customFormat="false" ht="15" hidden="false" customHeight="false" outlineLevel="0" collapsed="false">
      <c r="A43" s="30" t="s">
        <v>210</v>
      </c>
      <c r="B43" s="47" t="n">
        <v>0</v>
      </c>
      <c r="C43" s="47" t="n">
        <v>0</v>
      </c>
      <c r="D43" s="47" t="n">
        <v>0</v>
      </c>
      <c r="E43" s="47" t="n">
        <v>0</v>
      </c>
      <c r="F43" s="47" t="n">
        <v>0</v>
      </c>
      <c r="G43" s="47" t="n">
        <v>8218</v>
      </c>
      <c r="H43" s="47" t="n">
        <v>0</v>
      </c>
      <c r="I43" s="48" t="n">
        <f aca="false">SUM(B43:H43)</f>
        <v>8218</v>
      </c>
    </row>
    <row r="44" customFormat="false" ht="15" hidden="false" customHeight="false" outlineLevel="0" collapsed="false">
      <c r="A44" s="30" t="s">
        <v>213</v>
      </c>
      <c r="B44" s="47" t="n">
        <v>0</v>
      </c>
      <c r="C44" s="47" t="n">
        <v>36999</v>
      </c>
      <c r="D44" s="47" t="n">
        <v>20282</v>
      </c>
      <c r="E44" s="47" t="n">
        <v>5729</v>
      </c>
      <c r="F44" s="47" t="n">
        <v>6428</v>
      </c>
      <c r="G44" s="47" t="n">
        <v>34488</v>
      </c>
      <c r="H44" s="47" t="n">
        <v>0</v>
      </c>
      <c r="I44" s="48" t="n">
        <f aca="false">SUM(B44:H44)</f>
        <v>103926</v>
      </c>
    </row>
    <row r="45" customFormat="false" ht="15" hidden="false" customHeight="false" outlineLevel="0" collapsed="false">
      <c r="A45" s="40" t="s">
        <v>268</v>
      </c>
      <c r="B45" s="42" t="n">
        <f aca="false">SUM(B31:B44)</f>
        <v>7102977</v>
      </c>
      <c r="C45" s="42" t="n">
        <f aca="false">SUM(C31:C44)</f>
        <v>2466599</v>
      </c>
      <c r="D45" s="42" t="n">
        <f aca="false">SUM(D31:D44)</f>
        <v>381072</v>
      </c>
      <c r="E45" s="42" t="n">
        <f aca="false">SUM(E31:E44)</f>
        <v>738342</v>
      </c>
      <c r="F45" s="42" t="n">
        <f aca="false">SUM(F31:F44)</f>
        <v>340135</v>
      </c>
      <c r="G45" s="42" t="n">
        <f aca="false">SUM(G31:G44)</f>
        <v>492687</v>
      </c>
      <c r="H45" s="42" t="n">
        <f aca="false">SUM(H31:H44)</f>
        <v>42521</v>
      </c>
      <c r="I45" s="42" t="n">
        <f aca="false">SUM(I31:I44)</f>
        <v>11564333</v>
      </c>
    </row>
    <row r="46" customFormat="false" ht="15" hidden="false" customHeight="false" outlineLevel="0" collapsed="false">
      <c r="A46" s="45" t="s">
        <v>275</v>
      </c>
      <c r="B46" s="12" t="n">
        <f aca="false">B45/$I$45</f>
        <v>0.614214153120634</v>
      </c>
      <c r="C46" s="12" t="n">
        <f aca="false">C45/$I$45</f>
        <v>0.213293667693589</v>
      </c>
      <c r="D46" s="12" t="n">
        <f aca="false">D45/$I$45</f>
        <v>0.0329523544505334</v>
      </c>
      <c r="E46" s="12" t="n">
        <f aca="false">E45/$I$45</f>
        <v>0.0638464838395781</v>
      </c>
      <c r="F46" s="12" t="n">
        <f aca="false">F45/$I$45</f>
        <v>0.0294124183383512</v>
      </c>
      <c r="G46" s="12" t="n">
        <f aca="false">G45/$I$45</f>
        <v>0.0426040135648117</v>
      </c>
      <c r="H46" s="12" t="n">
        <f aca="false">H45/$I$45</f>
        <v>0.00367690899250307</v>
      </c>
      <c r="I46" s="12" t="n">
        <f aca="false">I45/$I$45</f>
        <v>1</v>
      </c>
    </row>
    <row r="48" customFormat="false" ht="15" hidden="false" customHeight="false" outlineLevel="0" collapsed="false">
      <c r="A48" s="3" t="s">
        <v>276</v>
      </c>
    </row>
    <row r="49" customFormat="false" ht="30" hidden="false" customHeight="true" outlineLevel="0" collapsed="false">
      <c r="A49" s="8" t="s">
        <v>17</v>
      </c>
      <c r="B49" s="8" t="s">
        <v>277</v>
      </c>
      <c r="C49" s="8" t="s">
        <v>244</v>
      </c>
      <c r="D49" s="8" t="s">
        <v>245</v>
      </c>
      <c r="E49" s="8" t="s">
        <v>246</v>
      </c>
      <c r="F49" s="8" t="s">
        <v>247</v>
      </c>
      <c r="G49" s="8" t="s">
        <v>248</v>
      </c>
      <c r="H49" s="8" t="s">
        <v>249</v>
      </c>
      <c r="I49" s="8" t="s">
        <v>250</v>
      </c>
      <c r="J49" s="8" t="s">
        <v>251</v>
      </c>
      <c r="K49" s="8" t="s">
        <v>252</v>
      </c>
      <c r="L49" s="8" t="s">
        <v>253</v>
      </c>
      <c r="M49" s="8" t="s">
        <v>254</v>
      </c>
      <c r="N49" s="8" t="s">
        <v>255</v>
      </c>
      <c r="O49" s="8" t="s">
        <v>15</v>
      </c>
      <c r="P49" s="8" t="s">
        <v>16</v>
      </c>
      <c r="Q49" s="8" t="s">
        <v>264</v>
      </c>
      <c r="R49" s="8" t="s">
        <v>278</v>
      </c>
      <c r="S49" s="8" t="s">
        <v>279</v>
      </c>
      <c r="T49" s="8" t="s">
        <v>280</v>
      </c>
    </row>
    <row r="50" customFormat="false" ht="15" hidden="false" customHeight="false" outlineLevel="0" collapsed="false">
      <c r="A50" s="4" t="s">
        <v>225</v>
      </c>
      <c r="B50" s="37" t="n">
        <f aca="false">F23</f>
        <v>69973.0833611115</v>
      </c>
      <c r="C50" s="37" t="n">
        <f aca="false">$B50*INDEX(Supuestos!$B$96:$M$102,MATCH($A50,Supuestos!$A$96:$A$102,0),1)</f>
        <v>6297.57750250004</v>
      </c>
      <c r="D50" s="37" t="n">
        <f aca="false">$B50*INDEX(Supuestos!$B$96:$M$102,MATCH($A50,Supuestos!$A$96:$A$102,0),2)</f>
        <v>5597.84666888892</v>
      </c>
      <c r="E50" s="37" t="n">
        <f aca="false">$B50*INDEX(Supuestos!$B$96:$M$102,MATCH($A50,Supuestos!$A$96:$A$102,0),3)</f>
        <v>5597.84666888892</v>
      </c>
      <c r="F50" s="37" t="n">
        <f aca="false">$B50*INDEX(Supuestos!$B$96:$M$102,MATCH($A50,Supuestos!$A$96:$A$102,0),4)</f>
        <v>5597.84666888892</v>
      </c>
      <c r="G50" s="37" t="n">
        <f aca="false">$B50*INDEX(Supuestos!$B$96:$M$102,MATCH($A50,Supuestos!$A$96:$A$102,0),5)</f>
        <v>5597.84666888892</v>
      </c>
      <c r="H50" s="37" t="n">
        <f aca="false">$B50*INDEX(Supuestos!$B$96:$M$102,MATCH($A50,Supuestos!$A$96:$A$102,0),6)</f>
        <v>5597.84666888892</v>
      </c>
      <c r="I50" s="37" t="n">
        <f aca="false">$B50*INDEX(Supuestos!$B$96:$M$102,MATCH($A50,Supuestos!$A$96:$A$102,0),7)</f>
        <v>5597.84666888892</v>
      </c>
      <c r="J50" s="37" t="n">
        <f aca="false">$B50*INDEX(Supuestos!$B$96:$M$102,MATCH($A50,Supuestos!$A$96:$A$102,0),8)</f>
        <v>5597.84666888892</v>
      </c>
      <c r="K50" s="37" t="n">
        <f aca="false">$B50*INDEX(Supuestos!$B$96:$M$102,MATCH($A50,Supuestos!$A$96:$A$102,0),9)</f>
        <v>5597.84666888892</v>
      </c>
      <c r="L50" s="37" t="n">
        <f aca="false">$B50*INDEX(Supuestos!$B$96:$M$102,MATCH($A50,Supuestos!$A$96:$A$102,0),10)</f>
        <v>5597.84666888892</v>
      </c>
      <c r="M50" s="37" t="n">
        <f aca="false">$B50*INDEX(Supuestos!$B$96:$M$102,MATCH($A50,Supuestos!$A$96:$A$102,0),11)</f>
        <v>6297.57750250004</v>
      </c>
      <c r="N50" s="37" t="n">
        <f aca="false">$B50*INDEX(Supuestos!$B$96:$M$102,MATCH($A50,Supuestos!$A$96:$A$102,0),12)</f>
        <v>6997.30833611115</v>
      </c>
      <c r="O50" s="39" t="n">
        <f aca="false">B50/(Supuestos!$B$7*Supuestos!$B$6)</f>
        <v>291.554514004631</v>
      </c>
      <c r="P50" s="39" t="n">
        <f aca="false">INDEX(C50:N50,$C$59)/Supuestos!$B$6</f>
        <v>349.865416805558</v>
      </c>
      <c r="Q50" s="39" t="n">
        <f aca="false">P50*Supuestos!$B$10</f>
        <v>402.345229326391</v>
      </c>
      <c r="R50" s="49" t="n">
        <f aca="false">SUMPRODUCT(F$6:F$22,Supuestos!$E$62:$E$78)/B50</f>
        <v>2.26010059428069</v>
      </c>
      <c r="S50" s="33" t="n">
        <f aca="false">SUMPRODUCT(F$6:F$22,Supuestos!$I$62:$I$78)/B50</f>
        <v>0.00900025793405306</v>
      </c>
      <c r="T50" s="12" t="n">
        <f aca="false">SUMPRODUCT(F$6:F$22,Supuestos!$G$62:$G$78)/B50</f>
        <v>0</v>
      </c>
    </row>
    <row r="51" customFormat="false" ht="15" hidden="false" customHeight="false" outlineLevel="0" collapsed="false">
      <c r="A51" s="4" t="s">
        <v>228</v>
      </c>
      <c r="B51" s="37" t="n">
        <f aca="false">G23</f>
        <v>31696.8352436737</v>
      </c>
      <c r="C51" s="37" t="n">
        <f aca="false">$B51*INDEX(Supuestos!$B$96:$M$102,MATCH($A51,Supuestos!$A$96:$A$102,0),1)</f>
        <v>1901.81011462042</v>
      </c>
      <c r="D51" s="37" t="n">
        <f aca="false">$B51*INDEX(Supuestos!$B$96:$M$102,MATCH($A51,Supuestos!$A$96:$A$102,0),2)</f>
        <v>2218.77846705716</v>
      </c>
      <c r="E51" s="37" t="n">
        <f aca="false">$B51*INDEX(Supuestos!$B$96:$M$102,MATCH($A51,Supuestos!$A$96:$A$102,0),3)</f>
        <v>2852.71517193064</v>
      </c>
      <c r="F51" s="37" t="n">
        <f aca="false">$B51*INDEX(Supuestos!$B$96:$M$102,MATCH($A51,Supuestos!$A$96:$A$102,0),4)</f>
        <v>2852.71517193064</v>
      </c>
      <c r="G51" s="37" t="n">
        <f aca="false">$B51*INDEX(Supuestos!$B$96:$M$102,MATCH($A51,Supuestos!$A$96:$A$102,0),5)</f>
        <v>2852.71517193064</v>
      </c>
      <c r="H51" s="37" t="n">
        <f aca="false">$B51*INDEX(Supuestos!$B$96:$M$102,MATCH($A51,Supuestos!$A$96:$A$102,0),6)</f>
        <v>2535.7468194939</v>
      </c>
      <c r="I51" s="37" t="n">
        <f aca="false">$B51*INDEX(Supuestos!$B$96:$M$102,MATCH($A51,Supuestos!$A$96:$A$102,0),7)</f>
        <v>2218.77846705716</v>
      </c>
      <c r="J51" s="37" t="n">
        <f aca="false">$B51*INDEX(Supuestos!$B$96:$M$102,MATCH($A51,Supuestos!$A$96:$A$102,0),8)</f>
        <v>2852.71517193064</v>
      </c>
      <c r="K51" s="37" t="n">
        <f aca="false">$B51*INDEX(Supuestos!$B$96:$M$102,MATCH($A51,Supuestos!$A$96:$A$102,0),9)</f>
        <v>2852.71517193064</v>
      </c>
      <c r="L51" s="37" t="n">
        <f aca="false">$B51*INDEX(Supuestos!$B$96:$M$102,MATCH($A51,Supuestos!$A$96:$A$102,0),10)</f>
        <v>2852.71517193064</v>
      </c>
      <c r="M51" s="37" t="n">
        <f aca="false">$B51*INDEX(Supuestos!$B$96:$M$102,MATCH($A51,Supuestos!$A$96:$A$102,0),11)</f>
        <v>2852.71517193064</v>
      </c>
      <c r="N51" s="37" t="n">
        <f aca="false">$B51*INDEX(Supuestos!$B$96:$M$102,MATCH($A51,Supuestos!$A$96:$A$102,0),12)</f>
        <v>2852.71517193064</v>
      </c>
      <c r="O51" s="39" t="n">
        <f aca="false">B51/(Supuestos!$B$7*Supuestos!$B$6)</f>
        <v>132.070146848641</v>
      </c>
      <c r="P51" s="39" t="n">
        <f aca="false">INDEX(C51:N51,$C$59)/Supuestos!$B$6</f>
        <v>142.635758596532</v>
      </c>
      <c r="Q51" s="39" t="n">
        <f aca="false">P51*Supuestos!$B$10</f>
        <v>164.031122386011</v>
      </c>
      <c r="R51" s="49" t="n">
        <f aca="false">SUMPRODUCT(G$6:G$22,Supuestos!$E$62:$E$78)/B51</f>
        <v>9.95211351160987</v>
      </c>
      <c r="S51" s="33" t="n">
        <f aca="false">SUMPRODUCT(G$6:G$22,Supuestos!$I$62:$I$78)/B51</f>
        <v>0.0342488804603498</v>
      </c>
      <c r="T51" s="12" t="n">
        <f aca="false">SUMPRODUCT(G$6:G$22,Supuestos!$G$62:$G$78)/B51</f>
        <v>0.0160277974269735</v>
      </c>
    </row>
    <row r="52" customFormat="false" ht="15" hidden="false" customHeight="false" outlineLevel="0" collapsed="false">
      <c r="A52" s="4" t="s">
        <v>231</v>
      </c>
      <c r="B52" s="37" t="n">
        <f aca="false">H23</f>
        <v>4933.72398531696</v>
      </c>
      <c r="C52" s="37" t="n">
        <f aca="false">$B52*INDEX(Supuestos!$B$96:$M$102,MATCH($A52,Supuestos!$A$96:$A$102,0),1)</f>
        <v>394.697918825357</v>
      </c>
      <c r="D52" s="37" t="n">
        <f aca="false">$B52*INDEX(Supuestos!$B$96:$M$102,MATCH($A52,Supuestos!$A$96:$A$102,0),2)</f>
        <v>394.697918825357</v>
      </c>
      <c r="E52" s="37" t="n">
        <f aca="false">$B52*INDEX(Supuestos!$B$96:$M$102,MATCH($A52,Supuestos!$A$96:$A$102,0),3)</f>
        <v>444.035158678526</v>
      </c>
      <c r="F52" s="37" t="n">
        <f aca="false">$B52*INDEX(Supuestos!$B$96:$M$102,MATCH($A52,Supuestos!$A$96:$A$102,0),4)</f>
        <v>394.697918825357</v>
      </c>
      <c r="G52" s="37" t="n">
        <f aca="false">$B52*INDEX(Supuestos!$B$96:$M$102,MATCH($A52,Supuestos!$A$96:$A$102,0),5)</f>
        <v>394.697918825357</v>
      </c>
      <c r="H52" s="37" t="n">
        <f aca="false">$B52*INDEX(Supuestos!$B$96:$M$102,MATCH($A52,Supuestos!$A$96:$A$102,0),6)</f>
        <v>394.697918825357</v>
      </c>
      <c r="I52" s="37" t="n">
        <f aca="false">$B52*INDEX(Supuestos!$B$96:$M$102,MATCH($A52,Supuestos!$A$96:$A$102,0),7)</f>
        <v>394.697918825357</v>
      </c>
      <c r="J52" s="37" t="n">
        <f aca="false">$B52*INDEX(Supuestos!$B$96:$M$102,MATCH($A52,Supuestos!$A$96:$A$102,0),8)</f>
        <v>444.035158678526</v>
      </c>
      <c r="K52" s="37" t="n">
        <f aca="false">$B52*INDEX(Supuestos!$B$96:$M$102,MATCH($A52,Supuestos!$A$96:$A$102,0),9)</f>
        <v>444.035158678526</v>
      </c>
      <c r="L52" s="37" t="n">
        <f aca="false">$B52*INDEX(Supuestos!$B$96:$M$102,MATCH($A52,Supuestos!$A$96:$A$102,0),10)</f>
        <v>394.697918825357</v>
      </c>
      <c r="M52" s="37" t="n">
        <f aca="false">$B52*INDEX(Supuestos!$B$96:$M$102,MATCH($A52,Supuestos!$A$96:$A$102,0),11)</f>
        <v>444.035158678526</v>
      </c>
      <c r="N52" s="37" t="n">
        <f aca="false">$B52*INDEX(Supuestos!$B$96:$M$102,MATCH($A52,Supuestos!$A$96:$A$102,0),12)</f>
        <v>394.697918825357</v>
      </c>
      <c r="O52" s="39" t="n">
        <f aca="false">B52/(Supuestos!$B$7*Supuestos!$B$6)</f>
        <v>20.557183272154</v>
      </c>
      <c r="P52" s="39" t="n">
        <f aca="false">INDEX(C52:N52,$C$59)/Supuestos!$B$6</f>
        <v>19.7348959412678</v>
      </c>
      <c r="Q52" s="39" t="n">
        <f aca="false">P52*Supuestos!$B$10</f>
        <v>22.695130332458</v>
      </c>
      <c r="R52" s="49" t="n">
        <f aca="false">SUMPRODUCT(H$6:H$22,Supuestos!$E$62:$E$78)/B52</f>
        <v>14.3904070831971</v>
      </c>
      <c r="S52" s="33" t="n">
        <f aca="false">SUMPRODUCT(H$6:H$22,Supuestos!$I$62:$I$78)/B52</f>
        <v>0.0590050236202306</v>
      </c>
      <c r="T52" s="12" t="n">
        <f aca="false">SUMPRODUCT(H$6:H$22,Supuestos!$G$62:$G$78)/B52</f>
        <v>0.0564463273399401</v>
      </c>
    </row>
    <row r="53" customFormat="false" ht="15" hidden="false" customHeight="false" outlineLevel="0" collapsed="false">
      <c r="A53" s="4" t="s">
        <v>233</v>
      </c>
      <c r="B53" s="37" t="n">
        <f aca="false">I23</f>
        <v>9334.20652273735</v>
      </c>
      <c r="C53" s="37" t="n">
        <f aca="false">$B53*INDEX(Supuestos!$B$96:$M$102,MATCH($A53,Supuestos!$A$96:$A$102,0),1)</f>
        <v>373.368260909494</v>
      </c>
      <c r="D53" s="37" t="n">
        <f aca="false">$B53*INDEX(Supuestos!$B$96:$M$102,MATCH($A53,Supuestos!$A$96:$A$102,0),2)</f>
        <v>1680.15717409272</v>
      </c>
      <c r="E53" s="37" t="n">
        <f aca="false">$B53*INDEX(Supuestos!$B$96:$M$102,MATCH($A53,Supuestos!$A$96:$A$102,0),3)</f>
        <v>933.420652273735</v>
      </c>
      <c r="F53" s="37" t="n">
        <f aca="false">$B53*INDEX(Supuestos!$B$96:$M$102,MATCH($A53,Supuestos!$A$96:$A$102,0),4)</f>
        <v>653.394456591615</v>
      </c>
      <c r="G53" s="37" t="n">
        <f aca="false">$B53*INDEX(Supuestos!$B$96:$M$102,MATCH($A53,Supuestos!$A$96:$A$102,0),5)</f>
        <v>653.394456591615</v>
      </c>
      <c r="H53" s="37" t="n">
        <f aca="false">$B53*INDEX(Supuestos!$B$96:$M$102,MATCH($A53,Supuestos!$A$96:$A$102,0),6)</f>
        <v>653.394456591615</v>
      </c>
      <c r="I53" s="37" t="n">
        <f aca="false">$B53*INDEX(Supuestos!$B$96:$M$102,MATCH($A53,Supuestos!$A$96:$A$102,0),7)</f>
        <v>1306.78891318323</v>
      </c>
      <c r="J53" s="37" t="n">
        <f aca="false">$B53*INDEX(Supuestos!$B$96:$M$102,MATCH($A53,Supuestos!$A$96:$A$102,0),8)</f>
        <v>653.394456591615</v>
      </c>
      <c r="K53" s="37" t="n">
        <f aca="false">$B53*INDEX(Supuestos!$B$96:$M$102,MATCH($A53,Supuestos!$A$96:$A$102,0),9)</f>
        <v>653.394456591615</v>
      </c>
      <c r="L53" s="37" t="n">
        <f aca="false">$B53*INDEX(Supuestos!$B$96:$M$102,MATCH($A53,Supuestos!$A$96:$A$102,0),10)</f>
        <v>560.052391364241</v>
      </c>
      <c r="M53" s="37" t="n">
        <f aca="false">$B53*INDEX(Supuestos!$B$96:$M$102,MATCH($A53,Supuestos!$A$96:$A$102,0),11)</f>
        <v>560.052391364241</v>
      </c>
      <c r="N53" s="37" t="n">
        <f aca="false">$B53*INDEX(Supuestos!$B$96:$M$102,MATCH($A53,Supuestos!$A$96:$A$102,0),12)</f>
        <v>653.394456591615</v>
      </c>
      <c r="O53" s="39" t="n">
        <f aca="false">B53/(Supuestos!$B$7*Supuestos!$B$6)</f>
        <v>38.8925271780723</v>
      </c>
      <c r="P53" s="39" t="n">
        <f aca="false">INDEX(C53:N53,$C$59)/Supuestos!$B$6</f>
        <v>32.6697228295807</v>
      </c>
      <c r="Q53" s="39" t="n">
        <f aca="false">P53*Supuestos!$B$10</f>
        <v>37.5701812540178</v>
      </c>
      <c r="R53" s="49" t="n">
        <f aca="false">SUMPRODUCT(I$6:I$22,Supuestos!$E$62:$E$78)/B53</f>
        <v>9.17209526819972</v>
      </c>
      <c r="S53" s="33" t="n">
        <f aca="false">SUMPRODUCT(I$6:I$22,Supuestos!$I$62:$I$78)/B53</f>
        <v>0.029730288529239</v>
      </c>
      <c r="T53" s="12" t="n">
        <f aca="false">SUMPRODUCT(I$6:I$22,Supuestos!$G$62:$G$78)/B53</f>
        <v>0.00842754689261493</v>
      </c>
    </row>
    <row r="54" customFormat="false" ht="15" hidden="false" customHeight="false" outlineLevel="0" collapsed="false">
      <c r="A54" s="4" t="s">
        <v>235</v>
      </c>
      <c r="B54" s="37" t="n">
        <f aca="false">J23</f>
        <v>4120.30492614462</v>
      </c>
      <c r="C54" s="37" t="n">
        <f aca="false">$B54*INDEX(Supuestos!$B$96:$M$102,MATCH($A54,Supuestos!$A$96:$A$102,0),1)</f>
        <v>206.015246307231</v>
      </c>
      <c r="D54" s="37" t="n">
        <f aca="false">$B54*INDEX(Supuestos!$B$96:$M$102,MATCH($A54,Supuestos!$A$96:$A$102,0),2)</f>
        <v>206.015246307231</v>
      </c>
      <c r="E54" s="37" t="n">
        <f aca="false">$B54*INDEX(Supuestos!$B$96:$M$102,MATCH($A54,Supuestos!$A$96:$A$102,0),3)</f>
        <v>288.421344830123</v>
      </c>
      <c r="F54" s="37" t="n">
        <f aca="false">$B54*INDEX(Supuestos!$B$96:$M$102,MATCH($A54,Supuestos!$A$96:$A$102,0),4)</f>
        <v>329.62439409157</v>
      </c>
      <c r="G54" s="37" t="n">
        <f aca="false">$B54*INDEX(Supuestos!$B$96:$M$102,MATCH($A54,Supuestos!$A$96:$A$102,0),5)</f>
        <v>370.827443353016</v>
      </c>
      <c r="H54" s="37" t="n">
        <f aca="false">$B54*INDEX(Supuestos!$B$96:$M$102,MATCH($A54,Supuestos!$A$96:$A$102,0),6)</f>
        <v>412.030492614462</v>
      </c>
      <c r="I54" s="37" t="n">
        <f aca="false">$B54*INDEX(Supuestos!$B$96:$M$102,MATCH($A54,Supuestos!$A$96:$A$102,0),7)</f>
        <v>247.218295568677</v>
      </c>
      <c r="J54" s="37" t="n">
        <f aca="false">$B54*INDEX(Supuestos!$B$96:$M$102,MATCH($A54,Supuestos!$A$96:$A$102,0),8)</f>
        <v>288.421344830123</v>
      </c>
      <c r="K54" s="37" t="n">
        <f aca="false">$B54*INDEX(Supuestos!$B$96:$M$102,MATCH($A54,Supuestos!$A$96:$A$102,0),9)</f>
        <v>370.827443353016</v>
      </c>
      <c r="L54" s="37" t="n">
        <f aca="false">$B54*INDEX(Supuestos!$B$96:$M$102,MATCH($A54,Supuestos!$A$96:$A$102,0),10)</f>
        <v>453.233541875908</v>
      </c>
      <c r="M54" s="37" t="n">
        <f aca="false">$B54*INDEX(Supuestos!$B$96:$M$102,MATCH($A54,Supuestos!$A$96:$A$102,0),11)</f>
        <v>535.639640398801</v>
      </c>
      <c r="N54" s="37" t="n">
        <f aca="false">$B54*INDEX(Supuestos!$B$96:$M$102,MATCH($A54,Supuestos!$A$96:$A$102,0),12)</f>
        <v>412.030492614462</v>
      </c>
      <c r="O54" s="39" t="n">
        <f aca="false">B54/(Supuestos!$B$7*Supuestos!$B$6)</f>
        <v>17.1679371922692</v>
      </c>
      <c r="P54" s="39" t="n">
        <f aca="false">INDEX(C54:N54,$C$59)/Supuestos!$B$6</f>
        <v>20.6015246307231</v>
      </c>
      <c r="Q54" s="39" t="n">
        <f aca="false">P54*Supuestos!$B$10</f>
        <v>23.6917533253316</v>
      </c>
      <c r="R54" s="49" t="n">
        <f aca="false">SUMPRODUCT(J$6:J$22,Supuestos!$E$62:$E$78)/B54</f>
        <v>9.62987785286269</v>
      </c>
      <c r="S54" s="33" t="n">
        <f aca="false">SUMPRODUCT(J$6:J$22,Supuestos!$I$62:$I$78)/B54</f>
        <v>0.0366224782078776</v>
      </c>
      <c r="T54" s="12" t="n">
        <f aca="false">SUMPRODUCT(J$6:J$22,Supuestos!$G$62:$G$78)/B54</f>
        <v>0.0214213221066214</v>
      </c>
    </row>
    <row r="55" customFormat="false" ht="15" hidden="false" customHeight="false" outlineLevel="0" collapsed="false">
      <c r="A55" s="4" t="s">
        <v>237</v>
      </c>
      <c r="B55" s="37" t="n">
        <f aca="false">K23</f>
        <v>6759.94755931686</v>
      </c>
      <c r="C55" s="37" t="n">
        <f aca="false">$B55*INDEX(Supuestos!$B$96:$M$102,MATCH($A55,Supuestos!$A$96:$A$102,0),1)</f>
        <v>337.997377965843</v>
      </c>
      <c r="D55" s="37" t="n">
        <f aca="false">$B55*INDEX(Supuestos!$B$96:$M$102,MATCH($A55,Supuestos!$A$96:$A$102,0),2)</f>
        <v>540.795804745349</v>
      </c>
      <c r="E55" s="37" t="n">
        <f aca="false">$B55*INDEX(Supuestos!$B$96:$M$102,MATCH($A55,Supuestos!$A$96:$A$102,0),3)</f>
        <v>608.395280338518</v>
      </c>
      <c r="F55" s="37" t="n">
        <f aca="false">$B55*INDEX(Supuestos!$B$96:$M$102,MATCH($A55,Supuestos!$A$96:$A$102,0),4)</f>
        <v>608.395280338518</v>
      </c>
      <c r="G55" s="37" t="n">
        <f aca="false">$B55*INDEX(Supuestos!$B$96:$M$102,MATCH($A55,Supuestos!$A$96:$A$102,0),5)</f>
        <v>608.395280338518</v>
      </c>
      <c r="H55" s="37" t="n">
        <f aca="false">$B55*INDEX(Supuestos!$B$96:$M$102,MATCH($A55,Supuestos!$A$96:$A$102,0),6)</f>
        <v>540.795804745349</v>
      </c>
      <c r="I55" s="37" t="n">
        <f aca="false">$B55*INDEX(Supuestos!$B$96:$M$102,MATCH($A55,Supuestos!$A$96:$A$102,0),7)</f>
        <v>540.795804745349</v>
      </c>
      <c r="J55" s="37" t="n">
        <f aca="false">$B55*INDEX(Supuestos!$B$96:$M$102,MATCH($A55,Supuestos!$A$96:$A$102,0),8)</f>
        <v>608.395280338518</v>
      </c>
      <c r="K55" s="37" t="n">
        <f aca="false">$B55*INDEX(Supuestos!$B$96:$M$102,MATCH($A55,Supuestos!$A$96:$A$102,0),9)</f>
        <v>608.395280338518</v>
      </c>
      <c r="L55" s="37" t="n">
        <f aca="false">$B55*INDEX(Supuestos!$B$96:$M$102,MATCH($A55,Supuestos!$A$96:$A$102,0),10)</f>
        <v>608.395280338518</v>
      </c>
      <c r="M55" s="37" t="n">
        <f aca="false">$B55*INDEX(Supuestos!$B$96:$M$102,MATCH($A55,Supuestos!$A$96:$A$102,0),11)</f>
        <v>608.395280338518</v>
      </c>
      <c r="N55" s="37" t="n">
        <f aca="false">$B55*INDEX(Supuestos!$B$96:$M$102,MATCH($A55,Supuestos!$A$96:$A$102,0),12)</f>
        <v>540.795804745349</v>
      </c>
      <c r="O55" s="39" t="n">
        <f aca="false">B55/(Supuestos!$B$7*Supuestos!$B$6)</f>
        <v>28.1664481638203</v>
      </c>
      <c r="P55" s="39" t="n">
        <f aca="false">INDEX(C55:N55,$C$59)/Supuestos!$B$6</f>
        <v>27.0397902372674</v>
      </c>
      <c r="Q55" s="39" t="n">
        <f aca="false">P55*Supuestos!$B$10</f>
        <v>31.0957587728576</v>
      </c>
      <c r="R55" s="49" t="n">
        <f aca="false">SUMPRODUCT(K$6:K$22,Supuestos!$E$62:$E$78)/B55</f>
        <v>19.5075699494656</v>
      </c>
      <c r="S55" s="33" t="n">
        <f aca="false">SUMPRODUCT(K$6:K$22,Supuestos!$I$62:$I$78)/B55</f>
        <v>0.0921698853165895</v>
      </c>
      <c r="T55" s="12" t="n">
        <f aca="false">SUMPRODUCT(K$6:K$22,Supuestos!$G$62:$G$78)/B55</f>
        <v>0.112508580533844</v>
      </c>
    </row>
    <row r="56" customFormat="false" ht="15" hidden="false" customHeight="false" outlineLevel="0" collapsed="false">
      <c r="A56" s="4" t="s">
        <v>239</v>
      </c>
      <c r="B56" s="37" t="n">
        <f aca="false">L23</f>
        <v>521.898401698949</v>
      </c>
      <c r="C56" s="37" t="n">
        <f aca="false">$B56*INDEX(Supuestos!$B$96:$M$102,MATCH($A56,Supuestos!$A$96:$A$102,0),1)</f>
        <v>41.7518721359159</v>
      </c>
      <c r="D56" s="37" t="n">
        <f aca="false">$B56*INDEX(Supuestos!$B$96:$M$102,MATCH($A56,Supuestos!$A$96:$A$102,0),2)</f>
        <v>41.7518721359159</v>
      </c>
      <c r="E56" s="37" t="n">
        <f aca="false">$B56*INDEX(Supuestos!$B$96:$M$102,MATCH($A56,Supuestos!$A$96:$A$102,0),3)</f>
        <v>41.7518721359159</v>
      </c>
      <c r="F56" s="37" t="n">
        <f aca="false">$B56*INDEX(Supuestos!$B$96:$M$102,MATCH($A56,Supuestos!$A$96:$A$102,0),4)</f>
        <v>41.7518721359159</v>
      </c>
      <c r="G56" s="37" t="n">
        <f aca="false">$B56*INDEX(Supuestos!$B$96:$M$102,MATCH($A56,Supuestos!$A$96:$A$102,0),5)</f>
        <v>41.7518721359159</v>
      </c>
      <c r="H56" s="37" t="n">
        <f aca="false">$B56*INDEX(Supuestos!$B$96:$M$102,MATCH($A56,Supuestos!$A$96:$A$102,0),6)</f>
        <v>41.7518721359159</v>
      </c>
      <c r="I56" s="37" t="n">
        <f aca="false">$B56*INDEX(Supuestos!$B$96:$M$102,MATCH($A56,Supuestos!$A$96:$A$102,0),7)</f>
        <v>41.7518721359159</v>
      </c>
      <c r="J56" s="37" t="n">
        <f aca="false">$B56*INDEX(Supuestos!$B$96:$M$102,MATCH($A56,Supuestos!$A$96:$A$102,0),8)</f>
        <v>41.7518721359159</v>
      </c>
      <c r="K56" s="37" t="n">
        <f aca="false">$B56*INDEX(Supuestos!$B$96:$M$102,MATCH($A56,Supuestos!$A$96:$A$102,0),9)</f>
        <v>46.9708561529054</v>
      </c>
      <c r="L56" s="37" t="n">
        <f aca="false">$B56*INDEX(Supuestos!$B$96:$M$102,MATCH($A56,Supuestos!$A$96:$A$102,0),10)</f>
        <v>46.9708561529054</v>
      </c>
      <c r="M56" s="37" t="n">
        <f aca="false">$B56*INDEX(Supuestos!$B$96:$M$102,MATCH($A56,Supuestos!$A$96:$A$102,0),11)</f>
        <v>46.9708561529054</v>
      </c>
      <c r="N56" s="37" t="n">
        <f aca="false">$B56*INDEX(Supuestos!$B$96:$M$102,MATCH($A56,Supuestos!$A$96:$A$102,0),12)</f>
        <v>46.9708561529054</v>
      </c>
      <c r="O56" s="39" t="n">
        <f aca="false">B56/(Supuestos!$B$7*Supuestos!$B$6)</f>
        <v>2.17457667374562</v>
      </c>
      <c r="P56" s="39" t="n">
        <f aca="false">INDEX(C56:N56,$C$59)/Supuestos!$B$6</f>
        <v>2.34854280764527</v>
      </c>
      <c r="Q56" s="39" t="n">
        <f aca="false">P56*Supuestos!$B$10</f>
        <v>2.70082422879206</v>
      </c>
      <c r="R56" s="49" t="n">
        <f aca="false">SUMPRODUCT(L$6:L$22,Supuestos!$E$62:$E$78)/B56</f>
        <v>6.74475972477821</v>
      </c>
      <c r="S56" s="33" t="n">
        <f aca="false">SUMPRODUCT(L$6:L$22,Supuestos!$I$62:$I$78)/B56</f>
        <v>0.0222419880602839</v>
      </c>
      <c r="T56" s="12" t="n">
        <f aca="false">SUMPRODUCT(L$6:L$22,Supuestos!$G$62:$G$78)/B56</f>
        <v>0</v>
      </c>
    </row>
    <row r="57" customFormat="false" ht="15" hidden="false" customHeight="false" outlineLevel="0" collapsed="false">
      <c r="A57" s="40" t="s">
        <v>268</v>
      </c>
      <c r="B57" s="42" t="n">
        <f aca="false">SUM(B50:B56)</f>
        <v>127340</v>
      </c>
      <c r="C57" s="42" t="n">
        <f aca="false">SUM(C50:C56)</f>
        <v>9553.2182932643</v>
      </c>
      <c r="D57" s="42" t="n">
        <f aca="false">SUM(D50:D56)</f>
        <v>10680.0431520527</v>
      </c>
      <c r="E57" s="42" t="n">
        <f aca="false">SUM(E50:E56)</f>
        <v>10766.5861490764</v>
      </c>
      <c r="F57" s="42" t="n">
        <f aca="false">SUM(F50:F56)</f>
        <v>10478.4257628025</v>
      </c>
      <c r="G57" s="42" t="n">
        <f aca="false">SUM(G50:G56)</f>
        <v>10519.628812064</v>
      </c>
      <c r="H57" s="42" t="n">
        <f aca="false">SUM(H50:H56)</f>
        <v>10176.2640332955</v>
      </c>
      <c r="I57" s="42" t="n">
        <f aca="false">SUM(I50:I56)</f>
        <v>10347.8779404046</v>
      </c>
      <c r="J57" s="42" t="n">
        <f aca="false">SUM(J50:J56)</f>
        <v>10486.5599533943</v>
      </c>
      <c r="K57" s="42" t="n">
        <f aca="false">SUM(K50:K56)</f>
        <v>10574.1850359341</v>
      </c>
      <c r="L57" s="42" t="n">
        <f aca="false">SUM(L50:L56)</f>
        <v>10513.9118293765</v>
      </c>
      <c r="M57" s="42" t="n">
        <f aca="false">SUM(M50:M56)</f>
        <v>11345.3860013637</v>
      </c>
      <c r="N57" s="42" t="n">
        <f aca="false">SUM(N50:N56)</f>
        <v>11897.9130369715</v>
      </c>
      <c r="O57" s="44" t="n">
        <f aca="false">SUM(O50:O56)</f>
        <v>530.583333333333</v>
      </c>
      <c r="P57" s="44" t="n">
        <f aca="false">SUM(P50:P56)</f>
        <v>594.895651848574</v>
      </c>
      <c r="Q57" s="44" t="n">
        <f aca="false">SUM(Q50:Q56)</f>
        <v>684.12999962586</v>
      </c>
    </row>
    <row r="58" customFormat="false" ht="15" hidden="false" customHeight="false" outlineLevel="0" collapsed="false">
      <c r="A58" s="50" t="s">
        <v>281</v>
      </c>
      <c r="C58" s="48" t="n">
        <f aca="false">C57/Supuestos!$B$6</f>
        <v>477.660914663215</v>
      </c>
      <c r="D58" s="48" t="n">
        <f aca="false">D57/Supuestos!$B$6</f>
        <v>534.002157602633</v>
      </c>
      <c r="E58" s="48" t="n">
        <f aca="false">E57/Supuestos!$B$6</f>
        <v>538.329307453819</v>
      </c>
      <c r="F58" s="48" t="n">
        <f aca="false">F57/Supuestos!$B$6</f>
        <v>523.921288140127</v>
      </c>
      <c r="G58" s="48" t="n">
        <f aca="false">G57/Supuestos!$B$6</f>
        <v>525.981440603199</v>
      </c>
      <c r="H58" s="48" t="n">
        <f aca="false">H57/Supuestos!$B$6</f>
        <v>508.813201664776</v>
      </c>
      <c r="I58" s="48" t="n">
        <f aca="false">I57/Supuestos!$B$6</f>
        <v>517.393897020231</v>
      </c>
      <c r="J58" s="48" t="n">
        <f aca="false">J57/Supuestos!$B$6</f>
        <v>524.327997669713</v>
      </c>
      <c r="K58" s="48" t="n">
        <f aca="false">K57/Supuestos!$B$6</f>
        <v>528.709251796707</v>
      </c>
      <c r="L58" s="48" t="n">
        <f aca="false">L57/Supuestos!$B$6</f>
        <v>525.695591468824</v>
      </c>
      <c r="M58" s="48" t="n">
        <f aca="false">M57/Supuestos!$B$6</f>
        <v>567.269300068183</v>
      </c>
      <c r="N58" s="48" t="n">
        <f aca="false">N57/Supuestos!$B$6</f>
        <v>594.895651848574</v>
      </c>
    </row>
    <row r="59" customFormat="false" ht="15" hidden="false" customHeight="false" outlineLevel="0" collapsed="false">
      <c r="A59" s="4" t="s">
        <v>8</v>
      </c>
      <c r="B59" s="51" t="str">
        <f aca="false">INDEX($C$49:$N$49,C59)</f>
        <v>Dic</v>
      </c>
      <c r="C59" s="37" t="n">
        <f aca="false">MATCH(MAX(C58:N58),C58:N58,0)</f>
        <v>12</v>
      </c>
      <c r="D59" s="6" t="s">
        <v>282</v>
      </c>
    </row>
    <row r="60" customFormat="false" ht="15" hidden="false" customHeight="false" outlineLevel="0" collapsed="false">
      <c r="A60" s="4" t="s">
        <v>283</v>
      </c>
      <c r="B60" s="52" t="n">
        <f aca="false">MAX(C58:N58)/O57</f>
        <v>1.12121058931724</v>
      </c>
    </row>
    <row r="62" customFormat="false" ht="15" hidden="false" customHeight="false" outlineLevel="0" collapsed="false">
      <c r="A62" s="3" t="s">
        <v>284</v>
      </c>
    </row>
    <row r="63" customFormat="false" ht="30" hidden="false" customHeight="true" outlineLevel="0" collapsed="false">
      <c r="A63" s="8" t="s">
        <v>13</v>
      </c>
      <c r="B63" s="8" t="s">
        <v>285</v>
      </c>
      <c r="C63" s="8" t="s">
        <v>14</v>
      </c>
      <c r="D63" s="8" t="s">
        <v>15</v>
      </c>
      <c r="E63" s="8" t="s">
        <v>16</v>
      </c>
      <c r="F63" s="8" t="s">
        <v>264</v>
      </c>
      <c r="G63" s="8" t="s">
        <v>286</v>
      </c>
      <c r="H63" s="8"/>
      <c r="I63" s="8"/>
      <c r="J63" s="8"/>
      <c r="K63" s="8"/>
      <c r="L63" s="8"/>
    </row>
    <row r="64" customFormat="false" ht="15" hidden="false" customHeight="false" outlineLevel="0" collapsed="false">
      <c r="A64" s="4" t="s">
        <v>175</v>
      </c>
      <c r="B64" s="37" t="n">
        <f aca="false">SUMIF($C$6:$C$22,$A64,D$6:D$22)</f>
        <v>67206</v>
      </c>
      <c r="C64" s="12" t="n">
        <f aca="false">B64/$D$23</f>
        <v>0.527768179676457</v>
      </c>
      <c r="D64" s="39" t="n">
        <f aca="false">SUMIF($C$6:$C$22,$A64,N$6:N$22)</f>
        <v>280.025</v>
      </c>
      <c r="E64" s="39" t="n">
        <f aca="false">SUMIF($C$6:$C$22,$A64,O$6:O$22)</f>
        <v>336.022668639146</v>
      </c>
      <c r="F64" s="39" t="n">
        <f aca="false">SUMIF($C$6:$C$22,$A64,P$6:P$22)</f>
        <v>386.426068935018</v>
      </c>
      <c r="G64" s="4" t="s">
        <v>287</v>
      </c>
      <c r="H64" s="4"/>
      <c r="I64" s="4"/>
      <c r="J64" s="4"/>
      <c r="K64" s="4"/>
      <c r="L64" s="4"/>
    </row>
    <row r="65" customFormat="false" ht="15" hidden="false" customHeight="false" outlineLevel="0" collapsed="false">
      <c r="A65" s="4" t="s">
        <v>180</v>
      </c>
      <c r="B65" s="37" t="n">
        <f aca="false">SUMIF($C$6:$C$22,$A65,D$6:D$22)</f>
        <v>50117</v>
      </c>
      <c r="C65" s="12" t="n">
        <f aca="false">B65/$D$23</f>
        <v>0.393568399560232</v>
      </c>
      <c r="D65" s="39" t="n">
        <f aca="false">SUMIF($C$6:$C$22,$A65,N$6:N$22)</f>
        <v>208.820833333333</v>
      </c>
      <c r="E65" s="39" t="n">
        <f aca="false">SUMIF($C$6:$C$22,$A65,O$6:O$22)</f>
        <v>216.712401805587</v>
      </c>
      <c r="F65" s="39" t="n">
        <f aca="false">SUMIF($C$6:$C$22,$A65,P$6:P$22)</f>
        <v>249.219262076425</v>
      </c>
      <c r="G65" s="4" t="s">
        <v>288</v>
      </c>
      <c r="H65" s="4"/>
      <c r="I65" s="4"/>
      <c r="J65" s="4"/>
      <c r="K65" s="4"/>
      <c r="L65" s="4"/>
    </row>
    <row r="66" customFormat="false" ht="15" hidden="false" customHeight="false" outlineLevel="0" collapsed="false">
      <c r="A66" s="4" t="s">
        <v>185</v>
      </c>
      <c r="B66" s="37" t="n">
        <f aca="false">SUMIF($C$6:$C$22,$A66,D$6:D$22)</f>
        <v>8303</v>
      </c>
      <c r="C66" s="12" t="n">
        <f aca="false">B66/$D$23</f>
        <v>0.0652033924925397</v>
      </c>
      <c r="D66" s="39" t="n">
        <f aca="false">SUMIF($C$6:$C$22,$A66,N$6:N$22)</f>
        <v>34.5958333333333</v>
      </c>
      <c r="E66" s="39" t="n">
        <f aca="false">SUMIF($C$6:$C$22,$A66,O$6:O$22)</f>
        <v>35.0016360292476</v>
      </c>
      <c r="F66" s="39" t="n">
        <f aca="false">SUMIF($C$6:$C$22,$A66,P$6:P$22)</f>
        <v>40.2518814336347</v>
      </c>
      <c r="G66" s="4" t="s">
        <v>289</v>
      </c>
      <c r="H66" s="4"/>
      <c r="I66" s="4"/>
      <c r="J66" s="4"/>
      <c r="K66" s="4"/>
      <c r="L66" s="4"/>
    </row>
    <row r="67" customFormat="false" ht="15" hidden="false" customHeight="false" outlineLevel="0" collapsed="false">
      <c r="A67" s="4" t="s">
        <v>194</v>
      </c>
      <c r="B67" s="37" t="n">
        <f aca="false">SUMIF($C$6:$C$22,$A67,D$6:D$22)</f>
        <v>1714</v>
      </c>
      <c r="C67" s="12" t="n">
        <f aca="false">B67/$D$23</f>
        <v>0.0134600282707712</v>
      </c>
      <c r="D67" s="39" t="n">
        <f aca="false">SUMIF($C$6:$C$22,$A67,N$6:N$22)</f>
        <v>7.14166666666667</v>
      </c>
      <c r="E67" s="39" t="n">
        <f aca="false">SUMIF($C$6:$C$22,$A67,O$6:O$22)</f>
        <v>7.15894537459346</v>
      </c>
      <c r="F67" s="39" t="n">
        <f aca="false">SUMIF($C$6:$C$22,$A67,P$6:P$22)</f>
        <v>8.23278718078248</v>
      </c>
      <c r="G67" s="4" t="s">
        <v>290</v>
      </c>
      <c r="H67" s="4"/>
      <c r="I67" s="4"/>
      <c r="J67" s="4"/>
      <c r="K67" s="4"/>
      <c r="L67" s="4"/>
    </row>
    <row r="68" customFormat="false" ht="15" hidden="false" customHeight="false" outlineLevel="0" collapsed="false">
      <c r="A68" s="40" t="s">
        <v>268</v>
      </c>
      <c r="B68" s="42" t="n">
        <f aca="false">SUM(B64:B67)</f>
        <v>127340</v>
      </c>
      <c r="C68" s="43" t="n">
        <f aca="false">SUM(C64:C67)</f>
        <v>1</v>
      </c>
      <c r="D68" s="44" t="n">
        <f aca="false">SUM(D64:D67)</f>
        <v>530.583333333333</v>
      </c>
      <c r="E68" s="44" t="n">
        <f aca="false">SUM(E64:E67)</f>
        <v>594.895651848574</v>
      </c>
      <c r="F68" s="44" t="n">
        <f aca="false">SUM(F64:F67)</f>
        <v>684.12999962586</v>
      </c>
    </row>
    <row r="70" customFormat="false" ht="15" hidden="false" customHeight="false" outlineLevel="0" collapsed="false">
      <c r="A70" s="3" t="s">
        <v>291</v>
      </c>
    </row>
    <row r="71" customFormat="false" ht="30" hidden="false" customHeight="true" outlineLevel="0" collapsed="false">
      <c r="A71" s="8" t="s">
        <v>167</v>
      </c>
      <c r="B71" s="8" t="s">
        <v>225</v>
      </c>
      <c r="C71" s="8" t="s">
        <v>228</v>
      </c>
      <c r="D71" s="8" t="s">
        <v>231</v>
      </c>
      <c r="E71" s="8" t="s">
        <v>233</v>
      </c>
      <c r="F71" s="8" t="s">
        <v>235</v>
      </c>
      <c r="G71" s="8" t="s">
        <v>237</v>
      </c>
      <c r="H71" s="8" t="s">
        <v>239</v>
      </c>
    </row>
    <row r="72" customFormat="false" ht="15" hidden="false" customHeight="false" outlineLevel="0" collapsed="false">
      <c r="A72" s="9" t="str">
        <f aca="false">A6</f>
        <v>ABC 1 kg</v>
      </c>
      <c r="B72" s="53" t="n">
        <f aca="false">IFERROR(F6/F$23*INDEX(Supuestos!$C$84:$C$90,MATCH(B$71,Supuestos!$A$84:$A$90,0)),0)</f>
        <v>23.9996130989204</v>
      </c>
      <c r="C72" s="53" t="n">
        <f aca="false">IFERROR(G6/G$23*INDEX(Supuestos!$C$84:$C$90,MATCH(C$71,Supuestos!$A$84:$A$90,0)),0)</f>
        <v>0</v>
      </c>
      <c r="D72" s="53" t="n">
        <f aca="false">IFERROR(H6/H$23*INDEX(Supuestos!$C$84:$C$90,MATCH(D$71,Supuestos!$A$84:$A$90,0)),0)</f>
        <v>0</v>
      </c>
      <c r="E72" s="53" t="n">
        <f aca="false">IFERROR(I6/I$23*INDEX(Supuestos!$C$84:$C$90,MATCH(E$71,Supuestos!$A$84:$A$90,0)),0)</f>
        <v>0</v>
      </c>
      <c r="F72" s="53" t="n">
        <f aca="false">IFERROR(J6/J$23*INDEX(Supuestos!$C$84:$C$90,MATCH(F$71,Supuestos!$A$84:$A$90,0)),0)</f>
        <v>0.0886349841184613</v>
      </c>
      <c r="G72" s="53" t="n">
        <f aca="false">IFERROR(K6/K$23*INDEX(Supuestos!$C$84:$C$90,MATCH(G$71,Supuestos!$A$84:$A$90,0)),0)</f>
        <v>0</v>
      </c>
      <c r="H72" s="53" t="n">
        <f aca="false">IFERROR(L6/L$23*INDEX(Supuestos!$C$84:$C$90,MATCH(H$71,Supuestos!$A$84:$A$90,0)),0)</f>
        <v>0.449519574242109</v>
      </c>
      <c r="I72" s="6" t="s">
        <v>292</v>
      </c>
    </row>
    <row r="73" customFormat="false" ht="15" hidden="false" customHeight="false" outlineLevel="0" collapsed="false">
      <c r="A73" s="9" t="str">
        <f aca="false">A7</f>
        <v>ABC 2,5 kg</v>
      </c>
      <c r="B73" s="53" t="n">
        <f aca="false">IFERROR(F7/F$23*INDEX(Supuestos!$C$84:$C$90,MATCH(B$71,Supuestos!$A$84:$A$90,0)),0)</f>
        <v>0</v>
      </c>
      <c r="C73" s="53" t="n">
        <f aca="false">IFERROR(G7/G$23*INDEX(Supuestos!$C$84:$C$90,MATCH(C$71,Supuestos!$A$84:$A$90,0)),0)</f>
        <v>1.06438594372097</v>
      </c>
      <c r="D73" s="53" t="n">
        <f aca="false">IFERROR(H7/H$23*INDEX(Supuestos!$C$84:$C$90,MATCH(D$71,Supuestos!$A$84:$A$90,0)),0)</f>
        <v>2.22330936620677</v>
      </c>
      <c r="E73" s="53" t="n">
        <f aca="false">IFERROR(I7/I$23*INDEX(Supuestos!$C$84:$C$90,MATCH(E$71,Supuestos!$A$84:$A$90,0)),0)</f>
        <v>2.25841906295387</v>
      </c>
      <c r="F73" s="53" t="n">
        <f aca="false">IFERROR(J7/J$23*INDEX(Supuestos!$C$84:$C$90,MATCH(F$71,Supuestos!$A$84:$A$90,0)),0)</f>
        <v>7.75466268440115</v>
      </c>
      <c r="G73" s="53" t="n">
        <f aca="false">IFERROR(K7/K$23*INDEX(Supuestos!$C$84:$C$90,MATCH(G$71,Supuestos!$A$84:$A$90,0)),0)</f>
        <v>0</v>
      </c>
      <c r="H73" s="53" t="n">
        <f aca="false">IFERROR(L7/L$23*INDEX(Supuestos!$C$84:$C$90,MATCH(H$71,Supuestos!$A$84:$A$90,0)),0)</f>
        <v>6.1020535879308</v>
      </c>
      <c r="I73" s="6" t="s">
        <v>293</v>
      </c>
    </row>
    <row r="74" customFormat="false" ht="15" hidden="false" customHeight="false" outlineLevel="0" collapsed="false">
      <c r="A74" s="9" t="str">
        <f aca="false">A8</f>
        <v>ABC 5 kg</v>
      </c>
      <c r="B74" s="53" t="n">
        <f aca="false">IFERROR(F8/F$23*INDEX(Supuestos!$C$84:$C$90,MATCH(B$71,Supuestos!$A$84:$A$90,0)),0)</f>
        <v>1.00038690107958</v>
      </c>
      <c r="C74" s="53" t="n">
        <f aca="false">IFERROR(G8/G$23*INDEX(Supuestos!$C$84:$C$90,MATCH(C$71,Supuestos!$A$84:$A$90,0)),0)</f>
        <v>8.88645242600065</v>
      </c>
      <c r="D74" s="53" t="n">
        <f aca="false">IFERROR(H8/H$23*INDEX(Supuestos!$C$84:$C$90,MATCH(D$71,Supuestos!$A$84:$A$90,0)),0)</f>
        <v>16.2685604936326</v>
      </c>
      <c r="E74" s="53" t="n">
        <f aca="false">IFERROR(I8/I$23*INDEX(Supuestos!$C$84:$C$90,MATCH(E$71,Supuestos!$A$84:$A$90,0)),0)</f>
        <v>9.62717133697554</v>
      </c>
      <c r="F74" s="53" t="n">
        <f aca="false">IFERROR(J8/J$23*INDEX(Supuestos!$C$84:$C$90,MATCH(F$71,Supuestos!$A$84:$A$90,0)),0)</f>
        <v>5.13118979163895</v>
      </c>
      <c r="G74" s="53" t="n">
        <f aca="false">IFERROR(K8/K$23*INDEX(Supuestos!$C$84:$C$90,MATCH(G$71,Supuestos!$A$84:$A$90,0)),0)</f>
        <v>20.9978042383609</v>
      </c>
      <c r="H74" s="53" t="n">
        <f aca="false">IFERROR(L8/L$23*INDEX(Supuestos!$C$84:$C$90,MATCH(H$71,Supuestos!$A$84:$A$90,0)),0)</f>
        <v>6.05518832291533</v>
      </c>
    </row>
    <row r="75" customFormat="false" ht="15" hidden="false" customHeight="false" outlineLevel="0" collapsed="false">
      <c r="A75" s="9" t="str">
        <f aca="false">A9</f>
        <v>ABC 10 kg</v>
      </c>
      <c r="B75" s="53" t="n">
        <f aca="false">IFERROR(F9/F$23*INDEX(Supuestos!$C$84:$C$90,MATCH(B$71,Supuestos!$A$84:$A$90,0)),0)</f>
        <v>0</v>
      </c>
      <c r="C75" s="53" t="n">
        <f aca="false">IFERROR(G9/G$23*INDEX(Supuestos!$C$84:$C$90,MATCH(C$71,Supuestos!$A$84:$A$90,0)),0)</f>
        <v>0.479207191431451</v>
      </c>
      <c r="D75" s="53" t="n">
        <f aca="false">IFERROR(H9/H$23*INDEX(Supuestos!$C$84:$C$90,MATCH(D$71,Supuestos!$A$84:$A$90,0)),0)</f>
        <v>1.91360197122989</v>
      </c>
      <c r="E75" s="53" t="n">
        <f aca="false">IFERROR(I9/I$23*INDEX(Supuestos!$C$84:$C$90,MATCH(E$71,Supuestos!$A$84:$A$90,0)),0)</f>
        <v>0.910359357851051</v>
      </c>
      <c r="F75" s="53" t="n">
        <f aca="false">IFERROR(J9/J$23*INDEX(Supuestos!$C$84:$C$90,MATCH(F$71,Supuestos!$A$84:$A$90,0)),0)</f>
        <v>1.08349198776712</v>
      </c>
      <c r="G75" s="53" t="n">
        <f aca="false">IFERROR(K9/K$23*INDEX(Supuestos!$C$84:$C$90,MATCH(G$71,Supuestos!$A$84:$A$90,0)),0)</f>
        <v>0</v>
      </c>
      <c r="H75" s="53" t="n">
        <f aca="false">IFERROR(L9/L$23*INDEX(Supuestos!$C$84:$C$90,MATCH(H$71,Supuestos!$A$84:$A$90,0)),0)</f>
        <v>0</v>
      </c>
    </row>
    <row r="76" customFormat="false" ht="15" hidden="false" customHeight="false" outlineLevel="0" collapsed="false">
      <c r="A76" s="9" t="str">
        <f aca="false">A10</f>
        <v>Agua 10 l</v>
      </c>
      <c r="B76" s="53" t="n">
        <f aca="false">IFERROR(F10/F$23*INDEX(Supuestos!$C$84:$C$90,MATCH(B$71,Supuestos!$A$84:$A$90,0)),0)</f>
        <v>0</v>
      </c>
      <c r="C76" s="53" t="n">
        <f aca="false">IFERROR(G10/G$23*INDEX(Supuestos!$C$84:$C$90,MATCH(C$71,Supuestos!$A$84:$A$90,0)),0)</f>
        <v>0.670021698976527</v>
      </c>
      <c r="D76" s="53" t="n">
        <f aca="false">IFERROR(H10/H$23*INDEX(Supuestos!$C$84:$C$90,MATCH(D$71,Supuestos!$A$84:$A$90,0)),0)</f>
        <v>3.02627402676919</v>
      </c>
      <c r="E76" s="53" t="n">
        <f aca="false">IFERROR(I10/I$23*INDEX(Supuestos!$C$84:$C$90,MATCH(E$71,Supuestos!$A$84:$A$90,0)),0)</f>
        <v>0.866126062970202</v>
      </c>
      <c r="F76" s="53" t="n">
        <f aca="false">IFERROR(J10/J$23*INDEX(Supuestos!$C$84:$C$90,MATCH(F$71,Supuestos!$A$84:$A$90,0)),0)</f>
        <v>0.799544312471082</v>
      </c>
      <c r="G76" s="53" t="n">
        <f aca="false">IFERROR(K10/K$23*INDEX(Supuestos!$C$84:$C$90,MATCH(G$71,Supuestos!$A$84:$A$90,0)),0)</f>
        <v>2.09936242358063</v>
      </c>
      <c r="H76" s="53" t="n">
        <f aca="false">IFERROR(L10/L$23*INDEX(Supuestos!$C$84:$C$90,MATCH(H$71,Supuestos!$A$84:$A$90,0)),0)</f>
        <v>0.619443564730837</v>
      </c>
    </row>
    <row r="77" customFormat="false" ht="15" hidden="false" customHeight="false" outlineLevel="0" collapsed="false">
      <c r="A77" s="9" t="str">
        <f aca="false">A11</f>
        <v>AFFF 10 l</v>
      </c>
      <c r="B77" s="53" t="n">
        <f aca="false">IFERROR(F11/F$23*INDEX(Supuestos!$C$84:$C$90,MATCH(B$71,Supuestos!$A$84:$A$90,0)),0)</f>
        <v>0</v>
      </c>
      <c r="C77" s="53" t="n">
        <f aca="false">IFERROR(G11/G$23*INDEX(Supuestos!$C$84:$C$90,MATCH(C$71,Supuestos!$A$84:$A$90,0)),0)</f>
        <v>0</v>
      </c>
      <c r="D77" s="53" t="n">
        <f aca="false">IFERROR(H11/H$23*INDEX(Supuestos!$C$84:$C$90,MATCH(D$71,Supuestos!$A$84:$A$90,0)),0)</f>
        <v>0</v>
      </c>
      <c r="E77" s="53" t="n">
        <f aca="false">IFERROR(I11/I$23*INDEX(Supuestos!$C$84:$C$90,MATCH(E$71,Supuestos!$A$84:$A$90,0)),0)</f>
        <v>0</v>
      </c>
      <c r="F77" s="53" t="n">
        <f aca="false">IFERROR(J11/J$23*INDEX(Supuestos!$C$84:$C$90,MATCH(F$71,Supuestos!$A$84:$A$90,0)),0)</f>
        <v>0</v>
      </c>
      <c r="G77" s="53" t="n">
        <f aca="false">IFERROR(K11/K$23*INDEX(Supuestos!$C$84:$C$90,MATCH(G$71,Supuestos!$A$84:$A$90,0)),0)</f>
        <v>3.66127100585099</v>
      </c>
      <c r="H77" s="53" t="n">
        <f aca="false">IFERROR(L11/L$23*INDEX(Supuestos!$C$84:$C$90,MATCH(H$71,Supuestos!$A$84:$A$90,0)),0)</f>
        <v>0</v>
      </c>
    </row>
    <row r="78" customFormat="false" ht="15" hidden="false" customHeight="false" outlineLevel="0" collapsed="false">
      <c r="A78" s="9" t="str">
        <f aca="false">A12</f>
        <v>AFFF 50 l s/ruedas</v>
      </c>
      <c r="B78" s="53" t="n">
        <f aca="false">IFERROR(F12/F$23*INDEX(Supuestos!$C$84:$C$90,MATCH(B$71,Supuestos!$A$84:$A$90,0)),0)</f>
        <v>0</v>
      </c>
      <c r="C78" s="53" t="n">
        <f aca="false">IFERROR(G12/G$23*INDEX(Supuestos!$C$84:$C$90,MATCH(C$71,Supuestos!$A$84:$A$90,0)),0)</f>
        <v>0</v>
      </c>
      <c r="D78" s="53" t="n">
        <f aca="false">IFERROR(H12/H$23*INDEX(Supuestos!$C$84:$C$90,MATCH(D$71,Supuestos!$A$84:$A$90,0)),0)</f>
        <v>0</v>
      </c>
      <c r="E78" s="53" t="n">
        <f aca="false">IFERROR(I12/I$23*INDEX(Supuestos!$C$84:$C$90,MATCH(E$71,Supuestos!$A$84:$A$90,0)),0)</f>
        <v>0</v>
      </c>
      <c r="F78" s="53" t="n">
        <f aca="false">IFERROR(J12/J$23*INDEX(Supuestos!$C$84:$C$90,MATCH(F$71,Supuestos!$A$84:$A$90,0)),0)</f>
        <v>0</v>
      </c>
      <c r="G78" s="53" t="n">
        <f aca="false">IFERROR(K12/K$23*INDEX(Supuestos!$C$84:$C$90,MATCH(G$71,Supuestos!$A$84:$A$90,0)),0)</f>
        <v>1.91051777941679</v>
      </c>
      <c r="H78" s="53" t="n">
        <f aca="false">IFERROR(L12/L$23*INDEX(Supuestos!$C$84:$C$90,MATCH(H$71,Supuestos!$A$84:$A$90,0)),0)</f>
        <v>0</v>
      </c>
    </row>
    <row r="79" customFormat="false" ht="15" hidden="false" customHeight="false" outlineLevel="0" collapsed="false">
      <c r="A79" s="9" t="str">
        <f aca="false">A13</f>
        <v>BC 5 kg</v>
      </c>
      <c r="B79" s="53" t="n">
        <f aca="false">IFERROR(F13/F$23*INDEX(Supuestos!$C$84:$C$90,MATCH(B$71,Supuestos!$A$84:$A$90,0)),0)</f>
        <v>0</v>
      </c>
      <c r="C79" s="53" t="n">
        <f aca="false">IFERROR(G13/G$23*INDEX(Supuestos!$C$84:$C$90,MATCH(C$71,Supuestos!$A$84:$A$90,0)),0)</f>
        <v>0</v>
      </c>
      <c r="D79" s="53" t="n">
        <f aca="false">IFERROR(H13/H$23*INDEX(Supuestos!$C$84:$C$90,MATCH(D$71,Supuestos!$A$84:$A$90,0)),0)</f>
        <v>0</v>
      </c>
      <c r="E79" s="53" t="n">
        <f aca="false">IFERROR(I13/I$23*INDEX(Supuestos!$C$84:$C$90,MATCH(E$71,Supuestos!$A$84:$A$90,0)),0)</f>
        <v>0</v>
      </c>
      <c r="F79" s="53" t="n">
        <f aca="false">IFERROR(J13/J$23*INDEX(Supuestos!$C$84:$C$90,MATCH(F$71,Supuestos!$A$84:$A$90,0)),0)</f>
        <v>0</v>
      </c>
      <c r="G79" s="53" t="n">
        <f aca="false">IFERROR(K13/K$23*INDEX(Supuestos!$C$84:$C$90,MATCH(G$71,Supuestos!$A$84:$A$90,0)),0)</f>
        <v>1.0983813017553</v>
      </c>
      <c r="H79" s="53" t="n">
        <f aca="false">IFERROR(L13/L$23*INDEX(Supuestos!$C$84:$C$90,MATCH(H$71,Supuestos!$A$84:$A$90,0)),0)</f>
        <v>0</v>
      </c>
    </row>
    <row r="80" customFormat="false" ht="15" hidden="false" customHeight="false" outlineLevel="0" collapsed="false">
      <c r="A80" s="9" t="str">
        <f aca="false">A14</f>
        <v>Sales K 6 l</v>
      </c>
      <c r="B80" s="53" t="n">
        <f aca="false">IFERROR(F14/F$23*INDEX(Supuestos!$C$84:$C$90,MATCH(B$71,Supuestos!$A$84:$A$90,0)),0)</f>
        <v>0</v>
      </c>
      <c r="C80" s="53" t="n">
        <f aca="false">IFERROR(G14/G$23*INDEX(Supuestos!$C$84:$C$90,MATCH(C$71,Supuestos!$A$84:$A$90,0)),0)</f>
        <v>0.196323413803264</v>
      </c>
      <c r="D80" s="53" t="n">
        <f aca="false">IFERROR(H14/H$23*INDEX(Supuestos!$C$84:$C$90,MATCH(D$71,Supuestos!$A$84:$A$90,0)),0)</f>
        <v>0.783715887039099</v>
      </c>
      <c r="E80" s="53" t="n">
        <f aca="false">IFERROR(I14/I$23*INDEX(Supuestos!$C$84:$C$90,MATCH(E$71,Supuestos!$A$84:$A$90,0)),0)</f>
        <v>0.655226900236606</v>
      </c>
      <c r="F80" s="53" t="n">
        <f aca="false">IFERROR(J14/J$23*INDEX(Supuestos!$C$84:$C$90,MATCH(F$71,Supuestos!$A$84:$A$90,0)),0)</f>
        <v>1.65371588267177</v>
      </c>
      <c r="G80" s="53" t="n">
        <f aca="false">IFERROR(K14/K$23*INDEX(Supuestos!$C$84:$C$90,MATCH(G$71,Supuestos!$A$84:$A$90,0)),0)</f>
        <v>1.27523373110187</v>
      </c>
      <c r="H80" s="53" t="n">
        <f aca="false">IFERROR(L14/L$23*INDEX(Supuestos!$C$84:$C$90,MATCH(H$71,Supuestos!$A$84:$A$90,0)),0)</f>
        <v>0</v>
      </c>
    </row>
    <row r="81" customFormat="false" ht="15" hidden="false" customHeight="false" outlineLevel="0" collapsed="false">
      <c r="A81" s="9" t="str">
        <f aca="false">A15</f>
        <v>CO₂ 2 kg</v>
      </c>
      <c r="B81" s="53" t="n">
        <f aca="false">IFERROR(F15/F$23*INDEX(Supuestos!$C$84:$C$90,MATCH(B$71,Supuestos!$A$84:$A$90,0)),0)</f>
        <v>0</v>
      </c>
      <c r="C81" s="53" t="n">
        <f aca="false">IFERROR(G15/G$23*INDEX(Supuestos!$C$84:$C$90,MATCH(C$71,Supuestos!$A$84:$A$90,0)),0)</f>
        <v>2.14888559790761</v>
      </c>
      <c r="D81" s="53" t="n">
        <f aca="false">IFERROR(H15/H$23*INDEX(Supuestos!$C$84:$C$90,MATCH(D$71,Supuestos!$A$84:$A$90,0)),0)</f>
        <v>3.53947314068699</v>
      </c>
      <c r="E81" s="53" t="n">
        <f aca="false">IFERROR(I15/I$23*INDEX(Supuestos!$C$84:$C$90,MATCH(E$71,Supuestos!$A$84:$A$90,0)),0)</f>
        <v>3.36061188578463</v>
      </c>
      <c r="F81" s="53" t="n">
        <f aca="false">IFERROR(J15/J$23*INDEX(Supuestos!$C$84:$C$90,MATCH(F$71,Supuestos!$A$84:$A$90,0)),0)</f>
        <v>1.98525933682217</v>
      </c>
      <c r="G81" s="53" t="n">
        <f aca="false">IFERROR(K15/K$23*INDEX(Supuestos!$C$84:$C$90,MATCH(G$71,Supuestos!$A$84:$A$90,0)),0)</f>
        <v>1.18282000610161</v>
      </c>
      <c r="H81" s="53" t="n">
        <f aca="false">IFERROR(L15/L$23*INDEX(Supuestos!$C$84:$C$90,MATCH(H$71,Supuestos!$A$84:$A$90,0)),0)</f>
        <v>2.77379495018092</v>
      </c>
    </row>
    <row r="82" customFormat="false" ht="15" hidden="false" customHeight="false" outlineLevel="0" collapsed="false">
      <c r="A82" s="9" t="str">
        <f aca="false">A16</f>
        <v>CO₂ 5 kg</v>
      </c>
      <c r="B82" s="53" t="n">
        <f aca="false">IFERROR(F16/F$23*INDEX(Supuestos!$C$84:$C$90,MATCH(B$71,Supuestos!$A$84:$A$90,0)),0)</f>
        <v>0</v>
      </c>
      <c r="C82" s="53" t="n">
        <f aca="false">IFERROR(G16/G$23*INDEX(Supuestos!$C$84:$C$90,MATCH(C$71,Supuestos!$A$84:$A$90,0)),0)</f>
        <v>0.330334564181901</v>
      </c>
      <c r="D82" s="53" t="n">
        <f aca="false">IFERROR(H16/H$23*INDEX(Supuestos!$C$84:$C$90,MATCH(D$71,Supuestos!$A$84:$A$90,0)),0)</f>
        <v>4.29874917733898</v>
      </c>
      <c r="E82" s="53" t="n">
        <f aca="false">IFERROR(I16/I$23*INDEX(Supuestos!$C$84:$C$90,MATCH(E$71,Supuestos!$A$84:$A$90,0)),0)</f>
        <v>0.170389549161042</v>
      </c>
      <c r="F82" s="53" t="n">
        <f aca="false">IFERROR(J16/J$23*INDEX(Supuestos!$C$84:$C$90,MATCH(F$71,Supuestos!$A$84:$A$90,0)),0)</f>
        <v>1.07507457797688</v>
      </c>
      <c r="G82" s="53" t="n">
        <f aca="false">IFERROR(K16/K$23*INDEX(Supuestos!$C$84:$C$90,MATCH(G$71,Supuestos!$A$84:$A$90,0)),0)</f>
        <v>6.63219785043737</v>
      </c>
      <c r="H82" s="53" t="n">
        <f aca="false">IFERROR(L16/L$23*INDEX(Supuestos!$C$84:$C$90,MATCH(H$71,Supuestos!$A$84:$A$90,0)),0)</f>
        <v>0</v>
      </c>
    </row>
    <row r="83" customFormat="false" ht="15" hidden="false" customHeight="false" outlineLevel="0" collapsed="false">
      <c r="A83" s="9" t="str">
        <f aca="false">A17</f>
        <v>HCFC/HFC 5 kg</v>
      </c>
      <c r="B83" s="53" t="n">
        <f aca="false">IFERROR(F17/F$23*INDEX(Supuestos!$C$84:$C$90,MATCH(B$71,Supuestos!$A$84:$A$90,0)),0)</f>
        <v>0</v>
      </c>
      <c r="C83" s="53" t="n">
        <f aca="false">IFERROR(G17/G$23*INDEX(Supuestos!$C$84:$C$90,MATCH(C$71,Supuestos!$A$84:$A$90,0)),0)</f>
        <v>0</v>
      </c>
      <c r="D83" s="53" t="n">
        <f aca="false">IFERROR(H17/H$23*INDEX(Supuestos!$C$84:$C$90,MATCH(D$71,Supuestos!$A$84:$A$90,0)),0)</f>
        <v>0.970694480198581</v>
      </c>
      <c r="E83" s="53" t="n">
        <f aca="false">IFERROR(I17/I$23*INDEX(Supuestos!$C$84:$C$90,MATCH(E$71,Supuestos!$A$84:$A$90,0)),0)</f>
        <v>0</v>
      </c>
      <c r="F83" s="53" t="n">
        <f aca="false">IFERROR(J17/J$23*INDEX(Supuestos!$C$84:$C$90,MATCH(F$71,Supuestos!$A$84:$A$90,0)),0)</f>
        <v>0</v>
      </c>
      <c r="G83" s="53" t="n">
        <f aca="false">IFERROR(K17/K$23*INDEX(Supuestos!$C$84:$C$90,MATCH(G$71,Supuestos!$A$84:$A$90,0)),0)</f>
        <v>1.99151486264718</v>
      </c>
      <c r="H83" s="53" t="n">
        <f aca="false">IFERROR(L17/L$23*INDEX(Supuestos!$C$84:$C$90,MATCH(H$71,Supuestos!$A$84:$A$90,0)),0)</f>
        <v>0</v>
      </c>
    </row>
    <row r="84" customFormat="false" ht="15" hidden="false" customHeight="false" outlineLevel="0" collapsed="false">
      <c r="A84" s="9" t="str">
        <f aca="false">A18</f>
        <v>Clase D 9 l</v>
      </c>
      <c r="B84" s="53" t="n">
        <f aca="false">IFERROR(F18/F$23*INDEX(Supuestos!$C$84:$C$90,MATCH(B$71,Supuestos!$A$84:$A$90,0)),0)</f>
        <v>0</v>
      </c>
      <c r="C84" s="53" t="n">
        <f aca="false">IFERROR(G18/G$23*INDEX(Supuestos!$C$84:$C$90,MATCH(C$71,Supuestos!$A$84:$A$90,0)),0)</f>
        <v>0</v>
      </c>
      <c r="D84" s="53" t="n">
        <f aca="false">IFERROR(H18/H$23*INDEX(Supuestos!$C$84:$C$90,MATCH(D$71,Supuestos!$A$84:$A$90,0)),0)</f>
        <v>0</v>
      </c>
      <c r="E84" s="53" t="n">
        <f aca="false">IFERROR(I18/I$23*INDEX(Supuestos!$C$84:$C$90,MATCH(E$71,Supuestos!$A$84:$A$90,0)),0)</f>
        <v>0</v>
      </c>
      <c r="F84" s="53" t="n">
        <f aca="false">IFERROR(J18/J$23*INDEX(Supuestos!$C$84:$C$90,MATCH(F$71,Supuestos!$A$84:$A$90,0)),0)</f>
        <v>0</v>
      </c>
      <c r="G84" s="53" t="n">
        <f aca="false">IFERROR(K18/K$23*INDEX(Supuestos!$C$84:$C$90,MATCH(G$71,Supuestos!$A$84:$A$90,0)),0)</f>
        <v>0.998528456141179</v>
      </c>
      <c r="H84" s="53" t="n">
        <f aca="false">IFERROR(L18/L$23*INDEX(Supuestos!$C$84:$C$90,MATCH(H$71,Supuestos!$A$84:$A$90,0)),0)</f>
        <v>0</v>
      </c>
    </row>
    <row r="85" customFormat="false" ht="15" hidden="false" customHeight="false" outlineLevel="0" collapsed="false">
      <c r="A85" s="9" t="str">
        <f aca="false">A19</f>
        <v>ABC 25 kg s/ruedas</v>
      </c>
      <c r="B85" s="53" t="n">
        <f aca="false">IFERROR(F19/F$23*INDEX(Supuestos!$C$84:$C$90,MATCH(B$71,Supuestos!$A$84:$A$90,0)),0)</f>
        <v>0</v>
      </c>
      <c r="C85" s="53" t="n">
        <f aca="false">IFERROR(G19/G$23*INDEX(Supuestos!$C$84:$C$90,MATCH(C$71,Supuestos!$A$84:$A$90,0)),0)</f>
        <v>0.0561366023405842</v>
      </c>
      <c r="D85" s="53" t="n">
        <f aca="false">IFERROR(H19/H$23*INDEX(Supuestos!$C$84:$C$90,MATCH(D$71,Supuestos!$A$84:$A$90,0)),0)</f>
        <v>0.494251478705362</v>
      </c>
      <c r="E85" s="53" t="n">
        <f aca="false">IFERROR(I19/I$23*INDEX(Supuestos!$C$84:$C$90,MATCH(E$71,Supuestos!$A$84:$A$90,0)),0)</f>
        <v>0.0379505370230859</v>
      </c>
      <c r="F85" s="53" t="n">
        <f aca="false">IFERROR(J19/J$23*INDEX(Supuestos!$C$84:$C$90,MATCH(F$71,Supuestos!$A$84:$A$90,0)),0)</f>
        <v>0.107181667723389</v>
      </c>
      <c r="G85" s="53" t="n">
        <f aca="false">IFERROR(K19/K$23*INDEX(Supuestos!$C$84:$C$90,MATCH(G$71,Supuestos!$A$84:$A$90,0)),0)</f>
        <v>0.78864435811101</v>
      </c>
      <c r="H85" s="53" t="n">
        <f aca="false">IFERROR(L19/L$23*INDEX(Supuestos!$C$84:$C$90,MATCH(H$71,Supuestos!$A$84:$A$90,0)),0)</f>
        <v>0</v>
      </c>
    </row>
    <row r="86" customFormat="false" ht="15" hidden="false" customHeight="false" outlineLevel="0" collapsed="false">
      <c r="A86" s="9" t="str">
        <f aca="false">A20</f>
        <v>ABC 50 kg s/ruedas</v>
      </c>
      <c r="B86" s="53" t="n">
        <f aca="false">IFERROR(F20/F$23*INDEX(Supuestos!$C$84:$C$90,MATCH(B$71,Supuestos!$A$84:$A$90,0)),0)</f>
        <v>0</v>
      </c>
      <c r="C86" s="53" t="n">
        <f aca="false">IFERROR(G20/G$23*INDEX(Supuestos!$C$84:$C$90,MATCH(C$71,Supuestos!$A$84:$A$90,0)),0)</f>
        <v>0.123437626995402</v>
      </c>
      <c r="D86" s="53" t="n">
        <f aca="false">IFERROR(H20/H$23*INDEX(Supuestos!$C$84:$C$90,MATCH(D$71,Supuestos!$A$84:$A$90,0)),0)</f>
        <v>1.08679946998238</v>
      </c>
      <c r="E86" s="53" t="n">
        <f aca="false">IFERROR(I20/I$23*INDEX(Supuestos!$C$84:$C$90,MATCH(E$71,Supuestos!$A$84:$A$90,0)),0)</f>
        <v>0.083448659840679</v>
      </c>
      <c r="F86" s="53" t="n">
        <f aca="false">IFERROR(J20/J$23*INDEX(Supuestos!$C$84:$C$90,MATCH(F$71,Supuestos!$A$84:$A$90,0)),0)</f>
        <v>0.235679577487004</v>
      </c>
      <c r="G86" s="53" t="n">
        <f aca="false">IFERROR(K20/K$23*INDEX(Supuestos!$C$84:$C$90,MATCH(G$71,Supuestos!$A$84:$A$90,0)),0)</f>
        <v>1.73413395270908</v>
      </c>
      <c r="H86" s="53" t="n">
        <f aca="false">IFERROR(L20/L$23*INDEX(Supuestos!$C$84:$C$90,MATCH(H$71,Supuestos!$A$84:$A$90,0)),0)</f>
        <v>0</v>
      </c>
    </row>
    <row r="87" customFormat="false" ht="15" hidden="false" customHeight="false" outlineLevel="0" collapsed="false">
      <c r="A87" s="9" t="str">
        <f aca="false">A21</f>
        <v>ABC 70 kg s/ruedas</v>
      </c>
      <c r="B87" s="53" t="n">
        <f aca="false">IFERROR(F21/F$23*INDEX(Supuestos!$C$84:$C$90,MATCH(B$71,Supuestos!$A$84:$A$90,0)),0)</f>
        <v>0</v>
      </c>
      <c r="C87" s="53" t="n">
        <f aca="false">IFERROR(G21/G$23*INDEX(Supuestos!$C$84:$C$90,MATCH(C$71,Supuestos!$A$84:$A$90,0)),0)</f>
        <v>0.0268889607849857</v>
      </c>
      <c r="D87" s="53" t="n">
        <f aca="false">IFERROR(H21/H$23*INDEX(Supuestos!$C$84:$C$90,MATCH(D$71,Supuestos!$A$84:$A$90,0)),0)</f>
        <v>0.236742304926098</v>
      </c>
      <c r="E87" s="53" t="n">
        <f aca="false">IFERROR(I21/I$23*INDEX(Supuestos!$C$84:$C$90,MATCH(E$71,Supuestos!$A$84:$A$90,0)),0)</f>
        <v>0.0181779883219823</v>
      </c>
      <c r="F87" s="53" t="n">
        <f aca="false">IFERROR(J21/J$23*INDEX(Supuestos!$C$84:$C$90,MATCH(F$71,Supuestos!$A$84:$A$90,0)),0)</f>
        <v>0.0513391181532201</v>
      </c>
      <c r="G87" s="53" t="n">
        <f aca="false">IFERROR(K21/K$23*INDEX(Supuestos!$C$84:$C$90,MATCH(G$71,Supuestos!$A$84:$A$90,0)),0)</f>
        <v>0.37775402027166</v>
      </c>
      <c r="H87" s="53" t="n">
        <f aca="false">IFERROR(L21/L$23*INDEX(Supuestos!$C$84:$C$90,MATCH(H$71,Supuestos!$A$84:$A$90,0)),0)</f>
        <v>0</v>
      </c>
    </row>
    <row r="88" customFormat="false" ht="15" hidden="false" customHeight="false" outlineLevel="0" collapsed="false">
      <c r="A88" s="9" t="str">
        <f aca="false">A22</f>
        <v>ABC 100 kg s/ruedas</v>
      </c>
      <c r="B88" s="53" t="n">
        <f aca="false">IFERROR(F22/F$23*INDEX(Supuestos!$C$84:$C$90,MATCH(B$71,Supuestos!$A$84:$A$90,0)),0)</f>
        <v>0</v>
      </c>
      <c r="C88" s="53" t="n">
        <f aca="false">IFERROR(G22/G$23*INDEX(Supuestos!$C$84:$C$90,MATCH(C$71,Supuestos!$A$84:$A$90,0)),0)</f>
        <v>0.0179259738566571</v>
      </c>
      <c r="D88" s="53" t="n">
        <f aca="false">IFERROR(H22/H$23*INDEX(Supuestos!$C$84:$C$90,MATCH(D$71,Supuestos!$A$84:$A$90,0)),0)</f>
        <v>0.157828203284065</v>
      </c>
      <c r="E88" s="53" t="n">
        <f aca="false">IFERROR(I22/I$23*INDEX(Supuestos!$C$84:$C$90,MATCH(E$71,Supuestos!$A$84:$A$90,0)),0)</f>
        <v>0.0121186588813215</v>
      </c>
      <c r="F88" s="53" t="n">
        <f aca="false">IFERROR(J22/J$23*INDEX(Supuestos!$C$84:$C$90,MATCH(F$71,Supuestos!$A$84:$A$90,0)),0)</f>
        <v>0.0342260787688134</v>
      </c>
      <c r="G88" s="53" t="n">
        <f aca="false">IFERROR(K22/K$23*INDEX(Supuestos!$C$84:$C$90,MATCH(G$71,Supuestos!$A$84:$A$90,0)),0)</f>
        <v>0.25183601351444</v>
      </c>
      <c r="H88" s="53" t="n">
        <f aca="false">IFERROR(L22/L$23*INDEX(Supuestos!$C$84:$C$90,MATCH(H$71,Supuestos!$A$84:$A$90,0)),0)</f>
        <v>0</v>
      </c>
    </row>
    <row r="89" customFormat="false" ht="15" hidden="false" customHeight="false" outlineLevel="0" collapsed="false">
      <c r="A89" s="40" t="s">
        <v>294</v>
      </c>
      <c r="B89" s="44" t="n">
        <f aca="false">SUM(B72:B88)</f>
        <v>25</v>
      </c>
      <c r="C89" s="44" t="n">
        <f aca="false">SUM(C72:C88)</f>
        <v>14</v>
      </c>
      <c r="D89" s="44" t="n">
        <f aca="false">SUM(D72:D88)</f>
        <v>35</v>
      </c>
      <c r="E89" s="44" t="n">
        <f aca="false">SUM(E72:E88)</f>
        <v>18</v>
      </c>
      <c r="F89" s="44" t="n">
        <f aca="false">SUM(F72:F88)</f>
        <v>20</v>
      </c>
      <c r="G89" s="44" t="n">
        <f aca="false">SUM(G72:G88)</f>
        <v>45</v>
      </c>
      <c r="H89" s="44" t="n">
        <f aca="false">SUM(H72:H88)</f>
        <v>16</v>
      </c>
    </row>
  </sheetData>
  <mergeCells count="5">
    <mergeCell ref="G63:L63"/>
    <mergeCell ref="G64:L64"/>
    <mergeCell ref="G65:L65"/>
    <mergeCell ref="G66:L66"/>
    <mergeCell ref="G67:L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7" min="2" style="0" width="14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4" customFormat="false" ht="15" hidden="false" customHeight="false" outlineLevel="0" collapsed="false">
      <c r="A4" s="3" t="s">
        <v>297</v>
      </c>
    </row>
    <row r="5" customFormat="false" ht="30" hidden="false" customHeight="true" outlineLevel="0" collapsed="false">
      <c r="A5" s="8" t="s">
        <v>61</v>
      </c>
      <c r="B5" s="8" t="s">
        <v>144</v>
      </c>
      <c r="C5" s="8" t="s">
        <v>145</v>
      </c>
      <c r="D5" s="8" t="s">
        <v>146</v>
      </c>
      <c r="E5" s="8" t="s">
        <v>147</v>
      </c>
      <c r="F5" s="8" t="s">
        <v>298</v>
      </c>
    </row>
    <row r="6" customFormat="false" ht="15" hidden="false" customHeight="false" outlineLevel="0" collapsed="false">
      <c r="A6" s="4" t="s">
        <v>299</v>
      </c>
      <c r="B6" s="49" t="n">
        <f aca="false">Supuestos!$B$50*Supuestos!$B$51*Supuestos!$B$20</f>
        <v>1.6206</v>
      </c>
      <c r="C6" s="49" t="n">
        <f aca="false">Supuestos!$C$50*Supuestos!$C$51*Supuestos!$B$20</f>
        <v>3.41924625</v>
      </c>
      <c r="D6" s="49" t="n">
        <f aca="false">Supuestos!$D$50*Supuestos!$D$51*Supuestos!$B$20</f>
        <v>4.08112125</v>
      </c>
      <c r="E6" s="49" t="n">
        <f aca="false">Supuestos!$E$50*Supuestos!$E$51*Supuestos!$B$20</f>
        <v>4.94155875</v>
      </c>
      <c r="F6" s="6" t="s">
        <v>300</v>
      </c>
    </row>
    <row r="7" customFormat="false" ht="15" hidden="false" customHeight="false" outlineLevel="0" collapsed="false">
      <c r="A7" s="4" t="s">
        <v>301</v>
      </c>
      <c r="B7" s="37" t="n">
        <f aca="false">(Supuestos!$B$54-Supuestos!$B$17*Supuestos!$B$18)*(1-Supuestos!$B$19)</f>
        <v>531</v>
      </c>
      <c r="C7" s="37" t="n">
        <f aca="false">(Supuestos!$C$54-Supuestos!$B$17*Supuestos!$B$18)*(1-Supuestos!$B$19)</f>
        <v>1225.8</v>
      </c>
      <c r="D7" s="37" t="n">
        <f aca="false">(Supuestos!$D$54-Supuestos!$B$17*Supuestos!$B$18)*(1-Supuestos!$B$19)</f>
        <v>1161.9</v>
      </c>
      <c r="E7" s="37" t="n">
        <f aca="false">(Supuestos!$E$54-Supuestos!$B$17*Supuestos!$B$18)*(1-Supuestos!$B$19)</f>
        <v>1093.5</v>
      </c>
      <c r="F7" s="6" t="s">
        <v>302</v>
      </c>
    </row>
    <row r="8" customFormat="false" ht="15" hidden="false" customHeight="false" outlineLevel="0" collapsed="false">
      <c r="A8" s="4" t="s">
        <v>303</v>
      </c>
      <c r="B8" s="54" t="n">
        <f aca="false">Supuestos!$B$53</f>
        <v>3.3</v>
      </c>
      <c r="C8" s="54" t="n">
        <f aca="false">Supuestos!$C$53</f>
        <v>8</v>
      </c>
      <c r="D8" s="54" t="n">
        <f aca="false">Supuestos!$D$53</f>
        <v>10.8</v>
      </c>
      <c r="E8" s="54" t="n">
        <f aca="false">Supuestos!$E$53</f>
        <v>13</v>
      </c>
      <c r="F8" s="6" t="s">
        <v>304</v>
      </c>
    </row>
    <row r="9" customFormat="false" ht="15" hidden="false" customHeight="false" outlineLevel="0" collapsed="false">
      <c r="A9" s="4" t="s">
        <v>305</v>
      </c>
      <c r="B9" s="55" t="n">
        <f aca="false">Supuestos!$B$57</f>
        <v>33626485</v>
      </c>
      <c r="C9" s="55" t="n">
        <f aca="false">Supuestos!$C$57</f>
        <v>67780000</v>
      </c>
      <c r="D9" s="55" t="n">
        <f aca="false">Supuestos!$D$57</f>
        <v>73883675.8974359</v>
      </c>
      <c r="E9" s="55" t="n">
        <f aca="false">Supuestos!$E$57</f>
        <v>78322535.9589744</v>
      </c>
      <c r="F9" s="6" t="s">
        <v>306</v>
      </c>
    </row>
    <row r="10" customFormat="false" ht="15" hidden="false" customHeight="false" outlineLevel="0" collapsed="false">
      <c r="A10" s="4" t="s">
        <v>307</v>
      </c>
      <c r="B10" s="30" t="str">
        <f aca="false">IF(Supuestos!$B$55=1,"Sí","No")</f>
        <v>No</v>
      </c>
      <c r="C10" s="30" t="str">
        <f aca="false">IF(Supuestos!$C$55=1,"Sí","No")</f>
        <v>Sí</v>
      </c>
      <c r="D10" s="30" t="str">
        <f aca="false">IF(Supuestos!$D$55=1,"Sí","No")</f>
        <v>Sí</v>
      </c>
      <c r="E10" s="30" t="str">
        <f aca="false">IF(Supuestos!$E$55=1,"Sí","No")</f>
        <v>Sí</v>
      </c>
      <c r="F10" s="6"/>
    </row>
    <row r="12" customFormat="false" ht="15" hidden="false" customHeight="false" outlineLevel="0" collapsed="false">
      <c r="A12" s="3" t="s">
        <v>308</v>
      </c>
    </row>
    <row r="13" customFormat="false" ht="30" hidden="false" customHeight="true" outlineLevel="0" collapsed="false">
      <c r="A13" s="8" t="s">
        <v>17</v>
      </c>
      <c r="B13" s="8" t="s">
        <v>18</v>
      </c>
      <c r="C13" s="8" t="s">
        <v>15</v>
      </c>
      <c r="D13" s="8" t="s">
        <v>309</v>
      </c>
      <c r="E13" s="8" t="s">
        <v>270</v>
      </c>
      <c r="F13" s="8" t="s">
        <v>294</v>
      </c>
      <c r="G13" s="8" t="s">
        <v>310</v>
      </c>
      <c r="H13" s="8" t="s">
        <v>278</v>
      </c>
      <c r="I13" s="8" t="s">
        <v>279</v>
      </c>
      <c r="J13" s="8" t="s">
        <v>311</v>
      </c>
      <c r="K13" s="8" t="s">
        <v>312</v>
      </c>
    </row>
    <row r="14" customFormat="false" ht="15" hidden="false" customHeight="false" outlineLevel="0" collapsed="false">
      <c r="A14" s="4" t="s">
        <v>225</v>
      </c>
      <c r="B14" s="13" t="str">
        <f aca="false">INDEX(Supuestos!$B$84:$B$90,MATCH($A14,Supuestos!$A$84:$A$90,0))</f>
        <v>Kangoo</v>
      </c>
      <c r="C14" s="54" t="n">
        <f aca="false">'Demanda y mix'!O50</f>
        <v>291.554514004631</v>
      </c>
      <c r="D14" s="54" t="n">
        <f aca="false">'Demanda y mix'!Q50</f>
        <v>402.345229326391</v>
      </c>
      <c r="E14" s="46" t="n">
        <f aca="false">INDEX(Supuestos!$D$84:$D$90,MATCH($A14,Supuestos!$A$84:$A$90,0))</f>
        <v>1</v>
      </c>
      <c r="F14" s="11" t="n">
        <f aca="false">INDEX(Supuestos!$C$84:$C$90,MATCH($A14,Supuestos!$A$84:$A$90,0))</f>
        <v>25</v>
      </c>
      <c r="G14" s="54" t="n">
        <f aca="false">INDEX(Supuestos!$E$84:$E$90,MATCH($A14,Supuestos!$A$84:$A$90,0))</f>
        <v>0.5</v>
      </c>
      <c r="H14" s="56" t="n">
        <f aca="false">'Demanda y mix'!R50</f>
        <v>2.26010059428069</v>
      </c>
      <c r="I14" s="57" t="n">
        <f aca="false">'Demanda y mix'!S50</f>
        <v>0.00900025793405306</v>
      </c>
      <c r="J14" s="58" t="n">
        <f aca="false">2/F14*(Supuestos!$B$15+Supuestos!$B$16)/60+2*G14/60</f>
        <v>0.0633333333333333</v>
      </c>
      <c r="K14" s="39" t="n">
        <f aca="false">(Supuestos!$B$9-Supuestos!$B$14)/J14</f>
        <v>94.7368421052632</v>
      </c>
    </row>
    <row r="15" customFormat="false" ht="15" hidden="false" customHeight="false" outlineLevel="0" collapsed="false">
      <c r="A15" s="4" t="s">
        <v>228</v>
      </c>
      <c r="B15" s="13" t="str">
        <f aca="false">INDEX(Supuestos!$B$84:$B$90,MATCH($A15,Supuestos!$A$84:$A$90,0))</f>
        <v>Master</v>
      </c>
      <c r="C15" s="54" t="n">
        <f aca="false">'Demanda y mix'!O51</f>
        <v>132.070146848641</v>
      </c>
      <c r="D15" s="54" t="n">
        <f aca="false">'Demanda y mix'!Q51</f>
        <v>164.031122386011</v>
      </c>
      <c r="E15" s="46" t="n">
        <f aca="false">INDEX(Supuestos!$D$84:$D$90,MATCH($A15,Supuestos!$A$84:$A$90,0))</f>
        <v>1</v>
      </c>
      <c r="F15" s="11" t="n">
        <f aca="false">INDEX(Supuestos!$C$84:$C$90,MATCH($A15,Supuestos!$A$84:$A$90,0))</f>
        <v>14</v>
      </c>
      <c r="G15" s="54" t="n">
        <f aca="false">INDEX(Supuestos!$E$84:$E$90,MATCH($A15,Supuestos!$A$84:$A$90,0))</f>
        <v>1.5</v>
      </c>
      <c r="H15" s="56" t="n">
        <f aca="false">'Demanda y mix'!R51</f>
        <v>9.95211351160987</v>
      </c>
      <c r="I15" s="57" t="n">
        <f aca="false">'Demanda y mix'!S51</f>
        <v>0.0342488804603498</v>
      </c>
      <c r="J15" s="58" t="n">
        <f aca="false">2/F15*(Supuestos!$B$15+Supuestos!$B$16)/60+2*G15/60</f>
        <v>0.133333333333333</v>
      </c>
      <c r="K15" s="39" t="n">
        <f aca="false">(Supuestos!$B$9-Supuestos!$B$14)/J15</f>
        <v>45</v>
      </c>
    </row>
    <row r="16" customFormat="false" ht="15" hidden="false" customHeight="false" outlineLevel="0" collapsed="false">
      <c r="A16" s="4" t="s">
        <v>231</v>
      </c>
      <c r="B16" s="13" t="str">
        <f aca="false">INDEX(Supuestos!$B$84:$B$90,MATCH($A16,Supuestos!$A$84:$A$90,0))</f>
        <v>Master</v>
      </c>
      <c r="C16" s="54" t="n">
        <f aca="false">'Demanda y mix'!O52</f>
        <v>20.557183272154</v>
      </c>
      <c r="D16" s="54" t="n">
        <f aca="false">'Demanda y mix'!Q52</f>
        <v>22.695130332458</v>
      </c>
      <c r="E16" s="46" t="n">
        <f aca="false">INDEX(Supuestos!$D$84:$D$90,MATCH($A16,Supuestos!$A$84:$A$90,0))</f>
        <v>0.9</v>
      </c>
      <c r="F16" s="11" t="n">
        <f aca="false">INDEX(Supuestos!$C$84:$C$90,MATCH($A16,Supuestos!$A$84:$A$90,0))</f>
        <v>35</v>
      </c>
      <c r="G16" s="54" t="n">
        <f aca="false">INDEX(Supuestos!$E$84:$E$90,MATCH($A16,Supuestos!$A$84:$A$90,0))</f>
        <v>1.5</v>
      </c>
      <c r="H16" s="56" t="n">
        <f aca="false">'Demanda y mix'!R52</f>
        <v>14.3904070831971</v>
      </c>
      <c r="I16" s="57" t="n">
        <f aca="false">'Demanda y mix'!S52</f>
        <v>0.0590050236202306</v>
      </c>
      <c r="J16" s="58" t="n">
        <f aca="false">2/F16*(Supuestos!$B$15+Supuestos!$B$16)/60+2*G16/60</f>
        <v>0.0833333333333333</v>
      </c>
      <c r="K16" s="39" t="n">
        <f aca="false">(Supuestos!$B$9-Supuestos!$B$14)/J16</f>
        <v>72</v>
      </c>
    </row>
    <row r="17" customFormat="false" ht="15" hidden="false" customHeight="false" outlineLevel="0" collapsed="false">
      <c r="A17" s="4" t="s">
        <v>233</v>
      </c>
      <c r="B17" s="13" t="str">
        <f aca="false">INDEX(Supuestos!$B$84:$B$90,MATCH($A17,Supuestos!$A$84:$A$90,0))</f>
        <v>Master</v>
      </c>
      <c r="C17" s="54" t="n">
        <f aca="false">'Demanda y mix'!O53</f>
        <v>38.8925271780723</v>
      </c>
      <c r="D17" s="54" t="n">
        <f aca="false">'Demanda y mix'!Q53</f>
        <v>37.5701812540178</v>
      </c>
      <c r="E17" s="46" t="n">
        <f aca="false">INDEX(Supuestos!$D$84:$D$90,MATCH($A17,Supuestos!$A$84:$A$90,0))</f>
        <v>1</v>
      </c>
      <c r="F17" s="11" t="n">
        <f aca="false">INDEX(Supuestos!$C$84:$C$90,MATCH($A17,Supuestos!$A$84:$A$90,0))</f>
        <v>18</v>
      </c>
      <c r="G17" s="54" t="n">
        <f aca="false">INDEX(Supuestos!$E$84:$E$90,MATCH($A17,Supuestos!$A$84:$A$90,0))</f>
        <v>1.5</v>
      </c>
      <c r="H17" s="56" t="n">
        <f aca="false">'Demanda y mix'!R53</f>
        <v>9.17209526819972</v>
      </c>
      <c r="I17" s="57" t="n">
        <f aca="false">'Demanda y mix'!S53</f>
        <v>0.029730288529239</v>
      </c>
      <c r="J17" s="58" t="n">
        <f aca="false">2/F17*(Supuestos!$B$15+Supuestos!$B$16)/60+2*G17/60</f>
        <v>0.114814814814815</v>
      </c>
      <c r="K17" s="39" t="n">
        <f aca="false">(Supuestos!$B$9-Supuestos!$B$14)/J17</f>
        <v>52.258064516129</v>
      </c>
    </row>
    <row r="18" customFormat="false" ht="15" hidden="false" customHeight="false" outlineLevel="0" collapsed="false">
      <c r="A18" s="4" t="s">
        <v>235</v>
      </c>
      <c r="B18" s="13" t="str">
        <f aca="false">INDEX(Supuestos!$B$84:$B$90,MATCH($A18,Supuestos!$A$84:$A$90,0))</f>
        <v>Master</v>
      </c>
      <c r="C18" s="54" t="n">
        <f aca="false">'Demanda y mix'!O54</f>
        <v>17.1679371922692</v>
      </c>
      <c r="D18" s="54" t="n">
        <f aca="false">'Demanda y mix'!Q54</f>
        <v>23.6917533253316</v>
      </c>
      <c r="E18" s="46" t="n">
        <f aca="false">INDEX(Supuestos!$D$84:$D$90,MATCH($A18,Supuestos!$A$84:$A$90,0))</f>
        <v>1</v>
      </c>
      <c r="F18" s="11" t="n">
        <f aca="false">INDEX(Supuestos!$C$84:$C$90,MATCH($A18,Supuestos!$A$84:$A$90,0))</f>
        <v>20</v>
      </c>
      <c r="G18" s="54" t="n">
        <f aca="false">INDEX(Supuestos!$E$84:$E$90,MATCH($A18,Supuestos!$A$84:$A$90,0))</f>
        <v>1.5</v>
      </c>
      <c r="H18" s="56" t="n">
        <f aca="false">'Demanda y mix'!R54</f>
        <v>9.62987785286269</v>
      </c>
      <c r="I18" s="57" t="n">
        <f aca="false">'Demanda y mix'!S54</f>
        <v>0.0366224782078776</v>
      </c>
      <c r="J18" s="58" t="n">
        <f aca="false">2/F18*(Supuestos!$B$15+Supuestos!$B$16)/60+2*G18/60</f>
        <v>0.108333333333333</v>
      </c>
      <c r="K18" s="39" t="n">
        <f aca="false">(Supuestos!$B$9-Supuestos!$B$14)/J18</f>
        <v>55.3846153846154</v>
      </c>
    </row>
    <row r="19" customFormat="false" ht="15" hidden="false" customHeight="false" outlineLevel="0" collapsed="false">
      <c r="A19" s="4" t="s">
        <v>237</v>
      </c>
      <c r="B19" s="13" t="str">
        <f aca="false">INDEX(Supuestos!$B$84:$B$90,MATCH($A19,Supuestos!$A$84:$A$90,0))</f>
        <v>Master</v>
      </c>
      <c r="C19" s="54" t="n">
        <f aca="false">'Demanda y mix'!O55</f>
        <v>28.1664481638203</v>
      </c>
      <c r="D19" s="54" t="n">
        <f aca="false">'Demanda y mix'!Q55</f>
        <v>31.0957587728576</v>
      </c>
      <c r="E19" s="46" t="n">
        <f aca="false">INDEX(Supuestos!$D$84:$D$90,MATCH($A19,Supuestos!$A$84:$A$90,0))</f>
        <v>0.8</v>
      </c>
      <c r="F19" s="11" t="n">
        <f aca="false">INDEX(Supuestos!$C$84:$C$90,MATCH($A19,Supuestos!$A$84:$A$90,0))</f>
        <v>45</v>
      </c>
      <c r="G19" s="54" t="n">
        <f aca="false">INDEX(Supuestos!$E$84:$E$90,MATCH($A19,Supuestos!$A$84:$A$90,0))</f>
        <v>1.5</v>
      </c>
      <c r="H19" s="56" t="n">
        <f aca="false">'Demanda y mix'!R55</f>
        <v>19.5075699494656</v>
      </c>
      <c r="I19" s="57" t="n">
        <f aca="false">'Demanda y mix'!S55</f>
        <v>0.0921698853165895</v>
      </c>
      <c r="J19" s="58" t="n">
        <f aca="false">2/F19*(Supuestos!$B$15+Supuestos!$B$16)/60+2*G19/60</f>
        <v>0.0759259259259259</v>
      </c>
      <c r="K19" s="39" t="n">
        <f aca="false">(Supuestos!$B$9-Supuestos!$B$14)/J19</f>
        <v>79.0243902439025</v>
      </c>
    </row>
    <row r="20" customFormat="false" ht="15" hidden="false" customHeight="false" outlineLevel="0" collapsed="false">
      <c r="A20" s="4" t="s">
        <v>239</v>
      </c>
      <c r="B20" s="13" t="str">
        <f aca="false">INDEX(Supuestos!$B$84:$B$90,MATCH($A20,Supuestos!$A$84:$A$90,0))</f>
        <v>Kangoo</v>
      </c>
      <c r="C20" s="54" t="n">
        <f aca="false">'Demanda y mix'!O56</f>
        <v>2.17457667374562</v>
      </c>
      <c r="D20" s="54" t="n">
        <f aca="false">'Demanda y mix'!Q56</f>
        <v>2.70082422879206</v>
      </c>
      <c r="E20" s="46" t="n">
        <f aca="false">INDEX(Supuestos!$D$84:$D$90,MATCH($A20,Supuestos!$A$84:$A$90,0))</f>
        <v>1</v>
      </c>
      <c r="F20" s="11" t="n">
        <f aca="false">INDEX(Supuestos!$C$84:$C$90,MATCH($A20,Supuestos!$A$84:$A$90,0))</f>
        <v>16</v>
      </c>
      <c r="G20" s="54" t="n">
        <f aca="false">INDEX(Supuestos!$E$84:$E$90,MATCH($A20,Supuestos!$A$84:$A$90,0))</f>
        <v>1</v>
      </c>
      <c r="H20" s="56" t="n">
        <f aca="false">'Demanda y mix'!R56</f>
        <v>6.74475972477821</v>
      </c>
      <c r="I20" s="57" t="n">
        <f aca="false">'Demanda y mix'!S56</f>
        <v>0.0222419880602839</v>
      </c>
      <c r="J20" s="58" t="n">
        <f aca="false">2/F20*(Supuestos!$B$15+Supuestos!$B$16)/60+2*G20/60</f>
        <v>0.10625</v>
      </c>
      <c r="K20" s="39" t="n">
        <f aca="false">(Supuestos!$B$9-Supuestos!$B$14)/J20</f>
        <v>56.4705882352941</v>
      </c>
    </row>
    <row r="21" customFormat="false" ht="15" hidden="false" customHeight="false" outlineLevel="0" collapsed="false">
      <c r="A21" s="6" t="s">
        <v>313</v>
      </c>
    </row>
    <row r="23" customFormat="false" ht="15" hidden="false" customHeight="false" outlineLevel="0" collapsed="false">
      <c r="A23" s="3" t="s">
        <v>314</v>
      </c>
    </row>
    <row r="24" customFormat="false" ht="30" hidden="false" customHeight="true" outlineLevel="0" collapsed="false">
      <c r="A24" s="8" t="s">
        <v>17</v>
      </c>
      <c r="B24" s="8" t="s">
        <v>144</v>
      </c>
      <c r="C24" s="8" t="s">
        <v>145</v>
      </c>
      <c r="D24" s="8" t="s">
        <v>146</v>
      </c>
      <c r="E24" s="8" t="s">
        <v>147</v>
      </c>
    </row>
    <row r="25" customFormat="false" ht="15" hidden="false" customHeight="false" outlineLevel="0" collapsed="false">
      <c r="A25" s="4" t="s">
        <v>225</v>
      </c>
      <c r="B25" s="37" t="n">
        <f aca="false">MIN(B$6/$I14,B$7/$H14)</f>
        <v>180.061506222878</v>
      </c>
      <c r="C25" s="37" t="n">
        <f aca="false">MIN(C$6/$I14,C$7/$H14)</f>
        <v>379.905362163351</v>
      </c>
      <c r="D25" s="37" t="n">
        <f aca="false">MIN(D$6/$I14,D$7/$H14)</f>
        <v>453.444921234848</v>
      </c>
      <c r="E25" s="37" t="n">
        <f aca="false">MIN(E$6/$I14,E$7/$H14)</f>
        <v>483.828021977058</v>
      </c>
      <c r="F25" s="6" t="s">
        <v>315</v>
      </c>
    </row>
    <row r="26" customFormat="false" ht="15" hidden="false" customHeight="false" outlineLevel="0" collapsed="false">
      <c r="A26" s="4" t="s">
        <v>228</v>
      </c>
      <c r="B26" s="37" t="n">
        <f aca="false">MIN(B$6/$I15,B$7/$H15)</f>
        <v>47.3183350292627</v>
      </c>
      <c r="C26" s="37" t="n">
        <f aca="false">MIN(C$6/$I15,C$7/$H15)</f>
        <v>99.8352706436198</v>
      </c>
      <c r="D26" s="37" t="n">
        <f aca="false">MIN(D$6/$I15,D$7/$H15)</f>
        <v>116.749070299948</v>
      </c>
      <c r="E26" s="37" t="n">
        <f aca="false">MIN(E$6/$I15,E$7/$H15)</f>
        <v>109.876158338061</v>
      </c>
      <c r="F26" s="6" t="s">
        <v>316</v>
      </c>
    </row>
    <row r="27" customFormat="false" ht="15" hidden="false" customHeight="false" outlineLevel="0" collapsed="false">
      <c r="A27" s="4" t="s">
        <v>231</v>
      </c>
      <c r="B27" s="37" t="n">
        <f aca="false">MIN(B$6/$I16,B$7/$H16)</f>
        <v>27.4654580333793</v>
      </c>
      <c r="C27" s="37" t="n">
        <f aca="false">MIN(C$6/$I16,C$7/$H16)</f>
        <v>57.9483921912654</v>
      </c>
      <c r="D27" s="37" t="n">
        <f aca="false">MIN(D$6/$I16,D$7/$H16)</f>
        <v>69.1656574237984</v>
      </c>
      <c r="E27" s="37" t="n">
        <f aca="false">MIN(E$6/$I16,E$7/$H16)</f>
        <v>75.9881213698827</v>
      </c>
    </row>
    <row r="28" customFormat="false" ht="15" hidden="false" customHeight="false" outlineLevel="0" collapsed="false">
      <c r="A28" s="4" t="s">
        <v>233</v>
      </c>
      <c r="B28" s="37" t="n">
        <f aca="false">MIN(B$6/$I17,B$7/$H17)</f>
        <v>54.5100663387838</v>
      </c>
      <c r="C28" s="37" t="n">
        <f aca="false">MIN(C$6/$I17,C$7/$H17)</f>
        <v>115.008848522854</v>
      </c>
      <c r="D28" s="37" t="n">
        <f aca="false">MIN(D$6/$I17,D$7/$H17)</f>
        <v>126.677707331321</v>
      </c>
      <c r="E28" s="37" t="n">
        <f aca="false">MIN(E$6/$I17,E$7/$H17)</f>
        <v>119.220305505465</v>
      </c>
    </row>
    <row r="29" customFormat="false" ht="15" hidden="false" customHeight="false" outlineLevel="0" collapsed="false">
      <c r="A29" s="4" t="s">
        <v>235</v>
      </c>
      <c r="B29" s="37" t="n">
        <f aca="false">MIN(B$6/$I18,B$7/$H18)</f>
        <v>44.2515110747313</v>
      </c>
      <c r="C29" s="37" t="n">
        <f aca="false">MIN(C$6/$I18,C$7/$H18)</f>
        <v>93.3646879545282</v>
      </c>
      <c r="D29" s="37" t="n">
        <f aca="false">MIN(D$6/$I18,D$7/$H18)</f>
        <v>111.437604709179</v>
      </c>
      <c r="E29" s="37" t="n">
        <f aca="false">MIN(E$6/$I18,E$7/$H18)</f>
        <v>113.552842175971</v>
      </c>
    </row>
    <row r="30" customFormat="false" ht="15" hidden="false" customHeight="false" outlineLevel="0" collapsed="false">
      <c r="A30" s="4" t="s">
        <v>237</v>
      </c>
      <c r="B30" s="37" t="n">
        <f aca="false">MIN(B$6/$I19,B$7/$H19)</f>
        <v>17.5827494461286</v>
      </c>
      <c r="C30" s="37" t="n">
        <f aca="false">MIN(C$6/$I19,C$7/$H19)</f>
        <v>37.0972171469609</v>
      </c>
      <c r="D30" s="37" t="n">
        <f aca="false">MIN(D$6/$I19,D$7/$H19)</f>
        <v>44.2782502764539</v>
      </c>
      <c r="E30" s="37" t="n">
        <f aca="false">MIN(E$6/$I19,E$7/$H19)</f>
        <v>53.6135933447948</v>
      </c>
    </row>
    <row r="31" customFormat="false" ht="15" hidden="false" customHeight="false" outlineLevel="0" collapsed="false">
      <c r="A31" s="4" t="s">
        <v>239</v>
      </c>
      <c r="B31" s="37" t="n">
        <f aca="false">MIN(B$6/$I20,B$7/$H20)</f>
        <v>72.8621917972254</v>
      </c>
      <c r="C31" s="37" t="n">
        <f aca="false">MIN(C$6/$I20,C$7/$H20)</f>
        <v>153.729344730004</v>
      </c>
      <c r="D31" s="37" t="n">
        <f aca="false">MIN(D$6/$I20,D$7/$H20)</f>
        <v>172.267070646198</v>
      </c>
      <c r="E31" s="37" t="n">
        <f aca="false">MIN(E$6/$I20,E$7/$H20)</f>
        <v>162.125864318459</v>
      </c>
    </row>
    <row r="33" customFormat="false" ht="15" hidden="false" customHeight="false" outlineLevel="0" collapsed="false">
      <c r="A33" s="3" t="s">
        <v>317</v>
      </c>
    </row>
    <row r="34" customFormat="false" ht="30" hidden="false" customHeight="true" outlineLevel="0" collapsed="false">
      <c r="A34" s="8" t="s">
        <v>17</v>
      </c>
      <c r="B34" s="8" t="s">
        <v>144</v>
      </c>
      <c r="C34" s="8" t="s">
        <v>145</v>
      </c>
      <c r="D34" s="8" t="s">
        <v>146</v>
      </c>
      <c r="E34" s="8" t="s">
        <v>147</v>
      </c>
      <c r="F34" s="8" t="s">
        <v>318</v>
      </c>
      <c r="G34" s="8" t="s">
        <v>319</v>
      </c>
      <c r="H34" s="8" t="s">
        <v>320</v>
      </c>
      <c r="I34" s="8" t="s">
        <v>321</v>
      </c>
    </row>
    <row r="35" customFormat="false" ht="15" hidden="false" customHeight="false" outlineLevel="0" collapsed="false">
      <c r="A35" s="4" t="s">
        <v>225</v>
      </c>
      <c r="B35" s="39" t="n">
        <f aca="false">IF(B25/(1+$E14)&gt;=$K14,$K14,B25/(1+$E14)*F35)</f>
        <v>90.0307531114389</v>
      </c>
      <c r="C35" s="39" t="n">
        <f aca="false">IF(C25/(1+$E14)&gt;=$K14,$K14,C25/(1+$E14)*G35)</f>
        <v>94.7368421052632</v>
      </c>
      <c r="D35" s="39" t="n">
        <f aca="false">IF(D25/(1+$E14)&gt;=$K14,$K14,D25/(1+$E14)*H35)</f>
        <v>94.7368421052632</v>
      </c>
      <c r="E35" s="39" t="n">
        <f aca="false">IF(E25/(1+$E14)&gt;=$K14,$K14,E25/(1+$E14)*I35)</f>
        <v>94.7368421052632</v>
      </c>
      <c r="F35" s="37" t="n">
        <f aca="false">IF(B25/(1+$E14)&gt;=$K14,1,MAX(1,INT(Supuestos!$B$9/(Supuestos!$B$14+B25/(1+$E14)*$J14))))</f>
        <v>1</v>
      </c>
      <c r="G35" s="37" t="n">
        <f aca="false">IF(C25/(1+$E14)&gt;=$K14,1,MAX(1,INT(Supuestos!$B$9/(Supuestos!$B$14+C25/(1+$E14)*$J14))))</f>
        <v>1</v>
      </c>
      <c r="H35" s="37" t="n">
        <f aca="false">IF(D25/(1+$E14)&gt;=$K14,1,MAX(1,INT(Supuestos!$B$9/(Supuestos!$B$14+D25/(1+$E14)*$J14))))</f>
        <v>1</v>
      </c>
      <c r="I35" s="37" t="n">
        <f aca="false">IF(E25/(1+$E14)&gt;=$K14,1,MAX(1,INT(Supuestos!$B$9/(Supuestos!$B$14+E25/(1+$E14)*$J14))))</f>
        <v>1</v>
      </c>
    </row>
    <row r="36" customFormat="false" ht="15" hidden="false" customHeight="false" outlineLevel="0" collapsed="false">
      <c r="A36" s="4" t="s">
        <v>228</v>
      </c>
      <c r="B36" s="39" t="n">
        <f aca="false">IF(B26/(1+$E15)&gt;=$K15,$K15,B26/(1+$E15)*F36)</f>
        <v>23.6591675146314</v>
      </c>
      <c r="C36" s="39" t="n">
        <f aca="false">IF(C26/(1+$E15)&gt;=$K15,$K15,C26/(1+$E15)*G36)</f>
        <v>45</v>
      </c>
      <c r="D36" s="39" t="n">
        <f aca="false">IF(D26/(1+$E15)&gt;=$K15,$K15,D26/(1+$E15)*H36)</f>
        <v>45</v>
      </c>
      <c r="E36" s="39" t="n">
        <f aca="false">IF(E26/(1+$E15)&gt;=$K15,$K15,E26/(1+$E15)*I36)</f>
        <v>45</v>
      </c>
      <c r="F36" s="37" t="n">
        <f aca="false">IF(B26/(1+$E15)&gt;=$K15,1,MAX(1,INT(Supuestos!$B$9/(Supuestos!$B$14+B26/(1+$E15)*$J15))))</f>
        <v>1</v>
      </c>
      <c r="G36" s="37" t="n">
        <f aca="false">IF(C26/(1+$E15)&gt;=$K15,1,MAX(1,INT(Supuestos!$B$9/(Supuestos!$B$14+C26/(1+$E15)*$J15))))</f>
        <v>1</v>
      </c>
      <c r="H36" s="37" t="n">
        <f aca="false">IF(D26/(1+$E15)&gt;=$K15,1,MAX(1,INT(Supuestos!$B$9/(Supuestos!$B$14+D26/(1+$E15)*$J15))))</f>
        <v>1</v>
      </c>
      <c r="I36" s="37" t="n">
        <f aca="false">IF(E26/(1+$E15)&gt;=$K15,1,MAX(1,INT(Supuestos!$B$9/(Supuestos!$B$14+E26/(1+$E15)*$J15))))</f>
        <v>1</v>
      </c>
    </row>
    <row r="37" customFormat="false" ht="15" hidden="false" customHeight="false" outlineLevel="0" collapsed="false">
      <c r="A37" s="4" t="s">
        <v>231</v>
      </c>
      <c r="B37" s="39" t="n">
        <f aca="false">IF(B27/(1+$E16)&gt;=$K16,$K16,B27/(1+$E16)*F37)</f>
        <v>28.9110084561888</v>
      </c>
      <c r="C37" s="39" t="n">
        <f aca="false">IF(C27/(1+$E16)&gt;=$K16,$K16,C27/(1+$E16)*G37)</f>
        <v>30.4991537848765</v>
      </c>
      <c r="D37" s="39" t="n">
        <f aca="false">IF(D27/(1+$E16)&gt;=$K16,$K16,D27/(1+$E16)*H37)</f>
        <v>36.4029775914728</v>
      </c>
      <c r="E37" s="39" t="n">
        <f aca="false">IF(E27/(1+$E16)&gt;=$K16,$K16,E27/(1+$E16)*I37)</f>
        <v>39.993748089412</v>
      </c>
      <c r="F37" s="37" t="n">
        <f aca="false">IF(B27/(1+$E16)&gt;=$K16,1,MAX(1,INT(Supuestos!$B$9/(Supuestos!$B$14+B27/(1+$E16)*$J16))))</f>
        <v>2</v>
      </c>
      <c r="G37" s="37" t="n">
        <f aca="false">IF(C27/(1+$E16)&gt;=$K16,1,MAX(1,INT(Supuestos!$B$9/(Supuestos!$B$14+C27/(1+$E16)*$J16))))</f>
        <v>1</v>
      </c>
      <c r="H37" s="37" t="n">
        <f aca="false">IF(D27/(1+$E16)&gt;=$K16,1,MAX(1,INT(Supuestos!$B$9/(Supuestos!$B$14+D27/(1+$E16)*$J16))))</f>
        <v>1</v>
      </c>
      <c r="I37" s="37" t="n">
        <f aca="false">IF(E27/(1+$E16)&gt;=$K16,1,MAX(1,INT(Supuestos!$B$9/(Supuestos!$B$14+E27/(1+$E16)*$J16))))</f>
        <v>1</v>
      </c>
    </row>
    <row r="38" customFormat="false" ht="15" hidden="false" customHeight="false" outlineLevel="0" collapsed="false">
      <c r="A38" s="4" t="s">
        <v>233</v>
      </c>
      <c r="B38" s="39" t="n">
        <f aca="false">IF(B28/(1+$E17)&gt;=$K17,$K17,B28/(1+$E17)*F38)</f>
        <v>27.2550331693919</v>
      </c>
      <c r="C38" s="39" t="n">
        <f aca="false">IF(C28/(1+$E17)&gt;=$K17,$K17,C28/(1+$E17)*G38)</f>
        <v>52.258064516129</v>
      </c>
      <c r="D38" s="39" t="n">
        <f aca="false">IF(D28/(1+$E17)&gt;=$K17,$K17,D28/(1+$E17)*H38)</f>
        <v>52.258064516129</v>
      </c>
      <c r="E38" s="39" t="n">
        <f aca="false">IF(E28/(1+$E17)&gt;=$K17,$K17,E28/(1+$E17)*I38)</f>
        <v>52.258064516129</v>
      </c>
      <c r="F38" s="37" t="n">
        <f aca="false">IF(B28/(1+$E17)&gt;=$K17,1,MAX(1,INT(Supuestos!$B$9/(Supuestos!$B$14+B28/(1+$E17)*$J17))))</f>
        <v>1</v>
      </c>
      <c r="G38" s="37" t="n">
        <f aca="false">IF(C28/(1+$E17)&gt;=$K17,1,MAX(1,INT(Supuestos!$B$9/(Supuestos!$B$14+C28/(1+$E17)*$J17))))</f>
        <v>1</v>
      </c>
      <c r="H38" s="37" t="n">
        <f aca="false">IF(D28/(1+$E17)&gt;=$K17,1,MAX(1,INT(Supuestos!$B$9/(Supuestos!$B$14+D28/(1+$E17)*$J17))))</f>
        <v>1</v>
      </c>
      <c r="I38" s="37" t="n">
        <f aca="false">IF(E28/(1+$E17)&gt;=$K17,1,MAX(1,INT(Supuestos!$B$9/(Supuestos!$B$14+E28/(1+$E17)*$J17))))</f>
        <v>1</v>
      </c>
    </row>
    <row r="39" customFormat="false" ht="15" hidden="false" customHeight="false" outlineLevel="0" collapsed="false">
      <c r="A39" s="4" t="s">
        <v>235</v>
      </c>
      <c r="B39" s="39" t="n">
        <f aca="false">IF(B29/(1+$E18)&gt;=$K18,$K18,B29/(1+$E18)*F39)</f>
        <v>22.1257555373656</v>
      </c>
      <c r="C39" s="39" t="n">
        <f aca="false">IF(C29/(1+$E18)&gt;=$K18,$K18,C29/(1+$E18)*G39)</f>
        <v>46.6823439772641</v>
      </c>
      <c r="D39" s="39" t="n">
        <f aca="false">IF(D29/(1+$E18)&gt;=$K18,$K18,D29/(1+$E18)*H39)</f>
        <v>55.3846153846154</v>
      </c>
      <c r="E39" s="39" t="n">
        <f aca="false">IF(E29/(1+$E18)&gt;=$K18,$K18,E29/(1+$E18)*I39)</f>
        <v>55.3846153846154</v>
      </c>
      <c r="F39" s="37" t="n">
        <f aca="false">IF(B29/(1+$E18)&gt;=$K18,1,MAX(1,INT(Supuestos!$B$9/(Supuestos!$B$14+B29/(1+$E18)*$J18))))</f>
        <v>1</v>
      </c>
      <c r="G39" s="37" t="n">
        <f aca="false">IF(C29/(1+$E18)&gt;=$K18,1,MAX(1,INT(Supuestos!$B$9/(Supuestos!$B$14+C29/(1+$E18)*$J18))))</f>
        <v>1</v>
      </c>
      <c r="H39" s="37" t="n">
        <f aca="false">IF(D29/(1+$E18)&gt;=$K18,1,MAX(1,INT(Supuestos!$B$9/(Supuestos!$B$14+D29/(1+$E18)*$J18))))</f>
        <v>1</v>
      </c>
      <c r="I39" s="37" t="n">
        <f aca="false">IF(E29/(1+$E18)&gt;=$K18,1,MAX(1,INT(Supuestos!$B$9/(Supuestos!$B$14+E29/(1+$E18)*$J18))))</f>
        <v>1</v>
      </c>
    </row>
    <row r="40" customFormat="false" ht="15" hidden="false" customHeight="false" outlineLevel="0" collapsed="false">
      <c r="A40" s="4" t="s">
        <v>237</v>
      </c>
      <c r="B40" s="39" t="n">
        <f aca="false">IF(B30/(1+$E19)&gt;=$K19,$K19,B30/(1+$E19)*F40)</f>
        <v>29.3045824102143</v>
      </c>
      <c r="C40" s="39" t="n">
        <f aca="false">IF(C30/(1+$E19)&gt;=$K19,$K19,C30/(1+$E19)*G40)</f>
        <v>41.2191301632899</v>
      </c>
      <c r="D40" s="39" t="n">
        <f aca="false">IF(D30/(1+$E19)&gt;=$K19,$K19,D30/(1+$E19)*H40)</f>
        <v>49.1980558627265</v>
      </c>
      <c r="E40" s="39" t="n">
        <f aca="false">IF(E30/(1+$E19)&gt;=$K19,$K19,E30/(1+$E19)*I40)</f>
        <v>29.7853296359971</v>
      </c>
      <c r="F40" s="37" t="n">
        <f aca="false">IF(B30/(1+$E19)&gt;=$K19,1,MAX(1,INT(Supuestos!$B$9/(Supuestos!$B$14+B30/(1+$E19)*$J19))))</f>
        <v>3</v>
      </c>
      <c r="G40" s="37" t="n">
        <f aca="false">IF(C30/(1+$E19)&gt;=$K19,1,MAX(1,INT(Supuestos!$B$9/(Supuestos!$B$14+C30/(1+$E19)*$J19))))</f>
        <v>2</v>
      </c>
      <c r="H40" s="37" t="n">
        <f aca="false">IF(D30/(1+$E19)&gt;=$K19,1,MAX(1,INT(Supuestos!$B$9/(Supuestos!$B$14+D30/(1+$E19)*$J19))))</f>
        <v>2</v>
      </c>
      <c r="I40" s="37" t="n">
        <f aca="false">IF(E30/(1+$E19)&gt;=$K19,1,MAX(1,INT(Supuestos!$B$9/(Supuestos!$B$14+E30/(1+$E19)*$J19))))</f>
        <v>1</v>
      </c>
    </row>
    <row r="41" customFormat="false" ht="15" hidden="false" customHeight="false" outlineLevel="0" collapsed="false">
      <c r="A41" s="4" t="s">
        <v>239</v>
      </c>
      <c r="B41" s="39" t="n">
        <f aca="false">IF(B31/(1+$E20)&gt;=$K20,$K20,B31/(1+$E20)*F41)</f>
        <v>36.4310958986127</v>
      </c>
      <c r="C41" s="39" t="n">
        <f aca="false">IF(C31/(1+$E20)&gt;=$K20,$K20,C31/(1+$E20)*G41)</f>
        <v>56.4705882352941</v>
      </c>
      <c r="D41" s="39" t="n">
        <f aca="false">IF(D31/(1+$E20)&gt;=$K20,$K20,D31/(1+$E20)*H41)</f>
        <v>56.4705882352941</v>
      </c>
      <c r="E41" s="39" t="n">
        <f aca="false">IF(E31/(1+$E20)&gt;=$K20,$K20,E31/(1+$E20)*I41)</f>
        <v>56.4705882352941</v>
      </c>
      <c r="F41" s="37" t="n">
        <f aca="false">IF(B31/(1+$E20)&gt;=$K20,1,MAX(1,INT(Supuestos!$B$9/(Supuestos!$B$14+B31/(1+$E20)*$J20))))</f>
        <v>1</v>
      </c>
      <c r="G41" s="37" t="n">
        <f aca="false">IF(C31/(1+$E20)&gt;=$K20,1,MAX(1,INT(Supuestos!$B$9/(Supuestos!$B$14+C31/(1+$E20)*$J20))))</f>
        <v>1</v>
      </c>
      <c r="H41" s="37" t="n">
        <f aca="false">IF(D31/(1+$E20)&gt;=$K20,1,MAX(1,INT(Supuestos!$B$9/(Supuestos!$B$14+D31/(1+$E20)*$J20))))</f>
        <v>1</v>
      </c>
      <c r="I41" s="37" t="n">
        <f aca="false">IF(E31/(1+$E20)&gt;=$K20,1,MAX(1,INT(Supuestos!$B$9/(Supuestos!$B$14+E31/(1+$E20)*$J20))))</f>
        <v>1</v>
      </c>
    </row>
    <row r="42" customFormat="false" ht="15" hidden="false" customHeight="false" outlineLevel="0" collapsed="false">
      <c r="A42" s="6" t="s">
        <v>322</v>
      </c>
    </row>
    <row r="44" customFormat="false" ht="15" hidden="false" customHeight="false" outlineLevel="0" collapsed="false">
      <c r="A44" s="3" t="s">
        <v>323</v>
      </c>
    </row>
    <row r="45" customFormat="false" ht="30" hidden="false" customHeight="true" outlineLevel="0" collapsed="false">
      <c r="A45" s="8" t="s">
        <v>61</v>
      </c>
      <c r="B45" s="8" t="s">
        <v>144</v>
      </c>
      <c r="C45" s="8" t="s">
        <v>145</v>
      </c>
      <c r="D45" s="8" t="s">
        <v>146</v>
      </c>
      <c r="E45" s="8" t="s">
        <v>147</v>
      </c>
    </row>
    <row r="46" customFormat="false" ht="15" hidden="false" customHeight="false" outlineLevel="0" collapsed="false">
      <c r="A46" s="4" t="s">
        <v>324</v>
      </c>
      <c r="B46" s="49" t="n">
        <f aca="false">SUMPRODUCT(($B$14:$B$20="Kangoo")*$D$14:$D$20/B$35:B$41)</f>
        <v>4.54311062905463</v>
      </c>
      <c r="C46" s="49" t="n">
        <f aca="false">SUMPRODUCT(($B$14:$B$20="Master")*$D$14:$D$20/C$35:C$41)</f>
        <v>6.37010597361591</v>
      </c>
      <c r="D46" s="49" t="n">
        <f aca="false">SUMPRODUCT(($B$14:$B$20="Master")*$D$14:$D$20/D$35:D$41)</f>
        <v>6.04733357429101</v>
      </c>
      <c r="E46" s="49" t="n">
        <f aca="false">SUMPRODUCT(($B$14:$B$20="Master")*$D$14:$D$20/E$35:E$41)</f>
        <v>6.40330213170812</v>
      </c>
    </row>
    <row r="47" customFormat="false" ht="15" hidden="false" customHeight="false" outlineLevel="0" collapsed="false">
      <c r="A47" s="4" t="s">
        <v>325</v>
      </c>
      <c r="B47" s="48" t="n">
        <f aca="false">ROUNDUP(B46/Supuestos!$B$8,0)</f>
        <v>3</v>
      </c>
      <c r="C47" s="48" t="n">
        <f aca="false">ROUNDUP(C46/Supuestos!$B$8,0)</f>
        <v>4</v>
      </c>
      <c r="D47" s="48" t="n">
        <f aca="false">ROUNDUP(D46/Supuestos!$B$8,0)</f>
        <v>4</v>
      </c>
      <c r="E47" s="48" t="n">
        <f aca="false">ROUNDUP(E46/Supuestos!$B$8,0)</f>
        <v>4</v>
      </c>
    </row>
    <row r="48" customFormat="false" ht="15" hidden="false" customHeight="false" outlineLevel="0" collapsed="false">
      <c r="A48" s="4" t="s">
        <v>326</v>
      </c>
      <c r="B48" s="32" t="n">
        <f aca="false">B47*B$9</f>
        <v>100879455</v>
      </c>
      <c r="C48" s="32" t="n">
        <f aca="false">C47*C$9</f>
        <v>271120000</v>
      </c>
      <c r="D48" s="32" t="n">
        <f aca="false">D47*D$9</f>
        <v>295534703.589744</v>
      </c>
      <c r="E48" s="32" t="n">
        <f aca="false">E47*E$9</f>
        <v>313290143.835897</v>
      </c>
    </row>
    <row r="49" customFormat="false" ht="15" hidden="false" customHeight="false" outlineLevel="0" collapsed="false">
      <c r="A49" s="4" t="s">
        <v>327</v>
      </c>
      <c r="B49" s="30" t="s">
        <v>161</v>
      </c>
      <c r="C49" s="59" t="n">
        <f aca="false">C47*1000000000000+C$9</f>
        <v>4000067780000</v>
      </c>
      <c r="D49" s="59" t="n">
        <f aca="false">D47*1000000000000+D$9</f>
        <v>4000073883675.9</v>
      </c>
      <c r="E49" s="59" t="n">
        <f aca="false">E47*1000000000000+E$9</f>
        <v>4000078322535.96</v>
      </c>
    </row>
    <row r="50" customFormat="false" ht="15" hidden="false" customHeight="false" outlineLevel="0" collapsed="false">
      <c r="A50" s="60" t="s">
        <v>22</v>
      </c>
      <c r="B50" s="61" t="str">
        <f aca="false">INDEX($C$45:$E$45,MATCH(MIN(C49:E49),C49:E49,0))</f>
        <v>Master L1H1</v>
      </c>
      <c r="C50" s="37" t="n">
        <f aca="false">MATCH(B50,$C$45:$E$45,0)+1</f>
        <v>2</v>
      </c>
      <c r="D50" s="6" t="s">
        <v>328</v>
      </c>
    </row>
    <row r="52" customFormat="false" ht="15" hidden="false" customHeight="false" outlineLevel="0" collapsed="false">
      <c r="A52" s="3" t="s">
        <v>329</v>
      </c>
    </row>
    <row r="53" customFormat="false" ht="30" hidden="false" customHeight="true" outlineLevel="0" collapsed="false">
      <c r="A53" s="8" t="s">
        <v>17</v>
      </c>
      <c r="B53" s="8" t="s">
        <v>18</v>
      </c>
      <c r="C53" s="8" t="s">
        <v>330</v>
      </c>
      <c r="D53" s="8" t="s">
        <v>331</v>
      </c>
      <c r="E53" s="8" t="s">
        <v>332</v>
      </c>
      <c r="F53" s="8" t="s">
        <v>333</v>
      </c>
      <c r="G53" s="8" t="s">
        <v>334</v>
      </c>
      <c r="H53" s="8" t="s">
        <v>335</v>
      </c>
      <c r="I53" s="8" t="s">
        <v>336</v>
      </c>
      <c r="J53" s="8" t="s">
        <v>337</v>
      </c>
    </row>
    <row r="54" customFormat="false" ht="15" hidden="false" customHeight="false" outlineLevel="0" collapsed="false">
      <c r="A54" s="4" t="s">
        <v>225</v>
      </c>
      <c r="B54" s="30" t="str">
        <f aca="false">B14</f>
        <v>Kangoo</v>
      </c>
      <c r="C54" s="30" t="str">
        <f aca="false">IF(B54="Kangoo",$B$5,$B$50)</f>
        <v>Kangoo Express</v>
      </c>
      <c r="D54" s="39" t="n">
        <f aca="false">INDEX($B35:$E35,IF(B54="Kangoo",1,$C$50))</f>
        <v>90.0307531114389</v>
      </c>
      <c r="E54" s="37" t="n">
        <f aca="false">INDEX($F35:$I35,IF(B54="Kangoo",1,$C$50))</f>
        <v>1</v>
      </c>
      <c r="F54" s="49" t="n">
        <f aca="false">C14/D54</f>
        <v>3.23838803884878</v>
      </c>
      <c r="G54" s="49" t="n">
        <f aca="false">D14/D54</f>
        <v>4.46897549361132</v>
      </c>
      <c r="H54" s="39" t="n">
        <f aca="false">G54*E54</f>
        <v>4.46897549361132</v>
      </c>
      <c r="I54" s="39" t="n">
        <f aca="false">D14/F14*2</f>
        <v>32.1876183461113</v>
      </c>
      <c r="J54" s="37" t="n">
        <f aca="false">MIN(INDEX($B25:$E25,IF(B54="Kangoo",1,$C$50)),D54/E54*(1+E14))</f>
        <v>180.061506222878</v>
      </c>
    </row>
    <row r="55" customFormat="false" ht="15" hidden="false" customHeight="false" outlineLevel="0" collapsed="false">
      <c r="A55" s="4" t="s">
        <v>228</v>
      </c>
      <c r="B55" s="30" t="str">
        <f aca="false">B15</f>
        <v>Master</v>
      </c>
      <c r="C55" s="30" t="str">
        <f aca="false">IF(B55="Kangoo",$B$5,$B$50)</f>
        <v>Master L1H1</v>
      </c>
      <c r="D55" s="39" t="n">
        <f aca="false">INDEX($B36:$E36,IF(B55="Kangoo",1,$C$50))</f>
        <v>45</v>
      </c>
      <c r="E55" s="37" t="n">
        <f aca="false">INDEX($F36:$I36,IF(B55="Kangoo",1,$C$50))</f>
        <v>1</v>
      </c>
      <c r="F55" s="49" t="n">
        <f aca="false">C15/D55</f>
        <v>2.93489215219201</v>
      </c>
      <c r="G55" s="49" t="n">
        <f aca="false">D15/D55</f>
        <v>3.64513605302248</v>
      </c>
      <c r="H55" s="39" t="n">
        <f aca="false">G55*E55</f>
        <v>3.64513605302248</v>
      </c>
      <c r="I55" s="39" t="n">
        <f aca="false">D15/F15*2</f>
        <v>23.4330174837159</v>
      </c>
      <c r="J55" s="37" t="n">
        <f aca="false">MIN(INDEX($B26:$E26,IF(B55="Kangoo",1,$C$50)),D55/E55*(1+E15))</f>
        <v>90</v>
      </c>
    </row>
    <row r="56" customFormat="false" ht="15" hidden="false" customHeight="false" outlineLevel="0" collapsed="false">
      <c r="A56" s="4" t="s">
        <v>231</v>
      </c>
      <c r="B56" s="30" t="str">
        <f aca="false">B16</f>
        <v>Master</v>
      </c>
      <c r="C56" s="30" t="str">
        <f aca="false">IF(B56="Kangoo",$B$5,$B$50)</f>
        <v>Master L1H1</v>
      </c>
      <c r="D56" s="39" t="n">
        <f aca="false">INDEX($B37:$E37,IF(B56="Kangoo",1,$C$50))</f>
        <v>30.4991537848765</v>
      </c>
      <c r="E56" s="37" t="n">
        <f aca="false">INDEX($F37:$I37,IF(B56="Kangoo",1,$C$50))</f>
        <v>1</v>
      </c>
      <c r="F56" s="49" t="n">
        <f aca="false">C16/D56</f>
        <v>0.674024709575634</v>
      </c>
      <c r="G56" s="49" t="n">
        <f aca="false">D16/D56</f>
        <v>0.7441232793715</v>
      </c>
      <c r="H56" s="39" t="n">
        <f aca="false">G56*E56</f>
        <v>0.7441232793715</v>
      </c>
      <c r="I56" s="39" t="n">
        <f aca="false">D16/F16*2</f>
        <v>1.29686459042617</v>
      </c>
      <c r="J56" s="37" t="n">
        <f aca="false">MIN(INDEX($B27:$E27,IF(B56="Kangoo",1,$C$50)),D56/E56*(1+E16))</f>
        <v>57.9483921912654</v>
      </c>
    </row>
    <row r="57" customFormat="false" ht="15" hidden="false" customHeight="false" outlineLevel="0" collapsed="false">
      <c r="A57" s="4" t="s">
        <v>233</v>
      </c>
      <c r="B57" s="30" t="str">
        <f aca="false">B17</f>
        <v>Master</v>
      </c>
      <c r="C57" s="30" t="str">
        <f aca="false">IF(B57="Kangoo",$B$5,$B$50)</f>
        <v>Master L1H1</v>
      </c>
      <c r="D57" s="39" t="n">
        <f aca="false">INDEX($B38:$E38,IF(B57="Kangoo",1,$C$50))</f>
        <v>52.258064516129</v>
      </c>
      <c r="E57" s="37" t="n">
        <f aca="false">INDEX($F38:$I38,IF(B57="Kangoo",1,$C$50))</f>
        <v>1</v>
      </c>
      <c r="F57" s="49" t="n">
        <f aca="false">C17/D57</f>
        <v>0.744239717605087</v>
      </c>
      <c r="G57" s="49" t="n">
        <f aca="false">D17/D57</f>
        <v>0.718935567206514</v>
      </c>
      <c r="H57" s="39" t="n">
        <f aca="false">G57*E57</f>
        <v>0.718935567206514</v>
      </c>
      <c r="I57" s="39" t="n">
        <f aca="false">D17/F17*2</f>
        <v>4.17446458377976</v>
      </c>
      <c r="J57" s="37" t="n">
        <f aca="false">MIN(INDEX($B28:$E28,IF(B57="Kangoo",1,$C$50)),D57/E57*(1+E17))</f>
        <v>104.516129032258</v>
      </c>
    </row>
    <row r="58" customFormat="false" ht="15" hidden="false" customHeight="false" outlineLevel="0" collapsed="false">
      <c r="A58" s="4" t="s">
        <v>235</v>
      </c>
      <c r="B58" s="30" t="str">
        <f aca="false">B18</f>
        <v>Master</v>
      </c>
      <c r="C58" s="30" t="str">
        <f aca="false">IF(B58="Kangoo",$B$5,$B$50)</f>
        <v>Master L1H1</v>
      </c>
      <c r="D58" s="39" t="n">
        <f aca="false">INDEX($B39:$E39,IF(B58="Kangoo",1,$C$50))</f>
        <v>46.6823439772641</v>
      </c>
      <c r="E58" s="37" t="n">
        <f aca="false">INDEX($F39:$I39,IF(B58="Kangoo",1,$C$50))</f>
        <v>1</v>
      </c>
      <c r="F58" s="49" t="n">
        <f aca="false">C18/D58</f>
        <v>0.367760821963666</v>
      </c>
      <c r="G58" s="49" t="n">
        <f aca="false">D18/D58</f>
        <v>0.50750993430986</v>
      </c>
      <c r="H58" s="39" t="n">
        <f aca="false">G58*E58</f>
        <v>0.50750993430986</v>
      </c>
      <c r="I58" s="39" t="n">
        <f aca="false">D18/F18*2</f>
        <v>2.36917533253316</v>
      </c>
      <c r="J58" s="37" t="n">
        <f aca="false">MIN(INDEX($B29:$E29,IF(B58="Kangoo",1,$C$50)),D58/E58*(1+E18))</f>
        <v>93.3646879545282</v>
      </c>
    </row>
    <row r="59" customFormat="false" ht="15" hidden="false" customHeight="false" outlineLevel="0" collapsed="false">
      <c r="A59" s="4" t="s">
        <v>237</v>
      </c>
      <c r="B59" s="30" t="str">
        <f aca="false">B19</f>
        <v>Master</v>
      </c>
      <c r="C59" s="30" t="str">
        <f aca="false">IF(B59="Kangoo",$B$5,$B$50)</f>
        <v>Master L1H1</v>
      </c>
      <c r="D59" s="39" t="n">
        <f aca="false">INDEX($B40:$E40,IF(B59="Kangoo",1,$C$50))</f>
        <v>41.2191301632899</v>
      </c>
      <c r="E59" s="37" t="n">
        <f aca="false">INDEX($F40:$I40,IF(B59="Kangoo",1,$C$50))</f>
        <v>2</v>
      </c>
      <c r="F59" s="49" t="n">
        <f aca="false">C19/D59</f>
        <v>0.683334365675323</v>
      </c>
      <c r="G59" s="49" t="n">
        <f aca="false">D19/D59</f>
        <v>0.754401139705557</v>
      </c>
      <c r="H59" s="39" t="n">
        <f aca="false">G59*E59</f>
        <v>1.50880227941111</v>
      </c>
      <c r="I59" s="39" t="n">
        <f aca="false">D19/F19*2</f>
        <v>1.38203372323811</v>
      </c>
      <c r="J59" s="37" t="n">
        <f aca="false">MIN(INDEX($B30:$E30,IF(B59="Kangoo",1,$C$50)),D59/E59*(1+E19))</f>
        <v>37.0972171469609</v>
      </c>
    </row>
    <row r="60" customFormat="false" ht="15" hidden="false" customHeight="false" outlineLevel="0" collapsed="false">
      <c r="A60" s="4" t="s">
        <v>239</v>
      </c>
      <c r="B60" s="30" t="str">
        <f aca="false">B20</f>
        <v>Kangoo</v>
      </c>
      <c r="C60" s="30" t="str">
        <f aca="false">IF(B60="Kangoo",$B$5,$B$50)</f>
        <v>Kangoo Express</v>
      </c>
      <c r="D60" s="39" t="n">
        <f aca="false">INDEX($B41:$E41,IF(B60="Kangoo",1,$C$50))</f>
        <v>36.4310958986127</v>
      </c>
      <c r="E60" s="37" t="n">
        <f aca="false">INDEX($F41:$I41,IF(B60="Kangoo",1,$C$50))</f>
        <v>1</v>
      </c>
      <c r="F60" s="49" t="n">
        <f aca="false">C20/D60</f>
        <v>0.0596901251556484</v>
      </c>
      <c r="G60" s="49" t="n">
        <f aca="false">D20/D60</f>
        <v>0.0741351354433153</v>
      </c>
      <c r="H60" s="39" t="n">
        <f aca="false">G60*E60</f>
        <v>0.0741351354433153</v>
      </c>
      <c r="I60" s="39" t="n">
        <f aca="false">D20/F20*2</f>
        <v>0.337603028599008</v>
      </c>
      <c r="J60" s="37" t="n">
        <f aca="false">MIN(INDEX($B31:$E31,IF(B60="Kangoo",1,$C$50)),D60/E60*(1+E20))</f>
        <v>72.8621917972254</v>
      </c>
    </row>
    <row r="61" customFormat="false" ht="15" hidden="false" customHeight="false" outlineLevel="0" collapsed="false">
      <c r="A61" s="40" t="s">
        <v>268</v>
      </c>
      <c r="B61" s="41"/>
      <c r="C61" s="41"/>
      <c r="D61" s="41"/>
      <c r="E61" s="41"/>
      <c r="F61" s="44" t="n">
        <f aca="false">SUM(F54:F60)</f>
        <v>8.70232993101615</v>
      </c>
      <c r="G61" s="44" t="n">
        <f aca="false">SUM(G54:G60)</f>
        <v>10.9132166026705</v>
      </c>
      <c r="H61" s="44" t="n">
        <f aca="false">SUM(H54:H60)</f>
        <v>11.6676177423761</v>
      </c>
      <c r="I61" s="44" t="n">
        <f aca="false">SUM(I54:I60)</f>
        <v>65.1807770884034</v>
      </c>
      <c r="J61" s="41"/>
    </row>
    <row r="63" customFormat="false" ht="15" hidden="false" customHeight="false" outlineLevel="0" collapsed="false">
      <c r="A63" s="3" t="s">
        <v>338</v>
      </c>
    </row>
    <row r="64" customFormat="false" ht="30" hidden="false" customHeight="true" outlineLevel="0" collapsed="false">
      <c r="A64" s="8" t="s">
        <v>18</v>
      </c>
      <c r="B64" s="8" t="s">
        <v>330</v>
      </c>
      <c r="C64" s="8" t="s">
        <v>333</v>
      </c>
      <c r="D64" s="8" t="s">
        <v>334</v>
      </c>
      <c r="E64" s="8" t="s">
        <v>325</v>
      </c>
      <c r="F64" s="8" t="s">
        <v>339</v>
      </c>
      <c r="G64" s="8" t="s">
        <v>335</v>
      </c>
      <c r="H64" s="8" t="s">
        <v>326</v>
      </c>
    </row>
    <row r="65" customFormat="false" ht="15" hidden="false" customHeight="false" outlineLevel="0" collapsed="false">
      <c r="A65" s="4" t="s">
        <v>226</v>
      </c>
      <c r="B65" s="30" t="str">
        <f aca="false">$B$5</f>
        <v>Kangoo Express</v>
      </c>
      <c r="C65" s="49" t="n">
        <f aca="false">SUMIF($B$54:$B$60,A65,$F$54:$F$60)</f>
        <v>3.29807816400443</v>
      </c>
      <c r="D65" s="49" t="n">
        <f aca="false">SUMIF($B$54:$B$60,A65,$G$54:$G$60)</f>
        <v>4.54311062905463</v>
      </c>
      <c r="E65" s="62" t="n">
        <f aca="false">ROUNDUP(D65/Supuestos!$B$8,0)</f>
        <v>3</v>
      </c>
      <c r="F65" s="63" t="n">
        <f aca="false">IFERROR(C65/(E65*Supuestos!$B$8),0)</f>
        <v>0.549679694000738</v>
      </c>
      <c r="G65" s="39" t="n">
        <f aca="false">SUMIF($B$54:$B$60,A65,$H$54:$H$60)</f>
        <v>4.54311062905463</v>
      </c>
      <c r="H65" s="32" t="n">
        <f aca="false">E65*$B$9</f>
        <v>100879455</v>
      </c>
    </row>
    <row r="66" customFormat="false" ht="15" hidden="false" customHeight="false" outlineLevel="0" collapsed="false">
      <c r="A66" s="4" t="s">
        <v>229</v>
      </c>
      <c r="B66" s="30" t="str">
        <f aca="false">$B$50</f>
        <v>Master L1H1</v>
      </c>
      <c r="C66" s="49" t="n">
        <f aca="false">SUMIF($B$54:$B$60,A66,$F$54:$F$60)</f>
        <v>5.40425176701172</v>
      </c>
      <c r="D66" s="49" t="n">
        <f aca="false">SUMIF($B$54:$B$60,A66,$G$54:$G$60)</f>
        <v>6.37010597361591</v>
      </c>
      <c r="E66" s="62" t="n">
        <f aca="false">ROUNDUP(D66/Supuestos!$B$8,0)</f>
        <v>4</v>
      </c>
      <c r="F66" s="63" t="n">
        <f aca="false">IFERROR(C66/(E66*Supuestos!$B$8),0)</f>
        <v>0.675531470876465</v>
      </c>
      <c r="G66" s="39" t="n">
        <f aca="false">SUMIF($B$54:$B$60,A66,$H$54:$H$60)</f>
        <v>7.12450711332146</v>
      </c>
      <c r="H66" s="32" t="n">
        <f aca="false">E66*INDEX($B$9:$E$9,$C$50)</f>
        <v>271120000</v>
      </c>
    </row>
    <row r="67" customFormat="false" ht="15" hidden="false" customHeight="false" outlineLevel="0" collapsed="false">
      <c r="A67" s="40" t="s">
        <v>268</v>
      </c>
      <c r="B67" s="41"/>
      <c r="C67" s="44" t="n">
        <f aca="false">SUM(C65:C66)</f>
        <v>8.70232993101615</v>
      </c>
      <c r="D67" s="44" t="n">
        <f aca="false">SUM(D65:D66)</f>
        <v>10.9132166026705</v>
      </c>
      <c r="E67" s="42" t="n">
        <f aca="false">SUM(E65:E66)</f>
        <v>7</v>
      </c>
      <c r="F67" s="41"/>
      <c r="G67" s="44" t="n">
        <f aca="false">SUM(G65:G66)</f>
        <v>11.6676177423761</v>
      </c>
      <c r="H67" s="64" t="n">
        <f aca="false">SUM(H65:H66)</f>
        <v>371999455</v>
      </c>
    </row>
    <row r="68" customFormat="false" ht="15" hidden="false" customHeight="false" outlineLevel="0" collapsed="false">
      <c r="A68" s="6" t="s">
        <v>340</v>
      </c>
    </row>
    <row r="69" customFormat="false" ht="15" hidden="false" customHeight="false" outlineLevel="0" collapsed="false">
      <c r="A69" s="6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.5"/>
  </cols>
  <sheetData>
    <row r="1" customFormat="false" ht="17.35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3" t="s">
        <v>344</v>
      </c>
    </row>
    <row r="5" customFormat="false" ht="30" hidden="false" customHeight="true" outlineLevel="0" collapsed="false">
      <c r="A5" s="8" t="s">
        <v>167</v>
      </c>
      <c r="B5" s="8" t="s">
        <v>345</v>
      </c>
      <c r="C5" s="8" t="s">
        <v>346</v>
      </c>
      <c r="D5" s="8" t="s">
        <v>173</v>
      </c>
      <c r="E5" s="8" t="s">
        <v>347</v>
      </c>
      <c r="F5" s="8" t="s">
        <v>348</v>
      </c>
      <c r="G5" s="8" t="s">
        <v>349</v>
      </c>
      <c r="H5" s="8" t="s">
        <v>31</v>
      </c>
      <c r="I5" s="8" t="s">
        <v>33</v>
      </c>
      <c r="J5" s="8" t="s">
        <v>350</v>
      </c>
      <c r="K5" s="8" t="s">
        <v>351</v>
      </c>
      <c r="L5" s="8" t="s">
        <v>194</v>
      </c>
    </row>
    <row r="6" customFormat="false" ht="15" hidden="false" customHeight="false" outlineLevel="0" collapsed="false">
      <c r="A6" s="9" t="str">
        <f aca="false">Supuestos!A62</f>
        <v>ABC 1 kg</v>
      </c>
      <c r="B6" s="49" t="n">
        <f aca="false">SUMPRODUCT('Demanda y mix'!F6:L6,'Demanda y mix'!$F$25:$L$25)/(Supuestos!$B$7*Supuestos!$B$6)</f>
        <v>280.025</v>
      </c>
      <c r="C6" s="49" t="n">
        <f aca="false">SUMPRODUCT('Demanda y mix'!F6:L6,'Demanda y mix'!$F$24:$L$24,'Demanda y mix'!$F$25:$L$25)/Supuestos!$B$6</f>
        <v>336.022668639146</v>
      </c>
      <c r="D6" s="46" t="n">
        <f aca="false">Supuestos!H62</f>
        <v>0.25</v>
      </c>
      <c r="E6" s="49" t="n">
        <f aca="false">Supuestos!$B$25*(1-D6)+Supuestos!$B$26*D6+Supuestos!$B$27+Supuestos!$B$28</f>
        <v>4</v>
      </c>
      <c r="F6" s="49" t="n">
        <f aca="false">Supuestos!$C$25*(1-D6)+Supuestos!$C$26*D6+Supuestos!$C$27+Supuestos!$C$28</f>
        <v>2</v>
      </c>
      <c r="G6" s="12" t="n">
        <f aca="false">(Supuestos!$B$31*Supuestos!$B$32+(Supuestos!$B$7*Supuestos!$B$6/E6)*Supuestos!$B$33*Supuestos!$B$32)/(Supuestos!$B$7*Supuestos!$B$6)</f>
        <v>0.01625</v>
      </c>
      <c r="H6" s="62" t="n">
        <f aca="false">ROUNDUP(C6*E6*(1+Supuestos!$B$30)/(1-G6),0)</f>
        <v>1503</v>
      </c>
      <c r="I6" s="37" t="n">
        <f aca="false">ROUNDUP(B6*F6,0)</f>
        <v>561</v>
      </c>
      <c r="J6" s="37" t="n">
        <f aca="false">MAX(0,H6-C6*(E6-Supuestos!$B$28))</f>
        <v>494.931994082562</v>
      </c>
      <c r="K6" s="49" t="n">
        <f aca="false">J6/Supuestos!F62</f>
        <v>6.87405547336892</v>
      </c>
      <c r="L6" s="11" t="n">
        <f aca="false">Supuestos!G62</f>
        <v>0</v>
      </c>
    </row>
    <row r="7" customFormat="false" ht="15" hidden="false" customHeight="false" outlineLevel="0" collapsed="false">
      <c r="A7" s="9" t="str">
        <f aca="false">Supuestos!A63</f>
        <v>ABC 2,5 kg</v>
      </c>
      <c r="B7" s="49" t="n">
        <f aca="false">SUMPRODUCT('Demanda y mix'!F7:L7,'Demanda y mix'!$F$25:$L$25)/(Supuestos!$B$7*Supuestos!$B$6)</f>
        <v>23.581914348252</v>
      </c>
      <c r="C7" s="49" t="n">
        <f aca="false">SUMPRODUCT('Demanda y mix'!F7:L7,'Demanda y mix'!$F$24:$L$24,'Demanda y mix'!$F$25:$L$25)/Supuestos!$B$6</f>
        <v>24.955082699897</v>
      </c>
      <c r="D7" s="46" t="n">
        <f aca="false">Supuestos!H63</f>
        <v>0.25</v>
      </c>
      <c r="E7" s="49" t="n">
        <f aca="false">Supuestos!$B$25*(1-D7)+Supuestos!$B$26*D7+Supuestos!$B$27+Supuestos!$B$28</f>
        <v>4</v>
      </c>
      <c r="F7" s="49" t="n">
        <f aca="false">Supuestos!$C$25*(1-D7)+Supuestos!$C$26*D7+Supuestos!$C$27+Supuestos!$C$28</f>
        <v>2</v>
      </c>
      <c r="G7" s="12" t="n">
        <f aca="false">(Supuestos!$B$31*Supuestos!$B$32+(Supuestos!$B$7*Supuestos!$B$6/E7)*Supuestos!$B$33*Supuestos!$B$32)/(Supuestos!$B$7*Supuestos!$B$6)</f>
        <v>0.01625</v>
      </c>
      <c r="H7" s="62" t="n">
        <f aca="false">ROUNDUP(C7*E7*(1+Supuestos!$B$30)/(1-G7),0)</f>
        <v>112</v>
      </c>
      <c r="I7" s="37" t="n">
        <f aca="false">ROUNDUP(B7*F7,0)</f>
        <v>48</v>
      </c>
      <c r="J7" s="37" t="n">
        <f aca="false">MAX(0,H7-C7*(E7-Supuestos!$B$28))</f>
        <v>37.134751900309</v>
      </c>
      <c r="K7" s="49" t="n">
        <f aca="false">J7/Supuestos!F63</f>
        <v>1.23782506334363</v>
      </c>
      <c r="L7" s="11" t="n">
        <f aca="false">Supuestos!G63</f>
        <v>0</v>
      </c>
    </row>
    <row r="8" customFormat="false" ht="15" hidden="false" customHeight="false" outlineLevel="0" collapsed="false">
      <c r="A8" s="9" t="str">
        <f aca="false">Supuestos!A64</f>
        <v>ABC 5 kg</v>
      </c>
      <c r="B8" s="49" t="n">
        <f aca="false">SUMPRODUCT('Demanda y mix'!F8:L8,'Demanda y mix'!$F$25:$L$25)/(Supuestos!$B$7*Supuestos!$B$6)</f>
        <v>140.640875580429</v>
      </c>
      <c r="C8" s="49" t="n">
        <f aca="false">SUMPRODUCT('Demanda y mix'!F8:L8,'Demanda y mix'!$F$24:$L$24,'Demanda y mix'!$F$25:$L$25)/Supuestos!$B$6</f>
        <v>146.534668572638</v>
      </c>
      <c r="D8" s="46" t="n">
        <f aca="false">Supuestos!H64</f>
        <v>0.25</v>
      </c>
      <c r="E8" s="49" t="n">
        <f aca="false">Supuestos!$B$25*(1-D8)+Supuestos!$B$26*D8+Supuestos!$B$27+Supuestos!$B$28</f>
        <v>4</v>
      </c>
      <c r="F8" s="49" t="n">
        <f aca="false">Supuestos!$C$25*(1-D8)+Supuestos!$C$26*D8+Supuestos!$C$27+Supuestos!$C$28</f>
        <v>2</v>
      </c>
      <c r="G8" s="12" t="n">
        <f aca="false">(Supuestos!$B$31*Supuestos!$B$32+(Supuestos!$B$7*Supuestos!$B$6/E8)*Supuestos!$B$33*Supuestos!$B$32)/(Supuestos!$B$7*Supuestos!$B$6)</f>
        <v>0.01625</v>
      </c>
      <c r="H8" s="62" t="n">
        <f aca="false">ROUNDUP(C8*E8*(1+Supuestos!$B$30)/(1-G8),0)</f>
        <v>656</v>
      </c>
      <c r="I8" s="37" t="n">
        <f aca="false">ROUNDUP(B8*F8,0)</f>
        <v>282</v>
      </c>
      <c r="J8" s="37" t="n">
        <f aca="false">MAX(0,H8-C8*(E8-Supuestos!$B$28))</f>
        <v>216.395994282085</v>
      </c>
      <c r="K8" s="49" t="n">
        <f aca="false">J8/Supuestos!F64</f>
        <v>9.01649976175355</v>
      </c>
      <c r="L8" s="11" t="n">
        <f aca="false">Supuestos!G64</f>
        <v>0</v>
      </c>
    </row>
    <row r="9" customFormat="false" ht="15" hidden="false" customHeight="false" outlineLevel="0" collapsed="false">
      <c r="A9" s="9" t="str">
        <f aca="false">Supuestos!A65</f>
        <v>ABC 10 kg</v>
      </c>
      <c r="B9" s="49" t="n">
        <f aca="false">SUMPRODUCT('Demanda y mix'!F9:L9,'Demanda y mix'!$F$25:$L$25)/(Supuestos!$B$7*Supuestos!$B$6)</f>
        <v>8.42927161971659</v>
      </c>
      <c r="C9" s="49" t="n">
        <f aca="false">SUMPRODUCT('Demanda y mix'!F9:L9,'Demanda y mix'!$F$24:$L$24,'Demanda y mix'!$F$25:$L$25)/Supuestos!$B$6</f>
        <v>8.62175228539325</v>
      </c>
      <c r="D9" s="46" t="n">
        <f aca="false">Supuestos!H65</f>
        <v>0.25</v>
      </c>
      <c r="E9" s="49" t="n">
        <f aca="false">Supuestos!$B$25*(1-D9)+Supuestos!$B$26*D9+Supuestos!$B$27+Supuestos!$B$28</f>
        <v>4</v>
      </c>
      <c r="F9" s="49" t="n">
        <f aca="false">Supuestos!$C$25*(1-D9)+Supuestos!$C$26*D9+Supuestos!$C$27+Supuestos!$C$28</f>
        <v>2</v>
      </c>
      <c r="G9" s="12" t="n">
        <f aca="false">(Supuestos!$B$31*Supuestos!$B$32+(Supuestos!$B$7*Supuestos!$B$6/E9)*Supuestos!$B$33*Supuestos!$B$32)/(Supuestos!$B$7*Supuestos!$B$6)</f>
        <v>0.01625</v>
      </c>
      <c r="H9" s="62" t="n">
        <f aca="false">ROUNDUP(C9*E9*(1+Supuestos!$B$30)/(1-G9),0)</f>
        <v>39</v>
      </c>
      <c r="I9" s="37" t="n">
        <f aca="false">ROUNDUP(B9*F9,0)</f>
        <v>17</v>
      </c>
      <c r="J9" s="37" t="n">
        <f aca="false">MAX(0,H9-C9*(E9-Supuestos!$B$28))</f>
        <v>13.1347431438203</v>
      </c>
      <c r="K9" s="49" t="n">
        <f aca="false">J9/Supuestos!F65</f>
        <v>0.820921446488766</v>
      </c>
      <c r="L9" s="11" t="n">
        <f aca="false">Supuestos!G65</f>
        <v>0</v>
      </c>
    </row>
    <row r="10" customFormat="false" ht="15" hidden="false" customHeight="false" outlineLevel="0" collapsed="false">
      <c r="A10" s="9" t="str">
        <f aca="false">Supuestos!A66</f>
        <v>Agua 10 l</v>
      </c>
      <c r="B10" s="49" t="n">
        <f aca="false">SUMPRODUCT('Demanda y mix'!F10:L10,'Demanda y mix'!$F$25:$L$25)/(Supuestos!$B$7*Supuestos!$B$6)</f>
        <v>11.6136120036405</v>
      </c>
      <c r="C10" s="49" t="n">
        <f aca="false">SUMPRODUCT('Demanda y mix'!F10:L10,'Demanda y mix'!$F$24:$L$24,'Demanda y mix'!$F$25:$L$25)/Supuestos!$B$6</f>
        <v>11.8578008888633</v>
      </c>
      <c r="D10" s="46" t="n">
        <f aca="false">Supuestos!H66</f>
        <v>0.5</v>
      </c>
      <c r="E10" s="49" t="n">
        <f aca="false">Supuestos!$B$25*(1-D10)+Supuestos!$B$26*D10+Supuestos!$B$27+Supuestos!$B$28</f>
        <v>4.5</v>
      </c>
      <c r="F10" s="49" t="n">
        <f aca="false">Supuestos!$C$25*(1-D10)+Supuestos!$C$26*D10+Supuestos!$C$27+Supuestos!$C$28</f>
        <v>2.5</v>
      </c>
      <c r="G10" s="12" t="n">
        <f aca="false">(Supuestos!$B$31*Supuestos!$B$32+(Supuestos!$B$7*Supuestos!$B$6/E10)*Supuestos!$B$33*Supuestos!$B$32)/(Supuestos!$B$7*Supuestos!$B$6)</f>
        <v>0.0158333333333333</v>
      </c>
      <c r="H10" s="62" t="n">
        <f aca="false">ROUNDUP(C10*E10*(1+Supuestos!$B$30)/(1-G10),0)</f>
        <v>60</v>
      </c>
      <c r="I10" s="37" t="n">
        <f aca="false">ROUNDUP(B10*F10,0)</f>
        <v>30</v>
      </c>
      <c r="J10" s="37" t="n">
        <f aca="false">MAX(0,H10-C10*(E10-Supuestos!$B$28))</f>
        <v>18.4976968889784</v>
      </c>
      <c r="K10" s="49" t="n">
        <f aca="false">J10/Supuestos!F66</f>
        <v>1.15610605556115</v>
      </c>
      <c r="L10" s="11" t="n">
        <f aca="false">Supuestos!G66</f>
        <v>0</v>
      </c>
    </row>
    <row r="11" customFormat="false" ht="15" hidden="false" customHeight="false" outlineLevel="0" collapsed="false">
      <c r="A11" s="9" t="str">
        <f aca="false">Supuestos!A67</f>
        <v>AFFF 10 l</v>
      </c>
      <c r="B11" s="49" t="n">
        <f aca="false">SUMPRODUCT('Demanda y mix'!F11:L11,'Demanda y mix'!$F$25:$L$25)/(Supuestos!$B$7*Supuestos!$B$6)</f>
        <v>1.83333333333333</v>
      </c>
      <c r="C11" s="49" t="n">
        <f aca="false">SUMPRODUCT('Demanda y mix'!F11:L11,'Demanda y mix'!$F$24:$L$24,'Demanda y mix'!$F$25:$L$25)/Supuestos!$B$6</f>
        <v>1.76</v>
      </c>
      <c r="D11" s="46" t="n">
        <f aca="false">Supuestos!H67</f>
        <v>0.5</v>
      </c>
      <c r="E11" s="49" t="n">
        <f aca="false">Supuestos!$B$25*(1-D11)+Supuestos!$B$26*D11+Supuestos!$B$27+Supuestos!$B$28</f>
        <v>4.5</v>
      </c>
      <c r="F11" s="49" t="n">
        <f aca="false">Supuestos!$C$25*(1-D11)+Supuestos!$C$26*D11+Supuestos!$C$27+Supuestos!$C$28</f>
        <v>2.5</v>
      </c>
      <c r="G11" s="12" t="n">
        <f aca="false">(Supuestos!$B$31*Supuestos!$B$32+(Supuestos!$B$7*Supuestos!$B$6/E11)*Supuestos!$B$33*Supuestos!$B$32)/(Supuestos!$B$7*Supuestos!$B$6)</f>
        <v>0.0158333333333333</v>
      </c>
      <c r="H11" s="62" t="n">
        <f aca="false">ROUNDUP(C11*E11*(1+Supuestos!$B$30)/(1-G11),0)</f>
        <v>9</v>
      </c>
      <c r="I11" s="37" t="n">
        <f aca="false">ROUNDUP(B11*F11,0)</f>
        <v>5</v>
      </c>
      <c r="J11" s="37" t="n">
        <f aca="false">MAX(0,H11-C11*(E11-Supuestos!$B$28))</f>
        <v>2.84</v>
      </c>
      <c r="K11" s="49" t="n">
        <f aca="false">J11/Supuestos!F67</f>
        <v>0.1775</v>
      </c>
      <c r="L11" s="11" t="n">
        <f aca="false">Supuestos!G67</f>
        <v>0</v>
      </c>
    </row>
    <row r="12" customFormat="false" ht="15" hidden="false" customHeight="false" outlineLevel="0" collapsed="false">
      <c r="A12" s="9" t="str">
        <f aca="false">Supuestos!A68</f>
        <v>AFFF 50 l s/ruedas</v>
      </c>
      <c r="B12" s="49" t="n">
        <f aca="false">SUMPRODUCT('Demanda y mix'!F12:L12,'Demanda y mix'!$F$25:$L$25)/(Supuestos!$B$7*Supuestos!$B$6)</f>
        <v>0.956666666666667</v>
      </c>
      <c r="C12" s="49" t="n">
        <f aca="false">SUMPRODUCT('Demanda y mix'!F12:L12,'Demanda y mix'!$F$24:$L$24,'Demanda y mix'!$F$25:$L$25)/Supuestos!$B$6</f>
        <v>0.9184</v>
      </c>
      <c r="D12" s="46" t="n">
        <f aca="false">Supuestos!H68</f>
        <v>0.5</v>
      </c>
      <c r="E12" s="49" t="n">
        <f aca="false">Supuestos!$B$25*(1-D12)+Supuestos!$B$26*D12+Supuestos!$B$27+Supuestos!$B$28</f>
        <v>4.5</v>
      </c>
      <c r="F12" s="49" t="n">
        <f aca="false">Supuestos!$C$25*(1-D12)+Supuestos!$C$26*D12+Supuestos!$C$27+Supuestos!$C$28</f>
        <v>2.5</v>
      </c>
      <c r="G12" s="12" t="n">
        <f aca="false">(Supuestos!$B$31*Supuestos!$B$32+(Supuestos!$B$7*Supuestos!$B$6/E12)*Supuestos!$B$33*Supuestos!$B$32)/(Supuestos!$B$7*Supuestos!$B$6)</f>
        <v>0.0158333333333333</v>
      </c>
      <c r="H12" s="62" t="n">
        <f aca="false">ROUNDUP(C12*E12*(1+Supuestos!$B$30)/(1-G12),0)</f>
        <v>5</v>
      </c>
      <c r="I12" s="37" t="n">
        <f aca="false">ROUNDUP(B12*F12,0)</f>
        <v>3</v>
      </c>
      <c r="J12" s="37" t="n">
        <f aca="false">MAX(0,H12-C12*(E12-Supuestos!$B$28))</f>
        <v>1.7856</v>
      </c>
      <c r="K12" s="49" t="n">
        <f aca="false">J12/Supuestos!F68</f>
        <v>0.8928</v>
      </c>
      <c r="L12" s="11" t="n">
        <f aca="false">Supuestos!G68</f>
        <v>1</v>
      </c>
    </row>
    <row r="13" customFormat="false" ht="15" hidden="false" customHeight="false" outlineLevel="0" collapsed="false">
      <c r="A13" s="9" t="str">
        <f aca="false">Supuestos!A69</f>
        <v>BC 5 kg</v>
      </c>
      <c r="B13" s="49" t="n">
        <f aca="false">SUMPRODUCT('Demanda y mix'!F13:L13,'Demanda y mix'!$F$25:$L$25)/(Supuestos!$B$7*Supuestos!$B$6)</f>
        <v>0.55</v>
      </c>
      <c r="C13" s="49" t="n">
        <f aca="false">SUMPRODUCT('Demanda y mix'!F13:L13,'Demanda y mix'!$F$24:$L$24,'Demanda y mix'!$F$25:$L$25)/Supuestos!$B$6</f>
        <v>0.528</v>
      </c>
      <c r="D13" s="46" t="n">
        <f aca="false">Supuestos!H69</f>
        <v>0.25</v>
      </c>
      <c r="E13" s="49" t="n">
        <f aca="false">Supuestos!$B$25*(1-D13)+Supuestos!$B$26*D13+Supuestos!$B$27+Supuestos!$B$28</f>
        <v>4</v>
      </c>
      <c r="F13" s="49" t="n">
        <f aca="false">Supuestos!$C$25*(1-D13)+Supuestos!$C$26*D13+Supuestos!$C$27+Supuestos!$C$28</f>
        <v>2</v>
      </c>
      <c r="G13" s="12" t="n">
        <f aca="false">(Supuestos!$B$31*Supuestos!$B$32+(Supuestos!$B$7*Supuestos!$B$6/E13)*Supuestos!$B$33*Supuestos!$B$32)/(Supuestos!$B$7*Supuestos!$B$6)</f>
        <v>0.01625</v>
      </c>
      <c r="H13" s="62" t="n">
        <f aca="false">ROUNDUP(C13*E13*(1+Supuestos!$B$30)/(1-G13),0)</f>
        <v>3</v>
      </c>
      <c r="I13" s="37" t="n">
        <f aca="false">ROUNDUP(B13*F13,0)</f>
        <v>2</v>
      </c>
      <c r="J13" s="37" t="n">
        <f aca="false">MAX(0,H13-C13*(E13-Supuestos!$B$28))</f>
        <v>1.416</v>
      </c>
      <c r="K13" s="49" t="n">
        <f aca="false">J13/Supuestos!F69</f>
        <v>0.059</v>
      </c>
      <c r="L13" s="11" t="n">
        <f aca="false">Supuestos!G69</f>
        <v>0</v>
      </c>
    </row>
    <row r="14" customFormat="false" ht="15" hidden="false" customHeight="false" outlineLevel="0" collapsed="false">
      <c r="A14" s="9" t="str">
        <f aca="false">Supuestos!A70</f>
        <v>Sales K 6 l</v>
      </c>
      <c r="B14" s="49" t="n">
        <f aca="false">SUMPRODUCT('Demanda y mix'!F14:L14,'Demanda y mix'!$F$25:$L$25)/(Supuestos!$B$7*Supuestos!$B$6)</f>
        <v>5.7401627977517</v>
      </c>
      <c r="C14" s="49" t="n">
        <f aca="false">SUMPRODUCT('Demanda y mix'!F14:L14,'Demanda y mix'!$F$24:$L$24,'Demanda y mix'!$F$25:$L$25)/Supuestos!$B$6</f>
        <v>5.90360139800921</v>
      </c>
      <c r="D14" s="46" t="n">
        <f aca="false">Supuestos!H70</f>
        <v>0.5</v>
      </c>
      <c r="E14" s="49" t="n">
        <f aca="false">Supuestos!$B$25*(1-D14)+Supuestos!$B$26*D14+Supuestos!$B$27+Supuestos!$B$28</f>
        <v>4.5</v>
      </c>
      <c r="F14" s="49" t="n">
        <f aca="false">Supuestos!$C$25*(1-D14)+Supuestos!$C$26*D14+Supuestos!$C$27+Supuestos!$C$28</f>
        <v>2.5</v>
      </c>
      <c r="G14" s="12" t="n">
        <f aca="false">(Supuestos!$B$31*Supuestos!$B$32+(Supuestos!$B$7*Supuestos!$B$6/E14)*Supuestos!$B$33*Supuestos!$B$32)/(Supuestos!$B$7*Supuestos!$B$6)</f>
        <v>0.0158333333333333</v>
      </c>
      <c r="H14" s="62" t="n">
        <f aca="false">ROUNDUP(C14*E14*(1+Supuestos!$B$30)/(1-G14),0)</f>
        <v>30</v>
      </c>
      <c r="I14" s="37" t="n">
        <f aca="false">ROUNDUP(B14*F14,0)</f>
        <v>15</v>
      </c>
      <c r="J14" s="37" t="n">
        <f aca="false">MAX(0,H14-C14*(E14-Supuestos!$B$28))</f>
        <v>9.33739510696776</v>
      </c>
      <c r="K14" s="49" t="n">
        <f aca="false">J14/Supuestos!F70</f>
        <v>0.466869755348388</v>
      </c>
      <c r="L14" s="11" t="n">
        <f aca="false">Supuestos!G70</f>
        <v>0</v>
      </c>
    </row>
    <row r="15" customFormat="false" ht="15" hidden="false" customHeight="false" outlineLevel="0" collapsed="false">
      <c r="A15" s="9" t="str">
        <f aca="false">Supuestos!A71</f>
        <v>CO₂ 2 kg</v>
      </c>
      <c r="B15" s="49" t="n">
        <f aca="false">SUMPRODUCT('Demanda y mix'!F15:L15,'Demanda y mix'!$F$25:$L$25)/(Supuestos!$B$7*Supuestos!$B$6)</f>
        <v>32.0773726603792</v>
      </c>
      <c r="C15" s="49" t="n">
        <f aca="false">SUMPRODUCT('Demanda y mix'!F15:L15,'Demanda y mix'!$F$24:$L$24,'Demanda y mix'!$F$25:$L$25)/Supuestos!$B$6</f>
        <v>32.8097615063815</v>
      </c>
      <c r="D15" s="46" t="n">
        <f aca="false">Supuestos!H71</f>
        <v>0.25</v>
      </c>
      <c r="E15" s="49" t="n">
        <f aca="false">Supuestos!$B$25*(1-D15)+Supuestos!$B$26*D15+Supuestos!$B$27+Supuestos!$B$28</f>
        <v>4</v>
      </c>
      <c r="F15" s="49" t="n">
        <f aca="false">Supuestos!$C$25*(1-D15)+Supuestos!$C$26*D15+Supuestos!$C$27+Supuestos!$C$28</f>
        <v>2</v>
      </c>
      <c r="G15" s="12" t="n">
        <f aca="false">(Supuestos!$B$31*Supuestos!$B$32+(Supuestos!$B$7*Supuestos!$B$6/E15)*Supuestos!$B$33*Supuestos!$B$32)/(Supuestos!$B$7*Supuestos!$B$6)</f>
        <v>0.01625</v>
      </c>
      <c r="H15" s="62" t="n">
        <f aca="false">ROUNDUP(C15*E15*(1+Supuestos!$B$30)/(1-G15),0)</f>
        <v>147</v>
      </c>
      <c r="I15" s="37" t="n">
        <f aca="false">ROUNDUP(B15*F15,0)</f>
        <v>65</v>
      </c>
      <c r="J15" s="37" t="n">
        <f aca="false">MAX(0,H15-C15*(E15-Supuestos!$B$28))</f>
        <v>48.5707154808555</v>
      </c>
      <c r="K15" s="49" t="n">
        <f aca="false">J15/Supuestos!F71</f>
        <v>1.61902384936185</v>
      </c>
      <c r="L15" s="11" t="n">
        <f aca="false">Supuestos!G71</f>
        <v>0</v>
      </c>
    </row>
    <row r="16" customFormat="false" ht="15" hidden="false" customHeight="false" outlineLevel="0" collapsed="false">
      <c r="A16" s="9" t="str">
        <f aca="false">Supuestos!A72</f>
        <v>CO₂ 5 kg</v>
      </c>
      <c r="B16" s="49" t="n">
        <f aca="false">SUMPRODUCT('Demanda y mix'!F16:L16,'Demanda y mix'!$F$25:$L$25)/(Supuestos!$B$7*Supuestos!$B$6)</f>
        <v>10.0006006445562</v>
      </c>
      <c r="C16" s="49" t="n">
        <f aca="false">SUMPRODUCT('Demanda y mix'!F16:L16,'Demanda y mix'!$F$24:$L$24,'Demanda y mix'!$F$25:$L$25)/Supuestos!$B$6</f>
        <v>10.1518277521878</v>
      </c>
      <c r="D16" s="46" t="n">
        <f aca="false">Supuestos!H72</f>
        <v>0.25</v>
      </c>
      <c r="E16" s="49" t="n">
        <f aca="false">Supuestos!$B$25*(1-D16)+Supuestos!$B$26*D16+Supuestos!$B$27+Supuestos!$B$28</f>
        <v>4</v>
      </c>
      <c r="F16" s="49" t="n">
        <f aca="false">Supuestos!$C$25*(1-D16)+Supuestos!$C$26*D16+Supuestos!$C$27+Supuestos!$C$28</f>
        <v>2</v>
      </c>
      <c r="G16" s="12" t="n">
        <f aca="false">(Supuestos!$B$31*Supuestos!$B$32+(Supuestos!$B$7*Supuestos!$B$6/E16)*Supuestos!$B$33*Supuestos!$B$32)/(Supuestos!$B$7*Supuestos!$B$6)</f>
        <v>0.01625</v>
      </c>
      <c r="H16" s="62" t="n">
        <f aca="false">ROUNDUP(C16*E16*(1+Supuestos!$B$30)/(1-G16),0)</f>
        <v>46</v>
      </c>
      <c r="I16" s="37" t="n">
        <f aca="false">ROUNDUP(B16*F16,0)</f>
        <v>21</v>
      </c>
      <c r="J16" s="37" t="n">
        <f aca="false">MAX(0,H16-C16*(E16-Supuestos!$B$28))</f>
        <v>15.5445167434366</v>
      </c>
      <c r="K16" s="49" t="n">
        <f aca="false">J16/Supuestos!F72</f>
        <v>0.777225837171828</v>
      </c>
      <c r="L16" s="11" t="n">
        <f aca="false">Supuestos!G72</f>
        <v>0</v>
      </c>
    </row>
    <row r="17" customFormat="false" ht="15" hidden="false" customHeight="false" outlineLevel="0" collapsed="false">
      <c r="A17" s="9" t="str">
        <f aca="false">Supuestos!A73</f>
        <v>HCFC/HFC 5 kg</v>
      </c>
      <c r="B17" s="49" t="n">
        <f aca="false">SUMPRODUCT('Demanda y mix'!F17:L17,'Demanda y mix'!$F$25:$L$25)/(Supuestos!$B$7*Supuestos!$B$6)</f>
        <v>1.51034688856393</v>
      </c>
      <c r="C17" s="49" t="n">
        <f aca="false">SUMPRODUCT('Demanda y mix'!F17:L17,'Demanda y mix'!$F$24:$L$24,'Demanda y mix'!$F$25:$L$25)/Supuestos!$B$6</f>
        <v>1.44993301302138</v>
      </c>
      <c r="D17" s="46" t="n">
        <f aca="false">Supuestos!H73</f>
        <v>0.25</v>
      </c>
      <c r="E17" s="49" t="n">
        <f aca="false">Supuestos!$B$25*(1-D17)+Supuestos!$B$26*D17+Supuestos!$B$27+Supuestos!$B$28</f>
        <v>4</v>
      </c>
      <c r="F17" s="49" t="n">
        <f aca="false">Supuestos!$C$25*(1-D17)+Supuestos!$C$26*D17+Supuestos!$C$27+Supuestos!$C$28</f>
        <v>2</v>
      </c>
      <c r="G17" s="12" t="n">
        <f aca="false">(Supuestos!$B$31*Supuestos!$B$32+(Supuestos!$B$7*Supuestos!$B$6/E17)*Supuestos!$B$33*Supuestos!$B$32)/(Supuestos!$B$7*Supuestos!$B$6)</f>
        <v>0.01625</v>
      </c>
      <c r="H17" s="62" t="n">
        <f aca="false">ROUNDUP(C17*E17*(1+Supuestos!$B$30)/(1-G17),0)</f>
        <v>7</v>
      </c>
      <c r="I17" s="37" t="n">
        <f aca="false">ROUNDUP(B17*F17,0)</f>
        <v>4</v>
      </c>
      <c r="J17" s="37" t="n">
        <f aca="false">MAX(0,H17-C17*(E17-Supuestos!$B$28))</f>
        <v>2.65020096093587</v>
      </c>
      <c r="K17" s="49" t="n">
        <f aca="false">J17/Supuestos!F73</f>
        <v>0.110425040038994</v>
      </c>
      <c r="L17" s="11" t="n">
        <f aca="false">Supuestos!G73</f>
        <v>0</v>
      </c>
    </row>
    <row r="18" customFormat="false" ht="15" hidden="false" customHeight="false" outlineLevel="0" collapsed="false">
      <c r="A18" s="9" t="str">
        <f aca="false">Supuestos!A74</f>
        <v>Clase D 9 l</v>
      </c>
      <c r="B18" s="49" t="n">
        <f aca="false">SUMPRODUCT('Demanda y mix'!F18:L18,'Demanda y mix'!$F$25:$L$25)/(Supuestos!$B$7*Supuestos!$B$6)</f>
        <v>0.5</v>
      </c>
      <c r="C18" s="49" t="n">
        <f aca="false">SUMPRODUCT('Demanda y mix'!F18:L18,'Demanda y mix'!$F$24:$L$24,'Demanda y mix'!$F$25:$L$25)/Supuestos!$B$6</f>
        <v>0.48</v>
      </c>
      <c r="D18" s="46" t="n">
        <f aca="false">Supuestos!H74</f>
        <v>0.25</v>
      </c>
      <c r="E18" s="49" t="n">
        <f aca="false">Supuestos!$B$25*(1-D18)+Supuestos!$B$26*D18+Supuestos!$B$27+Supuestos!$B$28</f>
        <v>4</v>
      </c>
      <c r="F18" s="49" t="n">
        <f aca="false">Supuestos!$C$25*(1-D18)+Supuestos!$C$26*D18+Supuestos!$C$27+Supuestos!$C$28</f>
        <v>2</v>
      </c>
      <c r="G18" s="12" t="n">
        <f aca="false">(Supuestos!$B$31*Supuestos!$B$32+(Supuestos!$B$7*Supuestos!$B$6/E18)*Supuestos!$B$33*Supuestos!$B$32)/(Supuestos!$B$7*Supuestos!$B$6)</f>
        <v>0.01625</v>
      </c>
      <c r="H18" s="62" t="n">
        <f aca="false">ROUNDUP(C18*E18*(1+Supuestos!$B$30)/(1-G18),0)</f>
        <v>3</v>
      </c>
      <c r="I18" s="37" t="n">
        <f aca="false">ROUNDUP(B18*F18,0)</f>
        <v>1</v>
      </c>
      <c r="J18" s="37" t="n">
        <f aca="false">MAX(0,H18-C18*(E18-Supuestos!$B$28))</f>
        <v>1.56</v>
      </c>
      <c r="K18" s="49" t="n">
        <f aca="false">J18/Supuestos!F74</f>
        <v>0.0975</v>
      </c>
      <c r="L18" s="11" t="n">
        <f aca="false">Supuestos!G74</f>
        <v>0</v>
      </c>
    </row>
    <row r="19" customFormat="false" ht="15" hidden="false" customHeight="false" outlineLevel="0" collapsed="false">
      <c r="A19" s="9" t="str">
        <f aca="false">Supuestos!A75</f>
        <v>ABC 25 kg s/ruedas</v>
      </c>
      <c r="B19" s="49" t="n">
        <f aca="false">SUMPRODUCT('Demanda y mix'!F19:L19,'Demanda y mix'!$F$25:$L$25)/(Supuestos!$B$7*Supuestos!$B$6)</f>
        <v>1.35974440948367</v>
      </c>
      <c r="C19" s="49" t="n">
        <f aca="false">SUMPRODUCT('Demanda y mix'!F19:L19,'Demanda y mix'!$F$24:$L$24,'Demanda y mix'!$F$25:$L$25)/Supuestos!$B$6</f>
        <v>1.38114405057445</v>
      </c>
      <c r="D19" s="46" t="n">
        <f aca="false">Supuestos!H75</f>
        <v>0.25</v>
      </c>
      <c r="E19" s="49" t="n">
        <f aca="false">Supuestos!$B$25*(1-D19)+Supuestos!$B$26*D19+Supuestos!$B$27+Supuestos!$B$28</f>
        <v>4</v>
      </c>
      <c r="F19" s="49" t="n">
        <f aca="false">Supuestos!$C$25*(1-D19)+Supuestos!$C$26*D19+Supuestos!$C$27+Supuestos!$C$28</f>
        <v>2</v>
      </c>
      <c r="G19" s="12" t="n">
        <f aca="false">(Supuestos!$B$31*Supuestos!$B$32+(Supuestos!$B$7*Supuestos!$B$6/E19)*Supuestos!$B$33*Supuestos!$B$32)/(Supuestos!$B$7*Supuestos!$B$6)</f>
        <v>0.01625</v>
      </c>
      <c r="H19" s="62" t="n">
        <f aca="false">ROUNDUP(C19*E19*(1+Supuestos!$B$30)/(1-G19),0)</f>
        <v>7</v>
      </c>
      <c r="I19" s="37" t="n">
        <f aca="false">ROUNDUP(B19*F19,0)</f>
        <v>3</v>
      </c>
      <c r="J19" s="37" t="n">
        <f aca="false">MAX(0,H19-C19*(E19-Supuestos!$B$28))</f>
        <v>2.85656784827666</v>
      </c>
      <c r="K19" s="49" t="n">
        <f aca="false">J19/Supuestos!F75</f>
        <v>0.952189282758886</v>
      </c>
      <c r="L19" s="11" t="n">
        <f aca="false">Supuestos!G75</f>
        <v>1</v>
      </c>
    </row>
    <row r="20" customFormat="false" ht="15" hidden="false" customHeight="false" outlineLevel="0" collapsed="false">
      <c r="A20" s="9" t="str">
        <f aca="false">Supuestos!A76</f>
        <v>ABC 50 kg s/ruedas</v>
      </c>
      <c r="B20" s="49" t="n">
        <f aca="false">SUMPRODUCT('Demanda y mix'!F20:L20,'Demanda y mix'!$F$25:$L$25)/(Supuestos!$B$7*Supuestos!$B$6)</f>
        <v>2.9899141777162</v>
      </c>
      <c r="C20" s="49" t="n">
        <f aca="false">SUMPRODUCT('Demanda y mix'!F20:L20,'Demanda y mix'!$F$24:$L$24,'Demanda y mix'!$F$25:$L$25)/Supuestos!$B$6</f>
        <v>3.03696941092701</v>
      </c>
      <c r="D20" s="46" t="n">
        <f aca="false">Supuestos!H76</f>
        <v>0.25</v>
      </c>
      <c r="E20" s="49" t="n">
        <f aca="false">Supuestos!$B$25*(1-D20)+Supuestos!$B$26*D20+Supuestos!$B$27+Supuestos!$B$28</f>
        <v>4</v>
      </c>
      <c r="F20" s="49" t="n">
        <f aca="false">Supuestos!$C$25*(1-D20)+Supuestos!$C$26*D20+Supuestos!$C$27+Supuestos!$C$28</f>
        <v>2</v>
      </c>
      <c r="G20" s="12" t="n">
        <f aca="false">(Supuestos!$B$31*Supuestos!$B$32+(Supuestos!$B$7*Supuestos!$B$6/E20)*Supuestos!$B$33*Supuestos!$B$32)/(Supuestos!$B$7*Supuestos!$B$6)</f>
        <v>0.01625</v>
      </c>
      <c r="H20" s="62" t="n">
        <f aca="false">ROUNDUP(C20*E20*(1+Supuestos!$B$30)/(1-G20),0)</f>
        <v>14</v>
      </c>
      <c r="I20" s="37" t="n">
        <f aca="false">ROUNDUP(B20*F20,0)</f>
        <v>6</v>
      </c>
      <c r="J20" s="37" t="n">
        <f aca="false">MAX(0,H20-C20*(E20-Supuestos!$B$28))</f>
        <v>4.88909176721898</v>
      </c>
      <c r="K20" s="49" t="n">
        <f aca="false">J20/Supuestos!F76</f>
        <v>2.44454588360949</v>
      </c>
      <c r="L20" s="11" t="n">
        <f aca="false">Supuestos!G76</f>
        <v>1</v>
      </c>
    </row>
    <row r="21" customFormat="false" ht="15" hidden="false" customHeight="false" outlineLevel="0" collapsed="false">
      <c r="A21" s="9" t="str">
        <f aca="false">Supuestos!A77</f>
        <v>ABC 70 kg s/ruedas</v>
      </c>
      <c r="B21" s="49" t="n">
        <f aca="false">SUMPRODUCT('Demanda y mix'!F21:L21,'Demanda y mix'!$F$25:$L$25)/(Supuestos!$B$7*Supuestos!$B$6)</f>
        <v>0.651306145719069</v>
      </c>
      <c r="C21" s="49" t="n">
        <f aca="false">SUMPRODUCT('Demanda y mix'!F21:L21,'Demanda y mix'!$F$24:$L$24,'Demanda y mix'!$F$25:$L$25)/Supuestos!$B$6</f>
        <v>0.661556393972634</v>
      </c>
      <c r="D21" s="46" t="n">
        <f aca="false">Supuestos!H77</f>
        <v>0.25</v>
      </c>
      <c r="E21" s="49" t="n">
        <f aca="false">Supuestos!$B$25*(1-D21)+Supuestos!$B$26*D21+Supuestos!$B$27+Supuestos!$B$28</f>
        <v>4</v>
      </c>
      <c r="F21" s="49" t="n">
        <f aca="false">Supuestos!$C$25*(1-D21)+Supuestos!$C$26*D21+Supuestos!$C$27+Supuestos!$C$28</f>
        <v>2</v>
      </c>
      <c r="G21" s="12" t="n">
        <f aca="false">(Supuestos!$B$31*Supuestos!$B$32+(Supuestos!$B$7*Supuestos!$B$6/E21)*Supuestos!$B$33*Supuestos!$B$32)/(Supuestos!$B$7*Supuestos!$B$6)</f>
        <v>0.01625</v>
      </c>
      <c r="H21" s="62" t="n">
        <f aca="false">ROUNDUP(C21*E21*(1+Supuestos!$B$30)/(1-G21),0)</f>
        <v>3</v>
      </c>
      <c r="I21" s="37" t="n">
        <f aca="false">ROUNDUP(B21*F21,0)</f>
        <v>2</v>
      </c>
      <c r="J21" s="37" t="n">
        <f aca="false">MAX(0,H21-C21*(E21-Supuestos!$B$28))</f>
        <v>1.0153308180821</v>
      </c>
      <c r="K21" s="49" t="n">
        <f aca="false">J21/Supuestos!F77</f>
        <v>0.507665409041049</v>
      </c>
      <c r="L21" s="11" t="n">
        <f aca="false">Supuestos!G77</f>
        <v>1</v>
      </c>
    </row>
    <row r="22" customFormat="false" ht="15" hidden="false" customHeight="false" outlineLevel="0" collapsed="false">
      <c r="A22" s="9" t="str">
        <f aca="false">Supuestos!A78</f>
        <v>ABC 100 kg s/ruedas</v>
      </c>
      <c r="B22" s="49" t="n">
        <f aca="false">SUMPRODUCT('Demanda y mix'!F22:L22,'Demanda y mix'!$F$25:$L$25)/(Supuestos!$B$7*Supuestos!$B$6)</f>
        <v>0.434204097146046</v>
      </c>
      <c r="C22" s="49" t="n">
        <f aca="false">SUMPRODUCT('Demanda y mix'!F22:L22,'Demanda y mix'!$F$24:$L$24,'Demanda y mix'!$F$25:$L$25)/Supuestos!$B$6</f>
        <v>0.441037595981756</v>
      </c>
      <c r="D22" s="46" t="n">
        <f aca="false">Supuestos!H78</f>
        <v>0.25</v>
      </c>
      <c r="E22" s="49" t="n">
        <f aca="false">Supuestos!$B$25*(1-D22)+Supuestos!$B$26*D22+Supuestos!$B$27+Supuestos!$B$28</f>
        <v>4</v>
      </c>
      <c r="F22" s="49" t="n">
        <f aca="false">Supuestos!$C$25*(1-D22)+Supuestos!$C$26*D22+Supuestos!$C$27+Supuestos!$C$28</f>
        <v>2</v>
      </c>
      <c r="G22" s="12" t="n">
        <f aca="false">(Supuestos!$B$31*Supuestos!$B$32+(Supuestos!$B$7*Supuestos!$B$6/E22)*Supuestos!$B$33*Supuestos!$B$32)/(Supuestos!$B$7*Supuestos!$B$6)</f>
        <v>0.01625</v>
      </c>
      <c r="H22" s="62" t="n">
        <f aca="false">ROUNDUP(C22*E22*(1+Supuestos!$B$30)/(1-G22),0)</f>
        <v>2</v>
      </c>
      <c r="I22" s="37" t="n">
        <f aca="false">ROUNDUP(B22*F22,0)</f>
        <v>1</v>
      </c>
      <c r="J22" s="37" t="n">
        <f aca="false">MAX(0,H22-C22*(E22-Supuestos!$B$28))</f>
        <v>0.676887212054731</v>
      </c>
      <c r="K22" s="49" t="n">
        <f aca="false">J22/Supuestos!F78</f>
        <v>0.676887212054731</v>
      </c>
      <c r="L22" s="11" t="n">
        <f aca="false">Supuestos!G78</f>
        <v>1</v>
      </c>
    </row>
    <row r="23" customFormat="false" ht="15" hidden="false" customHeight="false" outlineLevel="0" collapsed="false">
      <c r="A23" s="40" t="s">
        <v>268</v>
      </c>
      <c r="B23" s="44" t="n">
        <f aca="false">SUM(B6:B22)</f>
        <v>522.894325373354</v>
      </c>
      <c r="C23" s="44" t="n">
        <f aca="false">SUM(C6:C22)</f>
        <v>587.514204206994</v>
      </c>
      <c r="D23" s="41"/>
      <c r="E23" s="41"/>
      <c r="F23" s="41"/>
      <c r="G23" s="41"/>
      <c r="H23" s="42" t="n">
        <f aca="false">SUM(H6:H22)</f>
        <v>2646</v>
      </c>
      <c r="I23" s="42" t="n">
        <f aca="false">SUM(I6:I22)</f>
        <v>1066</v>
      </c>
      <c r="J23" s="42" t="n">
        <f aca="false">SUM(J6:J22)</f>
        <v>873.237486235583</v>
      </c>
      <c r="K23" s="44" t="n">
        <f aca="false">SUM(K6:K22)</f>
        <v>27.8870400699012</v>
      </c>
      <c r="L23" s="41"/>
    </row>
    <row r="24" customFormat="false" ht="15" hidden="false" customHeight="false" outlineLevel="0" collapsed="false">
      <c r="A24" s="6" t="s">
        <v>352</v>
      </c>
    </row>
    <row r="25" customFormat="false" ht="15" hidden="false" customHeight="false" outlineLevel="0" collapsed="false">
      <c r="A25" s="6" t="s">
        <v>353</v>
      </c>
    </row>
    <row r="27" customFormat="false" ht="15" hidden="false" customHeight="false" outlineLevel="0" collapsed="false">
      <c r="A27" s="3" t="s">
        <v>354</v>
      </c>
    </row>
    <row r="28" customFormat="false" ht="30" hidden="false" customHeight="true" outlineLevel="0" collapsed="false">
      <c r="A28" s="8" t="s">
        <v>355</v>
      </c>
      <c r="B28" s="8" t="s">
        <v>356</v>
      </c>
      <c r="C28" s="8" t="s">
        <v>357</v>
      </c>
      <c r="D28" s="8" t="s">
        <v>358</v>
      </c>
      <c r="E28" s="8" t="s">
        <v>359</v>
      </c>
      <c r="F28" s="8" t="s">
        <v>360</v>
      </c>
      <c r="G28" s="8" t="s">
        <v>361</v>
      </c>
      <c r="H28" s="8" t="s">
        <v>362</v>
      </c>
    </row>
    <row r="29" customFormat="false" ht="15" hidden="false" customHeight="false" outlineLevel="0" collapsed="false">
      <c r="A29" s="4" t="s">
        <v>363</v>
      </c>
      <c r="B29" s="37" t="n">
        <f aca="false">ROUNDUP(SUM($C$6:$C$22)*1*(1+Supuestos!$B$30),0)</f>
        <v>647</v>
      </c>
      <c r="C29" s="37" t="n">
        <f aca="false">ROUNDUP(SUM($C$6:$C$22)*2*(1+Supuestos!$B$30),0)</f>
        <v>1293</v>
      </c>
      <c r="D29" s="37" t="n">
        <f aca="false">ROUNDUP(SUM($C$6:$C$22)*3*(1+Supuestos!$B$30),0)</f>
        <v>1939</v>
      </c>
      <c r="E29" s="37" t="n">
        <f aca="false">ROUNDUP(SUM($C$6:$C$22)*4*(1+Supuestos!$B$30),0)</f>
        <v>2586</v>
      </c>
      <c r="F29" s="37" t="n">
        <f aca="false">ROUNDUP(SUM($C$6:$C$22)*5*(1+Supuestos!$B$30),0)</f>
        <v>3232</v>
      </c>
      <c r="G29" s="37" t="n">
        <f aca="false">ROUNDUP(SUM($C$6:$C$22)*6*(1+Supuestos!$B$30),0)</f>
        <v>3878</v>
      </c>
      <c r="H29" s="37" t="n">
        <f aca="false">ROUNDUP(SUM($C$6:$C$22)*7*(1+Supuestos!$B$30),0)</f>
        <v>4524</v>
      </c>
    </row>
    <row r="30" customFormat="false" ht="15" hidden="false" customHeight="false" outlineLevel="0" collapsed="false">
      <c r="A30" s="4" t="s">
        <v>364</v>
      </c>
      <c r="B30" s="52" t="n">
        <f aca="false">SUMPRODUCT(C6:C22,E6:E22)/C23</f>
        <v>4.01739515584518</v>
      </c>
      <c r="C30" s="6" t="s">
        <v>365</v>
      </c>
    </row>
    <row r="32" customFormat="false" ht="15" hidden="false" customHeight="false" outlineLevel="0" collapsed="false">
      <c r="A32" s="3" t="s">
        <v>366</v>
      </c>
    </row>
    <row r="33" customFormat="false" ht="30" hidden="false" customHeight="true" outlineLevel="0" collapsed="false">
      <c r="A33" s="8" t="s">
        <v>367</v>
      </c>
      <c r="B33" s="8" t="s">
        <v>285</v>
      </c>
      <c r="C33" s="8" t="s">
        <v>368</v>
      </c>
    </row>
    <row r="34" customFormat="false" ht="15" hidden="false" customHeight="false" outlineLevel="0" collapsed="false">
      <c r="A34" s="4" t="s">
        <v>369</v>
      </c>
      <c r="B34" s="37" t="n">
        <f aca="false">H23*Supuestos!$B$31</f>
        <v>2646</v>
      </c>
      <c r="C34" s="12" t="n">
        <f aca="false">B34/'Demanda y mix'!$D$23</f>
        <v>0.0207790168054029</v>
      </c>
    </row>
    <row r="35" customFormat="false" ht="15" hidden="false" customHeight="false" outlineLevel="0" collapsed="false">
      <c r="A35" s="4" t="s">
        <v>370</v>
      </c>
      <c r="B35" s="37" t="n">
        <f aca="false">SUMPRODUCT(H6:H22,1/E6:E22)*Supuestos!$B$7*Supuestos!$B$6*Supuestos!$B$33</f>
        <v>790.333333333333</v>
      </c>
      <c r="C35" s="12" t="n">
        <f aca="false">B35/'Demanda y mix'!$D$23</f>
        <v>0.0062064813360557</v>
      </c>
    </row>
    <row r="36" customFormat="false" ht="15" hidden="false" customHeight="false" outlineLevel="0" collapsed="false">
      <c r="A36" s="40" t="s">
        <v>268</v>
      </c>
      <c r="B36" s="42" t="n">
        <f aca="false">SUM(B34:B35)</f>
        <v>3436.33333333333</v>
      </c>
      <c r="C36" s="43" t="n">
        <f aca="false">B36/'Demanda y mix'!$D$23</f>
        <v>0.0269854981414586</v>
      </c>
    </row>
    <row r="38" customFormat="false" ht="15" hidden="false" customHeight="false" outlineLevel="0" collapsed="false">
      <c r="A38" s="3" t="s">
        <v>371</v>
      </c>
    </row>
    <row r="39" customFormat="false" ht="30" hidden="false" customHeight="true" outlineLevel="0" collapsed="false">
      <c r="A39" s="8" t="s">
        <v>40</v>
      </c>
      <c r="B39" s="8" t="s">
        <v>372</v>
      </c>
      <c r="C39" s="8" t="s">
        <v>373</v>
      </c>
      <c r="D39" s="8" t="s">
        <v>374</v>
      </c>
      <c r="E39" s="8" t="s">
        <v>41</v>
      </c>
      <c r="F39" s="8" t="s">
        <v>375</v>
      </c>
      <c r="G39" s="8" t="s">
        <v>43</v>
      </c>
      <c r="H39" s="8" t="s">
        <v>376</v>
      </c>
      <c r="I39" s="8"/>
      <c r="J39" s="8"/>
      <c r="K39" s="8"/>
      <c r="L39" s="8"/>
      <c r="M39" s="8"/>
      <c r="N39" s="8"/>
    </row>
    <row r="40" customFormat="false" ht="27.75" hidden="false" customHeight="true" outlineLevel="0" collapsed="false">
      <c r="A40" s="4" t="s">
        <v>377</v>
      </c>
      <c r="B40" s="37" t="n">
        <f aca="false">SUM('Demanda y mix'!$P$6:$P$22)*Supuestos!$B$37</f>
        <v>342.06499981293</v>
      </c>
      <c r="C40" s="39" t="n">
        <f aca="false">SUMPRODUCT((Supuestos!$G$62:$G$78=0)*'Demanda y mix'!$P$6:$P$22/Supuestos!$F$62:$F$78)*Supuestos!$B$37*Supuestos!$B$39</f>
        <v>10.1237060908817</v>
      </c>
      <c r="D40" s="39" t="n">
        <f aca="false">SUMPRODUCT((Supuestos!$G$62:$G$78=1)*'Demanda y mix'!$P$6:$P$22/Supuestos!$F$62:$F$78)*Supuestos!$B$37*Supuestos!$B$39</f>
        <v>2.35996286382859</v>
      </c>
      <c r="E40" s="48" t="n">
        <f aca="false">ROUNDUP(C40,0)+ROUNDUP(D40,0)</f>
        <v>14</v>
      </c>
      <c r="F40" s="11" t="n">
        <f aca="false">Supuestos!$B$43</f>
        <v>16</v>
      </c>
      <c r="G40" s="17" t="n">
        <f aca="false">F40-E40</f>
        <v>2</v>
      </c>
      <c r="H40" s="65" t="s">
        <v>378</v>
      </c>
      <c r="I40" s="65"/>
      <c r="J40" s="65"/>
      <c r="K40" s="65"/>
      <c r="L40" s="65"/>
      <c r="M40" s="65"/>
      <c r="N40" s="65"/>
    </row>
    <row r="41" customFormat="false" ht="27.75" hidden="false" customHeight="true" outlineLevel="0" collapsed="false">
      <c r="A41" s="4" t="s">
        <v>379</v>
      </c>
      <c r="B41" s="37" t="n">
        <f aca="false">SUM('Demanda y mix'!$P$6:$P$22)*Supuestos!$B$38</f>
        <v>342.06499981293</v>
      </c>
      <c r="C41" s="39" t="n">
        <f aca="false">SUMPRODUCT((Supuestos!$G$62:$G$78=0)*'Demanda y mix'!$P$6:$P$22/Supuestos!$F$62:$F$78)*Supuestos!$B$38*Supuestos!$B$39</f>
        <v>10.1237060908817</v>
      </c>
      <c r="D41" s="39" t="n">
        <f aca="false">SUMPRODUCT((Supuestos!$G$62:$G$78=1)*'Demanda y mix'!$P$6:$P$22/Supuestos!$F$62:$F$78)*Supuestos!$B$38*Supuestos!$B$39</f>
        <v>2.35996286382859</v>
      </c>
      <c r="E41" s="48" t="n">
        <f aca="false">ROUNDUP(C41,0)+ROUNDUP(D41,0)</f>
        <v>14</v>
      </c>
      <c r="F41" s="11" t="n">
        <f aca="false">Supuestos!$B$44</f>
        <v>7</v>
      </c>
      <c r="G41" s="17" t="n">
        <f aca="false">F41-E41</f>
        <v>-7</v>
      </c>
      <c r="H41" s="65" t="s">
        <v>380</v>
      </c>
      <c r="I41" s="65"/>
      <c r="J41" s="65"/>
      <c r="K41" s="65"/>
      <c r="L41" s="65"/>
      <c r="M41" s="65"/>
      <c r="N41" s="65"/>
    </row>
    <row r="42" customFormat="false" ht="27.75" hidden="false" customHeight="true" outlineLevel="0" collapsed="false">
      <c r="A42" s="4" t="s">
        <v>381</v>
      </c>
      <c r="B42" s="37" t="n">
        <f aca="false">J23</f>
        <v>873.237486235583</v>
      </c>
      <c r="C42" s="39" t="n">
        <f aca="false">SUMPRODUCT((L6:L22=0)*K6:K22)</f>
        <v>22.4129522824371</v>
      </c>
      <c r="D42" s="39" t="n">
        <f aca="false">SUMPRODUCT((L6:L22=1)*K6:K22)</f>
        <v>5.47408778746416</v>
      </c>
      <c r="E42" s="48" t="n">
        <f aca="false">ROUNDUP(C42/Supuestos!$B$41,0)+ROUNDUP(D42,0)</f>
        <v>14</v>
      </c>
      <c r="F42" s="11" t="n">
        <f aca="false">Supuestos!$B$46</f>
        <v>0</v>
      </c>
      <c r="G42" s="17" t="n">
        <f aca="false">F42-E42</f>
        <v>-14</v>
      </c>
      <c r="H42" s="65" t="s">
        <v>382</v>
      </c>
      <c r="I42" s="65"/>
      <c r="J42" s="65"/>
      <c r="K42" s="65"/>
      <c r="L42" s="65"/>
      <c r="M42" s="65"/>
      <c r="N42" s="65"/>
    </row>
    <row r="43" customFormat="false" ht="27.75" hidden="false" customHeight="true" outlineLevel="0" collapsed="false">
      <c r="A43" s="4" t="s">
        <v>383</v>
      </c>
      <c r="B43" s="30" t="s">
        <v>161</v>
      </c>
      <c r="C43" s="30" t="s">
        <v>161</v>
      </c>
      <c r="D43" s="30" t="s">
        <v>161</v>
      </c>
      <c r="E43" s="48" t="n">
        <f aca="false">ROUNDUP(SUM(E40:E42)*Supuestos!$B$40/Supuestos!$B$42,0)</f>
        <v>4</v>
      </c>
      <c r="F43" s="11" t="n">
        <f aca="false">Supuestos!$B$45</f>
        <v>5</v>
      </c>
      <c r="G43" s="17" t="n">
        <f aca="false">F43-E43</f>
        <v>1</v>
      </c>
      <c r="H43" s="65" t="s">
        <v>384</v>
      </c>
      <c r="I43" s="65"/>
      <c r="J43" s="65"/>
      <c r="K43" s="65"/>
      <c r="L43" s="65"/>
      <c r="M43" s="65"/>
      <c r="N43" s="65"/>
    </row>
    <row r="44" customFormat="false" ht="15" hidden="false" customHeight="false" outlineLevel="0" collapsed="false">
      <c r="A44" s="40" t="s">
        <v>268</v>
      </c>
      <c r="B44" s="41"/>
      <c r="C44" s="41"/>
      <c r="D44" s="41"/>
      <c r="E44" s="42" t="n">
        <f aca="false">SUM(E40:E43)</f>
        <v>46</v>
      </c>
      <c r="F44" s="42" t="n">
        <f aca="false">SUM(F40:F43)</f>
        <v>28</v>
      </c>
      <c r="G44" s="20" t="n">
        <f aca="false">SUM(G40:G43)</f>
        <v>-18</v>
      </c>
      <c r="H44" s="41"/>
    </row>
    <row r="45" customFormat="false" ht="15" hidden="false" customHeight="false" outlineLevel="0" collapsed="false">
      <c r="A45" s="4" t="s">
        <v>385</v>
      </c>
      <c r="B45" s="48" t="n">
        <f aca="false">E44*1.2*1*2</f>
        <v>110.4</v>
      </c>
      <c r="C45" s="6" t="s">
        <v>386</v>
      </c>
    </row>
  </sheetData>
  <mergeCells count="5">
    <mergeCell ref="H39:N39"/>
    <mergeCell ref="H40:N40"/>
    <mergeCell ref="H41:N41"/>
    <mergeCell ref="H42:N42"/>
    <mergeCell ref="H43:N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2026-10-17T18:14:09Z</dcterms:created>
  <dc:creator>openpyxl</dc:creator>
  <dc:description/>
  <dc:language>en-US</dc:language>
  <cp:lastModifiedBy/>
  <dcterms:modified xsi:type="dcterms:W3CDTF">2026-10-17T18:14:09Z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