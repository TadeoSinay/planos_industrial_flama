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OS" sheetId="1" r:id="rId5"/>
    <sheet state="visible" name="CONSOLIDADO" sheetId="2" r:id="rId6"/>
    <sheet state="visible" name="OPERARIO COMUN P3" sheetId="3" r:id="rId7"/>
    <sheet state="visible" name="SOLDADOR P4" sheetId="4" r:id="rId8"/>
  </sheets>
  <definedNames/>
  <calcPr/>
</workbook>
</file>

<file path=xl/sharedStrings.xml><?xml version="1.0" encoding="utf-8"?>
<sst xmlns="http://schemas.openxmlformats.org/spreadsheetml/2006/main" count="215" uniqueCount="130">
  <si>
    <t>PARÁMETROS SALARIALES Y FINANCIEROS | CCT N°260/75 UOM — Acta agosto 2026</t>
  </si>
  <si>
    <t>COSTO DE OPORTUNIDAD — OPERARIO P3 (Especializado) | CCT N°260/75 Rama 17</t>
  </si>
  <si>
    <t>CONSOLIDADO — ANÁLISIS COMPLETO POR PUESTO | Máquina vs. Operario vs. Turno Extra</t>
  </si>
  <si>
    <t>COSTO DE OPORTUNIDAD — SOLDADOR OFICIAL P4 | CCT N°260/75 Rama 17</t>
  </si>
  <si>
    <t>Detalle línea por línea del costo mensual del operario P3. Todo referenciado a PARAMETROS.</t>
  </si>
  <si>
    <t>Detalle línea por línea del costo mensual del soldador P4. Todo referenciado a PARAMETROS.</t>
  </si>
  <si>
    <t>Borde grueso = input. Col C desde PARAMETROS (salarios). Cols D–J: datos de la máquina por puesto. Todo lo demás calculado.</t>
  </si>
  <si>
    <t>Editá las celdas con borde grueso. Todo el modelo se recalcula. Los parámetros de cada máquina van en CONSOLIDADO.</t>
  </si>
  <si>
    <t>A. Salarios — editables</t>
  </si>
  <si>
    <t>Concepto</t>
  </si>
  <si>
    <t>Valor</t>
  </si>
  <si>
    <t>Unidad</t>
  </si>
  <si>
    <t>Fuente / Nota</t>
  </si>
  <si>
    <t>DECISIÓN</t>
  </si>
  <si>
    <t>Valor hora base ingresante</t>
  </si>
  <si>
    <t>Valor hora base ingresante Rama 17</t>
  </si>
  <si>
    <t>ARS/h</t>
  </si>
  <si>
    <t>Puesto operativo</t>
  </si>
  <si>
    <t>Cláusula SEGUNDA, acta agosto 2026 — vigente desde 1/8/2026</t>
  </si>
  <si>
    <t>Categoría CCT</t>
  </si>
  <si>
    <t>Costo operario
(ARS/mes c/cargas)</t>
  </si>
  <si>
    <t>Precio
(USD)</t>
  </si>
  <si>
    <t>TC
(ARS/USD)</t>
  </si>
  <si>
    <t>Horas mensuales (jornada legal)</t>
  </si>
  <si>
    <t>Precio
(ARS)</t>
  </si>
  <si>
    <t>Vida útil
(años)</t>
  </si>
  <si>
    <t>VR
%</t>
  </si>
  <si>
    <t>Energía
(ARS/mes)</t>
  </si>
  <si>
    <t>Mant.
(ARS/mes)</t>
  </si>
  <si>
    <t>Amort.+op.
máq. (ARS/mes)</t>
  </si>
  <si>
    <t>h/mes</t>
  </si>
  <si>
    <t>Costo oport.
capital (ARS/mes)</t>
  </si>
  <si>
    <t>COSTO TOTAL
máq. (ARS/mes)</t>
  </si>
  <si>
    <t>Ahorro real
(ARS/mes)</t>
  </si>
  <si>
    <t>8 hs/día × 25 días — LCT</t>
  </si>
  <si>
    <t>PI real
(meses)</t>
  </si>
  <si>
    <t>Gratificación extraordinaria</t>
  </si>
  <si>
    <t>PI real
(años)</t>
  </si>
  <si>
    <t>Acum. 12m
Operario</t>
  </si>
  <si>
    <t>ARS/mes</t>
  </si>
  <si>
    <t>Cláusula TERCERA — varía por mes según el acta, editable</t>
  </si>
  <si>
    <t>Acum. 12m
Máquina real</t>
  </si>
  <si>
    <t>Compensación extraordinaria</t>
  </si>
  <si>
    <t>Acum. 36m
Operario</t>
  </si>
  <si>
    <t>Acum. 36m
Máquina real</t>
  </si>
  <si>
    <t>Turno extra
50% (ARS/mes)</t>
  </si>
  <si>
    <t>Cláusula CUARTA — cuota 2/3 (agosto, septiembre, octubre 2026)</t>
  </si>
  <si>
    <t>Turno extra
100% (ARS/mes)</t>
  </si>
  <si>
    <t>Contribuciones patronales TOTAL</t>
  </si>
  <si>
    <t>Decisión
(PI real)</t>
  </si>
  <si>
    <t>Operario de prensa (preparacion de cuello)</t>
  </si>
  <si>
    <t>Acta agosto 2026 — cláusula SEGUNDA</t>
  </si>
  <si>
    <t>%</t>
  </si>
  <si>
    <t>18% Decreto 814/01 MiPyME industrial + 6% OS = 24%. Agregar ART cuando se cotice (~2,5%).</t>
  </si>
  <si>
    <t>Recargo hora extra 50%</t>
  </si>
  <si>
    <t>Factor categoría P3</t>
  </si>
  <si>
    <t>P2 — Semiespecializado</t>
  </si>
  <si>
    <t>Factor categoría P4</t>
  </si>
  <si>
    <t>LCT art. 201 — primeras 2 horas extra por día</t>
  </si>
  <si>
    <t>Recargo hora extra 100%</t>
  </si>
  <si>
    <t>LCT art. 201 — tercera hora en adelante o días inhábiles</t>
  </si>
  <si>
    <t>Horas extra mensuales estimadas</t>
  </si>
  <si>
    <t>Referencia: 2 hs extra × 20 días hábiles — editable</t>
  </si>
  <si>
    <t>B. Costo de capital — editable</t>
  </si>
  <si>
    <t>CCT N°260/75</t>
  </si>
  <si>
    <t>Valor hora P3</t>
  </si>
  <si>
    <t>Tasa costo de capital mensual</t>
  </si>
  <si>
    <t>Valor hora P4</t>
  </si>
  <si>
    <t>Costo de oportunidad del dinero inmovilizado. Usar: tasa SGR si hay financiamiento, o tasa plazo fijo si es capital propio. Referencia sep 2026: ~5% mensual. EDITABLE.</t>
  </si>
  <si>
    <t>C. Categorías salariales (calculado)</t>
  </si>
  <si>
    <t>Hora base x factor P3</t>
  </si>
  <si>
    <t>Horas mensuales</t>
  </si>
  <si>
    <t>Categoría</t>
  </si>
  <si>
    <t>Factor CCT</t>
  </si>
  <si>
    <t>Hora (ARS)</t>
  </si>
  <si>
    <t>Hora base x factor P4</t>
  </si>
  <si>
    <t>Básico/mes</t>
  </si>
  <si>
    <t>Total bruto/mes</t>
  </si>
  <si>
    <t>Costo empresa/mes</t>
  </si>
  <si>
    <t>Descripción</t>
  </si>
  <si>
    <t>P1 — Ayudante</t>
  </si>
  <si>
    <t>Jornada legal 8 hs × 25 días</t>
  </si>
  <si>
    <t>Salario básico mensual</t>
  </si>
  <si>
    <t>Hora P3 x horas mensuales</t>
  </si>
  <si>
    <t>Hora P4 x horas mensuales</t>
  </si>
  <si>
    <t>Cláusula TERCERA del acta</t>
  </si>
  <si>
    <t>Cláusula CUARTA del acta — cuota 2/3</t>
  </si>
  <si>
    <t>TOTAL BRUTO MENSUAL</t>
  </si>
  <si>
    <t>Basico + gratificacion + compensacion</t>
  </si>
  <si>
    <t>Contribuciones patronales (24%)</t>
  </si>
  <si>
    <t>Total bruto x 24%</t>
  </si>
  <si>
    <t>COSTO TOTAL EMPRESA</t>
  </si>
  <si>
    <t>Tareas auxiliares sin calificación.</t>
  </si>
  <si>
    <t>Total bruto x (1 + 24%)</t>
  </si>
  <si>
    <t>Hora extra 50% (costo empresa)</t>
  </si>
  <si>
    <t>Granallado, etiquetado, embalaje.</t>
  </si>
  <si>
    <t>P3 — Especializado</t>
  </si>
  <si>
    <t>Hora P3 x 1.50 x (1 + cargas)</t>
  </si>
  <si>
    <t>Hora extra 100% (costo empresa)</t>
  </si>
  <si>
    <t>Prensa, rolado, bordoneado, PH, pintura, llenado, ensamblaje. MÁS FRECUENTE EN FLAMA.</t>
  </si>
  <si>
    <t>P4 — Oficial</t>
  </si>
  <si>
    <t>Hora P3 x 2.00 x (1 + cargas)</t>
  </si>
  <si>
    <t>Costo turno extra 50% mensual (40hs est.)</t>
  </si>
  <si>
    <t>Soldador MIG/MAG longitudinal y circunferencial.</t>
  </si>
  <si>
    <t>P5 — Oficial esp.</t>
  </si>
  <si>
    <t>Hora P4 x 1.50 x (1 + cargas)</t>
  </si>
  <si>
    <t>Múltiples procesos complejos.</t>
  </si>
  <si>
    <t>Agregar ART a las cargas cuando se cotice (~2,5% para metalúrgica). Tasa de capital: ajustar según fuente de financiamiento. Acta vigente hasta 1/10/2026.</t>
  </si>
  <si>
    <t>Hora extra 50% x horas estimadas</t>
  </si>
  <si>
    <t>Costo turno extra 100% mensual (40hs est.)</t>
  </si>
  <si>
    <t>Hora P4 x 2.00 x (1 + cargas)</t>
  </si>
  <si>
    <t>Hora extra 100% x horas estimadas</t>
  </si>
  <si>
    <t>Operario de prensa (numerado)</t>
  </si>
  <si>
    <t>Operario de prensa (embutido)</t>
  </si>
  <si>
    <t>Operario de rolado (cilindradora)</t>
  </si>
  <si>
    <t>Soldador longitudinal MIG/MAG GETWELD</t>
  </si>
  <si>
    <t>Soldador longitudinal MIG/MAG MITUSA</t>
  </si>
  <si>
    <t>Soldador longitudinal MIG/MAG Firesafer</t>
  </si>
  <si>
    <t>Operario Encastre de Fondo</t>
  </si>
  <si>
    <t>Soldador circunferencial MIG/MAG</t>
  </si>
  <si>
    <t>Soldador de cuello MIG</t>
  </si>
  <si>
    <t>Operario de bordoneado</t>
  </si>
  <si>
    <t>Operario de prueba hidráulica</t>
  </si>
  <si>
    <t>Operario de granallado</t>
  </si>
  <si>
    <t>Operario de pintura electrostática</t>
  </si>
  <si>
    <t>Operario de llenado de polvo</t>
  </si>
  <si>
    <t>Operario de ensamblaje y presurización</t>
  </si>
  <si>
    <t>Operario de etiquetado y embalaje</t>
  </si>
  <si>
    <t>Operario de cortadora plasma</t>
  </si>
  <si>
    <t>COSTO OPORTUNIDAD CAPITAL: precio_ARS × tasa mensual (PARAMETROS B financiero). Representa el rendimiento alternativo perdido por inmovilizar ese capital. Es conservador (aplica sobre el total, no el saldo decreciente). Para mayor precisión usar VPN — esta es una aproximación lineal.
TURNO EXTRA: costo mensual de cubrir la misma función con horas extra al 50% o 100%, a las horas extra estimadas en PARAMETROS. Comparar col U/V con col C para ver cuánto cuesta el turno extra vs. el operario regular. DECISIÓN: basada en PI real (incluye costo de capital).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</si>
</sst>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1.0"/>
      <color theme="1"/>
      <name val="Calibri"/>
    </font>
    <font>
      <sz val="8.0"/>
      <color rgb="FF000000"/>
      <name val="Arial"/>
    </font>
    <font>
      <b/>
      <sz val="8.0"/>
      <color rgb="FF000000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i/>
      <sz val="8.0"/>
      <color rgb="FF000000"/>
      <name val="Arial"/>
    </font>
    <font>
      <b/>
      <sz val="9.0"/>
      <color rgb="FF000000"/>
      <name val="Arial"/>
    </font>
    <font>
      <i/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3" fontId="8" numFmtId="0" xfId="0" applyAlignment="1" applyBorder="1" applyFill="1" applyFont="1">
      <alignment horizontal="left" shrinkToFit="0" vertical="center" wrapText="1"/>
    </xf>
    <xf borderId="8" fillId="6" fontId="8" numFmtId="4" xfId="0" applyAlignment="1" applyBorder="1" applyFill="1" applyFont="1" applyNumberFormat="1">
      <alignment horizontal="center" shrinkToFit="0" vertical="center" wrapText="1"/>
    </xf>
    <xf borderId="7" fillId="3" fontId="4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7" fillId="3" fontId="9" numFmtId="0" xfId="0" applyAlignment="1" applyBorder="1" applyFill="1" applyFont="1">
      <alignment horizontal="left" shrinkToFit="0" vertical="center" wrapText="1"/>
    </xf>
    <xf borderId="8" fillId="6" fontId="8" numFmtId="3" xfId="0" applyAlignment="1" applyBorder="1" applyFill="1" applyFont="1" applyNumberForma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7" fillId="6" fontId="9" numFmtId="0" xfId="0" applyAlignment="1" applyBorder="1" applyFill="1" applyFont="1">
      <alignment horizontal="left" shrinkToFit="0" vertical="center" wrapText="1"/>
    </xf>
    <xf borderId="7" fillId="6" fontId="8" numFmtId="4" xfId="0" applyAlignment="1" applyBorder="1" applyFill="1" applyFont="1" applyNumberFormat="1">
      <alignment horizontal="center" shrinkToFit="0" vertical="center" wrapText="1"/>
    </xf>
    <xf borderId="8" fillId="6" fontId="8" numFmtId="164" xfId="0" applyAlignment="1" applyBorder="1" applyFill="1" applyFont="1" applyNumberFormat="1">
      <alignment horizontal="center" shrinkToFit="0" vertical="center" wrapText="1"/>
    </xf>
    <xf borderId="7" fillId="3" fontId="8" numFmtId="0" xfId="0" applyAlignment="1" applyBorder="1" applyFill="1" applyFont="1">
      <alignment horizontal="left" readingOrder="0" shrinkToFit="0" vertical="center" wrapText="1"/>
    </xf>
    <xf borderId="7" fillId="6" fontId="4" numFmtId="0" xfId="0" applyAlignment="1" applyBorder="1" applyFill="1" applyFont="1">
      <alignment horizontal="left" shrinkToFit="0" vertical="center" wrapText="1"/>
    </xf>
    <xf borderId="7" fillId="3" fontId="8" numFmtId="3" xfId="0" applyAlignment="1" applyBorder="1" applyFill="1" applyFont="1" applyNumberFormat="1">
      <alignment horizontal="center" shrinkToFit="0" vertical="center" wrapText="1"/>
    </xf>
    <xf borderId="8" fillId="6" fontId="8" numFmtId="3" xfId="0" applyAlignment="1" applyBorder="1" applyFill="1" applyFont="1" applyNumberFormat="1">
      <alignment horizontal="center" readingOrder="0" shrinkToFit="0" vertical="center" wrapText="1"/>
    </xf>
    <xf borderId="7" fillId="6" fontId="10" numFmtId="0" xfId="0" applyAlignment="1" applyBorder="1" applyFill="1" applyFont="1">
      <alignment horizontal="left" shrinkToFit="0" vertical="center" wrapText="1"/>
    </xf>
    <xf borderId="7" fillId="6" fontId="11" numFmtId="0" xfId="0" applyAlignment="1" applyBorder="1" applyFill="1" applyFont="1">
      <alignment horizontal="left" shrinkToFit="0" vertical="center" wrapText="1"/>
    </xf>
    <xf borderId="7" fillId="6" fontId="8" numFmtId="2" xfId="0" applyAlignment="1" applyBorder="1" applyFill="1" applyFont="1" applyNumberFormat="1">
      <alignment horizontal="center" shrinkToFit="0" vertical="center" wrapText="1"/>
    </xf>
    <xf borderId="8" fillId="6" fontId="8" numFmtId="1" xfId="0" applyAlignment="1" applyBorder="1" applyFill="1" applyFont="1" applyNumberFormat="1">
      <alignment horizontal="center" readingOrder="0" shrinkToFit="0" vertical="center" wrapText="1"/>
    </xf>
    <xf borderId="7" fillId="6" fontId="8" numFmtId="3" xfId="0" applyAlignment="1" applyBorder="1" applyFill="1" applyFont="1" applyNumberFormat="1">
      <alignment horizontal="center" shrinkToFit="0" vertical="center" wrapText="1"/>
    </xf>
    <xf borderId="8" fillId="6" fontId="8" numFmtId="9" xfId="0" applyAlignment="1" applyBorder="1" applyFill="1" applyFont="1" applyNumberFormat="1">
      <alignment horizontal="center" shrinkToFit="0" vertical="center" wrapText="1"/>
    </xf>
    <xf borderId="7" fillId="3" fontId="10" numFmtId="0" xfId="0" applyAlignment="1" applyBorder="1" applyFill="1" applyFont="1">
      <alignment horizontal="left" shrinkToFit="0" vertical="center" wrapText="1"/>
    </xf>
    <xf borderId="7" fillId="4" fontId="10" numFmtId="3" xfId="0" applyAlignment="1" applyBorder="1" applyFill="1" applyFont="1" applyNumberFormat="1">
      <alignment horizontal="center" shrinkToFit="0" vertical="center" wrapText="1"/>
    </xf>
    <xf borderId="7" fillId="3" fontId="11" numFmtId="0" xfId="0" applyAlignment="1" applyBorder="1" applyFill="1" applyFont="1">
      <alignment horizontal="left" shrinkToFit="0" vertical="center" wrapText="1"/>
    </xf>
    <xf borderId="7" fillId="3" fontId="8" numFmtId="2" xfId="0" applyAlignment="1" applyBorder="1" applyFill="1" applyFont="1" applyNumberFormat="1">
      <alignment horizontal="center" shrinkToFit="0" vertical="center" wrapText="1"/>
    </xf>
    <xf borderId="8" fillId="4" fontId="10" numFmtId="3" xfId="0" applyAlignment="1" applyBorder="1" applyFill="1" applyFont="1" applyNumberFormat="1">
      <alignment horizontal="center" shrinkToFit="0" vertical="center" wrapText="1"/>
    </xf>
    <xf borderId="7" fillId="3" fontId="10" numFmtId="3" xfId="0" applyAlignment="1" applyBorder="1" applyFill="1" applyFont="1" applyNumberFormat="1">
      <alignment horizontal="center" shrinkToFit="0" vertical="center" wrapText="1"/>
    </xf>
    <xf borderId="7" fillId="4" fontId="10" numFmtId="0" xfId="0" applyAlignment="1" applyBorder="1" applyFill="1" applyFont="1">
      <alignment horizontal="left" readingOrder="0" shrinkToFit="0" vertical="center" wrapText="1"/>
    </xf>
    <xf borderId="7" fillId="4" fontId="8" numFmtId="2" xfId="0" applyAlignment="1" applyBorder="1" applyFill="1" applyFont="1" applyNumberFormat="1">
      <alignment horizontal="center" shrinkToFit="0" vertical="center" wrapText="1"/>
    </xf>
    <xf borderId="7" fillId="3" fontId="8" numFmtId="4" xfId="0" applyAlignment="1" applyBorder="1" applyFill="1" applyFont="1" applyNumberFormat="1">
      <alignment horizontal="center" shrinkToFit="0" vertical="center" wrapText="1"/>
    </xf>
    <xf borderId="7" fillId="4" fontId="8" numFmtId="3" xfId="0" applyAlignment="1" applyBorder="1" applyFill="1" applyFont="1" applyNumberFormat="1">
      <alignment horizontal="center" shrinkToFit="0" vertical="center" wrapText="1"/>
    </xf>
    <xf borderId="7" fillId="4" fontId="4" numFmtId="0" xfId="0" applyAlignment="1" applyBorder="1" applyFill="1" applyFont="1">
      <alignment horizontal="left" shrinkToFit="0" vertical="center" wrapText="1"/>
    </xf>
    <xf borderId="7" fillId="3" fontId="10" numFmtId="165" xfId="0" applyAlignment="1" applyBorder="1" applyFill="1" applyFont="1" applyNumberFormat="1">
      <alignment horizontal="center" shrinkToFit="0" vertical="center" wrapText="1"/>
    </xf>
    <xf borderId="4" fillId="3" fontId="9" numFmtId="0" xfId="0" applyAlignment="1" applyBorder="1" applyFill="1" applyFont="1">
      <alignment horizontal="left" readingOrder="0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7" fillId="6" fontId="10" numFmtId="3" xfId="0" applyAlignment="1" applyBorder="1" applyFill="1" applyFont="1" applyNumberFormat="1">
      <alignment horizontal="center" shrinkToFit="0" vertical="center" wrapText="1"/>
    </xf>
    <xf borderId="7" fillId="6" fontId="10" numFmtId="165" xfId="0" applyAlignment="1" applyBorder="1" applyFill="1" applyFont="1" applyNumberFormat="1">
      <alignment horizontal="center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readingOrder="0" shrinkToFit="0" vertical="center" wrapText="1"/>
    </xf>
    <xf borderId="9" fillId="3" fontId="9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10.0"/>
    <col customWidth="1" min="4" max="4" width="44.0"/>
    <col customWidth="1" min="5" max="5" width="16.0"/>
    <col customWidth="1" min="6" max="6" width="18.0"/>
    <col customWidth="1" min="7" max="7" width="36.0"/>
    <col customWidth="1" min="8" max="26" width="8.71"/>
  </cols>
  <sheetData>
    <row r="1" ht="24.0" customHeight="1">
      <c r="A1" s="1" t="s">
        <v>0</v>
      </c>
      <c r="B1" s="2"/>
      <c r="C1" s="2"/>
      <c r="D1" s="3"/>
      <c r="E1" s="4"/>
      <c r="F1" s="4"/>
      <c r="G1" s="4"/>
    </row>
    <row r="2" ht="13.5" customHeight="1">
      <c r="A2" s="5" t="s">
        <v>7</v>
      </c>
      <c r="B2" s="6"/>
      <c r="C2" s="6"/>
      <c r="D2" s="7"/>
      <c r="E2" s="4"/>
      <c r="F2" s="4"/>
      <c r="G2" s="4"/>
    </row>
    <row r="3">
      <c r="A3" s="4"/>
      <c r="B3" s="4"/>
      <c r="C3" s="4"/>
      <c r="D3" s="4"/>
      <c r="E3" s="4"/>
      <c r="F3" s="4"/>
      <c r="G3" s="4"/>
    </row>
    <row r="4" ht="18.0" customHeight="1">
      <c r="A4" s="9" t="s">
        <v>8</v>
      </c>
      <c r="B4" s="6"/>
      <c r="C4" s="6"/>
      <c r="D4" s="7"/>
      <c r="E4" s="4"/>
      <c r="F4" s="4"/>
      <c r="G4" s="4"/>
    </row>
    <row r="5" ht="18.0" customHeight="1">
      <c r="A5" s="8" t="s">
        <v>9</v>
      </c>
      <c r="B5" s="8" t="s">
        <v>10</v>
      </c>
      <c r="C5" s="8" t="s">
        <v>11</v>
      </c>
      <c r="D5" s="8" t="s">
        <v>12</v>
      </c>
      <c r="E5" s="4"/>
      <c r="F5" s="4"/>
      <c r="G5" s="4"/>
    </row>
    <row r="6" ht="18.75" customHeight="1">
      <c r="A6" s="12" t="s">
        <v>15</v>
      </c>
      <c r="B6" s="13">
        <v>4485.97</v>
      </c>
      <c r="C6" s="14" t="s">
        <v>16</v>
      </c>
      <c r="D6" s="16" t="s">
        <v>18</v>
      </c>
      <c r="E6" s="4"/>
      <c r="F6" s="4"/>
      <c r="G6" s="4"/>
    </row>
    <row r="7" ht="15.0" customHeight="1">
      <c r="A7" s="11" t="s">
        <v>23</v>
      </c>
      <c r="B7" s="17">
        <v>200.0</v>
      </c>
      <c r="C7" s="18" t="s">
        <v>30</v>
      </c>
      <c r="D7" s="19" t="s">
        <v>34</v>
      </c>
      <c r="E7" s="4"/>
      <c r="F7" s="4"/>
      <c r="G7" s="4"/>
    </row>
    <row r="8" ht="15.0" customHeight="1">
      <c r="A8" s="12" t="s">
        <v>36</v>
      </c>
      <c r="B8" s="17">
        <v>40000.0</v>
      </c>
      <c r="C8" s="14" t="s">
        <v>39</v>
      </c>
      <c r="D8" s="16" t="s">
        <v>40</v>
      </c>
      <c r="E8" s="4"/>
      <c r="F8" s="4"/>
      <c r="G8" s="4"/>
    </row>
    <row r="9" ht="18.75" customHeight="1">
      <c r="A9" s="11" t="s">
        <v>42</v>
      </c>
      <c r="B9" s="17">
        <v>70000.0</v>
      </c>
      <c r="C9" s="18" t="s">
        <v>39</v>
      </c>
      <c r="D9" s="19" t="s">
        <v>46</v>
      </c>
      <c r="E9" s="4"/>
      <c r="F9" s="4"/>
      <c r="G9" s="4"/>
    </row>
    <row r="10" ht="18.75" customHeight="1">
      <c r="A10" s="12" t="s">
        <v>48</v>
      </c>
      <c r="B10" s="21">
        <v>0.24</v>
      </c>
      <c r="C10" s="14" t="s">
        <v>52</v>
      </c>
      <c r="D10" s="16" t="s">
        <v>53</v>
      </c>
      <c r="E10" s="4"/>
      <c r="F10" s="4"/>
      <c r="G10" s="4"/>
    </row>
    <row r="11" ht="15.0" customHeight="1">
      <c r="A11" s="11" t="s">
        <v>54</v>
      </c>
      <c r="B11" s="21">
        <v>0.5</v>
      </c>
      <c r="C11" s="18" t="s">
        <v>52</v>
      </c>
      <c r="D11" s="19" t="s">
        <v>58</v>
      </c>
      <c r="E11" s="4"/>
      <c r="F11" s="4"/>
      <c r="G11" s="4"/>
    </row>
    <row r="12" ht="15.0" customHeight="1">
      <c r="A12" s="12" t="s">
        <v>59</v>
      </c>
      <c r="B12" s="21">
        <v>1.0</v>
      </c>
      <c r="C12" s="14" t="s">
        <v>52</v>
      </c>
      <c r="D12" s="16" t="s">
        <v>60</v>
      </c>
      <c r="E12" s="4"/>
      <c r="F12" s="4"/>
      <c r="G12" s="4"/>
    </row>
    <row r="13" ht="15.0" customHeight="1">
      <c r="A13" s="11" t="s">
        <v>61</v>
      </c>
      <c r="B13" s="17">
        <v>40.0</v>
      </c>
      <c r="C13" s="18" t="s">
        <v>30</v>
      </c>
      <c r="D13" s="19" t="s">
        <v>62</v>
      </c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 ht="18.0" customHeight="1">
      <c r="A15" s="9" t="s">
        <v>63</v>
      </c>
      <c r="B15" s="6"/>
      <c r="C15" s="6"/>
      <c r="D15" s="7"/>
      <c r="E15" s="4"/>
      <c r="F15" s="4"/>
      <c r="G15" s="4"/>
    </row>
    <row r="16" ht="18.0" customHeight="1">
      <c r="A16" s="8" t="s">
        <v>9</v>
      </c>
      <c r="B16" s="8" t="s">
        <v>10</v>
      </c>
      <c r="C16" s="8" t="s">
        <v>11</v>
      </c>
      <c r="D16" s="8" t="s">
        <v>12</v>
      </c>
      <c r="E16" s="4"/>
      <c r="F16" s="4"/>
      <c r="G16" s="4"/>
    </row>
    <row r="17" ht="34.5" customHeight="1">
      <c r="A17" s="26" t="s">
        <v>66</v>
      </c>
      <c r="B17" s="21">
        <v>0.05</v>
      </c>
      <c r="C17" s="18" t="s">
        <v>52</v>
      </c>
      <c r="D17" s="19" t="s">
        <v>68</v>
      </c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 ht="18.0" customHeight="1">
      <c r="A19" s="9" t="s">
        <v>69</v>
      </c>
      <c r="B19" s="6"/>
      <c r="C19" s="6"/>
      <c r="D19" s="6"/>
      <c r="E19" s="6"/>
      <c r="F19" s="6"/>
      <c r="G19" s="7"/>
    </row>
    <row r="20" ht="21.75" customHeight="1">
      <c r="A20" s="8" t="s">
        <v>72</v>
      </c>
      <c r="B20" s="8" t="s">
        <v>73</v>
      </c>
      <c r="C20" s="8" t="s">
        <v>74</v>
      </c>
      <c r="D20" s="8" t="s">
        <v>76</v>
      </c>
      <c r="E20" s="8" t="s">
        <v>77</v>
      </c>
      <c r="F20" s="8" t="s">
        <v>78</v>
      </c>
      <c r="G20" s="8" t="s">
        <v>79</v>
      </c>
    </row>
    <row r="21" ht="25.5" customHeight="1">
      <c r="A21" s="11" t="s">
        <v>80</v>
      </c>
      <c r="B21" s="28">
        <v>1.0</v>
      </c>
      <c r="C21" s="30">
        <f t="shared" ref="C21:C25" si="1">$B$6*B21</f>
        <v>4485.97</v>
      </c>
      <c r="D21" s="30">
        <f t="shared" ref="D21:D25" si="2">C21*$B$7</f>
        <v>897194</v>
      </c>
      <c r="E21" s="30">
        <f t="shared" ref="E21:E25" si="3">D21+$B$8+$B$9</f>
        <v>1007194</v>
      </c>
      <c r="F21" s="30">
        <f t="shared" ref="F21:F25" si="4">E21*(1+$B$10)</f>
        <v>1248920.56</v>
      </c>
      <c r="G21" s="19" t="s">
        <v>92</v>
      </c>
    </row>
    <row r="22" ht="25.5" customHeight="1">
      <c r="A22" s="12" t="s">
        <v>56</v>
      </c>
      <c r="B22" s="35">
        <v>1.08</v>
      </c>
      <c r="C22" s="24">
        <f t="shared" si="1"/>
        <v>4844.8476</v>
      </c>
      <c r="D22" s="24">
        <f t="shared" si="2"/>
        <v>968969.52</v>
      </c>
      <c r="E22" s="24">
        <f t="shared" si="3"/>
        <v>1078969.52</v>
      </c>
      <c r="F22" s="24">
        <f t="shared" si="4"/>
        <v>1337922.205</v>
      </c>
      <c r="G22" s="16" t="s">
        <v>95</v>
      </c>
    </row>
    <row r="23" ht="25.5" customHeight="1">
      <c r="A23" s="38" t="s">
        <v>96</v>
      </c>
      <c r="B23" s="39">
        <v>1.14</v>
      </c>
      <c r="C23" s="41">
        <f t="shared" si="1"/>
        <v>5114.0058</v>
      </c>
      <c r="D23" s="41">
        <f t="shared" si="2"/>
        <v>1022801.16</v>
      </c>
      <c r="E23" s="41">
        <f t="shared" si="3"/>
        <v>1132801.16</v>
      </c>
      <c r="F23" s="33">
        <f t="shared" si="4"/>
        <v>1404673.438</v>
      </c>
      <c r="G23" s="42" t="s">
        <v>99</v>
      </c>
    </row>
    <row r="24" ht="25.5" customHeight="1">
      <c r="A24" s="12" t="s">
        <v>100</v>
      </c>
      <c r="B24" s="35">
        <v>1.23</v>
      </c>
      <c r="C24" s="24">
        <f t="shared" si="1"/>
        <v>5517.7431</v>
      </c>
      <c r="D24" s="24">
        <f t="shared" si="2"/>
        <v>1103548.62</v>
      </c>
      <c r="E24" s="24">
        <f t="shared" si="3"/>
        <v>1213548.62</v>
      </c>
      <c r="F24" s="24">
        <f t="shared" si="4"/>
        <v>1504800.289</v>
      </c>
      <c r="G24" s="16" t="s">
        <v>103</v>
      </c>
    </row>
    <row r="25" ht="25.5" customHeight="1">
      <c r="A25" s="11" t="s">
        <v>104</v>
      </c>
      <c r="B25" s="28">
        <v>1.32</v>
      </c>
      <c r="C25" s="30">
        <f t="shared" si="1"/>
        <v>5921.4804</v>
      </c>
      <c r="D25" s="30">
        <f t="shared" si="2"/>
        <v>1184296.08</v>
      </c>
      <c r="E25" s="30">
        <f t="shared" si="3"/>
        <v>1294296.08</v>
      </c>
      <c r="F25" s="30">
        <f t="shared" si="4"/>
        <v>1604927.139</v>
      </c>
      <c r="G25" s="19" t="s">
        <v>106</v>
      </c>
    </row>
    <row r="26" ht="15.75" customHeight="1">
      <c r="A26" s="4"/>
      <c r="B26" s="4"/>
      <c r="C26" s="4"/>
      <c r="D26" s="4"/>
      <c r="E26" s="4"/>
      <c r="F26" s="4"/>
      <c r="G26" s="4"/>
    </row>
    <row r="27" ht="27.75" customHeight="1">
      <c r="A27" s="44" t="s">
        <v>107</v>
      </c>
      <c r="B27" s="6"/>
      <c r="C27" s="6"/>
      <c r="D27" s="6"/>
      <c r="E27" s="6"/>
      <c r="F27" s="6"/>
      <c r="G27" s="7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6">
    <mergeCell ref="A1:D1"/>
    <mergeCell ref="A2:D2"/>
    <mergeCell ref="A4:D4"/>
    <mergeCell ref="A15:D15"/>
    <mergeCell ref="A19:G19"/>
    <mergeCell ref="A27:G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5.0"/>
    <col customWidth="1" min="4" max="5" width="10.0"/>
    <col customWidth="1" min="6" max="6" width="14.0"/>
    <col customWidth="1" min="7" max="7" width="9.0"/>
    <col customWidth="1" min="8" max="8" width="8.0"/>
    <col customWidth="1" min="9" max="10" width="11.0"/>
    <col customWidth="1" min="11" max="11" width="14.0"/>
    <col customWidth="1" min="12" max="13" width="16.0"/>
    <col customWidth="1" min="14" max="14" width="14.0"/>
    <col customWidth="1" min="15" max="15" width="11.0"/>
    <col customWidth="1" min="16" max="16" width="10.0"/>
    <col customWidth="1" min="17" max="17" width="14.0"/>
    <col customWidth="1" min="18" max="18" width="16.0"/>
    <col customWidth="1" min="19" max="19" width="14.0"/>
    <col customWidth="1" min="20" max="22" width="16.0"/>
    <col customWidth="1" min="23" max="23" width="20.0"/>
    <col customWidth="1" min="24" max="26" width="8.71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3.5" customHeight="1">
      <c r="A2" s="5" t="s">
        <v>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  <row r="3" ht="15.75" customHeight="1">
      <c r="A3" s="4"/>
      <c r="C3" s="10" t="s">
        <v>13</v>
      </c>
      <c r="D3" s="4"/>
      <c r="K3" s="4"/>
      <c r="N3" s="4"/>
      <c r="Q3" s="4"/>
      <c r="U3" s="4"/>
      <c r="W3" s="4"/>
    </row>
    <row r="4" ht="48.0" customHeight="1">
      <c r="A4" s="15" t="s">
        <v>17</v>
      </c>
      <c r="B4" s="15" t="s">
        <v>19</v>
      </c>
      <c r="C4" s="15" t="s">
        <v>20</v>
      </c>
      <c r="D4" s="15" t="s">
        <v>21</v>
      </c>
      <c r="E4" s="15" t="s">
        <v>22</v>
      </c>
      <c r="F4" s="15" t="s">
        <v>24</v>
      </c>
      <c r="G4" s="15" t="s">
        <v>25</v>
      </c>
      <c r="H4" s="15" t="s">
        <v>26</v>
      </c>
      <c r="I4" s="15" t="s">
        <v>27</v>
      </c>
      <c r="J4" s="15" t="s">
        <v>28</v>
      </c>
      <c r="K4" s="15" t="s">
        <v>29</v>
      </c>
      <c r="L4" s="15" t="s">
        <v>31</v>
      </c>
      <c r="M4" s="15" t="s">
        <v>32</v>
      </c>
      <c r="N4" s="15" t="s">
        <v>33</v>
      </c>
      <c r="O4" s="15" t="s">
        <v>35</v>
      </c>
      <c r="P4" s="15" t="s">
        <v>37</v>
      </c>
      <c r="Q4" s="15" t="s">
        <v>38</v>
      </c>
      <c r="R4" s="15" t="s">
        <v>41</v>
      </c>
      <c r="S4" s="15" t="s">
        <v>43</v>
      </c>
      <c r="T4" s="15" t="s">
        <v>44</v>
      </c>
      <c r="U4" s="15" t="s">
        <v>45</v>
      </c>
      <c r="V4" s="15" t="s">
        <v>47</v>
      </c>
      <c r="W4" s="15" t="s">
        <v>49</v>
      </c>
    </row>
    <row r="5" ht="31.5" customHeight="1">
      <c r="A5" s="22" t="s">
        <v>50</v>
      </c>
      <c r="B5" s="23" t="s">
        <v>56</v>
      </c>
      <c r="C5" s="24">
        <f>PARAMETROS!F22</f>
        <v>1337922.205</v>
      </c>
      <c r="D5" s="25">
        <v>2000.0</v>
      </c>
      <c r="E5" s="17">
        <v>1420.0</v>
      </c>
      <c r="F5" s="24">
        <f t="shared" ref="F5:F22" si="1">IF(D5="","-",D5*E5)</f>
        <v>2840000</v>
      </c>
      <c r="G5" s="29">
        <v>10.0</v>
      </c>
      <c r="H5" s="31">
        <v>0.1</v>
      </c>
      <c r="I5" s="17">
        <v>50000.0</v>
      </c>
      <c r="J5" s="17">
        <v>30000.0</v>
      </c>
      <c r="K5" s="24">
        <f t="shared" ref="K5:K22" si="2">IF(OR(D5="",F5="-"),"-",(F5*(1-H5))/(G5*12)+I5+J5)</f>
        <v>101300</v>
      </c>
      <c r="L5" s="24">
        <f>IF(OR(D5="",F5="-"),"-",F5*PARAMETROS!$B$17)</f>
        <v>142000</v>
      </c>
      <c r="M5" s="37">
        <f t="shared" ref="M5:M22" si="3">IF(K5="-","-",K5+L5)</f>
        <v>243300</v>
      </c>
      <c r="N5" s="24">
        <f t="shared" ref="N5:N22" si="4">IF(M5="-","-",C5-M5)</f>
        <v>1094622.205</v>
      </c>
      <c r="O5" s="43">
        <f t="shared" ref="O5:O22" si="5">IF(OR(N5="-",N5&lt;=0),"-",F5/N5)</f>
        <v>2.594502457</v>
      </c>
      <c r="P5" s="35">
        <f t="shared" ref="P5:P22" si="6">IF(O5="-","-",O5/12)</f>
        <v>0.2162085381</v>
      </c>
      <c r="Q5" s="24">
        <f t="shared" ref="Q5:Q22" si="7">C5*12</f>
        <v>16055066.46</v>
      </c>
      <c r="R5" s="24">
        <f t="shared" ref="R5:R22" si="8">IF(F5="-","-",F5+M5*12)</f>
        <v>5759600</v>
      </c>
      <c r="S5" s="24">
        <f t="shared" ref="S5:S22" si="9">C5*36</f>
        <v>48165199.37</v>
      </c>
      <c r="T5" s="24">
        <f t="shared" ref="T5:T22" si="10">IF(F5="-","-",F5+M5*36)</f>
        <v>11598800</v>
      </c>
      <c r="U5" s="24">
        <f>PARAMETROS!C21*(1+PARAMETROS!$B$11)*PARAMETROS!$B$13*(1+PARAMETROS!$B$10)</f>
        <v>333756.168</v>
      </c>
      <c r="V5" s="24">
        <f>PARAMETROS!C21*(1+PARAMETROS!$B$12)*PARAMETROS!$B$13*(1+PARAMETROS!$B$10)</f>
        <v>445008.224</v>
      </c>
      <c r="W5" s="45" t="str">
        <f t="shared" ref="W5:W22" si="11">IF(O5="-","Sin precio",IF(O5&lt;12,"Comprar — PI &lt; 1 año",IF(O5&lt;36,"Conveniente — PI &lt; 3 años",IF(O5&lt;60,"Analizar — PI 3-5 años","No conviene — PI &gt; 5 años"))))</f>
        <v>Comprar — PI &lt; 1 año</v>
      </c>
    </row>
    <row r="6" ht="31.5" customHeight="1">
      <c r="A6" s="22" t="s">
        <v>112</v>
      </c>
      <c r="B6" s="23" t="s">
        <v>56</v>
      </c>
      <c r="C6" s="24">
        <f>PARAMETROS!F22</f>
        <v>1337922.205</v>
      </c>
      <c r="D6" s="25">
        <v>2000.0</v>
      </c>
      <c r="E6" s="17">
        <v>1420.0</v>
      </c>
      <c r="F6" s="24">
        <f t="shared" si="1"/>
        <v>2840000</v>
      </c>
      <c r="G6" s="29">
        <v>10.0</v>
      </c>
      <c r="H6" s="31">
        <v>0.1</v>
      </c>
      <c r="I6" s="17">
        <v>50000.0</v>
      </c>
      <c r="J6" s="17">
        <v>30000.0</v>
      </c>
      <c r="K6" s="24">
        <f t="shared" si="2"/>
        <v>101300</v>
      </c>
      <c r="L6" s="24">
        <f>IF(OR(D6="",F6="-"),"-",F6*PARAMETROS!$B$17)</f>
        <v>142000</v>
      </c>
      <c r="M6" s="37">
        <f t="shared" si="3"/>
        <v>243300</v>
      </c>
      <c r="N6" s="24">
        <f t="shared" si="4"/>
        <v>1094622.205</v>
      </c>
      <c r="O6" s="43">
        <f t="shared" si="5"/>
        <v>2.594502457</v>
      </c>
      <c r="P6" s="35">
        <f t="shared" si="6"/>
        <v>0.2162085381</v>
      </c>
      <c r="Q6" s="24">
        <f t="shared" si="7"/>
        <v>16055066.46</v>
      </c>
      <c r="R6" s="24">
        <f t="shared" si="8"/>
        <v>5759600</v>
      </c>
      <c r="S6" s="24">
        <f t="shared" si="9"/>
        <v>48165199.37</v>
      </c>
      <c r="T6" s="24">
        <f t="shared" si="10"/>
        <v>11598800</v>
      </c>
      <c r="U6" s="24">
        <f>PARAMETROS!C22*(1+PARAMETROS!$B$11)*PARAMETROS!$B$13*(1+PARAMETROS!$B$10)</f>
        <v>360456.6614</v>
      </c>
      <c r="V6" s="24">
        <f>PARAMETROS!C22*(1+PARAMETROS!$B$12)*PARAMETROS!$B$13*(1+PARAMETROS!$B$10)</f>
        <v>480608.8819</v>
      </c>
      <c r="W6" s="45" t="str">
        <f t="shared" si="11"/>
        <v>Comprar — PI &lt; 1 año</v>
      </c>
    </row>
    <row r="7" ht="31.5" customHeight="1">
      <c r="A7" s="22" t="s">
        <v>113</v>
      </c>
      <c r="B7" s="23" t="s">
        <v>56</v>
      </c>
      <c r="C7" s="24">
        <f>PARAMETROS!F22</f>
        <v>1337922.205</v>
      </c>
      <c r="D7" s="25">
        <v>39056.0</v>
      </c>
      <c r="E7" s="17">
        <v>1420.0</v>
      </c>
      <c r="F7" s="24">
        <f t="shared" si="1"/>
        <v>55459520</v>
      </c>
      <c r="G7" s="29">
        <v>10.0</v>
      </c>
      <c r="H7" s="31">
        <v>0.1</v>
      </c>
      <c r="I7" s="17">
        <v>50000.0</v>
      </c>
      <c r="J7" s="17">
        <v>30000.0</v>
      </c>
      <c r="K7" s="24">
        <f t="shared" si="2"/>
        <v>495946.4</v>
      </c>
      <c r="L7" s="24">
        <f>IF(OR(D7="",F7="-"),"-",F7*PARAMETROS!$B$17)</f>
        <v>2772976</v>
      </c>
      <c r="M7" s="37">
        <f t="shared" si="3"/>
        <v>3268922.4</v>
      </c>
      <c r="N7" s="24">
        <f t="shared" si="4"/>
        <v>-1931000.195</v>
      </c>
      <c r="O7" s="43" t="str">
        <f t="shared" si="5"/>
        <v>-</v>
      </c>
      <c r="P7" s="35" t="str">
        <f t="shared" si="6"/>
        <v>-</v>
      </c>
      <c r="Q7" s="24">
        <f t="shared" si="7"/>
        <v>16055066.46</v>
      </c>
      <c r="R7" s="24">
        <f t="shared" si="8"/>
        <v>94686588.8</v>
      </c>
      <c r="S7" s="24">
        <f t="shared" si="9"/>
        <v>48165199.37</v>
      </c>
      <c r="T7" s="24">
        <f t="shared" si="10"/>
        <v>173140726.4</v>
      </c>
      <c r="U7" s="24">
        <f>PARAMETROS!C23*(1+PARAMETROS!$B$11)*PARAMETROS!$B$13*(1+PARAMETROS!$B$10)</f>
        <v>380482.0315</v>
      </c>
      <c r="V7" s="24">
        <f>PARAMETROS!C23*(1+PARAMETROS!$B$12)*PARAMETROS!$B$13*(1+PARAMETROS!$B$10)</f>
        <v>507309.3754</v>
      </c>
      <c r="W7" s="45" t="str">
        <f t="shared" si="11"/>
        <v>Sin precio</v>
      </c>
    </row>
    <row r="8" ht="31.5" customHeight="1">
      <c r="A8" s="11" t="s">
        <v>114</v>
      </c>
      <c r="B8" s="23" t="s">
        <v>96</v>
      </c>
      <c r="C8" s="30">
        <f>PARAMETROS!F23</f>
        <v>1404673.438</v>
      </c>
      <c r="D8" s="25">
        <v>6880.0</v>
      </c>
      <c r="E8" s="17">
        <v>1420.0</v>
      </c>
      <c r="F8" s="30">
        <f t="shared" si="1"/>
        <v>9769600</v>
      </c>
      <c r="G8" s="29">
        <v>10.0</v>
      </c>
      <c r="H8" s="31">
        <v>0.1</v>
      </c>
      <c r="I8" s="17">
        <v>50000.0</v>
      </c>
      <c r="J8" s="17">
        <v>30000.0</v>
      </c>
      <c r="K8" s="30">
        <f t="shared" si="2"/>
        <v>153272</v>
      </c>
      <c r="L8" s="30">
        <f>IF(OR(D8="",F8="-"),"-",F8*PARAMETROS!$B$17)</f>
        <v>488480</v>
      </c>
      <c r="M8" s="46">
        <f t="shared" si="3"/>
        <v>641752</v>
      </c>
      <c r="N8" s="30">
        <f t="shared" si="4"/>
        <v>762921.4384</v>
      </c>
      <c r="O8" s="47">
        <f t="shared" si="5"/>
        <v>12.80551248</v>
      </c>
      <c r="P8" s="28">
        <f t="shared" si="6"/>
        <v>1.06712604</v>
      </c>
      <c r="Q8" s="30">
        <f t="shared" si="7"/>
        <v>16856081.26</v>
      </c>
      <c r="R8" s="30">
        <f t="shared" si="8"/>
        <v>17470624</v>
      </c>
      <c r="S8" s="30">
        <f t="shared" si="9"/>
        <v>50568243.78</v>
      </c>
      <c r="T8" s="30">
        <f t="shared" si="10"/>
        <v>32872672</v>
      </c>
      <c r="U8" s="30">
        <f>PARAMETROS!C23*(1+PARAMETROS!$B$11)*PARAMETROS!$B$13*(1+PARAMETROS!$B$10)</f>
        <v>380482.0315</v>
      </c>
      <c r="V8" s="30">
        <f>PARAMETROS!C23*(1+PARAMETROS!$B$12)*PARAMETROS!$B$13*(1+PARAMETROS!$B$10)</f>
        <v>507309.3754</v>
      </c>
      <c r="W8" s="48" t="str">
        <f t="shared" si="11"/>
        <v>Conveniente — PI &lt; 3 años</v>
      </c>
    </row>
    <row r="9" ht="31.5" customHeight="1">
      <c r="A9" s="22" t="s">
        <v>115</v>
      </c>
      <c r="B9" s="49" t="s">
        <v>100</v>
      </c>
      <c r="C9" s="24">
        <f>PARAMETROS!F24</f>
        <v>1504800.289</v>
      </c>
      <c r="D9" s="25">
        <v>30500.0</v>
      </c>
      <c r="E9" s="17">
        <v>1420.0</v>
      </c>
      <c r="F9" s="24">
        <f t="shared" si="1"/>
        <v>43310000</v>
      </c>
      <c r="G9" s="29">
        <v>10.0</v>
      </c>
      <c r="H9" s="31">
        <v>0.1</v>
      </c>
      <c r="I9" s="17">
        <v>50000.0</v>
      </c>
      <c r="J9" s="17">
        <v>30000.0</v>
      </c>
      <c r="K9" s="24">
        <f t="shared" si="2"/>
        <v>404825</v>
      </c>
      <c r="L9" s="24">
        <f>IF(OR(D9="",F9="-"),"-",F9*PARAMETROS!$B$17)</f>
        <v>2165500</v>
      </c>
      <c r="M9" s="37">
        <f t="shared" si="3"/>
        <v>2570325</v>
      </c>
      <c r="N9" s="24">
        <f t="shared" si="4"/>
        <v>-1065524.711</v>
      </c>
      <c r="O9" s="43" t="str">
        <f t="shared" si="5"/>
        <v>-</v>
      </c>
      <c r="P9" s="35" t="str">
        <f t="shared" si="6"/>
        <v>-</v>
      </c>
      <c r="Q9" s="24">
        <f t="shared" si="7"/>
        <v>18057603.47</v>
      </c>
      <c r="R9" s="24">
        <f t="shared" si="8"/>
        <v>74153900</v>
      </c>
      <c r="S9" s="24">
        <f t="shared" si="9"/>
        <v>54172810.4</v>
      </c>
      <c r="T9" s="24">
        <f t="shared" si="10"/>
        <v>135841700</v>
      </c>
      <c r="U9" s="24">
        <f>PARAMETROS!C24*(1+PARAMETROS!$B$11)*PARAMETROS!$B$13*(1+PARAMETROS!$B$10)</f>
        <v>410520.0866</v>
      </c>
      <c r="V9" s="24">
        <f>PARAMETROS!C24*(1+PARAMETROS!$B$12)*PARAMETROS!$B$13*(1+PARAMETROS!$B$10)</f>
        <v>547360.1155</v>
      </c>
      <c r="W9" s="45" t="str">
        <f t="shared" si="11"/>
        <v>Sin precio</v>
      </c>
    </row>
    <row r="10" ht="31.5" customHeight="1">
      <c r="A10" s="22" t="s">
        <v>116</v>
      </c>
      <c r="B10" s="49" t="s">
        <v>100</v>
      </c>
      <c r="C10" s="24">
        <f>PARAMETROS!F24</f>
        <v>1504800.289</v>
      </c>
      <c r="D10" s="25">
        <v>166700.0</v>
      </c>
      <c r="E10" s="17">
        <v>1420.0</v>
      </c>
      <c r="F10" s="24">
        <f t="shared" si="1"/>
        <v>236714000</v>
      </c>
      <c r="G10" s="29">
        <v>10.0</v>
      </c>
      <c r="H10" s="31">
        <v>0.1</v>
      </c>
      <c r="I10" s="17">
        <v>50000.0</v>
      </c>
      <c r="J10" s="17">
        <v>30000.0</v>
      </c>
      <c r="K10" s="24">
        <f t="shared" si="2"/>
        <v>1855355</v>
      </c>
      <c r="L10" s="24">
        <f>IF(OR(D10="",F10="-"),"-",F10*PARAMETROS!$B$17)</f>
        <v>11835700</v>
      </c>
      <c r="M10" s="37">
        <f t="shared" si="3"/>
        <v>13691055</v>
      </c>
      <c r="N10" s="24">
        <f t="shared" si="4"/>
        <v>-12186254.71</v>
      </c>
      <c r="O10" s="43" t="str">
        <f t="shared" si="5"/>
        <v>-</v>
      </c>
      <c r="P10" s="35" t="str">
        <f t="shared" si="6"/>
        <v>-</v>
      </c>
      <c r="Q10" s="24">
        <f t="shared" si="7"/>
        <v>18057603.47</v>
      </c>
      <c r="R10" s="24">
        <f t="shared" si="8"/>
        <v>401006660</v>
      </c>
      <c r="S10" s="24">
        <f t="shared" si="9"/>
        <v>54172810.4</v>
      </c>
      <c r="T10" s="24">
        <f t="shared" si="10"/>
        <v>729591980</v>
      </c>
      <c r="U10" s="24">
        <f>PARAMETROS!C25*(1+PARAMETROS!$B$11)*PARAMETROS!$B$13*(1+PARAMETROS!$B$10)</f>
        <v>440558.1418</v>
      </c>
      <c r="V10" s="24">
        <f>PARAMETROS!C25*(1+PARAMETROS!$B$12)*PARAMETROS!$B$13*(1+PARAMETROS!$B$10)</f>
        <v>587410.8557</v>
      </c>
      <c r="W10" s="45" t="str">
        <f t="shared" si="11"/>
        <v>Sin precio</v>
      </c>
    </row>
    <row r="11" ht="31.5" customHeight="1">
      <c r="A11" s="22" t="s">
        <v>117</v>
      </c>
      <c r="B11" s="49" t="s">
        <v>100</v>
      </c>
      <c r="C11" s="24">
        <f>PARAMETROS!F24</f>
        <v>1504800.289</v>
      </c>
      <c r="D11" s="25">
        <v>22450.0</v>
      </c>
      <c r="E11" s="17">
        <v>1420.0</v>
      </c>
      <c r="F11" s="24">
        <f t="shared" si="1"/>
        <v>31879000</v>
      </c>
      <c r="G11" s="29">
        <v>10.0</v>
      </c>
      <c r="H11" s="31">
        <v>0.1</v>
      </c>
      <c r="I11" s="17">
        <v>50000.0</v>
      </c>
      <c r="J11" s="17">
        <v>30000.0</v>
      </c>
      <c r="K11" s="24">
        <f t="shared" si="2"/>
        <v>319092.5</v>
      </c>
      <c r="L11" s="24">
        <f>IF(OR(D11="",F11="-"),"-",F11*PARAMETROS!$B$17)</f>
        <v>1593950</v>
      </c>
      <c r="M11" s="37">
        <f t="shared" si="3"/>
        <v>1913042.5</v>
      </c>
      <c r="N11" s="24">
        <f t="shared" si="4"/>
        <v>-408242.2112</v>
      </c>
      <c r="O11" s="43" t="str">
        <f t="shared" si="5"/>
        <v>-</v>
      </c>
      <c r="P11" s="35" t="str">
        <f t="shared" si="6"/>
        <v>-</v>
      </c>
      <c r="Q11" s="24">
        <f t="shared" si="7"/>
        <v>18057603.47</v>
      </c>
      <c r="R11" s="24">
        <f t="shared" si="8"/>
        <v>54835510</v>
      </c>
      <c r="S11" s="24">
        <f t="shared" si="9"/>
        <v>54172810.4</v>
      </c>
      <c r="T11" s="24">
        <f t="shared" si="10"/>
        <v>100748530</v>
      </c>
      <c r="U11" s="24">
        <f>PARAMETROS!C26*(1+PARAMETROS!$B$11)*PARAMETROS!$B$13*(1+PARAMETROS!$B$10)</f>
        <v>0</v>
      </c>
      <c r="V11" s="24">
        <f>PARAMETROS!C26*(1+PARAMETROS!$B$12)*PARAMETROS!$B$13*(1+PARAMETROS!$B$10)</f>
        <v>0</v>
      </c>
      <c r="W11" s="45" t="str">
        <f t="shared" si="11"/>
        <v>Sin precio</v>
      </c>
    </row>
    <row r="12" ht="31.5" customHeight="1">
      <c r="A12" s="50" t="s">
        <v>118</v>
      </c>
      <c r="B12" s="23" t="s">
        <v>96</v>
      </c>
      <c r="C12" s="30">
        <f>PARAMETROS!F23</f>
        <v>1404673.438</v>
      </c>
      <c r="D12" s="25">
        <v>5718.0</v>
      </c>
      <c r="E12" s="17">
        <v>1420.0</v>
      </c>
      <c r="F12" s="30">
        <f t="shared" si="1"/>
        <v>8119560</v>
      </c>
      <c r="G12" s="29">
        <v>10.0</v>
      </c>
      <c r="H12" s="31">
        <v>0.1</v>
      </c>
      <c r="I12" s="17">
        <v>50000.0</v>
      </c>
      <c r="J12" s="17">
        <v>30000.0</v>
      </c>
      <c r="K12" s="30">
        <f t="shared" si="2"/>
        <v>140896.7</v>
      </c>
      <c r="L12" s="30">
        <f>IF(OR(D12="",F12="-"),"-",F12*PARAMETROS!$B$17)</f>
        <v>405978</v>
      </c>
      <c r="M12" s="46">
        <f t="shared" si="3"/>
        <v>546874.7</v>
      </c>
      <c r="N12" s="30">
        <f t="shared" si="4"/>
        <v>857798.7384</v>
      </c>
      <c r="O12" s="47">
        <f t="shared" si="5"/>
        <v>9.46557699</v>
      </c>
      <c r="P12" s="28">
        <f t="shared" si="6"/>
        <v>0.7887980825</v>
      </c>
      <c r="Q12" s="30">
        <f t="shared" si="7"/>
        <v>16856081.26</v>
      </c>
      <c r="R12" s="30">
        <f t="shared" si="8"/>
        <v>14682056.4</v>
      </c>
      <c r="S12" s="30">
        <f t="shared" si="9"/>
        <v>50568243.78</v>
      </c>
      <c r="T12" s="30">
        <f t="shared" si="10"/>
        <v>27807049.2</v>
      </c>
      <c r="U12" s="30">
        <f>PARAMETROS!C23*(1+PARAMETROS!$B$11)*PARAMETROS!$B$13*(1+PARAMETROS!$B$10)</f>
        <v>380482.0315</v>
      </c>
      <c r="V12" s="30">
        <f>PARAMETROS!C23*(1+PARAMETROS!$B$12)*PARAMETROS!$B$13*(1+PARAMETROS!$B$10)</f>
        <v>507309.3754</v>
      </c>
      <c r="W12" s="48" t="str">
        <f t="shared" si="11"/>
        <v>Comprar — PI &lt; 1 año</v>
      </c>
    </row>
    <row r="13" ht="31.5" customHeight="1">
      <c r="A13" s="11" t="s">
        <v>119</v>
      </c>
      <c r="B13" s="23" t="s">
        <v>100</v>
      </c>
      <c r="C13" s="30">
        <f>PARAMETROS!F24</f>
        <v>1504800.289</v>
      </c>
      <c r="D13" s="25">
        <v>15578.0</v>
      </c>
      <c r="E13" s="17">
        <v>1420.0</v>
      </c>
      <c r="F13" s="30">
        <f t="shared" si="1"/>
        <v>22120760</v>
      </c>
      <c r="G13" s="29">
        <v>10.0</v>
      </c>
      <c r="H13" s="31">
        <v>0.1</v>
      </c>
      <c r="I13" s="17">
        <v>50000.0</v>
      </c>
      <c r="J13" s="17">
        <v>30000.0</v>
      </c>
      <c r="K13" s="30">
        <f t="shared" si="2"/>
        <v>245905.7</v>
      </c>
      <c r="L13" s="30">
        <f>IF(OR(D13="",F13="-"),"-",F13*PARAMETROS!$B$17)</f>
        <v>1106038</v>
      </c>
      <c r="M13" s="46">
        <f t="shared" si="3"/>
        <v>1351943.7</v>
      </c>
      <c r="N13" s="30">
        <f t="shared" si="4"/>
        <v>152856.5888</v>
      </c>
      <c r="O13" s="47">
        <f t="shared" si="5"/>
        <v>144.7157769</v>
      </c>
      <c r="P13" s="28">
        <f t="shared" si="6"/>
        <v>12.05964807</v>
      </c>
      <c r="Q13" s="30">
        <f t="shared" si="7"/>
        <v>18057603.47</v>
      </c>
      <c r="R13" s="30">
        <f t="shared" si="8"/>
        <v>38344084.4</v>
      </c>
      <c r="S13" s="30">
        <f t="shared" si="9"/>
        <v>54172810.4</v>
      </c>
      <c r="T13" s="30">
        <f t="shared" si="10"/>
        <v>70790733.2</v>
      </c>
      <c r="U13" s="30">
        <f>PARAMETROS!C24*(1+PARAMETROS!$B$11)*PARAMETROS!$B$13*(1+PARAMETROS!$B$10)</f>
        <v>410520.0866</v>
      </c>
      <c r="V13" s="30">
        <f>PARAMETROS!C24*(1+PARAMETROS!$B$12)*PARAMETROS!$B$13*(1+PARAMETROS!$B$10)</f>
        <v>547360.1155</v>
      </c>
      <c r="W13" s="48" t="str">
        <f t="shared" si="11"/>
        <v>No conviene — PI &gt; 5 años</v>
      </c>
    </row>
    <row r="14" ht="31.5" customHeight="1">
      <c r="A14" s="12" t="s">
        <v>120</v>
      </c>
      <c r="B14" s="49" t="s">
        <v>100</v>
      </c>
      <c r="C14" s="24">
        <f>PARAMETROS!F24</f>
        <v>1504800.289</v>
      </c>
      <c r="D14" s="17"/>
      <c r="E14" s="17">
        <v>1420.0</v>
      </c>
      <c r="F14" s="24" t="str">
        <f t="shared" si="1"/>
        <v>-</v>
      </c>
      <c r="G14" s="29">
        <v>10.0</v>
      </c>
      <c r="H14" s="31">
        <v>0.1</v>
      </c>
      <c r="I14" s="17">
        <v>50000.0</v>
      </c>
      <c r="J14" s="17">
        <v>30000.0</v>
      </c>
      <c r="K14" s="24" t="str">
        <f t="shared" si="2"/>
        <v>-</v>
      </c>
      <c r="L14" s="24" t="str">
        <f>IF(OR(D14="",F14="-"),"-",F14*PARAMETROS!$B$17)</f>
        <v>-</v>
      </c>
      <c r="M14" s="37" t="str">
        <f t="shared" si="3"/>
        <v>-</v>
      </c>
      <c r="N14" s="24" t="str">
        <f t="shared" si="4"/>
        <v>-</v>
      </c>
      <c r="O14" s="43" t="str">
        <f t="shared" si="5"/>
        <v>-</v>
      </c>
      <c r="P14" s="35" t="str">
        <f t="shared" si="6"/>
        <v>-</v>
      </c>
      <c r="Q14" s="24">
        <f t="shared" si="7"/>
        <v>18057603.47</v>
      </c>
      <c r="R14" s="24" t="str">
        <f t="shared" si="8"/>
        <v>-</v>
      </c>
      <c r="S14" s="24">
        <f t="shared" si="9"/>
        <v>54172810.4</v>
      </c>
      <c r="T14" s="24" t="str">
        <f t="shared" si="10"/>
        <v>-</v>
      </c>
      <c r="U14" s="24">
        <f>PARAMETROS!C24*(1+PARAMETROS!$B$11)*PARAMETROS!$B$13*(1+PARAMETROS!$B$10)</f>
        <v>410520.0866</v>
      </c>
      <c r="V14" s="24">
        <f>PARAMETROS!C24*(1+PARAMETROS!$B$12)*PARAMETROS!$B$13*(1+PARAMETROS!$B$10)</f>
        <v>547360.1155</v>
      </c>
      <c r="W14" s="45" t="str">
        <f t="shared" si="11"/>
        <v>Sin precio</v>
      </c>
    </row>
    <row r="15" ht="31.5" customHeight="1">
      <c r="A15" s="11" t="s">
        <v>121</v>
      </c>
      <c r="B15" s="23" t="s">
        <v>96</v>
      </c>
      <c r="C15" s="30">
        <f>PARAMETROS!F23</f>
        <v>1404673.438</v>
      </c>
      <c r="D15" s="25">
        <v>21123.0</v>
      </c>
      <c r="E15" s="17">
        <v>1420.0</v>
      </c>
      <c r="F15" s="30">
        <f t="shared" si="1"/>
        <v>29994660</v>
      </c>
      <c r="G15" s="29">
        <v>10.0</v>
      </c>
      <c r="H15" s="31">
        <v>0.1</v>
      </c>
      <c r="I15" s="17">
        <v>50000.0</v>
      </c>
      <c r="J15" s="17">
        <v>30000.0</v>
      </c>
      <c r="K15" s="30">
        <f t="shared" si="2"/>
        <v>304959.95</v>
      </c>
      <c r="L15" s="30">
        <f>IF(OR(D15="",F15="-"),"-",F15*PARAMETROS!$B$17)</f>
        <v>1499733</v>
      </c>
      <c r="M15" s="46">
        <f t="shared" si="3"/>
        <v>1804692.95</v>
      </c>
      <c r="N15" s="30">
        <f t="shared" si="4"/>
        <v>-400019.5116</v>
      </c>
      <c r="O15" s="47" t="str">
        <f t="shared" si="5"/>
        <v>-</v>
      </c>
      <c r="P15" s="28" t="str">
        <f t="shared" si="6"/>
        <v>-</v>
      </c>
      <c r="Q15" s="30">
        <f t="shared" si="7"/>
        <v>16856081.26</v>
      </c>
      <c r="R15" s="30">
        <f t="shared" si="8"/>
        <v>51650975.4</v>
      </c>
      <c r="S15" s="30">
        <f t="shared" si="9"/>
        <v>50568243.78</v>
      </c>
      <c r="T15" s="30">
        <f t="shared" si="10"/>
        <v>94963606.2</v>
      </c>
      <c r="U15" s="30">
        <f>PARAMETROS!C23*(1+PARAMETROS!$B$11)*PARAMETROS!$B$13*(1+PARAMETROS!$B$10)</f>
        <v>380482.0315</v>
      </c>
      <c r="V15" s="30">
        <f>PARAMETROS!C23*(1+PARAMETROS!$B$12)*PARAMETROS!$B$13*(1+PARAMETROS!$B$10)</f>
        <v>507309.3754</v>
      </c>
      <c r="W15" s="48" t="str">
        <f t="shared" si="11"/>
        <v>Sin precio</v>
      </c>
    </row>
    <row r="16" ht="31.5" customHeight="1">
      <c r="A16" s="12" t="s">
        <v>122</v>
      </c>
      <c r="B16" s="49" t="s">
        <v>96</v>
      </c>
      <c r="C16" s="24">
        <f>PARAMETROS!F23</f>
        <v>1404673.438</v>
      </c>
      <c r="D16" s="25">
        <v>15578.0</v>
      </c>
      <c r="E16" s="17">
        <v>1420.0</v>
      </c>
      <c r="F16" s="24">
        <f t="shared" si="1"/>
        <v>22120760</v>
      </c>
      <c r="G16" s="29">
        <v>10.0</v>
      </c>
      <c r="H16" s="31">
        <v>0.1</v>
      </c>
      <c r="I16" s="17">
        <v>50000.0</v>
      </c>
      <c r="J16" s="17">
        <v>30000.0</v>
      </c>
      <c r="K16" s="24">
        <f t="shared" si="2"/>
        <v>245905.7</v>
      </c>
      <c r="L16" s="24">
        <f>IF(OR(D16="",F16="-"),"-",F16*PARAMETROS!$B$17)</f>
        <v>1106038</v>
      </c>
      <c r="M16" s="37">
        <f t="shared" si="3"/>
        <v>1351943.7</v>
      </c>
      <c r="N16" s="24">
        <f t="shared" si="4"/>
        <v>52729.7384</v>
      </c>
      <c r="O16" s="43">
        <f t="shared" si="5"/>
        <v>419.5120376</v>
      </c>
      <c r="P16" s="35">
        <f t="shared" si="6"/>
        <v>34.95933647</v>
      </c>
      <c r="Q16" s="24">
        <f t="shared" si="7"/>
        <v>16856081.26</v>
      </c>
      <c r="R16" s="24">
        <f t="shared" si="8"/>
        <v>38344084.4</v>
      </c>
      <c r="S16" s="24">
        <f t="shared" si="9"/>
        <v>50568243.78</v>
      </c>
      <c r="T16" s="24">
        <f t="shared" si="10"/>
        <v>70790733.2</v>
      </c>
      <c r="U16" s="24">
        <f>PARAMETROS!C23*(1+PARAMETROS!$B$11)*PARAMETROS!$B$13*(1+PARAMETROS!$B$10)</f>
        <v>380482.0315</v>
      </c>
      <c r="V16" s="24">
        <f>PARAMETROS!C23*(1+PARAMETROS!$B$12)*PARAMETROS!$B$13*(1+PARAMETROS!$B$10)</f>
        <v>507309.3754</v>
      </c>
      <c r="W16" s="45" t="str">
        <f t="shared" si="11"/>
        <v>No conviene — PI &gt; 5 años</v>
      </c>
    </row>
    <row r="17" ht="31.5" customHeight="1">
      <c r="A17" s="11" t="s">
        <v>123</v>
      </c>
      <c r="B17" s="23" t="s">
        <v>56</v>
      </c>
      <c r="C17" s="30">
        <f>PARAMETROS!F22</f>
        <v>1337922.205</v>
      </c>
      <c r="D17" s="17"/>
      <c r="E17" s="17">
        <v>1420.0</v>
      </c>
      <c r="F17" s="30" t="str">
        <f t="shared" si="1"/>
        <v>-</v>
      </c>
      <c r="G17" s="29">
        <v>10.0</v>
      </c>
      <c r="H17" s="31">
        <v>0.1</v>
      </c>
      <c r="I17" s="17">
        <v>50000.0</v>
      </c>
      <c r="J17" s="17">
        <v>30000.0</v>
      </c>
      <c r="K17" s="30" t="str">
        <f t="shared" si="2"/>
        <v>-</v>
      </c>
      <c r="L17" s="30" t="str">
        <f>IF(OR(D17="",F17="-"),"-",F17*PARAMETROS!$B$17)</f>
        <v>-</v>
      </c>
      <c r="M17" s="46" t="str">
        <f t="shared" si="3"/>
        <v>-</v>
      </c>
      <c r="N17" s="30" t="str">
        <f t="shared" si="4"/>
        <v>-</v>
      </c>
      <c r="O17" s="47" t="str">
        <f t="shared" si="5"/>
        <v>-</v>
      </c>
      <c r="P17" s="28" t="str">
        <f t="shared" si="6"/>
        <v>-</v>
      </c>
      <c r="Q17" s="30">
        <f t="shared" si="7"/>
        <v>16055066.46</v>
      </c>
      <c r="R17" s="30" t="str">
        <f t="shared" si="8"/>
        <v>-</v>
      </c>
      <c r="S17" s="30">
        <f t="shared" si="9"/>
        <v>48165199.37</v>
      </c>
      <c r="T17" s="30" t="str">
        <f t="shared" si="10"/>
        <v>-</v>
      </c>
      <c r="U17" s="30">
        <f>PARAMETROS!C22*(1+PARAMETROS!$B$11)*PARAMETROS!$B$13*(1+PARAMETROS!$B$10)</f>
        <v>360456.6614</v>
      </c>
      <c r="V17" s="30">
        <f>PARAMETROS!C22*(1+PARAMETROS!$B$12)*PARAMETROS!$B$13*(1+PARAMETROS!$B$10)</f>
        <v>480608.8819</v>
      </c>
      <c r="W17" s="48" t="str">
        <f t="shared" si="11"/>
        <v>Sin precio</v>
      </c>
    </row>
    <row r="18" ht="31.5" customHeight="1">
      <c r="A18" s="12" t="s">
        <v>124</v>
      </c>
      <c r="B18" s="49" t="s">
        <v>96</v>
      </c>
      <c r="C18" s="24">
        <f>PARAMETROS!F23*2</f>
        <v>2809346.877</v>
      </c>
      <c r="D18" s="17"/>
      <c r="E18" s="17">
        <v>1420.0</v>
      </c>
      <c r="F18" s="24" t="str">
        <f t="shared" si="1"/>
        <v>-</v>
      </c>
      <c r="G18" s="29">
        <v>10.0</v>
      </c>
      <c r="H18" s="31">
        <v>0.1</v>
      </c>
      <c r="I18" s="17">
        <v>50000.0</v>
      </c>
      <c r="J18" s="17">
        <v>30000.0</v>
      </c>
      <c r="K18" s="24" t="str">
        <f t="shared" si="2"/>
        <v>-</v>
      </c>
      <c r="L18" s="24" t="str">
        <f>IF(OR(D18="",F18="-"),"-",F18*PARAMETROS!$B$17)</f>
        <v>-</v>
      </c>
      <c r="M18" s="37" t="str">
        <f t="shared" si="3"/>
        <v>-</v>
      </c>
      <c r="N18" s="24" t="str">
        <f t="shared" si="4"/>
        <v>-</v>
      </c>
      <c r="O18" s="43" t="str">
        <f t="shared" si="5"/>
        <v>-</v>
      </c>
      <c r="P18" s="35" t="str">
        <f t="shared" si="6"/>
        <v>-</v>
      </c>
      <c r="Q18" s="24">
        <f t="shared" si="7"/>
        <v>33712162.52</v>
      </c>
      <c r="R18" s="24" t="str">
        <f t="shared" si="8"/>
        <v>-</v>
      </c>
      <c r="S18" s="24">
        <f t="shared" si="9"/>
        <v>101136487.6</v>
      </c>
      <c r="T18" s="24" t="str">
        <f t="shared" si="10"/>
        <v>-</v>
      </c>
      <c r="U18" s="24">
        <f>PARAMETROS!C23*(1+PARAMETROS!$B$11)*PARAMETROS!$B$13*(1+PARAMETROS!$B$10)</f>
        <v>380482.0315</v>
      </c>
      <c r="V18" s="24">
        <f>PARAMETROS!C23*(1+PARAMETROS!$B$12)*PARAMETROS!$B$13*(1+PARAMETROS!$B$10)</f>
        <v>507309.3754</v>
      </c>
      <c r="W18" s="45" t="str">
        <f t="shared" si="11"/>
        <v>Sin precio</v>
      </c>
    </row>
    <row r="19" ht="31.5" customHeight="1">
      <c r="A19" s="11" t="s">
        <v>125</v>
      </c>
      <c r="B19" s="23" t="s">
        <v>96</v>
      </c>
      <c r="C19" s="30">
        <f>PARAMETROS!F23</f>
        <v>1404673.438</v>
      </c>
      <c r="D19" s="25">
        <v>2500.0</v>
      </c>
      <c r="E19" s="17">
        <v>1420.0</v>
      </c>
      <c r="F19" s="30">
        <f t="shared" si="1"/>
        <v>3550000</v>
      </c>
      <c r="G19" s="29">
        <v>10.0</v>
      </c>
      <c r="H19" s="31">
        <v>0.1</v>
      </c>
      <c r="I19" s="17">
        <v>50000.0</v>
      </c>
      <c r="J19" s="17">
        <v>30000.0</v>
      </c>
      <c r="K19" s="30">
        <f t="shared" si="2"/>
        <v>106625</v>
      </c>
      <c r="L19" s="30">
        <f>IF(OR(D19="",F19="-"),"-",F19*PARAMETROS!$B$17)</f>
        <v>177500</v>
      </c>
      <c r="M19" s="46">
        <f t="shared" si="3"/>
        <v>284125</v>
      </c>
      <c r="N19" s="30">
        <f t="shared" si="4"/>
        <v>1120548.438</v>
      </c>
      <c r="O19" s="47">
        <f t="shared" si="5"/>
        <v>3.168091515</v>
      </c>
      <c r="P19" s="28">
        <f t="shared" si="6"/>
        <v>0.2640076263</v>
      </c>
      <c r="Q19" s="30">
        <f t="shared" si="7"/>
        <v>16856081.26</v>
      </c>
      <c r="R19" s="30">
        <f t="shared" si="8"/>
        <v>6959500</v>
      </c>
      <c r="S19" s="30">
        <f t="shared" si="9"/>
        <v>50568243.78</v>
      </c>
      <c r="T19" s="30">
        <f t="shared" si="10"/>
        <v>13778500</v>
      </c>
      <c r="U19" s="30">
        <f>PARAMETROS!C23*(1+PARAMETROS!$B$11)*PARAMETROS!$B$13*(1+PARAMETROS!$B$10)</f>
        <v>380482.0315</v>
      </c>
      <c r="V19" s="30">
        <f>PARAMETROS!C23*(1+PARAMETROS!$B$12)*PARAMETROS!$B$13*(1+PARAMETROS!$B$10)</f>
        <v>507309.3754</v>
      </c>
      <c r="W19" s="48" t="str">
        <f t="shared" si="11"/>
        <v>Comprar — PI &lt; 1 año</v>
      </c>
    </row>
    <row r="20" ht="31.5" customHeight="1">
      <c r="A20" s="12" t="s">
        <v>126</v>
      </c>
      <c r="B20" s="49" t="s">
        <v>96</v>
      </c>
      <c r="C20" s="24">
        <f>PARAMETROS!F23</f>
        <v>1404673.438</v>
      </c>
      <c r="D20" s="17"/>
      <c r="E20" s="17">
        <v>1420.0</v>
      </c>
      <c r="F20" s="24" t="str">
        <f t="shared" si="1"/>
        <v>-</v>
      </c>
      <c r="G20" s="29">
        <v>10.0</v>
      </c>
      <c r="H20" s="31">
        <v>0.1</v>
      </c>
      <c r="I20" s="17">
        <v>50000.0</v>
      </c>
      <c r="J20" s="17">
        <v>30000.0</v>
      </c>
      <c r="K20" s="24" t="str">
        <f t="shared" si="2"/>
        <v>-</v>
      </c>
      <c r="L20" s="24" t="str">
        <f>IF(OR(D20="",F20="-"),"-",F20*PARAMETROS!$B$17)</f>
        <v>-</v>
      </c>
      <c r="M20" s="37" t="str">
        <f t="shared" si="3"/>
        <v>-</v>
      </c>
      <c r="N20" s="24" t="str">
        <f t="shared" si="4"/>
        <v>-</v>
      </c>
      <c r="O20" s="43" t="str">
        <f t="shared" si="5"/>
        <v>-</v>
      </c>
      <c r="P20" s="35" t="str">
        <f t="shared" si="6"/>
        <v>-</v>
      </c>
      <c r="Q20" s="24">
        <f t="shared" si="7"/>
        <v>16856081.26</v>
      </c>
      <c r="R20" s="24" t="str">
        <f t="shared" si="8"/>
        <v>-</v>
      </c>
      <c r="S20" s="24">
        <f t="shared" si="9"/>
        <v>50568243.78</v>
      </c>
      <c r="T20" s="24" t="str">
        <f t="shared" si="10"/>
        <v>-</v>
      </c>
      <c r="U20" s="24">
        <f>PARAMETROS!C23*(1+PARAMETROS!$B$11)*PARAMETROS!$B$13*(1+PARAMETROS!$B$10)</f>
        <v>380482.0315</v>
      </c>
      <c r="V20" s="24">
        <f>PARAMETROS!C23*(1+PARAMETROS!$B$12)*PARAMETROS!$B$13*(1+PARAMETROS!$B$10)</f>
        <v>507309.3754</v>
      </c>
      <c r="W20" s="45" t="str">
        <f t="shared" si="11"/>
        <v>Sin precio</v>
      </c>
    </row>
    <row r="21" ht="31.5" customHeight="1">
      <c r="A21" s="11" t="s">
        <v>127</v>
      </c>
      <c r="B21" s="23" t="s">
        <v>56</v>
      </c>
      <c r="C21" s="30">
        <f>PARAMETROS!F22</f>
        <v>1337922.205</v>
      </c>
      <c r="D21" s="17"/>
      <c r="E21" s="17">
        <v>1420.0</v>
      </c>
      <c r="F21" s="30" t="str">
        <f t="shared" si="1"/>
        <v>-</v>
      </c>
      <c r="G21" s="29">
        <v>10.0</v>
      </c>
      <c r="H21" s="31">
        <v>0.1</v>
      </c>
      <c r="I21" s="17">
        <v>50000.0</v>
      </c>
      <c r="J21" s="17">
        <v>30000.0</v>
      </c>
      <c r="K21" s="30" t="str">
        <f t="shared" si="2"/>
        <v>-</v>
      </c>
      <c r="L21" s="30" t="str">
        <f>IF(OR(D21="",F21="-"),"-",F21*PARAMETROS!$B$17)</f>
        <v>-</v>
      </c>
      <c r="M21" s="46" t="str">
        <f t="shared" si="3"/>
        <v>-</v>
      </c>
      <c r="N21" s="30" t="str">
        <f t="shared" si="4"/>
        <v>-</v>
      </c>
      <c r="O21" s="47" t="str">
        <f t="shared" si="5"/>
        <v>-</v>
      </c>
      <c r="P21" s="28" t="str">
        <f t="shared" si="6"/>
        <v>-</v>
      </c>
      <c r="Q21" s="30">
        <f t="shared" si="7"/>
        <v>16055066.46</v>
      </c>
      <c r="R21" s="30" t="str">
        <f t="shared" si="8"/>
        <v>-</v>
      </c>
      <c r="S21" s="30">
        <f t="shared" si="9"/>
        <v>48165199.37</v>
      </c>
      <c r="T21" s="30" t="str">
        <f t="shared" si="10"/>
        <v>-</v>
      </c>
      <c r="U21" s="30">
        <f>PARAMETROS!C22*(1+PARAMETROS!$B$11)*PARAMETROS!$B$13*(1+PARAMETROS!$B$10)</f>
        <v>360456.6614</v>
      </c>
      <c r="V21" s="30">
        <f>PARAMETROS!C22*(1+PARAMETROS!$B$12)*PARAMETROS!$B$13*(1+PARAMETROS!$B$10)</f>
        <v>480608.8819</v>
      </c>
      <c r="W21" s="48" t="str">
        <f t="shared" si="11"/>
        <v>Sin precio</v>
      </c>
    </row>
    <row r="22" ht="31.5" customHeight="1">
      <c r="A22" s="50" t="s">
        <v>128</v>
      </c>
      <c r="B22" s="49" t="s">
        <v>96</v>
      </c>
      <c r="C22" s="24">
        <f>PARAMETROS!F25</f>
        <v>1604927.139</v>
      </c>
      <c r="D22" s="25">
        <v>15731.0</v>
      </c>
      <c r="E22" s="17">
        <v>1420.0</v>
      </c>
      <c r="F22" s="30">
        <f t="shared" si="1"/>
        <v>22338020</v>
      </c>
      <c r="G22" s="29">
        <v>10.0</v>
      </c>
      <c r="H22" s="31">
        <v>0.1</v>
      </c>
      <c r="I22" s="17">
        <v>50000.0</v>
      </c>
      <c r="J22" s="17">
        <v>30000.0</v>
      </c>
      <c r="K22" s="30">
        <f t="shared" si="2"/>
        <v>247535.15</v>
      </c>
      <c r="L22" s="30">
        <f>IF(OR(D22="",F22="-"),"-",F22*PARAMETROS!$B$17)</f>
        <v>1116901</v>
      </c>
      <c r="M22" s="46">
        <f t="shared" si="3"/>
        <v>1364436.15</v>
      </c>
      <c r="N22" s="30">
        <f t="shared" si="4"/>
        <v>240490.9892</v>
      </c>
      <c r="O22" s="47">
        <f t="shared" si="5"/>
        <v>92.88506016</v>
      </c>
      <c r="P22" s="28">
        <f t="shared" si="6"/>
        <v>7.74042168</v>
      </c>
      <c r="Q22" s="30">
        <f t="shared" si="7"/>
        <v>19259125.67</v>
      </c>
      <c r="R22" s="30">
        <f t="shared" si="8"/>
        <v>38711253.8</v>
      </c>
      <c r="S22" s="30">
        <f t="shared" si="9"/>
        <v>57777377.01</v>
      </c>
      <c r="T22" s="30">
        <f t="shared" si="10"/>
        <v>71457721.4</v>
      </c>
      <c r="U22" s="30">
        <f>PARAMETROS!C23*(1+PARAMETROS!$B$11)*PARAMETROS!$B$13*(1+PARAMETROS!$B$10)</f>
        <v>380482.0315</v>
      </c>
      <c r="V22" s="30">
        <f>PARAMETROS!C23*(1+PARAMETROS!$B$12)*PARAMETROS!$B$13*(1+PARAMETROS!$B$10)</f>
        <v>507309.3754</v>
      </c>
      <c r="W22" s="48" t="str">
        <f t="shared" si="11"/>
        <v>No conviene — PI &gt; 5 años</v>
      </c>
    </row>
    <row r="23" ht="24.0" customHeight="1">
      <c r="A23" s="51" t="s">
        <v>129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3"/>
    </row>
    <row r="24" ht="19.5" customHeight="1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</sheetData>
  <mergeCells count="9">
    <mergeCell ref="D3:J3"/>
    <mergeCell ref="A23:W24"/>
    <mergeCell ref="A1:W1"/>
    <mergeCell ref="A2:W2"/>
    <mergeCell ref="A3:B3"/>
    <mergeCell ref="K3:M3"/>
    <mergeCell ref="N3:P3"/>
    <mergeCell ref="Q3:T3"/>
    <mergeCell ref="U3:V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10.0"/>
    <col customWidth="1" min="4" max="4" width="42.0"/>
    <col customWidth="1" min="5" max="26" width="8.71"/>
  </cols>
  <sheetData>
    <row r="1" ht="24.0" customHeight="1">
      <c r="A1" s="1" t="s">
        <v>1</v>
      </c>
      <c r="B1" s="2"/>
      <c r="C1" s="2"/>
      <c r="D1" s="3"/>
    </row>
    <row r="2" ht="15.0" customHeight="1">
      <c r="A2" s="5" t="s">
        <v>4</v>
      </c>
      <c r="B2" s="6"/>
      <c r="C2" s="6"/>
      <c r="D2" s="7"/>
    </row>
    <row r="3">
      <c r="A3" s="4"/>
      <c r="B3" s="4"/>
      <c r="C3" s="4"/>
      <c r="D3" s="4"/>
    </row>
    <row r="4" ht="18.0" customHeight="1">
      <c r="A4" s="8" t="s">
        <v>9</v>
      </c>
      <c r="B4" s="8" t="s">
        <v>10</v>
      </c>
      <c r="C4" s="8" t="s">
        <v>11</v>
      </c>
      <c r="D4" s="8" t="s">
        <v>12</v>
      </c>
    </row>
    <row r="5" ht="21.75" customHeight="1">
      <c r="A5" s="11" t="s">
        <v>14</v>
      </c>
      <c r="B5" s="20">
        <f>PARAMETROS!B6</f>
        <v>4485.97</v>
      </c>
      <c r="C5" s="18" t="s">
        <v>16</v>
      </c>
      <c r="D5" s="19" t="s">
        <v>51</v>
      </c>
    </row>
    <row r="6" ht="21.75" customHeight="1">
      <c r="A6" s="12" t="s">
        <v>55</v>
      </c>
      <c r="B6" s="24">
        <f>PARAMETROS!B23</f>
        <v>1.14</v>
      </c>
      <c r="C6" s="14"/>
      <c r="D6" s="16" t="s">
        <v>64</v>
      </c>
    </row>
    <row r="7" ht="21.75" customHeight="1">
      <c r="A7" s="11" t="s">
        <v>65</v>
      </c>
      <c r="B7" s="20">
        <f>PARAMETROS!C23</f>
        <v>5114.0058</v>
      </c>
      <c r="C7" s="18" t="s">
        <v>16</v>
      </c>
      <c r="D7" s="27" t="s">
        <v>70</v>
      </c>
    </row>
    <row r="8" ht="21.75" customHeight="1">
      <c r="A8" s="12" t="s">
        <v>71</v>
      </c>
      <c r="B8" s="24">
        <f>PARAMETROS!B7</f>
        <v>200</v>
      </c>
      <c r="C8" s="14" t="s">
        <v>30</v>
      </c>
      <c r="D8" s="16" t="s">
        <v>81</v>
      </c>
    </row>
    <row r="9" ht="21.75" customHeight="1">
      <c r="A9" s="11" t="s">
        <v>82</v>
      </c>
      <c r="B9" s="30">
        <f>PARAMETROS!D23</f>
        <v>1022801.16</v>
      </c>
      <c r="C9" s="18" t="s">
        <v>39</v>
      </c>
      <c r="D9" s="27" t="s">
        <v>83</v>
      </c>
    </row>
    <row r="10" ht="21.75" customHeight="1">
      <c r="A10" s="12" t="s">
        <v>36</v>
      </c>
      <c r="B10" s="24">
        <f>PARAMETROS!B8</f>
        <v>40000</v>
      </c>
      <c r="C10" s="14" t="s">
        <v>39</v>
      </c>
      <c r="D10" s="16" t="s">
        <v>85</v>
      </c>
    </row>
    <row r="11" ht="21.75" customHeight="1">
      <c r="A11" s="11" t="s">
        <v>42</v>
      </c>
      <c r="B11" s="30">
        <f>PARAMETROS!B9</f>
        <v>70000</v>
      </c>
      <c r="C11" s="18" t="s">
        <v>39</v>
      </c>
      <c r="D11" s="19" t="s">
        <v>86</v>
      </c>
    </row>
    <row r="12" ht="21.75" customHeight="1">
      <c r="A12" s="32" t="s">
        <v>87</v>
      </c>
      <c r="B12" s="33">
        <f>PARAMETROS!E23</f>
        <v>1132801.16</v>
      </c>
      <c r="C12" s="14" t="s">
        <v>39</v>
      </c>
      <c r="D12" s="34" t="s">
        <v>88</v>
      </c>
    </row>
    <row r="13" ht="21.75" customHeight="1">
      <c r="A13" s="11" t="s">
        <v>89</v>
      </c>
      <c r="B13" s="30">
        <f>PARAMETROS!E23*PARAMETROS!B10</f>
        <v>271872.2784</v>
      </c>
      <c r="C13" s="18" t="s">
        <v>39</v>
      </c>
      <c r="D13" s="27" t="s">
        <v>90</v>
      </c>
    </row>
    <row r="14" ht="21.75" customHeight="1">
      <c r="A14" s="32" t="s">
        <v>91</v>
      </c>
      <c r="B14" s="36">
        <f>PARAMETROS!F23</f>
        <v>1404673.438</v>
      </c>
      <c r="C14" s="14" t="s">
        <v>39</v>
      </c>
      <c r="D14" s="34" t="s">
        <v>93</v>
      </c>
    </row>
    <row r="15" ht="7.5" customHeight="1">
      <c r="A15" s="4"/>
      <c r="B15" s="4"/>
      <c r="C15" s="4"/>
      <c r="D15" s="4"/>
    </row>
    <row r="16" ht="21.75" customHeight="1">
      <c r="A16" s="12" t="s">
        <v>94</v>
      </c>
      <c r="B16" s="40">
        <f>PARAMETROS!C23*(1+PARAMETROS!B11)*(1+PARAMETROS!B10)</f>
        <v>9512.050788</v>
      </c>
      <c r="C16" s="14" t="s">
        <v>16</v>
      </c>
      <c r="D16" s="34" t="s">
        <v>97</v>
      </c>
    </row>
    <row r="17" ht="21.75" customHeight="1">
      <c r="A17" s="11" t="s">
        <v>98</v>
      </c>
      <c r="B17" s="20">
        <f>PARAMETROS!C23*(1+PARAMETROS!B12)*(1+PARAMETROS!B10)</f>
        <v>12682.73438</v>
      </c>
      <c r="C17" s="18" t="s">
        <v>16</v>
      </c>
      <c r="D17" s="27" t="s">
        <v>101</v>
      </c>
    </row>
    <row r="18" ht="21.75" customHeight="1">
      <c r="A18" s="32" t="s">
        <v>102</v>
      </c>
      <c r="B18" s="33">
        <f>PARAMETROS!C23*(1+PARAMETROS!B11)*PARAMETROS!B13*(1+PARAMETROS!B10)</f>
        <v>380482.0315</v>
      </c>
      <c r="C18" s="14" t="s">
        <v>39</v>
      </c>
      <c r="D18" s="34" t="s">
        <v>108</v>
      </c>
    </row>
    <row r="19" ht="21.75" customHeight="1">
      <c r="A19" s="26" t="s">
        <v>109</v>
      </c>
      <c r="B19" s="33">
        <f>PARAMETROS!C23*(1+PARAMETROS!B12)*PARAMETROS!B13*(1+PARAMETROS!B10)</f>
        <v>507309.3754</v>
      </c>
      <c r="C19" s="18" t="s">
        <v>39</v>
      </c>
      <c r="D19" s="27" t="s">
        <v>111</v>
      </c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10.0"/>
    <col customWidth="1" min="4" max="4" width="42.0"/>
    <col customWidth="1" min="5" max="26" width="8.71"/>
  </cols>
  <sheetData>
    <row r="1" ht="24.0" customHeight="1">
      <c r="A1" s="1" t="s">
        <v>3</v>
      </c>
      <c r="B1" s="2"/>
      <c r="C1" s="2"/>
      <c r="D1" s="3"/>
    </row>
    <row r="2" ht="15.0" customHeight="1">
      <c r="A2" s="5" t="s">
        <v>5</v>
      </c>
      <c r="B2" s="6"/>
      <c r="C2" s="6"/>
      <c r="D2" s="7"/>
    </row>
    <row r="3">
      <c r="A3" s="4"/>
      <c r="B3" s="4"/>
      <c r="C3" s="4"/>
      <c r="D3" s="4"/>
    </row>
    <row r="4" ht="18.0" customHeight="1">
      <c r="A4" s="8" t="s">
        <v>9</v>
      </c>
      <c r="B4" s="8" t="s">
        <v>10</v>
      </c>
      <c r="C4" s="8" t="s">
        <v>11</v>
      </c>
      <c r="D4" s="8" t="s">
        <v>12</v>
      </c>
    </row>
    <row r="5" ht="21.75" customHeight="1">
      <c r="A5" s="11" t="s">
        <v>14</v>
      </c>
      <c r="B5" s="20">
        <f>PARAMETROS!B6</f>
        <v>4485.97</v>
      </c>
      <c r="C5" s="18" t="s">
        <v>16</v>
      </c>
      <c r="D5" s="19" t="s">
        <v>51</v>
      </c>
    </row>
    <row r="6" ht="21.75" customHeight="1">
      <c r="A6" s="12" t="s">
        <v>57</v>
      </c>
      <c r="B6" s="24">
        <f>PARAMETROS!B24</f>
        <v>1.23</v>
      </c>
      <c r="C6" s="14"/>
      <c r="D6" s="16" t="s">
        <v>64</v>
      </c>
    </row>
    <row r="7" ht="21.75" customHeight="1">
      <c r="A7" s="11" t="s">
        <v>67</v>
      </c>
      <c r="B7" s="20">
        <f>PARAMETROS!C24</f>
        <v>5517.7431</v>
      </c>
      <c r="C7" s="18" t="s">
        <v>16</v>
      </c>
      <c r="D7" s="27" t="s">
        <v>75</v>
      </c>
    </row>
    <row r="8" ht="21.75" customHeight="1">
      <c r="A8" s="12" t="s">
        <v>71</v>
      </c>
      <c r="B8" s="24">
        <f>PARAMETROS!B7</f>
        <v>200</v>
      </c>
      <c r="C8" s="14" t="s">
        <v>30</v>
      </c>
      <c r="D8" s="16" t="s">
        <v>81</v>
      </c>
    </row>
    <row r="9" ht="21.75" customHeight="1">
      <c r="A9" s="11" t="s">
        <v>82</v>
      </c>
      <c r="B9" s="30">
        <f>PARAMETROS!D24</f>
        <v>1103548.62</v>
      </c>
      <c r="C9" s="18" t="s">
        <v>39</v>
      </c>
      <c r="D9" s="27" t="s">
        <v>84</v>
      </c>
    </row>
    <row r="10" ht="21.75" customHeight="1">
      <c r="A10" s="12" t="s">
        <v>36</v>
      </c>
      <c r="B10" s="24">
        <f>PARAMETROS!B8</f>
        <v>40000</v>
      </c>
      <c r="C10" s="14" t="s">
        <v>39</v>
      </c>
      <c r="D10" s="16" t="s">
        <v>85</v>
      </c>
    </row>
    <row r="11" ht="21.75" customHeight="1">
      <c r="A11" s="11" t="s">
        <v>42</v>
      </c>
      <c r="B11" s="30">
        <f>PARAMETROS!B9</f>
        <v>70000</v>
      </c>
      <c r="C11" s="18" t="s">
        <v>39</v>
      </c>
      <c r="D11" s="19" t="s">
        <v>86</v>
      </c>
    </row>
    <row r="12" ht="21.75" customHeight="1">
      <c r="A12" s="32" t="s">
        <v>87</v>
      </c>
      <c r="B12" s="33">
        <f>PARAMETROS!E24</f>
        <v>1213548.62</v>
      </c>
      <c r="C12" s="14" t="s">
        <v>39</v>
      </c>
      <c r="D12" s="34" t="s">
        <v>88</v>
      </c>
    </row>
    <row r="13" ht="21.75" customHeight="1">
      <c r="A13" s="11" t="s">
        <v>89</v>
      </c>
      <c r="B13" s="30">
        <f>PARAMETROS!E24*PARAMETROS!B10</f>
        <v>291251.6688</v>
      </c>
      <c r="C13" s="18" t="s">
        <v>39</v>
      </c>
      <c r="D13" s="27" t="s">
        <v>90</v>
      </c>
    </row>
    <row r="14" ht="21.75" customHeight="1">
      <c r="A14" s="32" t="s">
        <v>91</v>
      </c>
      <c r="B14" s="36">
        <f>PARAMETROS!F24</f>
        <v>1504800.289</v>
      </c>
      <c r="C14" s="14" t="s">
        <v>39</v>
      </c>
      <c r="D14" s="34" t="s">
        <v>93</v>
      </c>
    </row>
    <row r="15" ht="7.5" customHeight="1">
      <c r="A15" s="4"/>
      <c r="B15" s="4"/>
      <c r="C15" s="4"/>
      <c r="D15" s="4"/>
    </row>
    <row r="16" ht="21.75" customHeight="1">
      <c r="A16" s="12" t="s">
        <v>94</v>
      </c>
      <c r="B16" s="40">
        <f>PARAMETROS!C24*(1+PARAMETROS!B11)*(1+PARAMETROS!B10)</f>
        <v>10263.00217</v>
      </c>
      <c r="C16" s="14" t="s">
        <v>16</v>
      </c>
      <c r="D16" s="34" t="s">
        <v>105</v>
      </c>
    </row>
    <row r="17" ht="21.75" customHeight="1">
      <c r="A17" s="11" t="s">
        <v>98</v>
      </c>
      <c r="B17" s="20">
        <f>PARAMETROS!C24*(1+PARAMETROS!B12)*(1+PARAMETROS!B10)</f>
        <v>13684.00289</v>
      </c>
      <c r="C17" s="18" t="s">
        <v>16</v>
      </c>
      <c r="D17" s="27" t="s">
        <v>110</v>
      </c>
    </row>
    <row r="18" ht="21.75" customHeight="1">
      <c r="A18" s="32" t="s">
        <v>102</v>
      </c>
      <c r="B18" s="33">
        <f>PARAMETROS!C24*(1+PARAMETROS!B11)*PARAMETROS!B13*(1+PARAMETROS!B10)</f>
        <v>410520.0866</v>
      </c>
      <c r="C18" s="14" t="s">
        <v>39</v>
      </c>
      <c r="D18" s="34" t="s">
        <v>108</v>
      </c>
    </row>
    <row r="19" ht="21.75" customHeight="1">
      <c r="A19" s="26" t="s">
        <v>109</v>
      </c>
      <c r="B19" s="33">
        <f>PARAMETROS!C24*(1+PARAMETROS!B12)*PARAMETROS!B13*(1+PARAMETROS!B10)</f>
        <v>547360.1155</v>
      </c>
      <c r="C19" s="18" t="s">
        <v>39</v>
      </c>
      <c r="D19" s="27" t="s">
        <v>111</v>
      </c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