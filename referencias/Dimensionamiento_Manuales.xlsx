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base" sheetId="1" r:id="rId4"/>
    <sheet state="visible" name="parametros_manuales" sheetId="2" r:id="rId5"/>
    <sheet state="visible" name="Plan mensual" sheetId="3" r:id="rId6"/>
    <sheet state="visible" name="Demanda puesto sin sobrestock" sheetId="4" r:id="rId7"/>
    <sheet state="visible" name="Resumen cap. sin sobrestock" sheetId="5" r:id="rId8"/>
    <sheet state="visible" name="Demanda puesto con sobrestock" sheetId="6" r:id="rId9"/>
    <sheet state="visible" name="Resumen cap. con sobrestock" sheetId="7" r:id="rId10"/>
  </sheets>
  <definedNames/>
  <calcPr/>
  <extLst>
    <ext uri="GoogleSheetsCustomDataVersion2">
      <go:sheetsCustomData xmlns:go="http://customooxmlschemas.google.com/" r:id="rId11" roundtripDataChecksum="ZywUsqOz5+KAfbAlmn5pgn0EHM9+IalBIClaz7pmNk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0">
      <text>
        <t xml:space="preserve">Esto porque la operación es manual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0">
      <text>
        <t xml:space="preserve">Esto porque la operación es manual
======</t>
      </text>
    </comment>
  </commentList>
</comments>
</file>

<file path=xl/sharedStrings.xml><?xml version="1.0" encoding="utf-8"?>
<sst xmlns="http://schemas.openxmlformats.org/spreadsheetml/2006/main" count="964" uniqueCount="187">
  <si>
    <t>Matafuegos terminados</t>
  </si>
  <si>
    <t>Parámetro</t>
  </si>
  <si>
    <t>Producto</t>
  </si>
  <si>
    <t>Tipo</t>
  </si>
  <si>
    <t>Valor</t>
  </si>
  <si>
    <t>Ene</t>
  </si>
  <si>
    <t>Nota</t>
  </si>
  <si>
    <t>Feb</t>
  </si>
  <si>
    <t>Mar</t>
  </si>
  <si>
    <t>Abr</t>
  </si>
  <si>
    <t>Año 2026</t>
  </si>
  <si>
    <t>May</t>
  </si>
  <si>
    <t>Jun</t>
  </si>
  <si>
    <t>ABC 1 kg</t>
  </si>
  <si>
    <t>Jul</t>
  </si>
  <si>
    <t>Ago</t>
  </si>
  <si>
    <t>Sep</t>
  </si>
  <si>
    <t>Días hábiles por mes</t>
  </si>
  <si>
    <t>Oct</t>
  </si>
  <si>
    <t>Nov</t>
  </si>
  <si>
    <t>Dic</t>
  </si>
  <si>
    <t>Total anual</t>
  </si>
  <si>
    <t>Mes pico (u/mes)</t>
  </si>
  <si>
    <t>Demanda pico (u/h)</t>
  </si>
  <si>
    <t>Mes pico</t>
  </si>
  <si>
    <t>Excel original, Parametros B37</t>
  </si>
  <si>
    <t>Horas por día (1 turno)</t>
  </si>
  <si>
    <t>ABC 2,5 kg</t>
  </si>
  <si>
    <t>Excel original, Parametros D37</t>
  </si>
  <si>
    <t>ABC 5 kg</t>
  </si>
  <si>
    <t>Refrigerio (min/turno)</t>
  </si>
  <si>
    <t>Excel original, Parametros H37</t>
  </si>
  <si>
    <t>ABC 10 kg</t>
  </si>
  <si>
    <t>Total terminados</t>
  </si>
  <si>
    <t>Terminado</t>
  </si>
  <si>
    <t>Horas productivas por turno</t>
  </si>
  <si>
    <t>Horas/día − refrigerio</t>
  </si>
  <si>
    <t>Turnos por día</t>
  </si>
  <si>
    <t>Un solo turno (editable)</t>
  </si>
  <si>
    <t>Horas productivas por mes</t>
  </si>
  <si>
    <t>Días × horas productivas × turnos</t>
  </si>
  <si>
    <t>Umbral de aprovechamiento (solo para resaltar)</t>
  </si>
  <si>
    <t>Las celdas de aprovechamiento que lo superan se pintan de rojo</t>
  </si>
  <si>
    <t>ESTACIONALIDAD (% de la demanda anual por mes)</t>
  </si>
  <si>
    <t>Modelo</t>
  </si>
  <si>
    <t>Total</t>
  </si>
  <si>
    <t>1 kg</t>
  </si>
  <si>
    <t>Perfil automovilístico (Excel original, Parametros fila 3)</t>
  </si>
  <si>
    <t>2,5 kg</t>
  </si>
  <si>
    <t>Cilindros vendidos vacíos</t>
  </si>
  <si>
    <t>Perfil manual comercial (Excel original, Parametros fila 4)</t>
  </si>
  <si>
    <t>5 kg</t>
  </si>
  <si>
    <t>Cilindros ABC 1 kg</t>
  </si>
  <si>
    <t>10 kg</t>
  </si>
  <si>
    <t>Cilindros ABC 2,5 kg</t>
  </si>
  <si>
    <t>Cilindros ABC 5 kg</t>
  </si>
  <si>
    <t>Cilindros ABC 10 kg</t>
  </si>
  <si>
    <t>Total cilindros</t>
  </si>
  <si>
    <t>CAPACIDAD POR PUESTO</t>
  </si>
  <si>
    <t>N°</t>
  </si>
  <si>
    <t>Puesto</t>
  </si>
  <si>
    <t>Máquina</t>
  </si>
  <si>
    <t>Alcance</t>
  </si>
  <si>
    <t>Piezas por unidad</t>
  </si>
  <si>
    <t>% que pasa</t>
  </si>
  <si>
    <t>Tiempo tipo (s/u)</t>
  </si>
  <si>
    <t>Total recipientes a fabricar</t>
  </si>
  <si>
    <t>Disponibilidad</t>
  </si>
  <si>
    <t>Cap. real (u/h)</t>
  </si>
  <si>
    <t>Cap. real (u/mes)</t>
  </si>
  <si>
    <t>SUPOSICIONES</t>
  </si>
  <si>
    <t>Recepción de materia prima</t>
  </si>
  <si>
    <t>Autoelevador Heli CPCD50 + micrómetro</t>
  </si>
  <si>
    <t>Todos</t>
  </si>
  <si>
    <t>25 min x pallet de 20 hojas en carros (1,25 min x hoja)</t>
  </si>
  <si>
    <t>Corte de chapa (guillotina) — 2,5 a 10 kg</t>
  </si>
  <si>
    <t>Guillotina hidráulica Cena serie O 3.200 mm</t>
  </si>
  <si>
    <t>ref carros - 1,2/1,5 min x cuerpo (+ CORTES + TIEMPO)</t>
  </si>
  <si>
    <t>Corte de tubo — 1 kg</t>
  </si>
  <si>
    <t>Cortadora láser de tubo Leapion 1,5 kW</t>
  </si>
  <si>
    <t>10 minutos por tubo de 6m (en cada tubo entran 23 cuerpos)</t>
  </si>
  <si>
    <t>Corte de disco y embutido (cúpula y fondo)</t>
  </si>
  <si>
    <t>Prensa embutidora Sangiacomo + alimentador Cena PRE-1</t>
  </si>
  <si>
    <t>Son 10c segundos contemplando cupula y fondo</t>
  </si>
  <si>
    <t>Preparación de cuello</t>
  </si>
  <si>
    <t>Prensa de banco Pannier MarkFirst MB-21</t>
  </si>
  <si>
    <t>Numerado de cúpula</t>
  </si>
  <si>
    <t>Micropercusión Pannier ADP120160D Deep Marker</t>
  </si>
  <si>
    <t>Soldadura del cuello a la cúpula</t>
  </si>
  <si>
    <t>Firesafer FS-HFM1 (versión manual)</t>
  </si>
  <si>
    <t>Cilindrado</t>
  </si>
  <si>
    <t>Roladora Firesafer FS-RM01</t>
  </si>
  <si>
    <t>Soldadura longitudinal</t>
  </si>
  <si>
    <t>Soldadora longitudinal Firesafer</t>
  </si>
  <si>
    <t>Encastre de fondo</t>
  </si>
  <si>
    <t>Prensa hidráulica motorizada Del Fabro 30 t</t>
  </si>
  <si>
    <t>Bordoneado</t>
  </si>
  <si>
    <t>Bordoneadora motorizada Pilman SWM-400</t>
  </si>
  <si>
    <t>Soldadura circunferencial de cúpula y fondo</t>
  </si>
  <si>
    <t>Soldadora circunferencial Firesafer</t>
  </si>
  <si>
    <t>Control de calidad — Espesor</t>
  </si>
  <si>
    <t>Medidor de espesores Melisam MR017</t>
  </si>
  <si>
    <t>Prueba hidráulica</t>
  </si>
  <si>
    <t>Banco Firesafer FS-JD12A</t>
  </si>
  <si>
    <t>Secado</t>
  </si>
  <si>
    <t>Secadora de cilindros Yukon</t>
  </si>
  <si>
    <t>las 4 maquinas sirven para secado de carros</t>
  </si>
  <si>
    <t>Granallado</t>
  </si>
  <si>
    <t>Granalladora de rodillos AirBlast G-100</t>
  </si>
  <si>
    <t>Detección de defectos</t>
  </si>
  <si>
    <t>Cilindro</t>
  </si>
  <si>
    <t>Mesa de inspección con iluminación</t>
  </si>
  <si>
    <t>Corrección de defectos</t>
  </si>
  <si>
    <t>Amoladora 115 mm + machos y calibres</t>
  </si>
  <si>
    <t>Pintura en polvo + horno</t>
  </si>
  <si>
    <t>Línea de pintura en polvo Firesafer</t>
  </si>
  <si>
    <t>Carga de polvo</t>
  </si>
  <si>
    <t>Cargadora Firesafer FS-A10 / Yukon M-000121</t>
  </si>
  <si>
    <t>Terminados</t>
  </si>
  <si>
    <t>Ensamblaje</t>
  </si>
  <si>
    <t>Puesto manual con llave dinamométrica</t>
  </si>
  <si>
    <t>Presurización</t>
  </si>
  <si>
    <t>Pinza neumática Yukon M-000150 + pack N₂</t>
  </si>
  <si>
    <t>Control de calidad — Ensayo de pérdidas</t>
  </si>
  <si>
    <t>Tanque de inmersión de acero inoxidable</t>
  </si>
  <si>
    <t>Aprovechamiento por puesto</t>
  </si>
  <si>
    <t>Etiquetado</t>
  </si>
  <si>
    <t>Dispensador de etiquetas + impresora Zebra ZD421</t>
  </si>
  <si>
    <t>Embalaje y paletizado</t>
  </si>
  <si>
    <t>Armadora de cajas + envolvedora EDOS PS 5</t>
  </si>
  <si>
    <t>25 seg embalaje + 20 seg paletizado (1000kg pallet/13 kg mat)=76 mat x pallet *20s = 25 min x pallet</t>
  </si>
  <si>
    <t>Alcance: "Todos" = matafuegos terminados + cilindros vacíos; "Terminados" = solo los que se cargan como matafuego.</t>
  </si>
  <si>
    <t>Tiempo tipo = tiempo PCP del Excel original ((tpr + tdl + ta) / rendimiento). Disponibilidad = descuento por cambios de matriz del Excel original.</t>
  </si>
  <si>
    <t>Cap. real (u/h) = 3600 / tiempo tipo × disponibilidad. Cap. real (u/mes) = cap. real × horas productivas del mes.</t>
  </si>
  <si>
    <t>DISPONIBILIDAD</t>
  </si>
  <si>
    <t>Cambio de matriz (min/cambio)</t>
  </si>
  <si>
    <t>N° cambios/mes (est.)</t>
  </si>
  <si>
    <t>Pérdida por cambios (h/mes)</t>
  </si>
  <si>
    <t>Disponibilidad (cambios)</t>
  </si>
  <si>
    <t>Es 32 porque contemplamos 4 cambios de cupula y 4 de fondo x semana (8*4)</t>
  </si>
  <si>
    <t>Total recipientes</t>
  </si>
  <si>
    <t>PRODUCCIÓN CON SOBRESTOCK (perfil mensual de producción, % de la demanda anual)</t>
  </si>
  <si>
    <t>Regla: el pico de diciembre y enero se cubre con stock fabricado antes. Diciembre puede salir de stock del mismo año; enero solo de stock hecho en octubre y noviembre, porque recién desde octubre se puede numerar con el año siguiente.</t>
  </si>
  <si>
    <t>Nivel máximo de producción (L): el mínimo que cumple la regla del lote. El stock de enero tiene que entrar en la capacidad libre de octubre y noviembre: (Ene − L) ≤ (L − Oct) + (L − Nov), o sea L ≥ (Ene + Oct + Nov) / 3.</t>
  </si>
  <si>
    <t>Meses de sobrestock: se fabrica lo más tarde posible, hacia atrás desde noviembre y usando toda la capacidad libre hasta L, para que sean los menos meses posibles.</t>
  </si>
  <si>
    <t>Nivel máximo de producción mensual L (% del año)</t>
  </si>
  <si>
    <t>Por defecto el mayor de los L mínimos (lo fija el 1 kg). Se puede escribir otro valor, siempre que la columna G diga OK.</t>
  </si>
  <si>
    <t>L mínimo por regla de lote</t>
  </si>
  <si>
    <t>Exceso de diciembre</t>
  </si>
  <si>
    <t>Exceso de enero (año siguiente)</t>
  </si>
  <si>
    <t>Stock a fabricar (% del año)</t>
  </si>
  <si>
    <t>Meses de sobrestock</t>
  </si>
  <si>
    <t>Stock de enero cubierto en oct–nov</t>
  </si>
  <si>
    <t>Stock máximo acumulado (% del año)</t>
  </si>
  <si>
    <t>Modelo 1 kg</t>
  </si>
  <si>
    <t>Demanda (% del año)</t>
  </si>
  <si>
    <t>Capacidad libre hasta L</t>
  </si>
  <si>
    <t>Sobrestock fabricado</t>
  </si>
  <si>
    <t>PRODUCCIÓN (% del año)</t>
  </si>
  <si>
    <t>Modelo 2,5 kg</t>
  </si>
  <si>
    <t>Modelo 5 kg</t>
  </si>
  <si>
    <t>Agrega máquina</t>
  </si>
  <si>
    <t>Modelo 10 kg</t>
  </si>
  <si>
    <t>Agrega turno</t>
  </si>
  <si>
    <t>Control: la fila PRODUCCIÓN suma 100 %, porque el stock de enero que se fabrica en oct–nov reemplaza al que se recibió del año anterior. En 2026, el primer año, no hay stock previo para enero.</t>
  </si>
  <si>
    <t>Agrega operario (puesto manual)</t>
  </si>
  <si>
    <t>Tercerizado</t>
  </si>
  <si>
    <t>Revisar</t>
  </si>
  <si>
    <t>Producción con sobrestock = demanda anual × perfil de producción (parametros_manuales, bloque PRODUCCIÓN CON SOBRESTOCK).</t>
  </si>
  <si>
    <t>Aprovechamiento máximo</t>
  </si>
  <si>
    <t>Máquinas/operarios en el puesto</t>
  </si>
  <si>
    <t>TOTAL máquinas / puestos</t>
  </si>
  <si>
    <t xml:space="preserve">Cantidad de turnos </t>
  </si>
  <si>
    <t xml:space="preserve">Cantidad de turnos en el año </t>
  </si>
  <si>
    <t>Turnos: esta hoja divide por la tabla de turnos (filas 58–82). Arranca con los turnos efectivos de la hoja sin sobrestock (incluidos los "/2" que estaban escritos a mano).</t>
  </si>
  <si>
    <t>COMPARACIÓN DE APROVECHAMIENTO MÁXIMO (cada hoja con sus propias máquinas y turnos)</t>
  </si>
  <si>
    <t>Sin sobrestock</t>
  </si>
  <si>
    <t>Con sobrestock</t>
  </si>
  <si>
    <t>Año 2027</t>
  </si>
  <si>
    <t>Año 2028</t>
  </si>
  <si>
    <t>Año 2029</t>
  </si>
  <si>
    <t>Año 2030</t>
  </si>
  <si>
    <t>Año 2031</t>
  </si>
  <si>
    <t>Año 2032</t>
  </si>
  <si>
    <t>Año 2033</t>
  </si>
  <si>
    <t>Año 2034</t>
  </si>
  <si>
    <t>Año 2035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</si>
</sst>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#,##0.0"/>
    <numFmt numFmtId="166" formatCode="0.0%"/>
  </numFmts>
  <fonts count="9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i/>
      <sz val="11.0"/>
      <color rgb="FF595959"/>
      <name val="Arial"/>
    </font>
    <font/>
    <font>
      <b/>
      <sz val="11.0"/>
      <color rgb="FFFFFFFF"/>
      <name val="Arial"/>
    </font>
    <font>
      <b/>
      <sz val="11.0"/>
      <color rgb="FF000000"/>
      <name val="Arial"/>
    </font>
    <font>
      <sz val="11.0"/>
      <color rgb="FF008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4A86E8"/>
        <bgColor rgb="FF4A86E8"/>
      </patternFill>
    </fill>
    <fill>
      <patternFill patternType="solid">
        <fgColor rgb="FFE2EFDA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0" fontId="3" numFmtId="0" xfId="0" applyBorder="1" applyFont="1"/>
    <xf borderId="1" fillId="0" fontId="3" numFmtId="3" xfId="0" applyBorder="1" applyFont="1" applyNumberFormat="1"/>
    <xf borderId="1" fillId="0" fontId="3" numFmtId="0" xfId="0" applyAlignment="1" applyBorder="1" applyFont="1">
      <alignment shrinkToFit="0" vertical="center" wrapText="1"/>
    </xf>
    <xf borderId="1" fillId="0" fontId="3" numFmtId="1" xfId="0" applyAlignment="1" applyBorder="1" applyFont="1" applyNumberFormat="1">
      <alignment shrinkToFit="0" vertical="center" wrapText="1"/>
    </xf>
    <xf borderId="1" fillId="0" fontId="3" numFmtId="164" xfId="0" applyAlignment="1" applyBorder="1" applyFont="1" applyNumberFormat="1">
      <alignment shrinkToFit="0" vertical="center" wrapText="1"/>
    </xf>
    <xf borderId="1" fillId="0" fontId="3" numFmtId="1" xfId="0" applyBorder="1" applyFont="1" applyNumberFormat="1"/>
    <xf borderId="1" fillId="0" fontId="1" numFmtId="0" xfId="0" applyBorder="1" applyFont="1"/>
    <xf borderId="1" fillId="0" fontId="1" numFmtId="3" xfId="0" applyBorder="1" applyFont="1" applyNumberFormat="1"/>
    <xf borderId="1" fillId="0" fontId="3" numFmtId="165" xfId="0" applyBorder="1" applyFont="1" applyNumberFormat="1"/>
    <xf borderId="1" fillId="0" fontId="3" numFmtId="2" xfId="0" applyAlignment="1" applyBorder="1" applyFont="1" applyNumberFormat="1">
      <alignment shrinkToFit="0" vertical="center" wrapText="1"/>
    </xf>
    <xf borderId="1" fillId="0" fontId="3" numFmtId="9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1" fillId="0" fontId="3" numFmtId="166" xfId="0" applyAlignment="1" applyBorder="1" applyFont="1" applyNumberFormat="1">
      <alignment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3" numFmtId="9" xfId="0" applyAlignment="1" applyBorder="1" applyFont="1" applyNumberFormat="1">
      <alignment shrinkToFit="0" vertical="center" wrapText="1"/>
    </xf>
    <xf borderId="2" fillId="3" fontId="3" numFmtId="2" xfId="0" applyAlignment="1" applyBorder="1" applyFill="1" applyFont="1" applyNumberFormat="1">
      <alignment readingOrder="0" shrinkToFit="0" vertical="center" wrapText="1"/>
    </xf>
    <xf borderId="2" fillId="0" fontId="3" numFmtId="166" xfId="0" applyAlignment="1" applyBorder="1" applyFont="1" applyNumberFormat="1">
      <alignment shrinkToFit="0" vertical="center" wrapText="1"/>
    </xf>
    <xf borderId="2" fillId="0" fontId="1" numFmtId="2" xfId="0" applyAlignment="1" applyBorder="1" applyFont="1" applyNumberFormat="1">
      <alignment shrinkToFit="0" vertical="center" wrapText="1"/>
    </xf>
    <xf borderId="2" fillId="0" fontId="3" numFmtId="3" xfId="0" applyAlignment="1" applyBorder="1" applyFont="1" applyNumberForma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3" fontId="3" numFmtId="2" xfId="0" applyAlignment="1" applyBorder="1" applyFill="1" applyFont="1" applyNumberFormat="1">
      <alignment shrinkToFit="0" vertical="center" wrapText="1"/>
    </xf>
    <xf borderId="1" fillId="3" fontId="3" numFmtId="0" xfId="0" applyBorder="1" applyFill="1" applyFont="1"/>
    <xf borderId="1" fillId="0" fontId="1" numFmtId="2" xfId="0" applyBorder="1" applyFont="1" applyNumberFormat="1"/>
    <xf borderId="0" fillId="0" fontId="4" numFmtId="0" xfId="0" applyAlignment="1" applyFont="1">
      <alignment shrinkToFit="0" vertical="center" wrapText="1"/>
    </xf>
    <xf borderId="1" fillId="0" fontId="3" numFmtId="9" xfId="0" applyBorder="1" applyFont="1" applyNumberFormat="1"/>
    <xf borderId="3" fillId="2" fontId="1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2" fillId="4" fontId="1" numFmtId="0" xfId="0" applyAlignment="1" applyBorder="1" applyFill="1" applyFont="1">
      <alignment horizontal="center" shrinkToFit="0" vertical="center" wrapText="1"/>
    </xf>
    <xf borderId="6" fillId="5" fontId="1" numFmtId="9" xfId="0" applyBorder="1" applyFill="1" applyFont="1" applyNumberFormat="1"/>
    <xf borderId="2" fillId="0" fontId="3" numFmtId="10" xfId="0" applyAlignment="1" applyBorder="1" applyFont="1" applyNumberFormat="1">
      <alignment shrinkToFit="0" vertical="center" wrapText="1"/>
    </xf>
    <xf borderId="6" fillId="6" fontId="1" numFmtId="9" xfId="0" applyBorder="1" applyFill="1" applyFont="1" applyNumberFormat="1"/>
    <xf borderId="1" fillId="0" fontId="1" numFmtId="0" xfId="0" applyAlignment="1" applyBorder="1" applyFont="1">
      <alignment shrinkToFit="0" vertical="center" wrapText="1"/>
    </xf>
    <xf borderId="1" fillId="7" fontId="1" numFmtId="10" xfId="0" applyAlignment="1" applyBorder="1" applyFill="1" applyFont="1" applyNumberForma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0" fontId="3" numFmtId="10" xfId="0" applyAlignment="1" applyBorder="1" applyFont="1" applyNumberFormat="1">
      <alignment shrinkToFit="0" vertical="center" wrapText="1"/>
    </xf>
    <xf borderId="1" fillId="0" fontId="1" numFmtId="1" xfId="0" applyAlignment="1" applyBorder="1" applyFont="1" applyNumberFormat="1">
      <alignment shrinkToFit="0" vertical="center" wrapText="1"/>
    </xf>
    <xf borderId="6" fillId="9" fontId="1" numFmtId="9" xfId="0" applyBorder="1" applyFill="1" applyFont="1" applyNumberFormat="1"/>
    <xf borderId="1" fillId="10" fontId="3" numFmtId="9" xfId="0" applyBorder="1" applyFill="1" applyFont="1" applyNumberFormat="1"/>
    <xf borderId="1" fillId="0" fontId="1" numFmtId="10" xfId="0" applyAlignment="1" applyBorder="1" applyFont="1" applyNumberFormat="1">
      <alignment shrinkToFit="0" vertical="center" wrapText="1"/>
    </xf>
    <xf borderId="6" fillId="9" fontId="1" numFmtId="0" xfId="0" applyBorder="1" applyFill="1" applyFont="1"/>
    <xf borderId="6" fillId="6" fontId="1" numFmtId="0" xfId="0" applyBorder="1" applyFill="1" applyFont="1"/>
    <xf borderId="6" fillId="5" fontId="1" numFmtId="0" xfId="0" applyBorder="1" applyFill="1" applyFont="1"/>
    <xf borderId="6" fillId="11" fontId="1" numFmtId="0" xfId="0" applyBorder="1" applyFill="1" applyFont="1"/>
    <xf borderId="6" fillId="10" fontId="1" numFmtId="0" xfId="0" applyBorder="1" applyFill="1" applyFont="1"/>
    <xf borderId="6" fillId="11" fontId="1" numFmtId="9" xfId="0" applyBorder="1" applyFill="1" applyFont="1" applyNumberFormat="1"/>
    <xf borderId="0" fillId="0" fontId="4" numFmtId="0" xfId="0" applyFont="1"/>
    <xf borderId="1" fillId="2" fontId="1" numFmtId="9" xfId="0" applyAlignment="1" applyBorder="1" applyFill="1" applyFont="1" applyNumberFormat="1">
      <alignment horizontal="center" shrinkToFit="0" vertical="center" wrapText="1"/>
    </xf>
    <xf borderId="1" fillId="2" fontId="1" numFmtId="1" xfId="0" applyAlignment="1" applyBorder="1" applyFill="1" applyFont="1" applyNumberForma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0" fillId="0" fontId="3" numFmtId="9" xfId="0" applyFont="1" applyNumberFormat="1"/>
    <xf borderId="1" fillId="6" fontId="1" numFmtId="9" xfId="0" applyBorder="1" applyFill="1" applyFont="1" applyNumberFormat="1"/>
    <xf borderId="6" fillId="0" fontId="3" numFmtId="9" xfId="0" applyBorder="1" applyFont="1" applyNumberFormat="1"/>
    <xf borderId="1" fillId="0" fontId="1" numFmtId="9" xfId="0" applyAlignment="1" applyBorder="1" applyFont="1" applyNumberFormat="1">
      <alignment horizontal="center" shrinkToFit="0" vertical="center" wrapText="1"/>
    </xf>
    <xf borderId="1" fillId="0" fontId="3" numFmtId="1" xfId="0" applyAlignment="1" applyBorder="1" applyFont="1" applyNumberFormat="1">
      <alignment readingOrder="0"/>
    </xf>
    <xf borderId="6" fillId="4" fontId="7" numFmtId="0" xfId="0" applyBorder="1" applyFill="1" applyFont="1"/>
    <xf borderId="1" fillId="0" fontId="8" numFmtId="9" xfId="0" applyBorder="1" applyFont="1" applyNumberFormat="1"/>
    <xf borderId="1" fillId="0" fontId="1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11" width="11.0"/>
  </cols>
  <sheetData>
    <row r="1" ht="14.25" customHeight="1">
      <c r="A1" s="1" t="s">
        <v>0</v>
      </c>
      <c r="B1" s="1">
        <v>2026.0</v>
      </c>
      <c r="C1" s="1">
        <v>2027.0</v>
      </c>
      <c r="D1" s="1">
        <v>2028.0</v>
      </c>
      <c r="E1" s="1">
        <v>2029.0</v>
      </c>
      <c r="F1" s="1">
        <v>2030.0</v>
      </c>
      <c r="G1" s="1">
        <v>2031.0</v>
      </c>
      <c r="H1" s="1">
        <v>2032.0</v>
      </c>
      <c r="I1" s="1">
        <v>2033.0</v>
      </c>
      <c r="J1" s="1">
        <v>2034.0</v>
      </c>
      <c r="K1" s="1">
        <v>2035.0</v>
      </c>
    </row>
    <row r="2" ht="14.25" customHeight="1">
      <c r="A2" s="3" t="s">
        <v>13</v>
      </c>
      <c r="B2" s="4">
        <v>4179.0</v>
      </c>
      <c r="C2" s="4">
        <v>5997.0</v>
      </c>
      <c r="D2" s="4">
        <v>6852.0</v>
      </c>
      <c r="E2" s="4">
        <v>8467.0</v>
      </c>
      <c r="F2" s="4">
        <v>12681.0</v>
      </c>
      <c r="G2" s="4">
        <v>15620.0</v>
      </c>
      <c r="H2" s="4">
        <v>20333.0</v>
      </c>
      <c r="I2" s="4">
        <v>25132.0</v>
      </c>
      <c r="J2" s="4">
        <v>28573.0</v>
      </c>
      <c r="K2" s="4">
        <v>32073.0</v>
      </c>
    </row>
    <row r="3" ht="14.25" customHeight="1">
      <c r="A3" s="3" t="s">
        <v>27</v>
      </c>
      <c r="B3" s="4">
        <v>295.0</v>
      </c>
      <c r="C3" s="4">
        <v>709.0</v>
      </c>
      <c r="D3" s="4">
        <v>987.0</v>
      </c>
      <c r="E3" s="4">
        <v>1501.0</v>
      </c>
      <c r="F3" s="4">
        <v>2312.0</v>
      </c>
      <c r="G3" s="4">
        <v>3252.0</v>
      </c>
      <c r="H3" s="4">
        <v>4103.0</v>
      </c>
      <c r="I3" s="4">
        <v>5105.0</v>
      </c>
      <c r="J3" s="4">
        <v>6195.0</v>
      </c>
      <c r="K3" s="4">
        <v>7425.0</v>
      </c>
    </row>
    <row r="4" ht="14.25" customHeight="1">
      <c r="A4" s="3" t="s">
        <v>29</v>
      </c>
      <c r="B4" s="4">
        <v>2256.0</v>
      </c>
      <c r="C4" s="4">
        <v>3847.0</v>
      </c>
      <c r="D4" s="4">
        <v>5094.0</v>
      </c>
      <c r="E4" s="4">
        <v>6823.0</v>
      </c>
      <c r="F4" s="4">
        <v>10819.0</v>
      </c>
      <c r="G4" s="4">
        <v>14606.0</v>
      </c>
      <c r="H4" s="4">
        <v>18878.0</v>
      </c>
      <c r="I4" s="4">
        <v>23368.0</v>
      </c>
      <c r="J4" s="4">
        <v>26968.0</v>
      </c>
      <c r="K4" s="4">
        <v>30751.0</v>
      </c>
    </row>
    <row r="5" ht="14.25" customHeight="1">
      <c r="A5" s="3" t="s">
        <v>32</v>
      </c>
      <c r="B5" s="4">
        <v>92.0</v>
      </c>
      <c r="C5" s="4">
        <v>177.0</v>
      </c>
      <c r="D5" s="4">
        <v>253.0</v>
      </c>
      <c r="E5" s="4">
        <v>358.0</v>
      </c>
      <c r="F5" s="4">
        <v>603.0</v>
      </c>
      <c r="G5" s="4">
        <v>872.0</v>
      </c>
      <c r="H5" s="4">
        <v>1127.0</v>
      </c>
      <c r="I5" s="4">
        <v>1395.0</v>
      </c>
      <c r="J5" s="4">
        <v>1612.0</v>
      </c>
      <c r="K5" s="4">
        <v>1841.0</v>
      </c>
    </row>
    <row r="6" ht="14.25" customHeight="1">
      <c r="A6" s="9" t="s">
        <v>33</v>
      </c>
      <c r="B6" s="10">
        <f t="shared" ref="B6:K6" si="1">SUM(B2:B5)</f>
        <v>6822</v>
      </c>
      <c r="C6" s="10">
        <f t="shared" si="1"/>
        <v>10730</v>
      </c>
      <c r="D6" s="10">
        <f t="shared" si="1"/>
        <v>13186</v>
      </c>
      <c r="E6" s="10">
        <f t="shared" si="1"/>
        <v>17149</v>
      </c>
      <c r="F6" s="10">
        <f t="shared" si="1"/>
        <v>26415</v>
      </c>
      <c r="G6" s="10">
        <f t="shared" si="1"/>
        <v>34350</v>
      </c>
      <c r="H6" s="10">
        <f t="shared" si="1"/>
        <v>44441</v>
      </c>
      <c r="I6" s="10">
        <f t="shared" si="1"/>
        <v>55000</v>
      </c>
      <c r="J6" s="10">
        <f t="shared" si="1"/>
        <v>63348</v>
      </c>
      <c r="K6" s="10">
        <f t="shared" si="1"/>
        <v>72090</v>
      </c>
    </row>
    <row r="7" ht="14.25" customHeight="1"/>
    <row r="8" ht="14.25" customHeight="1">
      <c r="A8" s="1" t="s">
        <v>49</v>
      </c>
      <c r="B8" s="1">
        <v>2026.0</v>
      </c>
      <c r="C8" s="1">
        <v>2027.0</v>
      </c>
      <c r="D8" s="1">
        <v>2028.0</v>
      </c>
      <c r="E8" s="1">
        <v>2029.0</v>
      </c>
      <c r="F8" s="1">
        <v>2030.0</v>
      </c>
      <c r="G8" s="1">
        <v>2031.0</v>
      </c>
      <c r="H8" s="1">
        <v>2032.0</v>
      </c>
      <c r="I8" s="1">
        <v>2033.0</v>
      </c>
      <c r="J8" s="1">
        <v>2034.0</v>
      </c>
      <c r="K8" s="1">
        <v>2035.0</v>
      </c>
    </row>
    <row r="9" ht="14.25" customHeight="1">
      <c r="A9" s="3" t="s">
        <v>52</v>
      </c>
      <c r="B9" s="4">
        <v>0.0</v>
      </c>
      <c r="C9" s="4">
        <v>0.0</v>
      </c>
      <c r="D9" s="4">
        <v>7662.0</v>
      </c>
      <c r="E9" s="4">
        <v>26695.0</v>
      </c>
      <c r="F9" s="4">
        <v>49435.0</v>
      </c>
      <c r="G9" s="4">
        <v>71680.0</v>
      </c>
      <c r="H9" s="4">
        <v>101341.0</v>
      </c>
      <c r="I9" s="4">
        <v>131001.0</v>
      </c>
      <c r="J9" s="4">
        <v>146820.0</v>
      </c>
      <c r="K9" s="4">
        <v>170548.0</v>
      </c>
    </row>
    <row r="10" ht="14.25" customHeight="1">
      <c r="A10" s="3" t="s">
        <v>54</v>
      </c>
      <c r="B10" s="4">
        <v>0.0</v>
      </c>
      <c r="C10" s="4">
        <v>0.0</v>
      </c>
      <c r="D10" s="4">
        <v>300.0</v>
      </c>
      <c r="E10" s="4">
        <v>1044.0</v>
      </c>
      <c r="F10" s="4">
        <v>1933.0</v>
      </c>
      <c r="G10" s="4">
        <v>2803.0</v>
      </c>
      <c r="H10" s="4">
        <v>3963.0</v>
      </c>
      <c r="I10" s="4">
        <v>5123.0</v>
      </c>
      <c r="J10" s="4">
        <v>5741.0</v>
      </c>
      <c r="K10" s="4">
        <v>6669.0</v>
      </c>
    </row>
    <row r="11" ht="14.25" customHeight="1">
      <c r="A11" s="3" t="s">
        <v>55</v>
      </c>
      <c r="B11" s="4">
        <v>0.0</v>
      </c>
      <c r="C11" s="4">
        <v>0.0</v>
      </c>
      <c r="D11" s="4">
        <v>1479.0</v>
      </c>
      <c r="E11" s="4">
        <v>5152.0</v>
      </c>
      <c r="F11" s="4">
        <v>9541.0</v>
      </c>
      <c r="G11" s="4">
        <v>13834.0</v>
      </c>
      <c r="H11" s="4">
        <v>19559.0</v>
      </c>
      <c r="I11" s="4">
        <v>25283.0</v>
      </c>
      <c r="J11" s="4">
        <v>28336.0</v>
      </c>
      <c r="K11" s="4">
        <v>32915.0</v>
      </c>
    </row>
    <row r="12" ht="14.25" customHeight="1">
      <c r="A12" s="3" t="s">
        <v>56</v>
      </c>
      <c r="B12" s="4">
        <v>0.0</v>
      </c>
      <c r="C12" s="4">
        <v>0.0</v>
      </c>
      <c r="D12" s="4">
        <v>90.0</v>
      </c>
      <c r="E12" s="4">
        <v>315.0</v>
      </c>
      <c r="F12" s="4">
        <v>583.0</v>
      </c>
      <c r="G12" s="4">
        <v>846.0</v>
      </c>
      <c r="H12" s="4">
        <v>1195.0</v>
      </c>
      <c r="I12" s="4">
        <v>1545.0</v>
      </c>
      <c r="J12" s="4">
        <v>1731.0</v>
      </c>
      <c r="K12" s="4">
        <v>2011.0</v>
      </c>
    </row>
    <row r="13" ht="14.25" customHeight="1">
      <c r="A13" s="9" t="s">
        <v>57</v>
      </c>
      <c r="B13" s="10">
        <f t="shared" ref="B13:K13" si="2">SUM(B9:B12)</f>
        <v>0</v>
      </c>
      <c r="C13" s="10">
        <f t="shared" si="2"/>
        <v>0</v>
      </c>
      <c r="D13" s="10">
        <f t="shared" si="2"/>
        <v>9531</v>
      </c>
      <c r="E13" s="10">
        <f t="shared" si="2"/>
        <v>33206</v>
      </c>
      <c r="F13" s="10">
        <f t="shared" si="2"/>
        <v>61492</v>
      </c>
      <c r="G13" s="10">
        <f t="shared" si="2"/>
        <v>89163</v>
      </c>
      <c r="H13" s="10">
        <f t="shared" si="2"/>
        <v>126058</v>
      </c>
      <c r="I13" s="10">
        <f t="shared" si="2"/>
        <v>162952</v>
      </c>
      <c r="J13" s="10">
        <f t="shared" si="2"/>
        <v>182628</v>
      </c>
      <c r="K13" s="10">
        <f t="shared" si="2"/>
        <v>212143</v>
      </c>
    </row>
    <row r="14" ht="14.25" customHeight="1"/>
    <row r="15" ht="14.25" customHeight="1">
      <c r="A15" s="9" t="s">
        <v>66</v>
      </c>
      <c r="B15" s="10">
        <f t="shared" ref="B15:K15" si="3">B6+B13</f>
        <v>6822</v>
      </c>
      <c r="C15" s="10">
        <f t="shared" si="3"/>
        <v>10730</v>
      </c>
      <c r="D15" s="10">
        <f t="shared" si="3"/>
        <v>22717</v>
      </c>
      <c r="E15" s="10">
        <f t="shared" si="3"/>
        <v>50355</v>
      </c>
      <c r="F15" s="10">
        <f t="shared" si="3"/>
        <v>87907</v>
      </c>
      <c r="G15" s="10">
        <f t="shared" si="3"/>
        <v>123513</v>
      </c>
      <c r="H15" s="10">
        <f t="shared" si="3"/>
        <v>170499</v>
      </c>
      <c r="I15" s="10">
        <f t="shared" si="3"/>
        <v>217952</v>
      </c>
      <c r="J15" s="10">
        <f t="shared" si="3"/>
        <v>245976</v>
      </c>
      <c r="K15" s="10">
        <f t="shared" si="3"/>
        <v>284233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9.43"/>
    <col customWidth="1" min="3" max="3" width="40.0"/>
    <col customWidth="1" min="4" max="6" width="18.0"/>
    <col customWidth="1" min="7" max="7" width="16.71"/>
    <col customWidth="1" min="8" max="14" width="11.0"/>
    <col customWidth="1" min="15" max="15" width="54.86"/>
    <col customWidth="1" min="16" max="26" width="8.57"/>
  </cols>
  <sheetData>
    <row r="1" ht="14.25" customHeight="1">
      <c r="A1" s="1" t="s">
        <v>1</v>
      </c>
      <c r="B1" s="1" t="s">
        <v>4</v>
      </c>
      <c r="C1" s="1" t="s">
        <v>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5" t="s">
        <v>17</v>
      </c>
      <c r="B2" s="6">
        <v>20.0</v>
      </c>
      <c r="C2" s="5" t="s">
        <v>25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26</v>
      </c>
      <c r="B3" s="7">
        <v>8.0</v>
      </c>
      <c r="C3" s="5" t="s">
        <v>28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 t="s">
        <v>30</v>
      </c>
      <c r="B4" s="6">
        <v>30.0</v>
      </c>
      <c r="C4" s="5" t="s">
        <v>31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35</v>
      </c>
      <c r="B5" s="12">
        <f>B3-B4/60</f>
        <v>7.5</v>
      </c>
      <c r="C5" s="5" t="s">
        <v>36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5" t="s">
        <v>37</v>
      </c>
      <c r="B6" s="6">
        <v>1.0</v>
      </c>
      <c r="C6" s="5" t="s">
        <v>38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39</v>
      </c>
      <c r="B7" s="7">
        <f>B2*B5*B6</f>
        <v>150</v>
      </c>
      <c r="C7" s="5" t="s">
        <v>40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5" t="s">
        <v>41</v>
      </c>
      <c r="B8" s="13">
        <v>0.9</v>
      </c>
      <c r="C8" s="5" t="s">
        <v>42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4" t="s">
        <v>43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" t="s">
        <v>44</v>
      </c>
      <c r="B11" s="1" t="s">
        <v>5</v>
      </c>
      <c r="C11" s="1" t="s">
        <v>7</v>
      </c>
      <c r="D11" s="1" t="s">
        <v>8</v>
      </c>
      <c r="E11" s="1" t="s">
        <v>9</v>
      </c>
      <c r="F11" s="1" t="s">
        <v>11</v>
      </c>
      <c r="G11" s="1" t="s">
        <v>12</v>
      </c>
      <c r="H11" s="1" t="s">
        <v>14</v>
      </c>
      <c r="I11" s="1" t="s">
        <v>15</v>
      </c>
      <c r="J11" s="1" t="s">
        <v>16</v>
      </c>
      <c r="K11" s="1" t="s">
        <v>18</v>
      </c>
      <c r="L11" s="1" t="s">
        <v>19</v>
      </c>
      <c r="M11" s="1" t="s">
        <v>20</v>
      </c>
      <c r="N11" s="1" t="s">
        <v>45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5" t="s">
        <v>46</v>
      </c>
      <c r="B12" s="15">
        <v>0.12</v>
      </c>
      <c r="C12" s="15">
        <v>0.09</v>
      </c>
      <c r="D12" s="15">
        <v>0.08</v>
      </c>
      <c r="E12" s="15">
        <v>0.075</v>
      </c>
      <c r="F12" s="15">
        <v>0.07</v>
      </c>
      <c r="G12" s="15">
        <v>0.07</v>
      </c>
      <c r="H12" s="15">
        <v>0.075</v>
      </c>
      <c r="I12" s="15">
        <v>0.075</v>
      </c>
      <c r="J12" s="15">
        <v>0.075</v>
      </c>
      <c r="K12" s="15">
        <v>0.075</v>
      </c>
      <c r="L12" s="15">
        <v>0.075</v>
      </c>
      <c r="M12" s="15">
        <v>0.12</v>
      </c>
      <c r="N12" s="15">
        <f t="shared" ref="N12:N15" si="1">SUM(B12:M12)</f>
        <v>1</v>
      </c>
      <c r="O12" s="5" t="s">
        <v>47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5" t="s">
        <v>48</v>
      </c>
      <c r="B13" s="15">
        <v>0.1</v>
      </c>
      <c r="C13" s="15">
        <v>0.08</v>
      </c>
      <c r="D13" s="15">
        <v>0.085</v>
      </c>
      <c r="E13" s="15">
        <v>0.085</v>
      </c>
      <c r="F13" s="15">
        <v>0.08</v>
      </c>
      <c r="G13" s="15">
        <v>0.075</v>
      </c>
      <c r="H13" s="15">
        <v>0.08</v>
      </c>
      <c r="I13" s="15">
        <v>0.08</v>
      </c>
      <c r="J13" s="15">
        <v>0.08</v>
      </c>
      <c r="K13" s="15">
        <v>0.075</v>
      </c>
      <c r="L13" s="15">
        <v>0.07</v>
      </c>
      <c r="M13" s="15">
        <v>0.11</v>
      </c>
      <c r="N13" s="15">
        <f t="shared" si="1"/>
        <v>1</v>
      </c>
      <c r="O13" s="5" t="s">
        <v>50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5" t="s">
        <v>51</v>
      </c>
      <c r="B14" s="15">
        <v>0.1</v>
      </c>
      <c r="C14" s="15">
        <v>0.08</v>
      </c>
      <c r="D14" s="15">
        <v>0.085</v>
      </c>
      <c r="E14" s="15">
        <v>0.085</v>
      </c>
      <c r="F14" s="15">
        <v>0.08</v>
      </c>
      <c r="G14" s="15">
        <v>0.075</v>
      </c>
      <c r="H14" s="15">
        <v>0.08</v>
      </c>
      <c r="I14" s="15">
        <v>0.08</v>
      </c>
      <c r="J14" s="15">
        <v>0.08</v>
      </c>
      <c r="K14" s="15">
        <v>0.075</v>
      </c>
      <c r="L14" s="15">
        <v>0.07</v>
      </c>
      <c r="M14" s="15">
        <v>0.11</v>
      </c>
      <c r="N14" s="15">
        <f t="shared" si="1"/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5" t="s">
        <v>53</v>
      </c>
      <c r="B15" s="15">
        <v>0.1</v>
      </c>
      <c r="C15" s="15">
        <v>0.08</v>
      </c>
      <c r="D15" s="15">
        <v>0.085</v>
      </c>
      <c r="E15" s="15">
        <v>0.085</v>
      </c>
      <c r="F15" s="15">
        <v>0.08</v>
      </c>
      <c r="G15" s="15">
        <v>0.075</v>
      </c>
      <c r="H15" s="15">
        <v>0.08</v>
      </c>
      <c r="I15" s="15">
        <v>0.08</v>
      </c>
      <c r="J15" s="15">
        <v>0.08</v>
      </c>
      <c r="K15" s="15">
        <v>0.075</v>
      </c>
      <c r="L15" s="15">
        <v>0.07</v>
      </c>
      <c r="M15" s="15">
        <v>0.11</v>
      </c>
      <c r="N15" s="15">
        <f t="shared" si="1"/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4" t="s">
        <v>58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5.0" customHeight="1">
      <c r="A18" s="16" t="s">
        <v>59</v>
      </c>
      <c r="B18" s="16" t="s">
        <v>60</v>
      </c>
      <c r="C18" s="16" t="s">
        <v>61</v>
      </c>
      <c r="D18" s="16" t="s">
        <v>46</v>
      </c>
      <c r="E18" s="16" t="s">
        <v>48</v>
      </c>
      <c r="F18" s="16" t="s">
        <v>51</v>
      </c>
      <c r="G18" s="16" t="s">
        <v>53</v>
      </c>
      <c r="H18" s="16" t="s">
        <v>62</v>
      </c>
      <c r="I18" s="16" t="s">
        <v>63</v>
      </c>
      <c r="J18" s="16" t="s">
        <v>64</v>
      </c>
      <c r="K18" s="16" t="s">
        <v>65</v>
      </c>
      <c r="L18" s="16" t="s">
        <v>67</v>
      </c>
      <c r="M18" s="16" t="s">
        <v>68</v>
      </c>
      <c r="N18" s="16" t="s">
        <v>69</v>
      </c>
      <c r="O18" s="16" t="s">
        <v>70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7">
        <v>1.0</v>
      </c>
      <c r="B19" s="18" t="s">
        <v>71</v>
      </c>
      <c r="C19" s="17" t="s">
        <v>72</v>
      </c>
      <c r="D19" s="17">
        <v>1.0</v>
      </c>
      <c r="E19" s="17">
        <v>1.0</v>
      </c>
      <c r="F19" s="17">
        <v>1.0</v>
      </c>
      <c r="G19" s="17">
        <v>1.0</v>
      </c>
      <c r="H19" s="17" t="s">
        <v>73</v>
      </c>
      <c r="I19" s="17">
        <v>1.0</v>
      </c>
      <c r="J19" s="19">
        <v>1.0</v>
      </c>
      <c r="K19" s="20">
        <v>60.0</v>
      </c>
      <c r="L19" s="21">
        <f t="shared" ref="L19:L43" si="2">F51</f>
        <v>1</v>
      </c>
      <c r="M19" s="22">
        <f t="shared" ref="M19:M43" si="3">IF(K19&gt;0,3600/K19*L19,0)</f>
        <v>60</v>
      </c>
      <c r="N19" s="23">
        <f t="shared" ref="N19:N43" si="4">M19*$B$7</f>
        <v>9000</v>
      </c>
      <c r="O19" s="24" t="s">
        <v>74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7">
        <v>2.0</v>
      </c>
      <c r="B20" s="18" t="s">
        <v>75</v>
      </c>
      <c r="C20" s="17" t="s">
        <v>76</v>
      </c>
      <c r="D20" s="17">
        <v>0.0</v>
      </c>
      <c r="E20" s="17">
        <v>1.0</v>
      </c>
      <c r="F20" s="17">
        <v>1.0</v>
      </c>
      <c r="G20" s="17">
        <v>1.0</v>
      </c>
      <c r="H20" s="17" t="s">
        <v>73</v>
      </c>
      <c r="I20" s="17">
        <v>1.0</v>
      </c>
      <c r="J20" s="19">
        <v>1.0</v>
      </c>
      <c r="K20" s="25">
        <v>90.0</v>
      </c>
      <c r="L20" s="21">
        <f t="shared" si="2"/>
        <v>0.9933333333</v>
      </c>
      <c r="M20" s="22">
        <f t="shared" si="3"/>
        <v>39.73333333</v>
      </c>
      <c r="N20" s="23">
        <f t="shared" si="4"/>
        <v>5960</v>
      </c>
      <c r="O20" s="24" t="s">
        <v>77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7">
        <v>3.0</v>
      </c>
      <c r="B21" s="18" t="s">
        <v>78</v>
      </c>
      <c r="C21" s="17" t="s">
        <v>79</v>
      </c>
      <c r="D21" s="17">
        <v>1.0</v>
      </c>
      <c r="E21" s="17">
        <v>0.0</v>
      </c>
      <c r="F21" s="17">
        <v>0.0</v>
      </c>
      <c r="G21" s="17">
        <v>0.0</v>
      </c>
      <c r="H21" s="17" t="s">
        <v>73</v>
      </c>
      <c r="I21" s="17">
        <v>1.0</v>
      </c>
      <c r="J21" s="19">
        <v>1.0</v>
      </c>
      <c r="K21" s="25">
        <v>30.0</v>
      </c>
      <c r="L21" s="21">
        <f t="shared" si="2"/>
        <v>1</v>
      </c>
      <c r="M21" s="22">
        <f t="shared" si="3"/>
        <v>120</v>
      </c>
      <c r="N21" s="23">
        <f t="shared" si="4"/>
        <v>18000</v>
      </c>
      <c r="O21" s="24" t="s">
        <v>80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7">
        <v>4.0</v>
      </c>
      <c r="B22" s="18" t="s">
        <v>81</v>
      </c>
      <c r="C22" s="17" t="s">
        <v>82</v>
      </c>
      <c r="D22" s="17">
        <v>1.0</v>
      </c>
      <c r="E22" s="17">
        <v>1.0</v>
      </c>
      <c r="F22" s="17">
        <v>1.0</v>
      </c>
      <c r="G22" s="17">
        <v>1.0</v>
      </c>
      <c r="H22" s="17" t="s">
        <v>73</v>
      </c>
      <c r="I22" s="17">
        <v>2.0</v>
      </c>
      <c r="J22" s="19">
        <v>1.0</v>
      </c>
      <c r="K22" s="25">
        <v>8.0</v>
      </c>
      <c r="L22" s="21">
        <f t="shared" si="2"/>
        <v>0.68</v>
      </c>
      <c r="M22" s="22">
        <f t="shared" si="3"/>
        <v>306</v>
      </c>
      <c r="N22" s="23">
        <f t="shared" si="4"/>
        <v>45900</v>
      </c>
      <c r="O22" s="24" t="s">
        <v>83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7">
        <v>5.0</v>
      </c>
      <c r="B23" s="18" t="s">
        <v>84</v>
      </c>
      <c r="C23" s="17" t="s">
        <v>85</v>
      </c>
      <c r="D23" s="17">
        <v>1.0</v>
      </c>
      <c r="E23" s="17">
        <v>1.0</v>
      </c>
      <c r="F23" s="17">
        <v>1.0</v>
      </c>
      <c r="G23" s="17">
        <v>1.0</v>
      </c>
      <c r="H23" s="17" t="s">
        <v>73</v>
      </c>
      <c r="I23" s="17">
        <v>1.0</v>
      </c>
      <c r="J23" s="19">
        <v>1.0</v>
      </c>
      <c r="K23" s="25">
        <v>60.0</v>
      </c>
      <c r="L23" s="21">
        <f t="shared" si="2"/>
        <v>1</v>
      </c>
      <c r="M23" s="22">
        <f t="shared" si="3"/>
        <v>60</v>
      </c>
      <c r="N23" s="23">
        <f t="shared" si="4"/>
        <v>9000</v>
      </c>
      <c r="O23" s="24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7">
        <v>6.0</v>
      </c>
      <c r="B24" s="18" t="s">
        <v>86</v>
      </c>
      <c r="C24" s="17" t="s">
        <v>87</v>
      </c>
      <c r="D24" s="17">
        <v>1.0</v>
      </c>
      <c r="E24" s="17">
        <v>1.0</v>
      </c>
      <c r="F24" s="17">
        <v>1.0</v>
      </c>
      <c r="G24" s="17">
        <v>1.0</v>
      </c>
      <c r="H24" s="17" t="s">
        <v>73</v>
      </c>
      <c r="I24" s="17">
        <v>1.0</v>
      </c>
      <c r="J24" s="19">
        <v>1.0</v>
      </c>
      <c r="K24" s="25">
        <v>20.0</v>
      </c>
      <c r="L24" s="21">
        <f t="shared" si="2"/>
        <v>1</v>
      </c>
      <c r="M24" s="22">
        <f t="shared" si="3"/>
        <v>180</v>
      </c>
      <c r="N24" s="23">
        <f t="shared" si="4"/>
        <v>27000</v>
      </c>
      <c r="O24" s="24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7">
        <v>7.0</v>
      </c>
      <c r="B25" s="18" t="s">
        <v>88</v>
      </c>
      <c r="C25" s="17" t="s">
        <v>89</v>
      </c>
      <c r="D25" s="17">
        <v>1.0</v>
      </c>
      <c r="E25" s="17">
        <v>1.0</v>
      </c>
      <c r="F25" s="17">
        <v>1.0</v>
      </c>
      <c r="G25" s="17">
        <v>1.0</v>
      </c>
      <c r="H25" s="17" t="s">
        <v>73</v>
      </c>
      <c r="I25" s="17">
        <v>1.0</v>
      </c>
      <c r="J25" s="19">
        <v>1.0</v>
      </c>
      <c r="K25" s="25">
        <v>25.0</v>
      </c>
      <c r="L25" s="21">
        <f t="shared" si="2"/>
        <v>0.9733333333</v>
      </c>
      <c r="M25" s="22">
        <f t="shared" si="3"/>
        <v>140.16</v>
      </c>
      <c r="N25" s="23">
        <f t="shared" si="4"/>
        <v>21024</v>
      </c>
      <c r="O25" s="24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7">
        <v>8.0</v>
      </c>
      <c r="B26" s="18" t="s">
        <v>90</v>
      </c>
      <c r="C26" s="17" t="s">
        <v>91</v>
      </c>
      <c r="D26" s="17">
        <v>0.0</v>
      </c>
      <c r="E26" s="17">
        <v>1.0</v>
      </c>
      <c r="F26" s="17">
        <v>1.0</v>
      </c>
      <c r="G26" s="17">
        <v>1.0</v>
      </c>
      <c r="H26" s="17" t="s">
        <v>73</v>
      </c>
      <c r="I26" s="17">
        <v>1.0</v>
      </c>
      <c r="J26" s="19">
        <v>1.0</v>
      </c>
      <c r="K26" s="25">
        <v>80.0</v>
      </c>
      <c r="L26" s="21">
        <f t="shared" si="2"/>
        <v>0.9866666667</v>
      </c>
      <c r="M26" s="22">
        <f t="shared" si="3"/>
        <v>44.4</v>
      </c>
      <c r="N26" s="23">
        <f t="shared" si="4"/>
        <v>6660</v>
      </c>
      <c r="O26" s="24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7">
        <v>9.0</v>
      </c>
      <c r="B27" s="18" t="s">
        <v>92</v>
      </c>
      <c r="C27" s="17" t="s">
        <v>93</v>
      </c>
      <c r="D27" s="17">
        <v>0.0</v>
      </c>
      <c r="E27" s="17">
        <v>1.0</v>
      </c>
      <c r="F27" s="17">
        <v>1.0</v>
      </c>
      <c r="G27" s="17">
        <v>1.0</v>
      </c>
      <c r="H27" s="17" t="s">
        <v>73</v>
      </c>
      <c r="I27" s="17">
        <v>1.0</v>
      </c>
      <c r="J27" s="19">
        <v>1.0</v>
      </c>
      <c r="K27" s="25">
        <v>115.0</v>
      </c>
      <c r="L27" s="21">
        <f t="shared" si="2"/>
        <v>0.9866666667</v>
      </c>
      <c r="M27" s="22">
        <f t="shared" si="3"/>
        <v>30.88695652</v>
      </c>
      <c r="N27" s="23">
        <f t="shared" si="4"/>
        <v>4633.043478</v>
      </c>
      <c r="O27" s="24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7">
        <v>10.0</v>
      </c>
      <c r="B28" s="18" t="s">
        <v>94</v>
      </c>
      <c r="C28" s="17" t="s">
        <v>95</v>
      </c>
      <c r="D28" s="17">
        <v>1.0</v>
      </c>
      <c r="E28" s="17">
        <v>1.0</v>
      </c>
      <c r="F28" s="17">
        <v>1.0</v>
      </c>
      <c r="G28" s="17">
        <v>1.0</v>
      </c>
      <c r="H28" s="17" t="s">
        <v>73</v>
      </c>
      <c r="I28" s="17">
        <v>1.0</v>
      </c>
      <c r="J28" s="19">
        <v>1.0</v>
      </c>
      <c r="K28" s="25">
        <v>30.0</v>
      </c>
      <c r="L28" s="21">
        <f t="shared" si="2"/>
        <v>0.9822222222</v>
      </c>
      <c r="M28" s="22">
        <f t="shared" si="3"/>
        <v>117.8666667</v>
      </c>
      <c r="N28" s="23">
        <f t="shared" si="4"/>
        <v>17680</v>
      </c>
      <c r="O28" s="24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7">
        <v>11.0</v>
      </c>
      <c r="B29" s="18" t="s">
        <v>96</v>
      </c>
      <c r="C29" s="17" t="s">
        <v>97</v>
      </c>
      <c r="D29" s="17">
        <v>1.0</v>
      </c>
      <c r="E29" s="17">
        <v>1.0</v>
      </c>
      <c r="F29" s="17">
        <v>1.0</v>
      </c>
      <c r="G29" s="17">
        <v>1.0</v>
      </c>
      <c r="H29" s="17" t="s">
        <v>73</v>
      </c>
      <c r="I29" s="17">
        <v>1.0</v>
      </c>
      <c r="J29" s="19">
        <v>1.0</v>
      </c>
      <c r="K29" s="25">
        <v>20.0</v>
      </c>
      <c r="L29" s="21">
        <f t="shared" si="2"/>
        <v>0.9822222222</v>
      </c>
      <c r="M29" s="22">
        <f t="shared" si="3"/>
        <v>176.8</v>
      </c>
      <c r="N29" s="23">
        <f t="shared" si="4"/>
        <v>26520</v>
      </c>
      <c r="O29" s="24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7">
        <v>12.0</v>
      </c>
      <c r="B30" s="18" t="s">
        <v>98</v>
      </c>
      <c r="C30" s="17" t="s">
        <v>99</v>
      </c>
      <c r="D30" s="17">
        <v>1.0</v>
      </c>
      <c r="E30" s="17">
        <v>1.0</v>
      </c>
      <c r="F30" s="17">
        <v>1.0</v>
      </c>
      <c r="G30" s="17">
        <v>1.0</v>
      </c>
      <c r="H30" s="17" t="s">
        <v>73</v>
      </c>
      <c r="I30" s="17">
        <v>1.0</v>
      </c>
      <c r="J30" s="19">
        <v>1.0</v>
      </c>
      <c r="K30" s="25">
        <v>60.0</v>
      </c>
      <c r="L30" s="21">
        <f t="shared" si="2"/>
        <v>0.9822222222</v>
      </c>
      <c r="M30" s="22">
        <f t="shared" si="3"/>
        <v>58.93333333</v>
      </c>
      <c r="N30" s="23">
        <f t="shared" si="4"/>
        <v>8840</v>
      </c>
      <c r="O30" s="24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7">
        <v>13.0</v>
      </c>
      <c r="B31" s="18" t="s">
        <v>100</v>
      </c>
      <c r="C31" s="17" t="s">
        <v>101</v>
      </c>
      <c r="D31" s="17">
        <v>1.0</v>
      </c>
      <c r="E31" s="17">
        <v>1.0</v>
      </c>
      <c r="F31" s="17">
        <v>1.0</v>
      </c>
      <c r="G31" s="17">
        <v>1.0</v>
      </c>
      <c r="H31" s="17" t="s">
        <v>73</v>
      </c>
      <c r="I31" s="17">
        <v>1.0</v>
      </c>
      <c r="J31" s="19">
        <v>0.02</v>
      </c>
      <c r="K31" s="25">
        <v>120.0</v>
      </c>
      <c r="L31" s="21">
        <f t="shared" si="2"/>
        <v>1</v>
      </c>
      <c r="M31" s="22">
        <f t="shared" si="3"/>
        <v>30</v>
      </c>
      <c r="N31" s="23">
        <f t="shared" si="4"/>
        <v>4500</v>
      </c>
      <c r="O31" s="24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7">
        <v>14.0</v>
      </c>
      <c r="B32" s="18" t="s">
        <v>102</v>
      </c>
      <c r="C32" s="17" t="s">
        <v>103</v>
      </c>
      <c r="D32" s="17">
        <v>1.0</v>
      </c>
      <c r="E32" s="17">
        <v>1.0</v>
      </c>
      <c r="F32" s="17">
        <v>1.0</v>
      </c>
      <c r="G32" s="17">
        <v>1.0</v>
      </c>
      <c r="H32" s="17" t="s">
        <v>73</v>
      </c>
      <c r="I32" s="17">
        <v>1.0</v>
      </c>
      <c r="J32" s="19">
        <v>1.0</v>
      </c>
      <c r="K32" s="25">
        <v>60.0</v>
      </c>
      <c r="L32" s="21">
        <f t="shared" si="2"/>
        <v>0.9822222222</v>
      </c>
      <c r="M32" s="22">
        <f t="shared" si="3"/>
        <v>58.93333333</v>
      </c>
      <c r="N32" s="23">
        <f t="shared" si="4"/>
        <v>8840</v>
      </c>
      <c r="O32" s="24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7">
        <v>15.0</v>
      </c>
      <c r="B33" s="18" t="s">
        <v>104</v>
      </c>
      <c r="C33" s="17" t="s">
        <v>105</v>
      </c>
      <c r="D33" s="17">
        <v>1.0</v>
      </c>
      <c r="E33" s="17">
        <v>1.0</v>
      </c>
      <c r="F33" s="17">
        <v>1.0</v>
      </c>
      <c r="G33" s="17">
        <v>1.0</v>
      </c>
      <c r="H33" s="17" t="s">
        <v>73</v>
      </c>
      <c r="I33" s="17">
        <v>1.0</v>
      </c>
      <c r="J33" s="19">
        <v>1.0</v>
      </c>
      <c r="K33" s="25">
        <v>120.0</v>
      </c>
      <c r="L33" s="21">
        <f t="shared" si="2"/>
        <v>1</v>
      </c>
      <c r="M33" s="22">
        <f t="shared" si="3"/>
        <v>30</v>
      </c>
      <c r="N33" s="23">
        <f t="shared" si="4"/>
        <v>4500</v>
      </c>
      <c r="O33" s="24" t="s">
        <v>106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7">
        <v>16.0</v>
      </c>
      <c r="B34" s="18" t="s">
        <v>107</v>
      </c>
      <c r="C34" s="17" t="s">
        <v>108</v>
      </c>
      <c r="D34" s="17">
        <v>1.0</v>
      </c>
      <c r="E34" s="17">
        <v>1.0</v>
      </c>
      <c r="F34" s="17">
        <v>1.0</v>
      </c>
      <c r="G34" s="17">
        <v>1.0</v>
      </c>
      <c r="H34" s="17" t="s">
        <v>73</v>
      </c>
      <c r="I34" s="17">
        <v>1.0</v>
      </c>
      <c r="J34" s="19">
        <v>1.0</v>
      </c>
      <c r="K34" s="25">
        <v>30.0</v>
      </c>
      <c r="L34" s="21">
        <f t="shared" si="2"/>
        <v>1</v>
      </c>
      <c r="M34" s="22">
        <f t="shared" si="3"/>
        <v>120</v>
      </c>
      <c r="N34" s="23">
        <f t="shared" si="4"/>
        <v>18000</v>
      </c>
      <c r="O34" s="24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17">
        <v>17.0</v>
      </c>
      <c r="B35" s="18" t="s">
        <v>109</v>
      </c>
      <c r="C35" s="17" t="s">
        <v>111</v>
      </c>
      <c r="D35" s="17">
        <v>1.0</v>
      </c>
      <c r="E35" s="17">
        <v>1.0</v>
      </c>
      <c r="F35" s="17">
        <v>1.0</v>
      </c>
      <c r="G35" s="17">
        <v>1.0</v>
      </c>
      <c r="H35" s="17" t="s">
        <v>73</v>
      </c>
      <c r="I35" s="17">
        <v>1.0</v>
      </c>
      <c r="J35" s="19">
        <v>1.0</v>
      </c>
      <c r="K35" s="25">
        <v>20.0</v>
      </c>
      <c r="L35" s="21">
        <f t="shared" si="2"/>
        <v>1</v>
      </c>
      <c r="M35" s="22">
        <f t="shared" si="3"/>
        <v>180</v>
      </c>
      <c r="N35" s="23">
        <f t="shared" si="4"/>
        <v>27000</v>
      </c>
      <c r="O35" s="24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7">
        <v>18.0</v>
      </c>
      <c r="B36" s="18" t="s">
        <v>112</v>
      </c>
      <c r="C36" s="17" t="s">
        <v>113</v>
      </c>
      <c r="D36" s="17">
        <v>1.0</v>
      </c>
      <c r="E36" s="17">
        <v>1.0</v>
      </c>
      <c r="F36" s="17">
        <v>1.0</v>
      </c>
      <c r="G36" s="17">
        <v>1.0</v>
      </c>
      <c r="H36" s="17" t="s">
        <v>73</v>
      </c>
      <c r="I36" s="17">
        <v>1.0</v>
      </c>
      <c r="J36" s="19">
        <v>0.05</v>
      </c>
      <c r="K36" s="25">
        <v>180.0</v>
      </c>
      <c r="L36" s="21">
        <f t="shared" si="2"/>
        <v>1</v>
      </c>
      <c r="M36" s="22">
        <f t="shared" si="3"/>
        <v>20</v>
      </c>
      <c r="N36" s="23">
        <f t="shared" si="4"/>
        <v>3000</v>
      </c>
      <c r="O36" s="24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7">
        <v>19.0</v>
      </c>
      <c r="B37" s="18" t="s">
        <v>114</v>
      </c>
      <c r="C37" s="17" t="s">
        <v>115</v>
      </c>
      <c r="D37" s="17">
        <v>1.0</v>
      </c>
      <c r="E37" s="17">
        <v>1.0</v>
      </c>
      <c r="F37" s="17">
        <v>1.0</v>
      </c>
      <c r="G37" s="17">
        <v>1.0</v>
      </c>
      <c r="H37" s="17" t="s">
        <v>73</v>
      </c>
      <c r="I37" s="17">
        <v>1.0</v>
      </c>
      <c r="J37" s="19">
        <v>1.0</v>
      </c>
      <c r="K37" s="25">
        <v>25.0</v>
      </c>
      <c r="L37" s="21">
        <f t="shared" si="2"/>
        <v>0.9466666667</v>
      </c>
      <c r="M37" s="22">
        <f t="shared" si="3"/>
        <v>136.32</v>
      </c>
      <c r="N37" s="23">
        <f t="shared" si="4"/>
        <v>20448</v>
      </c>
      <c r="O37" s="24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17">
        <v>20.0</v>
      </c>
      <c r="B38" s="18" t="s">
        <v>116</v>
      </c>
      <c r="C38" s="17" t="s">
        <v>117</v>
      </c>
      <c r="D38" s="17">
        <v>1.0</v>
      </c>
      <c r="E38" s="17">
        <v>1.0</v>
      </c>
      <c r="F38" s="17">
        <v>1.0</v>
      </c>
      <c r="G38" s="17">
        <v>1.0</v>
      </c>
      <c r="H38" s="17" t="s">
        <v>118</v>
      </c>
      <c r="I38" s="17">
        <v>1.0</v>
      </c>
      <c r="J38" s="19">
        <v>1.0</v>
      </c>
      <c r="K38" s="25">
        <v>45.0</v>
      </c>
      <c r="L38" s="21">
        <f t="shared" si="2"/>
        <v>1</v>
      </c>
      <c r="M38" s="22">
        <f t="shared" si="3"/>
        <v>80</v>
      </c>
      <c r="N38" s="23">
        <f t="shared" si="4"/>
        <v>12000</v>
      </c>
      <c r="O38" s="24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17">
        <v>21.0</v>
      </c>
      <c r="B39" s="18" t="s">
        <v>119</v>
      </c>
      <c r="C39" s="17" t="s">
        <v>120</v>
      </c>
      <c r="D39" s="17">
        <v>1.0</v>
      </c>
      <c r="E39" s="17">
        <v>1.0</v>
      </c>
      <c r="F39" s="17">
        <v>1.0</v>
      </c>
      <c r="G39" s="17">
        <v>1.0</v>
      </c>
      <c r="H39" s="17" t="s">
        <v>118</v>
      </c>
      <c r="I39" s="17">
        <v>1.0</v>
      </c>
      <c r="J39" s="19">
        <v>1.0</v>
      </c>
      <c r="K39" s="25">
        <v>100.0</v>
      </c>
      <c r="L39" s="21">
        <f t="shared" si="2"/>
        <v>0.9822222222</v>
      </c>
      <c r="M39" s="22">
        <f t="shared" si="3"/>
        <v>35.36</v>
      </c>
      <c r="N39" s="23">
        <f t="shared" si="4"/>
        <v>5304</v>
      </c>
      <c r="O39" s="2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7">
        <v>22.0</v>
      </c>
      <c r="B40" s="18" t="s">
        <v>121</v>
      </c>
      <c r="C40" s="17" t="s">
        <v>122</v>
      </c>
      <c r="D40" s="17">
        <v>1.0</v>
      </c>
      <c r="E40" s="17">
        <v>1.0</v>
      </c>
      <c r="F40" s="17">
        <v>1.0</v>
      </c>
      <c r="G40" s="17">
        <v>1.0</v>
      </c>
      <c r="H40" s="17" t="s">
        <v>118</v>
      </c>
      <c r="I40" s="17">
        <v>1.0</v>
      </c>
      <c r="J40" s="19">
        <v>1.0</v>
      </c>
      <c r="K40" s="25">
        <v>30.0</v>
      </c>
      <c r="L40" s="21">
        <f t="shared" si="2"/>
        <v>1</v>
      </c>
      <c r="M40" s="22">
        <f t="shared" si="3"/>
        <v>120</v>
      </c>
      <c r="N40" s="23">
        <f t="shared" si="4"/>
        <v>18000</v>
      </c>
      <c r="O40" s="24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7">
        <v>23.0</v>
      </c>
      <c r="B41" s="18" t="s">
        <v>123</v>
      </c>
      <c r="C41" s="17" t="s">
        <v>124</v>
      </c>
      <c r="D41" s="17">
        <v>1.0</v>
      </c>
      <c r="E41" s="17">
        <v>1.0</v>
      </c>
      <c r="F41" s="17">
        <v>1.0</v>
      </c>
      <c r="G41" s="17">
        <v>1.0</v>
      </c>
      <c r="H41" s="17" t="s">
        <v>118</v>
      </c>
      <c r="I41" s="17">
        <v>1.0</v>
      </c>
      <c r="J41" s="19">
        <v>1.0</v>
      </c>
      <c r="K41" s="20">
        <v>55.0</v>
      </c>
      <c r="L41" s="21">
        <f t="shared" si="2"/>
        <v>1</v>
      </c>
      <c r="M41" s="22">
        <f t="shared" si="3"/>
        <v>65.45454545</v>
      </c>
      <c r="N41" s="23">
        <f t="shared" si="4"/>
        <v>9818.181818</v>
      </c>
      <c r="O41" s="2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17">
        <v>24.0</v>
      </c>
      <c r="B42" s="18" t="s">
        <v>126</v>
      </c>
      <c r="C42" s="17" t="s">
        <v>127</v>
      </c>
      <c r="D42" s="17">
        <v>1.0</v>
      </c>
      <c r="E42" s="17">
        <v>1.0</v>
      </c>
      <c r="F42" s="17">
        <v>1.0</v>
      </c>
      <c r="G42" s="17">
        <v>1.0</v>
      </c>
      <c r="H42" s="17" t="s">
        <v>118</v>
      </c>
      <c r="I42" s="17">
        <v>1.0</v>
      </c>
      <c r="J42" s="19">
        <v>1.0</v>
      </c>
      <c r="K42" s="25">
        <v>60.0</v>
      </c>
      <c r="L42" s="21">
        <f t="shared" si="2"/>
        <v>1</v>
      </c>
      <c r="M42" s="22">
        <f t="shared" si="3"/>
        <v>60</v>
      </c>
      <c r="N42" s="23">
        <f t="shared" si="4"/>
        <v>9000</v>
      </c>
      <c r="O42" s="2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17">
        <v>25.0</v>
      </c>
      <c r="B43" s="18" t="s">
        <v>128</v>
      </c>
      <c r="C43" s="17" t="s">
        <v>129</v>
      </c>
      <c r="D43" s="17">
        <v>1.0</v>
      </c>
      <c r="E43" s="17">
        <v>1.0</v>
      </c>
      <c r="F43" s="17">
        <v>1.0</v>
      </c>
      <c r="G43" s="17">
        <v>1.0</v>
      </c>
      <c r="H43" s="17" t="s">
        <v>73</v>
      </c>
      <c r="I43" s="17">
        <v>1.0</v>
      </c>
      <c r="J43" s="19">
        <v>1.0</v>
      </c>
      <c r="K43" s="25">
        <v>45.0</v>
      </c>
      <c r="L43" s="21">
        <f t="shared" si="2"/>
        <v>0.9911111111</v>
      </c>
      <c r="M43" s="22">
        <f t="shared" si="3"/>
        <v>79.28888889</v>
      </c>
      <c r="N43" s="23">
        <f t="shared" si="4"/>
        <v>11893.33333</v>
      </c>
      <c r="O43" s="24" t="s">
        <v>130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8" t="s">
        <v>131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8" t="s">
        <v>132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8" t="s">
        <v>133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30" t="s">
        <v>134</v>
      </c>
      <c r="B49" s="31"/>
      <c r="C49" s="31"/>
      <c r="D49" s="3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16" t="s">
        <v>59</v>
      </c>
      <c r="B50" s="16" t="s">
        <v>60</v>
      </c>
      <c r="C50" s="33" t="s">
        <v>135</v>
      </c>
      <c r="D50" s="33" t="s">
        <v>136</v>
      </c>
      <c r="E50" s="33" t="s">
        <v>137</v>
      </c>
      <c r="F50" s="33" t="s">
        <v>138</v>
      </c>
      <c r="G50" s="33" t="s">
        <v>70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17">
        <v>1.0</v>
      </c>
      <c r="B51" s="18" t="s">
        <v>71</v>
      </c>
      <c r="C51" s="17">
        <v>0.0</v>
      </c>
      <c r="D51" s="17">
        <v>0.0</v>
      </c>
      <c r="E51" s="17">
        <f t="shared" ref="E51:E75" si="5">C51*D51/60</f>
        <v>0</v>
      </c>
      <c r="F51" s="35">
        <f t="shared" ref="F51:F75" si="6">MAX(0,1-E51/150)</f>
        <v>1</v>
      </c>
      <c r="G51" s="2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17">
        <v>2.0</v>
      </c>
      <c r="B52" s="18" t="s">
        <v>75</v>
      </c>
      <c r="C52" s="24">
        <v>5.0</v>
      </c>
      <c r="D52" s="24">
        <v>12.0</v>
      </c>
      <c r="E52" s="17">
        <f t="shared" si="5"/>
        <v>1</v>
      </c>
      <c r="F52" s="35">
        <f t="shared" si="6"/>
        <v>0.9933333333</v>
      </c>
      <c r="G52" s="2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17">
        <v>3.0</v>
      </c>
      <c r="B53" s="18" t="s">
        <v>78</v>
      </c>
      <c r="C53" s="24">
        <v>0.0</v>
      </c>
      <c r="D53" s="24">
        <v>0.0</v>
      </c>
      <c r="E53" s="17">
        <f t="shared" si="5"/>
        <v>0</v>
      </c>
      <c r="F53" s="35">
        <f t="shared" si="6"/>
        <v>1</v>
      </c>
      <c r="G53" s="2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17">
        <v>4.0</v>
      </c>
      <c r="B54" s="18" t="s">
        <v>81</v>
      </c>
      <c r="C54" s="24">
        <v>90.0</v>
      </c>
      <c r="D54" s="24">
        <v>32.0</v>
      </c>
      <c r="E54" s="17">
        <f t="shared" si="5"/>
        <v>48</v>
      </c>
      <c r="F54" s="35">
        <f t="shared" si="6"/>
        <v>0.68</v>
      </c>
      <c r="G54" s="24" t="s">
        <v>139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17">
        <v>5.0</v>
      </c>
      <c r="B55" s="18" t="s">
        <v>84</v>
      </c>
      <c r="C55" s="24">
        <v>0.0</v>
      </c>
      <c r="D55" s="24">
        <v>0.0</v>
      </c>
      <c r="E55" s="17">
        <f t="shared" si="5"/>
        <v>0</v>
      </c>
      <c r="F55" s="35">
        <f t="shared" si="6"/>
        <v>1</v>
      </c>
      <c r="G55" s="2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17">
        <v>6.0</v>
      </c>
      <c r="B56" s="18" t="s">
        <v>86</v>
      </c>
      <c r="C56" s="24"/>
      <c r="D56" s="24"/>
      <c r="E56" s="17">
        <f t="shared" si="5"/>
        <v>0</v>
      </c>
      <c r="F56" s="35">
        <f t="shared" si="6"/>
        <v>1</v>
      </c>
      <c r="G56" s="2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17">
        <v>7.0</v>
      </c>
      <c r="B57" s="18" t="s">
        <v>88</v>
      </c>
      <c r="C57" s="24">
        <v>15.0</v>
      </c>
      <c r="D57" s="24">
        <v>16.0</v>
      </c>
      <c r="E57" s="17">
        <f t="shared" si="5"/>
        <v>4</v>
      </c>
      <c r="F57" s="35">
        <f t="shared" si="6"/>
        <v>0.9733333333</v>
      </c>
      <c r="G57" s="2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17">
        <v>8.0</v>
      </c>
      <c r="B58" s="18" t="s">
        <v>90</v>
      </c>
      <c r="C58" s="24">
        <v>10.0</v>
      </c>
      <c r="D58" s="24">
        <v>12.0</v>
      </c>
      <c r="E58" s="17">
        <f t="shared" si="5"/>
        <v>2</v>
      </c>
      <c r="F58" s="35">
        <f t="shared" si="6"/>
        <v>0.9866666667</v>
      </c>
      <c r="G58" s="2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17">
        <v>9.0</v>
      </c>
      <c r="B59" s="18" t="s">
        <v>92</v>
      </c>
      <c r="C59" s="24">
        <v>10.0</v>
      </c>
      <c r="D59" s="24">
        <v>12.0</v>
      </c>
      <c r="E59" s="17">
        <f t="shared" si="5"/>
        <v>2</v>
      </c>
      <c r="F59" s="35">
        <f t="shared" si="6"/>
        <v>0.9866666667</v>
      </c>
      <c r="G59" s="2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17">
        <v>10.0</v>
      </c>
      <c r="B60" s="18" t="s">
        <v>94</v>
      </c>
      <c r="C60" s="24">
        <v>10.0</v>
      </c>
      <c r="D60" s="24">
        <v>16.0</v>
      </c>
      <c r="E60" s="17">
        <f t="shared" si="5"/>
        <v>2.666666667</v>
      </c>
      <c r="F60" s="35">
        <f t="shared" si="6"/>
        <v>0.9822222222</v>
      </c>
      <c r="G60" s="2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17">
        <v>11.0</v>
      </c>
      <c r="B61" s="18" t="s">
        <v>96</v>
      </c>
      <c r="C61" s="24">
        <v>10.0</v>
      </c>
      <c r="D61" s="24">
        <v>16.0</v>
      </c>
      <c r="E61" s="17">
        <f t="shared" si="5"/>
        <v>2.666666667</v>
      </c>
      <c r="F61" s="35">
        <f t="shared" si="6"/>
        <v>0.9822222222</v>
      </c>
      <c r="G61" s="2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17">
        <v>12.0</v>
      </c>
      <c r="B62" s="18" t="s">
        <v>98</v>
      </c>
      <c r="C62" s="24">
        <v>10.0</v>
      </c>
      <c r="D62" s="24">
        <v>16.0</v>
      </c>
      <c r="E62" s="17">
        <f t="shared" si="5"/>
        <v>2.666666667</v>
      </c>
      <c r="F62" s="35">
        <f t="shared" si="6"/>
        <v>0.9822222222</v>
      </c>
      <c r="G62" s="2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17">
        <v>13.0</v>
      </c>
      <c r="B63" s="18" t="s">
        <v>100</v>
      </c>
      <c r="C63" s="24">
        <v>0.0</v>
      </c>
      <c r="D63" s="24">
        <v>0.0</v>
      </c>
      <c r="E63" s="17">
        <f t="shared" si="5"/>
        <v>0</v>
      </c>
      <c r="F63" s="35">
        <f t="shared" si="6"/>
        <v>1</v>
      </c>
      <c r="G63" s="2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17">
        <v>14.0</v>
      </c>
      <c r="B64" s="18" t="s">
        <v>102</v>
      </c>
      <c r="C64" s="24">
        <v>10.0</v>
      </c>
      <c r="D64" s="24">
        <v>16.0</v>
      </c>
      <c r="E64" s="17">
        <f t="shared" si="5"/>
        <v>2.666666667</v>
      </c>
      <c r="F64" s="35">
        <f t="shared" si="6"/>
        <v>0.9822222222</v>
      </c>
      <c r="G64" s="2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17">
        <v>15.0</v>
      </c>
      <c r="B65" s="18" t="s">
        <v>104</v>
      </c>
      <c r="C65" s="24">
        <v>0.0</v>
      </c>
      <c r="D65" s="24">
        <v>0.0</v>
      </c>
      <c r="E65" s="17">
        <f t="shared" si="5"/>
        <v>0</v>
      </c>
      <c r="F65" s="35">
        <f t="shared" si="6"/>
        <v>1</v>
      </c>
      <c r="G65" s="2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17">
        <v>16.0</v>
      </c>
      <c r="B66" s="18" t="s">
        <v>107</v>
      </c>
      <c r="C66" s="24">
        <v>10.0</v>
      </c>
      <c r="D66" s="24">
        <v>0.0</v>
      </c>
      <c r="E66" s="17">
        <f t="shared" si="5"/>
        <v>0</v>
      </c>
      <c r="F66" s="35">
        <f t="shared" si="6"/>
        <v>1</v>
      </c>
      <c r="G66" s="2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17">
        <v>17.0</v>
      </c>
      <c r="B67" s="18" t="s">
        <v>109</v>
      </c>
      <c r="C67" s="24">
        <v>0.0</v>
      </c>
      <c r="D67" s="24">
        <v>0.0</v>
      </c>
      <c r="E67" s="17">
        <f t="shared" si="5"/>
        <v>0</v>
      </c>
      <c r="F67" s="35">
        <f t="shared" si="6"/>
        <v>1</v>
      </c>
      <c r="G67" s="2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17">
        <v>18.0</v>
      </c>
      <c r="B68" s="18" t="s">
        <v>112</v>
      </c>
      <c r="C68" s="24">
        <v>0.0</v>
      </c>
      <c r="D68" s="24">
        <v>0.0</v>
      </c>
      <c r="E68" s="17">
        <f t="shared" si="5"/>
        <v>0</v>
      </c>
      <c r="F68" s="35">
        <f t="shared" si="6"/>
        <v>1</v>
      </c>
      <c r="G68" s="2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17">
        <v>19.0</v>
      </c>
      <c r="B69" s="18" t="s">
        <v>114</v>
      </c>
      <c r="C69" s="24">
        <v>30.0</v>
      </c>
      <c r="D69" s="24">
        <v>16.0</v>
      </c>
      <c r="E69" s="17">
        <f t="shared" si="5"/>
        <v>8</v>
      </c>
      <c r="F69" s="35">
        <f t="shared" si="6"/>
        <v>0.9466666667</v>
      </c>
      <c r="G69" s="2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17">
        <v>20.0</v>
      </c>
      <c r="B70" s="18" t="s">
        <v>116</v>
      </c>
      <c r="C70" s="24">
        <v>0.0</v>
      </c>
      <c r="D70" s="24">
        <v>0.0</v>
      </c>
      <c r="E70" s="17">
        <f t="shared" si="5"/>
        <v>0</v>
      </c>
      <c r="F70" s="35">
        <f t="shared" si="6"/>
        <v>1</v>
      </c>
      <c r="G70" s="2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17">
        <v>21.0</v>
      </c>
      <c r="B71" s="18" t="s">
        <v>119</v>
      </c>
      <c r="C71" s="24">
        <v>10.0</v>
      </c>
      <c r="D71" s="24">
        <v>16.0</v>
      </c>
      <c r="E71" s="17">
        <f t="shared" si="5"/>
        <v>2.666666667</v>
      </c>
      <c r="F71" s="35">
        <f t="shared" si="6"/>
        <v>0.9822222222</v>
      </c>
      <c r="G71" s="2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17">
        <v>22.0</v>
      </c>
      <c r="B72" s="18" t="s">
        <v>121</v>
      </c>
      <c r="C72" s="24">
        <v>0.0</v>
      </c>
      <c r="D72" s="24">
        <v>0.0</v>
      </c>
      <c r="E72" s="17">
        <f t="shared" si="5"/>
        <v>0</v>
      </c>
      <c r="F72" s="35">
        <f t="shared" si="6"/>
        <v>1</v>
      </c>
      <c r="G72" s="2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17">
        <v>23.0</v>
      </c>
      <c r="B73" s="18" t="s">
        <v>123</v>
      </c>
      <c r="C73" s="24">
        <v>0.0</v>
      </c>
      <c r="D73" s="24">
        <v>0.0</v>
      </c>
      <c r="E73" s="17">
        <f t="shared" si="5"/>
        <v>0</v>
      </c>
      <c r="F73" s="35">
        <f t="shared" si="6"/>
        <v>1</v>
      </c>
      <c r="G73" s="2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17">
        <v>24.0</v>
      </c>
      <c r="B74" s="18" t="s">
        <v>126</v>
      </c>
      <c r="C74" s="24">
        <v>0.0</v>
      </c>
      <c r="D74" s="24">
        <v>0.0</v>
      </c>
      <c r="E74" s="17">
        <f t="shared" si="5"/>
        <v>0</v>
      </c>
      <c r="F74" s="35">
        <f t="shared" si="6"/>
        <v>1</v>
      </c>
      <c r="G74" s="2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17">
        <v>25.0</v>
      </c>
      <c r="B75" s="18" t="s">
        <v>128</v>
      </c>
      <c r="C75" s="24">
        <v>5.0</v>
      </c>
      <c r="D75" s="24">
        <v>16.0</v>
      </c>
      <c r="E75" s="17">
        <f t="shared" si="5"/>
        <v>1.333333333</v>
      </c>
      <c r="F75" s="35">
        <f t="shared" si="6"/>
        <v>0.9911111111</v>
      </c>
      <c r="G75" s="2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14" t="s">
        <v>141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8" t="s">
        <v>142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8" t="s">
        <v>143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8" t="s">
        <v>144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37" t="s">
        <v>145</v>
      </c>
      <c r="B83" s="38">
        <f>MAX(B86:B89)</f>
        <v>0.09</v>
      </c>
      <c r="C83" s="39" t="s">
        <v>146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45.0" customHeight="1">
      <c r="A85" s="40" t="s">
        <v>44</v>
      </c>
      <c r="B85" s="40" t="s">
        <v>147</v>
      </c>
      <c r="C85" s="40" t="s">
        <v>148</v>
      </c>
      <c r="D85" s="40" t="s">
        <v>149</v>
      </c>
      <c r="E85" s="40" t="s">
        <v>150</v>
      </c>
      <c r="F85" s="40" t="s">
        <v>151</v>
      </c>
      <c r="G85" s="40" t="s">
        <v>152</v>
      </c>
      <c r="H85" s="40" t="s">
        <v>153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37" t="s">
        <v>46</v>
      </c>
      <c r="B86" s="41">
        <f t="shared" ref="B86:B89" si="7">(B12+K12+L12)/3</f>
        <v>0.09</v>
      </c>
      <c r="C86" s="41">
        <f t="shared" ref="C86:C89" si="8">MAX(0,M12-$B$83)</f>
        <v>0.03</v>
      </c>
      <c r="D86" s="41">
        <f t="shared" ref="D86:D89" si="9">MAX(0,B12-$B$83)</f>
        <v>0.03</v>
      </c>
      <c r="E86" s="41">
        <f t="shared" ref="E86:E89" si="10">C86+D86</f>
        <v>0.06</v>
      </c>
      <c r="F86" s="42">
        <f>COUNTIF(C94:L94,"&gt;0.000001")</f>
        <v>0</v>
      </c>
      <c r="G86" s="5" t="str">
        <f>IF(K94+L94&gt;=D86-0.000001,"OK","No alcanza: subir L")</f>
        <v>OK</v>
      </c>
      <c r="H86" s="41">
        <f>SUM(B94:L94)</f>
        <v>0.06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37" t="s">
        <v>48</v>
      </c>
      <c r="B87" s="41">
        <f t="shared" si="7"/>
        <v>0.08166666667</v>
      </c>
      <c r="C87" s="41">
        <f t="shared" si="8"/>
        <v>0.02</v>
      </c>
      <c r="D87" s="41">
        <f t="shared" si="9"/>
        <v>0.01</v>
      </c>
      <c r="E87" s="41">
        <f t="shared" si="10"/>
        <v>0.03</v>
      </c>
      <c r="F87" s="42">
        <f>COUNTIF(C99:L99,"&gt;0.000001")</f>
        <v>0</v>
      </c>
      <c r="G87" s="5" t="str">
        <f>IF(K99+L99&gt;=D87-0.000001,"OK","No alcanza: subir L")</f>
        <v>OK</v>
      </c>
      <c r="H87" s="41">
        <f>SUM(B99:L99)</f>
        <v>0.03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37" t="s">
        <v>51</v>
      </c>
      <c r="B88" s="41">
        <f t="shared" si="7"/>
        <v>0.08166666667</v>
      </c>
      <c r="C88" s="41">
        <f t="shared" si="8"/>
        <v>0.02</v>
      </c>
      <c r="D88" s="41">
        <f t="shared" si="9"/>
        <v>0.01</v>
      </c>
      <c r="E88" s="41">
        <f t="shared" si="10"/>
        <v>0.03</v>
      </c>
      <c r="F88" s="42">
        <f>COUNTIF(C104:L104,"&gt;0.000001")</f>
        <v>0</v>
      </c>
      <c r="G88" s="5" t="str">
        <f>IF(K104+L104&gt;=D88-0.000001,"OK","No alcanza: subir L")</f>
        <v>OK</v>
      </c>
      <c r="H88" s="41">
        <f>SUM(B104:L104)</f>
        <v>0.03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37" t="s">
        <v>53</v>
      </c>
      <c r="B89" s="41">
        <f t="shared" si="7"/>
        <v>0.08166666667</v>
      </c>
      <c r="C89" s="41">
        <f t="shared" si="8"/>
        <v>0.02</v>
      </c>
      <c r="D89" s="41">
        <f t="shared" si="9"/>
        <v>0.01</v>
      </c>
      <c r="E89" s="41">
        <f t="shared" si="10"/>
        <v>0.03</v>
      </c>
      <c r="F89" s="42">
        <f>COUNTIF(C109:L109,"&gt;0.000001")</f>
        <v>0</v>
      </c>
      <c r="G89" s="5" t="str">
        <f>IF(K109+L109&gt;=D89-0.000001,"OK","No alcanza: subir L")</f>
        <v>OK</v>
      </c>
      <c r="H89" s="41">
        <f>SUM(B109:L109)</f>
        <v>0.03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40" t="s">
        <v>154</v>
      </c>
      <c r="B91" s="40" t="s">
        <v>5</v>
      </c>
      <c r="C91" s="40" t="s">
        <v>7</v>
      </c>
      <c r="D91" s="40" t="s">
        <v>8</v>
      </c>
      <c r="E91" s="40" t="s">
        <v>9</v>
      </c>
      <c r="F91" s="40" t="s">
        <v>11</v>
      </c>
      <c r="G91" s="40" t="s">
        <v>12</v>
      </c>
      <c r="H91" s="40" t="s">
        <v>14</v>
      </c>
      <c r="I91" s="40" t="s">
        <v>15</v>
      </c>
      <c r="J91" s="40" t="s">
        <v>16</v>
      </c>
      <c r="K91" s="40" t="s">
        <v>18</v>
      </c>
      <c r="L91" s="40" t="s">
        <v>19</v>
      </c>
      <c r="M91" s="40" t="s">
        <v>20</v>
      </c>
      <c r="N91" s="40" t="s">
        <v>45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5" t="s">
        <v>155</v>
      </c>
      <c r="B92" s="41">
        <f t="shared" ref="B92:M92" si="11">B12</f>
        <v>0.12</v>
      </c>
      <c r="C92" s="41">
        <f t="shared" si="11"/>
        <v>0.09</v>
      </c>
      <c r="D92" s="41">
        <f t="shared" si="11"/>
        <v>0.08</v>
      </c>
      <c r="E92" s="41">
        <f t="shared" si="11"/>
        <v>0.075</v>
      </c>
      <c r="F92" s="41">
        <f t="shared" si="11"/>
        <v>0.07</v>
      </c>
      <c r="G92" s="41">
        <f t="shared" si="11"/>
        <v>0.07</v>
      </c>
      <c r="H92" s="41">
        <f t="shared" si="11"/>
        <v>0.075</v>
      </c>
      <c r="I92" s="41">
        <f t="shared" si="11"/>
        <v>0.075</v>
      </c>
      <c r="J92" s="41">
        <f t="shared" si="11"/>
        <v>0.075</v>
      </c>
      <c r="K92" s="41">
        <f t="shared" si="11"/>
        <v>0.075</v>
      </c>
      <c r="L92" s="41">
        <f t="shared" si="11"/>
        <v>0.075</v>
      </c>
      <c r="M92" s="41">
        <f t="shared" si="11"/>
        <v>0.12</v>
      </c>
      <c r="N92" s="41">
        <f t="shared" ref="N92:N95" si="13">SUM(B92:M92)</f>
        <v>1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5" t="s">
        <v>156</v>
      </c>
      <c r="B93" s="41">
        <v>0.0</v>
      </c>
      <c r="C93" s="41">
        <f t="shared" ref="C93:L93" si="12">MAX(0,$B$83-C92)</f>
        <v>0</v>
      </c>
      <c r="D93" s="41">
        <f t="shared" si="12"/>
        <v>0.01</v>
      </c>
      <c r="E93" s="41">
        <f t="shared" si="12"/>
        <v>0.015</v>
      </c>
      <c r="F93" s="41">
        <f t="shared" si="12"/>
        <v>0.02</v>
      </c>
      <c r="G93" s="41">
        <f t="shared" si="12"/>
        <v>0.02</v>
      </c>
      <c r="H93" s="41">
        <f t="shared" si="12"/>
        <v>0.015</v>
      </c>
      <c r="I93" s="41">
        <f t="shared" si="12"/>
        <v>0.015</v>
      </c>
      <c r="J93" s="41">
        <f t="shared" si="12"/>
        <v>0.015</v>
      </c>
      <c r="K93" s="41">
        <f t="shared" si="12"/>
        <v>0.015</v>
      </c>
      <c r="L93" s="41">
        <f t="shared" si="12"/>
        <v>0.015</v>
      </c>
      <c r="M93" s="41">
        <v>0.0</v>
      </c>
      <c r="N93" s="41">
        <f t="shared" si="13"/>
        <v>0.14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5" t="s">
        <v>157</v>
      </c>
      <c r="B94" s="41">
        <v>0.0</v>
      </c>
      <c r="C94" s="41">
        <f>MIN(C93,MAX(0,$E$86-SUM(D93:L93)))</f>
        <v>0</v>
      </c>
      <c r="D94" s="41">
        <f>MIN(D93,MAX(0,$E$86-SUM(E93:L93)))</f>
        <v>0</v>
      </c>
      <c r="E94" s="41">
        <f>MIN(E93,MAX(0,$E$86-SUM(F93:L93)))</f>
        <v>0</v>
      </c>
      <c r="F94" s="41">
        <f>MIN(F93,MAX(0,$E$86-SUM(G93:L93)))</f>
        <v>0</v>
      </c>
      <c r="G94" s="41">
        <f>MIN(G93,MAX(0,$E$86-SUM(H93:L93)))</f>
        <v>0</v>
      </c>
      <c r="H94" s="41">
        <f>MIN(H93,MAX(0,$E$86-SUM(I93:L93)))</f>
        <v>0</v>
      </c>
      <c r="I94" s="41">
        <f>MIN(I93,MAX(0,$E$86-SUM(J93:L93)))</f>
        <v>0.015</v>
      </c>
      <c r="J94" s="41">
        <f>MIN(J93,MAX(0,$E$86-SUM(K93:L93)))</f>
        <v>0.015</v>
      </c>
      <c r="K94" s="41">
        <f>MIN(K93,MAX(0,$E$86-SUM(L93)))</f>
        <v>0.015</v>
      </c>
      <c r="L94" s="41">
        <f>MIN(L93,MAX(0,$E$86-0))</f>
        <v>0.015</v>
      </c>
      <c r="M94" s="41">
        <v>0.0</v>
      </c>
      <c r="N94" s="41">
        <f t="shared" si="13"/>
        <v>0.06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37" t="s">
        <v>158</v>
      </c>
      <c r="B95" s="38">
        <f>MIN(B92,$B$83)</f>
        <v>0.09</v>
      </c>
      <c r="C95" s="38">
        <f t="shared" ref="C95:L95" si="14">C92+C94</f>
        <v>0.09</v>
      </c>
      <c r="D95" s="38">
        <f t="shared" si="14"/>
        <v>0.08</v>
      </c>
      <c r="E95" s="38">
        <f t="shared" si="14"/>
        <v>0.075</v>
      </c>
      <c r="F95" s="38">
        <f t="shared" si="14"/>
        <v>0.07</v>
      </c>
      <c r="G95" s="38">
        <f t="shared" si="14"/>
        <v>0.07</v>
      </c>
      <c r="H95" s="38">
        <f t="shared" si="14"/>
        <v>0.075</v>
      </c>
      <c r="I95" s="38">
        <f t="shared" si="14"/>
        <v>0.09</v>
      </c>
      <c r="J95" s="38">
        <f t="shared" si="14"/>
        <v>0.09</v>
      </c>
      <c r="K95" s="38">
        <f t="shared" si="14"/>
        <v>0.09</v>
      </c>
      <c r="L95" s="38">
        <f t="shared" si="14"/>
        <v>0.09</v>
      </c>
      <c r="M95" s="38">
        <f>MIN(M92,$B$83)</f>
        <v>0.09</v>
      </c>
      <c r="N95" s="45">
        <f t="shared" si="13"/>
        <v>1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40" t="s">
        <v>159</v>
      </c>
      <c r="B96" s="40" t="s">
        <v>5</v>
      </c>
      <c r="C96" s="40" t="s">
        <v>7</v>
      </c>
      <c r="D96" s="40" t="s">
        <v>8</v>
      </c>
      <c r="E96" s="40" t="s">
        <v>9</v>
      </c>
      <c r="F96" s="40" t="s">
        <v>11</v>
      </c>
      <c r="G96" s="40" t="s">
        <v>12</v>
      </c>
      <c r="H96" s="40" t="s">
        <v>14</v>
      </c>
      <c r="I96" s="40" t="s">
        <v>15</v>
      </c>
      <c r="J96" s="40" t="s">
        <v>16</v>
      </c>
      <c r="K96" s="40" t="s">
        <v>18</v>
      </c>
      <c r="L96" s="40" t="s">
        <v>19</v>
      </c>
      <c r="M96" s="40" t="s">
        <v>20</v>
      </c>
      <c r="N96" s="40" t="s">
        <v>45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5" t="s">
        <v>155</v>
      </c>
      <c r="B97" s="41">
        <f t="shared" ref="B97:M97" si="15">B13</f>
        <v>0.1</v>
      </c>
      <c r="C97" s="41">
        <f t="shared" si="15"/>
        <v>0.08</v>
      </c>
      <c r="D97" s="41">
        <f t="shared" si="15"/>
        <v>0.085</v>
      </c>
      <c r="E97" s="41">
        <f t="shared" si="15"/>
        <v>0.085</v>
      </c>
      <c r="F97" s="41">
        <f t="shared" si="15"/>
        <v>0.08</v>
      </c>
      <c r="G97" s="41">
        <f t="shared" si="15"/>
        <v>0.075</v>
      </c>
      <c r="H97" s="41">
        <f t="shared" si="15"/>
        <v>0.08</v>
      </c>
      <c r="I97" s="41">
        <f t="shared" si="15"/>
        <v>0.08</v>
      </c>
      <c r="J97" s="41">
        <f t="shared" si="15"/>
        <v>0.08</v>
      </c>
      <c r="K97" s="41">
        <f t="shared" si="15"/>
        <v>0.075</v>
      </c>
      <c r="L97" s="41">
        <f t="shared" si="15"/>
        <v>0.07</v>
      </c>
      <c r="M97" s="41">
        <f t="shared" si="15"/>
        <v>0.11</v>
      </c>
      <c r="N97" s="41">
        <f t="shared" ref="N97:N100" si="17">SUM(B97:M97)</f>
        <v>1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5" t="s">
        <v>156</v>
      </c>
      <c r="B98" s="41">
        <v>0.0</v>
      </c>
      <c r="C98" s="41">
        <f t="shared" ref="C98:L98" si="16">MAX(0,$B$83-C97)</f>
        <v>0.01</v>
      </c>
      <c r="D98" s="41">
        <f t="shared" si="16"/>
        <v>0.005</v>
      </c>
      <c r="E98" s="41">
        <f t="shared" si="16"/>
        <v>0.005</v>
      </c>
      <c r="F98" s="41">
        <f t="shared" si="16"/>
        <v>0.01</v>
      </c>
      <c r="G98" s="41">
        <f t="shared" si="16"/>
        <v>0.015</v>
      </c>
      <c r="H98" s="41">
        <f t="shared" si="16"/>
        <v>0.01</v>
      </c>
      <c r="I98" s="41">
        <f t="shared" si="16"/>
        <v>0.01</v>
      </c>
      <c r="J98" s="41">
        <f t="shared" si="16"/>
        <v>0.01</v>
      </c>
      <c r="K98" s="41">
        <f t="shared" si="16"/>
        <v>0.015</v>
      </c>
      <c r="L98" s="41">
        <f t="shared" si="16"/>
        <v>0.02</v>
      </c>
      <c r="M98" s="41">
        <v>0.0</v>
      </c>
      <c r="N98" s="41">
        <f t="shared" si="17"/>
        <v>0.11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5" t="s">
        <v>157</v>
      </c>
      <c r="B99" s="41">
        <v>0.0</v>
      </c>
      <c r="C99" s="41">
        <f>MIN(C98,MAX(0,$E$87-SUM(D98:L98)))</f>
        <v>0</v>
      </c>
      <c r="D99" s="41">
        <f>MIN(D98,MAX(0,$E$87-SUM(E98:L98)))</f>
        <v>0</v>
      </c>
      <c r="E99" s="41">
        <f>MIN(E98,MAX(0,$E$87-SUM(F98:L98)))</f>
        <v>0</v>
      </c>
      <c r="F99" s="41">
        <f>MIN(F98,MAX(0,$E$87-SUM(G98:L98)))</f>
        <v>0</v>
      </c>
      <c r="G99" s="41">
        <f>MIN(G98,MAX(0,$E$87-SUM(H98:L98)))</f>
        <v>0</v>
      </c>
      <c r="H99" s="41">
        <f>MIN(H98,MAX(0,$E$87-SUM(I98:L98)))</f>
        <v>0</v>
      </c>
      <c r="I99" s="41">
        <f>MIN(I98,MAX(0,$E$87-SUM(J98:L98)))</f>
        <v>0</v>
      </c>
      <c r="J99" s="41">
        <f>MIN(J98,MAX(0,$E$87-SUM(K98:L98)))</f>
        <v>0</v>
      </c>
      <c r="K99" s="41">
        <f>MIN(K98,MAX(0,$E$87-SUM(L98)))</f>
        <v>0.01</v>
      </c>
      <c r="L99" s="41">
        <f>MIN(L98,MAX(0,$E$87-0))</f>
        <v>0.02</v>
      </c>
      <c r="M99" s="41">
        <v>0.0</v>
      </c>
      <c r="N99" s="41">
        <f t="shared" si="17"/>
        <v>0.03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37" t="s">
        <v>158</v>
      </c>
      <c r="B100" s="38">
        <f>MIN(B97,$B$83)</f>
        <v>0.09</v>
      </c>
      <c r="C100" s="38">
        <f t="shared" ref="C100:L100" si="18">C97+C99</f>
        <v>0.08</v>
      </c>
      <c r="D100" s="38">
        <f t="shared" si="18"/>
        <v>0.085</v>
      </c>
      <c r="E100" s="38">
        <f t="shared" si="18"/>
        <v>0.085</v>
      </c>
      <c r="F100" s="38">
        <f t="shared" si="18"/>
        <v>0.08</v>
      </c>
      <c r="G100" s="38">
        <f t="shared" si="18"/>
        <v>0.075</v>
      </c>
      <c r="H100" s="38">
        <f t="shared" si="18"/>
        <v>0.08</v>
      </c>
      <c r="I100" s="38">
        <f t="shared" si="18"/>
        <v>0.08</v>
      </c>
      <c r="J100" s="38">
        <f t="shared" si="18"/>
        <v>0.08</v>
      </c>
      <c r="K100" s="38">
        <f t="shared" si="18"/>
        <v>0.085</v>
      </c>
      <c r="L100" s="38">
        <f t="shared" si="18"/>
        <v>0.09</v>
      </c>
      <c r="M100" s="38">
        <f>MIN(M97,$B$83)</f>
        <v>0.09</v>
      </c>
      <c r="N100" s="45">
        <f t="shared" si="17"/>
        <v>1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40" t="s">
        <v>160</v>
      </c>
      <c r="B101" s="40" t="s">
        <v>5</v>
      </c>
      <c r="C101" s="40" t="s">
        <v>7</v>
      </c>
      <c r="D101" s="40" t="s">
        <v>8</v>
      </c>
      <c r="E101" s="40" t="s">
        <v>9</v>
      </c>
      <c r="F101" s="40" t="s">
        <v>11</v>
      </c>
      <c r="G101" s="40" t="s">
        <v>12</v>
      </c>
      <c r="H101" s="40" t="s">
        <v>14</v>
      </c>
      <c r="I101" s="40" t="s">
        <v>15</v>
      </c>
      <c r="J101" s="40" t="s">
        <v>16</v>
      </c>
      <c r="K101" s="40" t="s">
        <v>18</v>
      </c>
      <c r="L101" s="40" t="s">
        <v>19</v>
      </c>
      <c r="M101" s="40" t="s">
        <v>20</v>
      </c>
      <c r="N101" s="40" t="s">
        <v>45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5" t="s">
        <v>155</v>
      </c>
      <c r="B102" s="41">
        <f t="shared" ref="B102:M102" si="19">B14</f>
        <v>0.1</v>
      </c>
      <c r="C102" s="41">
        <f t="shared" si="19"/>
        <v>0.08</v>
      </c>
      <c r="D102" s="41">
        <f t="shared" si="19"/>
        <v>0.085</v>
      </c>
      <c r="E102" s="41">
        <f t="shared" si="19"/>
        <v>0.085</v>
      </c>
      <c r="F102" s="41">
        <f t="shared" si="19"/>
        <v>0.08</v>
      </c>
      <c r="G102" s="41">
        <f t="shared" si="19"/>
        <v>0.075</v>
      </c>
      <c r="H102" s="41">
        <f t="shared" si="19"/>
        <v>0.08</v>
      </c>
      <c r="I102" s="41">
        <f t="shared" si="19"/>
        <v>0.08</v>
      </c>
      <c r="J102" s="41">
        <f t="shared" si="19"/>
        <v>0.08</v>
      </c>
      <c r="K102" s="41">
        <f t="shared" si="19"/>
        <v>0.075</v>
      </c>
      <c r="L102" s="41">
        <f t="shared" si="19"/>
        <v>0.07</v>
      </c>
      <c r="M102" s="41">
        <f t="shared" si="19"/>
        <v>0.11</v>
      </c>
      <c r="N102" s="41">
        <f t="shared" ref="N102:N105" si="21">SUM(B102:M102)</f>
        <v>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5" t="s">
        <v>156</v>
      </c>
      <c r="B103" s="41">
        <v>0.0</v>
      </c>
      <c r="C103" s="41">
        <f t="shared" ref="C103:L103" si="20">MAX(0,$B$83-C102)</f>
        <v>0.01</v>
      </c>
      <c r="D103" s="41">
        <f t="shared" si="20"/>
        <v>0.005</v>
      </c>
      <c r="E103" s="41">
        <f t="shared" si="20"/>
        <v>0.005</v>
      </c>
      <c r="F103" s="41">
        <f t="shared" si="20"/>
        <v>0.01</v>
      </c>
      <c r="G103" s="41">
        <f t="shared" si="20"/>
        <v>0.015</v>
      </c>
      <c r="H103" s="41">
        <f t="shared" si="20"/>
        <v>0.01</v>
      </c>
      <c r="I103" s="41">
        <f t="shared" si="20"/>
        <v>0.01</v>
      </c>
      <c r="J103" s="41">
        <f t="shared" si="20"/>
        <v>0.01</v>
      </c>
      <c r="K103" s="41">
        <f t="shared" si="20"/>
        <v>0.015</v>
      </c>
      <c r="L103" s="41">
        <f t="shared" si="20"/>
        <v>0.02</v>
      </c>
      <c r="M103" s="41">
        <v>0.0</v>
      </c>
      <c r="N103" s="41">
        <f t="shared" si="21"/>
        <v>0.11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5" t="s">
        <v>157</v>
      </c>
      <c r="B104" s="41">
        <v>0.0</v>
      </c>
      <c r="C104" s="41">
        <f>MIN(C103,MAX(0,$E$88-SUM(D103:L103)))</f>
        <v>0</v>
      </c>
      <c r="D104" s="41">
        <f>MIN(D103,MAX(0,$E$88-SUM(E103:L103)))</f>
        <v>0</v>
      </c>
      <c r="E104" s="41">
        <f>MIN(E103,MAX(0,$E$88-SUM(F103:L103)))</f>
        <v>0</v>
      </c>
      <c r="F104" s="41">
        <f>MIN(F103,MAX(0,$E$88-SUM(G103:L103)))</f>
        <v>0</v>
      </c>
      <c r="G104" s="41">
        <f>MIN(G103,MAX(0,$E$88-SUM(H103:L103)))</f>
        <v>0</v>
      </c>
      <c r="H104" s="41">
        <f>MIN(H103,MAX(0,$E$88-SUM(I103:L103)))</f>
        <v>0</v>
      </c>
      <c r="I104" s="41">
        <f>MIN(I103,MAX(0,$E$88-SUM(J103:L103)))</f>
        <v>0</v>
      </c>
      <c r="J104" s="41">
        <f>MIN(J103,MAX(0,$E$88-SUM(K103:L103)))</f>
        <v>0</v>
      </c>
      <c r="K104" s="41">
        <f>MIN(K103,MAX(0,$E$88-SUM(L103)))</f>
        <v>0.01</v>
      </c>
      <c r="L104" s="41">
        <f>MIN(L103,MAX(0,$E$88-0))</f>
        <v>0.02</v>
      </c>
      <c r="M104" s="41">
        <v>0.0</v>
      </c>
      <c r="N104" s="41">
        <f t="shared" si="21"/>
        <v>0.03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37" t="s">
        <v>158</v>
      </c>
      <c r="B105" s="38">
        <f>MIN(B102,$B$83)</f>
        <v>0.09</v>
      </c>
      <c r="C105" s="38">
        <f t="shared" ref="C105:L105" si="22">C102+C104</f>
        <v>0.08</v>
      </c>
      <c r="D105" s="38">
        <f t="shared" si="22"/>
        <v>0.085</v>
      </c>
      <c r="E105" s="38">
        <f t="shared" si="22"/>
        <v>0.085</v>
      </c>
      <c r="F105" s="38">
        <f t="shared" si="22"/>
        <v>0.08</v>
      </c>
      <c r="G105" s="38">
        <f t="shared" si="22"/>
        <v>0.075</v>
      </c>
      <c r="H105" s="38">
        <f t="shared" si="22"/>
        <v>0.08</v>
      </c>
      <c r="I105" s="38">
        <f t="shared" si="22"/>
        <v>0.08</v>
      </c>
      <c r="J105" s="38">
        <f t="shared" si="22"/>
        <v>0.08</v>
      </c>
      <c r="K105" s="38">
        <f t="shared" si="22"/>
        <v>0.085</v>
      </c>
      <c r="L105" s="38">
        <f t="shared" si="22"/>
        <v>0.09</v>
      </c>
      <c r="M105" s="38">
        <f>MIN(M102,$B$83)</f>
        <v>0.09</v>
      </c>
      <c r="N105" s="45">
        <f t="shared" si="21"/>
        <v>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40" t="s">
        <v>162</v>
      </c>
      <c r="B106" s="40" t="s">
        <v>5</v>
      </c>
      <c r="C106" s="40" t="s">
        <v>7</v>
      </c>
      <c r="D106" s="40" t="s">
        <v>8</v>
      </c>
      <c r="E106" s="40" t="s">
        <v>9</v>
      </c>
      <c r="F106" s="40" t="s">
        <v>11</v>
      </c>
      <c r="G106" s="40" t="s">
        <v>12</v>
      </c>
      <c r="H106" s="40" t="s">
        <v>14</v>
      </c>
      <c r="I106" s="40" t="s">
        <v>15</v>
      </c>
      <c r="J106" s="40" t="s">
        <v>16</v>
      </c>
      <c r="K106" s="40" t="s">
        <v>18</v>
      </c>
      <c r="L106" s="40" t="s">
        <v>19</v>
      </c>
      <c r="M106" s="40" t="s">
        <v>20</v>
      </c>
      <c r="N106" s="40" t="s">
        <v>45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5" t="s">
        <v>155</v>
      </c>
      <c r="B107" s="41">
        <f t="shared" ref="B107:M107" si="23">B15</f>
        <v>0.1</v>
      </c>
      <c r="C107" s="41">
        <f t="shared" si="23"/>
        <v>0.08</v>
      </c>
      <c r="D107" s="41">
        <f t="shared" si="23"/>
        <v>0.085</v>
      </c>
      <c r="E107" s="41">
        <f t="shared" si="23"/>
        <v>0.085</v>
      </c>
      <c r="F107" s="41">
        <f t="shared" si="23"/>
        <v>0.08</v>
      </c>
      <c r="G107" s="41">
        <f t="shared" si="23"/>
        <v>0.075</v>
      </c>
      <c r="H107" s="41">
        <f t="shared" si="23"/>
        <v>0.08</v>
      </c>
      <c r="I107" s="41">
        <f t="shared" si="23"/>
        <v>0.08</v>
      </c>
      <c r="J107" s="41">
        <f t="shared" si="23"/>
        <v>0.08</v>
      </c>
      <c r="K107" s="41">
        <f t="shared" si="23"/>
        <v>0.075</v>
      </c>
      <c r="L107" s="41">
        <f t="shared" si="23"/>
        <v>0.07</v>
      </c>
      <c r="M107" s="41">
        <f t="shared" si="23"/>
        <v>0.11</v>
      </c>
      <c r="N107" s="41">
        <f t="shared" ref="N107:N110" si="25">SUM(B107:M107)</f>
        <v>1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5" t="s">
        <v>156</v>
      </c>
      <c r="B108" s="41">
        <v>0.0</v>
      </c>
      <c r="C108" s="41">
        <f t="shared" ref="C108:L108" si="24">MAX(0,$B$83-C107)</f>
        <v>0.01</v>
      </c>
      <c r="D108" s="41">
        <f t="shared" si="24"/>
        <v>0.005</v>
      </c>
      <c r="E108" s="41">
        <f t="shared" si="24"/>
        <v>0.005</v>
      </c>
      <c r="F108" s="41">
        <f t="shared" si="24"/>
        <v>0.01</v>
      </c>
      <c r="G108" s="41">
        <f t="shared" si="24"/>
        <v>0.015</v>
      </c>
      <c r="H108" s="41">
        <f t="shared" si="24"/>
        <v>0.01</v>
      </c>
      <c r="I108" s="41">
        <f t="shared" si="24"/>
        <v>0.01</v>
      </c>
      <c r="J108" s="41">
        <f t="shared" si="24"/>
        <v>0.01</v>
      </c>
      <c r="K108" s="41">
        <f t="shared" si="24"/>
        <v>0.015</v>
      </c>
      <c r="L108" s="41">
        <f t="shared" si="24"/>
        <v>0.02</v>
      </c>
      <c r="M108" s="41">
        <v>0.0</v>
      </c>
      <c r="N108" s="41">
        <f t="shared" si="25"/>
        <v>0.11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5" t="s">
        <v>157</v>
      </c>
      <c r="B109" s="41">
        <v>0.0</v>
      </c>
      <c r="C109" s="41">
        <f>MIN(C108,MAX(0,$E$89-SUM(D108:L108)))</f>
        <v>0</v>
      </c>
      <c r="D109" s="41">
        <f>MIN(D108,MAX(0,$E$89-SUM(E108:L108)))</f>
        <v>0</v>
      </c>
      <c r="E109" s="41">
        <f>MIN(E108,MAX(0,$E$89-SUM(F108:L108)))</f>
        <v>0</v>
      </c>
      <c r="F109" s="41">
        <f>MIN(F108,MAX(0,$E$89-SUM(G108:L108)))</f>
        <v>0</v>
      </c>
      <c r="G109" s="41">
        <f>MIN(G108,MAX(0,$E$89-SUM(H108:L108)))</f>
        <v>0</v>
      </c>
      <c r="H109" s="41">
        <f>MIN(H108,MAX(0,$E$89-SUM(I108:L108)))</f>
        <v>0</v>
      </c>
      <c r="I109" s="41">
        <f>MIN(I108,MAX(0,$E$89-SUM(J108:L108)))</f>
        <v>0</v>
      </c>
      <c r="J109" s="41">
        <f>MIN(J108,MAX(0,$E$89-SUM(K108:L108)))</f>
        <v>0</v>
      </c>
      <c r="K109" s="41">
        <f>MIN(K108,MAX(0,$E$89-SUM(L108)))</f>
        <v>0.01</v>
      </c>
      <c r="L109" s="41">
        <f>MIN(L108,MAX(0,$E$89-0))</f>
        <v>0.02</v>
      </c>
      <c r="M109" s="41">
        <v>0.0</v>
      </c>
      <c r="N109" s="41">
        <f t="shared" si="25"/>
        <v>0.03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37" t="s">
        <v>158</v>
      </c>
      <c r="B110" s="38">
        <f>MIN(B107,$B$83)</f>
        <v>0.09</v>
      </c>
      <c r="C110" s="38">
        <f t="shared" ref="C110:L110" si="26">C107+C109</f>
        <v>0.08</v>
      </c>
      <c r="D110" s="38">
        <f t="shared" si="26"/>
        <v>0.085</v>
      </c>
      <c r="E110" s="38">
        <f t="shared" si="26"/>
        <v>0.085</v>
      </c>
      <c r="F110" s="38">
        <f t="shared" si="26"/>
        <v>0.08</v>
      </c>
      <c r="G110" s="38">
        <f t="shared" si="26"/>
        <v>0.075</v>
      </c>
      <c r="H110" s="38">
        <f t="shared" si="26"/>
        <v>0.08</v>
      </c>
      <c r="I110" s="38">
        <f t="shared" si="26"/>
        <v>0.08</v>
      </c>
      <c r="J110" s="38">
        <f t="shared" si="26"/>
        <v>0.08</v>
      </c>
      <c r="K110" s="38">
        <f t="shared" si="26"/>
        <v>0.085</v>
      </c>
      <c r="L110" s="38">
        <f t="shared" si="26"/>
        <v>0.09</v>
      </c>
      <c r="M110" s="38">
        <f>MIN(M107,$B$83)</f>
        <v>0.09</v>
      </c>
      <c r="N110" s="45">
        <f t="shared" si="25"/>
        <v>1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8" t="s">
        <v>164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45:C45"/>
    <mergeCell ref="A46:C46"/>
    <mergeCell ref="A47:C47"/>
    <mergeCell ref="A49:D4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8.57"/>
    <col customWidth="1" min="2" max="2" width="24.0"/>
    <col customWidth="1" min="3" max="3" width="11.0"/>
    <col customWidth="1" min="4" max="16" width="9.0"/>
  </cols>
  <sheetData>
    <row r="1" ht="14.25" customHeight="1">
      <c r="A1" s="1">
        <v>2026.0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16</v>
      </c>
      <c r="M1" s="1" t="s">
        <v>18</v>
      </c>
      <c r="N1" s="1" t="s">
        <v>19</v>
      </c>
      <c r="O1" s="1" t="s">
        <v>20</v>
      </c>
      <c r="P1" s="1" t="s">
        <v>21</v>
      </c>
    </row>
    <row r="2" ht="14.25" customHeight="1">
      <c r="A2" s="8">
        <v>2026.0</v>
      </c>
      <c r="B2" s="3" t="s">
        <v>13</v>
      </c>
      <c r="C2" s="3" t="s">
        <v>34</v>
      </c>
      <c r="D2" s="11">
        <f>datos_base!$B$2*parametros_manuales!B$12</f>
        <v>501.48</v>
      </c>
      <c r="E2" s="11">
        <f>datos_base!$B$2*parametros_manuales!C$12</f>
        <v>376.11</v>
      </c>
      <c r="F2" s="11">
        <f>datos_base!$B$2*parametros_manuales!D$12</f>
        <v>334.32</v>
      </c>
      <c r="G2" s="11">
        <f>datos_base!$B$2*parametros_manuales!E$12</f>
        <v>313.425</v>
      </c>
      <c r="H2" s="11">
        <f>datos_base!$B$2*parametros_manuales!F$12</f>
        <v>292.53</v>
      </c>
      <c r="I2" s="11">
        <f>datos_base!$B$2*parametros_manuales!G$12</f>
        <v>292.53</v>
      </c>
      <c r="J2" s="11">
        <f>datos_base!$B$2*parametros_manuales!H$12</f>
        <v>313.425</v>
      </c>
      <c r="K2" s="11">
        <f>datos_base!$B$2*parametros_manuales!I$12</f>
        <v>313.425</v>
      </c>
      <c r="L2" s="11">
        <f>datos_base!$B$2*parametros_manuales!J$12</f>
        <v>313.425</v>
      </c>
      <c r="M2" s="11">
        <f>datos_base!$B$2*parametros_manuales!K$12</f>
        <v>313.425</v>
      </c>
      <c r="N2" s="11">
        <f>datos_base!$B$2*parametros_manuales!L$12</f>
        <v>313.425</v>
      </c>
      <c r="O2" s="11">
        <f>datos_base!$B$2*parametros_manuales!M$12</f>
        <v>501.48</v>
      </c>
      <c r="P2" s="4">
        <f t="shared" ref="P2:P9" si="1">SUM(D2:O2)</f>
        <v>4179</v>
      </c>
    </row>
    <row r="3" ht="14.25" customHeight="1">
      <c r="A3" s="8">
        <v>2026.0</v>
      </c>
      <c r="B3" s="3" t="s">
        <v>27</v>
      </c>
      <c r="C3" s="3" t="s">
        <v>34</v>
      </c>
      <c r="D3" s="11">
        <f>datos_base!$B$3*parametros_manuales!B$13</f>
        <v>29.5</v>
      </c>
      <c r="E3" s="11">
        <f>datos_base!$B$3*parametros_manuales!C$13</f>
        <v>23.6</v>
      </c>
      <c r="F3" s="11">
        <f>datos_base!$B$3*parametros_manuales!D$13</f>
        <v>25.075</v>
      </c>
      <c r="G3" s="11">
        <f>datos_base!$B$3*parametros_manuales!E$13</f>
        <v>25.075</v>
      </c>
      <c r="H3" s="11">
        <f>datos_base!$B$3*parametros_manuales!F$13</f>
        <v>23.6</v>
      </c>
      <c r="I3" s="11">
        <f>datos_base!$B$3*parametros_manuales!G$13</f>
        <v>22.125</v>
      </c>
      <c r="J3" s="11">
        <f>datos_base!$B$3*parametros_manuales!H$13</f>
        <v>23.6</v>
      </c>
      <c r="K3" s="11">
        <f>datos_base!$B$3*parametros_manuales!I$13</f>
        <v>23.6</v>
      </c>
      <c r="L3" s="11">
        <f>datos_base!$B$3*parametros_manuales!J$13</f>
        <v>23.6</v>
      </c>
      <c r="M3" s="11">
        <f>datos_base!$B$3*parametros_manuales!K$13</f>
        <v>22.125</v>
      </c>
      <c r="N3" s="11">
        <f>datos_base!$B$3*parametros_manuales!L$13</f>
        <v>20.65</v>
      </c>
      <c r="O3" s="11">
        <f>datos_base!$B$3*parametros_manuales!M$13</f>
        <v>32.45</v>
      </c>
      <c r="P3" s="4">
        <f t="shared" si="1"/>
        <v>295</v>
      </c>
    </row>
    <row r="4" ht="14.25" customHeight="1">
      <c r="A4" s="8">
        <v>2026.0</v>
      </c>
      <c r="B4" s="3" t="s">
        <v>29</v>
      </c>
      <c r="C4" s="3" t="s">
        <v>34</v>
      </c>
      <c r="D4" s="11">
        <f>datos_base!$B$4*parametros_manuales!B$14</f>
        <v>225.6</v>
      </c>
      <c r="E4" s="11">
        <f>datos_base!$B$4*parametros_manuales!C$14</f>
        <v>180.48</v>
      </c>
      <c r="F4" s="11">
        <f>datos_base!$B$4*parametros_manuales!D$14</f>
        <v>191.76</v>
      </c>
      <c r="G4" s="11">
        <f>datos_base!$B$4*parametros_manuales!E$14</f>
        <v>191.76</v>
      </c>
      <c r="H4" s="11">
        <f>datos_base!$B$4*parametros_manuales!F$14</f>
        <v>180.48</v>
      </c>
      <c r="I4" s="11">
        <f>datos_base!$B$4*parametros_manuales!G$14</f>
        <v>169.2</v>
      </c>
      <c r="J4" s="11">
        <f>datos_base!$B$4*parametros_manuales!H$14</f>
        <v>180.48</v>
      </c>
      <c r="K4" s="11">
        <f>datos_base!$B$4*parametros_manuales!I$14</f>
        <v>180.48</v>
      </c>
      <c r="L4" s="11">
        <f>datos_base!$B$4*parametros_manuales!J$14</f>
        <v>180.48</v>
      </c>
      <c r="M4" s="11">
        <f>datos_base!$B$4*parametros_manuales!K$14</f>
        <v>169.2</v>
      </c>
      <c r="N4" s="11">
        <f>datos_base!$B$4*parametros_manuales!L$14</f>
        <v>157.92</v>
      </c>
      <c r="O4" s="11">
        <f>datos_base!$B$4*parametros_manuales!M$14</f>
        <v>248.16</v>
      </c>
      <c r="P4" s="4">
        <f t="shared" si="1"/>
        <v>2256</v>
      </c>
    </row>
    <row r="5" ht="14.25" customHeight="1">
      <c r="A5" s="8">
        <v>2026.0</v>
      </c>
      <c r="B5" s="3" t="s">
        <v>32</v>
      </c>
      <c r="C5" s="3" t="s">
        <v>34</v>
      </c>
      <c r="D5" s="11">
        <f>datos_base!$B$5*parametros_manuales!B$15</f>
        <v>9.2</v>
      </c>
      <c r="E5" s="11">
        <f>datos_base!$B$5*parametros_manuales!C$15</f>
        <v>7.36</v>
      </c>
      <c r="F5" s="11">
        <f>datos_base!$B$5*parametros_manuales!D$15</f>
        <v>7.82</v>
      </c>
      <c r="G5" s="11">
        <f>datos_base!$B$5*parametros_manuales!E$15</f>
        <v>7.82</v>
      </c>
      <c r="H5" s="11">
        <f>datos_base!$B$5*parametros_manuales!F$15</f>
        <v>7.36</v>
      </c>
      <c r="I5" s="11">
        <f>datos_base!$B$5*parametros_manuales!G$15</f>
        <v>6.9</v>
      </c>
      <c r="J5" s="11">
        <f>datos_base!$B$5*parametros_manuales!H$15</f>
        <v>7.36</v>
      </c>
      <c r="K5" s="11">
        <f>datos_base!$B$5*parametros_manuales!I$15</f>
        <v>7.36</v>
      </c>
      <c r="L5" s="11">
        <f>datos_base!$B$5*parametros_manuales!J$15</f>
        <v>7.36</v>
      </c>
      <c r="M5" s="11">
        <f>datos_base!$B$5*parametros_manuales!K$15</f>
        <v>6.9</v>
      </c>
      <c r="N5" s="11">
        <f>datos_base!$B$5*parametros_manuales!L$15</f>
        <v>6.44</v>
      </c>
      <c r="O5" s="11">
        <f>datos_base!$B$5*parametros_manuales!M$15</f>
        <v>10.12</v>
      </c>
      <c r="P5" s="4">
        <f t="shared" si="1"/>
        <v>92</v>
      </c>
    </row>
    <row r="6" ht="14.25" customHeight="1">
      <c r="A6" s="8">
        <v>2026.0</v>
      </c>
      <c r="B6" s="3" t="s">
        <v>52</v>
      </c>
      <c r="C6" s="3" t="s">
        <v>110</v>
      </c>
      <c r="D6" s="11">
        <f>datos_base!$B$9*parametros_manuales!B$12</f>
        <v>0</v>
      </c>
      <c r="E6" s="11">
        <f>datos_base!$B$9*parametros_manuales!C$12</f>
        <v>0</v>
      </c>
      <c r="F6" s="11">
        <f>datos_base!$B$9*parametros_manuales!D$12</f>
        <v>0</v>
      </c>
      <c r="G6" s="11">
        <f>datos_base!$B$9*parametros_manuales!E$12</f>
        <v>0</v>
      </c>
      <c r="H6" s="11">
        <f>datos_base!$B$9*parametros_manuales!F$12</f>
        <v>0</v>
      </c>
      <c r="I6" s="11">
        <f>datos_base!$B$9*parametros_manuales!G$12</f>
        <v>0</v>
      </c>
      <c r="J6" s="11">
        <f>datos_base!$B$9*parametros_manuales!H$12</f>
        <v>0</v>
      </c>
      <c r="K6" s="11">
        <f>datos_base!$B$9*parametros_manuales!I$12</f>
        <v>0</v>
      </c>
      <c r="L6" s="11">
        <f>datos_base!$B$9*parametros_manuales!J$12</f>
        <v>0</v>
      </c>
      <c r="M6" s="11">
        <f>datos_base!$B$9*parametros_manuales!K$12</f>
        <v>0</v>
      </c>
      <c r="N6" s="11">
        <f>datos_base!$B$9*parametros_manuales!L$12</f>
        <v>0</v>
      </c>
      <c r="O6" s="11">
        <f>datos_base!$B$9*parametros_manuales!M$12</f>
        <v>0</v>
      </c>
      <c r="P6" s="4">
        <f t="shared" si="1"/>
        <v>0</v>
      </c>
    </row>
    <row r="7" ht="14.25" customHeight="1">
      <c r="A7" s="8">
        <v>2026.0</v>
      </c>
      <c r="B7" s="3" t="s">
        <v>54</v>
      </c>
      <c r="C7" s="3" t="s">
        <v>110</v>
      </c>
      <c r="D7" s="11">
        <f>datos_base!$B$10*parametros_manuales!B$13</f>
        <v>0</v>
      </c>
      <c r="E7" s="11">
        <f>datos_base!$B$10*parametros_manuales!C$13</f>
        <v>0</v>
      </c>
      <c r="F7" s="11">
        <f>datos_base!$B$10*parametros_manuales!D$13</f>
        <v>0</v>
      </c>
      <c r="G7" s="11">
        <f>datos_base!$B$10*parametros_manuales!E$13</f>
        <v>0</v>
      </c>
      <c r="H7" s="11">
        <f>datos_base!$B$10*parametros_manuales!F$13</f>
        <v>0</v>
      </c>
      <c r="I7" s="11">
        <f>datos_base!$B$10*parametros_manuales!G$13</f>
        <v>0</v>
      </c>
      <c r="J7" s="11">
        <f>datos_base!$B$10*parametros_manuales!H$13</f>
        <v>0</v>
      </c>
      <c r="K7" s="11">
        <f>datos_base!$B$10*parametros_manuales!I$13</f>
        <v>0</v>
      </c>
      <c r="L7" s="11">
        <f>datos_base!$B$10*parametros_manuales!J$13</f>
        <v>0</v>
      </c>
      <c r="M7" s="11">
        <f>datos_base!$B$10*parametros_manuales!K$13</f>
        <v>0</v>
      </c>
      <c r="N7" s="11">
        <f>datos_base!$B$10*parametros_manuales!L$13</f>
        <v>0</v>
      </c>
      <c r="O7" s="11">
        <f>datos_base!$B$10*parametros_manuales!M$13</f>
        <v>0</v>
      </c>
      <c r="P7" s="4">
        <f t="shared" si="1"/>
        <v>0</v>
      </c>
    </row>
    <row r="8" ht="14.25" customHeight="1">
      <c r="A8" s="8">
        <v>2026.0</v>
      </c>
      <c r="B8" s="3" t="s">
        <v>55</v>
      </c>
      <c r="C8" s="3" t="s">
        <v>110</v>
      </c>
      <c r="D8" s="11">
        <f>datos_base!$B$11*parametros_manuales!B$14</f>
        <v>0</v>
      </c>
      <c r="E8" s="11">
        <f>datos_base!$B$11*parametros_manuales!C$14</f>
        <v>0</v>
      </c>
      <c r="F8" s="11">
        <f>datos_base!$B$11*parametros_manuales!D$14</f>
        <v>0</v>
      </c>
      <c r="G8" s="11">
        <f>datos_base!$B$11*parametros_manuales!E$14</f>
        <v>0</v>
      </c>
      <c r="H8" s="11">
        <f>datos_base!$B$11*parametros_manuales!F$14</f>
        <v>0</v>
      </c>
      <c r="I8" s="11">
        <f>datos_base!$B$11*parametros_manuales!G$14</f>
        <v>0</v>
      </c>
      <c r="J8" s="11">
        <f>datos_base!$B$11*parametros_manuales!H$14</f>
        <v>0</v>
      </c>
      <c r="K8" s="11">
        <f>datos_base!$B$11*parametros_manuales!I$14</f>
        <v>0</v>
      </c>
      <c r="L8" s="11">
        <f>datos_base!$B$11*parametros_manuales!J$14</f>
        <v>0</v>
      </c>
      <c r="M8" s="11">
        <f>datos_base!$B$11*parametros_manuales!K$14</f>
        <v>0</v>
      </c>
      <c r="N8" s="11">
        <f>datos_base!$B$11*parametros_manuales!L$14</f>
        <v>0</v>
      </c>
      <c r="O8" s="11">
        <f>datos_base!$B$11*parametros_manuales!M$14</f>
        <v>0</v>
      </c>
      <c r="P8" s="4">
        <f t="shared" si="1"/>
        <v>0</v>
      </c>
    </row>
    <row r="9" ht="14.25" customHeight="1">
      <c r="A9" s="8">
        <v>2026.0</v>
      </c>
      <c r="B9" s="3" t="s">
        <v>56</v>
      </c>
      <c r="C9" s="3" t="s">
        <v>110</v>
      </c>
      <c r="D9" s="11">
        <f>datos_base!$B$12*parametros_manuales!B$15</f>
        <v>0</v>
      </c>
      <c r="E9" s="11">
        <f>datos_base!$B$12*parametros_manuales!C$15</f>
        <v>0</v>
      </c>
      <c r="F9" s="11">
        <f>datos_base!$B$12*parametros_manuales!D$15</f>
        <v>0</v>
      </c>
      <c r="G9" s="11">
        <f>datos_base!$B$12*parametros_manuales!E$15</f>
        <v>0</v>
      </c>
      <c r="H9" s="11">
        <f>datos_base!$B$12*parametros_manuales!F$15</f>
        <v>0</v>
      </c>
      <c r="I9" s="11">
        <f>datos_base!$B$12*parametros_manuales!G$15</f>
        <v>0</v>
      </c>
      <c r="J9" s="11">
        <f>datos_base!$B$12*parametros_manuales!H$15</f>
        <v>0</v>
      </c>
      <c r="K9" s="11">
        <f>datos_base!$B$12*parametros_manuales!I$15</f>
        <v>0</v>
      </c>
      <c r="L9" s="11">
        <f>datos_base!$B$12*parametros_manuales!J$15</f>
        <v>0</v>
      </c>
      <c r="M9" s="11">
        <f>datos_base!$B$12*parametros_manuales!K$15</f>
        <v>0</v>
      </c>
      <c r="N9" s="11">
        <f>datos_base!$B$12*parametros_manuales!L$15</f>
        <v>0</v>
      </c>
      <c r="O9" s="11">
        <f>datos_base!$B$12*parametros_manuales!M$15</f>
        <v>0</v>
      </c>
      <c r="P9" s="4">
        <f t="shared" si="1"/>
        <v>0</v>
      </c>
    </row>
    <row r="10" ht="14.25" customHeight="1">
      <c r="B10" s="9" t="s">
        <v>140</v>
      </c>
      <c r="D10" s="10">
        <f t="shared" ref="D10:P10" si="2">SUM(D2:D9)</f>
        <v>765.78</v>
      </c>
      <c r="E10" s="10">
        <f t="shared" si="2"/>
        <v>587.55</v>
      </c>
      <c r="F10" s="10">
        <f t="shared" si="2"/>
        <v>558.975</v>
      </c>
      <c r="G10" s="10">
        <f t="shared" si="2"/>
        <v>538.08</v>
      </c>
      <c r="H10" s="10">
        <f t="shared" si="2"/>
        <v>503.97</v>
      </c>
      <c r="I10" s="10">
        <f t="shared" si="2"/>
        <v>490.755</v>
      </c>
      <c r="J10" s="10">
        <f t="shared" si="2"/>
        <v>524.865</v>
      </c>
      <c r="K10" s="10">
        <f t="shared" si="2"/>
        <v>524.865</v>
      </c>
      <c r="L10" s="10">
        <f t="shared" si="2"/>
        <v>524.865</v>
      </c>
      <c r="M10" s="10">
        <f t="shared" si="2"/>
        <v>511.65</v>
      </c>
      <c r="N10" s="10">
        <f t="shared" si="2"/>
        <v>498.435</v>
      </c>
      <c r="O10" s="10">
        <f t="shared" si="2"/>
        <v>792.21</v>
      </c>
      <c r="P10" s="10">
        <f t="shared" si="2"/>
        <v>6822</v>
      </c>
    </row>
    <row r="11" ht="14.25" customHeight="1"/>
    <row r="12" ht="14.25" customHeight="1">
      <c r="A12" s="1">
        <v>2027.0</v>
      </c>
      <c r="B12" s="1" t="s">
        <v>2</v>
      </c>
      <c r="C12" s="1" t="s">
        <v>3</v>
      </c>
      <c r="D12" s="1" t="s">
        <v>5</v>
      </c>
      <c r="E12" s="1" t="s">
        <v>7</v>
      </c>
      <c r="F12" s="1" t="s">
        <v>8</v>
      </c>
      <c r="G12" s="1" t="s">
        <v>9</v>
      </c>
      <c r="H12" s="1" t="s">
        <v>11</v>
      </c>
      <c r="I12" s="1" t="s">
        <v>12</v>
      </c>
      <c r="J12" s="1" t="s">
        <v>14</v>
      </c>
      <c r="K12" s="1" t="s">
        <v>15</v>
      </c>
      <c r="L12" s="1" t="s">
        <v>16</v>
      </c>
      <c r="M12" s="1" t="s">
        <v>18</v>
      </c>
      <c r="N12" s="1" t="s">
        <v>19</v>
      </c>
      <c r="O12" s="1" t="s">
        <v>20</v>
      </c>
      <c r="P12" s="1" t="s">
        <v>21</v>
      </c>
    </row>
    <row r="13" ht="14.25" customHeight="1">
      <c r="A13" s="8">
        <v>2027.0</v>
      </c>
      <c r="B13" s="3" t="s">
        <v>13</v>
      </c>
      <c r="C13" s="3" t="s">
        <v>34</v>
      </c>
      <c r="D13" s="11">
        <f>datos_base!$C$2*parametros_manuales!B$12</f>
        <v>719.64</v>
      </c>
      <c r="E13" s="11">
        <f>datos_base!$C$2*parametros_manuales!C$12</f>
        <v>539.73</v>
      </c>
      <c r="F13" s="11">
        <f>datos_base!$C$2*parametros_manuales!D$12</f>
        <v>479.76</v>
      </c>
      <c r="G13" s="11">
        <f>datos_base!$C$2*parametros_manuales!E$12</f>
        <v>449.775</v>
      </c>
      <c r="H13" s="11">
        <f>datos_base!$C$2*parametros_manuales!F$12</f>
        <v>419.79</v>
      </c>
      <c r="I13" s="11">
        <f>datos_base!$C$2*parametros_manuales!G$12</f>
        <v>419.79</v>
      </c>
      <c r="J13" s="11">
        <f>datos_base!$C$2*parametros_manuales!H$12</f>
        <v>449.775</v>
      </c>
      <c r="K13" s="11">
        <f>datos_base!$C$2*parametros_manuales!I$12</f>
        <v>449.775</v>
      </c>
      <c r="L13" s="11">
        <f>datos_base!$C$2*parametros_manuales!J$12</f>
        <v>449.775</v>
      </c>
      <c r="M13" s="11">
        <f>datos_base!$C$2*parametros_manuales!K$12</f>
        <v>449.775</v>
      </c>
      <c r="N13" s="11">
        <f>datos_base!$C$2*parametros_manuales!L$12</f>
        <v>449.775</v>
      </c>
      <c r="O13" s="11">
        <f>datos_base!$C$2*parametros_manuales!M$12</f>
        <v>719.64</v>
      </c>
      <c r="P13" s="4">
        <f t="shared" ref="P13:P20" si="3">SUM(D13:O13)</f>
        <v>5997</v>
      </c>
    </row>
    <row r="14" ht="14.25" customHeight="1">
      <c r="A14" s="8">
        <v>2027.0</v>
      </c>
      <c r="B14" s="3" t="s">
        <v>27</v>
      </c>
      <c r="C14" s="3" t="s">
        <v>34</v>
      </c>
      <c r="D14" s="11">
        <f>datos_base!$C$3*parametros_manuales!B$13</f>
        <v>70.9</v>
      </c>
      <c r="E14" s="11">
        <f>datos_base!$C$3*parametros_manuales!C$13</f>
        <v>56.72</v>
      </c>
      <c r="F14" s="11">
        <f>datos_base!$C$3*parametros_manuales!D$13</f>
        <v>60.265</v>
      </c>
      <c r="G14" s="11">
        <f>datos_base!$C$3*parametros_manuales!E$13</f>
        <v>60.265</v>
      </c>
      <c r="H14" s="11">
        <f>datos_base!$C$3*parametros_manuales!F$13</f>
        <v>56.72</v>
      </c>
      <c r="I14" s="11">
        <f>datos_base!$C$3*parametros_manuales!G$13</f>
        <v>53.175</v>
      </c>
      <c r="J14" s="11">
        <f>datos_base!$C$3*parametros_manuales!H$13</f>
        <v>56.72</v>
      </c>
      <c r="K14" s="11">
        <f>datos_base!$C$3*parametros_manuales!I$13</f>
        <v>56.72</v>
      </c>
      <c r="L14" s="11">
        <f>datos_base!$C$3*parametros_manuales!J$13</f>
        <v>56.72</v>
      </c>
      <c r="M14" s="11">
        <f>datos_base!$C$3*parametros_manuales!K$13</f>
        <v>53.175</v>
      </c>
      <c r="N14" s="11">
        <f>datos_base!$C$3*parametros_manuales!L$13</f>
        <v>49.63</v>
      </c>
      <c r="O14" s="11">
        <f>datos_base!$C$3*parametros_manuales!M$13</f>
        <v>77.99</v>
      </c>
      <c r="P14" s="4">
        <f t="shared" si="3"/>
        <v>709</v>
      </c>
    </row>
    <row r="15" ht="14.25" customHeight="1">
      <c r="A15" s="8">
        <v>2027.0</v>
      </c>
      <c r="B15" s="3" t="s">
        <v>29</v>
      </c>
      <c r="C15" s="3" t="s">
        <v>34</v>
      </c>
      <c r="D15" s="11">
        <f>datos_base!$C$4*parametros_manuales!B$14</f>
        <v>384.7</v>
      </c>
      <c r="E15" s="11">
        <f>datos_base!$C$4*parametros_manuales!C$14</f>
        <v>307.76</v>
      </c>
      <c r="F15" s="11">
        <f>datos_base!$C$4*parametros_manuales!D$14</f>
        <v>326.995</v>
      </c>
      <c r="G15" s="11">
        <f>datos_base!$C$4*parametros_manuales!E$14</f>
        <v>326.995</v>
      </c>
      <c r="H15" s="11">
        <f>datos_base!$C$4*parametros_manuales!F$14</f>
        <v>307.76</v>
      </c>
      <c r="I15" s="11">
        <f>datos_base!$C$4*parametros_manuales!G$14</f>
        <v>288.525</v>
      </c>
      <c r="J15" s="11">
        <f>datos_base!$C$4*parametros_manuales!H$14</f>
        <v>307.76</v>
      </c>
      <c r="K15" s="11">
        <f>datos_base!$C$4*parametros_manuales!I$14</f>
        <v>307.76</v>
      </c>
      <c r="L15" s="11">
        <f>datos_base!$C$4*parametros_manuales!J$14</f>
        <v>307.76</v>
      </c>
      <c r="M15" s="11">
        <f>datos_base!$C$4*parametros_manuales!K$14</f>
        <v>288.525</v>
      </c>
      <c r="N15" s="11">
        <f>datos_base!$C$4*parametros_manuales!L$14</f>
        <v>269.29</v>
      </c>
      <c r="O15" s="11">
        <f>datos_base!$C$4*parametros_manuales!M$14</f>
        <v>423.17</v>
      </c>
      <c r="P15" s="4">
        <f t="shared" si="3"/>
        <v>3847</v>
      </c>
    </row>
    <row r="16" ht="14.25" customHeight="1">
      <c r="A16" s="8">
        <v>2027.0</v>
      </c>
      <c r="B16" s="3" t="s">
        <v>32</v>
      </c>
      <c r="C16" s="3" t="s">
        <v>34</v>
      </c>
      <c r="D16" s="11">
        <f>datos_base!$C$5*parametros_manuales!B$15</f>
        <v>17.7</v>
      </c>
      <c r="E16" s="11">
        <f>datos_base!$C$5*parametros_manuales!C$15</f>
        <v>14.16</v>
      </c>
      <c r="F16" s="11">
        <f>datos_base!$C$5*parametros_manuales!D$15</f>
        <v>15.045</v>
      </c>
      <c r="G16" s="11">
        <f>datos_base!$C$5*parametros_manuales!E$15</f>
        <v>15.045</v>
      </c>
      <c r="H16" s="11">
        <f>datos_base!$C$5*parametros_manuales!F$15</f>
        <v>14.16</v>
      </c>
      <c r="I16" s="11">
        <f>datos_base!$C$5*parametros_manuales!G$15</f>
        <v>13.275</v>
      </c>
      <c r="J16" s="11">
        <f>datos_base!$C$5*parametros_manuales!H$15</f>
        <v>14.16</v>
      </c>
      <c r="K16" s="11">
        <f>datos_base!$C$5*parametros_manuales!I$15</f>
        <v>14.16</v>
      </c>
      <c r="L16" s="11">
        <f>datos_base!$C$5*parametros_manuales!J$15</f>
        <v>14.16</v>
      </c>
      <c r="M16" s="11">
        <f>datos_base!$C$5*parametros_manuales!K$15</f>
        <v>13.275</v>
      </c>
      <c r="N16" s="11">
        <f>datos_base!$C$5*parametros_manuales!L$15</f>
        <v>12.39</v>
      </c>
      <c r="O16" s="11">
        <f>datos_base!$C$5*parametros_manuales!M$15</f>
        <v>19.47</v>
      </c>
      <c r="P16" s="4">
        <f t="shared" si="3"/>
        <v>177</v>
      </c>
    </row>
    <row r="17" ht="14.25" customHeight="1">
      <c r="A17" s="8">
        <v>2027.0</v>
      </c>
      <c r="B17" s="3" t="s">
        <v>52</v>
      </c>
      <c r="C17" s="3" t="s">
        <v>110</v>
      </c>
      <c r="D17" s="11">
        <f>datos_base!$C$9*parametros_manuales!B$12</f>
        <v>0</v>
      </c>
      <c r="E17" s="11">
        <f>datos_base!$C$9*parametros_manuales!C$12</f>
        <v>0</v>
      </c>
      <c r="F17" s="11">
        <f>datos_base!$C$9*parametros_manuales!D$12</f>
        <v>0</v>
      </c>
      <c r="G17" s="11">
        <f>datos_base!$C$9*parametros_manuales!E$12</f>
        <v>0</v>
      </c>
      <c r="H17" s="11">
        <f>datos_base!$C$9*parametros_manuales!F$12</f>
        <v>0</v>
      </c>
      <c r="I17" s="11">
        <f>datos_base!$C$9*parametros_manuales!G$12</f>
        <v>0</v>
      </c>
      <c r="J17" s="11">
        <f>datos_base!$C$9*parametros_manuales!H$12</f>
        <v>0</v>
      </c>
      <c r="K17" s="11">
        <f>datos_base!$C$9*parametros_manuales!I$12</f>
        <v>0</v>
      </c>
      <c r="L17" s="11">
        <f>datos_base!$C$9*parametros_manuales!J$12</f>
        <v>0</v>
      </c>
      <c r="M17" s="11">
        <f>datos_base!$C$9*parametros_manuales!K$12</f>
        <v>0</v>
      </c>
      <c r="N17" s="11">
        <f>datos_base!$C$9*parametros_manuales!L$12</f>
        <v>0</v>
      </c>
      <c r="O17" s="11">
        <f>datos_base!$C$9*parametros_manuales!M$12</f>
        <v>0</v>
      </c>
      <c r="P17" s="4">
        <f t="shared" si="3"/>
        <v>0</v>
      </c>
    </row>
    <row r="18" ht="14.25" customHeight="1">
      <c r="A18" s="8">
        <v>2027.0</v>
      </c>
      <c r="B18" s="3" t="s">
        <v>54</v>
      </c>
      <c r="C18" s="3" t="s">
        <v>110</v>
      </c>
      <c r="D18" s="11">
        <f>datos_base!$C$10*parametros_manuales!B$13</f>
        <v>0</v>
      </c>
      <c r="E18" s="11">
        <f>datos_base!$C$10*parametros_manuales!C$13</f>
        <v>0</v>
      </c>
      <c r="F18" s="11">
        <f>datos_base!$C$10*parametros_manuales!D$13</f>
        <v>0</v>
      </c>
      <c r="G18" s="11">
        <f>datos_base!$C$10*parametros_manuales!E$13</f>
        <v>0</v>
      </c>
      <c r="H18" s="11">
        <f>datos_base!$C$10*parametros_manuales!F$13</f>
        <v>0</v>
      </c>
      <c r="I18" s="11">
        <f>datos_base!$C$10*parametros_manuales!G$13</f>
        <v>0</v>
      </c>
      <c r="J18" s="11">
        <f>datos_base!$C$10*parametros_manuales!H$13</f>
        <v>0</v>
      </c>
      <c r="K18" s="11">
        <f>datos_base!$C$10*parametros_manuales!I$13</f>
        <v>0</v>
      </c>
      <c r="L18" s="11">
        <f>datos_base!$C$10*parametros_manuales!J$13</f>
        <v>0</v>
      </c>
      <c r="M18" s="11">
        <f>datos_base!$C$10*parametros_manuales!K$13</f>
        <v>0</v>
      </c>
      <c r="N18" s="11">
        <f>datos_base!$C$10*parametros_manuales!L$13</f>
        <v>0</v>
      </c>
      <c r="O18" s="11">
        <f>datos_base!$C$10*parametros_manuales!M$13</f>
        <v>0</v>
      </c>
      <c r="P18" s="4">
        <f t="shared" si="3"/>
        <v>0</v>
      </c>
    </row>
    <row r="19" ht="14.25" customHeight="1">
      <c r="A19" s="8">
        <v>2027.0</v>
      </c>
      <c r="B19" s="3" t="s">
        <v>55</v>
      </c>
      <c r="C19" s="3" t="s">
        <v>110</v>
      </c>
      <c r="D19" s="11">
        <f>datos_base!$C$11*parametros_manuales!B$14</f>
        <v>0</v>
      </c>
      <c r="E19" s="11">
        <f>datos_base!$C$11*parametros_manuales!C$14</f>
        <v>0</v>
      </c>
      <c r="F19" s="11">
        <f>datos_base!$C$11*parametros_manuales!D$14</f>
        <v>0</v>
      </c>
      <c r="G19" s="11">
        <f>datos_base!$C$11*parametros_manuales!E$14</f>
        <v>0</v>
      </c>
      <c r="H19" s="11">
        <f>datos_base!$C$11*parametros_manuales!F$14</f>
        <v>0</v>
      </c>
      <c r="I19" s="11">
        <f>datos_base!$C$11*parametros_manuales!G$14</f>
        <v>0</v>
      </c>
      <c r="J19" s="11">
        <f>datos_base!$C$11*parametros_manuales!H$14</f>
        <v>0</v>
      </c>
      <c r="K19" s="11">
        <f>datos_base!$C$11*parametros_manuales!I$14</f>
        <v>0</v>
      </c>
      <c r="L19" s="11">
        <f>datos_base!$C$11*parametros_manuales!J$14</f>
        <v>0</v>
      </c>
      <c r="M19" s="11">
        <f>datos_base!$C$11*parametros_manuales!K$14</f>
        <v>0</v>
      </c>
      <c r="N19" s="11">
        <f>datos_base!$C$11*parametros_manuales!L$14</f>
        <v>0</v>
      </c>
      <c r="O19" s="11">
        <f>datos_base!$C$11*parametros_manuales!M$14</f>
        <v>0</v>
      </c>
      <c r="P19" s="4">
        <f t="shared" si="3"/>
        <v>0</v>
      </c>
    </row>
    <row r="20" ht="14.25" customHeight="1">
      <c r="A20" s="8">
        <v>2027.0</v>
      </c>
      <c r="B20" s="3" t="s">
        <v>56</v>
      </c>
      <c r="C20" s="3" t="s">
        <v>110</v>
      </c>
      <c r="D20" s="11">
        <f>datos_base!$C$12*parametros_manuales!B$15</f>
        <v>0</v>
      </c>
      <c r="E20" s="11">
        <f>datos_base!$C$12*parametros_manuales!C$15</f>
        <v>0</v>
      </c>
      <c r="F20" s="11">
        <f>datos_base!$C$12*parametros_manuales!D$15</f>
        <v>0</v>
      </c>
      <c r="G20" s="11">
        <f>datos_base!$C$12*parametros_manuales!E$15</f>
        <v>0</v>
      </c>
      <c r="H20" s="11">
        <f>datos_base!$C$12*parametros_manuales!F$15</f>
        <v>0</v>
      </c>
      <c r="I20" s="11">
        <f>datos_base!$C$12*parametros_manuales!G$15</f>
        <v>0</v>
      </c>
      <c r="J20" s="11">
        <f>datos_base!$C$12*parametros_manuales!H$15</f>
        <v>0</v>
      </c>
      <c r="K20" s="11">
        <f>datos_base!$C$12*parametros_manuales!I$15</f>
        <v>0</v>
      </c>
      <c r="L20" s="11">
        <f>datos_base!$C$12*parametros_manuales!J$15</f>
        <v>0</v>
      </c>
      <c r="M20" s="11">
        <f>datos_base!$C$12*parametros_manuales!K$15</f>
        <v>0</v>
      </c>
      <c r="N20" s="11">
        <f>datos_base!$C$12*parametros_manuales!L$15</f>
        <v>0</v>
      </c>
      <c r="O20" s="11">
        <f>datos_base!$C$12*parametros_manuales!M$15</f>
        <v>0</v>
      </c>
      <c r="P20" s="4">
        <f t="shared" si="3"/>
        <v>0</v>
      </c>
    </row>
    <row r="21" ht="14.25" customHeight="1">
      <c r="B21" s="9" t="s">
        <v>140</v>
      </c>
      <c r="D21" s="10">
        <f t="shared" ref="D21:P21" si="4">SUM(D13:D20)</f>
        <v>1192.94</v>
      </c>
      <c r="E21" s="10">
        <f t="shared" si="4"/>
        <v>918.37</v>
      </c>
      <c r="F21" s="10">
        <f t="shared" si="4"/>
        <v>882.065</v>
      </c>
      <c r="G21" s="10">
        <f t="shared" si="4"/>
        <v>852.08</v>
      </c>
      <c r="H21" s="10">
        <f t="shared" si="4"/>
        <v>798.43</v>
      </c>
      <c r="I21" s="10">
        <f t="shared" si="4"/>
        <v>774.765</v>
      </c>
      <c r="J21" s="10">
        <f t="shared" si="4"/>
        <v>828.415</v>
      </c>
      <c r="K21" s="10">
        <f t="shared" si="4"/>
        <v>828.415</v>
      </c>
      <c r="L21" s="10">
        <f t="shared" si="4"/>
        <v>828.415</v>
      </c>
      <c r="M21" s="10">
        <f t="shared" si="4"/>
        <v>804.75</v>
      </c>
      <c r="N21" s="10">
        <f t="shared" si="4"/>
        <v>781.085</v>
      </c>
      <c r="O21" s="10">
        <f t="shared" si="4"/>
        <v>1240.27</v>
      </c>
      <c r="P21" s="10">
        <f t="shared" si="4"/>
        <v>10730</v>
      </c>
    </row>
    <row r="22" ht="14.25" customHeight="1"/>
    <row r="23" ht="14.25" customHeight="1">
      <c r="A23" s="1">
        <v>2028.0</v>
      </c>
      <c r="B23" s="1" t="s">
        <v>2</v>
      </c>
      <c r="C23" s="1" t="s">
        <v>3</v>
      </c>
      <c r="D23" s="1" t="s">
        <v>5</v>
      </c>
      <c r="E23" s="1" t="s">
        <v>7</v>
      </c>
      <c r="F23" s="1" t="s">
        <v>8</v>
      </c>
      <c r="G23" s="1" t="s">
        <v>9</v>
      </c>
      <c r="H23" s="1" t="s">
        <v>11</v>
      </c>
      <c r="I23" s="1" t="s">
        <v>12</v>
      </c>
      <c r="J23" s="1" t="s">
        <v>14</v>
      </c>
      <c r="K23" s="1" t="s">
        <v>15</v>
      </c>
      <c r="L23" s="1" t="s">
        <v>16</v>
      </c>
      <c r="M23" s="1" t="s">
        <v>18</v>
      </c>
      <c r="N23" s="1" t="s">
        <v>19</v>
      </c>
      <c r="O23" s="1" t="s">
        <v>20</v>
      </c>
      <c r="P23" s="1" t="s">
        <v>21</v>
      </c>
    </row>
    <row r="24" ht="14.25" customHeight="1">
      <c r="A24" s="8">
        <v>2028.0</v>
      </c>
      <c r="B24" s="3" t="s">
        <v>13</v>
      </c>
      <c r="C24" s="3" t="s">
        <v>34</v>
      </c>
      <c r="D24" s="11">
        <f>datos_base!$D$2*parametros_manuales!B$12</f>
        <v>822.24</v>
      </c>
      <c r="E24" s="11">
        <f>datos_base!$D$2*parametros_manuales!C$12</f>
        <v>616.68</v>
      </c>
      <c r="F24" s="11">
        <f>datos_base!$D$2*parametros_manuales!D$12</f>
        <v>548.16</v>
      </c>
      <c r="G24" s="11">
        <f>datos_base!$D$2*parametros_manuales!E$12</f>
        <v>513.9</v>
      </c>
      <c r="H24" s="11">
        <f>datos_base!$D$2*parametros_manuales!F$12</f>
        <v>479.64</v>
      </c>
      <c r="I24" s="11">
        <f>datos_base!$D$2*parametros_manuales!G$12</f>
        <v>479.64</v>
      </c>
      <c r="J24" s="11">
        <f>datos_base!$D$2*parametros_manuales!H$12</f>
        <v>513.9</v>
      </c>
      <c r="K24" s="11">
        <f>datos_base!$D$2*parametros_manuales!I$12</f>
        <v>513.9</v>
      </c>
      <c r="L24" s="11">
        <f>datos_base!$D$2*parametros_manuales!J$12</f>
        <v>513.9</v>
      </c>
      <c r="M24" s="11">
        <f>datos_base!$D$2*parametros_manuales!K$12</f>
        <v>513.9</v>
      </c>
      <c r="N24" s="11">
        <f>datos_base!$D$2*parametros_manuales!L$12</f>
        <v>513.9</v>
      </c>
      <c r="O24" s="11">
        <f>datos_base!$D$2*parametros_manuales!M$12</f>
        <v>822.24</v>
      </c>
      <c r="P24" s="4">
        <f t="shared" ref="P24:P31" si="5">SUM(D24:O24)</f>
        <v>6852</v>
      </c>
    </row>
    <row r="25" ht="14.25" customHeight="1">
      <c r="A25" s="8">
        <v>2028.0</v>
      </c>
      <c r="B25" s="3" t="s">
        <v>27</v>
      </c>
      <c r="C25" s="3" t="s">
        <v>34</v>
      </c>
      <c r="D25" s="11">
        <f>datos_base!$D$3*parametros_manuales!B$13</f>
        <v>98.7</v>
      </c>
      <c r="E25" s="11">
        <f>datos_base!$D$3*parametros_manuales!C$13</f>
        <v>78.96</v>
      </c>
      <c r="F25" s="11">
        <f>datos_base!$D$3*parametros_manuales!D$13</f>
        <v>83.895</v>
      </c>
      <c r="G25" s="11">
        <f>datos_base!$D$3*parametros_manuales!E$13</f>
        <v>83.895</v>
      </c>
      <c r="H25" s="11">
        <f>datos_base!$D$3*parametros_manuales!F$13</f>
        <v>78.96</v>
      </c>
      <c r="I25" s="11">
        <f>datos_base!$D$3*parametros_manuales!G$13</f>
        <v>74.025</v>
      </c>
      <c r="J25" s="11">
        <f>datos_base!$D$3*parametros_manuales!H$13</f>
        <v>78.96</v>
      </c>
      <c r="K25" s="11">
        <f>datos_base!$D$3*parametros_manuales!I$13</f>
        <v>78.96</v>
      </c>
      <c r="L25" s="11">
        <f>datos_base!$D$3*parametros_manuales!J$13</f>
        <v>78.96</v>
      </c>
      <c r="M25" s="11">
        <f>datos_base!$D$3*parametros_manuales!K$13</f>
        <v>74.025</v>
      </c>
      <c r="N25" s="11">
        <f>datos_base!$D$3*parametros_manuales!L$13</f>
        <v>69.09</v>
      </c>
      <c r="O25" s="11">
        <f>datos_base!$D$3*parametros_manuales!M$13</f>
        <v>108.57</v>
      </c>
      <c r="P25" s="4">
        <f t="shared" si="5"/>
        <v>987</v>
      </c>
    </row>
    <row r="26" ht="14.25" customHeight="1">
      <c r="A26" s="8">
        <v>2028.0</v>
      </c>
      <c r="B26" s="3" t="s">
        <v>29</v>
      </c>
      <c r="C26" s="3" t="s">
        <v>34</v>
      </c>
      <c r="D26" s="11">
        <f>datos_base!$D$4*parametros_manuales!B$14</f>
        <v>509.4</v>
      </c>
      <c r="E26" s="11">
        <f>datos_base!$D$4*parametros_manuales!C$14</f>
        <v>407.52</v>
      </c>
      <c r="F26" s="11">
        <f>datos_base!$D$4*parametros_manuales!D$14</f>
        <v>432.99</v>
      </c>
      <c r="G26" s="11">
        <f>datos_base!$D$4*parametros_manuales!E$14</f>
        <v>432.99</v>
      </c>
      <c r="H26" s="11">
        <f>datos_base!$D$4*parametros_manuales!F$14</f>
        <v>407.52</v>
      </c>
      <c r="I26" s="11">
        <f>datos_base!$D$4*parametros_manuales!G$14</f>
        <v>382.05</v>
      </c>
      <c r="J26" s="11">
        <f>datos_base!$D$4*parametros_manuales!H$14</f>
        <v>407.52</v>
      </c>
      <c r="K26" s="11">
        <f>datos_base!$D$4*parametros_manuales!I$14</f>
        <v>407.52</v>
      </c>
      <c r="L26" s="11">
        <f>datos_base!$D$4*parametros_manuales!J$14</f>
        <v>407.52</v>
      </c>
      <c r="M26" s="11">
        <f>datos_base!$D$4*parametros_manuales!K$14</f>
        <v>382.05</v>
      </c>
      <c r="N26" s="11">
        <f>datos_base!$D$4*parametros_manuales!L$14</f>
        <v>356.58</v>
      </c>
      <c r="O26" s="11">
        <f>datos_base!$D$4*parametros_manuales!M$14</f>
        <v>560.34</v>
      </c>
      <c r="P26" s="4">
        <f t="shared" si="5"/>
        <v>5094</v>
      </c>
    </row>
    <row r="27" ht="14.25" customHeight="1">
      <c r="A27" s="8">
        <v>2028.0</v>
      </c>
      <c r="B27" s="3" t="s">
        <v>32</v>
      </c>
      <c r="C27" s="3" t="s">
        <v>34</v>
      </c>
      <c r="D27" s="11">
        <f>datos_base!$D$5*parametros_manuales!B$15</f>
        <v>25.3</v>
      </c>
      <c r="E27" s="11">
        <f>datos_base!$D$5*parametros_manuales!C$15</f>
        <v>20.24</v>
      </c>
      <c r="F27" s="11">
        <f>datos_base!$D$5*parametros_manuales!D$15</f>
        <v>21.505</v>
      </c>
      <c r="G27" s="11">
        <f>datos_base!$D$5*parametros_manuales!E$15</f>
        <v>21.505</v>
      </c>
      <c r="H27" s="11">
        <f>datos_base!$D$5*parametros_manuales!F$15</f>
        <v>20.24</v>
      </c>
      <c r="I27" s="11">
        <f>datos_base!$D$5*parametros_manuales!G$15</f>
        <v>18.975</v>
      </c>
      <c r="J27" s="11">
        <f>datos_base!$D$5*parametros_manuales!H$15</f>
        <v>20.24</v>
      </c>
      <c r="K27" s="11">
        <f>datos_base!$D$5*parametros_manuales!I$15</f>
        <v>20.24</v>
      </c>
      <c r="L27" s="11">
        <f>datos_base!$D$5*parametros_manuales!J$15</f>
        <v>20.24</v>
      </c>
      <c r="M27" s="11">
        <f>datos_base!$D$5*parametros_manuales!K$15</f>
        <v>18.975</v>
      </c>
      <c r="N27" s="11">
        <f>datos_base!$D$5*parametros_manuales!L$15</f>
        <v>17.71</v>
      </c>
      <c r="O27" s="11">
        <f>datos_base!$D$5*parametros_manuales!M$15</f>
        <v>27.83</v>
      </c>
      <c r="P27" s="4">
        <f t="shared" si="5"/>
        <v>253</v>
      </c>
    </row>
    <row r="28" ht="14.25" customHeight="1">
      <c r="A28" s="8">
        <v>2028.0</v>
      </c>
      <c r="B28" s="3" t="s">
        <v>52</v>
      </c>
      <c r="C28" s="3" t="s">
        <v>110</v>
      </c>
      <c r="D28" s="11">
        <f>datos_base!$D$9*parametros_manuales!B$12</f>
        <v>919.44</v>
      </c>
      <c r="E28" s="11">
        <f>datos_base!$D$9*parametros_manuales!C$12</f>
        <v>689.58</v>
      </c>
      <c r="F28" s="11">
        <f>datos_base!$D$9*parametros_manuales!D$12</f>
        <v>612.96</v>
      </c>
      <c r="G28" s="11">
        <f>datos_base!$D$9*parametros_manuales!E$12</f>
        <v>574.65</v>
      </c>
      <c r="H28" s="11">
        <f>datos_base!$D$9*parametros_manuales!F$12</f>
        <v>536.34</v>
      </c>
      <c r="I28" s="11">
        <f>datos_base!$D$9*parametros_manuales!G$12</f>
        <v>536.34</v>
      </c>
      <c r="J28" s="11">
        <f>datos_base!$D$9*parametros_manuales!H$12</f>
        <v>574.65</v>
      </c>
      <c r="K28" s="11">
        <f>datos_base!$D$9*parametros_manuales!I$12</f>
        <v>574.65</v>
      </c>
      <c r="L28" s="11">
        <f>datos_base!$D$9*parametros_manuales!J$12</f>
        <v>574.65</v>
      </c>
      <c r="M28" s="11">
        <f>datos_base!$D$9*parametros_manuales!K$12</f>
        <v>574.65</v>
      </c>
      <c r="N28" s="11">
        <f>datos_base!$D$9*parametros_manuales!L$12</f>
        <v>574.65</v>
      </c>
      <c r="O28" s="11">
        <f>datos_base!$D$9*parametros_manuales!M$12</f>
        <v>919.44</v>
      </c>
      <c r="P28" s="4">
        <f t="shared" si="5"/>
        <v>7662</v>
      </c>
    </row>
    <row r="29" ht="14.25" customHeight="1">
      <c r="A29" s="8">
        <v>2028.0</v>
      </c>
      <c r="B29" s="3" t="s">
        <v>54</v>
      </c>
      <c r="C29" s="3" t="s">
        <v>110</v>
      </c>
      <c r="D29" s="11">
        <f>datos_base!$D$10*parametros_manuales!B$13</f>
        <v>30</v>
      </c>
      <c r="E29" s="11">
        <f>datos_base!$D$10*parametros_manuales!C$13</f>
        <v>24</v>
      </c>
      <c r="F29" s="11">
        <f>datos_base!$D$10*parametros_manuales!D$13</f>
        <v>25.5</v>
      </c>
      <c r="G29" s="11">
        <f>datos_base!$D$10*parametros_manuales!E$13</f>
        <v>25.5</v>
      </c>
      <c r="H29" s="11">
        <f>datos_base!$D$10*parametros_manuales!F$13</f>
        <v>24</v>
      </c>
      <c r="I29" s="11">
        <f>datos_base!$D$10*parametros_manuales!G$13</f>
        <v>22.5</v>
      </c>
      <c r="J29" s="11">
        <f>datos_base!$D$10*parametros_manuales!H$13</f>
        <v>24</v>
      </c>
      <c r="K29" s="11">
        <f>datos_base!$D$10*parametros_manuales!I$13</f>
        <v>24</v>
      </c>
      <c r="L29" s="11">
        <f>datos_base!$D$10*parametros_manuales!J$13</f>
        <v>24</v>
      </c>
      <c r="M29" s="11">
        <f>datos_base!$D$10*parametros_manuales!K$13</f>
        <v>22.5</v>
      </c>
      <c r="N29" s="11">
        <f>datos_base!$D$10*parametros_manuales!L$13</f>
        <v>21</v>
      </c>
      <c r="O29" s="11">
        <f>datos_base!$D$10*parametros_manuales!M$13</f>
        <v>33</v>
      </c>
      <c r="P29" s="4">
        <f t="shared" si="5"/>
        <v>300</v>
      </c>
    </row>
    <row r="30" ht="14.25" customHeight="1">
      <c r="A30" s="8">
        <v>2028.0</v>
      </c>
      <c r="B30" s="3" t="s">
        <v>55</v>
      </c>
      <c r="C30" s="3" t="s">
        <v>110</v>
      </c>
      <c r="D30" s="11">
        <f>datos_base!$D$11*parametros_manuales!B$14</f>
        <v>147.9</v>
      </c>
      <c r="E30" s="11">
        <f>datos_base!$D$11*parametros_manuales!C$14</f>
        <v>118.32</v>
      </c>
      <c r="F30" s="11">
        <f>datos_base!$D$11*parametros_manuales!D$14</f>
        <v>125.715</v>
      </c>
      <c r="G30" s="11">
        <f>datos_base!$D$11*parametros_manuales!E$14</f>
        <v>125.715</v>
      </c>
      <c r="H30" s="11">
        <f>datos_base!$D$11*parametros_manuales!F$14</f>
        <v>118.32</v>
      </c>
      <c r="I30" s="11">
        <f>datos_base!$D$11*parametros_manuales!G$14</f>
        <v>110.925</v>
      </c>
      <c r="J30" s="11">
        <f>datos_base!$D$11*parametros_manuales!H$14</f>
        <v>118.32</v>
      </c>
      <c r="K30" s="11">
        <f>datos_base!$D$11*parametros_manuales!I$14</f>
        <v>118.32</v>
      </c>
      <c r="L30" s="11">
        <f>datos_base!$D$11*parametros_manuales!J$14</f>
        <v>118.32</v>
      </c>
      <c r="M30" s="11">
        <f>datos_base!$D$11*parametros_manuales!K$14</f>
        <v>110.925</v>
      </c>
      <c r="N30" s="11">
        <f>datos_base!$D$11*parametros_manuales!L$14</f>
        <v>103.53</v>
      </c>
      <c r="O30" s="11">
        <f>datos_base!$D$11*parametros_manuales!M$14</f>
        <v>162.69</v>
      </c>
      <c r="P30" s="4">
        <f t="shared" si="5"/>
        <v>1479</v>
      </c>
    </row>
    <row r="31" ht="14.25" customHeight="1">
      <c r="A31" s="8">
        <v>2028.0</v>
      </c>
      <c r="B31" s="3" t="s">
        <v>56</v>
      </c>
      <c r="C31" s="3" t="s">
        <v>110</v>
      </c>
      <c r="D31" s="11">
        <f>datos_base!$D$12*parametros_manuales!B$15</f>
        <v>9</v>
      </c>
      <c r="E31" s="11">
        <f>datos_base!$D$12*parametros_manuales!C$15</f>
        <v>7.2</v>
      </c>
      <c r="F31" s="11">
        <f>datos_base!$D$12*parametros_manuales!D$15</f>
        <v>7.65</v>
      </c>
      <c r="G31" s="11">
        <f>datos_base!$D$12*parametros_manuales!E$15</f>
        <v>7.65</v>
      </c>
      <c r="H31" s="11">
        <f>datos_base!$D$12*parametros_manuales!F$15</f>
        <v>7.2</v>
      </c>
      <c r="I31" s="11">
        <f>datos_base!$D$12*parametros_manuales!G$15</f>
        <v>6.75</v>
      </c>
      <c r="J31" s="11">
        <f>datos_base!$D$12*parametros_manuales!H$15</f>
        <v>7.2</v>
      </c>
      <c r="K31" s="11">
        <f>datos_base!$D$12*parametros_manuales!I$15</f>
        <v>7.2</v>
      </c>
      <c r="L31" s="11">
        <f>datos_base!$D$12*parametros_manuales!J$15</f>
        <v>7.2</v>
      </c>
      <c r="M31" s="11">
        <f>datos_base!$D$12*parametros_manuales!K$15</f>
        <v>6.75</v>
      </c>
      <c r="N31" s="11">
        <f>datos_base!$D$12*parametros_manuales!L$15</f>
        <v>6.3</v>
      </c>
      <c r="O31" s="11">
        <f>datos_base!$D$12*parametros_manuales!M$15</f>
        <v>9.9</v>
      </c>
      <c r="P31" s="4">
        <f t="shared" si="5"/>
        <v>90</v>
      </c>
    </row>
    <row r="32" ht="14.25" customHeight="1">
      <c r="B32" s="9" t="s">
        <v>140</v>
      </c>
      <c r="D32" s="10">
        <f t="shared" ref="D32:P32" si="6">SUM(D24:D31)</f>
        <v>2561.98</v>
      </c>
      <c r="E32" s="10">
        <f t="shared" si="6"/>
        <v>1962.5</v>
      </c>
      <c r="F32" s="10">
        <f t="shared" si="6"/>
        <v>1858.375</v>
      </c>
      <c r="G32" s="10">
        <f t="shared" si="6"/>
        <v>1785.805</v>
      </c>
      <c r="H32" s="10">
        <f t="shared" si="6"/>
        <v>1672.22</v>
      </c>
      <c r="I32" s="10">
        <f t="shared" si="6"/>
        <v>1631.205</v>
      </c>
      <c r="J32" s="10">
        <f t="shared" si="6"/>
        <v>1744.79</v>
      </c>
      <c r="K32" s="10">
        <f t="shared" si="6"/>
        <v>1744.79</v>
      </c>
      <c r="L32" s="10">
        <f t="shared" si="6"/>
        <v>1744.79</v>
      </c>
      <c r="M32" s="10">
        <f t="shared" si="6"/>
        <v>1703.775</v>
      </c>
      <c r="N32" s="10">
        <f t="shared" si="6"/>
        <v>1662.76</v>
      </c>
      <c r="O32" s="10">
        <f t="shared" si="6"/>
        <v>2644.01</v>
      </c>
      <c r="P32" s="10">
        <f t="shared" si="6"/>
        <v>22717</v>
      </c>
    </row>
    <row r="33" ht="14.25" customHeight="1"/>
    <row r="34" ht="14.25" customHeight="1">
      <c r="A34" s="1">
        <v>2029.0</v>
      </c>
      <c r="B34" s="1" t="s">
        <v>2</v>
      </c>
      <c r="C34" s="1" t="s">
        <v>3</v>
      </c>
      <c r="D34" s="1" t="s">
        <v>5</v>
      </c>
      <c r="E34" s="1" t="s">
        <v>7</v>
      </c>
      <c r="F34" s="1" t="s">
        <v>8</v>
      </c>
      <c r="G34" s="1" t="s">
        <v>9</v>
      </c>
      <c r="H34" s="1" t="s">
        <v>11</v>
      </c>
      <c r="I34" s="1" t="s">
        <v>12</v>
      </c>
      <c r="J34" s="1" t="s">
        <v>14</v>
      </c>
      <c r="K34" s="1" t="s">
        <v>15</v>
      </c>
      <c r="L34" s="1" t="s">
        <v>16</v>
      </c>
      <c r="M34" s="1" t="s">
        <v>18</v>
      </c>
      <c r="N34" s="1" t="s">
        <v>19</v>
      </c>
      <c r="O34" s="1" t="s">
        <v>20</v>
      </c>
      <c r="P34" s="1" t="s">
        <v>21</v>
      </c>
    </row>
    <row r="35" ht="14.25" customHeight="1">
      <c r="A35" s="8">
        <v>2029.0</v>
      </c>
      <c r="B35" s="3" t="s">
        <v>13</v>
      </c>
      <c r="C35" s="3" t="s">
        <v>34</v>
      </c>
      <c r="D35" s="11">
        <f>datos_base!$E$2*parametros_manuales!B$12</f>
        <v>1016.04</v>
      </c>
      <c r="E35" s="11">
        <f>datos_base!$E$2*parametros_manuales!C$12</f>
        <v>762.03</v>
      </c>
      <c r="F35" s="11">
        <f>datos_base!$E$2*parametros_manuales!D$12</f>
        <v>677.36</v>
      </c>
      <c r="G35" s="11">
        <f>datos_base!$E$2*parametros_manuales!E$12</f>
        <v>635.025</v>
      </c>
      <c r="H35" s="11">
        <f>datos_base!$E$2*parametros_manuales!F$12</f>
        <v>592.69</v>
      </c>
      <c r="I35" s="11">
        <f>datos_base!$E$2*parametros_manuales!G$12</f>
        <v>592.69</v>
      </c>
      <c r="J35" s="11">
        <f>datos_base!$E$2*parametros_manuales!H$12</f>
        <v>635.025</v>
      </c>
      <c r="K35" s="11">
        <f>datos_base!$E$2*parametros_manuales!I$12</f>
        <v>635.025</v>
      </c>
      <c r="L35" s="11">
        <f>datos_base!$E$2*parametros_manuales!J$12</f>
        <v>635.025</v>
      </c>
      <c r="M35" s="11">
        <f>datos_base!$E$2*parametros_manuales!K$12</f>
        <v>635.025</v>
      </c>
      <c r="N35" s="11">
        <f>datos_base!$E$2*parametros_manuales!L$12</f>
        <v>635.025</v>
      </c>
      <c r="O35" s="11">
        <f>datos_base!$E$2*parametros_manuales!M$12</f>
        <v>1016.04</v>
      </c>
      <c r="P35" s="4">
        <f t="shared" ref="P35:P42" si="7">SUM(D35:O35)</f>
        <v>8467</v>
      </c>
    </row>
    <row r="36" ht="14.25" customHeight="1">
      <c r="A36" s="8">
        <v>2029.0</v>
      </c>
      <c r="B36" s="3" t="s">
        <v>27</v>
      </c>
      <c r="C36" s="3" t="s">
        <v>34</v>
      </c>
      <c r="D36" s="11">
        <f>datos_base!$E$3*parametros_manuales!B$13</f>
        <v>150.1</v>
      </c>
      <c r="E36" s="11">
        <f>datos_base!$E$3*parametros_manuales!C$13</f>
        <v>120.08</v>
      </c>
      <c r="F36" s="11">
        <f>datos_base!$E$3*parametros_manuales!D$13</f>
        <v>127.585</v>
      </c>
      <c r="G36" s="11">
        <f>datos_base!$E$3*parametros_manuales!E$13</f>
        <v>127.585</v>
      </c>
      <c r="H36" s="11">
        <f>datos_base!$E$3*parametros_manuales!F$13</f>
        <v>120.08</v>
      </c>
      <c r="I36" s="11">
        <f>datos_base!$E$3*parametros_manuales!G$13</f>
        <v>112.575</v>
      </c>
      <c r="J36" s="11">
        <f>datos_base!$E$3*parametros_manuales!H$13</f>
        <v>120.08</v>
      </c>
      <c r="K36" s="11">
        <f>datos_base!$E$3*parametros_manuales!I$13</f>
        <v>120.08</v>
      </c>
      <c r="L36" s="11">
        <f>datos_base!$E$3*parametros_manuales!J$13</f>
        <v>120.08</v>
      </c>
      <c r="M36" s="11">
        <f>datos_base!$E$3*parametros_manuales!K$13</f>
        <v>112.575</v>
      </c>
      <c r="N36" s="11">
        <f>datos_base!$E$3*parametros_manuales!L$13</f>
        <v>105.07</v>
      </c>
      <c r="O36" s="11">
        <f>datos_base!$E$3*parametros_manuales!M$13</f>
        <v>165.11</v>
      </c>
      <c r="P36" s="4">
        <f t="shared" si="7"/>
        <v>1501</v>
      </c>
    </row>
    <row r="37" ht="14.25" customHeight="1">
      <c r="A37" s="8">
        <v>2029.0</v>
      </c>
      <c r="B37" s="3" t="s">
        <v>29</v>
      </c>
      <c r="C37" s="3" t="s">
        <v>34</v>
      </c>
      <c r="D37" s="11">
        <f>datos_base!$E$4*parametros_manuales!B$14</f>
        <v>682.3</v>
      </c>
      <c r="E37" s="11">
        <f>datos_base!$E$4*parametros_manuales!C$14</f>
        <v>545.84</v>
      </c>
      <c r="F37" s="11">
        <f>datos_base!$E$4*parametros_manuales!D$14</f>
        <v>579.955</v>
      </c>
      <c r="G37" s="11">
        <f>datos_base!$E$4*parametros_manuales!E$14</f>
        <v>579.955</v>
      </c>
      <c r="H37" s="11">
        <f>datos_base!$E$4*parametros_manuales!F$14</f>
        <v>545.84</v>
      </c>
      <c r="I37" s="11">
        <f>datos_base!$E$4*parametros_manuales!G$14</f>
        <v>511.725</v>
      </c>
      <c r="J37" s="11">
        <f>datos_base!$E$4*parametros_manuales!H$14</f>
        <v>545.84</v>
      </c>
      <c r="K37" s="11">
        <f>datos_base!$E$4*parametros_manuales!I$14</f>
        <v>545.84</v>
      </c>
      <c r="L37" s="11">
        <f>datos_base!$E$4*parametros_manuales!J$14</f>
        <v>545.84</v>
      </c>
      <c r="M37" s="11">
        <f>datos_base!$E$4*parametros_manuales!K$14</f>
        <v>511.725</v>
      </c>
      <c r="N37" s="11">
        <f>datos_base!$E$4*parametros_manuales!L$14</f>
        <v>477.61</v>
      </c>
      <c r="O37" s="11">
        <f>datos_base!$E$4*parametros_manuales!M$14</f>
        <v>750.53</v>
      </c>
      <c r="P37" s="4">
        <f t="shared" si="7"/>
        <v>6823</v>
      </c>
    </row>
    <row r="38" ht="14.25" customHeight="1">
      <c r="A38" s="8">
        <v>2029.0</v>
      </c>
      <c r="B38" s="3" t="s">
        <v>32</v>
      </c>
      <c r="C38" s="3" t="s">
        <v>34</v>
      </c>
      <c r="D38" s="11">
        <f>datos_base!$E$5*parametros_manuales!B$15</f>
        <v>35.8</v>
      </c>
      <c r="E38" s="11">
        <f>datos_base!$E$5*parametros_manuales!C$15</f>
        <v>28.64</v>
      </c>
      <c r="F38" s="11">
        <f>datos_base!$E$5*parametros_manuales!D$15</f>
        <v>30.43</v>
      </c>
      <c r="G38" s="11">
        <f>datos_base!$E$5*parametros_manuales!E$15</f>
        <v>30.43</v>
      </c>
      <c r="H38" s="11">
        <f>datos_base!$E$5*parametros_manuales!F$15</f>
        <v>28.64</v>
      </c>
      <c r="I38" s="11">
        <f>datos_base!$E$5*parametros_manuales!G$15</f>
        <v>26.85</v>
      </c>
      <c r="J38" s="11">
        <f>datos_base!$E$5*parametros_manuales!H$15</f>
        <v>28.64</v>
      </c>
      <c r="K38" s="11">
        <f>datos_base!$E$5*parametros_manuales!I$15</f>
        <v>28.64</v>
      </c>
      <c r="L38" s="11">
        <f>datos_base!$E$5*parametros_manuales!J$15</f>
        <v>28.64</v>
      </c>
      <c r="M38" s="11">
        <f>datos_base!$E$5*parametros_manuales!K$15</f>
        <v>26.85</v>
      </c>
      <c r="N38" s="11">
        <f>datos_base!$E$5*parametros_manuales!L$15</f>
        <v>25.06</v>
      </c>
      <c r="O38" s="11">
        <f>datos_base!$E$5*parametros_manuales!M$15</f>
        <v>39.38</v>
      </c>
      <c r="P38" s="4">
        <f t="shared" si="7"/>
        <v>358</v>
      </c>
    </row>
    <row r="39" ht="14.25" customHeight="1">
      <c r="A39" s="8">
        <v>2029.0</v>
      </c>
      <c r="B39" s="3" t="s">
        <v>52</v>
      </c>
      <c r="C39" s="3" t="s">
        <v>110</v>
      </c>
      <c r="D39" s="11">
        <f>datos_base!$E$9*parametros_manuales!B$12</f>
        <v>3203.4</v>
      </c>
      <c r="E39" s="11">
        <f>datos_base!$E$9*parametros_manuales!C$12</f>
        <v>2402.55</v>
      </c>
      <c r="F39" s="11">
        <f>datos_base!$E$9*parametros_manuales!D$12</f>
        <v>2135.6</v>
      </c>
      <c r="G39" s="11">
        <f>datos_base!$E$9*parametros_manuales!E$12</f>
        <v>2002.125</v>
      </c>
      <c r="H39" s="11">
        <f>datos_base!$E$9*parametros_manuales!F$12</f>
        <v>1868.65</v>
      </c>
      <c r="I39" s="11">
        <f>datos_base!$E$9*parametros_manuales!G$12</f>
        <v>1868.65</v>
      </c>
      <c r="J39" s="11">
        <f>datos_base!$E$9*parametros_manuales!H$12</f>
        <v>2002.125</v>
      </c>
      <c r="K39" s="11">
        <f>datos_base!$E$9*parametros_manuales!I$12</f>
        <v>2002.125</v>
      </c>
      <c r="L39" s="11">
        <f>datos_base!$E$9*parametros_manuales!J$12</f>
        <v>2002.125</v>
      </c>
      <c r="M39" s="11">
        <f>datos_base!$E$9*parametros_manuales!K$12</f>
        <v>2002.125</v>
      </c>
      <c r="N39" s="11">
        <f>datos_base!$E$9*parametros_manuales!L$12</f>
        <v>2002.125</v>
      </c>
      <c r="O39" s="11">
        <f>datos_base!$E$9*parametros_manuales!M$12</f>
        <v>3203.4</v>
      </c>
      <c r="P39" s="4">
        <f t="shared" si="7"/>
        <v>26695</v>
      </c>
    </row>
    <row r="40" ht="14.25" customHeight="1">
      <c r="A40" s="8">
        <v>2029.0</v>
      </c>
      <c r="B40" s="3" t="s">
        <v>54</v>
      </c>
      <c r="C40" s="3" t="s">
        <v>110</v>
      </c>
      <c r="D40" s="11">
        <f>datos_base!$E$10*parametros_manuales!B$13</f>
        <v>104.4</v>
      </c>
      <c r="E40" s="11">
        <f>datos_base!$E$10*parametros_manuales!C$13</f>
        <v>83.52</v>
      </c>
      <c r="F40" s="11">
        <f>datos_base!$E$10*parametros_manuales!D$13</f>
        <v>88.74</v>
      </c>
      <c r="G40" s="11">
        <f>datos_base!$E$10*parametros_manuales!E$13</f>
        <v>88.74</v>
      </c>
      <c r="H40" s="11">
        <f>datos_base!$E$10*parametros_manuales!F$13</f>
        <v>83.52</v>
      </c>
      <c r="I40" s="11">
        <f>datos_base!$E$10*parametros_manuales!G$13</f>
        <v>78.3</v>
      </c>
      <c r="J40" s="11">
        <f>datos_base!$E$10*parametros_manuales!H$13</f>
        <v>83.52</v>
      </c>
      <c r="K40" s="11">
        <f>datos_base!$E$10*parametros_manuales!I$13</f>
        <v>83.52</v>
      </c>
      <c r="L40" s="11">
        <f>datos_base!$E$10*parametros_manuales!J$13</f>
        <v>83.52</v>
      </c>
      <c r="M40" s="11">
        <f>datos_base!$E$10*parametros_manuales!K$13</f>
        <v>78.3</v>
      </c>
      <c r="N40" s="11">
        <f>datos_base!$E$10*parametros_manuales!L$13</f>
        <v>73.08</v>
      </c>
      <c r="O40" s="11">
        <f>datos_base!$E$10*parametros_manuales!M$13</f>
        <v>114.84</v>
      </c>
      <c r="P40" s="4">
        <f t="shared" si="7"/>
        <v>1044</v>
      </c>
    </row>
    <row r="41" ht="14.25" customHeight="1">
      <c r="A41" s="8">
        <v>2029.0</v>
      </c>
      <c r="B41" s="3" t="s">
        <v>55</v>
      </c>
      <c r="C41" s="3" t="s">
        <v>110</v>
      </c>
      <c r="D41" s="11">
        <f>datos_base!$E$11*parametros_manuales!B$14</f>
        <v>515.2</v>
      </c>
      <c r="E41" s="11">
        <f>datos_base!$E$11*parametros_manuales!C$14</f>
        <v>412.16</v>
      </c>
      <c r="F41" s="11">
        <f>datos_base!$E$11*parametros_manuales!D$14</f>
        <v>437.92</v>
      </c>
      <c r="G41" s="11">
        <f>datos_base!$E$11*parametros_manuales!E$14</f>
        <v>437.92</v>
      </c>
      <c r="H41" s="11">
        <f>datos_base!$E$11*parametros_manuales!F$14</f>
        <v>412.16</v>
      </c>
      <c r="I41" s="11">
        <f>datos_base!$E$11*parametros_manuales!G$14</f>
        <v>386.4</v>
      </c>
      <c r="J41" s="11">
        <f>datos_base!$E$11*parametros_manuales!H$14</f>
        <v>412.16</v>
      </c>
      <c r="K41" s="11">
        <f>datos_base!$E$11*parametros_manuales!I$14</f>
        <v>412.16</v>
      </c>
      <c r="L41" s="11">
        <f>datos_base!$E$11*parametros_manuales!J$14</f>
        <v>412.16</v>
      </c>
      <c r="M41" s="11">
        <f>datos_base!$E$11*parametros_manuales!K$14</f>
        <v>386.4</v>
      </c>
      <c r="N41" s="11">
        <f>datos_base!$E$11*parametros_manuales!L$14</f>
        <v>360.64</v>
      </c>
      <c r="O41" s="11">
        <f>datos_base!$E$11*parametros_manuales!M$14</f>
        <v>566.72</v>
      </c>
      <c r="P41" s="4">
        <f t="shared" si="7"/>
        <v>5152</v>
      </c>
    </row>
    <row r="42" ht="14.25" customHeight="1">
      <c r="A42" s="8">
        <v>2029.0</v>
      </c>
      <c r="B42" s="3" t="s">
        <v>56</v>
      </c>
      <c r="C42" s="3" t="s">
        <v>110</v>
      </c>
      <c r="D42" s="11">
        <f>datos_base!$E$12*parametros_manuales!B$15</f>
        <v>31.5</v>
      </c>
      <c r="E42" s="11">
        <f>datos_base!$E$12*parametros_manuales!C$15</f>
        <v>25.2</v>
      </c>
      <c r="F42" s="11">
        <f>datos_base!$E$12*parametros_manuales!D$15</f>
        <v>26.775</v>
      </c>
      <c r="G42" s="11">
        <f>datos_base!$E$12*parametros_manuales!E$15</f>
        <v>26.775</v>
      </c>
      <c r="H42" s="11">
        <f>datos_base!$E$12*parametros_manuales!F$15</f>
        <v>25.2</v>
      </c>
      <c r="I42" s="11">
        <f>datos_base!$E$12*parametros_manuales!G$15</f>
        <v>23.625</v>
      </c>
      <c r="J42" s="11">
        <f>datos_base!$E$12*parametros_manuales!H$15</f>
        <v>25.2</v>
      </c>
      <c r="K42" s="11">
        <f>datos_base!$E$12*parametros_manuales!I$15</f>
        <v>25.2</v>
      </c>
      <c r="L42" s="11">
        <f>datos_base!$E$12*parametros_manuales!J$15</f>
        <v>25.2</v>
      </c>
      <c r="M42" s="11">
        <f>datos_base!$E$12*parametros_manuales!K$15</f>
        <v>23.625</v>
      </c>
      <c r="N42" s="11">
        <f>datos_base!$E$12*parametros_manuales!L$15</f>
        <v>22.05</v>
      </c>
      <c r="O42" s="11">
        <f>datos_base!$E$12*parametros_manuales!M$15</f>
        <v>34.65</v>
      </c>
      <c r="P42" s="4">
        <f t="shared" si="7"/>
        <v>315</v>
      </c>
    </row>
    <row r="43" ht="14.25" customHeight="1">
      <c r="B43" s="9" t="s">
        <v>140</v>
      </c>
      <c r="D43" s="10">
        <f t="shared" ref="D43:P43" si="8">SUM(D35:D42)</f>
        <v>5738.74</v>
      </c>
      <c r="E43" s="10">
        <f t="shared" si="8"/>
        <v>4380.02</v>
      </c>
      <c r="F43" s="10">
        <f t="shared" si="8"/>
        <v>4104.365</v>
      </c>
      <c r="G43" s="10">
        <f t="shared" si="8"/>
        <v>3928.555</v>
      </c>
      <c r="H43" s="10">
        <f t="shared" si="8"/>
        <v>3676.78</v>
      </c>
      <c r="I43" s="10">
        <f t="shared" si="8"/>
        <v>3600.815</v>
      </c>
      <c r="J43" s="10">
        <f t="shared" si="8"/>
        <v>3852.59</v>
      </c>
      <c r="K43" s="10">
        <f t="shared" si="8"/>
        <v>3852.59</v>
      </c>
      <c r="L43" s="10">
        <f t="shared" si="8"/>
        <v>3852.59</v>
      </c>
      <c r="M43" s="10">
        <f t="shared" si="8"/>
        <v>3776.625</v>
      </c>
      <c r="N43" s="10">
        <f t="shared" si="8"/>
        <v>3700.66</v>
      </c>
      <c r="O43" s="10">
        <f t="shared" si="8"/>
        <v>5890.67</v>
      </c>
      <c r="P43" s="10">
        <f t="shared" si="8"/>
        <v>50355</v>
      </c>
    </row>
    <row r="44" ht="14.25" customHeight="1"/>
    <row r="45" ht="14.25" customHeight="1">
      <c r="A45" s="1">
        <v>2030.0</v>
      </c>
      <c r="B45" s="1" t="s">
        <v>2</v>
      </c>
      <c r="C45" s="1" t="s">
        <v>3</v>
      </c>
      <c r="D45" s="1" t="s">
        <v>5</v>
      </c>
      <c r="E45" s="1" t="s">
        <v>7</v>
      </c>
      <c r="F45" s="1" t="s">
        <v>8</v>
      </c>
      <c r="G45" s="1" t="s">
        <v>9</v>
      </c>
      <c r="H45" s="1" t="s">
        <v>11</v>
      </c>
      <c r="I45" s="1" t="s">
        <v>12</v>
      </c>
      <c r="J45" s="1" t="s">
        <v>14</v>
      </c>
      <c r="K45" s="1" t="s">
        <v>15</v>
      </c>
      <c r="L45" s="1" t="s">
        <v>16</v>
      </c>
      <c r="M45" s="1" t="s">
        <v>18</v>
      </c>
      <c r="N45" s="1" t="s">
        <v>19</v>
      </c>
      <c r="O45" s="1" t="s">
        <v>20</v>
      </c>
      <c r="P45" s="1" t="s">
        <v>21</v>
      </c>
    </row>
    <row r="46" ht="14.25" customHeight="1">
      <c r="A46" s="8">
        <v>2030.0</v>
      </c>
      <c r="B46" s="3" t="s">
        <v>13</v>
      </c>
      <c r="C46" s="3" t="s">
        <v>34</v>
      </c>
      <c r="D46" s="11">
        <f>datos_base!$F$2*parametros_manuales!B$12</f>
        <v>1521.72</v>
      </c>
      <c r="E46" s="11">
        <f>datos_base!$F$2*parametros_manuales!C$12</f>
        <v>1141.29</v>
      </c>
      <c r="F46" s="11">
        <f>datos_base!$F$2*parametros_manuales!D$12</f>
        <v>1014.48</v>
      </c>
      <c r="G46" s="11">
        <f>datos_base!$F$2*parametros_manuales!E$12</f>
        <v>951.075</v>
      </c>
      <c r="H46" s="11">
        <f>datos_base!$F$2*parametros_manuales!F$12</f>
        <v>887.67</v>
      </c>
      <c r="I46" s="11">
        <f>datos_base!$F$2*parametros_manuales!G$12</f>
        <v>887.67</v>
      </c>
      <c r="J46" s="11">
        <f>datos_base!$F$2*parametros_manuales!H$12</f>
        <v>951.075</v>
      </c>
      <c r="K46" s="11">
        <f>datos_base!$F$2*parametros_manuales!I$12</f>
        <v>951.075</v>
      </c>
      <c r="L46" s="11">
        <f>datos_base!$F$2*parametros_manuales!J$12</f>
        <v>951.075</v>
      </c>
      <c r="M46" s="11">
        <f>datos_base!$F$2*parametros_manuales!K$12</f>
        <v>951.075</v>
      </c>
      <c r="N46" s="11">
        <f>datos_base!$F$2*parametros_manuales!L$12</f>
        <v>951.075</v>
      </c>
      <c r="O46" s="11">
        <f>datos_base!$F$2*parametros_manuales!M$12</f>
        <v>1521.72</v>
      </c>
      <c r="P46" s="4">
        <f t="shared" ref="P46:P53" si="9">SUM(D46:O46)</f>
        <v>12681</v>
      </c>
    </row>
    <row r="47" ht="14.25" customHeight="1">
      <c r="A47" s="8">
        <v>2030.0</v>
      </c>
      <c r="B47" s="3" t="s">
        <v>27</v>
      </c>
      <c r="C47" s="3" t="s">
        <v>34</v>
      </c>
      <c r="D47" s="11">
        <f>datos_base!$F$3*parametros_manuales!B$13</f>
        <v>231.2</v>
      </c>
      <c r="E47" s="11">
        <f>datos_base!$F$3*parametros_manuales!C$13</f>
        <v>184.96</v>
      </c>
      <c r="F47" s="11">
        <f>datos_base!$F$3*parametros_manuales!D$13</f>
        <v>196.52</v>
      </c>
      <c r="G47" s="11">
        <f>datos_base!$F$3*parametros_manuales!E$13</f>
        <v>196.52</v>
      </c>
      <c r="H47" s="11">
        <f>datos_base!$F$3*parametros_manuales!F$13</f>
        <v>184.96</v>
      </c>
      <c r="I47" s="11">
        <f>datos_base!$F$3*parametros_manuales!G$13</f>
        <v>173.4</v>
      </c>
      <c r="J47" s="11">
        <f>datos_base!$F$3*parametros_manuales!H$13</f>
        <v>184.96</v>
      </c>
      <c r="K47" s="11">
        <f>datos_base!$F$3*parametros_manuales!I$13</f>
        <v>184.96</v>
      </c>
      <c r="L47" s="11">
        <f>datos_base!$F$3*parametros_manuales!J$13</f>
        <v>184.96</v>
      </c>
      <c r="M47" s="11">
        <f>datos_base!$F$3*parametros_manuales!K$13</f>
        <v>173.4</v>
      </c>
      <c r="N47" s="11">
        <f>datos_base!$F$3*parametros_manuales!L$13</f>
        <v>161.84</v>
      </c>
      <c r="O47" s="11">
        <f>datos_base!$F$3*parametros_manuales!M$13</f>
        <v>254.32</v>
      </c>
      <c r="P47" s="4">
        <f t="shared" si="9"/>
        <v>2312</v>
      </c>
    </row>
    <row r="48" ht="14.25" customHeight="1">
      <c r="A48" s="8">
        <v>2030.0</v>
      </c>
      <c r="B48" s="3" t="s">
        <v>29</v>
      </c>
      <c r="C48" s="3" t="s">
        <v>34</v>
      </c>
      <c r="D48" s="11">
        <f>datos_base!$F$4*parametros_manuales!B$14</f>
        <v>1081.9</v>
      </c>
      <c r="E48" s="11">
        <f>datos_base!$F$4*parametros_manuales!C$14</f>
        <v>865.52</v>
      </c>
      <c r="F48" s="11">
        <f>datos_base!$F$4*parametros_manuales!D$14</f>
        <v>919.615</v>
      </c>
      <c r="G48" s="11">
        <f>datos_base!$F$4*parametros_manuales!E$14</f>
        <v>919.615</v>
      </c>
      <c r="H48" s="11">
        <f>datos_base!$F$4*parametros_manuales!F$14</f>
        <v>865.52</v>
      </c>
      <c r="I48" s="11">
        <f>datos_base!$F$4*parametros_manuales!G$14</f>
        <v>811.425</v>
      </c>
      <c r="J48" s="11">
        <f>datos_base!$F$4*parametros_manuales!H$14</f>
        <v>865.52</v>
      </c>
      <c r="K48" s="11">
        <f>datos_base!$F$4*parametros_manuales!I$14</f>
        <v>865.52</v>
      </c>
      <c r="L48" s="11">
        <f>datos_base!$F$4*parametros_manuales!J$14</f>
        <v>865.52</v>
      </c>
      <c r="M48" s="11">
        <f>datos_base!$F$4*parametros_manuales!K$14</f>
        <v>811.425</v>
      </c>
      <c r="N48" s="11">
        <f>datos_base!$F$4*parametros_manuales!L$14</f>
        <v>757.33</v>
      </c>
      <c r="O48" s="11">
        <f>datos_base!$F$4*parametros_manuales!M$14</f>
        <v>1190.09</v>
      </c>
      <c r="P48" s="4">
        <f t="shared" si="9"/>
        <v>10819</v>
      </c>
    </row>
    <row r="49" ht="14.25" customHeight="1">
      <c r="A49" s="8">
        <v>2030.0</v>
      </c>
      <c r="B49" s="3" t="s">
        <v>32</v>
      </c>
      <c r="C49" s="3" t="s">
        <v>34</v>
      </c>
      <c r="D49" s="11">
        <f>datos_base!$F$5*parametros_manuales!B$15</f>
        <v>60.3</v>
      </c>
      <c r="E49" s="11">
        <f>datos_base!$F$5*parametros_manuales!C$15</f>
        <v>48.24</v>
      </c>
      <c r="F49" s="11">
        <f>datos_base!$F$5*parametros_manuales!D$15</f>
        <v>51.255</v>
      </c>
      <c r="G49" s="11">
        <f>datos_base!$F$5*parametros_manuales!E$15</f>
        <v>51.255</v>
      </c>
      <c r="H49" s="11">
        <f>datos_base!$F$5*parametros_manuales!F$15</f>
        <v>48.24</v>
      </c>
      <c r="I49" s="11">
        <f>datos_base!$F$5*parametros_manuales!G$15</f>
        <v>45.225</v>
      </c>
      <c r="J49" s="11">
        <f>datos_base!$F$5*parametros_manuales!H$15</f>
        <v>48.24</v>
      </c>
      <c r="K49" s="11">
        <f>datos_base!$F$5*parametros_manuales!I$15</f>
        <v>48.24</v>
      </c>
      <c r="L49" s="11">
        <f>datos_base!$F$5*parametros_manuales!J$15</f>
        <v>48.24</v>
      </c>
      <c r="M49" s="11">
        <f>datos_base!$F$5*parametros_manuales!K$15</f>
        <v>45.225</v>
      </c>
      <c r="N49" s="11">
        <f>datos_base!$F$5*parametros_manuales!L$15</f>
        <v>42.21</v>
      </c>
      <c r="O49" s="11">
        <f>datos_base!$F$5*parametros_manuales!M$15</f>
        <v>66.33</v>
      </c>
      <c r="P49" s="4">
        <f t="shared" si="9"/>
        <v>603</v>
      </c>
    </row>
    <row r="50" ht="14.25" customHeight="1">
      <c r="A50" s="8">
        <v>2030.0</v>
      </c>
      <c r="B50" s="3" t="s">
        <v>52</v>
      </c>
      <c r="C50" s="3" t="s">
        <v>110</v>
      </c>
      <c r="D50" s="11">
        <f>datos_base!$F$9*parametros_manuales!B$12</f>
        <v>5932.2</v>
      </c>
      <c r="E50" s="11">
        <f>datos_base!$F$9*parametros_manuales!C$12</f>
        <v>4449.15</v>
      </c>
      <c r="F50" s="11">
        <f>datos_base!$F$9*parametros_manuales!D$12</f>
        <v>3954.8</v>
      </c>
      <c r="G50" s="11">
        <f>datos_base!$F$9*parametros_manuales!E$12</f>
        <v>3707.625</v>
      </c>
      <c r="H50" s="11">
        <f>datos_base!$F$9*parametros_manuales!F$12</f>
        <v>3460.45</v>
      </c>
      <c r="I50" s="11">
        <f>datos_base!$F$9*parametros_manuales!G$12</f>
        <v>3460.45</v>
      </c>
      <c r="J50" s="11">
        <f>datos_base!$F$9*parametros_manuales!H$12</f>
        <v>3707.625</v>
      </c>
      <c r="K50" s="11">
        <f>datos_base!$F$9*parametros_manuales!I$12</f>
        <v>3707.625</v>
      </c>
      <c r="L50" s="11">
        <f>datos_base!$F$9*parametros_manuales!J$12</f>
        <v>3707.625</v>
      </c>
      <c r="M50" s="11">
        <f>datos_base!$F$9*parametros_manuales!K$12</f>
        <v>3707.625</v>
      </c>
      <c r="N50" s="11">
        <f>datos_base!$F$9*parametros_manuales!L$12</f>
        <v>3707.625</v>
      </c>
      <c r="O50" s="11">
        <f>datos_base!$F$9*parametros_manuales!M$12</f>
        <v>5932.2</v>
      </c>
      <c r="P50" s="4">
        <f t="shared" si="9"/>
        <v>49435</v>
      </c>
    </row>
    <row r="51" ht="14.25" customHeight="1">
      <c r="A51" s="8">
        <v>2030.0</v>
      </c>
      <c r="B51" s="3" t="s">
        <v>54</v>
      </c>
      <c r="C51" s="3" t="s">
        <v>110</v>
      </c>
      <c r="D51" s="11">
        <f>datos_base!$F$10*parametros_manuales!B$13</f>
        <v>193.3</v>
      </c>
      <c r="E51" s="11">
        <f>datos_base!$F$10*parametros_manuales!C$13</f>
        <v>154.64</v>
      </c>
      <c r="F51" s="11">
        <f>datos_base!$F$10*parametros_manuales!D$13</f>
        <v>164.305</v>
      </c>
      <c r="G51" s="11">
        <f>datos_base!$F$10*parametros_manuales!E$13</f>
        <v>164.305</v>
      </c>
      <c r="H51" s="11">
        <f>datos_base!$F$10*parametros_manuales!F$13</f>
        <v>154.64</v>
      </c>
      <c r="I51" s="11">
        <f>datos_base!$F$10*parametros_manuales!G$13</f>
        <v>144.975</v>
      </c>
      <c r="J51" s="11">
        <f>datos_base!$F$10*parametros_manuales!H$13</f>
        <v>154.64</v>
      </c>
      <c r="K51" s="11">
        <f>datos_base!$F$10*parametros_manuales!I$13</f>
        <v>154.64</v>
      </c>
      <c r="L51" s="11">
        <f>datos_base!$F$10*parametros_manuales!J$13</f>
        <v>154.64</v>
      </c>
      <c r="M51" s="11">
        <f>datos_base!$F$10*parametros_manuales!K$13</f>
        <v>144.975</v>
      </c>
      <c r="N51" s="11">
        <f>datos_base!$F$10*parametros_manuales!L$13</f>
        <v>135.31</v>
      </c>
      <c r="O51" s="11">
        <f>datos_base!$F$10*parametros_manuales!M$13</f>
        <v>212.63</v>
      </c>
      <c r="P51" s="4">
        <f t="shared" si="9"/>
        <v>1933</v>
      </c>
    </row>
    <row r="52" ht="14.25" customHeight="1">
      <c r="A52" s="8">
        <v>2030.0</v>
      </c>
      <c r="B52" s="3" t="s">
        <v>55</v>
      </c>
      <c r="C52" s="3" t="s">
        <v>110</v>
      </c>
      <c r="D52" s="11">
        <f>datos_base!$F$11*parametros_manuales!B$14</f>
        <v>954.1</v>
      </c>
      <c r="E52" s="11">
        <f>datos_base!$F$11*parametros_manuales!C$14</f>
        <v>763.28</v>
      </c>
      <c r="F52" s="11">
        <f>datos_base!$F$11*parametros_manuales!D$14</f>
        <v>810.985</v>
      </c>
      <c r="G52" s="11">
        <f>datos_base!$F$11*parametros_manuales!E$14</f>
        <v>810.985</v>
      </c>
      <c r="H52" s="11">
        <f>datos_base!$F$11*parametros_manuales!F$14</f>
        <v>763.28</v>
      </c>
      <c r="I52" s="11">
        <f>datos_base!$F$11*parametros_manuales!G$14</f>
        <v>715.575</v>
      </c>
      <c r="J52" s="11">
        <f>datos_base!$F$11*parametros_manuales!H$14</f>
        <v>763.28</v>
      </c>
      <c r="K52" s="11">
        <f>datos_base!$F$11*parametros_manuales!I$14</f>
        <v>763.28</v>
      </c>
      <c r="L52" s="11">
        <f>datos_base!$F$11*parametros_manuales!J$14</f>
        <v>763.28</v>
      </c>
      <c r="M52" s="11">
        <f>datos_base!$F$11*parametros_manuales!K$14</f>
        <v>715.575</v>
      </c>
      <c r="N52" s="11">
        <f>datos_base!$F$11*parametros_manuales!L$14</f>
        <v>667.87</v>
      </c>
      <c r="O52" s="11">
        <f>datos_base!$F$11*parametros_manuales!M$14</f>
        <v>1049.51</v>
      </c>
      <c r="P52" s="4">
        <f t="shared" si="9"/>
        <v>9541</v>
      </c>
    </row>
    <row r="53" ht="14.25" customHeight="1">
      <c r="A53" s="8">
        <v>2030.0</v>
      </c>
      <c r="B53" s="3" t="s">
        <v>56</v>
      </c>
      <c r="C53" s="3" t="s">
        <v>110</v>
      </c>
      <c r="D53" s="11">
        <f>datos_base!$F$12*parametros_manuales!B$15</f>
        <v>58.3</v>
      </c>
      <c r="E53" s="11">
        <f>datos_base!$F$12*parametros_manuales!C$15</f>
        <v>46.64</v>
      </c>
      <c r="F53" s="11">
        <f>datos_base!$F$12*parametros_manuales!D$15</f>
        <v>49.555</v>
      </c>
      <c r="G53" s="11">
        <f>datos_base!$F$12*parametros_manuales!E$15</f>
        <v>49.555</v>
      </c>
      <c r="H53" s="11">
        <f>datos_base!$F$12*parametros_manuales!F$15</f>
        <v>46.64</v>
      </c>
      <c r="I53" s="11">
        <f>datos_base!$F$12*parametros_manuales!G$15</f>
        <v>43.725</v>
      </c>
      <c r="J53" s="11">
        <f>datos_base!$F$12*parametros_manuales!H$15</f>
        <v>46.64</v>
      </c>
      <c r="K53" s="11">
        <f>datos_base!$F$12*parametros_manuales!I$15</f>
        <v>46.64</v>
      </c>
      <c r="L53" s="11">
        <f>datos_base!$F$12*parametros_manuales!J$15</f>
        <v>46.64</v>
      </c>
      <c r="M53" s="11">
        <f>datos_base!$F$12*parametros_manuales!K$15</f>
        <v>43.725</v>
      </c>
      <c r="N53" s="11">
        <f>datos_base!$F$12*parametros_manuales!L$15</f>
        <v>40.81</v>
      </c>
      <c r="O53" s="11">
        <f>datos_base!$F$12*parametros_manuales!M$15</f>
        <v>64.13</v>
      </c>
      <c r="P53" s="4">
        <f t="shared" si="9"/>
        <v>583</v>
      </c>
    </row>
    <row r="54" ht="14.25" customHeight="1">
      <c r="B54" s="9" t="s">
        <v>140</v>
      </c>
      <c r="D54" s="10">
        <f t="shared" ref="D54:P54" si="10">SUM(D46:D53)</f>
        <v>10033.02</v>
      </c>
      <c r="E54" s="10">
        <f t="shared" si="10"/>
        <v>7653.72</v>
      </c>
      <c r="F54" s="10">
        <f t="shared" si="10"/>
        <v>7161.515</v>
      </c>
      <c r="G54" s="10">
        <f t="shared" si="10"/>
        <v>6850.935</v>
      </c>
      <c r="H54" s="10">
        <f t="shared" si="10"/>
        <v>6411.4</v>
      </c>
      <c r="I54" s="10">
        <f t="shared" si="10"/>
        <v>6282.445</v>
      </c>
      <c r="J54" s="10">
        <f t="shared" si="10"/>
        <v>6721.98</v>
      </c>
      <c r="K54" s="10">
        <f t="shared" si="10"/>
        <v>6721.98</v>
      </c>
      <c r="L54" s="10">
        <f t="shared" si="10"/>
        <v>6721.98</v>
      </c>
      <c r="M54" s="10">
        <f t="shared" si="10"/>
        <v>6593.025</v>
      </c>
      <c r="N54" s="10">
        <f t="shared" si="10"/>
        <v>6464.07</v>
      </c>
      <c r="O54" s="10">
        <f t="shared" si="10"/>
        <v>10290.93</v>
      </c>
      <c r="P54" s="10">
        <f t="shared" si="10"/>
        <v>87907</v>
      </c>
    </row>
    <row r="55" ht="14.25" customHeight="1"/>
    <row r="56" ht="14.25" customHeight="1">
      <c r="A56" s="1">
        <v>2031.0</v>
      </c>
      <c r="B56" s="1" t="s">
        <v>2</v>
      </c>
      <c r="C56" s="1" t="s">
        <v>3</v>
      </c>
      <c r="D56" s="1" t="s">
        <v>5</v>
      </c>
      <c r="E56" s="1" t="s">
        <v>7</v>
      </c>
      <c r="F56" s="1" t="s">
        <v>8</v>
      </c>
      <c r="G56" s="1" t="s">
        <v>9</v>
      </c>
      <c r="H56" s="1" t="s">
        <v>11</v>
      </c>
      <c r="I56" s="1" t="s">
        <v>12</v>
      </c>
      <c r="J56" s="1" t="s">
        <v>14</v>
      </c>
      <c r="K56" s="1" t="s">
        <v>15</v>
      </c>
      <c r="L56" s="1" t="s">
        <v>16</v>
      </c>
      <c r="M56" s="1" t="s">
        <v>18</v>
      </c>
      <c r="N56" s="1" t="s">
        <v>19</v>
      </c>
      <c r="O56" s="1" t="s">
        <v>20</v>
      </c>
      <c r="P56" s="1" t="s">
        <v>21</v>
      </c>
    </row>
    <row r="57" ht="14.25" customHeight="1">
      <c r="A57" s="8">
        <v>2031.0</v>
      </c>
      <c r="B57" s="3" t="s">
        <v>13</v>
      </c>
      <c r="C57" s="3" t="s">
        <v>34</v>
      </c>
      <c r="D57" s="11">
        <f>datos_base!$G$2*parametros_manuales!B$12</f>
        <v>1874.4</v>
      </c>
      <c r="E57" s="11">
        <f>datos_base!$G$2*parametros_manuales!C$12</f>
        <v>1405.8</v>
      </c>
      <c r="F57" s="11">
        <f>datos_base!$G$2*parametros_manuales!D$12</f>
        <v>1249.6</v>
      </c>
      <c r="G57" s="11">
        <f>datos_base!$G$2*parametros_manuales!E$12</f>
        <v>1171.5</v>
      </c>
      <c r="H57" s="11">
        <f>datos_base!$G$2*parametros_manuales!F$12</f>
        <v>1093.4</v>
      </c>
      <c r="I57" s="11">
        <f>datos_base!$G$2*parametros_manuales!G$12</f>
        <v>1093.4</v>
      </c>
      <c r="J57" s="11">
        <f>datos_base!$G$2*parametros_manuales!H$12</f>
        <v>1171.5</v>
      </c>
      <c r="K57" s="11">
        <f>datos_base!$G$2*parametros_manuales!I$12</f>
        <v>1171.5</v>
      </c>
      <c r="L57" s="11">
        <f>datos_base!$G$2*parametros_manuales!J$12</f>
        <v>1171.5</v>
      </c>
      <c r="M57" s="11">
        <f>datos_base!$G$2*parametros_manuales!K$12</f>
        <v>1171.5</v>
      </c>
      <c r="N57" s="11">
        <f>datos_base!$G$2*parametros_manuales!L$12</f>
        <v>1171.5</v>
      </c>
      <c r="O57" s="11">
        <f>datos_base!$G$2*parametros_manuales!M$12</f>
        <v>1874.4</v>
      </c>
      <c r="P57" s="4">
        <f t="shared" ref="P57:P64" si="11">SUM(D57:O57)</f>
        <v>15620</v>
      </c>
    </row>
    <row r="58" ht="14.25" customHeight="1">
      <c r="A58" s="8">
        <v>2031.0</v>
      </c>
      <c r="B58" s="3" t="s">
        <v>27</v>
      </c>
      <c r="C58" s="3" t="s">
        <v>34</v>
      </c>
      <c r="D58" s="11">
        <f>datos_base!$G$3*parametros_manuales!B$13</f>
        <v>325.2</v>
      </c>
      <c r="E58" s="11">
        <f>datos_base!$G$3*parametros_manuales!C$13</f>
        <v>260.16</v>
      </c>
      <c r="F58" s="11">
        <f>datos_base!$G$3*parametros_manuales!D$13</f>
        <v>276.42</v>
      </c>
      <c r="G58" s="11">
        <f>datos_base!$G$3*parametros_manuales!E$13</f>
        <v>276.42</v>
      </c>
      <c r="H58" s="11">
        <f>datos_base!$G$3*parametros_manuales!F$13</f>
        <v>260.16</v>
      </c>
      <c r="I58" s="11">
        <f>datos_base!$G$3*parametros_manuales!G$13</f>
        <v>243.9</v>
      </c>
      <c r="J58" s="11">
        <f>datos_base!$G$3*parametros_manuales!H$13</f>
        <v>260.16</v>
      </c>
      <c r="K58" s="11">
        <f>datos_base!$G$3*parametros_manuales!I$13</f>
        <v>260.16</v>
      </c>
      <c r="L58" s="11">
        <f>datos_base!$G$3*parametros_manuales!J$13</f>
        <v>260.16</v>
      </c>
      <c r="M58" s="11">
        <f>datos_base!$G$3*parametros_manuales!K$13</f>
        <v>243.9</v>
      </c>
      <c r="N58" s="11">
        <f>datos_base!$G$3*parametros_manuales!L$13</f>
        <v>227.64</v>
      </c>
      <c r="O58" s="11">
        <f>datos_base!$G$3*parametros_manuales!M$13</f>
        <v>357.72</v>
      </c>
      <c r="P58" s="4">
        <f t="shared" si="11"/>
        <v>3252</v>
      </c>
    </row>
    <row r="59" ht="14.25" customHeight="1">
      <c r="A59" s="8">
        <v>2031.0</v>
      </c>
      <c r="B59" s="3" t="s">
        <v>29</v>
      </c>
      <c r="C59" s="3" t="s">
        <v>34</v>
      </c>
      <c r="D59" s="11">
        <f>datos_base!$G$4*parametros_manuales!B$14</f>
        <v>1460.6</v>
      </c>
      <c r="E59" s="11">
        <f>datos_base!$G$4*parametros_manuales!C$14</f>
        <v>1168.48</v>
      </c>
      <c r="F59" s="11">
        <f>datos_base!$G$4*parametros_manuales!D$14</f>
        <v>1241.51</v>
      </c>
      <c r="G59" s="11">
        <f>datos_base!$G$4*parametros_manuales!E$14</f>
        <v>1241.51</v>
      </c>
      <c r="H59" s="11">
        <f>datos_base!$G$4*parametros_manuales!F$14</f>
        <v>1168.48</v>
      </c>
      <c r="I59" s="11">
        <f>datos_base!$G$4*parametros_manuales!G$14</f>
        <v>1095.45</v>
      </c>
      <c r="J59" s="11">
        <f>datos_base!$G$4*parametros_manuales!H$14</f>
        <v>1168.48</v>
      </c>
      <c r="K59" s="11">
        <f>datos_base!$G$4*parametros_manuales!I$14</f>
        <v>1168.48</v>
      </c>
      <c r="L59" s="11">
        <f>datos_base!$G$4*parametros_manuales!J$14</f>
        <v>1168.48</v>
      </c>
      <c r="M59" s="11">
        <f>datos_base!$G$4*parametros_manuales!K$14</f>
        <v>1095.45</v>
      </c>
      <c r="N59" s="11">
        <f>datos_base!$G$4*parametros_manuales!L$14</f>
        <v>1022.42</v>
      </c>
      <c r="O59" s="11">
        <f>datos_base!$G$4*parametros_manuales!M$14</f>
        <v>1606.66</v>
      </c>
      <c r="P59" s="4">
        <f t="shared" si="11"/>
        <v>14606</v>
      </c>
    </row>
    <row r="60" ht="14.25" customHeight="1">
      <c r="A60" s="8">
        <v>2031.0</v>
      </c>
      <c r="B60" s="3" t="s">
        <v>32</v>
      </c>
      <c r="C60" s="3" t="s">
        <v>34</v>
      </c>
      <c r="D60" s="11">
        <f>datos_base!$G$5*parametros_manuales!B$15</f>
        <v>87.2</v>
      </c>
      <c r="E60" s="11">
        <f>datos_base!$G$5*parametros_manuales!C$15</f>
        <v>69.76</v>
      </c>
      <c r="F60" s="11">
        <f>datos_base!$G$5*parametros_manuales!D$15</f>
        <v>74.12</v>
      </c>
      <c r="G60" s="11">
        <f>datos_base!$G$5*parametros_manuales!E$15</f>
        <v>74.12</v>
      </c>
      <c r="H60" s="11">
        <f>datos_base!$G$5*parametros_manuales!F$15</f>
        <v>69.76</v>
      </c>
      <c r="I60" s="11">
        <f>datos_base!$G$5*parametros_manuales!G$15</f>
        <v>65.4</v>
      </c>
      <c r="J60" s="11">
        <f>datos_base!$G$5*parametros_manuales!H$15</f>
        <v>69.76</v>
      </c>
      <c r="K60" s="11">
        <f>datos_base!$G$5*parametros_manuales!I$15</f>
        <v>69.76</v>
      </c>
      <c r="L60" s="11">
        <f>datos_base!$G$5*parametros_manuales!J$15</f>
        <v>69.76</v>
      </c>
      <c r="M60" s="11">
        <f>datos_base!$G$5*parametros_manuales!K$15</f>
        <v>65.4</v>
      </c>
      <c r="N60" s="11">
        <f>datos_base!$G$5*parametros_manuales!L$15</f>
        <v>61.04</v>
      </c>
      <c r="O60" s="11">
        <f>datos_base!$G$5*parametros_manuales!M$15</f>
        <v>95.92</v>
      </c>
      <c r="P60" s="4">
        <f t="shared" si="11"/>
        <v>872</v>
      </c>
    </row>
    <row r="61" ht="14.25" customHeight="1">
      <c r="A61" s="8">
        <v>2031.0</v>
      </c>
      <c r="B61" s="3" t="s">
        <v>52</v>
      </c>
      <c r="C61" s="3" t="s">
        <v>110</v>
      </c>
      <c r="D61" s="11">
        <f>datos_base!$G$9*parametros_manuales!B$12</f>
        <v>8601.6</v>
      </c>
      <c r="E61" s="11">
        <f>datos_base!$G$9*parametros_manuales!C$12</f>
        <v>6451.2</v>
      </c>
      <c r="F61" s="11">
        <f>datos_base!$G$9*parametros_manuales!D$12</f>
        <v>5734.4</v>
      </c>
      <c r="G61" s="11">
        <f>datos_base!$G$9*parametros_manuales!E$12</f>
        <v>5376</v>
      </c>
      <c r="H61" s="11">
        <f>datos_base!$G$9*parametros_manuales!F$12</f>
        <v>5017.6</v>
      </c>
      <c r="I61" s="11">
        <f>datos_base!$G$9*parametros_manuales!G$12</f>
        <v>5017.6</v>
      </c>
      <c r="J61" s="11">
        <f>datos_base!$G$9*parametros_manuales!H$12</f>
        <v>5376</v>
      </c>
      <c r="K61" s="11">
        <f>datos_base!$G$9*parametros_manuales!I$12</f>
        <v>5376</v>
      </c>
      <c r="L61" s="11">
        <f>datos_base!$G$9*parametros_manuales!J$12</f>
        <v>5376</v>
      </c>
      <c r="M61" s="11">
        <f>datos_base!$G$9*parametros_manuales!K$12</f>
        <v>5376</v>
      </c>
      <c r="N61" s="11">
        <f>datos_base!$G$9*parametros_manuales!L$12</f>
        <v>5376</v>
      </c>
      <c r="O61" s="11">
        <f>datos_base!$G$9*parametros_manuales!M$12</f>
        <v>8601.6</v>
      </c>
      <c r="P61" s="4">
        <f t="shared" si="11"/>
        <v>71680</v>
      </c>
    </row>
    <row r="62" ht="14.25" customHeight="1">
      <c r="A62" s="8">
        <v>2031.0</v>
      </c>
      <c r="B62" s="3" t="s">
        <v>54</v>
      </c>
      <c r="C62" s="3" t="s">
        <v>110</v>
      </c>
      <c r="D62" s="11">
        <f>datos_base!$G$10*parametros_manuales!B$13</f>
        <v>280.3</v>
      </c>
      <c r="E62" s="11">
        <f>datos_base!$G$10*parametros_manuales!C$13</f>
        <v>224.24</v>
      </c>
      <c r="F62" s="11">
        <f>datos_base!$G$10*parametros_manuales!D$13</f>
        <v>238.255</v>
      </c>
      <c r="G62" s="11">
        <f>datos_base!$G$10*parametros_manuales!E$13</f>
        <v>238.255</v>
      </c>
      <c r="H62" s="11">
        <f>datos_base!$G$10*parametros_manuales!F$13</f>
        <v>224.24</v>
      </c>
      <c r="I62" s="11">
        <f>datos_base!$G$10*parametros_manuales!G$13</f>
        <v>210.225</v>
      </c>
      <c r="J62" s="11">
        <f>datos_base!$G$10*parametros_manuales!H$13</f>
        <v>224.24</v>
      </c>
      <c r="K62" s="11">
        <f>datos_base!$G$10*parametros_manuales!I$13</f>
        <v>224.24</v>
      </c>
      <c r="L62" s="11">
        <f>datos_base!$G$10*parametros_manuales!J$13</f>
        <v>224.24</v>
      </c>
      <c r="M62" s="11">
        <f>datos_base!$G$10*parametros_manuales!K$13</f>
        <v>210.225</v>
      </c>
      <c r="N62" s="11">
        <f>datos_base!$G$10*parametros_manuales!L$13</f>
        <v>196.21</v>
      </c>
      <c r="O62" s="11">
        <f>datos_base!$G$10*parametros_manuales!M$13</f>
        <v>308.33</v>
      </c>
      <c r="P62" s="4">
        <f t="shared" si="11"/>
        <v>2803</v>
      </c>
    </row>
    <row r="63" ht="14.25" customHeight="1">
      <c r="A63" s="8">
        <v>2031.0</v>
      </c>
      <c r="B63" s="3" t="s">
        <v>55</v>
      </c>
      <c r="C63" s="3" t="s">
        <v>110</v>
      </c>
      <c r="D63" s="11">
        <f>datos_base!$G$11*parametros_manuales!B$14</f>
        <v>1383.4</v>
      </c>
      <c r="E63" s="11">
        <f>datos_base!$G$11*parametros_manuales!C$14</f>
        <v>1106.72</v>
      </c>
      <c r="F63" s="11">
        <f>datos_base!$G$11*parametros_manuales!D$14</f>
        <v>1175.89</v>
      </c>
      <c r="G63" s="11">
        <f>datos_base!$G$11*parametros_manuales!E$14</f>
        <v>1175.89</v>
      </c>
      <c r="H63" s="11">
        <f>datos_base!$G$11*parametros_manuales!F$14</f>
        <v>1106.72</v>
      </c>
      <c r="I63" s="11">
        <f>datos_base!$G$11*parametros_manuales!G$14</f>
        <v>1037.55</v>
      </c>
      <c r="J63" s="11">
        <f>datos_base!$G$11*parametros_manuales!H$14</f>
        <v>1106.72</v>
      </c>
      <c r="K63" s="11">
        <f>datos_base!$G$11*parametros_manuales!I$14</f>
        <v>1106.72</v>
      </c>
      <c r="L63" s="11">
        <f>datos_base!$G$11*parametros_manuales!J$14</f>
        <v>1106.72</v>
      </c>
      <c r="M63" s="11">
        <f>datos_base!$G$11*parametros_manuales!K$14</f>
        <v>1037.55</v>
      </c>
      <c r="N63" s="11">
        <f>datos_base!$G$11*parametros_manuales!L$14</f>
        <v>968.38</v>
      </c>
      <c r="O63" s="11">
        <f>datos_base!$G$11*parametros_manuales!M$14</f>
        <v>1521.74</v>
      </c>
      <c r="P63" s="4">
        <f t="shared" si="11"/>
        <v>13834</v>
      </c>
    </row>
    <row r="64" ht="14.25" customHeight="1">
      <c r="A64" s="8">
        <v>2031.0</v>
      </c>
      <c r="B64" s="3" t="s">
        <v>56</v>
      </c>
      <c r="C64" s="3" t="s">
        <v>110</v>
      </c>
      <c r="D64" s="11">
        <f>datos_base!$G$12*parametros_manuales!B$15</f>
        <v>84.6</v>
      </c>
      <c r="E64" s="11">
        <f>datos_base!$G$12*parametros_manuales!C$15</f>
        <v>67.68</v>
      </c>
      <c r="F64" s="11">
        <f>datos_base!$G$12*parametros_manuales!D$15</f>
        <v>71.91</v>
      </c>
      <c r="G64" s="11">
        <f>datos_base!$G$12*parametros_manuales!E$15</f>
        <v>71.91</v>
      </c>
      <c r="H64" s="11">
        <f>datos_base!$G$12*parametros_manuales!F$15</f>
        <v>67.68</v>
      </c>
      <c r="I64" s="11">
        <f>datos_base!$G$12*parametros_manuales!G$15</f>
        <v>63.45</v>
      </c>
      <c r="J64" s="11">
        <f>datos_base!$G$12*parametros_manuales!H$15</f>
        <v>67.68</v>
      </c>
      <c r="K64" s="11">
        <f>datos_base!$G$12*parametros_manuales!I$15</f>
        <v>67.68</v>
      </c>
      <c r="L64" s="11">
        <f>datos_base!$G$12*parametros_manuales!J$15</f>
        <v>67.68</v>
      </c>
      <c r="M64" s="11">
        <f>datos_base!$G$12*parametros_manuales!K$15</f>
        <v>63.45</v>
      </c>
      <c r="N64" s="11">
        <f>datos_base!$G$12*parametros_manuales!L$15</f>
        <v>59.22</v>
      </c>
      <c r="O64" s="11">
        <f>datos_base!$G$12*parametros_manuales!M$15</f>
        <v>93.06</v>
      </c>
      <c r="P64" s="4">
        <f t="shared" si="11"/>
        <v>846</v>
      </c>
    </row>
    <row r="65" ht="14.25" customHeight="1">
      <c r="B65" s="9" t="s">
        <v>140</v>
      </c>
      <c r="D65" s="10">
        <f t="shared" ref="D65:P65" si="12">SUM(D57:D64)</f>
        <v>14097.3</v>
      </c>
      <c r="E65" s="10">
        <f t="shared" si="12"/>
        <v>10754.04</v>
      </c>
      <c r="F65" s="10">
        <f t="shared" si="12"/>
        <v>10062.105</v>
      </c>
      <c r="G65" s="10">
        <f t="shared" si="12"/>
        <v>9625.605</v>
      </c>
      <c r="H65" s="10">
        <f t="shared" si="12"/>
        <v>9008.04</v>
      </c>
      <c r="I65" s="10">
        <f t="shared" si="12"/>
        <v>8826.975</v>
      </c>
      <c r="J65" s="10">
        <f t="shared" si="12"/>
        <v>9444.54</v>
      </c>
      <c r="K65" s="10">
        <f t="shared" si="12"/>
        <v>9444.54</v>
      </c>
      <c r="L65" s="10">
        <f t="shared" si="12"/>
        <v>9444.54</v>
      </c>
      <c r="M65" s="10">
        <f t="shared" si="12"/>
        <v>9263.475</v>
      </c>
      <c r="N65" s="10">
        <f t="shared" si="12"/>
        <v>9082.41</v>
      </c>
      <c r="O65" s="10">
        <f t="shared" si="12"/>
        <v>14459.43</v>
      </c>
      <c r="P65" s="10">
        <f t="shared" si="12"/>
        <v>123513</v>
      </c>
    </row>
    <row r="66" ht="14.25" customHeight="1"/>
    <row r="67" ht="14.25" customHeight="1">
      <c r="A67" s="1">
        <v>2032.0</v>
      </c>
      <c r="B67" s="1" t="s">
        <v>2</v>
      </c>
      <c r="C67" s="1" t="s">
        <v>3</v>
      </c>
      <c r="D67" s="1" t="s">
        <v>5</v>
      </c>
      <c r="E67" s="1" t="s">
        <v>7</v>
      </c>
      <c r="F67" s="1" t="s">
        <v>8</v>
      </c>
      <c r="G67" s="1" t="s">
        <v>9</v>
      </c>
      <c r="H67" s="1" t="s">
        <v>11</v>
      </c>
      <c r="I67" s="1" t="s">
        <v>12</v>
      </c>
      <c r="J67" s="1" t="s">
        <v>14</v>
      </c>
      <c r="K67" s="1" t="s">
        <v>15</v>
      </c>
      <c r="L67" s="1" t="s">
        <v>16</v>
      </c>
      <c r="M67" s="1" t="s">
        <v>18</v>
      </c>
      <c r="N67" s="1" t="s">
        <v>19</v>
      </c>
      <c r="O67" s="1" t="s">
        <v>20</v>
      </c>
      <c r="P67" s="1" t="s">
        <v>21</v>
      </c>
    </row>
    <row r="68" ht="14.25" customHeight="1">
      <c r="A68" s="8">
        <v>2032.0</v>
      </c>
      <c r="B68" s="3" t="s">
        <v>13</v>
      </c>
      <c r="C68" s="3" t="s">
        <v>34</v>
      </c>
      <c r="D68" s="11">
        <f>datos_base!$H$2*parametros_manuales!B$12</f>
        <v>2439.96</v>
      </c>
      <c r="E68" s="11">
        <f>datos_base!$H$2*parametros_manuales!C$12</f>
        <v>1829.97</v>
      </c>
      <c r="F68" s="11">
        <f>datos_base!$H$2*parametros_manuales!D$12</f>
        <v>1626.64</v>
      </c>
      <c r="G68" s="11">
        <f>datos_base!$H$2*parametros_manuales!E$12</f>
        <v>1524.975</v>
      </c>
      <c r="H68" s="11">
        <f>datos_base!$H$2*parametros_manuales!F$12</f>
        <v>1423.31</v>
      </c>
      <c r="I68" s="11">
        <f>datos_base!$H$2*parametros_manuales!G$12</f>
        <v>1423.31</v>
      </c>
      <c r="J68" s="11">
        <f>datos_base!$H$2*parametros_manuales!H$12</f>
        <v>1524.975</v>
      </c>
      <c r="K68" s="11">
        <f>datos_base!$H$2*parametros_manuales!I$12</f>
        <v>1524.975</v>
      </c>
      <c r="L68" s="11">
        <f>datos_base!$H$2*parametros_manuales!J$12</f>
        <v>1524.975</v>
      </c>
      <c r="M68" s="11">
        <f>datos_base!$H$2*parametros_manuales!K$12</f>
        <v>1524.975</v>
      </c>
      <c r="N68" s="11">
        <f>datos_base!$H$2*parametros_manuales!L$12</f>
        <v>1524.975</v>
      </c>
      <c r="O68" s="11">
        <f>datos_base!$H$2*parametros_manuales!M$12</f>
        <v>2439.96</v>
      </c>
      <c r="P68" s="4">
        <f t="shared" ref="P68:P75" si="13">SUM(D68:O68)</f>
        <v>20333</v>
      </c>
    </row>
    <row r="69" ht="14.25" customHeight="1">
      <c r="A69" s="8">
        <v>2032.0</v>
      </c>
      <c r="B69" s="3" t="s">
        <v>27</v>
      </c>
      <c r="C69" s="3" t="s">
        <v>34</v>
      </c>
      <c r="D69" s="11">
        <f>datos_base!$H$3*parametros_manuales!B$13</f>
        <v>410.3</v>
      </c>
      <c r="E69" s="11">
        <f>datos_base!$H$3*parametros_manuales!C$13</f>
        <v>328.24</v>
      </c>
      <c r="F69" s="11">
        <f>datos_base!$H$3*parametros_manuales!D$13</f>
        <v>348.755</v>
      </c>
      <c r="G69" s="11">
        <f>datos_base!$H$3*parametros_manuales!E$13</f>
        <v>348.755</v>
      </c>
      <c r="H69" s="11">
        <f>datos_base!$H$3*parametros_manuales!F$13</f>
        <v>328.24</v>
      </c>
      <c r="I69" s="11">
        <f>datos_base!$H$3*parametros_manuales!G$13</f>
        <v>307.725</v>
      </c>
      <c r="J69" s="11">
        <f>datos_base!$H$3*parametros_manuales!H$13</f>
        <v>328.24</v>
      </c>
      <c r="K69" s="11">
        <f>datos_base!$H$3*parametros_manuales!I$13</f>
        <v>328.24</v>
      </c>
      <c r="L69" s="11">
        <f>datos_base!$H$3*parametros_manuales!J$13</f>
        <v>328.24</v>
      </c>
      <c r="M69" s="11">
        <f>datos_base!$H$3*parametros_manuales!K$13</f>
        <v>307.725</v>
      </c>
      <c r="N69" s="11">
        <f>datos_base!$H$3*parametros_manuales!L$13</f>
        <v>287.21</v>
      </c>
      <c r="O69" s="11">
        <f>datos_base!$H$3*parametros_manuales!M$13</f>
        <v>451.33</v>
      </c>
      <c r="P69" s="4">
        <f t="shared" si="13"/>
        <v>4103</v>
      </c>
    </row>
    <row r="70" ht="14.25" customHeight="1">
      <c r="A70" s="8">
        <v>2032.0</v>
      </c>
      <c r="B70" s="3" t="s">
        <v>29</v>
      </c>
      <c r="C70" s="3" t="s">
        <v>34</v>
      </c>
      <c r="D70" s="11">
        <f>datos_base!$H$4*parametros_manuales!B$14</f>
        <v>1887.8</v>
      </c>
      <c r="E70" s="11">
        <f>datos_base!$H$4*parametros_manuales!C$14</f>
        <v>1510.24</v>
      </c>
      <c r="F70" s="11">
        <f>datos_base!$H$4*parametros_manuales!D$14</f>
        <v>1604.63</v>
      </c>
      <c r="G70" s="11">
        <f>datos_base!$H$4*parametros_manuales!E$14</f>
        <v>1604.63</v>
      </c>
      <c r="H70" s="11">
        <f>datos_base!$H$4*parametros_manuales!F$14</f>
        <v>1510.24</v>
      </c>
      <c r="I70" s="11">
        <f>datos_base!$H$4*parametros_manuales!G$14</f>
        <v>1415.85</v>
      </c>
      <c r="J70" s="11">
        <f>datos_base!$H$4*parametros_manuales!H$14</f>
        <v>1510.24</v>
      </c>
      <c r="K70" s="11">
        <f>datos_base!$H$4*parametros_manuales!I$14</f>
        <v>1510.24</v>
      </c>
      <c r="L70" s="11">
        <f>datos_base!$H$4*parametros_manuales!J$14</f>
        <v>1510.24</v>
      </c>
      <c r="M70" s="11">
        <f>datos_base!$H$4*parametros_manuales!K$14</f>
        <v>1415.85</v>
      </c>
      <c r="N70" s="11">
        <f>datos_base!$H$4*parametros_manuales!L$14</f>
        <v>1321.46</v>
      </c>
      <c r="O70" s="11">
        <f>datos_base!$H$4*parametros_manuales!M$14</f>
        <v>2076.58</v>
      </c>
      <c r="P70" s="4">
        <f t="shared" si="13"/>
        <v>18878</v>
      </c>
    </row>
    <row r="71" ht="14.25" customHeight="1">
      <c r="A71" s="8">
        <v>2032.0</v>
      </c>
      <c r="B71" s="3" t="s">
        <v>32</v>
      </c>
      <c r="C71" s="3" t="s">
        <v>34</v>
      </c>
      <c r="D71" s="11">
        <f>datos_base!$H$5*parametros_manuales!B$15</f>
        <v>112.7</v>
      </c>
      <c r="E71" s="11">
        <f>datos_base!$H$5*parametros_manuales!C$15</f>
        <v>90.16</v>
      </c>
      <c r="F71" s="11">
        <f>datos_base!$H$5*parametros_manuales!D$15</f>
        <v>95.795</v>
      </c>
      <c r="G71" s="11">
        <f>datos_base!$H$5*parametros_manuales!E$15</f>
        <v>95.795</v>
      </c>
      <c r="H71" s="11">
        <f>datos_base!$H$5*parametros_manuales!F$15</f>
        <v>90.16</v>
      </c>
      <c r="I71" s="11">
        <f>datos_base!$H$5*parametros_manuales!G$15</f>
        <v>84.525</v>
      </c>
      <c r="J71" s="11">
        <f>datos_base!$H$5*parametros_manuales!H$15</f>
        <v>90.16</v>
      </c>
      <c r="K71" s="11">
        <f>datos_base!$H$5*parametros_manuales!I$15</f>
        <v>90.16</v>
      </c>
      <c r="L71" s="11">
        <f>datos_base!$H$5*parametros_manuales!J$15</f>
        <v>90.16</v>
      </c>
      <c r="M71" s="11">
        <f>datos_base!$H$5*parametros_manuales!K$15</f>
        <v>84.525</v>
      </c>
      <c r="N71" s="11">
        <f>datos_base!$H$5*parametros_manuales!L$15</f>
        <v>78.89</v>
      </c>
      <c r="O71" s="11">
        <f>datos_base!$H$5*parametros_manuales!M$15</f>
        <v>123.97</v>
      </c>
      <c r="P71" s="4">
        <f t="shared" si="13"/>
        <v>1127</v>
      </c>
    </row>
    <row r="72" ht="14.25" customHeight="1">
      <c r="A72" s="8">
        <v>2032.0</v>
      </c>
      <c r="B72" s="3" t="s">
        <v>52</v>
      </c>
      <c r="C72" s="3" t="s">
        <v>110</v>
      </c>
      <c r="D72" s="11">
        <f>datos_base!$H$9*parametros_manuales!B$12</f>
        <v>12160.92</v>
      </c>
      <c r="E72" s="11">
        <f>datos_base!$H$9*parametros_manuales!C$12</f>
        <v>9120.69</v>
      </c>
      <c r="F72" s="11">
        <f>datos_base!$H$9*parametros_manuales!D$12</f>
        <v>8107.28</v>
      </c>
      <c r="G72" s="11">
        <f>datos_base!$H$9*parametros_manuales!E$12</f>
        <v>7600.575</v>
      </c>
      <c r="H72" s="11">
        <f>datos_base!$H$9*parametros_manuales!F$12</f>
        <v>7093.87</v>
      </c>
      <c r="I72" s="11">
        <f>datos_base!$H$9*parametros_manuales!G$12</f>
        <v>7093.87</v>
      </c>
      <c r="J72" s="11">
        <f>datos_base!$H$9*parametros_manuales!H$12</f>
        <v>7600.575</v>
      </c>
      <c r="K72" s="11">
        <f>datos_base!$H$9*parametros_manuales!I$12</f>
        <v>7600.575</v>
      </c>
      <c r="L72" s="11">
        <f>datos_base!$H$9*parametros_manuales!J$12</f>
        <v>7600.575</v>
      </c>
      <c r="M72" s="11">
        <f>datos_base!$H$9*parametros_manuales!K$12</f>
        <v>7600.575</v>
      </c>
      <c r="N72" s="11">
        <f>datos_base!$H$9*parametros_manuales!L$12</f>
        <v>7600.575</v>
      </c>
      <c r="O72" s="11">
        <f>datos_base!$H$9*parametros_manuales!M$12</f>
        <v>12160.92</v>
      </c>
      <c r="P72" s="4">
        <f t="shared" si="13"/>
        <v>101341</v>
      </c>
    </row>
    <row r="73" ht="14.25" customHeight="1">
      <c r="A73" s="8">
        <v>2032.0</v>
      </c>
      <c r="B73" s="3" t="s">
        <v>54</v>
      </c>
      <c r="C73" s="3" t="s">
        <v>110</v>
      </c>
      <c r="D73" s="11">
        <f>datos_base!$H$10*parametros_manuales!B$13</f>
        <v>396.3</v>
      </c>
      <c r="E73" s="11">
        <f>datos_base!$H$10*parametros_manuales!C$13</f>
        <v>317.04</v>
      </c>
      <c r="F73" s="11">
        <f>datos_base!$H$10*parametros_manuales!D$13</f>
        <v>336.855</v>
      </c>
      <c r="G73" s="11">
        <f>datos_base!$H$10*parametros_manuales!E$13</f>
        <v>336.855</v>
      </c>
      <c r="H73" s="11">
        <f>datos_base!$H$10*parametros_manuales!F$13</f>
        <v>317.04</v>
      </c>
      <c r="I73" s="11">
        <f>datos_base!$H$10*parametros_manuales!G$13</f>
        <v>297.225</v>
      </c>
      <c r="J73" s="11">
        <f>datos_base!$H$10*parametros_manuales!H$13</f>
        <v>317.04</v>
      </c>
      <c r="K73" s="11">
        <f>datos_base!$H$10*parametros_manuales!I$13</f>
        <v>317.04</v>
      </c>
      <c r="L73" s="11">
        <f>datos_base!$H$10*parametros_manuales!J$13</f>
        <v>317.04</v>
      </c>
      <c r="M73" s="11">
        <f>datos_base!$H$10*parametros_manuales!K$13</f>
        <v>297.225</v>
      </c>
      <c r="N73" s="11">
        <f>datos_base!$H$10*parametros_manuales!L$13</f>
        <v>277.41</v>
      </c>
      <c r="O73" s="11">
        <f>datos_base!$H$10*parametros_manuales!M$13</f>
        <v>435.93</v>
      </c>
      <c r="P73" s="4">
        <f t="shared" si="13"/>
        <v>3963</v>
      </c>
    </row>
    <row r="74" ht="14.25" customHeight="1">
      <c r="A74" s="8">
        <v>2032.0</v>
      </c>
      <c r="B74" s="3" t="s">
        <v>55</v>
      </c>
      <c r="C74" s="3" t="s">
        <v>110</v>
      </c>
      <c r="D74" s="11">
        <f>datos_base!$H$11*parametros_manuales!B$14</f>
        <v>1955.9</v>
      </c>
      <c r="E74" s="11">
        <f>datos_base!$H$11*parametros_manuales!C$14</f>
        <v>1564.72</v>
      </c>
      <c r="F74" s="11">
        <f>datos_base!$H$11*parametros_manuales!D$14</f>
        <v>1662.515</v>
      </c>
      <c r="G74" s="11">
        <f>datos_base!$H$11*parametros_manuales!E$14</f>
        <v>1662.515</v>
      </c>
      <c r="H74" s="11">
        <f>datos_base!$H$11*parametros_manuales!F$14</f>
        <v>1564.72</v>
      </c>
      <c r="I74" s="11">
        <f>datos_base!$H$11*parametros_manuales!G$14</f>
        <v>1466.925</v>
      </c>
      <c r="J74" s="11">
        <f>datos_base!$H$11*parametros_manuales!H$14</f>
        <v>1564.72</v>
      </c>
      <c r="K74" s="11">
        <f>datos_base!$H$11*parametros_manuales!I$14</f>
        <v>1564.72</v>
      </c>
      <c r="L74" s="11">
        <f>datos_base!$H$11*parametros_manuales!J$14</f>
        <v>1564.72</v>
      </c>
      <c r="M74" s="11">
        <f>datos_base!$H$11*parametros_manuales!K$14</f>
        <v>1466.925</v>
      </c>
      <c r="N74" s="11">
        <f>datos_base!$H$11*parametros_manuales!L$14</f>
        <v>1369.13</v>
      </c>
      <c r="O74" s="11">
        <f>datos_base!$H$11*parametros_manuales!M$14</f>
        <v>2151.49</v>
      </c>
      <c r="P74" s="4">
        <f t="shared" si="13"/>
        <v>19559</v>
      </c>
    </row>
    <row r="75" ht="14.25" customHeight="1">
      <c r="A75" s="8">
        <v>2032.0</v>
      </c>
      <c r="B75" s="3" t="s">
        <v>56</v>
      </c>
      <c r="C75" s="3" t="s">
        <v>110</v>
      </c>
      <c r="D75" s="11">
        <f>datos_base!$H$12*parametros_manuales!B$15</f>
        <v>119.5</v>
      </c>
      <c r="E75" s="11">
        <f>datos_base!$H$12*parametros_manuales!C$15</f>
        <v>95.6</v>
      </c>
      <c r="F75" s="11">
        <f>datos_base!$H$12*parametros_manuales!D$15</f>
        <v>101.575</v>
      </c>
      <c r="G75" s="11">
        <f>datos_base!$H$12*parametros_manuales!E$15</f>
        <v>101.575</v>
      </c>
      <c r="H75" s="11">
        <f>datos_base!$H$12*parametros_manuales!F$15</f>
        <v>95.6</v>
      </c>
      <c r="I75" s="11">
        <f>datos_base!$H$12*parametros_manuales!G$15</f>
        <v>89.625</v>
      </c>
      <c r="J75" s="11">
        <f>datos_base!$H$12*parametros_manuales!H$15</f>
        <v>95.6</v>
      </c>
      <c r="K75" s="11">
        <f>datos_base!$H$12*parametros_manuales!I$15</f>
        <v>95.6</v>
      </c>
      <c r="L75" s="11">
        <f>datos_base!$H$12*parametros_manuales!J$15</f>
        <v>95.6</v>
      </c>
      <c r="M75" s="11">
        <f>datos_base!$H$12*parametros_manuales!K$15</f>
        <v>89.625</v>
      </c>
      <c r="N75" s="11">
        <f>datos_base!$H$12*parametros_manuales!L$15</f>
        <v>83.65</v>
      </c>
      <c r="O75" s="11">
        <f>datos_base!$H$12*parametros_manuales!M$15</f>
        <v>131.45</v>
      </c>
      <c r="P75" s="4">
        <f t="shared" si="13"/>
        <v>1195</v>
      </c>
    </row>
    <row r="76" ht="14.25" customHeight="1">
      <c r="B76" s="9" t="s">
        <v>140</v>
      </c>
      <c r="D76" s="10">
        <f t="shared" ref="D76:P76" si="14">SUM(D68:D75)</f>
        <v>19483.38</v>
      </c>
      <c r="E76" s="10">
        <f t="shared" si="14"/>
        <v>14856.66</v>
      </c>
      <c r="F76" s="10">
        <f t="shared" si="14"/>
        <v>13884.045</v>
      </c>
      <c r="G76" s="10">
        <f t="shared" si="14"/>
        <v>13275.675</v>
      </c>
      <c r="H76" s="10">
        <f t="shared" si="14"/>
        <v>12423.18</v>
      </c>
      <c r="I76" s="10">
        <f t="shared" si="14"/>
        <v>12179.055</v>
      </c>
      <c r="J76" s="10">
        <f t="shared" si="14"/>
        <v>13031.55</v>
      </c>
      <c r="K76" s="10">
        <f t="shared" si="14"/>
        <v>13031.55</v>
      </c>
      <c r="L76" s="10">
        <f t="shared" si="14"/>
        <v>13031.55</v>
      </c>
      <c r="M76" s="10">
        <f t="shared" si="14"/>
        <v>12787.425</v>
      </c>
      <c r="N76" s="10">
        <f t="shared" si="14"/>
        <v>12543.3</v>
      </c>
      <c r="O76" s="10">
        <f t="shared" si="14"/>
        <v>19971.63</v>
      </c>
      <c r="P76" s="10">
        <f t="shared" si="14"/>
        <v>170499</v>
      </c>
    </row>
    <row r="77" ht="14.25" customHeight="1"/>
    <row r="78" ht="14.25" customHeight="1">
      <c r="A78" s="1">
        <v>2033.0</v>
      </c>
      <c r="B78" s="1" t="s">
        <v>2</v>
      </c>
      <c r="C78" s="1" t="s">
        <v>3</v>
      </c>
      <c r="D78" s="1" t="s">
        <v>5</v>
      </c>
      <c r="E78" s="1" t="s">
        <v>7</v>
      </c>
      <c r="F78" s="1" t="s">
        <v>8</v>
      </c>
      <c r="G78" s="1" t="s">
        <v>9</v>
      </c>
      <c r="H78" s="1" t="s">
        <v>11</v>
      </c>
      <c r="I78" s="1" t="s">
        <v>12</v>
      </c>
      <c r="J78" s="1" t="s">
        <v>14</v>
      </c>
      <c r="K78" s="1" t="s">
        <v>15</v>
      </c>
      <c r="L78" s="1" t="s">
        <v>16</v>
      </c>
      <c r="M78" s="1" t="s">
        <v>18</v>
      </c>
      <c r="N78" s="1" t="s">
        <v>19</v>
      </c>
      <c r="O78" s="1" t="s">
        <v>20</v>
      </c>
      <c r="P78" s="1" t="s">
        <v>21</v>
      </c>
    </row>
    <row r="79" ht="14.25" customHeight="1">
      <c r="A79" s="8">
        <v>2033.0</v>
      </c>
      <c r="B79" s="3" t="s">
        <v>13</v>
      </c>
      <c r="C79" s="3" t="s">
        <v>34</v>
      </c>
      <c r="D79" s="11">
        <f>datos_base!$I$2*parametros_manuales!B$12</f>
        <v>3015.84</v>
      </c>
      <c r="E79" s="11">
        <f>datos_base!$I$2*parametros_manuales!C$12</f>
        <v>2261.88</v>
      </c>
      <c r="F79" s="11">
        <f>datos_base!$I$2*parametros_manuales!D$12</f>
        <v>2010.56</v>
      </c>
      <c r="G79" s="11">
        <f>datos_base!$I$2*parametros_manuales!E$12</f>
        <v>1884.9</v>
      </c>
      <c r="H79" s="11">
        <f>datos_base!$I$2*parametros_manuales!F$12</f>
        <v>1759.24</v>
      </c>
      <c r="I79" s="11">
        <f>datos_base!$I$2*parametros_manuales!G$12</f>
        <v>1759.24</v>
      </c>
      <c r="J79" s="11">
        <f>datos_base!$I$2*parametros_manuales!H$12</f>
        <v>1884.9</v>
      </c>
      <c r="K79" s="11">
        <f>datos_base!$I$2*parametros_manuales!I$12</f>
        <v>1884.9</v>
      </c>
      <c r="L79" s="11">
        <f>datos_base!$I$2*parametros_manuales!J$12</f>
        <v>1884.9</v>
      </c>
      <c r="M79" s="11">
        <f>datos_base!$I$2*parametros_manuales!K$12</f>
        <v>1884.9</v>
      </c>
      <c r="N79" s="11">
        <f>datos_base!$I$2*parametros_manuales!L$12</f>
        <v>1884.9</v>
      </c>
      <c r="O79" s="11">
        <f>datos_base!$I$2*parametros_manuales!M$12</f>
        <v>3015.84</v>
      </c>
      <c r="P79" s="4">
        <f t="shared" ref="P79:P86" si="15">SUM(D79:O79)</f>
        <v>25132</v>
      </c>
    </row>
    <row r="80" ht="14.25" customHeight="1">
      <c r="A80" s="8">
        <v>2033.0</v>
      </c>
      <c r="B80" s="3" t="s">
        <v>27</v>
      </c>
      <c r="C80" s="3" t="s">
        <v>34</v>
      </c>
      <c r="D80" s="11">
        <f>datos_base!$I$3*parametros_manuales!B$13</f>
        <v>510.5</v>
      </c>
      <c r="E80" s="11">
        <f>datos_base!$I$3*parametros_manuales!C$13</f>
        <v>408.4</v>
      </c>
      <c r="F80" s="11">
        <f>datos_base!$I$3*parametros_manuales!D$13</f>
        <v>433.925</v>
      </c>
      <c r="G80" s="11">
        <f>datos_base!$I$3*parametros_manuales!E$13</f>
        <v>433.925</v>
      </c>
      <c r="H80" s="11">
        <f>datos_base!$I$3*parametros_manuales!F$13</f>
        <v>408.4</v>
      </c>
      <c r="I80" s="11">
        <f>datos_base!$I$3*parametros_manuales!G$13</f>
        <v>382.875</v>
      </c>
      <c r="J80" s="11">
        <f>datos_base!$I$3*parametros_manuales!H$13</f>
        <v>408.4</v>
      </c>
      <c r="K80" s="11">
        <f>datos_base!$I$3*parametros_manuales!I$13</f>
        <v>408.4</v>
      </c>
      <c r="L80" s="11">
        <f>datos_base!$I$3*parametros_manuales!J$13</f>
        <v>408.4</v>
      </c>
      <c r="M80" s="11">
        <f>datos_base!$I$3*parametros_manuales!K$13</f>
        <v>382.875</v>
      </c>
      <c r="N80" s="11">
        <f>datos_base!$I$3*parametros_manuales!L$13</f>
        <v>357.35</v>
      </c>
      <c r="O80" s="11">
        <f>datos_base!$I$3*parametros_manuales!M$13</f>
        <v>561.55</v>
      </c>
      <c r="P80" s="4">
        <f t="shared" si="15"/>
        <v>5105</v>
      </c>
    </row>
    <row r="81" ht="14.25" customHeight="1">
      <c r="A81" s="8">
        <v>2033.0</v>
      </c>
      <c r="B81" s="3" t="s">
        <v>29</v>
      </c>
      <c r="C81" s="3" t="s">
        <v>34</v>
      </c>
      <c r="D81" s="11">
        <f>datos_base!$I$4*parametros_manuales!B$14</f>
        <v>2336.8</v>
      </c>
      <c r="E81" s="11">
        <f>datos_base!$I$4*parametros_manuales!C$14</f>
        <v>1869.44</v>
      </c>
      <c r="F81" s="11">
        <f>datos_base!$I$4*parametros_manuales!D$14</f>
        <v>1986.28</v>
      </c>
      <c r="G81" s="11">
        <f>datos_base!$I$4*parametros_manuales!E$14</f>
        <v>1986.28</v>
      </c>
      <c r="H81" s="11">
        <f>datos_base!$I$4*parametros_manuales!F$14</f>
        <v>1869.44</v>
      </c>
      <c r="I81" s="11">
        <f>datos_base!$I$4*parametros_manuales!G$14</f>
        <v>1752.6</v>
      </c>
      <c r="J81" s="11">
        <f>datos_base!$I$4*parametros_manuales!H$14</f>
        <v>1869.44</v>
      </c>
      <c r="K81" s="11">
        <f>datos_base!$I$4*parametros_manuales!I$14</f>
        <v>1869.44</v>
      </c>
      <c r="L81" s="11">
        <f>datos_base!$I$4*parametros_manuales!J$14</f>
        <v>1869.44</v>
      </c>
      <c r="M81" s="11">
        <f>datos_base!$I$4*parametros_manuales!K$14</f>
        <v>1752.6</v>
      </c>
      <c r="N81" s="11">
        <f>datos_base!$I$4*parametros_manuales!L$14</f>
        <v>1635.76</v>
      </c>
      <c r="O81" s="11">
        <f>datos_base!$I$4*parametros_manuales!M$14</f>
        <v>2570.48</v>
      </c>
      <c r="P81" s="4">
        <f t="shared" si="15"/>
        <v>23368</v>
      </c>
    </row>
    <row r="82" ht="14.25" customHeight="1">
      <c r="A82" s="8">
        <v>2033.0</v>
      </c>
      <c r="B82" s="3" t="s">
        <v>32</v>
      </c>
      <c r="C82" s="3" t="s">
        <v>34</v>
      </c>
      <c r="D82" s="11">
        <f>datos_base!$I$5*parametros_manuales!B$15</f>
        <v>139.5</v>
      </c>
      <c r="E82" s="11">
        <f>datos_base!$I$5*parametros_manuales!C$15</f>
        <v>111.6</v>
      </c>
      <c r="F82" s="11">
        <f>datos_base!$I$5*parametros_manuales!D$15</f>
        <v>118.575</v>
      </c>
      <c r="G82" s="11">
        <f>datos_base!$I$5*parametros_manuales!E$15</f>
        <v>118.575</v>
      </c>
      <c r="H82" s="11">
        <f>datos_base!$I$5*parametros_manuales!F$15</f>
        <v>111.6</v>
      </c>
      <c r="I82" s="11">
        <f>datos_base!$I$5*parametros_manuales!G$15</f>
        <v>104.625</v>
      </c>
      <c r="J82" s="11">
        <f>datos_base!$I$5*parametros_manuales!H$15</f>
        <v>111.6</v>
      </c>
      <c r="K82" s="11">
        <f>datos_base!$I$5*parametros_manuales!I$15</f>
        <v>111.6</v>
      </c>
      <c r="L82" s="11">
        <f>datos_base!$I$5*parametros_manuales!J$15</f>
        <v>111.6</v>
      </c>
      <c r="M82" s="11">
        <f>datos_base!$I$5*parametros_manuales!K$15</f>
        <v>104.625</v>
      </c>
      <c r="N82" s="11">
        <f>datos_base!$I$5*parametros_manuales!L$15</f>
        <v>97.65</v>
      </c>
      <c r="O82" s="11">
        <f>datos_base!$I$5*parametros_manuales!M$15</f>
        <v>153.45</v>
      </c>
      <c r="P82" s="4">
        <f t="shared" si="15"/>
        <v>1395</v>
      </c>
    </row>
    <row r="83" ht="14.25" customHeight="1">
      <c r="A83" s="8">
        <v>2033.0</v>
      </c>
      <c r="B83" s="3" t="s">
        <v>52</v>
      </c>
      <c r="C83" s="3" t="s">
        <v>110</v>
      </c>
      <c r="D83" s="11">
        <f>datos_base!$I$9*parametros_manuales!B$12</f>
        <v>15720.12</v>
      </c>
      <c r="E83" s="11">
        <f>datos_base!$I$9*parametros_manuales!C$12</f>
        <v>11790.09</v>
      </c>
      <c r="F83" s="11">
        <f>datos_base!$I$9*parametros_manuales!D$12</f>
        <v>10480.08</v>
      </c>
      <c r="G83" s="11">
        <f>datos_base!$I$9*parametros_manuales!E$12</f>
        <v>9825.075</v>
      </c>
      <c r="H83" s="11">
        <f>datos_base!$I$9*parametros_manuales!F$12</f>
        <v>9170.07</v>
      </c>
      <c r="I83" s="11">
        <f>datos_base!$I$9*parametros_manuales!G$12</f>
        <v>9170.07</v>
      </c>
      <c r="J83" s="11">
        <f>datos_base!$I$9*parametros_manuales!H$12</f>
        <v>9825.075</v>
      </c>
      <c r="K83" s="11">
        <f>datos_base!$I$9*parametros_manuales!I$12</f>
        <v>9825.075</v>
      </c>
      <c r="L83" s="11">
        <f>datos_base!$I$9*parametros_manuales!J$12</f>
        <v>9825.075</v>
      </c>
      <c r="M83" s="11">
        <f>datos_base!$I$9*parametros_manuales!K$12</f>
        <v>9825.075</v>
      </c>
      <c r="N83" s="11">
        <f>datos_base!$I$9*parametros_manuales!L$12</f>
        <v>9825.075</v>
      </c>
      <c r="O83" s="11">
        <f>datos_base!$I$9*parametros_manuales!M$12</f>
        <v>15720.12</v>
      </c>
      <c r="P83" s="4">
        <f t="shared" si="15"/>
        <v>131001</v>
      </c>
    </row>
    <row r="84" ht="14.25" customHeight="1">
      <c r="A84" s="8">
        <v>2033.0</v>
      </c>
      <c r="B84" s="3" t="s">
        <v>54</v>
      </c>
      <c r="C84" s="3" t="s">
        <v>110</v>
      </c>
      <c r="D84" s="11">
        <f>datos_base!$I$10*parametros_manuales!B$13</f>
        <v>512.3</v>
      </c>
      <c r="E84" s="11">
        <f>datos_base!$I$10*parametros_manuales!C$13</f>
        <v>409.84</v>
      </c>
      <c r="F84" s="11">
        <f>datos_base!$I$10*parametros_manuales!D$13</f>
        <v>435.455</v>
      </c>
      <c r="G84" s="11">
        <f>datos_base!$I$10*parametros_manuales!E$13</f>
        <v>435.455</v>
      </c>
      <c r="H84" s="11">
        <f>datos_base!$I$10*parametros_manuales!F$13</f>
        <v>409.84</v>
      </c>
      <c r="I84" s="11">
        <f>datos_base!$I$10*parametros_manuales!G$13</f>
        <v>384.225</v>
      </c>
      <c r="J84" s="11">
        <f>datos_base!$I$10*parametros_manuales!H$13</f>
        <v>409.84</v>
      </c>
      <c r="K84" s="11">
        <f>datos_base!$I$10*parametros_manuales!I$13</f>
        <v>409.84</v>
      </c>
      <c r="L84" s="11">
        <f>datos_base!$I$10*parametros_manuales!J$13</f>
        <v>409.84</v>
      </c>
      <c r="M84" s="11">
        <f>datos_base!$I$10*parametros_manuales!K$13</f>
        <v>384.225</v>
      </c>
      <c r="N84" s="11">
        <f>datos_base!$I$10*parametros_manuales!L$13</f>
        <v>358.61</v>
      </c>
      <c r="O84" s="11">
        <f>datos_base!$I$10*parametros_manuales!M$13</f>
        <v>563.53</v>
      </c>
      <c r="P84" s="4">
        <f t="shared" si="15"/>
        <v>5123</v>
      </c>
    </row>
    <row r="85" ht="14.25" customHeight="1">
      <c r="A85" s="8">
        <v>2033.0</v>
      </c>
      <c r="B85" s="3" t="s">
        <v>55</v>
      </c>
      <c r="C85" s="3" t="s">
        <v>110</v>
      </c>
      <c r="D85" s="11">
        <f>datos_base!$I$11*parametros_manuales!B$14</f>
        <v>2528.3</v>
      </c>
      <c r="E85" s="11">
        <f>datos_base!$I$11*parametros_manuales!C$14</f>
        <v>2022.64</v>
      </c>
      <c r="F85" s="11">
        <f>datos_base!$I$11*parametros_manuales!D$14</f>
        <v>2149.055</v>
      </c>
      <c r="G85" s="11">
        <f>datos_base!$I$11*parametros_manuales!E$14</f>
        <v>2149.055</v>
      </c>
      <c r="H85" s="11">
        <f>datos_base!$I$11*parametros_manuales!F$14</f>
        <v>2022.64</v>
      </c>
      <c r="I85" s="11">
        <f>datos_base!$I$11*parametros_manuales!G$14</f>
        <v>1896.225</v>
      </c>
      <c r="J85" s="11">
        <f>datos_base!$I$11*parametros_manuales!H$14</f>
        <v>2022.64</v>
      </c>
      <c r="K85" s="11">
        <f>datos_base!$I$11*parametros_manuales!I$14</f>
        <v>2022.64</v>
      </c>
      <c r="L85" s="11">
        <f>datos_base!$I$11*parametros_manuales!J$14</f>
        <v>2022.64</v>
      </c>
      <c r="M85" s="11">
        <f>datos_base!$I$11*parametros_manuales!K$14</f>
        <v>1896.225</v>
      </c>
      <c r="N85" s="11">
        <f>datos_base!$I$11*parametros_manuales!L$14</f>
        <v>1769.81</v>
      </c>
      <c r="O85" s="11">
        <f>datos_base!$I$11*parametros_manuales!M$14</f>
        <v>2781.13</v>
      </c>
      <c r="P85" s="4">
        <f t="shared" si="15"/>
        <v>25283</v>
      </c>
    </row>
    <row r="86" ht="14.25" customHeight="1">
      <c r="A86" s="8">
        <v>2033.0</v>
      </c>
      <c r="B86" s="3" t="s">
        <v>56</v>
      </c>
      <c r="C86" s="3" t="s">
        <v>110</v>
      </c>
      <c r="D86" s="11">
        <f>datos_base!$I$12*parametros_manuales!B$15</f>
        <v>154.5</v>
      </c>
      <c r="E86" s="11">
        <f>datos_base!$I$12*parametros_manuales!C$15</f>
        <v>123.6</v>
      </c>
      <c r="F86" s="11">
        <f>datos_base!$I$12*parametros_manuales!D$15</f>
        <v>131.325</v>
      </c>
      <c r="G86" s="11">
        <f>datos_base!$I$12*parametros_manuales!E$15</f>
        <v>131.325</v>
      </c>
      <c r="H86" s="11">
        <f>datos_base!$I$12*parametros_manuales!F$15</f>
        <v>123.6</v>
      </c>
      <c r="I86" s="11">
        <f>datos_base!$I$12*parametros_manuales!G$15</f>
        <v>115.875</v>
      </c>
      <c r="J86" s="11">
        <f>datos_base!$I$12*parametros_manuales!H$15</f>
        <v>123.6</v>
      </c>
      <c r="K86" s="11">
        <f>datos_base!$I$12*parametros_manuales!I$15</f>
        <v>123.6</v>
      </c>
      <c r="L86" s="11">
        <f>datos_base!$I$12*parametros_manuales!J$15</f>
        <v>123.6</v>
      </c>
      <c r="M86" s="11">
        <f>datos_base!$I$12*parametros_manuales!K$15</f>
        <v>115.875</v>
      </c>
      <c r="N86" s="11">
        <f>datos_base!$I$12*parametros_manuales!L$15</f>
        <v>108.15</v>
      </c>
      <c r="O86" s="11">
        <f>datos_base!$I$12*parametros_manuales!M$15</f>
        <v>169.95</v>
      </c>
      <c r="P86" s="4">
        <f t="shared" si="15"/>
        <v>1545</v>
      </c>
    </row>
    <row r="87" ht="14.25" customHeight="1">
      <c r="B87" s="9" t="s">
        <v>140</v>
      </c>
      <c r="D87" s="10">
        <f t="shared" ref="D87:P87" si="16">SUM(D79:D86)</f>
        <v>24917.86</v>
      </c>
      <c r="E87" s="10">
        <f t="shared" si="16"/>
        <v>18997.49</v>
      </c>
      <c r="F87" s="10">
        <f t="shared" si="16"/>
        <v>17745.255</v>
      </c>
      <c r="G87" s="10">
        <f t="shared" si="16"/>
        <v>16964.59</v>
      </c>
      <c r="H87" s="10">
        <f t="shared" si="16"/>
        <v>15874.83</v>
      </c>
      <c r="I87" s="10">
        <f t="shared" si="16"/>
        <v>15565.735</v>
      </c>
      <c r="J87" s="10">
        <f t="shared" si="16"/>
        <v>16655.495</v>
      </c>
      <c r="K87" s="10">
        <f t="shared" si="16"/>
        <v>16655.495</v>
      </c>
      <c r="L87" s="10">
        <f t="shared" si="16"/>
        <v>16655.495</v>
      </c>
      <c r="M87" s="10">
        <f t="shared" si="16"/>
        <v>16346.4</v>
      </c>
      <c r="N87" s="10">
        <f t="shared" si="16"/>
        <v>16037.305</v>
      </c>
      <c r="O87" s="10">
        <f t="shared" si="16"/>
        <v>25536.05</v>
      </c>
      <c r="P87" s="10">
        <f t="shared" si="16"/>
        <v>217952</v>
      </c>
    </row>
    <row r="88" ht="14.25" customHeight="1"/>
    <row r="89" ht="14.25" customHeight="1">
      <c r="A89" s="1">
        <v>2034.0</v>
      </c>
      <c r="B89" s="1" t="s">
        <v>2</v>
      </c>
      <c r="C89" s="1" t="s">
        <v>3</v>
      </c>
      <c r="D89" s="1" t="s">
        <v>5</v>
      </c>
      <c r="E89" s="1" t="s">
        <v>7</v>
      </c>
      <c r="F89" s="1" t="s">
        <v>8</v>
      </c>
      <c r="G89" s="1" t="s">
        <v>9</v>
      </c>
      <c r="H89" s="1" t="s">
        <v>11</v>
      </c>
      <c r="I89" s="1" t="s">
        <v>12</v>
      </c>
      <c r="J89" s="1" t="s">
        <v>14</v>
      </c>
      <c r="K89" s="1" t="s">
        <v>15</v>
      </c>
      <c r="L89" s="1" t="s">
        <v>16</v>
      </c>
      <c r="M89" s="1" t="s">
        <v>18</v>
      </c>
      <c r="N89" s="1" t="s">
        <v>19</v>
      </c>
      <c r="O89" s="1" t="s">
        <v>20</v>
      </c>
      <c r="P89" s="1" t="s">
        <v>21</v>
      </c>
    </row>
    <row r="90" ht="14.25" customHeight="1">
      <c r="A90" s="8">
        <v>2034.0</v>
      </c>
      <c r="B90" s="3" t="s">
        <v>13</v>
      </c>
      <c r="C90" s="3" t="s">
        <v>34</v>
      </c>
      <c r="D90" s="11">
        <f>datos_base!$J$2*parametros_manuales!B$12</f>
        <v>3428.76</v>
      </c>
      <c r="E90" s="11">
        <f>datos_base!$J$2*parametros_manuales!C$12</f>
        <v>2571.57</v>
      </c>
      <c r="F90" s="11">
        <f>datos_base!$J$2*parametros_manuales!D$12</f>
        <v>2285.84</v>
      </c>
      <c r="G90" s="11">
        <f>datos_base!$J$2*parametros_manuales!E$12</f>
        <v>2142.975</v>
      </c>
      <c r="H90" s="11">
        <f>datos_base!$J$2*parametros_manuales!F$12</f>
        <v>2000.11</v>
      </c>
      <c r="I90" s="11">
        <f>datos_base!$J$2*parametros_manuales!G$12</f>
        <v>2000.11</v>
      </c>
      <c r="J90" s="11">
        <f>datos_base!$J$2*parametros_manuales!H$12</f>
        <v>2142.975</v>
      </c>
      <c r="K90" s="11">
        <f>datos_base!$J$2*parametros_manuales!I$12</f>
        <v>2142.975</v>
      </c>
      <c r="L90" s="11">
        <f>datos_base!$J$2*parametros_manuales!J$12</f>
        <v>2142.975</v>
      </c>
      <c r="M90" s="11">
        <f>datos_base!$J$2*parametros_manuales!K$12</f>
        <v>2142.975</v>
      </c>
      <c r="N90" s="11">
        <f>datos_base!$J$2*parametros_manuales!L$12</f>
        <v>2142.975</v>
      </c>
      <c r="O90" s="11">
        <f>datos_base!$J$2*parametros_manuales!M$12</f>
        <v>3428.76</v>
      </c>
      <c r="P90" s="4">
        <f t="shared" ref="P90:P97" si="17">SUM(D90:O90)</f>
        <v>28573</v>
      </c>
    </row>
    <row r="91" ht="14.25" customHeight="1">
      <c r="A91" s="8">
        <v>2034.0</v>
      </c>
      <c r="B91" s="3" t="s">
        <v>27</v>
      </c>
      <c r="C91" s="3" t="s">
        <v>34</v>
      </c>
      <c r="D91" s="11">
        <f>datos_base!$J$3*parametros_manuales!B$13</f>
        <v>619.5</v>
      </c>
      <c r="E91" s="11">
        <f>datos_base!$J$3*parametros_manuales!C$13</f>
        <v>495.6</v>
      </c>
      <c r="F91" s="11">
        <f>datos_base!$J$3*parametros_manuales!D$13</f>
        <v>526.575</v>
      </c>
      <c r="G91" s="11">
        <f>datos_base!$J$3*parametros_manuales!E$13</f>
        <v>526.575</v>
      </c>
      <c r="H91" s="11">
        <f>datos_base!$J$3*parametros_manuales!F$13</f>
        <v>495.6</v>
      </c>
      <c r="I91" s="11">
        <f>datos_base!$J$3*parametros_manuales!G$13</f>
        <v>464.625</v>
      </c>
      <c r="J91" s="11">
        <f>datos_base!$J$3*parametros_manuales!H$13</f>
        <v>495.6</v>
      </c>
      <c r="K91" s="11">
        <f>datos_base!$J$3*parametros_manuales!I$13</f>
        <v>495.6</v>
      </c>
      <c r="L91" s="11">
        <f>datos_base!$J$3*parametros_manuales!J$13</f>
        <v>495.6</v>
      </c>
      <c r="M91" s="11">
        <f>datos_base!$J$3*parametros_manuales!K$13</f>
        <v>464.625</v>
      </c>
      <c r="N91" s="11">
        <f>datos_base!$J$3*parametros_manuales!L$13</f>
        <v>433.65</v>
      </c>
      <c r="O91" s="11">
        <f>datos_base!$J$3*parametros_manuales!M$13</f>
        <v>681.45</v>
      </c>
      <c r="P91" s="4">
        <f t="shared" si="17"/>
        <v>6195</v>
      </c>
    </row>
    <row r="92" ht="14.25" customHeight="1">
      <c r="A92" s="8">
        <v>2034.0</v>
      </c>
      <c r="B92" s="3" t="s">
        <v>29</v>
      </c>
      <c r="C92" s="3" t="s">
        <v>34</v>
      </c>
      <c r="D92" s="11">
        <f>datos_base!$J$4*parametros_manuales!B$14</f>
        <v>2696.8</v>
      </c>
      <c r="E92" s="11">
        <f>datos_base!$J$4*parametros_manuales!C$14</f>
        <v>2157.44</v>
      </c>
      <c r="F92" s="11">
        <f>datos_base!$J$4*parametros_manuales!D$14</f>
        <v>2292.28</v>
      </c>
      <c r="G92" s="11">
        <f>datos_base!$J$4*parametros_manuales!E$14</f>
        <v>2292.28</v>
      </c>
      <c r="H92" s="11">
        <f>datos_base!$J$4*parametros_manuales!F$14</f>
        <v>2157.44</v>
      </c>
      <c r="I92" s="11">
        <f>datos_base!$J$4*parametros_manuales!G$14</f>
        <v>2022.6</v>
      </c>
      <c r="J92" s="11">
        <f>datos_base!$J$4*parametros_manuales!H$14</f>
        <v>2157.44</v>
      </c>
      <c r="K92" s="11">
        <f>datos_base!$J$4*parametros_manuales!I$14</f>
        <v>2157.44</v>
      </c>
      <c r="L92" s="11">
        <f>datos_base!$J$4*parametros_manuales!J$14</f>
        <v>2157.44</v>
      </c>
      <c r="M92" s="11">
        <f>datos_base!$J$4*parametros_manuales!K$14</f>
        <v>2022.6</v>
      </c>
      <c r="N92" s="11">
        <f>datos_base!$J$4*parametros_manuales!L$14</f>
        <v>1887.76</v>
      </c>
      <c r="O92" s="11">
        <f>datos_base!$J$4*parametros_manuales!M$14</f>
        <v>2966.48</v>
      </c>
      <c r="P92" s="4">
        <f t="shared" si="17"/>
        <v>26968</v>
      </c>
    </row>
    <row r="93" ht="14.25" customHeight="1">
      <c r="A93" s="8">
        <v>2034.0</v>
      </c>
      <c r="B93" s="3" t="s">
        <v>32</v>
      </c>
      <c r="C93" s="3" t="s">
        <v>34</v>
      </c>
      <c r="D93" s="11">
        <f>datos_base!$J$5*parametros_manuales!B$15</f>
        <v>161.2</v>
      </c>
      <c r="E93" s="11">
        <f>datos_base!$J$5*parametros_manuales!C$15</f>
        <v>128.96</v>
      </c>
      <c r="F93" s="11">
        <f>datos_base!$J$5*parametros_manuales!D$15</f>
        <v>137.02</v>
      </c>
      <c r="G93" s="11">
        <f>datos_base!$J$5*parametros_manuales!E$15</f>
        <v>137.02</v>
      </c>
      <c r="H93" s="11">
        <f>datos_base!$J$5*parametros_manuales!F$15</f>
        <v>128.96</v>
      </c>
      <c r="I93" s="11">
        <f>datos_base!$J$5*parametros_manuales!G$15</f>
        <v>120.9</v>
      </c>
      <c r="J93" s="11">
        <f>datos_base!$J$5*parametros_manuales!H$15</f>
        <v>128.96</v>
      </c>
      <c r="K93" s="11">
        <f>datos_base!$J$5*parametros_manuales!I$15</f>
        <v>128.96</v>
      </c>
      <c r="L93" s="11">
        <f>datos_base!$J$5*parametros_manuales!J$15</f>
        <v>128.96</v>
      </c>
      <c r="M93" s="11">
        <f>datos_base!$J$5*parametros_manuales!K$15</f>
        <v>120.9</v>
      </c>
      <c r="N93" s="11">
        <f>datos_base!$J$5*parametros_manuales!L$15</f>
        <v>112.84</v>
      </c>
      <c r="O93" s="11">
        <f>datos_base!$J$5*parametros_manuales!M$15</f>
        <v>177.32</v>
      </c>
      <c r="P93" s="4">
        <f t="shared" si="17"/>
        <v>1612</v>
      </c>
    </row>
    <row r="94" ht="14.25" customHeight="1">
      <c r="A94" s="8">
        <v>2034.0</v>
      </c>
      <c r="B94" s="3" t="s">
        <v>52</v>
      </c>
      <c r="C94" s="3" t="s">
        <v>110</v>
      </c>
      <c r="D94" s="11">
        <f>datos_base!$J$9*parametros_manuales!B$12</f>
        <v>17618.4</v>
      </c>
      <c r="E94" s="11">
        <f>datos_base!$J$9*parametros_manuales!C$12</f>
        <v>13213.8</v>
      </c>
      <c r="F94" s="11">
        <f>datos_base!$J$9*parametros_manuales!D$12</f>
        <v>11745.6</v>
      </c>
      <c r="G94" s="11">
        <f>datos_base!$J$9*parametros_manuales!E$12</f>
        <v>11011.5</v>
      </c>
      <c r="H94" s="11">
        <f>datos_base!$J$9*parametros_manuales!F$12</f>
        <v>10277.4</v>
      </c>
      <c r="I94" s="11">
        <f>datos_base!$J$9*parametros_manuales!G$12</f>
        <v>10277.4</v>
      </c>
      <c r="J94" s="11">
        <f>datos_base!$J$9*parametros_manuales!H$12</f>
        <v>11011.5</v>
      </c>
      <c r="K94" s="11">
        <f>datos_base!$J$9*parametros_manuales!I$12</f>
        <v>11011.5</v>
      </c>
      <c r="L94" s="11">
        <f>datos_base!$J$9*parametros_manuales!J$12</f>
        <v>11011.5</v>
      </c>
      <c r="M94" s="11">
        <f>datos_base!$J$9*parametros_manuales!K$12</f>
        <v>11011.5</v>
      </c>
      <c r="N94" s="11">
        <f>datos_base!$J$9*parametros_manuales!L$12</f>
        <v>11011.5</v>
      </c>
      <c r="O94" s="11">
        <f>datos_base!$J$9*parametros_manuales!M$12</f>
        <v>17618.4</v>
      </c>
      <c r="P94" s="4">
        <f t="shared" si="17"/>
        <v>146820</v>
      </c>
    </row>
    <row r="95" ht="14.25" customHeight="1">
      <c r="A95" s="8">
        <v>2034.0</v>
      </c>
      <c r="B95" s="3" t="s">
        <v>54</v>
      </c>
      <c r="C95" s="3" t="s">
        <v>110</v>
      </c>
      <c r="D95" s="11">
        <f>datos_base!$J$10*parametros_manuales!B$13</f>
        <v>574.1</v>
      </c>
      <c r="E95" s="11">
        <f>datos_base!$J$10*parametros_manuales!C$13</f>
        <v>459.28</v>
      </c>
      <c r="F95" s="11">
        <f>datos_base!$J$10*parametros_manuales!D$13</f>
        <v>487.985</v>
      </c>
      <c r="G95" s="11">
        <f>datos_base!$J$10*parametros_manuales!E$13</f>
        <v>487.985</v>
      </c>
      <c r="H95" s="11">
        <f>datos_base!$J$10*parametros_manuales!F$13</f>
        <v>459.28</v>
      </c>
      <c r="I95" s="11">
        <f>datos_base!$J$10*parametros_manuales!G$13</f>
        <v>430.575</v>
      </c>
      <c r="J95" s="11">
        <f>datos_base!$J$10*parametros_manuales!H$13</f>
        <v>459.28</v>
      </c>
      <c r="K95" s="11">
        <f>datos_base!$J$10*parametros_manuales!I$13</f>
        <v>459.28</v>
      </c>
      <c r="L95" s="11">
        <f>datos_base!$J$10*parametros_manuales!J$13</f>
        <v>459.28</v>
      </c>
      <c r="M95" s="11">
        <f>datos_base!$J$10*parametros_manuales!K$13</f>
        <v>430.575</v>
      </c>
      <c r="N95" s="11">
        <f>datos_base!$J$10*parametros_manuales!L$13</f>
        <v>401.87</v>
      </c>
      <c r="O95" s="11">
        <f>datos_base!$J$10*parametros_manuales!M$13</f>
        <v>631.51</v>
      </c>
      <c r="P95" s="4">
        <f t="shared" si="17"/>
        <v>5741</v>
      </c>
    </row>
    <row r="96" ht="14.25" customHeight="1">
      <c r="A96" s="8">
        <v>2034.0</v>
      </c>
      <c r="B96" s="3" t="s">
        <v>55</v>
      </c>
      <c r="C96" s="3" t="s">
        <v>110</v>
      </c>
      <c r="D96" s="11">
        <f>datos_base!$J$11*parametros_manuales!B$14</f>
        <v>2833.6</v>
      </c>
      <c r="E96" s="11">
        <f>datos_base!$J$11*parametros_manuales!C$14</f>
        <v>2266.88</v>
      </c>
      <c r="F96" s="11">
        <f>datos_base!$J$11*parametros_manuales!D$14</f>
        <v>2408.56</v>
      </c>
      <c r="G96" s="11">
        <f>datos_base!$J$11*parametros_manuales!E$14</f>
        <v>2408.56</v>
      </c>
      <c r="H96" s="11">
        <f>datos_base!$J$11*parametros_manuales!F$14</f>
        <v>2266.88</v>
      </c>
      <c r="I96" s="11">
        <f>datos_base!$J$11*parametros_manuales!G$14</f>
        <v>2125.2</v>
      </c>
      <c r="J96" s="11">
        <f>datos_base!$J$11*parametros_manuales!H$14</f>
        <v>2266.88</v>
      </c>
      <c r="K96" s="11">
        <f>datos_base!$J$11*parametros_manuales!I$14</f>
        <v>2266.88</v>
      </c>
      <c r="L96" s="11">
        <f>datos_base!$J$11*parametros_manuales!J$14</f>
        <v>2266.88</v>
      </c>
      <c r="M96" s="11">
        <f>datos_base!$J$11*parametros_manuales!K$14</f>
        <v>2125.2</v>
      </c>
      <c r="N96" s="11">
        <f>datos_base!$J$11*parametros_manuales!L$14</f>
        <v>1983.52</v>
      </c>
      <c r="O96" s="11">
        <f>datos_base!$J$11*parametros_manuales!M$14</f>
        <v>3116.96</v>
      </c>
      <c r="P96" s="4">
        <f t="shared" si="17"/>
        <v>28336</v>
      </c>
    </row>
    <row r="97" ht="14.25" customHeight="1">
      <c r="A97" s="8">
        <v>2034.0</v>
      </c>
      <c r="B97" s="3" t="s">
        <v>56</v>
      </c>
      <c r="C97" s="3" t="s">
        <v>110</v>
      </c>
      <c r="D97" s="11">
        <f>datos_base!$J$12*parametros_manuales!B$15</f>
        <v>173.1</v>
      </c>
      <c r="E97" s="11">
        <f>datos_base!$J$12*parametros_manuales!C$15</f>
        <v>138.48</v>
      </c>
      <c r="F97" s="11">
        <f>datos_base!$J$12*parametros_manuales!D$15</f>
        <v>147.135</v>
      </c>
      <c r="G97" s="11">
        <f>datos_base!$J$12*parametros_manuales!E$15</f>
        <v>147.135</v>
      </c>
      <c r="H97" s="11">
        <f>datos_base!$J$12*parametros_manuales!F$15</f>
        <v>138.48</v>
      </c>
      <c r="I97" s="11">
        <f>datos_base!$J$12*parametros_manuales!G$15</f>
        <v>129.825</v>
      </c>
      <c r="J97" s="11">
        <f>datos_base!$J$12*parametros_manuales!H$15</f>
        <v>138.48</v>
      </c>
      <c r="K97" s="11">
        <f>datos_base!$J$12*parametros_manuales!I$15</f>
        <v>138.48</v>
      </c>
      <c r="L97" s="11">
        <f>datos_base!$J$12*parametros_manuales!J$15</f>
        <v>138.48</v>
      </c>
      <c r="M97" s="11">
        <f>datos_base!$J$12*parametros_manuales!K$15</f>
        <v>129.825</v>
      </c>
      <c r="N97" s="11">
        <f>datos_base!$J$12*parametros_manuales!L$15</f>
        <v>121.17</v>
      </c>
      <c r="O97" s="11">
        <f>datos_base!$J$12*parametros_manuales!M$15</f>
        <v>190.41</v>
      </c>
      <c r="P97" s="4">
        <f t="shared" si="17"/>
        <v>1731</v>
      </c>
    </row>
    <row r="98" ht="14.25" customHeight="1">
      <c r="B98" s="9" t="s">
        <v>140</v>
      </c>
      <c r="D98" s="10">
        <f t="shared" ref="D98:P98" si="18">SUM(D90:D97)</f>
        <v>28105.46</v>
      </c>
      <c r="E98" s="10">
        <f t="shared" si="18"/>
        <v>21432.01</v>
      </c>
      <c r="F98" s="10">
        <f t="shared" si="18"/>
        <v>20030.995</v>
      </c>
      <c r="G98" s="10">
        <f t="shared" si="18"/>
        <v>19154.03</v>
      </c>
      <c r="H98" s="10">
        <f t="shared" si="18"/>
        <v>17924.15</v>
      </c>
      <c r="I98" s="10">
        <f t="shared" si="18"/>
        <v>17571.235</v>
      </c>
      <c r="J98" s="10">
        <f t="shared" si="18"/>
        <v>18801.115</v>
      </c>
      <c r="K98" s="10">
        <f t="shared" si="18"/>
        <v>18801.115</v>
      </c>
      <c r="L98" s="10">
        <f t="shared" si="18"/>
        <v>18801.115</v>
      </c>
      <c r="M98" s="10">
        <f t="shared" si="18"/>
        <v>18448.2</v>
      </c>
      <c r="N98" s="10">
        <f t="shared" si="18"/>
        <v>18095.285</v>
      </c>
      <c r="O98" s="10">
        <f t="shared" si="18"/>
        <v>28811.29</v>
      </c>
      <c r="P98" s="10">
        <f t="shared" si="18"/>
        <v>245976</v>
      </c>
    </row>
    <row r="99" ht="14.25" customHeight="1"/>
    <row r="100" ht="14.25" customHeight="1">
      <c r="A100" s="1">
        <v>2035.0</v>
      </c>
      <c r="B100" s="1" t="s">
        <v>2</v>
      </c>
      <c r="C100" s="1" t="s">
        <v>3</v>
      </c>
      <c r="D100" s="1" t="s">
        <v>5</v>
      </c>
      <c r="E100" s="1" t="s">
        <v>7</v>
      </c>
      <c r="F100" s="1" t="s">
        <v>8</v>
      </c>
      <c r="G100" s="1" t="s">
        <v>9</v>
      </c>
      <c r="H100" s="1" t="s">
        <v>11</v>
      </c>
      <c r="I100" s="1" t="s">
        <v>12</v>
      </c>
      <c r="J100" s="1" t="s">
        <v>14</v>
      </c>
      <c r="K100" s="1" t="s">
        <v>15</v>
      </c>
      <c r="L100" s="1" t="s">
        <v>16</v>
      </c>
      <c r="M100" s="1" t="s">
        <v>18</v>
      </c>
      <c r="N100" s="1" t="s">
        <v>19</v>
      </c>
      <c r="O100" s="1" t="s">
        <v>20</v>
      </c>
      <c r="P100" s="1" t="s">
        <v>21</v>
      </c>
    </row>
    <row r="101" ht="14.25" customHeight="1">
      <c r="A101" s="8">
        <v>2035.0</v>
      </c>
      <c r="B101" s="3" t="s">
        <v>13</v>
      </c>
      <c r="C101" s="3" t="s">
        <v>34</v>
      </c>
      <c r="D101" s="11">
        <f>datos_base!$K$2*parametros_manuales!B$12</f>
        <v>3848.76</v>
      </c>
      <c r="E101" s="11">
        <f>datos_base!$K$2*parametros_manuales!C$12</f>
        <v>2886.57</v>
      </c>
      <c r="F101" s="11">
        <f>datos_base!$K$2*parametros_manuales!D$12</f>
        <v>2565.84</v>
      </c>
      <c r="G101" s="11">
        <f>datos_base!$K$2*parametros_manuales!E$12</f>
        <v>2405.475</v>
      </c>
      <c r="H101" s="11">
        <f>datos_base!$K$2*parametros_manuales!F$12</f>
        <v>2245.11</v>
      </c>
      <c r="I101" s="11">
        <f>datos_base!$K$2*parametros_manuales!G$12</f>
        <v>2245.11</v>
      </c>
      <c r="J101" s="11">
        <f>datos_base!$K$2*parametros_manuales!H$12</f>
        <v>2405.475</v>
      </c>
      <c r="K101" s="11">
        <f>datos_base!$K$2*parametros_manuales!I$12</f>
        <v>2405.475</v>
      </c>
      <c r="L101" s="11">
        <f>datos_base!$K$2*parametros_manuales!J$12</f>
        <v>2405.475</v>
      </c>
      <c r="M101" s="11">
        <f>datos_base!$K$2*parametros_manuales!K$12</f>
        <v>2405.475</v>
      </c>
      <c r="N101" s="11">
        <f>datos_base!$K$2*parametros_manuales!L$12</f>
        <v>2405.475</v>
      </c>
      <c r="O101" s="11">
        <f>datos_base!$K$2*parametros_manuales!M$12</f>
        <v>3848.76</v>
      </c>
      <c r="P101" s="4">
        <f t="shared" ref="P101:P108" si="19">SUM(D101:O101)</f>
        <v>32073</v>
      </c>
    </row>
    <row r="102" ht="14.25" customHeight="1">
      <c r="A102" s="8">
        <v>2035.0</v>
      </c>
      <c r="B102" s="3" t="s">
        <v>27</v>
      </c>
      <c r="C102" s="3" t="s">
        <v>34</v>
      </c>
      <c r="D102" s="11">
        <f>datos_base!$K$3*parametros_manuales!B$13</f>
        <v>742.5</v>
      </c>
      <c r="E102" s="11">
        <f>datos_base!$K$3*parametros_manuales!C$13</f>
        <v>594</v>
      </c>
      <c r="F102" s="11">
        <f>datos_base!$K$3*parametros_manuales!D$13</f>
        <v>631.125</v>
      </c>
      <c r="G102" s="11">
        <f>datos_base!$K$3*parametros_manuales!E$13</f>
        <v>631.125</v>
      </c>
      <c r="H102" s="11">
        <f>datos_base!$K$3*parametros_manuales!F$13</f>
        <v>594</v>
      </c>
      <c r="I102" s="11">
        <f>datos_base!$K$3*parametros_manuales!G$13</f>
        <v>556.875</v>
      </c>
      <c r="J102" s="11">
        <f>datos_base!$K$3*parametros_manuales!H$13</f>
        <v>594</v>
      </c>
      <c r="K102" s="11">
        <f>datos_base!$K$3*parametros_manuales!I$13</f>
        <v>594</v>
      </c>
      <c r="L102" s="11">
        <f>datos_base!$K$3*parametros_manuales!J$13</f>
        <v>594</v>
      </c>
      <c r="M102" s="11">
        <f>datos_base!$K$3*parametros_manuales!K$13</f>
        <v>556.875</v>
      </c>
      <c r="N102" s="11">
        <f>datos_base!$K$3*parametros_manuales!L$13</f>
        <v>519.75</v>
      </c>
      <c r="O102" s="11">
        <f>datos_base!$K$3*parametros_manuales!M$13</f>
        <v>816.75</v>
      </c>
      <c r="P102" s="4">
        <f t="shared" si="19"/>
        <v>7425</v>
      </c>
    </row>
    <row r="103" ht="14.25" customHeight="1">
      <c r="A103" s="8">
        <v>2035.0</v>
      </c>
      <c r="B103" s="3" t="s">
        <v>29</v>
      </c>
      <c r="C103" s="3" t="s">
        <v>34</v>
      </c>
      <c r="D103" s="11">
        <f>datos_base!$K$4*parametros_manuales!B$14</f>
        <v>3075.1</v>
      </c>
      <c r="E103" s="11">
        <f>datos_base!$K$4*parametros_manuales!C$14</f>
        <v>2460.08</v>
      </c>
      <c r="F103" s="11">
        <f>datos_base!$K$4*parametros_manuales!D$14</f>
        <v>2613.835</v>
      </c>
      <c r="G103" s="11">
        <f>datos_base!$K$4*parametros_manuales!E$14</f>
        <v>2613.835</v>
      </c>
      <c r="H103" s="11">
        <f>datos_base!$K$4*parametros_manuales!F$14</f>
        <v>2460.08</v>
      </c>
      <c r="I103" s="11">
        <f>datos_base!$K$4*parametros_manuales!G$14</f>
        <v>2306.325</v>
      </c>
      <c r="J103" s="11">
        <f>datos_base!$K$4*parametros_manuales!H$14</f>
        <v>2460.08</v>
      </c>
      <c r="K103" s="11">
        <f>datos_base!$K$4*parametros_manuales!I$14</f>
        <v>2460.08</v>
      </c>
      <c r="L103" s="11">
        <f>datos_base!$K$4*parametros_manuales!J$14</f>
        <v>2460.08</v>
      </c>
      <c r="M103" s="11">
        <f>datos_base!$K$4*parametros_manuales!K$14</f>
        <v>2306.325</v>
      </c>
      <c r="N103" s="11">
        <f>datos_base!$K$4*parametros_manuales!L$14</f>
        <v>2152.57</v>
      </c>
      <c r="O103" s="11">
        <f>datos_base!$K$4*parametros_manuales!M$14</f>
        <v>3382.61</v>
      </c>
      <c r="P103" s="4">
        <f t="shared" si="19"/>
        <v>30751</v>
      </c>
    </row>
    <row r="104" ht="14.25" customHeight="1">
      <c r="A104" s="8">
        <v>2035.0</v>
      </c>
      <c r="B104" s="3" t="s">
        <v>32</v>
      </c>
      <c r="C104" s="3" t="s">
        <v>34</v>
      </c>
      <c r="D104" s="11">
        <f>datos_base!$K$5*parametros_manuales!B$15</f>
        <v>184.1</v>
      </c>
      <c r="E104" s="11">
        <f>datos_base!$K$5*parametros_manuales!C$15</f>
        <v>147.28</v>
      </c>
      <c r="F104" s="11">
        <f>datos_base!$K$5*parametros_manuales!D$15</f>
        <v>156.485</v>
      </c>
      <c r="G104" s="11">
        <f>datos_base!$K$5*parametros_manuales!E$15</f>
        <v>156.485</v>
      </c>
      <c r="H104" s="11">
        <f>datos_base!$K$5*parametros_manuales!F$15</f>
        <v>147.28</v>
      </c>
      <c r="I104" s="11">
        <f>datos_base!$K$5*parametros_manuales!G$15</f>
        <v>138.075</v>
      </c>
      <c r="J104" s="11">
        <f>datos_base!$K$5*parametros_manuales!H$15</f>
        <v>147.28</v>
      </c>
      <c r="K104" s="11">
        <f>datos_base!$K$5*parametros_manuales!I$15</f>
        <v>147.28</v>
      </c>
      <c r="L104" s="11">
        <f>datos_base!$K$5*parametros_manuales!J$15</f>
        <v>147.28</v>
      </c>
      <c r="M104" s="11">
        <f>datos_base!$K$5*parametros_manuales!K$15</f>
        <v>138.075</v>
      </c>
      <c r="N104" s="11">
        <f>datos_base!$K$5*parametros_manuales!L$15</f>
        <v>128.87</v>
      </c>
      <c r="O104" s="11">
        <f>datos_base!$K$5*parametros_manuales!M$15</f>
        <v>202.51</v>
      </c>
      <c r="P104" s="4">
        <f t="shared" si="19"/>
        <v>1841</v>
      </c>
    </row>
    <row r="105" ht="14.25" customHeight="1">
      <c r="A105" s="8">
        <v>2035.0</v>
      </c>
      <c r="B105" s="3" t="s">
        <v>52</v>
      </c>
      <c r="C105" s="3" t="s">
        <v>110</v>
      </c>
      <c r="D105" s="11">
        <f>datos_base!$K$9*parametros_manuales!B$12</f>
        <v>20465.76</v>
      </c>
      <c r="E105" s="11">
        <f>datos_base!$K$9*parametros_manuales!C$12</f>
        <v>15349.32</v>
      </c>
      <c r="F105" s="11">
        <f>datos_base!$K$9*parametros_manuales!D$12</f>
        <v>13643.84</v>
      </c>
      <c r="G105" s="11">
        <f>datos_base!$K$9*parametros_manuales!E$12</f>
        <v>12791.1</v>
      </c>
      <c r="H105" s="11">
        <f>datos_base!$K$9*parametros_manuales!F$12</f>
        <v>11938.36</v>
      </c>
      <c r="I105" s="11">
        <f>datos_base!$K$9*parametros_manuales!G$12</f>
        <v>11938.36</v>
      </c>
      <c r="J105" s="11">
        <f>datos_base!$K$9*parametros_manuales!H$12</f>
        <v>12791.1</v>
      </c>
      <c r="K105" s="11">
        <f>datos_base!$K$9*parametros_manuales!I$12</f>
        <v>12791.1</v>
      </c>
      <c r="L105" s="11">
        <f>datos_base!$K$9*parametros_manuales!J$12</f>
        <v>12791.1</v>
      </c>
      <c r="M105" s="11">
        <f>datos_base!$K$9*parametros_manuales!K$12</f>
        <v>12791.1</v>
      </c>
      <c r="N105" s="11">
        <f>datos_base!$K$9*parametros_manuales!L$12</f>
        <v>12791.1</v>
      </c>
      <c r="O105" s="11">
        <f>datos_base!$K$9*parametros_manuales!M$12</f>
        <v>20465.76</v>
      </c>
      <c r="P105" s="4">
        <f t="shared" si="19"/>
        <v>170548</v>
      </c>
    </row>
    <row r="106" ht="14.25" customHeight="1">
      <c r="A106" s="8">
        <v>2035.0</v>
      </c>
      <c r="B106" s="3" t="s">
        <v>54</v>
      </c>
      <c r="C106" s="3" t="s">
        <v>110</v>
      </c>
      <c r="D106" s="11">
        <f>datos_base!$K$10*parametros_manuales!B$13</f>
        <v>666.9</v>
      </c>
      <c r="E106" s="11">
        <f>datos_base!$K$10*parametros_manuales!C$13</f>
        <v>533.52</v>
      </c>
      <c r="F106" s="11">
        <f>datos_base!$K$10*parametros_manuales!D$13</f>
        <v>566.865</v>
      </c>
      <c r="G106" s="11">
        <f>datos_base!$K$10*parametros_manuales!E$13</f>
        <v>566.865</v>
      </c>
      <c r="H106" s="11">
        <f>datos_base!$K$10*parametros_manuales!F$13</f>
        <v>533.52</v>
      </c>
      <c r="I106" s="11">
        <f>datos_base!$K$10*parametros_manuales!G$13</f>
        <v>500.175</v>
      </c>
      <c r="J106" s="11">
        <f>datos_base!$K$10*parametros_manuales!H$13</f>
        <v>533.52</v>
      </c>
      <c r="K106" s="11">
        <f>datos_base!$K$10*parametros_manuales!I$13</f>
        <v>533.52</v>
      </c>
      <c r="L106" s="11">
        <f>datos_base!$K$10*parametros_manuales!J$13</f>
        <v>533.52</v>
      </c>
      <c r="M106" s="11">
        <f>datos_base!$K$10*parametros_manuales!K$13</f>
        <v>500.175</v>
      </c>
      <c r="N106" s="11">
        <f>datos_base!$K$10*parametros_manuales!L$13</f>
        <v>466.83</v>
      </c>
      <c r="O106" s="11">
        <f>datos_base!$K$10*parametros_manuales!M$13</f>
        <v>733.59</v>
      </c>
      <c r="P106" s="4">
        <f t="shared" si="19"/>
        <v>6669</v>
      </c>
    </row>
    <row r="107" ht="14.25" customHeight="1">
      <c r="A107" s="8">
        <v>2035.0</v>
      </c>
      <c r="B107" s="3" t="s">
        <v>55</v>
      </c>
      <c r="C107" s="3" t="s">
        <v>110</v>
      </c>
      <c r="D107" s="11">
        <f>datos_base!$K$11*parametros_manuales!B$14</f>
        <v>3291.5</v>
      </c>
      <c r="E107" s="11">
        <f>datos_base!$K$11*parametros_manuales!C$14</f>
        <v>2633.2</v>
      </c>
      <c r="F107" s="11">
        <f>datos_base!$K$11*parametros_manuales!D$14</f>
        <v>2797.775</v>
      </c>
      <c r="G107" s="11">
        <f>datos_base!$K$11*parametros_manuales!E$14</f>
        <v>2797.775</v>
      </c>
      <c r="H107" s="11">
        <f>datos_base!$K$11*parametros_manuales!F$14</f>
        <v>2633.2</v>
      </c>
      <c r="I107" s="11">
        <f>datos_base!$K$11*parametros_manuales!G$14</f>
        <v>2468.625</v>
      </c>
      <c r="J107" s="11">
        <f>datos_base!$K$11*parametros_manuales!H$14</f>
        <v>2633.2</v>
      </c>
      <c r="K107" s="11">
        <f>datos_base!$K$11*parametros_manuales!I$14</f>
        <v>2633.2</v>
      </c>
      <c r="L107" s="11">
        <f>datos_base!$K$11*parametros_manuales!J$14</f>
        <v>2633.2</v>
      </c>
      <c r="M107" s="11">
        <f>datos_base!$K$11*parametros_manuales!K$14</f>
        <v>2468.625</v>
      </c>
      <c r="N107" s="11">
        <f>datos_base!$K$11*parametros_manuales!L$14</f>
        <v>2304.05</v>
      </c>
      <c r="O107" s="11">
        <f>datos_base!$K$11*parametros_manuales!M$14</f>
        <v>3620.65</v>
      </c>
      <c r="P107" s="4">
        <f t="shared" si="19"/>
        <v>32915</v>
      </c>
    </row>
    <row r="108" ht="14.25" customHeight="1">
      <c r="A108" s="8">
        <v>2035.0</v>
      </c>
      <c r="B108" s="3" t="s">
        <v>56</v>
      </c>
      <c r="C108" s="3" t="s">
        <v>110</v>
      </c>
      <c r="D108" s="11">
        <f>datos_base!$K$12*parametros_manuales!B$15</f>
        <v>201.1</v>
      </c>
      <c r="E108" s="11">
        <f>datos_base!$K$12*parametros_manuales!C$15</f>
        <v>160.88</v>
      </c>
      <c r="F108" s="11">
        <f>datos_base!$K$12*parametros_manuales!D$15</f>
        <v>170.935</v>
      </c>
      <c r="G108" s="11">
        <f>datos_base!$K$12*parametros_manuales!E$15</f>
        <v>170.935</v>
      </c>
      <c r="H108" s="11">
        <f>datos_base!$K$12*parametros_manuales!F$15</f>
        <v>160.88</v>
      </c>
      <c r="I108" s="11">
        <f>datos_base!$K$12*parametros_manuales!G$15</f>
        <v>150.825</v>
      </c>
      <c r="J108" s="11">
        <f>datos_base!$K$12*parametros_manuales!H$15</f>
        <v>160.88</v>
      </c>
      <c r="K108" s="11">
        <f>datos_base!$K$12*parametros_manuales!I$15</f>
        <v>160.88</v>
      </c>
      <c r="L108" s="11">
        <f>datos_base!$K$12*parametros_manuales!J$15</f>
        <v>160.88</v>
      </c>
      <c r="M108" s="11">
        <f>datos_base!$K$12*parametros_manuales!K$15</f>
        <v>150.825</v>
      </c>
      <c r="N108" s="11">
        <f>datos_base!$K$12*parametros_manuales!L$15</f>
        <v>140.77</v>
      </c>
      <c r="O108" s="11">
        <f>datos_base!$K$12*parametros_manuales!M$15</f>
        <v>221.21</v>
      </c>
      <c r="P108" s="4">
        <f t="shared" si="19"/>
        <v>2011</v>
      </c>
    </row>
    <row r="109" ht="14.25" customHeight="1">
      <c r="B109" s="9" t="s">
        <v>140</v>
      </c>
      <c r="D109" s="10">
        <f t="shared" ref="D109:P109" si="20">SUM(D101:D108)</f>
        <v>32475.72</v>
      </c>
      <c r="E109" s="10">
        <f t="shared" si="20"/>
        <v>24764.85</v>
      </c>
      <c r="F109" s="10">
        <f t="shared" si="20"/>
        <v>23146.7</v>
      </c>
      <c r="G109" s="10">
        <f t="shared" si="20"/>
        <v>22133.595</v>
      </c>
      <c r="H109" s="10">
        <f t="shared" si="20"/>
        <v>20712.43</v>
      </c>
      <c r="I109" s="10">
        <f t="shared" si="20"/>
        <v>20304.37</v>
      </c>
      <c r="J109" s="10">
        <f t="shared" si="20"/>
        <v>21725.535</v>
      </c>
      <c r="K109" s="10">
        <f t="shared" si="20"/>
        <v>21725.535</v>
      </c>
      <c r="L109" s="10">
        <f t="shared" si="20"/>
        <v>21725.535</v>
      </c>
      <c r="M109" s="10">
        <f t="shared" si="20"/>
        <v>21317.475</v>
      </c>
      <c r="N109" s="10">
        <f t="shared" si="20"/>
        <v>20909.415</v>
      </c>
      <c r="O109" s="10">
        <f t="shared" si="20"/>
        <v>33291.84</v>
      </c>
      <c r="P109" s="10">
        <f t="shared" si="20"/>
        <v>284233</v>
      </c>
    </row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4" width="9.0"/>
    <col customWidth="1" min="15" max="16" width="12.0"/>
    <col customWidth="1" min="17" max="17" width="9.0"/>
  </cols>
  <sheetData>
    <row r="1" ht="14.25" customHeight="1">
      <c r="A1" s="1" t="s">
        <v>10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11</v>
      </c>
      <c r="G1" s="1" t="s">
        <v>12</v>
      </c>
      <c r="H1" s="1" t="s">
        <v>14</v>
      </c>
      <c r="I1" s="1" t="s">
        <v>15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</row>
    <row r="2" ht="14.25" customHeight="1">
      <c r="A2" s="3" t="str">
        <f>parametros_manuales!$B$19</f>
        <v>Recepción de materia prima</v>
      </c>
      <c r="B2" s="4">
        <f>(parametros_manuales!$D$19*('Plan mensual'!D2+IF(parametros_manuales!$H$19="Todos",'Plan mensual'!D6,0))+parametros_manuales!$E$19*('Plan mensual'!D3+IF(parametros_manuales!$H$19="Todos",'Plan mensual'!D7,0))+parametros_manuales!$F$19*('Plan mensual'!D4+IF(parametros_manuales!$H$19="Todos",'Plan mensual'!D8,0))+parametros_manuales!$G$19*('Plan mensual'!D5+IF(parametros_manuales!$H$19="Todos",'Plan mensual'!D9,0)))*parametros_manuales!$I$19*parametros_manuales!$J$19</f>
        <v>765.78</v>
      </c>
      <c r="C2" s="4">
        <f>(parametros_manuales!$D$19*('Plan mensual'!E2+IF(parametros_manuales!$H$19="Todos",'Plan mensual'!E6,0))+parametros_manuales!$E$19*('Plan mensual'!E3+IF(parametros_manuales!$H$19="Todos",'Plan mensual'!E7,0))+parametros_manuales!$F$19*('Plan mensual'!E4+IF(parametros_manuales!$H$19="Todos",'Plan mensual'!E8,0))+parametros_manuales!$G$19*('Plan mensual'!E5+IF(parametros_manuales!$H$19="Todos",'Plan mensual'!E9,0)))*parametros_manuales!$I$19*parametros_manuales!$J$19</f>
        <v>587.55</v>
      </c>
      <c r="D2" s="4">
        <f>(parametros_manuales!$D$19*('Plan mensual'!F2+IF(parametros_manuales!$H$19="Todos",'Plan mensual'!F6,0))+parametros_manuales!$E$19*('Plan mensual'!F3+IF(parametros_manuales!$H$19="Todos",'Plan mensual'!F7,0))+parametros_manuales!$F$19*('Plan mensual'!F4+IF(parametros_manuales!$H$19="Todos",'Plan mensual'!F8,0))+parametros_manuales!$G$19*('Plan mensual'!F5+IF(parametros_manuales!$H$19="Todos",'Plan mensual'!F9,0)))*parametros_manuales!$I$19*parametros_manuales!$J$19</f>
        <v>558.975</v>
      </c>
      <c r="E2" s="4">
        <f>(parametros_manuales!$D$19*('Plan mensual'!G2+IF(parametros_manuales!$H$19="Todos",'Plan mensual'!G6,0))+parametros_manuales!$E$19*('Plan mensual'!G3+IF(parametros_manuales!$H$19="Todos",'Plan mensual'!G7,0))+parametros_manuales!$F$19*('Plan mensual'!G4+IF(parametros_manuales!$H$19="Todos",'Plan mensual'!G8,0))+parametros_manuales!$G$19*('Plan mensual'!G5+IF(parametros_manuales!$H$19="Todos",'Plan mensual'!G9,0)))*parametros_manuales!$I$19*parametros_manuales!$J$19</f>
        <v>538.08</v>
      </c>
      <c r="F2" s="4">
        <f>(parametros_manuales!$D$19*('Plan mensual'!H2+IF(parametros_manuales!$H$19="Todos",'Plan mensual'!H6,0))+parametros_manuales!$E$19*('Plan mensual'!H3+IF(parametros_manuales!$H$19="Todos",'Plan mensual'!H7,0))+parametros_manuales!$F$19*('Plan mensual'!H4+IF(parametros_manuales!$H$19="Todos",'Plan mensual'!H8,0))+parametros_manuales!$G$19*('Plan mensual'!H5+IF(parametros_manuales!$H$19="Todos",'Plan mensual'!H9,0)))*parametros_manuales!$I$19*parametros_manuales!$J$19</f>
        <v>503.97</v>
      </c>
      <c r="G2" s="4">
        <f>(parametros_manuales!$D$19*('Plan mensual'!I2+IF(parametros_manuales!$H$19="Todos",'Plan mensual'!I6,0))+parametros_manuales!$E$19*('Plan mensual'!I3+IF(parametros_manuales!$H$19="Todos",'Plan mensual'!I7,0))+parametros_manuales!$F$19*('Plan mensual'!I4+IF(parametros_manuales!$H$19="Todos",'Plan mensual'!I8,0))+parametros_manuales!$G$19*('Plan mensual'!I5+IF(parametros_manuales!$H$19="Todos",'Plan mensual'!I9,0)))*parametros_manuales!$I$19*parametros_manuales!$J$19</f>
        <v>490.755</v>
      </c>
      <c r="H2" s="4">
        <f>(parametros_manuales!$D$19*('Plan mensual'!J2+IF(parametros_manuales!$H$19="Todos",'Plan mensual'!J6,0))+parametros_manuales!$E$19*('Plan mensual'!J3+IF(parametros_manuales!$H$19="Todos",'Plan mensual'!J7,0))+parametros_manuales!$F$19*('Plan mensual'!J4+IF(parametros_manuales!$H$19="Todos",'Plan mensual'!J8,0))+parametros_manuales!$G$19*('Plan mensual'!J5+IF(parametros_manuales!$H$19="Todos",'Plan mensual'!J9,0)))*parametros_manuales!$I$19*parametros_manuales!$J$19</f>
        <v>524.865</v>
      </c>
      <c r="I2" s="4">
        <f>(parametros_manuales!$D$19*('Plan mensual'!K2+IF(parametros_manuales!$H$19="Todos",'Plan mensual'!K6,0))+parametros_manuales!$E$19*('Plan mensual'!K3+IF(parametros_manuales!$H$19="Todos",'Plan mensual'!K7,0))+parametros_manuales!$F$19*('Plan mensual'!K4+IF(parametros_manuales!$H$19="Todos",'Plan mensual'!K8,0))+parametros_manuales!$G$19*('Plan mensual'!K5+IF(parametros_manuales!$H$19="Todos",'Plan mensual'!K9,0)))*parametros_manuales!$I$19*parametros_manuales!$J$19</f>
        <v>524.865</v>
      </c>
      <c r="J2" s="4">
        <f>(parametros_manuales!$D$19*('Plan mensual'!L2+IF(parametros_manuales!$H$19="Todos",'Plan mensual'!L6,0))+parametros_manuales!$E$19*('Plan mensual'!L3+IF(parametros_manuales!$H$19="Todos",'Plan mensual'!L7,0))+parametros_manuales!$F$19*('Plan mensual'!L4+IF(parametros_manuales!$H$19="Todos",'Plan mensual'!L8,0))+parametros_manuales!$G$19*('Plan mensual'!L5+IF(parametros_manuales!$H$19="Todos",'Plan mensual'!L9,0)))*parametros_manuales!$I$19*parametros_manuales!$J$19</f>
        <v>524.865</v>
      </c>
      <c r="K2" s="4">
        <f>(parametros_manuales!$D$19*('Plan mensual'!M2+IF(parametros_manuales!$H$19="Todos",'Plan mensual'!M6,0))+parametros_manuales!$E$19*('Plan mensual'!M3+IF(parametros_manuales!$H$19="Todos",'Plan mensual'!M7,0))+parametros_manuales!$F$19*('Plan mensual'!M4+IF(parametros_manuales!$H$19="Todos",'Plan mensual'!M8,0))+parametros_manuales!$G$19*('Plan mensual'!M5+IF(parametros_manuales!$H$19="Todos",'Plan mensual'!M9,0)))*parametros_manuales!$I$19*parametros_manuales!$J$19</f>
        <v>511.65</v>
      </c>
      <c r="L2" s="4">
        <f>(parametros_manuales!$D$19*('Plan mensual'!N2+IF(parametros_manuales!$H$19="Todos",'Plan mensual'!N6,0))+parametros_manuales!$E$19*('Plan mensual'!N3+IF(parametros_manuales!$H$19="Todos",'Plan mensual'!N7,0))+parametros_manuales!$F$19*('Plan mensual'!N4+IF(parametros_manuales!$H$19="Todos",'Plan mensual'!N8,0))+parametros_manuales!$G$19*('Plan mensual'!N5+IF(parametros_manuales!$H$19="Todos",'Plan mensual'!N9,0)))*parametros_manuales!$I$19*parametros_manuales!$J$19</f>
        <v>498.435</v>
      </c>
      <c r="M2" s="4">
        <f>(parametros_manuales!$D$19*('Plan mensual'!O2+IF(parametros_manuales!$H$19="Todos",'Plan mensual'!O6,0))+parametros_manuales!$E$19*('Plan mensual'!O3+IF(parametros_manuales!$H$19="Todos",'Plan mensual'!O7,0))+parametros_manuales!$F$19*('Plan mensual'!O4+IF(parametros_manuales!$H$19="Todos",'Plan mensual'!O8,0))+parametros_manuales!$G$19*('Plan mensual'!O5+IF(parametros_manuales!$H$19="Todos",'Plan mensual'!O9,0)))*parametros_manuales!$I$19*parametros_manuales!$J$19</f>
        <v>792.21</v>
      </c>
      <c r="N2" s="4">
        <f t="shared" ref="N2:N26" si="1">SUM(B2:M2)</f>
        <v>6822</v>
      </c>
      <c r="O2" s="4">
        <f t="shared" ref="O2:O26" si="2">MAX(B2:M2)</f>
        <v>792.21</v>
      </c>
      <c r="P2" s="27">
        <f>O2/(parametros_manuales!$B$7)</f>
        <v>5.2814</v>
      </c>
      <c r="Q2" s="3" t="str">
        <f t="shared" ref="Q2:Q26" si="3">IF(O2=0,"-",INDEX($B$1:$M$1,MATCH(O2,B2:M2,0)))</f>
        <v>Dic</v>
      </c>
    </row>
    <row r="3" ht="14.25" customHeight="1">
      <c r="A3" s="3" t="str">
        <f>parametros_manuales!$B$20</f>
        <v>Corte de chapa (guillotina) — 2,5 a 10 kg</v>
      </c>
      <c r="B3" s="4">
        <f>(parametros_manuales!$D$20*('Plan mensual'!D2+IF(parametros_manuales!$H$20="Todos",'Plan mensual'!D6,0))+parametros_manuales!$E$20*('Plan mensual'!D3+IF(parametros_manuales!$H$20="Todos",'Plan mensual'!D7,0))+parametros_manuales!$F$20*('Plan mensual'!D4+IF(parametros_manuales!$H$20="Todos",'Plan mensual'!D8,0))+parametros_manuales!$G$20*('Plan mensual'!D5+IF(parametros_manuales!$H$20="Todos",'Plan mensual'!D9,0)))*parametros_manuales!$I$20*parametros_manuales!$J$20</f>
        <v>264.3</v>
      </c>
      <c r="C3" s="4">
        <f>(parametros_manuales!$D$20*('Plan mensual'!E2+IF(parametros_manuales!$H$20="Todos",'Plan mensual'!E6,0))+parametros_manuales!$E$20*('Plan mensual'!E3+IF(parametros_manuales!$H$20="Todos",'Plan mensual'!E7,0))+parametros_manuales!$F$20*('Plan mensual'!E4+IF(parametros_manuales!$H$20="Todos",'Plan mensual'!E8,0))+parametros_manuales!$G$20*('Plan mensual'!E5+IF(parametros_manuales!$H$20="Todos",'Plan mensual'!E9,0)))*parametros_manuales!$I$20*parametros_manuales!$J$20</f>
        <v>211.44</v>
      </c>
      <c r="D3" s="4">
        <f>(parametros_manuales!$D$20*('Plan mensual'!F2+IF(parametros_manuales!$H$20="Todos",'Plan mensual'!F6,0))+parametros_manuales!$E$20*('Plan mensual'!F3+IF(parametros_manuales!$H$20="Todos",'Plan mensual'!F7,0))+parametros_manuales!$F$20*('Plan mensual'!F4+IF(parametros_manuales!$H$20="Todos",'Plan mensual'!F8,0))+parametros_manuales!$G$20*('Plan mensual'!F5+IF(parametros_manuales!$H$20="Todos",'Plan mensual'!F9,0)))*parametros_manuales!$I$20*parametros_manuales!$J$20</f>
        <v>224.655</v>
      </c>
      <c r="E3" s="4">
        <f>(parametros_manuales!$D$20*('Plan mensual'!G2+IF(parametros_manuales!$H$20="Todos",'Plan mensual'!G6,0))+parametros_manuales!$E$20*('Plan mensual'!G3+IF(parametros_manuales!$H$20="Todos",'Plan mensual'!G7,0))+parametros_manuales!$F$20*('Plan mensual'!G4+IF(parametros_manuales!$H$20="Todos",'Plan mensual'!G8,0))+parametros_manuales!$G$20*('Plan mensual'!G5+IF(parametros_manuales!$H$20="Todos",'Plan mensual'!G9,0)))*parametros_manuales!$I$20*parametros_manuales!$J$20</f>
        <v>224.655</v>
      </c>
      <c r="F3" s="4">
        <f>(parametros_manuales!$D$20*('Plan mensual'!H2+IF(parametros_manuales!$H$20="Todos",'Plan mensual'!H6,0))+parametros_manuales!$E$20*('Plan mensual'!H3+IF(parametros_manuales!$H$20="Todos",'Plan mensual'!H7,0))+parametros_manuales!$F$20*('Plan mensual'!H4+IF(parametros_manuales!$H$20="Todos",'Plan mensual'!H8,0))+parametros_manuales!$G$20*('Plan mensual'!H5+IF(parametros_manuales!$H$20="Todos",'Plan mensual'!H9,0)))*parametros_manuales!$I$20*parametros_manuales!$J$20</f>
        <v>211.44</v>
      </c>
      <c r="G3" s="4">
        <f>(parametros_manuales!$D$20*('Plan mensual'!I2+IF(parametros_manuales!$H$20="Todos",'Plan mensual'!I6,0))+parametros_manuales!$E$20*('Plan mensual'!I3+IF(parametros_manuales!$H$20="Todos",'Plan mensual'!I7,0))+parametros_manuales!$F$20*('Plan mensual'!I4+IF(parametros_manuales!$H$20="Todos",'Plan mensual'!I8,0))+parametros_manuales!$G$20*('Plan mensual'!I5+IF(parametros_manuales!$H$20="Todos",'Plan mensual'!I9,0)))*parametros_manuales!$I$20*parametros_manuales!$J$20</f>
        <v>198.225</v>
      </c>
      <c r="H3" s="4">
        <f>(parametros_manuales!$D$20*('Plan mensual'!J2+IF(parametros_manuales!$H$20="Todos",'Plan mensual'!J6,0))+parametros_manuales!$E$20*('Plan mensual'!J3+IF(parametros_manuales!$H$20="Todos",'Plan mensual'!J7,0))+parametros_manuales!$F$20*('Plan mensual'!J4+IF(parametros_manuales!$H$20="Todos",'Plan mensual'!J8,0))+parametros_manuales!$G$20*('Plan mensual'!J5+IF(parametros_manuales!$H$20="Todos",'Plan mensual'!J9,0)))*parametros_manuales!$I$20*parametros_manuales!$J$20</f>
        <v>211.44</v>
      </c>
      <c r="I3" s="4">
        <f>(parametros_manuales!$D$20*('Plan mensual'!K2+IF(parametros_manuales!$H$20="Todos",'Plan mensual'!K6,0))+parametros_manuales!$E$20*('Plan mensual'!K3+IF(parametros_manuales!$H$20="Todos",'Plan mensual'!K7,0))+parametros_manuales!$F$20*('Plan mensual'!K4+IF(parametros_manuales!$H$20="Todos",'Plan mensual'!K8,0))+parametros_manuales!$G$20*('Plan mensual'!K5+IF(parametros_manuales!$H$20="Todos",'Plan mensual'!K9,0)))*parametros_manuales!$I$20*parametros_manuales!$J$20</f>
        <v>211.44</v>
      </c>
      <c r="J3" s="4">
        <f>(parametros_manuales!$D$20*('Plan mensual'!L2+IF(parametros_manuales!$H$20="Todos",'Plan mensual'!L6,0))+parametros_manuales!$E$20*('Plan mensual'!L3+IF(parametros_manuales!$H$20="Todos",'Plan mensual'!L7,0))+parametros_manuales!$F$20*('Plan mensual'!L4+IF(parametros_manuales!$H$20="Todos",'Plan mensual'!L8,0))+parametros_manuales!$G$20*('Plan mensual'!L5+IF(parametros_manuales!$H$20="Todos",'Plan mensual'!L9,0)))*parametros_manuales!$I$20*parametros_manuales!$J$20</f>
        <v>211.44</v>
      </c>
      <c r="K3" s="4">
        <f>(parametros_manuales!$D$20*('Plan mensual'!M2+IF(parametros_manuales!$H$20="Todos",'Plan mensual'!M6,0))+parametros_manuales!$E$20*('Plan mensual'!M3+IF(parametros_manuales!$H$20="Todos",'Plan mensual'!M7,0))+parametros_manuales!$F$20*('Plan mensual'!M4+IF(parametros_manuales!$H$20="Todos",'Plan mensual'!M8,0))+parametros_manuales!$G$20*('Plan mensual'!M5+IF(parametros_manuales!$H$20="Todos",'Plan mensual'!M9,0)))*parametros_manuales!$I$20*parametros_manuales!$J$20</f>
        <v>198.225</v>
      </c>
      <c r="L3" s="4">
        <f>(parametros_manuales!$D$20*('Plan mensual'!N2+IF(parametros_manuales!$H$20="Todos",'Plan mensual'!N6,0))+parametros_manuales!$E$20*('Plan mensual'!N3+IF(parametros_manuales!$H$20="Todos",'Plan mensual'!N7,0))+parametros_manuales!$F$20*('Plan mensual'!N4+IF(parametros_manuales!$H$20="Todos",'Plan mensual'!N8,0))+parametros_manuales!$G$20*('Plan mensual'!N5+IF(parametros_manuales!$H$20="Todos",'Plan mensual'!N9,0)))*parametros_manuales!$I$20*parametros_manuales!$J$20</f>
        <v>185.01</v>
      </c>
      <c r="M3" s="4">
        <f>(parametros_manuales!$D$20*('Plan mensual'!O2+IF(parametros_manuales!$H$20="Todos",'Plan mensual'!O6,0))+parametros_manuales!$E$20*('Plan mensual'!O3+IF(parametros_manuales!$H$20="Todos",'Plan mensual'!O7,0))+parametros_manuales!$F$20*('Plan mensual'!O4+IF(parametros_manuales!$H$20="Todos",'Plan mensual'!O8,0))+parametros_manuales!$G$20*('Plan mensual'!O5+IF(parametros_manuales!$H$20="Todos",'Plan mensual'!O9,0)))*parametros_manuales!$I$20*parametros_manuales!$J$20</f>
        <v>290.73</v>
      </c>
      <c r="N3" s="4">
        <f t="shared" si="1"/>
        <v>2643</v>
      </c>
      <c r="O3" s="4">
        <f t="shared" si="2"/>
        <v>290.73</v>
      </c>
      <c r="P3" s="27">
        <f>O3/(parametros_manuales!$B$7)</f>
        <v>1.9382</v>
      </c>
      <c r="Q3" s="3" t="str">
        <f t="shared" si="3"/>
        <v>Dic</v>
      </c>
    </row>
    <row r="4" ht="14.25" customHeight="1">
      <c r="A4" s="3" t="str">
        <f>parametros_manuales!$B$21</f>
        <v>Corte de tubo — 1 kg</v>
      </c>
      <c r="B4" s="4">
        <f>(parametros_manuales!$D$21*('Plan mensual'!D2+IF(parametros_manuales!$H$21="Todos",'Plan mensual'!D6,0))+parametros_manuales!$E$21*('Plan mensual'!D3+IF(parametros_manuales!$H$21="Todos",'Plan mensual'!D7,0))+parametros_manuales!$F$21*('Plan mensual'!D4+IF(parametros_manuales!$H$21="Todos",'Plan mensual'!D8,0))+parametros_manuales!$G$21*('Plan mensual'!D5+IF(parametros_manuales!$H$21="Todos",'Plan mensual'!D9,0)))*parametros_manuales!$I$21*parametros_manuales!$J$21</f>
        <v>501.48</v>
      </c>
      <c r="C4" s="4">
        <f>(parametros_manuales!$D$21*('Plan mensual'!E2+IF(parametros_manuales!$H$21="Todos",'Plan mensual'!E6,0))+parametros_manuales!$E$21*('Plan mensual'!E3+IF(parametros_manuales!$H$21="Todos",'Plan mensual'!E7,0))+parametros_manuales!$F$21*('Plan mensual'!E4+IF(parametros_manuales!$H$21="Todos",'Plan mensual'!E8,0))+parametros_manuales!$G$21*('Plan mensual'!E5+IF(parametros_manuales!$H$21="Todos",'Plan mensual'!E9,0)))*parametros_manuales!$I$21*parametros_manuales!$J$21</f>
        <v>376.11</v>
      </c>
      <c r="D4" s="4">
        <f>(parametros_manuales!$D$21*('Plan mensual'!F2+IF(parametros_manuales!$H$21="Todos",'Plan mensual'!F6,0))+parametros_manuales!$E$21*('Plan mensual'!F3+IF(parametros_manuales!$H$21="Todos",'Plan mensual'!F7,0))+parametros_manuales!$F$21*('Plan mensual'!F4+IF(parametros_manuales!$H$21="Todos",'Plan mensual'!F8,0))+parametros_manuales!$G$21*('Plan mensual'!F5+IF(parametros_manuales!$H$21="Todos",'Plan mensual'!F9,0)))*parametros_manuales!$I$21*parametros_manuales!$J$21</f>
        <v>334.32</v>
      </c>
      <c r="E4" s="4">
        <f>(parametros_manuales!$D$21*('Plan mensual'!G2+IF(parametros_manuales!$H$21="Todos",'Plan mensual'!G6,0))+parametros_manuales!$E$21*('Plan mensual'!G3+IF(parametros_manuales!$H$21="Todos",'Plan mensual'!G7,0))+parametros_manuales!$F$21*('Plan mensual'!G4+IF(parametros_manuales!$H$21="Todos",'Plan mensual'!G8,0))+parametros_manuales!$G$21*('Plan mensual'!G5+IF(parametros_manuales!$H$21="Todos",'Plan mensual'!G9,0)))*parametros_manuales!$I$21*parametros_manuales!$J$21</f>
        <v>313.425</v>
      </c>
      <c r="F4" s="4">
        <f>(parametros_manuales!$D$21*('Plan mensual'!H2+IF(parametros_manuales!$H$21="Todos",'Plan mensual'!H6,0))+parametros_manuales!$E$21*('Plan mensual'!H3+IF(parametros_manuales!$H$21="Todos",'Plan mensual'!H7,0))+parametros_manuales!$F$21*('Plan mensual'!H4+IF(parametros_manuales!$H$21="Todos",'Plan mensual'!H8,0))+parametros_manuales!$G$21*('Plan mensual'!H5+IF(parametros_manuales!$H$21="Todos",'Plan mensual'!H9,0)))*parametros_manuales!$I$21*parametros_manuales!$J$21</f>
        <v>292.53</v>
      </c>
      <c r="G4" s="4">
        <f>(parametros_manuales!$D$21*('Plan mensual'!I2+IF(parametros_manuales!$H$21="Todos",'Plan mensual'!I6,0))+parametros_manuales!$E$21*('Plan mensual'!I3+IF(parametros_manuales!$H$21="Todos",'Plan mensual'!I7,0))+parametros_manuales!$F$21*('Plan mensual'!I4+IF(parametros_manuales!$H$21="Todos",'Plan mensual'!I8,0))+parametros_manuales!$G$21*('Plan mensual'!I5+IF(parametros_manuales!$H$21="Todos",'Plan mensual'!I9,0)))*parametros_manuales!$I$21*parametros_manuales!$J$21</f>
        <v>292.53</v>
      </c>
      <c r="H4" s="4">
        <f>(parametros_manuales!$D$21*('Plan mensual'!J2+IF(parametros_manuales!$H$21="Todos",'Plan mensual'!J6,0))+parametros_manuales!$E$21*('Plan mensual'!J3+IF(parametros_manuales!$H$21="Todos",'Plan mensual'!J7,0))+parametros_manuales!$F$21*('Plan mensual'!J4+IF(parametros_manuales!$H$21="Todos",'Plan mensual'!J8,0))+parametros_manuales!$G$21*('Plan mensual'!J5+IF(parametros_manuales!$H$21="Todos",'Plan mensual'!J9,0)))*parametros_manuales!$I$21*parametros_manuales!$J$21</f>
        <v>313.425</v>
      </c>
      <c r="I4" s="4">
        <f>(parametros_manuales!$D$21*('Plan mensual'!K2+IF(parametros_manuales!$H$21="Todos",'Plan mensual'!K6,0))+parametros_manuales!$E$21*('Plan mensual'!K3+IF(parametros_manuales!$H$21="Todos",'Plan mensual'!K7,0))+parametros_manuales!$F$21*('Plan mensual'!K4+IF(parametros_manuales!$H$21="Todos",'Plan mensual'!K8,0))+parametros_manuales!$G$21*('Plan mensual'!K5+IF(parametros_manuales!$H$21="Todos",'Plan mensual'!K9,0)))*parametros_manuales!$I$21*parametros_manuales!$J$21</f>
        <v>313.425</v>
      </c>
      <c r="J4" s="4">
        <f>(parametros_manuales!$D$21*('Plan mensual'!L2+IF(parametros_manuales!$H$21="Todos",'Plan mensual'!L6,0))+parametros_manuales!$E$21*('Plan mensual'!L3+IF(parametros_manuales!$H$21="Todos",'Plan mensual'!L7,0))+parametros_manuales!$F$21*('Plan mensual'!L4+IF(parametros_manuales!$H$21="Todos",'Plan mensual'!L8,0))+parametros_manuales!$G$21*('Plan mensual'!L5+IF(parametros_manuales!$H$21="Todos",'Plan mensual'!L9,0)))*parametros_manuales!$I$21*parametros_manuales!$J$21</f>
        <v>313.425</v>
      </c>
      <c r="K4" s="4">
        <f>(parametros_manuales!$D$21*('Plan mensual'!M2+IF(parametros_manuales!$H$21="Todos",'Plan mensual'!M6,0))+parametros_manuales!$E$21*('Plan mensual'!M3+IF(parametros_manuales!$H$21="Todos",'Plan mensual'!M7,0))+parametros_manuales!$F$21*('Plan mensual'!M4+IF(parametros_manuales!$H$21="Todos",'Plan mensual'!M8,0))+parametros_manuales!$G$21*('Plan mensual'!M5+IF(parametros_manuales!$H$21="Todos",'Plan mensual'!M9,0)))*parametros_manuales!$I$21*parametros_manuales!$J$21</f>
        <v>313.425</v>
      </c>
      <c r="L4" s="4">
        <f>(parametros_manuales!$D$21*('Plan mensual'!N2+IF(parametros_manuales!$H$21="Todos",'Plan mensual'!N6,0))+parametros_manuales!$E$21*('Plan mensual'!N3+IF(parametros_manuales!$H$21="Todos",'Plan mensual'!N7,0))+parametros_manuales!$F$21*('Plan mensual'!N4+IF(parametros_manuales!$H$21="Todos",'Plan mensual'!N8,0))+parametros_manuales!$G$21*('Plan mensual'!N5+IF(parametros_manuales!$H$21="Todos",'Plan mensual'!N9,0)))*parametros_manuales!$I$21*parametros_manuales!$J$21</f>
        <v>313.425</v>
      </c>
      <c r="M4" s="4">
        <f>(parametros_manuales!$D$21*('Plan mensual'!O2+IF(parametros_manuales!$H$21="Todos",'Plan mensual'!O6,0))+parametros_manuales!$E$21*('Plan mensual'!O3+IF(parametros_manuales!$H$21="Todos",'Plan mensual'!O7,0))+parametros_manuales!$F$21*('Plan mensual'!O4+IF(parametros_manuales!$H$21="Todos",'Plan mensual'!O8,0))+parametros_manuales!$G$21*('Plan mensual'!O5+IF(parametros_manuales!$H$21="Todos",'Plan mensual'!O9,0)))*parametros_manuales!$I$21*parametros_manuales!$J$21</f>
        <v>501.48</v>
      </c>
      <c r="N4" s="4">
        <f t="shared" si="1"/>
        <v>4179</v>
      </c>
      <c r="O4" s="4">
        <f t="shared" si="2"/>
        <v>501.48</v>
      </c>
      <c r="P4" s="27">
        <f>O4/(parametros_manuales!$B$7)</f>
        <v>3.3432</v>
      </c>
      <c r="Q4" s="3" t="str">
        <f t="shared" si="3"/>
        <v>Ene</v>
      </c>
    </row>
    <row r="5" ht="14.25" customHeight="1">
      <c r="A5" s="3" t="str">
        <f>parametros_manuales!$B$22</f>
        <v>Corte de disco y embutido (cúpula y fondo)</v>
      </c>
      <c r="B5" s="4">
        <f>(parametros_manuales!$D$22*('Plan mensual'!D2+IF(parametros_manuales!$H$22="Todos",'Plan mensual'!D6,0))+parametros_manuales!$E$22*('Plan mensual'!D3+IF(parametros_manuales!$H$22="Todos",'Plan mensual'!D7,0))+parametros_manuales!$F$22*('Plan mensual'!D4+IF(parametros_manuales!$H$22="Todos",'Plan mensual'!D8,0))+parametros_manuales!$G$22*('Plan mensual'!D5+IF(parametros_manuales!$H$22="Todos",'Plan mensual'!D9,0)))*parametros_manuales!$I$22*parametros_manuales!$J$22</f>
        <v>1531.56</v>
      </c>
      <c r="C5" s="4">
        <f>(parametros_manuales!$D$22*('Plan mensual'!E2+IF(parametros_manuales!$H$22="Todos",'Plan mensual'!E6,0))+parametros_manuales!$E$22*('Plan mensual'!E3+IF(parametros_manuales!$H$22="Todos",'Plan mensual'!E7,0))+parametros_manuales!$F$22*('Plan mensual'!E4+IF(parametros_manuales!$H$22="Todos",'Plan mensual'!E8,0))+parametros_manuales!$G$22*('Plan mensual'!E5+IF(parametros_manuales!$H$22="Todos",'Plan mensual'!E9,0)))*parametros_manuales!$I$22*parametros_manuales!$J$22</f>
        <v>1175.1</v>
      </c>
      <c r="D5" s="4">
        <f>(parametros_manuales!$D$22*('Plan mensual'!F2+IF(parametros_manuales!$H$22="Todos",'Plan mensual'!F6,0))+parametros_manuales!$E$22*('Plan mensual'!F3+IF(parametros_manuales!$H$22="Todos",'Plan mensual'!F7,0))+parametros_manuales!$F$22*('Plan mensual'!F4+IF(parametros_manuales!$H$22="Todos",'Plan mensual'!F8,0))+parametros_manuales!$G$22*('Plan mensual'!F5+IF(parametros_manuales!$H$22="Todos",'Plan mensual'!F9,0)))*parametros_manuales!$I$22*parametros_manuales!$J$22</f>
        <v>1117.95</v>
      </c>
      <c r="E5" s="4">
        <f>(parametros_manuales!$D$22*('Plan mensual'!G2+IF(parametros_manuales!$H$22="Todos",'Plan mensual'!G6,0))+parametros_manuales!$E$22*('Plan mensual'!G3+IF(parametros_manuales!$H$22="Todos",'Plan mensual'!G7,0))+parametros_manuales!$F$22*('Plan mensual'!G4+IF(parametros_manuales!$H$22="Todos",'Plan mensual'!G8,0))+parametros_manuales!$G$22*('Plan mensual'!G5+IF(parametros_manuales!$H$22="Todos",'Plan mensual'!G9,0)))*parametros_manuales!$I$22*parametros_manuales!$J$22</f>
        <v>1076.16</v>
      </c>
      <c r="F5" s="4">
        <f>(parametros_manuales!$D$22*('Plan mensual'!H2+IF(parametros_manuales!$H$22="Todos",'Plan mensual'!H6,0))+parametros_manuales!$E$22*('Plan mensual'!H3+IF(parametros_manuales!$H$22="Todos",'Plan mensual'!H7,0))+parametros_manuales!$F$22*('Plan mensual'!H4+IF(parametros_manuales!$H$22="Todos",'Plan mensual'!H8,0))+parametros_manuales!$G$22*('Plan mensual'!H5+IF(parametros_manuales!$H$22="Todos",'Plan mensual'!H9,0)))*parametros_manuales!$I$22*parametros_manuales!$J$22</f>
        <v>1007.94</v>
      </c>
      <c r="G5" s="4">
        <f>(parametros_manuales!$D$22*('Plan mensual'!I2+IF(parametros_manuales!$H$22="Todos",'Plan mensual'!I6,0))+parametros_manuales!$E$22*('Plan mensual'!I3+IF(parametros_manuales!$H$22="Todos",'Plan mensual'!I7,0))+parametros_manuales!$F$22*('Plan mensual'!I4+IF(parametros_manuales!$H$22="Todos",'Plan mensual'!I8,0))+parametros_manuales!$G$22*('Plan mensual'!I5+IF(parametros_manuales!$H$22="Todos",'Plan mensual'!I9,0)))*parametros_manuales!$I$22*parametros_manuales!$J$22</f>
        <v>981.51</v>
      </c>
      <c r="H5" s="4">
        <f>(parametros_manuales!$D$22*('Plan mensual'!J2+IF(parametros_manuales!$H$22="Todos",'Plan mensual'!J6,0))+parametros_manuales!$E$22*('Plan mensual'!J3+IF(parametros_manuales!$H$22="Todos",'Plan mensual'!J7,0))+parametros_manuales!$F$22*('Plan mensual'!J4+IF(parametros_manuales!$H$22="Todos",'Plan mensual'!J8,0))+parametros_manuales!$G$22*('Plan mensual'!J5+IF(parametros_manuales!$H$22="Todos",'Plan mensual'!J9,0)))*parametros_manuales!$I$22*parametros_manuales!$J$22</f>
        <v>1049.73</v>
      </c>
      <c r="I5" s="4">
        <f>(parametros_manuales!$D$22*('Plan mensual'!K2+IF(parametros_manuales!$H$22="Todos",'Plan mensual'!K6,0))+parametros_manuales!$E$22*('Plan mensual'!K3+IF(parametros_manuales!$H$22="Todos",'Plan mensual'!K7,0))+parametros_manuales!$F$22*('Plan mensual'!K4+IF(parametros_manuales!$H$22="Todos",'Plan mensual'!K8,0))+parametros_manuales!$G$22*('Plan mensual'!K5+IF(parametros_manuales!$H$22="Todos",'Plan mensual'!K9,0)))*parametros_manuales!$I$22*parametros_manuales!$J$22</f>
        <v>1049.73</v>
      </c>
      <c r="J5" s="4">
        <f>(parametros_manuales!$D$22*('Plan mensual'!L2+IF(parametros_manuales!$H$22="Todos",'Plan mensual'!L6,0))+parametros_manuales!$E$22*('Plan mensual'!L3+IF(parametros_manuales!$H$22="Todos",'Plan mensual'!L7,0))+parametros_manuales!$F$22*('Plan mensual'!L4+IF(parametros_manuales!$H$22="Todos",'Plan mensual'!L8,0))+parametros_manuales!$G$22*('Plan mensual'!L5+IF(parametros_manuales!$H$22="Todos",'Plan mensual'!L9,0)))*parametros_manuales!$I$22*parametros_manuales!$J$22</f>
        <v>1049.73</v>
      </c>
      <c r="K5" s="4">
        <f>(parametros_manuales!$D$22*('Plan mensual'!M2+IF(parametros_manuales!$H$22="Todos",'Plan mensual'!M6,0))+parametros_manuales!$E$22*('Plan mensual'!M3+IF(parametros_manuales!$H$22="Todos",'Plan mensual'!M7,0))+parametros_manuales!$F$22*('Plan mensual'!M4+IF(parametros_manuales!$H$22="Todos",'Plan mensual'!M8,0))+parametros_manuales!$G$22*('Plan mensual'!M5+IF(parametros_manuales!$H$22="Todos",'Plan mensual'!M9,0)))*parametros_manuales!$I$22*parametros_manuales!$J$22</f>
        <v>1023.3</v>
      </c>
      <c r="L5" s="4">
        <f>(parametros_manuales!$D$22*('Plan mensual'!N2+IF(parametros_manuales!$H$22="Todos",'Plan mensual'!N6,0))+parametros_manuales!$E$22*('Plan mensual'!N3+IF(parametros_manuales!$H$22="Todos",'Plan mensual'!N7,0))+parametros_manuales!$F$22*('Plan mensual'!N4+IF(parametros_manuales!$H$22="Todos",'Plan mensual'!N8,0))+parametros_manuales!$G$22*('Plan mensual'!N5+IF(parametros_manuales!$H$22="Todos",'Plan mensual'!N9,0)))*parametros_manuales!$I$22*parametros_manuales!$J$22</f>
        <v>996.87</v>
      </c>
      <c r="M5" s="4">
        <f>(parametros_manuales!$D$22*('Plan mensual'!O2+IF(parametros_manuales!$H$22="Todos",'Plan mensual'!O6,0))+parametros_manuales!$E$22*('Plan mensual'!O3+IF(parametros_manuales!$H$22="Todos",'Plan mensual'!O7,0))+parametros_manuales!$F$22*('Plan mensual'!O4+IF(parametros_manuales!$H$22="Todos",'Plan mensual'!O8,0))+parametros_manuales!$G$22*('Plan mensual'!O5+IF(parametros_manuales!$H$22="Todos",'Plan mensual'!O9,0)))*parametros_manuales!$I$22*parametros_manuales!$J$22</f>
        <v>1584.42</v>
      </c>
      <c r="N5" s="4">
        <f t="shared" si="1"/>
        <v>13644</v>
      </c>
      <c r="O5" s="4">
        <f t="shared" si="2"/>
        <v>1584.42</v>
      </c>
      <c r="P5" s="27">
        <f>O5/(parametros_manuales!$B$7)</f>
        <v>10.5628</v>
      </c>
      <c r="Q5" s="3" t="str">
        <f t="shared" si="3"/>
        <v>Dic</v>
      </c>
    </row>
    <row r="6" ht="14.25" customHeight="1">
      <c r="A6" s="3" t="str">
        <f>parametros_manuales!$B$23</f>
        <v>Preparación de cuello</v>
      </c>
      <c r="B6" s="4">
        <f>(parametros_manuales!$D$23*('Plan mensual'!D2+IF(parametros_manuales!$H$23="Todos",'Plan mensual'!D6,0))+parametros_manuales!$E$23*('Plan mensual'!D3+IF(parametros_manuales!$H$23="Todos",'Plan mensual'!D7,0))+parametros_manuales!$F$23*('Plan mensual'!D4+IF(parametros_manuales!$H$23="Todos",'Plan mensual'!D8,0))+parametros_manuales!$G$23*('Plan mensual'!D5+IF(parametros_manuales!$H$23="Todos",'Plan mensual'!D9,0)))*parametros_manuales!$I$23*parametros_manuales!$J$23</f>
        <v>765.78</v>
      </c>
      <c r="C6" s="4">
        <f>(parametros_manuales!$D$23*('Plan mensual'!E2+IF(parametros_manuales!$H$23="Todos",'Plan mensual'!E6,0))+parametros_manuales!$E$23*('Plan mensual'!E3+IF(parametros_manuales!$H$23="Todos",'Plan mensual'!E7,0))+parametros_manuales!$F$23*('Plan mensual'!E4+IF(parametros_manuales!$H$23="Todos",'Plan mensual'!E8,0))+parametros_manuales!$G$23*('Plan mensual'!E5+IF(parametros_manuales!$H$23="Todos",'Plan mensual'!E9,0)))*parametros_manuales!$I$23*parametros_manuales!$J$23</f>
        <v>587.55</v>
      </c>
      <c r="D6" s="4">
        <f>(parametros_manuales!$D$23*('Plan mensual'!F2+IF(parametros_manuales!$H$23="Todos",'Plan mensual'!F6,0))+parametros_manuales!$E$23*('Plan mensual'!F3+IF(parametros_manuales!$H$23="Todos",'Plan mensual'!F7,0))+parametros_manuales!$F$23*('Plan mensual'!F4+IF(parametros_manuales!$H$23="Todos",'Plan mensual'!F8,0))+parametros_manuales!$G$23*('Plan mensual'!F5+IF(parametros_manuales!$H$23="Todos",'Plan mensual'!F9,0)))*parametros_manuales!$I$23*parametros_manuales!$J$23</f>
        <v>558.975</v>
      </c>
      <c r="E6" s="4">
        <f>(parametros_manuales!$D$23*('Plan mensual'!G2+IF(parametros_manuales!$H$23="Todos",'Plan mensual'!G6,0))+parametros_manuales!$E$23*('Plan mensual'!G3+IF(parametros_manuales!$H$23="Todos",'Plan mensual'!G7,0))+parametros_manuales!$F$23*('Plan mensual'!G4+IF(parametros_manuales!$H$23="Todos",'Plan mensual'!G8,0))+parametros_manuales!$G$23*('Plan mensual'!G5+IF(parametros_manuales!$H$23="Todos",'Plan mensual'!G9,0)))*parametros_manuales!$I$23*parametros_manuales!$J$23</f>
        <v>538.08</v>
      </c>
      <c r="F6" s="4">
        <f>(parametros_manuales!$D$23*('Plan mensual'!H2+IF(parametros_manuales!$H$23="Todos",'Plan mensual'!H6,0))+parametros_manuales!$E$23*('Plan mensual'!H3+IF(parametros_manuales!$H$23="Todos",'Plan mensual'!H7,0))+parametros_manuales!$F$23*('Plan mensual'!H4+IF(parametros_manuales!$H$23="Todos",'Plan mensual'!H8,0))+parametros_manuales!$G$23*('Plan mensual'!H5+IF(parametros_manuales!$H$23="Todos",'Plan mensual'!H9,0)))*parametros_manuales!$I$23*parametros_manuales!$J$23</f>
        <v>503.97</v>
      </c>
      <c r="G6" s="4">
        <f>(parametros_manuales!$D$23*('Plan mensual'!I2+IF(parametros_manuales!$H$23="Todos",'Plan mensual'!I6,0))+parametros_manuales!$E$23*('Plan mensual'!I3+IF(parametros_manuales!$H$23="Todos",'Plan mensual'!I7,0))+parametros_manuales!$F$23*('Plan mensual'!I4+IF(parametros_manuales!$H$23="Todos",'Plan mensual'!I8,0))+parametros_manuales!$G$23*('Plan mensual'!I5+IF(parametros_manuales!$H$23="Todos",'Plan mensual'!I9,0)))*parametros_manuales!$I$23*parametros_manuales!$J$23</f>
        <v>490.755</v>
      </c>
      <c r="H6" s="4">
        <f>(parametros_manuales!$D$23*('Plan mensual'!J2+IF(parametros_manuales!$H$23="Todos",'Plan mensual'!J6,0))+parametros_manuales!$E$23*('Plan mensual'!J3+IF(parametros_manuales!$H$23="Todos",'Plan mensual'!J7,0))+parametros_manuales!$F$23*('Plan mensual'!J4+IF(parametros_manuales!$H$23="Todos",'Plan mensual'!J8,0))+parametros_manuales!$G$23*('Plan mensual'!J5+IF(parametros_manuales!$H$23="Todos",'Plan mensual'!J9,0)))*parametros_manuales!$I$23*parametros_manuales!$J$23</f>
        <v>524.865</v>
      </c>
      <c r="I6" s="4">
        <f>(parametros_manuales!$D$23*('Plan mensual'!K2+IF(parametros_manuales!$H$23="Todos",'Plan mensual'!K6,0))+parametros_manuales!$E$23*('Plan mensual'!K3+IF(parametros_manuales!$H$23="Todos",'Plan mensual'!K7,0))+parametros_manuales!$F$23*('Plan mensual'!K4+IF(parametros_manuales!$H$23="Todos",'Plan mensual'!K8,0))+parametros_manuales!$G$23*('Plan mensual'!K5+IF(parametros_manuales!$H$23="Todos",'Plan mensual'!K9,0)))*parametros_manuales!$I$23*parametros_manuales!$J$23</f>
        <v>524.865</v>
      </c>
      <c r="J6" s="4">
        <f>(parametros_manuales!$D$23*('Plan mensual'!L2+IF(parametros_manuales!$H$23="Todos",'Plan mensual'!L6,0))+parametros_manuales!$E$23*('Plan mensual'!L3+IF(parametros_manuales!$H$23="Todos",'Plan mensual'!L7,0))+parametros_manuales!$F$23*('Plan mensual'!L4+IF(parametros_manuales!$H$23="Todos",'Plan mensual'!L8,0))+parametros_manuales!$G$23*('Plan mensual'!L5+IF(parametros_manuales!$H$23="Todos",'Plan mensual'!L9,0)))*parametros_manuales!$I$23*parametros_manuales!$J$23</f>
        <v>524.865</v>
      </c>
      <c r="K6" s="4">
        <f>(parametros_manuales!$D$23*('Plan mensual'!M2+IF(parametros_manuales!$H$23="Todos",'Plan mensual'!M6,0))+parametros_manuales!$E$23*('Plan mensual'!M3+IF(parametros_manuales!$H$23="Todos",'Plan mensual'!M7,0))+parametros_manuales!$F$23*('Plan mensual'!M4+IF(parametros_manuales!$H$23="Todos",'Plan mensual'!M8,0))+parametros_manuales!$G$23*('Plan mensual'!M5+IF(parametros_manuales!$H$23="Todos",'Plan mensual'!M9,0)))*parametros_manuales!$I$23*parametros_manuales!$J$23</f>
        <v>511.65</v>
      </c>
      <c r="L6" s="4">
        <f>(parametros_manuales!$D$23*('Plan mensual'!N2+IF(parametros_manuales!$H$23="Todos",'Plan mensual'!N6,0))+parametros_manuales!$E$23*('Plan mensual'!N3+IF(parametros_manuales!$H$23="Todos",'Plan mensual'!N7,0))+parametros_manuales!$F$23*('Plan mensual'!N4+IF(parametros_manuales!$H$23="Todos",'Plan mensual'!N8,0))+parametros_manuales!$G$23*('Plan mensual'!N5+IF(parametros_manuales!$H$23="Todos",'Plan mensual'!N9,0)))*parametros_manuales!$I$23*parametros_manuales!$J$23</f>
        <v>498.435</v>
      </c>
      <c r="M6" s="4">
        <f>(parametros_manuales!$D$23*('Plan mensual'!O2+IF(parametros_manuales!$H$23="Todos",'Plan mensual'!O6,0))+parametros_manuales!$E$23*('Plan mensual'!O3+IF(parametros_manuales!$H$23="Todos",'Plan mensual'!O7,0))+parametros_manuales!$F$23*('Plan mensual'!O4+IF(parametros_manuales!$H$23="Todos",'Plan mensual'!O8,0))+parametros_manuales!$G$23*('Plan mensual'!O5+IF(parametros_manuales!$H$23="Todos",'Plan mensual'!O9,0)))*parametros_manuales!$I$23*parametros_manuales!$J$23</f>
        <v>792.21</v>
      </c>
      <c r="N6" s="4">
        <f t="shared" si="1"/>
        <v>6822</v>
      </c>
      <c r="O6" s="4">
        <f t="shared" si="2"/>
        <v>792.21</v>
      </c>
      <c r="P6" s="27">
        <f>O6/(parametros_manuales!$B$7)</f>
        <v>5.2814</v>
      </c>
      <c r="Q6" s="3" t="str">
        <f t="shared" si="3"/>
        <v>Dic</v>
      </c>
    </row>
    <row r="7" ht="14.25" customHeight="1">
      <c r="A7" s="3" t="str">
        <f>parametros_manuales!$B$24</f>
        <v>Numerado de cúpula</v>
      </c>
      <c r="B7" s="4">
        <f>(parametros_manuales!$D$24*('Plan mensual'!D2+IF(parametros_manuales!$H$24="Todos",'Plan mensual'!D6,0))+parametros_manuales!$E$24*('Plan mensual'!D3+IF(parametros_manuales!$H$24="Todos",'Plan mensual'!D7,0))+parametros_manuales!$F$24*('Plan mensual'!D4+IF(parametros_manuales!$H$24="Todos",'Plan mensual'!D8,0))+parametros_manuales!$G$24*('Plan mensual'!D5+IF(parametros_manuales!$H$24="Todos",'Plan mensual'!D9,0)))*parametros_manuales!$I$24*parametros_manuales!$J$24</f>
        <v>765.78</v>
      </c>
      <c r="C7" s="4">
        <f>(parametros_manuales!$D$24*('Plan mensual'!E2+IF(parametros_manuales!$H$24="Todos",'Plan mensual'!E6,0))+parametros_manuales!$E$24*('Plan mensual'!E3+IF(parametros_manuales!$H$24="Todos",'Plan mensual'!E7,0))+parametros_manuales!$F$24*('Plan mensual'!E4+IF(parametros_manuales!$H$24="Todos",'Plan mensual'!E8,0))+parametros_manuales!$G$24*('Plan mensual'!E5+IF(parametros_manuales!$H$24="Todos",'Plan mensual'!E9,0)))*parametros_manuales!$I$24*parametros_manuales!$J$24</f>
        <v>587.55</v>
      </c>
      <c r="D7" s="4">
        <f>(parametros_manuales!$D$24*('Plan mensual'!F2+IF(parametros_manuales!$H$24="Todos",'Plan mensual'!F6,0))+parametros_manuales!$E$24*('Plan mensual'!F3+IF(parametros_manuales!$H$24="Todos",'Plan mensual'!F7,0))+parametros_manuales!$F$24*('Plan mensual'!F4+IF(parametros_manuales!$H$24="Todos",'Plan mensual'!F8,0))+parametros_manuales!$G$24*('Plan mensual'!F5+IF(parametros_manuales!$H$24="Todos",'Plan mensual'!F9,0)))*parametros_manuales!$I$24*parametros_manuales!$J$24</f>
        <v>558.975</v>
      </c>
      <c r="E7" s="4">
        <f>(parametros_manuales!$D$24*('Plan mensual'!G2+IF(parametros_manuales!$H$24="Todos",'Plan mensual'!G6,0))+parametros_manuales!$E$24*('Plan mensual'!G3+IF(parametros_manuales!$H$24="Todos",'Plan mensual'!G7,0))+parametros_manuales!$F$24*('Plan mensual'!G4+IF(parametros_manuales!$H$24="Todos",'Plan mensual'!G8,0))+parametros_manuales!$G$24*('Plan mensual'!G5+IF(parametros_manuales!$H$24="Todos",'Plan mensual'!G9,0)))*parametros_manuales!$I$24*parametros_manuales!$J$24</f>
        <v>538.08</v>
      </c>
      <c r="F7" s="4">
        <f>(parametros_manuales!$D$24*('Plan mensual'!H2+IF(parametros_manuales!$H$24="Todos",'Plan mensual'!H6,0))+parametros_manuales!$E$24*('Plan mensual'!H3+IF(parametros_manuales!$H$24="Todos",'Plan mensual'!H7,0))+parametros_manuales!$F$24*('Plan mensual'!H4+IF(parametros_manuales!$H$24="Todos",'Plan mensual'!H8,0))+parametros_manuales!$G$24*('Plan mensual'!H5+IF(parametros_manuales!$H$24="Todos",'Plan mensual'!H9,0)))*parametros_manuales!$I$24*parametros_manuales!$J$24</f>
        <v>503.97</v>
      </c>
      <c r="G7" s="4">
        <f>(parametros_manuales!$D$24*('Plan mensual'!I2+IF(parametros_manuales!$H$24="Todos",'Plan mensual'!I6,0))+parametros_manuales!$E$24*('Plan mensual'!I3+IF(parametros_manuales!$H$24="Todos",'Plan mensual'!I7,0))+parametros_manuales!$F$24*('Plan mensual'!I4+IF(parametros_manuales!$H$24="Todos",'Plan mensual'!I8,0))+parametros_manuales!$G$24*('Plan mensual'!I5+IF(parametros_manuales!$H$24="Todos",'Plan mensual'!I9,0)))*parametros_manuales!$I$24*parametros_manuales!$J$24</f>
        <v>490.755</v>
      </c>
      <c r="H7" s="4">
        <f>(parametros_manuales!$D$24*('Plan mensual'!J2+IF(parametros_manuales!$H$24="Todos",'Plan mensual'!J6,0))+parametros_manuales!$E$24*('Plan mensual'!J3+IF(parametros_manuales!$H$24="Todos",'Plan mensual'!J7,0))+parametros_manuales!$F$24*('Plan mensual'!J4+IF(parametros_manuales!$H$24="Todos",'Plan mensual'!J8,0))+parametros_manuales!$G$24*('Plan mensual'!J5+IF(parametros_manuales!$H$24="Todos",'Plan mensual'!J9,0)))*parametros_manuales!$I$24*parametros_manuales!$J$24</f>
        <v>524.865</v>
      </c>
      <c r="I7" s="4">
        <f>(parametros_manuales!$D$24*('Plan mensual'!K2+IF(parametros_manuales!$H$24="Todos",'Plan mensual'!K6,0))+parametros_manuales!$E$24*('Plan mensual'!K3+IF(parametros_manuales!$H$24="Todos",'Plan mensual'!K7,0))+parametros_manuales!$F$24*('Plan mensual'!K4+IF(parametros_manuales!$H$24="Todos",'Plan mensual'!K8,0))+parametros_manuales!$G$24*('Plan mensual'!K5+IF(parametros_manuales!$H$24="Todos",'Plan mensual'!K9,0)))*parametros_manuales!$I$24*parametros_manuales!$J$24</f>
        <v>524.865</v>
      </c>
      <c r="J7" s="4">
        <f>(parametros_manuales!$D$24*('Plan mensual'!L2+IF(parametros_manuales!$H$24="Todos",'Plan mensual'!L6,0))+parametros_manuales!$E$24*('Plan mensual'!L3+IF(parametros_manuales!$H$24="Todos",'Plan mensual'!L7,0))+parametros_manuales!$F$24*('Plan mensual'!L4+IF(parametros_manuales!$H$24="Todos",'Plan mensual'!L8,0))+parametros_manuales!$G$24*('Plan mensual'!L5+IF(parametros_manuales!$H$24="Todos",'Plan mensual'!L9,0)))*parametros_manuales!$I$24*parametros_manuales!$J$24</f>
        <v>524.865</v>
      </c>
      <c r="K7" s="4">
        <f>(parametros_manuales!$D$24*('Plan mensual'!M2+IF(parametros_manuales!$H$24="Todos",'Plan mensual'!M6,0))+parametros_manuales!$E$24*('Plan mensual'!M3+IF(parametros_manuales!$H$24="Todos",'Plan mensual'!M7,0))+parametros_manuales!$F$24*('Plan mensual'!M4+IF(parametros_manuales!$H$24="Todos",'Plan mensual'!M8,0))+parametros_manuales!$G$24*('Plan mensual'!M5+IF(parametros_manuales!$H$24="Todos",'Plan mensual'!M9,0)))*parametros_manuales!$I$24*parametros_manuales!$J$24</f>
        <v>511.65</v>
      </c>
      <c r="L7" s="4">
        <f>(parametros_manuales!$D$24*('Plan mensual'!N2+IF(parametros_manuales!$H$24="Todos",'Plan mensual'!N6,0))+parametros_manuales!$E$24*('Plan mensual'!N3+IF(parametros_manuales!$H$24="Todos",'Plan mensual'!N7,0))+parametros_manuales!$F$24*('Plan mensual'!N4+IF(parametros_manuales!$H$24="Todos",'Plan mensual'!N8,0))+parametros_manuales!$G$24*('Plan mensual'!N5+IF(parametros_manuales!$H$24="Todos",'Plan mensual'!N9,0)))*parametros_manuales!$I$24*parametros_manuales!$J$24</f>
        <v>498.435</v>
      </c>
      <c r="M7" s="4">
        <f>(parametros_manuales!$D$24*('Plan mensual'!O2+IF(parametros_manuales!$H$24="Todos",'Plan mensual'!O6,0))+parametros_manuales!$E$24*('Plan mensual'!O3+IF(parametros_manuales!$H$24="Todos",'Plan mensual'!O7,0))+parametros_manuales!$F$24*('Plan mensual'!O4+IF(parametros_manuales!$H$24="Todos",'Plan mensual'!O8,0))+parametros_manuales!$G$24*('Plan mensual'!O5+IF(parametros_manuales!$H$24="Todos",'Plan mensual'!O9,0)))*parametros_manuales!$I$24*parametros_manuales!$J$24</f>
        <v>792.21</v>
      </c>
      <c r="N7" s="4">
        <f t="shared" si="1"/>
        <v>6822</v>
      </c>
      <c r="O7" s="4">
        <f t="shared" si="2"/>
        <v>792.21</v>
      </c>
      <c r="P7" s="27">
        <f>O7/(parametros_manuales!$B$7)</f>
        <v>5.2814</v>
      </c>
      <c r="Q7" s="3" t="str">
        <f t="shared" si="3"/>
        <v>Dic</v>
      </c>
    </row>
    <row r="8" ht="14.25" customHeight="1">
      <c r="A8" s="3" t="str">
        <f>parametros_manuales!$B$25</f>
        <v>Soldadura del cuello a la cúpula</v>
      </c>
      <c r="B8" s="4">
        <f>(parametros_manuales!$D$25*('Plan mensual'!D2+IF(parametros_manuales!$H$25="Todos",'Plan mensual'!D6,0))+parametros_manuales!$E$25*('Plan mensual'!D3+IF(parametros_manuales!$H$25="Todos",'Plan mensual'!D7,0))+parametros_manuales!$F$25*('Plan mensual'!D4+IF(parametros_manuales!$H$25="Todos",'Plan mensual'!D8,0))+parametros_manuales!$G$25*('Plan mensual'!D5+IF(parametros_manuales!$H$25="Todos",'Plan mensual'!D9,0)))*parametros_manuales!$I$25*parametros_manuales!$J$25</f>
        <v>765.78</v>
      </c>
      <c r="C8" s="4">
        <f>(parametros_manuales!$D$25*('Plan mensual'!E2+IF(parametros_manuales!$H$25="Todos",'Plan mensual'!E6,0))+parametros_manuales!$E$25*('Plan mensual'!E3+IF(parametros_manuales!$H$25="Todos",'Plan mensual'!E7,0))+parametros_manuales!$F$25*('Plan mensual'!E4+IF(parametros_manuales!$H$25="Todos",'Plan mensual'!E8,0))+parametros_manuales!$G$25*('Plan mensual'!E5+IF(parametros_manuales!$H$25="Todos",'Plan mensual'!E9,0)))*parametros_manuales!$I$25*parametros_manuales!$J$25</f>
        <v>587.55</v>
      </c>
      <c r="D8" s="4">
        <f>(parametros_manuales!$D$25*('Plan mensual'!F2+IF(parametros_manuales!$H$25="Todos",'Plan mensual'!F6,0))+parametros_manuales!$E$25*('Plan mensual'!F3+IF(parametros_manuales!$H$25="Todos",'Plan mensual'!F7,0))+parametros_manuales!$F$25*('Plan mensual'!F4+IF(parametros_manuales!$H$25="Todos",'Plan mensual'!F8,0))+parametros_manuales!$G$25*('Plan mensual'!F5+IF(parametros_manuales!$H$25="Todos",'Plan mensual'!F9,0)))*parametros_manuales!$I$25*parametros_manuales!$J$25</f>
        <v>558.975</v>
      </c>
      <c r="E8" s="4">
        <f>(parametros_manuales!$D$25*('Plan mensual'!G2+IF(parametros_manuales!$H$25="Todos",'Plan mensual'!G6,0))+parametros_manuales!$E$25*('Plan mensual'!G3+IF(parametros_manuales!$H$25="Todos",'Plan mensual'!G7,0))+parametros_manuales!$F$25*('Plan mensual'!G4+IF(parametros_manuales!$H$25="Todos",'Plan mensual'!G8,0))+parametros_manuales!$G$25*('Plan mensual'!G5+IF(parametros_manuales!$H$25="Todos",'Plan mensual'!G9,0)))*parametros_manuales!$I$25*parametros_manuales!$J$25</f>
        <v>538.08</v>
      </c>
      <c r="F8" s="4">
        <f>(parametros_manuales!$D$25*('Plan mensual'!H2+IF(parametros_manuales!$H$25="Todos",'Plan mensual'!H6,0))+parametros_manuales!$E$25*('Plan mensual'!H3+IF(parametros_manuales!$H$25="Todos",'Plan mensual'!H7,0))+parametros_manuales!$F$25*('Plan mensual'!H4+IF(parametros_manuales!$H$25="Todos",'Plan mensual'!H8,0))+parametros_manuales!$G$25*('Plan mensual'!H5+IF(parametros_manuales!$H$25="Todos",'Plan mensual'!H9,0)))*parametros_manuales!$I$25*parametros_manuales!$J$25</f>
        <v>503.97</v>
      </c>
      <c r="G8" s="4">
        <f>(parametros_manuales!$D$25*('Plan mensual'!I2+IF(parametros_manuales!$H$25="Todos",'Plan mensual'!I6,0))+parametros_manuales!$E$25*('Plan mensual'!I3+IF(parametros_manuales!$H$25="Todos",'Plan mensual'!I7,0))+parametros_manuales!$F$25*('Plan mensual'!I4+IF(parametros_manuales!$H$25="Todos",'Plan mensual'!I8,0))+parametros_manuales!$G$25*('Plan mensual'!I5+IF(parametros_manuales!$H$25="Todos",'Plan mensual'!I9,0)))*parametros_manuales!$I$25*parametros_manuales!$J$25</f>
        <v>490.755</v>
      </c>
      <c r="H8" s="4">
        <f>(parametros_manuales!$D$25*('Plan mensual'!J2+IF(parametros_manuales!$H$25="Todos",'Plan mensual'!J6,0))+parametros_manuales!$E$25*('Plan mensual'!J3+IF(parametros_manuales!$H$25="Todos",'Plan mensual'!J7,0))+parametros_manuales!$F$25*('Plan mensual'!J4+IF(parametros_manuales!$H$25="Todos",'Plan mensual'!J8,0))+parametros_manuales!$G$25*('Plan mensual'!J5+IF(parametros_manuales!$H$25="Todos",'Plan mensual'!J9,0)))*parametros_manuales!$I$25*parametros_manuales!$J$25</f>
        <v>524.865</v>
      </c>
      <c r="I8" s="4">
        <f>(parametros_manuales!$D$25*('Plan mensual'!K2+IF(parametros_manuales!$H$25="Todos",'Plan mensual'!K6,0))+parametros_manuales!$E$25*('Plan mensual'!K3+IF(parametros_manuales!$H$25="Todos",'Plan mensual'!K7,0))+parametros_manuales!$F$25*('Plan mensual'!K4+IF(parametros_manuales!$H$25="Todos",'Plan mensual'!K8,0))+parametros_manuales!$G$25*('Plan mensual'!K5+IF(parametros_manuales!$H$25="Todos",'Plan mensual'!K9,0)))*parametros_manuales!$I$25*parametros_manuales!$J$25</f>
        <v>524.865</v>
      </c>
      <c r="J8" s="4">
        <f>(parametros_manuales!$D$25*('Plan mensual'!L2+IF(parametros_manuales!$H$25="Todos",'Plan mensual'!L6,0))+parametros_manuales!$E$25*('Plan mensual'!L3+IF(parametros_manuales!$H$25="Todos",'Plan mensual'!L7,0))+parametros_manuales!$F$25*('Plan mensual'!L4+IF(parametros_manuales!$H$25="Todos",'Plan mensual'!L8,0))+parametros_manuales!$G$25*('Plan mensual'!L5+IF(parametros_manuales!$H$25="Todos",'Plan mensual'!L9,0)))*parametros_manuales!$I$25*parametros_manuales!$J$25</f>
        <v>524.865</v>
      </c>
      <c r="K8" s="4">
        <f>(parametros_manuales!$D$25*('Plan mensual'!M2+IF(parametros_manuales!$H$25="Todos",'Plan mensual'!M6,0))+parametros_manuales!$E$25*('Plan mensual'!M3+IF(parametros_manuales!$H$25="Todos",'Plan mensual'!M7,0))+parametros_manuales!$F$25*('Plan mensual'!M4+IF(parametros_manuales!$H$25="Todos",'Plan mensual'!M8,0))+parametros_manuales!$G$25*('Plan mensual'!M5+IF(parametros_manuales!$H$25="Todos",'Plan mensual'!M9,0)))*parametros_manuales!$I$25*parametros_manuales!$J$25</f>
        <v>511.65</v>
      </c>
      <c r="L8" s="4">
        <f>(parametros_manuales!$D$25*('Plan mensual'!N2+IF(parametros_manuales!$H$25="Todos",'Plan mensual'!N6,0))+parametros_manuales!$E$25*('Plan mensual'!N3+IF(parametros_manuales!$H$25="Todos",'Plan mensual'!N7,0))+parametros_manuales!$F$25*('Plan mensual'!N4+IF(parametros_manuales!$H$25="Todos",'Plan mensual'!N8,0))+parametros_manuales!$G$25*('Plan mensual'!N5+IF(parametros_manuales!$H$25="Todos",'Plan mensual'!N9,0)))*parametros_manuales!$I$25*parametros_manuales!$J$25</f>
        <v>498.435</v>
      </c>
      <c r="M8" s="4">
        <f>(parametros_manuales!$D$25*('Plan mensual'!O2+IF(parametros_manuales!$H$25="Todos",'Plan mensual'!O6,0))+parametros_manuales!$E$25*('Plan mensual'!O3+IF(parametros_manuales!$H$25="Todos",'Plan mensual'!O7,0))+parametros_manuales!$F$25*('Plan mensual'!O4+IF(parametros_manuales!$H$25="Todos",'Plan mensual'!O8,0))+parametros_manuales!$G$25*('Plan mensual'!O5+IF(parametros_manuales!$H$25="Todos",'Plan mensual'!O9,0)))*parametros_manuales!$I$25*parametros_manuales!$J$25</f>
        <v>792.21</v>
      </c>
      <c r="N8" s="4">
        <f t="shared" si="1"/>
        <v>6822</v>
      </c>
      <c r="O8" s="4">
        <f t="shared" si="2"/>
        <v>792.21</v>
      </c>
      <c r="P8" s="27">
        <f>O8/(parametros_manuales!$B$7)</f>
        <v>5.2814</v>
      </c>
      <c r="Q8" s="3" t="str">
        <f t="shared" si="3"/>
        <v>Dic</v>
      </c>
    </row>
    <row r="9" ht="14.25" customHeight="1">
      <c r="A9" s="3" t="str">
        <f>parametros_manuales!$B$26</f>
        <v>Cilindrado</v>
      </c>
      <c r="B9" s="4">
        <f>(parametros_manuales!$D$26*('Plan mensual'!D2+IF(parametros_manuales!$H$26="Todos",'Plan mensual'!D6,0))+parametros_manuales!$E$26*('Plan mensual'!D3+IF(parametros_manuales!$H$26="Todos",'Plan mensual'!D7,0))+parametros_manuales!$F$26*('Plan mensual'!D4+IF(parametros_manuales!$H$26="Todos",'Plan mensual'!D8,0))+parametros_manuales!$G$26*('Plan mensual'!D5+IF(parametros_manuales!$H$26="Todos",'Plan mensual'!D9,0)))*parametros_manuales!$I$26*parametros_manuales!$J$26</f>
        <v>264.3</v>
      </c>
      <c r="C9" s="4">
        <f>(parametros_manuales!$D$26*('Plan mensual'!E2+IF(parametros_manuales!$H$26="Todos",'Plan mensual'!E6,0))+parametros_manuales!$E$26*('Plan mensual'!E3+IF(parametros_manuales!$H$26="Todos",'Plan mensual'!E7,0))+parametros_manuales!$F$26*('Plan mensual'!E4+IF(parametros_manuales!$H$26="Todos",'Plan mensual'!E8,0))+parametros_manuales!$G$26*('Plan mensual'!E5+IF(parametros_manuales!$H$26="Todos",'Plan mensual'!E9,0)))*parametros_manuales!$I$26*parametros_manuales!$J$26</f>
        <v>211.44</v>
      </c>
      <c r="D9" s="4">
        <f>(parametros_manuales!$D$26*('Plan mensual'!F2+IF(parametros_manuales!$H$26="Todos",'Plan mensual'!F6,0))+parametros_manuales!$E$26*('Plan mensual'!F3+IF(parametros_manuales!$H$26="Todos",'Plan mensual'!F7,0))+parametros_manuales!$F$26*('Plan mensual'!F4+IF(parametros_manuales!$H$26="Todos",'Plan mensual'!F8,0))+parametros_manuales!$G$26*('Plan mensual'!F5+IF(parametros_manuales!$H$26="Todos",'Plan mensual'!F9,0)))*parametros_manuales!$I$26*parametros_manuales!$J$26</f>
        <v>224.655</v>
      </c>
      <c r="E9" s="4">
        <f>(parametros_manuales!$D$26*('Plan mensual'!G2+IF(parametros_manuales!$H$26="Todos",'Plan mensual'!G6,0))+parametros_manuales!$E$26*('Plan mensual'!G3+IF(parametros_manuales!$H$26="Todos",'Plan mensual'!G7,0))+parametros_manuales!$F$26*('Plan mensual'!G4+IF(parametros_manuales!$H$26="Todos",'Plan mensual'!G8,0))+parametros_manuales!$G$26*('Plan mensual'!G5+IF(parametros_manuales!$H$26="Todos",'Plan mensual'!G9,0)))*parametros_manuales!$I$26*parametros_manuales!$J$26</f>
        <v>224.655</v>
      </c>
      <c r="F9" s="4">
        <f>(parametros_manuales!$D$26*('Plan mensual'!H2+IF(parametros_manuales!$H$26="Todos",'Plan mensual'!H6,0))+parametros_manuales!$E$26*('Plan mensual'!H3+IF(parametros_manuales!$H$26="Todos",'Plan mensual'!H7,0))+parametros_manuales!$F$26*('Plan mensual'!H4+IF(parametros_manuales!$H$26="Todos",'Plan mensual'!H8,0))+parametros_manuales!$G$26*('Plan mensual'!H5+IF(parametros_manuales!$H$26="Todos",'Plan mensual'!H9,0)))*parametros_manuales!$I$26*parametros_manuales!$J$26</f>
        <v>211.44</v>
      </c>
      <c r="G9" s="4">
        <f>(parametros_manuales!$D$26*('Plan mensual'!I2+IF(parametros_manuales!$H$26="Todos",'Plan mensual'!I6,0))+parametros_manuales!$E$26*('Plan mensual'!I3+IF(parametros_manuales!$H$26="Todos",'Plan mensual'!I7,0))+parametros_manuales!$F$26*('Plan mensual'!I4+IF(parametros_manuales!$H$26="Todos",'Plan mensual'!I8,0))+parametros_manuales!$G$26*('Plan mensual'!I5+IF(parametros_manuales!$H$26="Todos",'Plan mensual'!I9,0)))*parametros_manuales!$I$26*parametros_manuales!$J$26</f>
        <v>198.225</v>
      </c>
      <c r="H9" s="4">
        <f>(parametros_manuales!$D$26*('Plan mensual'!J2+IF(parametros_manuales!$H$26="Todos",'Plan mensual'!J6,0))+parametros_manuales!$E$26*('Plan mensual'!J3+IF(parametros_manuales!$H$26="Todos",'Plan mensual'!J7,0))+parametros_manuales!$F$26*('Plan mensual'!J4+IF(parametros_manuales!$H$26="Todos",'Plan mensual'!J8,0))+parametros_manuales!$G$26*('Plan mensual'!J5+IF(parametros_manuales!$H$26="Todos",'Plan mensual'!J9,0)))*parametros_manuales!$I$26*parametros_manuales!$J$26</f>
        <v>211.44</v>
      </c>
      <c r="I9" s="4">
        <f>(parametros_manuales!$D$26*('Plan mensual'!K2+IF(parametros_manuales!$H$26="Todos",'Plan mensual'!K6,0))+parametros_manuales!$E$26*('Plan mensual'!K3+IF(parametros_manuales!$H$26="Todos",'Plan mensual'!K7,0))+parametros_manuales!$F$26*('Plan mensual'!K4+IF(parametros_manuales!$H$26="Todos",'Plan mensual'!K8,0))+parametros_manuales!$G$26*('Plan mensual'!K5+IF(parametros_manuales!$H$26="Todos",'Plan mensual'!K9,0)))*parametros_manuales!$I$26*parametros_manuales!$J$26</f>
        <v>211.44</v>
      </c>
      <c r="J9" s="4">
        <f>(parametros_manuales!$D$26*('Plan mensual'!L2+IF(parametros_manuales!$H$26="Todos",'Plan mensual'!L6,0))+parametros_manuales!$E$26*('Plan mensual'!L3+IF(parametros_manuales!$H$26="Todos",'Plan mensual'!L7,0))+parametros_manuales!$F$26*('Plan mensual'!L4+IF(parametros_manuales!$H$26="Todos",'Plan mensual'!L8,0))+parametros_manuales!$G$26*('Plan mensual'!L5+IF(parametros_manuales!$H$26="Todos",'Plan mensual'!L9,0)))*parametros_manuales!$I$26*parametros_manuales!$J$26</f>
        <v>211.44</v>
      </c>
      <c r="K9" s="4">
        <f>(parametros_manuales!$D$26*('Plan mensual'!M2+IF(parametros_manuales!$H$26="Todos",'Plan mensual'!M6,0))+parametros_manuales!$E$26*('Plan mensual'!M3+IF(parametros_manuales!$H$26="Todos",'Plan mensual'!M7,0))+parametros_manuales!$F$26*('Plan mensual'!M4+IF(parametros_manuales!$H$26="Todos",'Plan mensual'!M8,0))+parametros_manuales!$G$26*('Plan mensual'!M5+IF(parametros_manuales!$H$26="Todos",'Plan mensual'!M9,0)))*parametros_manuales!$I$26*parametros_manuales!$J$26</f>
        <v>198.225</v>
      </c>
      <c r="L9" s="4">
        <f>(parametros_manuales!$D$26*('Plan mensual'!N2+IF(parametros_manuales!$H$26="Todos",'Plan mensual'!N6,0))+parametros_manuales!$E$26*('Plan mensual'!N3+IF(parametros_manuales!$H$26="Todos",'Plan mensual'!N7,0))+parametros_manuales!$F$26*('Plan mensual'!N4+IF(parametros_manuales!$H$26="Todos",'Plan mensual'!N8,0))+parametros_manuales!$G$26*('Plan mensual'!N5+IF(parametros_manuales!$H$26="Todos",'Plan mensual'!N9,0)))*parametros_manuales!$I$26*parametros_manuales!$J$26</f>
        <v>185.01</v>
      </c>
      <c r="M9" s="4">
        <f>(parametros_manuales!$D$26*('Plan mensual'!O2+IF(parametros_manuales!$H$26="Todos",'Plan mensual'!O6,0))+parametros_manuales!$E$26*('Plan mensual'!O3+IF(parametros_manuales!$H$26="Todos",'Plan mensual'!O7,0))+parametros_manuales!$F$26*('Plan mensual'!O4+IF(parametros_manuales!$H$26="Todos",'Plan mensual'!O8,0))+parametros_manuales!$G$26*('Plan mensual'!O5+IF(parametros_manuales!$H$26="Todos",'Plan mensual'!O9,0)))*parametros_manuales!$I$26*parametros_manuales!$J$26</f>
        <v>290.73</v>
      </c>
      <c r="N9" s="4">
        <f t="shared" si="1"/>
        <v>2643</v>
      </c>
      <c r="O9" s="4">
        <f t="shared" si="2"/>
        <v>290.73</v>
      </c>
      <c r="P9" s="27">
        <f>O9/(parametros_manuales!$B$7)</f>
        <v>1.9382</v>
      </c>
      <c r="Q9" s="3" t="str">
        <f t="shared" si="3"/>
        <v>Dic</v>
      </c>
    </row>
    <row r="10" ht="14.25" customHeight="1">
      <c r="A10" s="3" t="str">
        <f>parametros_manuales!$B$27</f>
        <v>Soldadura longitudinal</v>
      </c>
      <c r="B10" s="4">
        <f>(parametros_manuales!$D$27*('Plan mensual'!D2+IF(parametros_manuales!$H$27="Todos",'Plan mensual'!D6,0))+parametros_manuales!$E$27*('Plan mensual'!D3+IF(parametros_manuales!$H$27="Todos",'Plan mensual'!D7,0))+parametros_manuales!$F$27*('Plan mensual'!D4+IF(parametros_manuales!$H$27="Todos",'Plan mensual'!D8,0))+parametros_manuales!$G$27*('Plan mensual'!D5+IF(parametros_manuales!$H$27="Todos",'Plan mensual'!D9,0)))*parametros_manuales!$I$27*parametros_manuales!$J$27</f>
        <v>264.3</v>
      </c>
      <c r="C10" s="4">
        <f>(parametros_manuales!$D$27*('Plan mensual'!E2+IF(parametros_manuales!$H$27="Todos",'Plan mensual'!E6,0))+parametros_manuales!$E$27*('Plan mensual'!E3+IF(parametros_manuales!$H$27="Todos",'Plan mensual'!E7,0))+parametros_manuales!$F$27*('Plan mensual'!E4+IF(parametros_manuales!$H$27="Todos",'Plan mensual'!E8,0))+parametros_manuales!$G$27*('Plan mensual'!E5+IF(parametros_manuales!$H$27="Todos",'Plan mensual'!E9,0)))*parametros_manuales!$I$27*parametros_manuales!$J$27</f>
        <v>211.44</v>
      </c>
      <c r="D10" s="4">
        <f>(parametros_manuales!$D$27*('Plan mensual'!F2+IF(parametros_manuales!$H$27="Todos",'Plan mensual'!F6,0))+parametros_manuales!$E$27*('Plan mensual'!F3+IF(parametros_manuales!$H$27="Todos",'Plan mensual'!F7,0))+parametros_manuales!$F$27*('Plan mensual'!F4+IF(parametros_manuales!$H$27="Todos",'Plan mensual'!F8,0))+parametros_manuales!$G$27*('Plan mensual'!F5+IF(parametros_manuales!$H$27="Todos",'Plan mensual'!F9,0)))*parametros_manuales!$I$27*parametros_manuales!$J$27</f>
        <v>224.655</v>
      </c>
      <c r="E10" s="4">
        <f>(parametros_manuales!$D$27*('Plan mensual'!G2+IF(parametros_manuales!$H$27="Todos",'Plan mensual'!G6,0))+parametros_manuales!$E$27*('Plan mensual'!G3+IF(parametros_manuales!$H$27="Todos",'Plan mensual'!G7,0))+parametros_manuales!$F$27*('Plan mensual'!G4+IF(parametros_manuales!$H$27="Todos",'Plan mensual'!G8,0))+parametros_manuales!$G$27*('Plan mensual'!G5+IF(parametros_manuales!$H$27="Todos",'Plan mensual'!G9,0)))*parametros_manuales!$I$27*parametros_manuales!$J$27</f>
        <v>224.655</v>
      </c>
      <c r="F10" s="4">
        <f>(parametros_manuales!$D$27*('Plan mensual'!H2+IF(parametros_manuales!$H$27="Todos",'Plan mensual'!H6,0))+parametros_manuales!$E$27*('Plan mensual'!H3+IF(parametros_manuales!$H$27="Todos",'Plan mensual'!H7,0))+parametros_manuales!$F$27*('Plan mensual'!H4+IF(parametros_manuales!$H$27="Todos",'Plan mensual'!H8,0))+parametros_manuales!$G$27*('Plan mensual'!H5+IF(parametros_manuales!$H$27="Todos",'Plan mensual'!H9,0)))*parametros_manuales!$I$27*parametros_manuales!$J$27</f>
        <v>211.44</v>
      </c>
      <c r="G10" s="4">
        <f>(parametros_manuales!$D$27*('Plan mensual'!I2+IF(parametros_manuales!$H$27="Todos",'Plan mensual'!I6,0))+parametros_manuales!$E$27*('Plan mensual'!I3+IF(parametros_manuales!$H$27="Todos",'Plan mensual'!I7,0))+parametros_manuales!$F$27*('Plan mensual'!I4+IF(parametros_manuales!$H$27="Todos",'Plan mensual'!I8,0))+parametros_manuales!$G$27*('Plan mensual'!I5+IF(parametros_manuales!$H$27="Todos",'Plan mensual'!I9,0)))*parametros_manuales!$I$27*parametros_manuales!$J$27</f>
        <v>198.225</v>
      </c>
      <c r="H10" s="4">
        <f>(parametros_manuales!$D$27*('Plan mensual'!J2+IF(parametros_manuales!$H$27="Todos",'Plan mensual'!J6,0))+parametros_manuales!$E$27*('Plan mensual'!J3+IF(parametros_manuales!$H$27="Todos",'Plan mensual'!J7,0))+parametros_manuales!$F$27*('Plan mensual'!J4+IF(parametros_manuales!$H$27="Todos",'Plan mensual'!J8,0))+parametros_manuales!$G$27*('Plan mensual'!J5+IF(parametros_manuales!$H$27="Todos",'Plan mensual'!J9,0)))*parametros_manuales!$I$27*parametros_manuales!$J$27</f>
        <v>211.44</v>
      </c>
      <c r="I10" s="4">
        <f>(parametros_manuales!$D$27*('Plan mensual'!K2+IF(parametros_manuales!$H$27="Todos",'Plan mensual'!K6,0))+parametros_manuales!$E$27*('Plan mensual'!K3+IF(parametros_manuales!$H$27="Todos",'Plan mensual'!K7,0))+parametros_manuales!$F$27*('Plan mensual'!K4+IF(parametros_manuales!$H$27="Todos",'Plan mensual'!K8,0))+parametros_manuales!$G$27*('Plan mensual'!K5+IF(parametros_manuales!$H$27="Todos",'Plan mensual'!K9,0)))*parametros_manuales!$I$27*parametros_manuales!$J$27</f>
        <v>211.44</v>
      </c>
      <c r="J10" s="4">
        <f>(parametros_manuales!$D$27*('Plan mensual'!L2+IF(parametros_manuales!$H$27="Todos",'Plan mensual'!L6,0))+parametros_manuales!$E$27*('Plan mensual'!L3+IF(parametros_manuales!$H$27="Todos",'Plan mensual'!L7,0))+parametros_manuales!$F$27*('Plan mensual'!L4+IF(parametros_manuales!$H$27="Todos",'Plan mensual'!L8,0))+parametros_manuales!$G$27*('Plan mensual'!L5+IF(parametros_manuales!$H$27="Todos",'Plan mensual'!L9,0)))*parametros_manuales!$I$27*parametros_manuales!$J$27</f>
        <v>211.44</v>
      </c>
      <c r="K10" s="4">
        <f>(parametros_manuales!$D$27*('Plan mensual'!M2+IF(parametros_manuales!$H$27="Todos",'Plan mensual'!M6,0))+parametros_manuales!$E$27*('Plan mensual'!M3+IF(parametros_manuales!$H$27="Todos",'Plan mensual'!M7,0))+parametros_manuales!$F$27*('Plan mensual'!M4+IF(parametros_manuales!$H$27="Todos",'Plan mensual'!M8,0))+parametros_manuales!$G$27*('Plan mensual'!M5+IF(parametros_manuales!$H$27="Todos",'Plan mensual'!M9,0)))*parametros_manuales!$I$27*parametros_manuales!$J$27</f>
        <v>198.225</v>
      </c>
      <c r="L10" s="4">
        <f>(parametros_manuales!$D$27*('Plan mensual'!N2+IF(parametros_manuales!$H$27="Todos",'Plan mensual'!N6,0))+parametros_manuales!$E$27*('Plan mensual'!N3+IF(parametros_manuales!$H$27="Todos",'Plan mensual'!N7,0))+parametros_manuales!$F$27*('Plan mensual'!N4+IF(parametros_manuales!$H$27="Todos",'Plan mensual'!N8,0))+parametros_manuales!$G$27*('Plan mensual'!N5+IF(parametros_manuales!$H$27="Todos",'Plan mensual'!N9,0)))*parametros_manuales!$I$27*parametros_manuales!$J$27</f>
        <v>185.01</v>
      </c>
      <c r="M10" s="4">
        <f>(parametros_manuales!$D$27*('Plan mensual'!O2+IF(parametros_manuales!$H$27="Todos",'Plan mensual'!O6,0))+parametros_manuales!$E$27*('Plan mensual'!O3+IF(parametros_manuales!$H$27="Todos",'Plan mensual'!O7,0))+parametros_manuales!$F$27*('Plan mensual'!O4+IF(parametros_manuales!$H$27="Todos",'Plan mensual'!O8,0))+parametros_manuales!$G$27*('Plan mensual'!O5+IF(parametros_manuales!$H$27="Todos",'Plan mensual'!O9,0)))*parametros_manuales!$I$27*parametros_manuales!$J$27</f>
        <v>290.73</v>
      </c>
      <c r="N10" s="4">
        <f t="shared" si="1"/>
        <v>2643</v>
      </c>
      <c r="O10" s="4">
        <f t="shared" si="2"/>
        <v>290.73</v>
      </c>
      <c r="P10" s="27">
        <f>O10/(parametros_manuales!$B$7)</f>
        <v>1.9382</v>
      </c>
      <c r="Q10" s="3" t="str">
        <f t="shared" si="3"/>
        <v>Dic</v>
      </c>
    </row>
    <row r="11" ht="14.25" customHeight="1">
      <c r="A11" s="3" t="str">
        <f>parametros_manuales!$B$28</f>
        <v>Encastre de fondo</v>
      </c>
      <c r="B11" s="4">
        <f>(parametros_manuales!$D$28*('Plan mensual'!D2+IF(parametros_manuales!$H$28="Todos",'Plan mensual'!D6,0))+parametros_manuales!$E$28*('Plan mensual'!D3+IF(parametros_manuales!$H$28="Todos",'Plan mensual'!D7,0))+parametros_manuales!$F$28*('Plan mensual'!D4+IF(parametros_manuales!$H$28="Todos",'Plan mensual'!D8,0))+parametros_manuales!$G$28*('Plan mensual'!D5+IF(parametros_manuales!$H$28="Todos",'Plan mensual'!D9,0)))*parametros_manuales!$I$28*parametros_manuales!$J$28</f>
        <v>765.78</v>
      </c>
      <c r="C11" s="4">
        <f>(parametros_manuales!$D$28*('Plan mensual'!E2+IF(parametros_manuales!$H$28="Todos",'Plan mensual'!E6,0))+parametros_manuales!$E$28*('Plan mensual'!E3+IF(parametros_manuales!$H$28="Todos",'Plan mensual'!E7,0))+parametros_manuales!$F$28*('Plan mensual'!E4+IF(parametros_manuales!$H$28="Todos",'Plan mensual'!E8,0))+parametros_manuales!$G$28*('Plan mensual'!E5+IF(parametros_manuales!$H$28="Todos",'Plan mensual'!E9,0)))*parametros_manuales!$I$28*parametros_manuales!$J$28</f>
        <v>587.55</v>
      </c>
      <c r="D11" s="4">
        <f>(parametros_manuales!$D$28*('Plan mensual'!F2+IF(parametros_manuales!$H$28="Todos",'Plan mensual'!F6,0))+parametros_manuales!$E$28*('Plan mensual'!F3+IF(parametros_manuales!$H$28="Todos",'Plan mensual'!F7,0))+parametros_manuales!$F$28*('Plan mensual'!F4+IF(parametros_manuales!$H$28="Todos",'Plan mensual'!F8,0))+parametros_manuales!$G$28*('Plan mensual'!F5+IF(parametros_manuales!$H$28="Todos",'Plan mensual'!F9,0)))*parametros_manuales!$I$28*parametros_manuales!$J$28</f>
        <v>558.975</v>
      </c>
      <c r="E11" s="4">
        <f>(parametros_manuales!$D$28*('Plan mensual'!G2+IF(parametros_manuales!$H$28="Todos",'Plan mensual'!G6,0))+parametros_manuales!$E$28*('Plan mensual'!G3+IF(parametros_manuales!$H$28="Todos",'Plan mensual'!G7,0))+parametros_manuales!$F$28*('Plan mensual'!G4+IF(parametros_manuales!$H$28="Todos",'Plan mensual'!G8,0))+parametros_manuales!$G$28*('Plan mensual'!G5+IF(parametros_manuales!$H$28="Todos",'Plan mensual'!G9,0)))*parametros_manuales!$I$28*parametros_manuales!$J$28</f>
        <v>538.08</v>
      </c>
      <c r="F11" s="4">
        <f>(parametros_manuales!$D$28*('Plan mensual'!H2+IF(parametros_manuales!$H$28="Todos",'Plan mensual'!H6,0))+parametros_manuales!$E$28*('Plan mensual'!H3+IF(parametros_manuales!$H$28="Todos",'Plan mensual'!H7,0))+parametros_manuales!$F$28*('Plan mensual'!H4+IF(parametros_manuales!$H$28="Todos",'Plan mensual'!H8,0))+parametros_manuales!$G$28*('Plan mensual'!H5+IF(parametros_manuales!$H$28="Todos",'Plan mensual'!H9,0)))*parametros_manuales!$I$28*parametros_manuales!$J$28</f>
        <v>503.97</v>
      </c>
      <c r="G11" s="4">
        <f>(parametros_manuales!$D$28*('Plan mensual'!I2+IF(parametros_manuales!$H$28="Todos",'Plan mensual'!I6,0))+parametros_manuales!$E$28*('Plan mensual'!I3+IF(parametros_manuales!$H$28="Todos",'Plan mensual'!I7,0))+parametros_manuales!$F$28*('Plan mensual'!I4+IF(parametros_manuales!$H$28="Todos",'Plan mensual'!I8,0))+parametros_manuales!$G$28*('Plan mensual'!I5+IF(parametros_manuales!$H$28="Todos",'Plan mensual'!I9,0)))*parametros_manuales!$I$28*parametros_manuales!$J$28</f>
        <v>490.755</v>
      </c>
      <c r="H11" s="4">
        <f>(parametros_manuales!$D$28*('Plan mensual'!J2+IF(parametros_manuales!$H$28="Todos",'Plan mensual'!J6,0))+parametros_manuales!$E$28*('Plan mensual'!J3+IF(parametros_manuales!$H$28="Todos",'Plan mensual'!J7,0))+parametros_manuales!$F$28*('Plan mensual'!J4+IF(parametros_manuales!$H$28="Todos",'Plan mensual'!J8,0))+parametros_manuales!$G$28*('Plan mensual'!J5+IF(parametros_manuales!$H$28="Todos",'Plan mensual'!J9,0)))*parametros_manuales!$I$28*parametros_manuales!$J$28</f>
        <v>524.865</v>
      </c>
      <c r="I11" s="4">
        <f>(parametros_manuales!$D$28*('Plan mensual'!K2+IF(parametros_manuales!$H$28="Todos",'Plan mensual'!K6,0))+parametros_manuales!$E$28*('Plan mensual'!K3+IF(parametros_manuales!$H$28="Todos",'Plan mensual'!K7,0))+parametros_manuales!$F$28*('Plan mensual'!K4+IF(parametros_manuales!$H$28="Todos",'Plan mensual'!K8,0))+parametros_manuales!$G$28*('Plan mensual'!K5+IF(parametros_manuales!$H$28="Todos",'Plan mensual'!K9,0)))*parametros_manuales!$I$28*parametros_manuales!$J$28</f>
        <v>524.865</v>
      </c>
      <c r="J11" s="4">
        <f>(parametros_manuales!$D$28*('Plan mensual'!L2+IF(parametros_manuales!$H$28="Todos",'Plan mensual'!L6,0))+parametros_manuales!$E$28*('Plan mensual'!L3+IF(parametros_manuales!$H$28="Todos",'Plan mensual'!L7,0))+parametros_manuales!$F$28*('Plan mensual'!L4+IF(parametros_manuales!$H$28="Todos",'Plan mensual'!L8,0))+parametros_manuales!$G$28*('Plan mensual'!L5+IF(parametros_manuales!$H$28="Todos",'Plan mensual'!L9,0)))*parametros_manuales!$I$28*parametros_manuales!$J$28</f>
        <v>524.865</v>
      </c>
      <c r="K11" s="4">
        <f>(parametros_manuales!$D$28*('Plan mensual'!M2+IF(parametros_manuales!$H$28="Todos",'Plan mensual'!M6,0))+parametros_manuales!$E$28*('Plan mensual'!M3+IF(parametros_manuales!$H$28="Todos",'Plan mensual'!M7,0))+parametros_manuales!$F$28*('Plan mensual'!M4+IF(parametros_manuales!$H$28="Todos",'Plan mensual'!M8,0))+parametros_manuales!$G$28*('Plan mensual'!M5+IF(parametros_manuales!$H$28="Todos",'Plan mensual'!M9,0)))*parametros_manuales!$I$28*parametros_manuales!$J$28</f>
        <v>511.65</v>
      </c>
      <c r="L11" s="4">
        <f>(parametros_manuales!$D$28*('Plan mensual'!N2+IF(parametros_manuales!$H$28="Todos",'Plan mensual'!N6,0))+parametros_manuales!$E$28*('Plan mensual'!N3+IF(parametros_manuales!$H$28="Todos",'Plan mensual'!N7,0))+parametros_manuales!$F$28*('Plan mensual'!N4+IF(parametros_manuales!$H$28="Todos",'Plan mensual'!N8,0))+parametros_manuales!$G$28*('Plan mensual'!N5+IF(parametros_manuales!$H$28="Todos",'Plan mensual'!N9,0)))*parametros_manuales!$I$28*parametros_manuales!$J$28</f>
        <v>498.435</v>
      </c>
      <c r="M11" s="4">
        <f>(parametros_manuales!$D$28*('Plan mensual'!O2+IF(parametros_manuales!$H$28="Todos",'Plan mensual'!O6,0))+parametros_manuales!$E$28*('Plan mensual'!O3+IF(parametros_manuales!$H$28="Todos",'Plan mensual'!O7,0))+parametros_manuales!$F$28*('Plan mensual'!O4+IF(parametros_manuales!$H$28="Todos",'Plan mensual'!O8,0))+parametros_manuales!$G$28*('Plan mensual'!O5+IF(parametros_manuales!$H$28="Todos",'Plan mensual'!O9,0)))*parametros_manuales!$I$28*parametros_manuales!$J$28</f>
        <v>792.21</v>
      </c>
      <c r="N11" s="4">
        <f t="shared" si="1"/>
        <v>6822</v>
      </c>
      <c r="O11" s="4">
        <f t="shared" si="2"/>
        <v>792.21</v>
      </c>
      <c r="P11" s="27">
        <f>O11/(parametros_manuales!$B$7)</f>
        <v>5.2814</v>
      </c>
      <c r="Q11" s="3" t="str">
        <f t="shared" si="3"/>
        <v>Dic</v>
      </c>
    </row>
    <row r="12" ht="14.25" customHeight="1">
      <c r="A12" s="3" t="str">
        <f>parametros_manuales!$B$29</f>
        <v>Bordoneado</v>
      </c>
      <c r="B12" s="4">
        <f>(parametros_manuales!$D$29*('Plan mensual'!D2+IF(parametros_manuales!$H$29="Todos",'Plan mensual'!D6,0))+parametros_manuales!$E$29*('Plan mensual'!D3+IF(parametros_manuales!$H$29="Todos",'Plan mensual'!D7,0))+parametros_manuales!$F$29*('Plan mensual'!D4+IF(parametros_manuales!$H$29="Todos",'Plan mensual'!D8,0))+parametros_manuales!$G$29*('Plan mensual'!D5+IF(parametros_manuales!$H$29="Todos",'Plan mensual'!D9,0)))*parametros_manuales!$I$29*parametros_manuales!$J$29</f>
        <v>765.78</v>
      </c>
      <c r="C12" s="4">
        <f>(parametros_manuales!$D$29*('Plan mensual'!E2+IF(parametros_manuales!$H$29="Todos",'Plan mensual'!E6,0))+parametros_manuales!$E$29*('Plan mensual'!E3+IF(parametros_manuales!$H$29="Todos",'Plan mensual'!E7,0))+parametros_manuales!$F$29*('Plan mensual'!E4+IF(parametros_manuales!$H$29="Todos",'Plan mensual'!E8,0))+parametros_manuales!$G$29*('Plan mensual'!E5+IF(parametros_manuales!$H$29="Todos",'Plan mensual'!E9,0)))*parametros_manuales!$I$29*parametros_manuales!$J$29</f>
        <v>587.55</v>
      </c>
      <c r="D12" s="4">
        <f>(parametros_manuales!$D$29*('Plan mensual'!F2+IF(parametros_manuales!$H$29="Todos",'Plan mensual'!F6,0))+parametros_manuales!$E$29*('Plan mensual'!F3+IF(parametros_manuales!$H$29="Todos",'Plan mensual'!F7,0))+parametros_manuales!$F$29*('Plan mensual'!F4+IF(parametros_manuales!$H$29="Todos",'Plan mensual'!F8,0))+parametros_manuales!$G$29*('Plan mensual'!F5+IF(parametros_manuales!$H$29="Todos",'Plan mensual'!F9,0)))*parametros_manuales!$I$29*parametros_manuales!$J$29</f>
        <v>558.975</v>
      </c>
      <c r="E12" s="4">
        <f>(parametros_manuales!$D$29*('Plan mensual'!G2+IF(parametros_manuales!$H$29="Todos",'Plan mensual'!G6,0))+parametros_manuales!$E$29*('Plan mensual'!G3+IF(parametros_manuales!$H$29="Todos",'Plan mensual'!G7,0))+parametros_manuales!$F$29*('Plan mensual'!G4+IF(parametros_manuales!$H$29="Todos",'Plan mensual'!G8,0))+parametros_manuales!$G$29*('Plan mensual'!G5+IF(parametros_manuales!$H$29="Todos",'Plan mensual'!G9,0)))*parametros_manuales!$I$29*parametros_manuales!$J$29</f>
        <v>538.08</v>
      </c>
      <c r="F12" s="4">
        <f>(parametros_manuales!$D$29*('Plan mensual'!H2+IF(parametros_manuales!$H$29="Todos",'Plan mensual'!H6,0))+parametros_manuales!$E$29*('Plan mensual'!H3+IF(parametros_manuales!$H$29="Todos",'Plan mensual'!H7,0))+parametros_manuales!$F$29*('Plan mensual'!H4+IF(parametros_manuales!$H$29="Todos",'Plan mensual'!H8,0))+parametros_manuales!$G$29*('Plan mensual'!H5+IF(parametros_manuales!$H$29="Todos",'Plan mensual'!H9,0)))*parametros_manuales!$I$29*parametros_manuales!$J$29</f>
        <v>503.97</v>
      </c>
      <c r="G12" s="4">
        <f>(parametros_manuales!$D$29*('Plan mensual'!I2+IF(parametros_manuales!$H$29="Todos",'Plan mensual'!I6,0))+parametros_manuales!$E$29*('Plan mensual'!I3+IF(parametros_manuales!$H$29="Todos",'Plan mensual'!I7,0))+parametros_manuales!$F$29*('Plan mensual'!I4+IF(parametros_manuales!$H$29="Todos",'Plan mensual'!I8,0))+parametros_manuales!$G$29*('Plan mensual'!I5+IF(parametros_manuales!$H$29="Todos",'Plan mensual'!I9,0)))*parametros_manuales!$I$29*parametros_manuales!$J$29</f>
        <v>490.755</v>
      </c>
      <c r="H12" s="4">
        <f>(parametros_manuales!$D$29*('Plan mensual'!J2+IF(parametros_manuales!$H$29="Todos",'Plan mensual'!J6,0))+parametros_manuales!$E$29*('Plan mensual'!J3+IF(parametros_manuales!$H$29="Todos",'Plan mensual'!J7,0))+parametros_manuales!$F$29*('Plan mensual'!J4+IF(parametros_manuales!$H$29="Todos",'Plan mensual'!J8,0))+parametros_manuales!$G$29*('Plan mensual'!J5+IF(parametros_manuales!$H$29="Todos",'Plan mensual'!J9,0)))*parametros_manuales!$I$29*parametros_manuales!$J$29</f>
        <v>524.865</v>
      </c>
      <c r="I12" s="4">
        <f>(parametros_manuales!$D$29*('Plan mensual'!K2+IF(parametros_manuales!$H$29="Todos",'Plan mensual'!K6,0))+parametros_manuales!$E$29*('Plan mensual'!K3+IF(parametros_manuales!$H$29="Todos",'Plan mensual'!K7,0))+parametros_manuales!$F$29*('Plan mensual'!K4+IF(parametros_manuales!$H$29="Todos",'Plan mensual'!K8,0))+parametros_manuales!$G$29*('Plan mensual'!K5+IF(parametros_manuales!$H$29="Todos",'Plan mensual'!K9,0)))*parametros_manuales!$I$29*parametros_manuales!$J$29</f>
        <v>524.865</v>
      </c>
      <c r="J12" s="4">
        <f>(parametros_manuales!$D$29*('Plan mensual'!L2+IF(parametros_manuales!$H$29="Todos",'Plan mensual'!L6,0))+parametros_manuales!$E$29*('Plan mensual'!L3+IF(parametros_manuales!$H$29="Todos",'Plan mensual'!L7,0))+parametros_manuales!$F$29*('Plan mensual'!L4+IF(parametros_manuales!$H$29="Todos",'Plan mensual'!L8,0))+parametros_manuales!$G$29*('Plan mensual'!L5+IF(parametros_manuales!$H$29="Todos",'Plan mensual'!L9,0)))*parametros_manuales!$I$29*parametros_manuales!$J$29</f>
        <v>524.865</v>
      </c>
      <c r="K12" s="4">
        <f>(parametros_manuales!$D$29*('Plan mensual'!M2+IF(parametros_manuales!$H$29="Todos",'Plan mensual'!M6,0))+parametros_manuales!$E$29*('Plan mensual'!M3+IF(parametros_manuales!$H$29="Todos",'Plan mensual'!M7,0))+parametros_manuales!$F$29*('Plan mensual'!M4+IF(parametros_manuales!$H$29="Todos",'Plan mensual'!M8,0))+parametros_manuales!$G$29*('Plan mensual'!M5+IF(parametros_manuales!$H$29="Todos",'Plan mensual'!M9,0)))*parametros_manuales!$I$29*parametros_manuales!$J$29</f>
        <v>511.65</v>
      </c>
      <c r="L12" s="4">
        <f>(parametros_manuales!$D$29*('Plan mensual'!N2+IF(parametros_manuales!$H$29="Todos",'Plan mensual'!N6,0))+parametros_manuales!$E$29*('Plan mensual'!N3+IF(parametros_manuales!$H$29="Todos",'Plan mensual'!N7,0))+parametros_manuales!$F$29*('Plan mensual'!N4+IF(parametros_manuales!$H$29="Todos",'Plan mensual'!N8,0))+parametros_manuales!$G$29*('Plan mensual'!N5+IF(parametros_manuales!$H$29="Todos",'Plan mensual'!N9,0)))*parametros_manuales!$I$29*parametros_manuales!$J$29</f>
        <v>498.435</v>
      </c>
      <c r="M12" s="4">
        <f>(parametros_manuales!$D$29*('Plan mensual'!O2+IF(parametros_manuales!$H$29="Todos",'Plan mensual'!O6,0))+parametros_manuales!$E$29*('Plan mensual'!O3+IF(parametros_manuales!$H$29="Todos",'Plan mensual'!O7,0))+parametros_manuales!$F$29*('Plan mensual'!O4+IF(parametros_manuales!$H$29="Todos",'Plan mensual'!O8,0))+parametros_manuales!$G$29*('Plan mensual'!O5+IF(parametros_manuales!$H$29="Todos",'Plan mensual'!O9,0)))*parametros_manuales!$I$29*parametros_manuales!$J$29</f>
        <v>792.21</v>
      </c>
      <c r="N12" s="4">
        <f t="shared" si="1"/>
        <v>6822</v>
      </c>
      <c r="O12" s="4">
        <f t="shared" si="2"/>
        <v>792.21</v>
      </c>
      <c r="P12" s="27">
        <f>O12/(parametros_manuales!$B$7)</f>
        <v>5.2814</v>
      </c>
      <c r="Q12" s="3" t="str">
        <f t="shared" si="3"/>
        <v>Dic</v>
      </c>
    </row>
    <row r="13" ht="14.25" customHeight="1">
      <c r="A13" s="3" t="str">
        <f>parametros_manuales!$B$30</f>
        <v>Soldadura circunferencial de cúpula y fondo</v>
      </c>
      <c r="B13" s="4">
        <f>(parametros_manuales!$D$30*('Plan mensual'!D2+IF(parametros_manuales!$H$30="Todos",'Plan mensual'!D6,0))+parametros_manuales!$E$30*('Plan mensual'!D3+IF(parametros_manuales!$H$30="Todos",'Plan mensual'!D7,0))+parametros_manuales!$F$30*('Plan mensual'!D4+IF(parametros_manuales!$H$30="Todos",'Plan mensual'!D8,0))+parametros_manuales!$G$30*('Plan mensual'!D5+IF(parametros_manuales!$H$30="Todos",'Plan mensual'!D9,0)))*parametros_manuales!$I$30*parametros_manuales!$J$30</f>
        <v>765.78</v>
      </c>
      <c r="C13" s="4">
        <f>(parametros_manuales!$D$30*('Plan mensual'!E2+IF(parametros_manuales!$H$30="Todos",'Plan mensual'!E6,0))+parametros_manuales!$E$30*('Plan mensual'!E3+IF(parametros_manuales!$H$30="Todos",'Plan mensual'!E7,0))+parametros_manuales!$F$30*('Plan mensual'!E4+IF(parametros_manuales!$H$30="Todos",'Plan mensual'!E8,0))+parametros_manuales!$G$30*('Plan mensual'!E5+IF(parametros_manuales!$H$30="Todos",'Plan mensual'!E9,0)))*parametros_manuales!$I$30*parametros_manuales!$J$30</f>
        <v>587.55</v>
      </c>
      <c r="D13" s="4">
        <f>(parametros_manuales!$D$30*('Plan mensual'!F2+IF(parametros_manuales!$H$30="Todos",'Plan mensual'!F6,0))+parametros_manuales!$E$30*('Plan mensual'!F3+IF(parametros_manuales!$H$30="Todos",'Plan mensual'!F7,0))+parametros_manuales!$F$30*('Plan mensual'!F4+IF(parametros_manuales!$H$30="Todos",'Plan mensual'!F8,0))+parametros_manuales!$G$30*('Plan mensual'!F5+IF(parametros_manuales!$H$30="Todos",'Plan mensual'!F9,0)))*parametros_manuales!$I$30*parametros_manuales!$J$30</f>
        <v>558.975</v>
      </c>
      <c r="E13" s="4">
        <f>(parametros_manuales!$D$30*('Plan mensual'!G2+IF(parametros_manuales!$H$30="Todos",'Plan mensual'!G6,0))+parametros_manuales!$E$30*('Plan mensual'!G3+IF(parametros_manuales!$H$30="Todos",'Plan mensual'!G7,0))+parametros_manuales!$F$30*('Plan mensual'!G4+IF(parametros_manuales!$H$30="Todos",'Plan mensual'!G8,0))+parametros_manuales!$G$30*('Plan mensual'!G5+IF(parametros_manuales!$H$30="Todos",'Plan mensual'!G9,0)))*parametros_manuales!$I$30*parametros_manuales!$J$30</f>
        <v>538.08</v>
      </c>
      <c r="F13" s="4">
        <f>(parametros_manuales!$D$30*('Plan mensual'!H2+IF(parametros_manuales!$H$30="Todos",'Plan mensual'!H6,0))+parametros_manuales!$E$30*('Plan mensual'!H3+IF(parametros_manuales!$H$30="Todos",'Plan mensual'!H7,0))+parametros_manuales!$F$30*('Plan mensual'!H4+IF(parametros_manuales!$H$30="Todos",'Plan mensual'!H8,0))+parametros_manuales!$G$30*('Plan mensual'!H5+IF(parametros_manuales!$H$30="Todos",'Plan mensual'!H9,0)))*parametros_manuales!$I$30*parametros_manuales!$J$30</f>
        <v>503.97</v>
      </c>
      <c r="G13" s="4">
        <f>(parametros_manuales!$D$30*('Plan mensual'!I2+IF(parametros_manuales!$H$30="Todos",'Plan mensual'!I6,0))+parametros_manuales!$E$30*('Plan mensual'!I3+IF(parametros_manuales!$H$30="Todos",'Plan mensual'!I7,0))+parametros_manuales!$F$30*('Plan mensual'!I4+IF(parametros_manuales!$H$30="Todos",'Plan mensual'!I8,0))+parametros_manuales!$G$30*('Plan mensual'!I5+IF(parametros_manuales!$H$30="Todos",'Plan mensual'!I9,0)))*parametros_manuales!$I$30*parametros_manuales!$J$30</f>
        <v>490.755</v>
      </c>
      <c r="H13" s="4">
        <f>(parametros_manuales!$D$30*('Plan mensual'!J2+IF(parametros_manuales!$H$30="Todos",'Plan mensual'!J6,0))+parametros_manuales!$E$30*('Plan mensual'!J3+IF(parametros_manuales!$H$30="Todos",'Plan mensual'!J7,0))+parametros_manuales!$F$30*('Plan mensual'!J4+IF(parametros_manuales!$H$30="Todos",'Plan mensual'!J8,0))+parametros_manuales!$G$30*('Plan mensual'!J5+IF(parametros_manuales!$H$30="Todos",'Plan mensual'!J9,0)))*parametros_manuales!$I$30*parametros_manuales!$J$30</f>
        <v>524.865</v>
      </c>
      <c r="I13" s="4">
        <f>(parametros_manuales!$D$30*('Plan mensual'!K2+IF(parametros_manuales!$H$30="Todos",'Plan mensual'!K6,0))+parametros_manuales!$E$30*('Plan mensual'!K3+IF(parametros_manuales!$H$30="Todos",'Plan mensual'!K7,0))+parametros_manuales!$F$30*('Plan mensual'!K4+IF(parametros_manuales!$H$30="Todos",'Plan mensual'!K8,0))+parametros_manuales!$G$30*('Plan mensual'!K5+IF(parametros_manuales!$H$30="Todos",'Plan mensual'!K9,0)))*parametros_manuales!$I$30*parametros_manuales!$J$30</f>
        <v>524.865</v>
      </c>
      <c r="J13" s="4">
        <f>(parametros_manuales!$D$30*('Plan mensual'!L2+IF(parametros_manuales!$H$30="Todos",'Plan mensual'!L6,0))+parametros_manuales!$E$30*('Plan mensual'!L3+IF(parametros_manuales!$H$30="Todos",'Plan mensual'!L7,0))+parametros_manuales!$F$30*('Plan mensual'!L4+IF(parametros_manuales!$H$30="Todos",'Plan mensual'!L8,0))+parametros_manuales!$G$30*('Plan mensual'!L5+IF(parametros_manuales!$H$30="Todos",'Plan mensual'!L9,0)))*parametros_manuales!$I$30*parametros_manuales!$J$30</f>
        <v>524.865</v>
      </c>
      <c r="K13" s="4">
        <f>(parametros_manuales!$D$30*('Plan mensual'!M2+IF(parametros_manuales!$H$30="Todos",'Plan mensual'!M6,0))+parametros_manuales!$E$30*('Plan mensual'!M3+IF(parametros_manuales!$H$30="Todos",'Plan mensual'!M7,0))+parametros_manuales!$F$30*('Plan mensual'!M4+IF(parametros_manuales!$H$30="Todos",'Plan mensual'!M8,0))+parametros_manuales!$G$30*('Plan mensual'!M5+IF(parametros_manuales!$H$30="Todos",'Plan mensual'!M9,0)))*parametros_manuales!$I$30*parametros_manuales!$J$30</f>
        <v>511.65</v>
      </c>
      <c r="L13" s="4">
        <f>(parametros_manuales!$D$30*('Plan mensual'!N2+IF(parametros_manuales!$H$30="Todos",'Plan mensual'!N6,0))+parametros_manuales!$E$30*('Plan mensual'!N3+IF(parametros_manuales!$H$30="Todos",'Plan mensual'!N7,0))+parametros_manuales!$F$30*('Plan mensual'!N4+IF(parametros_manuales!$H$30="Todos",'Plan mensual'!N8,0))+parametros_manuales!$G$30*('Plan mensual'!N5+IF(parametros_manuales!$H$30="Todos",'Plan mensual'!N9,0)))*parametros_manuales!$I$30*parametros_manuales!$J$30</f>
        <v>498.435</v>
      </c>
      <c r="M13" s="4">
        <f>(parametros_manuales!$D$30*('Plan mensual'!O2+IF(parametros_manuales!$H$30="Todos",'Plan mensual'!O6,0))+parametros_manuales!$E$30*('Plan mensual'!O3+IF(parametros_manuales!$H$30="Todos",'Plan mensual'!O7,0))+parametros_manuales!$F$30*('Plan mensual'!O4+IF(parametros_manuales!$H$30="Todos",'Plan mensual'!O8,0))+parametros_manuales!$G$30*('Plan mensual'!O5+IF(parametros_manuales!$H$30="Todos",'Plan mensual'!O9,0)))*parametros_manuales!$I$30*parametros_manuales!$J$30</f>
        <v>792.21</v>
      </c>
      <c r="N13" s="4">
        <f t="shared" si="1"/>
        <v>6822</v>
      </c>
      <c r="O13" s="4">
        <f t="shared" si="2"/>
        <v>792.21</v>
      </c>
      <c r="P13" s="27">
        <f>O13/(parametros_manuales!$B$7)</f>
        <v>5.2814</v>
      </c>
      <c r="Q13" s="3" t="str">
        <f t="shared" si="3"/>
        <v>Dic</v>
      </c>
    </row>
    <row r="14" ht="14.25" customHeight="1">
      <c r="A14" s="3" t="str">
        <f>parametros_manuales!$B$31</f>
        <v>Control de calidad — Espesor</v>
      </c>
      <c r="B14" s="4">
        <f>(parametros_manuales!$D$31*('Plan mensual'!D2+IF(parametros_manuales!$H$31="Todos",'Plan mensual'!D6,0))+parametros_manuales!$E$31*('Plan mensual'!D3+IF(parametros_manuales!$H$31="Todos",'Plan mensual'!D7,0))+parametros_manuales!$F$31*('Plan mensual'!D4+IF(parametros_manuales!$H$31="Todos",'Plan mensual'!D8,0))+parametros_manuales!$G$31*('Plan mensual'!D5+IF(parametros_manuales!$H$31="Todos",'Plan mensual'!D9,0)))*parametros_manuales!$I$31*parametros_manuales!$J$31</f>
        <v>15.3156</v>
      </c>
      <c r="C14" s="4">
        <f>(parametros_manuales!$D$31*('Plan mensual'!E2+IF(parametros_manuales!$H$31="Todos",'Plan mensual'!E6,0))+parametros_manuales!$E$31*('Plan mensual'!E3+IF(parametros_manuales!$H$31="Todos",'Plan mensual'!E7,0))+parametros_manuales!$F$31*('Plan mensual'!E4+IF(parametros_manuales!$H$31="Todos",'Plan mensual'!E8,0))+parametros_manuales!$G$31*('Plan mensual'!E5+IF(parametros_manuales!$H$31="Todos",'Plan mensual'!E9,0)))*parametros_manuales!$I$31*parametros_manuales!$J$31</f>
        <v>11.751</v>
      </c>
      <c r="D14" s="4">
        <f>(parametros_manuales!$D$31*('Plan mensual'!F2+IF(parametros_manuales!$H$31="Todos",'Plan mensual'!F6,0))+parametros_manuales!$E$31*('Plan mensual'!F3+IF(parametros_manuales!$H$31="Todos",'Plan mensual'!F7,0))+parametros_manuales!$F$31*('Plan mensual'!F4+IF(parametros_manuales!$H$31="Todos",'Plan mensual'!F8,0))+parametros_manuales!$G$31*('Plan mensual'!F5+IF(parametros_manuales!$H$31="Todos",'Plan mensual'!F9,0)))*parametros_manuales!$I$31*parametros_manuales!$J$31</f>
        <v>11.1795</v>
      </c>
      <c r="E14" s="4">
        <f>(parametros_manuales!$D$31*('Plan mensual'!G2+IF(parametros_manuales!$H$31="Todos",'Plan mensual'!G6,0))+parametros_manuales!$E$31*('Plan mensual'!G3+IF(parametros_manuales!$H$31="Todos",'Plan mensual'!G7,0))+parametros_manuales!$F$31*('Plan mensual'!G4+IF(parametros_manuales!$H$31="Todos",'Plan mensual'!G8,0))+parametros_manuales!$G$31*('Plan mensual'!G5+IF(parametros_manuales!$H$31="Todos",'Plan mensual'!G9,0)))*parametros_manuales!$I$31*parametros_manuales!$J$31</f>
        <v>10.7616</v>
      </c>
      <c r="F14" s="4">
        <f>(parametros_manuales!$D$31*('Plan mensual'!H2+IF(parametros_manuales!$H$31="Todos",'Plan mensual'!H6,0))+parametros_manuales!$E$31*('Plan mensual'!H3+IF(parametros_manuales!$H$31="Todos",'Plan mensual'!H7,0))+parametros_manuales!$F$31*('Plan mensual'!H4+IF(parametros_manuales!$H$31="Todos",'Plan mensual'!H8,0))+parametros_manuales!$G$31*('Plan mensual'!H5+IF(parametros_manuales!$H$31="Todos",'Plan mensual'!H9,0)))*parametros_manuales!$I$31*parametros_manuales!$J$31</f>
        <v>10.0794</v>
      </c>
      <c r="G14" s="4">
        <f>(parametros_manuales!$D$31*('Plan mensual'!I2+IF(parametros_manuales!$H$31="Todos",'Plan mensual'!I6,0))+parametros_manuales!$E$31*('Plan mensual'!I3+IF(parametros_manuales!$H$31="Todos",'Plan mensual'!I7,0))+parametros_manuales!$F$31*('Plan mensual'!I4+IF(parametros_manuales!$H$31="Todos",'Plan mensual'!I8,0))+parametros_manuales!$G$31*('Plan mensual'!I5+IF(parametros_manuales!$H$31="Todos",'Plan mensual'!I9,0)))*parametros_manuales!$I$31*parametros_manuales!$J$31</f>
        <v>9.8151</v>
      </c>
      <c r="H14" s="4">
        <f>(parametros_manuales!$D$31*('Plan mensual'!J2+IF(parametros_manuales!$H$31="Todos",'Plan mensual'!J6,0))+parametros_manuales!$E$31*('Plan mensual'!J3+IF(parametros_manuales!$H$31="Todos",'Plan mensual'!J7,0))+parametros_manuales!$F$31*('Plan mensual'!J4+IF(parametros_manuales!$H$31="Todos",'Plan mensual'!J8,0))+parametros_manuales!$G$31*('Plan mensual'!J5+IF(parametros_manuales!$H$31="Todos",'Plan mensual'!J9,0)))*parametros_manuales!$I$31*parametros_manuales!$J$31</f>
        <v>10.4973</v>
      </c>
      <c r="I14" s="4">
        <f>(parametros_manuales!$D$31*('Plan mensual'!K2+IF(parametros_manuales!$H$31="Todos",'Plan mensual'!K6,0))+parametros_manuales!$E$31*('Plan mensual'!K3+IF(parametros_manuales!$H$31="Todos",'Plan mensual'!K7,0))+parametros_manuales!$F$31*('Plan mensual'!K4+IF(parametros_manuales!$H$31="Todos",'Plan mensual'!K8,0))+parametros_manuales!$G$31*('Plan mensual'!K5+IF(parametros_manuales!$H$31="Todos",'Plan mensual'!K9,0)))*parametros_manuales!$I$31*parametros_manuales!$J$31</f>
        <v>10.4973</v>
      </c>
      <c r="J14" s="4">
        <f>(parametros_manuales!$D$31*('Plan mensual'!L2+IF(parametros_manuales!$H$31="Todos",'Plan mensual'!L6,0))+parametros_manuales!$E$31*('Plan mensual'!L3+IF(parametros_manuales!$H$31="Todos",'Plan mensual'!L7,0))+parametros_manuales!$F$31*('Plan mensual'!L4+IF(parametros_manuales!$H$31="Todos",'Plan mensual'!L8,0))+parametros_manuales!$G$31*('Plan mensual'!L5+IF(parametros_manuales!$H$31="Todos",'Plan mensual'!L9,0)))*parametros_manuales!$I$31*parametros_manuales!$J$31</f>
        <v>10.4973</v>
      </c>
      <c r="K14" s="4">
        <f>(parametros_manuales!$D$31*('Plan mensual'!M2+IF(parametros_manuales!$H$31="Todos",'Plan mensual'!M6,0))+parametros_manuales!$E$31*('Plan mensual'!M3+IF(parametros_manuales!$H$31="Todos",'Plan mensual'!M7,0))+parametros_manuales!$F$31*('Plan mensual'!M4+IF(parametros_manuales!$H$31="Todos",'Plan mensual'!M8,0))+parametros_manuales!$G$31*('Plan mensual'!M5+IF(parametros_manuales!$H$31="Todos",'Plan mensual'!M9,0)))*parametros_manuales!$I$31*parametros_manuales!$J$31</f>
        <v>10.233</v>
      </c>
      <c r="L14" s="4">
        <f>(parametros_manuales!$D$31*('Plan mensual'!N2+IF(parametros_manuales!$H$31="Todos",'Plan mensual'!N6,0))+parametros_manuales!$E$31*('Plan mensual'!N3+IF(parametros_manuales!$H$31="Todos",'Plan mensual'!N7,0))+parametros_manuales!$F$31*('Plan mensual'!N4+IF(parametros_manuales!$H$31="Todos",'Plan mensual'!N8,0))+parametros_manuales!$G$31*('Plan mensual'!N5+IF(parametros_manuales!$H$31="Todos",'Plan mensual'!N9,0)))*parametros_manuales!$I$31*parametros_manuales!$J$31</f>
        <v>9.9687</v>
      </c>
      <c r="M14" s="4">
        <f>(parametros_manuales!$D$31*('Plan mensual'!O2+IF(parametros_manuales!$H$31="Todos",'Plan mensual'!O6,0))+parametros_manuales!$E$31*('Plan mensual'!O3+IF(parametros_manuales!$H$31="Todos",'Plan mensual'!O7,0))+parametros_manuales!$F$31*('Plan mensual'!O4+IF(parametros_manuales!$H$31="Todos",'Plan mensual'!O8,0))+parametros_manuales!$G$31*('Plan mensual'!O5+IF(parametros_manuales!$H$31="Todos",'Plan mensual'!O9,0)))*parametros_manuales!$I$31*parametros_manuales!$J$31</f>
        <v>15.8442</v>
      </c>
      <c r="N14" s="4">
        <f t="shared" si="1"/>
        <v>136.44</v>
      </c>
      <c r="O14" s="4">
        <f t="shared" si="2"/>
        <v>15.8442</v>
      </c>
      <c r="P14" s="27">
        <f>O14/(parametros_manuales!$B$7)</f>
        <v>0.105628</v>
      </c>
      <c r="Q14" s="3" t="str">
        <f t="shared" si="3"/>
        <v>Dic</v>
      </c>
    </row>
    <row r="15" ht="14.25" customHeight="1">
      <c r="A15" s="3" t="str">
        <f>parametros_manuales!$B$32</f>
        <v>Prueba hidráulica</v>
      </c>
      <c r="B15" s="4">
        <f>(parametros_manuales!$D$32*('Plan mensual'!D2+IF(parametros_manuales!$H$32="Todos",'Plan mensual'!D6,0))+parametros_manuales!$E$32*('Plan mensual'!D3+IF(parametros_manuales!$H$32="Todos",'Plan mensual'!D7,0))+parametros_manuales!$F$32*('Plan mensual'!D4+IF(parametros_manuales!$H$32="Todos",'Plan mensual'!D8,0))+parametros_manuales!$G$32*('Plan mensual'!D5+IF(parametros_manuales!$H$32="Todos",'Plan mensual'!D9,0)))*parametros_manuales!$I$32*parametros_manuales!$J$32</f>
        <v>765.78</v>
      </c>
      <c r="C15" s="4">
        <f>(parametros_manuales!$D$32*('Plan mensual'!E2+IF(parametros_manuales!$H$32="Todos",'Plan mensual'!E6,0))+parametros_manuales!$E$32*('Plan mensual'!E3+IF(parametros_manuales!$H$32="Todos",'Plan mensual'!E7,0))+parametros_manuales!$F$32*('Plan mensual'!E4+IF(parametros_manuales!$H$32="Todos",'Plan mensual'!E8,0))+parametros_manuales!$G$32*('Plan mensual'!E5+IF(parametros_manuales!$H$32="Todos",'Plan mensual'!E9,0)))*parametros_manuales!$I$32*parametros_manuales!$J$32</f>
        <v>587.55</v>
      </c>
      <c r="D15" s="4">
        <f>(parametros_manuales!$D$32*('Plan mensual'!F2+IF(parametros_manuales!$H$32="Todos",'Plan mensual'!F6,0))+parametros_manuales!$E$32*('Plan mensual'!F3+IF(parametros_manuales!$H$32="Todos",'Plan mensual'!F7,0))+parametros_manuales!$F$32*('Plan mensual'!F4+IF(parametros_manuales!$H$32="Todos",'Plan mensual'!F8,0))+parametros_manuales!$G$32*('Plan mensual'!F5+IF(parametros_manuales!$H$32="Todos",'Plan mensual'!F9,0)))*parametros_manuales!$I$32*parametros_manuales!$J$32</f>
        <v>558.975</v>
      </c>
      <c r="E15" s="4">
        <f>(parametros_manuales!$D$32*('Plan mensual'!G2+IF(parametros_manuales!$H$32="Todos",'Plan mensual'!G6,0))+parametros_manuales!$E$32*('Plan mensual'!G3+IF(parametros_manuales!$H$32="Todos",'Plan mensual'!G7,0))+parametros_manuales!$F$32*('Plan mensual'!G4+IF(parametros_manuales!$H$32="Todos",'Plan mensual'!G8,0))+parametros_manuales!$G$32*('Plan mensual'!G5+IF(parametros_manuales!$H$32="Todos",'Plan mensual'!G9,0)))*parametros_manuales!$I$32*parametros_manuales!$J$32</f>
        <v>538.08</v>
      </c>
      <c r="F15" s="4">
        <f>(parametros_manuales!$D$32*('Plan mensual'!H2+IF(parametros_manuales!$H$32="Todos",'Plan mensual'!H6,0))+parametros_manuales!$E$32*('Plan mensual'!H3+IF(parametros_manuales!$H$32="Todos",'Plan mensual'!H7,0))+parametros_manuales!$F$32*('Plan mensual'!H4+IF(parametros_manuales!$H$32="Todos",'Plan mensual'!H8,0))+parametros_manuales!$G$32*('Plan mensual'!H5+IF(parametros_manuales!$H$32="Todos",'Plan mensual'!H9,0)))*parametros_manuales!$I$32*parametros_manuales!$J$32</f>
        <v>503.97</v>
      </c>
      <c r="G15" s="4">
        <f>(parametros_manuales!$D$32*('Plan mensual'!I2+IF(parametros_manuales!$H$32="Todos",'Plan mensual'!I6,0))+parametros_manuales!$E$32*('Plan mensual'!I3+IF(parametros_manuales!$H$32="Todos",'Plan mensual'!I7,0))+parametros_manuales!$F$32*('Plan mensual'!I4+IF(parametros_manuales!$H$32="Todos",'Plan mensual'!I8,0))+parametros_manuales!$G$32*('Plan mensual'!I5+IF(parametros_manuales!$H$32="Todos",'Plan mensual'!I9,0)))*parametros_manuales!$I$32*parametros_manuales!$J$32</f>
        <v>490.755</v>
      </c>
      <c r="H15" s="4">
        <f>(parametros_manuales!$D$32*('Plan mensual'!J2+IF(parametros_manuales!$H$32="Todos",'Plan mensual'!J6,0))+parametros_manuales!$E$32*('Plan mensual'!J3+IF(parametros_manuales!$H$32="Todos",'Plan mensual'!J7,0))+parametros_manuales!$F$32*('Plan mensual'!J4+IF(parametros_manuales!$H$32="Todos",'Plan mensual'!J8,0))+parametros_manuales!$G$32*('Plan mensual'!J5+IF(parametros_manuales!$H$32="Todos",'Plan mensual'!J9,0)))*parametros_manuales!$I$32*parametros_manuales!$J$32</f>
        <v>524.865</v>
      </c>
      <c r="I15" s="4">
        <f>(parametros_manuales!$D$32*('Plan mensual'!K2+IF(parametros_manuales!$H$32="Todos",'Plan mensual'!K6,0))+parametros_manuales!$E$32*('Plan mensual'!K3+IF(parametros_manuales!$H$32="Todos",'Plan mensual'!K7,0))+parametros_manuales!$F$32*('Plan mensual'!K4+IF(parametros_manuales!$H$32="Todos",'Plan mensual'!K8,0))+parametros_manuales!$G$32*('Plan mensual'!K5+IF(parametros_manuales!$H$32="Todos",'Plan mensual'!K9,0)))*parametros_manuales!$I$32*parametros_manuales!$J$32</f>
        <v>524.865</v>
      </c>
      <c r="J15" s="4">
        <f>(parametros_manuales!$D$32*('Plan mensual'!L2+IF(parametros_manuales!$H$32="Todos",'Plan mensual'!L6,0))+parametros_manuales!$E$32*('Plan mensual'!L3+IF(parametros_manuales!$H$32="Todos",'Plan mensual'!L7,0))+parametros_manuales!$F$32*('Plan mensual'!L4+IF(parametros_manuales!$H$32="Todos",'Plan mensual'!L8,0))+parametros_manuales!$G$32*('Plan mensual'!L5+IF(parametros_manuales!$H$32="Todos",'Plan mensual'!L9,0)))*parametros_manuales!$I$32*parametros_manuales!$J$32</f>
        <v>524.865</v>
      </c>
      <c r="K15" s="4">
        <f>(parametros_manuales!$D$32*('Plan mensual'!M2+IF(parametros_manuales!$H$32="Todos",'Plan mensual'!M6,0))+parametros_manuales!$E$32*('Plan mensual'!M3+IF(parametros_manuales!$H$32="Todos",'Plan mensual'!M7,0))+parametros_manuales!$F$32*('Plan mensual'!M4+IF(parametros_manuales!$H$32="Todos",'Plan mensual'!M8,0))+parametros_manuales!$G$32*('Plan mensual'!M5+IF(parametros_manuales!$H$32="Todos",'Plan mensual'!M9,0)))*parametros_manuales!$I$32*parametros_manuales!$J$32</f>
        <v>511.65</v>
      </c>
      <c r="L15" s="4">
        <f>(parametros_manuales!$D$32*('Plan mensual'!N2+IF(parametros_manuales!$H$32="Todos",'Plan mensual'!N6,0))+parametros_manuales!$E$32*('Plan mensual'!N3+IF(parametros_manuales!$H$32="Todos",'Plan mensual'!N7,0))+parametros_manuales!$F$32*('Plan mensual'!N4+IF(parametros_manuales!$H$32="Todos",'Plan mensual'!N8,0))+parametros_manuales!$G$32*('Plan mensual'!N5+IF(parametros_manuales!$H$32="Todos",'Plan mensual'!N9,0)))*parametros_manuales!$I$32*parametros_manuales!$J$32</f>
        <v>498.435</v>
      </c>
      <c r="M15" s="4">
        <f>(parametros_manuales!$D$32*('Plan mensual'!O2+IF(parametros_manuales!$H$32="Todos",'Plan mensual'!O6,0))+parametros_manuales!$E$32*('Plan mensual'!O3+IF(parametros_manuales!$H$32="Todos",'Plan mensual'!O7,0))+parametros_manuales!$F$32*('Plan mensual'!O4+IF(parametros_manuales!$H$32="Todos",'Plan mensual'!O8,0))+parametros_manuales!$G$32*('Plan mensual'!O5+IF(parametros_manuales!$H$32="Todos",'Plan mensual'!O9,0)))*parametros_manuales!$I$32*parametros_manuales!$J$32</f>
        <v>792.21</v>
      </c>
      <c r="N15" s="4">
        <f t="shared" si="1"/>
        <v>6822</v>
      </c>
      <c r="O15" s="4">
        <f t="shared" si="2"/>
        <v>792.21</v>
      </c>
      <c r="P15" s="27">
        <f>O15/(parametros_manuales!$B$7)</f>
        <v>5.2814</v>
      </c>
      <c r="Q15" s="3" t="str">
        <f t="shared" si="3"/>
        <v>Dic</v>
      </c>
    </row>
    <row r="16" ht="14.25" customHeight="1">
      <c r="A16" s="3" t="str">
        <f>parametros_manuales!$B$33</f>
        <v>Secado</v>
      </c>
      <c r="B16" s="4">
        <f>(parametros_manuales!$D$33*('Plan mensual'!D2+IF(parametros_manuales!$H$33="Todos",'Plan mensual'!D6,0))+parametros_manuales!$E$33*('Plan mensual'!D3+IF(parametros_manuales!$H$33="Todos",'Plan mensual'!D7,0))+parametros_manuales!$F$33*('Plan mensual'!D4+IF(parametros_manuales!$H$33="Todos",'Plan mensual'!D8,0))+parametros_manuales!$G$33*('Plan mensual'!D5+IF(parametros_manuales!$H$33="Todos",'Plan mensual'!D9,0)))*parametros_manuales!$I$33*parametros_manuales!$J$33</f>
        <v>765.78</v>
      </c>
      <c r="C16" s="4">
        <f>(parametros_manuales!$D$33*('Plan mensual'!E2+IF(parametros_manuales!$H$33="Todos",'Plan mensual'!E6,0))+parametros_manuales!$E$33*('Plan mensual'!E3+IF(parametros_manuales!$H$33="Todos",'Plan mensual'!E7,0))+parametros_manuales!$F$33*('Plan mensual'!E4+IF(parametros_manuales!$H$33="Todos",'Plan mensual'!E8,0))+parametros_manuales!$G$33*('Plan mensual'!E5+IF(parametros_manuales!$H$33="Todos",'Plan mensual'!E9,0)))*parametros_manuales!$I$33*parametros_manuales!$J$33</f>
        <v>587.55</v>
      </c>
      <c r="D16" s="4">
        <f>(parametros_manuales!$D$33*('Plan mensual'!F2+IF(parametros_manuales!$H$33="Todos",'Plan mensual'!F6,0))+parametros_manuales!$E$33*('Plan mensual'!F3+IF(parametros_manuales!$H$33="Todos",'Plan mensual'!F7,0))+parametros_manuales!$F$33*('Plan mensual'!F4+IF(parametros_manuales!$H$33="Todos",'Plan mensual'!F8,0))+parametros_manuales!$G$33*('Plan mensual'!F5+IF(parametros_manuales!$H$33="Todos",'Plan mensual'!F9,0)))*parametros_manuales!$I$33*parametros_manuales!$J$33</f>
        <v>558.975</v>
      </c>
      <c r="E16" s="4">
        <f>(parametros_manuales!$D$33*('Plan mensual'!G2+IF(parametros_manuales!$H$33="Todos",'Plan mensual'!G6,0))+parametros_manuales!$E$33*('Plan mensual'!G3+IF(parametros_manuales!$H$33="Todos",'Plan mensual'!G7,0))+parametros_manuales!$F$33*('Plan mensual'!G4+IF(parametros_manuales!$H$33="Todos",'Plan mensual'!G8,0))+parametros_manuales!$G$33*('Plan mensual'!G5+IF(parametros_manuales!$H$33="Todos",'Plan mensual'!G9,0)))*parametros_manuales!$I$33*parametros_manuales!$J$33</f>
        <v>538.08</v>
      </c>
      <c r="F16" s="4">
        <f>(parametros_manuales!$D$33*('Plan mensual'!H2+IF(parametros_manuales!$H$33="Todos",'Plan mensual'!H6,0))+parametros_manuales!$E$33*('Plan mensual'!H3+IF(parametros_manuales!$H$33="Todos",'Plan mensual'!H7,0))+parametros_manuales!$F$33*('Plan mensual'!H4+IF(parametros_manuales!$H$33="Todos",'Plan mensual'!H8,0))+parametros_manuales!$G$33*('Plan mensual'!H5+IF(parametros_manuales!$H$33="Todos",'Plan mensual'!H9,0)))*parametros_manuales!$I$33*parametros_manuales!$J$33</f>
        <v>503.97</v>
      </c>
      <c r="G16" s="4">
        <f>(parametros_manuales!$D$33*('Plan mensual'!I2+IF(parametros_manuales!$H$33="Todos",'Plan mensual'!I6,0))+parametros_manuales!$E$33*('Plan mensual'!I3+IF(parametros_manuales!$H$33="Todos",'Plan mensual'!I7,0))+parametros_manuales!$F$33*('Plan mensual'!I4+IF(parametros_manuales!$H$33="Todos",'Plan mensual'!I8,0))+parametros_manuales!$G$33*('Plan mensual'!I5+IF(parametros_manuales!$H$33="Todos",'Plan mensual'!I9,0)))*parametros_manuales!$I$33*parametros_manuales!$J$33</f>
        <v>490.755</v>
      </c>
      <c r="H16" s="4">
        <f>(parametros_manuales!$D$33*('Plan mensual'!J2+IF(parametros_manuales!$H$33="Todos",'Plan mensual'!J6,0))+parametros_manuales!$E$33*('Plan mensual'!J3+IF(parametros_manuales!$H$33="Todos",'Plan mensual'!J7,0))+parametros_manuales!$F$33*('Plan mensual'!J4+IF(parametros_manuales!$H$33="Todos",'Plan mensual'!J8,0))+parametros_manuales!$G$33*('Plan mensual'!J5+IF(parametros_manuales!$H$33="Todos",'Plan mensual'!J9,0)))*parametros_manuales!$I$33*parametros_manuales!$J$33</f>
        <v>524.865</v>
      </c>
      <c r="I16" s="4">
        <f>(parametros_manuales!$D$33*('Plan mensual'!K2+IF(parametros_manuales!$H$33="Todos",'Plan mensual'!K6,0))+parametros_manuales!$E$33*('Plan mensual'!K3+IF(parametros_manuales!$H$33="Todos",'Plan mensual'!K7,0))+parametros_manuales!$F$33*('Plan mensual'!K4+IF(parametros_manuales!$H$33="Todos",'Plan mensual'!K8,0))+parametros_manuales!$G$33*('Plan mensual'!K5+IF(parametros_manuales!$H$33="Todos",'Plan mensual'!K9,0)))*parametros_manuales!$I$33*parametros_manuales!$J$33</f>
        <v>524.865</v>
      </c>
      <c r="J16" s="4">
        <f>(parametros_manuales!$D$33*('Plan mensual'!L2+IF(parametros_manuales!$H$33="Todos",'Plan mensual'!L6,0))+parametros_manuales!$E$33*('Plan mensual'!L3+IF(parametros_manuales!$H$33="Todos",'Plan mensual'!L7,0))+parametros_manuales!$F$33*('Plan mensual'!L4+IF(parametros_manuales!$H$33="Todos",'Plan mensual'!L8,0))+parametros_manuales!$G$33*('Plan mensual'!L5+IF(parametros_manuales!$H$33="Todos",'Plan mensual'!L9,0)))*parametros_manuales!$I$33*parametros_manuales!$J$33</f>
        <v>524.865</v>
      </c>
      <c r="K16" s="4">
        <f>(parametros_manuales!$D$33*('Plan mensual'!M2+IF(parametros_manuales!$H$33="Todos",'Plan mensual'!M6,0))+parametros_manuales!$E$33*('Plan mensual'!M3+IF(parametros_manuales!$H$33="Todos",'Plan mensual'!M7,0))+parametros_manuales!$F$33*('Plan mensual'!M4+IF(parametros_manuales!$H$33="Todos",'Plan mensual'!M8,0))+parametros_manuales!$G$33*('Plan mensual'!M5+IF(parametros_manuales!$H$33="Todos",'Plan mensual'!M9,0)))*parametros_manuales!$I$33*parametros_manuales!$J$33</f>
        <v>511.65</v>
      </c>
      <c r="L16" s="4">
        <f>(parametros_manuales!$D$33*('Plan mensual'!N2+IF(parametros_manuales!$H$33="Todos",'Plan mensual'!N6,0))+parametros_manuales!$E$33*('Plan mensual'!N3+IF(parametros_manuales!$H$33="Todos",'Plan mensual'!N7,0))+parametros_manuales!$F$33*('Plan mensual'!N4+IF(parametros_manuales!$H$33="Todos",'Plan mensual'!N8,0))+parametros_manuales!$G$33*('Plan mensual'!N5+IF(parametros_manuales!$H$33="Todos",'Plan mensual'!N9,0)))*parametros_manuales!$I$33*parametros_manuales!$J$33</f>
        <v>498.435</v>
      </c>
      <c r="M16" s="4">
        <f>(parametros_manuales!$D$33*('Plan mensual'!O2+IF(parametros_manuales!$H$33="Todos",'Plan mensual'!O6,0))+parametros_manuales!$E$33*('Plan mensual'!O3+IF(parametros_manuales!$H$33="Todos",'Plan mensual'!O7,0))+parametros_manuales!$F$33*('Plan mensual'!O4+IF(parametros_manuales!$H$33="Todos",'Plan mensual'!O8,0))+parametros_manuales!$G$33*('Plan mensual'!O5+IF(parametros_manuales!$H$33="Todos",'Plan mensual'!O9,0)))*parametros_manuales!$I$33*parametros_manuales!$J$33</f>
        <v>792.21</v>
      </c>
      <c r="N16" s="4">
        <f t="shared" si="1"/>
        <v>6822</v>
      </c>
      <c r="O16" s="4">
        <f t="shared" si="2"/>
        <v>792.21</v>
      </c>
      <c r="P16" s="27">
        <f>O16/(parametros_manuales!$B$7)</f>
        <v>5.2814</v>
      </c>
      <c r="Q16" s="3" t="str">
        <f t="shared" si="3"/>
        <v>Dic</v>
      </c>
    </row>
    <row r="17" ht="14.25" customHeight="1">
      <c r="A17" s="3" t="str">
        <f>parametros_manuales!$B$34</f>
        <v>Granallado</v>
      </c>
      <c r="B17" s="4">
        <f>(parametros_manuales!$D$34*('Plan mensual'!D2+IF(parametros_manuales!$H$34="Todos",'Plan mensual'!D6,0))+parametros_manuales!$E$34*('Plan mensual'!D3+IF(parametros_manuales!$H$34="Todos",'Plan mensual'!D7,0))+parametros_manuales!$F$34*('Plan mensual'!D4+IF(parametros_manuales!$H$34="Todos",'Plan mensual'!D8,0))+parametros_manuales!$G$34*('Plan mensual'!D5+IF(parametros_manuales!$H$34="Todos",'Plan mensual'!D9,0)))*parametros_manuales!$I$34*parametros_manuales!$J$34</f>
        <v>765.78</v>
      </c>
      <c r="C17" s="4">
        <f>(parametros_manuales!$D$34*('Plan mensual'!E2+IF(parametros_manuales!$H$34="Todos",'Plan mensual'!E6,0))+parametros_manuales!$E$34*('Plan mensual'!E3+IF(parametros_manuales!$H$34="Todos",'Plan mensual'!E7,0))+parametros_manuales!$F$34*('Plan mensual'!E4+IF(parametros_manuales!$H$34="Todos",'Plan mensual'!E8,0))+parametros_manuales!$G$34*('Plan mensual'!E5+IF(parametros_manuales!$H$34="Todos",'Plan mensual'!E9,0)))*parametros_manuales!$I$34*parametros_manuales!$J$34</f>
        <v>587.55</v>
      </c>
      <c r="D17" s="4">
        <f>(parametros_manuales!$D$34*('Plan mensual'!F2+IF(parametros_manuales!$H$34="Todos",'Plan mensual'!F6,0))+parametros_manuales!$E$34*('Plan mensual'!F3+IF(parametros_manuales!$H$34="Todos",'Plan mensual'!F7,0))+parametros_manuales!$F$34*('Plan mensual'!F4+IF(parametros_manuales!$H$34="Todos",'Plan mensual'!F8,0))+parametros_manuales!$G$34*('Plan mensual'!F5+IF(parametros_manuales!$H$34="Todos",'Plan mensual'!F9,0)))*parametros_manuales!$I$34*parametros_manuales!$J$34</f>
        <v>558.975</v>
      </c>
      <c r="E17" s="4">
        <f>(parametros_manuales!$D$34*('Plan mensual'!G2+IF(parametros_manuales!$H$34="Todos",'Plan mensual'!G6,0))+parametros_manuales!$E$34*('Plan mensual'!G3+IF(parametros_manuales!$H$34="Todos",'Plan mensual'!G7,0))+parametros_manuales!$F$34*('Plan mensual'!G4+IF(parametros_manuales!$H$34="Todos",'Plan mensual'!G8,0))+parametros_manuales!$G$34*('Plan mensual'!G5+IF(parametros_manuales!$H$34="Todos",'Plan mensual'!G9,0)))*parametros_manuales!$I$34*parametros_manuales!$J$34</f>
        <v>538.08</v>
      </c>
      <c r="F17" s="4">
        <f>(parametros_manuales!$D$34*('Plan mensual'!H2+IF(parametros_manuales!$H$34="Todos",'Plan mensual'!H6,0))+parametros_manuales!$E$34*('Plan mensual'!H3+IF(parametros_manuales!$H$34="Todos",'Plan mensual'!H7,0))+parametros_manuales!$F$34*('Plan mensual'!H4+IF(parametros_manuales!$H$34="Todos",'Plan mensual'!H8,0))+parametros_manuales!$G$34*('Plan mensual'!H5+IF(parametros_manuales!$H$34="Todos",'Plan mensual'!H9,0)))*parametros_manuales!$I$34*parametros_manuales!$J$34</f>
        <v>503.97</v>
      </c>
      <c r="G17" s="4">
        <f>(parametros_manuales!$D$34*('Plan mensual'!I2+IF(parametros_manuales!$H$34="Todos",'Plan mensual'!I6,0))+parametros_manuales!$E$34*('Plan mensual'!I3+IF(parametros_manuales!$H$34="Todos",'Plan mensual'!I7,0))+parametros_manuales!$F$34*('Plan mensual'!I4+IF(parametros_manuales!$H$34="Todos",'Plan mensual'!I8,0))+parametros_manuales!$G$34*('Plan mensual'!I5+IF(parametros_manuales!$H$34="Todos",'Plan mensual'!I9,0)))*parametros_manuales!$I$34*parametros_manuales!$J$34</f>
        <v>490.755</v>
      </c>
      <c r="H17" s="4">
        <f>(parametros_manuales!$D$34*('Plan mensual'!J2+IF(parametros_manuales!$H$34="Todos",'Plan mensual'!J6,0))+parametros_manuales!$E$34*('Plan mensual'!J3+IF(parametros_manuales!$H$34="Todos",'Plan mensual'!J7,0))+parametros_manuales!$F$34*('Plan mensual'!J4+IF(parametros_manuales!$H$34="Todos",'Plan mensual'!J8,0))+parametros_manuales!$G$34*('Plan mensual'!J5+IF(parametros_manuales!$H$34="Todos",'Plan mensual'!J9,0)))*parametros_manuales!$I$34*parametros_manuales!$J$34</f>
        <v>524.865</v>
      </c>
      <c r="I17" s="4">
        <f>(parametros_manuales!$D$34*('Plan mensual'!K2+IF(parametros_manuales!$H$34="Todos",'Plan mensual'!K6,0))+parametros_manuales!$E$34*('Plan mensual'!K3+IF(parametros_manuales!$H$34="Todos",'Plan mensual'!K7,0))+parametros_manuales!$F$34*('Plan mensual'!K4+IF(parametros_manuales!$H$34="Todos",'Plan mensual'!K8,0))+parametros_manuales!$G$34*('Plan mensual'!K5+IF(parametros_manuales!$H$34="Todos",'Plan mensual'!K9,0)))*parametros_manuales!$I$34*parametros_manuales!$J$34</f>
        <v>524.865</v>
      </c>
      <c r="J17" s="4">
        <f>(parametros_manuales!$D$34*('Plan mensual'!L2+IF(parametros_manuales!$H$34="Todos",'Plan mensual'!L6,0))+parametros_manuales!$E$34*('Plan mensual'!L3+IF(parametros_manuales!$H$34="Todos",'Plan mensual'!L7,0))+parametros_manuales!$F$34*('Plan mensual'!L4+IF(parametros_manuales!$H$34="Todos",'Plan mensual'!L8,0))+parametros_manuales!$G$34*('Plan mensual'!L5+IF(parametros_manuales!$H$34="Todos",'Plan mensual'!L9,0)))*parametros_manuales!$I$34*parametros_manuales!$J$34</f>
        <v>524.865</v>
      </c>
      <c r="K17" s="4">
        <f>(parametros_manuales!$D$34*('Plan mensual'!M2+IF(parametros_manuales!$H$34="Todos",'Plan mensual'!M6,0))+parametros_manuales!$E$34*('Plan mensual'!M3+IF(parametros_manuales!$H$34="Todos",'Plan mensual'!M7,0))+parametros_manuales!$F$34*('Plan mensual'!M4+IF(parametros_manuales!$H$34="Todos",'Plan mensual'!M8,0))+parametros_manuales!$G$34*('Plan mensual'!M5+IF(parametros_manuales!$H$34="Todos",'Plan mensual'!M9,0)))*parametros_manuales!$I$34*parametros_manuales!$J$34</f>
        <v>511.65</v>
      </c>
      <c r="L17" s="4">
        <f>(parametros_manuales!$D$34*('Plan mensual'!N2+IF(parametros_manuales!$H$34="Todos",'Plan mensual'!N6,0))+parametros_manuales!$E$34*('Plan mensual'!N3+IF(parametros_manuales!$H$34="Todos",'Plan mensual'!N7,0))+parametros_manuales!$F$34*('Plan mensual'!N4+IF(parametros_manuales!$H$34="Todos",'Plan mensual'!N8,0))+parametros_manuales!$G$34*('Plan mensual'!N5+IF(parametros_manuales!$H$34="Todos",'Plan mensual'!N9,0)))*parametros_manuales!$I$34*parametros_manuales!$J$34</f>
        <v>498.435</v>
      </c>
      <c r="M17" s="4">
        <f>(parametros_manuales!$D$34*('Plan mensual'!O2+IF(parametros_manuales!$H$34="Todos",'Plan mensual'!O6,0))+parametros_manuales!$E$34*('Plan mensual'!O3+IF(parametros_manuales!$H$34="Todos",'Plan mensual'!O7,0))+parametros_manuales!$F$34*('Plan mensual'!O4+IF(parametros_manuales!$H$34="Todos",'Plan mensual'!O8,0))+parametros_manuales!$G$34*('Plan mensual'!O5+IF(parametros_manuales!$H$34="Todos",'Plan mensual'!O9,0)))*parametros_manuales!$I$34*parametros_manuales!$J$34</f>
        <v>792.21</v>
      </c>
      <c r="N17" s="4">
        <f t="shared" si="1"/>
        <v>6822</v>
      </c>
      <c r="O17" s="4">
        <f t="shared" si="2"/>
        <v>792.21</v>
      </c>
      <c r="P17" s="27">
        <f>O17/(parametros_manuales!$B$7)</f>
        <v>5.2814</v>
      </c>
      <c r="Q17" s="3" t="str">
        <f t="shared" si="3"/>
        <v>Dic</v>
      </c>
    </row>
    <row r="18" ht="14.25" customHeight="1">
      <c r="A18" s="3" t="str">
        <f>parametros_manuales!$B$35</f>
        <v>Detección de defectos</v>
      </c>
      <c r="B18" s="4">
        <f>(parametros_manuales!$D$35*('Plan mensual'!D2+IF(parametros_manuales!$H$35="Todos",'Plan mensual'!D6,0))+parametros_manuales!$E$35*('Plan mensual'!D3+IF(parametros_manuales!$H$35="Todos",'Plan mensual'!D7,0))+parametros_manuales!$F$35*('Plan mensual'!D4+IF(parametros_manuales!$H$35="Todos",'Plan mensual'!D8,0))+parametros_manuales!$G$35*('Plan mensual'!D5+IF(parametros_manuales!$H$35="Todos",'Plan mensual'!D9,0)))*parametros_manuales!$I$35*parametros_manuales!$J$35</f>
        <v>765.78</v>
      </c>
      <c r="C18" s="4">
        <f>(parametros_manuales!$D$35*('Plan mensual'!E2+IF(parametros_manuales!$H$35="Todos",'Plan mensual'!E6,0))+parametros_manuales!$E$35*('Plan mensual'!E3+IF(parametros_manuales!$H$35="Todos",'Plan mensual'!E7,0))+parametros_manuales!$F$35*('Plan mensual'!E4+IF(parametros_manuales!$H$35="Todos",'Plan mensual'!E8,0))+parametros_manuales!$G$35*('Plan mensual'!E5+IF(parametros_manuales!$H$35="Todos",'Plan mensual'!E9,0)))*parametros_manuales!$I$35*parametros_manuales!$J$35</f>
        <v>587.55</v>
      </c>
      <c r="D18" s="4">
        <f>(parametros_manuales!$D$35*('Plan mensual'!F2+IF(parametros_manuales!$H$35="Todos",'Plan mensual'!F6,0))+parametros_manuales!$E$35*('Plan mensual'!F3+IF(parametros_manuales!$H$35="Todos",'Plan mensual'!F7,0))+parametros_manuales!$F$35*('Plan mensual'!F4+IF(parametros_manuales!$H$35="Todos",'Plan mensual'!F8,0))+parametros_manuales!$G$35*('Plan mensual'!F5+IF(parametros_manuales!$H$35="Todos",'Plan mensual'!F9,0)))*parametros_manuales!$I$35*parametros_manuales!$J$35</f>
        <v>558.975</v>
      </c>
      <c r="E18" s="4">
        <f>(parametros_manuales!$D$35*('Plan mensual'!G2+IF(parametros_manuales!$H$35="Todos",'Plan mensual'!G6,0))+parametros_manuales!$E$35*('Plan mensual'!G3+IF(parametros_manuales!$H$35="Todos",'Plan mensual'!G7,0))+parametros_manuales!$F$35*('Plan mensual'!G4+IF(parametros_manuales!$H$35="Todos",'Plan mensual'!G8,0))+parametros_manuales!$G$35*('Plan mensual'!G5+IF(parametros_manuales!$H$35="Todos",'Plan mensual'!G9,0)))*parametros_manuales!$I$35*parametros_manuales!$J$35</f>
        <v>538.08</v>
      </c>
      <c r="F18" s="4">
        <f>(parametros_manuales!$D$35*('Plan mensual'!H2+IF(parametros_manuales!$H$35="Todos",'Plan mensual'!H6,0))+parametros_manuales!$E$35*('Plan mensual'!H3+IF(parametros_manuales!$H$35="Todos",'Plan mensual'!H7,0))+parametros_manuales!$F$35*('Plan mensual'!H4+IF(parametros_manuales!$H$35="Todos",'Plan mensual'!H8,0))+parametros_manuales!$G$35*('Plan mensual'!H5+IF(parametros_manuales!$H$35="Todos",'Plan mensual'!H9,0)))*parametros_manuales!$I$35*parametros_manuales!$J$35</f>
        <v>503.97</v>
      </c>
      <c r="G18" s="4">
        <f>(parametros_manuales!$D$35*('Plan mensual'!I2+IF(parametros_manuales!$H$35="Todos",'Plan mensual'!I6,0))+parametros_manuales!$E$35*('Plan mensual'!I3+IF(parametros_manuales!$H$35="Todos",'Plan mensual'!I7,0))+parametros_manuales!$F$35*('Plan mensual'!I4+IF(parametros_manuales!$H$35="Todos",'Plan mensual'!I8,0))+parametros_manuales!$G$35*('Plan mensual'!I5+IF(parametros_manuales!$H$35="Todos",'Plan mensual'!I9,0)))*parametros_manuales!$I$35*parametros_manuales!$J$35</f>
        <v>490.755</v>
      </c>
      <c r="H18" s="4">
        <f>(parametros_manuales!$D$35*('Plan mensual'!J2+IF(parametros_manuales!$H$35="Todos",'Plan mensual'!J6,0))+parametros_manuales!$E$35*('Plan mensual'!J3+IF(parametros_manuales!$H$35="Todos",'Plan mensual'!J7,0))+parametros_manuales!$F$35*('Plan mensual'!J4+IF(parametros_manuales!$H$35="Todos",'Plan mensual'!J8,0))+parametros_manuales!$G$35*('Plan mensual'!J5+IF(parametros_manuales!$H$35="Todos",'Plan mensual'!J9,0)))*parametros_manuales!$I$35*parametros_manuales!$J$35</f>
        <v>524.865</v>
      </c>
      <c r="I18" s="4">
        <f>(parametros_manuales!$D$35*('Plan mensual'!K2+IF(parametros_manuales!$H$35="Todos",'Plan mensual'!K6,0))+parametros_manuales!$E$35*('Plan mensual'!K3+IF(parametros_manuales!$H$35="Todos",'Plan mensual'!K7,0))+parametros_manuales!$F$35*('Plan mensual'!K4+IF(parametros_manuales!$H$35="Todos",'Plan mensual'!K8,0))+parametros_manuales!$G$35*('Plan mensual'!K5+IF(parametros_manuales!$H$35="Todos",'Plan mensual'!K9,0)))*parametros_manuales!$I$35*parametros_manuales!$J$35</f>
        <v>524.865</v>
      </c>
      <c r="J18" s="4">
        <f>(parametros_manuales!$D$35*('Plan mensual'!L2+IF(parametros_manuales!$H$35="Todos",'Plan mensual'!L6,0))+parametros_manuales!$E$35*('Plan mensual'!L3+IF(parametros_manuales!$H$35="Todos",'Plan mensual'!L7,0))+parametros_manuales!$F$35*('Plan mensual'!L4+IF(parametros_manuales!$H$35="Todos",'Plan mensual'!L8,0))+parametros_manuales!$G$35*('Plan mensual'!L5+IF(parametros_manuales!$H$35="Todos",'Plan mensual'!L9,0)))*parametros_manuales!$I$35*parametros_manuales!$J$35</f>
        <v>524.865</v>
      </c>
      <c r="K18" s="4">
        <f>(parametros_manuales!$D$35*('Plan mensual'!M2+IF(parametros_manuales!$H$35="Todos",'Plan mensual'!M6,0))+parametros_manuales!$E$35*('Plan mensual'!M3+IF(parametros_manuales!$H$35="Todos",'Plan mensual'!M7,0))+parametros_manuales!$F$35*('Plan mensual'!M4+IF(parametros_manuales!$H$35="Todos",'Plan mensual'!M8,0))+parametros_manuales!$G$35*('Plan mensual'!M5+IF(parametros_manuales!$H$35="Todos",'Plan mensual'!M9,0)))*parametros_manuales!$I$35*parametros_manuales!$J$35</f>
        <v>511.65</v>
      </c>
      <c r="L18" s="4">
        <f>(parametros_manuales!$D$35*('Plan mensual'!N2+IF(parametros_manuales!$H$35="Todos",'Plan mensual'!N6,0))+parametros_manuales!$E$35*('Plan mensual'!N3+IF(parametros_manuales!$H$35="Todos",'Plan mensual'!N7,0))+parametros_manuales!$F$35*('Plan mensual'!N4+IF(parametros_manuales!$H$35="Todos",'Plan mensual'!N8,0))+parametros_manuales!$G$35*('Plan mensual'!N5+IF(parametros_manuales!$H$35="Todos",'Plan mensual'!N9,0)))*parametros_manuales!$I$35*parametros_manuales!$J$35</f>
        <v>498.435</v>
      </c>
      <c r="M18" s="4">
        <f>(parametros_manuales!$D$35*('Plan mensual'!O2+IF(parametros_manuales!$H$35="Todos",'Plan mensual'!O6,0))+parametros_manuales!$E$35*('Plan mensual'!O3+IF(parametros_manuales!$H$35="Todos",'Plan mensual'!O7,0))+parametros_manuales!$F$35*('Plan mensual'!O4+IF(parametros_manuales!$H$35="Todos",'Plan mensual'!O8,0))+parametros_manuales!$G$35*('Plan mensual'!O5+IF(parametros_manuales!$H$35="Todos",'Plan mensual'!O9,0)))*parametros_manuales!$I$35*parametros_manuales!$J$35</f>
        <v>792.21</v>
      </c>
      <c r="N18" s="4">
        <f t="shared" si="1"/>
        <v>6822</v>
      </c>
      <c r="O18" s="4">
        <f t="shared" si="2"/>
        <v>792.21</v>
      </c>
      <c r="P18" s="27">
        <f>O18/(parametros_manuales!$B$7)</f>
        <v>5.2814</v>
      </c>
      <c r="Q18" s="3" t="str">
        <f t="shared" si="3"/>
        <v>Dic</v>
      </c>
    </row>
    <row r="19" ht="14.25" customHeight="1">
      <c r="A19" s="3" t="str">
        <f>parametros_manuales!$B$36</f>
        <v>Corrección de defectos</v>
      </c>
      <c r="B19" s="4">
        <f>(parametros_manuales!$D$36*('Plan mensual'!D2+IF(parametros_manuales!$H$36="Todos",'Plan mensual'!D6,0))+parametros_manuales!$E$36*('Plan mensual'!D3+IF(parametros_manuales!$H$36="Todos",'Plan mensual'!D7,0))+parametros_manuales!$F$36*('Plan mensual'!D4+IF(parametros_manuales!$H$36="Todos",'Plan mensual'!D8,0))+parametros_manuales!$G$36*('Plan mensual'!D5+IF(parametros_manuales!$H$36="Todos",'Plan mensual'!D9,0)))*parametros_manuales!$I$36*parametros_manuales!$J$36</f>
        <v>38.289</v>
      </c>
      <c r="C19" s="4">
        <f>(parametros_manuales!$D$36*('Plan mensual'!E2+IF(parametros_manuales!$H$36="Todos",'Plan mensual'!E6,0))+parametros_manuales!$E$36*('Plan mensual'!E3+IF(parametros_manuales!$H$36="Todos",'Plan mensual'!E7,0))+parametros_manuales!$F$36*('Plan mensual'!E4+IF(parametros_manuales!$H$36="Todos",'Plan mensual'!E8,0))+parametros_manuales!$G$36*('Plan mensual'!E5+IF(parametros_manuales!$H$36="Todos",'Plan mensual'!E9,0)))*parametros_manuales!$I$36*parametros_manuales!$J$36</f>
        <v>29.3775</v>
      </c>
      <c r="D19" s="4">
        <f>(parametros_manuales!$D$36*('Plan mensual'!F2+IF(parametros_manuales!$H$36="Todos",'Plan mensual'!F6,0))+parametros_manuales!$E$36*('Plan mensual'!F3+IF(parametros_manuales!$H$36="Todos",'Plan mensual'!F7,0))+parametros_manuales!$F$36*('Plan mensual'!F4+IF(parametros_manuales!$H$36="Todos",'Plan mensual'!F8,0))+parametros_manuales!$G$36*('Plan mensual'!F5+IF(parametros_manuales!$H$36="Todos",'Plan mensual'!F9,0)))*parametros_manuales!$I$36*parametros_manuales!$J$36</f>
        <v>27.94875</v>
      </c>
      <c r="E19" s="4">
        <f>(parametros_manuales!$D$36*('Plan mensual'!G2+IF(parametros_manuales!$H$36="Todos",'Plan mensual'!G6,0))+parametros_manuales!$E$36*('Plan mensual'!G3+IF(parametros_manuales!$H$36="Todos",'Plan mensual'!G7,0))+parametros_manuales!$F$36*('Plan mensual'!G4+IF(parametros_manuales!$H$36="Todos",'Plan mensual'!G8,0))+parametros_manuales!$G$36*('Plan mensual'!G5+IF(parametros_manuales!$H$36="Todos",'Plan mensual'!G9,0)))*parametros_manuales!$I$36*parametros_manuales!$J$36</f>
        <v>26.904</v>
      </c>
      <c r="F19" s="4">
        <f>(parametros_manuales!$D$36*('Plan mensual'!H2+IF(parametros_manuales!$H$36="Todos",'Plan mensual'!H6,0))+parametros_manuales!$E$36*('Plan mensual'!H3+IF(parametros_manuales!$H$36="Todos",'Plan mensual'!H7,0))+parametros_manuales!$F$36*('Plan mensual'!H4+IF(parametros_manuales!$H$36="Todos",'Plan mensual'!H8,0))+parametros_manuales!$G$36*('Plan mensual'!H5+IF(parametros_manuales!$H$36="Todos",'Plan mensual'!H9,0)))*parametros_manuales!$I$36*parametros_manuales!$J$36</f>
        <v>25.1985</v>
      </c>
      <c r="G19" s="4">
        <f>(parametros_manuales!$D$36*('Plan mensual'!I2+IF(parametros_manuales!$H$36="Todos",'Plan mensual'!I6,0))+parametros_manuales!$E$36*('Plan mensual'!I3+IF(parametros_manuales!$H$36="Todos",'Plan mensual'!I7,0))+parametros_manuales!$F$36*('Plan mensual'!I4+IF(parametros_manuales!$H$36="Todos",'Plan mensual'!I8,0))+parametros_manuales!$G$36*('Plan mensual'!I5+IF(parametros_manuales!$H$36="Todos",'Plan mensual'!I9,0)))*parametros_manuales!$I$36*parametros_manuales!$J$36</f>
        <v>24.53775</v>
      </c>
      <c r="H19" s="4">
        <f>(parametros_manuales!$D$36*('Plan mensual'!J2+IF(parametros_manuales!$H$36="Todos",'Plan mensual'!J6,0))+parametros_manuales!$E$36*('Plan mensual'!J3+IF(parametros_manuales!$H$36="Todos",'Plan mensual'!J7,0))+parametros_manuales!$F$36*('Plan mensual'!J4+IF(parametros_manuales!$H$36="Todos",'Plan mensual'!J8,0))+parametros_manuales!$G$36*('Plan mensual'!J5+IF(parametros_manuales!$H$36="Todos",'Plan mensual'!J9,0)))*parametros_manuales!$I$36*parametros_manuales!$J$36</f>
        <v>26.24325</v>
      </c>
      <c r="I19" s="4">
        <f>(parametros_manuales!$D$36*('Plan mensual'!K2+IF(parametros_manuales!$H$36="Todos",'Plan mensual'!K6,0))+parametros_manuales!$E$36*('Plan mensual'!K3+IF(parametros_manuales!$H$36="Todos",'Plan mensual'!K7,0))+parametros_manuales!$F$36*('Plan mensual'!K4+IF(parametros_manuales!$H$36="Todos",'Plan mensual'!K8,0))+parametros_manuales!$G$36*('Plan mensual'!K5+IF(parametros_manuales!$H$36="Todos",'Plan mensual'!K9,0)))*parametros_manuales!$I$36*parametros_manuales!$J$36</f>
        <v>26.24325</v>
      </c>
      <c r="J19" s="4">
        <f>(parametros_manuales!$D$36*('Plan mensual'!L2+IF(parametros_manuales!$H$36="Todos",'Plan mensual'!L6,0))+parametros_manuales!$E$36*('Plan mensual'!L3+IF(parametros_manuales!$H$36="Todos",'Plan mensual'!L7,0))+parametros_manuales!$F$36*('Plan mensual'!L4+IF(parametros_manuales!$H$36="Todos",'Plan mensual'!L8,0))+parametros_manuales!$G$36*('Plan mensual'!L5+IF(parametros_manuales!$H$36="Todos",'Plan mensual'!L9,0)))*parametros_manuales!$I$36*parametros_manuales!$J$36</f>
        <v>26.24325</v>
      </c>
      <c r="K19" s="4">
        <f>(parametros_manuales!$D$36*('Plan mensual'!M2+IF(parametros_manuales!$H$36="Todos",'Plan mensual'!M6,0))+parametros_manuales!$E$36*('Plan mensual'!M3+IF(parametros_manuales!$H$36="Todos",'Plan mensual'!M7,0))+parametros_manuales!$F$36*('Plan mensual'!M4+IF(parametros_manuales!$H$36="Todos",'Plan mensual'!M8,0))+parametros_manuales!$G$36*('Plan mensual'!M5+IF(parametros_manuales!$H$36="Todos",'Plan mensual'!M9,0)))*parametros_manuales!$I$36*parametros_manuales!$J$36</f>
        <v>25.5825</v>
      </c>
      <c r="L19" s="4">
        <f>(parametros_manuales!$D$36*('Plan mensual'!N2+IF(parametros_manuales!$H$36="Todos",'Plan mensual'!N6,0))+parametros_manuales!$E$36*('Plan mensual'!N3+IF(parametros_manuales!$H$36="Todos",'Plan mensual'!N7,0))+parametros_manuales!$F$36*('Plan mensual'!N4+IF(parametros_manuales!$H$36="Todos",'Plan mensual'!N8,0))+parametros_manuales!$G$36*('Plan mensual'!N5+IF(parametros_manuales!$H$36="Todos",'Plan mensual'!N9,0)))*parametros_manuales!$I$36*parametros_manuales!$J$36</f>
        <v>24.92175</v>
      </c>
      <c r="M19" s="4">
        <f>(parametros_manuales!$D$36*('Plan mensual'!O2+IF(parametros_manuales!$H$36="Todos",'Plan mensual'!O6,0))+parametros_manuales!$E$36*('Plan mensual'!O3+IF(parametros_manuales!$H$36="Todos",'Plan mensual'!O7,0))+parametros_manuales!$F$36*('Plan mensual'!O4+IF(parametros_manuales!$H$36="Todos",'Plan mensual'!O8,0))+parametros_manuales!$G$36*('Plan mensual'!O5+IF(parametros_manuales!$H$36="Todos",'Plan mensual'!O9,0)))*parametros_manuales!$I$36*parametros_manuales!$J$36</f>
        <v>39.6105</v>
      </c>
      <c r="N19" s="4">
        <f t="shared" si="1"/>
        <v>341.1</v>
      </c>
      <c r="O19" s="4">
        <f t="shared" si="2"/>
        <v>39.6105</v>
      </c>
      <c r="P19" s="27">
        <f>O19/(parametros_manuales!$B$7)</f>
        <v>0.26407</v>
      </c>
      <c r="Q19" s="3" t="str">
        <f t="shared" si="3"/>
        <v>Dic</v>
      </c>
    </row>
    <row r="20" ht="14.25" customHeight="1">
      <c r="A20" s="3" t="str">
        <f>parametros_manuales!$B$37</f>
        <v>Pintura en polvo + horno</v>
      </c>
      <c r="B20" s="4">
        <f>(parametros_manuales!$D$37*('Plan mensual'!D2+IF(parametros_manuales!$H$37="Todos",'Plan mensual'!D6,0))+parametros_manuales!$E$37*('Plan mensual'!D3+IF(parametros_manuales!$H$37="Todos",'Plan mensual'!D7,0))+parametros_manuales!$F$37*('Plan mensual'!D4+IF(parametros_manuales!$H$37="Todos",'Plan mensual'!D8,0))+parametros_manuales!$G$37*('Plan mensual'!D5+IF(parametros_manuales!$H$37="Todos",'Plan mensual'!D9,0)))*parametros_manuales!$I$37*parametros_manuales!$J$37</f>
        <v>765.78</v>
      </c>
      <c r="C20" s="4">
        <f>(parametros_manuales!$D$37*('Plan mensual'!E2+IF(parametros_manuales!$H$37="Todos",'Plan mensual'!E6,0))+parametros_manuales!$E$37*('Plan mensual'!E3+IF(parametros_manuales!$H$37="Todos",'Plan mensual'!E7,0))+parametros_manuales!$F$37*('Plan mensual'!E4+IF(parametros_manuales!$H$37="Todos",'Plan mensual'!E8,0))+parametros_manuales!$G$37*('Plan mensual'!E5+IF(parametros_manuales!$H$37="Todos",'Plan mensual'!E9,0)))*parametros_manuales!$I$37*parametros_manuales!$J$37</f>
        <v>587.55</v>
      </c>
      <c r="D20" s="4">
        <f>(parametros_manuales!$D$37*('Plan mensual'!F2+IF(parametros_manuales!$H$37="Todos",'Plan mensual'!F6,0))+parametros_manuales!$E$37*('Plan mensual'!F3+IF(parametros_manuales!$H$37="Todos",'Plan mensual'!F7,0))+parametros_manuales!$F$37*('Plan mensual'!F4+IF(parametros_manuales!$H$37="Todos",'Plan mensual'!F8,0))+parametros_manuales!$G$37*('Plan mensual'!F5+IF(parametros_manuales!$H$37="Todos",'Plan mensual'!F9,0)))*parametros_manuales!$I$37*parametros_manuales!$J$37</f>
        <v>558.975</v>
      </c>
      <c r="E20" s="4">
        <f>(parametros_manuales!$D$37*('Plan mensual'!G2+IF(parametros_manuales!$H$37="Todos",'Plan mensual'!G6,0))+parametros_manuales!$E$37*('Plan mensual'!G3+IF(parametros_manuales!$H$37="Todos",'Plan mensual'!G7,0))+parametros_manuales!$F$37*('Plan mensual'!G4+IF(parametros_manuales!$H$37="Todos",'Plan mensual'!G8,0))+parametros_manuales!$G$37*('Plan mensual'!G5+IF(parametros_manuales!$H$37="Todos",'Plan mensual'!G9,0)))*parametros_manuales!$I$37*parametros_manuales!$J$37</f>
        <v>538.08</v>
      </c>
      <c r="F20" s="4">
        <f>(parametros_manuales!$D$37*('Plan mensual'!H2+IF(parametros_manuales!$H$37="Todos",'Plan mensual'!H6,0))+parametros_manuales!$E$37*('Plan mensual'!H3+IF(parametros_manuales!$H$37="Todos",'Plan mensual'!H7,0))+parametros_manuales!$F$37*('Plan mensual'!H4+IF(parametros_manuales!$H$37="Todos",'Plan mensual'!H8,0))+parametros_manuales!$G$37*('Plan mensual'!H5+IF(parametros_manuales!$H$37="Todos",'Plan mensual'!H9,0)))*parametros_manuales!$I$37*parametros_manuales!$J$37</f>
        <v>503.97</v>
      </c>
      <c r="G20" s="4">
        <f>(parametros_manuales!$D$37*('Plan mensual'!I2+IF(parametros_manuales!$H$37="Todos",'Plan mensual'!I6,0))+parametros_manuales!$E$37*('Plan mensual'!I3+IF(parametros_manuales!$H$37="Todos",'Plan mensual'!I7,0))+parametros_manuales!$F$37*('Plan mensual'!I4+IF(parametros_manuales!$H$37="Todos",'Plan mensual'!I8,0))+parametros_manuales!$G$37*('Plan mensual'!I5+IF(parametros_manuales!$H$37="Todos",'Plan mensual'!I9,0)))*parametros_manuales!$I$37*parametros_manuales!$J$37</f>
        <v>490.755</v>
      </c>
      <c r="H20" s="4">
        <f>(parametros_manuales!$D$37*('Plan mensual'!J2+IF(parametros_manuales!$H$37="Todos",'Plan mensual'!J6,0))+parametros_manuales!$E$37*('Plan mensual'!J3+IF(parametros_manuales!$H$37="Todos",'Plan mensual'!J7,0))+parametros_manuales!$F$37*('Plan mensual'!J4+IF(parametros_manuales!$H$37="Todos",'Plan mensual'!J8,0))+parametros_manuales!$G$37*('Plan mensual'!J5+IF(parametros_manuales!$H$37="Todos",'Plan mensual'!J9,0)))*parametros_manuales!$I$37*parametros_manuales!$J$37</f>
        <v>524.865</v>
      </c>
      <c r="I20" s="4">
        <f>(parametros_manuales!$D$37*('Plan mensual'!K2+IF(parametros_manuales!$H$37="Todos",'Plan mensual'!K6,0))+parametros_manuales!$E$37*('Plan mensual'!K3+IF(parametros_manuales!$H$37="Todos",'Plan mensual'!K7,0))+parametros_manuales!$F$37*('Plan mensual'!K4+IF(parametros_manuales!$H$37="Todos",'Plan mensual'!K8,0))+parametros_manuales!$G$37*('Plan mensual'!K5+IF(parametros_manuales!$H$37="Todos",'Plan mensual'!K9,0)))*parametros_manuales!$I$37*parametros_manuales!$J$37</f>
        <v>524.865</v>
      </c>
      <c r="J20" s="4">
        <f>(parametros_manuales!$D$37*('Plan mensual'!L2+IF(parametros_manuales!$H$37="Todos",'Plan mensual'!L6,0))+parametros_manuales!$E$37*('Plan mensual'!L3+IF(parametros_manuales!$H$37="Todos",'Plan mensual'!L7,0))+parametros_manuales!$F$37*('Plan mensual'!L4+IF(parametros_manuales!$H$37="Todos",'Plan mensual'!L8,0))+parametros_manuales!$G$37*('Plan mensual'!L5+IF(parametros_manuales!$H$37="Todos",'Plan mensual'!L9,0)))*parametros_manuales!$I$37*parametros_manuales!$J$37</f>
        <v>524.865</v>
      </c>
      <c r="K20" s="4">
        <f>(parametros_manuales!$D$37*('Plan mensual'!M2+IF(parametros_manuales!$H$37="Todos",'Plan mensual'!M6,0))+parametros_manuales!$E$37*('Plan mensual'!M3+IF(parametros_manuales!$H$37="Todos",'Plan mensual'!M7,0))+parametros_manuales!$F$37*('Plan mensual'!M4+IF(parametros_manuales!$H$37="Todos",'Plan mensual'!M8,0))+parametros_manuales!$G$37*('Plan mensual'!M5+IF(parametros_manuales!$H$37="Todos",'Plan mensual'!M9,0)))*parametros_manuales!$I$37*parametros_manuales!$J$37</f>
        <v>511.65</v>
      </c>
      <c r="L20" s="4">
        <f>(parametros_manuales!$D$37*('Plan mensual'!N2+IF(parametros_manuales!$H$37="Todos",'Plan mensual'!N6,0))+parametros_manuales!$E$37*('Plan mensual'!N3+IF(parametros_manuales!$H$37="Todos",'Plan mensual'!N7,0))+parametros_manuales!$F$37*('Plan mensual'!N4+IF(parametros_manuales!$H$37="Todos",'Plan mensual'!N8,0))+parametros_manuales!$G$37*('Plan mensual'!N5+IF(parametros_manuales!$H$37="Todos",'Plan mensual'!N9,0)))*parametros_manuales!$I$37*parametros_manuales!$J$37</f>
        <v>498.435</v>
      </c>
      <c r="M20" s="4">
        <f>(parametros_manuales!$D$37*('Plan mensual'!O2+IF(parametros_manuales!$H$37="Todos",'Plan mensual'!O6,0))+parametros_manuales!$E$37*('Plan mensual'!O3+IF(parametros_manuales!$H$37="Todos",'Plan mensual'!O7,0))+parametros_manuales!$F$37*('Plan mensual'!O4+IF(parametros_manuales!$H$37="Todos",'Plan mensual'!O8,0))+parametros_manuales!$G$37*('Plan mensual'!O5+IF(parametros_manuales!$H$37="Todos",'Plan mensual'!O9,0)))*parametros_manuales!$I$37*parametros_manuales!$J$37</f>
        <v>792.21</v>
      </c>
      <c r="N20" s="4">
        <f t="shared" si="1"/>
        <v>6822</v>
      </c>
      <c r="O20" s="4">
        <f t="shared" si="2"/>
        <v>792.21</v>
      </c>
      <c r="P20" s="27">
        <f>O20/(parametros_manuales!$B$7)</f>
        <v>5.2814</v>
      </c>
      <c r="Q20" s="3" t="str">
        <f t="shared" si="3"/>
        <v>Dic</v>
      </c>
    </row>
    <row r="21" ht="14.25" customHeight="1">
      <c r="A21" s="3" t="str">
        <f>parametros_manuales!$B$38</f>
        <v>Carga de polvo</v>
      </c>
      <c r="B21" s="4">
        <f>(parametros_manuales!$D$38*('Plan mensual'!D2+IF(parametros_manuales!$H$38="Todos",'Plan mensual'!D6,0))+parametros_manuales!$E$38*('Plan mensual'!D3+IF(parametros_manuales!$H$38="Todos",'Plan mensual'!D7,0))+parametros_manuales!$F$38*('Plan mensual'!D4+IF(parametros_manuales!$H$38="Todos",'Plan mensual'!D8,0))+parametros_manuales!$G$38*('Plan mensual'!D5+IF(parametros_manuales!$H$38="Todos",'Plan mensual'!D9,0)))*parametros_manuales!$I$38*parametros_manuales!$J$38</f>
        <v>765.78</v>
      </c>
      <c r="C21" s="4">
        <f>(parametros_manuales!$D$38*('Plan mensual'!E2+IF(parametros_manuales!$H$38="Todos",'Plan mensual'!E6,0))+parametros_manuales!$E$38*('Plan mensual'!E3+IF(parametros_manuales!$H$38="Todos",'Plan mensual'!E7,0))+parametros_manuales!$F$38*('Plan mensual'!E4+IF(parametros_manuales!$H$38="Todos",'Plan mensual'!E8,0))+parametros_manuales!$G$38*('Plan mensual'!E5+IF(parametros_manuales!$H$38="Todos",'Plan mensual'!E9,0)))*parametros_manuales!$I$38*parametros_manuales!$J$38</f>
        <v>587.55</v>
      </c>
      <c r="D21" s="4">
        <f>(parametros_manuales!$D$38*('Plan mensual'!F2+IF(parametros_manuales!$H$38="Todos",'Plan mensual'!F6,0))+parametros_manuales!$E$38*('Plan mensual'!F3+IF(parametros_manuales!$H$38="Todos",'Plan mensual'!F7,0))+parametros_manuales!$F$38*('Plan mensual'!F4+IF(parametros_manuales!$H$38="Todos",'Plan mensual'!F8,0))+parametros_manuales!$G$38*('Plan mensual'!F5+IF(parametros_manuales!$H$38="Todos",'Plan mensual'!F9,0)))*parametros_manuales!$I$38*parametros_manuales!$J$38</f>
        <v>558.975</v>
      </c>
      <c r="E21" s="4">
        <f>(parametros_manuales!$D$38*('Plan mensual'!G2+IF(parametros_manuales!$H$38="Todos",'Plan mensual'!G6,0))+parametros_manuales!$E$38*('Plan mensual'!G3+IF(parametros_manuales!$H$38="Todos",'Plan mensual'!G7,0))+parametros_manuales!$F$38*('Plan mensual'!G4+IF(parametros_manuales!$H$38="Todos",'Plan mensual'!G8,0))+parametros_manuales!$G$38*('Plan mensual'!G5+IF(parametros_manuales!$H$38="Todos",'Plan mensual'!G9,0)))*parametros_manuales!$I$38*parametros_manuales!$J$38</f>
        <v>538.08</v>
      </c>
      <c r="F21" s="4">
        <f>(parametros_manuales!$D$38*('Plan mensual'!H2+IF(parametros_manuales!$H$38="Todos",'Plan mensual'!H6,0))+parametros_manuales!$E$38*('Plan mensual'!H3+IF(parametros_manuales!$H$38="Todos",'Plan mensual'!H7,0))+parametros_manuales!$F$38*('Plan mensual'!H4+IF(parametros_manuales!$H$38="Todos",'Plan mensual'!H8,0))+parametros_manuales!$G$38*('Plan mensual'!H5+IF(parametros_manuales!$H$38="Todos",'Plan mensual'!H9,0)))*parametros_manuales!$I$38*parametros_manuales!$J$38</f>
        <v>503.97</v>
      </c>
      <c r="G21" s="4">
        <f>(parametros_manuales!$D$38*('Plan mensual'!I2+IF(parametros_manuales!$H$38="Todos",'Plan mensual'!I6,0))+parametros_manuales!$E$38*('Plan mensual'!I3+IF(parametros_manuales!$H$38="Todos",'Plan mensual'!I7,0))+parametros_manuales!$F$38*('Plan mensual'!I4+IF(parametros_manuales!$H$38="Todos",'Plan mensual'!I8,0))+parametros_manuales!$G$38*('Plan mensual'!I5+IF(parametros_manuales!$H$38="Todos",'Plan mensual'!I9,0)))*parametros_manuales!$I$38*parametros_manuales!$J$38</f>
        <v>490.755</v>
      </c>
      <c r="H21" s="4">
        <f>(parametros_manuales!$D$38*('Plan mensual'!J2+IF(parametros_manuales!$H$38="Todos",'Plan mensual'!J6,0))+parametros_manuales!$E$38*('Plan mensual'!J3+IF(parametros_manuales!$H$38="Todos",'Plan mensual'!J7,0))+parametros_manuales!$F$38*('Plan mensual'!J4+IF(parametros_manuales!$H$38="Todos",'Plan mensual'!J8,0))+parametros_manuales!$G$38*('Plan mensual'!J5+IF(parametros_manuales!$H$38="Todos",'Plan mensual'!J9,0)))*parametros_manuales!$I$38*parametros_manuales!$J$38</f>
        <v>524.865</v>
      </c>
      <c r="I21" s="4">
        <f>(parametros_manuales!$D$38*('Plan mensual'!K2+IF(parametros_manuales!$H$38="Todos",'Plan mensual'!K6,0))+parametros_manuales!$E$38*('Plan mensual'!K3+IF(parametros_manuales!$H$38="Todos",'Plan mensual'!K7,0))+parametros_manuales!$F$38*('Plan mensual'!K4+IF(parametros_manuales!$H$38="Todos",'Plan mensual'!K8,0))+parametros_manuales!$G$38*('Plan mensual'!K5+IF(parametros_manuales!$H$38="Todos",'Plan mensual'!K9,0)))*parametros_manuales!$I$38*parametros_manuales!$J$38</f>
        <v>524.865</v>
      </c>
      <c r="J21" s="4">
        <f>(parametros_manuales!$D$38*('Plan mensual'!L2+IF(parametros_manuales!$H$38="Todos",'Plan mensual'!L6,0))+parametros_manuales!$E$38*('Plan mensual'!L3+IF(parametros_manuales!$H$38="Todos",'Plan mensual'!L7,0))+parametros_manuales!$F$38*('Plan mensual'!L4+IF(parametros_manuales!$H$38="Todos",'Plan mensual'!L8,0))+parametros_manuales!$G$38*('Plan mensual'!L5+IF(parametros_manuales!$H$38="Todos",'Plan mensual'!L9,0)))*parametros_manuales!$I$38*parametros_manuales!$J$38</f>
        <v>524.865</v>
      </c>
      <c r="K21" s="4">
        <f>(parametros_manuales!$D$38*('Plan mensual'!M2+IF(parametros_manuales!$H$38="Todos",'Plan mensual'!M6,0))+parametros_manuales!$E$38*('Plan mensual'!M3+IF(parametros_manuales!$H$38="Todos",'Plan mensual'!M7,0))+parametros_manuales!$F$38*('Plan mensual'!M4+IF(parametros_manuales!$H$38="Todos",'Plan mensual'!M8,0))+parametros_manuales!$G$38*('Plan mensual'!M5+IF(parametros_manuales!$H$38="Todos",'Plan mensual'!M9,0)))*parametros_manuales!$I$38*parametros_manuales!$J$38</f>
        <v>511.65</v>
      </c>
      <c r="L21" s="4">
        <f>(parametros_manuales!$D$38*('Plan mensual'!N2+IF(parametros_manuales!$H$38="Todos",'Plan mensual'!N6,0))+parametros_manuales!$E$38*('Plan mensual'!N3+IF(parametros_manuales!$H$38="Todos",'Plan mensual'!N7,0))+parametros_manuales!$F$38*('Plan mensual'!N4+IF(parametros_manuales!$H$38="Todos",'Plan mensual'!N8,0))+parametros_manuales!$G$38*('Plan mensual'!N5+IF(parametros_manuales!$H$38="Todos",'Plan mensual'!N9,0)))*parametros_manuales!$I$38*parametros_manuales!$J$38</f>
        <v>498.435</v>
      </c>
      <c r="M21" s="4">
        <f>(parametros_manuales!$D$38*('Plan mensual'!O2+IF(parametros_manuales!$H$38="Todos",'Plan mensual'!O6,0))+parametros_manuales!$E$38*('Plan mensual'!O3+IF(parametros_manuales!$H$38="Todos",'Plan mensual'!O7,0))+parametros_manuales!$F$38*('Plan mensual'!O4+IF(parametros_manuales!$H$38="Todos",'Plan mensual'!O8,0))+parametros_manuales!$G$38*('Plan mensual'!O5+IF(parametros_manuales!$H$38="Todos",'Plan mensual'!O9,0)))*parametros_manuales!$I$38*parametros_manuales!$J$38</f>
        <v>792.21</v>
      </c>
      <c r="N21" s="4">
        <f t="shared" si="1"/>
        <v>6822</v>
      </c>
      <c r="O21" s="4">
        <f t="shared" si="2"/>
        <v>792.21</v>
      </c>
      <c r="P21" s="27">
        <f>O21/(parametros_manuales!$B$7)</f>
        <v>5.2814</v>
      </c>
      <c r="Q21" s="3" t="str">
        <f t="shared" si="3"/>
        <v>Dic</v>
      </c>
    </row>
    <row r="22" ht="14.25" customHeight="1">
      <c r="A22" s="3" t="str">
        <f>parametros_manuales!$B$39</f>
        <v>Ensamblaje</v>
      </c>
      <c r="B22" s="4">
        <f>(parametros_manuales!$D$39*('Plan mensual'!D2+IF(parametros_manuales!$H$39="Todos",'Plan mensual'!D6,0))+parametros_manuales!$E$39*('Plan mensual'!D3+IF(parametros_manuales!$H$39="Todos",'Plan mensual'!D7,0))+parametros_manuales!$F$39*('Plan mensual'!D4+IF(parametros_manuales!$H$39="Todos",'Plan mensual'!D8,0))+parametros_manuales!$G$39*('Plan mensual'!D5+IF(parametros_manuales!$H$39="Todos",'Plan mensual'!D9,0)))*parametros_manuales!$I$39*parametros_manuales!$J$39</f>
        <v>765.78</v>
      </c>
      <c r="C22" s="4">
        <f>(parametros_manuales!$D$39*('Plan mensual'!E2+IF(parametros_manuales!$H$39="Todos",'Plan mensual'!E6,0))+parametros_manuales!$E$39*('Plan mensual'!E3+IF(parametros_manuales!$H$39="Todos",'Plan mensual'!E7,0))+parametros_manuales!$F$39*('Plan mensual'!E4+IF(parametros_manuales!$H$39="Todos",'Plan mensual'!E8,0))+parametros_manuales!$G$39*('Plan mensual'!E5+IF(parametros_manuales!$H$39="Todos",'Plan mensual'!E9,0)))*parametros_manuales!$I$39*parametros_manuales!$J$39</f>
        <v>587.55</v>
      </c>
      <c r="D22" s="4">
        <f>(parametros_manuales!$D$39*('Plan mensual'!F2+IF(parametros_manuales!$H$39="Todos",'Plan mensual'!F6,0))+parametros_manuales!$E$39*('Plan mensual'!F3+IF(parametros_manuales!$H$39="Todos",'Plan mensual'!F7,0))+parametros_manuales!$F$39*('Plan mensual'!F4+IF(parametros_manuales!$H$39="Todos",'Plan mensual'!F8,0))+parametros_manuales!$G$39*('Plan mensual'!F5+IF(parametros_manuales!$H$39="Todos",'Plan mensual'!F9,0)))*parametros_manuales!$I$39*parametros_manuales!$J$39</f>
        <v>558.975</v>
      </c>
      <c r="E22" s="4">
        <f>(parametros_manuales!$D$39*('Plan mensual'!G2+IF(parametros_manuales!$H$39="Todos",'Plan mensual'!G6,0))+parametros_manuales!$E$39*('Plan mensual'!G3+IF(parametros_manuales!$H$39="Todos",'Plan mensual'!G7,0))+parametros_manuales!$F$39*('Plan mensual'!G4+IF(parametros_manuales!$H$39="Todos",'Plan mensual'!G8,0))+parametros_manuales!$G$39*('Plan mensual'!G5+IF(parametros_manuales!$H$39="Todos",'Plan mensual'!G9,0)))*parametros_manuales!$I$39*parametros_manuales!$J$39</f>
        <v>538.08</v>
      </c>
      <c r="F22" s="4">
        <f>(parametros_manuales!$D$39*('Plan mensual'!H2+IF(parametros_manuales!$H$39="Todos",'Plan mensual'!H6,0))+parametros_manuales!$E$39*('Plan mensual'!H3+IF(parametros_manuales!$H$39="Todos",'Plan mensual'!H7,0))+parametros_manuales!$F$39*('Plan mensual'!H4+IF(parametros_manuales!$H$39="Todos",'Plan mensual'!H8,0))+parametros_manuales!$G$39*('Plan mensual'!H5+IF(parametros_manuales!$H$39="Todos",'Plan mensual'!H9,0)))*parametros_manuales!$I$39*parametros_manuales!$J$39</f>
        <v>503.97</v>
      </c>
      <c r="G22" s="4">
        <f>(parametros_manuales!$D$39*('Plan mensual'!I2+IF(parametros_manuales!$H$39="Todos",'Plan mensual'!I6,0))+parametros_manuales!$E$39*('Plan mensual'!I3+IF(parametros_manuales!$H$39="Todos",'Plan mensual'!I7,0))+parametros_manuales!$F$39*('Plan mensual'!I4+IF(parametros_manuales!$H$39="Todos",'Plan mensual'!I8,0))+parametros_manuales!$G$39*('Plan mensual'!I5+IF(parametros_manuales!$H$39="Todos",'Plan mensual'!I9,0)))*parametros_manuales!$I$39*parametros_manuales!$J$39</f>
        <v>490.755</v>
      </c>
      <c r="H22" s="4">
        <f>(parametros_manuales!$D$39*('Plan mensual'!J2+IF(parametros_manuales!$H$39="Todos",'Plan mensual'!J6,0))+parametros_manuales!$E$39*('Plan mensual'!J3+IF(parametros_manuales!$H$39="Todos",'Plan mensual'!J7,0))+parametros_manuales!$F$39*('Plan mensual'!J4+IF(parametros_manuales!$H$39="Todos",'Plan mensual'!J8,0))+parametros_manuales!$G$39*('Plan mensual'!J5+IF(parametros_manuales!$H$39="Todos",'Plan mensual'!J9,0)))*parametros_manuales!$I$39*parametros_manuales!$J$39</f>
        <v>524.865</v>
      </c>
      <c r="I22" s="4">
        <f>(parametros_manuales!$D$39*('Plan mensual'!K2+IF(parametros_manuales!$H$39="Todos",'Plan mensual'!K6,0))+parametros_manuales!$E$39*('Plan mensual'!K3+IF(parametros_manuales!$H$39="Todos",'Plan mensual'!K7,0))+parametros_manuales!$F$39*('Plan mensual'!K4+IF(parametros_manuales!$H$39="Todos",'Plan mensual'!K8,0))+parametros_manuales!$G$39*('Plan mensual'!K5+IF(parametros_manuales!$H$39="Todos",'Plan mensual'!K9,0)))*parametros_manuales!$I$39*parametros_manuales!$J$39</f>
        <v>524.865</v>
      </c>
      <c r="J22" s="4">
        <f>(parametros_manuales!$D$39*('Plan mensual'!L2+IF(parametros_manuales!$H$39="Todos",'Plan mensual'!L6,0))+parametros_manuales!$E$39*('Plan mensual'!L3+IF(parametros_manuales!$H$39="Todos",'Plan mensual'!L7,0))+parametros_manuales!$F$39*('Plan mensual'!L4+IF(parametros_manuales!$H$39="Todos",'Plan mensual'!L8,0))+parametros_manuales!$G$39*('Plan mensual'!L5+IF(parametros_manuales!$H$39="Todos",'Plan mensual'!L9,0)))*parametros_manuales!$I$39*parametros_manuales!$J$39</f>
        <v>524.865</v>
      </c>
      <c r="K22" s="4">
        <f>(parametros_manuales!$D$39*('Plan mensual'!M2+IF(parametros_manuales!$H$39="Todos",'Plan mensual'!M6,0))+parametros_manuales!$E$39*('Plan mensual'!M3+IF(parametros_manuales!$H$39="Todos",'Plan mensual'!M7,0))+parametros_manuales!$F$39*('Plan mensual'!M4+IF(parametros_manuales!$H$39="Todos",'Plan mensual'!M8,0))+parametros_manuales!$G$39*('Plan mensual'!M5+IF(parametros_manuales!$H$39="Todos",'Plan mensual'!M9,0)))*parametros_manuales!$I$39*parametros_manuales!$J$39</f>
        <v>511.65</v>
      </c>
      <c r="L22" s="4">
        <f>(parametros_manuales!$D$39*('Plan mensual'!N2+IF(parametros_manuales!$H$39="Todos",'Plan mensual'!N6,0))+parametros_manuales!$E$39*('Plan mensual'!N3+IF(parametros_manuales!$H$39="Todos",'Plan mensual'!N7,0))+parametros_manuales!$F$39*('Plan mensual'!N4+IF(parametros_manuales!$H$39="Todos",'Plan mensual'!N8,0))+parametros_manuales!$G$39*('Plan mensual'!N5+IF(parametros_manuales!$H$39="Todos",'Plan mensual'!N9,0)))*parametros_manuales!$I$39*parametros_manuales!$J$39</f>
        <v>498.435</v>
      </c>
      <c r="M22" s="4">
        <f>(parametros_manuales!$D$39*('Plan mensual'!O2+IF(parametros_manuales!$H$39="Todos",'Plan mensual'!O6,0))+parametros_manuales!$E$39*('Plan mensual'!O3+IF(parametros_manuales!$H$39="Todos",'Plan mensual'!O7,0))+parametros_manuales!$F$39*('Plan mensual'!O4+IF(parametros_manuales!$H$39="Todos",'Plan mensual'!O8,0))+parametros_manuales!$G$39*('Plan mensual'!O5+IF(parametros_manuales!$H$39="Todos",'Plan mensual'!O9,0)))*parametros_manuales!$I$39*parametros_manuales!$J$39</f>
        <v>792.21</v>
      </c>
      <c r="N22" s="4">
        <f t="shared" si="1"/>
        <v>6822</v>
      </c>
      <c r="O22" s="4">
        <f t="shared" si="2"/>
        <v>792.21</v>
      </c>
      <c r="P22" s="27">
        <f>O22/(parametros_manuales!$B$7)</f>
        <v>5.2814</v>
      </c>
      <c r="Q22" s="3" t="str">
        <f t="shared" si="3"/>
        <v>Dic</v>
      </c>
    </row>
    <row r="23" ht="14.25" customHeight="1">
      <c r="A23" s="3" t="str">
        <f>parametros_manuales!$B$40</f>
        <v>Presurización</v>
      </c>
      <c r="B23" s="4">
        <f>(parametros_manuales!$D$40*('Plan mensual'!D2+IF(parametros_manuales!$H$40="Todos",'Plan mensual'!D6,0))+parametros_manuales!$E$40*('Plan mensual'!D3+IF(parametros_manuales!$H$40="Todos",'Plan mensual'!D7,0))+parametros_manuales!$F$40*('Plan mensual'!D4+IF(parametros_manuales!$H$40="Todos",'Plan mensual'!D8,0))+parametros_manuales!$G$40*('Plan mensual'!D5+IF(parametros_manuales!$H$40="Todos",'Plan mensual'!D9,0)))*parametros_manuales!$I$40*parametros_manuales!$J$40</f>
        <v>765.78</v>
      </c>
      <c r="C23" s="4">
        <f>(parametros_manuales!$D$40*('Plan mensual'!E2+IF(parametros_manuales!$H$40="Todos",'Plan mensual'!E6,0))+parametros_manuales!$E$40*('Plan mensual'!E3+IF(parametros_manuales!$H$40="Todos",'Plan mensual'!E7,0))+parametros_manuales!$F$40*('Plan mensual'!E4+IF(parametros_manuales!$H$40="Todos",'Plan mensual'!E8,0))+parametros_manuales!$G$40*('Plan mensual'!E5+IF(parametros_manuales!$H$40="Todos",'Plan mensual'!E9,0)))*parametros_manuales!$I$40*parametros_manuales!$J$40</f>
        <v>587.55</v>
      </c>
      <c r="D23" s="4">
        <f>(parametros_manuales!$D$40*('Plan mensual'!F2+IF(parametros_manuales!$H$40="Todos",'Plan mensual'!F6,0))+parametros_manuales!$E$40*('Plan mensual'!F3+IF(parametros_manuales!$H$40="Todos",'Plan mensual'!F7,0))+parametros_manuales!$F$40*('Plan mensual'!F4+IF(parametros_manuales!$H$40="Todos",'Plan mensual'!F8,0))+parametros_manuales!$G$40*('Plan mensual'!F5+IF(parametros_manuales!$H$40="Todos",'Plan mensual'!F9,0)))*parametros_manuales!$I$40*parametros_manuales!$J$40</f>
        <v>558.975</v>
      </c>
      <c r="E23" s="4">
        <f>(parametros_manuales!$D$40*('Plan mensual'!G2+IF(parametros_manuales!$H$40="Todos",'Plan mensual'!G6,0))+parametros_manuales!$E$40*('Plan mensual'!G3+IF(parametros_manuales!$H$40="Todos",'Plan mensual'!G7,0))+parametros_manuales!$F$40*('Plan mensual'!G4+IF(parametros_manuales!$H$40="Todos",'Plan mensual'!G8,0))+parametros_manuales!$G$40*('Plan mensual'!G5+IF(parametros_manuales!$H$40="Todos",'Plan mensual'!G9,0)))*parametros_manuales!$I$40*parametros_manuales!$J$40</f>
        <v>538.08</v>
      </c>
      <c r="F23" s="4">
        <f>(parametros_manuales!$D$40*('Plan mensual'!H2+IF(parametros_manuales!$H$40="Todos",'Plan mensual'!H6,0))+parametros_manuales!$E$40*('Plan mensual'!H3+IF(parametros_manuales!$H$40="Todos",'Plan mensual'!H7,0))+parametros_manuales!$F$40*('Plan mensual'!H4+IF(parametros_manuales!$H$40="Todos",'Plan mensual'!H8,0))+parametros_manuales!$G$40*('Plan mensual'!H5+IF(parametros_manuales!$H$40="Todos",'Plan mensual'!H9,0)))*parametros_manuales!$I$40*parametros_manuales!$J$40</f>
        <v>503.97</v>
      </c>
      <c r="G23" s="4">
        <f>(parametros_manuales!$D$40*('Plan mensual'!I2+IF(parametros_manuales!$H$40="Todos",'Plan mensual'!I6,0))+parametros_manuales!$E$40*('Plan mensual'!I3+IF(parametros_manuales!$H$40="Todos",'Plan mensual'!I7,0))+parametros_manuales!$F$40*('Plan mensual'!I4+IF(parametros_manuales!$H$40="Todos",'Plan mensual'!I8,0))+parametros_manuales!$G$40*('Plan mensual'!I5+IF(parametros_manuales!$H$40="Todos",'Plan mensual'!I9,0)))*parametros_manuales!$I$40*parametros_manuales!$J$40</f>
        <v>490.755</v>
      </c>
      <c r="H23" s="4">
        <f>(parametros_manuales!$D$40*('Plan mensual'!J2+IF(parametros_manuales!$H$40="Todos",'Plan mensual'!J6,0))+parametros_manuales!$E$40*('Plan mensual'!J3+IF(parametros_manuales!$H$40="Todos",'Plan mensual'!J7,0))+parametros_manuales!$F$40*('Plan mensual'!J4+IF(parametros_manuales!$H$40="Todos",'Plan mensual'!J8,0))+parametros_manuales!$G$40*('Plan mensual'!J5+IF(parametros_manuales!$H$40="Todos",'Plan mensual'!J9,0)))*parametros_manuales!$I$40*parametros_manuales!$J$40</f>
        <v>524.865</v>
      </c>
      <c r="I23" s="4">
        <f>(parametros_manuales!$D$40*('Plan mensual'!K2+IF(parametros_manuales!$H$40="Todos",'Plan mensual'!K6,0))+parametros_manuales!$E$40*('Plan mensual'!K3+IF(parametros_manuales!$H$40="Todos",'Plan mensual'!K7,0))+parametros_manuales!$F$40*('Plan mensual'!K4+IF(parametros_manuales!$H$40="Todos",'Plan mensual'!K8,0))+parametros_manuales!$G$40*('Plan mensual'!K5+IF(parametros_manuales!$H$40="Todos",'Plan mensual'!K9,0)))*parametros_manuales!$I$40*parametros_manuales!$J$40</f>
        <v>524.865</v>
      </c>
      <c r="J23" s="4">
        <f>(parametros_manuales!$D$40*('Plan mensual'!L2+IF(parametros_manuales!$H$40="Todos",'Plan mensual'!L6,0))+parametros_manuales!$E$40*('Plan mensual'!L3+IF(parametros_manuales!$H$40="Todos",'Plan mensual'!L7,0))+parametros_manuales!$F$40*('Plan mensual'!L4+IF(parametros_manuales!$H$40="Todos",'Plan mensual'!L8,0))+parametros_manuales!$G$40*('Plan mensual'!L5+IF(parametros_manuales!$H$40="Todos",'Plan mensual'!L9,0)))*parametros_manuales!$I$40*parametros_manuales!$J$40</f>
        <v>524.865</v>
      </c>
      <c r="K23" s="4">
        <f>(parametros_manuales!$D$40*('Plan mensual'!M2+IF(parametros_manuales!$H$40="Todos",'Plan mensual'!M6,0))+parametros_manuales!$E$40*('Plan mensual'!M3+IF(parametros_manuales!$H$40="Todos",'Plan mensual'!M7,0))+parametros_manuales!$F$40*('Plan mensual'!M4+IF(parametros_manuales!$H$40="Todos",'Plan mensual'!M8,0))+parametros_manuales!$G$40*('Plan mensual'!M5+IF(parametros_manuales!$H$40="Todos",'Plan mensual'!M9,0)))*parametros_manuales!$I$40*parametros_manuales!$J$40</f>
        <v>511.65</v>
      </c>
      <c r="L23" s="4">
        <f>(parametros_manuales!$D$40*('Plan mensual'!N2+IF(parametros_manuales!$H$40="Todos",'Plan mensual'!N6,0))+parametros_manuales!$E$40*('Plan mensual'!N3+IF(parametros_manuales!$H$40="Todos",'Plan mensual'!N7,0))+parametros_manuales!$F$40*('Plan mensual'!N4+IF(parametros_manuales!$H$40="Todos",'Plan mensual'!N8,0))+parametros_manuales!$G$40*('Plan mensual'!N5+IF(parametros_manuales!$H$40="Todos",'Plan mensual'!N9,0)))*parametros_manuales!$I$40*parametros_manuales!$J$40</f>
        <v>498.435</v>
      </c>
      <c r="M23" s="4">
        <f>(parametros_manuales!$D$40*('Plan mensual'!O2+IF(parametros_manuales!$H$40="Todos",'Plan mensual'!O6,0))+parametros_manuales!$E$40*('Plan mensual'!O3+IF(parametros_manuales!$H$40="Todos",'Plan mensual'!O7,0))+parametros_manuales!$F$40*('Plan mensual'!O4+IF(parametros_manuales!$H$40="Todos",'Plan mensual'!O8,0))+parametros_manuales!$G$40*('Plan mensual'!O5+IF(parametros_manuales!$H$40="Todos",'Plan mensual'!O9,0)))*parametros_manuales!$I$40*parametros_manuales!$J$40</f>
        <v>792.21</v>
      </c>
      <c r="N23" s="4">
        <f t="shared" si="1"/>
        <v>6822</v>
      </c>
      <c r="O23" s="4">
        <f t="shared" si="2"/>
        <v>792.21</v>
      </c>
      <c r="P23" s="27">
        <f>O23/(parametros_manuales!$B$7)</f>
        <v>5.2814</v>
      </c>
      <c r="Q23" s="3" t="str">
        <f t="shared" si="3"/>
        <v>Dic</v>
      </c>
    </row>
    <row r="24" ht="14.25" customHeight="1">
      <c r="A24" s="3" t="str">
        <f>parametros_manuales!$B$41</f>
        <v>Control de calidad — Ensayo de pérdidas</v>
      </c>
      <c r="B24" s="4">
        <f>(parametros_manuales!$D$41*('Plan mensual'!D2+IF(parametros_manuales!$H$41="Todos",'Plan mensual'!D6,0))+parametros_manuales!$E$41*('Plan mensual'!D3+IF(parametros_manuales!$H$41="Todos",'Plan mensual'!D7,0))+parametros_manuales!$F$41*('Plan mensual'!D4+IF(parametros_manuales!$H$41="Todos",'Plan mensual'!D8,0))+parametros_manuales!$G$41*('Plan mensual'!D5+IF(parametros_manuales!$H$41="Todos",'Plan mensual'!D9,0)))*parametros_manuales!$I$41*parametros_manuales!$J$41</f>
        <v>765.78</v>
      </c>
      <c r="C24" s="4">
        <f>(parametros_manuales!$D$41*('Plan mensual'!E2+IF(parametros_manuales!$H$41="Todos",'Plan mensual'!E6,0))+parametros_manuales!$E$41*('Plan mensual'!E3+IF(parametros_manuales!$H$41="Todos",'Plan mensual'!E7,0))+parametros_manuales!$F$41*('Plan mensual'!E4+IF(parametros_manuales!$H$41="Todos",'Plan mensual'!E8,0))+parametros_manuales!$G$41*('Plan mensual'!E5+IF(parametros_manuales!$H$41="Todos",'Plan mensual'!E9,0)))*parametros_manuales!$I$41*parametros_manuales!$J$41</f>
        <v>587.55</v>
      </c>
      <c r="D24" s="4">
        <f>(parametros_manuales!$D$41*('Plan mensual'!F2+IF(parametros_manuales!$H$41="Todos",'Plan mensual'!F6,0))+parametros_manuales!$E$41*('Plan mensual'!F3+IF(parametros_manuales!$H$41="Todos",'Plan mensual'!F7,0))+parametros_manuales!$F$41*('Plan mensual'!F4+IF(parametros_manuales!$H$41="Todos",'Plan mensual'!F8,0))+parametros_manuales!$G$41*('Plan mensual'!F5+IF(parametros_manuales!$H$41="Todos",'Plan mensual'!F9,0)))*parametros_manuales!$I$41*parametros_manuales!$J$41</f>
        <v>558.975</v>
      </c>
      <c r="E24" s="4">
        <f>(parametros_manuales!$D$41*('Plan mensual'!G2+IF(parametros_manuales!$H$41="Todos",'Plan mensual'!G6,0))+parametros_manuales!$E$41*('Plan mensual'!G3+IF(parametros_manuales!$H$41="Todos",'Plan mensual'!G7,0))+parametros_manuales!$F$41*('Plan mensual'!G4+IF(parametros_manuales!$H$41="Todos",'Plan mensual'!G8,0))+parametros_manuales!$G$41*('Plan mensual'!G5+IF(parametros_manuales!$H$41="Todos",'Plan mensual'!G9,0)))*parametros_manuales!$I$41*parametros_manuales!$J$41</f>
        <v>538.08</v>
      </c>
      <c r="F24" s="4">
        <f>(parametros_manuales!$D$41*('Plan mensual'!H2+IF(parametros_manuales!$H$41="Todos",'Plan mensual'!H6,0))+parametros_manuales!$E$41*('Plan mensual'!H3+IF(parametros_manuales!$H$41="Todos",'Plan mensual'!H7,0))+parametros_manuales!$F$41*('Plan mensual'!H4+IF(parametros_manuales!$H$41="Todos",'Plan mensual'!H8,0))+parametros_manuales!$G$41*('Plan mensual'!H5+IF(parametros_manuales!$H$41="Todos",'Plan mensual'!H9,0)))*parametros_manuales!$I$41*parametros_manuales!$J$41</f>
        <v>503.97</v>
      </c>
      <c r="G24" s="4">
        <f>(parametros_manuales!$D$41*('Plan mensual'!I2+IF(parametros_manuales!$H$41="Todos",'Plan mensual'!I6,0))+parametros_manuales!$E$41*('Plan mensual'!I3+IF(parametros_manuales!$H$41="Todos",'Plan mensual'!I7,0))+parametros_manuales!$F$41*('Plan mensual'!I4+IF(parametros_manuales!$H$41="Todos",'Plan mensual'!I8,0))+parametros_manuales!$G$41*('Plan mensual'!I5+IF(parametros_manuales!$H$41="Todos",'Plan mensual'!I9,0)))*parametros_manuales!$I$41*parametros_manuales!$J$41</f>
        <v>490.755</v>
      </c>
      <c r="H24" s="4">
        <f>(parametros_manuales!$D$41*('Plan mensual'!J2+IF(parametros_manuales!$H$41="Todos",'Plan mensual'!J6,0))+parametros_manuales!$E$41*('Plan mensual'!J3+IF(parametros_manuales!$H$41="Todos",'Plan mensual'!J7,0))+parametros_manuales!$F$41*('Plan mensual'!J4+IF(parametros_manuales!$H$41="Todos",'Plan mensual'!J8,0))+parametros_manuales!$G$41*('Plan mensual'!J5+IF(parametros_manuales!$H$41="Todos",'Plan mensual'!J9,0)))*parametros_manuales!$I$41*parametros_manuales!$J$41</f>
        <v>524.865</v>
      </c>
      <c r="I24" s="4">
        <f>(parametros_manuales!$D$41*('Plan mensual'!K2+IF(parametros_manuales!$H$41="Todos",'Plan mensual'!K6,0))+parametros_manuales!$E$41*('Plan mensual'!K3+IF(parametros_manuales!$H$41="Todos",'Plan mensual'!K7,0))+parametros_manuales!$F$41*('Plan mensual'!K4+IF(parametros_manuales!$H$41="Todos",'Plan mensual'!K8,0))+parametros_manuales!$G$41*('Plan mensual'!K5+IF(parametros_manuales!$H$41="Todos",'Plan mensual'!K9,0)))*parametros_manuales!$I$41*parametros_manuales!$J$41</f>
        <v>524.865</v>
      </c>
      <c r="J24" s="4">
        <f>(parametros_manuales!$D$41*('Plan mensual'!L2+IF(parametros_manuales!$H$41="Todos",'Plan mensual'!L6,0))+parametros_manuales!$E$41*('Plan mensual'!L3+IF(parametros_manuales!$H$41="Todos",'Plan mensual'!L7,0))+parametros_manuales!$F$41*('Plan mensual'!L4+IF(parametros_manuales!$H$41="Todos",'Plan mensual'!L8,0))+parametros_manuales!$G$41*('Plan mensual'!L5+IF(parametros_manuales!$H$41="Todos",'Plan mensual'!L9,0)))*parametros_manuales!$I$41*parametros_manuales!$J$41</f>
        <v>524.865</v>
      </c>
      <c r="K24" s="4">
        <f>(parametros_manuales!$D$41*('Plan mensual'!M2+IF(parametros_manuales!$H$41="Todos",'Plan mensual'!M6,0))+parametros_manuales!$E$41*('Plan mensual'!M3+IF(parametros_manuales!$H$41="Todos",'Plan mensual'!M7,0))+parametros_manuales!$F$41*('Plan mensual'!M4+IF(parametros_manuales!$H$41="Todos",'Plan mensual'!M8,0))+parametros_manuales!$G$41*('Plan mensual'!M5+IF(parametros_manuales!$H$41="Todos",'Plan mensual'!M9,0)))*parametros_manuales!$I$41*parametros_manuales!$J$41</f>
        <v>511.65</v>
      </c>
      <c r="L24" s="4">
        <f>(parametros_manuales!$D$41*('Plan mensual'!N2+IF(parametros_manuales!$H$41="Todos",'Plan mensual'!N6,0))+parametros_manuales!$E$41*('Plan mensual'!N3+IF(parametros_manuales!$H$41="Todos",'Plan mensual'!N7,0))+parametros_manuales!$F$41*('Plan mensual'!N4+IF(parametros_manuales!$H$41="Todos",'Plan mensual'!N8,0))+parametros_manuales!$G$41*('Plan mensual'!N5+IF(parametros_manuales!$H$41="Todos",'Plan mensual'!N9,0)))*parametros_manuales!$I$41*parametros_manuales!$J$41</f>
        <v>498.435</v>
      </c>
      <c r="M24" s="4">
        <f>(parametros_manuales!$D$41*('Plan mensual'!O2+IF(parametros_manuales!$H$41="Todos",'Plan mensual'!O6,0))+parametros_manuales!$E$41*('Plan mensual'!O3+IF(parametros_manuales!$H$41="Todos",'Plan mensual'!O7,0))+parametros_manuales!$F$41*('Plan mensual'!O4+IF(parametros_manuales!$H$41="Todos",'Plan mensual'!O8,0))+parametros_manuales!$G$41*('Plan mensual'!O5+IF(parametros_manuales!$H$41="Todos",'Plan mensual'!O9,0)))*parametros_manuales!$I$41*parametros_manuales!$J$41</f>
        <v>792.21</v>
      </c>
      <c r="N24" s="4">
        <f t="shared" si="1"/>
        <v>6822</v>
      </c>
      <c r="O24" s="4">
        <f t="shared" si="2"/>
        <v>792.21</v>
      </c>
      <c r="P24" s="27">
        <f>O24/(parametros_manuales!$B$7)</f>
        <v>5.2814</v>
      </c>
      <c r="Q24" s="3" t="str">
        <f t="shared" si="3"/>
        <v>Dic</v>
      </c>
    </row>
    <row r="25" ht="14.25" customHeight="1">
      <c r="A25" s="3" t="str">
        <f>parametros_manuales!$B$42</f>
        <v>Etiquetado</v>
      </c>
      <c r="B25" s="4">
        <f>(parametros_manuales!$D$42*('Plan mensual'!D2+IF(parametros_manuales!$H$42="Todos",'Plan mensual'!D6,0))+parametros_manuales!$E$42*('Plan mensual'!D3+IF(parametros_manuales!$H$42="Todos",'Plan mensual'!D7,0))+parametros_manuales!$F$42*('Plan mensual'!D4+IF(parametros_manuales!$H$42="Todos",'Plan mensual'!D8,0))+parametros_manuales!$G$42*('Plan mensual'!D5+IF(parametros_manuales!$H$42="Todos",'Plan mensual'!D9,0)))*parametros_manuales!$I$42*parametros_manuales!$J$42</f>
        <v>765.78</v>
      </c>
      <c r="C25" s="4">
        <f>(parametros_manuales!$D$42*('Plan mensual'!E2+IF(parametros_manuales!$H$42="Todos",'Plan mensual'!E6,0))+parametros_manuales!$E$42*('Plan mensual'!E3+IF(parametros_manuales!$H$42="Todos",'Plan mensual'!E7,0))+parametros_manuales!$F$42*('Plan mensual'!E4+IF(parametros_manuales!$H$42="Todos",'Plan mensual'!E8,0))+parametros_manuales!$G$42*('Plan mensual'!E5+IF(parametros_manuales!$H$42="Todos",'Plan mensual'!E9,0)))*parametros_manuales!$I$42*parametros_manuales!$J$42</f>
        <v>587.55</v>
      </c>
      <c r="D25" s="4">
        <f>(parametros_manuales!$D$42*('Plan mensual'!F2+IF(parametros_manuales!$H$42="Todos",'Plan mensual'!F6,0))+parametros_manuales!$E$42*('Plan mensual'!F3+IF(parametros_manuales!$H$42="Todos",'Plan mensual'!F7,0))+parametros_manuales!$F$42*('Plan mensual'!F4+IF(parametros_manuales!$H$42="Todos",'Plan mensual'!F8,0))+parametros_manuales!$G$42*('Plan mensual'!F5+IF(parametros_manuales!$H$42="Todos",'Plan mensual'!F9,0)))*parametros_manuales!$I$42*parametros_manuales!$J$42</f>
        <v>558.975</v>
      </c>
      <c r="E25" s="4">
        <f>(parametros_manuales!$D$42*('Plan mensual'!G2+IF(parametros_manuales!$H$42="Todos",'Plan mensual'!G6,0))+parametros_manuales!$E$42*('Plan mensual'!G3+IF(parametros_manuales!$H$42="Todos",'Plan mensual'!G7,0))+parametros_manuales!$F$42*('Plan mensual'!G4+IF(parametros_manuales!$H$42="Todos",'Plan mensual'!G8,0))+parametros_manuales!$G$42*('Plan mensual'!G5+IF(parametros_manuales!$H$42="Todos",'Plan mensual'!G9,0)))*parametros_manuales!$I$42*parametros_manuales!$J$42</f>
        <v>538.08</v>
      </c>
      <c r="F25" s="4">
        <f>(parametros_manuales!$D$42*('Plan mensual'!H2+IF(parametros_manuales!$H$42="Todos",'Plan mensual'!H6,0))+parametros_manuales!$E$42*('Plan mensual'!H3+IF(parametros_manuales!$H$42="Todos",'Plan mensual'!H7,0))+parametros_manuales!$F$42*('Plan mensual'!H4+IF(parametros_manuales!$H$42="Todos",'Plan mensual'!H8,0))+parametros_manuales!$G$42*('Plan mensual'!H5+IF(parametros_manuales!$H$42="Todos",'Plan mensual'!H9,0)))*parametros_manuales!$I$42*parametros_manuales!$J$42</f>
        <v>503.97</v>
      </c>
      <c r="G25" s="4">
        <f>(parametros_manuales!$D$42*('Plan mensual'!I2+IF(parametros_manuales!$H$42="Todos",'Plan mensual'!I6,0))+parametros_manuales!$E$42*('Plan mensual'!I3+IF(parametros_manuales!$H$42="Todos",'Plan mensual'!I7,0))+parametros_manuales!$F$42*('Plan mensual'!I4+IF(parametros_manuales!$H$42="Todos",'Plan mensual'!I8,0))+parametros_manuales!$G$42*('Plan mensual'!I5+IF(parametros_manuales!$H$42="Todos",'Plan mensual'!I9,0)))*parametros_manuales!$I$42*parametros_manuales!$J$42</f>
        <v>490.755</v>
      </c>
      <c r="H25" s="4">
        <f>(parametros_manuales!$D$42*('Plan mensual'!J2+IF(parametros_manuales!$H$42="Todos",'Plan mensual'!J6,0))+parametros_manuales!$E$42*('Plan mensual'!J3+IF(parametros_manuales!$H$42="Todos",'Plan mensual'!J7,0))+parametros_manuales!$F$42*('Plan mensual'!J4+IF(parametros_manuales!$H$42="Todos",'Plan mensual'!J8,0))+parametros_manuales!$G$42*('Plan mensual'!J5+IF(parametros_manuales!$H$42="Todos",'Plan mensual'!J9,0)))*parametros_manuales!$I$42*parametros_manuales!$J$42</f>
        <v>524.865</v>
      </c>
      <c r="I25" s="4">
        <f>(parametros_manuales!$D$42*('Plan mensual'!K2+IF(parametros_manuales!$H$42="Todos",'Plan mensual'!K6,0))+parametros_manuales!$E$42*('Plan mensual'!K3+IF(parametros_manuales!$H$42="Todos",'Plan mensual'!K7,0))+parametros_manuales!$F$42*('Plan mensual'!K4+IF(parametros_manuales!$H$42="Todos",'Plan mensual'!K8,0))+parametros_manuales!$G$42*('Plan mensual'!K5+IF(parametros_manuales!$H$42="Todos",'Plan mensual'!K9,0)))*parametros_manuales!$I$42*parametros_manuales!$J$42</f>
        <v>524.865</v>
      </c>
      <c r="J25" s="4">
        <f>(parametros_manuales!$D$42*('Plan mensual'!L2+IF(parametros_manuales!$H$42="Todos",'Plan mensual'!L6,0))+parametros_manuales!$E$42*('Plan mensual'!L3+IF(parametros_manuales!$H$42="Todos",'Plan mensual'!L7,0))+parametros_manuales!$F$42*('Plan mensual'!L4+IF(parametros_manuales!$H$42="Todos",'Plan mensual'!L8,0))+parametros_manuales!$G$42*('Plan mensual'!L5+IF(parametros_manuales!$H$42="Todos",'Plan mensual'!L9,0)))*parametros_manuales!$I$42*parametros_manuales!$J$42</f>
        <v>524.865</v>
      </c>
      <c r="K25" s="4">
        <f>(parametros_manuales!$D$42*('Plan mensual'!M2+IF(parametros_manuales!$H$42="Todos",'Plan mensual'!M6,0))+parametros_manuales!$E$42*('Plan mensual'!M3+IF(parametros_manuales!$H$42="Todos",'Plan mensual'!M7,0))+parametros_manuales!$F$42*('Plan mensual'!M4+IF(parametros_manuales!$H$42="Todos",'Plan mensual'!M8,0))+parametros_manuales!$G$42*('Plan mensual'!M5+IF(parametros_manuales!$H$42="Todos",'Plan mensual'!M9,0)))*parametros_manuales!$I$42*parametros_manuales!$J$42</f>
        <v>511.65</v>
      </c>
      <c r="L25" s="4">
        <f>(parametros_manuales!$D$42*('Plan mensual'!N2+IF(parametros_manuales!$H$42="Todos",'Plan mensual'!N6,0))+parametros_manuales!$E$42*('Plan mensual'!N3+IF(parametros_manuales!$H$42="Todos",'Plan mensual'!N7,0))+parametros_manuales!$F$42*('Plan mensual'!N4+IF(parametros_manuales!$H$42="Todos",'Plan mensual'!N8,0))+parametros_manuales!$G$42*('Plan mensual'!N5+IF(parametros_manuales!$H$42="Todos",'Plan mensual'!N9,0)))*parametros_manuales!$I$42*parametros_manuales!$J$42</f>
        <v>498.435</v>
      </c>
      <c r="M25" s="4">
        <f>(parametros_manuales!$D$42*('Plan mensual'!O2+IF(parametros_manuales!$H$42="Todos",'Plan mensual'!O6,0))+parametros_manuales!$E$42*('Plan mensual'!O3+IF(parametros_manuales!$H$42="Todos",'Plan mensual'!O7,0))+parametros_manuales!$F$42*('Plan mensual'!O4+IF(parametros_manuales!$H$42="Todos",'Plan mensual'!O8,0))+parametros_manuales!$G$42*('Plan mensual'!O5+IF(parametros_manuales!$H$42="Todos",'Plan mensual'!O9,0)))*parametros_manuales!$I$42*parametros_manuales!$J$42</f>
        <v>792.21</v>
      </c>
      <c r="N25" s="4">
        <f t="shared" si="1"/>
        <v>6822</v>
      </c>
      <c r="O25" s="4">
        <f t="shared" si="2"/>
        <v>792.21</v>
      </c>
      <c r="P25" s="27">
        <f>O25/(parametros_manuales!$B$7)</f>
        <v>5.2814</v>
      </c>
      <c r="Q25" s="3" t="str">
        <f t="shared" si="3"/>
        <v>Dic</v>
      </c>
    </row>
    <row r="26" ht="14.25" customHeight="1">
      <c r="A26" s="3" t="str">
        <f>parametros_manuales!$B$43</f>
        <v>Embalaje y paletizado</v>
      </c>
      <c r="B26" s="4">
        <f>(parametros_manuales!$D$43*('Plan mensual'!D2+IF(parametros_manuales!$H$43="Todos",'Plan mensual'!D6,0))+parametros_manuales!$E$43*('Plan mensual'!D3+IF(parametros_manuales!$H$43="Todos",'Plan mensual'!D7,0))+parametros_manuales!$F$43*('Plan mensual'!D4+IF(parametros_manuales!$H$43="Todos",'Plan mensual'!D8,0))+parametros_manuales!$G$43*('Plan mensual'!D5+IF(parametros_manuales!$H$43="Todos",'Plan mensual'!D9,0)))*parametros_manuales!$I$43*parametros_manuales!$J$43</f>
        <v>765.78</v>
      </c>
      <c r="C26" s="4">
        <f>(parametros_manuales!$D$43*('Plan mensual'!E2+IF(parametros_manuales!$H$43="Todos",'Plan mensual'!E6,0))+parametros_manuales!$E$43*('Plan mensual'!E3+IF(parametros_manuales!$H$43="Todos",'Plan mensual'!E7,0))+parametros_manuales!$F$43*('Plan mensual'!E4+IF(parametros_manuales!$H$43="Todos",'Plan mensual'!E8,0))+parametros_manuales!$G$43*('Plan mensual'!E5+IF(parametros_manuales!$H$43="Todos",'Plan mensual'!E9,0)))*parametros_manuales!$I$43*parametros_manuales!$J$43</f>
        <v>587.55</v>
      </c>
      <c r="D26" s="4">
        <f>(parametros_manuales!$D$43*('Plan mensual'!F2+IF(parametros_manuales!$H$43="Todos",'Plan mensual'!F6,0))+parametros_manuales!$E$43*('Plan mensual'!F3+IF(parametros_manuales!$H$43="Todos",'Plan mensual'!F7,0))+parametros_manuales!$F$43*('Plan mensual'!F4+IF(parametros_manuales!$H$43="Todos",'Plan mensual'!F8,0))+parametros_manuales!$G$43*('Plan mensual'!F5+IF(parametros_manuales!$H$43="Todos",'Plan mensual'!F9,0)))*parametros_manuales!$I$43*parametros_manuales!$J$43</f>
        <v>558.975</v>
      </c>
      <c r="E26" s="4">
        <f>(parametros_manuales!$D$43*('Plan mensual'!G2+IF(parametros_manuales!$H$43="Todos",'Plan mensual'!G6,0))+parametros_manuales!$E$43*('Plan mensual'!G3+IF(parametros_manuales!$H$43="Todos",'Plan mensual'!G7,0))+parametros_manuales!$F$43*('Plan mensual'!G4+IF(parametros_manuales!$H$43="Todos",'Plan mensual'!G8,0))+parametros_manuales!$G$43*('Plan mensual'!G5+IF(parametros_manuales!$H$43="Todos",'Plan mensual'!G9,0)))*parametros_manuales!$I$43*parametros_manuales!$J$43</f>
        <v>538.08</v>
      </c>
      <c r="F26" s="4">
        <f>(parametros_manuales!$D$43*('Plan mensual'!H2+IF(parametros_manuales!$H$43="Todos",'Plan mensual'!H6,0))+parametros_manuales!$E$43*('Plan mensual'!H3+IF(parametros_manuales!$H$43="Todos",'Plan mensual'!H7,0))+parametros_manuales!$F$43*('Plan mensual'!H4+IF(parametros_manuales!$H$43="Todos",'Plan mensual'!H8,0))+parametros_manuales!$G$43*('Plan mensual'!H5+IF(parametros_manuales!$H$43="Todos",'Plan mensual'!H9,0)))*parametros_manuales!$I$43*parametros_manuales!$J$43</f>
        <v>503.97</v>
      </c>
      <c r="G26" s="4">
        <f>(parametros_manuales!$D$43*('Plan mensual'!I2+IF(parametros_manuales!$H$43="Todos",'Plan mensual'!I6,0))+parametros_manuales!$E$43*('Plan mensual'!I3+IF(parametros_manuales!$H$43="Todos",'Plan mensual'!I7,0))+parametros_manuales!$F$43*('Plan mensual'!I4+IF(parametros_manuales!$H$43="Todos",'Plan mensual'!I8,0))+parametros_manuales!$G$43*('Plan mensual'!I5+IF(parametros_manuales!$H$43="Todos",'Plan mensual'!I9,0)))*parametros_manuales!$I$43*parametros_manuales!$J$43</f>
        <v>490.755</v>
      </c>
      <c r="H26" s="4">
        <f>(parametros_manuales!$D$43*('Plan mensual'!J2+IF(parametros_manuales!$H$43="Todos",'Plan mensual'!J6,0))+parametros_manuales!$E$43*('Plan mensual'!J3+IF(parametros_manuales!$H$43="Todos",'Plan mensual'!J7,0))+parametros_manuales!$F$43*('Plan mensual'!J4+IF(parametros_manuales!$H$43="Todos",'Plan mensual'!J8,0))+parametros_manuales!$G$43*('Plan mensual'!J5+IF(parametros_manuales!$H$43="Todos",'Plan mensual'!J9,0)))*parametros_manuales!$I$43*parametros_manuales!$J$43</f>
        <v>524.865</v>
      </c>
      <c r="I26" s="4">
        <f>(parametros_manuales!$D$43*('Plan mensual'!K2+IF(parametros_manuales!$H$43="Todos",'Plan mensual'!K6,0))+parametros_manuales!$E$43*('Plan mensual'!K3+IF(parametros_manuales!$H$43="Todos",'Plan mensual'!K7,0))+parametros_manuales!$F$43*('Plan mensual'!K4+IF(parametros_manuales!$H$43="Todos",'Plan mensual'!K8,0))+parametros_manuales!$G$43*('Plan mensual'!K5+IF(parametros_manuales!$H$43="Todos",'Plan mensual'!K9,0)))*parametros_manuales!$I$43*parametros_manuales!$J$43</f>
        <v>524.865</v>
      </c>
      <c r="J26" s="4">
        <f>(parametros_manuales!$D$43*('Plan mensual'!L2+IF(parametros_manuales!$H$43="Todos",'Plan mensual'!L6,0))+parametros_manuales!$E$43*('Plan mensual'!L3+IF(parametros_manuales!$H$43="Todos",'Plan mensual'!L7,0))+parametros_manuales!$F$43*('Plan mensual'!L4+IF(parametros_manuales!$H$43="Todos",'Plan mensual'!L8,0))+parametros_manuales!$G$43*('Plan mensual'!L5+IF(parametros_manuales!$H$43="Todos",'Plan mensual'!L9,0)))*parametros_manuales!$I$43*parametros_manuales!$J$43</f>
        <v>524.865</v>
      </c>
      <c r="K26" s="4">
        <f>(parametros_manuales!$D$43*('Plan mensual'!M2+IF(parametros_manuales!$H$43="Todos",'Plan mensual'!M6,0))+parametros_manuales!$E$43*('Plan mensual'!M3+IF(parametros_manuales!$H$43="Todos",'Plan mensual'!M7,0))+parametros_manuales!$F$43*('Plan mensual'!M4+IF(parametros_manuales!$H$43="Todos",'Plan mensual'!M8,0))+parametros_manuales!$G$43*('Plan mensual'!M5+IF(parametros_manuales!$H$43="Todos",'Plan mensual'!M9,0)))*parametros_manuales!$I$43*parametros_manuales!$J$43</f>
        <v>511.65</v>
      </c>
      <c r="L26" s="4">
        <f>(parametros_manuales!$D$43*('Plan mensual'!N2+IF(parametros_manuales!$H$43="Todos",'Plan mensual'!N6,0))+parametros_manuales!$E$43*('Plan mensual'!N3+IF(parametros_manuales!$H$43="Todos",'Plan mensual'!N7,0))+parametros_manuales!$F$43*('Plan mensual'!N4+IF(parametros_manuales!$H$43="Todos",'Plan mensual'!N8,0))+parametros_manuales!$G$43*('Plan mensual'!N5+IF(parametros_manuales!$H$43="Todos",'Plan mensual'!N9,0)))*parametros_manuales!$I$43*parametros_manuales!$J$43</f>
        <v>498.435</v>
      </c>
      <c r="M26" s="4">
        <f>(parametros_manuales!$D$43*('Plan mensual'!O2+IF(parametros_manuales!$H$43="Todos",'Plan mensual'!O6,0))+parametros_manuales!$E$43*('Plan mensual'!O3+IF(parametros_manuales!$H$43="Todos",'Plan mensual'!O7,0))+parametros_manuales!$F$43*('Plan mensual'!O4+IF(parametros_manuales!$H$43="Todos",'Plan mensual'!O8,0))+parametros_manuales!$G$43*('Plan mensual'!O5+IF(parametros_manuales!$H$43="Todos",'Plan mensual'!O9,0)))*parametros_manuales!$I$43*parametros_manuales!$J$43</f>
        <v>792.21</v>
      </c>
      <c r="N26" s="4">
        <f t="shared" si="1"/>
        <v>6822</v>
      </c>
      <c r="O26" s="4">
        <f t="shared" si="2"/>
        <v>792.21</v>
      </c>
      <c r="P26" s="27">
        <f>O26/(parametros_manuales!$B$7)</f>
        <v>5.2814</v>
      </c>
      <c r="Q26" s="3" t="str">
        <f t="shared" si="3"/>
        <v>Dic</v>
      </c>
    </row>
    <row r="27" ht="14.25" customHeight="1"/>
    <row r="28" ht="14.25" customHeight="1">
      <c r="A28" s="1" t="s">
        <v>178</v>
      </c>
      <c r="B28" s="1" t="s">
        <v>5</v>
      </c>
      <c r="C28" s="1" t="s">
        <v>7</v>
      </c>
      <c r="D28" s="1" t="s">
        <v>8</v>
      </c>
      <c r="E28" s="1" t="s">
        <v>9</v>
      </c>
      <c r="F28" s="1" t="s">
        <v>11</v>
      </c>
      <c r="G28" s="1" t="s">
        <v>12</v>
      </c>
      <c r="H28" s="1" t="s">
        <v>14</v>
      </c>
      <c r="I28" s="1" t="s">
        <v>15</v>
      </c>
      <c r="J28" s="1" t="s">
        <v>16</v>
      </c>
      <c r="K28" s="1" t="s">
        <v>18</v>
      </c>
      <c r="L28" s="1" t="s">
        <v>19</v>
      </c>
      <c r="M28" s="1" t="s">
        <v>20</v>
      </c>
      <c r="N28" s="1" t="s">
        <v>21</v>
      </c>
      <c r="O28" s="1" t="s">
        <v>22</v>
      </c>
      <c r="P28" s="1" t="s">
        <v>23</v>
      </c>
      <c r="Q28" s="1" t="s">
        <v>24</v>
      </c>
    </row>
    <row r="29" ht="14.25" customHeight="1">
      <c r="A29" s="3" t="str">
        <f>parametros_manuales!$B$19</f>
        <v>Recepción de materia prima</v>
      </c>
      <c r="B29" s="4">
        <f>(parametros_manuales!$D$19*('Plan mensual'!D13+IF(parametros_manuales!$H$19="Todos",'Plan mensual'!D17,0))+parametros_manuales!$E$19*('Plan mensual'!D14+IF(parametros_manuales!$H$19="Todos",'Plan mensual'!D18,0))+parametros_manuales!$F$19*('Plan mensual'!D15+IF(parametros_manuales!$H$19="Todos",'Plan mensual'!D19,0))+parametros_manuales!$G$19*('Plan mensual'!D16+IF(parametros_manuales!$H$19="Todos",'Plan mensual'!D20,0)))*parametros_manuales!$I$19*parametros_manuales!$J$19</f>
        <v>1192.94</v>
      </c>
      <c r="C29" s="4">
        <f>(parametros_manuales!$D$19*('Plan mensual'!E13+IF(parametros_manuales!$H$19="Todos",'Plan mensual'!E17,0))+parametros_manuales!$E$19*('Plan mensual'!E14+IF(parametros_manuales!$H$19="Todos",'Plan mensual'!E18,0))+parametros_manuales!$F$19*('Plan mensual'!E15+IF(parametros_manuales!$H$19="Todos",'Plan mensual'!E19,0))+parametros_manuales!$G$19*('Plan mensual'!E16+IF(parametros_manuales!$H$19="Todos",'Plan mensual'!E20,0)))*parametros_manuales!$I$19*parametros_manuales!$J$19</f>
        <v>918.37</v>
      </c>
      <c r="D29" s="4">
        <f>(parametros_manuales!$D$19*('Plan mensual'!F13+IF(parametros_manuales!$H$19="Todos",'Plan mensual'!F17,0))+parametros_manuales!$E$19*('Plan mensual'!F14+IF(parametros_manuales!$H$19="Todos",'Plan mensual'!F18,0))+parametros_manuales!$F$19*('Plan mensual'!F15+IF(parametros_manuales!$H$19="Todos",'Plan mensual'!F19,0))+parametros_manuales!$G$19*('Plan mensual'!F16+IF(parametros_manuales!$H$19="Todos",'Plan mensual'!F20,0)))*parametros_manuales!$I$19*parametros_manuales!$J$19</f>
        <v>882.065</v>
      </c>
      <c r="E29" s="4">
        <f>(parametros_manuales!$D$19*('Plan mensual'!G13+IF(parametros_manuales!$H$19="Todos",'Plan mensual'!G17,0))+parametros_manuales!$E$19*('Plan mensual'!G14+IF(parametros_manuales!$H$19="Todos",'Plan mensual'!G18,0))+parametros_manuales!$F$19*('Plan mensual'!G15+IF(parametros_manuales!$H$19="Todos",'Plan mensual'!G19,0))+parametros_manuales!$G$19*('Plan mensual'!G16+IF(parametros_manuales!$H$19="Todos",'Plan mensual'!G20,0)))*parametros_manuales!$I$19*parametros_manuales!$J$19</f>
        <v>852.08</v>
      </c>
      <c r="F29" s="4">
        <f>(parametros_manuales!$D$19*('Plan mensual'!H13+IF(parametros_manuales!$H$19="Todos",'Plan mensual'!H17,0))+parametros_manuales!$E$19*('Plan mensual'!H14+IF(parametros_manuales!$H$19="Todos",'Plan mensual'!H18,0))+parametros_manuales!$F$19*('Plan mensual'!H15+IF(parametros_manuales!$H$19="Todos",'Plan mensual'!H19,0))+parametros_manuales!$G$19*('Plan mensual'!H16+IF(parametros_manuales!$H$19="Todos",'Plan mensual'!H20,0)))*parametros_manuales!$I$19*parametros_manuales!$J$19</f>
        <v>798.43</v>
      </c>
      <c r="G29" s="4">
        <f>(parametros_manuales!$D$19*('Plan mensual'!I13+IF(parametros_manuales!$H$19="Todos",'Plan mensual'!I17,0))+parametros_manuales!$E$19*('Plan mensual'!I14+IF(parametros_manuales!$H$19="Todos",'Plan mensual'!I18,0))+parametros_manuales!$F$19*('Plan mensual'!I15+IF(parametros_manuales!$H$19="Todos",'Plan mensual'!I19,0))+parametros_manuales!$G$19*('Plan mensual'!I16+IF(parametros_manuales!$H$19="Todos",'Plan mensual'!I20,0)))*parametros_manuales!$I$19*parametros_manuales!$J$19</f>
        <v>774.765</v>
      </c>
      <c r="H29" s="4">
        <f>(parametros_manuales!$D$19*('Plan mensual'!J13+IF(parametros_manuales!$H$19="Todos",'Plan mensual'!J17,0))+parametros_manuales!$E$19*('Plan mensual'!J14+IF(parametros_manuales!$H$19="Todos",'Plan mensual'!J18,0))+parametros_manuales!$F$19*('Plan mensual'!J15+IF(parametros_manuales!$H$19="Todos",'Plan mensual'!J19,0))+parametros_manuales!$G$19*('Plan mensual'!J16+IF(parametros_manuales!$H$19="Todos",'Plan mensual'!J20,0)))*parametros_manuales!$I$19*parametros_manuales!$J$19</f>
        <v>828.415</v>
      </c>
      <c r="I29" s="4">
        <f>(parametros_manuales!$D$19*('Plan mensual'!K13+IF(parametros_manuales!$H$19="Todos",'Plan mensual'!K17,0))+parametros_manuales!$E$19*('Plan mensual'!K14+IF(parametros_manuales!$H$19="Todos",'Plan mensual'!K18,0))+parametros_manuales!$F$19*('Plan mensual'!K15+IF(parametros_manuales!$H$19="Todos",'Plan mensual'!K19,0))+parametros_manuales!$G$19*('Plan mensual'!K16+IF(parametros_manuales!$H$19="Todos",'Plan mensual'!K20,0)))*parametros_manuales!$I$19*parametros_manuales!$J$19</f>
        <v>828.415</v>
      </c>
      <c r="J29" s="4">
        <f>(parametros_manuales!$D$19*('Plan mensual'!L13+IF(parametros_manuales!$H$19="Todos",'Plan mensual'!L17,0))+parametros_manuales!$E$19*('Plan mensual'!L14+IF(parametros_manuales!$H$19="Todos",'Plan mensual'!L18,0))+parametros_manuales!$F$19*('Plan mensual'!L15+IF(parametros_manuales!$H$19="Todos",'Plan mensual'!L19,0))+parametros_manuales!$G$19*('Plan mensual'!L16+IF(parametros_manuales!$H$19="Todos",'Plan mensual'!L20,0)))*parametros_manuales!$I$19*parametros_manuales!$J$19</f>
        <v>828.415</v>
      </c>
      <c r="K29" s="4">
        <f>(parametros_manuales!$D$19*('Plan mensual'!M13+IF(parametros_manuales!$H$19="Todos",'Plan mensual'!M17,0))+parametros_manuales!$E$19*('Plan mensual'!M14+IF(parametros_manuales!$H$19="Todos",'Plan mensual'!M18,0))+parametros_manuales!$F$19*('Plan mensual'!M15+IF(parametros_manuales!$H$19="Todos",'Plan mensual'!M19,0))+parametros_manuales!$G$19*('Plan mensual'!M16+IF(parametros_manuales!$H$19="Todos",'Plan mensual'!M20,0)))*parametros_manuales!$I$19*parametros_manuales!$J$19</f>
        <v>804.75</v>
      </c>
      <c r="L29" s="4">
        <f>(parametros_manuales!$D$19*('Plan mensual'!N13+IF(parametros_manuales!$H$19="Todos",'Plan mensual'!N17,0))+parametros_manuales!$E$19*('Plan mensual'!N14+IF(parametros_manuales!$H$19="Todos",'Plan mensual'!N18,0))+parametros_manuales!$F$19*('Plan mensual'!N15+IF(parametros_manuales!$H$19="Todos",'Plan mensual'!N19,0))+parametros_manuales!$G$19*('Plan mensual'!N16+IF(parametros_manuales!$H$19="Todos",'Plan mensual'!N20,0)))*parametros_manuales!$I$19*parametros_manuales!$J$19</f>
        <v>781.085</v>
      </c>
      <c r="M29" s="4">
        <f>(parametros_manuales!$D$19*('Plan mensual'!O13+IF(parametros_manuales!$H$19="Todos",'Plan mensual'!O17,0))+parametros_manuales!$E$19*('Plan mensual'!O14+IF(parametros_manuales!$H$19="Todos",'Plan mensual'!O18,0))+parametros_manuales!$F$19*('Plan mensual'!O15+IF(parametros_manuales!$H$19="Todos",'Plan mensual'!O19,0))+parametros_manuales!$G$19*('Plan mensual'!O16+IF(parametros_manuales!$H$19="Todos",'Plan mensual'!O20,0)))*parametros_manuales!$I$19*parametros_manuales!$J$19</f>
        <v>1240.27</v>
      </c>
      <c r="N29" s="4">
        <f t="shared" ref="N29:N53" si="4">SUM(B29:M29)</f>
        <v>10730</v>
      </c>
      <c r="O29" s="4">
        <f t="shared" ref="O29:O53" si="5">MAX(B29:M29)</f>
        <v>1240.27</v>
      </c>
      <c r="P29" s="27">
        <f>O29/(parametros_manuales!$B$7)</f>
        <v>8.268466667</v>
      </c>
      <c r="Q29" s="3" t="str">
        <f t="shared" ref="Q29:Q53" si="6">IF(O29=0,"-",INDEX($B$28:$M$28,MATCH(O29,B29:M29,0)))</f>
        <v>Dic</v>
      </c>
    </row>
    <row r="30" ht="14.25" customHeight="1">
      <c r="A30" s="3" t="str">
        <f>parametros_manuales!$B$20</f>
        <v>Corte de chapa (guillotina) — 2,5 a 10 kg</v>
      </c>
      <c r="B30" s="4">
        <f>(parametros_manuales!$D$20*('Plan mensual'!D13+IF(parametros_manuales!$H$20="Todos",'Plan mensual'!D17,0))+parametros_manuales!$E$20*('Plan mensual'!D14+IF(parametros_manuales!$H$20="Todos",'Plan mensual'!D18,0))+parametros_manuales!$F$20*('Plan mensual'!D15+IF(parametros_manuales!$H$20="Todos",'Plan mensual'!D19,0))+parametros_manuales!$G$20*('Plan mensual'!D16+IF(parametros_manuales!$H$20="Todos",'Plan mensual'!D20,0)))*parametros_manuales!$I$20*parametros_manuales!$J$20</f>
        <v>473.3</v>
      </c>
      <c r="C30" s="4">
        <f>(parametros_manuales!$D$20*('Plan mensual'!E13+IF(parametros_manuales!$H$20="Todos",'Plan mensual'!E17,0))+parametros_manuales!$E$20*('Plan mensual'!E14+IF(parametros_manuales!$H$20="Todos",'Plan mensual'!E18,0))+parametros_manuales!$F$20*('Plan mensual'!E15+IF(parametros_manuales!$H$20="Todos",'Plan mensual'!E19,0))+parametros_manuales!$G$20*('Plan mensual'!E16+IF(parametros_manuales!$H$20="Todos",'Plan mensual'!E20,0)))*parametros_manuales!$I$20*parametros_manuales!$J$20</f>
        <v>378.64</v>
      </c>
      <c r="D30" s="4">
        <f>(parametros_manuales!$D$20*('Plan mensual'!F13+IF(parametros_manuales!$H$20="Todos",'Plan mensual'!F17,0))+parametros_manuales!$E$20*('Plan mensual'!F14+IF(parametros_manuales!$H$20="Todos",'Plan mensual'!F18,0))+parametros_manuales!$F$20*('Plan mensual'!F15+IF(parametros_manuales!$H$20="Todos",'Plan mensual'!F19,0))+parametros_manuales!$G$20*('Plan mensual'!F16+IF(parametros_manuales!$H$20="Todos",'Plan mensual'!F20,0)))*parametros_manuales!$I$20*parametros_manuales!$J$20</f>
        <v>402.305</v>
      </c>
      <c r="E30" s="4">
        <f>(parametros_manuales!$D$20*('Plan mensual'!G13+IF(parametros_manuales!$H$20="Todos",'Plan mensual'!G17,0))+parametros_manuales!$E$20*('Plan mensual'!G14+IF(parametros_manuales!$H$20="Todos",'Plan mensual'!G18,0))+parametros_manuales!$F$20*('Plan mensual'!G15+IF(parametros_manuales!$H$20="Todos",'Plan mensual'!G19,0))+parametros_manuales!$G$20*('Plan mensual'!G16+IF(parametros_manuales!$H$20="Todos",'Plan mensual'!G20,0)))*parametros_manuales!$I$20*parametros_manuales!$J$20</f>
        <v>402.305</v>
      </c>
      <c r="F30" s="4">
        <f>(parametros_manuales!$D$20*('Plan mensual'!H13+IF(parametros_manuales!$H$20="Todos",'Plan mensual'!H17,0))+parametros_manuales!$E$20*('Plan mensual'!H14+IF(parametros_manuales!$H$20="Todos",'Plan mensual'!H18,0))+parametros_manuales!$F$20*('Plan mensual'!H15+IF(parametros_manuales!$H$20="Todos",'Plan mensual'!H19,0))+parametros_manuales!$G$20*('Plan mensual'!H16+IF(parametros_manuales!$H$20="Todos",'Plan mensual'!H20,0)))*parametros_manuales!$I$20*parametros_manuales!$J$20</f>
        <v>378.64</v>
      </c>
      <c r="G30" s="4">
        <f>(parametros_manuales!$D$20*('Plan mensual'!I13+IF(parametros_manuales!$H$20="Todos",'Plan mensual'!I17,0))+parametros_manuales!$E$20*('Plan mensual'!I14+IF(parametros_manuales!$H$20="Todos",'Plan mensual'!I18,0))+parametros_manuales!$F$20*('Plan mensual'!I15+IF(parametros_manuales!$H$20="Todos",'Plan mensual'!I19,0))+parametros_manuales!$G$20*('Plan mensual'!I16+IF(parametros_manuales!$H$20="Todos",'Plan mensual'!I20,0)))*parametros_manuales!$I$20*parametros_manuales!$J$20</f>
        <v>354.975</v>
      </c>
      <c r="H30" s="4">
        <f>(parametros_manuales!$D$20*('Plan mensual'!J13+IF(parametros_manuales!$H$20="Todos",'Plan mensual'!J17,0))+parametros_manuales!$E$20*('Plan mensual'!J14+IF(parametros_manuales!$H$20="Todos",'Plan mensual'!J18,0))+parametros_manuales!$F$20*('Plan mensual'!J15+IF(parametros_manuales!$H$20="Todos",'Plan mensual'!J19,0))+parametros_manuales!$G$20*('Plan mensual'!J16+IF(parametros_manuales!$H$20="Todos",'Plan mensual'!J20,0)))*parametros_manuales!$I$20*parametros_manuales!$J$20</f>
        <v>378.64</v>
      </c>
      <c r="I30" s="4">
        <f>(parametros_manuales!$D$20*('Plan mensual'!K13+IF(parametros_manuales!$H$20="Todos",'Plan mensual'!K17,0))+parametros_manuales!$E$20*('Plan mensual'!K14+IF(parametros_manuales!$H$20="Todos",'Plan mensual'!K18,0))+parametros_manuales!$F$20*('Plan mensual'!K15+IF(parametros_manuales!$H$20="Todos",'Plan mensual'!K19,0))+parametros_manuales!$G$20*('Plan mensual'!K16+IF(parametros_manuales!$H$20="Todos",'Plan mensual'!K20,0)))*parametros_manuales!$I$20*parametros_manuales!$J$20</f>
        <v>378.64</v>
      </c>
      <c r="J30" s="4">
        <f>(parametros_manuales!$D$20*('Plan mensual'!L13+IF(parametros_manuales!$H$20="Todos",'Plan mensual'!L17,0))+parametros_manuales!$E$20*('Plan mensual'!L14+IF(parametros_manuales!$H$20="Todos",'Plan mensual'!L18,0))+parametros_manuales!$F$20*('Plan mensual'!L15+IF(parametros_manuales!$H$20="Todos",'Plan mensual'!L19,0))+parametros_manuales!$G$20*('Plan mensual'!L16+IF(parametros_manuales!$H$20="Todos",'Plan mensual'!L20,0)))*parametros_manuales!$I$20*parametros_manuales!$J$20</f>
        <v>378.64</v>
      </c>
      <c r="K30" s="4">
        <f>(parametros_manuales!$D$20*('Plan mensual'!M13+IF(parametros_manuales!$H$20="Todos",'Plan mensual'!M17,0))+parametros_manuales!$E$20*('Plan mensual'!M14+IF(parametros_manuales!$H$20="Todos",'Plan mensual'!M18,0))+parametros_manuales!$F$20*('Plan mensual'!M15+IF(parametros_manuales!$H$20="Todos",'Plan mensual'!M19,0))+parametros_manuales!$G$20*('Plan mensual'!M16+IF(parametros_manuales!$H$20="Todos",'Plan mensual'!M20,0)))*parametros_manuales!$I$20*parametros_manuales!$J$20</f>
        <v>354.975</v>
      </c>
      <c r="L30" s="4">
        <f>(parametros_manuales!$D$20*('Plan mensual'!N13+IF(parametros_manuales!$H$20="Todos",'Plan mensual'!N17,0))+parametros_manuales!$E$20*('Plan mensual'!N14+IF(parametros_manuales!$H$20="Todos",'Plan mensual'!N18,0))+parametros_manuales!$F$20*('Plan mensual'!N15+IF(parametros_manuales!$H$20="Todos",'Plan mensual'!N19,0))+parametros_manuales!$G$20*('Plan mensual'!N16+IF(parametros_manuales!$H$20="Todos",'Plan mensual'!N20,0)))*parametros_manuales!$I$20*parametros_manuales!$J$20</f>
        <v>331.31</v>
      </c>
      <c r="M30" s="4">
        <f>(parametros_manuales!$D$20*('Plan mensual'!O13+IF(parametros_manuales!$H$20="Todos",'Plan mensual'!O17,0))+parametros_manuales!$E$20*('Plan mensual'!O14+IF(parametros_manuales!$H$20="Todos",'Plan mensual'!O18,0))+parametros_manuales!$F$20*('Plan mensual'!O15+IF(parametros_manuales!$H$20="Todos",'Plan mensual'!O19,0))+parametros_manuales!$G$20*('Plan mensual'!O16+IF(parametros_manuales!$H$20="Todos",'Plan mensual'!O20,0)))*parametros_manuales!$I$20*parametros_manuales!$J$20</f>
        <v>520.63</v>
      </c>
      <c r="N30" s="4">
        <f t="shared" si="4"/>
        <v>4733</v>
      </c>
      <c r="O30" s="4">
        <f t="shared" si="5"/>
        <v>520.63</v>
      </c>
      <c r="P30" s="27">
        <f>O30/(parametros_manuales!$B$7)</f>
        <v>3.470866667</v>
      </c>
      <c r="Q30" s="3" t="str">
        <f t="shared" si="6"/>
        <v>Dic</v>
      </c>
    </row>
    <row r="31" ht="14.25" customHeight="1">
      <c r="A31" s="3" t="str">
        <f>parametros_manuales!$B$21</f>
        <v>Corte de tubo — 1 kg</v>
      </c>
      <c r="B31" s="4">
        <f>(parametros_manuales!$D$21*('Plan mensual'!D13+IF(parametros_manuales!$H$21="Todos",'Plan mensual'!D17,0))+parametros_manuales!$E$21*('Plan mensual'!D14+IF(parametros_manuales!$H$21="Todos",'Plan mensual'!D18,0))+parametros_manuales!$F$21*('Plan mensual'!D15+IF(parametros_manuales!$H$21="Todos",'Plan mensual'!D19,0))+parametros_manuales!$G$21*('Plan mensual'!D16+IF(parametros_manuales!$H$21="Todos",'Plan mensual'!D20,0)))*parametros_manuales!$I$21*parametros_manuales!$J$21</f>
        <v>719.64</v>
      </c>
      <c r="C31" s="4">
        <f>(parametros_manuales!$D$21*('Plan mensual'!E13+IF(parametros_manuales!$H$21="Todos",'Plan mensual'!E17,0))+parametros_manuales!$E$21*('Plan mensual'!E14+IF(parametros_manuales!$H$21="Todos",'Plan mensual'!E18,0))+parametros_manuales!$F$21*('Plan mensual'!E15+IF(parametros_manuales!$H$21="Todos",'Plan mensual'!E19,0))+parametros_manuales!$G$21*('Plan mensual'!E16+IF(parametros_manuales!$H$21="Todos",'Plan mensual'!E20,0)))*parametros_manuales!$I$21*parametros_manuales!$J$21</f>
        <v>539.73</v>
      </c>
      <c r="D31" s="4">
        <f>(parametros_manuales!$D$21*('Plan mensual'!F13+IF(parametros_manuales!$H$21="Todos",'Plan mensual'!F17,0))+parametros_manuales!$E$21*('Plan mensual'!F14+IF(parametros_manuales!$H$21="Todos",'Plan mensual'!F18,0))+parametros_manuales!$F$21*('Plan mensual'!F15+IF(parametros_manuales!$H$21="Todos",'Plan mensual'!F19,0))+parametros_manuales!$G$21*('Plan mensual'!F16+IF(parametros_manuales!$H$21="Todos",'Plan mensual'!F20,0)))*parametros_manuales!$I$21*parametros_manuales!$J$21</f>
        <v>479.76</v>
      </c>
      <c r="E31" s="4">
        <f>(parametros_manuales!$D$21*('Plan mensual'!G13+IF(parametros_manuales!$H$21="Todos",'Plan mensual'!G17,0))+parametros_manuales!$E$21*('Plan mensual'!G14+IF(parametros_manuales!$H$21="Todos",'Plan mensual'!G18,0))+parametros_manuales!$F$21*('Plan mensual'!G15+IF(parametros_manuales!$H$21="Todos",'Plan mensual'!G19,0))+parametros_manuales!$G$21*('Plan mensual'!G16+IF(parametros_manuales!$H$21="Todos",'Plan mensual'!G20,0)))*parametros_manuales!$I$21*parametros_manuales!$J$21</f>
        <v>449.775</v>
      </c>
      <c r="F31" s="4">
        <f>(parametros_manuales!$D$21*('Plan mensual'!H13+IF(parametros_manuales!$H$21="Todos",'Plan mensual'!H17,0))+parametros_manuales!$E$21*('Plan mensual'!H14+IF(parametros_manuales!$H$21="Todos",'Plan mensual'!H18,0))+parametros_manuales!$F$21*('Plan mensual'!H15+IF(parametros_manuales!$H$21="Todos",'Plan mensual'!H19,0))+parametros_manuales!$G$21*('Plan mensual'!H16+IF(parametros_manuales!$H$21="Todos",'Plan mensual'!H20,0)))*parametros_manuales!$I$21*parametros_manuales!$J$21</f>
        <v>419.79</v>
      </c>
      <c r="G31" s="4">
        <f>(parametros_manuales!$D$21*('Plan mensual'!I13+IF(parametros_manuales!$H$21="Todos",'Plan mensual'!I17,0))+parametros_manuales!$E$21*('Plan mensual'!I14+IF(parametros_manuales!$H$21="Todos",'Plan mensual'!I18,0))+parametros_manuales!$F$21*('Plan mensual'!I15+IF(parametros_manuales!$H$21="Todos",'Plan mensual'!I19,0))+parametros_manuales!$G$21*('Plan mensual'!I16+IF(parametros_manuales!$H$21="Todos",'Plan mensual'!I20,0)))*parametros_manuales!$I$21*parametros_manuales!$J$21</f>
        <v>419.79</v>
      </c>
      <c r="H31" s="4">
        <f>(parametros_manuales!$D$21*('Plan mensual'!J13+IF(parametros_manuales!$H$21="Todos",'Plan mensual'!J17,0))+parametros_manuales!$E$21*('Plan mensual'!J14+IF(parametros_manuales!$H$21="Todos",'Plan mensual'!J18,0))+parametros_manuales!$F$21*('Plan mensual'!J15+IF(parametros_manuales!$H$21="Todos",'Plan mensual'!J19,0))+parametros_manuales!$G$21*('Plan mensual'!J16+IF(parametros_manuales!$H$21="Todos",'Plan mensual'!J20,0)))*parametros_manuales!$I$21*parametros_manuales!$J$21</f>
        <v>449.775</v>
      </c>
      <c r="I31" s="4">
        <f>(parametros_manuales!$D$21*('Plan mensual'!K13+IF(parametros_manuales!$H$21="Todos",'Plan mensual'!K17,0))+parametros_manuales!$E$21*('Plan mensual'!K14+IF(parametros_manuales!$H$21="Todos",'Plan mensual'!K18,0))+parametros_manuales!$F$21*('Plan mensual'!K15+IF(parametros_manuales!$H$21="Todos",'Plan mensual'!K19,0))+parametros_manuales!$G$21*('Plan mensual'!K16+IF(parametros_manuales!$H$21="Todos",'Plan mensual'!K20,0)))*parametros_manuales!$I$21*parametros_manuales!$J$21</f>
        <v>449.775</v>
      </c>
      <c r="J31" s="4">
        <f>(parametros_manuales!$D$21*('Plan mensual'!L13+IF(parametros_manuales!$H$21="Todos",'Plan mensual'!L17,0))+parametros_manuales!$E$21*('Plan mensual'!L14+IF(parametros_manuales!$H$21="Todos",'Plan mensual'!L18,0))+parametros_manuales!$F$21*('Plan mensual'!L15+IF(parametros_manuales!$H$21="Todos",'Plan mensual'!L19,0))+parametros_manuales!$G$21*('Plan mensual'!L16+IF(parametros_manuales!$H$21="Todos",'Plan mensual'!L20,0)))*parametros_manuales!$I$21*parametros_manuales!$J$21</f>
        <v>449.775</v>
      </c>
      <c r="K31" s="4">
        <f>(parametros_manuales!$D$21*('Plan mensual'!M13+IF(parametros_manuales!$H$21="Todos",'Plan mensual'!M17,0))+parametros_manuales!$E$21*('Plan mensual'!M14+IF(parametros_manuales!$H$21="Todos",'Plan mensual'!M18,0))+parametros_manuales!$F$21*('Plan mensual'!M15+IF(parametros_manuales!$H$21="Todos",'Plan mensual'!M19,0))+parametros_manuales!$G$21*('Plan mensual'!M16+IF(parametros_manuales!$H$21="Todos",'Plan mensual'!M20,0)))*parametros_manuales!$I$21*parametros_manuales!$J$21</f>
        <v>449.775</v>
      </c>
      <c r="L31" s="4">
        <f>(parametros_manuales!$D$21*('Plan mensual'!N13+IF(parametros_manuales!$H$21="Todos",'Plan mensual'!N17,0))+parametros_manuales!$E$21*('Plan mensual'!N14+IF(parametros_manuales!$H$21="Todos",'Plan mensual'!N18,0))+parametros_manuales!$F$21*('Plan mensual'!N15+IF(parametros_manuales!$H$21="Todos",'Plan mensual'!N19,0))+parametros_manuales!$G$21*('Plan mensual'!N16+IF(parametros_manuales!$H$21="Todos",'Plan mensual'!N20,0)))*parametros_manuales!$I$21*parametros_manuales!$J$21</f>
        <v>449.775</v>
      </c>
      <c r="M31" s="4">
        <f>(parametros_manuales!$D$21*('Plan mensual'!O13+IF(parametros_manuales!$H$21="Todos",'Plan mensual'!O17,0))+parametros_manuales!$E$21*('Plan mensual'!O14+IF(parametros_manuales!$H$21="Todos",'Plan mensual'!O18,0))+parametros_manuales!$F$21*('Plan mensual'!O15+IF(parametros_manuales!$H$21="Todos",'Plan mensual'!O19,0))+parametros_manuales!$G$21*('Plan mensual'!O16+IF(parametros_manuales!$H$21="Todos",'Plan mensual'!O20,0)))*parametros_manuales!$I$21*parametros_manuales!$J$21</f>
        <v>719.64</v>
      </c>
      <c r="N31" s="4">
        <f t="shared" si="4"/>
        <v>5997</v>
      </c>
      <c r="O31" s="4">
        <f t="shared" si="5"/>
        <v>719.64</v>
      </c>
      <c r="P31" s="27">
        <f>O31/(parametros_manuales!$B$7)</f>
        <v>4.7976</v>
      </c>
      <c r="Q31" s="3" t="str">
        <f t="shared" si="6"/>
        <v>Ene</v>
      </c>
    </row>
    <row r="32" ht="14.25" customHeight="1">
      <c r="A32" s="3" t="str">
        <f>parametros_manuales!$B$22</f>
        <v>Corte de disco y embutido (cúpula y fondo)</v>
      </c>
      <c r="B32" s="4">
        <f>(parametros_manuales!$D$22*('Plan mensual'!D13+IF(parametros_manuales!$H$22="Todos",'Plan mensual'!D17,0))+parametros_manuales!$E$22*('Plan mensual'!D14+IF(parametros_manuales!$H$22="Todos",'Plan mensual'!D18,0))+parametros_manuales!$F$22*('Plan mensual'!D15+IF(parametros_manuales!$H$22="Todos",'Plan mensual'!D19,0))+parametros_manuales!$G$22*('Plan mensual'!D16+IF(parametros_manuales!$H$22="Todos",'Plan mensual'!D20,0)))*parametros_manuales!$I$22*parametros_manuales!$J$22</f>
        <v>2385.88</v>
      </c>
      <c r="C32" s="4">
        <f>(parametros_manuales!$D$22*('Plan mensual'!E13+IF(parametros_manuales!$H$22="Todos",'Plan mensual'!E17,0))+parametros_manuales!$E$22*('Plan mensual'!E14+IF(parametros_manuales!$H$22="Todos",'Plan mensual'!E18,0))+parametros_manuales!$F$22*('Plan mensual'!E15+IF(parametros_manuales!$H$22="Todos",'Plan mensual'!E19,0))+parametros_manuales!$G$22*('Plan mensual'!E16+IF(parametros_manuales!$H$22="Todos",'Plan mensual'!E20,0)))*parametros_manuales!$I$22*parametros_manuales!$J$22</f>
        <v>1836.74</v>
      </c>
      <c r="D32" s="4">
        <f>(parametros_manuales!$D$22*('Plan mensual'!F13+IF(parametros_manuales!$H$22="Todos",'Plan mensual'!F17,0))+parametros_manuales!$E$22*('Plan mensual'!F14+IF(parametros_manuales!$H$22="Todos",'Plan mensual'!F18,0))+parametros_manuales!$F$22*('Plan mensual'!F15+IF(parametros_manuales!$H$22="Todos",'Plan mensual'!F19,0))+parametros_manuales!$G$22*('Plan mensual'!F16+IF(parametros_manuales!$H$22="Todos",'Plan mensual'!F20,0)))*parametros_manuales!$I$22*parametros_manuales!$J$22</f>
        <v>1764.13</v>
      </c>
      <c r="E32" s="4">
        <f>(parametros_manuales!$D$22*('Plan mensual'!G13+IF(parametros_manuales!$H$22="Todos",'Plan mensual'!G17,0))+parametros_manuales!$E$22*('Plan mensual'!G14+IF(parametros_manuales!$H$22="Todos",'Plan mensual'!G18,0))+parametros_manuales!$F$22*('Plan mensual'!G15+IF(parametros_manuales!$H$22="Todos",'Plan mensual'!G19,0))+parametros_manuales!$G$22*('Plan mensual'!G16+IF(parametros_manuales!$H$22="Todos",'Plan mensual'!G20,0)))*parametros_manuales!$I$22*parametros_manuales!$J$22</f>
        <v>1704.16</v>
      </c>
      <c r="F32" s="4">
        <f>(parametros_manuales!$D$22*('Plan mensual'!H13+IF(parametros_manuales!$H$22="Todos",'Plan mensual'!H17,0))+parametros_manuales!$E$22*('Plan mensual'!H14+IF(parametros_manuales!$H$22="Todos",'Plan mensual'!H18,0))+parametros_manuales!$F$22*('Plan mensual'!H15+IF(parametros_manuales!$H$22="Todos",'Plan mensual'!H19,0))+parametros_manuales!$G$22*('Plan mensual'!H16+IF(parametros_manuales!$H$22="Todos",'Plan mensual'!H20,0)))*parametros_manuales!$I$22*parametros_manuales!$J$22</f>
        <v>1596.86</v>
      </c>
      <c r="G32" s="4">
        <f>(parametros_manuales!$D$22*('Plan mensual'!I13+IF(parametros_manuales!$H$22="Todos",'Plan mensual'!I17,0))+parametros_manuales!$E$22*('Plan mensual'!I14+IF(parametros_manuales!$H$22="Todos",'Plan mensual'!I18,0))+parametros_manuales!$F$22*('Plan mensual'!I15+IF(parametros_manuales!$H$22="Todos",'Plan mensual'!I19,0))+parametros_manuales!$G$22*('Plan mensual'!I16+IF(parametros_manuales!$H$22="Todos",'Plan mensual'!I20,0)))*parametros_manuales!$I$22*parametros_manuales!$J$22</f>
        <v>1549.53</v>
      </c>
      <c r="H32" s="4">
        <f>(parametros_manuales!$D$22*('Plan mensual'!J13+IF(parametros_manuales!$H$22="Todos",'Plan mensual'!J17,0))+parametros_manuales!$E$22*('Plan mensual'!J14+IF(parametros_manuales!$H$22="Todos",'Plan mensual'!J18,0))+parametros_manuales!$F$22*('Plan mensual'!J15+IF(parametros_manuales!$H$22="Todos",'Plan mensual'!J19,0))+parametros_manuales!$G$22*('Plan mensual'!J16+IF(parametros_manuales!$H$22="Todos",'Plan mensual'!J20,0)))*parametros_manuales!$I$22*parametros_manuales!$J$22</f>
        <v>1656.83</v>
      </c>
      <c r="I32" s="4">
        <f>(parametros_manuales!$D$22*('Plan mensual'!K13+IF(parametros_manuales!$H$22="Todos",'Plan mensual'!K17,0))+parametros_manuales!$E$22*('Plan mensual'!K14+IF(parametros_manuales!$H$22="Todos",'Plan mensual'!K18,0))+parametros_manuales!$F$22*('Plan mensual'!K15+IF(parametros_manuales!$H$22="Todos",'Plan mensual'!K19,0))+parametros_manuales!$G$22*('Plan mensual'!K16+IF(parametros_manuales!$H$22="Todos",'Plan mensual'!K20,0)))*parametros_manuales!$I$22*parametros_manuales!$J$22</f>
        <v>1656.83</v>
      </c>
      <c r="J32" s="4">
        <f>(parametros_manuales!$D$22*('Plan mensual'!L13+IF(parametros_manuales!$H$22="Todos",'Plan mensual'!L17,0))+parametros_manuales!$E$22*('Plan mensual'!L14+IF(parametros_manuales!$H$22="Todos",'Plan mensual'!L18,0))+parametros_manuales!$F$22*('Plan mensual'!L15+IF(parametros_manuales!$H$22="Todos",'Plan mensual'!L19,0))+parametros_manuales!$G$22*('Plan mensual'!L16+IF(parametros_manuales!$H$22="Todos",'Plan mensual'!L20,0)))*parametros_manuales!$I$22*parametros_manuales!$J$22</f>
        <v>1656.83</v>
      </c>
      <c r="K32" s="4">
        <f>(parametros_manuales!$D$22*('Plan mensual'!M13+IF(parametros_manuales!$H$22="Todos",'Plan mensual'!M17,0))+parametros_manuales!$E$22*('Plan mensual'!M14+IF(parametros_manuales!$H$22="Todos",'Plan mensual'!M18,0))+parametros_manuales!$F$22*('Plan mensual'!M15+IF(parametros_manuales!$H$22="Todos",'Plan mensual'!M19,0))+parametros_manuales!$G$22*('Plan mensual'!M16+IF(parametros_manuales!$H$22="Todos",'Plan mensual'!M20,0)))*parametros_manuales!$I$22*parametros_manuales!$J$22</f>
        <v>1609.5</v>
      </c>
      <c r="L32" s="4">
        <f>(parametros_manuales!$D$22*('Plan mensual'!N13+IF(parametros_manuales!$H$22="Todos",'Plan mensual'!N17,0))+parametros_manuales!$E$22*('Plan mensual'!N14+IF(parametros_manuales!$H$22="Todos",'Plan mensual'!N18,0))+parametros_manuales!$F$22*('Plan mensual'!N15+IF(parametros_manuales!$H$22="Todos",'Plan mensual'!N19,0))+parametros_manuales!$G$22*('Plan mensual'!N16+IF(parametros_manuales!$H$22="Todos",'Plan mensual'!N20,0)))*parametros_manuales!$I$22*parametros_manuales!$J$22</f>
        <v>1562.17</v>
      </c>
      <c r="M32" s="4">
        <f>(parametros_manuales!$D$22*('Plan mensual'!O13+IF(parametros_manuales!$H$22="Todos",'Plan mensual'!O17,0))+parametros_manuales!$E$22*('Plan mensual'!O14+IF(parametros_manuales!$H$22="Todos",'Plan mensual'!O18,0))+parametros_manuales!$F$22*('Plan mensual'!O15+IF(parametros_manuales!$H$22="Todos",'Plan mensual'!O19,0))+parametros_manuales!$G$22*('Plan mensual'!O16+IF(parametros_manuales!$H$22="Todos",'Plan mensual'!O20,0)))*parametros_manuales!$I$22*parametros_manuales!$J$22</f>
        <v>2480.54</v>
      </c>
      <c r="N32" s="4">
        <f t="shared" si="4"/>
        <v>21460</v>
      </c>
      <c r="O32" s="4">
        <f t="shared" si="5"/>
        <v>2480.54</v>
      </c>
      <c r="P32" s="27">
        <f>O32/(parametros_manuales!$B$7)</f>
        <v>16.53693333</v>
      </c>
      <c r="Q32" s="3" t="str">
        <f t="shared" si="6"/>
        <v>Dic</v>
      </c>
    </row>
    <row r="33" ht="14.25" customHeight="1">
      <c r="A33" s="3" t="str">
        <f>parametros_manuales!$B$23</f>
        <v>Preparación de cuello</v>
      </c>
      <c r="B33" s="4">
        <f>(parametros_manuales!$D$23*('Plan mensual'!D13+IF(parametros_manuales!$H$23="Todos",'Plan mensual'!D17,0))+parametros_manuales!$E$23*('Plan mensual'!D14+IF(parametros_manuales!$H$23="Todos",'Plan mensual'!D18,0))+parametros_manuales!$F$23*('Plan mensual'!D15+IF(parametros_manuales!$H$23="Todos",'Plan mensual'!D19,0))+parametros_manuales!$G$23*('Plan mensual'!D16+IF(parametros_manuales!$H$23="Todos",'Plan mensual'!D20,0)))*parametros_manuales!$I$23*parametros_manuales!$J$23</f>
        <v>1192.94</v>
      </c>
      <c r="C33" s="4">
        <f>(parametros_manuales!$D$23*('Plan mensual'!E13+IF(parametros_manuales!$H$23="Todos",'Plan mensual'!E17,0))+parametros_manuales!$E$23*('Plan mensual'!E14+IF(parametros_manuales!$H$23="Todos",'Plan mensual'!E18,0))+parametros_manuales!$F$23*('Plan mensual'!E15+IF(parametros_manuales!$H$23="Todos",'Plan mensual'!E19,0))+parametros_manuales!$G$23*('Plan mensual'!E16+IF(parametros_manuales!$H$23="Todos",'Plan mensual'!E20,0)))*parametros_manuales!$I$23*parametros_manuales!$J$23</f>
        <v>918.37</v>
      </c>
      <c r="D33" s="4">
        <f>(parametros_manuales!$D$23*('Plan mensual'!F13+IF(parametros_manuales!$H$23="Todos",'Plan mensual'!F17,0))+parametros_manuales!$E$23*('Plan mensual'!F14+IF(parametros_manuales!$H$23="Todos",'Plan mensual'!F18,0))+parametros_manuales!$F$23*('Plan mensual'!F15+IF(parametros_manuales!$H$23="Todos",'Plan mensual'!F19,0))+parametros_manuales!$G$23*('Plan mensual'!F16+IF(parametros_manuales!$H$23="Todos",'Plan mensual'!F20,0)))*parametros_manuales!$I$23*parametros_manuales!$J$23</f>
        <v>882.065</v>
      </c>
      <c r="E33" s="4">
        <f>(parametros_manuales!$D$23*('Plan mensual'!G13+IF(parametros_manuales!$H$23="Todos",'Plan mensual'!G17,0))+parametros_manuales!$E$23*('Plan mensual'!G14+IF(parametros_manuales!$H$23="Todos",'Plan mensual'!G18,0))+parametros_manuales!$F$23*('Plan mensual'!G15+IF(parametros_manuales!$H$23="Todos",'Plan mensual'!G19,0))+parametros_manuales!$G$23*('Plan mensual'!G16+IF(parametros_manuales!$H$23="Todos",'Plan mensual'!G20,0)))*parametros_manuales!$I$23*parametros_manuales!$J$23</f>
        <v>852.08</v>
      </c>
      <c r="F33" s="4">
        <f>(parametros_manuales!$D$23*('Plan mensual'!H13+IF(parametros_manuales!$H$23="Todos",'Plan mensual'!H17,0))+parametros_manuales!$E$23*('Plan mensual'!H14+IF(parametros_manuales!$H$23="Todos",'Plan mensual'!H18,0))+parametros_manuales!$F$23*('Plan mensual'!H15+IF(parametros_manuales!$H$23="Todos",'Plan mensual'!H19,0))+parametros_manuales!$G$23*('Plan mensual'!H16+IF(parametros_manuales!$H$23="Todos",'Plan mensual'!H20,0)))*parametros_manuales!$I$23*parametros_manuales!$J$23</f>
        <v>798.43</v>
      </c>
      <c r="G33" s="4">
        <f>(parametros_manuales!$D$23*('Plan mensual'!I13+IF(parametros_manuales!$H$23="Todos",'Plan mensual'!I17,0))+parametros_manuales!$E$23*('Plan mensual'!I14+IF(parametros_manuales!$H$23="Todos",'Plan mensual'!I18,0))+parametros_manuales!$F$23*('Plan mensual'!I15+IF(parametros_manuales!$H$23="Todos",'Plan mensual'!I19,0))+parametros_manuales!$G$23*('Plan mensual'!I16+IF(parametros_manuales!$H$23="Todos",'Plan mensual'!I20,0)))*parametros_manuales!$I$23*parametros_manuales!$J$23</f>
        <v>774.765</v>
      </c>
      <c r="H33" s="4">
        <f>(parametros_manuales!$D$23*('Plan mensual'!J13+IF(parametros_manuales!$H$23="Todos",'Plan mensual'!J17,0))+parametros_manuales!$E$23*('Plan mensual'!J14+IF(parametros_manuales!$H$23="Todos",'Plan mensual'!J18,0))+parametros_manuales!$F$23*('Plan mensual'!J15+IF(parametros_manuales!$H$23="Todos",'Plan mensual'!J19,0))+parametros_manuales!$G$23*('Plan mensual'!J16+IF(parametros_manuales!$H$23="Todos",'Plan mensual'!J20,0)))*parametros_manuales!$I$23*parametros_manuales!$J$23</f>
        <v>828.415</v>
      </c>
      <c r="I33" s="4">
        <f>(parametros_manuales!$D$23*('Plan mensual'!K13+IF(parametros_manuales!$H$23="Todos",'Plan mensual'!K17,0))+parametros_manuales!$E$23*('Plan mensual'!K14+IF(parametros_manuales!$H$23="Todos",'Plan mensual'!K18,0))+parametros_manuales!$F$23*('Plan mensual'!K15+IF(parametros_manuales!$H$23="Todos",'Plan mensual'!K19,0))+parametros_manuales!$G$23*('Plan mensual'!K16+IF(parametros_manuales!$H$23="Todos",'Plan mensual'!K20,0)))*parametros_manuales!$I$23*parametros_manuales!$J$23</f>
        <v>828.415</v>
      </c>
      <c r="J33" s="4">
        <f>(parametros_manuales!$D$23*('Plan mensual'!L13+IF(parametros_manuales!$H$23="Todos",'Plan mensual'!L17,0))+parametros_manuales!$E$23*('Plan mensual'!L14+IF(parametros_manuales!$H$23="Todos",'Plan mensual'!L18,0))+parametros_manuales!$F$23*('Plan mensual'!L15+IF(parametros_manuales!$H$23="Todos",'Plan mensual'!L19,0))+parametros_manuales!$G$23*('Plan mensual'!L16+IF(parametros_manuales!$H$23="Todos",'Plan mensual'!L20,0)))*parametros_manuales!$I$23*parametros_manuales!$J$23</f>
        <v>828.415</v>
      </c>
      <c r="K33" s="4">
        <f>(parametros_manuales!$D$23*('Plan mensual'!M13+IF(parametros_manuales!$H$23="Todos",'Plan mensual'!M17,0))+parametros_manuales!$E$23*('Plan mensual'!M14+IF(parametros_manuales!$H$23="Todos",'Plan mensual'!M18,0))+parametros_manuales!$F$23*('Plan mensual'!M15+IF(parametros_manuales!$H$23="Todos",'Plan mensual'!M19,0))+parametros_manuales!$G$23*('Plan mensual'!M16+IF(parametros_manuales!$H$23="Todos",'Plan mensual'!M20,0)))*parametros_manuales!$I$23*parametros_manuales!$J$23</f>
        <v>804.75</v>
      </c>
      <c r="L33" s="4">
        <f>(parametros_manuales!$D$23*('Plan mensual'!N13+IF(parametros_manuales!$H$23="Todos",'Plan mensual'!N17,0))+parametros_manuales!$E$23*('Plan mensual'!N14+IF(parametros_manuales!$H$23="Todos",'Plan mensual'!N18,0))+parametros_manuales!$F$23*('Plan mensual'!N15+IF(parametros_manuales!$H$23="Todos",'Plan mensual'!N19,0))+parametros_manuales!$G$23*('Plan mensual'!N16+IF(parametros_manuales!$H$23="Todos",'Plan mensual'!N20,0)))*parametros_manuales!$I$23*parametros_manuales!$J$23</f>
        <v>781.085</v>
      </c>
      <c r="M33" s="4">
        <f>(parametros_manuales!$D$23*('Plan mensual'!O13+IF(parametros_manuales!$H$23="Todos",'Plan mensual'!O17,0))+parametros_manuales!$E$23*('Plan mensual'!O14+IF(parametros_manuales!$H$23="Todos",'Plan mensual'!O18,0))+parametros_manuales!$F$23*('Plan mensual'!O15+IF(parametros_manuales!$H$23="Todos",'Plan mensual'!O19,0))+parametros_manuales!$G$23*('Plan mensual'!O16+IF(parametros_manuales!$H$23="Todos",'Plan mensual'!O20,0)))*parametros_manuales!$I$23*parametros_manuales!$J$23</f>
        <v>1240.27</v>
      </c>
      <c r="N33" s="4">
        <f t="shared" si="4"/>
        <v>10730</v>
      </c>
      <c r="O33" s="4">
        <f t="shared" si="5"/>
        <v>1240.27</v>
      </c>
      <c r="P33" s="27">
        <f>O33/(parametros_manuales!$B$7)</f>
        <v>8.268466667</v>
      </c>
      <c r="Q33" s="3" t="str">
        <f t="shared" si="6"/>
        <v>Dic</v>
      </c>
    </row>
    <row r="34" ht="14.25" customHeight="1">
      <c r="A34" s="3" t="str">
        <f>parametros_manuales!$B$24</f>
        <v>Numerado de cúpula</v>
      </c>
      <c r="B34" s="4">
        <f>(parametros_manuales!$D$24*('Plan mensual'!D13+IF(parametros_manuales!$H$24="Todos",'Plan mensual'!D17,0))+parametros_manuales!$E$24*('Plan mensual'!D14+IF(parametros_manuales!$H$24="Todos",'Plan mensual'!D18,0))+parametros_manuales!$F$24*('Plan mensual'!D15+IF(parametros_manuales!$H$24="Todos",'Plan mensual'!D19,0))+parametros_manuales!$G$24*('Plan mensual'!D16+IF(parametros_manuales!$H$24="Todos",'Plan mensual'!D20,0)))*parametros_manuales!$I$24*parametros_manuales!$J$24</f>
        <v>1192.94</v>
      </c>
      <c r="C34" s="4">
        <f>(parametros_manuales!$D$24*('Plan mensual'!E13+IF(parametros_manuales!$H$24="Todos",'Plan mensual'!E17,0))+parametros_manuales!$E$24*('Plan mensual'!E14+IF(parametros_manuales!$H$24="Todos",'Plan mensual'!E18,0))+parametros_manuales!$F$24*('Plan mensual'!E15+IF(parametros_manuales!$H$24="Todos",'Plan mensual'!E19,0))+parametros_manuales!$G$24*('Plan mensual'!E16+IF(parametros_manuales!$H$24="Todos",'Plan mensual'!E20,0)))*parametros_manuales!$I$24*parametros_manuales!$J$24</f>
        <v>918.37</v>
      </c>
      <c r="D34" s="4">
        <f>(parametros_manuales!$D$24*('Plan mensual'!F13+IF(parametros_manuales!$H$24="Todos",'Plan mensual'!F17,0))+parametros_manuales!$E$24*('Plan mensual'!F14+IF(parametros_manuales!$H$24="Todos",'Plan mensual'!F18,0))+parametros_manuales!$F$24*('Plan mensual'!F15+IF(parametros_manuales!$H$24="Todos",'Plan mensual'!F19,0))+parametros_manuales!$G$24*('Plan mensual'!F16+IF(parametros_manuales!$H$24="Todos",'Plan mensual'!F20,0)))*parametros_manuales!$I$24*parametros_manuales!$J$24</f>
        <v>882.065</v>
      </c>
      <c r="E34" s="4">
        <f>(parametros_manuales!$D$24*('Plan mensual'!G13+IF(parametros_manuales!$H$24="Todos",'Plan mensual'!G17,0))+parametros_manuales!$E$24*('Plan mensual'!G14+IF(parametros_manuales!$H$24="Todos",'Plan mensual'!G18,0))+parametros_manuales!$F$24*('Plan mensual'!G15+IF(parametros_manuales!$H$24="Todos",'Plan mensual'!G19,0))+parametros_manuales!$G$24*('Plan mensual'!G16+IF(parametros_manuales!$H$24="Todos",'Plan mensual'!G20,0)))*parametros_manuales!$I$24*parametros_manuales!$J$24</f>
        <v>852.08</v>
      </c>
      <c r="F34" s="4">
        <f>(parametros_manuales!$D$24*('Plan mensual'!H13+IF(parametros_manuales!$H$24="Todos",'Plan mensual'!H17,0))+parametros_manuales!$E$24*('Plan mensual'!H14+IF(parametros_manuales!$H$24="Todos",'Plan mensual'!H18,0))+parametros_manuales!$F$24*('Plan mensual'!H15+IF(parametros_manuales!$H$24="Todos",'Plan mensual'!H19,0))+parametros_manuales!$G$24*('Plan mensual'!H16+IF(parametros_manuales!$H$24="Todos",'Plan mensual'!H20,0)))*parametros_manuales!$I$24*parametros_manuales!$J$24</f>
        <v>798.43</v>
      </c>
      <c r="G34" s="4">
        <f>(parametros_manuales!$D$24*('Plan mensual'!I13+IF(parametros_manuales!$H$24="Todos",'Plan mensual'!I17,0))+parametros_manuales!$E$24*('Plan mensual'!I14+IF(parametros_manuales!$H$24="Todos",'Plan mensual'!I18,0))+parametros_manuales!$F$24*('Plan mensual'!I15+IF(parametros_manuales!$H$24="Todos",'Plan mensual'!I19,0))+parametros_manuales!$G$24*('Plan mensual'!I16+IF(parametros_manuales!$H$24="Todos",'Plan mensual'!I20,0)))*parametros_manuales!$I$24*parametros_manuales!$J$24</f>
        <v>774.765</v>
      </c>
      <c r="H34" s="4">
        <f>(parametros_manuales!$D$24*('Plan mensual'!J13+IF(parametros_manuales!$H$24="Todos",'Plan mensual'!J17,0))+parametros_manuales!$E$24*('Plan mensual'!J14+IF(parametros_manuales!$H$24="Todos",'Plan mensual'!J18,0))+parametros_manuales!$F$24*('Plan mensual'!J15+IF(parametros_manuales!$H$24="Todos",'Plan mensual'!J19,0))+parametros_manuales!$G$24*('Plan mensual'!J16+IF(parametros_manuales!$H$24="Todos",'Plan mensual'!J20,0)))*parametros_manuales!$I$24*parametros_manuales!$J$24</f>
        <v>828.415</v>
      </c>
      <c r="I34" s="4">
        <f>(parametros_manuales!$D$24*('Plan mensual'!K13+IF(parametros_manuales!$H$24="Todos",'Plan mensual'!K17,0))+parametros_manuales!$E$24*('Plan mensual'!K14+IF(parametros_manuales!$H$24="Todos",'Plan mensual'!K18,0))+parametros_manuales!$F$24*('Plan mensual'!K15+IF(parametros_manuales!$H$24="Todos",'Plan mensual'!K19,0))+parametros_manuales!$G$24*('Plan mensual'!K16+IF(parametros_manuales!$H$24="Todos",'Plan mensual'!K20,0)))*parametros_manuales!$I$24*parametros_manuales!$J$24</f>
        <v>828.415</v>
      </c>
      <c r="J34" s="4">
        <f>(parametros_manuales!$D$24*('Plan mensual'!L13+IF(parametros_manuales!$H$24="Todos",'Plan mensual'!L17,0))+parametros_manuales!$E$24*('Plan mensual'!L14+IF(parametros_manuales!$H$24="Todos",'Plan mensual'!L18,0))+parametros_manuales!$F$24*('Plan mensual'!L15+IF(parametros_manuales!$H$24="Todos",'Plan mensual'!L19,0))+parametros_manuales!$G$24*('Plan mensual'!L16+IF(parametros_manuales!$H$24="Todos",'Plan mensual'!L20,0)))*parametros_manuales!$I$24*parametros_manuales!$J$24</f>
        <v>828.415</v>
      </c>
      <c r="K34" s="4">
        <f>(parametros_manuales!$D$24*('Plan mensual'!M13+IF(parametros_manuales!$H$24="Todos",'Plan mensual'!M17,0))+parametros_manuales!$E$24*('Plan mensual'!M14+IF(parametros_manuales!$H$24="Todos",'Plan mensual'!M18,0))+parametros_manuales!$F$24*('Plan mensual'!M15+IF(parametros_manuales!$H$24="Todos",'Plan mensual'!M19,0))+parametros_manuales!$G$24*('Plan mensual'!M16+IF(parametros_manuales!$H$24="Todos",'Plan mensual'!M20,0)))*parametros_manuales!$I$24*parametros_manuales!$J$24</f>
        <v>804.75</v>
      </c>
      <c r="L34" s="4">
        <f>(parametros_manuales!$D$24*('Plan mensual'!N13+IF(parametros_manuales!$H$24="Todos",'Plan mensual'!N17,0))+parametros_manuales!$E$24*('Plan mensual'!N14+IF(parametros_manuales!$H$24="Todos",'Plan mensual'!N18,0))+parametros_manuales!$F$24*('Plan mensual'!N15+IF(parametros_manuales!$H$24="Todos",'Plan mensual'!N19,0))+parametros_manuales!$G$24*('Plan mensual'!N16+IF(parametros_manuales!$H$24="Todos",'Plan mensual'!N20,0)))*parametros_manuales!$I$24*parametros_manuales!$J$24</f>
        <v>781.085</v>
      </c>
      <c r="M34" s="4">
        <f>(parametros_manuales!$D$24*('Plan mensual'!O13+IF(parametros_manuales!$H$24="Todos",'Plan mensual'!O17,0))+parametros_manuales!$E$24*('Plan mensual'!O14+IF(parametros_manuales!$H$24="Todos",'Plan mensual'!O18,0))+parametros_manuales!$F$24*('Plan mensual'!O15+IF(parametros_manuales!$H$24="Todos",'Plan mensual'!O19,0))+parametros_manuales!$G$24*('Plan mensual'!O16+IF(parametros_manuales!$H$24="Todos",'Plan mensual'!O20,0)))*parametros_manuales!$I$24*parametros_manuales!$J$24</f>
        <v>1240.27</v>
      </c>
      <c r="N34" s="4">
        <f t="shared" si="4"/>
        <v>10730</v>
      </c>
      <c r="O34" s="4">
        <f t="shared" si="5"/>
        <v>1240.27</v>
      </c>
      <c r="P34" s="27">
        <f>O34/(parametros_manuales!$B$7)</f>
        <v>8.268466667</v>
      </c>
      <c r="Q34" s="3" t="str">
        <f t="shared" si="6"/>
        <v>Dic</v>
      </c>
    </row>
    <row r="35" ht="14.25" customHeight="1">
      <c r="A35" s="3" t="str">
        <f>parametros_manuales!$B$25</f>
        <v>Soldadura del cuello a la cúpula</v>
      </c>
      <c r="B35" s="4">
        <f>(parametros_manuales!$D$25*('Plan mensual'!D13+IF(parametros_manuales!$H$25="Todos",'Plan mensual'!D17,0))+parametros_manuales!$E$25*('Plan mensual'!D14+IF(parametros_manuales!$H$25="Todos",'Plan mensual'!D18,0))+parametros_manuales!$F$25*('Plan mensual'!D15+IF(parametros_manuales!$H$25="Todos",'Plan mensual'!D19,0))+parametros_manuales!$G$25*('Plan mensual'!D16+IF(parametros_manuales!$H$25="Todos",'Plan mensual'!D20,0)))*parametros_manuales!$I$25*parametros_manuales!$J$25</f>
        <v>1192.94</v>
      </c>
      <c r="C35" s="4">
        <f>(parametros_manuales!$D$25*('Plan mensual'!E13+IF(parametros_manuales!$H$25="Todos",'Plan mensual'!E17,0))+parametros_manuales!$E$25*('Plan mensual'!E14+IF(parametros_manuales!$H$25="Todos",'Plan mensual'!E18,0))+parametros_manuales!$F$25*('Plan mensual'!E15+IF(parametros_manuales!$H$25="Todos",'Plan mensual'!E19,0))+parametros_manuales!$G$25*('Plan mensual'!E16+IF(parametros_manuales!$H$25="Todos",'Plan mensual'!E20,0)))*parametros_manuales!$I$25*parametros_manuales!$J$25</f>
        <v>918.37</v>
      </c>
      <c r="D35" s="4">
        <f>(parametros_manuales!$D$25*('Plan mensual'!F13+IF(parametros_manuales!$H$25="Todos",'Plan mensual'!F17,0))+parametros_manuales!$E$25*('Plan mensual'!F14+IF(parametros_manuales!$H$25="Todos",'Plan mensual'!F18,0))+parametros_manuales!$F$25*('Plan mensual'!F15+IF(parametros_manuales!$H$25="Todos",'Plan mensual'!F19,0))+parametros_manuales!$G$25*('Plan mensual'!F16+IF(parametros_manuales!$H$25="Todos",'Plan mensual'!F20,0)))*parametros_manuales!$I$25*parametros_manuales!$J$25</f>
        <v>882.065</v>
      </c>
      <c r="E35" s="4">
        <f>(parametros_manuales!$D$25*('Plan mensual'!G13+IF(parametros_manuales!$H$25="Todos",'Plan mensual'!G17,0))+parametros_manuales!$E$25*('Plan mensual'!G14+IF(parametros_manuales!$H$25="Todos",'Plan mensual'!G18,0))+parametros_manuales!$F$25*('Plan mensual'!G15+IF(parametros_manuales!$H$25="Todos",'Plan mensual'!G19,0))+parametros_manuales!$G$25*('Plan mensual'!G16+IF(parametros_manuales!$H$25="Todos",'Plan mensual'!G20,0)))*parametros_manuales!$I$25*parametros_manuales!$J$25</f>
        <v>852.08</v>
      </c>
      <c r="F35" s="4">
        <f>(parametros_manuales!$D$25*('Plan mensual'!H13+IF(parametros_manuales!$H$25="Todos",'Plan mensual'!H17,0))+parametros_manuales!$E$25*('Plan mensual'!H14+IF(parametros_manuales!$H$25="Todos",'Plan mensual'!H18,0))+parametros_manuales!$F$25*('Plan mensual'!H15+IF(parametros_manuales!$H$25="Todos",'Plan mensual'!H19,0))+parametros_manuales!$G$25*('Plan mensual'!H16+IF(parametros_manuales!$H$25="Todos",'Plan mensual'!H20,0)))*parametros_manuales!$I$25*parametros_manuales!$J$25</f>
        <v>798.43</v>
      </c>
      <c r="G35" s="4">
        <f>(parametros_manuales!$D$25*('Plan mensual'!I13+IF(parametros_manuales!$H$25="Todos",'Plan mensual'!I17,0))+parametros_manuales!$E$25*('Plan mensual'!I14+IF(parametros_manuales!$H$25="Todos",'Plan mensual'!I18,0))+parametros_manuales!$F$25*('Plan mensual'!I15+IF(parametros_manuales!$H$25="Todos",'Plan mensual'!I19,0))+parametros_manuales!$G$25*('Plan mensual'!I16+IF(parametros_manuales!$H$25="Todos",'Plan mensual'!I20,0)))*parametros_manuales!$I$25*parametros_manuales!$J$25</f>
        <v>774.765</v>
      </c>
      <c r="H35" s="4">
        <f>(parametros_manuales!$D$25*('Plan mensual'!J13+IF(parametros_manuales!$H$25="Todos",'Plan mensual'!J17,0))+parametros_manuales!$E$25*('Plan mensual'!J14+IF(parametros_manuales!$H$25="Todos",'Plan mensual'!J18,0))+parametros_manuales!$F$25*('Plan mensual'!J15+IF(parametros_manuales!$H$25="Todos",'Plan mensual'!J19,0))+parametros_manuales!$G$25*('Plan mensual'!J16+IF(parametros_manuales!$H$25="Todos",'Plan mensual'!J20,0)))*parametros_manuales!$I$25*parametros_manuales!$J$25</f>
        <v>828.415</v>
      </c>
      <c r="I35" s="4">
        <f>(parametros_manuales!$D$25*('Plan mensual'!K13+IF(parametros_manuales!$H$25="Todos",'Plan mensual'!K17,0))+parametros_manuales!$E$25*('Plan mensual'!K14+IF(parametros_manuales!$H$25="Todos",'Plan mensual'!K18,0))+parametros_manuales!$F$25*('Plan mensual'!K15+IF(parametros_manuales!$H$25="Todos",'Plan mensual'!K19,0))+parametros_manuales!$G$25*('Plan mensual'!K16+IF(parametros_manuales!$H$25="Todos",'Plan mensual'!K20,0)))*parametros_manuales!$I$25*parametros_manuales!$J$25</f>
        <v>828.415</v>
      </c>
      <c r="J35" s="4">
        <f>(parametros_manuales!$D$25*('Plan mensual'!L13+IF(parametros_manuales!$H$25="Todos",'Plan mensual'!L17,0))+parametros_manuales!$E$25*('Plan mensual'!L14+IF(parametros_manuales!$H$25="Todos",'Plan mensual'!L18,0))+parametros_manuales!$F$25*('Plan mensual'!L15+IF(parametros_manuales!$H$25="Todos",'Plan mensual'!L19,0))+parametros_manuales!$G$25*('Plan mensual'!L16+IF(parametros_manuales!$H$25="Todos",'Plan mensual'!L20,0)))*parametros_manuales!$I$25*parametros_manuales!$J$25</f>
        <v>828.415</v>
      </c>
      <c r="K35" s="4">
        <f>(parametros_manuales!$D$25*('Plan mensual'!M13+IF(parametros_manuales!$H$25="Todos",'Plan mensual'!M17,0))+parametros_manuales!$E$25*('Plan mensual'!M14+IF(parametros_manuales!$H$25="Todos",'Plan mensual'!M18,0))+parametros_manuales!$F$25*('Plan mensual'!M15+IF(parametros_manuales!$H$25="Todos",'Plan mensual'!M19,0))+parametros_manuales!$G$25*('Plan mensual'!M16+IF(parametros_manuales!$H$25="Todos",'Plan mensual'!M20,0)))*parametros_manuales!$I$25*parametros_manuales!$J$25</f>
        <v>804.75</v>
      </c>
      <c r="L35" s="4">
        <f>(parametros_manuales!$D$25*('Plan mensual'!N13+IF(parametros_manuales!$H$25="Todos",'Plan mensual'!N17,0))+parametros_manuales!$E$25*('Plan mensual'!N14+IF(parametros_manuales!$H$25="Todos",'Plan mensual'!N18,0))+parametros_manuales!$F$25*('Plan mensual'!N15+IF(parametros_manuales!$H$25="Todos",'Plan mensual'!N19,0))+parametros_manuales!$G$25*('Plan mensual'!N16+IF(parametros_manuales!$H$25="Todos",'Plan mensual'!N20,0)))*parametros_manuales!$I$25*parametros_manuales!$J$25</f>
        <v>781.085</v>
      </c>
      <c r="M35" s="4">
        <f>(parametros_manuales!$D$25*('Plan mensual'!O13+IF(parametros_manuales!$H$25="Todos",'Plan mensual'!O17,0))+parametros_manuales!$E$25*('Plan mensual'!O14+IF(parametros_manuales!$H$25="Todos",'Plan mensual'!O18,0))+parametros_manuales!$F$25*('Plan mensual'!O15+IF(parametros_manuales!$H$25="Todos",'Plan mensual'!O19,0))+parametros_manuales!$G$25*('Plan mensual'!O16+IF(parametros_manuales!$H$25="Todos",'Plan mensual'!O20,0)))*parametros_manuales!$I$25*parametros_manuales!$J$25</f>
        <v>1240.27</v>
      </c>
      <c r="N35" s="4">
        <f t="shared" si="4"/>
        <v>10730</v>
      </c>
      <c r="O35" s="4">
        <f t="shared" si="5"/>
        <v>1240.27</v>
      </c>
      <c r="P35" s="27">
        <f>O35/(parametros_manuales!$B$7)</f>
        <v>8.268466667</v>
      </c>
      <c r="Q35" s="3" t="str">
        <f t="shared" si="6"/>
        <v>Dic</v>
      </c>
    </row>
    <row r="36" ht="14.25" customHeight="1">
      <c r="A36" s="3" t="str">
        <f>parametros_manuales!$B$26</f>
        <v>Cilindrado</v>
      </c>
      <c r="B36" s="4">
        <f>(parametros_manuales!$D$26*('Plan mensual'!D13+IF(parametros_manuales!$H$26="Todos",'Plan mensual'!D17,0))+parametros_manuales!$E$26*('Plan mensual'!D14+IF(parametros_manuales!$H$26="Todos",'Plan mensual'!D18,0))+parametros_manuales!$F$26*('Plan mensual'!D15+IF(parametros_manuales!$H$26="Todos",'Plan mensual'!D19,0))+parametros_manuales!$G$26*('Plan mensual'!D16+IF(parametros_manuales!$H$26="Todos",'Plan mensual'!D20,0)))*parametros_manuales!$I$26*parametros_manuales!$J$26</f>
        <v>473.3</v>
      </c>
      <c r="C36" s="4">
        <f>(parametros_manuales!$D$26*('Plan mensual'!E13+IF(parametros_manuales!$H$26="Todos",'Plan mensual'!E17,0))+parametros_manuales!$E$26*('Plan mensual'!E14+IF(parametros_manuales!$H$26="Todos",'Plan mensual'!E18,0))+parametros_manuales!$F$26*('Plan mensual'!E15+IF(parametros_manuales!$H$26="Todos",'Plan mensual'!E19,0))+parametros_manuales!$G$26*('Plan mensual'!E16+IF(parametros_manuales!$H$26="Todos",'Plan mensual'!E20,0)))*parametros_manuales!$I$26*parametros_manuales!$J$26</f>
        <v>378.64</v>
      </c>
      <c r="D36" s="4">
        <f>(parametros_manuales!$D$26*('Plan mensual'!F13+IF(parametros_manuales!$H$26="Todos",'Plan mensual'!F17,0))+parametros_manuales!$E$26*('Plan mensual'!F14+IF(parametros_manuales!$H$26="Todos",'Plan mensual'!F18,0))+parametros_manuales!$F$26*('Plan mensual'!F15+IF(parametros_manuales!$H$26="Todos",'Plan mensual'!F19,0))+parametros_manuales!$G$26*('Plan mensual'!F16+IF(parametros_manuales!$H$26="Todos",'Plan mensual'!F20,0)))*parametros_manuales!$I$26*parametros_manuales!$J$26</f>
        <v>402.305</v>
      </c>
      <c r="E36" s="4">
        <f>(parametros_manuales!$D$26*('Plan mensual'!G13+IF(parametros_manuales!$H$26="Todos",'Plan mensual'!G17,0))+parametros_manuales!$E$26*('Plan mensual'!G14+IF(parametros_manuales!$H$26="Todos",'Plan mensual'!G18,0))+parametros_manuales!$F$26*('Plan mensual'!G15+IF(parametros_manuales!$H$26="Todos",'Plan mensual'!G19,0))+parametros_manuales!$G$26*('Plan mensual'!G16+IF(parametros_manuales!$H$26="Todos",'Plan mensual'!G20,0)))*parametros_manuales!$I$26*parametros_manuales!$J$26</f>
        <v>402.305</v>
      </c>
      <c r="F36" s="4">
        <f>(parametros_manuales!$D$26*('Plan mensual'!H13+IF(parametros_manuales!$H$26="Todos",'Plan mensual'!H17,0))+parametros_manuales!$E$26*('Plan mensual'!H14+IF(parametros_manuales!$H$26="Todos",'Plan mensual'!H18,0))+parametros_manuales!$F$26*('Plan mensual'!H15+IF(parametros_manuales!$H$26="Todos",'Plan mensual'!H19,0))+parametros_manuales!$G$26*('Plan mensual'!H16+IF(parametros_manuales!$H$26="Todos",'Plan mensual'!H20,0)))*parametros_manuales!$I$26*parametros_manuales!$J$26</f>
        <v>378.64</v>
      </c>
      <c r="G36" s="4">
        <f>(parametros_manuales!$D$26*('Plan mensual'!I13+IF(parametros_manuales!$H$26="Todos",'Plan mensual'!I17,0))+parametros_manuales!$E$26*('Plan mensual'!I14+IF(parametros_manuales!$H$26="Todos",'Plan mensual'!I18,0))+parametros_manuales!$F$26*('Plan mensual'!I15+IF(parametros_manuales!$H$26="Todos",'Plan mensual'!I19,0))+parametros_manuales!$G$26*('Plan mensual'!I16+IF(parametros_manuales!$H$26="Todos",'Plan mensual'!I20,0)))*parametros_manuales!$I$26*parametros_manuales!$J$26</f>
        <v>354.975</v>
      </c>
      <c r="H36" s="4">
        <f>(parametros_manuales!$D$26*('Plan mensual'!J13+IF(parametros_manuales!$H$26="Todos",'Plan mensual'!J17,0))+parametros_manuales!$E$26*('Plan mensual'!J14+IF(parametros_manuales!$H$26="Todos",'Plan mensual'!J18,0))+parametros_manuales!$F$26*('Plan mensual'!J15+IF(parametros_manuales!$H$26="Todos",'Plan mensual'!J19,0))+parametros_manuales!$G$26*('Plan mensual'!J16+IF(parametros_manuales!$H$26="Todos",'Plan mensual'!J20,0)))*parametros_manuales!$I$26*parametros_manuales!$J$26</f>
        <v>378.64</v>
      </c>
      <c r="I36" s="4">
        <f>(parametros_manuales!$D$26*('Plan mensual'!K13+IF(parametros_manuales!$H$26="Todos",'Plan mensual'!K17,0))+parametros_manuales!$E$26*('Plan mensual'!K14+IF(parametros_manuales!$H$26="Todos",'Plan mensual'!K18,0))+parametros_manuales!$F$26*('Plan mensual'!K15+IF(parametros_manuales!$H$26="Todos",'Plan mensual'!K19,0))+parametros_manuales!$G$26*('Plan mensual'!K16+IF(parametros_manuales!$H$26="Todos",'Plan mensual'!K20,0)))*parametros_manuales!$I$26*parametros_manuales!$J$26</f>
        <v>378.64</v>
      </c>
      <c r="J36" s="4">
        <f>(parametros_manuales!$D$26*('Plan mensual'!L13+IF(parametros_manuales!$H$26="Todos",'Plan mensual'!L17,0))+parametros_manuales!$E$26*('Plan mensual'!L14+IF(parametros_manuales!$H$26="Todos",'Plan mensual'!L18,0))+parametros_manuales!$F$26*('Plan mensual'!L15+IF(parametros_manuales!$H$26="Todos",'Plan mensual'!L19,0))+parametros_manuales!$G$26*('Plan mensual'!L16+IF(parametros_manuales!$H$26="Todos",'Plan mensual'!L20,0)))*parametros_manuales!$I$26*parametros_manuales!$J$26</f>
        <v>378.64</v>
      </c>
      <c r="K36" s="4">
        <f>(parametros_manuales!$D$26*('Plan mensual'!M13+IF(parametros_manuales!$H$26="Todos",'Plan mensual'!M17,0))+parametros_manuales!$E$26*('Plan mensual'!M14+IF(parametros_manuales!$H$26="Todos",'Plan mensual'!M18,0))+parametros_manuales!$F$26*('Plan mensual'!M15+IF(parametros_manuales!$H$26="Todos",'Plan mensual'!M19,0))+parametros_manuales!$G$26*('Plan mensual'!M16+IF(parametros_manuales!$H$26="Todos",'Plan mensual'!M20,0)))*parametros_manuales!$I$26*parametros_manuales!$J$26</f>
        <v>354.975</v>
      </c>
      <c r="L36" s="4">
        <f>(parametros_manuales!$D$26*('Plan mensual'!N13+IF(parametros_manuales!$H$26="Todos",'Plan mensual'!N17,0))+parametros_manuales!$E$26*('Plan mensual'!N14+IF(parametros_manuales!$H$26="Todos",'Plan mensual'!N18,0))+parametros_manuales!$F$26*('Plan mensual'!N15+IF(parametros_manuales!$H$26="Todos",'Plan mensual'!N19,0))+parametros_manuales!$G$26*('Plan mensual'!N16+IF(parametros_manuales!$H$26="Todos",'Plan mensual'!N20,0)))*parametros_manuales!$I$26*parametros_manuales!$J$26</f>
        <v>331.31</v>
      </c>
      <c r="M36" s="4">
        <f>(parametros_manuales!$D$26*('Plan mensual'!O13+IF(parametros_manuales!$H$26="Todos",'Plan mensual'!O17,0))+parametros_manuales!$E$26*('Plan mensual'!O14+IF(parametros_manuales!$H$26="Todos",'Plan mensual'!O18,0))+parametros_manuales!$F$26*('Plan mensual'!O15+IF(parametros_manuales!$H$26="Todos",'Plan mensual'!O19,0))+parametros_manuales!$G$26*('Plan mensual'!O16+IF(parametros_manuales!$H$26="Todos",'Plan mensual'!O20,0)))*parametros_manuales!$I$26*parametros_manuales!$J$26</f>
        <v>520.63</v>
      </c>
      <c r="N36" s="4">
        <f t="shared" si="4"/>
        <v>4733</v>
      </c>
      <c r="O36" s="4">
        <f t="shared" si="5"/>
        <v>520.63</v>
      </c>
      <c r="P36" s="27">
        <f>O36/(parametros_manuales!$B$7)</f>
        <v>3.470866667</v>
      </c>
      <c r="Q36" s="3" t="str">
        <f t="shared" si="6"/>
        <v>Dic</v>
      </c>
    </row>
    <row r="37" ht="14.25" customHeight="1">
      <c r="A37" s="3" t="str">
        <f>parametros_manuales!$B$27</f>
        <v>Soldadura longitudinal</v>
      </c>
      <c r="B37" s="4">
        <f>(parametros_manuales!$D$27*('Plan mensual'!D13+IF(parametros_manuales!$H$27="Todos",'Plan mensual'!D17,0))+parametros_manuales!$E$27*('Plan mensual'!D14+IF(parametros_manuales!$H$27="Todos",'Plan mensual'!D18,0))+parametros_manuales!$F$27*('Plan mensual'!D15+IF(parametros_manuales!$H$27="Todos",'Plan mensual'!D19,0))+parametros_manuales!$G$27*('Plan mensual'!D16+IF(parametros_manuales!$H$27="Todos",'Plan mensual'!D20,0)))*parametros_manuales!$I$27*parametros_manuales!$J$27</f>
        <v>473.3</v>
      </c>
      <c r="C37" s="4">
        <f>(parametros_manuales!$D$27*('Plan mensual'!E13+IF(parametros_manuales!$H$27="Todos",'Plan mensual'!E17,0))+parametros_manuales!$E$27*('Plan mensual'!E14+IF(parametros_manuales!$H$27="Todos",'Plan mensual'!E18,0))+parametros_manuales!$F$27*('Plan mensual'!E15+IF(parametros_manuales!$H$27="Todos",'Plan mensual'!E19,0))+parametros_manuales!$G$27*('Plan mensual'!E16+IF(parametros_manuales!$H$27="Todos",'Plan mensual'!E20,0)))*parametros_manuales!$I$27*parametros_manuales!$J$27</f>
        <v>378.64</v>
      </c>
      <c r="D37" s="4">
        <f>(parametros_manuales!$D$27*('Plan mensual'!F13+IF(parametros_manuales!$H$27="Todos",'Plan mensual'!F17,0))+parametros_manuales!$E$27*('Plan mensual'!F14+IF(parametros_manuales!$H$27="Todos",'Plan mensual'!F18,0))+parametros_manuales!$F$27*('Plan mensual'!F15+IF(parametros_manuales!$H$27="Todos",'Plan mensual'!F19,0))+parametros_manuales!$G$27*('Plan mensual'!F16+IF(parametros_manuales!$H$27="Todos",'Plan mensual'!F20,0)))*parametros_manuales!$I$27*parametros_manuales!$J$27</f>
        <v>402.305</v>
      </c>
      <c r="E37" s="4">
        <f>(parametros_manuales!$D$27*('Plan mensual'!G13+IF(parametros_manuales!$H$27="Todos",'Plan mensual'!G17,0))+parametros_manuales!$E$27*('Plan mensual'!G14+IF(parametros_manuales!$H$27="Todos",'Plan mensual'!G18,0))+parametros_manuales!$F$27*('Plan mensual'!G15+IF(parametros_manuales!$H$27="Todos",'Plan mensual'!G19,0))+parametros_manuales!$G$27*('Plan mensual'!G16+IF(parametros_manuales!$H$27="Todos",'Plan mensual'!G20,0)))*parametros_manuales!$I$27*parametros_manuales!$J$27</f>
        <v>402.305</v>
      </c>
      <c r="F37" s="4">
        <f>(parametros_manuales!$D$27*('Plan mensual'!H13+IF(parametros_manuales!$H$27="Todos",'Plan mensual'!H17,0))+parametros_manuales!$E$27*('Plan mensual'!H14+IF(parametros_manuales!$H$27="Todos",'Plan mensual'!H18,0))+parametros_manuales!$F$27*('Plan mensual'!H15+IF(parametros_manuales!$H$27="Todos",'Plan mensual'!H19,0))+parametros_manuales!$G$27*('Plan mensual'!H16+IF(parametros_manuales!$H$27="Todos",'Plan mensual'!H20,0)))*parametros_manuales!$I$27*parametros_manuales!$J$27</f>
        <v>378.64</v>
      </c>
      <c r="G37" s="4">
        <f>(parametros_manuales!$D$27*('Plan mensual'!I13+IF(parametros_manuales!$H$27="Todos",'Plan mensual'!I17,0))+parametros_manuales!$E$27*('Plan mensual'!I14+IF(parametros_manuales!$H$27="Todos",'Plan mensual'!I18,0))+parametros_manuales!$F$27*('Plan mensual'!I15+IF(parametros_manuales!$H$27="Todos",'Plan mensual'!I19,0))+parametros_manuales!$G$27*('Plan mensual'!I16+IF(parametros_manuales!$H$27="Todos",'Plan mensual'!I20,0)))*parametros_manuales!$I$27*parametros_manuales!$J$27</f>
        <v>354.975</v>
      </c>
      <c r="H37" s="4">
        <f>(parametros_manuales!$D$27*('Plan mensual'!J13+IF(parametros_manuales!$H$27="Todos",'Plan mensual'!J17,0))+parametros_manuales!$E$27*('Plan mensual'!J14+IF(parametros_manuales!$H$27="Todos",'Plan mensual'!J18,0))+parametros_manuales!$F$27*('Plan mensual'!J15+IF(parametros_manuales!$H$27="Todos",'Plan mensual'!J19,0))+parametros_manuales!$G$27*('Plan mensual'!J16+IF(parametros_manuales!$H$27="Todos",'Plan mensual'!J20,0)))*parametros_manuales!$I$27*parametros_manuales!$J$27</f>
        <v>378.64</v>
      </c>
      <c r="I37" s="4">
        <f>(parametros_manuales!$D$27*('Plan mensual'!K13+IF(parametros_manuales!$H$27="Todos",'Plan mensual'!K17,0))+parametros_manuales!$E$27*('Plan mensual'!K14+IF(parametros_manuales!$H$27="Todos",'Plan mensual'!K18,0))+parametros_manuales!$F$27*('Plan mensual'!K15+IF(parametros_manuales!$H$27="Todos",'Plan mensual'!K19,0))+parametros_manuales!$G$27*('Plan mensual'!K16+IF(parametros_manuales!$H$27="Todos",'Plan mensual'!K20,0)))*parametros_manuales!$I$27*parametros_manuales!$J$27</f>
        <v>378.64</v>
      </c>
      <c r="J37" s="4">
        <f>(parametros_manuales!$D$27*('Plan mensual'!L13+IF(parametros_manuales!$H$27="Todos",'Plan mensual'!L17,0))+parametros_manuales!$E$27*('Plan mensual'!L14+IF(parametros_manuales!$H$27="Todos",'Plan mensual'!L18,0))+parametros_manuales!$F$27*('Plan mensual'!L15+IF(parametros_manuales!$H$27="Todos",'Plan mensual'!L19,0))+parametros_manuales!$G$27*('Plan mensual'!L16+IF(parametros_manuales!$H$27="Todos",'Plan mensual'!L20,0)))*parametros_manuales!$I$27*parametros_manuales!$J$27</f>
        <v>378.64</v>
      </c>
      <c r="K37" s="4">
        <f>(parametros_manuales!$D$27*('Plan mensual'!M13+IF(parametros_manuales!$H$27="Todos",'Plan mensual'!M17,0))+parametros_manuales!$E$27*('Plan mensual'!M14+IF(parametros_manuales!$H$27="Todos",'Plan mensual'!M18,0))+parametros_manuales!$F$27*('Plan mensual'!M15+IF(parametros_manuales!$H$27="Todos",'Plan mensual'!M19,0))+parametros_manuales!$G$27*('Plan mensual'!M16+IF(parametros_manuales!$H$27="Todos",'Plan mensual'!M20,0)))*parametros_manuales!$I$27*parametros_manuales!$J$27</f>
        <v>354.975</v>
      </c>
      <c r="L37" s="4">
        <f>(parametros_manuales!$D$27*('Plan mensual'!N13+IF(parametros_manuales!$H$27="Todos",'Plan mensual'!N17,0))+parametros_manuales!$E$27*('Plan mensual'!N14+IF(parametros_manuales!$H$27="Todos",'Plan mensual'!N18,0))+parametros_manuales!$F$27*('Plan mensual'!N15+IF(parametros_manuales!$H$27="Todos",'Plan mensual'!N19,0))+parametros_manuales!$G$27*('Plan mensual'!N16+IF(parametros_manuales!$H$27="Todos",'Plan mensual'!N20,0)))*parametros_manuales!$I$27*parametros_manuales!$J$27</f>
        <v>331.31</v>
      </c>
      <c r="M37" s="4">
        <f>(parametros_manuales!$D$27*('Plan mensual'!O13+IF(parametros_manuales!$H$27="Todos",'Plan mensual'!O17,0))+parametros_manuales!$E$27*('Plan mensual'!O14+IF(parametros_manuales!$H$27="Todos",'Plan mensual'!O18,0))+parametros_manuales!$F$27*('Plan mensual'!O15+IF(parametros_manuales!$H$27="Todos",'Plan mensual'!O19,0))+parametros_manuales!$G$27*('Plan mensual'!O16+IF(parametros_manuales!$H$27="Todos",'Plan mensual'!O20,0)))*parametros_manuales!$I$27*parametros_manuales!$J$27</f>
        <v>520.63</v>
      </c>
      <c r="N37" s="4">
        <f t="shared" si="4"/>
        <v>4733</v>
      </c>
      <c r="O37" s="4">
        <f t="shared" si="5"/>
        <v>520.63</v>
      </c>
      <c r="P37" s="27">
        <f>O37/(parametros_manuales!$B$7)</f>
        <v>3.470866667</v>
      </c>
      <c r="Q37" s="3" t="str">
        <f t="shared" si="6"/>
        <v>Dic</v>
      </c>
    </row>
    <row r="38" ht="14.25" customHeight="1">
      <c r="A38" s="3" t="str">
        <f>parametros_manuales!$B$28</f>
        <v>Encastre de fondo</v>
      </c>
      <c r="B38" s="4">
        <f>(parametros_manuales!$D$28*('Plan mensual'!D13+IF(parametros_manuales!$H$28="Todos",'Plan mensual'!D17,0))+parametros_manuales!$E$28*('Plan mensual'!D14+IF(parametros_manuales!$H$28="Todos",'Plan mensual'!D18,0))+parametros_manuales!$F$28*('Plan mensual'!D15+IF(parametros_manuales!$H$28="Todos",'Plan mensual'!D19,0))+parametros_manuales!$G$28*('Plan mensual'!D16+IF(parametros_manuales!$H$28="Todos",'Plan mensual'!D20,0)))*parametros_manuales!$I$28*parametros_manuales!$J$28</f>
        <v>1192.94</v>
      </c>
      <c r="C38" s="4">
        <f>(parametros_manuales!$D$28*('Plan mensual'!E13+IF(parametros_manuales!$H$28="Todos",'Plan mensual'!E17,0))+parametros_manuales!$E$28*('Plan mensual'!E14+IF(parametros_manuales!$H$28="Todos",'Plan mensual'!E18,0))+parametros_manuales!$F$28*('Plan mensual'!E15+IF(parametros_manuales!$H$28="Todos",'Plan mensual'!E19,0))+parametros_manuales!$G$28*('Plan mensual'!E16+IF(parametros_manuales!$H$28="Todos",'Plan mensual'!E20,0)))*parametros_manuales!$I$28*parametros_manuales!$J$28</f>
        <v>918.37</v>
      </c>
      <c r="D38" s="4">
        <f>(parametros_manuales!$D$28*('Plan mensual'!F13+IF(parametros_manuales!$H$28="Todos",'Plan mensual'!F17,0))+parametros_manuales!$E$28*('Plan mensual'!F14+IF(parametros_manuales!$H$28="Todos",'Plan mensual'!F18,0))+parametros_manuales!$F$28*('Plan mensual'!F15+IF(parametros_manuales!$H$28="Todos",'Plan mensual'!F19,0))+parametros_manuales!$G$28*('Plan mensual'!F16+IF(parametros_manuales!$H$28="Todos",'Plan mensual'!F20,0)))*parametros_manuales!$I$28*parametros_manuales!$J$28</f>
        <v>882.065</v>
      </c>
      <c r="E38" s="4">
        <f>(parametros_manuales!$D$28*('Plan mensual'!G13+IF(parametros_manuales!$H$28="Todos",'Plan mensual'!G17,0))+parametros_manuales!$E$28*('Plan mensual'!G14+IF(parametros_manuales!$H$28="Todos",'Plan mensual'!G18,0))+parametros_manuales!$F$28*('Plan mensual'!G15+IF(parametros_manuales!$H$28="Todos",'Plan mensual'!G19,0))+parametros_manuales!$G$28*('Plan mensual'!G16+IF(parametros_manuales!$H$28="Todos",'Plan mensual'!G20,0)))*parametros_manuales!$I$28*parametros_manuales!$J$28</f>
        <v>852.08</v>
      </c>
      <c r="F38" s="4">
        <f>(parametros_manuales!$D$28*('Plan mensual'!H13+IF(parametros_manuales!$H$28="Todos",'Plan mensual'!H17,0))+parametros_manuales!$E$28*('Plan mensual'!H14+IF(parametros_manuales!$H$28="Todos",'Plan mensual'!H18,0))+parametros_manuales!$F$28*('Plan mensual'!H15+IF(parametros_manuales!$H$28="Todos",'Plan mensual'!H19,0))+parametros_manuales!$G$28*('Plan mensual'!H16+IF(parametros_manuales!$H$28="Todos",'Plan mensual'!H20,0)))*parametros_manuales!$I$28*parametros_manuales!$J$28</f>
        <v>798.43</v>
      </c>
      <c r="G38" s="4">
        <f>(parametros_manuales!$D$28*('Plan mensual'!I13+IF(parametros_manuales!$H$28="Todos",'Plan mensual'!I17,0))+parametros_manuales!$E$28*('Plan mensual'!I14+IF(parametros_manuales!$H$28="Todos",'Plan mensual'!I18,0))+parametros_manuales!$F$28*('Plan mensual'!I15+IF(parametros_manuales!$H$28="Todos",'Plan mensual'!I19,0))+parametros_manuales!$G$28*('Plan mensual'!I16+IF(parametros_manuales!$H$28="Todos",'Plan mensual'!I20,0)))*parametros_manuales!$I$28*parametros_manuales!$J$28</f>
        <v>774.765</v>
      </c>
      <c r="H38" s="4">
        <f>(parametros_manuales!$D$28*('Plan mensual'!J13+IF(parametros_manuales!$H$28="Todos",'Plan mensual'!J17,0))+parametros_manuales!$E$28*('Plan mensual'!J14+IF(parametros_manuales!$H$28="Todos",'Plan mensual'!J18,0))+parametros_manuales!$F$28*('Plan mensual'!J15+IF(parametros_manuales!$H$28="Todos",'Plan mensual'!J19,0))+parametros_manuales!$G$28*('Plan mensual'!J16+IF(parametros_manuales!$H$28="Todos",'Plan mensual'!J20,0)))*parametros_manuales!$I$28*parametros_manuales!$J$28</f>
        <v>828.415</v>
      </c>
      <c r="I38" s="4">
        <f>(parametros_manuales!$D$28*('Plan mensual'!K13+IF(parametros_manuales!$H$28="Todos",'Plan mensual'!K17,0))+parametros_manuales!$E$28*('Plan mensual'!K14+IF(parametros_manuales!$H$28="Todos",'Plan mensual'!K18,0))+parametros_manuales!$F$28*('Plan mensual'!K15+IF(parametros_manuales!$H$28="Todos",'Plan mensual'!K19,0))+parametros_manuales!$G$28*('Plan mensual'!K16+IF(parametros_manuales!$H$28="Todos",'Plan mensual'!K20,0)))*parametros_manuales!$I$28*parametros_manuales!$J$28</f>
        <v>828.415</v>
      </c>
      <c r="J38" s="4">
        <f>(parametros_manuales!$D$28*('Plan mensual'!L13+IF(parametros_manuales!$H$28="Todos",'Plan mensual'!L17,0))+parametros_manuales!$E$28*('Plan mensual'!L14+IF(parametros_manuales!$H$28="Todos",'Plan mensual'!L18,0))+parametros_manuales!$F$28*('Plan mensual'!L15+IF(parametros_manuales!$H$28="Todos",'Plan mensual'!L19,0))+parametros_manuales!$G$28*('Plan mensual'!L16+IF(parametros_manuales!$H$28="Todos",'Plan mensual'!L20,0)))*parametros_manuales!$I$28*parametros_manuales!$J$28</f>
        <v>828.415</v>
      </c>
      <c r="K38" s="4">
        <f>(parametros_manuales!$D$28*('Plan mensual'!M13+IF(parametros_manuales!$H$28="Todos",'Plan mensual'!M17,0))+parametros_manuales!$E$28*('Plan mensual'!M14+IF(parametros_manuales!$H$28="Todos",'Plan mensual'!M18,0))+parametros_manuales!$F$28*('Plan mensual'!M15+IF(parametros_manuales!$H$28="Todos",'Plan mensual'!M19,0))+parametros_manuales!$G$28*('Plan mensual'!M16+IF(parametros_manuales!$H$28="Todos",'Plan mensual'!M20,0)))*parametros_manuales!$I$28*parametros_manuales!$J$28</f>
        <v>804.75</v>
      </c>
      <c r="L38" s="4">
        <f>(parametros_manuales!$D$28*('Plan mensual'!N13+IF(parametros_manuales!$H$28="Todos",'Plan mensual'!N17,0))+parametros_manuales!$E$28*('Plan mensual'!N14+IF(parametros_manuales!$H$28="Todos",'Plan mensual'!N18,0))+parametros_manuales!$F$28*('Plan mensual'!N15+IF(parametros_manuales!$H$28="Todos",'Plan mensual'!N19,0))+parametros_manuales!$G$28*('Plan mensual'!N16+IF(parametros_manuales!$H$28="Todos",'Plan mensual'!N20,0)))*parametros_manuales!$I$28*parametros_manuales!$J$28</f>
        <v>781.085</v>
      </c>
      <c r="M38" s="4">
        <f>(parametros_manuales!$D$28*('Plan mensual'!O13+IF(parametros_manuales!$H$28="Todos",'Plan mensual'!O17,0))+parametros_manuales!$E$28*('Plan mensual'!O14+IF(parametros_manuales!$H$28="Todos",'Plan mensual'!O18,0))+parametros_manuales!$F$28*('Plan mensual'!O15+IF(parametros_manuales!$H$28="Todos",'Plan mensual'!O19,0))+parametros_manuales!$G$28*('Plan mensual'!O16+IF(parametros_manuales!$H$28="Todos",'Plan mensual'!O20,0)))*parametros_manuales!$I$28*parametros_manuales!$J$28</f>
        <v>1240.27</v>
      </c>
      <c r="N38" s="4">
        <f t="shared" si="4"/>
        <v>10730</v>
      </c>
      <c r="O38" s="4">
        <f t="shared" si="5"/>
        <v>1240.27</v>
      </c>
      <c r="P38" s="27">
        <f>O38/(parametros_manuales!$B$7)</f>
        <v>8.268466667</v>
      </c>
      <c r="Q38" s="3" t="str">
        <f t="shared" si="6"/>
        <v>Dic</v>
      </c>
    </row>
    <row r="39" ht="14.25" customHeight="1">
      <c r="A39" s="3" t="str">
        <f>parametros_manuales!$B$29</f>
        <v>Bordoneado</v>
      </c>
      <c r="B39" s="4">
        <f>(parametros_manuales!$D$29*('Plan mensual'!D13+IF(parametros_manuales!$H$29="Todos",'Plan mensual'!D17,0))+parametros_manuales!$E$29*('Plan mensual'!D14+IF(parametros_manuales!$H$29="Todos",'Plan mensual'!D18,0))+parametros_manuales!$F$29*('Plan mensual'!D15+IF(parametros_manuales!$H$29="Todos",'Plan mensual'!D19,0))+parametros_manuales!$G$29*('Plan mensual'!D16+IF(parametros_manuales!$H$29="Todos",'Plan mensual'!D20,0)))*parametros_manuales!$I$29*parametros_manuales!$J$29</f>
        <v>1192.94</v>
      </c>
      <c r="C39" s="4">
        <f>(parametros_manuales!$D$29*('Plan mensual'!E13+IF(parametros_manuales!$H$29="Todos",'Plan mensual'!E17,0))+parametros_manuales!$E$29*('Plan mensual'!E14+IF(parametros_manuales!$H$29="Todos",'Plan mensual'!E18,0))+parametros_manuales!$F$29*('Plan mensual'!E15+IF(parametros_manuales!$H$29="Todos",'Plan mensual'!E19,0))+parametros_manuales!$G$29*('Plan mensual'!E16+IF(parametros_manuales!$H$29="Todos",'Plan mensual'!E20,0)))*parametros_manuales!$I$29*parametros_manuales!$J$29</f>
        <v>918.37</v>
      </c>
      <c r="D39" s="4">
        <f>(parametros_manuales!$D$29*('Plan mensual'!F13+IF(parametros_manuales!$H$29="Todos",'Plan mensual'!F17,0))+parametros_manuales!$E$29*('Plan mensual'!F14+IF(parametros_manuales!$H$29="Todos",'Plan mensual'!F18,0))+parametros_manuales!$F$29*('Plan mensual'!F15+IF(parametros_manuales!$H$29="Todos",'Plan mensual'!F19,0))+parametros_manuales!$G$29*('Plan mensual'!F16+IF(parametros_manuales!$H$29="Todos",'Plan mensual'!F20,0)))*parametros_manuales!$I$29*parametros_manuales!$J$29</f>
        <v>882.065</v>
      </c>
      <c r="E39" s="4">
        <f>(parametros_manuales!$D$29*('Plan mensual'!G13+IF(parametros_manuales!$H$29="Todos",'Plan mensual'!G17,0))+parametros_manuales!$E$29*('Plan mensual'!G14+IF(parametros_manuales!$H$29="Todos",'Plan mensual'!G18,0))+parametros_manuales!$F$29*('Plan mensual'!G15+IF(parametros_manuales!$H$29="Todos",'Plan mensual'!G19,0))+parametros_manuales!$G$29*('Plan mensual'!G16+IF(parametros_manuales!$H$29="Todos",'Plan mensual'!G20,0)))*parametros_manuales!$I$29*parametros_manuales!$J$29</f>
        <v>852.08</v>
      </c>
      <c r="F39" s="4">
        <f>(parametros_manuales!$D$29*('Plan mensual'!H13+IF(parametros_manuales!$H$29="Todos",'Plan mensual'!H17,0))+parametros_manuales!$E$29*('Plan mensual'!H14+IF(parametros_manuales!$H$29="Todos",'Plan mensual'!H18,0))+parametros_manuales!$F$29*('Plan mensual'!H15+IF(parametros_manuales!$H$29="Todos",'Plan mensual'!H19,0))+parametros_manuales!$G$29*('Plan mensual'!H16+IF(parametros_manuales!$H$29="Todos",'Plan mensual'!H20,0)))*parametros_manuales!$I$29*parametros_manuales!$J$29</f>
        <v>798.43</v>
      </c>
      <c r="G39" s="4">
        <f>(parametros_manuales!$D$29*('Plan mensual'!I13+IF(parametros_manuales!$H$29="Todos",'Plan mensual'!I17,0))+parametros_manuales!$E$29*('Plan mensual'!I14+IF(parametros_manuales!$H$29="Todos",'Plan mensual'!I18,0))+parametros_manuales!$F$29*('Plan mensual'!I15+IF(parametros_manuales!$H$29="Todos",'Plan mensual'!I19,0))+parametros_manuales!$G$29*('Plan mensual'!I16+IF(parametros_manuales!$H$29="Todos",'Plan mensual'!I20,0)))*parametros_manuales!$I$29*parametros_manuales!$J$29</f>
        <v>774.765</v>
      </c>
      <c r="H39" s="4">
        <f>(parametros_manuales!$D$29*('Plan mensual'!J13+IF(parametros_manuales!$H$29="Todos",'Plan mensual'!J17,0))+parametros_manuales!$E$29*('Plan mensual'!J14+IF(parametros_manuales!$H$29="Todos",'Plan mensual'!J18,0))+parametros_manuales!$F$29*('Plan mensual'!J15+IF(parametros_manuales!$H$29="Todos",'Plan mensual'!J19,0))+parametros_manuales!$G$29*('Plan mensual'!J16+IF(parametros_manuales!$H$29="Todos",'Plan mensual'!J20,0)))*parametros_manuales!$I$29*parametros_manuales!$J$29</f>
        <v>828.415</v>
      </c>
      <c r="I39" s="4">
        <f>(parametros_manuales!$D$29*('Plan mensual'!K13+IF(parametros_manuales!$H$29="Todos",'Plan mensual'!K17,0))+parametros_manuales!$E$29*('Plan mensual'!K14+IF(parametros_manuales!$H$29="Todos",'Plan mensual'!K18,0))+parametros_manuales!$F$29*('Plan mensual'!K15+IF(parametros_manuales!$H$29="Todos",'Plan mensual'!K19,0))+parametros_manuales!$G$29*('Plan mensual'!K16+IF(parametros_manuales!$H$29="Todos",'Plan mensual'!K20,0)))*parametros_manuales!$I$29*parametros_manuales!$J$29</f>
        <v>828.415</v>
      </c>
      <c r="J39" s="4">
        <f>(parametros_manuales!$D$29*('Plan mensual'!L13+IF(parametros_manuales!$H$29="Todos",'Plan mensual'!L17,0))+parametros_manuales!$E$29*('Plan mensual'!L14+IF(parametros_manuales!$H$29="Todos",'Plan mensual'!L18,0))+parametros_manuales!$F$29*('Plan mensual'!L15+IF(parametros_manuales!$H$29="Todos",'Plan mensual'!L19,0))+parametros_manuales!$G$29*('Plan mensual'!L16+IF(parametros_manuales!$H$29="Todos",'Plan mensual'!L20,0)))*parametros_manuales!$I$29*parametros_manuales!$J$29</f>
        <v>828.415</v>
      </c>
      <c r="K39" s="4">
        <f>(parametros_manuales!$D$29*('Plan mensual'!M13+IF(parametros_manuales!$H$29="Todos",'Plan mensual'!M17,0))+parametros_manuales!$E$29*('Plan mensual'!M14+IF(parametros_manuales!$H$29="Todos",'Plan mensual'!M18,0))+parametros_manuales!$F$29*('Plan mensual'!M15+IF(parametros_manuales!$H$29="Todos",'Plan mensual'!M19,0))+parametros_manuales!$G$29*('Plan mensual'!M16+IF(parametros_manuales!$H$29="Todos",'Plan mensual'!M20,0)))*parametros_manuales!$I$29*parametros_manuales!$J$29</f>
        <v>804.75</v>
      </c>
      <c r="L39" s="4">
        <f>(parametros_manuales!$D$29*('Plan mensual'!N13+IF(parametros_manuales!$H$29="Todos",'Plan mensual'!N17,0))+parametros_manuales!$E$29*('Plan mensual'!N14+IF(parametros_manuales!$H$29="Todos",'Plan mensual'!N18,0))+parametros_manuales!$F$29*('Plan mensual'!N15+IF(parametros_manuales!$H$29="Todos",'Plan mensual'!N19,0))+parametros_manuales!$G$29*('Plan mensual'!N16+IF(parametros_manuales!$H$29="Todos",'Plan mensual'!N20,0)))*parametros_manuales!$I$29*parametros_manuales!$J$29</f>
        <v>781.085</v>
      </c>
      <c r="M39" s="4">
        <f>(parametros_manuales!$D$29*('Plan mensual'!O13+IF(parametros_manuales!$H$29="Todos",'Plan mensual'!O17,0))+parametros_manuales!$E$29*('Plan mensual'!O14+IF(parametros_manuales!$H$29="Todos",'Plan mensual'!O18,0))+parametros_manuales!$F$29*('Plan mensual'!O15+IF(parametros_manuales!$H$29="Todos",'Plan mensual'!O19,0))+parametros_manuales!$G$29*('Plan mensual'!O16+IF(parametros_manuales!$H$29="Todos",'Plan mensual'!O20,0)))*parametros_manuales!$I$29*parametros_manuales!$J$29</f>
        <v>1240.27</v>
      </c>
      <c r="N39" s="4">
        <f t="shared" si="4"/>
        <v>10730</v>
      </c>
      <c r="O39" s="4">
        <f t="shared" si="5"/>
        <v>1240.27</v>
      </c>
      <c r="P39" s="27">
        <f>O39/(parametros_manuales!$B$7)</f>
        <v>8.268466667</v>
      </c>
      <c r="Q39" s="3" t="str">
        <f t="shared" si="6"/>
        <v>Dic</v>
      </c>
    </row>
    <row r="40" ht="14.25" customHeight="1">
      <c r="A40" s="3" t="str">
        <f>parametros_manuales!$B$30</f>
        <v>Soldadura circunferencial de cúpula y fondo</v>
      </c>
      <c r="B40" s="4">
        <f>(parametros_manuales!$D$30*('Plan mensual'!D13+IF(parametros_manuales!$H$30="Todos",'Plan mensual'!D17,0))+parametros_manuales!$E$30*('Plan mensual'!D14+IF(parametros_manuales!$H$30="Todos",'Plan mensual'!D18,0))+parametros_manuales!$F$30*('Plan mensual'!D15+IF(parametros_manuales!$H$30="Todos",'Plan mensual'!D19,0))+parametros_manuales!$G$30*('Plan mensual'!D16+IF(parametros_manuales!$H$30="Todos",'Plan mensual'!D20,0)))*parametros_manuales!$I$30*parametros_manuales!$J$30</f>
        <v>1192.94</v>
      </c>
      <c r="C40" s="4">
        <f>(parametros_manuales!$D$30*('Plan mensual'!E13+IF(parametros_manuales!$H$30="Todos",'Plan mensual'!E17,0))+parametros_manuales!$E$30*('Plan mensual'!E14+IF(parametros_manuales!$H$30="Todos",'Plan mensual'!E18,0))+parametros_manuales!$F$30*('Plan mensual'!E15+IF(parametros_manuales!$H$30="Todos",'Plan mensual'!E19,0))+parametros_manuales!$G$30*('Plan mensual'!E16+IF(parametros_manuales!$H$30="Todos",'Plan mensual'!E20,0)))*parametros_manuales!$I$30*parametros_manuales!$J$30</f>
        <v>918.37</v>
      </c>
      <c r="D40" s="4">
        <f>(parametros_manuales!$D$30*('Plan mensual'!F13+IF(parametros_manuales!$H$30="Todos",'Plan mensual'!F17,0))+parametros_manuales!$E$30*('Plan mensual'!F14+IF(parametros_manuales!$H$30="Todos",'Plan mensual'!F18,0))+parametros_manuales!$F$30*('Plan mensual'!F15+IF(parametros_manuales!$H$30="Todos",'Plan mensual'!F19,0))+parametros_manuales!$G$30*('Plan mensual'!F16+IF(parametros_manuales!$H$30="Todos",'Plan mensual'!F20,0)))*parametros_manuales!$I$30*parametros_manuales!$J$30</f>
        <v>882.065</v>
      </c>
      <c r="E40" s="4">
        <f>(parametros_manuales!$D$30*('Plan mensual'!G13+IF(parametros_manuales!$H$30="Todos",'Plan mensual'!G17,0))+parametros_manuales!$E$30*('Plan mensual'!G14+IF(parametros_manuales!$H$30="Todos",'Plan mensual'!G18,0))+parametros_manuales!$F$30*('Plan mensual'!G15+IF(parametros_manuales!$H$30="Todos",'Plan mensual'!G19,0))+parametros_manuales!$G$30*('Plan mensual'!G16+IF(parametros_manuales!$H$30="Todos",'Plan mensual'!G20,0)))*parametros_manuales!$I$30*parametros_manuales!$J$30</f>
        <v>852.08</v>
      </c>
      <c r="F40" s="4">
        <f>(parametros_manuales!$D$30*('Plan mensual'!H13+IF(parametros_manuales!$H$30="Todos",'Plan mensual'!H17,0))+parametros_manuales!$E$30*('Plan mensual'!H14+IF(parametros_manuales!$H$30="Todos",'Plan mensual'!H18,0))+parametros_manuales!$F$30*('Plan mensual'!H15+IF(parametros_manuales!$H$30="Todos",'Plan mensual'!H19,0))+parametros_manuales!$G$30*('Plan mensual'!H16+IF(parametros_manuales!$H$30="Todos",'Plan mensual'!H20,0)))*parametros_manuales!$I$30*parametros_manuales!$J$30</f>
        <v>798.43</v>
      </c>
      <c r="G40" s="4">
        <f>(parametros_manuales!$D$30*('Plan mensual'!I13+IF(parametros_manuales!$H$30="Todos",'Plan mensual'!I17,0))+parametros_manuales!$E$30*('Plan mensual'!I14+IF(parametros_manuales!$H$30="Todos",'Plan mensual'!I18,0))+parametros_manuales!$F$30*('Plan mensual'!I15+IF(parametros_manuales!$H$30="Todos",'Plan mensual'!I19,0))+parametros_manuales!$G$30*('Plan mensual'!I16+IF(parametros_manuales!$H$30="Todos",'Plan mensual'!I20,0)))*parametros_manuales!$I$30*parametros_manuales!$J$30</f>
        <v>774.765</v>
      </c>
      <c r="H40" s="4">
        <f>(parametros_manuales!$D$30*('Plan mensual'!J13+IF(parametros_manuales!$H$30="Todos",'Plan mensual'!J17,0))+parametros_manuales!$E$30*('Plan mensual'!J14+IF(parametros_manuales!$H$30="Todos",'Plan mensual'!J18,0))+parametros_manuales!$F$30*('Plan mensual'!J15+IF(parametros_manuales!$H$30="Todos",'Plan mensual'!J19,0))+parametros_manuales!$G$30*('Plan mensual'!J16+IF(parametros_manuales!$H$30="Todos",'Plan mensual'!J20,0)))*parametros_manuales!$I$30*parametros_manuales!$J$30</f>
        <v>828.415</v>
      </c>
      <c r="I40" s="4">
        <f>(parametros_manuales!$D$30*('Plan mensual'!K13+IF(parametros_manuales!$H$30="Todos",'Plan mensual'!K17,0))+parametros_manuales!$E$30*('Plan mensual'!K14+IF(parametros_manuales!$H$30="Todos",'Plan mensual'!K18,0))+parametros_manuales!$F$30*('Plan mensual'!K15+IF(parametros_manuales!$H$30="Todos",'Plan mensual'!K19,0))+parametros_manuales!$G$30*('Plan mensual'!K16+IF(parametros_manuales!$H$30="Todos",'Plan mensual'!K20,0)))*parametros_manuales!$I$30*parametros_manuales!$J$30</f>
        <v>828.415</v>
      </c>
      <c r="J40" s="4">
        <f>(parametros_manuales!$D$30*('Plan mensual'!L13+IF(parametros_manuales!$H$30="Todos",'Plan mensual'!L17,0))+parametros_manuales!$E$30*('Plan mensual'!L14+IF(parametros_manuales!$H$30="Todos",'Plan mensual'!L18,0))+parametros_manuales!$F$30*('Plan mensual'!L15+IF(parametros_manuales!$H$30="Todos",'Plan mensual'!L19,0))+parametros_manuales!$G$30*('Plan mensual'!L16+IF(parametros_manuales!$H$30="Todos",'Plan mensual'!L20,0)))*parametros_manuales!$I$30*parametros_manuales!$J$30</f>
        <v>828.415</v>
      </c>
      <c r="K40" s="4">
        <f>(parametros_manuales!$D$30*('Plan mensual'!M13+IF(parametros_manuales!$H$30="Todos",'Plan mensual'!M17,0))+parametros_manuales!$E$30*('Plan mensual'!M14+IF(parametros_manuales!$H$30="Todos",'Plan mensual'!M18,0))+parametros_manuales!$F$30*('Plan mensual'!M15+IF(parametros_manuales!$H$30="Todos",'Plan mensual'!M19,0))+parametros_manuales!$G$30*('Plan mensual'!M16+IF(parametros_manuales!$H$30="Todos",'Plan mensual'!M20,0)))*parametros_manuales!$I$30*parametros_manuales!$J$30</f>
        <v>804.75</v>
      </c>
      <c r="L40" s="4">
        <f>(parametros_manuales!$D$30*('Plan mensual'!N13+IF(parametros_manuales!$H$30="Todos",'Plan mensual'!N17,0))+parametros_manuales!$E$30*('Plan mensual'!N14+IF(parametros_manuales!$H$30="Todos",'Plan mensual'!N18,0))+parametros_manuales!$F$30*('Plan mensual'!N15+IF(parametros_manuales!$H$30="Todos",'Plan mensual'!N19,0))+parametros_manuales!$G$30*('Plan mensual'!N16+IF(parametros_manuales!$H$30="Todos",'Plan mensual'!N20,0)))*parametros_manuales!$I$30*parametros_manuales!$J$30</f>
        <v>781.085</v>
      </c>
      <c r="M40" s="4">
        <f>(parametros_manuales!$D$30*('Plan mensual'!O13+IF(parametros_manuales!$H$30="Todos",'Plan mensual'!O17,0))+parametros_manuales!$E$30*('Plan mensual'!O14+IF(parametros_manuales!$H$30="Todos",'Plan mensual'!O18,0))+parametros_manuales!$F$30*('Plan mensual'!O15+IF(parametros_manuales!$H$30="Todos",'Plan mensual'!O19,0))+parametros_manuales!$G$30*('Plan mensual'!O16+IF(parametros_manuales!$H$30="Todos",'Plan mensual'!O20,0)))*parametros_manuales!$I$30*parametros_manuales!$J$30</f>
        <v>1240.27</v>
      </c>
      <c r="N40" s="4">
        <f t="shared" si="4"/>
        <v>10730</v>
      </c>
      <c r="O40" s="4">
        <f t="shared" si="5"/>
        <v>1240.27</v>
      </c>
      <c r="P40" s="27">
        <f>O40/(parametros_manuales!$B$7)</f>
        <v>8.268466667</v>
      </c>
      <c r="Q40" s="3" t="str">
        <f t="shared" si="6"/>
        <v>Dic</v>
      </c>
    </row>
    <row r="41" ht="14.25" customHeight="1">
      <c r="A41" s="3" t="str">
        <f>parametros_manuales!$B$31</f>
        <v>Control de calidad — Espesor</v>
      </c>
      <c r="B41" s="4">
        <f>(parametros_manuales!$D$31*('Plan mensual'!D13+IF(parametros_manuales!$H$31="Todos",'Plan mensual'!D17,0))+parametros_manuales!$E$31*('Plan mensual'!D14+IF(parametros_manuales!$H$31="Todos",'Plan mensual'!D18,0))+parametros_manuales!$F$31*('Plan mensual'!D15+IF(parametros_manuales!$H$31="Todos",'Plan mensual'!D19,0))+parametros_manuales!$G$31*('Plan mensual'!D16+IF(parametros_manuales!$H$31="Todos",'Plan mensual'!D20,0)))*parametros_manuales!$I$31*parametros_manuales!$J$31</f>
        <v>23.8588</v>
      </c>
      <c r="C41" s="4">
        <f>(parametros_manuales!$D$31*('Plan mensual'!E13+IF(parametros_manuales!$H$31="Todos",'Plan mensual'!E17,0))+parametros_manuales!$E$31*('Plan mensual'!E14+IF(parametros_manuales!$H$31="Todos",'Plan mensual'!E18,0))+parametros_manuales!$F$31*('Plan mensual'!E15+IF(parametros_manuales!$H$31="Todos",'Plan mensual'!E19,0))+parametros_manuales!$G$31*('Plan mensual'!E16+IF(parametros_manuales!$H$31="Todos",'Plan mensual'!E20,0)))*parametros_manuales!$I$31*parametros_manuales!$J$31</f>
        <v>18.3674</v>
      </c>
      <c r="D41" s="4">
        <f>(parametros_manuales!$D$31*('Plan mensual'!F13+IF(parametros_manuales!$H$31="Todos",'Plan mensual'!F17,0))+parametros_manuales!$E$31*('Plan mensual'!F14+IF(parametros_manuales!$H$31="Todos",'Plan mensual'!F18,0))+parametros_manuales!$F$31*('Plan mensual'!F15+IF(parametros_manuales!$H$31="Todos",'Plan mensual'!F19,0))+parametros_manuales!$G$31*('Plan mensual'!F16+IF(parametros_manuales!$H$31="Todos",'Plan mensual'!F20,0)))*parametros_manuales!$I$31*parametros_manuales!$J$31</f>
        <v>17.6413</v>
      </c>
      <c r="E41" s="4">
        <f>(parametros_manuales!$D$31*('Plan mensual'!G13+IF(parametros_manuales!$H$31="Todos",'Plan mensual'!G17,0))+parametros_manuales!$E$31*('Plan mensual'!G14+IF(parametros_manuales!$H$31="Todos",'Plan mensual'!G18,0))+parametros_manuales!$F$31*('Plan mensual'!G15+IF(parametros_manuales!$H$31="Todos",'Plan mensual'!G19,0))+parametros_manuales!$G$31*('Plan mensual'!G16+IF(parametros_manuales!$H$31="Todos",'Plan mensual'!G20,0)))*parametros_manuales!$I$31*parametros_manuales!$J$31</f>
        <v>17.0416</v>
      </c>
      <c r="F41" s="4">
        <f>(parametros_manuales!$D$31*('Plan mensual'!H13+IF(parametros_manuales!$H$31="Todos",'Plan mensual'!H17,0))+parametros_manuales!$E$31*('Plan mensual'!H14+IF(parametros_manuales!$H$31="Todos",'Plan mensual'!H18,0))+parametros_manuales!$F$31*('Plan mensual'!H15+IF(parametros_manuales!$H$31="Todos",'Plan mensual'!H19,0))+parametros_manuales!$G$31*('Plan mensual'!H16+IF(parametros_manuales!$H$31="Todos",'Plan mensual'!H20,0)))*parametros_manuales!$I$31*parametros_manuales!$J$31</f>
        <v>15.9686</v>
      </c>
      <c r="G41" s="4">
        <f>(parametros_manuales!$D$31*('Plan mensual'!I13+IF(parametros_manuales!$H$31="Todos",'Plan mensual'!I17,0))+parametros_manuales!$E$31*('Plan mensual'!I14+IF(parametros_manuales!$H$31="Todos",'Plan mensual'!I18,0))+parametros_manuales!$F$31*('Plan mensual'!I15+IF(parametros_manuales!$H$31="Todos",'Plan mensual'!I19,0))+parametros_manuales!$G$31*('Plan mensual'!I16+IF(parametros_manuales!$H$31="Todos",'Plan mensual'!I20,0)))*parametros_manuales!$I$31*parametros_manuales!$J$31</f>
        <v>15.4953</v>
      </c>
      <c r="H41" s="4">
        <f>(parametros_manuales!$D$31*('Plan mensual'!J13+IF(parametros_manuales!$H$31="Todos",'Plan mensual'!J17,0))+parametros_manuales!$E$31*('Plan mensual'!J14+IF(parametros_manuales!$H$31="Todos",'Plan mensual'!J18,0))+parametros_manuales!$F$31*('Plan mensual'!J15+IF(parametros_manuales!$H$31="Todos",'Plan mensual'!J19,0))+parametros_manuales!$G$31*('Plan mensual'!J16+IF(parametros_manuales!$H$31="Todos",'Plan mensual'!J20,0)))*parametros_manuales!$I$31*parametros_manuales!$J$31</f>
        <v>16.5683</v>
      </c>
      <c r="I41" s="4">
        <f>(parametros_manuales!$D$31*('Plan mensual'!K13+IF(parametros_manuales!$H$31="Todos",'Plan mensual'!K17,0))+parametros_manuales!$E$31*('Plan mensual'!K14+IF(parametros_manuales!$H$31="Todos",'Plan mensual'!K18,0))+parametros_manuales!$F$31*('Plan mensual'!K15+IF(parametros_manuales!$H$31="Todos",'Plan mensual'!K19,0))+parametros_manuales!$G$31*('Plan mensual'!K16+IF(parametros_manuales!$H$31="Todos",'Plan mensual'!K20,0)))*parametros_manuales!$I$31*parametros_manuales!$J$31</f>
        <v>16.5683</v>
      </c>
      <c r="J41" s="4">
        <f>(parametros_manuales!$D$31*('Plan mensual'!L13+IF(parametros_manuales!$H$31="Todos",'Plan mensual'!L17,0))+parametros_manuales!$E$31*('Plan mensual'!L14+IF(parametros_manuales!$H$31="Todos",'Plan mensual'!L18,0))+parametros_manuales!$F$31*('Plan mensual'!L15+IF(parametros_manuales!$H$31="Todos",'Plan mensual'!L19,0))+parametros_manuales!$G$31*('Plan mensual'!L16+IF(parametros_manuales!$H$31="Todos",'Plan mensual'!L20,0)))*parametros_manuales!$I$31*parametros_manuales!$J$31</f>
        <v>16.5683</v>
      </c>
      <c r="K41" s="4">
        <f>(parametros_manuales!$D$31*('Plan mensual'!M13+IF(parametros_manuales!$H$31="Todos",'Plan mensual'!M17,0))+parametros_manuales!$E$31*('Plan mensual'!M14+IF(parametros_manuales!$H$31="Todos",'Plan mensual'!M18,0))+parametros_manuales!$F$31*('Plan mensual'!M15+IF(parametros_manuales!$H$31="Todos",'Plan mensual'!M19,0))+parametros_manuales!$G$31*('Plan mensual'!M16+IF(parametros_manuales!$H$31="Todos",'Plan mensual'!M20,0)))*parametros_manuales!$I$31*parametros_manuales!$J$31</f>
        <v>16.095</v>
      </c>
      <c r="L41" s="4">
        <f>(parametros_manuales!$D$31*('Plan mensual'!N13+IF(parametros_manuales!$H$31="Todos",'Plan mensual'!N17,0))+parametros_manuales!$E$31*('Plan mensual'!N14+IF(parametros_manuales!$H$31="Todos",'Plan mensual'!N18,0))+parametros_manuales!$F$31*('Plan mensual'!N15+IF(parametros_manuales!$H$31="Todos",'Plan mensual'!N19,0))+parametros_manuales!$G$31*('Plan mensual'!N16+IF(parametros_manuales!$H$31="Todos",'Plan mensual'!N20,0)))*parametros_manuales!$I$31*parametros_manuales!$J$31</f>
        <v>15.6217</v>
      </c>
      <c r="M41" s="4">
        <f>(parametros_manuales!$D$31*('Plan mensual'!O13+IF(parametros_manuales!$H$31="Todos",'Plan mensual'!O17,0))+parametros_manuales!$E$31*('Plan mensual'!O14+IF(parametros_manuales!$H$31="Todos",'Plan mensual'!O18,0))+parametros_manuales!$F$31*('Plan mensual'!O15+IF(parametros_manuales!$H$31="Todos",'Plan mensual'!O19,0))+parametros_manuales!$G$31*('Plan mensual'!O16+IF(parametros_manuales!$H$31="Todos",'Plan mensual'!O20,0)))*parametros_manuales!$I$31*parametros_manuales!$J$31</f>
        <v>24.8054</v>
      </c>
      <c r="N41" s="4">
        <f t="shared" si="4"/>
        <v>214.6</v>
      </c>
      <c r="O41" s="4">
        <f t="shared" si="5"/>
        <v>24.8054</v>
      </c>
      <c r="P41" s="27">
        <f>O41/(parametros_manuales!$B$7)</f>
        <v>0.1653693333</v>
      </c>
      <c r="Q41" s="3" t="str">
        <f t="shared" si="6"/>
        <v>Dic</v>
      </c>
    </row>
    <row r="42" ht="14.25" customHeight="1">
      <c r="A42" s="3" t="str">
        <f>parametros_manuales!$B$32</f>
        <v>Prueba hidráulica</v>
      </c>
      <c r="B42" s="4">
        <f>(parametros_manuales!$D$32*('Plan mensual'!D13+IF(parametros_manuales!$H$32="Todos",'Plan mensual'!D17,0))+parametros_manuales!$E$32*('Plan mensual'!D14+IF(parametros_manuales!$H$32="Todos",'Plan mensual'!D18,0))+parametros_manuales!$F$32*('Plan mensual'!D15+IF(parametros_manuales!$H$32="Todos",'Plan mensual'!D19,0))+parametros_manuales!$G$32*('Plan mensual'!D16+IF(parametros_manuales!$H$32="Todos",'Plan mensual'!D20,0)))*parametros_manuales!$I$32*parametros_manuales!$J$32</f>
        <v>1192.94</v>
      </c>
      <c r="C42" s="4">
        <f>(parametros_manuales!$D$32*('Plan mensual'!E13+IF(parametros_manuales!$H$32="Todos",'Plan mensual'!E17,0))+parametros_manuales!$E$32*('Plan mensual'!E14+IF(parametros_manuales!$H$32="Todos",'Plan mensual'!E18,0))+parametros_manuales!$F$32*('Plan mensual'!E15+IF(parametros_manuales!$H$32="Todos",'Plan mensual'!E19,0))+parametros_manuales!$G$32*('Plan mensual'!E16+IF(parametros_manuales!$H$32="Todos",'Plan mensual'!E20,0)))*parametros_manuales!$I$32*parametros_manuales!$J$32</f>
        <v>918.37</v>
      </c>
      <c r="D42" s="4">
        <f>(parametros_manuales!$D$32*('Plan mensual'!F13+IF(parametros_manuales!$H$32="Todos",'Plan mensual'!F17,0))+parametros_manuales!$E$32*('Plan mensual'!F14+IF(parametros_manuales!$H$32="Todos",'Plan mensual'!F18,0))+parametros_manuales!$F$32*('Plan mensual'!F15+IF(parametros_manuales!$H$32="Todos",'Plan mensual'!F19,0))+parametros_manuales!$G$32*('Plan mensual'!F16+IF(parametros_manuales!$H$32="Todos",'Plan mensual'!F20,0)))*parametros_manuales!$I$32*parametros_manuales!$J$32</f>
        <v>882.065</v>
      </c>
      <c r="E42" s="4">
        <f>(parametros_manuales!$D$32*('Plan mensual'!G13+IF(parametros_manuales!$H$32="Todos",'Plan mensual'!G17,0))+parametros_manuales!$E$32*('Plan mensual'!G14+IF(parametros_manuales!$H$32="Todos",'Plan mensual'!G18,0))+parametros_manuales!$F$32*('Plan mensual'!G15+IF(parametros_manuales!$H$32="Todos",'Plan mensual'!G19,0))+parametros_manuales!$G$32*('Plan mensual'!G16+IF(parametros_manuales!$H$32="Todos",'Plan mensual'!G20,0)))*parametros_manuales!$I$32*parametros_manuales!$J$32</f>
        <v>852.08</v>
      </c>
      <c r="F42" s="4">
        <f>(parametros_manuales!$D$32*('Plan mensual'!H13+IF(parametros_manuales!$H$32="Todos",'Plan mensual'!H17,0))+parametros_manuales!$E$32*('Plan mensual'!H14+IF(parametros_manuales!$H$32="Todos",'Plan mensual'!H18,0))+parametros_manuales!$F$32*('Plan mensual'!H15+IF(parametros_manuales!$H$32="Todos",'Plan mensual'!H19,0))+parametros_manuales!$G$32*('Plan mensual'!H16+IF(parametros_manuales!$H$32="Todos",'Plan mensual'!H20,0)))*parametros_manuales!$I$32*parametros_manuales!$J$32</f>
        <v>798.43</v>
      </c>
      <c r="G42" s="4">
        <f>(parametros_manuales!$D$32*('Plan mensual'!I13+IF(parametros_manuales!$H$32="Todos",'Plan mensual'!I17,0))+parametros_manuales!$E$32*('Plan mensual'!I14+IF(parametros_manuales!$H$32="Todos",'Plan mensual'!I18,0))+parametros_manuales!$F$32*('Plan mensual'!I15+IF(parametros_manuales!$H$32="Todos",'Plan mensual'!I19,0))+parametros_manuales!$G$32*('Plan mensual'!I16+IF(parametros_manuales!$H$32="Todos",'Plan mensual'!I20,0)))*parametros_manuales!$I$32*parametros_manuales!$J$32</f>
        <v>774.765</v>
      </c>
      <c r="H42" s="4">
        <f>(parametros_manuales!$D$32*('Plan mensual'!J13+IF(parametros_manuales!$H$32="Todos",'Plan mensual'!J17,0))+parametros_manuales!$E$32*('Plan mensual'!J14+IF(parametros_manuales!$H$32="Todos",'Plan mensual'!J18,0))+parametros_manuales!$F$32*('Plan mensual'!J15+IF(parametros_manuales!$H$32="Todos",'Plan mensual'!J19,0))+parametros_manuales!$G$32*('Plan mensual'!J16+IF(parametros_manuales!$H$32="Todos",'Plan mensual'!J20,0)))*parametros_manuales!$I$32*parametros_manuales!$J$32</f>
        <v>828.415</v>
      </c>
      <c r="I42" s="4">
        <f>(parametros_manuales!$D$32*('Plan mensual'!K13+IF(parametros_manuales!$H$32="Todos",'Plan mensual'!K17,0))+parametros_manuales!$E$32*('Plan mensual'!K14+IF(parametros_manuales!$H$32="Todos",'Plan mensual'!K18,0))+parametros_manuales!$F$32*('Plan mensual'!K15+IF(parametros_manuales!$H$32="Todos",'Plan mensual'!K19,0))+parametros_manuales!$G$32*('Plan mensual'!K16+IF(parametros_manuales!$H$32="Todos",'Plan mensual'!K20,0)))*parametros_manuales!$I$32*parametros_manuales!$J$32</f>
        <v>828.415</v>
      </c>
      <c r="J42" s="4">
        <f>(parametros_manuales!$D$32*('Plan mensual'!L13+IF(parametros_manuales!$H$32="Todos",'Plan mensual'!L17,0))+parametros_manuales!$E$32*('Plan mensual'!L14+IF(parametros_manuales!$H$32="Todos",'Plan mensual'!L18,0))+parametros_manuales!$F$32*('Plan mensual'!L15+IF(parametros_manuales!$H$32="Todos",'Plan mensual'!L19,0))+parametros_manuales!$G$32*('Plan mensual'!L16+IF(parametros_manuales!$H$32="Todos",'Plan mensual'!L20,0)))*parametros_manuales!$I$32*parametros_manuales!$J$32</f>
        <v>828.415</v>
      </c>
      <c r="K42" s="4">
        <f>(parametros_manuales!$D$32*('Plan mensual'!M13+IF(parametros_manuales!$H$32="Todos",'Plan mensual'!M17,0))+parametros_manuales!$E$32*('Plan mensual'!M14+IF(parametros_manuales!$H$32="Todos",'Plan mensual'!M18,0))+parametros_manuales!$F$32*('Plan mensual'!M15+IF(parametros_manuales!$H$32="Todos",'Plan mensual'!M19,0))+parametros_manuales!$G$32*('Plan mensual'!M16+IF(parametros_manuales!$H$32="Todos",'Plan mensual'!M20,0)))*parametros_manuales!$I$32*parametros_manuales!$J$32</f>
        <v>804.75</v>
      </c>
      <c r="L42" s="4">
        <f>(parametros_manuales!$D$32*('Plan mensual'!N13+IF(parametros_manuales!$H$32="Todos",'Plan mensual'!N17,0))+parametros_manuales!$E$32*('Plan mensual'!N14+IF(parametros_manuales!$H$32="Todos",'Plan mensual'!N18,0))+parametros_manuales!$F$32*('Plan mensual'!N15+IF(parametros_manuales!$H$32="Todos",'Plan mensual'!N19,0))+parametros_manuales!$G$32*('Plan mensual'!N16+IF(parametros_manuales!$H$32="Todos",'Plan mensual'!N20,0)))*parametros_manuales!$I$32*parametros_manuales!$J$32</f>
        <v>781.085</v>
      </c>
      <c r="M42" s="4">
        <f>(parametros_manuales!$D$32*('Plan mensual'!O13+IF(parametros_manuales!$H$32="Todos",'Plan mensual'!O17,0))+parametros_manuales!$E$32*('Plan mensual'!O14+IF(parametros_manuales!$H$32="Todos",'Plan mensual'!O18,0))+parametros_manuales!$F$32*('Plan mensual'!O15+IF(parametros_manuales!$H$32="Todos",'Plan mensual'!O19,0))+parametros_manuales!$G$32*('Plan mensual'!O16+IF(parametros_manuales!$H$32="Todos",'Plan mensual'!O20,0)))*parametros_manuales!$I$32*parametros_manuales!$J$32</f>
        <v>1240.27</v>
      </c>
      <c r="N42" s="4">
        <f t="shared" si="4"/>
        <v>10730</v>
      </c>
      <c r="O42" s="4">
        <f t="shared" si="5"/>
        <v>1240.27</v>
      </c>
      <c r="P42" s="27">
        <f>O42/(parametros_manuales!$B$7)</f>
        <v>8.268466667</v>
      </c>
      <c r="Q42" s="3" t="str">
        <f t="shared" si="6"/>
        <v>Dic</v>
      </c>
    </row>
    <row r="43" ht="14.25" customHeight="1">
      <c r="A43" s="3" t="str">
        <f>parametros_manuales!$B$33</f>
        <v>Secado</v>
      </c>
      <c r="B43" s="4">
        <f>(parametros_manuales!$D$33*('Plan mensual'!D13+IF(parametros_manuales!$H$33="Todos",'Plan mensual'!D17,0))+parametros_manuales!$E$33*('Plan mensual'!D14+IF(parametros_manuales!$H$33="Todos",'Plan mensual'!D18,0))+parametros_manuales!$F$33*('Plan mensual'!D15+IF(parametros_manuales!$H$33="Todos",'Plan mensual'!D19,0))+parametros_manuales!$G$33*('Plan mensual'!D16+IF(parametros_manuales!$H$33="Todos",'Plan mensual'!D20,0)))*parametros_manuales!$I$33*parametros_manuales!$J$33</f>
        <v>1192.94</v>
      </c>
      <c r="C43" s="4">
        <f>(parametros_manuales!$D$33*('Plan mensual'!E13+IF(parametros_manuales!$H$33="Todos",'Plan mensual'!E17,0))+parametros_manuales!$E$33*('Plan mensual'!E14+IF(parametros_manuales!$H$33="Todos",'Plan mensual'!E18,0))+parametros_manuales!$F$33*('Plan mensual'!E15+IF(parametros_manuales!$H$33="Todos",'Plan mensual'!E19,0))+parametros_manuales!$G$33*('Plan mensual'!E16+IF(parametros_manuales!$H$33="Todos",'Plan mensual'!E20,0)))*parametros_manuales!$I$33*parametros_manuales!$J$33</f>
        <v>918.37</v>
      </c>
      <c r="D43" s="4">
        <f>(parametros_manuales!$D$33*('Plan mensual'!F13+IF(parametros_manuales!$H$33="Todos",'Plan mensual'!F17,0))+parametros_manuales!$E$33*('Plan mensual'!F14+IF(parametros_manuales!$H$33="Todos",'Plan mensual'!F18,0))+parametros_manuales!$F$33*('Plan mensual'!F15+IF(parametros_manuales!$H$33="Todos",'Plan mensual'!F19,0))+parametros_manuales!$G$33*('Plan mensual'!F16+IF(parametros_manuales!$H$33="Todos",'Plan mensual'!F20,0)))*parametros_manuales!$I$33*parametros_manuales!$J$33</f>
        <v>882.065</v>
      </c>
      <c r="E43" s="4">
        <f>(parametros_manuales!$D$33*('Plan mensual'!G13+IF(parametros_manuales!$H$33="Todos",'Plan mensual'!G17,0))+parametros_manuales!$E$33*('Plan mensual'!G14+IF(parametros_manuales!$H$33="Todos",'Plan mensual'!G18,0))+parametros_manuales!$F$33*('Plan mensual'!G15+IF(parametros_manuales!$H$33="Todos",'Plan mensual'!G19,0))+parametros_manuales!$G$33*('Plan mensual'!G16+IF(parametros_manuales!$H$33="Todos",'Plan mensual'!G20,0)))*parametros_manuales!$I$33*parametros_manuales!$J$33</f>
        <v>852.08</v>
      </c>
      <c r="F43" s="4">
        <f>(parametros_manuales!$D$33*('Plan mensual'!H13+IF(parametros_manuales!$H$33="Todos",'Plan mensual'!H17,0))+parametros_manuales!$E$33*('Plan mensual'!H14+IF(parametros_manuales!$H$33="Todos",'Plan mensual'!H18,0))+parametros_manuales!$F$33*('Plan mensual'!H15+IF(parametros_manuales!$H$33="Todos",'Plan mensual'!H19,0))+parametros_manuales!$G$33*('Plan mensual'!H16+IF(parametros_manuales!$H$33="Todos",'Plan mensual'!H20,0)))*parametros_manuales!$I$33*parametros_manuales!$J$33</f>
        <v>798.43</v>
      </c>
      <c r="G43" s="4">
        <f>(parametros_manuales!$D$33*('Plan mensual'!I13+IF(parametros_manuales!$H$33="Todos",'Plan mensual'!I17,0))+parametros_manuales!$E$33*('Plan mensual'!I14+IF(parametros_manuales!$H$33="Todos",'Plan mensual'!I18,0))+parametros_manuales!$F$33*('Plan mensual'!I15+IF(parametros_manuales!$H$33="Todos",'Plan mensual'!I19,0))+parametros_manuales!$G$33*('Plan mensual'!I16+IF(parametros_manuales!$H$33="Todos",'Plan mensual'!I20,0)))*parametros_manuales!$I$33*parametros_manuales!$J$33</f>
        <v>774.765</v>
      </c>
      <c r="H43" s="4">
        <f>(parametros_manuales!$D$33*('Plan mensual'!J13+IF(parametros_manuales!$H$33="Todos",'Plan mensual'!J17,0))+parametros_manuales!$E$33*('Plan mensual'!J14+IF(parametros_manuales!$H$33="Todos",'Plan mensual'!J18,0))+parametros_manuales!$F$33*('Plan mensual'!J15+IF(parametros_manuales!$H$33="Todos",'Plan mensual'!J19,0))+parametros_manuales!$G$33*('Plan mensual'!J16+IF(parametros_manuales!$H$33="Todos",'Plan mensual'!J20,0)))*parametros_manuales!$I$33*parametros_manuales!$J$33</f>
        <v>828.415</v>
      </c>
      <c r="I43" s="4">
        <f>(parametros_manuales!$D$33*('Plan mensual'!K13+IF(parametros_manuales!$H$33="Todos",'Plan mensual'!K17,0))+parametros_manuales!$E$33*('Plan mensual'!K14+IF(parametros_manuales!$H$33="Todos",'Plan mensual'!K18,0))+parametros_manuales!$F$33*('Plan mensual'!K15+IF(parametros_manuales!$H$33="Todos",'Plan mensual'!K19,0))+parametros_manuales!$G$33*('Plan mensual'!K16+IF(parametros_manuales!$H$33="Todos",'Plan mensual'!K20,0)))*parametros_manuales!$I$33*parametros_manuales!$J$33</f>
        <v>828.415</v>
      </c>
      <c r="J43" s="4">
        <f>(parametros_manuales!$D$33*('Plan mensual'!L13+IF(parametros_manuales!$H$33="Todos",'Plan mensual'!L17,0))+parametros_manuales!$E$33*('Plan mensual'!L14+IF(parametros_manuales!$H$33="Todos",'Plan mensual'!L18,0))+parametros_manuales!$F$33*('Plan mensual'!L15+IF(parametros_manuales!$H$33="Todos",'Plan mensual'!L19,0))+parametros_manuales!$G$33*('Plan mensual'!L16+IF(parametros_manuales!$H$33="Todos",'Plan mensual'!L20,0)))*parametros_manuales!$I$33*parametros_manuales!$J$33</f>
        <v>828.415</v>
      </c>
      <c r="K43" s="4">
        <f>(parametros_manuales!$D$33*('Plan mensual'!M13+IF(parametros_manuales!$H$33="Todos",'Plan mensual'!M17,0))+parametros_manuales!$E$33*('Plan mensual'!M14+IF(parametros_manuales!$H$33="Todos",'Plan mensual'!M18,0))+parametros_manuales!$F$33*('Plan mensual'!M15+IF(parametros_manuales!$H$33="Todos",'Plan mensual'!M19,0))+parametros_manuales!$G$33*('Plan mensual'!M16+IF(parametros_manuales!$H$33="Todos",'Plan mensual'!M20,0)))*parametros_manuales!$I$33*parametros_manuales!$J$33</f>
        <v>804.75</v>
      </c>
      <c r="L43" s="4">
        <f>(parametros_manuales!$D$33*('Plan mensual'!N13+IF(parametros_manuales!$H$33="Todos",'Plan mensual'!N17,0))+parametros_manuales!$E$33*('Plan mensual'!N14+IF(parametros_manuales!$H$33="Todos",'Plan mensual'!N18,0))+parametros_manuales!$F$33*('Plan mensual'!N15+IF(parametros_manuales!$H$33="Todos",'Plan mensual'!N19,0))+parametros_manuales!$G$33*('Plan mensual'!N16+IF(parametros_manuales!$H$33="Todos",'Plan mensual'!N20,0)))*parametros_manuales!$I$33*parametros_manuales!$J$33</f>
        <v>781.085</v>
      </c>
      <c r="M43" s="4">
        <f>(parametros_manuales!$D$33*('Plan mensual'!O13+IF(parametros_manuales!$H$33="Todos",'Plan mensual'!O17,0))+parametros_manuales!$E$33*('Plan mensual'!O14+IF(parametros_manuales!$H$33="Todos",'Plan mensual'!O18,0))+parametros_manuales!$F$33*('Plan mensual'!O15+IF(parametros_manuales!$H$33="Todos",'Plan mensual'!O19,0))+parametros_manuales!$G$33*('Plan mensual'!O16+IF(parametros_manuales!$H$33="Todos",'Plan mensual'!O20,0)))*parametros_manuales!$I$33*parametros_manuales!$J$33</f>
        <v>1240.27</v>
      </c>
      <c r="N43" s="4">
        <f t="shared" si="4"/>
        <v>10730</v>
      </c>
      <c r="O43" s="4">
        <f t="shared" si="5"/>
        <v>1240.27</v>
      </c>
      <c r="P43" s="27">
        <f>O43/(parametros_manuales!$B$7)</f>
        <v>8.268466667</v>
      </c>
      <c r="Q43" s="3" t="str">
        <f t="shared" si="6"/>
        <v>Dic</v>
      </c>
    </row>
    <row r="44" ht="14.25" customHeight="1">
      <c r="A44" s="3" t="str">
        <f>parametros_manuales!$B$34</f>
        <v>Granallado</v>
      </c>
      <c r="B44" s="4">
        <f>(parametros_manuales!$D$34*('Plan mensual'!D13+IF(parametros_manuales!$H$34="Todos",'Plan mensual'!D17,0))+parametros_manuales!$E$34*('Plan mensual'!D14+IF(parametros_manuales!$H$34="Todos",'Plan mensual'!D18,0))+parametros_manuales!$F$34*('Plan mensual'!D15+IF(parametros_manuales!$H$34="Todos",'Plan mensual'!D19,0))+parametros_manuales!$G$34*('Plan mensual'!D16+IF(parametros_manuales!$H$34="Todos",'Plan mensual'!D20,0)))*parametros_manuales!$I$34*parametros_manuales!$J$34</f>
        <v>1192.94</v>
      </c>
      <c r="C44" s="4">
        <f>(parametros_manuales!$D$34*('Plan mensual'!E13+IF(parametros_manuales!$H$34="Todos",'Plan mensual'!E17,0))+parametros_manuales!$E$34*('Plan mensual'!E14+IF(parametros_manuales!$H$34="Todos",'Plan mensual'!E18,0))+parametros_manuales!$F$34*('Plan mensual'!E15+IF(parametros_manuales!$H$34="Todos",'Plan mensual'!E19,0))+parametros_manuales!$G$34*('Plan mensual'!E16+IF(parametros_manuales!$H$34="Todos",'Plan mensual'!E20,0)))*parametros_manuales!$I$34*parametros_manuales!$J$34</f>
        <v>918.37</v>
      </c>
      <c r="D44" s="4">
        <f>(parametros_manuales!$D$34*('Plan mensual'!F13+IF(parametros_manuales!$H$34="Todos",'Plan mensual'!F17,0))+parametros_manuales!$E$34*('Plan mensual'!F14+IF(parametros_manuales!$H$34="Todos",'Plan mensual'!F18,0))+parametros_manuales!$F$34*('Plan mensual'!F15+IF(parametros_manuales!$H$34="Todos",'Plan mensual'!F19,0))+parametros_manuales!$G$34*('Plan mensual'!F16+IF(parametros_manuales!$H$34="Todos",'Plan mensual'!F20,0)))*parametros_manuales!$I$34*parametros_manuales!$J$34</f>
        <v>882.065</v>
      </c>
      <c r="E44" s="4">
        <f>(parametros_manuales!$D$34*('Plan mensual'!G13+IF(parametros_manuales!$H$34="Todos",'Plan mensual'!G17,0))+parametros_manuales!$E$34*('Plan mensual'!G14+IF(parametros_manuales!$H$34="Todos",'Plan mensual'!G18,0))+parametros_manuales!$F$34*('Plan mensual'!G15+IF(parametros_manuales!$H$34="Todos",'Plan mensual'!G19,0))+parametros_manuales!$G$34*('Plan mensual'!G16+IF(parametros_manuales!$H$34="Todos",'Plan mensual'!G20,0)))*parametros_manuales!$I$34*parametros_manuales!$J$34</f>
        <v>852.08</v>
      </c>
      <c r="F44" s="4">
        <f>(parametros_manuales!$D$34*('Plan mensual'!H13+IF(parametros_manuales!$H$34="Todos",'Plan mensual'!H17,0))+parametros_manuales!$E$34*('Plan mensual'!H14+IF(parametros_manuales!$H$34="Todos",'Plan mensual'!H18,0))+parametros_manuales!$F$34*('Plan mensual'!H15+IF(parametros_manuales!$H$34="Todos",'Plan mensual'!H19,0))+parametros_manuales!$G$34*('Plan mensual'!H16+IF(parametros_manuales!$H$34="Todos",'Plan mensual'!H20,0)))*parametros_manuales!$I$34*parametros_manuales!$J$34</f>
        <v>798.43</v>
      </c>
      <c r="G44" s="4">
        <f>(parametros_manuales!$D$34*('Plan mensual'!I13+IF(parametros_manuales!$H$34="Todos",'Plan mensual'!I17,0))+parametros_manuales!$E$34*('Plan mensual'!I14+IF(parametros_manuales!$H$34="Todos",'Plan mensual'!I18,0))+parametros_manuales!$F$34*('Plan mensual'!I15+IF(parametros_manuales!$H$34="Todos",'Plan mensual'!I19,0))+parametros_manuales!$G$34*('Plan mensual'!I16+IF(parametros_manuales!$H$34="Todos",'Plan mensual'!I20,0)))*parametros_manuales!$I$34*parametros_manuales!$J$34</f>
        <v>774.765</v>
      </c>
      <c r="H44" s="4">
        <f>(parametros_manuales!$D$34*('Plan mensual'!J13+IF(parametros_manuales!$H$34="Todos",'Plan mensual'!J17,0))+parametros_manuales!$E$34*('Plan mensual'!J14+IF(parametros_manuales!$H$34="Todos",'Plan mensual'!J18,0))+parametros_manuales!$F$34*('Plan mensual'!J15+IF(parametros_manuales!$H$34="Todos",'Plan mensual'!J19,0))+parametros_manuales!$G$34*('Plan mensual'!J16+IF(parametros_manuales!$H$34="Todos",'Plan mensual'!J20,0)))*parametros_manuales!$I$34*parametros_manuales!$J$34</f>
        <v>828.415</v>
      </c>
      <c r="I44" s="4">
        <f>(parametros_manuales!$D$34*('Plan mensual'!K13+IF(parametros_manuales!$H$34="Todos",'Plan mensual'!K17,0))+parametros_manuales!$E$34*('Plan mensual'!K14+IF(parametros_manuales!$H$34="Todos",'Plan mensual'!K18,0))+parametros_manuales!$F$34*('Plan mensual'!K15+IF(parametros_manuales!$H$34="Todos",'Plan mensual'!K19,0))+parametros_manuales!$G$34*('Plan mensual'!K16+IF(parametros_manuales!$H$34="Todos",'Plan mensual'!K20,0)))*parametros_manuales!$I$34*parametros_manuales!$J$34</f>
        <v>828.415</v>
      </c>
      <c r="J44" s="4">
        <f>(parametros_manuales!$D$34*('Plan mensual'!L13+IF(parametros_manuales!$H$34="Todos",'Plan mensual'!L17,0))+parametros_manuales!$E$34*('Plan mensual'!L14+IF(parametros_manuales!$H$34="Todos",'Plan mensual'!L18,0))+parametros_manuales!$F$34*('Plan mensual'!L15+IF(parametros_manuales!$H$34="Todos",'Plan mensual'!L19,0))+parametros_manuales!$G$34*('Plan mensual'!L16+IF(parametros_manuales!$H$34="Todos",'Plan mensual'!L20,0)))*parametros_manuales!$I$34*parametros_manuales!$J$34</f>
        <v>828.415</v>
      </c>
      <c r="K44" s="4">
        <f>(parametros_manuales!$D$34*('Plan mensual'!M13+IF(parametros_manuales!$H$34="Todos",'Plan mensual'!M17,0))+parametros_manuales!$E$34*('Plan mensual'!M14+IF(parametros_manuales!$H$34="Todos",'Plan mensual'!M18,0))+parametros_manuales!$F$34*('Plan mensual'!M15+IF(parametros_manuales!$H$34="Todos",'Plan mensual'!M19,0))+parametros_manuales!$G$34*('Plan mensual'!M16+IF(parametros_manuales!$H$34="Todos",'Plan mensual'!M20,0)))*parametros_manuales!$I$34*parametros_manuales!$J$34</f>
        <v>804.75</v>
      </c>
      <c r="L44" s="4">
        <f>(parametros_manuales!$D$34*('Plan mensual'!N13+IF(parametros_manuales!$H$34="Todos",'Plan mensual'!N17,0))+parametros_manuales!$E$34*('Plan mensual'!N14+IF(parametros_manuales!$H$34="Todos",'Plan mensual'!N18,0))+parametros_manuales!$F$34*('Plan mensual'!N15+IF(parametros_manuales!$H$34="Todos",'Plan mensual'!N19,0))+parametros_manuales!$G$34*('Plan mensual'!N16+IF(parametros_manuales!$H$34="Todos",'Plan mensual'!N20,0)))*parametros_manuales!$I$34*parametros_manuales!$J$34</f>
        <v>781.085</v>
      </c>
      <c r="M44" s="4">
        <f>(parametros_manuales!$D$34*('Plan mensual'!O13+IF(parametros_manuales!$H$34="Todos",'Plan mensual'!O17,0))+parametros_manuales!$E$34*('Plan mensual'!O14+IF(parametros_manuales!$H$34="Todos",'Plan mensual'!O18,0))+parametros_manuales!$F$34*('Plan mensual'!O15+IF(parametros_manuales!$H$34="Todos",'Plan mensual'!O19,0))+parametros_manuales!$G$34*('Plan mensual'!O16+IF(parametros_manuales!$H$34="Todos",'Plan mensual'!O20,0)))*parametros_manuales!$I$34*parametros_manuales!$J$34</f>
        <v>1240.27</v>
      </c>
      <c r="N44" s="4">
        <f t="shared" si="4"/>
        <v>10730</v>
      </c>
      <c r="O44" s="4">
        <f t="shared" si="5"/>
        <v>1240.27</v>
      </c>
      <c r="P44" s="27">
        <f>O44/(parametros_manuales!$B$7)</f>
        <v>8.268466667</v>
      </c>
      <c r="Q44" s="3" t="str">
        <f t="shared" si="6"/>
        <v>Dic</v>
      </c>
    </row>
    <row r="45" ht="14.25" customHeight="1">
      <c r="A45" s="3" t="str">
        <f>parametros_manuales!$B$35</f>
        <v>Detección de defectos</v>
      </c>
      <c r="B45" s="4">
        <f>(parametros_manuales!$D$35*('Plan mensual'!D13+IF(parametros_manuales!$H$35="Todos",'Plan mensual'!D17,0))+parametros_manuales!$E$35*('Plan mensual'!D14+IF(parametros_manuales!$H$35="Todos",'Plan mensual'!D18,0))+parametros_manuales!$F$35*('Plan mensual'!D15+IF(parametros_manuales!$H$35="Todos",'Plan mensual'!D19,0))+parametros_manuales!$G$35*('Plan mensual'!D16+IF(parametros_manuales!$H$35="Todos",'Plan mensual'!D20,0)))*parametros_manuales!$I$35*parametros_manuales!$J$35</f>
        <v>1192.94</v>
      </c>
      <c r="C45" s="4">
        <f>(parametros_manuales!$D$35*('Plan mensual'!E13+IF(parametros_manuales!$H$35="Todos",'Plan mensual'!E17,0))+parametros_manuales!$E$35*('Plan mensual'!E14+IF(parametros_manuales!$H$35="Todos",'Plan mensual'!E18,0))+parametros_manuales!$F$35*('Plan mensual'!E15+IF(parametros_manuales!$H$35="Todos",'Plan mensual'!E19,0))+parametros_manuales!$G$35*('Plan mensual'!E16+IF(parametros_manuales!$H$35="Todos",'Plan mensual'!E20,0)))*parametros_manuales!$I$35*parametros_manuales!$J$35</f>
        <v>918.37</v>
      </c>
      <c r="D45" s="4">
        <f>(parametros_manuales!$D$35*('Plan mensual'!F13+IF(parametros_manuales!$H$35="Todos",'Plan mensual'!F17,0))+parametros_manuales!$E$35*('Plan mensual'!F14+IF(parametros_manuales!$H$35="Todos",'Plan mensual'!F18,0))+parametros_manuales!$F$35*('Plan mensual'!F15+IF(parametros_manuales!$H$35="Todos",'Plan mensual'!F19,0))+parametros_manuales!$G$35*('Plan mensual'!F16+IF(parametros_manuales!$H$35="Todos",'Plan mensual'!F20,0)))*parametros_manuales!$I$35*parametros_manuales!$J$35</f>
        <v>882.065</v>
      </c>
      <c r="E45" s="4">
        <f>(parametros_manuales!$D$35*('Plan mensual'!G13+IF(parametros_manuales!$H$35="Todos",'Plan mensual'!G17,0))+parametros_manuales!$E$35*('Plan mensual'!G14+IF(parametros_manuales!$H$35="Todos",'Plan mensual'!G18,0))+parametros_manuales!$F$35*('Plan mensual'!G15+IF(parametros_manuales!$H$35="Todos",'Plan mensual'!G19,0))+parametros_manuales!$G$35*('Plan mensual'!G16+IF(parametros_manuales!$H$35="Todos",'Plan mensual'!G20,0)))*parametros_manuales!$I$35*parametros_manuales!$J$35</f>
        <v>852.08</v>
      </c>
      <c r="F45" s="4">
        <f>(parametros_manuales!$D$35*('Plan mensual'!H13+IF(parametros_manuales!$H$35="Todos",'Plan mensual'!H17,0))+parametros_manuales!$E$35*('Plan mensual'!H14+IF(parametros_manuales!$H$35="Todos",'Plan mensual'!H18,0))+parametros_manuales!$F$35*('Plan mensual'!H15+IF(parametros_manuales!$H$35="Todos",'Plan mensual'!H19,0))+parametros_manuales!$G$35*('Plan mensual'!H16+IF(parametros_manuales!$H$35="Todos",'Plan mensual'!H20,0)))*parametros_manuales!$I$35*parametros_manuales!$J$35</f>
        <v>798.43</v>
      </c>
      <c r="G45" s="4">
        <f>(parametros_manuales!$D$35*('Plan mensual'!I13+IF(parametros_manuales!$H$35="Todos",'Plan mensual'!I17,0))+parametros_manuales!$E$35*('Plan mensual'!I14+IF(parametros_manuales!$H$35="Todos",'Plan mensual'!I18,0))+parametros_manuales!$F$35*('Plan mensual'!I15+IF(parametros_manuales!$H$35="Todos",'Plan mensual'!I19,0))+parametros_manuales!$G$35*('Plan mensual'!I16+IF(parametros_manuales!$H$35="Todos",'Plan mensual'!I20,0)))*parametros_manuales!$I$35*parametros_manuales!$J$35</f>
        <v>774.765</v>
      </c>
      <c r="H45" s="4">
        <f>(parametros_manuales!$D$35*('Plan mensual'!J13+IF(parametros_manuales!$H$35="Todos",'Plan mensual'!J17,0))+parametros_manuales!$E$35*('Plan mensual'!J14+IF(parametros_manuales!$H$35="Todos",'Plan mensual'!J18,0))+parametros_manuales!$F$35*('Plan mensual'!J15+IF(parametros_manuales!$H$35="Todos",'Plan mensual'!J19,0))+parametros_manuales!$G$35*('Plan mensual'!J16+IF(parametros_manuales!$H$35="Todos",'Plan mensual'!J20,0)))*parametros_manuales!$I$35*parametros_manuales!$J$35</f>
        <v>828.415</v>
      </c>
      <c r="I45" s="4">
        <f>(parametros_manuales!$D$35*('Plan mensual'!K13+IF(parametros_manuales!$H$35="Todos",'Plan mensual'!K17,0))+parametros_manuales!$E$35*('Plan mensual'!K14+IF(parametros_manuales!$H$35="Todos",'Plan mensual'!K18,0))+parametros_manuales!$F$35*('Plan mensual'!K15+IF(parametros_manuales!$H$35="Todos",'Plan mensual'!K19,0))+parametros_manuales!$G$35*('Plan mensual'!K16+IF(parametros_manuales!$H$35="Todos",'Plan mensual'!K20,0)))*parametros_manuales!$I$35*parametros_manuales!$J$35</f>
        <v>828.415</v>
      </c>
      <c r="J45" s="4">
        <f>(parametros_manuales!$D$35*('Plan mensual'!L13+IF(parametros_manuales!$H$35="Todos",'Plan mensual'!L17,0))+parametros_manuales!$E$35*('Plan mensual'!L14+IF(parametros_manuales!$H$35="Todos",'Plan mensual'!L18,0))+parametros_manuales!$F$35*('Plan mensual'!L15+IF(parametros_manuales!$H$35="Todos",'Plan mensual'!L19,0))+parametros_manuales!$G$35*('Plan mensual'!L16+IF(parametros_manuales!$H$35="Todos",'Plan mensual'!L20,0)))*parametros_manuales!$I$35*parametros_manuales!$J$35</f>
        <v>828.415</v>
      </c>
      <c r="K45" s="4">
        <f>(parametros_manuales!$D$35*('Plan mensual'!M13+IF(parametros_manuales!$H$35="Todos",'Plan mensual'!M17,0))+parametros_manuales!$E$35*('Plan mensual'!M14+IF(parametros_manuales!$H$35="Todos",'Plan mensual'!M18,0))+parametros_manuales!$F$35*('Plan mensual'!M15+IF(parametros_manuales!$H$35="Todos",'Plan mensual'!M19,0))+parametros_manuales!$G$35*('Plan mensual'!M16+IF(parametros_manuales!$H$35="Todos",'Plan mensual'!M20,0)))*parametros_manuales!$I$35*parametros_manuales!$J$35</f>
        <v>804.75</v>
      </c>
      <c r="L45" s="4">
        <f>(parametros_manuales!$D$35*('Plan mensual'!N13+IF(parametros_manuales!$H$35="Todos",'Plan mensual'!N17,0))+parametros_manuales!$E$35*('Plan mensual'!N14+IF(parametros_manuales!$H$35="Todos",'Plan mensual'!N18,0))+parametros_manuales!$F$35*('Plan mensual'!N15+IF(parametros_manuales!$H$35="Todos",'Plan mensual'!N19,0))+parametros_manuales!$G$35*('Plan mensual'!N16+IF(parametros_manuales!$H$35="Todos",'Plan mensual'!N20,0)))*parametros_manuales!$I$35*parametros_manuales!$J$35</f>
        <v>781.085</v>
      </c>
      <c r="M45" s="4">
        <f>(parametros_manuales!$D$35*('Plan mensual'!O13+IF(parametros_manuales!$H$35="Todos",'Plan mensual'!O17,0))+parametros_manuales!$E$35*('Plan mensual'!O14+IF(parametros_manuales!$H$35="Todos",'Plan mensual'!O18,0))+parametros_manuales!$F$35*('Plan mensual'!O15+IF(parametros_manuales!$H$35="Todos",'Plan mensual'!O19,0))+parametros_manuales!$G$35*('Plan mensual'!O16+IF(parametros_manuales!$H$35="Todos",'Plan mensual'!O20,0)))*parametros_manuales!$I$35*parametros_manuales!$J$35</f>
        <v>1240.27</v>
      </c>
      <c r="N45" s="4">
        <f t="shared" si="4"/>
        <v>10730</v>
      </c>
      <c r="O45" s="4">
        <f t="shared" si="5"/>
        <v>1240.27</v>
      </c>
      <c r="P45" s="27">
        <f>O45/(parametros_manuales!$B$7)</f>
        <v>8.268466667</v>
      </c>
      <c r="Q45" s="3" t="str">
        <f t="shared" si="6"/>
        <v>Dic</v>
      </c>
    </row>
    <row r="46" ht="14.25" customHeight="1">
      <c r="A46" s="3" t="str">
        <f>parametros_manuales!$B$36</f>
        <v>Corrección de defectos</v>
      </c>
      <c r="B46" s="4">
        <f>(parametros_manuales!$D$36*('Plan mensual'!D13+IF(parametros_manuales!$H$36="Todos",'Plan mensual'!D17,0))+parametros_manuales!$E$36*('Plan mensual'!D14+IF(parametros_manuales!$H$36="Todos",'Plan mensual'!D18,0))+parametros_manuales!$F$36*('Plan mensual'!D15+IF(parametros_manuales!$H$36="Todos",'Plan mensual'!D19,0))+parametros_manuales!$G$36*('Plan mensual'!D16+IF(parametros_manuales!$H$36="Todos",'Plan mensual'!D20,0)))*parametros_manuales!$I$36*parametros_manuales!$J$36</f>
        <v>59.647</v>
      </c>
      <c r="C46" s="4">
        <f>(parametros_manuales!$D$36*('Plan mensual'!E13+IF(parametros_manuales!$H$36="Todos",'Plan mensual'!E17,0))+parametros_manuales!$E$36*('Plan mensual'!E14+IF(parametros_manuales!$H$36="Todos",'Plan mensual'!E18,0))+parametros_manuales!$F$36*('Plan mensual'!E15+IF(parametros_manuales!$H$36="Todos",'Plan mensual'!E19,0))+parametros_manuales!$G$36*('Plan mensual'!E16+IF(parametros_manuales!$H$36="Todos",'Plan mensual'!E20,0)))*parametros_manuales!$I$36*parametros_manuales!$J$36</f>
        <v>45.9185</v>
      </c>
      <c r="D46" s="4">
        <f>(parametros_manuales!$D$36*('Plan mensual'!F13+IF(parametros_manuales!$H$36="Todos",'Plan mensual'!F17,0))+parametros_manuales!$E$36*('Plan mensual'!F14+IF(parametros_manuales!$H$36="Todos",'Plan mensual'!F18,0))+parametros_manuales!$F$36*('Plan mensual'!F15+IF(parametros_manuales!$H$36="Todos",'Plan mensual'!F19,0))+parametros_manuales!$G$36*('Plan mensual'!F16+IF(parametros_manuales!$H$36="Todos",'Plan mensual'!F20,0)))*parametros_manuales!$I$36*parametros_manuales!$J$36</f>
        <v>44.10325</v>
      </c>
      <c r="E46" s="4">
        <f>(parametros_manuales!$D$36*('Plan mensual'!G13+IF(parametros_manuales!$H$36="Todos",'Plan mensual'!G17,0))+parametros_manuales!$E$36*('Plan mensual'!G14+IF(parametros_manuales!$H$36="Todos",'Plan mensual'!G18,0))+parametros_manuales!$F$36*('Plan mensual'!G15+IF(parametros_manuales!$H$36="Todos",'Plan mensual'!G19,0))+parametros_manuales!$G$36*('Plan mensual'!G16+IF(parametros_manuales!$H$36="Todos",'Plan mensual'!G20,0)))*parametros_manuales!$I$36*parametros_manuales!$J$36</f>
        <v>42.604</v>
      </c>
      <c r="F46" s="4">
        <f>(parametros_manuales!$D$36*('Plan mensual'!H13+IF(parametros_manuales!$H$36="Todos",'Plan mensual'!H17,0))+parametros_manuales!$E$36*('Plan mensual'!H14+IF(parametros_manuales!$H$36="Todos",'Plan mensual'!H18,0))+parametros_manuales!$F$36*('Plan mensual'!H15+IF(parametros_manuales!$H$36="Todos",'Plan mensual'!H19,0))+parametros_manuales!$G$36*('Plan mensual'!H16+IF(parametros_manuales!$H$36="Todos",'Plan mensual'!H20,0)))*parametros_manuales!$I$36*parametros_manuales!$J$36</f>
        <v>39.9215</v>
      </c>
      <c r="G46" s="4">
        <f>(parametros_manuales!$D$36*('Plan mensual'!I13+IF(parametros_manuales!$H$36="Todos",'Plan mensual'!I17,0))+parametros_manuales!$E$36*('Plan mensual'!I14+IF(parametros_manuales!$H$36="Todos",'Plan mensual'!I18,0))+parametros_manuales!$F$36*('Plan mensual'!I15+IF(parametros_manuales!$H$36="Todos",'Plan mensual'!I19,0))+parametros_manuales!$G$36*('Plan mensual'!I16+IF(parametros_manuales!$H$36="Todos",'Plan mensual'!I20,0)))*parametros_manuales!$I$36*parametros_manuales!$J$36</f>
        <v>38.73825</v>
      </c>
      <c r="H46" s="4">
        <f>(parametros_manuales!$D$36*('Plan mensual'!J13+IF(parametros_manuales!$H$36="Todos",'Plan mensual'!J17,0))+parametros_manuales!$E$36*('Plan mensual'!J14+IF(parametros_manuales!$H$36="Todos",'Plan mensual'!J18,0))+parametros_manuales!$F$36*('Plan mensual'!J15+IF(parametros_manuales!$H$36="Todos",'Plan mensual'!J19,0))+parametros_manuales!$G$36*('Plan mensual'!J16+IF(parametros_manuales!$H$36="Todos",'Plan mensual'!J20,0)))*parametros_manuales!$I$36*parametros_manuales!$J$36</f>
        <v>41.42075</v>
      </c>
      <c r="I46" s="4">
        <f>(parametros_manuales!$D$36*('Plan mensual'!K13+IF(parametros_manuales!$H$36="Todos",'Plan mensual'!K17,0))+parametros_manuales!$E$36*('Plan mensual'!K14+IF(parametros_manuales!$H$36="Todos",'Plan mensual'!K18,0))+parametros_manuales!$F$36*('Plan mensual'!K15+IF(parametros_manuales!$H$36="Todos",'Plan mensual'!K19,0))+parametros_manuales!$G$36*('Plan mensual'!K16+IF(parametros_manuales!$H$36="Todos",'Plan mensual'!K20,0)))*parametros_manuales!$I$36*parametros_manuales!$J$36</f>
        <v>41.42075</v>
      </c>
      <c r="J46" s="4">
        <f>(parametros_manuales!$D$36*('Plan mensual'!L13+IF(parametros_manuales!$H$36="Todos",'Plan mensual'!L17,0))+parametros_manuales!$E$36*('Plan mensual'!L14+IF(parametros_manuales!$H$36="Todos",'Plan mensual'!L18,0))+parametros_manuales!$F$36*('Plan mensual'!L15+IF(parametros_manuales!$H$36="Todos",'Plan mensual'!L19,0))+parametros_manuales!$G$36*('Plan mensual'!L16+IF(parametros_manuales!$H$36="Todos",'Plan mensual'!L20,0)))*parametros_manuales!$I$36*parametros_manuales!$J$36</f>
        <v>41.42075</v>
      </c>
      <c r="K46" s="4">
        <f>(parametros_manuales!$D$36*('Plan mensual'!M13+IF(parametros_manuales!$H$36="Todos",'Plan mensual'!M17,0))+parametros_manuales!$E$36*('Plan mensual'!M14+IF(parametros_manuales!$H$36="Todos",'Plan mensual'!M18,0))+parametros_manuales!$F$36*('Plan mensual'!M15+IF(parametros_manuales!$H$36="Todos",'Plan mensual'!M19,0))+parametros_manuales!$G$36*('Plan mensual'!M16+IF(parametros_manuales!$H$36="Todos",'Plan mensual'!M20,0)))*parametros_manuales!$I$36*parametros_manuales!$J$36</f>
        <v>40.2375</v>
      </c>
      <c r="L46" s="4">
        <f>(parametros_manuales!$D$36*('Plan mensual'!N13+IF(parametros_manuales!$H$36="Todos",'Plan mensual'!N17,0))+parametros_manuales!$E$36*('Plan mensual'!N14+IF(parametros_manuales!$H$36="Todos",'Plan mensual'!N18,0))+parametros_manuales!$F$36*('Plan mensual'!N15+IF(parametros_manuales!$H$36="Todos",'Plan mensual'!N19,0))+parametros_manuales!$G$36*('Plan mensual'!N16+IF(parametros_manuales!$H$36="Todos",'Plan mensual'!N20,0)))*parametros_manuales!$I$36*parametros_manuales!$J$36</f>
        <v>39.05425</v>
      </c>
      <c r="M46" s="4">
        <f>(parametros_manuales!$D$36*('Plan mensual'!O13+IF(parametros_manuales!$H$36="Todos",'Plan mensual'!O17,0))+parametros_manuales!$E$36*('Plan mensual'!O14+IF(parametros_manuales!$H$36="Todos",'Plan mensual'!O18,0))+parametros_manuales!$F$36*('Plan mensual'!O15+IF(parametros_manuales!$H$36="Todos",'Plan mensual'!O19,0))+parametros_manuales!$G$36*('Plan mensual'!O16+IF(parametros_manuales!$H$36="Todos",'Plan mensual'!O20,0)))*parametros_manuales!$I$36*parametros_manuales!$J$36</f>
        <v>62.0135</v>
      </c>
      <c r="N46" s="4">
        <f t="shared" si="4"/>
        <v>536.5</v>
      </c>
      <c r="O46" s="4">
        <f t="shared" si="5"/>
        <v>62.0135</v>
      </c>
      <c r="P46" s="27">
        <f>O46/(parametros_manuales!$B$7)</f>
        <v>0.4134233333</v>
      </c>
      <c r="Q46" s="3" t="str">
        <f t="shared" si="6"/>
        <v>Dic</v>
      </c>
    </row>
    <row r="47" ht="14.25" customHeight="1">
      <c r="A47" s="3" t="str">
        <f>parametros_manuales!$B$37</f>
        <v>Pintura en polvo + horno</v>
      </c>
      <c r="B47" s="4">
        <f>(parametros_manuales!$D$37*('Plan mensual'!D13+IF(parametros_manuales!$H$37="Todos",'Plan mensual'!D17,0))+parametros_manuales!$E$37*('Plan mensual'!D14+IF(parametros_manuales!$H$37="Todos",'Plan mensual'!D18,0))+parametros_manuales!$F$37*('Plan mensual'!D15+IF(parametros_manuales!$H$37="Todos",'Plan mensual'!D19,0))+parametros_manuales!$G$37*('Plan mensual'!D16+IF(parametros_manuales!$H$37="Todos",'Plan mensual'!D20,0)))*parametros_manuales!$I$37*parametros_manuales!$J$37</f>
        <v>1192.94</v>
      </c>
      <c r="C47" s="4">
        <f>(parametros_manuales!$D$37*('Plan mensual'!E13+IF(parametros_manuales!$H$37="Todos",'Plan mensual'!E17,0))+parametros_manuales!$E$37*('Plan mensual'!E14+IF(parametros_manuales!$H$37="Todos",'Plan mensual'!E18,0))+parametros_manuales!$F$37*('Plan mensual'!E15+IF(parametros_manuales!$H$37="Todos",'Plan mensual'!E19,0))+parametros_manuales!$G$37*('Plan mensual'!E16+IF(parametros_manuales!$H$37="Todos",'Plan mensual'!E20,0)))*parametros_manuales!$I$37*parametros_manuales!$J$37</f>
        <v>918.37</v>
      </c>
      <c r="D47" s="4">
        <f>(parametros_manuales!$D$37*('Plan mensual'!F13+IF(parametros_manuales!$H$37="Todos",'Plan mensual'!F17,0))+parametros_manuales!$E$37*('Plan mensual'!F14+IF(parametros_manuales!$H$37="Todos",'Plan mensual'!F18,0))+parametros_manuales!$F$37*('Plan mensual'!F15+IF(parametros_manuales!$H$37="Todos",'Plan mensual'!F19,0))+parametros_manuales!$G$37*('Plan mensual'!F16+IF(parametros_manuales!$H$37="Todos",'Plan mensual'!F20,0)))*parametros_manuales!$I$37*parametros_manuales!$J$37</f>
        <v>882.065</v>
      </c>
      <c r="E47" s="4">
        <f>(parametros_manuales!$D$37*('Plan mensual'!G13+IF(parametros_manuales!$H$37="Todos",'Plan mensual'!G17,0))+parametros_manuales!$E$37*('Plan mensual'!G14+IF(parametros_manuales!$H$37="Todos",'Plan mensual'!G18,0))+parametros_manuales!$F$37*('Plan mensual'!G15+IF(parametros_manuales!$H$37="Todos",'Plan mensual'!G19,0))+parametros_manuales!$G$37*('Plan mensual'!G16+IF(parametros_manuales!$H$37="Todos",'Plan mensual'!G20,0)))*parametros_manuales!$I$37*parametros_manuales!$J$37</f>
        <v>852.08</v>
      </c>
      <c r="F47" s="4">
        <f>(parametros_manuales!$D$37*('Plan mensual'!H13+IF(parametros_manuales!$H$37="Todos",'Plan mensual'!H17,0))+parametros_manuales!$E$37*('Plan mensual'!H14+IF(parametros_manuales!$H$37="Todos",'Plan mensual'!H18,0))+parametros_manuales!$F$37*('Plan mensual'!H15+IF(parametros_manuales!$H$37="Todos",'Plan mensual'!H19,0))+parametros_manuales!$G$37*('Plan mensual'!H16+IF(parametros_manuales!$H$37="Todos",'Plan mensual'!H20,0)))*parametros_manuales!$I$37*parametros_manuales!$J$37</f>
        <v>798.43</v>
      </c>
      <c r="G47" s="4">
        <f>(parametros_manuales!$D$37*('Plan mensual'!I13+IF(parametros_manuales!$H$37="Todos",'Plan mensual'!I17,0))+parametros_manuales!$E$37*('Plan mensual'!I14+IF(parametros_manuales!$H$37="Todos",'Plan mensual'!I18,0))+parametros_manuales!$F$37*('Plan mensual'!I15+IF(parametros_manuales!$H$37="Todos",'Plan mensual'!I19,0))+parametros_manuales!$G$37*('Plan mensual'!I16+IF(parametros_manuales!$H$37="Todos",'Plan mensual'!I20,0)))*parametros_manuales!$I$37*parametros_manuales!$J$37</f>
        <v>774.765</v>
      </c>
      <c r="H47" s="4">
        <f>(parametros_manuales!$D$37*('Plan mensual'!J13+IF(parametros_manuales!$H$37="Todos",'Plan mensual'!J17,0))+parametros_manuales!$E$37*('Plan mensual'!J14+IF(parametros_manuales!$H$37="Todos",'Plan mensual'!J18,0))+parametros_manuales!$F$37*('Plan mensual'!J15+IF(parametros_manuales!$H$37="Todos",'Plan mensual'!J19,0))+parametros_manuales!$G$37*('Plan mensual'!J16+IF(parametros_manuales!$H$37="Todos",'Plan mensual'!J20,0)))*parametros_manuales!$I$37*parametros_manuales!$J$37</f>
        <v>828.415</v>
      </c>
      <c r="I47" s="4">
        <f>(parametros_manuales!$D$37*('Plan mensual'!K13+IF(parametros_manuales!$H$37="Todos",'Plan mensual'!K17,0))+parametros_manuales!$E$37*('Plan mensual'!K14+IF(parametros_manuales!$H$37="Todos",'Plan mensual'!K18,0))+parametros_manuales!$F$37*('Plan mensual'!K15+IF(parametros_manuales!$H$37="Todos",'Plan mensual'!K19,0))+parametros_manuales!$G$37*('Plan mensual'!K16+IF(parametros_manuales!$H$37="Todos",'Plan mensual'!K20,0)))*parametros_manuales!$I$37*parametros_manuales!$J$37</f>
        <v>828.415</v>
      </c>
      <c r="J47" s="4">
        <f>(parametros_manuales!$D$37*('Plan mensual'!L13+IF(parametros_manuales!$H$37="Todos",'Plan mensual'!L17,0))+parametros_manuales!$E$37*('Plan mensual'!L14+IF(parametros_manuales!$H$37="Todos",'Plan mensual'!L18,0))+parametros_manuales!$F$37*('Plan mensual'!L15+IF(parametros_manuales!$H$37="Todos",'Plan mensual'!L19,0))+parametros_manuales!$G$37*('Plan mensual'!L16+IF(parametros_manuales!$H$37="Todos",'Plan mensual'!L20,0)))*parametros_manuales!$I$37*parametros_manuales!$J$37</f>
        <v>828.415</v>
      </c>
      <c r="K47" s="4">
        <f>(parametros_manuales!$D$37*('Plan mensual'!M13+IF(parametros_manuales!$H$37="Todos",'Plan mensual'!M17,0))+parametros_manuales!$E$37*('Plan mensual'!M14+IF(parametros_manuales!$H$37="Todos",'Plan mensual'!M18,0))+parametros_manuales!$F$37*('Plan mensual'!M15+IF(parametros_manuales!$H$37="Todos",'Plan mensual'!M19,0))+parametros_manuales!$G$37*('Plan mensual'!M16+IF(parametros_manuales!$H$37="Todos",'Plan mensual'!M20,0)))*parametros_manuales!$I$37*parametros_manuales!$J$37</f>
        <v>804.75</v>
      </c>
      <c r="L47" s="4">
        <f>(parametros_manuales!$D$37*('Plan mensual'!N13+IF(parametros_manuales!$H$37="Todos",'Plan mensual'!N17,0))+parametros_manuales!$E$37*('Plan mensual'!N14+IF(parametros_manuales!$H$37="Todos",'Plan mensual'!N18,0))+parametros_manuales!$F$37*('Plan mensual'!N15+IF(parametros_manuales!$H$37="Todos",'Plan mensual'!N19,0))+parametros_manuales!$G$37*('Plan mensual'!N16+IF(parametros_manuales!$H$37="Todos",'Plan mensual'!N20,0)))*parametros_manuales!$I$37*parametros_manuales!$J$37</f>
        <v>781.085</v>
      </c>
      <c r="M47" s="4">
        <f>(parametros_manuales!$D$37*('Plan mensual'!O13+IF(parametros_manuales!$H$37="Todos",'Plan mensual'!O17,0))+parametros_manuales!$E$37*('Plan mensual'!O14+IF(parametros_manuales!$H$37="Todos",'Plan mensual'!O18,0))+parametros_manuales!$F$37*('Plan mensual'!O15+IF(parametros_manuales!$H$37="Todos",'Plan mensual'!O19,0))+parametros_manuales!$G$37*('Plan mensual'!O16+IF(parametros_manuales!$H$37="Todos",'Plan mensual'!O20,0)))*parametros_manuales!$I$37*parametros_manuales!$J$37</f>
        <v>1240.27</v>
      </c>
      <c r="N47" s="4">
        <f t="shared" si="4"/>
        <v>10730</v>
      </c>
      <c r="O47" s="4">
        <f t="shared" si="5"/>
        <v>1240.27</v>
      </c>
      <c r="P47" s="27">
        <f>O47/(parametros_manuales!$B$7)</f>
        <v>8.268466667</v>
      </c>
      <c r="Q47" s="3" t="str">
        <f t="shared" si="6"/>
        <v>Dic</v>
      </c>
    </row>
    <row r="48" ht="14.25" customHeight="1">
      <c r="A48" s="3" t="str">
        <f>parametros_manuales!$B$38</f>
        <v>Carga de polvo</v>
      </c>
      <c r="B48" s="4">
        <f>(parametros_manuales!$D$38*('Plan mensual'!D13+IF(parametros_manuales!$H$38="Todos",'Plan mensual'!D17,0))+parametros_manuales!$E$38*('Plan mensual'!D14+IF(parametros_manuales!$H$38="Todos",'Plan mensual'!D18,0))+parametros_manuales!$F$38*('Plan mensual'!D15+IF(parametros_manuales!$H$38="Todos",'Plan mensual'!D19,0))+parametros_manuales!$G$38*('Plan mensual'!D16+IF(parametros_manuales!$H$38="Todos",'Plan mensual'!D20,0)))*parametros_manuales!$I$38*parametros_manuales!$J$38</f>
        <v>1192.94</v>
      </c>
      <c r="C48" s="4">
        <f>(parametros_manuales!$D$38*('Plan mensual'!E13+IF(parametros_manuales!$H$38="Todos",'Plan mensual'!E17,0))+parametros_manuales!$E$38*('Plan mensual'!E14+IF(parametros_manuales!$H$38="Todos",'Plan mensual'!E18,0))+parametros_manuales!$F$38*('Plan mensual'!E15+IF(parametros_manuales!$H$38="Todos",'Plan mensual'!E19,0))+parametros_manuales!$G$38*('Plan mensual'!E16+IF(parametros_manuales!$H$38="Todos",'Plan mensual'!E20,0)))*parametros_manuales!$I$38*parametros_manuales!$J$38</f>
        <v>918.37</v>
      </c>
      <c r="D48" s="4">
        <f>(parametros_manuales!$D$38*('Plan mensual'!F13+IF(parametros_manuales!$H$38="Todos",'Plan mensual'!F17,0))+parametros_manuales!$E$38*('Plan mensual'!F14+IF(parametros_manuales!$H$38="Todos",'Plan mensual'!F18,0))+parametros_manuales!$F$38*('Plan mensual'!F15+IF(parametros_manuales!$H$38="Todos",'Plan mensual'!F19,0))+parametros_manuales!$G$38*('Plan mensual'!F16+IF(parametros_manuales!$H$38="Todos",'Plan mensual'!F20,0)))*parametros_manuales!$I$38*parametros_manuales!$J$38</f>
        <v>882.065</v>
      </c>
      <c r="E48" s="4">
        <f>(parametros_manuales!$D$38*('Plan mensual'!G13+IF(parametros_manuales!$H$38="Todos",'Plan mensual'!G17,0))+parametros_manuales!$E$38*('Plan mensual'!G14+IF(parametros_manuales!$H$38="Todos",'Plan mensual'!G18,0))+parametros_manuales!$F$38*('Plan mensual'!G15+IF(parametros_manuales!$H$38="Todos",'Plan mensual'!G19,0))+parametros_manuales!$G$38*('Plan mensual'!G16+IF(parametros_manuales!$H$38="Todos",'Plan mensual'!G20,0)))*parametros_manuales!$I$38*parametros_manuales!$J$38</f>
        <v>852.08</v>
      </c>
      <c r="F48" s="4">
        <f>(parametros_manuales!$D$38*('Plan mensual'!H13+IF(parametros_manuales!$H$38="Todos",'Plan mensual'!H17,0))+parametros_manuales!$E$38*('Plan mensual'!H14+IF(parametros_manuales!$H$38="Todos",'Plan mensual'!H18,0))+parametros_manuales!$F$38*('Plan mensual'!H15+IF(parametros_manuales!$H$38="Todos",'Plan mensual'!H19,0))+parametros_manuales!$G$38*('Plan mensual'!H16+IF(parametros_manuales!$H$38="Todos",'Plan mensual'!H20,0)))*parametros_manuales!$I$38*parametros_manuales!$J$38</f>
        <v>798.43</v>
      </c>
      <c r="G48" s="4">
        <f>(parametros_manuales!$D$38*('Plan mensual'!I13+IF(parametros_manuales!$H$38="Todos",'Plan mensual'!I17,0))+parametros_manuales!$E$38*('Plan mensual'!I14+IF(parametros_manuales!$H$38="Todos",'Plan mensual'!I18,0))+parametros_manuales!$F$38*('Plan mensual'!I15+IF(parametros_manuales!$H$38="Todos",'Plan mensual'!I19,0))+parametros_manuales!$G$38*('Plan mensual'!I16+IF(parametros_manuales!$H$38="Todos",'Plan mensual'!I20,0)))*parametros_manuales!$I$38*parametros_manuales!$J$38</f>
        <v>774.765</v>
      </c>
      <c r="H48" s="4">
        <f>(parametros_manuales!$D$38*('Plan mensual'!J13+IF(parametros_manuales!$H$38="Todos",'Plan mensual'!J17,0))+parametros_manuales!$E$38*('Plan mensual'!J14+IF(parametros_manuales!$H$38="Todos",'Plan mensual'!J18,0))+parametros_manuales!$F$38*('Plan mensual'!J15+IF(parametros_manuales!$H$38="Todos",'Plan mensual'!J19,0))+parametros_manuales!$G$38*('Plan mensual'!J16+IF(parametros_manuales!$H$38="Todos",'Plan mensual'!J20,0)))*parametros_manuales!$I$38*parametros_manuales!$J$38</f>
        <v>828.415</v>
      </c>
      <c r="I48" s="4">
        <f>(parametros_manuales!$D$38*('Plan mensual'!K13+IF(parametros_manuales!$H$38="Todos",'Plan mensual'!K17,0))+parametros_manuales!$E$38*('Plan mensual'!K14+IF(parametros_manuales!$H$38="Todos",'Plan mensual'!K18,0))+parametros_manuales!$F$38*('Plan mensual'!K15+IF(parametros_manuales!$H$38="Todos",'Plan mensual'!K19,0))+parametros_manuales!$G$38*('Plan mensual'!K16+IF(parametros_manuales!$H$38="Todos",'Plan mensual'!K20,0)))*parametros_manuales!$I$38*parametros_manuales!$J$38</f>
        <v>828.415</v>
      </c>
      <c r="J48" s="4">
        <f>(parametros_manuales!$D$38*('Plan mensual'!L13+IF(parametros_manuales!$H$38="Todos",'Plan mensual'!L17,0))+parametros_manuales!$E$38*('Plan mensual'!L14+IF(parametros_manuales!$H$38="Todos",'Plan mensual'!L18,0))+parametros_manuales!$F$38*('Plan mensual'!L15+IF(parametros_manuales!$H$38="Todos",'Plan mensual'!L19,0))+parametros_manuales!$G$38*('Plan mensual'!L16+IF(parametros_manuales!$H$38="Todos",'Plan mensual'!L20,0)))*parametros_manuales!$I$38*parametros_manuales!$J$38</f>
        <v>828.415</v>
      </c>
      <c r="K48" s="4">
        <f>(parametros_manuales!$D$38*('Plan mensual'!M13+IF(parametros_manuales!$H$38="Todos",'Plan mensual'!M17,0))+parametros_manuales!$E$38*('Plan mensual'!M14+IF(parametros_manuales!$H$38="Todos",'Plan mensual'!M18,0))+parametros_manuales!$F$38*('Plan mensual'!M15+IF(parametros_manuales!$H$38="Todos",'Plan mensual'!M19,0))+parametros_manuales!$G$38*('Plan mensual'!M16+IF(parametros_manuales!$H$38="Todos",'Plan mensual'!M20,0)))*parametros_manuales!$I$38*parametros_manuales!$J$38</f>
        <v>804.75</v>
      </c>
      <c r="L48" s="4">
        <f>(parametros_manuales!$D$38*('Plan mensual'!N13+IF(parametros_manuales!$H$38="Todos",'Plan mensual'!N17,0))+parametros_manuales!$E$38*('Plan mensual'!N14+IF(parametros_manuales!$H$38="Todos",'Plan mensual'!N18,0))+parametros_manuales!$F$38*('Plan mensual'!N15+IF(parametros_manuales!$H$38="Todos",'Plan mensual'!N19,0))+parametros_manuales!$G$38*('Plan mensual'!N16+IF(parametros_manuales!$H$38="Todos",'Plan mensual'!N20,0)))*parametros_manuales!$I$38*parametros_manuales!$J$38</f>
        <v>781.085</v>
      </c>
      <c r="M48" s="4">
        <f>(parametros_manuales!$D$38*('Plan mensual'!O13+IF(parametros_manuales!$H$38="Todos",'Plan mensual'!O17,0))+parametros_manuales!$E$38*('Plan mensual'!O14+IF(parametros_manuales!$H$38="Todos",'Plan mensual'!O18,0))+parametros_manuales!$F$38*('Plan mensual'!O15+IF(parametros_manuales!$H$38="Todos",'Plan mensual'!O19,0))+parametros_manuales!$G$38*('Plan mensual'!O16+IF(parametros_manuales!$H$38="Todos",'Plan mensual'!O20,0)))*parametros_manuales!$I$38*parametros_manuales!$J$38</f>
        <v>1240.27</v>
      </c>
      <c r="N48" s="4">
        <f t="shared" si="4"/>
        <v>10730</v>
      </c>
      <c r="O48" s="4">
        <f t="shared" si="5"/>
        <v>1240.27</v>
      </c>
      <c r="P48" s="27">
        <f>O48/(parametros_manuales!$B$7)</f>
        <v>8.268466667</v>
      </c>
      <c r="Q48" s="3" t="str">
        <f t="shared" si="6"/>
        <v>Dic</v>
      </c>
    </row>
    <row r="49" ht="14.25" customHeight="1">
      <c r="A49" s="3" t="str">
        <f>parametros_manuales!$B$39</f>
        <v>Ensamblaje</v>
      </c>
      <c r="B49" s="4">
        <f>(parametros_manuales!$D$39*('Plan mensual'!D13+IF(parametros_manuales!$H$39="Todos",'Plan mensual'!D17,0))+parametros_manuales!$E$39*('Plan mensual'!D14+IF(parametros_manuales!$H$39="Todos",'Plan mensual'!D18,0))+parametros_manuales!$F$39*('Plan mensual'!D15+IF(parametros_manuales!$H$39="Todos",'Plan mensual'!D19,0))+parametros_manuales!$G$39*('Plan mensual'!D16+IF(parametros_manuales!$H$39="Todos",'Plan mensual'!D20,0)))*parametros_manuales!$I$39*parametros_manuales!$J$39</f>
        <v>1192.94</v>
      </c>
      <c r="C49" s="4">
        <f>(parametros_manuales!$D$39*('Plan mensual'!E13+IF(parametros_manuales!$H$39="Todos",'Plan mensual'!E17,0))+parametros_manuales!$E$39*('Plan mensual'!E14+IF(parametros_manuales!$H$39="Todos",'Plan mensual'!E18,0))+parametros_manuales!$F$39*('Plan mensual'!E15+IF(parametros_manuales!$H$39="Todos",'Plan mensual'!E19,0))+parametros_manuales!$G$39*('Plan mensual'!E16+IF(parametros_manuales!$H$39="Todos",'Plan mensual'!E20,0)))*parametros_manuales!$I$39*parametros_manuales!$J$39</f>
        <v>918.37</v>
      </c>
      <c r="D49" s="4">
        <f>(parametros_manuales!$D$39*('Plan mensual'!F13+IF(parametros_manuales!$H$39="Todos",'Plan mensual'!F17,0))+parametros_manuales!$E$39*('Plan mensual'!F14+IF(parametros_manuales!$H$39="Todos",'Plan mensual'!F18,0))+parametros_manuales!$F$39*('Plan mensual'!F15+IF(parametros_manuales!$H$39="Todos",'Plan mensual'!F19,0))+parametros_manuales!$G$39*('Plan mensual'!F16+IF(parametros_manuales!$H$39="Todos",'Plan mensual'!F20,0)))*parametros_manuales!$I$39*parametros_manuales!$J$39</f>
        <v>882.065</v>
      </c>
      <c r="E49" s="4">
        <f>(parametros_manuales!$D$39*('Plan mensual'!G13+IF(parametros_manuales!$H$39="Todos",'Plan mensual'!G17,0))+parametros_manuales!$E$39*('Plan mensual'!G14+IF(parametros_manuales!$H$39="Todos",'Plan mensual'!G18,0))+parametros_manuales!$F$39*('Plan mensual'!G15+IF(parametros_manuales!$H$39="Todos",'Plan mensual'!G19,0))+parametros_manuales!$G$39*('Plan mensual'!G16+IF(parametros_manuales!$H$39="Todos",'Plan mensual'!G20,0)))*parametros_manuales!$I$39*parametros_manuales!$J$39</f>
        <v>852.08</v>
      </c>
      <c r="F49" s="4">
        <f>(parametros_manuales!$D$39*('Plan mensual'!H13+IF(parametros_manuales!$H$39="Todos",'Plan mensual'!H17,0))+parametros_manuales!$E$39*('Plan mensual'!H14+IF(parametros_manuales!$H$39="Todos",'Plan mensual'!H18,0))+parametros_manuales!$F$39*('Plan mensual'!H15+IF(parametros_manuales!$H$39="Todos",'Plan mensual'!H19,0))+parametros_manuales!$G$39*('Plan mensual'!H16+IF(parametros_manuales!$H$39="Todos",'Plan mensual'!H20,0)))*parametros_manuales!$I$39*parametros_manuales!$J$39</f>
        <v>798.43</v>
      </c>
      <c r="G49" s="4">
        <f>(parametros_manuales!$D$39*('Plan mensual'!I13+IF(parametros_manuales!$H$39="Todos",'Plan mensual'!I17,0))+parametros_manuales!$E$39*('Plan mensual'!I14+IF(parametros_manuales!$H$39="Todos",'Plan mensual'!I18,0))+parametros_manuales!$F$39*('Plan mensual'!I15+IF(parametros_manuales!$H$39="Todos",'Plan mensual'!I19,0))+parametros_manuales!$G$39*('Plan mensual'!I16+IF(parametros_manuales!$H$39="Todos",'Plan mensual'!I20,0)))*parametros_manuales!$I$39*parametros_manuales!$J$39</f>
        <v>774.765</v>
      </c>
      <c r="H49" s="4">
        <f>(parametros_manuales!$D$39*('Plan mensual'!J13+IF(parametros_manuales!$H$39="Todos",'Plan mensual'!J17,0))+parametros_manuales!$E$39*('Plan mensual'!J14+IF(parametros_manuales!$H$39="Todos",'Plan mensual'!J18,0))+parametros_manuales!$F$39*('Plan mensual'!J15+IF(parametros_manuales!$H$39="Todos",'Plan mensual'!J19,0))+parametros_manuales!$G$39*('Plan mensual'!J16+IF(parametros_manuales!$H$39="Todos",'Plan mensual'!J20,0)))*parametros_manuales!$I$39*parametros_manuales!$J$39</f>
        <v>828.415</v>
      </c>
      <c r="I49" s="4">
        <f>(parametros_manuales!$D$39*('Plan mensual'!K13+IF(parametros_manuales!$H$39="Todos",'Plan mensual'!K17,0))+parametros_manuales!$E$39*('Plan mensual'!K14+IF(parametros_manuales!$H$39="Todos",'Plan mensual'!K18,0))+parametros_manuales!$F$39*('Plan mensual'!K15+IF(parametros_manuales!$H$39="Todos",'Plan mensual'!K19,0))+parametros_manuales!$G$39*('Plan mensual'!K16+IF(parametros_manuales!$H$39="Todos",'Plan mensual'!K20,0)))*parametros_manuales!$I$39*parametros_manuales!$J$39</f>
        <v>828.415</v>
      </c>
      <c r="J49" s="4">
        <f>(parametros_manuales!$D$39*('Plan mensual'!L13+IF(parametros_manuales!$H$39="Todos",'Plan mensual'!L17,0))+parametros_manuales!$E$39*('Plan mensual'!L14+IF(parametros_manuales!$H$39="Todos",'Plan mensual'!L18,0))+parametros_manuales!$F$39*('Plan mensual'!L15+IF(parametros_manuales!$H$39="Todos",'Plan mensual'!L19,0))+parametros_manuales!$G$39*('Plan mensual'!L16+IF(parametros_manuales!$H$39="Todos",'Plan mensual'!L20,0)))*parametros_manuales!$I$39*parametros_manuales!$J$39</f>
        <v>828.415</v>
      </c>
      <c r="K49" s="4">
        <f>(parametros_manuales!$D$39*('Plan mensual'!M13+IF(parametros_manuales!$H$39="Todos",'Plan mensual'!M17,0))+parametros_manuales!$E$39*('Plan mensual'!M14+IF(parametros_manuales!$H$39="Todos",'Plan mensual'!M18,0))+parametros_manuales!$F$39*('Plan mensual'!M15+IF(parametros_manuales!$H$39="Todos",'Plan mensual'!M19,0))+parametros_manuales!$G$39*('Plan mensual'!M16+IF(parametros_manuales!$H$39="Todos",'Plan mensual'!M20,0)))*parametros_manuales!$I$39*parametros_manuales!$J$39</f>
        <v>804.75</v>
      </c>
      <c r="L49" s="4">
        <f>(parametros_manuales!$D$39*('Plan mensual'!N13+IF(parametros_manuales!$H$39="Todos",'Plan mensual'!N17,0))+parametros_manuales!$E$39*('Plan mensual'!N14+IF(parametros_manuales!$H$39="Todos",'Plan mensual'!N18,0))+parametros_manuales!$F$39*('Plan mensual'!N15+IF(parametros_manuales!$H$39="Todos",'Plan mensual'!N19,0))+parametros_manuales!$G$39*('Plan mensual'!N16+IF(parametros_manuales!$H$39="Todos",'Plan mensual'!N20,0)))*parametros_manuales!$I$39*parametros_manuales!$J$39</f>
        <v>781.085</v>
      </c>
      <c r="M49" s="4">
        <f>(parametros_manuales!$D$39*('Plan mensual'!O13+IF(parametros_manuales!$H$39="Todos",'Plan mensual'!O17,0))+parametros_manuales!$E$39*('Plan mensual'!O14+IF(parametros_manuales!$H$39="Todos",'Plan mensual'!O18,0))+parametros_manuales!$F$39*('Plan mensual'!O15+IF(parametros_manuales!$H$39="Todos",'Plan mensual'!O19,0))+parametros_manuales!$G$39*('Plan mensual'!O16+IF(parametros_manuales!$H$39="Todos",'Plan mensual'!O20,0)))*parametros_manuales!$I$39*parametros_manuales!$J$39</f>
        <v>1240.27</v>
      </c>
      <c r="N49" s="4">
        <f t="shared" si="4"/>
        <v>10730</v>
      </c>
      <c r="O49" s="4">
        <f t="shared" si="5"/>
        <v>1240.27</v>
      </c>
      <c r="P49" s="27">
        <f>O49/(parametros_manuales!$B$7)</f>
        <v>8.268466667</v>
      </c>
      <c r="Q49" s="3" t="str">
        <f t="shared" si="6"/>
        <v>Dic</v>
      </c>
    </row>
    <row r="50" ht="14.25" customHeight="1">
      <c r="A50" s="3" t="str">
        <f>parametros_manuales!$B$40</f>
        <v>Presurización</v>
      </c>
      <c r="B50" s="4">
        <f>(parametros_manuales!$D$40*('Plan mensual'!D13+IF(parametros_manuales!$H$40="Todos",'Plan mensual'!D17,0))+parametros_manuales!$E$40*('Plan mensual'!D14+IF(parametros_manuales!$H$40="Todos",'Plan mensual'!D18,0))+parametros_manuales!$F$40*('Plan mensual'!D15+IF(parametros_manuales!$H$40="Todos",'Plan mensual'!D19,0))+parametros_manuales!$G$40*('Plan mensual'!D16+IF(parametros_manuales!$H$40="Todos",'Plan mensual'!D20,0)))*parametros_manuales!$I$40*parametros_manuales!$J$40</f>
        <v>1192.94</v>
      </c>
      <c r="C50" s="4">
        <f>(parametros_manuales!$D$40*('Plan mensual'!E13+IF(parametros_manuales!$H$40="Todos",'Plan mensual'!E17,0))+parametros_manuales!$E$40*('Plan mensual'!E14+IF(parametros_manuales!$H$40="Todos",'Plan mensual'!E18,0))+parametros_manuales!$F$40*('Plan mensual'!E15+IF(parametros_manuales!$H$40="Todos",'Plan mensual'!E19,0))+parametros_manuales!$G$40*('Plan mensual'!E16+IF(parametros_manuales!$H$40="Todos",'Plan mensual'!E20,0)))*parametros_manuales!$I$40*parametros_manuales!$J$40</f>
        <v>918.37</v>
      </c>
      <c r="D50" s="4">
        <f>(parametros_manuales!$D$40*('Plan mensual'!F13+IF(parametros_manuales!$H$40="Todos",'Plan mensual'!F17,0))+parametros_manuales!$E$40*('Plan mensual'!F14+IF(parametros_manuales!$H$40="Todos",'Plan mensual'!F18,0))+parametros_manuales!$F$40*('Plan mensual'!F15+IF(parametros_manuales!$H$40="Todos",'Plan mensual'!F19,0))+parametros_manuales!$G$40*('Plan mensual'!F16+IF(parametros_manuales!$H$40="Todos",'Plan mensual'!F20,0)))*parametros_manuales!$I$40*parametros_manuales!$J$40</f>
        <v>882.065</v>
      </c>
      <c r="E50" s="4">
        <f>(parametros_manuales!$D$40*('Plan mensual'!G13+IF(parametros_manuales!$H$40="Todos",'Plan mensual'!G17,0))+parametros_manuales!$E$40*('Plan mensual'!G14+IF(parametros_manuales!$H$40="Todos",'Plan mensual'!G18,0))+parametros_manuales!$F$40*('Plan mensual'!G15+IF(parametros_manuales!$H$40="Todos",'Plan mensual'!G19,0))+parametros_manuales!$G$40*('Plan mensual'!G16+IF(parametros_manuales!$H$40="Todos",'Plan mensual'!G20,0)))*parametros_manuales!$I$40*parametros_manuales!$J$40</f>
        <v>852.08</v>
      </c>
      <c r="F50" s="4">
        <f>(parametros_manuales!$D$40*('Plan mensual'!H13+IF(parametros_manuales!$H$40="Todos",'Plan mensual'!H17,0))+parametros_manuales!$E$40*('Plan mensual'!H14+IF(parametros_manuales!$H$40="Todos",'Plan mensual'!H18,0))+parametros_manuales!$F$40*('Plan mensual'!H15+IF(parametros_manuales!$H$40="Todos",'Plan mensual'!H19,0))+parametros_manuales!$G$40*('Plan mensual'!H16+IF(parametros_manuales!$H$40="Todos",'Plan mensual'!H20,0)))*parametros_manuales!$I$40*parametros_manuales!$J$40</f>
        <v>798.43</v>
      </c>
      <c r="G50" s="4">
        <f>(parametros_manuales!$D$40*('Plan mensual'!I13+IF(parametros_manuales!$H$40="Todos",'Plan mensual'!I17,0))+parametros_manuales!$E$40*('Plan mensual'!I14+IF(parametros_manuales!$H$40="Todos",'Plan mensual'!I18,0))+parametros_manuales!$F$40*('Plan mensual'!I15+IF(parametros_manuales!$H$40="Todos",'Plan mensual'!I19,0))+parametros_manuales!$G$40*('Plan mensual'!I16+IF(parametros_manuales!$H$40="Todos",'Plan mensual'!I20,0)))*parametros_manuales!$I$40*parametros_manuales!$J$40</f>
        <v>774.765</v>
      </c>
      <c r="H50" s="4">
        <f>(parametros_manuales!$D$40*('Plan mensual'!J13+IF(parametros_manuales!$H$40="Todos",'Plan mensual'!J17,0))+parametros_manuales!$E$40*('Plan mensual'!J14+IF(parametros_manuales!$H$40="Todos",'Plan mensual'!J18,0))+parametros_manuales!$F$40*('Plan mensual'!J15+IF(parametros_manuales!$H$40="Todos",'Plan mensual'!J19,0))+parametros_manuales!$G$40*('Plan mensual'!J16+IF(parametros_manuales!$H$40="Todos",'Plan mensual'!J20,0)))*parametros_manuales!$I$40*parametros_manuales!$J$40</f>
        <v>828.415</v>
      </c>
      <c r="I50" s="4">
        <f>(parametros_manuales!$D$40*('Plan mensual'!K13+IF(parametros_manuales!$H$40="Todos",'Plan mensual'!K17,0))+parametros_manuales!$E$40*('Plan mensual'!K14+IF(parametros_manuales!$H$40="Todos",'Plan mensual'!K18,0))+parametros_manuales!$F$40*('Plan mensual'!K15+IF(parametros_manuales!$H$40="Todos",'Plan mensual'!K19,0))+parametros_manuales!$G$40*('Plan mensual'!K16+IF(parametros_manuales!$H$40="Todos",'Plan mensual'!K20,0)))*parametros_manuales!$I$40*parametros_manuales!$J$40</f>
        <v>828.415</v>
      </c>
      <c r="J50" s="4">
        <f>(parametros_manuales!$D$40*('Plan mensual'!L13+IF(parametros_manuales!$H$40="Todos",'Plan mensual'!L17,0))+parametros_manuales!$E$40*('Plan mensual'!L14+IF(parametros_manuales!$H$40="Todos",'Plan mensual'!L18,0))+parametros_manuales!$F$40*('Plan mensual'!L15+IF(parametros_manuales!$H$40="Todos",'Plan mensual'!L19,0))+parametros_manuales!$G$40*('Plan mensual'!L16+IF(parametros_manuales!$H$40="Todos",'Plan mensual'!L20,0)))*parametros_manuales!$I$40*parametros_manuales!$J$40</f>
        <v>828.415</v>
      </c>
      <c r="K50" s="4">
        <f>(parametros_manuales!$D$40*('Plan mensual'!M13+IF(parametros_manuales!$H$40="Todos",'Plan mensual'!M17,0))+parametros_manuales!$E$40*('Plan mensual'!M14+IF(parametros_manuales!$H$40="Todos",'Plan mensual'!M18,0))+parametros_manuales!$F$40*('Plan mensual'!M15+IF(parametros_manuales!$H$40="Todos",'Plan mensual'!M19,0))+parametros_manuales!$G$40*('Plan mensual'!M16+IF(parametros_manuales!$H$40="Todos",'Plan mensual'!M20,0)))*parametros_manuales!$I$40*parametros_manuales!$J$40</f>
        <v>804.75</v>
      </c>
      <c r="L50" s="4">
        <f>(parametros_manuales!$D$40*('Plan mensual'!N13+IF(parametros_manuales!$H$40="Todos",'Plan mensual'!N17,0))+parametros_manuales!$E$40*('Plan mensual'!N14+IF(parametros_manuales!$H$40="Todos",'Plan mensual'!N18,0))+parametros_manuales!$F$40*('Plan mensual'!N15+IF(parametros_manuales!$H$40="Todos",'Plan mensual'!N19,0))+parametros_manuales!$G$40*('Plan mensual'!N16+IF(parametros_manuales!$H$40="Todos",'Plan mensual'!N20,0)))*parametros_manuales!$I$40*parametros_manuales!$J$40</f>
        <v>781.085</v>
      </c>
      <c r="M50" s="4">
        <f>(parametros_manuales!$D$40*('Plan mensual'!O13+IF(parametros_manuales!$H$40="Todos",'Plan mensual'!O17,0))+parametros_manuales!$E$40*('Plan mensual'!O14+IF(parametros_manuales!$H$40="Todos",'Plan mensual'!O18,0))+parametros_manuales!$F$40*('Plan mensual'!O15+IF(parametros_manuales!$H$40="Todos",'Plan mensual'!O19,0))+parametros_manuales!$G$40*('Plan mensual'!O16+IF(parametros_manuales!$H$40="Todos",'Plan mensual'!O20,0)))*parametros_manuales!$I$40*parametros_manuales!$J$40</f>
        <v>1240.27</v>
      </c>
      <c r="N50" s="4">
        <f t="shared" si="4"/>
        <v>10730</v>
      </c>
      <c r="O50" s="4">
        <f t="shared" si="5"/>
        <v>1240.27</v>
      </c>
      <c r="P50" s="27">
        <f>O50/(parametros_manuales!$B$7)</f>
        <v>8.268466667</v>
      </c>
      <c r="Q50" s="3" t="str">
        <f t="shared" si="6"/>
        <v>Dic</v>
      </c>
    </row>
    <row r="51" ht="14.25" customHeight="1">
      <c r="A51" s="3" t="str">
        <f>parametros_manuales!$B$41</f>
        <v>Control de calidad — Ensayo de pérdidas</v>
      </c>
      <c r="B51" s="4">
        <f>(parametros_manuales!$D$41*('Plan mensual'!D13+IF(parametros_manuales!$H$41="Todos",'Plan mensual'!D17,0))+parametros_manuales!$E$41*('Plan mensual'!D14+IF(parametros_manuales!$H$41="Todos",'Plan mensual'!D18,0))+parametros_manuales!$F$41*('Plan mensual'!D15+IF(parametros_manuales!$H$41="Todos",'Plan mensual'!D19,0))+parametros_manuales!$G$41*('Plan mensual'!D16+IF(parametros_manuales!$H$41="Todos",'Plan mensual'!D20,0)))*parametros_manuales!$I$41*parametros_manuales!$J$41</f>
        <v>1192.94</v>
      </c>
      <c r="C51" s="4">
        <f>(parametros_manuales!$D$41*('Plan mensual'!E13+IF(parametros_manuales!$H$41="Todos",'Plan mensual'!E17,0))+parametros_manuales!$E$41*('Plan mensual'!E14+IF(parametros_manuales!$H$41="Todos",'Plan mensual'!E18,0))+parametros_manuales!$F$41*('Plan mensual'!E15+IF(parametros_manuales!$H$41="Todos",'Plan mensual'!E19,0))+parametros_manuales!$G$41*('Plan mensual'!E16+IF(parametros_manuales!$H$41="Todos",'Plan mensual'!E20,0)))*parametros_manuales!$I$41*parametros_manuales!$J$41</f>
        <v>918.37</v>
      </c>
      <c r="D51" s="4">
        <f>(parametros_manuales!$D$41*('Plan mensual'!F13+IF(parametros_manuales!$H$41="Todos",'Plan mensual'!F17,0))+parametros_manuales!$E$41*('Plan mensual'!F14+IF(parametros_manuales!$H$41="Todos",'Plan mensual'!F18,0))+parametros_manuales!$F$41*('Plan mensual'!F15+IF(parametros_manuales!$H$41="Todos",'Plan mensual'!F19,0))+parametros_manuales!$G$41*('Plan mensual'!F16+IF(parametros_manuales!$H$41="Todos",'Plan mensual'!F20,0)))*parametros_manuales!$I$41*parametros_manuales!$J$41</f>
        <v>882.065</v>
      </c>
      <c r="E51" s="4">
        <f>(parametros_manuales!$D$41*('Plan mensual'!G13+IF(parametros_manuales!$H$41="Todos",'Plan mensual'!G17,0))+parametros_manuales!$E$41*('Plan mensual'!G14+IF(parametros_manuales!$H$41="Todos",'Plan mensual'!G18,0))+parametros_manuales!$F$41*('Plan mensual'!G15+IF(parametros_manuales!$H$41="Todos",'Plan mensual'!G19,0))+parametros_manuales!$G$41*('Plan mensual'!G16+IF(parametros_manuales!$H$41="Todos",'Plan mensual'!G20,0)))*parametros_manuales!$I$41*parametros_manuales!$J$41</f>
        <v>852.08</v>
      </c>
      <c r="F51" s="4">
        <f>(parametros_manuales!$D$41*('Plan mensual'!H13+IF(parametros_manuales!$H$41="Todos",'Plan mensual'!H17,0))+parametros_manuales!$E$41*('Plan mensual'!H14+IF(parametros_manuales!$H$41="Todos",'Plan mensual'!H18,0))+parametros_manuales!$F$41*('Plan mensual'!H15+IF(parametros_manuales!$H$41="Todos",'Plan mensual'!H19,0))+parametros_manuales!$G$41*('Plan mensual'!H16+IF(parametros_manuales!$H$41="Todos",'Plan mensual'!H20,0)))*parametros_manuales!$I$41*parametros_manuales!$J$41</f>
        <v>798.43</v>
      </c>
      <c r="G51" s="4">
        <f>(parametros_manuales!$D$41*('Plan mensual'!I13+IF(parametros_manuales!$H$41="Todos",'Plan mensual'!I17,0))+parametros_manuales!$E$41*('Plan mensual'!I14+IF(parametros_manuales!$H$41="Todos",'Plan mensual'!I18,0))+parametros_manuales!$F$41*('Plan mensual'!I15+IF(parametros_manuales!$H$41="Todos",'Plan mensual'!I19,0))+parametros_manuales!$G$41*('Plan mensual'!I16+IF(parametros_manuales!$H$41="Todos",'Plan mensual'!I20,0)))*parametros_manuales!$I$41*parametros_manuales!$J$41</f>
        <v>774.765</v>
      </c>
      <c r="H51" s="4">
        <f>(parametros_manuales!$D$41*('Plan mensual'!J13+IF(parametros_manuales!$H$41="Todos",'Plan mensual'!J17,0))+parametros_manuales!$E$41*('Plan mensual'!J14+IF(parametros_manuales!$H$41="Todos",'Plan mensual'!J18,0))+parametros_manuales!$F$41*('Plan mensual'!J15+IF(parametros_manuales!$H$41="Todos",'Plan mensual'!J19,0))+parametros_manuales!$G$41*('Plan mensual'!J16+IF(parametros_manuales!$H$41="Todos",'Plan mensual'!J20,0)))*parametros_manuales!$I$41*parametros_manuales!$J$41</f>
        <v>828.415</v>
      </c>
      <c r="I51" s="4">
        <f>(parametros_manuales!$D$41*('Plan mensual'!K13+IF(parametros_manuales!$H$41="Todos",'Plan mensual'!K17,0))+parametros_manuales!$E$41*('Plan mensual'!K14+IF(parametros_manuales!$H$41="Todos",'Plan mensual'!K18,0))+parametros_manuales!$F$41*('Plan mensual'!K15+IF(parametros_manuales!$H$41="Todos",'Plan mensual'!K19,0))+parametros_manuales!$G$41*('Plan mensual'!K16+IF(parametros_manuales!$H$41="Todos",'Plan mensual'!K20,0)))*parametros_manuales!$I$41*parametros_manuales!$J$41</f>
        <v>828.415</v>
      </c>
      <c r="J51" s="4">
        <f>(parametros_manuales!$D$41*('Plan mensual'!L13+IF(parametros_manuales!$H$41="Todos",'Plan mensual'!L17,0))+parametros_manuales!$E$41*('Plan mensual'!L14+IF(parametros_manuales!$H$41="Todos",'Plan mensual'!L18,0))+parametros_manuales!$F$41*('Plan mensual'!L15+IF(parametros_manuales!$H$41="Todos",'Plan mensual'!L19,0))+parametros_manuales!$G$41*('Plan mensual'!L16+IF(parametros_manuales!$H$41="Todos",'Plan mensual'!L20,0)))*parametros_manuales!$I$41*parametros_manuales!$J$41</f>
        <v>828.415</v>
      </c>
      <c r="K51" s="4">
        <f>(parametros_manuales!$D$41*('Plan mensual'!M13+IF(parametros_manuales!$H$41="Todos",'Plan mensual'!M17,0))+parametros_manuales!$E$41*('Plan mensual'!M14+IF(parametros_manuales!$H$41="Todos",'Plan mensual'!M18,0))+parametros_manuales!$F$41*('Plan mensual'!M15+IF(parametros_manuales!$H$41="Todos",'Plan mensual'!M19,0))+parametros_manuales!$G$41*('Plan mensual'!M16+IF(parametros_manuales!$H$41="Todos",'Plan mensual'!M20,0)))*parametros_manuales!$I$41*parametros_manuales!$J$41</f>
        <v>804.75</v>
      </c>
      <c r="L51" s="4">
        <f>(parametros_manuales!$D$41*('Plan mensual'!N13+IF(parametros_manuales!$H$41="Todos",'Plan mensual'!N17,0))+parametros_manuales!$E$41*('Plan mensual'!N14+IF(parametros_manuales!$H$41="Todos",'Plan mensual'!N18,0))+parametros_manuales!$F$41*('Plan mensual'!N15+IF(parametros_manuales!$H$41="Todos",'Plan mensual'!N19,0))+parametros_manuales!$G$41*('Plan mensual'!N16+IF(parametros_manuales!$H$41="Todos",'Plan mensual'!N20,0)))*parametros_manuales!$I$41*parametros_manuales!$J$41</f>
        <v>781.085</v>
      </c>
      <c r="M51" s="4">
        <f>(parametros_manuales!$D$41*('Plan mensual'!O13+IF(parametros_manuales!$H$41="Todos",'Plan mensual'!O17,0))+parametros_manuales!$E$41*('Plan mensual'!O14+IF(parametros_manuales!$H$41="Todos",'Plan mensual'!O18,0))+parametros_manuales!$F$41*('Plan mensual'!O15+IF(parametros_manuales!$H$41="Todos",'Plan mensual'!O19,0))+parametros_manuales!$G$41*('Plan mensual'!O16+IF(parametros_manuales!$H$41="Todos",'Plan mensual'!O20,0)))*parametros_manuales!$I$41*parametros_manuales!$J$41</f>
        <v>1240.27</v>
      </c>
      <c r="N51" s="4">
        <f t="shared" si="4"/>
        <v>10730</v>
      </c>
      <c r="O51" s="4">
        <f t="shared" si="5"/>
        <v>1240.27</v>
      </c>
      <c r="P51" s="27">
        <f>O51/(parametros_manuales!$B$7)</f>
        <v>8.268466667</v>
      </c>
      <c r="Q51" s="3" t="str">
        <f t="shared" si="6"/>
        <v>Dic</v>
      </c>
    </row>
    <row r="52" ht="14.25" customHeight="1">
      <c r="A52" s="3" t="str">
        <f>parametros_manuales!$B$42</f>
        <v>Etiquetado</v>
      </c>
      <c r="B52" s="4">
        <f>(parametros_manuales!$D$42*('Plan mensual'!D13+IF(parametros_manuales!$H$42="Todos",'Plan mensual'!D17,0))+parametros_manuales!$E$42*('Plan mensual'!D14+IF(parametros_manuales!$H$42="Todos",'Plan mensual'!D18,0))+parametros_manuales!$F$42*('Plan mensual'!D15+IF(parametros_manuales!$H$42="Todos",'Plan mensual'!D19,0))+parametros_manuales!$G$42*('Plan mensual'!D16+IF(parametros_manuales!$H$42="Todos",'Plan mensual'!D20,0)))*parametros_manuales!$I$42*parametros_manuales!$J$42</f>
        <v>1192.94</v>
      </c>
      <c r="C52" s="4">
        <f>(parametros_manuales!$D$42*('Plan mensual'!E13+IF(parametros_manuales!$H$42="Todos",'Plan mensual'!E17,0))+parametros_manuales!$E$42*('Plan mensual'!E14+IF(parametros_manuales!$H$42="Todos",'Plan mensual'!E18,0))+parametros_manuales!$F$42*('Plan mensual'!E15+IF(parametros_manuales!$H$42="Todos",'Plan mensual'!E19,0))+parametros_manuales!$G$42*('Plan mensual'!E16+IF(parametros_manuales!$H$42="Todos",'Plan mensual'!E20,0)))*parametros_manuales!$I$42*parametros_manuales!$J$42</f>
        <v>918.37</v>
      </c>
      <c r="D52" s="4">
        <f>(parametros_manuales!$D$42*('Plan mensual'!F13+IF(parametros_manuales!$H$42="Todos",'Plan mensual'!F17,0))+parametros_manuales!$E$42*('Plan mensual'!F14+IF(parametros_manuales!$H$42="Todos",'Plan mensual'!F18,0))+parametros_manuales!$F$42*('Plan mensual'!F15+IF(parametros_manuales!$H$42="Todos",'Plan mensual'!F19,0))+parametros_manuales!$G$42*('Plan mensual'!F16+IF(parametros_manuales!$H$42="Todos",'Plan mensual'!F20,0)))*parametros_manuales!$I$42*parametros_manuales!$J$42</f>
        <v>882.065</v>
      </c>
      <c r="E52" s="4">
        <f>(parametros_manuales!$D$42*('Plan mensual'!G13+IF(parametros_manuales!$H$42="Todos",'Plan mensual'!G17,0))+parametros_manuales!$E$42*('Plan mensual'!G14+IF(parametros_manuales!$H$42="Todos",'Plan mensual'!G18,0))+parametros_manuales!$F$42*('Plan mensual'!G15+IF(parametros_manuales!$H$42="Todos",'Plan mensual'!G19,0))+parametros_manuales!$G$42*('Plan mensual'!G16+IF(parametros_manuales!$H$42="Todos",'Plan mensual'!G20,0)))*parametros_manuales!$I$42*parametros_manuales!$J$42</f>
        <v>852.08</v>
      </c>
      <c r="F52" s="4">
        <f>(parametros_manuales!$D$42*('Plan mensual'!H13+IF(parametros_manuales!$H$42="Todos",'Plan mensual'!H17,0))+parametros_manuales!$E$42*('Plan mensual'!H14+IF(parametros_manuales!$H$42="Todos",'Plan mensual'!H18,0))+parametros_manuales!$F$42*('Plan mensual'!H15+IF(parametros_manuales!$H$42="Todos",'Plan mensual'!H19,0))+parametros_manuales!$G$42*('Plan mensual'!H16+IF(parametros_manuales!$H$42="Todos",'Plan mensual'!H20,0)))*parametros_manuales!$I$42*parametros_manuales!$J$42</f>
        <v>798.43</v>
      </c>
      <c r="G52" s="4">
        <f>(parametros_manuales!$D$42*('Plan mensual'!I13+IF(parametros_manuales!$H$42="Todos",'Plan mensual'!I17,0))+parametros_manuales!$E$42*('Plan mensual'!I14+IF(parametros_manuales!$H$42="Todos",'Plan mensual'!I18,0))+parametros_manuales!$F$42*('Plan mensual'!I15+IF(parametros_manuales!$H$42="Todos",'Plan mensual'!I19,0))+parametros_manuales!$G$42*('Plan mensual'!I16+IF(parametros_manuales!$H$42="Todos",'Plan mensual'!I20,0)))*parametros_manuales!$I$42*parametros_manuales!$J$42</f>
        <v>774.765</v>
      </c>
      <c r="H52" s="4">
        <f>(parametros_manuales!$D$42*('Plan mensual'!J13+IF(parametros_manuales!$H$42="Todos",'Plan mensual'!J17,0))+parametros_manuales!$E$42*('Plan mensual'!J14+IF(parametros_manuales!$H$42="Todos",'Plan mensual'!J18,0))+parametros_manuales!$F$42*('Plan mensual'!J15+IF(parametros_manuales!$H$42="Todos",'Plan mensual'!J19,0))+parametros_manuales!$G$42*('Plan mensual'!J16+IF(parametros_manuales!$H$42="Todos",'Plan mensual'!J20,0)))*parametros_manuales!$I$42*parametros_manuales!$J$42</f>
        <v>828.415</v>
      </c>
      <c r="I52" s="4">
        <f>(parametros_manuales!$D$42*('Plan mensual'!K13+IF(parametros_manuales!$H$42="Todos",'Plan mensual'!K17,0))+parametros_manuales!$E$42*('Plan mensual'!K14+IF(parametros_manuales!$H$42="Todos",'Plan mensual'!K18,0))+parametros_manuales!$F$42*('Plan mensual'!K15+IF(parametros_manuales!$H$42="Todos",'Plan mensual'!K19,0))+parametros_manuales!$G$42*('Plan mensual'!K16+IF(parametros_manuales!$H$42="Todos",'Plan mensual'!K20,0)))*parametros_manuales!$I$42*parametros_manuales!$J$42</f>
        <v>828.415</v>
      </c>
      <c r="J52" s="4">
        <f>(parametros_manuales!$D$42*('Plan mensual'!L13+IF(parametros_manuales!$H$42="Todos",'Plan mensual'!L17,0))+parametros_manuales!$E$42*('Plan mensual'!L14+IF(parametros_manuales!$H$42="Todos",'Plan mensual'!L18,0))+parametros_manuales!$F$42*('Plan mensual'!L15+IF(parametros_manuales!$H$42="Todos",'Plan mensual'!L19,0))+parametros_manuales!$G$42*('Plan mensual'!L16+IF(parametros_manuales!$H$42="Todos",'Plan mensual'!L20,0)))*parametros_manuales!$I$42*parametros_manuales!$J$42</f>
        <v>828.415</v>
      </c>
      <c r="K52" s="4">
        <f>(parametros_manuales!$D$42*('Plan mensual'!M13+IF(parametros_manuales!$H$42="Todos",'Plan mensual'!M17,0))+parametros_manuales!$E$42*('Plan mensual'!M14+IF(parametros_manuales!$H$42="Todos",'Plan mensual'!M18,0))+parametros_manuales!$F$42*('Plan mensual'!M15+IF(parametros_manuales!$H$42="Todos",'Plan mensual'!M19,0))+parametros_manuales!$G$42*('Plan mensual'!M16+IF(parametros_manuales!$H$42="Todos",'Plan mensual'!M20,0)))*parametros_manuales!$I$42*parametros_manuales!$J$42</f>
        <v>804.75</v>
      </c>
      <c r="L52" s="4">
        <f>(parametros_manuales!$D$42*('Plan mensual'!N13+IF(parametros_manuales!$H$42="Todos",'Plan mensual'!N17,0))+parametros_manuales!$E$42*('Plan mensual'!N14+IF(parametros_manuales!$H$42="Todos",'Plan mensual'!N18,0))+parametros_manuales!$F$42*('Plan mensual'!N15+IF(parametros_manuales!$H$42="Todos",'Plan mensual'!N19,0))+parametros_manuales!$G$42*('Plan mensual'!N16+IF(parametros_manuales!$H$42="Todos",'Plan mensual'!N20,0)))*parametros_manuales!$I$42*parametros_manuales!$J$42</f>
        <v>781.085</v>
      </c>
      <c r="M52" s="4">
        <f>(parametros_manuales!$D$42*('Plan mensual'!O13+IF(parametros_manuales!$H$42="Todos",'Plan mensual'!O17,0))+parametros_manuales!$E$42*('Plan mensual'!O14+IF(parametros_manuales!$H$42="Todos",'Plan mensual'!O18,0))+parametros_manuales!$F$42*('Plan mensual'!O15+IF(parametros_manuales!$H$42="Todos",'Plan mensual'!O19,0))+parametros_manuales!$G$42*('Plan mensual'!O16+IF(parametros_manuales!$H$42="Todos",'Plan mensual'!O20,0)))*parametros_manuales!$I$42*parametros_manuales!$J$42</f>
        <v>1240.27</v>
      </c>
      <c r="N52" s="4">
        <f t="shared" si="4"/>
        <v>10730</v>
      </c>
      <c r="O52" s="4">
        <f t="shared" si="5"/>
        <v>1240.27</v>
      </c>
      <c r="P52" s="27">
        <f>O52/(parametros_manuales!$B$7)</f>
        <v>8.268466667</v>
      </c>
      <c r="Q52" s="3" t="str">
        <f t="shared" si="6"/>
        <v>Dic</v>
      </c>
    </row>
    <row r="53" ht="14.25" customHeight="1">
      <c r="A53" s="3" t="str">
        <f>parametros_manuales!$B$43</f>
        <v>Embalaje y paletizado</v>
      </c>
      <c r="B53" s="4">
        <f>(parametros_manuales!$D$43*('Plan mensual'!D13+IF(parametros_manuales!$H$43="Todos",'Plan mensual'!D17,0))+parametros_manuales!$E$43*('Plan mensual'!D14+IF(parametros_manuales!$H$43="Todos",'Plan mensual'!D18,0))+parametros_manuales!$F$43*('Plan mensual'!D15+IF(parametros_manuales!$H$43="Todos",'Plan mensual'!D19,0))+parametros_manuales!$G$43*('Plan mensual'!D16+IF(parametros_manuales!$H$43="Todos",'Plan mensual'!D20,0)))*parametros_manuales!$I$43*parametros_manuales!$J$43</f>
        <v>1192.94</v>
      </c>
      <c r="C53" s="4">
        <f>(parametros_manuales!$D$43*('Plan mensual'!E13+IF(parametros_manuales!$H$43="Todos",'Plan mensual'!E17,0))+parametros_manuales!$E$43*('Plan mensual'!E14+IF(parametros_manuales!$H$43="Todos",'Plan mensual'!E18,0))+parametros_manuales!$F$43*('Plan mensual'!E15+IF(parametros_manuales!$H$43="Todos",'Plan mensual'!E19,0))+parametros_manuales!$G$43*('Plan mensual'!E16+IF(parametros_manuales!$H$43="Todos",'Plan mensual'!E20,0)))*parametros_manuales!$I$43*parametros_manuales!$J$43</f>
        <v>918.37</v>
      </c>
      <c r="D53" s="4">
        <f>(parametros_manuales!$D$43*('Plan mensual'!F13+IF(parametros_manuales!$H$43="Todos",'Plan mensual'!F17,0))+parametros_manuales!$E$43*('Plan mensual'!F14+IF(parametros_manuales!$H$43="Todos",'Plan mensual'!F18,0))+parametros_manuales!$F$43*('Plan mensual'!F15+IF(parametros_manuales!$H$43="Todos",'Plan mensual'!F19,0))+parametros_manuales!$G$43*('Plan mensual'!F16+IF(parametros_manuales!$H$43="Todos",'Plan mensual'!F20,0)))*parametros_manuales!$I$43*parametros_manuales!$J$43</f>
        <v>882.065</v>
      </c>
      <c r="E53" s="4">
        <f>(parametros_manuales!$D$43*('Plan mensual'!G13+IF(parametros_manuales!$H$43="Todos",'Plan mensual'!G17,0))+parametros_manuales!$E$43*('Plan mensual'!G14+IF(parametros_manuales!$H$43="Todos",'Plan mensual'!G18,0))+parametros_manuales!$F$43*('Plan mensual'!G15+IF(parametros_manuales!$H$43="Todos",'Plan mensual'!G19,0))+parametros_manuales!$G$43*('Plan mensual'!G16+IF(parametros_manuales!$H$43="Todos",'Plan mensual'!G20,0)))*parametros_manuales!$I$43*parametros_manuales!$J$43</f>
        <v>852.08</v>
      </c>
      <c r="F53" s="4">
        <f>(parametros_manuales!$D$43*('Plan mensual'!H13+IF(parametros_manuales!$H$43="Todos",'Plan mensual'!H17,0))+parametros_manuales!$E$43*('Plan mensual'!H14+IF(parametros_manuales!$H$43="Todos",'Plan mensual'!H18,0))+parametros_manuales!$F$43*('Plan mensual'!H15+IF(parametros_manuales!$H$43="Todos",'Plan mensual'!H19,0))+parametros_manuales!$G$43*('Plan mensual'!H16+IF(parametros_manuales!$H$43="Todos",'Plan mensual'!H20,0)))*parametros_manuales!$I$43*parametros_manuales!$J$43</f>
        <v>798.43</v>
      </c>
      <c r="G53" s="4">
        <f>(parametros_manuales!$D$43*('Plan mensual'!I13+IF(parametros_manuales!$H$43="Todos",'Plan mensual'!I17,0))+parametros_manuales!$E$43*('Plan mensual'!I14+IF(parametros_manuales!$H$43="Todos",'Plan mensual'!I18,0))+parametros_manuales!$F$43*('Plan mensual'!I15+IF(parametros_manuales!$H$43="Todos",'Plan mensual'!I19,0))+parametros_manuales!$G$43*('Plan mensual'!I16+IF(parametros_manuales!$H$43="Todos",'Plan mensual'!I20,0)))*parametros_manuales!$I$43*parametros_manuales!$J$43</f>
        <v>774.765</v>
      </c>
      <c r="H53" s="4">
        <f>(parametros_manuales!$D$43*('Plan mensual'!J13+IF(parametros_manuales!$H$43="Todos",'Plan mensual'!J17,0))+parametros_manuales!$E$43*('Plan mensual'!J14+IF(parametros_manuales!$H$43="Todos",'Plan mensual'!J18,0))+parametros_manuales!$F$43*('Plan mensual'!J15+IF(parametros_manuales!$H$43="Todos",'Plan mensual'!J19,0))+parametros_manuales!$G$43*('Plan mensual'!J16+IF(parametros_manuales!$H$43="Todos",'Plan mensual'!J20,0)))*parametros_manuales!$I$43*parametros_manuales!$J$43</f>
        <v>828.415</v>
      </c>
      <c r="I53" s="4">
        <f>(parametros_manuales!$D$43*('Plan mensual'!K13+IF(parametros_manuales!$H$43="Todos",'Plan mensual'!K17,0))+parametros_manuales!$E$43*('Plan mensual'!K14+IF(parametros_manuales!$H$43="Todos",'Plan mensual'!K18,0))+parametros_manuales!$F$43*('Plan mensual'!K15+IF(parametros_manuales!$H$43="Todos",'Plan mensual'!K19,0))+parametros_manuales!$G$43*('Plan mensual'!K16+IF(parametros_manuales!$H$43="Todos",'Plan mensual'!K20,0)))*parametros_manuales!$I$43*parametros_manuales!$J$43</f>
        <v>828.415</v>
      </c>
      <c r="J53" s="4">
        <f>(parametros_manuales!$D$43*('Plan mensual'!L13+IF(parametros_manuales!$H$43="Todos",'Plan mensual'!L17,0))+parametros_manuales!$E$43*('Plan mensual'!L14+IF(parametros_manuales!$H$43="Todos",'Plan mensual'!L18,0))+parametros_manuales!$F$43*('Plan mensual'!L15+IF(parametros_manuales!$H$43="Todos",'Plan mensual'!L19,0))+parametros_manuales!$G$43*('Plan mensual'!L16+IF(parametros_manuales!$H$43="Todos",'Plan mensual'!L20,0)))*parametros_manuales!$I$43*parametros_manuales!$J$43</f>
        <v>828.415</v>
      </c>
      <c r="K53" s="4">
        <f>(parametros_manuales!$D$43*('Plan mensual'!M13+IF(parametros_manuales!$H$43="Todos",'Plan mensual'!M17,0))+parametros_manuales!$E$43*('Plan mensual'!M14+IF(parametros_manuales!$H$43="Todos",'Plan mensual'!M18,0))+parametros_manuales!$F$43*('Plan mensual'!M15+IF(parametros_manuales!$H$43="Todos",'Plan mensual'!M19,0))+parametros_manuales!$G$43*('Plan mensual'!M16+IF(parametros_manuales!$H$43="Todos",'Plan mensual'!M20,0)))*parametros_manuales!$I$43*parametros_manuales!$J$43</f>
        <v>804.75</v>
      </c>
      <c r="L53" s="4">
        <f>(parametros_manuales!$D$43*('Plan mensual'!N13+IF(parametros_manuales!$H$43="Todos",'Plan mensual'!N17,0))+parametros_manuales!$E$43*('Plan mensual'!N14+IF(parametros_manuales!$H$43="Todos",'Plan mensual'!N18,0))+parametros_manuales!$F$43*('Plan mensual'!N15+IF(parametros_manuales!$H$43="Todos",'Plan mensual'!N19,0))+parametros_manuales!$G$43*('Plan mensual'!N16+IF(parametros_manuales!$H$43="Todos",'Plan mensual'!N20,0)))*parametros_manuales!$I$43*parametros_manuales!$J$43</f>
        <v>781.085</v>
      </c>
      <c r="M53" s="4">
        <f>(parametros_manuales!$D$43*('Plan mensual'!O13+IF(parametros_manuales!$H$43="Todos",'Plan mensual'!O17,0))+parametros_manuales!$E$43*('Plan mensual'!O14+IF(parametros_manuales!$H$43="Todos",'Plan mensual'!O18,0))+parametros_manuales!$F$43*('Plan mensual'!O15+IF(parametros_manuales!$H$43="Todos",'Plan mensual'!O19,0))+parametros_manuales!$G$43*('Plan mensual'!O16+IF(parametros_manuales!$H$43="Todos",'Plan mensual'!O20,0)))*parametros_manuales!$I$43*parametros_manuales!$J$43</f>
        <v>1240.27</v>
      </c>
      <c r="N53" s="4">
        <f t="shared" si="4"/>
        <v>10730</v>
      </c>
      <c r="O53" s="4">
        <f t="shared" si="5"/>
        <v>1240.27</v>
      </c>
      <c r="P53" s="27">
        <f>O53/(parametros_manuales!$B$7)</f>
        <v>8.268466667</v>
      </c>
      <c r="Q53" s="3" t="str">
        <f t="shared" si="6"/>
        <v>Dic</v>
      </c>
    </row>
    <row r="54" ht="14.25" customHeight="1"/>
    <row r="55" ht="14.25" customHeight="1">
      <c r="A55" s="1" t="s">
        <v>179</v>
      </c>
      <c r="B55" s="1" t="s">
        <v>5</v>
      </c>
      <c r="C55" s="1" t="s">
        <v>7</v>
      </c>
      <c r="D55" s="1" t="s">
        <v>8</v>
      </c>
      <c r="E55" s="1" t="s">
        <v>9</v>
      </c>
      <c r="F55" s="1" t="s">
        <v>11</v>
      </c>
      <c r="G55" s="1" t="s">
        <v>12</v>
      </c>
      <c r="H55" s="1" t="s">
        <v>14</v>
      </c>
      <c r="I55" s="1" t="s">
        <v>15</v>
      </c>
      <c r="J55" s="1" t="s">
        <v>16</v>
      </c>
      <c r="K55" s="1" t="s">
        <v>18</v>
      </c>
      <c r="L55" s="1" t="s">
        <v>19</v>
      </c>
      <c r="M55" s="1" t="s">
        <v>20</v>
      </c>
      <c r="N55" s="1" t="s">
        <v>21</v>
      </c>
      <c r="O55" s="1" t="s">
        <v>22</v>
      </c>
      <c r="P55" s="1" t="s">
        <v>23</v>
      </c>
      <c r="Q55" s="1" t="s">
        <v>24</v>
      </c>
    </row>
    <row r="56" ht="14.25" customHeight="1">
      <c r="A56" s="3" t="str">
        <f>parametros_manuales!$B$19</f>
        <v>Recepción de materia prima</v>
      </c>
      <c r="B56" s="4">
        <f>(parametros_manuales!$D$19*('Plan mensual'!D24+IF(parametros_manuales!$H$19="Todos",'Plan mensual'!D28,0))+parametros_manuales!$E$19*('Plan mensual'!D25+IF(parametros_manuales!$H$19="Todos",'Plan mensual'!D29,0))+parametros_manuales!$F$19*('Plan mensual'!D26+IF(parametros_manuales!$H$19="Todos",'Plan mensual'!D30,0))+parametros_manuales!$G$19*('Plan mensual'!D27+IF(parametros_manuales!$H$19="Todos",'Plan mensual'!D31,0)))*parametros_manuales!$I$19*parametros_manuales!$J$19</f>
        <v>2561.98</v>
      </c>
      <c r="C56" s="4">
        <f>(parametros_manuales!$D$19*('Plan mensual'!E24+IF(parametros_manuales!$H$19="Todos",'Plan mensual'!E28,0))+parametros_manuales!$E$19*('Plan mensual'!E25+IF(parametros_manuales!$H$19="Todos",'Plan mensual'!E29,0))+parametros_manuales!$F$19*('Plan mensual'!E26+IF(parametros_manuales!$H$19="Todos",'Plan mensual'!E30,0))+parametros_manuales!$G$19*('Plan mensual'!E27+IF(parametros_manuales!$H$19="Todos",'Plan mensual'!E31,0)))*parametros_manuales!$I$19*parametros_manuales!$J$19</f>
        <v>1962.5</v>
      </c>
      <c r="D56" s="4">
        <f>(parametros_manuales!$D$19*('Plan mensual'!F24+IF(parametros_manuales!$H$19="Todos",'Plan mensual'!F28,0))+parametros_manuales!$E$19*('Plan mensual'!F25+IF(parametros_manuales!$H$19="Todos",'Plan mensual'!F29,0))+parametros_manuales!$F$19*('Plan mensual'!F26+IF(parametros_manuales!$H$19="Todos",'Plan mensual'!F30,0))+parametros_manuales!$G$19*('Plan mensual'!F27+IF(parametros_manuales!$H$19="Todos",'Plan mensual'!F31,0)))*parametros_manuales!$I$19*parametros_manuales!$J$19</f>
        <v>1858.375</v>
      </c>
      <c r="E56" s="4">
        <f>(parametros_manuales!$D$19*('Plan mensual'!G24+IF(parametros_manuales!$H$19="Todos",'Plan mensual'!G28,0))+parametros_manuales!$E$19*('Plan mensual'!G25+IF(parametros_manuales!$H$19="Todos",'Plan mensual'!G29,0))+parametros_manuales!$F$19*('Plan mensual'!G26+IF(parametros_manuales!$H$19="Todos",'Plan mensual'!G30,0))+parametros_manuales!$G$19*('Plan mensual'!G27+IF(parametros_manuales!$H$19="Todos",'Plan mensual'!G31,0)))*parametros_manuales!$I$19*parametros_manuales!$J$19</f>
        <v>1785.805</v>
      </c>
      <c r="F56" s="4">
        <f>(parametros_manuales!$D$19*('Plan mensual'!H24+IF(parametros_manuales!$H$19="Todos",'Plan mensual'!H28,0))+parametros_manuales!$E$19*('Plan mensual'!H25+IF(parametros_manuales!$H$19="Todos",'Plan mensual'!H29,0))+parametros_manuales!$F$19*('Plan mensual'!H26+IF(parametros_manuales!$H$19="Todos",'Plan mensual'!H30,0))+parametros_manuales!$G$19*('Plan mensual'!H27+IF(parametros_manuales!$H$19="Todos",'Plan mensual'!H31,0)))*parametros_manuales!$I$19*parametros_manuales!$J$19</f>
        <v>1672.22</v>
      </c>
      <c r="G56" s="4">
        <f>(parametros_manuales!$D$19*('Plan mensual'!I24+IF(parametros_manuales!$H$19="Todos",'Plan mensual'!I28,0))+parametros_manuales!$E$19*('Plan mensual'!I25+IF(parametros_manuales!$H$19="Todos",'Plan mensual'!I29,0))+parametros_manuales!$F$19*('Plan mensual'!I26+IF(parametros_manuales!$H$19="Todos",'Plan mensual'!I30,0))+parametros_manuales!$G$19*('Plan mensual'!I27+IF(parametros_manuales!$H$19="Todos",'Plan mensual'!I31,0)))*parametros_manuales!$I$19*parametros_manuales!$J$19</f>
        <v>1631.205</v>
      </c>
      <c r="H56" s="4">
        <f>(parametros_manuales!$D$19*('Plan mensual'!J24+IF(parametros_manuales!$H$19="Todos",'Plan mensual'!J28,0))+parametros_manuales!$E$19*('Plan mensual'!J25+IF(parametros_manuales!$H$19="Todos",'Plan mensual'!J29,0))+parametros_manuales!$F$19*('Plan mensual'!J26+IF(parametros_manuales!$H$19="Todos",'Plan mensual'!J30,0))+parametros_manuales!$G$19*('Plan mensual'!J27+IF(parametros_manuales!$H$19="Todos",'Plan mensual'!J31,0)))*parametros_manuales!$I$19*parametros_manuales!$J$19</f>
        <v>1744.79</v>
      </c>
      <c r="I56" s="4">
        <f>(parametros_manuales!$D$19*('Plan mensual'!K24+IF(parametros_manuales!$H$19="Todos",'Plan mensual'!K28,0))+parametros_manuales!$E$19*('Plan mensual'!K25+IF(parametros_manuales!$H$19="Todos",'Plan mensual'!K29,0))+parametros_manuales!$F$19*('Plan mensual'!K26+IF(parametros_manuales!$H$19="Todos",'Plan mensual'!K30,0))+parametros_manuales!$G$19*('Plan mensual'!K27+IF(parametros_manuales!$H$19="Todos",'Plan mensual'!K31,0)))*parametros_manuales!$I$19*parametros_manuales!$J$19</f>
        <v>1744.79</v>
      </c>
      <c r="J56" s="4">
        <f>(parametros_manuales!$D$19*('Plan mensual'!L24+IF(parametros_manuales!$H$19="Todos",'Plan mensual'!L28,0))+parametros_manuales!$E$19*('Plan mensual'!L25+IF(parametros_manuales!$H$19="Todos",'Plan mensual'!L29,0))+parametros_manuales!$F$19*('Plan mensual'!L26+IF(parametros_manuales!$H$19="Todos",'Plan mensual'!L30,0))+parametros_manuales!$G$19*('Plan mensual'!L27+IF(parametros_manuales!$H$19="Todos",'Plan mensual'!L31,0)))*parametros_manuales!$I$19*parametros_manuales!$J$19</f>
        <v>1744.79</v>
      </c>
      <c r="K56" s="4">
        <f>(parametros_manuales!$D$19*('Plan mensual'!M24+IF(parametros_manuales!$H$19="Todos",'Plan mensual'!M28,0))+parametros_manuales!$E$19*('Plan mensual'!M25+IF(parametros_manuales!$H$19="Todos",'Plan mensual'!M29,0))+parametros_manuales!$F$19*('Plan mensual'!M26+IF(parametros_manuales!$H$19="Todos",'Plan mensual'!M30,0))+parametros_manuales!$G$19*('Plan mensual'!M27+IF(parametros_manuales!$H$19="Todos",'Plan mensual'!M31,0)))*parametros_manuales!$I$19*parametros_manuales!$J$19</f>
        <v>1703.775</v>
      </c>
      <c r="L56" s="4">
        <f>(parametros_manuales!$D$19*('Plan mensual'!N24+IF(parametros_manuales!$H$19="Todos",'Plan mensual'!N28,0))+parametros_manuales!$E$19*('Plan mensual'!N25+IF(parametros_manuales!$H$19="Todos",'Plan mensual'!N29,0))+parametros_manuales!$F$19*('Plan mensual'!N26+IF(parametros_manuales!$H$19="Todos",'Plan mensual'!N30,0))+parametros_manuales!$G$19*('Plan mensual'!N27+IF(parametros_manuales!$H$19="Todos",'Plan mensual'!N31,0)))*parametros_manuales!$I$19*parametros_manuales!$J$19</f>
        <v>1662.76</v>
      </c>
      <c r="M56" s="4">
        <f>(parametros_manuales!$D$19*('Plan mensual'!O24+IF(parametros_manuales!$H$19="Todos",'Plan mensual'!O28,0))+parametros_manuales!$E$19*('Plan mensual'!O25+IF(parametros_manuales!$H$19="Todos",'Plan mensual'!O29,0))+parametros_manuales!$F$19*('Plan mensual'!O26+IF(parametros_manuales!$H$19="Todos",'Plan mensual'!O30,0))+parametros_manuales!$G$19*('Plan mensual'!O27+IF(parametros_manuales!$H$19="Todos",'Plan mensual'!O31,0)))*parametros_manuales!$I$19*parametros_manuales!$J$19</f>
        <v>2644.01</v>
      </c>
      <c r="N56" s="4">
        <f t="shared" ref="N56:N80" si="7">SUM(B56:M56)</f>
        <v>22717</v>
      </c>
      <c r="O56" s="4">
        <f t="shared" ref="O56:O80" si="8">MAX(B56:M56)</f>
        <v>2644.01</v>
      </c>
      <c r="P56" s="27">
        <f>O56/(parametros_manuales!$B$7)</f>
        <v>17.62673333</v>
      </c>
      <c r="Q56" s="3" t="str">
        <f t="shared" ref="Q56:Q80" si="9">IF(O56=0,"-",INDEX($B$55:$M$55,MATCH(O56,B56:M56,0)))</f>
        <v>Dic</v>
      </c>
    </row>
    <row r="57" ht="14.25" customHeight="1">
      <c r="A57" s="3" t="str">
        <f>parametros_manuales!$B$20</f>
        <v>Corte de chapa (guillotina) — 2,5 a 10 kg</v>
      </c>
      <c r="B57" s="4">
        <f>(parametros_manuales!$D$20*('Plan mensual'!D24+IF(parametros_manuales!$H$20="Todos",'Plan mensual'!D28,0))+parametros_manuales!$E$20*('Plan mensual'!D25+IF(parametros_manuales!$H$20="Todos",'Plan mensual'!D29,0))+parametros_manuales!$F$20*('Plan mensual'!D26+IF(parametros_manuales!$H$20="Todos",'Plan mensual'!D30,0))+parametros_manuales!$G$20*('Plan mensual'!D27+IF(parametros_manuales!$H$20="Todos",'Plan mensual'!D31,0)))*parametros_manuales!$I$20*parametros_manuales!$J$20</f>
        <v>820.3</v>
      </c>
      <c r="C57" s="4">
        <f>(parametros_manuales!$D$20*('Plan mensual'!E24+IF(parametros_manuales!$H$20="Todos",'Plan mensual'!E28,0))+parametros_manuales!$E$20*('Plan mensual'!E25+IF(parametros_manuales!$H$20="Todos",'Plan mensual'!E29,0))+parametros_manuales!$F$20*('Plan mensual'!E26+IF(parametros_manuales!$H$20="Todos",'Plan mensual'!E30,0))+parametros_manuales!$G$20*('Plan mensual'!E27+IF(parametros_manuales!$H$20="Todos",'Plan mensual'!E31,0)))*parametros_manuales!$I$20*parametros_manuales!$J$20</f>
        <v>656.24</v>
      </c>
      <c r="D57" s="4">
        <f>(parametros_manuales!$D$20*('Plan mensual'!F24+IF(parametros_manuales!$H$20="Todos",'Plan mensual'!F28,0))+parametros_manuales!$E$20*('Plan mensual'!F25+IF(parametros_manuales!$H$20="Todos",'Plan mensual'!F29,0))+parametros_manuales!$F$20*('Plan mensual'!F26+IF(parametros_manuales!$H$20="Todos",'Plan mensual'!F30,0))+parametros_manuales!$G$20*('Plan mensual'!F27+IF(parametros_manuales!$H$20="Todos",'Plan mensual'!F31,0)))*parametros_manuales!$I$20*parametros_manuales!$J$20</f>
        <v>697.255</v>
      </c>
      <c r="E57" s="4">
        <f>(parametros_manuales!$D$20*('Plan mensual'!G24+IF(parametros_manuales!$H$20="Todos",'Plan mensual'!G28,0))+parametros_manuales!$E$20*('Plan mensual'!G25+IF(parametros_manuales!$H$20="Todos",'Plan mensual'!G29,0))+parametros_manuales!$F$20*('Plan mensual'!G26+IF(parametros_manuales!$H$20="Todos",'Plan mensual'!G30,0))+parametros_manuales!$G$20*('Plan mensual'!G27+IF(parametros_manuales!$H$20="Todos",'Plan mensual'!G31,0)))*parametros_manuales!$I$20*parametros_manuales!$J$20</f>
        <v>697.255</v>
      </c>
      <c r="F57" s="4">
        <f>(parametros_manuales!$D$20*('Plan mensual'!H24+IF(parametros_manuales!$H$20="Todos",'Plan mensual'!H28,0))+parametros_manuales!$E$20*('Plan mensual'!H25+IF(parametros_manuales!$H$20="Todos",'Plan mensual'!H29,0))+parametros_manuales!$F$20*('Plan mensual'!H26+IF(parametros_manuales!$H$20="Todos",'Plan mensual'!H30,0))+parametros_manuales!$G$20*('Plan mensual'!H27+IF(parametros_manuales!$H$20="Todos",'Plan mensual'!H31,0)))*parametros_manuales!$I$20*parametros_manuales!$J$20</f>
        <v>656.24</v>
      </c>
      <c r="G57" s="4">
        <f>(parametros_manuales!$D$20*('Plan mensual'!I24+IF(parametros_manuales!$H$20="Todos",'Plan mensual'!I28,0))+parametros_manuales!$E$20*('Plan mensual'!I25+IF(parametros_manuales!$H$20="Todos",'Plan mensual'!I29,0))+parametros_manuales!$F$20*('Plan mensual'!I26+IF(parametros_manuales!$H$20="Todos",'Plan mensual'!I30,0))+parametros_manuales!$G$20*('Plan mensual'!I27+IF(parametros_manuales!$H$20="Todos",'Plan mensual'!I31,0)))*parametros_manuales!$I$20*parametros_manuales!$J$20</f>
        <v>615.225</v>
      </c>
      <c r="H57" s="4">
        <f>(parametros_manuales!$D$20*('Plan mensual'!J24+IF(parametros_manuales!$H$20="Todos",'Plan mensual'!J28,0))+parametros_manuales!$E$20*('Plan mensual'!J25+IF(parametros_manuales!$H$20="Todos",'Plan mensual'!J29,0))+parametros_manuales!$F$20*('Plan mensual'!J26+IF(parametros_manuales!$H$20="Todos",'Plan mensual'!J30,0))+parametros_manuales!$G$20*('Plan mensual'!J27+IF(parametros_manuales!$H$20="Todos",'Plan mensual'!J31,0)))*parametros_manuales!$I$20*parametros_manuales!$J$20</f>
        <v>656.24</v>
      </c>
      <c r="I57" s="4">
        <f>(parametros_manuales!$D$20*('Plan mensual'!K24+IF(parametros_manuales!$H$20="Todos",'Plan mensual'!K28,0))+parametros_manuales!$E$20*('Plan mensual'!K25+IF(parametros_manuales!$H$20="Todos",'Plan mensual'!K29,0))+parametros_manuales!$F$20*('Plan mensual'!K26+IF(parametros_manuales!$H$20="Todos",'Plan mensual'!K30,0))+parametros_manuales!$G$20*('Plan mensual'!K27+IF(parametros_manuales!$H$20="Todos",'Plan mensual'!K31,0)))*parametros_manuales!$I$20*parametros_manuales!$J$20</f>
        <v>656.24</v>
      </c>
      <c r="J57" s="4">
        <f>(parametros_manuales!$D$20*('Plan mensual'!L24+IF(parametros_manuales!$H$20="Todos",'Plan mensual'!L28,0))+parametros_manuales!$E$20*('Plan mensual'!L25+IF(parametros_manuales!$H$20="Todos",'Plan mensual'!L29,0))+parametros_manuales!$F$20*('Plan mensual'!L26+IF(parametros_manuales!$H$20="Todos",'Plan mensual'!L30,0))+parametros_manuales!$G$20*('Plan mensual'!L27+IF(parametros_manuales!$H$20="Todos",'Plan mensual'!L31,0)))*parametros_manuales!$I$20*parametros_manuales!$J$20</f>
        <v>656.24</v>
      </c>
      <c r="K57" s="4">
        <f>(parametros_manuales!$D$20*('Plan mensual'!M24+IF(parametros_manuales!$H$20="Todos",'Plan mensual'!M28,0))+parametros_manuales!$E$20*('Plan mensual'!M25+IF(parametros_manuales!$H$20="Todos",'Plan mensual'!M29,0))+parametros_manuales!$F$20*('Plan mensual'!M26+IF(parametros_manuales!$H$20="Todos",'Plan mensual'!M30,0))+parametros_manuales!$G$20*('Plan mensual'!M27+IF(parametros_manuales!$H$20="Todos",'Plan mensual'!M31,0)))*parametros_manuales!$I$20*parametros_manuales!$J$20</f>
        <v>615.225</v>
      </c>
      <c r="L57" s="4">
        <f>(parametros_manuales!$D$20*('Plan mensual'!N24+IF(parametros_manuales!$H$20="Todos",'Plan mensual'!N28,0))+parametros_manuales!$E$20*('Plan mensual'!N25+IF(parametros_manuales!$H$20="Todos",'Plan mensual'!N29,0))+parametros_manuales!$F$20*('Plan mensual'!N26+IF(parametros_manuales!$H$20="Todos",'Plan mensual'!N30,0))+parametros_manuales!$G$20*('Plan mensual'!N27+IF(parametros_manuales!$H$20="Todos",'Plan mensual'!N31,0)))*parametros_manuales!$I$20*parametros_manuales!$J$20</f>
        <v>574.21</v>
      </c>
      <c r="M57" s="4">
        <f>(parametros_manuales!$D$20*('Plan mensual'!O24+IF(parametros_manuales!$H$20="Todos",'Plan mensual'!O28,0))+parametros_manuales!$E$20*('Plan mensual'!O25+IF(parametros_manuales!$H$20="Todos",'Plan mensual'!O29,0))+parametros_manuales!$F$20*('Plan mensual'!O26+IF(parametros_manuales!$H$20="Todos",'Plan mensual'!O30,0))+parametros_manuales!$G$20*('Plan mensual'!O27+IF(parametros_manuales!$H$20="Todos",'Plan mensual'!O31,0)))*parametros_manuales!$I$20*parametros_manuales!$J$20</f>
        <v>902.33</v>
      </c>
      <c r="N57" s="4">
        <f t="shared" si="7"/>
        <v>8203</v>
      </c>
      <c r="O57" s="4">
        <f t="shared" si="8"/>
        <v>902.33</v>
      </c>
      <c r="P57" s="27">
        <f>O57/(parametros_manuales!$B$7)</f>
        <v>6.015533333</v>
      </c>
      <c r="Q57" s="3" t="str">
        <f t="shared" si="9"/>
        <v>Dic</v>
      </c>
    </row>
    <row r="58" ht="14.25" customHeight="1">
      <c r="A58" s="3" t="str">
        <f>parametros_manuales!$B$21</f>
        <v>Corte de tubo — 1 kg</v>
      </c>
      <c r="B58" s="4">
        <f>(parametros_manuales!$D$21*('Plan mensual'!D24+IF(parametros_manuales!$H$21="Todos",'Plan mensual'!D28,0))+parametros_manuales!$E$21*('Plan mensual'!D25+IF(parametros_manuales!$H$21="Todos",'Plan mensual'!D29,0))+parametros_manuales!$F$21*('Plan mensual'!D26+IF(parametros_manuales!$H$21="Todos",'Plan mensual'!D30,0))+parametros_manuales!$G$21*('Plan mensual'!D27+IF(parametros_manuales!$H$21="Todos",'Plan mensual'!D31,0)))*parametros_manuales!$I$21*parametros_manuales!$J$21</f>
        <v>1741.68</v>
      </c>
      <c r="C58" s="4">
        <f>(parametros_manuales!$D$21*('Plan mensual'!E24+IF(parametros_manuales!$H$21="Todos",'Plan mensual'!E28,0))+parametros_manuales!$E$21*('Plan mensual'!E25+IF(parametros_manuales!$H$21="Todos",'Plan mensual'!E29,0))+parametros_manuales!$F$21*('Plan mensual'!E26+IF(parametros_manuales!$H$21="Todos",'Plan mensual'!E30,0))+parametros_manuales!$G$21*('Plan mensual'!E27+IF(parametros_manuales!$H$21="Todos",'Plan mensual'!E31,0)))*parametros_manuales!$I$21*parametros_manuales!$J$21</f>
        <v>1306.26</v>
      </c>
      <c r="D58" s="4">
        <f>(parametros_manuales!$D$21*('Plan mensual'!F24+IF(parametros_manuales!$H$21="Todos",'Plan mensual'!F28,0))+parametros_manuales!$E$21*('Plan mensual'!F25+IF(parametros_manuales!$H$21="Todos",'Plan mensual'!F29,0))+parametros_manuales!$F$21*('Plan mensual'!F26+IF(parametros_manuales!$H$21="Todos",'Plan mensual'!F30,0))+parametros_manuales!$G$21*('Plan mensual'!F27+IF(parametros_manuales!$H$21="Todos",'Plan mensual'!F31,0)))*parametros_manuales!$I$21*parametros_manuales!$J$21</f>
        <v>1161.12</v>
      </c>
      <c r="E58" s="4">
        <f>(parametros_manuales!$D$21*('Plan mensual'!G24+IF(parametros_manuales!$H$21="Todos",'Plan mensual'!G28,0))+parametros_manuales!$E$21*('Plan mensual'!G25+IF(parametros_manuales!$H$21="Todos",'Plan mensual'!G29,0))+parametros_manuales!$F$21*('Plan mensual'!G26+IF(parametros_manuales!$H$21="Todos",'Plan mensual'!G30,0))+parametros_manuales!$G$21*('Plan mensual'!G27+IF(parametros_manuales!$H$21="Todos",'Plan mensual'!G31,0)))*parametros_manuales!$I$21*parametros_manuales!$J$21</f>
        <v>1088.55</v>
      </c>
      <c r="F58" s="4">
        <f>(parametros_manuales!$D$21*('Plan mensual'!H24+IF(parametros_manuales!$H$21="Todos",'Plan mensual'!H28,0))+parametros_manuales!$E$21*('Plan mensual'!H25+IF(parametros_manuales!$H$21="Todos",'Plan mensual'!H29,0))+parametros_manuales!$F$21*('Plan mensual'!H26+IF(parametros_manuales!$H$21="Todos",'Plan mensual'!H30,0))+parametros_manuales!$G$21*('Plan mensual'!H27+IF(parametros_manuales!$H$21="Todos",'Plan mensual'!H31,0)))*parametros_manuales!$I$21*parametros_manuales!$J$21</f>
        <v>1015.98</v>
      </c>
      <c r="G58" s="4">
        <f>(parametros_manuales!$D$21*('Plan mensual'!I24+IF(parametros_manuales!$H$21="Todos",'Plan mensual'!I28,0))+parametros_manuales!$E$21*('Plan mensual'!I25+IF(parametros_manuales!$H$21="Todos",'Plan mensual'!I29,0))+parametros_manuales!$F$21*('Plan mensual'!I26+IF(parametros_manuales!$H$21="Todos",'Plan mensual'!I30,0))+parametros_manuales!$G$21*('Plan mensual'!I27+IF(parametros_manuales!$H$21="Todos",'Plan mensual'!I31,0)))*parametros_manuales!$I$21*parametros_manuales!$J$21</f>
        <v>1015.98</v>
      </c>
      <c r="H58" s="4">
        <f>(parametros_manuales!$D$21*('Plan mensual'!J24+IF(parametros_manuales!$H$21="Todos",'Plan mensual'!J28,0))+parametros_manuales!$E$21*('Plan mensual'!J25+IF(parametros_manuales!$H$21="Todos",'Plan mensual'!J29,0))+parametros_manuales!$F$21*('Plan mensual'!J26+IF(parametros_manuales!$H$21="Todos",'Plan mensual'!J30,0))+parametros_manuales!$G$21*('Plan mensual'!J27+IF(parametros_manuales!$H$21="Todos",'Plan mensual'!J31,0)))*parametros_manuales!$I$21*parametros_manuales!$J$21</f>
        <v>1088.55</v>
      </c>
      <c r="I58" s="4">
        <f>(parametros_manuales!$D$21*('Plan mensual'!K24+IF(parametros_manuales!$H$21="Todos",'Plan mensual'!K28,0))+parametros_manuales!$E$21*('Plan mensual'!K25+IF(parametros_manuales!$H$21="Todos",'Plan mensual'!K29,0))+parametros_manuales!$F$21*('Plan mensual'!K26+IF(parametros_manuales!$H$21="Todos",'Plan mensual'!K30,0))+parametros_manuales!$G$21*('Plan mensual'!K27+IF(parametros_manuales!$H$21="Todos",'Plan mensual'!K31,0)))*parametros_manuales!$I$21*parametros_manuales!$J$21</f>
        <v>1088.55</v>
      </c>
      <c r="J58" s="4">
        <f>(parametros_manuales!$D$21*('Plan mensual'!L24+IF(parametros_manuales!$H$21="Todos",'Plan mensual'!L28,0))+parametros_manuales!$E$21*('Plan mensual'!L25+IF(parametros_manuales!$H$21="Todos",'Plan mensual'!L29,0))+parametros_manuales!$F$21*('Plan mensual'!L26+IF(parametros_manuales!$H$21="Todos",'Plan mensual'!L30,0))+parametros_manuales!$G$21*('Plan mensual'!L27+IF(parametros_manuales!$H$21="Todos",'Plan mensual'!L31,0)))*parametros_manuales!$I$21*parametros_manuales!$J$21</f>
        <v>1088.55</v>
      </c>
      <c r="K58" s="4">
        <f>(parametros_manuales!$D$21*('Plan mensual'!M24+IF(parametros_manuales!$H$21="Todos",'Plan mensual'!M28,0))+parametros_manuales!$E$21*('Plan mensual'!M25+IF(parametros_manuales!$H$21="Todos",'Plan mensual'!M29,0))+parametros_manuales!$F$21*('Plan mensual'!M26+IF(parametros_manuales!$H$21="Todos",'Plan mensual'!M30,0))+parametros_manuales!$G$21*('Plan mensual'!M27+IF(parametros_manuales!$H$21="Todos",'Plan mensual'!M31,0)))*parametros_manuales!$I$21*parametros_manuales!$J$21</f>
        <v>1088.55</v>
      </c>
      <c r="L58" s="4">
        <f>(parametros_manuales!$D$21*('Plan mensual'!N24+IF(parametros_manuales!$H$21="Todos",'Plan mensual'!N28,0))+parametros_manuales!$E$21*('Plan mensual'!N25+IF(parametros_manuales!$H$21="Todos",'Plan mensual'!N29,0))+parametros_manuales!$F$21*('Plan mensual'!N26+IF(parametros_manuales!$H$21="Todos",'Plan mensual'!N30,0))+parametros_manuales!$G$21*('Plan mensual'!N27+IF(parametros_manuales!$H$21="Todos",'Plan mensual'!N31,0)))*parametros_manuales!$I$21*parametros_manuales!$J$21</f>
        <v>1088.55</v>
      </c>
      <c r="M58" s="4">
        <f>(parametros_manuales!$D$21*('Plan mensual'!O24+IF(parametros_manuales!$H$21="Todos",'Plan mensual'!O28,0))+parametros_manuales!$E$21*('Plan mensual'!O25+IF(parametros_manuales!$H$21="Todos",'Plan mensual'!O29,0))+parametros_manuales!$F$21*('Plan mensual'!O26+IF(parametros_manuales!$H$21="Todos",'Plan mensual'!O30,0))+parametros_manuales!$G$21*('Plan mensual'!O27+IF(parametros_manuales!$H$21="Todos",'Plan mensual'!O31,0)))*parametros_manuales!$I$21*parametros_manuales!$J$21</f>
        <v>1741.68</v>
      </c>
      <c r="N58" s="4">
        <f t="shared" si="7"/>
        <v>14514</v>
      </c>
      <c r="O58" s="4">
        <f t="shared" si="8"/>
        <v>1741.68</v>
      </c>
      <c r="P58" s="27">
        <f>O58/(parametros_manuales!$B$7)</f>
        <v>11.6112</v>
      </c>
      <c r="Q58" s="3" t="str">
        <f t="shared" si="9"/>
        <v>Ene</v>
      </c>
    </row>
    <row r="59" ht="14.25" customHeight="1">
      <c r="A59" s="3" t="str">
        <f>parametros_manuales!$B$22</f>
        <v>Corte de disco y embutido (cúpula y fondo)</v>
      </c>
      <c r="B59" s="4">
        <f>(parametros_manuales!$D$22*('Plan mensual'!D24+IF(parametros_manuales!$H$22="Todos",'Plan mensual'!D28,0))+parametros_manuales!$E$22*('Plan mensual'!D25+IF(parametros_manuales!$H$22="Todos",'Plan mensual'!D29,0))+parametros_manuales!$F$22*('Plan mensual'!D26+IF(parametros_manuales!$H$22="Todos",'Plan mensual'!D30,0))+parametros_manuales!$G$22*('Plan mensual'!D27+IF(parametros_manuales!$H$22="Todos",'Plan mensual'!D31,0)))*parametros_manuales!$I$22*parametros_manuales!$J$22</f>
        <v>5123.96</v>
      </c>
      <c r="C59" s="4">
        <f>(parametros_manuales!$D$22*('Plan mensual'!E24+IF(parametros_manuales!$H$22="Todos",'Plan mensual'!E28,0))+parametros_manuales!$E$22*('Plan mensual'!E25+IF(parametros_manuales!$H$22="Todos",'Plan mensual'!E29,0))+parametros_manuales!$F$22*('Plan mensual'!E26+IF(parametros_manuales!$H$22="Todos",'Plan mensual'!E30,0))+parametros_manuales!$G$22*('Plan mensual'!E27+IF(parametros_manuales!$H$22="Todos",'Plan mensual'!E31,0)))*parametros_manuales!$I$22*parametros_manuales!$J$22</f>
        <v>3925</v>
      </c>
      <c r="D59" s="4">
        <f>(parametros_manuales!$D$22*('Plan mensual'!F24+IF(parametros_manuales!$H$22="Todos",'Plan mensual'!F28,0))+parametros_manuales!$E$22*('Plan mensual'!F25+IF(parametros_manuales!$H$22="Todos",'Plan mensual'!F29,0))+parametros_manuales!$F$22*('Plan mensual'!F26+IF(parametros_manuales!$H$22="Todos",'Plan mensual'!F30,0))+parametros_manuales!$G$22*('Plan mensual'!F27+IF(parametros_manuales!$H$22="Todos",'Plan mensual'!F31,0)))*parametros_manuales!$I$22*parametros_manuales!$J$22</f>
        <v>3716.75</v>
      </c>
      <c r="E59" s="4">
        <f>(parametros_manuales!$D$22*('Plan mensual'!G24+IF(parametros_manuales!$H$22="Todos",'Plan mensual'!G28,0))+parametros_manuales!$E$22*('Plan mensual'!G25+IF(parametros_manuales!$H$22="Todos",'Plan mensual'!G29,0))+parametros_manuales!$F$22*('Plan mensual'!G26+IF(parametros_manuales!$H$22="Todos",'Plan mensual'!G30,0))+parametros_manuales!$G$22*('Plan mensual'!G27+IF(parametros_manuales!$H$22="Todos",'Plan mensual'!G31,0)))*parametros_manuales!$I$22*parametros_manuales!$J$22</f>
        <v>3571.61</v>
      </c>
      <c r="F59" s="4">
        <f>(parametros_manuales!$D$22*('Plan mensual'!H24+IF(parametros_manuales!$H$22="Todos",'Plan mensual'!H28,0))+parametros_manuales!$E$22*('Plan mensual'!H25+IF(parametros_manuales!$H$22="Todos",'Plan mensual'!H29,0))+parametros_manuales!$F$22*('Plan mensual'!H26+IF(parametros_manuales!$H$22="Todos",'Plan mensual'!H30,0))+parametros_manuales!$G$22*('Plan mensual'!H27+IF(parametros_manuales!$H$22="Todos",'Plan mensual'!H31,0)))*parametros_manuales!$I$22*parametros_manuales!$J$22</f>
        <v>3344.44</v>
      </c>
      <c r="G59" s="4">
        <f>(parametros_manuales!$D$22*('Plan mensual'!I24+IF(parametros_manuales!$H$22="Todos",'Plan mensual'!I28,0))+parametros_manuales!$E$22*('Plan mensual'!I25+IF(parametros_manuales!$H$22="Todos",'Plan mensual'!I29,0))+parametros_manuales!$F$22*('Plan mensual'!I26+IF(parametros_manuales!$H$22="Todos",'Plan mensual'!I30,0))+parametros_manuales!$G$22*('Plan mensual'!I27+IF(parametros_manuales!$H$22="Todos",'Plan mensual'!I31,0)))*parametros_manuales!$I$22*parametros_manuales!$J$22</f>
        <v>3262.41</v>
      </c>
      <c r="H59" s="4">
        <f>(parametros_manuales!$D$22*('Plan mensual'!J24+IF(parametros_manuales!$H$22="Todos",'Plan mensual'!J28,0))+parametros_manuales!$E$22*('Plan mensual'!J25+IF(parametros_manuales!$H$22="Todos",'Plan mensual'!J29,0))+parametros_manuales!$F$22*('Plan mensual'!J26+IF(parametros_manuales!$H$22="Todos",'Plan mensual'!J30,0))+parametros_manuales!$G$22*('Plan mensual'!J27+IF(parametros_manuales!$H$22="Todos",'Plan mensual'!J31,0)))*parametros_manuales!$I$22*parametros_manuales!$J$22</f>
        <v>3489.58</v>
      </c>
      <c r="I59" s="4">
        <f>(parametros_manuales!$D$22*('Plan mensual'!K24+IF(parametros_manuales!$H$22="Todos",'Plan mensual'!K28,0))+parametros_manuales!$E$22*('Plan mensual'!K25+IF(parametros_manuales!$H$22="Todos",'Plan mensual'!K29,0))+parametros_manuales!$F$22*('Plan mensual'!K26+IF(parametros_manuales!$H$22="Todos",'Plan mensual'!K30,0))+parametros_manuales!$G$22*('Plan mensual'!K27+IF(parametros_manuales!$H$22="Todos",'Plan mensual'!K31,0)))*parametros_manuales!$I$22*parametros_manuales!$J$22</f>
        <v>3489.58</v>
      </c>
      <c r="J59" s="4">
        <f>(parametros_manuales!$D$22*('Plan mensual'!L24+IF(parametros_manuales!$H$22="Todos",'Plan mensual'!L28,0))+parametros_manuales!$E$22*('Plan mensual'!L25+IF(parametros_manuales!$H$22="Todos",'Plan mensual'!L29,0))+parametros_manuales!$F$22*('Plan mensual'!L26+IF(parametros_manuales!$H$22="Todos",'Plan mensual'!L30,0))+parametros_manuales!$G$22*('Plan mensual'!L27+IF(parametros_manuales!$H$22="Todos",'Plan mensual'!L31,0)))*parametros_manuales!$I$22*parametros_manuales!$J$22</f>
        <v>3489.58</v>
      </c>
      <c r="K59" s="4">
        <f>(parametros_manuales!$D$22*('Plan mensual'!M24+IF(parametros_manuales!$H$22="Todos",'Plan mensual'!M28,0))+parametros_manuales!$E$22*('Plan mensual'!M25+IF(parametros_manuales!$H$22="Todos",'Plan mensual'!M29,0))+parametros_manuales!$F$22*('Plan mensual'!M26+IF(parametros_manuales!$H$22="Todos",'Plan mensual'!M30,0))+parametros_manuales!$G$22*('Plan mensual'!M27+IF(parametros_manuales!$H$22="Todos",'Plan mensual'!M31,0)))*parametros_manuales!$I$22*parametros_manuales!$J$22</f>
        <v>3407.55</v>
      </c>
      <c r="L59" s="4">
        <f>(parametros_manuales!$D$22*('Plan mensual'!N24+IF(parametros_manuales!$H$22="Todos",'Plan mensual'!N28,0))+parametros_manuales!$E$22*('Plan mensual'!N25+IF(parametros_manuales!$H$22="Todos",'Plan mensual'!N29,0))+parametros_manuales!$F$22*('Plan mensual'!N26+IF(parametros_manuales!$H$22="Todos",'Plan mensual'!N30,0))+parametros_manuales!$G$22*('Plan mensual'!N27+IF(parametros_manuales!$H$22="Todos",'Plan mensual'!N31,0)))*parametros_manuales!$I$22*parametros_manuales!$J$22</f>
        <v>3325.52</v>
      </c>
      <c r="M59" s="4">
        <f>(parametros_manuales!$D$22*('Plan mensual'!O24+IF(parametros_manuales!$H$22="Todos",'Plan mensual'!O28,0))+parametros_manuales!$E$22*('Plan mensual'!O25+IF(parametros_manuales!$H$22="Todos",'Plan mensual'!O29,0))+parametros_manuales!$F$22*('Plan mensual'!O26+IF(parametros_manuales!$H$22="Todos",'Plan mensual'!O30,0))+parametros_manuales!$G$22*('Plan mensual'!O27+IF(parametros_manuales!$H$22="Todos",'Plan mensual'!O31,0)))*parametros_manuales!$I$22*parametros_manuales!$J$22</f>
        <v>5288.02</v>
      </c>
      <c r="N59" s="4">
        <f t="shared" si="7"/>
        <v>45434</v>
      </c>
      <c r="O59" s="4">
        <f t="shared" si="8"/>
        <v>5288.02</v>
      </c>
      <c r="P59" s="27">
        <f>O59/(parametros_manuales!$B$7)</f>
        <v>35.25346667</v>
      </c>
      <c r="Q59" s="3" t="str">
        <f t="shared" si="9"/>
        <v>Dic</v>
      </c>
    </row>
    <row r="60" ht="14.25" customHeight="1">
      <c r="A60" s="3" t="str">
        <f>parametros_manuales!$B$23</f>
        <v>Preparación de cuello</v>
      </c>
      <c r="B60" s="4">
        <f>(parametros_manuales!$D$23*('Plan mensual'!D24+IF(parametros_manuales!$H$23="Todos",'Plan mensual'!D28,0))+parametros_manuales!$E$23*('Plan mensual'!D25+IF(parametros_manuales!$H$23="Todos",'Plan mensual'!D29,0))+parametros_manuales!$F$23*('Plan mensual'!D26+IF(parametros_manuales!$H$23="Todos",'Plan mensual'!D30,0))+parametros_manuales!$G$23*('Plan mensual'!D27+IF(parametros_manuales!$H$23="Todos",'Plan mensual'!D31,0)))*parametros_manuales!$I$23*parametros_manuales!$J$23</f>
        <v>2561.98</v>
      </c>
      <c r="C60" s="4">
        <f>(parametros_manuales!$D$23*('Plan mensual'!E24+IF(parametros_manuales!$H$23="Todos",'Plan mensual'!E28,0))+parametros_manuales!$E$23*('Plan mensual'!E25+IF(parametros_manuales!$H$23="Todos",'Plan mensual'!E29,0))+parametros_manuales!$F$23*('Plan mensual'!E26+IF(parametros_manuales!$H$23="Todos",'Plan mensual'!E30,0))+parametros_manuales!$G$23*('Plan mensual'!E27+IF(parametros_manuales!$H$23="Todos",'Plan mensual'!E31,0)))*parametros_manuales!$I$23*parametros_manuales!$J$23</f>
        <v>1962.5</v>
      </c>
      <c r="D60" s="4">
        <f>(parametros_manuales!$D$23*('Plan mensual'!F24+IF(parametros_manuales!$H$23="Todos",'Plan mensual'!F28,0))+parametros_manuales!$E$23*('Plan mensual'!F25+IF(parametros_manuales!$H$23="Todos",'Plan mensual'!F29,0))+parametros_manuales!$F$23*('Plan mensual'!F26+IF(parametros_manuales!$H$23="Todos",'Plan mensual'!F30,0))+parametros_manuales!$G$23*('Plan mensual'!F27+IF(parametros_manuales!$H$23="Todos",'Plan mensual'!F31,0)))*parametros_manuales!$I$23*parametros_manuales!$J$23</f>
        <v>1858.375</v>
      </c>
      <c r="E60" s="4">
        <f>(parametros_manuales!$D$23*('Plan mensual'!G24+IF(parametros_manuales!$H$23="Todos",'Plan mensual'!G28,0))+parametros_manuales!$E$23*('Plan mensual'!G25+IF(parametros_manuales!$H$23="Todos",'Plan mensual'!G29,0))+parametros_manuales!$F$23*('Plan mensual'!G26+IF(parametros_manuales!$H$23="Todos",'Plan mensual'!G30,0))+parametros_manuales!$G$23*('Plan mensual'!G27+IF(parametros_manuales!$H$23="Todos",'Plan mensual'!G31,0)))*parametros_manuales!$I$23*parametros_manuales!$J$23</f>
        <v>1785.805</v>
      </c>
      <c r="F60" s="4">
        <f>(parametros_manuales!$D$23*('Plan mensual'!H24+IF(parametros_manuales!$H$23="Todos",'Plan mensual'!H28,0))+parametros_manuales!$E$23*('Plan mensual'!H25+IF(parametros_manuales!$H$23="Todos",'Plan mensual'!H29,0))+parametros_manuales!$F$23*('Plan mensual'!H26+IF(parametros_manuales!$H$23="Todos",'Plan mensual'!H30,0))+parametros_manuales!$G$23*('Plan mensual'!H27+IF(parametros_manuales!$H$23="Todos",'Plan mensual'!H31,0)))*parametros_manuales!$I$23*parametros_manuales!$J$23</f>
        <v>1672.22</v>
      </c>
      <c r="G60" s="4">
        <f>(parametros_manuales!$D$23*('Plan mensual'!I24+IF(parametros_manuales!$H$23="Todos",'Plan mensual'!I28,0))+parametros_manuales!$E$23*('Plan mensual'!I25+IF(parametros_manuales!$H$23="Todos",'Plan mensual'!I29,0))+parametros_manuales!$F$23*('Plan mensual'!I26+IF(parametros_manuales!$H$23="Todos",'Plan mensual'!I30,0))+parametros_manuales!$G$23*('Plan mensual'!I27+IF(parametros_manuales!$H$23="Todos",'Plan mensual'!I31,0)))*parametros_manuales!$I$23*parametros_manuales!$J$23</f>
        <v>1631.205</v>
      </c>
      <c r="H60" s="4">
        <f>(parametros_manuales!$D$23*('Plan mensual'!J24+IF(parametros_manuales!$H$23="Todos",'Plan mensual'!J28,0))+parametros_manuales!$E$23*('Plan mensual'!J25+IF(parametros_manuales!$H$23="Todos",'Plan mensual'!J29,0))+parametros_manuales!$F$23*('Plan mensual'!J26+IF(parametros_manuales!$H$23="Todos",'Plan mensual'!J30,0))+parametros_manuales!$G$23*('Plan mensual'!J27+IF(parametros_manuales!$H$23="Todos",'Plan mensual'!J31,0)))*parametros_manuales!$I$23*parametros_manuales!$J$23</f>
        <v>1744.79</v>
      </c>
      <c r="I60" s="4">
        <f>(parametros_manuales!$D$23*('Plan mensual'!K24+IF(parametros_manuales!$H$23="Todos",'Plan mensual'!K28,0))+parametros_manuales!$E$23*('Plan mensual'!K25+IF(parametros_manuales!$H$23="Todos",'Plan mensual'!K29,0))+parametros_manuales!$F$23*('Plan mensual'!K26+IF(parametros_manuales!$H$23="Todos",'Plan mensual'!K30,0))+parametros_manuales!$G$23*('Plan mensual'!K27+IF(parametros_manuales!$H$23="Todos",'Plan mensual'!K31,0)))*parametros_manuales!$I$23*parametros_manuales!$J$23</f>
        <v>1744.79</v>
      </c>
      <c r="J60" s="4">
        <f>(parametros_manuales!$D$23*('Plan mensual'!L24+IF(parametros_manuales!$H$23="Todos",'Plan mensual'!L28,0))+parametros_manuales!$E$23*('Plan mensual'!L25+IF(parametros_manuales!$H$23="Todos",'Plan mensual'!L29,0))+parametros_manuales!$F$23*('Plan mensual'!L26+IF(parametros_manuales!$H$23="Todos",'Plan mensual'!L30,0))+parametros_manuales!$G$23*('Plan mensual'!L27+IF(parametros_manuales!$H$23="Todos",'Plan mensual'!L31,0)))*parametros_manuales!$I$23*parametros_manuales!$J$23</f>
        <v>1744.79</v>
      </c>
      <c r="K60" s="4">
        <f>(parametros_manuales!$D$23*('Plan mensual'!M24+IF(parametros_manuales!$H$23="Todos",'Plan mensual'!M28,0))+parametros_manuales!$E$23*('Plan mensual'!M25+IF(parametros_manuales!$H$23="Todos",'Plan mensual'!M29,0))+parametros_manuales!$F$23*('Plan mensual'!M26+IF(parametros_manuales!$H$23="Todos",'Plan mensual'!M30,0))+parametros_manuales!$G$23*('Plan mensual'!M27+IF(parametros_manuales!$H$23="Todos",'Plan mensual'!M31,0)))*parametros_manuales!$I$23*parametros_manuales!$J$23</f>
        <v>1703.775</v>
      </c>
      <c r="L60" s="4">
        <f>(parametros_manuales!$D$23*('Plan mensual'!N24+IF(parametros_manuales!$H$23="Todos",'Plan mensual'!N28,0))+parametros_manuales!$E$23*('Plan mensual'!N25+IF(parametros_manuales!$H$23="Todos",'Plan mensual'!N29,0))+parametros_manuales!$F$23*('Plan mensual'!N26+IF(parametros_manuales!$H$23="Todos",'Plan mensual'!N30,0))+parametros_manuales!$G$23*('Plan mensual'!N27+IF(parametros_manuales!$H$23="Todos",'Plan mensual'!N31,0)))*parametros_manuales!$I$23*parametros_manuales!$J$23</f>
        <v>1662.76</v>
      </c>
      <c r="M60" s="4">
        <f>(parametros_manuales!$D$23*('Plan mensual'!O24+IF(parametros_manuales!$H$23="Todos",'Plan mensual'!O28,0))+parametros_manuales!$E$23*('Plan mensual'!O25+IF(parametros_manuales!$H$23="Todos",'Plan mensual'!O29,0))+parametros_manuales!$F$23*('Plan mensual'!O26+IF(parametros_manuales!$H$23="Todos",'Plan mensual'!O30,0))+parametros_manuales!$G$23*('Plan mensual'!O27+IF(parametros_manuales!$H$23="Todos",'Plan mensual'!O31,0)))*parametros_manuales!$I$23*parametros_manuales!$J$23</f>
        <v>2644.01</v>
      </c>
      <c r="N60" s="4">
        <f t="shared" si="7"/>
        <v>22717</v>
      </c>
      <c r="O60" s="4">
        <f t="shared" si="8"/>
        <v>2644.01</v>
      </c>
      <c r="P60" s="27">
        <f>O60/(parametros_manuales!$B$7)</f>
        <v>17.62673333</v>
      </c>
      <c r="Q60" s="3" t="str">
        <f t="shared" si="9"/>
        <v>Dic</v>
      </c>
    </row>
    <row r="61" ht="14.25" customHeight="1">
      <c r="A61" s="3" t="str">
        <f>parametros_manuales!$B$24</f>
        <v>Numerado de cúpula</v>
      </c>
      <c r="B61" s="4">
        <f>(parametros_manuales!$D$24*('Plan mensual'!D24+IF(parametros_manuales!$H$24="Todos",'Plan mensual'!D28,0))+parametros_manuales!$E$24*('Plan mensual'!D25+IF(parametros_manuales!$H$24="Todos",'Plan mensual'!D29,0))+parametros_manuales!$F$24*('Plan mensual'!D26+IF(parametros_manuales!$H$24="Todos",'Plan mensual'!D30,0))+parametros_manuales!$G$24*('Plan mensual'!D27+IF(parametros_manuales!$H$24="Todos",'Plan mensual'!D31,0)))*parametros_manuales!$I$24*parametros_manuales!$J$24</f>
        <v>2561.98</v>
      </c>
      <c r="C61" s="4">
        <f>(parametros_manuales!$D$24*('Plan mensual'!E24+IF(parametros_manuales!$H$24="Todos",'Plan mensual'!E28,0))+parametros_manuales!$E$24*('Plan mensual'!E25+IF(parametros_manuales!$H$24="Todos",'Plan mensual'!E29,0))+parametros_manuales!$F$24*('Plan mensual'!E26+IF(parametros_manuales!$H$24="Todos",'Plan mensual'!E30,0))+parametros_manuales!$G$24*('Plan mensual'!E27+IF(parametros_manuales!$H$24="Todos",'Plan mensual'!E31,0)))*parametros_manuales!$I$24*parametros_manuales!$J$24</f>
        <v>1962.5</v>
      </c>
      <c r="D61" s="4">
        <f>(parametros_manuales!$D$24*('Plan mensual'!F24+IF(parametros_manuales!$H$24="Todos",'Plan mensual'!F28,0))+parametros_manuales!$E$24*('Plan mensual'!F25+IF(parametros_manuales!$H$24="Todos",'Plan mensual'!F29,0))+parametros_manuales!$F$24*('Plan mensual'!F26+IF(parametros_manuales!$H$24="Todos",'Plan mensual'!F30,0))+parametros_manuales!$G$24*('Plan mensual'!F27+IF(parametros_manuales!$H$24="Todos",'Plan mensual'!F31,0)))*parametros_manuales!$I$24*parametros_manuales!$J$24</f>
        <v>1858.375</v>
      </c>
      <c r="E61" s="4">
        <f>(parametros_manuales!$D$24*('Plan mensual'!G24+IF(parametros_manuales!$H$24="Todos",'Plan mensual'!G28,0))+parametros_manuales!$E$24*('Plan mensual'!G25+IF(parametros_manuales!$H$24="Todos",'Plan mensual'!G29,0))+parametros_manuales!$F$24*('Plan mensual'!G26+IF(parametros_manuales!$H$24="Todos",'Plan mensual'!G30,0))+parametros_manuales!$G$24*('Plan mensual'!G27+IF(parametros_manuales!$H$24="Todos",'Plan mensual'!G31,0)))*parametros_manuales!$I$24*parametros_manuales!$J$24</f>
        <v>1785.805</v>
      </c>
      <c r="F61" s="4">
        <f>(parametros_manuales!$D$24*('Plan mensual'!H24+IF(parametros_manuales!$H$24="Todos",'Plan mensual'!H28,0))+parametros_manuales!$E$24*('Plan mensual'!H25+IF(parametros_manuales!$H$24="Todos",'Plan mensual'!H29,0))+parametros_manuales!$F$24*('Plan mensual'!H26+IF(parametros_manuales!$H$24="Todos",'Plan mensual'!H30,0))+parametros_manuales!$G$24*('Plan mensual'!H27+IF(parametros_manuales!$H$24="Todos",'Plan mensual'!H31,0)))*parametros_manuales!$I$24*parametros_manuales!$J$24</f>
        <v>1672.22</v>
      </c>
      <c r="G61" s="4">
        <f>(parametros_manuales!$D$24*('Plan mensual'!I24+IF(parametros_manuales!$H$24="Todos",'Plan mensual'!I28,0))+parametros_manuales!$E$24*('Plan mensual'!I25+IF(parametros_manuales!$H$24="Todos",'Plan mensual'!I29,0))+parametros_manuales!$F$24*('Plan mensual'!I26+IF(parametros_manuales!$H$24="Todos",'Plan mensual'!I30,0))+parametros_manuales!$G$24*('Plan mensual'!I27+IF(parametros_manuales!$H$24="Todos",'Plan mensual'!I31,0)))*parametros_manuales!$I$24*parametros_manuales!$J$24</f>
        <v>1631.205</v>
      </c>
      <c r="H61" s="4">
        <f>(parametros_manuales!$D$24*('Plan mensual'!J24+IF(parametros_manuales!$H$24="Todos",'Plan mensual'!J28,0))+parametros_manuales!$E$24*('Plan mensual'!J25+IF(parametros_manuales!$H$24="Todos",'Plan mensual'!J29,0))+parametros_manuales!$F$24*('Plan mensual'!J26+IF(parametros_manuales!$H$24="Todos",'Plan mensual'!J30,0))+parametros_manuales!$G$24*('Plan mensual'!J27+IF(parametros_manuales!$H$24="Todos",'Plan mensual'!J31,0)))*parametros_manuales!$I$24*parametros_manuales!$J$24</f>
        <v>1744.79</v>
      </c>
      <c r="I61" s="4">
        <f>(parametros_manuales!$D$24*('Plan mensual'!K24+IF(parametros_manuales!$H$24="Todos",'Plan mensual'!K28,0))+parametros_manuales!$E$24*('Plan mensual'!K25+IF(parametros_manuales!$H$24="Todos",'Plan mensual'!K29,0))+parametros_manuales!$F$24*('Plan mensual'!K26+IF(parametros_manuales!$H$24="Todos",'Plan mensual'!K30,0))+parametros_manuales!$G$24*('Plan mensual'!K27+IF(parametros_manuales!$H$24="Todos",'Plan mensual'!K31,0)))*parametros_manuales!$I$24*parametros_manuales!$J$24</f>
        <v>1744.79</v>
      </c>
      <c r="J61" s="4">
        <f>(parametros_manuales!$D$24*('Plan mensual'!L24+IF(parametros_manuales!$H$24="Todos",'Plan mensual'!L28,0))+parametros_manuales!$E$24*('Plan mensual'!L25+IF(parametros_manuales!$H$24="Todos",'Plan mensual'!L29,0))+parametros_manuales!$F$24*('Plan mensual'!L26+IF(parametros_manuales!$H$24="Todos",'Plan mensual'!L30,0))+parametros_manuales!$G$24*('Plan mensual'!L27+IF(parametros_manuales!$H$24="Todos",'Plan mensual'!L31,0)))*parametros_manuales!$I$24*parametros_manuales!$J$24</f>
        <v>1744.79</v>
      </c>
      <c r="K61" s="4">
        <f>(parametros_manuales!$D$24*('Plan mensual'!M24+IF(parametros_manuales!$H$24="Todos",'Plan mensual'!M28,0))+parametros_manuales!$E$24*('Plan mensual'!M25+IF(parametros_manuales!$H$24="Todos",'Plan mensual'!M29,0))+parametros_manuales!$F$24*('Plan mensual'!M26+IF(parametros_manuales!$H$24="Todos",'Plan mensual'!M30,0))+parametros_manuales!$G$24*('Plan mensual'!M27+IF(parametros_manuales!$H$24="Todos",'Plan mensual'!M31,0)))*parametros_manuales!$I$24*parametros_manuales!$J$24</f>
        <v>1703.775</v>
      </c>
      <c r="L61" s="4">
        <f>(parametros_manuales!$D$24*('Plan mensual'!N24+IF(parametros_manuales!$H$24="Todos",'Plan mensual'!N28,0))+parametros_manuales!$E$24*('Plan mensual'!N25+IF(parametros_manuales!$H$24="Todos",'Plan mensual'!N29,0))+parametros_manuales!$F$24*('Plan mensual'!N26+IF(parametros_manuales!$H$24="Todos",'Plan mensual'!N30,0))+parametros_manuales!$G$24*('Plan mensual'!N27+IF(parametros_manuales!$H$24="Todos",'Plan mensual'!N31,0)))*parametros_manuales!$I$24*parametros_manuales!$J$24</f>
        <v>1662.76</v>
      </c>
      <c r="M61" s="4">
        <f>(parametros_manuales!$D$24*('Plan mensual'!O24+IF(parametros_manuales!$H$24="Todos",'Plan mensual'!O28,0))+parametros_manuales!$E$24*('Plan mensual'!O25+IF(parametros_manuales!$H$24="Todos",'Plan mensual'!O29,0))+parametros_manuales!$F$24*('Plan mensual'!O26+IF(parametros_manuales!$H$24="Todos",'Plan mensual'!O30,0))+parametros_manuales!$G$24*('Plan mensual'!O27+IF(parametros_manuales!$H$24="Todos",'Plan mensual'!O31,0)))*parametros_manuales!$I$24*parametros_manuales!$J$24</f>
        <v>2644.01</v>
      </c>
      <c r="N61" s="4">
        <f t="shared" si="7"/>
        <v>22717</v>
      </c>
      <c r="O61" s="4">
        <f t="shared" si="8"/>
        <v>2644.01</v>
      </c>
      <c r="P61" s="27">
        <f>O61/(parametros_manuales!$B$7)</f>
        <v>17.62673333</v>
      </c>
      <c r="Q61" s="3" t="str">
        <f t="shared" si="9"/>
        <v>Dic</v>
      </c>
    </row>
    <row r="62" ht="14.25" customHeight="1">
      <c r="A62" s="3" t="str">
        <f>parametros_manuales!$B$25</f>
        <v>Soldadura del cuello a la cúpula</v>
      </c>
      <c r="B62" s="4">
        <f>(parametros_manuales!$D$25*('Plan mensual'!D24+IF(parametros_manuales!$H$25="Todos",'Plan mensual'!D28,0))+parametros_manuales!$E$25*('Plan mensual'!D25+IF(parametros_manuales!$H$25="Todos",'Plan mensual'!D29,0))+parametros_manuales!$F$25*('Plan mensual'!D26+IF(parametros_manuales!$H$25="Todos",'Plan mensual'!D30,0))+parametros_manuales!$G$25*('Plan mensual'!D27+IF(parametros_manuales!$H$25="Todos",'Plan mensual'!D31,0)))*parametros_manuales!$I$25*parametros_manuales!$J$25</f>
        <v>2561.98</v>
      </c>
      <c r="C62" s="4">
        <f>(parametros_manuales!$D$25*('Plan mensual'!E24+IF(parametros_manuales!$H$25="Todos",'Plan mensual'!E28,0))+parametros_manuales!$E$25*('Plan mensual'!E25+IF(parametros_manuales!$H$25="Todos",'Plan mensual'!E29,0))+parametros_manuales!$F$25*('Plan mensual'!E26+IF(parametros_manuales!$H$25="Todos",'Plan mensual'!E30,0))+parametros_manuales!$G$25*('Plan mensual'!E27+IF(parametros_manuales!$H$25="Todos",'Plan mensual'!E31,0)))*parametros_manuales!$I$25*parametros_manuales!$J$25</f>
        <v>1962.5</v>
      </c>
      <c r="D62" s="4">
        <f>(parametros_manuales!$D$25*('Plan mensual'!F24+IF(parametros_manuales!$H$25="Todos",'Plan mensual'!F28,0))+parametros_manuales!$E$25*('Plan mensual'!F25+IF(parametros_manuales!$H$25="Todos",'Plan mensual'!F29,0))+parametros_manuales!$F$25*('Plan mensual'!F26+IF(parametros_manuales!$H$25="Todos",'Plan mensual'!F30,0))+parametros_manuales!$G$25*('Plan mensual'!F27+IF(parametros_manuales!$H$25="Todos",'Plan mensual'!F31,0)))*parametros_manuales!$I$25*parametros_manuales!$J$25</f>
        <v>1858.375</v>
      </c>
      <c r="E62" s="4">
        <f>(parametros_manuales!$D$25*('Plan mensual'!G24+IF(parametros_manuales!$H$25="Todos",'Plan mensual'!G28,0))+parametros_manuales!$E$25*('Plan mensual'!G25+IF(parametros_manuales!$H$25="Todos",'Plan mensual'!G29,0))+parametros_manuales!$F$25*('Plan mensual'!G26+IF(parametros_manuales!$H$25="Todos",'Plan mensual'!G30,0))+parametros_manuales!$G$25*('Plan mensual'!G27+IF(parametros_manuales!$H$25="Todos",'Plan mensual'!G31,0)))*parametros_manuales!$I$25*parametros_manuales!$J$25</f>
        <v>1785.805</v>
      </c>
      <c r="F62" s="4">
        <f>(parametros_manuales!$D$25*('Plan mensual'!H24+IF(parametros_manuales!$H$25="Todos",'Plan mensual'!H28,0))+parametros_manuales!$E$25*('Plan mensual'!H25+IF(parametros_manuales!$H$25="Todos",'Plan mensual'!H29,0))+parametros_manuales!$F$25*('Plan mensual'!H26+IF(parametros_manuales!$H$25="Todos",'Plan mensual'!H30,0))+parametros_manuales!$G$25*('Plan mensual'!H27+IF(parametros_manuales!$H$25="Todos",'Plan mensual'!H31,0)))*parametros_manuales!$I$25*parametros_manuales!$J$25</f>
        <v>1672.22</v>
      </c>
      <c r="G62" s="4">
        <f>(parametros_manuales!$D$25*('Plan mensual'!I24+IF(parametros_manuales!$H$25="Todos",'Plan mensual'!I28,0))+parametros_manuales!$E$25*('Plan mensual'!I25+IF(parametros_manuales!$H$25="Todos",'Plan mensual'!I29,0))+parametros_manuales!$F$25*('Plan mensual'!I26+IF(parametros_manuales!$H$25="Todos",'Plan mensual'!I30,0))+parametros_manuales!$G$25*('Plan mensual'!I27+IF(parametros_manuales!$H$25="Todos",'Plan mensual'!I31,0)))*parametros_manuales!$I$25*parametros_manuales!$J$25</f>
        <v>1631.205</v>
      </c>
      <c r="H62" s="4">
        <f>(parametros_manuales!$D$25*('Plan mensual'!J24+IF(parametros_manuales!$H$25="Todos",'Plan mensual'!J28,0))+parametros_manuales!$E$25*('Plan mensual'!J25+IF(parametros_manuales!$H$25="Todos",'Plan mensual'!J29,0))+parametros_manuales!$F$25*('Plan mensual'!J26+IF(parametros_manuales!$H$25="Todos",'Plan mensual'!J30,0))+parametros_manuales!$G$25*('Plan mensual'!J27+IF(parametros_manuales!$H$25="Todos",'Plan mensual'!J31,0)))*parametros_manuales!$I$25*parametros_manuales!$J$25</f>
        <v>1744.79</v>
      </c>
      <c r="I62" s="4">
        <f>(parametros_manuales!$D$25*('Plan mensual'!K24+IF(parametros_manuales!$H$25="Todos",'Plan mensual'!K28,0))+parametros_manuales!$E$25*('Plan mensual'!K25+IF(parametros_manuales!$H$25="Todos",'Plan mensual'!K29,0))+parametros_manuales!$F$25*('Plan mensual'!K26+IF(parametros_manuales!$H$25="Todos",'Plan mensual'!K30,0))+parametros_manuales!$G$25*('Plan mensual'!K27+IF(parametros_manuales!$H$25="Todos",'Plan mensual'!K31,0)))*parametros_manuales!$I$25*parametros_manuales!$J$25</f>
        <v>1744.79</v>
      </c>
      <c r="J62" s="4">
        <f>(parametros_manuales!$D$25*('Plan mensual'!L24+IF(parametros_manuales!$H$25="Todos",'Plan mensual'!L28,0))+parametros_manuales!$E$25*('Plan mensual'!L25+IF(parametros_manuales!$H$25="Todos",'Plan mensual'!L29,0))+parametros_manuales!$F$25*('Plan mensual'!L26+IF(parametros_manuales!$H$25="Todos",'Plan mensual'!L30,0))+parametros_manuales!$G$25*('Plan mensual'!L27+IF(parametros_manuales!$H$25="Todos",'Plan mensual'!L31,0)))*parametros_manuales!$I$25*parametros_manuales!$J$25</f>
        <v>1744.79</v>
      </c>
      <c r="K62" s="4">
        <f>(parametros_manuales!$D$25*('Plan mensual'!M24+IF(parametros_manuales!$H$25="Todos",'Plan mensual'!M28,0))+parametros_manuales!$E$25*('Plan mensual'!M25+IF(parametros_manuales!$H$25="Todos",'Plan mensual'!M29,0))+parametros_manuales!$F$25*('Plan mensual'!M26+IF(parametros_manuales!$H$25="Todos",'Plan mensual'!M30,0))+parametros_manuales!$G$25*('Plan mensual'!M27+IF(parametros_manuales!$H$25="Todos",'Plan mensual'!M31,0)))*parametros_manuales!$I$25*parametros_manuales!$J$25</f>
        <v>1703.775</v>
      </c>
      <c r="L62" s="4">
        <f>(parametros_manuales!$D$25*('Plan mensual'!N24+IF(parametros_manuales!$H$25="Todos",'Plan mensual'!N28,0))+parametros_manuales!$E$25*('Plan mensual'!N25+IF(parametros_manuales!$H$25="Todos",'Plan mensual'!N29,0))+parametros_manuales!$F$25*('Plan mensual'!N26+IF(parametros_manuales!$H$25="Todos",'Plan mensual'!N30,0))+parametros_manuales!$G$25*('Plan mensual'!N27+IF(parametros_manuales!$H$25="Todos",'Plan mensual'!N31,0)))*parametros_manuales!$I$25*parametros_manuales!$J$25</f>
        <v>1662.76</v>
      </c>
      <c r="M62" s="4">
        <f>(parametros_manuales!$D$25*('Plan mensual'!O24+IF(parametros_manuales!$H$25="Todos",'Plan mensual'!O28,0))+parametros_manuales!$E$25*('Plan mensual'!O25+IF(parametros_manuales!$H$25="Todos",'Plan mensual'!O29,0))+parametros_manuales!$F$25*('Plan mensual'!O26+IF(parametros_manuales!$H$25="Todos",'Plan mensual'!O30,0))+parametros_manuales!$G$25*('Plan mensual'!O27+IF(parametros_manuales!$H$25="Todos",'Plan mensual'!O31,0)))*parametros_manuales!$I$25*parametros_manuales!$J$25</f>
        <v>2644.01</v>
      </c>
      <c r="N62" s="4">
        <f t="shared" si="7"/>
        <v>22717</v>
      </c>
      <c r="O62" s="4">
        <f t="shared" si="8"/>
        <v>2644.01</v>
      </c>
      <c r="P62" s="27">
        <f>O62/(parametros_manuales!$B$7)</f>
        <v>17.62673333</v>
      </c>
      <c r="Q62" s="3" t="str">
        <f t="shared" si="9"/>
        <v>Dic</v>
      </c>
    </row>
    <row r="63" ht="14.25" customHeight="1">
      <c r="A63" s="3" t="str">
        <f>parametros_manuales!$B$26</f>
        <v>Cilindrado</v>
      </c>
      <c r="B63" s="4">
        <f>(parametros_manuales!$D$26*('Plan mensual'!D24+IF(parametros_manuales!$H$26="Todos",'Plan mensual'!D28,0))+parametros_manuales!$E$26*('Plan mensual'!D25+IF(parametros_manuales!$H$26="Todos",'Plan mensual'!D29,0))+parametros_manuales!$F$26*('Plan mensual'!D26+IF(parametros_manuales!$H$26="Todos",'Plan mensual'!D30,0))+parametros_manuales!$G$26*('Plan mensual'!D27+IF(parametros_manuales!$H$26="Todos",'Plan mensual'!D31,0)))*parametros_manuales!$I$26*parametros_manuales!$J$26</f>
        <v>820.3</v>
      </c>
      <c r="C63" s="4">
        <f>(parametros_manuales!$D$26*('Plan mensual'!E24+IF(parametros_manuales!$H$26="Todos",'Plan mensual'!E28,0))+parametros_manuales!$E$26*('Plan mensual'!E25+IF(parametros_manuales!$H$26="Todos",'Plan mensual'!E29,0))+parametros_manuales!$F$26*('Plan mensual'!E26+IF(parametros_manuales!$H$26="Todos",'Plan mensual'!E30,0))+parametros_manuales!$G$26*('Plan mensual'!E27+IF(parametros_manuales!$H$26="Todos",'Plan mensual'!E31,0)))*parametros_manuales!$I$26*parametros_manuales!$J$26</f>
        <v>656.24</v>
      </c>
      <c r="D63" s="4">
        <f>(parametros_manuales!$D$26*('Plan mensual'!F24+IF(parametros_manuales!$H$26="Todos",'Plan mensual'!F28,0))+parametros_manuales!$E$26*('Plan mensual'!F25+IF(parametros_manuales!$H$26="Todos",'Plan mensual'!F29,0))+parametros_manuales!$F$26*('Plan mensual'!F26+IF(parametros_manuales!$H$26="Todos",'Plan mensual'!F30,0))+parametros_manuales!$G$26*('Plan mensual'!F27+IF(parametros_manuales!$H$26="Todos",'Plan mensual'!F31,0)))*parametros_manuales!$I$26*parametros_manuales!$J$26</f>
        <v>697.255</v>
      </c>
      <c r="E63" s="4">
        <f>(parametros_manuales!$D$26*('Plan mensual'!G24+IF(parametros_manuales!$H$26="Todos",'Plan mensual'!G28,0))+parametros_manuales!$E$26*('Plan mensual'!G25+IF(parametros_manuales!$H$26="Todos",'Plan mensual'!G29,0))+parametros_manuales!$F$26*('Plan mensual'!G26+IF(parametros_manuales!$H$26="Todos",'Plan mensual'!G30,0))+parametros_manuales!$G$26*('Plan mensual'!G27+IF(parametros_manuales!$H$26="Todos",'Plan mensual'!G31,0)))*parametros_manuales!$I$26*parametros_manuales!$J$26</f>
        <v>697.255</v>
      </c>
      <c r="F63" s="4">
        <f>(parametros_manuales!$D$26*('Plan mensual'!H24+IF(parametros_manuales!$H$26="Todos",'Plan mensual'!H28,0))+parametros_manuales!$E$26*('Plan mensual'!H25+IF(parametros_manuales!$H$26="Todos",'Plan mensual'!H29,0))+parametros_manuales!$F$26*('Plan mensual'!H26+IF(parametros_manuales!$H$26="Todos",'Plan mensual'!H30,0))+parametros_manuales!$G$26*('Plan mensual'!H27+IF(parametros_manuales!$H$26="Todos",'Plan mensual'!H31,0)))*parametros_manuales!$I$26*parametros_manuales!$J$26</f>
        <v>656.24</v>
      </c>
      <c r="G63" s="4">
        <f>(parametros_manuales!$D$26*('Plan mensual'!I24+IF(parametros_manuales!$H$26="Todos",'Plan mensual'!I28,0))+parametros_manuales!$E$26*('Plan mensual'!I25+IF(parametros_manuales!$H$26="Todos",'Plan mensual'!I29,0))+parametros_manuales!$F$26*('Plan mensual'!I26+IF(parametros_manuales!$H$26="Todos",'Plan mensual'!I30,0))+parametros_manuales!$G$26*('Plan mensual'!I27+IF(parametros_manuales!$H$26="Todos",'Plan mensual'!I31,0)))*parametros_manuales!$I$26*parametros_manuales!$J$26</f>
        <v>615.225</v>
      </c>
      <c r="H63" s="4">
        <f>(parametros_manuales!$D$26*('Plan mensual'!J24+IF(parametros_manuales!$H$26="Todos",'Plan mensual'!J28,0))+parametros_manuales!$E$26*('Plan mensual'!J25+IF(parametros_manuales!$H$26="Todos",'Plan mensual'!J29,0))+parametros_manuales!$F$26*('Plan mensual'!J26+IF(parametros_manuales!$H$26="Todos",'Plan mensual'!J30,0))+parametros_manuales!$G$26*('Plan mensual'!J27+IF(parametros_manuales!$H$26="Todos",'Plan mensual'!J31,0)))*parametros_manuales!$I$26*parametros_manuales!$J$26</f>
        <v>656.24</v>
      </c>
      <c r="I63" s="4">
        <f>(parametros_manuales!$D$26*('Plan mensual'!K24+IF(parametros_manuales!$H$26="Todos",'Plan mensual'!K28,0))+parametros_manuales!$E$26*('Plan mensual'!K25+IF(parametros_manuales!$H$26="Todos",'Plan mensual'!K29,0))+parametros_manuales!$F$26*('Plan mensual'!K26+IF(parametros_manuales!$H$26="Todos",'Plan mensual'!K30,0))+parametros_manuales!$G$26*('Plan mensual'!K27+IF(parametros_manuales!$H$26="Todos",'Plan mensual'!K31,0)))*parametros_manuales!$I$26*parametros_manuales!$J$26</f>
        <v>656.24</v>
      </c>
      <c r="J63" s="4">
        <f>(parametros_manuales!$D$26*('Plan mensual'!L24+IF(parametros_manuales!$H$26="Todos",'Plan mensual'!L28,0))+parametros_manuales!$E$26*('Plan mensual'!L25+IF(parametros_manuales!$H$26="Todos",'Plan mensual'!L29,0))+parametros_manuales!$F$26*('Plan mensual'!L26+IF(parametros_manuales!$H$26="Todos",'Plan mensual'!L30,0))+parametros_manuales!$G$26*('Plan mensual'!L27+IF(parametros_manuales!$H$26="Todos",'Plan mensual'!L31,0)))*parametros_manuales!$I$26*parametros_manuales!$J$26</f>
        <v>656.24</v>
      </c>
      <c r="K63" s="4">
        <f>(parametros_manuales!$D$26*('Plan mensual'!M24+IF(parametros_manuales!$H$26="Todos",'Plan mensual'!M28,0))+parametros_manuales!$E$26*('Plan mensual'!M25+IF(parametros_manuales!$H$26="Todos",'Plan mensual'!M29,0))+parametros_manuales!$F$26*('Plan mensual'!M26+IF(parametros_manuales!$H$26="Todos",'Plan mensual'!M30,0))+parametros_manuales!$G$26*('Plan mensual'!M27+IF(parametros_manuales!$H$26="Todos",'Plan mensual'!M31,0)))*parametros_manuales!$I$26*parametros_manuales!$J$26</f>
        <v>615.225</v>
      </c>
      <c r="L63" s="4">
        <f>(parametros_manuales!$D$26*('Plan mensual'!N24+IF(parametros_manuales!$H$26="Todos",'Plan mensual'!N28,0))+parametros_manuales!$E$26*('Plan mensual'!N25+IF(parametros_manuales!$H$26="Todos",'Plan mensual'!N29,0))+parametros_manuales!$F$26*('Plan mensual'!N26+IF(parametros_manuales!$H$26="Todos",'Plan mensual'!N30,0))+parametros_manuales!$G$26*('Plan mensual'!N27+IF(parametros_manuales!$H$26="Todos",'Plan mensual'!N31,0)))*parametros_manuales!$I$26*parametros_manuales!$J$26</f>
        <v>574.21</v>
      </c>
      <c r="M63" s="4">
        <f>(parametros_manuales!$D$26*('Plan mensual'!O24+IF(parametros_manuales!$H$26="Todos",'Plan mensual'!O28,0))+parametros_manuales!$E$26*('Plan mensual'!O25+IF(parametros_manuales!$H$26="Todos",'Plan mensual'!O29,0))+parametros_manuales!$F$26*('Plan mensual'!O26+IF(parametros_manuales!$H$26="Todos",'Plan mensual'!O30,0))+parametros_manuales!$G$26*('Plan mensual'!O27+IF(parametros_manuales!$H$26="Todos",'Plan mensual'!O31,0)))*parametros_manuales!$I$26*parametros_manuales!$J$26</f>
        <v>902.33</v>
      </c>
      <c r="N63" s="4">
        <f t="shared" si="7"/>
        <v>8203</v>
      </c>
      <c r="O63" s="4">
        <f t="shared" si="8"/>
        <v>902.33</v>
      </c>
      <c r="P63" s="27">
        <f>O63/(parametros_manuales!$B$7)</f>
        <v>6.015533333</v>
      </c>
      <c r="Q63" s="3" t="str">
        <f t="shared" si="9"/>
        <v>Dic</v>
      </c>
    </row>
    <row r="64" ht="14.25" customHeight="1">
      <c r="A64" s="3" t="str">
        <f>parametros_manuales!$B$27</f>
        <v>Soldadura longitudinal</v>
      </c>
      <c r="B64" s="4">
        <f>(parametros_manuales!$D$27*('Plan mensual'!D24+IF(parametros_manuales!$H$27="Todos",'Plan mensual'!D28,0))+parametros_manuales!$E$27*('Plan mensual'!D25+IF(parametros_manuales!$H$27="Todos",'Plan mensual'!D29,0))+parametros_manuales!$F$27*('Plan mensual'!D26+IF(parametros_manuales!$H$27="Todos",'Plan mensual'!D30,0))+parametros_manuales!$G$27*('Plan mensual'!D27+IF(parametros_manuales!$H$27="Todos",'Plan mensual'!D31,0)))*parametros_manuales!$I$27*parametros_manuales!$J$27</f>
        <v>820.3</v>
      </c>
      <c r="C64" s="4">
        <f>(parametros_manuales!$D$27*('Plan mensual'!E24+IF(parametros_manuales!$H$27="Todos",'Plan mensual'!E28,0))+parametros_manuales!$E$27*('Plan mensual'!E25+IF(parametros_manuales!$H$27="Todos",'Plan mensual'!E29,0))+parametros_manuales!$F$27*('Plan mensual'!E26+IF(parametros_manuales!$H$27="Todos",'Plan mensual'!E30,0))+parametros_manuales!$G$27*('Plan mensual'!E27+IF(parametros_manuales!$H$27="Todos",'Plan mensual'!E31,0)))*parametros_manuales!$I$27*parametros_manuales!$J$27</f>
        <v>656.24</v>
      </c>
      <c r="D64" s="4">
        <f>(parametros_manuales!$D$27*('Plan mensual'!F24+IF(parametros_manuales!$H$27="Todos",'Plan mensual'!F28,0))+parametros_manuales!$E$27*('Plan mensual'!F25+IF(parametros_manuales!$H$27="Todos",'Plan mensual'!F29,0))+parametros_manuales!$F$27*('Plan mensual'!F26+IF(parametros_manuales!$H$27="Todos",'Plan mensual'!F30,0))+parametros_manuales!$G$27*('Plan mensual'!F27+IF(parametros_manuales!$H$27="Todos",'Plan mensual'!F31,0)))*parametros_manuales!$I$27*parametros_manuales!$J$27</f>
        <v>697.255</v>
      </c>
      <c r="E64" s="4">
        <f>(parametros_manuales!$D$27*('Plan mensual'!G24+IF(parametros_manuales!$H$27="Todos",'Plan mensual'!G28,0))+parametros_manuales!$E$27*('Plan mensual'!G25+IF(parametros_manuales!$H$27="Todos",'Plan mensual'!G29,0))+parametros_manuales!$F$27*('Plan mensual'!G26+IF(parametros_manuales!$H$27="Todos",'Plan mensual'!G30,0))+parametros_manuales!$G$27*('Plan mensual'!G27+IF(parametros_manuales!$H$27="Todos",'Plan mensual'!G31,0)))*parametros_manuales!$I$27*parametros_manuales!$J$27</f>
        <v>697.255</v>
      </c>
      <c r="F64" s="4">
        <f>(parametros_manuales!$D$27*('Plan mensual'!H24+IF(parametros_manuales!$H$27="Todos",'Plan mensual'!H28,0))+parametros_manuales!$E$27*('Plan mensual'!H25+IF(parametros_manuales!$H$27="Todos",'Plan mensual'!H29,0))+parametros_manuales!$F$27*('Plan mensual'!H26+IF(parametros_manuales!$H$27="Todos",'Plan mensual'!H30,0))+parametros_manuales!$G$27*('Plan mensual'!H27+IF(parametros_manuales!$H$27="Todos",'Plan mensual'!H31,0)))*parametros_manuales!$I$27*parametros_manuales!$J$27</f>
        <v>656.24</v>
      </c>
      <c r="G64" s="4">
        <f>(parametros_manuales!$D$27*('Plan mensual'!I24+IF(parametros_manuales!$H$27="Todos",'Plan mensual'!I28,0))+parametros_manuales!$E$27*('Plan mensual'!I25+IF(parametros_manuales!$H$27="Todos",'Plan mensual'!I29,0))+parametros_manuales!$F$27*('Plan mensual'!I26+IF(parametros_manuales!$H$27="Todos",'Plan mensual'!I30,0))+parametros_manuales!$G$27*('Plan mensual'!I27+IF(parametros_manuales!$H$27="Todos",'Plan mensual'!I31,0)))*parametros_manuales!$I$27*parametros_manuales!$J$27</f>
        <v>615.225</v>
      </c>
      <c r="H64" s="4">
        <f>(parametros_manuales!$D$27*('Plan mensual'!J24+IF(parametros_manuales!$H$27="Todos",'Plan mensual'!J28,0))+parametros_manuales!$E$27*('Plan mensual'!J25+IF(parametros_manuales!$H$27="Todos",'Plan mensual'!J29,0))+parametros_manuales!$F$27*('Plan mensual'!J26+IF(parametros_manuales!$H$27="Todos",'Plan mensual'!J30,0))+parametros_manuales!$G$27*('Plan mensual'!J27+IF(parametros_manuales!$H$27="Todos",'Plan mensual'!J31,0)))*parametros_manuales!$I$27*parametros_manuales!$J$27</f>
        <v>656.24</v>
      </c>
      <c r="I64" s="4">
        <f>(parametros_manuales!$D$27*('Plan mensual'!K24+IF(parametros_manuales!$H$27="Todos",'Plan mensual'!K28,0))+parametros_manuales!$E$27*('Plan mensual'!K25+IF(parametros_manuales!$H$27="Todos",'Plan mensual'!K29,0))+parametros_manuales!$F$27*('Plan mensual'!K26+IF(parametros_manuales!$H$27="Todos",'Plan mensual'!K30,0))+parametros_manuales!$G$27*('Plan mensual'!K27+IF(parametros_manuales!$H$27="Todos",'Plan mensual'!K31,0)))*parametros_manuales!$I$27*parametros_manuales!$J$27</f>
        <v>656.24</v>
      </c>
      <c r="J64" s="4">
        <f>(parametros_manuales!$D$27*('Plan mensual'!L24+IF(parametros_manuales!$H$27="Todos",'Plan mensual'!L28,0))+parametros_manuales!$E$27*('Plan mensual'!L25+IF(parametros_manuales!$H$27="Todos",'Plan mensual'!L29,0))+parametros_manuales!$F$27*('Plan mensual'!L26+IF(parametros_manuales!$H$27="Todos",'Plan mensual'!L30,0))+parametros_manuales!$G$27*('Plan mensual'!L27+IF(parametros_manuales!$H$27="Todos",'Plan mensual'!L31,0)))*parametros_manuales!$I$27*parametros_manuales!$J$27</f>
        <v>656.24</v>
      </c>
      <c r="K64" s="4">
        <f>(parametros_manuales!$D$27*('Plan mensual'!M24+IF(parametros_manuales!$H$27="Todos",'Plan mensual'!M28,0))+parametros_manuales!$E$27*('Plan mensual'!M25+IF(parametros_manuales!$H$27="Todos",'Plan mensual'!M29,0))+parametros_manuales!$F$27*('Plan mensual'!M26+IF(parametros_manuales!$H$27="Todos",'Plan mensual'!M30,0))+parametros_manuales!$G$27*('Plan mensual'!M27+IF(parametros_manuales!$H$27="Todos",'Plan mensual'!M31,0)))*parametros_manuales!$I$27*parametros_manuales!$J$27</f>
        <v>615.225</v>
      </c>
      <c r="L64" s="4">
        <f>(parametros_manuales!$D$27*('Plan mensual'!N24+IF(parametros_manuales!$H$27="Todos",'Plan mensual'!N28,0))+parametros_manuales!$E$27*('Plan mensual'!N25+IF(parametros_manuales!$H$27="Todos",'Plan mensual'!N29,0))+parametros_manuales!$F$27*('Plan mensual'!N26+IF(parametros_manuales!$H$27="Todos",'Plan mensual'!N30,0))+parametros_manuales!$G$27*('Plan mensual'!N27+IF(parametros_manuales!$H$27="Todos",'Plan mensual'!N31,0)))*parametros_manuales!$I$27*parametros_manuales!$J$27</f>
        <v>574.21</v>
      </c>
      <c r="M64" s="4">
        <f>(parametros_manuales!$D$27*('Plan mensual'!O24+IF(parametros_manuales!$H$27="Todos",'Plan mensual'!O28,0))+parametros_manuales!$E$27*('Plan mensual'!O25+IF(parametros_manuales!$H$27="Todos",'Plan mensual'!O29,0))+parametros_manuales!$F$27*('Plan mensual'!O26+IF(parametros_manuales!$H$27="Todos",'Plan mensual'!O30,0))+parametros_manuales!$G$27*('Plan mensual'!O27+IF(parametros_manuales!$H$27="Todos",'Plan mensual'!O31,0)))*parametros_manuales!$I$27*parametros_manuales!$J$27</f>
        <v>902.33</v>
      </c>
      <c r="N64" s="4">
        <f t="shared" si="7"/>
        <v>8203</v>
      </c>
      <c r="O64" s="4">
        <f t="shared" si="8"/>
        <v>902.33</v>
      </c>
      <c r="P64" s="27">
        <f>O64/(parametros_manuales!$B$7)</f>
        <v>6.015533333</v>
      </c>
      <c r="Q64" s="3" t="str">
        <f t="shared" si="9"/>
        <v>Dic</v>
      </c>
    </row>
    <row r="65" ht="14.25" customHeight="1">
      <c r="A65" s="3" t="str">
        <f>parametros_manuales!$B$28</f>
        <v>Encastre de fondo</v>
      </c>
      <c r="B65" s="4">
        <f>(parametros_manuales!$D$28*('Plan mensual'!D24+IF(parametros_manuales!$H$28="Todos",'Plan mensual'!D28,0))+parametros_manuales!$E$28*('Plan mensual'!D25+IF(parametros_manuales!$H$28="Todos",'Plan mensual'!D29,0))+parametros_manuales!$F$28*('Plan mensual'!D26+IF(parametros_manuales!$H$28="Todos",'Plan mensual'!D30,0))+parametros_manuales!$G$28*('Plan mensual'!D27+IF(parametros_manuales!$H$28="Todos",'Plan mensual'!D31,0)))*parametros_manuales!$I$28*parametros_manuales!$J$28</f>
        <v>2561.98</v>
      </c>
      <c r="C65" s="4">
        <f>(parametros_manuales!$D$28*('Plan mensual'!E24+IF(parametros_manuales!$H$28="Todos",'Plan mensual'!E28,0))+parametros_manuales!$E$28*('Plan mensual'!E25+IF(parametros_manuales!$H$28="Todos",'Plan mensual'!E29,0))+parametros_manuales!$F$28*('Plan mensual'!E26+IF(parametros_manuales!$H$28="Todos",'Plan mensual'!E30,0))+parametros_manuales!$G$28*('Plan mensual'!E27+IF(parametros_manuales!$H$28="Todos",'Plan mensual'!E31,0)))*parametros_manuales!$I$28*parametros_manuales!$J$28</f>
        <v>1962.5</v>
      </c>
      <c r="D65" s="4">
        <f>(parametros_manuales!$D$28*('Plan mensual'!F24+IF(parametros_manuales!$H$28="Todos",'Plan mensual'!F28,0))+parametros_manuales!$E$28*('Plan mensual'!F25+IF(parametros_manuales!$H$28="Todos",'Plan mensual'!F29,0))+parametros_manuales!$F$28*('Plan mensual'!F26+IF(parametros_manuales!$H$28="Todos",'Plan mensual'!F30,0))+parametros_manuales!$G$28*('Plan mensual'!F27+IF(parametros_manuales!$H$28="Todos",'Plan mensual'!F31,0)))*parametros_manuales!$I$28*parametros_manuales!$J$28</f>
        <v>1858.375</v>
      </c>
      <c r="E65" s="4">
        <f>(parametros_manuales!$D$28*('Plan mensual'!G24+IF(parametros_manuales!$H$28="Todos",'Plan mensual'!G28,0))+parametros_manuales!$E$28*('Plan mensual'!G25+IF(parametros_manuales!$H$28="Todos",'Plan mensual'!G29,0))+parametros_manuales!$F$28*('Plan mensual'!G26+IF(parametros_manuales!$H$28="Todos",'Plan mensual'!G30,0))+parametros_manuales!$G$28*('Plan mensual'!G27+IF(parametros_manuales!$H$28="Todos",'Plan mensual'!G31,0)))*parametros_manuales!$I$28*parametros_manuales!$J$28</f>
        <v>1785.805</v>
      </c>
      <c r="F65" s="4">
        <f>(parametros_manuales!$D$28*('Plan mensual'!H24+IF(parametros_manuales!$H$28="Todos",'Plan mensual'!H28,0))+parametros_manuales!$E$28*('Plan mensual'!H25+IF(parametros_manuales!$H$28="Todos",'Plan mensual'!H29,0))+parametros_manuales!$F$28*('Plan mensual'!H26+IF(parametros_manuales!$H$28="Todos",'Plan mensual'!H30,0))+parametros_manuales!$G$28*('Plan mensual'!H27+IF(parametros_manuales!$H$28="Todos",'Plan mensual'!H31,0)))*parametros_manuales!$I$28*parametros_manuales!$J$28</f>
        <v>1672.22</v>
      </c>
      <c r="G65" s="4">
        <f>(parametros_manuales!$D$28*('Plan mensual'!I24+IF(parametros_manuales!$H$28="Todos",'Plan mensual'!I28,0))+parametros_manuales!$E$28*('Plan mensual'!I25+IF(parametros_manuales!$H$28="Todos",'Plan mensual'!I29,0))+parametros_manuales!$F$28*('Plan mensual'!I26+IF(parametros_manuales!$H$28="Todos",'Plan mensual'!I30,0))+parametros_manuales!$G$28*('Plan mensual'!I27+IF(parametros_manuales!$H$28="Todos",'Plan mensual'!I31,0)))*parametros_manuales!$I$28*parametros_manuales!$J$28</f>
        <v>1631.205</v>
      </c>
      <c r="H65" s="4">
        <f>(parametros_manuales!$D$28*('Plan mensual'!J24+IF(parametros_manuales!$H$28="Todos",'Plan mensual'!J28,0))+parametros_manuales!$E$28*('Plan mensual'!J25+IF(parametros_manuales!$H$28="Todos",'Plan mensual'!J29,0))+parametros_manuales!$F$28*('Plan mensual'!J26+IF(parametros_manuales!$H$28="Todos",'Plan mensual'!J30,0))+parametros_manuales!$G$28*('Plan mensual'!J27+IF(parametros_manuales!$H$28="Todos",'Plan mensual'!J31,0)))*parametros_manuales!$I$28*parametros_manuales!$J$28</f>
        <v>1744.79</v>
      </c>
      <c r="I65" s="4">
        <f>(parametros_manuales!$D$28*('Plan mensual'!K24+IF(parametros_manuales!$H$28="Todos",'Plan mensual'!K28,0))+parametros_manuales!$E$28*('Plan mensual'!K25+IF(parametros_manuales!$H$28="Todos",'Plan mensual'!K29,0))+parametros_manuales!$F$28*('Plan mensual'!K26+IF(parametros_manuales!$H$28="Todos",'Plan mensual'!K30,0))+parametros_manuales!$G$28*('Plan mensual'!K27+IF(parametros_manuales!$H$28="Todos",'Plan mensual'!K31,0)))*parametros_manuales!$I$28*parametros_manuales!$J$28</f>
        <v>1744.79</v>
      </c>
      <c r="J65" s="4">
        <f>(parametros_manuales!$D$28*('Plan mensual'!L24+IF(parametros_manuales!$H$28="Todos",'Plan mensual'!L28,0))+parametros_manuales!$E$28*('Plan mensual'!L25+IF(parametros_manuales!$H$28="Todos",'Plan mensual'!L29,0))+parametros_manuales!$F$28*('Plan mensual'!L26+IF(parametros_manuales!$H$28="Todos",'Plan mensual'!L30,0))+parametros_manuales!$G$28*('Plan mensual'!L27+IF(parametros_manuales!$H$28="Todos",'Plan mensual'!L31,0)))*parametros_manuales!$I$28*parametros_manuales!$J$28</f>
        <v>1744.79</v>
      </c>
      <c r="K65" s="4">
        <f>(parametros_manuales!$D$28*('Plan mensual'!M24+IF(parametros_manuales!$H$28="Todos",'Plan mensual'!M28,0))+parametros_manuales!$E$28*('Plan mensual'!M25+IF(parametros_manuales!$H$28="Todos",'Plan mensual'!M29,0))+parametros_manuales!$F$28*('Plan mensual'!M26+IF(parametros_manuales!$H$28="Todos",'Plan mensual'!M30,0))+parametros_manuales!$G$28*('Plan mensual'!M27+IF(parametros_manuales!$H$28="Todos",'Plan mensual'!M31,0)))*parametros_manuales!$I$28*parametros_manuales!$J$28</f>
        <v>1703.775</v>
      </c>
      <c r="L65" s="4">
        <f>(parametros_manuales!$D$28*('Plan mensual'!N24+IF(parametros_manuales!$H$28="Todos",'Plan mensual'!N28,0))+parametros_manuales!$E$28*('Plan mensual'!N25+IF(parametros_manuales!$H$28="Todos",'Plan mensual'!N29,0))+parametros_manuales!$F$28*('Plan mensual'!N26+IF(parametros_manuales!$H$28="Todos",'Plan mensual'!N30,0))+parametros_manuales!$G$28*('Plan mensual'!N27+IF(parametros_manuales!$H$28="Todos",'Plan mensual'!N31,0)))*parametros_manuales!$I$28*parametros_manuales!$J$28</f>
        <v>1662.76</v>
      </c>
      <c r="M65" s="4">
        <f>(parametros_manuales!$D$28*('Plan mensual'!O24+IF(parametros_manuales!$H$28="Todos",'Plan mensual'!O28,0))+parametros_manuales!$E$28*('Plan mensual'!O25+IF(parametros_manuales!$H$28="Todos",'Plan mensual'!O29,0))+parametros_manuales!$F$28*('Plan mensual'!O26+IF(parametros_manuales!$H$28="Todos",'Plan mensual'!O30,0))+parametros_manuales!$G$28*('Plan mensual'!O27+IF(parametros_manuales!$H$28="Todos",'Plan mensual'!O31,0)))*parametros_manuales!$I$28*parametros_manuales!$J$28</f>
        <v>2644.01</v>
      </c>
      <c r="N65" s="4">
        <f t="shared" si="7"/>
        <v>22717</v>
      </c>
      <c r="O65" s="4">
        <f t="shared" si="8"/>
        <v>2644.01</v>
      </c>
      <c r="P65" s="27">
        <f>O65/(parametros_manuales!$B$7)</f>
        <v>17.62673333</v>
      </c>
      <c r="Q65" s="3" t="str">
        <f t="shared" si="9"/>
        <v>Dic</v>
      </c>
    </row>
    <row r="66" ht="14.25" customHeight="1">
      <c r="A66" s="3" t="str">
        <f>parametros_manuales!$B$29</f>
        <v>Bordoneado</v>
      </c>
      <c r="B66" s="4">
        <f>(parametros_manuales!$D$29*('Plan mensual'!D24+IF(parametros_manuales!$H$29="Todos",'Plan mensual'!D28,0))+parametros_manuales!$E$29*('Plan mensual'!D25+IF(parametros_manuales!$H$29="Todos",'Plan mensual'!D29,0))+parametros_manuales!$F$29*('Plan mensual'!D26+IF(parametros_manuales!$H$29="Todos",'Plan mensual'!D30,0))+parametros_manuales!$G$29*('Plan mensual'!D27+IF(parametros_manuales!$H$29="Todos",'Plan mensual'!D31,0)))*parametros_manuales!$I$29*parametros_manuales!$J$29</f>
        <v>2561.98</v>
      </c>
      <c r="C66" s="4">
        <f>(parametros_manuales!$D$29*('Plan mensual'!E24+IF(parametros_manuales!$H$29="Todos",'Plan mensual'!E28,0))+parametros_manuales!$E$29*('Plan mensual'!E25+IF(parametros_manuales!$H$29="Todos",'Plan mensual'!E29,0))+parametros_manuales!$F$29*('Plan mensual'!E26+IF(parametros_manuales!$H$29="Todos",'Plan mensual'!E30,0))+parametros_manuales!$G$29*('Plan mensual'!E27+IF(parametros_manuales!$H$29="Todos",'Plan mensual'!E31,0)))*parametros_manuales!$I$29*parametros_manuales!$J$29</f>
        <v>1962.5</v>
      </c>
      <c r="D66" s="4">
        <f>(parametros_manuales!$D$29*('Plan mensual'!F24+IF(parametros_manuales!$H$29="Todos",'Plan mensual'!F28,0))+parametros_manuales!$E$29*('Plan mensual'!F25+IF(parametros_manuales!$H$29="Todos",'Plan mensual'!F29,0))+parametros_manuales!$F$29*('Plan mensual'!F26+IF(parametros_manuales!$H$29="Todos",'Plan mensual'!F30,0))+parametros_manuales!$G$29*('Plan mensual'!F27+IF(parametros_manuales!$H$29="Todos",'Plan mensual'!F31,0)))*parametros_manuales!$I$29*parametros_manuales!$J$29</f>
        <v>1858.375</v>
      </c>
      <c r="E66" s="4">
        <f>(parametros_manuales!$D$29*('Plan mensual'!G24+IF(parametros_manuales!$H$29="Todos",'Plan mensual'!G28,0))+parametros_manuales!$E$29*('Plan mensual'!G25+IF(parametros_manuales!$H$29="Todos",'Plan mensual'!G29,0))+parametros_manuales!$F$29*('Plan mensual'!G26+IF(parametros_manuales!$H$29="Todos",'Plan mensual'!G30,0))+parametros_manuales!$G$29*('Plan mensual'!G27+IF(parametros_manuales!$H$29="Todos",'Plan mensual'!G31,0)))*parametros_manuales!$I$29*parametros_manuales!$J$29</f>
        <v>1785.805</v>
      </c>
      <c r="F66" s="4">
        <f>(parametros_manuales!$D$29*('Plan mensual'!H24+IF(parametros_manuales!$H$29="Todos",'Plan mensual'!H28,0))+parametros_manuales!$E$29*('Plan mensual'!H25+IF(parametros_manuales!$H$29="Todos",'Plan mensual'!H29,0))+parametros_manuales!$F$29*('Plan mensual'!H26+IF(parametros_manuales!$H$29="Todos",'Plan mensual'!H30,0))+parametros_manuales!$G$29*('Plan mensual'!H27+IF(parametros_manuales!$H$29="Todos",'Plan mensual'!H31,0)))*parametros_manuales!$I$29*parametros_manuales!$J$29</f>
        <v>1672.22</v>
      </c>
      <c r="G66" s="4">
        <f>(parametros_manuales!$D$29*('Plan mensual'!I24+IF(parametros_manuales!$H$29="Todos",'Plan mensual'!I28,0))+parametros_manuales!$E$29*('Plan mensual'!I25+IF(parametros_manuales!$H$29="Todos",'Plan mensual'!I29,0))+parametros_manuales!$F$29*('Plan mensual'!I26+IF(parametros_manuales!$H$29="Todos",'Plan mensual'!I30,0))+parametros_manuales!$G$29*('Plan mensual'!I27+IF(parametros_manuales!$H$29="Todos",'Plan mensual'!I31,0)))*parametros_manuales!$I$29*parametros_manuales!$J$29</f>
        <v>1631.205</v>
      </c>
      <c r="H66" s="4">
        <f>(parametros_manuales!$D$29*('Plan mensual'!J24+IF(parametros_manuales!$H$29="Todos",'Plan mensual'!J28,0))+parametros_manuales!$E$29*('Plan mensual'!J25+IF(parametros_manuales!$H$29="Todos",'Plan mensual'!J29,0))+parametros_manuales!$F$29*('Plan mensual'!J26+IF(parametros_manuales!$H$29="Todos",'Plan mensual'!J30,0))+parametros_manuales!$G$29*('Plan mensual'!J27+IF(parametros_manuales!$H$29="Todos",'Plan mensual'!J31,0)))*parametros_manuales!$I$29*parametros_manuales!$J$29</f>
        <v>1744.79</v>
      </c>
      <c r="I66" s="4">
        <f>(parametros_manuales!$D$29*('Plan mensual'!K24+IF(parametros_manuales!$H$29="Todos",'Plan mensual'!K28,0))+parametros_manuales!$E$29*('Plan mensual'!K25+IF(parametros_manuales!$H$29="Todos",'Plan mensual'!K29,0))+parametros_manuales!$F$29*('Plan mensual'!K26+IF(parametros_manuales!$H$29="Todos",'Plan mensual'!K30,0))+parametros_manuales!$G$29*('Plan mensual'!K27+IF(parametros_manuales!$H$29="Todos",'Plan mensual'!K31,0)))*parametros_manuales!$I$29*parametros_manuales!$J$29</f>
        <v>1744.79</v>
      </c>
      <c r="J66" s="4">
        <f>(parametros_manuales!$D$29*('Plan mensual'!L24+IF(parametros_manuales!$H$29="Todos",'Plan mensual'!L28,0))+parametros_manuales!$E$29*('Plan mensual'!L25+IF(parametros_manuales!$H$29="Todos",'Plan mensual'!L29,0))+parametros_manuales!$F$29*('Plan mensual'!L26+IF(parametros_manuales!$H$29="Todos",'Plan mensual'!L30,0))+parametros_manuales!$G$29*('Plan mensual'!L27+IF(parametros_manuales!$H$29="Todos",'Plan mensual'!L31,0)))*parametros_manuales!$I$29*parametros_manuales!$J$29</f>
        <v>1744.79</v>
      </c>
      <c r="K66" s="4">
        <f>(parametros_manuales!$D$29*('Plan mensual'!M24+IF(parametros_manuales!$H$29="Todos",'Plan mensual'!M28,0))+parametros_manuales!$E$29*('Plan mensual'!M25+IF(parametros_manuales!$H$29="Todos",'Plan mensual'!M29,0))+parametros_manuales!$F$29*('Plan mensual'!M26+IF(parametros_manuales!$H$29="Todos",'Plan mensual'!M30,0))+parametros_manuales!$G$29*('Plan mensual'!M27+IF(parametros_manuales!$H$29="Todos",'Plan mensual'!M31,0)))*parametros_manuales!$I$29*parametros_manuales!$J$29</f>
        <v>1703.775</v>
      </c>
      <c r="L66" s="4">
        <f>(parametros_manuales!$D$29*('Plan mensual'!N24+IF(parametros_manuales!$H$29="Todos",'Plan mensual'!N28,0))+parametros_manuales!$E$29*('Plan mensual'!N25+IF(parametros_manuales!$H$29="Todos",'Plan mensual'!N29,0))+parametros_manuales!$F$29*('Plan mensual'!N26+IF(parametros_manuales!$H$29="Todos",'Plan mensual'!N30,0))+parametros_manuales!$G$29*('Plan mensual'!N27+IF(parametros_manuales!$H$29="Todos",'Plan mensual'!N31,0)))*parametros_manuales!$I$29*parametros_manuales!$J$29</f>
        <v>1662.76</v>
      </c>
      <c r="M66" s="4">
        <f>(parametros_manuales!$D$29*('Plan mensual'!O24+IF(parametros_manuales!$H$29="Todos",'Plan mensual'!O28,0))+parametros_manuales!$E$29*('Plan mensual'!O25+IF(parametros_manuales!$H$29="Todos",'Plan mensual'!O29,0))+parametros_manuales!$F$29*('Plan mensual'!O26+IF(parametros_manuales!$H$29="Todos",'Plan mensual'!O30,0))+parametros_manuales!$G$29*('Plan mensual'!O27+IF(parametros_manuales!$H$29="Todos",'Plan mensual'!O31,0)))*parametros_manuales!$I$29*parametros_manuales!$J$29</f>
        <v>2644.01</v>
      </c>
      <c r="N66" s="4">
        <f t="shared" si="7"/>
        <v>22717</v>
      </c>
      <c r="O66" s="4">
        <f t="shared" si="8"/>
        <v>2644.01</v>
      </c>
      <c r="P66" s="27">
        <f>O66/(parametros_manuales!$B$7)</f>
        <v>17.62673333</v>
      </c>
      <c r="Q66" s="3" t="str">
        <f t="shared" si="9"/>
        <v>Dic</v>
      </c>
    </row>
    <row r="67" ht="14.25" customHeight="1">
      <c r="A67" s="3" t="str">
        <f>parametros_manuales!$B$30</f>
        <v>Soldadura circunferencial de cúpula y fondo</v>
      </c>
      <c r="B67" s="4">
        <f>(parametros_manuales!$D$30*('Plan mensual'!D24+IF(parametros_manuales!$H$30="Todos",'Plan mensual'!D28,0))+parametros_manuales!$E$30*('Plan mensual'!D25+IF(parametros_manuales!$H$30="Todos",'Plan mensual'!D29,0))+parametros_manuales!$F$30*('Plan mensual'!D26+IF(parametros_manuales!$H$30="Todos",'Plan mensual'!D30,0))+parametros_manuales!$G$30*('Plan mensual'!D27+IF(parametros_manuales!$H$30="Todos",'Plan mensual'!D31,0)))*parametros_manuales!$I$30*parametros_manuales!$J$30</f>
        <v>2561.98</v>
      </c>
      <c r="C67" s="4">
        <f>(parametros_manuales!$D$30*('Plan mensual'!E24+IF(parametros_manuales!$H$30="Todos",'Plan mensual'!E28,0))+parametros_manuales!$E$30*('Plan mensual'!E25+IF(parametros_manuales!$H$30="Todos",'Plan mensual'!E29,0))+parametros_manuales!$F$30*('Plan mensual'!E26+IF(parametros_manuales!$H$30="Todos",'Plan mensual'!E30,0))+parametros_manuales!$G$30*('Plan mensual'!E27+IF(parametros_manuales!$H$30="Todos",'Plan mensual'!E31,0)))*parametros_manuales!$I$30*parametros_manuales!$J$30</f>
        <v>1962.5</v>
      </c>
      <c r="D67" s="4">
        <f>(parametros_manuales!$D$30*('Plan mensual'!F24+IF(parametros_manuales!$H$30="Todos",'Plan mensual'!F28,0))+parametros_manuales!$E$30*('Plan mensual'!F25+IF(parametros_manuales!$H$30="Todos",'Plan mensual'!F29,0))+parametros_manuales!$F$30*('Plan mensual'!F26+IF(parametros_manuales!$H$30="Todos",'Plan mensual'!F30,0))+parametros_manuales!$G$30*('Plan mensual'!F27+IF(parametros_manuales!$H$30="Todos",'Plan mensual'!F31,0)))*parametros_manuales!$I$30*parametros_manuales!$J$30</f>
        <v>1858.375</v>
      </c>
      <c r="E67" s="4">
        <f>(parametros_manuales!$D$30*('Plan mensual'!G24+IF(parametros_manuales!$H$30="Todos",'Plan mensual'!G28,0))+parametros_manuales!$E$30*('Plan mensual'!G25+IF(parametros_manuales!$H$30="Todos",'Plan mensual'!G29,0))+parametros_manuales!$F$30*('Plan mensual'!G26+IF(parametros_manuales!$H$30="Todos",'Plan mensual'!G30,0))+parametros_manuales!$G$30*('Plan mensual'!G27+IF(parametros_manuales!$H$30="Todos",'Plan mensual'!G31,0)))*parametros_manuales!$I$30*parametros_manuales!$J$30</f>
        <v>1785.805</v>
      </c>
      <c r="F67" s="4">
        <f>(parametros_manuales!$D$30*('Plan mensual'!H24+IF(parametros_manuales!$H$30="Todos",'Plan mensual'!H28,0))+parametros_manuales!$E$30*('Plan mensual'!H25+IF(parametros_manuales!$H$30="Todos",'Plan mensual'!H29,0))+parametros_manuales!$F$30*('Plan mensual'!H26+IF(parametros_manuales!$H$30="Todos",'Plan mensual'!H30,0))+parametros_manuales!$G$30*('Plan mensual'!H27+IF(parametros_manuales!$H$30="Todos",'Plan mensual'!H31,0)))*parametros_manuales!$I$30*parametros_manuales!$J$30</f>
        <v>1672.22</v>
      </c>
      <c r="G67" s="4">
        <f>(parametros_manuales!$D$30*('Plan mensual'!I24+IF(parametros_manuales!$H$30="Todos",'Plan mensual'!I28,0))+parametros_manuales!$E$30*('Plan mensual'!I25+IF(parametros_manuales!$H$30="Todos",'Plan mensual'!I29,0))+parametros_manuales!$F$30*('Plan mensual'!I26+IF(parametros_manuales!$H$30="Todos",'Plan mensual'!I30,0))+parametros_manuales!$G$30*('Plan mensual'!I27+IF(parametros_manuales!$H$30="Todos",'Plan mensual'!I31,0)))*parametros_manuales!$I$30*parametros_manuales!$J$30</f>
        <v>1631.205</v>
      </c>
      <c r="H67" s="4">
        <f>(parametros_manuales!$D$30*('Plan mensual'!J24+IF(parametros_manuales!$H$30="Todos",'Plan mensual'!J28,0))+parametros_manuales!$E$30*('Plan mensual'!J25+IF(parametros_manuales!$H$30="Todos",'Plan mensual'!J29,0))+parametros_manuales!$F$30*('Plan mensual'!J26+IF(parametros_manuales!$H$30="Todos",'Plan mensual'!J30,0))+parametros_manuales!$G$30*('Plan mensual'!J27+IF(parametros_manuales!$H$30="Todos",'Plan mensual'!J31,0)))*parametros_manuales!$I$30*parametros_manuales!$J$30</f>
        <v>1744.79</v>
      </c>
      <c r="I67" s="4">
        <f>(parametros_manuales!$D$30*('Plan mensual'!K24+IF(parametros_manuales!$H$30="Todos",'Plan mensual'!K28,0))+parametros_manuales!$E$30*('Plan mensual'!K25+IF(parametros_manuales!$H$30="Todos",'Plan mensual'!K29,0))+parametros_manuales!$F$30*('Plan mensual'!K26+IF(parametros_manuales!$H$30="Todos",'Plan mensual'!K30,0))+parametros_manuales!$G$30*('Plan mensual'!K27+IF(parametros_manuales!$H$30="Todos",'Plan mensual'!K31,0)))*parametros_manuales!$I$30*parametros_manuales!$J$30</f>
        <v>1744.79</v>
      </c>
      <c r="J67" s="4">
        <f>(parametros_manuales!$D$30*('Plan mensual'!L24+IF(parametros_manuales!$H$30="Todos",'Plan mensual'!L28,0))+parametros_manuales!$E$30*('Plan mensual'!L25+IF(parametros_manuales!$H$30="Todos",'Plan mensual'!L29,0))+parametros_manuales!$F$30*('Plan mensual'!L26+IF(parametros_manuales!$H$30="Todos",'Plan mensual'!L30,0))+parametros_manuales!$G$30*('Plan mensual'!L27+IF(parametros_manuales!$H$30="Todos",'Plan mensual'!L31,0)))*parametros_manuales!$I$30*parametros_manuales!$J$30</f>
        <v>1744.79</v>
      </c>
      <c r="K67" s="4">
        <f>(parametros_manuales!$D$30*('Plan mensual'!M24+IF(parametros_manuales!$H$30="Todos",'Plan mensual'!M28,0))+parametros_manuales!$E$30*('Plan mensual'!M25+IF(parametros_manuales!$H$30="Todos",'Plan mensual'!M29,0))+parametros_manuales!$F$30*('Plan mensual'!M26+IF(parametros_manuales!$H$30="Todos",'Plan mensual'!M30,0))+parametros_manuales!$G$30*('Plan mensual'!M27+IF(parametros_manuales!$H$30="Todos",'Plan mensual'!M31,0)))*parametros_manuales!$I$30*parametros_manuales!$J$30</f>
        <v>1703.775</v>
      </c>
      <c r="L67" s="4">
        <f>(parametros_manuales!$D$30*('Plan mensual'!N24+IF(parametros_manuales!$H$30="Todos",'Plan mensual'!N28,0))+parametros_manuales!$E$30*('Plan mensual'!N25+IF(parametros_manuales!$H$30="Todos",'Plan mensual'!N29,0))+parametros_manuales!$F$30*('Plan mensual'!N26+IF(parametros_manuales!$H$30="Todos",'Plan mensual'!N30,0))+parametros_manuales!$G$30*('Plan mensual'!N27+IF(parametros_manuales!$H$30="Todos",'Plan mensual'!N31,0)))*parametros_manuales!$I$30*parametros_manuales!$J$30</f>
        <v>1662.76</v>
      </c>
      <c r="M67" s="4">
        <f>(parametros_manuales!$D$30*('Plan mensual'!O24+IF(parametros_manuales!$H$30="Todos",'Plan mensual'!O28,0))+parametros_manuales!$E$30*('Plan mensual'!O25+IF(parametros_manuales!$H$30="Todos",'Plan mensual'!O29,0))+parametros_manuales!$F$30*('Plan mensual'!O26+IF(parametros_manuales!$H$30="Todos",'Plan mensual'!O30,0))+parametros_manuales!$G$30*('Plan mensual'!O27+IF(parametros_manuales!$H$30="Todos",'Plan mensual'!O31,0)))*parametros_manuales!$I$30*parametros_manuales!$J$30</f>
        <v>2644.01</v>
      </c>
      <c r="N67" s="4">
        <f t="shared" si="7"/>
        <v>22717</v>
      </c>
      <c r="O67" s="4">
        <f t="shared" si="8"/>
        <v>2644.01</v>
      </c>
      <c r="P67" s="27">
        <f>O67/(parametros_manuales!$B$7)</f>
        <v>17.62673333</v>
      </c>
      <c r="Q67" s="3" t="str">
        <f t="shared" si="9"/>
        <v>Dic</v>
      </c>
    </row>
    <row r="68" ht="14.25" customHeight="1">
      <c r="A68" s="3" t="str">
        <f>parametros_manuales!$B$31</f>
        <v>Control de calidad — Espesor</v>
      </c>
      <c r="B68" s="4">
        <f>(parametros_manuales!$D$31*('Plan mensual'!D24+IF(parametros_manuales!$H$31="Todos",'Plan mensual'!D28,0))+parametros_manuales!$E$31*('Plan mensual'!D25+IF(parametros_manuales!$H$31="Todos",'Plan mensual'!D29,0))+parametros_manuales!$F$31*('Plan mensual'!D26+IF(parametros_manuales!$H$31="Todos",'Plan mensual'!D30,0))+parametros_manuales!$G$31*('Plan mensual'!D27+IF(parametros_manuales!$H$31="Todos",'Plan mensual'!D31,0)))*parametros_manuales!$I$31*parametros_manuales!$J$31</f>
        <v>51.2396</v>
      </c>
      <c r="C68" s="4">
        <f>(parametros_manuales!$D$31*('Plan mensual'!E24+IF(parametros_manuales!$H$31="Todos",'Plan mensual'!E28,0))+parametros_manuales!$E$31*('Plan mensual'!E25+IF(parametros_manuales!$H$31="Todos",'Plan mensual'!E29,0))+parametros_manuales!$F$31*('Plan mensual'!E26+IF(parametros_manuales!$H$31="Todos",'Plan mensual'!E30,0))+parametros_manuales!$G$31*('Plan mensual'!E27+IF(parametros_manuales!$H$31="Todos",'Plan mensual'!E31,0)))*parametros_manuales!$I$31*parametros_manuales!$J$31</f>
        <v>39.25</v>
      </c>
      <c r="D68" s="4">
        <f>(parametros_manuales!$D$31*('Plan mensual'!F24+IF(parametros_manuales!$H$31="Todos",'Plan mensual'!F28,0))+parametros_manuales!$E$31*('Plan mensual'!F25+IF(parametros_manuales!$H$31="Todos",'Plan mensual'!F29,0))+parametros_manuales!$F$31*('Plan mensual'!F26+IF(parametros_manuales!$H$31="Todos",'Plan mensual'!F30,0))+parametros_manuales!$G$31*('Plan mensual'!F27+IF(parametros_manuales!$H$31="Todos",'Plan mensual'!F31,0)))*parametros_manuales!$I$31*parametros_manuales!$J$31</f>
        <v>37.1675</v>
      </c>
      <c r="E68" s="4">
        <f>(parametros_manuales!$D$31*('Plan mensual'!G24+IF(parametros_manuales!$H$31="Todos",'Plan mensual'!G28,0))+parametros_manuales!$E$31*('Plan mensual'!G25+IF(parametros_manuales!$H$31="Todos",'Plan mensual'!G29,0))+parametros_manuales!$F$31*('Plan mensual'!G26+IF(parametros_manuales!$H$31="Todos",'Plan mensual'!G30,0))+parametros_manuales!$G$31*('Plan mensual'!G27+IF(parametros_manuales!$H$31="Todos",'Plan mensual'!G31,0)))*parametros_manuales!$I$31*parametros_manuales!$J$31</f>
        <v>35.7161</v>
      </c>
      <c r="F68" s="4">
        <f>(parametros_manuales!$D$31*('Plan mensual'!H24+IF(parametros_manuales!$H$31="Todos",'Plan mensual'!H28,0))+parametros_manuales!$E$31*('Plan mensual'!H25+IF(parametros_manuales!$H$31="Todos",'Plan mensual'!H29,0))+parametros_manuales!$F$31*('Plan mensual'!H26+IF(parametros_manuales!$H$31="Todos",'Plan mensual'!H30,0))+parametros_manuales!$G$31*('Plan mensual'!H27+IF(parametros_manuales!$H$31="Todos",'Plan mensual'!H31,0)))*parametros_manuales!$I$31*parametros_manuales!$J$31</f>
        <v>33.4444</v>
      </c>
      <c r="G68" s="4">
        <f>(parametros_manuales!$D$31*('Plan mensual'!I24+IF(parametros_manuales!$H$31="Todos",'Plan mensual'!I28,0))+parametros_manuales!$E$31*('Plan mensual'!I25+IF(parametros_manuales!$H$31="Todos",'Plan mensual'!I29,0))+parametros_manuales!$F$31*('Plan mensual'!I26+IF(parametros_manuales!$H$31="Todos",'Plan mensual'!I30,0))+parametros_manuales!$G$31*('Plan mensual'!I27+IF(parametros_manuales!$H$31="Todos",'Plan mensual'!I31,0)))*parametros_manuales!$I$31*parametros_manuales!$J$31</f>
        <v>32.6241</v>
      </c>
      <c r="H68" s="4">
        <f>(parametros_manuales!$D$31*('Plan mensual'!J24+IF(parametros_manuales!$H$31="Todos",'Plan mensual'!J28,0))+parametros_manuales!$E$31*('Plan mensual'!J25+IF(parametros_manuales!$H$31="Todos",'Plan mensual'!J29,0))+parametros_manuales!$F$31*('Plan mensual'!J26+IF(parametros_manuales!$H$31="Todos",'Plan mensual'!J30,0))+parametros_manuales!$G$31*('Plan mensual'!J27+IF(parametros_manuales!$H$31="Todos",'Plan mensual'!J31,0)))*parametros_manuales!$I$31*parametros_manuales!$J$31</f>
        <v>34.8958</v>
      </c>
      <c r="I68" s="4">
        <f>(parametros_manuales!$D$31*('Plan mensual'!K24+IF(parametros_manuales!$H$31="Todos",'Plan mensual'!K28,0))+parametros_manuales!$E$31*('Plan mensual'!K25+IF(parametros_manuales!$H$31="Todos",'Plan mensual'!K29,0))+parametros_manuales!$F$31*('Plan mensual'!K26+IF(parametros_manuales!$H$31="Todos",'Plan mensual'!K30,0))+parametros_manuales!$G$31*('Plan mensual'!K27+IF(parametros_manuales!$H$31="Todos",'Plan mensual'!K31,0)))*parametros_manuales!$I$31*parametros_manuales!$J$31</f>
        <v>34.8958</v>
      </c>
      <c r="J68" s="4">
        <f>(parametros_manuales!$D$31*('Plan mensual'!L24+IF(parametros_manuales!$H$31="Todos",'Plan mensual'!L28,0))+parametros_manuales!$E$31*('Plan mensual'!L25+IF(parametros_manuales!$H$31="Todos",'Plan mensual'!L29,0))+parametros_manuales!$F$31*('Plan mensual'!L26+IF(parametros_manuales!$H$31="Todos",'Plan mensual'!L30,0))+parametros_manuales!$G$31*('Plan mensual'!L27+IF(parametros_manuales!$H$31="Todos",'Plan mensual'!L31,0)))*parametros_manuales!$I$31*parametros_manuales!$J$31</f>
        <v>34.8958</v>
      </c>
      <c r="K68" s="4">
        <f>(parametros_manuales!$D$31*('Plan mensual'!M24+IF(parametros_manuales!$H$31="Todos",'Plan mensual'!M28,0))+parametros_manuales!$E$31*('Plan mensual'!M25+IF(parametros_manuales!$H$31="Todos",'Plan mensual'!M29,0))+parametros_manuales!$F$31*('Plan mensual'!M26+IF(parametros_manuales!$H$31="Todos",'Plan mensual'!M30,0))+parametros_manuales!$G$31*('Plan mensual'!M27+IF(parametros_manuales!$H$31="Todos",'Plan mensual'!M31,0)))*parametros_manuales!$I$31*parametros_manuales!$J$31</f>
        <v>34.0755</v>
      </c>
      <c r="L68" s="4">
        <f>(parametros_manuales!$D$31*('Plan mensual'!N24+IF(parametros_manuales!$H$31="Todos",'Plan mensual'!N28,0))+parametros_manuales!$E$31*('Plan mensual'!N25+IF(parametros_manuales!$H$31="Todos",'Plan mensual'!N29,0))+parametros_manuales!$F$31*('Plan mensual'!N26+IF(parametros_manuales!$H$31="Todos",'Plan mensual'!N30,0))+parametros_manuales!$G$31*('Plan mensual'!N27+IF(parametros_manuales!$H$31="Todos",'Plan mensual'!N31,0)))*parametros_manuales!$I$31*parametros_manuales!$J$31</f>
        <v>33.2552</v>
      </c>
      <c r="M68" s="4">
        <f>(parametros_manuales!$D$31*('Plan mensual'!O24+IF(parametros_manuales!$H$31="Todos",'Plan mensual'!O28,0))+parametros_manuales!$E$31*('Plan mensual'!O25+IF(parametros_manuales!$H$31="Todos",'Plan mensual'!O29,0))+parametros_manuales!$F$31*('Plan mensual'!O26+IF(parametros_manuales!$H$31="Todos",'Plan mensual'!O30,0))+parametros_manuales!$G$31*('Plan mensual'!O27+IF(parametros_manuales!$H$31="Todos",'Plan mensual'!O31,0)))*parametros_manuales!$I$31*parametros_manuales!$J$31</f>
        <v>52.8802</v>
      </c>
      <c r="N68" s="4">
        <f t="shared" si="7"/>
        <v>454.34</v>
      </c>
      <c r="O68" s="4">
        <f t="shared" si="8"/>
        <v>52.8802</v>
      </c>
      <c r="P68" s="27">
        <f>O68/(parametros_manuales!$B$7)</f>
        <v>0.3525346667</v>
      </c>
      <c r="Q68" s="3" t="str">
        <f t="shared" si="9"/>
        <v>Dic</v>
      </c>
    </row>
    <row r="69" ht="14.25" customHeight="1">
      <c r="A69" s="3" t="str">
        <f>parametros_manuales!$B$32</f>
        <v>Prueba hidráulica</v>
      </c>
      <c r="B69" s="4">
        <f>(parametros_manuales!$D$32*('Plan mensual'!D24+IF(parametros_manuales!$H$32="Todos",'Plan mensual'!D28,0))+parametros_manuales!$E$32*('Plan mensual'!D25+IF(parametros_manuales!$H$32="Todos",'Plan mensual'!D29,0))+parametros_manuales!$F$32*('Plan mensual'!D26+IF(parametros_manuales!$H$32="Todos",'Plan mensual'!D30,0))+parametros_manuales!$G$32*('Plan mensual'!D27+IF(parametros_manuales!$H$32="Todos",'Plan mensual'!D31,0)))*parametros_manuales!$I$32*parametros_manuales!$J$32</f>
        <v>2561.98</v>
      </c>
      <c r="C69" s="4">
        <f>(parametros_manuales!$D$32*('Plan mensual'!E24+IF(parametros_manuales!$H$32="Todos",'Plan mensual'!E28,0))+parametros_manuales!$E$32*('Plan mensual'!E25+IF(parametros_manuales!$H$32="Todos",'Plan mensual'!E29,0))+parametros_manuales!$F$32*('Plan mensual'!E26+IF(parametros_manuales!$H$32="Todos",'Plan mensual'!E30,0))+parametros_manuales!$G$32*('Plan mensual'!E27+IF(parametros_manuales!$H$32="Todos",'Plan mensual'!E31,0)))*parametros_manuales!$I$32*parametros_manuales!$J$32</f>
        <v>1962.5</v>
      </c>
      <c r="D69" s="4">
        <f>(parametros_manuales!$D$32*('Plan mensual'!F24+IF(parametros_manuales!$H$32="Todos",'Plan mensual'!F28,0))+parametros_manuales!$E$32*('Plan mensual'!F25+IF(parametros_manuales!$H$32="Todos",'Plan mensual'!F29,0))+parametros_manuales!$F$32*('Plan mensual'!F26+IF(parametros_manuales!$H$32="Todos",'Plan mensual'!F30,0))+parametros_manuales!$G$32*('Plan mensual'!F27+IF(parametros_manuales!$H$32="Todos",'Plan mensual'!F31,0)))*parametros_manuales!$I$32*parametros_manuales!$J$32</f>
        <v>1858.375</v>
      </c>
      <c r="E69" s="4">
        <f>(parametros_manuales!$D$32*('Plan mensual'!G24+IF(parametros_manuales!$H$32="Todos",'Plan mensual'!G28,0))+parametros_manuales!$E$32*('Plan mensual'!G25+IF(parametros_manuales!$H$32="Todos",'Plan mensual'!G29,0))+parametros_manuales!$F$32*('Plan mensual'!G26+IF(parametros_manuales!$H$32="Todos",'Plan mensual'!G30,0))+parametros_manuales!$G$32*('Plan mensual'!G27+IF(parametros_manuales!$H$32="Todos",'Plan mensual'!G31,0)))*parametros_manuales!$I$32*parametros_manuales!$J$32</f>
        <v>1785.805</v>
      </c>
      <c r="F69" s="4">
        <f>(parametros_manuales!$D$32*('Plan mensual'!H24+IF(parametros_manuales!$H$32="Todos",'Plan mensual'!H28,0))+parametros_manuales!$E$32*('Plan mensual'!H25+IF(parametros_manuales!$H$32="Todos",'Plan mensual'!H29,0))+parametros_manuales!$F$32*('Plan mensual'!H26+IF(parametros_manuales!$H$32="Todos",'Plan mensual'!H30,0))+parametros_manuales!$G$32*('Plan mensual'!H27+IF(parametros_manuales!$H$32="Todos",'Plan mensual'!H31,0)))*parametros_manuales!$I$32*parametros_manuales!$J$32</f>
        <v>1672.22</v>
      </c>
      <c r="G69" s="4">
        <f>(parametros_manuales!$D$32*('Plan mensual'!I24+IF(parametros_manuales!$H$32="Todos",'Plan mensual'!I28,0))+parametros_manuales!$E$32*('Plan mensual'!I25+IF(parametros_manuales!$H$32="Todos",'Plan mensual'!I29,0))+parametros_manuales!$F$32*('Plan mensual'!I26+IF(parametros_manuales!$H$32="Todos",'Plan mensual'!I30,0))+parametros_manuales!$G$32*('Plan mensual'!I27+IF(parametros_manuales!$H$32="Todos",'Plan mensual'!I31,0)))*parametros_manuales!$I$32*parametros_manuales!$J$32</f>
        <v>1631.205</v>
      </c>
      <c r="H69" s="4">
        <f>(parametros_manuales!$D$32*('Plan mensual'!J24+IF(parametros_manuales!$H$32="Todos",'Plan mensual'!J28,0))+parametros_manuales!$E$32*('Plan mensual'!J25+IF(parametros_manuales!$H$32="Todos",'Plan mensual'!J29,0))+parametros_manuales!$F$32*('Plan mensual'!J26+IF(parametros_manuales!$H$32="Todos",'Plan mensual'!J30,0))+parametros_manuales!$G$32*('Plan mensual'!J27+IF(parametros_manuales!$H$32="Todos",'Plan mensual'!J31,0)))*parametros_manuales!$I$32*parametros_manuales!$J$32</f>
        <v>1744.79</v>
      </c>
      <c r="I69" s="4">
        <f>(parametros_manuales!$D$32*('Plan mensual'!K24+IF(parametros_manuales!$H$32="Todos",'Plan mensual'!K28,0))+parametros_manuales!$E$32*('Plan mensual'!K25+IF(parametros_manuales!$H$32="Todos",'Plan mensual'!K29,0))+parametros_manuales!$F$32*('Plan mensual'!K26+IF(parametros_manuales!$H$32="Todos",'Plan mensual'!K30,0))+parametros_manuales!$G$32*('Plan mensual'!K27+IF(parametros_manuales!$H$32="Todos",'Plan mensual'!K31,0)))*parametros_manuales!$I$32*parametros_manuales!$J$32</f>
        <v>1744.79</v>
      </c>
      <c r="J69" s="4">
        <f>(parametros_manuales!$D$32*('Plan mensual'!L24+IF(parametros_manuales!$H$32="Todos",'Plan mensual'!L28,0))+parametros_manuales!$E$32*('Plan mensual'!L25+IF(parametros_manuales!$H$32="Todos",'Plan mensual'!L29,0))+parametros_manuales!$F$32*('Plan mensual'!L26+IF(parametros_manuales!$H$32="Todos",'Plan mensual'!L30,0))+parametros_manuales!$G$32*('Plan mensual'!L27+IF(parametros_manuales!$H$32="Todos",'Plan mensual'!L31,0)))*parametros_manuales!$I$32*parametros_manuales!$J$32</f>
        <v>1744.79</v>
      </c>
      <c r="K69" s="4">
        <f>(parametros_manuales!$D$32*('Plan mensual'!M24+IF(parametros_manuales!$H$32="Todos",'Plan mensual'!M28,0))+parametros_manuales!$E$32*('Plan mensual'!M25+IF(parametros_manuales!$H$32="Todos",'Plan mensual'!M29,0))+parametros_manuales!$F$32*('Plan mensual'!M26+IF(parametros_manuales!$H$32="Todos",'Plan mensual'!M30,0))+parametros_manuales!$G$32*('Plan mensual'!M27+IF(parametros_manuales!$H$32="Todos",'Plan mensual'!M31,0)))*parametros_manuales!$I$32*parametros_manuales!$J$32</f>
        <v>1703.775</v>
      </c>
      <c r="L69" s="4">
        <f>(parametros_manuales!$D$32*('Plan mensual'!N24+IF(parametros_manuales!$H$32="Todos",'Plan mensual'!N28,0))+parametros_manuales!$E$32*('Plan mensual'!N25+IF(parametros_manuales!$H$32="Todos",'Plan mensual'!N29,0))+parametros_manuales!$F$32*('Plan mensual'!N26+IF(parametros_manuales!$H$32="Todos",'Plan mensual'!N30,0))+parametros_manuales!$G$32*('Plan mensual'!N27+IF(parametros_manuales!$H$32="Todos",'Plan mensual'!N31,0)))*parametros_manuales!$I$32*parametros_manuales!$J$32</f>
        <v>1662.76</v>
      </c>
      <c r="M69" s="4">
        <f>(parametros_manuales!$D$32*('Plan mensual'!O24+IF(parametros_manuales!$H$32="Todos",'Plan mensual'!O28,0))+parametros_manuales!$E$32*('Plan mensual'!O25+IF(parametros_manuales!$H$32="Todos",'Plan mensual'!O29,0))+parametros_manuales!$F$32*('Plan mensual'!O26+IF(parametros_manuales!$H$32="Todos",'Plan mensual'!O30,0))+parametros_manuales!$G$32*('Plan mensual'!O27+IF(parametros_manuales!$H$32="Todos",'Plan mensual'!O31,0)))*parametros_manuales!$I$32*parametros_manuales!$J$32</f>
        <v>2644.01</v>
      </c>
      <c r="N69" s="4">
        <f t="shared" si="7"/>
        <v>22717</v>
      </c>
      <c r="O69" s="4">
        <f t="shared" si="8"/>
        <v>2644.01</v>
      </c>
      <c r="P69" s="27">
        <f>O69/(parametros_manuales!$B$7)</f>
        <v>17.62673333</v>
      </c>
      <c r="Q69" s="3" t="str">
        <f t="shared" si="9"/>
        <v>Dic</v>
      </c>
    </row>
    <row r="70" ht="14.25" customHeight="1">
      <c r="A70" s="3" t="str">
        <f>parametros_manuales!$B$33</f>
        <v>Secado</v>
      </c>
      <c r="B70" s="4">
        <f>(parametros_manuales!$D$33*('Plan mensual'!D24+IF(parametros_manuales!$H$33="Todos",'Plan mensual'!D28,0))+parametros_manuales!$E$33*('Plan mensual'!D25+IF(parametros_manuales!$H$33="Todos",'Plan mensual'!D29,0))+parametros_manuales!$F$33*('Plan mensual'!D26+IF(parametros_manuales!$H$33="Todos",'Plan mensual'!D30,0))+parametros_manuales!$G$33*('Plan mensual'!D27+IF(parametros_manuales!$H$33="Todos",'Plan mensual'!D31,0)))*parametros_manuales!$I$33*parametros_manuales!$J$33</f>
        <v>2561.98</v>
      </c>
      <c r="C70" s="4">
        <f>(parametros_manuales!$D$33*('Plan mensual'!E24+IF(parametros_manuales!$H$33="Todos",'Plan mensual'!E28,0))+parametros_manuales!$E$33*('Plan mensual'!E25+IF(parametros_manuales!$H$33="Todos",'Plan mensual'!E29,0))+parametros_manuales!$F$33*('Plan mensual'!E26+IF(parametros_manuales!$H$33="Todos",'Plan mensual'!E30,0))+parametros_manuales!$G$33*('Plan mensual'!E27+IF(parametros_manuales!$H$33="Todos",'Plan mensual'!E31,0)))*parametros_manuales!$I$33*parametros_manuales!$J$33</f>
        <v>1962.5</v>
      </c>
      <c r="D70" s="4">
        <f>(parametros_manuales!$D$33*('Plan mensual'!F24+IF(parametros_manuales!$H$33="Todos",'Plan mensual'!F28,0))+parametros_manuales!$E$33*('Plan mensual'!F25+IF(parametros_manuales!$H$33="Todos",'Plan mensual'!F29,0))+parametros_manuales!$F$33*('Plan mensual'!F26+IF(parametros_manuales!$H$33="Todos",'Plan mensual'!F30,0))+parametros_manuales!$G$33*('Plan mensual'!F27+IF(parametros_manuales!$H$33="Todos",'Plan mensual'!F31,0)))*parametros_manuales!$I$33*parametros_manuales!$J$33</f>
        <v>1858.375</v>
      </c>
      <c r="E70" s="4">
        <f>(parametros_manuales!$D$33*('Plan mensual'!G24+IF(parametros_manuales!$H$33="Todos",'Plan mensual'!G28,0))+parametros_manuales!$E$33*('Plan mensual'!G25+IF(parametros_manuales!$H$33="Todos",'Plan mensual'!G29,0))+parametros_manuales!$F$33*('Plan mensual'!G26+IF(parametros_manuales!$H$33="Todos",'Plan mensual'!G30,0))+parametros_manuales!$G$33*('Plan mensual'!G27+IF(parametros_manuales!$H$33="Todos",'Plan mensual'!G31,0)))*parametros_manuales!$I$33*parametros_manuales!$J$33</f>
        <v>1785.805</v>
      </c>
      <c r="F70" s="4">
        <f>(parametros_manuales!$D$33*('Plan mensual'!H24+IF(parametros_manuales!$H$33="Todos",'Plan mensual'!H28,0))+parametros_manuales!$E$33*('Plan mensual'!H25+IF(parametros_manuales!$H$33="Todos",'Plan mensual'!H29,0))+parametros_manuales!$F$33*('Plan mensual'!H26+IF(parametros_manuales!$H$33="Todos",'Plan mensual'!H30,0))+parametros_manuales!$G$33*('Plan mensual'!H27+IF(parametros_manuales!$H$33="Todos",'Plan mensual'!H31,0)))*parametros_manuales!$I$33*parametros_manuales!$J$33</f>
        <v>1672.22</v>
      </c>
      <c r="G70" s="4">
        <f>(parametros_manuales!$D$33*('Plan mensual'!I24+IF(parametros_manuales!$H$33="Todos",'Plan mensual'!I28,0))+parametros_manuales!$E$33*('Plan mensual'!I25+IF(parametros_manuales!$H$33="Todos",'Plan mensual'!I29,0))+parametros_manuales!$F$33*('Plan mensual'!I26+IF(parametros_manuales!$H$33="Todos",'Plan mensual'!I30,0))+parametros_manuales!$G$33*('Plan mensual'!I27+IF(parametros_manuales!$H$33="Todos",'Plan mensual'!I31,0)))*parametros_manuales!$I$33*parametros_manuales!$J$33</f>
        <v>1631.205</v>
      </c>
      <c r="H70" s="4">
        <f>(parametros_manuales!$D$33*('Plan mensual'!J24+IF(parametros_manuales!$H$33="Todos",'Plan mensual'!J28,0))+parametros_manuales!$E$33*('Plan mensual'!J25+IF(parametros_manuales!$H$33="Todos",'Plan mensual'!J29,0))+parametros_manuales!$F$33*('Plan mensual'!J26+IF(parametros_manuales!$H$33="Todos",'Plan mensual'!J30,0))+parametros_manuales!$G$33*('Plan mensual'!J27+IF(parametros_manuales!$H$33="Todos",'Plan mensual'!J31,0)))*parametros_manuales!$I$33*parametros_manuales!$J$33</f>
        <v>1744.79</v>
      </c>
      <c r="I70" s="4">
        <f>(parametros_manuales!$D$33*('Plan mensual'!K24+IF(parametros_manuales!$H$33="Todos",'Plan mensual'!K28,0))+parametros_manuales!$E$33*('Plan mensual'!K25+IF(parametros_manuales!$H$33="Todos",'Plan mensual'!K29,0))+parametros_manuales!$F$33*('Plan mensual'!K26+IF(parametros_manuales!$H$33="Todos",'Plan mensual'!K30,0))+parametros_manuales!$G$33*('Plan mensual'!K27+IF(parametros_manuales!$H$33="Todos",'Plan mensual'!K31,0)))*parametros_manuales!$I$33*parametros_manuales!$J$33</f>
        <v>1744.79</v>
      </c>
      <c r="J70" s="4">
        <f>(parametros_manuales!$D$33*('Plan mensual'!L24+IF(parametros_manuales!$H$33="Todos",'Plan mensual'!L28,0))+parametros_manuales!$E$33*('Plan mensual'!L25+IF(parametros_manuales!$H$33="Todos",'Plan mensual'!L29,0))+parametros_manuales!$F$33*('Plan mensual'!L26+IF(parametros_manuales!$H$33="Todos",'Plan mensual'!L30,0))+parametros_manuales!$G$33*('Plan mensual'!L27+IF(parametros_manuales!$H$33="Todos",'Plan mensual'!L31,0)))*parametros_manuales!$I$33*parametros_manuales!$J$33</f>
        <v>1744.79</v>
      </c>
      <c r="K70" s="4">
        <f>(parametros_manuales!$D$33*('Plan mensual'!M24+IF(parametros_manuales!$H$33="Todos",'Plan mensual'!M28,0))+parametros_manuales!$E$33*('Plan mensual'!M25+IF(parametros_manuales!$H$33="Todos",'Plan mensual'!M29,0))+parametros_manuales!$F$33*('Plan mensual'!M26+IF(parametros_manuales!$H$33="Todos",'Plan mensual'!M30,0))+parametros_manuales!$G$33*('Plan mensual'!M27+IF(parametros_manuales!$H$33="Todos",'Plan mensual'!M31,0)))*parametros_manuales!$I$33*parametros_manuales!$J$33</f>
        <v>1703.775</v>
      </c>
      <c r="L70" s="4">
        <f>(parametros_manuales!$D$33*('Plan mensual'!N24+IF(parametros_manuales!$H$33="Todos",'Plan mensual'!N28,0))+parametros_manuales!$E$33*('Plan mensual'!N25+IF(parametros_manuales!$H$33="Todos",'Plan mensual'!N29,0))+parametros_manuales!$F$33*('Plan mensual'!N26+IF(parametros_manuales!$H$33="Todos",'Plan mensual'!N30,0))+parametros_manuales!$G$33*('Plan mensual'!N27+IF(parametros_manuales!$H$33="Todos",'Plan mensual'!N31,0)))*parametros_manuales!$I$33*parametros_manuales!$J$33</f>
        <v>1662.76</v>
      </c>
      <c r="M70" s="4">
        <f>(parametros_manuales!$D$33*('Plan mensual'!O24+IF(parametros_manuales!$H$33="Todos",'Plan mensual'!O28,0))+parametros_manuales!$E$33*('Plan mensual'!O25+IF(parametros_manuales!$H$33="Todos",'Plan mensual'!O29,0))+parametros_manuales!$F$33*('Plan mensual'!O26+IF(parametros_manuales!$H$33="Todos",'Plan mensual'!O30,0))+parametros_manuales!$G$33*('Plan mensual'!O27+IF(parametros_manuales!$H$33="Todos",'Plan mensual'!O31,0)))*parametros_manuales!$I$33*parametros_manuales!$J$33</f>
        <v>2644.01</v>
      </c>
      <c r="N70" s="4">
        <f t="shared" si="7"/>
        <v>22717</v>
      </c>
      <c r="O70" s="4">
        <f t="shared" si="8"/>
        <v>2644.01</v>
      </c>
      <c r="P70" s="27">
        <f>O70/(parametros_manuales!$B$7)</f>
        <v>17.62673333</v>
      </c>
      <c r="Q70" s="3" t="str">
        <f t="shared" si="9"/>
        <v>Dic</v>
      </c>
    </row>
    <row r="71" ht="14.25" customHeight="1">
      <c r="A71" s="3" t="str">
        <f>parametros_manuales!$B$34</f>
        <v>Granallado</v>
      </c>
      <c r="B71" s="4">
        <f>(parametros_manuales!$D$34*('Plan mensual'!D24+IF(parametros_manuales!$H$34="Todos",'Plan mensual'!D28,0))+parametros_manuales!$E$34*('Plan mensual'!D25+IF(parametros_manuales!$H$34="Todos",'Plan mensual'!D29,0))+parametros_manuales!$F$34*('Plan mensual'!D26+IF(parametros_manuales!$H$34="Todos",'Plan mensual'!D30,0))+parametros_manuales!$G$34*('Plan mensual'!D27+IF(parametros_manuales!$H$34="Todos",'Plan mensual'!D31,0)))*parametros_manuales!$I$34*parametros_manuales!$J$34</f>
        <v>2561.98</v>
      </c>
      <c r="C71" s="4">
        <f>(parametros_manuales!$D$34*('Plan mensual'!E24+IF(parametros_manuales!$H$34="Todos",'Plan mensual'!E28,0))+parametros_manuales!$E$34*('Plan mensual'!E25+IF(parametros_manuales!$H$34="Todos",'Plan mensual'!E29,0))+parametros_manuales!$F$34*('Plan mensual'!E26+IF(parametros_manuales!$H$34="Todos",'Plan mensual'!E30,0))+parametros_manuales!$G$34*('Plan mensual'!E27+IF(parametros_manuales!$H$34="Todos",'Plan mensual'!E31,0)))*parametros_manuales!$I$34*parametros_manuales!$J$34</f>
        <v>1962.5</v>
      </c>
      <c r="D71" s="4">
        <f>(parametros_manuales!$D$34*('Plan mensual'!F24+IF(parametros_manuales!$H$34="Todos",'Plan mensual'!F28,0))+parametros_manuales!$E$34*('Plan mensual'!F25+IF(parametros_manuales!$H$34="Todos",'Plan mensual'!F29,0))+parametros_manuales!$F$34*('Plan mensual'!F26+IF(parametros_manuales!$H$34="Todos",'Plan mensual'!F30,0))+parametros_manuales!$G$34*('Plan mensual'!F27+IF(parametros_manuales!$H$34="Todos",'Plan mensual'!F31,0)))*parametros_manuales!$I$34*parametros_manuales!$J$34</f>
        <v>1858.375</v>
      </c>
      <c r="E71" s="4">
        <f>(parametros_manuales!$D$34*('Plan mensual'!G24+IF(parametros_manuales!$H$34="Todos",'Plan mensual'!G28,0))+parametros_manuales!$E$34*('Plan mensual'!G25+IF(parametros_manuales!$H$34="Todos",'Plan mensual'!G29,0))+parametros_manuales!$F$34*('Plan mensual'!G26+IF(parametros_manuales!$H$34="Todos",'Plan mensual'!G30,0))+parametros_manuales!$G$34*('Plan mensual'!G27+IF(parametros_manuales!$H$34="Todos",'Plan mensual'!G31,0)))*parametros_manuales!$I$34*parametros_manuales!$J$34</f>
        <v>1785.805</v>
      </c>
      <c r="F71" s="4">
        <f>(parametros_manuales!$D$34*('Plan mensual'!H24+IF(parametros_manuales!$H$34="Todos",'Plan mensual'!H28,0))+parametros_manuales!$E$34*('Plan mensual'!H25+IF(parametros_manuales!$H$34="Todos",'Plan mensual'!H29,0))+parametros_manuales!$F$34*('Plan mensual'!H26+IF(parametros_manuales!$H$34="Todos",'Plan mensual'!H30,0))+parametros_manuales!$G$34*('Plan mensual'!H27+IF(parametros_manuales!$H$34="Todos",'Plan mensual'!H31,0)))*parametros_manuales!$I$34*parametros_manuales!$J$34</f>
        <v>1672.22</v>
      </c>
      <c r="G71" s="4">
        <f>(parametros_manuales!$D$34*('Plan mensual'!I24+IF(parametros_manuales!$H$34="Todos",'Plan mensual'!I28,0))+parametros_manuales!$E$34*('Plan mensual'!I25+IF(parametros_manuales!$H$34="Todos",'Plan mensual'!I29,0))+parametros_manuales!$F$34*('Plan mensual'!I26+IF(parametros_manuales!$H$34="Todos",'Plan mensual'!I30,0))+parametros_manuales!$G$34*('Plan mensual'!I27+IF(parametros_manuales!$H$34="Todos",'Plan mensual'!I31,0)))*parametros_manuales!$I$34*parametros_manuales!$J$34</f>
        <v>1631.205</v>
      </c>
      <c r="H71" s="4">
        <f>(parametros_manuales!$D$34*('Plan mensual'!J24+IF(parametros_manuales!$H$34="Todos",'Plan mensual'!J28,0))+parametros_manuales!$E$34*('Plan mensual'!J25+IF(parametros_manuales!$H$34="Todos",'Plan mensual'!J29,0))+parametros_manuales!$F$34*('Plan mensual'!J26+IF(parametros_manuales!$H$34="Todos",'Plan mensual'!J30,0))+parametros_manuales!$G$34*('Plan mensual'!J27+IF(parametros_manuales!$H$34="Todos",'Plan mensual'!J31,0)))*parametros_manuales!$I$34*parametros_manuales!$J$34</f>
        <v>1744.79</v>
      </c>
      <c r="I71" s="4">
        <f>(parametros_manuales!$D$34*('Plan mensual'!K24+IF(parametros_manuales!$H$34="Todos",'Plan mensual'!K28,0))+parametros_manuales!$E$34*('Plan mensual'!K25+IF(parametros_manuales!$H$34="Todos",'Plan mensual'!K29,0))+parametros_manuales!$F$34*('Plan mensual'!K26+IF(parametros_manuales!$H$34="Todos",'Plan mensual'!K30,0))+parametros_manuales!$G$34*('Plan mensual'!K27+IF(parametros_manuales!$H$34="Todos",'Plan mensual'!K31,0)))*parametros_manuales!$I$34*parametros_manuales!$J$34</f>
        <v>1744.79</v>
      </c>
      <c r="J71" s="4">
        <f>(parametros_manuales!$D$34*('Plan mensual'!L24+IF(parametros_manuales!$H$34="Todos",'Plan mensual'!L28,0))+parametros_manuales!$E$34*('Plan mensual'!L25+IF(parametros_manuales!$H$34="Todos",'Plan mensual'!L29,0))+parametros_manuales!$F$34*('Plan mensual'!L26+IF(parametros_manuales!$H$34="Todos",'Plan mensual'!L30,0))+parametros_manuales!$G$34*('Plan mensual'!L27+IF(parametros_manuales!$H$34="Todos",'Plan mensual'!L31,0)))*parametros_manuales!$I$34*parametros_manuales!$J$34</f>
        <v>1744.79</v>
      </c>
      <c r="K71" s="4">
        <f>(parametros_manuales!$D$34*('Plan mensual'!M24+IF(parametros_manuales!$H$34="Todos",'Plan mensual'!M28,0))+parametros_manuales!$E$34*('Plan mensual'!M25+IF(parametros_manuales!$H$34="Todos",'Plan mensual'!M29,0))+parametros_manuales!$F$34*('Plan mensual'!M26+IF(parametros_manuales!$H$34="Todos",'Plan mensual'!M30,0))+parametros_manuales!$G$34*('Plan mensual'!M27+IF(parametros_manuales!$H$34="Todos",'Plan mensual'!M31,0)))*parametros_manuales!$I$34*parametros_manuales!$J$34</f>
        <v>1703.775</v>
      </c>
      <c r="L71" s="4">
        <f>(parametros_manuales!$D$34*('Plan mensual'!N24+IF(parametros_manuales!$H$34="Todos",'Plan mensual'!N28,0))+parametros_manuales!$E$34*('Plan mensual'!N25+IF(parametros_manuales!$H$34="Todos",'Plan mensual'!N29,0))+parametros_manuales!$F$34*('Plan mensual'!N26+IF(parametros_manuales!$H$34="Todos",'Plan mensual'!N30,0))+parametros_manuales!$G$34*('Plan mensual'!N27+IF(parametros_manuales!$H$34="Todos",'Plan mensual'!N31,0)))*parametros_manuales!$I$34*parametros_manuales!$J$34</f>
        <v>1662.76</v>
      </c>
      <c r="M71" s="4">
        <f>(parametros_manuales!$D$34*('Plan mensual'!O24+IF(parametros_manuales!$H$34="Todos",'Plan mensual'!O28,0))+parametros_manuales!$E$34*('Plan mensual'!O25+IF(parametros_manuales!$H$34="Todos",'Plan mensual'!O29,0))+parametros_manuales!$F$34*('Plan mensual'!O26+IF(parametros_manuales!$H$34="Todos",'Plan mensual'!O30,0))+parametros_manuales!$G$34*('Plan mensual'!O27+IF(parametros_manuales!$H$34="Todos",'Plan mensual'!O31,0)))*parametros_manuales!$I$34*parametros_manuales!$J$34</f>
        <v>2644.01</v>
      </c>
      <c r="N71" s="4">
        <f t="shared" si="7"/>
        <v>22717</v>
      </c>
      <c r="O71" s="4">
        <f t="shared" si="8"/>
        <v>2644.01</v>
      </c>
      <c r="P71" s="27">
        <f>O71/(parametros_manuales!$B$7)</f>
        <v>17.62673333</v>
      </c>
      <c r="Q71" s="3" t="str">
        <f t="shared" si="9"/>
        <v>Dic</v>
      </c>
    </row>
    <row r="72" ht="14.25" customHeight="1">
      <c r="A72" s="3" t="str">
        <f>parametros_manuales!$B$35</f>
        <v>Detección de defectos</v>
      </c>
      <c r="B72" s="4">
        <f>(parametros_manuales!$D$35*('Plan mensual'!D24+IF(parametros_manuales!$H$35="Todos",'Plan mensual'!D28,0))+parametros_manuales!$E$35*('Plan mensual'!D25+IF(parametros_manuales!$H$35="Todos",'Plan mensual'!D29,0))+parametros_manuales!$F$35*('Plan mensual'!D26+IF(parametros_manuales!$H$35="Todos",'Plan mensual'!D30,0))+parametros_manuales!$G$35*('Plan mensual'!D27+IF(parametros_manuales!$H$35="Todos",'Plan mensual'!D31,0)))*parametros_manuales!$I$35*parametros_manuales!$J$35</f>
        <v>2561.98</v>
      </c>
      <c r="C72" s="4">
        <f>(parametros_manuales!$D$35*('Plan mensual'!E24+IF(parametros_manuales!$H$35="Todos",'Plan mensual'!E28,0))+parametros_manuales!$E$35*('Plan mensual'!E25+IF(parametros_manuales!$H$35="Todos",'Plan mensual'!E29,0))+parametros_manuales!$F$35*('Plan mensual'!E26+IF(parametros_manuales!$H$35="Todos",'Plan mensual'!E30,0))+parametros_manuales!$G$35*('Plan mensual'!E27+IF(parametros_manuales!$H$35="Todos",'Plan mensual'!E31,0)))*parametros_manuales!$I$35*parametros_manuales!$J$35</f>
        <v>1962.5</v>
      </c>
      <c r="D72" s="4">
        <f>(parametros_manuales!$D$35*('Plan mensual'!F24+IF(parametros_manuales!$H$35="Todos",'Plan mensual'!F28,0))+parametros_manuales!$E$35*('Plan mensual'!F25+IF(parametros_manuales!$H$35="Todos",'Plan mensual'!F29,0))+parametros_manuales!$F$35*('Plan mensual'!F26+IF(parametros_manuales!$H$35="Todos",'Plan mensual'!F30,0))+parametros_manuales!$G$35*('Plan mensual'!F27+IF(parametros_manuales!$H$35="Todos",'Plan mensual'!F31,0)))*parametros_manuales!$I$35*parametros_manuales!$J$35</f>
        <v>1858.375</v>
      </c>
      <c r="E72" s="4">
        <f>(parametros_manuales!$D$35*('Plan mensual'!G24+IF(parametros_manuales!$H$35="Todos",'Plan mensual'!G28,0))+parametros_manuales!$E$35*('Plan mensual'!G25+IF(parametros_manuales!$H$35="Todos",'Plan mensual'!G29,0))+parametros_manuales!$F$35*('Plan mensual'!G26+IF(parametros_manuales!$H$35="Todos",'Plan mensual'!G30,0))+parametros_manuales!$G$35*('Plan mensual'!G27+IF(parametros_manuales!$H$35="Todos",'Plan mensual'!G31,0)))*parametros_manuales!$I$35*parametros_manuales!$J$35</f>
        <v>1785.805</v>
      </c>
      <c r="F72" s="4">
        <f>(parametros_manuales!$D$35*('Plan mensual'!H24+IF(parametros_manuales!$H$35="Todos",'Plan mensual'!H28,0))+parametros_manuales!$E$35*('Plan mensual'!H25+IF(parametros_manuales!$H$35="Todos",'Plan mensual'!H29,0))+parametros_manuales!$F$35*('Plan mensual'!H26+IF(parametros_manuales!$H$35="Todos",'Plan mensual'!H30,0))+parametros_manuales!$G$35*('Plan mensual'!H27+IF(parametros_manuales!$H$35="Todos",'Plan mensual'!H31,0)))*parametros_manuales!$I$35*parametros_manuales!$J$35</f>
        <v>1672.22</v>
      </c>
      <c r="G72" s="4">
        <f>(parametros_manuales!$D$35*('Plan mensual'!I24+IF(parametros_manuales!$H$35="Todos",'Plan mensual'!I28,0))+parametros_manuales!$E$35*('Plan mensual'!I25+IF(parametros_manuales!$H$35="Todos",'Plan mensual'!I29,0))+parametros_manuales!$F$35*('Plan mensual'!I26+IF(parametros_manuales!$H$35="Todos",'Plan mensual'!I30,0))+parametros_manuales!$G$35*('Plan mensual'!I27+IF(parametros_manuales!$H$35="Todos",'Plan mensual'!I31,0)))*parametros_manuales!$I$35*parametros_manuales!$J$35</f>
        <v>1631.205</v>
      </c>
      <c r="H72" s="4">
        <f>(parametros_manuales!$D$35*('Plan mensual'!J24+IF(parametros_manuales!$H$35="Todos",'Plan mensual'!J28,0))+parametros_manuales!$E$35*('Plan mensual'!J25+IF(parametros_manuales!$H$35="Todos",'Plan mensual'!J29,0))+parametros_manuales!$F$35*('Plan mensual'!J26+IF(parametros_manuales!$H$35="Todos",'Plan mensual'!J30,0))+parametros_manuales!$G$35*('Plan mensual'!J27+IF(parametros_manuales!$H$35="Todos",'Plan mensual'!J31,0)))*parametros_manuales!$I$35*parametros_manuales!$J$35</f>
        <v>1744.79</v>
      </c>
      <c r="I72" s="4">
        <f>(parametros_manuales!$D$35*('Plan mensual'!K24+IF(parametros_manuales!$H$35="Todos",'Plan mensual'!K28,0))+parametros_manuales!$E$35*('Plan mensual'!K25+IF(parametros_manuales!$H$35="Todos",'Plan mensual'!K29,0))+parametros_manuales!$F$35*('Plan mensual'!K26+IF(parametros_manuales!$H$35="Todos",'Plan mensual'!K30,0))+parametros_manuales!$G$35*('Plan mensual'!K27+IF(parametros_manuales!$H$35="Todos",'Plan mensual'!K31,0)))*parametros_manuales!$I$35*parametros_manuales!$J$35</f>
        <v>1744.79</v>
      </c>
      <c r="J72" s="4">
        <f>(parametros_manuales!$D$35*('Plan mensual'!L24+IF(parametros_manuales!$H$35="Todos",'Plan mensual'!L28,0))+parametros_manuales!$E$35*('Plan mensual'!L25+IF(parametros_manuales!$H$35="Todos",'Plan mensual'!L29,0))+parametros_manuales!$F$35*('Plan mensual'!L26+IF(parametros_manuales!$H$35="Todos",'Plan mensual'!L30,0))+parametros_manuales!$G$35*('Plan mensual'!L27+IF(parametros_manuales!$H$35="Todos",'Plan mensual'!L31,0)))*parametros_manuales!$I$35*parametros_manuales!$J$35</f>
        <v>1744.79</v>
      </c>
      <c r="K72" s="4">
        <f>(parametros_manuales!$D$35*('Plan mensual'!M24+IF(parametros_manuales!$H$35="Todos",'Plan mensual'!M28,0))+parametros_manuales!$E$35*('Plan mensual'!M25+IF(parametros_manuales!$H$35="Todos",'Plan mensual'!M29,0))+parametros_manuales!$F$35*('Plan mensual'!M26+IF(parametros_manuales!$H$35="Todos",'Plan mensual'!M30,0))+parametros_manuales!$G$35*('Plan mensual'!M27+IF(parametros_manuales!$H$35="Todos",'Plan mensual'!M31,0)))*parametros_manuales!$I$35*parametros_manuales!$J$35</f>
        <v>1703.775</v>
      </c>
      <c r="L72" s="4">
        <f>(parametros_manuales!$D$35*('Plan mensual'!N24+IF(parametros_manuales!$H$35="Todos",'Plan mensual'!N28,0))+parametros_manuales!$E$35*('Plan mensual'!N25+IF(parametros_manuales!$H$35="Todos",'Plan mensual'!N29,0))+parametros_manuales!$F$35*('Plan mensual'!N26+IF(parametros_manuales!$H$35="Todos",'Plan mensual'!N30,0))+parametros_manuales!$G$35*('Plan mensual'!N27+IF(parametros_manuales!$H$35="Todos",'Plan mensual'!N31,0)))*parametros_manuales!$I$35*parametros_manuales!$J$35</f>
        <v>1662.76</v>
      </c>
      <c r="M72" s="4">
        <f>(parametros_manuales!$D$35*('Plan mensual'!O24+IF(parametros_manuales!$H$35="Todos",'Plan mensual'!O28,0))+parametros_manuales!$E$35*('Plan mensual'!O25+IF(parametros_manuales!$H$35="Todos",'Plan mensual'!O29,0))+parametros_manuales!$F$35*('Plan mensual'!O26+IF(parametros_manuales!$H$35="Todos",'Plan mensual'!O30,0))+parametros_manuales!$G$35*('Plan mensual'!O27+IF(parametros_manuales!$H$35="Todos",'Plan mensual'!O31,0)))*parametros_manuales!$I$35*parametros_manuales!$J$35</f>
        <v>2644.01</v>
      </c>
      <c r="N72" s="4">
        <f t="shared" si="7"/>
        <v>22717</v>
      </c>
      <c r="O72" s="4">
        <f t="shared" si="8"/>
        <v>2644.01</v>
      </c>
      <c r="P72" s="27">
        <f>O72/(parametros_manuales!$B$7)</f>
        <v>17.62673333</v>
      </c>
      <c r="Q72" s="3" t="str">
        <f t="shared" si="9"/>
        <v>Dic</v>
      </c>
    </row>
    <row r="73" ht="14.25" customHeight="1">
      <c r="A73" s="3" t="str">
        <f>parametros_manuales!$B$36</f>
        <v>Corrección de defectos</v>
      </c>
      <c r="B73" s="4">
        <f>(parametros_manuales!$D$36*('Plan mensual'!D24+IF(parametros_manuales!$H$36="Todos",'Plan mensual'!D28,0))+parametros_manuales!$E$36*('Plan mensual'!D25+IF(parametros_manuales!$H$36="Todos",'Plan mensual'!D29,0))+parametros_manuales!$F$36*('Plan mensual'!D26+IF(parametros_manuales!$H$36="Todos",'Plan mensual'!D30,0))+parametros_manuales!$G$36*('Plan mensual'!D27+IF(parametros_manuales!$H$36="Todos",'Plan mensual'!D31,0)))*parametros_manuales!$I$36*parametros_manuales!$J$36</f>
        <v>128.099</v>
      </c>
      <c r="C73" s="4">
        <f>(parametros_manuales!$D$36*('Plan mensual'!E24+IF(parametros_manuales!$H$36="Todos",'Plan mensual'!E28,0))+parametros_manuales!$E$36*('Plan mensual'!E25+IF(parametros_manuales!$H$36="Todos",'Plan mensual'!E29,0))+parametros_manuales!$F$36*('Plan mensual'!E26+IF(parametros_manuales!$H$36="Todos",'Plan mensual'!E30,0))+parametros_manuales!$G$36*('Plan mensual'!E27+IF(parametros_manuales!$H$36="Todos",'Plan mensual'!E31,0)))*parametros_manuales!$I$36*parametros_manuales!$J$36</f>
        <v>98.125</v>
      </c>
      <c r="D73" s="4">
        <f>(parametros_manuales!$D$36*('Plan mensual'!F24+IF(parametros_manuales!$H$36="Todos",'Plan mensual'!F28,0))+parametros_manuales!$E$36*('Plan mensual'!F25+IF(parametros_manuales!$H$36="Todos",'Plan mensual'!F29,0))+parametros_manuales!$F$36*('Plan mensual'!F26+IF(parametros_manuales!$H$36="Todos",'Plan mensual'!F30,0))+parametros_manuales!$G$36*('Plan mensual'!F27+IF(parametros_manuales!$H$36="Todos",'Plan mensual'!F31,0)))*parametros_manuales!$I$36*parametros_manuales!$J$36</f>
        <v>92.91875</v>
      </c>
      <c r="E73" s="4">
        <f>(parametros_manuales!$D$36*('Plan mensual'!G24+IF(parametros_manuales!$H$36="Todos",'Plan mensual'!G28,0))+parametros_manuales!$E$36*('Plan mensual'!G25+IF(parametros_manuales!$H$36="Todos",'Plan mensual'!G29,0))+parametros_manuales!$F$36*('Plan mensual'!G26+IF(parametros_manuales!$H$36="Todos",'Plan mensual'!G30,0))+parametros_manuales!$G$36*('Plan mensual'!G27+IF(parametros_manuales!$H$36="Todos",'Plan mensual'!G31,0)))*parametros_manuales!$I$36*parametros_manuales!$J$36</f>
        <v>89.29025</v>
      </c>
      <c r="F73" s="4">
        <f>(parametros_manuales!$D$36*('Plan mensual'!H24+IF(parametros_manuales!$H$36="Todos",'Plan mensual'!H28,0))+parametros_manuales!$E$36*('Plan mensual'!H25+IF(parametros_manuales!$H$36="Todos",'Plan mensual'!H29,0))+parametros_manuales!$F$36*('Plan mensual'!H26+IF(parametros_manuales!$H$36="Todos",'Plan mensual'!H30,0))+parametros_manuales!$G$36*('Plan mensual'!H27+IF(parametros_manuales!$H$36="Todos",'Plan mensual'!H31,0)))*parametros_manuales!$I$36*parametros_manuales!$J$36</f>
        <v>83.611</v>
      </c>
      <c r="G73" s="4">
        <f>(parametros_manuales!$D$36*('Plan mensual'!I24+IF(parametros_manuales!$H$36="Todos",'Plan mensual'!I28,0))+parametros_manuales!$E$36*('Plan mensual'!I25+IF(parametros_manuales!$H$36="Todos",'Plan mensual'!I29,0))+parametros_manuales!$F$36*('Plan mensual'!I26+IF(parametros_manuales!$H$36="Todos",'Plan mensual'!I30,0))+parametros_manuales!$G$36*('Plan mensual'!I27+IF(parametros_manuales!$H$36="Todos",'Plan mensual'!I31,0)))*parametros_manuales!$I$36*parametros_manuales!$J$36</f>
        <v>81.56025</v>
      </c>
      <c r="H73" s="4">
        <f>(parametros_manuales!$D$36*('Plan mensual'!J24+IF(parametros_manuales!$H$36="Todos",'Plan mensual'!J28,0))+parametros_manuales!$E$36*('Plan mensual'!J25+IF(parametros_manuales!$H$36="Todos",'Plan mensual'!J29,0))+parametros_manuales!$F$36*('Plan mensual'!J26+IF(parametros_manuales!$H$36="Todos",'Plan mensual'!J30,0))+parametros_manuales!$G$36*('Plan mensual'!J27+IF(parametros_manuales!$H$36="Todos",'Plan mensual'!J31,0)))*parametros_manuales!$I$36*parametros_manuales!$J$36</f>
        <v>87.2395</v>
      </c>
      <c r="I73" s="4">
        <f>(parametros_manuales!$D$36*('Plan mensual'!K24+IF(parametros_manuales!$H$36="Todos",'Plan mensual'!K28,0))+parametros_manuales!$E$36*('Plan mensual'!K25+IF(parametros_manuales!$H$36="Todos",'Plan mensual'!K29,0))+parametros_manuales!$F$36*('Plan mensual'!K26+IF(parametros_manuales!$H$36="Todos",'Plan mensual'!K30,0))+parametros_manuales!$G$36*('Plan mensual'!K27+IF(parametros_manuales!$H$36="Todos",'Plan mensual'!K31,0)))*parametros_manuales!$I$36*parametros_manuales!$J$36</f>
        <v>87.2395</v>
      </c>
      <c r="J73" s="4">
        <f>(parametros_manuales!$D$36*('Plan mensual'!L24+IF(parametros_manuales!$H$36="Todos",'Plan mensual'!L28,0))+parametros_manuales!$E$36*('Plan mensual'!L25+IF(parametros_manuales!$H$36="Todos",'Plan mensual'!L29,0))+parametros_manuales!$F$36*('Plan mensual'!L26+IF(parametros_manuales!$H$36="Todos",'Plan mensual'!L30,0))+parametros_manuales!$G$36*('Plan mensual'!L27+IF(parametros_manuales!$H$36="Todos",'Plan mensual'!L31,0)))*parametros_manuales!$I$36*parametros_manuales!$J$36</f>
        <v>87.2395</v>
      </c>
      <c r="K73" s="4">
        <f>(parametros_manuales!$D$36*('Plan mensual'!M24+IF(parametros_manuales!$H$36="Todos",'Plan mensual'!M28,0))+parametros_manuales!$E$36*('Plan mensual'!M25+IF(parametros_manuales!$H$36="Todos",'Plan mensual'!M29,0))+parametros_manuales!$F$36*('Plan mensual'!M26+IF(parametros_manuales!$H$36="Todos",'Plan mensual'!M30,0))+parametros_manuales!$G$36*('Plan mensual'!M27+IF(parametros_manuales!$H$36="Todos",'Plan mensual'!M31,0)))*parametros_manuales!$I$36*parametros_manuales!$J$36</f>
        <v>85.18875</v>
      </c>
      <c r="L73" s="4">
        <f>(parametros_manuales!$D$36*('Plan mensual'!N24+IF(parametros_manuales!$H$36="Todos",'Plan mensual'!N28,0))+parametros_manuales!$E$36*('Plan mensual'!N25+IF(parametros_manuales!$H$36="Todos",'Plan mensual'!N29,0))+parametros_manuales!$F$36*('Plan mensual'!N26+IF(parametros_manuales!$H$36="Todos",'Plan mensual'!N30,0))+parametros_manuales!$G$36*('Plan mensual'!N27+IF(parametros_manuales!$H$36="Todos",'Plan mensual'!N31,0)))*parametros_manuales!$I$36*parametros_manuales!$J$36</f>
        <v>83.138</v>
      </c>
      <c r="M73" s="4">
        <f>(parametros_manuales!$D$36*('Plan mensual'!O24+IF(parametros_manuales!$H$36="Todos",'Plan mensual'!O28,0))+parametros_manuales!$E$36*('Plan mensual'!O25+IF(parametros_manuales!$H$36="Todos",'Plan mensual'!O29,0))+parametros_manuales!$F$36*('Plan mensual'!O26+IF(parametros_manuales!$H$36="Todos",'Plan mensual'!O30,0))+parametros_manuales!$G$36*('Plan mensual'!O27+IF(parametros_manuales!$H$36="Todos",'Plan mensual'!O31,0)))*parametros_manuales!$I$36*parametros_manuales!$J$36</f>
        <v>132.2005</v>
      </c>
      <c r="N73" s="4">
        <f t="shared" si="7"/>
        <v>1135.85</v>
      </c>
      <c r="O73" s="4">
        <f t="shared" si="8"/>
        <v>132.2005</v>
      </c>
      <c r="P73" s="27">
        <f>O73/(parametros_manuales!$B$7)</f>
        <v>0.8813366667</v>
      </c>
      <c r="Q73" s="3" t="str">
        <f t="shared" si="9"/>
        <v>Dic</v>
      </c>
    </row>
    <row r="74" ht="14.25" customHeight="1">
      <c r="A74" s="3" t="str">
        <f>parametros_manuales!$B$37</f>
        <v>Pintura en polvo + horno</v>
      </c>
      <c r="B74" s="4">
        <f>(parametros_manuales!$D$37*('Plan mensual'!D24+IF(parametros_manuales!$H$37="Todos",'Plan mensual'!D28,0))+parametros_manuales!$E$37*('Plan mensual'!D25+IF(parametros_manuales!$H$37="Todos",'Plan mensual'!D29,0))+parametros_manuales!$F$37*('Plan mensual'!D26+IF(parametros_manuales!$H$37="Todos",'Plan mensual'!D30,0))+parametros_manuales!$G$37*('Plan mensual'!D27+IF(parametros_manuales!$H$37="Todos",'Plan mensual'!D31,0)))*parametros_manuales!$I$37*parametros_manuales!$J$37</f>
        <v>2561.98</v>
      </c>
      <c r="C74" s="4">
        <f>(parametros_manuales!$D$37*('Plan mensual'!E24+IF(parametros_manuales!$H$37="Todos",'Plan mensual'!E28,0))+parametros_manuales!$E$37*('Plan mensual'!E25+IF(parametros_manuales!$H$37="Todos",'Plan mensual'!E29,0))+parametros_manuales!$F$37*('Plan mensual'!E26+IF(parametros_manuales!$H$37="Todos",'Plan mensual'!E30,0))+parametros_manuales!$G$37*('Plan mensual'!E27+IF(parametros_manuales!$H$37="Todos",'Plan mensual'!E31,0)))*parametros_manuales!$I$37*parametros_manuales!$J$37</f>
        <v>1962.5</v>
      </c>
      <c r="D74" s="4">
        <f>(parametros_manuales!$D$37*('Plan mensual'!F24+IF(parametros_manuales!$H$37="Todos",'Plan mensual'!F28,0))+parametros_manuales!$E$37*('Plan mensual'!F25+IF(parametros_manuales!$H$37="Todos",'Plan mensual'!F29,0))+parametros_manuales!$F$37*('Plan mensual'!F26+IF(parametros_manuales!$H$37="Todos",'Plan mensual'!F30,0))+parametros_manuales!$G$37*('Plan mensual'!F27+IF(parametros_manuales!$H$37="Todos",'Plan mensual'!F31,0)))*parametros_manuales!$I$37*parametros_manuales!$J$37</f>
        <v>1858.375</v>
      </c>
      <c r="E74" s="4">
        <f>(parametros_manuales!$D$37*('Plan mensual'!G24+IF(parametros_manuales!$H$37="Todos",'Plan mensual'!G28,0))+parametros_manuales!$E$37*('Plan mensual'!G25+IF(parametros_manuales!$H$37="Todos",'Plan mensual'!G29,0))+parametros_manuales!$F$37*('Plan mensual'!G26+IF(parametros_manuales!$H$37="Todos",'Plan mensual'!G30,0))+parametros_manuales!$G$37*('Plan mensual'!G27+IF(parametros_manuales!$H$37="Todos",'Plan mensual'!G31,0)))*parametros_manuales!$I$37*parametros_manuales!$J$37</f>
        <v>1785.805</v>
      </c>
      <c r="F74" s="4">
        <f>(parametros_manuales!$D$37*('Plan mensual'!H24+IF(parametros_manuales!$H$37="Todos",'Plan mensual'!H28,0))+parametros_manuales!$E$37*('Plan mensual'!H25+IF(parametros_manuales!$H$37="Todos",'Plan mensual'!H29,0))+parametros_manuales!$F$37*('Plan mensual'!H26+IF(parametros_manuales!$H$37="Todos",'Plan mensual'!H30,0))+parametros_manuales!$G$37*('Plan mensual'!H27+IF(parametros_manuales!$H$37="Todos",'Plan mensual'!H31,0)))*parametros_manuales!$I$37*parametros_manuales!$J$37</f>
        <v>1672.22</v>
      </c>
      <c r="G74" s="4">
        <f>(parametros_manuales!$D$37*('Plan mensual'!I24+IF(parametros_manuales!$H$37="Todos",'Plan mensual'!I28,0))+parametros_manuales!$E$37*('Plan mensual'!I25+IF(parametros_manuales!$H$37="Todos",'Plan mensual'!I29,0))+parametros_manuales!$F$37*('Plan mensual'!I26+IF(parametros_manuales!$H$37="Todos",'Plan mensual'!I30,0))+parametros_manuales!$G$37*('Plan mensual'!I27+IF(parametros_manuales!$H$37="Todos",'Plan mensual'!I31,0)))*parametros_manuales!$I$37*parametros_manuales!$J$37</f>
        <v>1631.205</v>
      </c>
      <c r="H74" s="4">
        <f>(parametros_manuales!$D$37*('Plan mensual'!J24+IF(parametros_manuales!$H$37="Todos",'Plan mensual'!J28,0))+parametros_manuales!$E$37*('Plan mensual'!J25+IF(parametros_manuales!$H$37="Todos",'Plan mensual'!J29,0))+parametros_manuales!$F$37*('Plan mensual'!J26+IF(parametros_manuales!$H$37="Todos",'Plan mensual'!J30,0))+parametros_manuales!$G$37*('Plan mensual'!J27+IF(parametros_manuales!$H$37="Todos",'Plan mensual'!J31,0)))*parametros_manuales!$I$37*parametros_manuales!$J$37</f>
        <v>1744.79</v>
      </c>
      <c r="I74" s="4">
        <f>(parametros_manuales!$D$37*('Plan mensual'!K24+IF(parametros_manuales!$H$37="Todos",'Plan mensual'!K28,0))+parametros_manuales!$E$37*('Plan mensual'!K25+IF(parametros_manuales!$H$37="Todos",'Plan mensual'!K29,0))+parametros_manuales!$F$37*('Plan mensual'!K26+IF(parametros_manuales!$H$37="Todos",'Plan mensual'!K30,0))+parametros_manuales!$G$37*('Plan mensual'!K27+IF(parametros_manuales!$H$37="Todos",'Plan mensual'!K31,0)))*parametros_manuales!$I$37*parametros_manuales!$J$37</f>
        <v>1744.79</v>
      </c>
      <c r="J74" s="4">
        <f>(parametros_manuales!$D$37*('Plan mensual'!L24+IF(parametros_manuales!$H$37="Todos",'Plan mensual'!L28,0))+parametros_manuales!$E$37*('Plan mensual'!L25+IF(parametros_manuales!$H$37="Todos",'Plan mensual'!L29,0))+parametros_manuales!$F$37*('Plan mensual'!L26+IF(parametros_manuales!$H$37="Todos",'Plan mensual'!L30,0))+parametros_manuales!$G$37*('Plan mensual'!L27+IF(parametros_manuales!$H$37="Todos",'Plan mensual'!L31,0)))*parametros_manuales!$I$37*parametros_manuales!$J$37</f>
        <v>1744.79</v>
      </c>
      <c r="K74" s="4">
        <f>(parametros_manuales!$D$37*('Plan mensual'!M24+IF(parametros_manuales!$H$37="Todos",'Plan mensual'!M28,0))+parametros_manuales!$E$37*('Plan mensual'!M25+IF(parametros_manuales!$H$37="Todos",'Plan mensual'!M29,0))+parametros_manuales!$F$37*('Plan mensual'!M26+IF(parametros_manuales!$H$37="Todos",'Plan mensual'!M30,0))+parametros_manuales!$G$37*('Plan mensual'!M27+IF(parametros_manuales!$H$37="Todos",'Plan mensual'!M31,0)))*parametros_manuales!$I$37*parametros_manuales!$J$37</f>
        <v>1703.775</v>
      </c>
      <c r="L74" s="4">
        <f>(parametros_manuales!$D$37*('Plan mensual'!N24+IF(parametros_manuales!$H$37="Todos",'Plan mensual'!N28,0))+parametros_manuales!$E$37*('Plan mensual'!N25+IF(parametros_manuales!$H$37="Todos",'Plan mensual'!N29,0))+parametros_manuales!$F$37*('Plan mensual'!N26+IF(parametros_manuales!$H$37="Todos",'Plan mensual'!N30,0))+parametros_manuales!$G$37*('Plan mensual'!N27+IF(parametros_manuales!$H$37="Todos",'Plan mensual'!N31,0)))*parametros_manuales!$I$37*parametros_manuales!$J$37</f>
        <v>1662.76</v>
      </c>
      <c r="M74" s="4">
        <f>(parametros_manuales!$D$37*('Plan mensual'!O24+IF(parametros_manuales!$H$37="Todos",'Plan mensual'!O28,0))+parametros_manuales!$E$37*('Plan mensual'!O25+IF(parametros_manuales!$H$37="Todos",'Plan mensual'!O29,0))+parametros_manuales!$F$37*('Plan mensual'!O26+IF(parametros_manuales!$H$37="Todos",'Plan mensual'!O30,0))+parametros_manuales!$G$37*('Plan mensual'!O27+IF(parametros_manuales!$H$37="Todos",'Plan mensual'!O31,0)))*parametros_manuales!$I$37*parametros_manuales!$J$37</f>
        <v>2644.01</v>
      </c>
      <c r="N74" s="4">
        <f t="shared" si="7"/>
        <v>22717</v>
      </c>
      <c r="O74" s="4">
        <f t="shared" si="8"/>
        <v>2644.01</v>
      </c>
      <c r="P74" s="27">
        <f>O74/(parametros_manuales!$B$7)</f>
        <v>17.62673333</v>
      </c>
      <c r="Q74" s="3" t="str">
        <f t="shared" si="9"/>
        <v>Dic</v>
      </c>
    </row>
    <row r="75" ht="14.25" customHeight="1">
      <c r="A75" s="3" t="str">
        <f>parametros_manuales!$B$38</f>
        <v>Carga de polvo</v>
      </c>
      <c r="B75" s="4">
        <f>(parametros_manuales!$D$38*('Plan mensual'!D24+IF(parametros_manuales!$H$38="Todos",'Plan mensual'!D28,0))+parametros_manuales!$E$38*('Plan mensual'!D25+IF(parametros_manuales!$H$38="Todos",'Plan mensual'!D29,0))+parametros_manuales!$F$38*('Plan mensual'!D26+IF(parametros_manuales!$H$38="Todos",'Plan mensual'!D30,0))+parametros_manuales!$G$38*('Plan mensual'!D27+IF(parametros_manuales!$H$38="Todos",'Plan mensual'!D31,0)))*parametros_manuales!$I$38*parametros_manuales!$J$38</f>
        <v>1455.64</v>
      </c>
      <c r="C75" s="4">
        <f>(parametros_manuales!$D$38*('Plan mensual'!E24+IF(parametros_manuales!$H$38="Todos",'Plan mensual'!E28,0))+parametros_manuales!$E$38*('Plan mensual'!E25+IF(parametros_manuales!$H$38="Todos",'Plan mensual'!E29,0))+parametros_manuales!$F$38*('Plan mensual'!E26+IF(parametros_manuales!$H$38="Todos",'Plan mensual'!E30,0))+parametros_manuales!$G$38*('Plan mensual'!E27+IF(parametros_manuales!$H$38="Todos",'Plan mensual'!E31,0)))*parametros_manuales!$I$38*parametros_manuales!$J$38</f>
        <v>1123.4</v>
      </c>
      <c r="D75" s="4">
        <f>(parametros_manuales!$D$38*('Plan mensual'!F24+IF(parametros_manuales!$H$38="Todos",'Plan mensual'!F28,0))+parametros_manuales!$E$38*('Plan mensual'!F25+IF(parametros_manuales!$H$38="Todos",'Plan mensual'!F29,0))+parametros_manuales!$F$38*('Plan mensual'!F26+IF(parametros_manuales!$H$38="Todos",'Plan mensual'!F30,0))+parametros_manuales!$G$38*('Plan mensual'!F27+IF(parametros_manuales!$H$38="Todos",'Plan mensual'!F31,0)))*parametros_manuales!$I$38*parametros_manuales!$J$38</f>
        <v>1086.55</v>
      </c>
      <c r="E75" s="4">
        <f>(parametros_manuales!$D$38*('Plan mensual'!G24+IF(parametros_manuales!$H$38="Todos",'Plan mensual'!G28,0))+parametros_manuales!$E$38*('Plan mensual'!G25+IF(parametros_manuales!$H$38="Todos",'Plan mensual'!G29,0))+parametros_manuales!$F$38*('Plan mensual'!G26+IF(parametros_manuales!$H$38="Todos",'Plan mensual'!G30,0))+parametros_manuales!$G$38*('Plan mensual'!G27+IF(parametros_manuales!$H$38="Todos",'Plan mensual'!G31,0)))*parametros_manuales!$I$38*parametros_manuales!$J$38</f>
        <v>1052.29</v>
      </c>
      <c r="F75" s="4">
        <f>(parametros_manuales!$D$38*('Plan mensual'!H24+IF(parametros_manuales!$H$38="Todos",'Plan mensual'!H28,0))+parametros_manuales!$E$38*('Plan mensual'!H25+IF(parametros_manuales!$H$38="Todos",'Plan mensual'!H29,0))+parametros_manuales!$F$38*('Plan mensual'!H26+IF(parametros_manuales!$H$38="Todos",'Plan mensual'!H30,0))+parametros_manuales!$G$38*('Plan mensual'!H27+IF(parametros_manuales!$H$38="Todos",'Plan mensual'!H31,0)))*parametros_manuales!$I$38*parametros_manuales!$J$38</f>
        <v>986.36</v>
      </c>
      <c r="G75" s="4">
        <f>(parametros_manuales!$D$38*('Plan mensual'!I24+IF(parametros_manuales!$H$38="Todos",'Plan mensual'!I28,0))+parametros_manuales!$E$38*('Plan mensual'!I25+IF(parametros_manuales!$H$38="Todos",'Plan mensual'!I29,0))+parametros_manuales!$F$38*('Plan mensual'!I26+IF(parametros_manuales!$H$38="Todos",'Plan mensual'!I30,0))+parametros_manuales!$G$38*('Plan mensual'!I27+IF(parametros_manuales!$H$38="Todos",'Plan mensual'!I31,0)))*parametros_manuales!$I$38*parametros_manuales!$J$38</f>
        <v>954.69</v>
      </c>
      <c r="H75" s="4">
        <f>(parametros_manuales!$D$38*('Plan mensual'!J24+IF(parametros_manuales!$H$38="Todos",'Plan mensual'!J28,0))+parametros_manuales!$E$38*('Plan mensual'!J25+IF(parametros_manuales!$H$38="Todos",'Plan mensual'!J29,0))+parametros_manuales!$F$38*('Plan mensual'!J26+IF(parametros_manuales!$H$38="Todos",'Plan mensual'!J30,0))+parametros_manuales!$G$38*('Plan mensual'!J27+IF(parametros_manuales!$H$38="Todos",'Plan mensual'!J31,0)))*parametros_manuales!$I$38*parametros_manuales!$J$38</f>
        <v>1020.62</v>
      </c>
      <c r="I75" s="4">
        <f>(parametros_manuales!$D$38*('Plan mensual'!K24+IF(parametros_manuales!$H$38="Todos",'Plan mensual'!K28,0))+parametros_manuales!$E$38*('Plan mensual'!K25+IF(parametros_manuales!$H$38="Todos",'Plan mensual'!K29,0))+parametros_manuales!$F$38*('Plan mensual'!K26+IF(parametros_manuales!$H$38="Todos",'Plan mensual'!K30,0))+parametros_manuales!$G$38*('Plan mensual'!K27+IF(parametros_manuales!$H$38="Todos",'Plan mensual'!K31,0)))*parametros_manuales!$I$38*parametros_manuales!$J$38</f>
        <v>1020.62</v>
      </c>
      <c r="J75" s="4">
        <f>(parametros_manuales!$D$38*('Plan mensual'!L24+IF(parametros_manuales!$H$38="Todos",'Plan mensual'!L28,0))+parametros_manuales!$E$38*('Plan mensual'!L25+IF(parametros_manuales!$H$38="Todos",'Plan mensual'!L29,0))+parametros_manuales!$F$38*('Plan mensual'!L26+IF(parametros_manuales!$H$38="Todos",'Plan mensual'!L30,0))+parametros_manuales!$G$38*('Plan mensual'!L27+IF(parametros_manuales!$H$38="Todos",'Plan mensual'!L31,0)))*parametros_manuales!$I$38*parametros_manuales!$J$38</f>
        <v>1020.62</v>
      </c>
      <c r="K75" s="4">
        <f>(parametros_manuales!$D$38*('Plan mensual'!M24+IF(parametros_manuales!$H$38="Todos",'Plan mensual'!M28,0))+parametros_manuales!$E$38*('Plan mensual'!M25+IF(parametros_manuales!$H$38="Todos",'Plan mensual'!M29,0))+parametros_manuales!$F$38*('Plan mensual'!M26+IF(parametros_manuales!$H$38="Todos",'Plan mensual'!M30,0))+parametros_manuales!$G$38*('Plan mensual'!M27+IF(parametros_manuales!$H$38="Todos",'Plan mensual'!M31,0)))*parametros_manuales!$I$38*parametros_manuales!$J$38</f>
        <v>988.95</v>
      </c>
      <c r="L75" s="4">
        <f>(parametros_manuales!$D$38*('Plan mensual'!N24+IF(parametros_manuales!$H$38="Todos",'Plan mensual'!N28,0))+parametros_manuales!$E$38*('Plan mensual'!N25+IF(parametros_manuales!$H$38="Todos",'Plan mensual'!N29,0))+parametros_manuales!$F$38*('Plan mensual'!N26+IF(parametros_manuales!$H$38="Todos",'Plan mensual'!N30,0))+parametros_manuales!$G$38*('Plan mensual'!N27+IF(parametros_manuales!$H$38="Todos",'Plan mensual'!N31,0)))*parametros_manuales!$I$38*parametros_manuales!$J$38</f>
        <v>957.28</v>
      </c>
      <c r="M75" s="4">
        <f>(parametros_manuales!$D$38*('Plan mensual'!O24+IF(parametros_manuales!$H$38="Todos",'Plan mensual'!O28,0))+parametros_manuales!$E$38*('Plan mensual'!O25+IF(parametros_manuales!$H$38="Todos",'Plan mensual'!O29,0))+parametros_manuales!$F$38*('Plan mensual'!O26+IF(parametros_manuales!$H$38="Todos",'Plan mensual'!O30,0))+parametros_manuales!$G$38*('Plan mensual'!O27+IF(parametros_manuales!$H$38="Todos",'Plan mensual'!O31,0)))*parametros_manuales!$I$38*parametros_manuales!$J$38</f>
        <v>1518.98</v>
      </c>
      <c r="N75" s="4">
        <f t="shared" si="7"/>
        <v>13186</v>
      </c>
      <c r="O75" s="4">
        <f t="shared" si="8"/>
        <v>1518.98</v>
      </c>
      <c r="P75" s="27">
        <f>O75/(parametros_manuales!$B$7)</f>
        <v>10.12653333</v>
      </c>
      <c r="Q75" s="3" t="str">
        <f t="shared" si="9"/>
        <v>Dic</v>
      </c>
    </row>
    <row r="76" ht="14.25" customHeight="1">
      <c r="A76" s="3" t="str">
        <f>parametros_manuales!$B$39</f>
        <v>Ensamblaje</v>
      </c>
      <c r="B76" s="4">
        <f>(parametros_manuales!$D$39*('Plan mensual'!D24+IF(parametros_manuales!$H$39="Todos",'Plan mensual'!D28,0))+parametros_manuales!$E$39*('Plan mensual'!D25+IF(parametros_manuales!$H$39="Todos",'Plan mensual'!D29,0))+parametros_manuales!$F$39*('Plan mensual'!D26+IF(parametros_manuales!$H$39="Todos",'Plan mensual'!D30,0))+parametros_manuales!$G$39*('Plan mensual'!D27+IF(parametros_manuales!$H$39="Todos",'Plan mensual'!D31,0)))*parametros_manuales!$I$39*parametros_manuales!$J$39</f>
        <v>1455.64</v>
      </c>
      <c r="C76" s="4">
        <f>(parametros_manuales!$D$39*('Plan mensual'!E24+IF(parametros_manuales!$H$39="Todos",'Plan mensual'!E28,0))+parametros_manuales!$E$39*('Plan mensual'!E25+IF(parametros_manuales!$H$39="Todos",'Plan mensual'!E29,0))+parametros_manuales!$F$39*('Plan mensual'!E26+IF(parametros_manuales!$H$39="Todos",'Plan mensual'!E30,0))+parametros_manuales!$G$39*('Plan mensual'!E27+IF(parametros_manuales!$H$39="Todos",'Plan mensual'!E31,0)))*parametros_manuales!$I$39*parametros_manuales!$J$39</f>
        <v>1123.4</v>
      </c>
      <c r="D76" s="4">
        <f>(parametros_manuales!$D$39*('Plan mensual'!F24+IF(parametros_manuales!$H$39="Todos",'Plan mensual'!F28,0))+parametros_manuales!$E$39*('Plan mensual'!F25+IF(parametros_manuales!$H$39="Todos",'Plan mensual'!F29,0))+parametros_manuales!$F$39*('Plan mensual'!F26+IF(parametros_manuales!$H$39="Todos",'Plan mensual'!F30,0))+parametros_manuales!$G$39*('Plan mensual'!F27+IF(parametros_manuales!$H$39="Todos",'Plan mensual'!F31,0)))*parametros_manuales!$I$39*parametros_manuales!$J$39</f>
        <v>1086.55</v>
      </c>
      <c r="E76" s="4">
        <f>(parametros_manuales!$D$39*('Plan mensual'!G24+IF(parametros_manuales!$H$39="Todos",'Plan mensual'!G28,0))+parametros_manuales!$E$39*('Plan mensual'!G25+IF(parametros_manuales!$H$39="Todos",'Plan mensual'!G29,0))+parametros_manuales!$F$39*('Plan mensual'!G26+IF(parametros_manuales!$H$39="Todos",'Plan mensual'!G30,0))+parametros_manuales!$G$39*('Plan mensual'!G27+IF(parametros_manuales!$H$39="Todos",'Plan mensual'!G31,0)))*parametros_manuales!$I$39*parametros_manuales!$J$39</f>
        <v>1052.29</v>
      </c>
      <c r="F76" s="4">
        <f>(parametros_manuales!$D$39*('Plan mensual'!H24+IF(parametros_manuales!$H$39="Todos",'Plan mensual'!H28,0))+parametros_manuales!$E$39*('Plan mensual'!H25+IF(parametros_manuales!$H$39="Todos",'Plan mensual'!H29,0))+parametros_manuales!$F$39*('Plan mensual'!H26+IF(parametros_manuales!$H$39="Todos",'Plan mensual'!H30,0))+parametros_manuales!$G$39*('Plan mensual'!H27+IF(parametros_manuales!$H$39="Todos",'Plan mensual'!H31,0)))*parametros_manuales!$I$39*parametros_manuales!$J$39</f>
        <v>986.36</v>
      </c>
      <c r="G76" s="4">
        <f>(parametros_manuales!$D$39*('Plan mensual'!I24+IF(parametros_manuales!$H$39="Todos",'Plan mensual'!I28,0))+parametros_manuales!$E$39*('Plan mensual'!I25+IF(parametros_manuales!$H$39="Todos",'Plan mensual'!I29,0))+parametros_manuales!$F$39*('Plan mensual'!I26+IF(parametros_manuales!$H$39="Todos",'Plan mensual'!I30,0))+parametros_manuales!$G$39*('Plan mensual'!I27+IF(parametros_manuales!$H$39="Todos",'Plan mensual'!I31,0)))*parametros_manuales!$I$39*parametros_manuales!$J$39</f>
        <v>954.69</v>
      </c>
      <c r="H76" s="4">
        <f>(parametros_manuales!$D$39*('Plan mensual'!J24+IF(parametros_manuales!$H$39="Todos",'Plan mensual'!J28,0))+parametros_manuales!$E$39*('Plan mensual'!J25+IF(parametros_manuales!$H$39="Todos",'Plan mensual'!J29,0))+parametros_manuales!$F$39*('Plan mensual'!J26+IF(parametros_manuales!$H$39="Todos",'Plan mensual'!J30,0))+parametros_manuales!$G$39*('Plan mensual'!J27+IF(parametros_manuales!$H$39="Todos",'Plan mensual'!J31,0)))*parametros_manuales!$I$39*parametros_manuales!$J$39</f>
        <v>1020.62</v>
      </c>
      <c r="I76" s="4">
        <f>(parametros_manuales!$D$39*('Plan mensual'!K24+IF(parametros_manuales!$H$39="Todos",'Plan mensual'!K28,0))+parametros_manuales!$E$39*('Plan mensual'!K25+IF(parametros_manuales!$H$39="Todos",'Plan mensual'!K29,0))+parametros_manuales!$F$39*('Plan mensual'!K26+IF(parametros_manuales!$H$39="Todos",'Plan mensual'!K30,0))+parametros_manuales!$G$39*('Plan mensual'!K27+IF(parametros_manuales!$H$39="Todos",'Plan mensual'!K31,0)))*parametros_manuales!$I$39*parametros_manuales!$J$39</f>
        <v>1020.62</v>
      </c>
      <c r="J76" s="4">
        <f>(parametros_manuales!$D$39*('Plan mensual'!L24+IF(parametros_manuales!$H$39="Todos",'Plan mensual'!L28,0))+parametros_manuales!$E$39*('Plan mensual'!L25+IF(parametros_manuales!$H$39="Todos",'Plan mensual'!L29,0))+parametros_manuales!$F$39*('Plan mensual'!L26+IF(parametros_manuales!$H$39="Todos",'Plan mensual'!L30,0))+parametros_manuales!$G$39*('Plan mensual'!L27+IF(parametros_manuales!$H$39="Todos",'Plan mensual'!L31,0)))*parametros_manuales!$I$39*parametros_manuales!$J$39</f>
        <v>1020.62</v>
      </c>
      <c r="K76" s="4">
        <f>(parametros_manuales!$D$39*('Plan mensual'!M24+IF(parametros_manuales!$H$39="Todos",'Plan mensual'!M28,0))+parametros_manuales!$E$39*('Plan mensual'!M25+IF(parametros_manuales!$H$39="Todos",'Plan mensual'!M29,0))+parametros_manuales!$F$39*('Plan mensual'!M26+IF(parametros_manuales!$H$39="Todos",'Plan mensual'!M30,0))+parametros_manuales!$G$39*('Plan mensual'!M27+IF(parametros_manuales!$H$39="Todos",'Plan mensual'!M31,0)))*parametros_manuales!$I$39*parametros_manuales!$J$39</f>
        <v>988.95</v>
      </c>
      <c r="L76" s="4">
        <f>(parametros_manuales!$D$39*('Plan mensual'!N24+IF(parametros_manuales!$H$39="Todos",'Plan mensual'!N28,0))+parametros_manuales!$E$39*('Plan mensual'!N25+IF(parametros_manuales!$H$39="Todos",'Plan mensual'!N29,0))+parametros_manuales!$F$39*('Plan mensual'!N26+IF(parametros_manuales!$H$39="Todos",'Plan mensual'!N30,0))+parametros_manuales!$G$39*('Plan mensual'!N27+IF(parametros_manuales!$H$39="Todos",'Plan mensual'!N31,0)))*parametros_manuales!$I$39*parametros_manuales!$J$39</f>
        <v>957.28</v>
      </c>
      <c r="M76" s="4">
        <f>(parametros_manuales!$D$39*('Plan mensual'!O24+IF(parametros_manuales!$H$39="Todos",'Plan mensual'!O28,0))+parametros_manuales!$E$39*('Plan mensual'!O25+IF(parametros_manuales!$H$39="Todos",'Plan mensual'!O29,0))+parametros_manuales!$F$39*('Plan mensual'!O26+IF(parametros_manuales!$H$39="Todos",'Plan mensual'!O30,0))+parametros_manuales!$G$39*('Plan mensual'!O27+IF(parametros_manuales!$H$39="Todos",'Plan mensual'!O31,0)))*parametros_manuales!$I$39*parametros_manuales!$J$39</f>
        <v>1518.98</v>
      </c>
      <c r="N76" s="4">
        <f t="shared" si="7"/>
        <v>13186</v>
      </c>
      <c r="O76" s="4">
        <f t="shared" si="8"/>
        <v>1518.98</v>
      </c>
      <c r="P76" s="27">
        <f>O76/(parametros_manuales!$B$7)</f>
        <v>10.12653333</v>
      </c>
      <c r="Q76" s="3" t="str">
        <f t="shared" si="9"/>
        <v>Dic</v>
      </c>
    </row>
    <row r="77" ht="14.25" customHeight="1">
      <c r="A77" s="3" t="str">
        <f>parametros_manuales!$B$40</f>
        <v>Presurización</v>
      </c>
      <c r="B77" s="4">
        <f>(parametros_manuales!$D$40*('Plan mensual'!D24+IF(parametros_manuales!$H$40="Todos",'Plan mensual'!D28,0))+parametros_manuales!$E$40*('Plan mensual'!D25+IF(parametros_manuales!$H$40="Todos",'Plan mensual'!D29,0))+parametros_manuales!$F$40*('Plan mensual'!D26+IF(parametros_manuales!$H$40="Todos",'Plan mensual'!D30,0))+parametros_manuales!$G$40*('Plan mensual'!D27+IF(parametros_manuales!$H$40="Todos",'Plan mensual'!D31,0)))*parametros_manuales!$I$40*parametros_manuales!$J$40</f>
        <v>1455.64</v>
      </c>
      <c r="C77" s="4">
        <f>(parametros_manuales!$D$40*('Plan mensual'!E24+IF(parametros_manuales!$H$40="Todos",'Plan mensual'!E28,0))+parametros_manuales!$E$40*('Plan mensual'!E25+IF(parametros_manuales!$H$40="Todos",'Plan mensual'!E29,0))+parametros_manuales!$F$40*('Plan mensual'!E26+IF(parametros_manuales!$H$40="Todos",'Plan mensual'!E30,0))+parametros_manuales!$G$40*('Plan mensual'!E27+IF(parametros_manuales!$H$40="Todos",'Plan mensual'!E31,0)))*parametros_manuales!$I$40*parametros_manuales!$J$40</f>
        <v>1123.4</v>
      </c>
      <c r="D77" s="4">
        <f>(parametros_manuales!$D$40*('Plan mensual'!F24+IF(parametros_manuales!$H$40="Todos",'Plan mensual'!F28,0))+parametros_manuales!$E$40*('Plan mensual'!F25+IF(parametros_manuales!$H$40="Todos",'Plan mensual'!F29,0))+parametros_manuales!$F$40*('Plan mensual'!F26+IF(parametros_manuales!$H$40="Todos",'Plan mensual'!F30,0))+parametros_manuales!$G$40*('Plan mensual'!F27+IF(parametros_manuales!$H$40="Todos",'Plan mensual'!F31,0)))*parametros_manuales!$I$40*parametros_manuales!$J$40</f>
        <v>1086.55</v>
      </c>
      <c r="E77" s="4">
        <f>(parametros_manuales!$D$40*('Plan mensual'!G24+IF(parametros_manuales!$H$40="Todos",'Plan mensual'!G28,0))+parametros_manuales!$E$40*('Plan mensual'!G25+IF(parametros_manuales!$H$40="Todos",'Plan mensual'!G29,0))+parametros_manuales!$F$40*('Plan mensual'!G26+IF(parametros_manuales!$H$40="Todos",'Plan mensual'!G30,0))+parametros_manuales!$G$40*('Plan mensual'!G27+IF(parametros_manuales!$H$40="Todos",'Plan mensual'!G31,0)))*parametros_manuales!$I$40*parametros_manuales!$J$40</f>
        <v>1052.29</v>
      </c>
      <c r="F77" s="4">
        <f>(parametros_manuales!$D$40*('Plan mensual'!H24+IF(parametros_manuales!$H$40="Todos",'Plan mensual'!H28,0))+parametros_manuales!$E$40*('Plan mensual'!H25+IF(parametros_manuales!$H$40="Todos",'Plan mensual'!H29,0))+parametros_manuales!$F$40*('Plan mensual'!H26+IF(parametros_manuales!$H$40="Todos",'Plan mensual'!H30,0))+parametros_manuales!$G$40*('Plan mensual'!H27+IF(parametros_manuales!$H$40="Todos",'Plan mensual'!H31,0)))*parametros_manuales!$I$40*parametros_manuales!$J$40</f>
        <v>986.36</v>
      </c>
      <c r="G77" s="4">
        <f>(parametros_manuales!$D$40*('Plan mensual'!I24+IF(parametros_manuales!$H$40="Todos",'Plan mensual'!I28,0))+parametros_manuales!$E$40*('Plan mensual'!I25+IF(parametros_manuales!$H$40="Todos",'Plan mensual'!I29,0))+parametros_manuales!$F$40*('Plan mensual'!I26+IF(parametros_manuales!$H$40="Todos",'Plan mensual'!I30,0))+parametros_manuales!$G$40*('Plan mensual'!I27+IF(parametros_manuales!$H$40="Todos",'Plan mensual'!I31,0)))*parametros_manuales!$I$40*parametros_manuales!$J$40</f>
        <v>954.69</v>
      </c>
      <c r="H77" s="4">
        <f>(parametros_manuales!$D$40*('Plan mensual'!J24+IF(parametros_manuales!$H$40="Todos",'Plan mensual'!J28,0))+parametros_manuales!$E$40*('Plan mensual'!J25+IF(parametros_manuales!$H$40="Todos",'Plan mensual'!J29,0))+parametros_manuales!$F$40*('Plan mensual'!J26+IF(parametros_manuales!$H$40="Todos",'Plan mensual'!J30,0))+parametros_manuales!$G$40*('Plan mensual'!J27+IF(parametros_manuales!$H$40="Todos",'Plan mensual'!J31,0)))*parametros_manuales!$I$40*parametros_manuales!$J$40</f>
        <v>1020.62</v>
      </c>
      <c r="I77" s="4">
        <f>(parametros_manuales!$D$40*('Plan mensual'!K24+IF(parametros_manuales!$H$40="Todos",'Plan mensual'!K28,0))+parametros_manuales!$E$40*('Plan mensual'!K25+IF(parametros_manuales!$H$40="Todos",'Plan mensual'!K29,0))+parametros_manuales!$F$40*('Plan mensual'!K26+IF(parametros_manuales!$H$40="Todos",'Plan mensual'!K30,0))+parametros_manuales!$G$40*('Plan mensual'!K27+IF(parametros_manuales!$H$40="Todos",'Plan mensual'!K31,0)))*parametros_manuales!$I$40*parametros_manuales!$J$40</f>
        <v>1020.62</v>
      </c>
      <c r="J77" s="4">
        <f>(parametros_manuales!$D$40*('Plan mensual'!L24+IF(parametros_manuales!$H$40="Todos",'Plan mensual'!L28,0))+parametros_manuales!$E$40*('Plan mensual'!L25+IF(parametros_manuales!$H$40="Todos",'Plan mensual'!L29,0))+parametros_manuales!$F$40*('Plan mensual'!L26+IF(parametros_manuales!$H$40="Todos",'Plan mensual'!L30,0))+parametros_manuales!$G$40*('Plan mensual'!L27+IF(parametros_manuales!$H$40="Todos",'Plan mensual'!L31,0)))*parametros_manuales!$I$40*parametros_manuales!$J$40</f>
        <v>1020.62</v>
      </c>
      <c r="K77" s="4">
        <f>(parametros_manuales!$D$40*('Plan mensual'!M24+IF(parametros_manuales!$H$40="Todos",'Plan mensual'!M28,0))+parametros_manuales!$E$40*('Plan mensual'!M25+IF(parametros_manuales!$H$40="Todos",'Plan mensual'!M29,0))+parametros_manuales!$F$40*('Plan mensual'!M26+IF(parametros_manuales!$H$40="Todos",'Plan mensual'!M30,0))+parametros_manuales!$G$40*('Plan mensual'!M27+IF(parametros_manuales!$H$40="Todos",'Plan mensual'!M31,0)))*parametros_manuales!$I$40*parametros_manuales!$J$40</f>
        <v>988.95</v>
      </c>
      <c r="L77" s="4">
        <f>(parametros_manuales!$D$40*('Plan mensual'!N24+IF(parametros_manuales!$H$40="Todos",'Plan mensual'!N28,0))+parametros_manuales!$E$40*('Plan mensual'!N25+IF(parametros_manuales!$H$40="Todos",'Plan mensual'!N29,0))+parametros_manuales!$F$40*('Plan mensual'!N26+IF(parametros_manuales!$H$40="Todos",'Plan mensual'!N30,0))+parametros_manuales!$G$40*('Plan mensual'!N27+IF(parametros_manuales!$H$40="Todos",'Plan mensual'!N31,0)))*parametros_manuales!$I$40*parametros_manuales!$J$40</f>
        <v>957.28</v>
      </c>
      <c r="M77" s="4">
        <f>(parametros_manuales!$D$40*('Plan mensual'!O24+IF(parametros_manuales!$H$40="Todos",'Plan mensual'!O28,0))+parametros_manuales!$E$40*('Plan mensual'!O25+IF(parametros_manuales!$H$40="Todos",'Plan mensual'!O29,0))+parametros_manuales!$F$40*('Plan mensual'!O26+IF(parametros_manuales!$H$40="Todos",'Plan mensual'!O30,0))+parametros_manuales!$G$40*('Plan mensual'!O27+IF(parametros_manuales!$H$40="Todos",'Plan mensual'!O31,0)))*parametros_manuales!$I$40*parametros_manuales!$J$40</f>
        <v>1518.98</v>
      </c>
      <c r="N77" s="4">
        <f t="shared" si="7"/>
        <v>13186</v>
      </c>
      <c r="O77" s="4">
        <f t="shared" si="8"/>
        <v>1518.98</v>
      </c>
      <c r="P77" s="27">
        <f>O77/(parametros_manuales!$B$7)</f>
        <v>10.12653333</v>
      </c>
      <c r="Q77" s="3" t="str">
        <f t="shared" si="9"/>
        <v>Dic</v>
      </c>
    </row>
    <row r="78" ht="14.25" customHeight="1">
      <c r="A78" s="3" t="str">
        <f>parametros_manuales!$B$41</f>
        <v>Control de calidad — Ensayo de pérdidas</v>
      </c>
      <c r="B78" s="4">
        <f>(parametros_manuales!$D$41*('Plan mensual'!D24+IF(parametros_manuales!$H$41="Todos",'Plan mensual'!D28,0))+parametros_manuales!$E$41*('Plan mensual'!D25+IF(parametros_manuales!$H$41="Todos",'Plan mensual'!D29,0))+parametros_manuales!$F$41*('Plan mensual'!D26+IF(parametros_manuales!$H$41="Todos",'Plan mensual'!D30,0))+parametros_manuales!$G$41*('Plan mensual'!D27+IF(parametros_manuales!$H$41="Todos",'Plan mensual'!D31,0)))*parametros_manuales!$I$41*parametros_manuales!$J$41</f>
        <v>1455.64</v>
      </c>
      <c r="C78" s="4">
        <f>(parametros_manuales!$D$41*('Plan mensual'!E24+IF(parametros_manuales!$H$41="Todos",'Plan mensual'!E28,0))+parametros_manuales!$E$41*('Plan mensual'!E25+IF(parametros_manuales!$H$41="Todos",'Plan mensual'!E29,0))+parametros_manuales!$F$41*('Plan mensual'!E26+IF(parametros_manuales!$H$41="Todos",'Plan mensual'!E30,0))+parametros_manuales!$G$41*('Plan mensual'!E27+IF(parametros_manuales!$H$41="Todos",'Plan mensual'!E31,0)))*parametros_manuales!$I$41*parametros_manuales!$J$41</f>
        <v>1123.4</v>
      </c>
      <c r="D78" s="4">
        <f>(parametros_manuales!$D$41*('Plan mensual'!F24+IF(parametros_manuales!$H$41="Todos",'Plan mensual'!F28,0))+parametros_manuales!$E$41*('Plan mensual'!F25+IF(parametros_manuales!$H$41="Todos",'Plan mensual'!F29,0))+parametros_manuales!$F$41*('Plan mensual'!F26+IF(parametros_manuales!$H$41="Todos",'Plan mensual'!F30,0))+parametros_manuales!$G$41*('Plan mensual'!F27+IF(parametros_manuales!$H$41="Todos",'Plan mensual'!F31,0)))*parametros_manuales!$I$41*parametros_manuales!$J$41</f>
        <v>1086.55</v>
      </c>
      <c r="E78" s="4">
        <f>(parametros_manuales!$D$41*('Plan mensual'!G24+IF(parametros_manuales!$H$41="Todos",'Plan mensual'!G28,0))+parametros_manuales!$E$41*('Plan mensual'!G25+IF(parametros_manuales!$H$41="Todos",'Plan mensual'!G29,0))+parametros_manuales!$F$41*('Plan mensual'!G26+IF(parametros_manuales!$H$41="Todos",'Plan mensual'!G30,0))+parametros_manuales!$G$41*('Plan mensual'!G27+IF(parametros_manuales!$H$41="Todos",'Plan mensual'!G31,0)))*parametros_manuales!$I$41*parametros_manuales!$J$41</f>
        <v>1052.29</v>
      </c>
      <c r="F78" s="4">
        <f>(parametros_manuales!$D$41*('Plan mensual'!H24+IF(parametros_manuales!$H$41="Todos",'Plan mensual'!H28,0))+parametros_manuales!$E$41*('Plan mensual'!H25+IF(parametros_manuales!$H$41="Todos",'Plan mensual'!H29,0))+parametros_manuales!$F$41*('Plan mensual'!H26+IF(parametros_manuales!$H$41="Todos",'Plan mensual'!H30,0))+parametros_manuales!$G$41*('Plan mensual'!H27+IF(parametros_manuales!$H$41="Todos",'Plan mensual'!H31,0)))*parametros_manuales!$I$41*parametros_manuales!$J$41</f>
        <v>986.36</v>
      </c>
      <c r="G78" s="4">
        <f>(parametros_manuales!$D$41*('Plan mensual'!I24+IF(parametros_manuales!$H$41="Todos",'Plan mensual'!I28,0))+parametros_manuales!$E$41*('Plan mensual'!I25+IF(parametros_manuales!$H$41="Todos",'Plan mensual'!I29,0))+parametros_manuales!$F$41*('Plan mensual'!I26+IF(parametros_manuales!$H$41="Todos",'Plan mensual'!I30,0))+parametros_manuales!$G$41*('Plan mensual'!I27+IF(parametros_manuales!$H$41="Todos",'Plan mensual'!I31,0)))*parametros_manuales!$I$41*parametros_manuales!$J$41</f>
        <v>954.69</v>
      </c>
      <c r="H78" s="4">
        <f>(parametros_manuales!$D$41*('Plan mensual'!J24+IF(parametros_manuales!$H$41="Todos",'Plan mensual'!J28,0))+parametros_manuales!$E$41*('Plan mensual'!J25+IF(parametros_manuales!$H$41="Todos",'Plan mensual'!J29,0))+parametros_manuales!$F$41*('Plan mensual'!J26+IF(parametros_manuales!$H$41="Todos",'Plan mensual'!J30,0))+parametros_manuales!$G$41*('Plan mensual'!J27+IF(parametros_manuales!$H$41="Todos",'Plan mensual'!J31,0)))*parametros_manuales!$I$41*parametros_manuales!$J$41</f>
        <v>1020.62</v>
      </c>
      <c r="I78" s="4">
        <f>(parametros_manuales!$D$41*('Plan mensual'!K24+IF(parametros_manuales!$H$41="Todos",'Plan mensual'!K28,0))+parametros_manuales!$E$41*('Plan mensual'!K25+IF(parametros_manuales!$H$41="Todos",'Plan mensual'!K29,0))+parametros_manuales!$F$41*('Plan mensual'!K26+IF(parametros_manuales!$H$41="Todos",'Plan mensual'!K30,0))+parametros_manuales!$G$41*('Plan mensual'!K27+IF(parametros_manuales!$H$41="Todos",'Plan mensual'!K31,0)))*parametros_manuales!$I$41*parametros_manuales!$J$41</f>
        <v>1020.62</v>
      </c>
      <c r="J78" s="4">
        <f>(parametros_manuales!$D$41*('Plan mensual'!L24+IF(parametros_manuales!$H$41="Todos",'Plan mensual'!L28,0))+parametros_manuales!$E$41*('Plan mensual'!L25+IF(parametros_manuales!$H$41="Todos",'Plan mensual'!L29,0))+parametros_manuales!$F$41*('Plan mensual'!L26+IF(parametros_manuales!$H$41="Todos",'Plan mensual'!L30,0))+parametros_manuales!$G$41*('Plan mensual'!L27+IF(parametros_manuales!$H$41="Todos",'Plan mensual'!L31,0)))*parametros_manuales!$I$41*parametros_manuales!$J$41</f>
        <v>1020.62</v>
      </c>
      <c r="K78" s="4">
        <f>(parametros_manuales!$D$41*('Plan mensual'!M24+IF(parametros_manuales!$H$41="Todos",'Plan mensual'!M28,0))+parametros_manuales!$E$41*('Plan mensual'!M25+IF(parametros_manuales!$H$41="Todos",'Plan mensual'!M29,0))+parametros_manuales!$F$41*('Plan mensual'!M26+IF(parametros_manuales!$H$41="Todos",'Plan mensual'!M30,0))+parametros_manuales!$G$41*('Plan mensual'!M27+IF(parametros_manuales!$H$41="Todos",'Plan mensual'!M31,0)))*parametros_manuales!$I$41*parametros_manuales!$J$41</f>
        <v>988.95</v>
      </c>
      <c r="L78" s="4">
        <f>(parametros_manuales!$D$41*('Plan mensual'!N24+IF(parametros_manuales!$H$41="Todos",'Plan mensual'!N28,0))+parametros_manuales!$E$41*('Plan mensual'!N25+IF(parametros_manuales!$H$41="Todos",'Plan mensual'!N29,0))+parametros_manuales!$F$41*('Plan mensual'!N26+IF(parametros_manuales!$H$41="Todos",'Plan mensual'!N30,0))+parametros_manuales!$G$41*('Plan mensual'!N27+IF(parametros_manuales!$H$41="Todos",'Plan mensual'!N31,0)))*parametros_manuales!$I$41*parametros_manuales!$J$41</f>
        <v>957.28</v>
      </c>
      <c r="M78" s="4">
        <f>(parametros_manuales!$D$41*('Plan mensual'!O24+IF(parametros_manuales!$H$41="Todos",'Plan mensual'!O28,0))+parametros_manuales!$E$41*('Plan mensual'!O25+IF(parametros_manuales!$H$41="Todos",'Plan mensual'!O29,0))+parametros_manuales!$F$41*('Plan mensual'!O26+IF(parametros_manuales!$H$41="Todos",'Plan mensual'!O30,0))+parametros_manuales!$G$41*('Plan mensual'!O27+IF(parametros_manuales!$H$41="Todos",'Plan mensual'!O31,0)))*parametros_manuales!$I$41*parametros_manuales!$J$41</f>
        <v>1518.98</v>
      </c>
      <c r="N78" s="4">
        <f t="shared" si="7"/>
        <v>13186</v>
      </c>
      <c r="O78" s="4">
        <f t="shared" si="8"/>
        <v>1518.98</v>
      </c>
      <c r="P78" s="27">
        <f>O78/(parametros_manuales!$B$7)</f>
        <v>10.12653333</v>
      </c>
      <c r="Q78" s="3" t="str">
        <f t="shared" si="9"/>
        <v>Dic</v>
      </c>
    </row>
    <row r="79" ht="14.25" customHeight="1">
      <c r="A79" s="3" t="str">
        <f>parametros_manuales!$B$42</f>
        <v>Etiquetado</v>
      </c>
      <c r="B79" s="4">
        <f>(parametros_manuales!$D$42*('Plan mensual'!D24+IF(parametros_manuales!$H$42="Todos",'Plan mensual'!D28,0))+parametros_manuales!$E$42*('Plan mensual'!D25+IF(parametros_manuales!$H$42="Todos",'Plan mensual'!D29,0))+parametros_manuales!$F$42*('Plan mensual'!D26+IF(parametros_manuales!$H$42="Todos",'Plan mensual'!D30,0))+parametros_manuales!$G$42*('Plan mensual'!D27+IF(parametros_manuales!$H$42="Todos",'Plan mensual'!D31,0)))*parametros_manuales!$I$42*parametros_manuales!$J$42</f>
        <v>1455.64</v>
      </c>
      <c r="C79" s="4">
        <f>(parametros_manuales!$D$42*('Plan mensual'!E24+IF(parametros_manuales!$H$42="Todos",'Plan mensual'!E28,0))+parametros_manuales!$E$42*('Plan mensual'!E25+IF(parametros_manuales!$H$42="Todos",'Plan mensual'!E29,0))+parametros_manuales!$F$42*('Plan mensual'!E26+IF(parametros_manuales!$H$42="Todos",'Plan mensual'!E30,0))+parametros_manuales!$G$42*('Plan mensual'!E27+IF(parametros_manuales!$H$42="Todos",'Plan mensual'!E31,0)))*parametros_manuales!$I$42*parametros_manuales!$J$42</f>
        <v>1123.4</v>
      </c>
      <c r="D79" s="4">
        <f>(parametros_manuales!$D$42*('Plan mensual'!F24+IF(parametros_manuales!$H$42="Todos",'Plan mensual'!F28,0))+parametros_manuales!$E$42*('Plan mensual'!F25+IF(parametros_manuales!$H$42="Todos",'Plan mensual'!F29,0))+parametros_manuales!$F$42*('Plan mensual'!F26+IF(parametros_manuales!$H$42="Todos",'Plan mensual'!F30,0))+parametros_manuales!$G$42*('Plan mensual'!F27+IF(parametros_manuales!$H$42="Todos",'Plan mensual'!F31,0)))*parametros_manuales!$I$42*parametros_manuales!$J$42</f>
        <v>1086.55</v>
      </c>
      <c r="E79" s="4">
        <f>(parametros_manuales!$D$42*('Plan mensual'!G24+IF(parametros_manuales!$H$42="Todos",'Plan mensual'!G28,0))+parametros_manuales!$E$42*('Plan mensual'!G25+IF(parametros_manuales!$H$42="Todos",'Plan mensual'!G29,0))+parametros_manuales!$F$42*('Plan mensual'!G26+IF(parametros_manuales!$H$42="Todos",'Plan mensual'!G30,0))+parametros_manuales!$G$42*('Plan mensual'!G27+IF(parametros_manuales!$H$42="Todos",'Plan mensual'!G31,0)))*parametros_manuales!$I$42*parametros_manuales!$J$42</f>
        <v>1052.29</v>
      </c>
      <c r="F79" s="4">
        <f>(parametros_manuales!$D$42*('Plan mensual'!H24+IF(parametros_manuales!$H$42="Todos",'Plan mensual'!H28,0))+parametros_manuales!$E$42*('Plan mensual'!H25+IF(parametros_manuales!$H$42="Todos",'Plan mensual'!H29,0))+parametros_manuales!$F$42*('Plan mensual'!H26+IF(parametros_manuales!$H$42="Todos",'Plan mensual'!H30,0))+parametros_manuales!$G$42*('Plan mensual'!H27+IF(parametros_manuales!$H$42="Todos",'Plan mensual'!H31,0)))*parametros_manuales!$I$42*parametros_manuales!$J$42</f>
        <v>986.36</v>
      </c>
      <c r="G79" s="4">
        <f>(parametros_manuales!$D$42*('Plan mensual'!I24+IF(parametros_manuales!$H$42="Todos",'Plan mensual'!I28,0))+parametros_manuales!$E$42*('Plan mensual'!I25+IF(parametros_manuales!$H$42="Todos",'Plan mensual'!I29,0))+parametros_manuales!$F$42*('Plan mensual'!I26+IF(parametros_manuales!$H$42="Todos",'Plan mensual'!I30,0))+parametros_manuales!$G$42*('Plan mensual'!I27+IF(parametros_manuales!$H$42="Todos",'Plan mensual'!I31,0)))*parametros_manuales!$I$42*parametros_manuales!$J$42</f>
        <v>954.69</v>
      </c>
      <c r="H79" s="4">
        <f>(parametros_manuales!$D$42*('Plan mensual'!J24+IF(parametros_manuales!$H$42="Todos",'Plan mensual'!J28,0))+parametros_manuales!$E$42*('Plan mensual'!J25+IF(parametros_manuales!$H$42="Todos",'Plan mensual'!J29,0))+parametros_manuales!$F$42*('Plan mensual'!J26+IF(parametros_manuales!$H$42="Todos",'Plan mensual'!J30,0))+parametros_manuales!$G$42*('Plan mensual'!J27+IF(parametros_manuales!$H$42="Todos",'Plan mensual'!J31,0)))*parametros_manuales!$I$42*parametros_manuales!$J$42</f>
        <v>1020.62</v>
      </c>
      <c r="I79" s="4">
        <f>(parametros_manuales!$D$42*('Plan mensual'!K24+IF(parametros_manuales!$H$42="Todos",'Plan mensual'!K28,0))+parametros_manuales!$E$42*('Plan mensual'!K25+IF(parametros_manuales!$H$42="Todos",'Plan mensual'!K29,0))+parametros_manuales!$F$42*('Plan mensual'!K26+IF(parametros_manuales!$H$42="Todos",'Plan mensual'!K30,0))+parametros_manuales!$G$42*('Plan mensual'!K27+IF(parametros_manuales!$H$42="Todos",'Plan mensual'!K31,0)))*parametros_manuales!$I$42*parametros_manuales!$J$42</f>
        <v>1020.62</v>
      </c>
      <c r="J79" s="4">
        <f>(parametros_manuales!$D$42*('Plan mensual'!L24+IF(parametros_manuales!$H$42="Todos",'Plan mensual'!L28,0))+parametros_manuales!$E$42*('Plan mensual'!L25+IF(parametros_manuales!$H$42="Todos",'Plan mensual'!L29,0))+parametros_manuales!$F$42*('Plan mensual'!L26+IF(parametros_manuales!$H$42="Todos",'Plan mensual'!L30,0))+parametros_manuales!$G$42*('Plan mensual'!L27+IF(parametros_manuales!$H$42="Todos",'Plan mensual'!L31,0)))*parametros_manuales!$I$42*parametros_manuales!$J$42</f>
        <v>1020.62</v>
      </c>
      <c r="K79" s="4">
        <f>(parametros_manuales!$D$42*('Plan mensual'!M24+IF(parametros_manuales!$H$42="Todos",'Plan mensual'!M28,0))+parametros_manuales!$E$42*('Plan mensual'!M25+IF(parametros_manuales!$H$42="Todos",'Plan mensual'!M29,0))+parametros_manuales!$F$42*('Plan mensual'!M26+IF(parametros_manuales!$H$42="Todos",'Plan mensual'!M30,0))+parametros_manuales!$G$42*('Plan mensual'!M27+IF(parametros_manuales!$H$42="Todos",'Plan mensual'!M31,0)))*parametros_manuales!$I$42*parametros_manuales!$J$42</f>
        <v>988.95</v>
      </c>
      <c r="L79" s="4">
        <f>(parametros_manuales!$D$42*('Plan mensual'!N24+IF(parametros_manuales!$H$42="Todos",'Plan mensual'!N28,0))+parametros_manuales!$E$42*('Plan mensual'!N25+IF(parametros_manuales!$H$42="Todos",'Plan mensual'!N29,0))+parametros_manuales!$F$42*('Plan mensual'!N26+IF(parametros_manuales!$H$42="Todos",'Plan mensual'!N30,0))+parametros_manuales!$G$42*('Plan mensual'!N27+IF(parametros_manuales!$H$42="Todos",'Plan mensual'!N31,0)))*parametros_manuales!$I$42*parametros_manuales!$J$42</f>
        <v>957.28</v>
      </c>
      <c r="M79" s="4">
        <f>(parametros_manuales!$D$42*('Plan mensual'!O24+IF(parametros_manuales!$H$42="Todos",'Plan mensual'!O28,0))+parametros_manuales!$E$42*('Plan mensual'!O25+IF(parametros_manuales!$H$42="Todos",'Plan mensual'!O29,0))+parametros_manuales!$F$42*('Plan mensual'!O26+IF(parametros_manuales!$H$42="Todos",'Plan mensual'!O30,0))+parametros_manuales!$G$42*('Plan mensual'!O27+IF(parametros_manuales!$H$42="Todos",'Plan mensual'!O31,0)))*parametros_manuales!$I$42*parametros_manuales!$J$42</f>
        <v>1518.98</v>
      </c>
      <c r="N79" s="4">
        <f t="shared" si="7"/>
        <v>13186</v>
      </c>
      <c r="O79" s="4">
        <f t="shared" si="8"/>
        <v>1518.98</v>
      </c>
      <c r="P79" s="27">
        <f>O79/(parametros_manuales!$B$7)</f>
        <v>10.12653333</v>
      </c>
      <c r="Q79" s="3" t="str">
        <f t="shared" si="9"/>
        <v>Dic</v>
      </c>
    </row>
    <row r="80" ht="14.25" customHeight="1">
      <c r="A80" s="3" t="str">
        <f>parametros_manuales!$B$43</f>
        <v>Embalaje y paletizado</v>
      </c>
      <c r="B80" s="4">
        <f>(parametros_manuales!$D$43*('Plan mensual'!D24+IF(parametros_manuales!$H$43="Todos",'Plan mensual'!D28,0))+parametros_manuales!$E$43*('Plan mensual'!D25+IF(parametros_manuales!$H$43="Todos",'Plan mensual'!D29,0))+parametros_manuales!$F$43*('Plan mensual'!D26+IF(parametros_manuales!$H$43="Todos",'Plan mensual'!D30,0))+parametros_manuales!$G$43*('Plan mensual'!D27+IF(parametros_manuales!$H$43="Todos",'Plan mensual'!D31,0)))*parametros_manuales!$I$43*parametros_manuales!$J$43</f>
        <v>2561.98</v>
      </c>
      <c r="C80" s="4">
        <f>(parametros_manuales!$D$43*('Plan mensual'!E24+IF(parametros_manuales!$H$43="Todos",'Plan mensual'!E28,0))+parametros_manuales!$E$43*('Plan mensual'!E25+IF(parametros_manuales!$H$43="Todos",'Plan mensual'!E29,0))+parametros_manuales!$F$43*('Plan mensual'!E26+IF(parametros_manuales!$H$43="Todos",'Plan mensual'!E30,0))+parametros_manuales!$G$43*('Plan mensual'!E27+IF(parametros_manuales!$H$43="Todos",'Plan mensual'!E31,0)))*parametros_manuales!$I$43*parametros_manuales!$J$43</f>
        <v>1962.5</v>
      </c>
      <c r="D80" s="4">
        <f>(parametros_manuales!$D$43*('Plan mensual'!F24+IF(parametros_manuales!$H$43="Todos",'Plan mensual'!F28,0))+parametros_manuales!$E$43*('Plan mensual'!F25+IF(parametros_manuales!$H$43="Todos",'Plan mensual'!F29,0))+parametros_manuales!$F$43*('Plan mensual'!F26+IF(parametros_manuales!$H$43="Todos",'Plan mensual'!F30,0))+parametros_manuales!$G$43*('Plan mensual'!F27+IF(parametros_manuales!$H$43="Todos",'Plan mensual'!F31,0)))*parametros_manuales!$I$43*parametros_manuales!$J$43</f>
        <v>1858.375</v>
      </c>
      <c r="E80" s="4">
        <f>(parametros_manuales!$D$43*('Plan mensual'!G24+IF(parametros_manuales!$H$43="Todos",'Plan mensual'!G28,0))+parametros_manuales!$E$43*('Plan mensual'!G25+IF(parametros_manuales!$H$43="Todos",'Plan mensual'!G29,0))+parametros_manuales!$F$43*('Plan mensual'!G26+IF(parametros_manuales!$H$43="Todos",'Plan mensual'!G30,0))+parametros_manuales!$G$43*('Plan mensual'!G27+IF(parametros_manuales!$H$43="Todos",'Plan mensual'!G31,0)))*parametros_manuales!$I$43*parametros_manuales!$J$43</f>
        <v>1785.805</v>
      </c>
      <c r="F80" s="4">
        <f>(parametros_manuales!$D$43*('Plan mensual'!H24+IF(parametros_manuales!$H$43="Todos",'Plan mensual'!H28,0))+parametros_manuales!$E$43*('Plan mensual'!H25+IF(parametros_manuales!$H$43="Todos",'Plan mensual'!H29,0))+parametros_manuales!$F$43*('Plan mensual'!H26+IF(parametros_manuales!$H$43="Todos",'Plan mensual'!H30,0))+parametros_manuales!$G$43*('Plan mensual'!H27+IF(parametros_manuales!$H$43="Todos",'Plan mensual'!H31,0)))*parametros_manuales!$I$43*parametros_manuales!$J$43</f>
        <v>1672.22</v>
      </c>
      <c r="G80" s="4">
        <f>(parametros_manuales!$D$43*('Plan mensual'!I24+IF(parametros_manuales!$H$43="Todos",'Plan mensual'!I28,0))+parametros_manuales!$E$43*('Plan mensual'!I25+IF(parametros_manuales!$H$43="Todos",'Plan mensual'!I29,0))+parametros_manuales!$F$43*('Plan mensual'!I26+IF(parametros_manuales!$H$43="Todos",'Plan mensual'!I30,0))+parametros_manuales!$G$43*('Plan mensual'!I27+IF(parametros_manuales!$H$43="Todos",'Plan mensual'!I31,0)))*parametros_manuales!$I$43*parametros_manuales!$J$43</f>
        <v>1631.205</v>
      </c>
      <c r="H80" s="4">
        <f>(parametros_manuales!$D$43*('Plan mensual'!J24+IF(parametros_manuales!$H$43="Todos",'Plan mensual'!J28,0))+parametros_manuales!$E$43*('Plan mensual'!J25+IF(parametros_manuales!$H$43="Todos",'Plan mensual'!J29,0))+parametros_manuales!$F$43*('Plan mensual'!J26+IF(parametros_manuales!$H$43="Todos",'Plan mensual'!J30,0))+parametros_manuales!$G$43*('Plan mensual'!J27+IF(parametros_manuales!$H$43="Todos",'Plan mensual'!J31,0)))*parametros_manuales!$I$43*parametros_manuales!$J$43</f>
        <v>1744.79</v>
      </c>
      <c r="I80" s="4">
        <f>(parametros_manuales!$D$43*('Plan mensual'!K24+IF(parametros_manuales!$H$43="Todos",'Plan mensual'!K28,0))+parametros_manuales!$E$43*('Plan mensual'!K25+IF(parametros_manuales!$H$43="Todos",'Plan mensual'!K29,0))+parametros_manuales!$F$43*('Plan mensual'!K26+IF(parametros_manuales!$H$43="Todos",'Plan mensual'!K30,0))+parametros_manuales!$G$43*('Plan mensual'!K27+IF(parametros_manuales!$H$43="Todos",'Plan mensual'!K31,0)))*parametros_manuales!$I$43*parametros_manuales!$J$43</f>
        <v>1744.79</v>
      </c>
      <c r="J80" s="4">
        <f>(parametros_manuales!$D$43*('Plan mensual'!L24+IF(parametros_manuales!$H$43="Todos",'Plan mensual'!L28,0))+parametros_manuales!$E$43*('Plan mensual'!L25+IF(parametros_manuales!$H$43="Todos",'Plan mensual'!L29,0))+parametros_manuales!$F$43*('Plan mensual'!L26+IF(parametros_manuales!$H$43="Todos",'Plan mensual'!L30,0))+parametros_manuales!$G$43*('Plan mensual'!L27+IF(parametros_manuales!$H$43="Todos",'Plan mensual'!L31,0)))*parametros_manuales!$I$43*parametros_manuales!$J$43</f>
        <v>1744.79</v>
      </c>
      <c r="K80" s="4">
        <f>(parametros_manuales!$D$43*('Plan mensual'!M24+IF(parametros_manuales!$H$43="Todos",'Plan mensual'!M28,0))+parametros_manuales!$E$43*('Plan mensual'!M25+IF(parametros_manuales!$H$43="Todos",'Plan mensual'!M29,0))+parametros_manuales!$F$43*('Plan mensual'!M26+IF(parametros_manuales!$H$43="Todos",'Plan mensual'!M30,0))+parametros_manuales!$G$43*('Plan mensual'!M27+IF(parametros_manuales!$H$43="Todos",'Plan mensual'!M31,0)))*parametros_manuales!$I$43*parametros_manuales!$J$43</f>
        <v>1703.775</v>
      </c>
      <c r="L80" s="4">
        <f>(parametros_manuales!$D$43*('Plan mensual'!N24+IF(parametros_manuales!$H$43="Todos",'Plan mensual'!N28,0))+parametros_manuales!$E$43*('Plan mensual'!N25+IF(parametros_manuales!$H$43="Todos",'Plan mensual'!N29,0))+parametros_manuales!$F$43*('Plan mensual'!N26+IF(parametros_manuales!$H$43="Todos",'Plan mensual'!N30,0))+parametros_manuales!$G$43*('Plan mensual'!N27+IF(parametros_manuales!$H$43="Todos",'Plan mensual'!N31,0)))*parametros_manuales!$I$43*parametros_manuales!$J$43</f>
        <v>1662.76</v>
      </c>
      <c r="M80" s="4">
        <f>(parametros_manuales!$D$43*('Plan mensual'!O24+IF(parametros_manuales!$H$43="Todos",'Plan mensual'!O28,0))+parametros_manuales!$E$43*('Plan mensual'!O25+IF(parametros_manuales!$H$43="Todos",'Plan mensual'!O29,0))+parametros_manuales!$F$43*('Plan mensual'!O26+IF(parametros_manuales!$H$43="Todos",'Plan mensual'!O30,0))+parametros_manuales!$G$43*('Plan mensual'!O27+IF(parametros_manuales!$H$43="Todos",'Plan mensual'!O31,0)))*parametros_manuales!$I$43*parametros_manuales!$J$43</f>
        <v>2644.01</v>
      </c>
      <c r="N80" s="4">
        <f t="shared" si="7"/>
        <v>22717</v>
      </c>
      <c r="O80" s="4">
        <f t="shared" si="8"/>
        <v>2644.01</v>
      </c>
      <c r="P80" s="27">
        <f>O80/(parametros_manuales!$B$7)</f>
        <v>17.62673333</v>
      </c>
      <c r="Q80" s="3" t="str">
        <f t="shared" si="9"/>
        <v>Dic</v>
      </c>
    </row>
    <row r="81" ht="14.25" customHeight="1"/>
    <row r="82" ht="14.25" customHeight="1">
      <c r="A82" s="1" t="s">
        <v>180</v>
      </c>
      <c r="B82" s="1" t="s">
        <v>5</v>
      </c>
      <c r="C82" s="1" t="s">
        <v>7</v>
      </c>
      <c r="D82" s="1" t="s">
        <v>8</v>
      </c>
      <c r="E82" s="1" t="s">
        <v>9</v>
      </c>
      <c r="F82" s="1" t="s">
        <v>11</v>
      </c>
      <c r="G82" s="1" t="s">
        <v>12</v>
      </c>
      <c r="H82" s="1" t="s">
        <v>14</v>
      </c>
      <c r="I82" s="1" t="s">
        <v>15</v>
      </c>
      <c r="J82" s="1" t="s">
        <v>16</v>
      </c>
      <c r="K82" s="1" t="s">
        <v>18</v>
      </c>
      <c r="L82" s="1" t="s">
        <v>19</v>
      </c>
      <c r="M82" s="1" t="s">
        <v>20</v>
      </c>
      <c r="N82" s="1" t="s">
        <v>21</v>
      </c>
      <c r="O82" s="1" t="s">
        <v>22</v>
      </c>
      <c r="P82" s="1" t="s">
        <v>23</v>
      </c>
      <c r="Q82" s="1" t="s">
        <v>24</v>
      </c>
    </row>
    <row r="83" ht="14.25" customHeight="1">
      <c r="A83" s="3" t="str">
        <f>parametros_manuales!$B$19</f>
        <v>Recepción de materia prima</v>
      </c>
      <c r="B83" s="4">
        <f>(parametros_manuales!$D$19*('Plan mensual'!D35+IF(parametros_manuales!$H$19="Todos",'Plan mensual'!D39,0))+parametros_manuales!$E$19*('Plan mensual'!D36+IF(parametros_manuales!$H$19="Todos",'Plan mensual'!D40,0))+parametros_manuales!$F$19*('Plan mensual'!D37+IF(parametros_manuales!$H$19="Todos",'Plan mensual'!D41,0))+parametros_manuales!$G$19*('Plan mensual'!D38+IF(parametros_manuales!$H$19="Todos",'Plan mensual'!D42,0)))*parametros_manuales!$I$19*parametros_manuales!$J$19</f>
        <v>5738.74</v>
      </c>
      <c r="C83" s="4">
        <f>(parametros_manuales!$D$19*('Plan mensual'!E35+IF(parametros_manuales!$H$19="Todos",'Plan mensual'!E39,0))+parametros_manuales!$E$19*('Plan mensual'!E36+IF(parametros_manuales!$H$19="Todos",'Plan mensual'!E40,0))+parametros_manuales!$F$19*('Plan mensual'!E37+IF(parametros_manuales!$H$19="Todos",'Plan mensual'!E41,0))+parametros_manuales!$G$19*('Plan mensual'!E38+IF(parametros_manuales!$H$19="Todos",'Plan mensual'!E42,0)))*parametros_manuales!$I$19*parametros_manuales!$J$19</f>
        <v>4380.02</v>
      </c>
      <c r="D83" s="4">
        <f>(parametros_manuales!$D$19*('Plan mensual'!F35+IF(parametros_manuales!$H$19="Todos",'Plan mensual'!F39,0))+parametros_manuales!$E$19*('Plan mensual'!F36+IF(parametros_manuales!$H$19="Todos",'Plan mensual'!F40,0))+parametros_manuales!$F$19*('Plan mensual'!F37+IF(parametros_manuales!$H$19="Todos",'Plan mensual'!F41,0))+parametros_manuales!$G$19*('Plan mensual'!F38+IF(parametros_manuales!$H$19="Todos",'Plan mensual'!F42,0)))*parametros_manuales!$I$19*parametros_manuales!$J$19</f>
        <v>4104.365</v>
      </c>
      <c r="E83" s="4">
        <f>(parametros_manuales!$D$19*('Plan mensual'!G35+IF(parametros_manuales!$H$19="Todos",'Plan mensual'!G39,0))+parametros_manuales!$E$19*('Plan mensual'!G36+IF(parametros_manuales!$H$19="Todos",'Plan mensual'!G40,0))+parametros_manuales!$F$19*('Plan mensual'!G37+IF(parametros_manuales!$H$19="Todos",'Plan mensual'!G41,0))+parametros_manuales!$G$19*('Plan mensual'!G38+IF(parametros_manuales!$H$19="Todos",'Plan mensual'!G42,0)))*parametros_manuales!$I$19*parametros_manuales!$J$19</f>
        <v>3928.555</v>
      </c>
      <c r="F83" s="4">
        <f>(parametros_manuales!$D$19*('Plan mensual'!H35+IF(parametros_manuales!$H$19="Todos",'Plan mensual'!H39,0))+parametros_manuales!$E$19*('Plan mensual'!H36+IF(parametros_manuales!$H$19="Todos",'Plan mensual'!H40,0))+parametros_manuales!$F$19*('Plan mensual'!H37+IF(parametros_manuales!$H$19="Todos",'Plan mensual'!H41,0))+parametros_manuales!$G$19*('Plan mensual'!H38+IF(parametros_manuales!$H$19="Todos",'Plan mensual'!H42,0)))*parametros_manuales!$I$19*parametros_manuales!$J$19</f>
        <v>3676.78</v>
      </c>
      <c r="G83" s="4">
        <f>(parametros_manuales!$D$19*('Plan mensual'!I35+IF(parametros_manuales!$H$19="Todos",'Plan mensual'!I39,0))+parametros_manuales!$E$19*('Plan mensual'!I36+IF(parametros_manuales!$H$19="Todos",'Plan mensual'!I40,0))+parametros_manuales!$F$19*('Plan mensual'!I37+IF(parametros_manuales!$H$19="Todos",'Plan mensual'!I41,0))+parametros_manuales!$G$19*('Plan mensual'!I38+IF(parametros_manuales!$H$19="Todos",'Plan mensual'!I42,0)))*parametros_manuales!$I$19*parametros_manuales!$J$19</f>
        <v>3600.815</v>
      </c>
      <c r="H83" s="4">
        <f>(parametros_manuales!$D$19*('Plan mensual'!J35+IF(parametros_manuales!$H$19="Todos",'Plan mensual'!J39,0))+parametros_manuales!$E$19*('Plan mensual'!J36+IF(parametros_manuales!$H$19="Todos",'Plan mensual'!J40,0))+parametros_manuales!$F$19*('Plan mensual'!J37+IF(parametros_manuales!$H$19="Todos",'Plan mensual'!J41,0))+parametros_manuales!$G$19*('Plan mensual'!J38+IF(parametros_manuales!$H$19="Todos",'Plan mensual'!J42,0)))*parametros_manuales!$I$19*parametros_manuales!$J$19</f>
        <v>3852.59</v>
      </c>
      <c r="I83" s="4">
        <f>(parametros_manuales!$D$19*('Plan mensual'!K35+IF(parametros_manuales!$H$19="Todos",'Plan mensual'!K39,0))+parametros_manuales!$E$19*('Plan mensual'!K36+IF(parametros_manuales!$H$19="Todos",'Plan mensual'!K40,0))+parametros_manuales!$F$19*('Plan mensual'!K37+IF(parametros_manuales!$H$19="Todos",'Plan mensual'!K41,0))+parametros_manuales!$G$19*('Plan mensual'!K38+IF(parametros_manuales!$H$19="Todos",'Plan mensual'!K42,0)))*parametros_manuales!$I$19*parametros_manuales!$J$19</f>
        <v>3852.59</v>
      </c>
      <c r="J83" s="4">
        <f>(parametros_manuales!$D$19*('Plan mensual'!L35+IF(parametros_manuales!$H$19="Todos",'Plan mensual'!L39,0))+parametros_manuales!$E$19*('Plan mensual'!L36+IF(parametros_manuales!$H$19="Todos",'Plan mensual'!L40,0))+parametros_manuales!$F$19*('Plan mensual'!L37+IF(parametros_manuales!$H$19="Todos",'Plan mensual'!L41,0))+parametros_manuales!$G$19*('Plan mensual'!L38+IF(parametros_manuales!$H$19="Todos",'Plan mensual'!L42,0)))*parametros_manuales!$I$19*parametros_manuales!$J$19</f>
        <v>3852.59</v>
      </c>
      <c r="K83" s="4">
        <f>(parametros_manuales!$D$19*('Plan mensual'!M35+IF(parametros_manuales!$H$19="Todos",'Plan mensual'!M39,0))+parametros_manuales!$E$19*('Plan mensual'!M36+IF(parametros_manuales!$H$19="Todos",'Plan mensual'!M40,0))+parametros_manuales!$F$19*('Plan mensual'!M37+IF(parametros_manuales!$H$19="Todos",'Plan mensual'!M41,0))+parametros_manuales!$G$19*('Plan mensual'!M38+IF(parametros_manuales!$H$19="Todos",'Plan mensual'!M42,0)))*parametros_manuales!$I$19*parametros_manuales!$J$19</f>
        <v>3776.625</v>
      </c>
      <c r="L83" s="4">
        <f>(parametros_manuales!$D$19*('Plan mensual'!N35+IF(parametros_manuales!$H$19="Todos",'Plan mensual'!N39,0))+parametros_manuales!$E$19*('Plan mensual'!N36+IF(parametros_manuales!$H$19="Todos",'Plan mensual'!N40,0))+parametros_manuales!$F$19*('Plan mensual'!N37+IF(parametros_manuales!$H$19="Todos",'Plan mensual'!N41,0))+parametros_manuales!$G$19*('Plan mensual'!N38+IF(parametros_manuales!$H$19="Todos",'Plan mensual'!N42,0)))*parametros_manuales!$I$19*parametros_manuales!$J$19</f>
        <v>3700.66</v>
      </c>
      <c r="M83" s="4">
        <f>(parametros_manuales!$D$19*('Plan mensual'!O35+IF(parametros_manuales!$H$19="Todos",'Plan mensual'!O39,0))+parametros_manuales!$E$19*('Plan mensual'!O36+IF(parametros_manuales!$H$19="Todos",'Plan mensual'!O40,0))+parametros_manuales!$F$19*('Plan mensual'!O37+IF(parametros_manuales!$H$19="Todos",'Plan mensual'!O41,0))+parametros_manuales!$G$19*('Plan mensual'!O38+IF(parametros_manuales!$H$19="Todos",'Plan mensual'!O42,0)))*parametros_manuales!$I$19*parametros_manuales!$J$19</f>
        <v>5890.67</v>
      </c>
      <c r="N83" s="4">
        <f t="shared" ref="N83:N107" si="10">SUM(B83:M83)</f>
        <v>50355</v>
      </c>
      <c r="O83" s="4">
        <f t="shared" ref="O83:O107" si="11">MAX(B83:M83)</f>
        <v>5890.67</v>
      </c>
      <c r="P83" s="27">
        <f>O83/(parametros_manuales!$B$7)</f>
        <v>39.27113333</v>
      </c>
      <c r="Q83" s="3" t="str">
        <f t="shared" ref="Q83:Q107" si="12">IF(O83=0,"-",INDEX($B$82:$M$82,MATCH(O83,B83:M83,0)))</f>
        <v>Dic</v>
      </c>
    </row>
    <row r="84" ht="14.25" customHeight="1">
      <c r="A84" s="3" t="str">
        <f>parametros_manuales!$B$20</f>
        <v>Corte de chapa (guillotina) — 2,5 a 10 kg</v>
      </c>
      <c r="B84" s="4">
        <f>(parametros_manuales!$D$20*('Plan mensual'!D35+IF(parametros_manuales!$H$20="Todos",'Plan mensual'!D39,0))+parametros_manuales!$E$20*('Plan mensual'!D36+IF(parametros_manuales!$H$20="Todos",'Plan mensual'!D40,0))+parametros_manuales!$F$20*('Plan mensual'!D37+IF(parametros_manuales!$H$20="Todos",'Plan mensual'!D41,0))+parametros_manuales!$G$20*('Plan mensual'!D38+IF(parametros_manuales!$H$20="Todos",'Plan mensual'!D42,0)))*parametros_manuales!$I$20*parametros_manuales!$J$20</f>
        <v>1519.3</v>
      </c>
      <c r="C84" s="4">
        <f>(parametros_manuales!$D$20*('Plan mensual'!E35+IF(parametros_manuales!$H$20="Todos",'Plan mensual'!E39,0))+parametros_manuales!$E$20*('Plan mensual'!E36+IF(parametros_manuales!$H$20="Todos",'Plan mensual'!E40,0))+parametros_manuales!$F$20*('Plan mensual'!E37+IF(parametros_manuales!$H$20="Todos",'Plan mensual'!E41,0))+parametros_manuales!$G$20*('Plan mensual'!E38+IF(parametros_manuales!$H$20="Todos",'Plan mensual'!E42,0)))*parametros_manuales!$I$20*parametros_manuales!$J$20</f>
        <v>1215.44</v>
      </c>
      <c r="D84" s="4">
        <f>(parametros_manuales!$D$20*('Plan mensual'!F35+IF(parametros_manuales!$H$20="Todos",'Plan mensual'!F39,0))+parametros_manuales!$E$20*('Plan mensual'!F36+IF(parametros_manuales!$H$20="Todos",'Plan mensual'!F40,0))+parametros_manuales!$F$20*('Plan mensual'!F37+IF(parametros_manuales!$H$20="Todos",'Plan mensual'!F41,0))+parametros_manuales!$G$20*('Plan mensual'!F38+IF(parametros_manuales!$H$20="Todos",'Plan mensual'!F42,0)))*parametros_manuales!$I$20*parametros_manuales!$J$20</f>
        <v>1291.405</v>
      </c>
      <c r="E84" s="4">
        <f>(parametros_manuales!$D$20*('Plan mensual'!G35+IF(parametros_manuales!$H$20="Todos",'Plan mensual'!G39,0))+parametros_manuales!$E$20*('Plan mensual'!G36+IF(parametros_manuales!$H$20="Todos",'Plan mensual'!G40,0))+parametros_manuales!$F$20*('Plan mensual'!G37+IF(parametros_manuales!$H$20="Todos",'Plan mensual'!G41,0))+parametros_manuales!$G$20*('Plan mensual'!G38+IF(parametros_manuales!$H$20="Todos",'Plan mensual'!G42,0)))*parametros_manuales!$I$20*parametros_manuales!$J$20</f>
        <v>1291.405</v>
      </c>
      <c r="F84" s="4">
        <f>(parametros_manuales!$D$20*('Plan mensual'!H35+IF(parametros_manuales!$H$20="Todos",'Plan mensual'!H39,0))+parametros_manuales!$E$20*('Plan mensual'!H36+IF(parametros_manuales!$H$20="Todos",'Plan mensual'!H40,0))+parametros_manuales!$F$20*('Plan mensual'!H37+IF(parametros_manuales!$H$20="Todos",'Plan mensual'!H41,0))+parametros_manuales!$G$20*('Plan mensual'!H38+IF(parametros_manuales!$H$20="Todos",'Plan mensual'!H42,0)))*parametros_manuales!$I$20*parametros_manuales!$J$20</f>
        <v>1215.44</v>
      </c>
      <c r="G84" s="4">
        <f>(parametros_manuales!$D$20*('Plan mensual'!I35+IF(parametros_manuales!$H$20="Todos",'Plan mensual'!I39,0))+parametros_manuales!$E$20*('Plan mensual'!I36+IF(parametros_manuales!$H$20="Todos",'Plan mensual'!I40,0))+parametros_manuales!$F$20*('Plan mensual'!I37+IF(parametros_manuales!$H$20="Todos",'Plan mensual'!I41,0))+parametros_manuales!$G$20*('Plan mensual'!I38+IF(parametros_manuales!$H$20="Todos",'Plan mensual'!I42,0)))*parametros_manuales!$I$20*parametros_manuales!$J$20</f>
        <v>1139.475</v>
      </c>
      <c r="H84" s="4">
        <f>(parametros_manuales!$D$20*('Plan mensual'!J35+IF(parametros_manuales!$H$20="Todos",'Plan mensual'!J39,0))+parametros_manuales!$E$20*('Plan mensual'!J36+IF(parametros_manuales!$H$20="Todos",'Plan mensual'!J40,0))+parametros_manuales!$F$20*('Plan mensual'!J37+IF(parametros_manuales!$H$20="Todos",'Plan mensual'!J41,0))+parametros_manuales!$G$20*('Plan mensual'!J38+IF(parametros_manuales!$H$20="Todos",'Plan mensual'!J42,0)))*parametros_manuales!$I$20*parametros_manuales!$J$20</f>
        <v>1215.44</v>
      </c>
      <c r="I84" s="4">
        <f>(parametros_manuales!$D$20*('Plan mensual'!K35+IF(parametros_manuales!$H$20="Todos",'Plan mensual'!K39,0))+parametros_manuales!$E$20*('Plan mensual'!K36+IF(parametros_manuales!$H$20="Todos",'Plan mensual'!K40,0))+parametros_manuales!$F$20*('Plan mensual'!K37+IF(parametros_manuales!$H$20="Todos",'Plan mensual'!K41,0))+parametros_manuales!$G$20*('Plan mensual'!K38+IF(parametros_manuales!$H$20="Todos",'Plan mensual'!K42,0)))*parametros_manuales!$I$20*parametros_manuales!$J$20</f>
        <v>1215.44</v>
      </c>
      <c r="J84" s="4">
        <f>(parametros_manuales!$D$20*('Plan mensual'!L35+IF(parametros_manuales!$H$20="Todos",'Plan mensual'!L39,0))+parametros_manuales!$E$20*('Plan mensual'!L36+IF(parametros_manuales!$H$20="Todos",'Plan mensual'!L40,0))+parametros_manuales!$F$20*('Plan mensual'!L37+IF(parametros_manuales!$H$20="Todos",'Plan mensual'!L41,0))+parametros_manuales!$G$20*('Plan mensual'!L38+IF(parametros_manuales!$H$20="Todos",'Plan mensual'!L42,0)))*parametros_manuales!$I$20*parametros_manuales!$J$20</f>
        <v>1215.44</v>
      </c>
      <c r="K84" s="4">
        <f>(parametros_manuales!$D$20*('Plan mensual'!M35+IF(parametros_manuales!$H$20="Todos",'Plan mensual'!M39,0))+parametros_manuales!$E$20*('Plan mensual'!M36+IF(parametros_manuales!$H$20="Todos",'Plan mensual'!M40,0))+parametros_manuales!$F$20*('Plan mensual'!M37+IF(parametros_manuales!$H$20="Todos",'Plan mensual'!M41,0))+parametros_manuales!$G$20*('Plan mensual'!M38+IF(parametros_manuales!$H$20="Todos",'Plan mensual'!M42,0)))*parametros_manuales!$I$20*parametros_manuales!$J$20</f>
        <v>1139.475</v>
      </c>
      <c r="L84" s="4">
        <f>(parametros_manuales!$D$20*('Plan mensual'!N35+IF(parametros_manuales!$H$20="Todos",'Plan mensual'!N39,0))+parametros_manuales!$E$20*('Plan mensual'!N36+IF(parametros_manuales!$H$20="Todos",'Plan mensual'!N40,0))+parametros_manuales!$F$20*('Plan mensual'!N37+IF(parametros_manuales!$H$20="Todos",'Plan mensual'!N41,0))+parametros_manuales!$G$20*('Plan mensual'!N38+IF(parametros_manuales!$H$20="Todos",'Plan mensual'!N42,0)))*parametros_manuales!$I$20*parametros_manuales!$J$20</f>
        <v>1063.51</v>
      </c>
      <c r="M84" s="4">
        <f>(parametros_manuales!$D$20*('Plan mensual'!O35+IF(parametros_manuales!$H$20="Todos",'Plan mensual'!O39,0))+parametros_manuales!$E$20*('Plan mensual'!O36+IF(parametros_manuales!$H$20="Todos",'Plan mensual'!O40,0))+parametros_manuales!$F$20*('Plan mensual'!O37+IF(parametros_manuales!$H$20="Todos",'Plan mensual'!O41,0))+parametros_manuales!$G$20*('Plan mensual'!O38+IF(parametros_manuales!$H$20="Todos",'Plan mensual'!O42,0)))*parametros_manuales!$I$20*parametros_manuales!$J$20</f>
        <v>1671.23</v>
      </c>
      <c r="N84" s="4">
        <f t="shared" si="10"/>
        <v>15193</v>
      </c>
      <c r="O84" s="4">
        <f t="shared" si="11"/>
        <v>1671.23</v>
      </c>
      <c r="P84" s="27">
        <f>O84/(parametros_manuales!$B$7)</f>
        <v>11.14153333</v>
      </c>
      <c r="Q84" s="3" t="str">
        <f t="shared" si="12"/>
        <v>Dic</v>
      </c>
    </row>
    <row r="85" ht="14.25" customHeight="1">
      <c r="A85" s="3" t="str">
        <f>parametros_manuales!$B$21</f>
        <v>Corte de tubo — 1 kg</v>
      </c>
      <c r="B85" s="4">
        <f>(parametros_manuales!$D$21*('Plan mensual'!D35+IF(parametros_manuales!$H$21="Todos",'Plan mensual'!D39,0))+parametros_manuales!$E$21*('Plan mensual'!D36+IF(parametros_manuales!$H$21="Todos",'Plan mensual'!D40,0))+parametros_manuales!$F$21*('Plan mensual'!D37+IF(parametros_manuales!$H$21="Todos",'Plan mensual'!D41,0))+parametros_manuales!$G$21*('Plan mensual'!D38+IF(parametros_manuales!$H$21="Todos",'Plan mensual'!D42,0)))*parametros_manuales!$I$21*parametros_manuales!$J$21</f>
        <v>4219.44</v>
      </c>
      <c r="C85" s="4">
        <f>(parametros_manuales!$D$21*('Plan mensual'!E35+IF(parametros_manuales!$H$21="Todos",'Plan mensual'!E39,0))+parametros_manuales!$E$21*('Plan mensual'!E36+IF(parametros_manuales!$H$21="Todos",'Plan mensual'!E40,0))+parametros_manuales!$F$21*('Plan mensual'!E37+IF(parametros_manuales!$H$21="Todos",'Plan mensual'!E41,0))+parametros_manuales!$G$21*('Plan mensual'!E38+IF(parametros_manuales!$H$21="Todos",'Plan mensual'!E42,0)))*parametros_manuales!$I$21*parametros_manuales!$J$21</f>
        <v>3164.58</v>
      </c>
      <c r="D85" s="4">
        <f>(parametros_manuales!$D$21*('Plan mensual'!F35+IF(parametros_manuales!$H$21="Todos",'Plan mensual'!F39,0))+parametros_manuales!$E$21*('Plan mensual'!F36+IF(parametros_manuales!$H$21="Todos",'Plan mensual'!F40,0))+parametros_manuales!$F$21*('Plan mensual'!F37+IF(parametros_manuales!$H$21="Todos",'Plan mensual'!F41,0))+parametros_manuales!$G$21*('Plan mensual'!F38+IF(parametros_manuales!$H$21="Todos",'Plan mensual'!F42,0)))*parametros_manuales!$I$21*parametros_manuales!$J$21</f>
        <v>2812.96</v>
      </c>
      <c r="E85" s="4">
        <f>(parametros_manuales!$D$21*('Plan mensual'!G35+IF(parametros_manuales!$H$21="Todos",'Plan mensual'!G39,0))+parametros_manuales!$E$21*('Plan mensual'!G36+IF(parametros_manuales!$H$21="Todos",'Plan mensual'!G40,0))+parametros_manuales!$F$21*('Plan mensual'!G37+IF(parametros_manuales!$H$21="Todos",'Plan mensual'!G41,0))+parametros_manuales!$G$21*('Plan mensual'!G38+IF(parametros_manuales!$H$21="Todos",'Plan mensual'!G42,0)))*parametros_manuales!$I$21*parametros_manuales!$J$21</f>
        <v>2637.15</v>
      </c>
      <c r="F85" s="4">
        <f>(parametros_manuales!$D$21*('Plan mensual'!H35+IF(parametros_manuales!$H$21="Todos",'Plan mensual'!H39,0))+parametros_manuales!$E$21*('Plan mensual'!H36+IF(parametros_manuales!$H$21="Todos",'Plan mensual'!H40,0))+parametros_manuales!$F$21*('Plan mensual'!H37+IF(parametros_manuales!$H$21="Todos",'Plan mensual'!H41,0))+parametros_manuales!$G$21*('Plan mensual'!H38+IF(parametros_manuales!$H$21="Todos",'Plan mensual'!H42,0)))*parametros_manuales!$I$21*parametros_manuales!$J$21</f>
        <v>2461.34</v>
      </c>
      <c r="G85" s="4">
        <f>(parametros_manuales!$D$21*('Plan mensual'!I35+IF(parametros_manuales!$H$21="Todos",'Plan mensual'!I39,0))+parametros_manuales!$E$21*('Plan mensual'!I36+IF(parametros_manuales!$H$21="Todos",'Plan mensual'!I40,0))+parametros_manuales!$F$21*('Plan mensual'!I37+IF(parametros_manuales!$H$21="Todos",'Plan mensual'!I41,0))+parametros_manuales!$G$21*('Plan mensual'!I38+IF(parametros_manuales!$H$21="Todos",'Plan mensual'!I42,0)))*parametros_manuales!$I$21*parametros_manuales!$J$21</f>
        <v>2461.34</v>
      </c>
      <c r="H85" s="4">
        <f>(parametros_manuales!$D$21*('Plan mensual'!J35+IF(parametros_manuales!$H$21="Todos",'Plan mensual'!J39,0))+parametros_manuales!$E$21*('Plan mensual'!J36+IF(parametros_manuales!$H$21="Todos",'Plan mensual'!J40,0))+parametros_manuales!$F$21*('Plan mensual'!J37+IF(parametros_manuales!$H$21="Todos",'Plan mensual'!J41,0))+parametros_manuales!$G$21*('Plan mensual'!J38+IF(parametros_manuales!$H$21="Todos",'Plan mensual'!J42,0)))*parametros_manuales!$I$21*parametros_manuales!$J$21</f>
        <v>2637.15</v>
      </c>
      <c r="I85" s="4">
        <f>(parametros_manuales!$D$21*('Plan mensual'!K35+IF(parametros_manuales!$H$21="Todos",'Plan mensual'!K39,0))+parametros_manuales!$E$21*('Plan mensual'!K36+IF(parametros_manuales!$H$21="Todos",'Plan mensual'!K40,0))+parametros_manuales!$F$21*('Plan mensual'!K37+IF(parametros_manuales!$H$21="Todos",'Plan mensual'!K41,0))+parametros_manuales!$G$21*('Plan mensual'!K38+IF(parametros_manuales!$H$21="Todos",'Plan mensual'!K42,0)))*parametros_manuales!$I$21*parametros_manuales!$J$21</f>
        <v>2637.15</v>
      </c>
      <c r="J85" s="4">
        <f>(parametros_manuales!$D$21*('Plan mensual'!L35+IF(parametros_manuales!$H$21="Todos",'Plan mensual'!L39,0))+parametros_manuales!$E$21*('Plan mensual'!L36+IF(parametros_manuales!$H$21="Todos",'Plan mensual'!L40,0))+parametros_manuales!$F$21*('Plan mensual'!L37+IF(parametros_manuales!$H$21="Todos",'Plan mensual'!L41,0))+parametros_manuales!$G$21*('Plan mensual'!L38+IF(parametros_manuales!$H$21="Todos",'Plan mensual'!L42,0)))*parametros_manuales!$I$21*parametros_manuales!$J$21</f>
        <v>2637.15</v>
      </c>
      <c r="K85" s="4">
        <f>(parametros_manuales!$D$21*('Plan mensual'!M35+IF(parametros_manuales!$H$21="Todos",'Plan mensual'!M39,0))+parametros_manuales!$E$21*('Plan mensual'!M36+IF(parametros_manuales!$H$21="Todos",'Plan mensual'!M40,0))+parametros_manuales!$F$21*('Plan mensual'!M37+IF(parametros_manuales!$H$21="Todos",'Plan mensual'!M41,0))+parametros_manuales!$G$21*('Plan mensual'!M38+IF(parametros_manuales!$H$21="Todos",'Plan mensual'!M42,0)))*parametros_manuales!$I$21*parametros_manuales!$J$21</f>
        <v>2637.15</v>
      </c>
      <c r="L85" s="4">
        <f>(parametros_manuales!$D$21*('Plan mensual'!N35+IF(parametros_manuales!$H$21="Todos",'Plan mensual'!N39,0))+parametros_manuales!$E$21*('Plan mensual'!N36+IF(parametros_manuales!$H$21="Todos",'Plan mensual'!N40,0))+parametros_manuales!$F$21*('Plan mensual'!N37+IF(parametros_manuales!$H$21="Todos",'Plan mensual'!N41,0))+parametros_manuales!$G$21*('Plan mensual'!N38+IF(parametros_manuales!$H$21="Todos",'Plan mensual'!N42,0)))*parametros_manuales!$I$21*parametros_manuales!$J$21</f>
        <v>2637.15</v>
      </c>
      <c r="M85" s="4">
        <f>(parametros_manuales!$D$21*('Plan mensual'!O35+IF(parametros_manuales!$H$21="Todos",'Plan mensual'!O39,0))+parametros_manuales!$E$21*('Plan mensual'!O36+IF(parametros_manuales!$H$21="Todos",'Plan mensual'!O40,0))+parametros_manuales!$F$21*('Plan mensual'!O37+IF(parametros_manuales!$H$21="Todos",'Plan mensual'!O41,0))+parametros_manuales!$G$21*('Plan mensual'!O38+IF(parametros_manuales!$H$21="Todos",'Plan mensual'!O42,0)))*parametros_manuales!$I$21*parametros_manuales!$J$21</f>
        <v>4219.44</v>
      </c>
      <c r="N85" s="4">
        <f t="shared" si="10"/>
        <v>35162</v>
      </c>
      <c r="O85" s="4">
        <f t="shared" si="11"/>
        <v>4219.44</v>
      </c>
      <c r="P85" s="27">
        <f>O85/(parametros_manuales!$B$7)</f>
        <v>28.1296</v>
      </c>
      <c r="Q85" s="3" t="str">
        <f t="shared" si="12"/>
        <v>Ene</v>
      </c>
    </row>
    <row r="86" ht="14.25" customHeight="1">
      <c r="A86" s="3" t="str">
        <f>parametros_manuales!$B$22</f>
        <v>Corte de disco y embutido (cúpula y fondo)</v>
      </c>
      <c r="B86" s="4">
        <f>(parametros_manuales!$D$22*('Plan mensual'!D35+IF(parametros_manuales!$H$22="Todos",'Plan mensual'!D39,0))+parametros_manuales!$E$22*('Plan mensual'!D36+IF(parametros_manuales!$H$22="Todos",'Plan mensual'!D40,0))+parametros_manuales!$F$22*('Plan mensual'!D37+IF(parametros_manuales!$H$22="Todos",'Plan mensual'!D41,0))+parametros_manuales!$G$22*('Plan mensual'!D38+IF(parametros_manuales!$H$22="Todos",'Plan mensual'!D42,0)))*parametros_manuales!$I$22*parametros_manuales!$J$22</f>
        <v>11477.48</v>
      </c>
      <c r="C86" s="4">
        <f>(parametros_manuales!$D$22*('Plan mensual'!E35+IF(parametros_manuales!$H$22="Todos",'Plan mensual'!E39,0))+parametros_manuales!$E$22*('Plan mensual'!E36+IF(parametros_manuales!$H$22="Todos",'Plan mensual'!E40,0))+parametros_manuales!$F$22*('Plan mensual'!E37+IF(parametros_manuales!$H$22="Todos",'Plan mensual'!E41,0))+parametros_manuales!$G$22*('Plan mensual'!E38+IF(parametros_manuales!$H$22="Todos",'Plan mensual'!E42,0)))*parametros_manuales!$I$22*parametros_manuales!$J$22</f>
        <v>8760.04</v>
      </c>
      <c r="D86" s="4">
        <f>(parametros_manuales!$D$22*('Plan mensual'!F35+IF(parametros_manuales!$H$22="Todos",'Plan mensual'!F39,0))+parametros_manuales!$E$22*('Plan mensual'!F36+IF(parametros_manuales!$H$22="Todos",'Plan mensual'!F40,0))+parametros_manuales!$F$22*('Plan mensual'!F37+IF(parametros_manuales!$H$22="Todos",'Plan mensual'!F41,0))+parametros_manuales!$G$22*('Plan mensual'!F38+IF(parametros_manuales!$H$22="Todos",'Plan mensual'!F42,0)))*parametros_manuales!$I$22*parametros_manuales!$J$22</f>
        <v>8208.73</v>
      </c>
      <c r="E86" s="4">
        <f>(parametros_manuales!$D$22*('Plan mensual'!G35+IF(parametros_manuales!$H$22="Todos",'Plan mensual'!G39,0))+parametros_manuales!$E$22*('Plan mensual'!G36+IF(parametros_manuales!$H$22="Todos",'Plan mensual'!G40,0))+parametros_manuales!$F$22*('Plan mensual'!G37+IF(parametros_manuales!$H$22="Todos",'Plan mensual'!G41,0))+parametros_manuales!$G$22*('Plan mensual'!G38+IF(parametros_manuales!$H$22="Todos",'Plan mensual'!G42,0)))*parametros_manuales!$I$22*parametros_manuales!$J$22</f>
        <v>7857.11</v>
      </c>
      <c r="F86" s="4">
        <f>(parametros_manuales!$D$22*('Plan mensual'!H35+IF(parametros_manuales!$H$22="Todos",'Plan mensual'!H39,0))+parametros_manuales!$E$22*('Plan mensual'!H36+IF(parametros_manuales!$H$22="Todos",'Plan mensual'!H40,0))+parametros_manuales!$F$22*('Plan mensual'!H37+IF(parametros_manuales!$H$22="Todos",'Plan mensual'!H41,0))+parametros_manuales!$G$22*('Plan mensual'!H38+IF(parametros_manuales!$H$22="Todos",'Plan mensual'!H42,0)))*parametros_manuales!$I$22*parametros_manuales!$J$22</f>
        <v>7353.56</v>
      </c>
      <c r="G86" s="4">
        <f>(parametros_manuales!$D$22*('Plan mensual'!I35+IF(parametros_manuales!$H$22="Todos",'Plan mensual'!I39,0))+parametros_manuales!$E$22*('Plan mensual'!I36+IF(parametros_manuales!$H$22="Todos",'Plan mensual'!I40,0))+parametros_manuales!$F$22*('Plan mensual'!I37+IF(parametros_manuales!$H$22="Todos",'Plan mensual'!I41,0))+parametros_manuales!$G$22*('Plan mensual'!I38+IF(parametros_manuales!$H$22="Todos",'Plan mensual'!I42,0)))*parametros_manuales!$I$22*parametros_manuales!$J$22</f>
        <v>7201.63</v>
      </c>
      <c r="H86" s="4">
        <f>(parametros_manuales!$D$22*('Plan mensual'!J35+IF(parametros_manuales!$H$22="Todos",'Plan mensual'!J39,0))+parametros_manuales!$E$22*('Plan mensual'!J36+IF(parametros_manuales!$H$22="Todos",'Plan mensual'!J40,0))+parametros_manuales!$F$22*('Plan mensual'!J37+IF(parametros_manuales!$H$22="Todos",'Plan mensual'!J41,0))+parametros_manuales!$G$22*('Plan mensual'!J38+IF(parametros_manuales!$H$22="Todos",'Plan mensual'!J42,0)))*parametros_manuales!$I$22*parametros_manuales!$J$22</f>
        <v>7705.18</v>
      </c>
      <c r="I86" s="4">
        <f>(parametros_manuales!$D$22*('Plan mensual'!K35+IF(parametros_manuales!$H$22="Todos",'Plan mensual'!K39,0))+parametros_manuales!$E$22*('Plan mensual'!K36+IF(parametros_manuales!$H$22="Todos",'Plan mensual'!K40,0))+parametros_manuales!$F$22*('Plan mensual'!K37+IF(parametros_manuales!$H$22="Todos",'Plan mensual'!K41,0))+parametros_manuales!$G$22*('Plan mensual'!K38+IF(parametros_manuales!$H$22="Todos",'Plan mensual'!K42,0)))*parametros_manuales!$I$22*parametros_manuales!$J$22</f>
        <v>7705.18</v>
      </c>
      <c r="J86" s="4">
        <f>(parametros_manuales!$D$22*('Plan mensual'!L35+IF(parametros_manuales!$H$22="Todos",'Plan mensual'!L39,0))+parametros_manuales!$E$22*('Plan mensual'!L36+IF(parametros_manuales!$H$22="Todos",'Plan mensual'!L40,0))+parametros_manuales!$F$22*('Plan mensual'!L37+IF(parametros_manuales!$H$22="Todos",'Plan mensual'!L41,0))+parametros_manuales!$G$22*('Plan mensual'!L38+IF(parametros_manuales!$H$22="Todos",'Plan mensual'!L42,0)))*parametros_manuales!$I$22*parametros_manuales!$J$22</f>
        <v>7705.18</v>
      </c>
      <c r="K86" s="4">
        <f>(parametros_manuales!$D$22*('Plan mensual'!M35+IF(parametros_manuales!$H$22="Todos",'Plan mensual'!M39,0))+parametros_manuales!$E$22*('Plan mensual'!M36+IF(parametros_manuales!$H$22="Todos",'Plan mensual'!M40,0))+parametros_manuales!$F$22*('Plan mensual'!M37+IF(parametros_manuales!$H$22="Todos",'Plan mensual'!M41,0))+parametros_manuales!$G$22*('Plan mensual'!M38+IF(parametros_manuales!$H$22="Todos",'Plan mensual'!M42,0)))*parametros_manuales!$I$22*parametros_manuales!$J$22</f>
        <v>7553.25</v>
      </c>
      <c r="L86" s="4">
        <f>(parametros_manuales!$D$22*('Plan mensual'!N35+IF(parametros_manuales!$H$22="Todos",'Plan mensual'!N39,0))+parametros_manuales!$E$22*('Plan mensual'!N36+IF(parametros_manuales!$H$22="Todos",'Plan mensual'!N40,0))+parametros_manuales!$F$22*('Plan mensual'!N37+IF(parametros_manuales!$H$22="Todos",'Plan mensual'!N41,0))+parametros_manuales!$G$22*('Plan mensual'!N38+IF(parametros_manuales!$H$22="Todos",'Plan mensual'!N42,0)))*parametros_manuales!$I$22*parametros_manuales!$J$22</f>
        <v>7401.32</v>
      </c>
      <c r="M86" s="4">
        <f>(parametros_manuales!$D$22*('Plan mensual'!O35+IF(parametros_manuales!$H$22="Todos",'Plan mensual'!O39,0))+parametros_manuales!$E$22*('Plan mensual'!O36+IF(parametros_manuales!$H$22="Todos",'Plan mensual'!O40,0))+parametros_manuales!$F$22*('Plan mensual'!O37+IF(parametros_manuales!$H$22="Todos",'Plan mensual'!O41,0))+parametros_manuales!$G$22*('Plan mensual'!O38+IF(parametros_manuales!$H$22="Todos",'Plan mensual'!O42,0)))*parametros_manuales!$I$22*parametros_manuales!$J$22</f>
        <v>11781.34</v>
      </c>
      <c r="N86" s="4">
        <f t="shared" si="10"/>
        <v>100710</v>
      </c>
      <c r="O86" s="4">
        <f t="shared" si="11"/>
        <v>11781.34</v>
      </c>
      <c r="P86" s="27">
        <f>O86/(parametros_manuales!$B$7)</f>
        <v>78.54226667</v>
      </c>
      <c r="Q86" s="3" t="str">
        <f t="shared" si="12"/>
        <v>Dic</v>
      </c>
    </row>
    <row r="87" ht="14.25" customHeight="1">
      <c r="A87" s="3" t="str">
        <f>parametros_manuales!$B$23</f>
        <v>Preparación de cuello</v>
      </c>
      <c r="B87" s="4">
        <f>(parametros_manuales!$D$23*('Plan mensual'!D35+IF(parametros_manuales!$H$23="Todos",'Plan mensual'!D39,0))+parametros_manuales!$E$23*('Plan mensual'!D36+IF(parametros_manuales!$H$23="Todos",'Plan mensual'!D40,0))+parametros_manuales!$F$23*('Plan mensual'!D37+IF(parametros_manuales!$H$23="Todos",'Plan mensual'!D41,0))+parametros_manuales!$G$23*('Plan mensual'!D38+IF(parametros_manuales!$H$23="Todos",'Plan mensual'!D42,0)))*parametros_manuales!$I$23*parametros_manuales!$J$23</f>
        <v>5738.74</v>
      </c>
      <c r="C87" s="4">
        <f>(parametros_manuales!$D$23*('Plan mensual'!E35+IF(parametros_manuales!$H$23="Todos",'Plan mensual'!E39,0))+parametros_manuales!$E$23*('Plan mensual'!E36+IF(parametros_manuales!$H$23="Todos",'Plan mensual'!E40,0))+parametros_manuales!$F$23*('Plan mensual'!E37+IF(parametros_manuales!$H$23="Todos",'Plan mensual'!E41,0))+parametros_manuales!$G$23*('Plan mensual'!E38+IF(parametros_manuales!$H$23="Todos",'Plan mensual'!E42,0)))*parametros_manuales!$I$23*parametros_manuales!$J$23</f>
        <v>4380.02</v>
      </c>
      <c r="D87" s="4">
        <f>(parametros_manuales!$D$23*('Plan mensual'!F35+IF(parametros_manuales!$H$23="Todos",'Plan mensual'!F39,0))+parametros_manuales!$E$23*('Plan mensual'!F36+IF(parametros_manuales!$H$23="Todos",'Plan mensual'!F40,0))+parametros_manuales!$F$23*('Plan mensual'!F37+IF(parametros_manuales!$H$23="Todos",'Plan mensual'!F41,0))+parametros_manuales!$G$23*('Plan mensual'!F38+IF(parametros_manuales!$H$23="Todos",'Plan mensual'!F42,0)))*parametros_manuales!$I$23*parametros_manuales!$J$23</f>
        <v>4104.365</v>
      </c>
      <c r="E87" s="4">
        <f>(parametros_manuales!$D$23*('Plan mensual'!G35+IF(parametros_manuales!$H$23="Todos",'Plan mensual'!G39,0))+parametros_manuales!$E$23*('Plan mensual'!G36+IF(parametros_manuales!$H$23="Todos",'Plan mensual'!G40,0))+parametros_manuales!$F$23*('Plan mensual'!G37+IF(parametros_manuales!$H$23="Todos",'Plan mensual'!G41,0))+parametros_manuales!$G$23*('Plan mensual'!G38+IF(parametros_manuales!$H$23="Todos",'Plan mensual'!G42,0)))*parametros_manuales!$I$23*parametros_manuales!$J$23</f>
        <v>3928.555</v>
      </c>
      <c r="F87" s="4">
        <f>(parametros_manuales!$D$23*('Plan mensual'!H35+IF(parametros_manuales!$H$23="Todos",'Plan mensual'!H39,0))+parametros_manuales!$E$23*('Plan mensual'!H36+IF(parametros_manuales!$H$23="Todos",'Plan mensual'!H40,0))+parametros_manuales!$F$23*('Plan mensual'!H37+IF(parametros_manuales!$H$23="Todos",'Plan mensual'!H41,0))+parametros_manuales!$G$23*('Plan mensual'!H38+IF(parametros_manuales!$H$23="Todos",'Plan mensual'!H42,0)))*parametros_manuales!$I$23*parametros_manuales!$J$23</f>
        <v>3676.78</v>
      </c>
      <c r="G87" s="4">
        <f>(parametros_manuales!$D$23*('Plan mensual'!I35+IF(parametros_manuales!$H$23="Todos",'Plan mensual'!I39,0))+parametros_manuales!$E$23*('Plan mensual'!I36+IF(parametros_manuales!$H$23="Todos",'Plan mensual'!I40,0))+parametros_manuales!$F$23*('Plan mensual'!I37+IF(parametros_manuales!$H$23="Todos",'Plan mensual'!I41,0))+parametros_manuales!$G$23*('Plan mensual'!I38+IF(parametros_manuales!$H$23="Todos",'Plan mensual'!I42,0)))*parametros_manuales!$I$23*parametros_manuales!$J$23</f>
        <v>3600.815</v>
      </c>
      <c r="H87" s="4">
        <f>(parametros_manuales!$D$23*('Plan mensual'!J35+IF(parametros_manuales!$H$23="Todos",'Plan mensual'!J39,0))+parametros_manuales!$E$23*('Plan mensual'!J36+IF(parametros_manuales!$H$23="Todos",'Plan mensual'!J40,0))+parametros_manuales!$F$23*('Plan mensual'!J37+IF(parametros_manuales!$H$23="Todos",'Plan mensual'!J41,0))+parametros_manuales!$G$23*('Plan mensual'!J38+IF(parametros_manuales!$H$23="Todos",'Plan mensual'!J42,0)))*parametros_manuales!$I$23*parametros_manuales!$J$23</f>
        <v>3852.59</v>
      </c>
      <c r="I87" s="4">
        <f>(parametros_manuales!$D$23*('Plan mensual'!K35+IF(parametros_manuales!$H$23="Todos",'Plan mensual'!K39,0))+parametros_manuales!$E$23*('Plan mensual'!K36+IF(parametros_manuales!$H$23="Todos",'Plan mensual'!K40,0))+parametros_manuales!$F$23*('Plan mensual'!K37+IF(parametros_manuales!$H$23="Todos",'Plan mensual'!K41,0))+parametros_manuales!$G$23*('Plan mensual'!K38+IF(parametros_manuales!$H$23="Todos",'Plan mensual'!K42,0)))*parametros_manuales!$I$23*parametros_manuales!$J$23</f>
        <v>3852.59</v>
      </c>
      <c r="J87" s="4">
        <f>(parametros_manuales!$D$23*('Plan mensual'!L35+IF(parametros_manuales!$H$23="Todos",'Plan mensual'!L39,0))+parametros_manuales!$E$23*('Plan mensual'!L36+IF(parametros_manuales!$H$23="Todos",'Plan mensual'!L40,0))+parametros_manuales!$F$23*('Plan mensual'!L37+IF(parametros_manuales!$H$23="Todos",'Plan mensual'!L41,0))+parametros_manuales!$G$23*('Plan mensual'!L38+IF(parametros_manuales!$H$23="Todos",'Plan mensual'!L42,0)))*parametros_manuales!$I$23*parametros_manuales!$J$23</f>
        <v>3852.59</v>
      </c>
      <c r="K87" s="4">
        <f>(parametros_manuales!$D$23*('Plan mensual'!M35+IF(parametros_manuales!$H$23="Todos",'Plan mensual'!M39,0))+parametros_manuales!$E$23*('Plan mensual'!M36+IF(parametros_manuales!$H$23="Todos",'Plan mensual'!M40,0))+parametros_manuales!$F$23*('Plan mensual'!M37+IF(parametros_manuales!$H$23="Todos",'Plan mensual'!M41,0))+parametros_manuales!$G$23*('Plan mensual'!M38+IF(parametros_manuales!$H$23="Todos",'Plan mensual'!M42,0)))*parametros_manuales!$I$23*parametros_manuales!$J$23</f>
        <v>3776.625</v>
      </c>
      <c r="L87" s="4">
        <f>(parametros_manuales!$D$23*('Plan mensual'!N35+IF(parametros_manuales!$H$23="Todos",'Plan mensual'!N39,0))+parametros_manuales!$E$23*('Plan mensual'!N36+IF(parametros_manuales!$H$23="Todos",'Plan mensual'!N40,0))+parametros_manuales!$F$23*('Plan mensual'!N37+IF(parametros_manuales!$H$23="Todos",'Plan mensual'!N41,0))+parametros_manuales!$G$23*('Plan mensual'!N38+IF(parametros_manuales!$H$23="Todos",'Plan mensual'!N42,0)))*parametros_manuales!$I$23*parametros_manuales!$J$23</f>
        <v>3700.66</v>
      </c>
      <c r="M87" s="4">
        <f>(parametros_manuales!$D$23*('Plan mensual'!O35+IF(parametros_manuales!$H$23="Todos",'Plan mensual'!O39,0))+parametros_manuales!$E$23*('Plan mensual'!O36+IF(parametros_manuales!$H$23="Todos",'Plan mensual'!O40,0))+parametros_manuales!$F$23*('Plan mensual'!O37+IF(parametros_manuales!$H$23="Todos",'Plan mensual'!O41,0))+parametros_manuales!$G$23*('Plan mensual'!O38+IF(parametros_manuales!$H$23="Todos",'Plan mensual'!O42,0)))*parametros_manuales!$I$23*parametros_manuales!$J$23</f>
        <v>5890.67</v>
      </c>
      <c r="N87" s="4">
        <f t="shared" si="10"/>
        <v>50355</v>
      </c>
      <c r="O87" s="4">
        <f t="shared" si="11"/>
        <v>5890.67</v>
      </c>
      <c r="P87" s="27">
        <f>O87/(parametros_manuales!$B$7)</f>
        <v>39.27113333</v>
      </c>
      <c r="Q87" s="3" t="str">
        <f t="shared" si="12"/>
        <v>Dic</v>
      </c>
    </row>
    <row r="88" ht="14.25" customHeight="1">
      <c r="A88" s="3" t="str">
        <f>parametros_manuales!$B$24</f>
        <v>Numerado de cúpula</v>
      </c>
      <c r="B88" s="4">
        <f>(parametros_manuales!$D$24*('Plan mensual'!D35+IF(parametros_manuales!$H$24="Todos",'Plan mensual'!D39,0))+parametros_manuales!$E$24*('Plan mensual'!D36+IF(parametros_manuales!$H$24="Todos",'Plan mensual'!D40,0))+parametros_manuales!$F$24*('Plan mensual'!D37+IF(parametros_manuales!$H$24="Todos",'Plan mensual'!D41,0))+parametros_manuales!$G$24*('Plan mensual'!D38+IF(parametros_manuales!$H$24="Todos",'Plan mensual'!D42,0)))*parametros_manuales!$I$24*parametros_manuales!$J$24</f>
        <v>5738.74</v>
      </c>
      <c r="C88" s="4">
        <f>(parametros_manuales!$D$24*('Plan mensual'!E35+IF(parametros_manuales!$H$24="Todos",'Plan mensual'!E39,0))+parametros_manuales!$E$24*('Plan mensual'!E36+IF(parametros_manuales!$H$24="Todos",'Plan mensual'!E40,0))+parametros_manuales!$F$24*('Plan mensual'!E37+IF(parametros_manuales!$H$24="Todos",'Plan mensual'!E41,0))+parametros_manuales!$G$24*('Plan mensual'!E38+IF(parametros_manuales!$H$24="Todos",'Plan mensual'!E42,0)))*parametros_manuales!$I$24*parametros_manuales!$J$24</f>
        <v>4380.02</v>
      </c>
      <c r="D88" s="4">
        <f>(parametros_manuales!$D$24*('Plan mensual'!F35+IF(parametros_manuales!$H$24="Todos",'Plan mensual'!F39,0))+parametros_manuales!$E$24*('Plan mensual'!F36+IF(parametros_manuales!$H$24="Todos",'Plan mensual'!F40,0))+parametros_manuales!$F$24*('Plan mensual'!F37+IF(parametros_manuales!$H$24="Todos",'Plan mensual'!F41,0))+parametros_manuales!$G$24*('Plan mensual'!F38+IF(parametros_manuales!$H$24="Todos",'Plan mensual'!F42,0)))*parametros_manuales!$I$24*parametros_manuales!$J$24</f>
        <v>4104.365</v>
      </c>
      <c r="E88" s="4">
        <f>(parametros_manuales!$D$24*('Plan mensual'!G35+IF(parametros_manuales!$H$24="Todos",'Plan mensual'!G39,0))+parametros_manuales!$E$24*('Plan mensual'!G36+IF(parametros_manuales!$H$24="Todos",'Plan mensual'!G40,0))+parametros_manuales!$F$24*('Plan mensual'!G37+IF(parametros_manuales!$H$24="Todos",'Plan mensual'!G41,0))+parametros_manuales!$G$24*('Plan mensual'!G38+IF(parametros_manuales!$H$24="Todos",'Plan mensual'!G42,0)))*parametros_manuales!$I$24*parametros_manuales!$J$24</f>
        <v>3928.555</v>
      </c>
      <c r="F88" s="4">
        <f>(parametros_manuales!$D$24*('Plan mensual'!H35+IF(parametros_manuales!$H$24="Todos",'Plan mensual'!H39,0))+parametros_manuales!$E$24*('Plan mensual'!H36+IF(parametros_manuales!$H$24="Todos",'Plan mensual'!H40,0))+parametros_manuales!$F$24*('Plan mensual'!H37+IF(parametros_manuales!$H$24="Todos",'Plan mensual'!H41,0))+parametros_manuales!$G$24*('Plan mensual'!H38+IF(parametros_manuales!$H$24="Todos",'Plan mensual'!H42,0)))*parametros_manuales!$I$24*parametros_manuales!$J$24</f>
        <v>3676.78</v>
      </c>
      <c r="G88" s="4">
        <f>(parametros_manuales!$D$24*('Plan mensual'!I35+IF(parametros_manuales!$H$24="Todos",'Plan mensual'!I39,0))+parametros_manuales!$E$24*('Plan mensual'!I36+IF(parametros_manuales!$H$24="Todos",'Plan mensual'!I40,0))+parametros_manuales!$F$24*('Plan mensual'!I37+IF(parametros_manuales!$H$24="Todos",'Plan mensual'!I41,0))+parametros_manuales!$G$24*('Plan mensual'!I38+IF(parametros_manuales!$H$24="Todos",'Plan mensual'!I42,0)))*parametros_manuales!$I$24*parametros_manuales!$J$24</f>
        <v>3600.815</v>
      </c>
      <c r="H88" s="4">
        <f>(parametros_manuales!$D$24*('Plan mensual'!J35+IF(parametros_manuales!$H$24="Todos",'Plan mensual'!J39,0))+parametros_manuales!$E$24*('Plan mensual'!J36+IF(parametros_manuales!$H$24="Todos",'Plan mensual'!J40,0))+parametros_manuales!$F$24*('Plan mensual'!J37+IF(parametros_manuales!$H$24="Todos",'Plan mensual'!J41,0))+parametros_manuales!$G$24*('Plan mensual'!J38+IF(parametros_manuales!$H$24="Todos",'Plan mensual'!J42,0)))*parametros_manuales!$I$24*parametros_manuales!$J$24</f>
        <v>3852.59</v>
      </c>
      <c r="I88" s="4">
        <f>(parametros_manuales!$D$24*('Plan mensual'!K35+IF(parametros_manuales!$H$24="Todos",'Plan mensual'!K39,0))+parametros_manuales!$E$24*('Plan mensual'!K36+IF(parametros_manuales!$H$24="Todos",'Plan mensual'!K40,0))+parametros_manuales!$F$24*('Plan mensual'!K37+IF(parametros_manuales!$H$24="Todos",'Plan mensual'!K41,0))+parametros_manuales!$G$24*('Plan mensual'!K38+IF(parametros_manuales!$H$24="Todos",'Plan mensual'!K42,0)))*parametros_manuales!$I$24*parametros_manuales!$J$24</f>
        <v>3852.59</v>
      </c>
      <c r="J88" s="4">
        <f>(parametros_manuales!$D$24*('Plan mensual'!L35+IF(parametros_manuales!$H$24="Todos",'Plan mensual'!L39,0))+parametros_manuales!$E$24*('Plan mensual'!L36+IF(parametros_manuales!$H$24="Todos",'Plan mensual'!L40,0))+parametros_manuales!$F$24*('Plan mensual'!L37+IF(parametros_manuales!$H$24="Todos",'Plan mensual'!L41,0))+parametros_manuales!$G$24*('Plan mensual'!L38+IF(parametros_manuales!$H$24="Todos",'Plan mensual'!L42,0)))*parametros_manuales!$I$24*parametros_manuales!$J$24</f>
        <v>3852.59</v>
      </c>
      <c r="K88" s="4">
        <f>(parametros_manuales!$D$24*('Plan mensual'!M35+IF(parametros_manuales!$H$24="Todos",'Plan mensual'!M39,0))+parametros_manuales!$E$24*('Plan mensual'!M36+IF(parametros_manuales!$H$24="Todos",'Plan mensual'!M40,0))+parametros_manuales!$F$24*('Plan mensual'!M37+IF(parametros_manuales!$H$24="Todos",'Plan mensual'!M41,0))+parametros_manuales!$G$24*('Plan mensual'!M38+IF(parametros_manuales!$H$24="Todos",'Plan mensual'!M42,0)))*parametros_manuales!$I$24*parametros_manuales!$J$24</f>
        <v>3776.625</v>
      </c>
      <c r="L88" s="4">
        <f>(parametros_manuales!$D$24*('Plan mensual'!N35+IF(parametros_manuales!$H$24="Todos",'Plan mensual'!N39,0))+parametros_manuales!$E$24*('Plan mensual'!N36+IF(parametros_manuales!$H$24="Todos",'Plan mensual'!N40,0))+parametros_manuales!$F$24*('Plan mensual'!N37+IF(parametros_manuales!$H$24="Todos",'Plan mensual'!N41,0))+parametros_manuales!$G$24*('Plan mensual'!N38+IF(parametros_manuales!$H$24="Todos",'Plan mensual'!N42,0)))*parametros_manuales!$I$24*parametros_manuales!$J$24</f>
        <v>3700.66</v>
      </c>
      <c r="M88" s="4">
        <f>(parametros_manuales!$D$24*('Plan mensual'!O35+IF(parametros_manuales!$H$24="Todos",'Plan mensual'!O39,0))+parametros_manuales!$E$24*('Plan mensual'!O36+IF(parametros_manuales!$H$24="Todos",'Plan mensual'!O40,0))+parametros_manuales!$F$24*('Plan mensual'!O37+IF(parametros_manuales!$H$24="Todos",'Plan mensual'!O41,0))+parametros_manuales!$G$24*('Plan mensual'!O38+IF(parametros_manuales!$H$24="Todos",'Plan mensual'!O42,0)))*parametros_manuales!$I$24*parametros_manuales!$J$24</f>
        <v>5890.67</v>
      </c>
      <c r="N88" s="4">
        <f t="shared" si="10"/>
        <v>50355</v>
      </c>
      <c r="O88" s="4">
        <f t="shared" si="11"/>
        <v>5890.67</v>
      </c>
      <c r="P88" s="27">
        <f>O88/(parametros_manuales!$B$7)</f>
        <v>39.27113333</v>
      </c>
      <c r="Q88" s="3" t="str">
        <f t="shared" si="12"/>
        <v>Dic</v>
      </c>
    </row>
    <row r="89" ht="14.25" customHeight="1">
      <c r="A89" s="3" t="str">
        <f>parametros_manuales!$B$25</f>
        <v>Soldadura del cuello a la cúpula</v>
      </c>
      <c r="B89" s="4">
        <f>(parametros_manuales!$D$25*('Plan mensual'!D35+IF(parametros_manuales!$H$25="Todos",'Plan mensual'!D39,0))+parametros_manuales!$E$25*('Plan mensual'!D36+IF(parametros_manuales!$H$25="Todos",'Plan mensual'!D40,0))+parametros_manuales!$F$25*('Plan mensual'!D37+IF(parametros_manuales!$H$25="Todos",'Plan mensual'!D41,0))+parametros_manuales!$G$25*('Plan mensual'!D38+IF(parametros_manuales!$H$25="Todos",'Plan mensual'!D42,0)))*parametros_manuales!$I$25*parametros_manuales!$J$25</f>
        <v>5738.74</v>
      </c>
      <c r="C89" s="4">
        <f>(parametros_manuales!$D$25*('Plan mensual'!E35+IF(parametros_manuales!$H$25="Todos",'Plan mensual'!E39,0))+parametros_manuales!$E$25*('Plan mensual'!E36+IF(parametros_manuales!$H$25="Todos",'Plan mensual'!E40,0))+parametros_manuales!$F$25*('Plan mensual'!E37+IF(parametros_manuales!$H$25="Todos",'Plan mensual'!E41,0))+parametros_manuales!$G$25*('Plan mensual'!E38+IF(parametros_manuales!$H$25="Todos",'Plan mensual'!E42,0)))*parametros_manuales!$I$25*parametros_manuales!$J$25</f>
        <v>4380.02</v>
      </c>
      <c r="D89" s="4">
        <f>(parametros_manuales!$D$25*('Plan mensual'!F35+IF(parametros_manuales!$H$25="Todos",'Plan mensual'!F39,0))+parametros_manuales!$E$25*('Plan mensual'!F36+IF(parametros_manuales!$H$25="Todos",'Plan mensual'!F40,0))+parametros_manuales!$F$25*('Plan mensual'!F37+IF(parametros_manuales!$H$25="Todos",'Plan mensual'!F41,0))+parametros_manuales!$G$25*('Plan mensual'!F38+IF(parametros_manuales!$H$25="Todos",'Plan mensual'!F42,0)))*parametros_manuales!$I$25*parametros_manuales!$J$25</f>
        <v>4104.365</v>
      </c>
      <c r="E89" s="4">
        <f>(parametros_manuales!$D$25*('Plan mensual'!G35+IF(parametros_manuales!$H$25="Todos",'Plan mensual'!G39,0))+parametros_manuales!$E$25*('Plan mensual'!G36+IF(parametros_manuales!$H$25="Todos",'Plan mensual'!G40,0))+parametros_manuales!$F$25*('Plan mensual'!G37+IF(parametros_manuales!$H$25="Todos",'Plan mensual'!G41,0))+parametros_manuales!$G$25*('Plan mensual'!G38+IF(parametros_manuales!$H$25="Todos",'Plan mensual'!G42,0)))*parametros_manuales!$I$25*parametros_manuales!$J$25</f>
        <v>3928.555</v>
      </c>
      <c r="F89" s="4">
        <f>(parametros_manuales!$D$25*('Plan mensual'!H35+IF(parametros_manuales!$H$25="Todos",'Plan mensual'!H39,0))+parametros_manuales!$E$25*('Plan mensual'!H36+IF(parametros_manuales!$H$25="Todos",'Plan mensual'!H40,0))+parametros_manuales!$F$25*('Plan mensual'!H37+IF(parametros_manuales!$H$25="Todos",'Plan mensual'!H41,0))+parametros_manuales!$G$25*('Plan mensual'!H38+IF(parametros_manuales!$H$25="Todos",'Plan mensual'!H42,0)))*parametros_manuales!$I$25*parametros_manuales!$J$25</f>
        <v>3676.78</v>
      </c>
      <c r="G89" s="4">
        <f>(parametros_manuales!$D$25*('Plan mensual'!I35+IF(parametros_manuales!$H$25="Todos",'Plan mensual'!I39,0))+parametros_manuales!$E$25*('Plan mensual'!I36+IF(parametros_manuales!$H$25="Todos",'Plan mensual'!I40,0))+parametros_manuales!$F$25*('Plan mensual'!I37+IF(parametros_manuales!$H$25="Todos",'Plan mensual'!I41,0))+parametros_manuales!$G$25*('Plan mensual'!I38+IF(parametros_manuales!$H$25="Todos",'Plan mensual'!I42,0)))*parametros_manuales!$I$25*parametros_manuales!$J$25</f>
        <v>3600.815</v>
      </c>
      <c r="H89" s="4">
        <f>(parametros_manuales!$D$25*('Plan mensual'!J35+IF(parametros_manuales!$H$25="Todos",'Plan mensual'!J39,0))+parametros_manuales!$E$25*('Plan mensual'!J36+IF(parametros_manuales!$H$25="Todos",'Plan mensual'!J40,0))+parametros_manuales!$F$25*('Plan mensual'!J37+IF(parametros_manuales!$H$25="Todos",'Plan mensual'!J41,0))+parametros_manuales!$G$25*('Plan mensual'!J38+IF(parametros_manuales!$H$25="Todos",'Plan mensual'!J42,0)))*parametros_manuales!$I$25*parametros_manuales!$J$25</f>
        <v>3852.59</v>
      </c>
      <c r="I89" s="4">
        <f>(parametros_manuales!$D$25*('Plan mensual'!K35+IF(parametros_manuales!$H$25="Todos",'Plan mensual'!K39,0))+parametros_manuales!$E$25*('Plan mensual'!K36+IF(parametros_manuales!$H$25="Todos",'Plan mensual'!K40,0))+parametros_manuales!$F$25*('Plan mensual'!K37+IF(parametros_manuales!$H$25="Todos",'Plan mensual'!K41,0))+parametros_manuales!$G$25*('Plan mensual'!K38+IF(parametros_manuales!$H$25="Todos",'Plan mensual'!K42,0)))*parametros_manuales!$I$25*parametros_manuales!$J$25</f>
        <v>3852.59</v>
      </c>
      <c r="J89" s="4">
        <f>(parametros_manuales!$D$25*('Plan mensual'!L35+IF(parametros_manuales!$H$25="Todos",'Plan mensual'!L39,0))+parametros_manuales!$E$25*('Plan mensual'!L36+IF(parametros_manuales!$H$25="Todos",'Plan mensual'!L40,0))+parametros_manuales!$F$25*('Plan mensual'!L37+IF(parametros_manuales!$H$25="Todos",'Plan mensual'!L41,0))+parametros_manuales!$G$25*('Plan mensual'!L38+IF(parametros_manuales!$H$25="Todos",'Plan mensual'!L42,0)))*parametros_manuales!$I$25*parametros_manuales!$J$25</f>
        <v>3852.59</v>
      </c>
      <c r="K89" s="4">
        <f>(parametros_manuales!$D$25*('Plan mensual'!M35+IF(parametros_manuales!$H$25="Todos",'Plan mensual'!M39,0))+parametros_manuales!$E$25*('Plan mensual'!M36+IF(parametros_manuales!$H$25="Todos",'Plan mensual'!M40,0))+parametros_manuales!$F$25*('Plan mensual'!M37+IF(parametros_manuales!$H$25="Todos",'Plan mensual'!M41,0))+parametros_manuales!$G$25*('Plan mensual'!M38+IF(parametros_manuales!$H$25="Todos",'Plan mensual'!M42,0)))*parametros_manuales!$I$25*parametros_manuales!$J$25</f>
        <v>3776.625</v>
      </c>
      <c r="L89" s="4">
        <f>(parametros_manuales!$D$25*('Plan mensual'!N35+IF(parametros_manuales!$H$25="Todos",'Plan mensual'!N39,0))+parametros_manuales!$E$25*('Plan mensual'!N36+IF(parametros_manuales!$H$25="Todos",'Plan mensual'!N40,0))+parametros_manuales!$F$25*('Plan mensual'!N37+IF(parametros_manuales!$H$25="Todos",'Plan mensual'!N41,0))+parametros_manuales!$G$25*('Plan mensual'!N38+IF(parametros_manuales!$H$25="Todos",'Plan mensual'!N42,0)))*parametros_manuales!$I$25*parametros_manuales!$J$25</f>
        <v>3700.66</v>
      </c>
      <c r="M89" s="4">
        <f>(parametros_manuales!$D$25*('Plan mensual'!O35+IF(parametros_manuales!$H$25="Todos",'Plan mensual'!O39,0))+parametros_manuales!$E$25*('Plan mensual'!O36+IF(parametros_manuales!$H$25="Todos",'Plan mensual'!O40,0))+parametros_manuales!$F$25*('Plan mensual'!O37+IF(parametros_manuales!$H$25="Todos",'Plan mensual'!O41,0))+parametros_manuales!$G$25*('Plan mensual'!O38+IF(parametros_manuales!$H$25="Todos",'Plan mensual'!O42,0)))*parametros_manuales!$I$25*parametros_manuales!$J$25</f>
        <v>5890.67</v>
      </c>
      <c r="N89" s="4">
        <f t="shared" si="10"/>
        <v>50355</v>
      </c>
      <c r="O89" s="4">
        <f t="shared" si="11"/>
        <v>5890.67</v>
      </c>
      <c r="P89" s="27">
        <f>O89/(parametros_manuales!$B$7)</f>
        <v>39.27113333</v>
      </c>
      <c r="Q89" s="3" t="str">
        <f t="shared" si="12"/>
        <v>Dic</v>
      </c>
    </row>
    <row r="90" ht="14.25" customHeight="1">
      <c r="A90" s="3" t="str">
        <f>parametros_manuales!$B$26</f>
        <v>Cilindrado</v>
      </c>
      <c r="B90" s="4">
        <f>(parametros_manuales!$D$26*('Plan mensual'!D35+IF(parametros_manuales!$H$26="Todos",'Plan mensual'!D39,0))+parametros_manuales!$E$26*('Plan mensual'!D36+IF(parametros_manuales!$H$26="Todos",'Plan mensual'!D40,0))+parametros_manuales!$F$26*('Plan mensual'!D37+IF(parametros_manuales!$H$26="Todos",'Plan mensual'!D41,0))+parametros_manuales!$G$26*('Plan mensual'!D38+IF(parametros_manuales!$H$26="Todos",'Plan mensual'!D42,0)))*parametros_manuales!$I$26*parametros_manuales!$J$26</f>
        <v>1519.3</v>
      </c>
      <c r="C90" s="4">
        <f>(parametros_manuales!$D$26*('Plan mensual'!E35+IF(parametros_manuales!$H$26="Todos",'Plan mensual'!E39,0))+parametros_manuales!$E$26*('Plan mensual'!E36+IF(parametros_manuales!$H$26="Todos",'Plan mensual'!E40,0))+parametros_manuales!$F$26*('Plan mensual'!E37+IF(parametros_manuales!$H$26="Todos",'Plan mensual'!E41,0))+parametros_manuales!$G$26*('Plan mensual'!E38+IF(parametros_manuales!$H$26="Todos",'Plan mensual'!E42,0)))*parametros_manuales!$I$26*parametros_manuales!$J$26</f>
        <v>1215.44</v>
      </c>
      <c r="D90" s="4">
        <f>(parametros_manuales!$D$26*('Plan mensual'!F35+IF(parametros_manuales!$H$26="Todos",'Plan mensual'!F39,0))+parametros_manuales!$E$26*('Plan mensual'!F36+IF(parametros_manuales!$H$26="Todos",'Plan mensual'!F40,0))+parametros_manuales!$F$26*('Plan mensual'!F37+IF(parametros_manuales!$H$26="Todos",'Plan mensual'!F41,0))+parametros_manuales!$G$26*('Plan mensual'!F38+IF(parametros_manuales!$H$26="Todos",'Plan mensual'!F42,0)))*parametros_manuales!$I$26*parametros_manuales!$J$26</f>
        <v>1291.405</v>
      </c>
      <c r="E90" s="4">
        <f>(parametros_manuales!$D$26*('Plan mensual'!G35+IF(parametros_manuales!$H$26="Todos",'Plan mensual'!G39,0))+parametros_manuales!$E$26*('Plan mensual'!G36+IF(parametros_manuales!$H$26="Todos",'Plan mensual'!G40,0))+parametros_manuales!$F$26*('Plan mensual'!G37+IF(parametros_manuales!$H$26="Todos",'Plan mensual'!G41,0))+parametros_manuales!$G$26*('Plan mensual'!G38+IF(parametros_manuales!$H$26="Todos",'Plan mensual'!G42,0)))*parametros_manuales!$I$26*parametros_manuales!$J$26</f>
        <v>1291.405</v>
      </c>
      <c r="F90" s="4">
        <f>(parametros_manuales!$D$26*('Plan mensual'!H35+IF(parametros_manuales!$H$26="Todos",'Plan mensual'!H39,0))+parametros_manuales!$E$26*('Plan mensual'!H36+IF(parametros_manuales!$H$26="Todos",'Plan mensual'!H40,0))+parametros_manuales!$F$26*('Plan mensual'!H37+IF(parametros_manuales!$H$26="Todos",'Plan mensual'!H41,0))+parametros_manuales!$G$26*('Plan mensual'!H38+IF(parametros_manuales!$H$26="Todos",'Plan mensual'!H42,0)))*parametros_manuales!$I$26*parametros_manuales!$J$26</f>
        <v>1215.44</v>
      </c>
      <c r="G90" s="4">
        <f>(parametros_manuales!$D$26*('Plan mensual'!I35+IF(parametros_manuales!$H$26="Todos",'Plan mensual'!I39,0))+parametros_manuales!$E$26*('Plan mensual'!I36+IF(parametros_manuales!$H$26="Todos",'Plan mensual'!I40,0))+parametros_manuales!$F$26*('Plan mensual'!I37+IF(parametros_manuales!$H$26="Todos",'Plan mensual'!I41,0))+parametros_manuales!$G$26*('Plan mensual'!I38+IF(parametros_manuales!$H$26="Todos",'Plan mensual'!I42,0)))*parametros_manuales!$I$26*parametros_manuales!$J$26</f>
        <v>1139.475</v>
      </c>
      <c r="H90" s="4">
        <f>(parametros_manuales!$D$26*('Plan mensual'!J35+IF(parametros_manuales!$H$26="Todos",'Plan mensual'!J39,0))+parametros_manuales!$E$26*('Plan mensual'!J36+IF(parametros_manuales!$H$26="Todos",'Plan mensual'!J40,0))+parametros_manuales!$F$26*('Plan mensual'!J37+IF(parametros_manuales!$H$26="Todos",'Plan mensual'!J41,0))+parametros_manuales!$G$26*('Plan mensual'!J38+IF(parametros_manuales!$H$26="Todos",'Plan mensual'!J42,0)))*parametros_manuales!$I$26*parametros_manuales!$J$26</f>
        <v>1215.44</v>
      </c>
      <c r="I90" s="4">
        <f>(parametros_manuales!$D$26*('Plan mensual'!K35+IF(parametros_manuales!$H$26="Todos",'Plan mensual'!K39,0))+parametros_manuales!$E$26*('Plan mensual'!K36+IF(parametros_manuales!$H$26="Todos",'Plan mensual'!K40,0))+parametros_manuales!$F$26*('Plan mensual'!K37+IF(parametros_manuales!$H$26="Todos",'Plan mensual'!K41,0))+parametros_manuales!$G$26*('Plan mensual'!K38+IF(parametros_manuales!$H$26="Todos",'Plan mensual'!K42,0)))*parametros_manuales!$I$26*parametros_manuales!$J$26</f>
        <v>1215.44</v>
      </c>
      <c r="J90" s="4">
        <f>(parametros_manuales!$D$26*('Plan mensual'!L35+IF(parametros_manuales!$H$26="Todos",'Plan mensual'!L39,0))+parametros_manuales!$E$26*('Plan mensual'!L36+IF(parametros_manuales!$H$26="Todos",'Plan mensual'!L40,0))+parametros_manuales!$F$26*('Plan mensual'!L37+IF(parametros_manuales!$H$26="Todos",'Plan mensual'!L41,0))+parametros_manuales!$G$26*('Plan mensual'!L38+IF(parametros_manuales!$H$26="Todos",'Plan mensual'!L42,0)))*parametros_manuales!$I$26*parametros_manuales!$J$26</f>
        <v>1215.44</v>
      </c>
      <c r="K90" s="4">
        <f>(parametros_manuales!$D$26*('Plan mensual'!M35+IF(parametros_manuales!$H$26="Todos",'Plan mensual'!M39,0))+parametros_manuales!$E$26*('Plan mensual'!M36+IF(parametros_manuales!$H$26="Todos",'Plan mensual'!M40,0))+parametros_manuales!$F$26*('Plan mensual'!M37+IF(parametros_manuales!$H$26="Todos",'Plan mensual'!M41,0))+parametros_manuales!$G$26*('Plan mensual'!M38+IF(parametros_manuales!$H$26="Todos",'Plan mensual'!M42,0)))*parametros_manuales!$I$26*parametros_manuales!$J$26</f>
        <v>1139.475</v>
      </c>
      <c r="L90" s="4">
        <f>(parametros_manuales!$D$26*('Plan mensual'!N35+IF(parametros_manuales!$H$26="Todos",'Plan mensual'!N39,0))+parametros_manuales!$E$26*('Plan mensual'!N36+IF(parametros_manuales!$H$26="Todos",'Plan mensual'!N40,0))+parametros_manuales!$F$26*('Plan mensual'!N37+IF(parametros_manuales!$H$26="Todos",'Plan mensual'!N41,0))+parametros_manuales!$G$26*('Plan mensual'!N38+IF(parametros_manuales!$H$26="Todos",'Plan mensual'!N42,0)))*parametros_manuales!$I$26*parametros_manuales!$J$26</f>
        <v>1063.51</v>
      </c>
      <c r="M90" s="4">
        <f>(parametros_manuales!$D$26*('Plan mensual'!O35+IF(parametros_manuales!$H$26="Todos",'Plan mensual'!O39,0))+parametros_manuales!$E$26*('Plan mensual'!O36+IF(parametros_manuales!$H$26="Todos",'Plan mensual'!O40,0))+parametros_manuales!$F$26*('Plan mensual'!O37+IF(parametros_manuales!$H$26="Todos",'Plan mensual'!O41,0))+parametros_manuales!$G$26*('Plan mensual'!O38+IF(parametros_manuales!$H$26="Todos",'Plan mensual'!O42,0)))*parametros_manuales!$I$26*parametros_manuales!$J$26</f>
        <v>1671.23</v>
      </c>
      <c r="N90" s="4">
        <f t="shared" si="10"/>
        <v>15193</v>
      </c>
      <c r="O90" s="4">
        <f t="shared" si="11"/>
        <v>1671.23</v>
      </c>
      <c r="P90" s="27">
        <f>O90/(parametros_manuales!$B$7)</f>
        <v>11.14153333</v>
      </c>
      <c r="Q90" s="3" t="str">
        <f t="shared" si="12"/>
        <v>Dic</v>
      </c>
    </row>
    <row r="91" ht="14.25" customHeight="1">
      <c r="A91" s="3" t="str">
        <f>parametros_manuales!$B$27</f>
        <v>Soldadura longitudinal</v>
      </c>
      <c r="B91" s="4">
        <f>(parametros_manuales!$D$27*('Plan mensual'!D35+IF(parametros_manuales!$H$27="Todos",'Plan mensual'!D39,0))+parametros_manuales!$E$27*('Plan mensual'!D36+IF(parametros_manuales!$H$27="Todos",'Plan mensual'!D40,0))+parametros_manuales!$F$27*('Plan mensual'!D37+IF(parametros_manuales!$H$27="Todos",'Plan mensual'!D41,0))+parametros_manuales!$G$27*('Plan mensual'!D38+IF(parametros_manuales!$H$27="Todos",'Plan mensual'!D42,0)))*parametros_manuales!$I$27*parametros_manuales!$J$27</f>
        <v>1519.3</v>
      </c>
      <c r="C91" s="4">
        <f>(parametros_manuales!$D$27*('Plan mensual'!E35+IF(parametros_manuales!$H$27="Todos",'Plan mensual'!E39,0))+parametros_manuales!$E$27*('Plan mensual'!E36+IF(parametros_manuales!$H$27="Todos",'Plan mensual'!E40,0))+parametros_manuales!$F$27*('Plan mensual'!E37+IF(parametros_manuales!$H$27="Todos",'Plan mensual'!E41,0))+parametros_manuales!$G$27*('Plan mensual'!E38+IF(parametros_manuales!$H$27="Todos",'Plan mensual'!E42,0)))*parametros_manuales!$I$27*parametros_manuales!$J$27</f>
        <v>1215.44</v>
      </c>
      <c r="D91" s="4">
        <f>(parametros_manuales!$D$27*('Plan mensual'!F35+IF(parametros_manuales!$H$27="Todos",'Plan mensual'!F39,0))+parametros_manuales!$E$27*('Plan mensual'!F36+IF(parametros_manuales!$H$27="Todos",'Plan mensual'!F40,0))+parametros_manuales!$F$27*('Plan mensual'!F37+IF(parametros_manuales!$H$27="Todos",'Plan mensual'!F41,0))+parametros_manuales!$G$27*('Plan mensual'!F38+IF(parametros_manuales!$H$27="Todos",'Plan mensual'!F42,0)))*parametros_manuales!$I$27*parametros_manuales!$J$27</f>
        <v>1291.405</v>
      </c>
      <c r="E91" s="4">
        <f>(parametros_manuales!$D$27*('Plan mensual'!G35+IF(parametros_manuales!$H$27="Todos",'Plan mensual'!G39,0))+parametros_manuales!$E$27*('Plan mensual'!G36+IF(parametros_manuales!$H$27="Todos",'Plan mensual'!G40,0))+parametros_manuales!$F$27*('Plan mensual'!G37+IF(parametros_manuales!$H$27="Todos",'Plan mensual'!G41,0))+parametros_manuales!$G$27*('Plan mensual'!G38+IF(parametros_manuales!$H$27="Todos",'Plan mensual'!G42,0)))*parametros_manuales!$I$27*parametros_manuales!$J$27</f>
        <v>1291.405</v>
      </c>
      <c r="F91" s="4">
        <f>(parametros_manuales!$D$27*('Plan mensual'!H35+IF(parametros_manuales!$H$27="Todos",'Plan mensual'!H39,0))+parametros_manuales!$E$27*('Plan mensual'!H36+IF(parametros_manuales!$H$27="Todos",'Plan mensual'!H40,0))+parametros_manuales!$F$27*('Plan mensual'!H37+IF(parametros_manuales!$H$27="Todos",'Plan mensual'!H41,0))+parametros_manuales!$G$27*('Plan mensual'!H38+IF(parametros_manuales!$H$27="Todos",'Plan mensual'!H42,0)))*parametros_manuales!$I$27*parametros_manuales!$J$27</f>
        <v>1215.44</v>
      </c>
      <c r="G91" s="4">
        <f>(parametros_manuales!$D$27*('Plan mensual'!I35+IF(parametros_manuales!$H$27="Todos",'Plan mensual'!I39,0))+parametros_manuales!$E$27*('Plan mensual'!I36+IF(parametros_manuales!$H$27="Todos",'Plan mensual'!I40,0))+parametros_manuales!$F$27*('Plan mensual'!I37+IF(parametros_manuales!$H$27="Todos",'Plan mensual'!I41,0))+parametros_manuales!$G$27*('Plan mensual'!I38+IF(parametros_manuales!$H$27="Todos",'Plan mensual'!I42,0)))*parametros_manuales!$I$27*parametros_manuales!$J$27</f>
        <v>1139.475</v>
      </c>
      <c r="H91" s="4">
        <f>(parametros_manuales!$D$27*('Plan mensual'!J35+IF(parametros_manuales!$H$27="Todos",'Plan mensual'!J39,0))+parametros_manuales!$E$27*('Plan mensual'!J36+IF(parametros_manuales!$H$27="Todos",'Plan mensual'!J40,0))+parametros_manuales!$F$27*('Plan mensual'!J37+IF(parametros_manuales!$H$27="Todos",'Plan mensual'!J41,0))+parametros_manuales!$G$27*('Plan mensual'!J38+IF(parametros_manuales!$H$27="Todos",'Plan mensual'!J42,0)))*parametros_manuales!$I$27*parametros_manuales!$J$27</f>
        <v>1215.44</v>
      </c>
      <c r="I91" s="4">
        <f>(parametros_manuales!$D$27*('Plan mensual'!K35+IF(parametros_manuales!$H$27="Todos",'Plan mensual'!K39,0))+parametros_manuales!$E$27*('Plan mensual'!K36+IF(parametros_manuales!$H$27="Todos",'Plan mensual'!K40,0))+parametros_manuales!$F$27*('Plan mensual'!K37+IF(parametros_manuales!$H$27="Todos",'Plan mensual'!K41,0))+parametros_manuales!$G$27*('Plan mensual'!K38+IF(parametros_manuales!$H$27="Todos",'Plan mensual'!K42,0)))*parametros_manuales!$I$27*parametros_manuales!$J$27</f>
        <v>1215.44</v>
      </c>
      <c r="J91" s="4">
        <f>(parametros_manuales!$D$27*('Plan mensual'!L35+IF(parametros_manuales!$H$27="Todos",'Plan mensual'!L39,0))+parametros_manuales!$E$27*('Plan mensual'!L36+IF(parametros_manuales!$H$27="Todos",'Plan mensual'!L40,0))+parametros_manuales!$F$27*('Plan mensual'!L37+IF(parametros_manuales!$H$27="Todos",'Plan mensual'!L41,0))+parametros_manuales!$G$27*('Plan mensual'!L38+IF(parametros_manuales!$H$27="Todos",'Plan mensual'!L42,0)))*parametros_manuales!$I$27*parametros_manuales!$J$27</f>
        <v>1215.44</v>
      </c>
      <c r="K91" s="4">
        <f>(parametros_manuales!$D$27*('Plan mensual'!M35+IF(parametros_manuales!$H$27="Todos",'Plan mensual'!M39,0))+parametros_manuales!$E$27*('Plan mensual'!M36+IF(parametros_manuales!$H$27="Todos",'Plan mensual'!M40,0))+parametros_manuales!$F$27*('Plan mensual'!M37+IF(parametros_manuales!$H$27="Todos",'Plan mensual'!M41,0))+parametros_manuales!$G$27*('Plan mensual'!M38+IF(parametros_manuales!$H$27="Todos",'Plan mensual'!M42,0)))*parametros_manuales!$I$27*parametros_manuales!$J$27</f>
        <v>1139.475</v>
      </c>
      <c r="L91" s="4">
        <f>(parametros_manuales!$D$27*('Plan mensual'!N35+IF(parametros_manuales!$H$27="Todos",'Plan mensual'!N39,0))+parametros_manuales!$E$27*('Plan mensual'!N36+IF(parametros_manuales!$H$27="Todos",'Plan mensual'!N40,0))+parametros_manuales!$F$27*('Plan mensual'!N37+IF(parametros_manuales!$H$27="Todos",'Plan mensual'!N41,0))+parametros_manuales!$G$27*('Plan mensual'!N38+IF(parametros_manuales!$H$27="Todos",'Plan mensual'!N42,0)))*parametros_manuales!$I$27*parametros_manuales!$J$27</f>
        <v>1063.51</v>
      </c>
      <c r="M91" s="4">
        <f>(parametros_manuales!$D$27*('Plan mensual'!O35+IF(parametros_manuales!$H$27="Todos",'Plan mensual'!O39,0))+parametros_manuales!$E$27*('Plan mensual'!O36+IF(parametros_manuales!$H$27="Todos",'Plan mensual'!O40,0))+parametros_manuales!$F$27*('Plan mensual'!O37+IF(parametros_manuales!$H$27="Todos",'Plan mensual'!O41,0))+parametros_manuales!$G$27*('Plan mensual'!O38+IF(parametros_manuales!$H$27="Todos",'Plan mensual'!O42,0)))*parametros_manuales!$I$27*parametros_manuales!$J$27</f>
        <v>1671.23</v>
      </c>
      <c r="N91" s="4">
        <f t="shared" si="10"/>
        <v>15193</v>
      </c>
      <c r="O91" s="4">
        <f t="shared" si="11"/>
        <v>1671.23</v>
      </c>
      <c r="P91" s="27">
        <f>O91/(parametros_manuales!$B$7)</f>
        <v>11.14153333</v>
      </c>
      <c r="Q91" s="3" t="str">
        <f t="shared" si="12"/>
        <v>Dic</v>
      </c>
    </row>
    <row r="92" ht="14.25" customHeight="1">
      <c r="A92" s="3" t="str">
        <f>parametros_manuales!$B$28</f>
        <v>Encastre de fondo</v>
      </c>
      <c r="B92" s="4">
        <f>(parametros_manuales!$D$28*('Plan mensual'!D35+IF(parametros_manuales!$H$28="Todos",'Plan mensual'!D39,0))+parametros_manuales!$E$28*('Plan mensual'!D36+IF(parametros_manuales!$H$28="Todos",'Plan mensual'!D40,0))+parametros_manuales!$F$28*('Plan mensual'!D37+IF(parametros_manuales!$H$28="Todos",'Plan mensual'!D41,0))+parametros_manuales!$G$28*('Plan mensual'!D38+IF(parametros_manuales!$H$28="Todos",'Plan mensual'!D42,0)))*parametros_manuales!$I$28*parametros_manuales!$J$28</f>
        <v>5738.74</v>
      </c>
      <c r="C92" s="4">
        <f>(parametros_manuales!$D$28*('Plan mensual'!E35+IF(parametros_manuales!$H$28="Todos",'Plan mensual'!E39,0))+parametros_manuales!$E$28*('Plan mensual'!E36+IF(parametros_manuales!$H$28="Todos",'Plan mensual'!E40,0))+parametros_manuales!$F$28*('Plan mensual'!E37+IF(parametros_manuales!$H$28="Todos",'Plan mensual'!E41,0))+parametros_manuales!$G$28*('Plan mensual'!E38+IF(parametros_manuales!$H$28="Todos",'Plan mensual'!E42,0)))*parametros_manuales!$I$28*parametros_manuales!$J$28</f>
        <v>4380.02</v>
      </c>
      <c r="D92" s="4">
        <f>(parametros_manuales!$D$28*('Plan mensual'!F35+IF(parametros_manuales!$H$28="Todos",'Plan mensual'!F39,0))+parametros_manuales!$E$28*('Plan mensual'!F36+IF(parametros_manuales!$H$28="Todos",'Plan mensual'!F40,0))+parametros_manuales!$F$28*('Plan mensual'!F37+IF(parametros_manuales!$H$28="Todos",'Plan mensual'!F41,0))+parametros_manuales!$G$28*('Plan mensual'!F38+IF(parametros_manuales!$H$28="Todos",'Plan mensual'!F42,0)))*parametros_manuales!$I$28*parametros_manuales!$J$28</f>
        <v>4104.365</v>
      </c>
      <c r="E92" s="4">
        <f>(parametros_manuales!$D$28*('Plan mensual'!G35+IF(parametros_manuales!$H$28="Todos",'Plan mensual'!G39,0))+parametros_manuales!$E$28*('Plan mensual'!G36+IF(parametros_manuales!$H$28="Todos",'Plan mensual'!G40,0))+parametros_manuales!$F$28*('Plan mensual'!G37+IF(parametros_manuales!$H$28="Todos",'Plan mensual'!G41,0))+parametros_manuales!$G$28*('Plan mensual'!G38+IF(parametros_manuales!$H$28="Todos",'Plan mensual'!G42,0)))*parametros_manuales!$I$28*parametros_manuales!$J$28</f>
        <v>3928.555</v>
      </c>
      <c r="F92" s="4">
        <f>(parametros_manuales!$D$28*('Plan mensual'!H35+IF(parametros_manuales!$H$28="Todos",'Plan mensual'!H39,0))+parametros_manuales!$E$28*('Plan mensual'!H36+IF(parametros_manuales!$H$28="Todos",'Plan mensual'!H40,0))+parametros_manuales!$F$28*('Plan mensual'!H37+IF(parametros_manuales!$H$28="Todos",'Plan mensual'!H41,0))+parametros_manuales!$G$28*('Plan mensual'!H38+IF(parametros_manuales!$H$28="Todos",'Plan mensual'!H42,0)))*parametros_manuales!$I$28*parametros_manuales!$J$28</f>
        <v>3676.78</v>
      </c>
      <c r="G92" s="4">
        <f>(parametros_manuales!$D$28*('Plan mensual'!I35+IF(parametros_manuales!$H$28="Todos",'Plan mensual'!I39,0))+parametros_manuales!$E$28*('Plan mensual'!I36+IF(parametros_manuales!$H$28="Todos",'Plan mensual'!I40,0))+parametros_manuales!$F$28*('Plan mensual'!I37+IF(parametros_manuales!$H$28="Todos",'Plan mensual'!I41,0))+parametros_manuales!$G$28*('Plan mensual'!I38+IF(parametros_manuales!$H$28="Todos",'Plan mensual'!I42,0)))*parametros_manuales!$I$28*parametros_manuales!$J$28</f>
        <v>3600.815</v>
      </c>
      <c r="H92" s="4">
        <f>(parametros_manuales!$D$28*('Plan mensual'!J35+IF(parametros_manuales!$H$28="Todos",'Plan mensual'!J39,0))+parametros_manuales!$E$28*('Plan mensual'!J36+IF(parametros_manuales!$H$28="Todos",'Plan mensual'!J40,0))+parametros_manuales!$F$28*('Plan mensual'!J37+IF(parametros_manuales!$H$28="Todos",'Plan mensual'!J41,0))+parametros_manuales!$G$28*('Plan mensual'!J38+IF(parametros_manuales!$H$28="Todos",'Plan mensual'!J42,0)))*parametros_manuales!$I$28*parametros_manuales!$J$28</f>
        <v>3852.59</v>
      </c>
      <c r="I92" s="4">
        <f>(parametros_manuales!$D$28*('Plan mensual'!K35+IF(parametros_manuales!$H$28="Todos",'Plan mensual'!K39,0))+parametros_manuales!$E$28*('Plan mensual'!K36+IF(parametros_manuales!$H$28="Todos",'Plan mensual'!K40,0))+parametros_manuales!$F$28*('Plan mensual'!K37+IF(parametros_manuales!$H$28="Todos",'Plan mensual'!K41,0))+parametros_manuales!$G$28*('Plan mensual'!K38+IF(parametros_manuales!$H$28="Todos",'Plan mensual'!K42,0)))*parametros_manuales!$I$28*parametros_manuales!$J$28</f>
        <v>3852.59</v>
      </c>
      <c r="J92" s="4">
        <f>(parametros_manuales!$D$28*('Plan mensual'!L35+IF(parametros_manuales!$H$28="Todos",'Plan mensual'!L39,0))+parametros_manuales!$E$28*('Plan mensual'!L36+IF(parametros_manuales!$H$28="Todos",'Plan mensual'!L40,0))+parametros_manuales!$F$28*('Plan mensual'!L37+IF(parametros_manuales!$H$28="Todos",'Plan mensual'!L41,0))+parametros_manuales!$G$28*('Plan mensual'!L38+IF(parametros_manuales!$H$28="Todos",'Plan mensual'!L42,0)))*parametros_manuales!$I$28*parametros_manuales!$J$28</f>
        <v>3852.59</v>
      </c>
      <c r="K92" s="4">
        <f>(parametros_manuales!$D$28*('Plan mensual'!M35+IF(parametros_manuales!$H$28="Todos",'Plan mensual'!M39,0))+parametros_manuales!$E$28*('Plan mensual'!M36+IF(parametros_manuales!$H$28="Todos",'Plan mensual'!M40,0))+parametros_manuales!$F$28*('Plan mensual'!M37+IF(parametros_manuales!$H$28="Todos",'Plan mensual'!M41,0))+parametros_manuales!$G$28*('Plan mensual'!M38+IF(parametros_manuales!$H$28="Todos",'Plan mensual'!M42,0)))*parametros_manuales!$I$28*parametros_manuales!$J$28</f>
        <v>3776.625</v>
      </c>
      <c r="L92" s="4">
        <f>(parametros_manuales!$D$28*('Plan mensual'!N35+IF(parametros_manuales!$H$28="Todos",'Plan mensual'!N39,0))+parametros_manuales!$E$28*('Plan mensual'!N36+IF(parametros_manuales!$H$28="Todos",'Plan mensual'!N40,0))+parametros_manuales!$F$28*('Plan mensual'!N37+IF(parametros_manuales!$H$28="Todos",'Plan mensual'!N41,0))+parametros_manuales!$G$28*('Plan mensual'!N38+IF(parametros_manuales!$H$28="Todos",'Plan mensual'!N42,0)))*parametros_manuales!$I$28*parametros_manuales!$J$28</f>
        <v>3700.66</v>
      </c>
      <c r="M92" s="4">
        <f>(parametros_manuales!$D$28*('Plan mensual'!O35+IF(parametros_manuales!$H$28="Todos",'Plan mensual'!O39,0))+parametros_manuales!$E$28*('Plan mensual'!O36+IF(parametros_manuales!$H$28="Todos",'Plan mensual'!O40,0))+parametros_manuales!$F$28*('Plan mensual'!O37+IF(parametros_manuales!$H$28="Todos",'Plan mensual'!O41,0))+parametros_manuales!$G$28*('Plan mensual'!O38+IF(parametros_manuales!$H$28="Todos",'Plan mensual'!O42,0)))*parametros_manuales!$I$28*parametros_manuales!$J$28</f>
        <v>5890.67</v>
      </c>
      <c r="N92" s="4">
        <f t="shared" si="10"/>
        <v>50355</v>
      </c>
      <c r="O92" s="4">
        <f t="shared" si="11"/>
        <v>5890.67</v>
      </c>
      <c r="P92" s="27">
        <f>O92/(parametros_manuales!$B$7)</f>
        <v>39.27113333</v>
      </c>
      <c r="Q92" s="3" t="str">
        <f t="shared" si="12"/>
        <v>Dic</v>
      </c>
    </row>
    <row r="93" ht="14.25" customHeight="1">
      <c r="A93" s="3" t="str">
        <f>parametros_manuales!$B$29</f>
        <v>Bordoneado</v>
      </c>
      <c r="B93" s="4">
        <f>(parametros_manuales!$D$29*('Plan mensual'!D35+IF(parametros_manuales!$H$29="Todos",'Plan mensual'!D39,0))+parametros_manuales!$E$29*('Plan mensual'!D36+IF(parametros_manuales!$H$29="Todos",'Plan mensual'!D40,0))+parametros_manuales!$F$29*('Plan mensual'!D37+IF(parametros_manuales!$H$29="Todos",'Plan mensual'!D41,0))+parametros_manuales!$G$29*('Plan mensual'!D38+IF(parametros_manuales!$H$29="Todos",'Plan mensual'!D42,0)))*parametros_manuales!$I$29*parametros_manuales!$J$29</f>
        <v>5738.74</v>
      </c>
      <c r="C93" s="4">
        <f>(parametros_manuales!$D$29*('Plan mensual'!E35+IF(parametros_manuales!$H$29="Todos",'Plan mensual'!E39,0))+parametros_manuales!$E$29*('Plan mensual'!E36+IF(parametros_manuales!$H$29="Todos",'Plan mensual'!E40,0))+parametros_manuales!$F$29*('Plan mensual'!E37+IF(parametros_manuales!$H$29="Todos",'Plan mensual'!E41,0))+parametros_manuales!$G$29*('Plan mensual'!E38+IF(parametros_manuales!$H$29="Todos",'Plan mensual'!E42,0)))*parametros_manuales!$I$29*parametros_manuales!$J$29</f>
        <v>4380.02</v>
      </c>
      <c r="D93" s="4">
        <f>(parametros_manuales!$D$29*('Plan mensual'!F35+IF(parametros_manuales!$H$29="Todos",'Plan mensual'!F39,0))+parametros_manuales!$E$29*('Plan mensual'!F36+IF(parametros_manuales!$H$29="Todos",'Plan mensual'!F40,0))+parametros_manuales!$F$29*('Plan mensual'!F37+IF(parametros_manuales!$H$29="Todos",'Plan mensual'!F41,0))+parametros_manuales!$G$29*('Plan mensual'!F38+IF(parametros_manuales!$H$29="Todos",'Plan mensual'!F42,0)))*parametros_manuales!$I$29*parametros_manuales!$J$29</f>
        <v>4104.365</v>
      </c>
      <c r="E93" s="4">
        <f>(parametros_manuales!$D$29*('Plan mensual'!G35+IF(parametros_manuales!$H$29="Todos",'Plan mensual'!G39,0))+parametros_manuales!$E$29*('Plan mensual'!G36+IF(parametros_manuales!$H$29="Todos",'Plan mensual'!G40,0))+parametros_manuales!$F$29*('Plan mensual'!G37+IF(parametros_manuales!$H$29="Todos",'Plan mensual'!G41,0))+parametros_manuales!$G$29*('Plan mensual'!G38+IF(parametros_manuales!$H$29="Todos",'Plan mensual'!G42,0)))*parametros_manuales!$I$29*parametros_manuales!$J$29</f>
        <v>3928.555</v>
      </c>
      <c r="F93" s="4">
        <f>(parametros_manuales!$D$29*('Plan mensual'!H35+IF(parametros_manuales!$H$29="Todos",'Plan mensual'!H39,0))+parametros_manuales!$E$29*('Plan mensual'!H36+IF(parametros_manuales!$H$29="Todos",'Plan mensual'!H40,0))+parametros_manuales!$F$29*('Plan mensual'!H37+IF(parametros_manuales!$H$29="Todos",'Plan mensual'!H41,0))+parametros_manuales!$G$29*('Plan mensual'!H38+IF(parametros_manuales!$H$29="Todos",'Plan mensual'!H42,0)))*parametros_manuales!$I$29*parametros_manuales!$J$29</f>
        <v>3676.78</v>
      </c>
      <c r="G93" s="4">
        <f>(parametros_manuales!$D$29*('Plan mensual'!I35+IF(parametros_manuales!$H$29="Todos",'Plan mensual'!I39,0))+parametros_manuales!$E$29*('Plan mensual'!I36+IF(parametros_manuales!$H$29="Todos",'Plan mensual'!I40,0))+parametros_manuales!$F$29*('Plan mensual'!I37+IF(parametros_manuales!$H$29="Todos",'Plan mensual'!I41,0))+parametros_manuales!$G$29*('Plan mensual'!I38+IF(parametros_manuales!$H$29="Todos",'Plan mensual'!I42,0)))*parametros_manuales!$I$29*parametros_manuales!$J$29</f>
        <v>3600.815</v>
      </c>
      <c r="H93" s="4">
        <f>(parametros_manuales!$D$29*('Plan mensual'!J35+IF(parametros_manuales!$H$29="Todos",'Plan mensual'!J39,0))+parametros_manuales!$E$29*('Plan mensual'!J36+IF(parametros_manuales!$H$29="Todos",'Plan mensual'!J40,0))+parametros_manuales!$F$29*('Plan mensual'!J37+IF(parametros_manuales!$H$29="Todos",'Plan mensual'!J41,0))+parametros_manuales!$G$29*('Plan mensual'!J38+IF(parametros_manuales!$H$29="Todos",'Plan mensual'!J42,0)))*parametros_manuales!$I$29*parametros_manuales!$J$29</f>
        <v>3852.59</v>
      </c>
      <c r="I93" s="4">
        <f>(parametros_manuales!$D$29*('Plan mensual'!K35+IF(parametros_manuales!$H$29="Todos",'Plan mensual'!K39,0))+parametros_manuales!$E$29*('Plan mensual'!K36+IF(parametros_manuales!$H$29="Todos",'Plan mensual'!K40,0))+parametros_manuales!$F$29*('Plan mensual'!K37+IF(parametros_manuales!$H$29="Todos",'Plan mensual'!K41,0))+parametros_manuales!$G$29*('Plan mensual'!K38+IF(parametros_manuales!$H$29="Todos",'Plan mensual'!K42,0)))*parametros_manuales!$I$29*parametros_manuales!$J$29</f>
        <v>3852.59</v>
      </c>
      <c r="J93" s="4">
        <f>(parametros_manuales!$D$29*('Plan mensual'!L35+IF(parametros_manuales!$H$29="Todos",'Plan mensual'!L39,0))+parametros_manuales!$E$29*('Plan mensual'!L36+IF(parametros_manuales!$H$29="Todos",'Plan mensual'!L40,0))+parametros_manuales!$F$29*('Plan mensual'!L37+IF(parametros_manuales!$H$29="Todos",'Plan mensual'!L41,0))+parametros_manuales!$G$29*('Plan mensual'!L38+IF(parametros_manuales!$H$29="Todos",'Plan mensual'!L42,0)))*parametros_manuales!$I$29*parametros_manuales!$J$29</f>
        <v>3852.59</v>
      </c>
      <c r="K93" s="4">
        <f>(parametros_manuales!$D$29*('Plan mensual'!M35+IF(parametros_manuales!$H$29="Todos",'Plan mensual'!M39,0))+parametros_manuales!$E$29*('Plan mensual'!M36+IF(parametros_manuales!$H$29="Todos",'Plan mensual'!M40,0))+parametros_manuales!$F$29*('Plan mensual'!M37+IF(parametros_manuales!$H$29="Todos",'Plan mensual'!M41,0))+parametros_manuales!$G$29*('Plan mensual'!M38+IF(parametros_manuales!$H$29="Todos",'Plan mensual'!M42,0)))*parametros_manuales!$I$29*parametros_manuales!$J$29</f>
        <v>3776.625</v>
      </c>
      <c r="L93" s="4">
        <f>(parametros_manuales!$D$29*('Plan mensual'!N35+IF(parametros_manuales!$H$29="Todos",'Plan mensual'!N39,0))+parametros_manuales!$E$29*('Plan mensual'!N36+IF(parametros_manuales!$H$29="Todos",'Plan mensual'!N40,0))+parametros_manuales!$F$29*('Plan mensual'!N37+IF(parametros_manuales!$H$29="Todos",'Plan mensual'!N41,0))+parametros_manuales!$G$29*('Plan mensual'!N38+IF(parametros_manuales!$H$29="Todos",'Plan mensual'!N42,0)))*parametros_manuales!$I$29*parametros_manuales!$J$29</f>
        <v>3700.66</v>
      </c>
      <c r="M93" s="4">
        <f>(parametros_manuales!$D$29*('Plan mensual'!O35+IF(parametros_manuales!$H$29="Todos",'Plan mensual'!O39,0))+parametros_manuales!$E$29*('Plan mensual'!O36+IF(parametros_manuales!$H$29="Todos",'Plan mensual'!O40,0))+parametros_manuales!$F$29*('Plan mensual'!O37+IF(parametros_manuales!$H$29="Todos",'Plan mensual'!O41,0))+parametros_manuales!$G$29*('Plan mensual'!O38+IF(parametros_manuales!$H$29="Todos",'Plan mensual'!O42,0)))*parametros_manuales!$I$29*parametros_manuales!$J$29</f>
        <v>5890.67</v>
      </c>
      <c r="N93" s="4">
        <f t="shared" si="10"/>
        <v>50355</v>
      </c>
      <c r="O93" s="4">
        <f t="shared" si="11"/>
        <v>5890.67</v>
      </c>
      <c r="P93" s="27">
        <f>O93/(parametros_manuales!$B$7)</f>
        <v>39.27113333</v>
      </c>
      <c r="Q93" s="3" t="str">
        <f t="shared" si="12"/>
        <v>Dic</v>
      </c>
    </row>
    <row r="94" ht="14.25" customHeight="1">
      <c r="A94" s="3" t="str">
        <f>parametros_manuales!$B$30</f>
        <v>Soldadura circunferencial de cúpula y fondo</v>
      </c>
      <c r="B94" s="4">
        <f>(parametros_manuales!$D$30*('Plan mensual'!D35+IF(parametros_manuales!$H$30="Todos",'Plan mensual'!D39,0))+parametros_manuales!$E$30*('Plan mensual'!D36+IF(parametros_manuales!$H$30="Todos",'Plan mensual'!D40,0))+parametros_manuales!$F$30*('Plan mensual'!D37+IF(parametros_manuales!$H$30="Todos",'Plan mensual'!D41,0))+parametros_manuales!$G$30*('Plan mensual'!D38+IF(parametros_manuales!$H$30="Todos",'Plan mensual'!D42,0)))*parametros_manuales!$I$30*parametros_manuales!$J$30</f>
        <v>5738.74</v>
      </c>
      <c r="C94" s="4">
        <f>(parametros_manuales!$D$30*('Plan mensual'!E35+IF(parametros_manuales!$H$30="Todos",'Plan mensual'!E39,0))+parametros_manuales!$E$30*('Plan mensual'!E36+IF(parametros_manuales!$H$30="Todos",'Plan mensual'!E40,0))+parametros_manuales!$F$30*('Plan mensual'!E37+IF(parametros_manuales!$H$30="Todos",'Plan mensual'!E41,0))+parametros_manuales!$G$30*('Plan mensual'!E38+IF(parametros_manuales!$H$30="Todos",'Plan mensual'!E42,0)))*parametros_manuales!$I$30*parametros_manuales!$J$30</f>
        <v>4380.02</v>
      </c>
      <c r="D94" s="4">
        <f>(parametros_manuales!$D$30*('Plan mensual'!F35+IF(parametros_manuales!$H$30="Todos",'Plan mensual'!F39,0))+parametros_manuales!$E$30*('Plan mensual'!F36+IF(parametros_manuales!$H$30="Todos",'Plan mensual'!F40,0))+parametros_manuales!$F$30*('Plan mensual'!F37+IF(parametros_manuales!$H$30="Todos",'Plan mensual'!F41,0))+parametros_manuales!$G$30*('Plan mensual'!F38+IF(parametros_manuales!$H$30="Todos",'Plan mensual'!F42,0)))*parametros_manuales!$I$30*parametros_manuales!$J$30</f>
        <v>4104.365</v>
      </c>
      <c r="E94" s="4">
        <f>(parametros_manuales!$D$30*('Plan mensual'!G35+IF(parametros_manuales!$H$30="Todos",'Plan mensual'!G39,0))+parametros_manuales!$E$30*('Plan mensual'!G36+IF(parametros_manuales!$H$30="Todos",'Plan mensual'!G40,0))+parametros_manuales!$F$30*('Plan mensual'!G37+IF(parametros_manuales!$H$30="Todos",'Plan mensual'!G41,0))+parametros_manuales!$G$30*('Plan mensual'!G38+IF(parametros_manuales!$H$30="Todos",'Plan mensual'!G42,0)))*parametros_manuales!$I$30*parametros_manuales!$J$30</f>
        <v>3928.555</v>
      </c>
      <c r="F94" s="4">
        <f>(parametros_manuales!$D$30*('Plan mensual'!H35+IF(parametros_manuales!$H$30="Todos",'Plan mensual'!H39,0))+parametros_manuales!$E$30*('Plan mensual'!H36+IF(parametros_manuales!$H$30="Todos",'Plan mensual'!H40,0))+parametros_manuales!$F$30*('Plan mensual'!H37+IF(parametros_manuales!$H$30="Todos",'Plan mensual'!H41,0))+parametros_manuales!$G$30*('Plan mensual'!H38+IF(parametros_manuales!$H$30="Todos",'Plan mensual'!H42,0)))*parametros_manuales!$I$30*parametros_manuales!$J$30</f>
        <v>3676.78</v>
      </c>
      <c r="G94" s="4">
        <f>(parametros_manuales!$D$30*('Plan mensual'!I35+IF(parametros_manuales!$H$30="Todos",'Plan mensual'!I39,0))+parametros_manuales!$E$30*('Plan mensual'!I36+IF(parametros_manuales!$H$30="Todos",'Plan mensual'!I40,0))+parametros_manuales!$F$30*('Plan mensual'!I37+IF(parametros_manuales!$H$30="Todos",'Plan mensual'!I41,0))+parametros_manuales!$G$30*('Plan mensual'!I38+IF(parametros_manuales!$H$30="Todos",'Plan mensual'!I42,0)))*parametros_manuales!$I$30*parametros_manuales!$J$30</f>
        <v>3600.815</v>
      </c>
      <c r="H94" s="4">
        <f>(parametros_manuales!$D$30*('Plan mensual'!J35+IF(parametros_manuales!$H$30="Todos",'Plan mensual'!J39,0))+parametros_manuales!$E$30*('Plan mensual'!J36+IF(parametros_manuales!$H$30="Todos",'Plan mensual'!J40,0))+parametros_manuales!$F$30*('Plan mensual'!J37+IF(parametros_manuales!$H$30="Todos",'Plan mensual'!J41,0))+parametros_manuales!$G$30*('Plan mensual'!J38+IF(parametros_manuales!$H$30="Todos",'Plan mensual'!J42,0)))*parametros_manuales!$I$30*parametros_manuales!$J$30</f>
        <v>3852.59</v>
      </c>
      <c r="I94" s="4">
        <f>(parametros_manuales!$D$30*('Plan mensual'!K35+IF(parametros_manuales!$H$30="Todos",'Plan mensual'!K39,0))+parametros_manuales!$E$30*('Plan mensual'!K36+IF(parametros_manuales!$H$30="Todos",'Plan mensual'!K40,0))+parametros_manuales!$F$30*('Plan mensual'!K37+IF(parametros_manuales!$H$30="Todos",'Plan mensual'!K41,0))+parametros_manuales!$G$30*('Plan mensual'!K38+IF(parametros_manuales!$H$30="Todos",'Plan mensual'!K42,0)))*parametros_manuales!$I$30*parametros_manuales!$J$30</f>
        <v>3852.59</v>
      </c>
      <c r="J94" s="4">
        <f>(parametros_manuales!$D$30*('Plan mensual'!L35+IF(parametros_manuales!$H$30="Todos",'Plan mensual'!L39,0))+parametros_manuales!$E$30*('Plan mensual'!L36+IF(parametros_manuales!$H$30="Todos",'Plan mensual'!L40,0))+parametros_manuales!$F$30*('Plan mensual'!L37+IF(parametros_manuales!$H$30="Todos",'Plan mensual'!L41,0))+parametros_manuales!$G$30*('Plan mensual'!L38+IF(parametros_manuales!$H$30="Todos",'Plan mensual'!L42,0)))*parametros_manuales!$I$30*parametros_manuales!$J$30</f>
        <v>3852.59</v>
      </c>
      <c r="K94" s="4">
        <f>(parametros_manuales!$D$30*('Plan mensual'!M35+IF(parametros_manuales!$H$30="Todos",'Plan mensual'!M39,0))+parametros_manuales!$E$30*('Plan mensual'!M36+IF(parametros_manuales!$H$30="Todos",'Plan mensual'!M40,0))+parametros_manuales!$F$30*('Plan mensual'!M37+IF(parametros_manuales!$H$30="Todos",'Plan mensual'!M41,0))+parametros_manuales!$G$30*('Plan mensual'!M38+IF(parametros_manuales!$H$30="Todos",'Plan mensual'!M42,0)))*parametros_manuales!$I$30*parametros_manuales!$J$30</f>
        <v>3776.625</v>
      </c>
      <c r="L94" s="4">
        <f>(parametros_manuales!$D$30*('Plan mensual'!N35+IF(parametros_manuales!$H$30="Todos",'Plan mensual'!N39,0))+parametros_manuales!$E$30*('Plan mensual'!N36+IF(parametros_manuales!$H$30="Todos",'Plan mensual'!N40,0))+parametros_manuales!$F$30*('Plan mensual'!N37+IF(parametros_manuales!$H$30="Todos",'Plan mensual'!N41,0))+parametros_manuales!$G$30*('Plan mensual'!N38+IF(parametros_manuales!$H$30="Todos",'Plan mensual'!N42,0)))*parametros_manuales!$I$30*parametros_manuales!$J$30</f>
        <v>3700.66</v>
      </c>
      <c r="M94" s="4">
        <f>(parametros_manuales!$D$30*('Plan mensual'!O35+IF(parametros_manuales!$H$30="Todos",'Plan mensual'!O39,0))+parametros_manuales!$E$30*('Plan mensual'!O36+IF(parametros_manuales!$H$30="Todos",'Plan mensual'!O40,0))+parametros_manuales!$F$30*('Plan mensual'!O37+IF(parametros_manuales!$H$30="Todos",'Plan mensual'!O41,0))+parametros_manuales!$G$30*('Plan mensual'!O38+IF(parametros_manuales!$H$30="Todos",'Plan mensual'!O42,0)))*parametros_manuales!$I$30*parametros_manuales!$J$30</f>
        <v>5890.67</v>
      </c>
      <c r="N94" s="4">
        <f t="shared" si="10"/>
        <v>50355</v>
      </c>
      <c r="O94" s="4">
        <f t="shared" si="11"/>
        <v>5890.67</v>
      </c>
      <c r="P94" s="27">
        <f>O94/(parametros_manuales!$B$7)</f>
        <v>39.27113333</v>
      </c>
      <c r="Q94" s="3" t="str">
        <f t="shared" si="12"/>
        <v>Dic</v>
      </c>
    </row>
    <row r="95" ht="14.25" customHeight="1">
      <c r="A95" s="3" t="str">
        <f>parametros_manuales!$B$31</f>
        <v>Control de calidad — Espesor</v>
      </c>
      <c r="B95" s="4">
        <f>(parametros_manuales!$D$31*('Plan mensual'!D35+IF(parametros_manuales!$H$31="Todos",'Plan mensual'!D39,0))+parametros_manuales!$E$31*('Plan mensual'!D36+IF(parametros_manuales!$H$31="Todos",'Plan mensual'!D40,0))+parametros_manuales!$F$31*('Plan mensual'!D37+IF(parametros_manuales!$H$31="Todos",'Plan mensual'!D41,0))+parametros_manuales!$G$31*('Plan mensual'!D38+IF(parametros_manuales!$H$31="Todos",'Plan mensual'!D42,0)))*parametros_manuales!$I$31*parametros_manuales!$J$31</f>
        <v>114.7748</v>
      </c>
      <c r="C95" s="4">
        <f>(parametros_manuales!$D$31*('Plan mensual'!E35+IF(parametros_manuales!$H$31="Todos",'Plan mensual'!E39,0))+parametros_manuales!$E$31*('Plan mensual'!E36+IF(parametros_manuales!$H$31="Todos",'Plan mensual'!E40,0))+parametros_manuales!$F$31*('Plan mensual'!E37+IF(parametros_manuales!$H$31="Todos",'Plan mensual'!E41,0))+parametros_manuales!$G$31*('Plan mensual'!E38+IF(parametros_manuales!$H$31="Todos",'Plan mensual'!E42,0)))*parametros_manuales!$I$31*parametros_manuales!$J$31</f>
        <v>87.6004</v>
      </c>
      <c r="D95" s="4">
        <f>(parametros_manuales!$D$31*('Plan mensual'!F35+IF(parametros_manuales!$H$31="Todos",'Plan mensual'!F39,0))+parametros_manuales!$E$31*('Plan mensual'!F36+IF(parametros_manuales!$H$31="Todos",'Plan mensual'!F40,0))+parametros_manuales!$F$31*('Plan mensual'!F37+IF(parametros_manuales!$H$31="Todos",'Plan mensual'!F41,0))+parametros_manuales!$G$31*('Plan mensual'!F38+IF(parametros_manuales!$H$31="Todos",'Plan mensual'!F42,0)))*parametros_manuales!$I$31*parametros_manuales!$J$31</f>
        <v>82.0873</v>
      </c>
      <c r="E95" s="4">
        <f>(parametros_manuales!$D$31*('Plan mensual'!G35+IF(parametros_manuales!$H$31="Todos",'Plan mensual'!G39,0))+parametros_manuales!$E$31*('Plan mensual'!G36+IF(parametros_manuales!$H$31="Todos",'Plan mensual'!G40,0))+parametros_manuales!$F$31*('Plan mensual'!G37+IF(parametros_manuales!$H$31="Todos",'Plan mensual'!G41,0))+parametros_manuales!$G$31*('Plan mensual'!G38+IF(parametros_manuales!$H$31="Todos",'Plan mensual'!G42,0)))*parametros_manuales!$I$31*parametros_manuales!$J$31</f>
        <v>78.5711</v>
      </c>
      <c r="F95" s="4">
        <f>(parametros_manuales!$D$31*('Plan mensual'!H35+IF(parametros_manuales!$H$31="Todos",'Plan mensual'!H39,0))+parametros_manuales!$E$31*('Plan mensual'!H36+IF(parametros_manuales!$H$31="Todos",'Plan mensual'!H40,0))+parametros_manuales!$F$31*('Plan mensual'!H37+IF(parametros_manuales!$H$31="Todos",'Plan mensual'!H41,0))+parametros_manuales!$G$31*('Plan mensual'!H38+IF(parametros_manuales!$H$31="Todos",'Plan mensual'!H42,0)))*parametros_manuales!$I$31*parametros_manuales!$J$31</f>
        <v>73.5356</v>
      </c>
      <c r="G95" s="4">
        <f>(parametros_manuales!$D$31*('Plan mensual'!I35+IF(parametros_manuales!$H$31="Todos",'Plan mensual'!I39,0))+parametros_manuales!$E$31*('Plan mensual'!I36+IF(parametros_manuales!$H$31="Todos",'Plan mensual'!I40,0))+parametros_manuales!$F$31*('Plan mensual'!I37+IF(parametros_manuales!$H$31="Todos",'Plan mensual'!I41,0))+parametros_manuales!$G$31*('Plan mensual'!I38+IF(parametros_manuales!$H$31="Todos",'Plan mensual'!I42,0)))*parametros_manuales!$I$31*parametros_manuales!$J$31</f>
        <v>72.0163</v>
      </c>
      <c r="H95" s="4">
        <f>(parametros_manuales!$D$31*('Plan mensual'!J35+IF(parametros_manuales!$H$31="Todos",'Plan mensual'!J39,0))+parametros_manuales!$E$31*('Plan mensual'!J36+IF(parametros_manuales!$H$31="Todos",'Plan mensual'!J40,0))+parametros_manuales!$F$31*('Plan mensual'!J37+IF(parametros_manuales!$H$31="Todos",'Plan mensual'!J41,0))+parametros_manuales!$G$31*('Plan mensual'!J38+IF(parametros_manuales!$H$31="Todos",'Plan mensual'!J42,0)))*parametros_manuales!$I$31*parametros_manuales!$J$31</f>
        <v>77.0518</v>
      </c>
      <c r="I95" s="4">
        <f>(parametros_manuales!$D$31*('Plan mensual'!K35+IF(parametros_manuales!$H$31="Todos",'Plan mensual'!K39,0))+parametros_manuales!$E$31*('Plan mensual'!K36+IF(parametros_manuales!$H$31="Todos",'Plan mensual'!K40,0))+parametros_manuales!$F$31*('Plan mensual'!K37+IF(parametros_manuales!$H$31="Todos",'Plan mensual'!K41,0))+parametros_manuales!$G$31*('Plan mensual'!K38+IF(parametros_manuales!$H$31="Todos",'Plan mensual'!K42,0)))*parametros_manuales!$I$31*parametros_manuales!$J$31</f>
        <v>77.0518</v>
      </c>
      <c r="J95" s="4">
        <f>(parametros_manuales!$D$31*('Plan mensual'!L35+IF(parametros_manuales!$H$31="Todos",'Plan mensual'!L39,0))+parametros_manuales!$E$31*('Plan mensual'!L36+IF(parametros_manuales!$H$31="Todos",'Plan mensual'!L40,0))+parametros_manuales!$F$31*('Plan mensual'!L37+IF(parametros_manuales!$H$31="Todos",'Plan mensual'!L41,0))+parametros_manuales!$G$31*('Plan mensual'!L38+IF(parametros_manuales!$H$31="Todos",'Plan mensual'!L42,0)))*parametros_manuales!$I$31*parametros_manuales!$J$31</f>
        <v>77.0518</v>
      </c>
      <c r="K95" s="4">
        <f>(parametros_manuales!$D$31*('Plan mensual'!M35+IF(parametros_manuales!$H$31="Todos",'Plan mensual'!M39,0))+parametros_manuales!$E$31*('Plan mensual'!M36+IF(parametros_manuales!$H$31="Todos",'Plan mensual'!M40,0))+parametros_manuales!$F$31*('Plan mensual'!M37+IF(parametros_manuales!$H$31="Todos",'Plan mensual'!M41,0))+parametros_manuales!$G$31*('Plan mensual'!M38+IF(parametros_manuales!$H$31="Todos",'Plan mensual'!M42,0)))*parametros_manuales!$I$31*parametros_manuales!$J$31</f>
        <v>75.5325</v>
      </c>
      <c r="L95" s="4">
        <f>(parametros_manuales!$D$31*('Plan mensual'!N35+IF(parametros_manuales!$H$31="Todos",'Plan mensual'!N39,0))+parametros_manuales!$E$31*('Plan mensual'!N36+IF(parametros_manuales!$H$31="Todos",'Plan mensual'!N40,0))+parametros_manuales!$F$31*('Plan mensual'!N37+IF(parametros_manuales!$H$31="Todos",'Plan mensual'!N41,0))+parametros_manuales!$G$31*('Plan mensual'!N38+IF(parametros_manuales!$H$31="Todos",'Plan mensual'!N42,0)))*parametros_manuales!$I$31*parametros_manuales!$J$31</f>
        <v>74.0132</v>
      </c>
      <c r="M95" s="4">
        <f>(parametros_manuales!$D$31*('Plan mensual'!O35+IF(parametros_manuales!$H$31="Todos",'Plan mensual'!O39,0))+parametros_manuales!$E$31*('Plan mensual'!O36+IF(parametros_manuales!$H$31="Todos",'Plan mensual'!O40,0))+parametros_manuales!$F$31*('Plan mensual'!O37+IF(parametros_manuales!$H$31="Todos",'Plan mensual'!O41,0))+parametros_manuales!$G$31*('Plan mensual'!O38+IF(parametros_manuales!$H$31="Todos",'Plan mensual'!O42,0)))*parametros_manuales!$I$31*parametros_manuales!$J$31</f>
        <v>117.8134</v>
      </c>
      <c r="N95" s="4">
        <f t="shared" si="10"/>
        <v>1007.1</v>
      </c>
      <c r="O95" s="4">
        <f t="shared" si="11"/>
        <v>117.8134</v>
      </c>
      <c r="P95" s="27">
        <f>O95/(parametros_manuales!$B$7)</f>
        <v>0.7854226667</v>
      </c>
      <c r="Q95" s="3" t="str">
        <f t="shared" si="12"/>
        <v>Dic</v>
      </c>
    </row>
    <row r="96" ht="14.25" customHeight="1">
      <c r="A96" s="3" t="str">
        <f>parametros_manuales!$B$32</f>
        <v>Prueba hidráulica</v>
      </c>
      <c r="B96" s="4">
        <f>(parametros_manuales!$D$32*('Plan mensual'!D35+IF(parametros_manuales!$H$32="Todos",'Plan mensual'!D39,0))+parametros_manuales!$E$32*('Plan mensual'!D36+IF(parametros_manuales!$H$32="Todos",'Plan mensual'!D40,0))+parametros_manuales!$F$32*('Plan mensual'!D37+IF(parametros_manuales!$H$32="Todos",'Plan mensual'!D41,0))+parametros_manuales!$G$32*('Plan mensual'!D38+IF(parametros_manuales!$H$32="Todos",'Plan mensual'!D42,0)))*parametros_manuales!$I$32*parametros_manuales!$J$32</f>
        <v>5738.74</v>
      </c>
      <c r="C96" s="4">
        <f>(parametros_manuales!$D$32*('Plan mensual'!E35+IF(parametros_manuales!$H$32="Todos",'Plan mensual'!E39,0))+parametros_manuales!$E$32*('Plan mensual'!E36+IF(parametros_manuales!$H$32="Todos",'Plan mensual'!E40,0))+parametros_manuales!$F$32*('Plan mensual'!E37+IF(parametros_manuales!$H$32="Todos",'Plan mensual'!E41,0))+parametros_manuales!$G$32*('Plan mensual'!E38+IF(parametros_manuales!$H$32="Todos",'Plan mensual'!E42,0)))*parametros_manuales!$I$32*parametros_manuales!$J$32</f>
        <v>4380.02</v>
      </c>
      <c r="D96" s="4">
        <f>(parametros_manuales!$D$32*('Plan mensual'!F35+IF(parametros_manuales!$H$32="Todos",'Plan mensual'!F39,0))+parametros_manuales!$E$32*('Plan mensual'!F36+IF(parametros_manuales!$H$32="Todos",'Plan mensual'!F40,0))+parametros_manuales!$F$32*('Plan mensual'!F37+IF(parametros_manuales!$H$32="Todos",'Plan mensual'!F41,0))+parametros_manuales!$G$32*('Plan mensual'!F38+IF(parametros_manuales!$H$32="Todos",'Plan mensual'!F42,0)))*parametros_manuales!$I$32*parametros_manuales!$J$32</f>
        <v>4104.365</v>
      </c>
      <c r="E96" s="4">
        <f>(parametros_manuales!$D$32*('Plan mensual'!G35+IF(parametros_manuales!$H$32="Todos",'Plan mensual'!G39,0))+parametros_manuales!$E$32*('Plan mensual'!G36+IF(parametros_manuales!$H$32="Todos",'Plan mensual'!G40,0))+parametros_manuales!$F$32*('Plan mensual'!G37+IF(parametros_manuales!$H$32="Todos",'Plan mensual'!G41,0))+parametros_manuales!$G$32*('Plan mensual'!G38+IF(parametros_manuales!$H$32="Todos",'Plan mensual'!G42,0)))*parametros_manuales!$I$32*parametros_manuales!$J$32</f>
        <v>3928.555</v>
      </c>
      <c r="F96" s="4">
        <f>(parametros_manuales!$D$32*('Plan mensual'!H35+IF(parametros_manuales!$H$32="Todos",'Plan mensual'!H39,0))+parametros_manuales!$E$32*('Plan mensual'!H36+IF(parametros_manuales!$H$32="Todos",'Plan mensual'!H40,0))+parametros_manuales!$F$32*('Plan mensual'!H37+IF(parametros_manuales!$H$32="Todos",'Plan mensual'!H41,0))+parametros_manuales!$G$32*('Plan mensual'!H38+IF(parametros_manuales!$H$32="Todos",'Plan mensual'!H42,0)))*parametros_manuales!$I$32*parametros_manuales!$J$32</f>
        <v>3676.78</v>
      </c>
      <c r="G96" s="4">
        <f>(parametros_manuales!$D$32*('Plan mensual'!I35+IF(parametros_manuales!$H$32="Todos",'Plan mensual'!I39,0))+parametros_manuales!$E$32*('Plan mensual'!I36+IF(parametros_manuales!$H$32="Todos",'Plan mensual'!I40,0))+parametros_manuales!$F$32*('Plan mensual'!I37+IF(parametros_manuales!$H$32="Todos",'Plan mensual'!I41,0))+parametros_manuales!$G$32*('Plan mensual'!I38+IF(parametros_manuales!$H$32="Todos",'Plan mensual'!I42,0)))*parametros_manuales!$I$32*parametros_manuales!$J$32</f>
        <v>3600.815</v>
      </c>
      <c r="H96" s="4">
        <f>(parametros_manuales!$D$32*('Plan mensual'!J35+IF(parametros_manuales!$H$32="Todos",'Plan mensual'!J39,0))+parametros_manuales!$E$32*('Plan mensual'!J36+IF(parametros_manuales!$H$32="Todos",'Plan mensual'!J40,0))+parametros_manuales!$F$32*('Plan mensual'!J37+IF(parametros_manuales!$H$32="Todos",'Plan mensual'!J41,0))+parametros_manuales!$G$32*('Plan mensual'!J38+IF(parametros_manuales!$H$32="Todos",'Plan mensual'!J42,0)))*parametros_manuales!$I$32*parametros_manuales!$J$32</f>
        <v>3852.59</v>
      </c>
      <c r="I96" s="4">
        <f>(parametros_manuales!$D$32*('Plan mensual'!K35+IF(parametros_manuales!$H$32="Todos",'Plan mensual'!K39,0))+parametros_manuales!$E$32*('Plan mensual'!K36+IF(parametros_manuales!$H$32="Todos",'Plan mensual'!K40,0))+parametros_manuales!$F$32*('Plan mensual'!K37+IF(parametros_manuales!$H$32="Todos",'Plan mensual'!K41,0))+parametros_manuales!$G$32*('Plan mensual'!K38+IF(parametros_manuales!$H$32="Todos",'Plan mensual'!K42,0)))*parametros_manuales!$I$32*parametros_manuales!$J$32</f>
        <v>3852.59</v>
      </c>
      <c r="J96" s="4">
        <f>(parametros_manuales!$D$32*('Plan mensual'!L35+IF(parametros_manuales!$H$32="Todos",'Plan mensual'!L39,0))+parametros_manuales!$E$32*('Plan mensual'!L36+IF(parametros_manuales!$H$32="Todos",'Plan mensual'!L40,0))+parametros_manuales!$F$32*('Plan mensual'!L37+IF(parametros_manuales!$H$32="Todos",'Plan mensual'!L41,0))+parametros_manuales!$G$32*('Plan mensual'!L38+IF(parametros_manuales!$H$32="Todos",'Plan mensual'!L42,0)))*parametros_manuales!$I$32*parametros_manuales!$J$32</f>
        <v>3852.59</v>
      </c>
      <c r="K96" s="4">
        <f>(parametros_manuales!$D$32*('Plan mensual'!M35+IF(parametros_manuales!$H$32="Todos",'Plan mensual'!M39,0))+parametros_manuales!$E$32*('Plan mensual'!M36+IF(parametros_manuales!$H$32="Todos",'Plan mensual'!M40,0))+parametros_manuales!$F$32*('Plan mensual'!M37+IF(parametros_manuales!$H$32="Todos",'Plan mensual'!M41,0))+parametros_manuales!$G$32*('Plan mensual'!M38+IF(parametros_manuales!$H$32="Todos",'Plan mensual'!M42,0)))*parametros_manuales!$I$32*parametros_manuales!$J$32</f>
        <v>3776.625</v>
      </c>
      <c r="L96" s="4">
        <f>(parametros_manuales!$D$32*('Plan mensual'!N35+IF(parametros_manuales!$H$32="Todos",'Plan mensual'!N39,0))+parametros_manuales!$E$32*('Plan mensual'!N36+IF(parametros_manuales!$H$32="Todos",'Plan mensual'!N40,0))+parametros_manuales!$F$32*('Plan mensual'!N37+IF(parametros_manuales!$H$32="Todos",'Plan mensual'!N41,0))+parametros_manuales!$G$32*('Plan mensual'!N38+IF(parametros_manuales!$H$32="Todos",'Plan mensual'!N42,0)))*parametros_manuales!$I$32*parametros_manuales!$J$32</f>
        <v>3700.66</v>
      </c>
      <c r="M96" s="4">
        <f>(parametros_manuales!$D$32*('Plan mensual'!O35+IF(parametros_manuales!$H$32="Todos",'Plan mensual'!O39,0))+parametros_manuales!$E$32*('Plan mensual'!O36+IF(parametros_manuales!$H$32="Todos",'Plan mensual'!O40,0))+parametros_manuales!$F$32*('Plan mensual'!O37+IF(parametros_manuales!$H$32="Todos",'Plan mensual'!O41,0))+parametros_manuales!$G$32*('Plan mensual'!O38+IF(parametros_manuales!$H$32="Todos",'Plan mensual'!O42,0)))*parametros_manuales!$I$32*parametros_manuales!$J$32</f>
        <v>5890.67</v>
      </c>
      <c r="N96" s="4">
        <f t="shared" si="10"/>
        <v>50355</v>
      </c>
      <c r="O96" s="4">
        <f t="shared" si="11"/>
        <v>5890.67</v>
      </c>
      <c r="P96" s="27">
        <f>O96/(parametros_manuales!$B$7)</f>
        <v>39.27113333</v>
      </c>
      <c r="Q96" s="3" t="str">
        <f t="shared" si="12"/>
        <v>Dic</v>
      </c>
    </row>
    <row r="97" ht="14.25" customHeight="1">
      <c r="A97" s="3" t="str">
        <f>parametros_manuales!$B$33</f>
        <v>Secado</v>
      </c>
      <c r="B97" s="4">
        <f>(parametros_manuales!$D$33*('Plan mensual'!D35+IF(parametros_manuales!$H$33="Todos",'Plan mensual'!D39,0))+parametros_manuales!$E$33*('Plan mensual'!D36+IF(parametros_manuales!$H$33="Todos",'Plan mensual'!D40,0))+parametros_manuales!$F$33*('Plan mensual'!D37+IF(parametros_manuales!$H$33="Todos",'Plan mensual'!D41,0))+parametros_manuales!$G$33*('Plan mensual'!D38+IF(parametros_manuales!$H$33="Todos",'Plan mensual'!D42,0)))*parametros_manuales!$I$33*parametros_manuales!$J$33</f>
        <v>5738.74</v>
      </c>
      <c r="C97" s="4">
        <f>(parametros_manuales!$D$33*('Plan mensual'!E35+IF(parametros_manuales!$H$33="Todos",'Plan mensual'!E39,0))+parametros_manuales!$E$33*('Plan mensual'!E36+IF(parametros_manuales!$H$33="Todos",'Plan mensual'!E40,0))+parametros_manuales!$F$33*('Plan mensual'!E37+IF(parametros_manuales!$H$33="Todos",'Plan mensual'!E41,0))+parametros_manuales!$G$33*('Plan mensual'!E38+IF(parametros_manuales!$H$33="Todos",'Plan mensual'!E42,0)))*parametros_manuales!$I$33*parametros_manuales!$J$33</f>
        <v>4380.02</v>
      </c>
      <c r="D97" s="4">
        <f>(parametros_manuales!$D$33*('Plan mensual'!F35+IF(parametros_manuales!$H$33="Todos",'Plan mensual'!F39,0))+parametros_manuales!$E$33*('Plan mensual'!F36+IF(parametros_manuales!$H$33="Todos",'Plan mensual'!F40,0))+parametros_manuales!$F$33*('Plan mensual'!F37+IF(parametros_manuales!$H$33="Todos",'Plan mensual'!F41,0))+parametros_manuales!$G$33*('Plan mensual'!F38+IF(parametros_manuales!$H$33="Todos",'Plan mensual'!F42,0)))*parametros_manuales!$I$33*parametros_manuales!$J$33</f>
        <v>4104.365</v>
      </c>
      <c r="E97" s="4">
        <f>(parametros_manuales!$D$33*('Plan mensual'!G35+IF(parametros_manuales!$H$33="Todos",'Plan mensual'!G39,0))+parametros_manuales!$E$33*('Plan mensual'!G36+IF(parametros_manuales!$H$33="Todos",'Plan mensual'!G40,0))+parametros_manuales!$F$33*('Plan mensual'!G37+IF(parametros_manuales!$H$33="Todos",'Plan mensual'!G41,0))+parametros_manuales!$G$33*('Plan mensual'!G38+IF(parametros_manuales!$H$33="Todos",'Plan mensual'!G42,0)))*parametros_manuales!$I$33*parametros_manuales!$J$33</f>
        <v>3928.555</v>
      </c>
      <c r="F97" s="4">
        <f>(parametros_manuales!$D$33*('Plan mensual'!H35+IF(parametros_manuales!$H$33="Todos",'Plan mensual'!H39,0))+parametros_manuales!$E$33*('Plan mensual'!H36+IF(parametros_manuales!$H$33="Todos",'Plan mensual'!H40,0))+parametros_manuales!$F$33*('Plan mensual'!H37+IF(parametros_manuales!$H$33="Todos",'Plan mensual'!H41,0))+parametros_manuales!$G$33*('Plan mensual'!H38+IF(parametros_manuales!$H$33="Todos",'Plan mensual'!H42,0)))*parametros_manuales!$I$33*parametros_manuales!$J$33</f>
        <v>3676.78</v>
      </c>
      <c r="G97" s="4">
        <f>(parametros_manuales!$D$33*('Plan mensual'!I35+IF(parametros_manuales!$H$33="Todos",'Plan mensual'!I39,0))+parametros_manuales!$E$33*('Plan mensual'!I36+IF(parametros_manuales!$H$33="Todos",'Plan mensual'!I40,0))+parametros_manuales!$F$33*('Plan mensual'!I37+IF(parametros_manuales!$H$33="Todos",'Plan mensual'!I41,0))+parametros_manuales!$G$33*('Plan mensual'!I38+IF(parametros_manuales!$H$33="Todos",'Plan mensual'!I42,0)))*parametros_manuales!$I$33*parametros_manuales!$J$33</f>
        <v>3600.815</v>
      </c>
      <c r="H97" s="4">
        <f>(parametros_manuales!$D$33*('Plan mensual'!J35+IF(parametros_manuales!$H$33="Todos",'Plan mensual'!J39,0))+parametros_manuales!$E$33*('Plan mensual'!J36+IF(parametros_manuales!$H$33="Todos",'Plan mensual'!J40,0))+parametros_manuales!$F$33*('Plan mensual'!J37+IF(parametros_manuales!$H$33="Todos",'Plan mensual'!J41,0))+parametros_manuales!$G$33*('Plan mensual'!J38+IF(parametros_manuales!$H$33="Todos",'Plan mensual'!J42,0)))*parametros_manuales!$I$33*parametros_manuales!$J$33</f>
        <v>3852.59</v>
      </c>
      <c r="I97" s="4">
        <f>(parametros_manuales!$D$33*('Plan mensual'!K35+IF(parametros_manuales!$H$33="Todos",'Plan mensual'!K39,0))+parametros_manuales!$E$33*('Plan mensual'!K36+IF(parametros_manuales!$H$33="Todos",'Plan mensual'!K40,0))+parametros_manuales!$F$33*('Plan mensual'!K37+IF(parametros_manuales!$H$33="Todos",'Plan mensual'!K41,0))+parametros_manuales!$G$33*('Plan mensual'!K38+IF(parametros_manuales!$H$33="Todos",'Plan mensual'!K42,0)))*parametros_manuales!$I$33*parametros_manuales!$J$33</f>
        <v>3852.59</v>
      </c>
      <c r="J97" s="4">
        <f>(parametros_manuales!$D$33*('Plan mensual'!L35+IF(parametros_manuales!$H$33="Todos",'Plan mensual'!L39,0))+parametros_manuales!$E$33*('Plan mensual'!L36+IF(parametros_manuales!$H$33="Todos",'Plan mensual'!L40,0))+parametros_manuales!$F$33*('Plan mensual'!L37+IF(parametros_manuales!$H$33="Todos",'Plan mensual'!L41,0))+parametros_manuales!$G$33*('Plan mensual'!L38+IF(parametros_manuales!$H$33="Todos",'Plan mensual'!L42,0)))*parametros_manuales!$I$33*parametros_manuales!$J$33</f>
        <v>3852.59</v>
      </c>
      <c r="K97" s="4">
        <f>(parametros_manuales!$D$33*('Plan mensual'!M35+IF(parametros_manuales!$H$33="Todos",'Plan mensual'!M39,0))+parametros_manuales!$E$33*('Plan mensual'!M36+IF(parametros_manuales!$H$33="Todos",'Plan mensual'!M40,0))+parametros_manuales!$F$33*('Plan mensual'!M37+IF(parametros_manuales!$H$33="Todos",'Plan mensual'!M41,0))+parametros_manuales!$G$33*('Plan mensual'!M38+IF(parametros_manuales!$H$33="Todos",'Plan mensual'!M42,0)))*parametros_manuales!$I$33*parametros_manuales!$J$33</f>
        <v>3776.625</v>
      </c>
      <c r="L97" s="4">
        <f>(parametros_manuales!$D$33*('Plan mensual'!N35+IF(parametros_manuales!$H$33="Todos",'Plan mensual'!N39,0))+parametros_manuales!$E$33*('Plan mensual'!N36+IF(parametros_manuales!$H$33="Todos",'Plan mensual'!N40,0))+parametros_manuales!$F$33*('Plan mensual'!N37+IF(parametros_manuales!$H$33="Todos",'Plan mensual'!N41,0))+parametros_manuales!$G$33*('Plan mensual'!N38+IF(parametros_manuales!$H$33="Todos",'Plan mensual'!N42,0)))*parametros_manuales!$I$33*parametros_manuales!$J$33</f>
        <v>3700.66</v>
      </c>
      <c r="M97" s="4">
        <f>(parametros_manuales!$D$33*('Plan mensual'!O35+IF(parametros_manuales!$H$33="Todos",'Plan mensual'!O39,0))+parametros_manuales!$E$33*('Plan mensual'!O36+IF(parametros_manuales!$H$33="Todos",'Plan mensual'!O40,0))+parametros_manuales!$F$33*('Plan mensual'!O37+IF(parametros_manuales!$H$33="Todos",'Plan mensual'!O41,0))+parametros_manuales!$G$33*('Plan mensual'!O38+IF(parametros_manuales!$H$33="Todos",'Plan mensual'!O42,0)))*parametros_manuales!$I$33*parametros_manuales!$J$33</f>
        <v>5890.67</v>
      </c>
      <c r="N97" s="4">
        <f t="shared" si="10"/>
        <v>50355</v>
      </c>
      <c r="O97" s="4">
        <f t="shared" si="11"/>
        <v>5890.67</v>
      </c>
      <c r="P97" s="27">
        <f>O97/(parametros_manuales!$B$7)</f>
        <v>39.27113333</v>
      </c>
      <c r="Q97" s="3" t="str">
        <f t="shared" si="12"/>
        <v>Dic</v>
      </c>
    </row>
    <row r="98" ht="14.25" customHeight="1">
      <c r="A98" s="3" t="str">
        <f>parametros_manuales!$B$34</f>
        <v>Granallado</v>
      </c>
      <c r="B98" s="4">
        <f>(parametros_manuales!$D$34*('Plan mensual'!D35+IF(parametros_manuales!$H$34="Todos",'Plan mensual'!D39,0))+parametros_manuales!$E$34*('Plan mensual'!D36+IF(parametros_manuales!$H$34="Todos",'Plan mensual'!D40,0))+parametros_manuales!$F$34*('Plan mensual'!D37+IF(parametros_manuales!$H$34="Todos",'Plan mensual'!D41,0))+parametros_manuales!$G$34*('Plan mensual'!D38+IF(parametros_manuales!$H$34="Todos",'Plan mensual'!D42,0)))*parametros_manuales!$I$34*parametros_manuales!$J$34</f>
        <v>5738.74</v>
      </c>
      <c r="C98" s="4">
        <f>(parametros_manuales!$D$34*('Plan mensual'!E35+IF(parametros_manuales!$H$34="Todos",'Plan mensual'!E39,0))+parametros_manuales!$E$34*('Plan mensual'!E36+IF(parametros_manuales!$H$34="Todos",'Plan mensual'!E40,0))+parametros_manuales!$F$34*('Plan mensual'!E37+IF(parametros_manuales!$H$34="Todos",'Plan mensual'!E41,0))+parametros_manuales!$G$34*('Plan mensual'!E38+IF(parametros_manuales!$H$34="Todos",'Plan mensual'!E42,0)))*parametros_manuales!$I$34*parametros_manuales!$J$34</f>
        <v>4380.02</v>
      </c>
      <c r="D98" s="4">
        <f>(parametros_manuales!$D$34*('Plan mensual'!F35+IF(parametros_manuales!$H$34="Todos",'Plan mensual'!F39,0))+parametros_manuales!$E$34*('Plan mensual'!F36+IF(parametros_manuales!$H$34="Todos",'Plan mensual'!F40,0))+parametros_manuales!$F$34*('Plan mensual'!F37+IF(parametros_manuales!$H$34="Todos",'Plan mensual'!F41,0))+parametros_manuales!$G$34*('Plan mensual'!F38+IF(parametros_manuales!$H$34="Todos",'Plan mensual'!F42,0)))*parametros_manuales!$I$34*parametros_manuales!$J$34</f>
        <v>4104.365</v>
      </c>
      <c r="E98" s="4">
        <f>(parametros_manuales!$D$34*('Plan mensual'!G35+IF(parametros_manuales!$H$34="Todos",'Plan mensual'!G39,0))+parametros_manuales!$E$34*('Plan mensual'!G36+IF(parametros_manuales!$H$34="Todos",'Plan mensual'!G40,0))+parametros_manuales!$F$34*('Plan mensual'!G37+IF(parametros_manuales!$H$34="Todos",'Plan mensual'!G41,0))+parametros_manuales!$G$34*('Plan mensual'!G38+IF(parametros_manuales!$H$34="Todos",'Plan mensual'!G42,0)))*parametros_manuales!$I$34*parametros_manuales!$J$34</f>
        <v>3928.555</v>
      </c>
      <c r="F98" s="4">
        <f>(parametros_manuales!$D$34*('Plan mensual'!H35+IF(parametros_manuales!$H$34="Todos",'Plan mensual'!H39,0))+parametros_manuales!$E$34*('Plan mensual'!H36+IF(parametros_manuales!$H$34="Todos",'Plan mensual'!H40,0))+parametros_manuales!$F$34*('Plan mensual'!H37+IF(parametros_manuales!$H$34="Todos",'Plan mensual'!H41,0))+parametros_manuales!$G$34*('Plan mensual'!H38+IF(parametros_manuales!$H$34="Todos",'Plan mensual'!H42,0)))*parametros_manuales!$I$34*parametros_manuales!$J$34</f>
        <v>3676.78</v>
      </c>
      <c r="G98" s="4">
        <f>(parametros_manuales!$D$34*('Plan mensual'!I35+IF(parametros_manuales!$H$34="Todos",'Plan mensual'!I39,0))+parametros_manuales!$E$34*('Plan mensual'!I36+IF(parametros_manuales!$H$34="Todos",'Plan mensual'!I40,0))+parametros_manuales!$F$34*('Plan mensual'!I37+IF(parametros_manuales!$H$34="Todos",'Plan mensual'!I41,0))+parametros_manuales!$G$34*('Plan mensual'!I38+IF(parametros_manuales!$H$34="Todos",'Plan mensual'!I42,0)))*parametros_manuales!$I$34*parametros_manuales!$J$34</f>
        <v>3600.815</v>
      </c>
      <c r="H98" s="4">
        <f>(parametros_manuales!$D$34*('Plan mensual'!J35+IF(parametros_manuales!$H$34="Todos",'Plan mensual'!J39,0))+parametros_manuales!$E$34*('Plan mensual'!J36+IF(parametros_manuales!$H$34="Todos",'Plan mensual'!J40,0))+parametros_manuales!$F$34*('Plan mensual'!J37+IF(parametros_manuales!$H$34="Todos",'Plan mensual'!J41,0))+parametros_manuales!$G$34*('Plan mensual'!J38+IF(parametros_manuales!$H$34="Todos",'Plan mensual'!J42,0)))*parametros_manuales!$I$34*parametros_manuales!$J$34</f>
        <v>3852.59</v>
      </c>
      <c r="I98" s="4">
        <f>(parametros_manuales!$D$34*('Plan mensual'!K35+IF(parametros_manuales!$H$34="Todos",'Plan mensual'!K39,0))+parametros_manuales!$E$34*('Plan mensual'!K36+IF(parametros_manuales!$H$34="Todos",'Plan mensual'!K40,0))+parametros_manuales!$F$34*('Plan mensual'!K37+IF(parametros_manuales!$H$34="Todos",'Plan mensual'!K41,0))+parametros_manuales!$G$34*('Plan mensual'!K38+IF(parametros_manuales!$H$34="Todos",'Plan mensual'!K42,0)))*parametros_manuales!$I$34*parametros_manuales!$J$34</f>
        <v>3852.59</v>
      </c>
      <c r="J98" s="4">
        <f>(parametros_manuales!$D$34*('Plan mensual'!L35+IF(parametros_manuales!$H$34="Todos",'Plan mensual'!L39,0))+parametros_manuales!$E$34*('Plan mensual'!L36+IF(parametros_manuales!$H$34="Todos",'Plan mensual'!L40,0))+parametros_manuales!$F$34*('Plan mensual'!L37+IF(parametros_manuales!$H$34="Todos",'Plan mensual'!L41,0))+parametros_manuales!$G$34*('Plan mensual'!L38+IF(parametros_manuales!$H$34="Todos",'Plan mensual'!L42,0)))*parametros_manuales!$I$34*parametros_manuales!$J$34</f>
        <v>3852.59</v>
      </c>
      <c r="K98" s="4">
        <f>(parametros_manuales!$D$34*('Plan mensual'!M35+IF(parametros_manuales!$H$34="Todos",'Plan mensual'!M39,0))+parametros_manuales!$E$34*('Plan mensual'!M36+IF(parametros_manuales!$H$34="Todos",'Plan mensual'!M40,0))+parametros_manuales!$F$34*('Plan mensual'!M37+IF(parametros_manuales!$H$34="Todos",'Plan mensual'!M41,0))+parametros_manuales!$G$34*('Plan mensual'!M38+IF(parametros_manuales!$H$34="Todos",'Plan mensual'!M42,0)))*parametros_manuales!$I$34*parametros_manuales!$J$34</f>
        <v>3776.625</v>
      </c>
      <c r="L98" s="4">
        <f>(parametros_manuales!$D$34*('Plan mensual'!N35+IF(parametros_manuales!$H$34="Todos",'Plan mensual'!N39,0))+parametros_manuales!$E$34*('Plan mensual'!N36+IF(parametros_manuales!$H$34="Todos",'Plan mensual'!N40,0))+parametros_manuales!$F$34*('Plan mensual'!N37+IF(parametros_manuales!$H$34="Todos",'Plan mensual'!N41,0))+parametros_manuales!$G$34*('Plan mensual'!N38+IF(parametros_manuales!$H$34="Todos",'Plan mensual'!N42,0)))*parametros_manuales!$I$34*parametros_manuales!$J$34</f>
        <v>3700.66</v>
      </c>
      <c r="M98" s="4">
        <f>(parametros_manuales!$D$34*('Plan mensual'!O35+IF(parametros_manuales!$H$34="Todos",'Plan mensual'!O39,0))+parametros_manuales!$E$34*('Plan mensual'!O36+IF(parametros_manuales!$H$34="Todos",'Plan mensual'!O40,0))+parametros_manuales!$F$34*('Plan mensual'!O37+IF(parametros_manuales!$H$34="Todos",'Plan mensual'!O41,0))+parametros_manuales!$G$34*('Plan mensual'!O38+IF(parametros_manuales!$H$34="Todos",'Plan mensual'!O42,0)))*parametros_manuales!$I$34*parametros_manuales!$J$34</f>
        <v>5890.67</v>
      </c>
      <c r="N98" s="4">
        <f t="shared" si="10"/>
        <v>50355</v>
      </c>
      <c r="O98" s="4">
        <f t="shared" si="11"/>
        <v>5890.67</v>
      </c>
      <c r="P98" s="27">
        <f>O98/(parametros_manuales!$B$7)</f>
        <v>39.27113333</v>
      </c>
      <c r="Q98" s="3" t="str">
        <f t="shared" si="12"/>
        <v>Dic</v>
      </c>
    </row>
    <row r="99" ht="14.25" customHeight="1">
      <c r="A99" s="3" t="str">
        <f>parametros_manuales!$B$35</f>
        <v>Detección de defectos</v>
      </c>
      <c r="B99" s="4">
        <f>(parametros_manuales!$D$35*('Plan mensual'!D35+IF(parametros_manuales!$H$35="Todos",'Plan mensual'!D39,0))+parametros_manuales!$E$35*('Plan mensual'!D36+IF(parametros_manuales!$H$35="Todos",'Plan mensual'!D40,0))+parametros_manuales!$F$35*('Plan mensual'!D37+IF(parametros_manuales!$H$35="Todos",'Plan mensual'!D41,0))+parametros_manuales!$G$35*('Plan mensual'!D38+IF(parametros_manuales!$H$35="Todos",'Plan mensual'!D42,0)))*parametros_manuales!$I$35*parametros_manuales!$J$35</f>
        <v>5738.74</v>
      </c>
      <c r="C99" s="4">
        <f>(parametros_manuales!$D$35*('Plan mensual'!E35+IF(parametros_manuales!$H$35="Todos",'Plan mensual'!E39,0))+parametros_manuales!$E$35*('Plan mensual'!E36+IF(parametros_manuales!$H$35="Todos",'Plan mensual'!E40,0))+parametros_manuales!$F$35*('Plan mensual'!E37+IF(parametros_manuales!$H$35="Todos",'Plan mensual'!E41,0))+parametros_manuales!$G$35*('Plan mensual'!E38+IF(parametros_manuales!$H$35="Todos",'Plan mensual'!E42,0)))*parametros_manuales!$I$35*parametros_manuales!$J$35</f>
        <v>4380.02</v>
      </c>
      <c r="D99" s="4">
        <f>(parametros_manuales!$D$35*('Plan mensual'!F35+IF(parametros_manuales!$H$35="Todos",'Plan mensual'!F39,0))+parametros_manuales!$E$35*('Plan mensual'!F36+IF(parametros_manuales!$H$35="Todos",'Plan mensual'!F40,0))+parametros_manuales!$F$35*('Plan mensual'!F37+IF(parametros_manuales!$H$35="Todos",'Plan mensual'!F41,0))+parametros_manuales!$G$35*('Plan mensual'!F38+IF(parametros_manuales!$H$35="Todos",'Plan mensual'!F42,0)))*parametros_manuales!$I$35*parametros_manuales!$J$35</f>
        <v>4104.365</v>
      </c>
      <c r="E99" s="4">
        <f>(parametros_manuales!$D$35*('Plan mensual'!G35+IF(parametros_manuales!$H$35="Todos",'Plan mensual'!G39,0))+parametros_manuales!$E$35*('Plan mensual'!G36+IF(parametros_manuales!$H$35="Todos",'Plan mensual'!G40,0))+parametros_manuales!$F$35*('Plan mensual'!G37+IF(parametros_manuales!$H$35="Todos",'Plan mensual'!G41,0))+parametros_manuales!$G$35*('Plan mensual'!G38+IF(parametros_manuales!$H$35="Todos",'Plan mensual'!G42,0)))*parametros_manuales!$I$35*parametros_manuales!$J$35</f>
        <v>3928.555</v>
      </c>
      <c r="F99" s="4">
        <f>(parametros_manuales!$D$35*('Plan mensual'!H35+IF(parametros_manuales!$H$35="Todos",'Plan mensual'!H39,0))+parametros_manuales!$E$35*('Plan mensual'!H36+IF(parametros_manuales!$H$35="Todos",'Plan mensual'!H40,0))+parametros_manuales!$F$35*('Plan mensual'!H37+IF(parametros_manuales!$H$35="Todos",'Plan mensual'!H41,0))+parametros_manuales!$G$35*('Plan mensual'!H38+IF(parametros_manuales!$H$35="Todos",'Plan mensual'!H42,0)))*parametros_manuales!$I$35*parametros_manuales!$J$35</f>
        <v>3676.78</v>
      </c>
      <c r="G99" s="4">
        <f>(parametros_manuales!$D$35*('Plan mensual'!I35+IF(parametros_manuales!$H$35="Todos",'Plan mensual'!I39,0))+parametros_manuales!$E$35*('Plan mensual'!I36+IF(parametros_manuales!$H$35="Todos",'Plan mensual'!I40,0))+parametros_manuales!$F$35*('Plan mensual'!I37+IF(parametros_manuales!$H$35="Todos",'Plan mensual'!I41,0))+parametros_manuales!$G$35*('Plan mensual'!I38+IF(parametros_manuales!$H$35="Todos",'Plan mensual'!I42,0)))*parametros_manuales!$I$35*parametros_manuales!$J$35</f>
        <v>3600.815</v>
      </c>
      <c r="H99" s="4">
        <f>(parametros_manuales!$D$35*('Plan mensual'!J35+IF(parametros_manuales!$H$35="Todos",'Plan mensual'!J39,0))+parametros_manuales!$E$35*('Plan mensual'!J36+IF(parametros_manuales!$H$35="Todos",'Plan mensual'!J40,0))+parametros_manuales!$F$35*('Plan mensual'!J37+IF(parametros_manuales!$H$35="Todos",'Plan mensual'!J41,0))+parametros_manuales!$G$35*('Plan mensual'!J38+IF(parametros_manuales!$H$35="Todos",'Plan mensual'!J42,0)))*parametros_manuales!$I$35*parametros_manuales!$J$35</f>
        <v>3852.59</v>
      </c>
      <c r="I99" s="4">
        <f>(parametros_manuales!$D$35*('Plan mensual'!K35+IF(parametros_manuales!$H$35="Todos",'Plan mensual'!K39,0))+parametros_manuales!$E$35*('Plan mensual'!K36+IF(parametros_manuales!$H$35="Todos",'Plan mensual'!K40,0))+parametros_manuales!$F$35*('Plan mensual'!K37+IF(parametros_manuales!$H$35="Todos",'Plan mensual'!K41,0))+parametros_manuales!$G$35*('Plan mensual'!K38+IF(parametros_manuales!$H$35="Todos",'Plan mensual'!K42,0)))*parametros_manuales!$I$35*parametros_manuales!$J$35</f>
        <v>3852.59</v>
      </c>
      <c r="J99" s="4">
        <f>(parametros_manuales!$D$35*('Plan mensual'!L35+IF(parametros_manuales!$H$35="Todos",'Plan mensual'!L39,0))+parametros_manuales!$E$35*('Plan mensual'!L36+IF(parametros_manuales!$H$35="Todos",'Plan mensual'!L40,0))+parametros_manuales!$F$35*('Plan mensual'!L37+IF(parametros_manuales!$H$35="Todos",'Plan mensual'!L41,0))+parametros_manuales!$G$35*('Plan mensual'!L38+IF(parametros_manuales!$H$35="Todos",'Plan mensual'!L42,0)))*parametros_manuales!$I$35*parametros_manuales!$J$35</f>
        <v>3852.59</v>
      </c>
      <c r="K99" s="4">
        <f>(parametros_manuales!$D$35*('Plan mensual'!M35+IF(parametros_manuales!$H$35="Todos",'Plan mensual'!M39,0))+parametros_manuales!$E$35*('Plan mensual'!M36+IF(parametros_manuales!$H$35="Todos",'Plan mensual'!M40,0))+parametros_manuales!$F$35*('Plan mensual'!M37+IF(parametros_manuales!$H$35="Todos",'Plan mensual'!M41,0))+parametros_manuales!$G$35*('Plan mensual'!M38+IF(parametros_manuales!$H$35="Todos",'Plan mensual'!M42,0)))*parametros_manuales!$I$35*parametros_manuales!$J$35</f>
        <v>3776.625</v>
      </c>
      <c r="L99" s="4">
        <f>(parametros_manuales!$D$35*('Plan mensual'!N35+IF(parametros_manuales!$H$35="Todos",'Plan mensual'!N39,0))+parametros_manuales!$E$35*('Plan mensual'!N36+IF(parametros_manuales!$H$35="Todos",'Plan mensual'!N40,0))+parametros_manuales!$F$35*('Plan mensual'!N37+IF(parametros_manuales!$H$35="Todos",'Plan mensual'!N41,0))+parametros_manuales!$G$35*('Plan mensual'!N38+IF(parametros_manuales!$H$35="Todos",'Plan mensual'!N42,0)))*parametros_manuales!$I$35*parametros_manuales!$J$35</f>
        <v>3700.66</v>
      </c>
      <c r="M99" s="4">
        <f>(parametros_manuales!$D$35*('Plan mensual'!O35+IF(parametros_manuales!$H$35="Todos",'Plan mensual'!O39,0))+parametros_manuales!$E$35*('Plan mensual'!O36+IF(parametros_manuales!$H$35="Todos",'Plan mensual'!O40,0))+parametros_manuales!$F$35*('Plan mensual'!O37+IF(parametros_manuales!$H$35="Todos",'Plan mensual'!O41,0))+parametros_manuales!$G$35*('Plan mensual'!O38+IF(parametros_manuales!$H$35="Todos",'Plan mensual'!O42,0)))*parametros_manuales!$I$35*parametros_manuales!$J$35</f>
        <v>5890.67</v>
      </c>
      <c r="N99" s="4">
        <f t="shared" si="10"/>
        <v>50355</v>
      </c>
      <c r="O99" s="4">
        <f t="shared" si="11"/>
        <v>5890.67</v>
      </c>
      <c r="P99" s="27">
        <f>O99/(parametros_manuales!$B$7)</f>
        <v>39.27113333</v>
      </c>
      <c r="Q99" s="3" t="str">
        <f t="shared" si="12"/>
        <v>Dic</v>
      </c>
    </row>
    <row r="100" ht="14.25" customHeight="1">
      <c r="A100" s="3" t="str">
        <f>parametros_manuales!$B$36</f>
        <v>Corrección de defectos</v>
      </c>
      <c r="B100" s="4">
        <f>(parametros_manuales!$D$36*('Plan mensual'!D35+IF(parametros_manuales!$H$36="Todos",'Plan mensual'!D39,0))+parametros_manuales!$E$36*('Plan mensual'!D36+IF(parametros_manuales!$H$36="Todos",'Plan mensual'!D40,0))+parametros_manuales!$F$36*('Plan mensual'!D37+IF(parametros_manuales!$H$36="Todos",'Plan mensual'!D41,0))+parametros_manuales!$G$36*('Plan mensual'!D38+IF(parametros_manuales!$H$36="Todos",'Plan mensual'!D42,0)))*parametros_manuales!$I$36*parametros_manuales!$J$36</f>
        <v>286.937</v>
      </c>
      <c r="C100" s="4">
        <f>(parametros_manuales!$D$36*('Plan mensual'!E35+IF(parametros_manuales!$H$36="Todos",'Plan mensual'!E39,0))+parametros_manuales!$E$36*('Plan mensual'!E36+IF(parametros_manuales!$H$36="Todos",'Plan mensual'!E40,0))+parametros_manuales!$F$36*('Plan mensual'!E37+IF(parametros_manuales!$H$36="Todos",'Plan mensual'!E41,0))+parametros_manuales!$G$36*('Plan mensual'!E38+IF(parametros_manuales!$H$36="Todos",'Plan mensual'!E42,0)))*parametros_manuales!$I$36*parametros_manuales!$J$36</f>
        <v>219.001</v>
      </c>
      <c r="D100" s="4">
        <f>(parametros_manuales!$D$36*('Plan mensual'!F35+IF(parametros_manuales!$H$36="Todos",'Plan mensual'!F39,0))+parametros_manuales!$E$36*('Plan mensual'!F36+IF(parametros_manuales!$H$36="Todos",'Plan mensual'!F40,0))+parametros_manuales!$F$36*('Plan mensual'!F37+IF(parametros_manuales!$H$36="Todos",'Plan mensual'!F41,0))+parametros_manuales!$G$36*('Plan mensual'!F38+IF(parametros_manuales!$H$36="Todos",'Plan mensual'!F42,0)))*parametros_manuales!$I$36*parametros_manuales!$J$36</f>
        <v>205.21825</v>
      </c>
      <c r="E100" s="4">
        <f>(parametros_manuales!$D$36*('Plan mensual'!G35+IF(parametros_manuales!$H$36="Todos",'Plan mensual'!G39,0))+parametros_manuales!$E$36*('Plan mensual'!G36+IF(parametros_manuales!$H$36="Todos",'Plan mensual'!G40,0))+parametros_manuales!$F$36*('Plan mensual'!G37+IF(parametros_manuales!$H$36="Todos",'Plan mensual'!G41,0))+parametros_manuales!$G$36*('Plan mensual'!G38+IF(parametros_manuales!$H$36="Todos",'Plan mensual'!G42,0)))*parametros_manuales!$I$36*parametros_manuales!$J$36</f>
        <v>196.42775</v>
      </c>
      <c r="F100" s="4">
        <f>(parametros_manuales!$D$36*('Plan mensual'!H35+IF(parametros_manuales!$H$36="Todos",'Plan mensual'!H39,0))+parametros_manuales!$E$36*('Plan mensual'!H36+IF(parametros_manuales!$H$36="Todos",'Plan mensual'!H40,0))+parametros_manuales!$F$36*('Plan mensual'!H37+IF(parametros_manuales!$H$36="Todos",'Plan mensual'!H41,0))+parametros_manuales!$G$36*('Plan mensual'!H38+IF(parametros_manuales!$H$36="Todos",'Plan mensual'!H42,0)))*parametros_manuales!$I$36*parametros_manuales!$J$36</f>
        <v>183.839</v>
      </c>
      <c r="G100" s="4">
        <f>(parametros_manuales!$D$36*('Plan mensual'!I35+IF(parametros_manuales!$H$36="Todos",'Plan mensual'!I39,0))+parametros_manuales!$E$36*('Plan mensual'!I36+IF(parametros_manuales!$H$36="Todos",'Plan mensual'!I40,0))+parametros_manuales!$F$36*('Plan mensual'!I37+IF(parametros_manuales!$H$36="Todos",'Plan mensual'!I41,0))+parametros_manuales!$G$36*('Plan mensual'!I38+IF(parametros_manuales!$H$36="Todos",'Plan mensual'!I42,0)))*parametros_manuales!$I$36*parametros_manuales!$J$36</f>
        <v>180.04075</v>
      </c>
      <c r="H100" s="4">
        <f>(parametros_manuales!$D$36*('Plan mensual'!J35+IF(parametros_manuales!$H$36="Todos",'Plan mensual'!J39,0))+parametros_manuales!$E$36*('Plan mensual'!J36+IF(parametros_manuales!$H$36="Todos",'Plan mensual'!J40,0))+parametros_manuales!$F$36*('Plan mensual'!J37+IF(parametros_manuales!$H$36="Todos",'Plan mensual'!J41,0))+parametros_manuales!$G$36*('Plan mensual'!J38+IF(parametros_manuales!$H$36="Todos",'Plan mensual'!J42,0)))*parametros_manuales!$I$36*parametros_manuales!$J$36</f>
        <v>192.6295</v>
      </c>
      <c r="I100" s="4">
        <f>(parametros_manuales!$D$36*('Plan mensual'!K35+IF(parametros_manuales!$H$36="Todos",'Plan mensual'!K39,0))+parametros_manuales!$E$36*('Plan mensual'!K36+IF(parametros_manuales!$H$36="Todos",'Plan mensual'!K40,0))+parametros_manuales!$F$36*('Plan mensual'!K37+IF(parametros_manuales!$H$36="Todos",'Plan mensual'!K41,0))+parametros_manuales!$G$36*('Plan mensual'!K38+IF(parametros_manuales!$H$36="Todos",'Plan mensual'!K42,0)))*parametros_manuales!$I$36*parametros_manuales!$J$36</f>
        <v>192.6295</v>
      </c>
      <c r="J100" s="4">
        <f>(parametros_manuales!$D$36*('Plan mensual'!L35+IF(parametros_manuales!$H$36="Todos",'Plan mensual'!L39,0))+parametros_manuales!$E$36*('Plan mensual'!L36+IF(parametros_manuales!$H$36="Todos",'Plan mensual'!L40,0))+parametros_manuales!$F$36*('Plan mensual'!L37+IF(parametros_manuales!$H$36="Todos",'Plan mensual'!L41,0))+parametros_manuales!$G$36*('Plan mensual'!L38+IF(parametros_manuales!$H$36="Todos",'Plan mensual'!L42,0)))*parametros_manuales!$I$36*parametros_manuales!$J$36</f>
        <v>192.6295</v>
      </c>
      <c r="K100" s="4">
        <f>(parametros_manuales!$D$36*('Plan mensual'!M35+IF(parametros_manuales!$H$36="Todos",'Plan mensual'!M39,0))+parametros_manuales!$E$36*('Plan mensual'!M36+IF(parametros_manuales!$H$36="Todos",'Plan mensual'!M40,0))+parametros_manuales!$F$36*('Plan mensual'!M37+IF(parametros_manuales!$H$36="Todos",'Plan mensual'!M41,0))+parametros_manuales!$G$36*('Plan mensual'!M38+IF(parametros_manuales!$H$36="Todos",'Plan mensual'!M42,0)))*parametros_manuales!$I$36*parametros_manuales!$J$36</f>
        <v>188.83125</v>
      </c>
      <c r="L100" s="4">
        <f>(parametros_manuales!$D$36*('Plan mensual'!N35+IF(parametros_manuales!$H$36="Todos",'Plan mensual'!N39,0))+parametros_manuales!$E$36*('Plan mensual'!N36+IF(parametros_manuales!$H$36="Todos",'Plan mensual'!N40,0))+parametros_manuales!$F$36*('Plan mensual'!N37+IF(parametros_manuales!$H$36="Todos",'Plan mensual'!N41,0))+parametros_manuales!$G$36*('Plan mensual'!N38+IF(parametros_manuales!$H$36="Todos",'Plan mensual'!N42,0)))*parametros_manuales!$I$36*parametros_manuales!$J$36</f>
        <v>185.033</v>
      </c>
      <c r="M100" s="4">
        <f>(parametros_manuales!$D$36*('Plan mensual'!O35+IF(parametros_manuales!$H$36="Todos",'Plan mensual'!O39,0))+parametros_manuales!$E$36*('Plan mensual'!O36+IF(parametros_manuales!$H$36="Todos",'Plan mensual'!O40,0))+parametros_manuales!$F$36*('Plan mensual'!O37+IF(parametros_manuales!$H$36="Todos",'Plan mensual'!O41,0))+parametros_manuales!$G$36*('Plan mensual'!O38+IF(parametros_manuales!$H$36="Todos",'Plan mensual'!O42,0)))*parametros_manuales!$I$36*parametros_manuales!$J$36</f>
        <v>294.5335</v>
      </c>
      <c r="N100" s="4">
        <f t="shared" si="10"/>
        <v>2517.75</v>
      </c>
      <c r="O100" s="4">
        <f t="shared" si="11"/>
        <v>294.5335</v>
      </c>
      <c r="P100" s="27">
        <f>O100/(parametros_manuales!$B$7)</f>
        <v>1.963556667</v>
      </c>
      <c r="Q100" s="3" t="str">
        <f t="shared" si="12"/>
        <v>Dic</v>
      </c>
    </row>
    <row r="101" ht="14.25" customHeight="1">
      <c r="A101" s="3" t="str">
        <f>parametros_manuales!$B$37</f>
        <v>Pintura en polvo + horno</v>
      </c>
      <c r="B101" s="4">
        <f>(parametros_manuales!$D$37*('Plan mensual'!D35+IF(parametros_manuales!$H$37="Todos",'Plan mensual'!D39,0))+parametros_manuales!$E$37*('Plan mensual'!D36+IF(parametros_manuales!$H$37="Todos",'Plan mensual'!D40,0))+parametros_manuales!$F$37*('Plan mensual'!D37+IF(parametros_manuales!$H$37="Todos",'Plan mensual'!D41,0))+parametros_manuales!$G$37*('Plan mensual'!D38+IF(parametros_manuales!$H$37="Todos",'Plan mensual'!D42,0)))*parametros_manuales!$I$37*parametros_manuales!$J$37</f>
        <v>5738.74</v>
      </c>
      <c r="C101" s="4">
        <f>(parametros_manuales!$D$37*('Plan mensual'!E35+IF(parametros_manuales!$H$37="Todos",'Plan mensual'!E39,0))+parametros_manuales!$E$37*('Plan mensual'!E36+IF(parametros_manuales!$H$37="Todos",'Plan mensual'!E40,0))+parametros_manuales!$F$37*('Plan mensual'!E37+IF(parametros_manuales!$H$37="Todos",'Plan mensual'!E41,0))+parametros_manuales!$G$37*('Plan mensual'!E38+IF(parametros_manuales!$H$37="Todos",'Plan mensual'!E42,0)))*parametros_manuales!$I$37*parametros_manuales!$J$37</f>
        <v>4380.02</v>
      </c>
      <c r="D101" s="4">
        <f>(parametros_manuales!$D$37*('Plan mensual'!F35+IF(parametros_manuales!$H$37="Todos",'Plan mensual'!F39,0))+parametros_manuales!$E$37*('Plan mensual'!F36+IF(parametros_manuales!$H$37="Todos",'Plan mensual'!F40,0))+parametros_manuales!$F$37*('Plan mensual'!F37+IF(parametros_manuales!$H$37="Todos",'Plan mensual'!F41,0))+parametros_manuales!$G$37*('Plan mensual'!F38+IF(parametros_manuales!$H$37="Todos",'Plan mensual'!F42,0)))*parametros_manuales!$I$37*parametros_manuales!$J$37</f>
        <v>4104.365</v>
      </c>
      <c r="E101" s="4">
        <f>(parametros_manuales!$D$37*('Plan mensual'!G35+IF(parametros_manuales!$H$37="Todos",'Plan mensual'!G39,0))+parametros_manuales!$E$37*('Plan mensual'!G36+IF(parametros_manuales!$H$37="Todos",'Plan mensual'!G40,0))+parametros_manuales!$F$37*('Plan mensual'!G37+IF(parametros_manuales!$H$37="Todos",'Plan mensual'!G41,0))+parametros_manuales!$G$37*('Plan mensual'!G38+IF(parametros_manuales!$H$37="Todos",'Plan mensual'!G42,0)))*parametros_manuales!$I$37*parametros_manuales!$J$37</f>
        <v>3928.555</v>
      </c>
      <c r="F101" s="4">
        <f>(parametros_manuales!$D$37*('Plan mensual'!H35+IF(parametros_manuales!$H$37="Todos",'Plan mensual'!H39,0))+parametros_manuales!$E$37*('Plan mensual'!H36+IF(parametros_manuales!$H$37="Todos",'Plan mensual'!H40,0))+parametros_manuales!$F$37*('Plan mensual'!H37+IF(parametros_manuales!$H$37="Todos",'Plan mensual'!H41,0))+parametros_manuales!$G$37*('Plan mensual'!H38+IF(parametros_manuales!$H$37="Todos",'Plan mensual'!H42,0)))*parametros_manuales!$I$37*parametros_manuales!$J$37</f>
        <v>3676.78</v>
      </c>
      <c r="G101" s="4">
        <f>(parametros_manuales!$D$37*('Plan mensual'!I35+IF(parametros_manuales!$H$37="Todos",'Plan mensual'!I39,0))+parametros_manuales!$E$37*('Plan mensual'!I36+IF(parametros_manuales!$H$37="Todos",'Plan mensual'!I40,0))+parametros_manuales!$F$37*('Plan mensual'!I37+IF(parametros_manuales!$H$37="Todos",'Plan mensual'!I41,0))+parametros_manuales!$G$37*('Plan mensual'!I38+IF(parametros_manuales!$H$37="Todos",'Plan mensual'!I42,0)))*parametros_manuales!$I$37*parametros_manuales!$J$37</f>
        <v>3600.815</v>
      </c>
      <c r="H101" s="4">
        <f>(parametros_manuales!$D$37*('Plan mensual'!J35+IF(parametros_manuales!$H$37="Todos",'Plan mensual'!J39,0))+parametros_manuales!$E$37*('Plan mensual'!J36+IF(parametros_manuales!$H$37="Todos",'Plan mensual'!J40,0))+parametros_manuales!$F$37*('Plan mensual'!J37+IF(parametros_manuales!$H$37="Todos",'Plan mensual'!J41,0))+parametros_manuales!$G$37*('Plan mensual'!J38+IF(parametros_manuales!$H$37="Todos",'Plan mensual'!J42,0)))*parametros_manuales!$I$37*parametros_manuales!$J$37</f>
        <v>3852.59</v>
      </c>
      <c r="I101" s="4">
        <f>(parametros_manuales!$D$37*('Plan mensual'!K35+IF(parametros_manuales!$H$37="Todos",'Plan mensual'!K39,0))+parametros_manuales!$E$37*('Plan mensual'!K36+IF(parametros_manuales!$H$37="Todos",'Plan mensual'!K40,0))+parametros_manuales!$F$37*('Plan mensual'!K37+IF(parametros_manuales!$H$37="Todos",'Plan mensual'!K41,0))+parametros_manuales!$G$37*('Plan mensual'!K38+IF(parametros_manuales!$H$37="Todos",'Plan mensual'!K42,0)))*parametros_manuales!$I$37*parametros_manuales!$J$37</f>
        <v>3852.59</v>
      </c>
      <c r="J101" s="4">
        <f>(parametros_manuales!$D$37*('Plan mensual'!L35+IF(parametros_manuales!$H$37="Todos",'Plan mensual'!L39,0))+parametros_manuales!$E$37*('Plan mensual'!L36+IF(parametros_manuales!$H$37="Todos",'Plan mensual'!L40,0))+parametros_manuales!$F$37*('Plan mensual'!L37+IF(parametros_manuales!$H$37="Todos",'Plan mensual'!L41,0))+parametros_manuales!$G$37*('Plan mensual'!L38+IF(parametros_manuales!$H$37="Todos",'Plan mensual'!L42,0)))*parametros_manuales!$I$37*parametros_manuales!$J$37</f>
        <v>3852.59</v>
      </c>
      <c r="K101" s="4">
        <f>(parametros_manuales!$D$37*('Plan mensual'!M35+IF(parametros_manuales!$H$37="Todos",'Plan mensual'!M39,0))+parametros_manuales!$E$37*('Plan mensual'!M36+IF(parametros_manuales!$H$37="Todos",'Plan mensual'!M40,0))+parametros_manuales!$F$37*('Plan mensual'!M37+IF(parametros_manuales!$H$37="Todos",'Plan mensual'!M41,0))+parametros_manuales!$G$37*('Plan mensual'!M38+IF(parametros_manuales!$H$37="Todos",'Plan mensual'!M42,0)))*parametros_manuales!$I$37*parametros_manuales!$J$37</f>
        <v>3776.625</v>
      </c>
      <c r="L101" s="4">
        <f>(parametros_manuales!$D$37*('Plan mensual'!N35+IF(parametros_manuales!$H$37="Todos",'Plan mensual'!N39,0))+parametros_manuales!$E$37*('Plan mensual'!N36+IF(parametros_manuales!$H$37="Todos",'Plan mensual'!N40,0))+parametros_manuales!$F$37*('Plan mensual'!N37+IF(parametros_manuales!$H$37="Todos",'Plan mensual'!N41,0))+parametros_manuales!$G$37*('Plan mensual'!N38+IF(parametros_manuales!$H$37="Todos",'Plan mensual'!N42,0)))*parametros_manuales!$I$37*parametros_manuales!$J$37</f>
        <v>3700.66</v>
      </c>
      <c r="M101" s="4">
        <f>(parametros_manuales!$D$37*('Plan mensual'!O35+IF(parametros_manuales!$H$37="Todos",'Plan mensual'!O39,0))+parametros_manuales!$E$37*('Plan mensual'!O36+IF(parametros_manuales!$H$37="Todos",'Plan mensual'!O40,0))+parametros_manuales!$F$37*('Plan mensual'!O37+IF(parametros_manuales!$H$37="Todos",'Plan mensual'!O41,0))+parametros_manuales!$G$37*('Plan mensual'!O38+IF(parametros_manuales!$H$37="Todos",'Plan mensual'!O42,0)))*parametros_manuales!$I$37*parametros_manuales!$J$37</f>
        <v>5890.67</v>
      </c>
      <c r="N101" s="4">
        <f t="shared" si="10"/>
        <v>50355</v>
      </c>
      <c r="O101" s="4">
        <f t="shared" si="11"/>
        <v>5890.67</v>
      </c>
      <c r="P101" s="27">
        <f>O101/(parametros_manuales!$B$7)</f>
        <v>39.27113333</v>
      </c>
      <c r="Q101" s="3" t="str">
        <f t="shared" si="12"/>
        <v>Dic</v>
      </c>
    </row>
    <row r="102" ht="14.25" customHeight="1">
      <c r="A102" s="3" t="str">
        <f>parametros_manuales!$B$38</f>
        <v>Carga de polvo</v>
      </c>
      <c r="B102" s="4">
        <f>(parametros_manuales!$D$38*('Plan mensual'!D35+IF(parametros_manuales!$H$38="Todos",'Plan mensual'!D39,0))+parametros_manuales!$E$38*('Plan mensual'!D36+IF(parametros_manuales!$H$38="Todos",'Plan mensual'!D40,0))+parametros_manuales!$F$38*('Plan mensual'!D37+IF(parametros_manuales!$H$38="Todos",'Plan mensual'!D41,0))+parametros_manuales!$G$38*('Plan mensual'!D38+IF(parametros_manuales!$H$38="Todos",'Plan mensual'!D42,0)))*parametros_manuales!$I$38*parametros_manuales!$J$38</f>
        <v>1884.24</v>
      </c>
      <c r="C102" s="4">
        <f>(parametros_manuales!$D$38*('Plan mensual'!E35+IF(parametros_manuales!$H$38="Todos",'Plan mensual'!E39,0))+parametros_manuales!$E$38*('Plan mensual'!E36+IF(parametros_manuales!$H$38="Todos",'Plan mensual'!E40,0))+parametros_manuales!$F$38*('Plan mensual'!E37+IF(parametros_manuales!$H$38="Todos",'Plan mensual'!E41,0))+parametros_manuales!$G$38*('Plan mensual'!E38+IF(parametros_manuales!$H$38="Todos",'Plan mensual'!E42,0)))*parametros_manuales!$I$38*parametros_manuales!$J$38</f>
        <v>1456.59</v>
      </c>
      <c r="D102" s="4">
        <f>(parametros_manuales!$D$38*('Plan mensual'!F35+IF(parametros_manuales!$H$38="Todos",'Plan mensual'!F39,0))+parametros_manuales!$E$38*('Plan mensual'!F36+IF(parametros_manuales!$H$38="Todos",'Plan mensual'!F40,0))+parametros_manuales!$F$38*('Plan mensual'!F37+IF(parametros_manuales!$H$38="Todos",'Plan mensual'!F41,0))+parametros_manuales!$G$38*('Plan mensual'!F38+IF(parametros_manuales!$H$38="Todos",'Plan mensual'!F42,0)))*parametros_manuales!$I$38*parametros_manuales!$J$38</f>
        <v>1415.33</v>
      </c>
      <c r="E102" s="4">
        <f>(parametros_manuales!$D$38*('Plan mensual'!G35+IF(parametros_manuales!$H$38="Todos",'Plan mensual'!G39,0))+parametros_manuales!$E$38*('Plan mensual'!G36+IF(parametros_manuales!$H$38="Todos",'Plan mensual'!G40,0))+parametros_manuales!$F$38*('Plan mensual'!G37+IF(parametros_manuales!$H$38="Todos",'Plan mensual'!G41,0))+parametros_manuales!$G$38*('Plan mensual'!G38+IF(parametros_manuales!$H$38="Todos",'Plan mensual'!G42,0)))*parametros_manuales!$I$38*parametros_manuales!$J$38</f>
        <v>1372.995</v>
      </c>
      <c r="F102" s="4">
        <f>(parametros_manuales!$D$38*('Plan mensual'!H35+IF(parametros_manuales!$H$38="Todos",'Plan mensual'!H39,0))+parametros_manuales!$E$38*('Plan mensual'!H36+IF(parametros_manuales!$H$38="Todos",'Plan mensual'!H40,0))+parametros_manuales!$F$38*('Plan mensual'!H37+IF(parametros_manuales!$H$38="Todos",'Plan mensual'!H41,0))+parametros_manuales!$G$38*('Plan mensual'!H38+IF(parametros_manuales!$H$38="Todos",'Plan mensual'!H42,0)))*parametros_manuales!$I$38*parametros_manuales!$J$38</f>
        <v>1287.25</v>
      </c>
      <c r="G102" s="4">
        <f>(parametros_manuales!$D$38*('Plan mensual'!I35+IF(parametros_manuales!$H$38="Todos",'Plan mensual'!I39,0))+parametros_manuales!$E$38*('Plan mensual'!I36+IF(parametros_manuales!$H$38="Todos",'Plan mensual'!I40,0))+parametros_manuales!$F$38*('Plan mensual'!I37+IF(parametros_manuales!$H$38="Todos",'Plan mensual'!I41,0))+parametros_manuales!$G$38*('Plan mensual'!I38+IF(parametros_manuales!$H$38="Todos",'Plan mensual'!I42,0)))*parametros_manuales!$I$38*parametros_manuales!$J$38</f>
        <v>1243.84</v>
      </c>
      <c r="H102" s="4">
        <f>(parametros_manuales!$D$38*('Plan mensual'!J35+IF(parametros_manuales!$H$38="Todos",'Plan mensual'!J39,0))+parametros_manuales!$E$38*('Plan mensual'!J36+IF(parametros_manuales!$H$38="Todos",'Plan mensual'!J40,0))+parametros_manuales!$F$38*('Plan mensual'!J37+IF(parametros_manuales!$H$38="Todos",'Plan mensual'!J41,0))+parametros_manuales!$G$38*('Plan mensual'!J38+IF(parametros_manuales!$H$38="Todos",'Plan mensual'!J42,0)))*parametros_manuales!$I$38*parametros_manuales!$J$38</f>
        <v>1329.585</v>
      </c>
      <c r="I102" s="4">
        <f>(parametros_manuales!$D$38*('Plan mensual'!K35+IF(parametros_manuales!$H$38="Todos",'Plan mensual'!K39,0))+parametros_manuales!$E$38*('Plan mensual'!K36+IF(parametros_manuales!$H$38="Todos",'Plan mensual'!K40,0))+parametros_manuales!$F$38*('Plan mensual'!K37+IF(parametros_manuales!$H$38="Todos",'Plan mensual'!K41,0))+parametros_manuales!$G$38*('Plan mensual'!K38+IF(parametros_manuales!$H$38="Todos",'Plan mensual'!K42,0)))*parametros_manuales!$I$38*parametros_manuales!$J$38</f>
        <v>1329.585</v>
      </c>
      <c r="J102" s="4">
        <f>(parametros_manuales!$D$38*('Plan mensual'!L35+IF(parametros_manuales!$H$38="Todos",'Plan mensual'!L39,0))+parametros_manuales!$E$38*('Plan mensual'!L36+IF(parametros_manuales!$H$38="Todos",'Plan mensual'!L40,0))+parametros_manuales!$F$38*('Plan mensual'!L37+IF(parametros_manuales!$H$38="Todos",'Plan mensual'!L41,0))+parametros_manuales!$G$38*('Plan mensual'!L38+IF(parametros_manuales!$H$38="Todos",'Plan mensual'!L42,0)))*parametros_manuales!$I$38*parametros_manuales!$J$38</f>
        <v>1329.585</v>
      </c>
      <c r="K102" s="4">
        <f>(parametros_manuales!$D$38*('Plan mensual'!M35+IF(parametros_manuales!$H$38="Todos",'Plan mensual'!M39,0))+parametros_manuales!$E$38*('Plan mensual'!M36+IF(parametros_manuales!$H$38="Todos",'Plan mensual'!M40,0))+parametros_manuales!$F$38*('Plan mensual'!M37+IF(parametros_manuales!$H$38="Todos",'Plan mensual'!M41,0))+parametros_manuales!$G$38*('Plan mensual'!M38+IF(parametros_manuales!$H$38="Todos",'Plan mensual'!M42,0)))*parametros_manuales!$I$38*parametros_manuales!$J$38</f>
        <v>1286.175</v>
      </c>
      <c r="L102" s="4">
        <f>(parametros_manuales!$D$38*('Plan mensual'!N35+IF(parametros_manuales!$H$38="Todos",'Plan mensual'!N39,0))+parametros_manuales!$E$38*('Plan mensual'!N36+IF(parametros_manuales!$H$38="Todos",'Plan mensual'!N40,0))+parametros_manuales!$F$38*('Plan mensual'!N37+IF(parametros_manuales!$H$38="Todos",'Plan mensual'!N41,0))+parametros_manuales!$G$38*('Plan mensual'!N38+IF(parametros_manuales!$H$38="Todos",'Plan mensual'!N42,0)))*parametros_manuales!$I$38*parametros_manuales!$J$38</f>
        <v>1242.765</v>
      </c>
      <c r="M102" s="4">
        <f>(parametros_manuales!$D$38*('Plan mensual'!O35+IF(parametros_manuales!$H$38="Todos",'Plan mensual'!O39,0))+parametros_manuales!$E$38*('Plan mensual'!O36+IF(parametros_manuales!$H$38="Todos",'Plan mensual'!O40,0))+parametros_manuales!$F$38*('Plan mensual'!O37+IF(parametros_manuales!$H$38="Todos",'Plan mensual'!O41,0))+parametros_manuales!$G$38*('Plan mensual'!O38+IF(parametros_manuales!$H$38="Todos",'Plan mensual'!O42,0)))*parametros_manuales!$I$38*parametros_manuales!$J$38</f>
        <v>1971.06</v>
      </c>
      <c r="N102" s="4">
        <f t="shared" si="10"/>
        <v>17149</v>
      </c>
      <c r="O102" s="4">
        <f t="shared" si="11"/>
        <v>1971.06</v>
      </c>
      <c r="P102" s="27">
        <f>O102/(parametros_manuales!$B$7)</f>
        <v>13.1404</v>
      </c>
      <c r="Q102" s="3" t="str">
        <f t="shared" si="12"/>
        <v>Dic</v>
      </c>
    </row>
    <row r="103" ht="14.25" customHeight="1">
      <c r="A103" s="3" t="str">
        <f>parametros_manuales!$B$39</f>
        <v>Ensamblaje</v>
      </c>
      <c r="B103" s="4">
        <f>(parametros_manuales!$D$39*('Plan mensual'!D35+IF(parametros_manuales!$H$39="Todos",'Plan mensual'!D39,0))+parametros_manuales!$E$39*('Plan mensual'!D36+IF(parametros_manuales!$H$39="Todos",'Plan mensual'!D40,0))+parametros_manuales!$F$39*('Plan mensual'!D37+IF(parametros_manuales!$H$39="Todos",'Plan mensual'!D41,0))+parametros_manuales!$G$39*('Plan mensual'!D38+IF(parametros_manuales!$H$39="Todos",'Plan mensual'!D42,0)))*parametros_manuales!$I$39*parametros_manuales!$J$39</f>
        <v>1884.24</v>
      </c>
      <c r="C103" s="4">
        <f>(parametros_manuales!$D$39*('Plan mensual'!E35+IF(parametros_manuales!$H$39="Todos",'Plan mensual'!E39,0))+parametros_manuales!$E$39*('Plan mensual'!E36+IF(parametros_manuales!$H$39="Todos",'Plan mensual'!E40,0))+parametros_manuales!$F$39*('Plan mensual'!E37+IF(parametros_manuales!$H$39="Todos",'Plan mensual'!E41,0))+parametros_manuales!$G$39*('Plan mensual'!E38+IF(parametros_manuales!$H$39="Todos",'Plan mensual'!E42,0)))*parametros_manuales!$I$39*parametros_manuales!$J$39</f>
        <v>1456.59</v>
      </c>
      <c r="D103" s="4">
        <f>(parametros_manuales!$D$39*('Plan mensual'!F35+IF(parametros_manuales!$H$39="Todos",'Plan mensual'!F39,0))+parametros_manuales!$E$39*('Plan mensual'!F36+IF(parametros_manuales!$H$39="Todos",'Plan mensual'!F40,0))+parametros_manuales!$F$39*('Plan mensual'!F37+IF(parametros_manuales!$H$39="Todos",'Plan mensual'!F41,0))+parametros_manuales!$G$39*('Plan mensual'!F38+IF(parametros_manuales!$H$39="Todos",'Plan mensual'!F42,0)))*parametros_manuales!$I$39*parametros_manuales!$J$39</f>
        <v>1415.33</v>
      </c>
      <c r="E103" s="4">
        <f>(parametros_manuales!$D$39*('Plan mensual'!G35+IF(parametros_manuales!$H$39="Todos",'Plan mensual'!G39,0))+parametros_manuales!$E$39*('Plan mensual'!G36+IF(parametros_manuales!$H$39="Todos",'Plan mensual'!G40,0))+parametros_manuales!$F$39*('Plan mensual'!G37+IF(parametros_manuales!$H$39="Todos",'Plan mensual'!G41,0))+parametros_manuales!$G$39*('Plan mensual'!G38+IF(parametros_manuales!$H$39="Todos",'Plan mensual'!G42,0)))*parametros_manuales!$I$39*parametros_manuales!$J$39</f>
        <v>1372.995</v>
      </c>
      <c r="F103" s="4">
        <f>(parametros_manuales!$D$39*('Plan mensual'!H35+IF(parametros_manuales!$H$39="Todos",'Plan mensual'!H39,0))+parametros_manuales!$E$39*('Plan mensual'!H36+IF(parametros_manuales!$H$39="Todos",'Plan mensual'!H40,0))+parametros_manuales!$F$39*('Plan mensual'!H37+IF(parametros_manuales!$H$39="Todos",'Plan mensual'!H41,0))+parametros_manuales!$G$39*('Plan mensual'!H38+IF(parametros_manuales!$H$39="Todos",'Plan mensual'!H42,0)))*parametros_manuales!$I$39*parametros_manuales!$J$39</f>
        <v>1287.25</v>
      </c>
      <c r="G103" s="4">
        <f>(parametros_manuales!$D$39*('Plan mensual'!I35+IF(parametros_manuales!$H$39="Todos",'Plan mensual'!I39,0))+parametros_manuales!$E$39*('Plan mensual'!I36+IF(parametros_manuales!$H$39="Todos",'Plan mensual'!I40,0))+parametros_manuales!$F$39*('Plan mensual'!I37+IF(parametros_manuales!$H$39="Todos",'Plan mensual'!I41,0))+parametros_manuales!$G$39*('Plan mensual'!I38+IF(parametros_manuales!$H$39="Todos",'Plan mensual'!I42,0)))*parametros_manuales!$I$39*parametros_manuales!$J$39</f>
        <v>1243.84</v>
      </c>
      <c r="H103" s="4">
        <f>(parametros_manuales!$D$39*('Plan mensual'!J35+IF(parametros_manuales!$H$39="Todos",'Plan mensual'!J39,0))+parametros_manuales!$E$39*('Plan mensual'!J36+IF(parametros_manuales!$H$39="Todos",'Plan mensual'!J40,0))+parametros_manuales!$F$39*('Plan mensual'!J37+IF(parametros_manuales!$H$39="Todos",'Plan mensual'!J41,0))+parametros_manuales!$G$39*('Plan mensual'!J38+IF(parametros_manuales!$H$39="Todos",'Plan mensual'!J42,0)))*parametros_manuales!$I$39*parametros_manuales!$J$39</f>
        <v>1329.585</v>
      </c>
      <c r="I103" s="4">
        <f>(parametros_manuales!$D$39*('Plan mensual'!K35+IF(parametros_manuales!$H$39="Todos",'Plan mensual'!K39,0))+parametros_manuales!$E$39*('Plan mensual'!K36+IF(parametros_manuales!$H$39="Todos",'Plan mensual'!K40,0))+parametros_manuales!$F$39*('Plan mensual'!K37+IF(parametros_manuales!$H$39="Todos",'Plan mensual'!K41,0))+parametros_manuales!$G$39*('Plan mensual'!K38+IF(parametros_manuales!$H$39="Todos",'Plan mensual'!K42,0)))*parametros_manuales!$I$39*parametros_manuales!$J$39</f>
        <v>1329.585</v>
      </c>
      <c r="J103" s="4">
        <f>(parametros_manuales!$D$39*('Plan mensual'!L35+IF(parametros_manuales!$H$39="Todos",'Plan mensual'!L39,0))+parametros_manuales!$E$39*('Plan mensual'!L36+IF(parametros_manuales!$H$39="Todos",'Plan mensual'!L40,0))+parametros_manuales!$F$39*('Plan mensual'!L37+IF(parametros_manuales!$H$39="Todos",'Plan mensual'!L41,0))+parametros_manuales!$G$39*('Plan mensual'!L38+IF(parametros_manuales!$H$39="Todos",'Plan mensual'!L42,0)))*parametros_manuales!$I$39*parametros_manuales!$J$39</f>
        <v>1329.585</v>
      </c>
      <c r="K103" s="4">
        <f>(parametros_manuales!$D$39*('Plan mensual'!M35+IF(parametros_manuales!$H$39="Todos",'Plan mensual'!M39,0))+parametros_manuales!$E$39*('Plan mensual'!M36+IF(parametros_manuales!$H$39="Todos",'Plan mensual'!M40,0))+parametros_manuales!$F$39*('Plan mensual'!M37+IF(parametros_manuales!$H$39="Todos",'Plan mensual'!M41,0))+parametros_manuales!$G$39*('Plan mensual'!M38+IF(parametros_manuales!$H$39="Todos",'Plan mensual'!M42,0)))*parametros_manuales!$I$39*parametros_manuales!$J$39</f>
        <v>1286.175</v>
      </c>
      <c r="L103" s="4">
        <f>(parametros_manuales!$D$39*('Plan mensual'!N35+IF(parametros_manuales!$H$39="Todos",'Plan mensual'!N39,0))+parametros_manuales!$E$39*('Plan mensual'!N36+IF(parametros_manuales!$H$39="Todos",'Plan mensual'!N40,0))+parametros_manuales!$F$39*('Plan mensual'!N37+IF(parametros_manuales!$H$39="Todos",'Plan mensual'!N41,0))+parametros_manuales!$G$39*('Plan mensual'!N38+IF(parametros_manuales!$H$39="Todos",'Plan mensual'!N42,0)))*parametros_manuales!$I$39*parametros_manuales!$J$39</f>
        <v>1242.765</v>
      </c>
      <c r="M103" s="4">
        <f>(parametros_manuales!$D$39*('Plan mensual'!O35+IF(parametros_manuales!$H$39="Todos",'Plan mensual'!O39,0))+parametros_manuales!$E$39*('Plan mensual'!O36+IF(parametros_manuales!$H$39="Todos",'Plan mensual'!O40,0))+parametros_manuales!$F$39*('Plan mensual'!O37+IF(parametros_manuales!$H$39="Todos",'Plan mensual'!O41,0))+parametros_manuales!$G$39*('Plan mensual'!O38+IF(parametros_manuales!$H$39="Todos",'Plan mensual'!O42,0)))*parametros_manuales!$I$39*parametros_manuales!$J$39</f>
        <v>1971.06</v>
      </c>
      <c r="N103" s="4">
        <f t="shared" si="10"/>
        <v>17149</v>
      </c>
      <c r="O103" s="4">
        <f t="shared" si="11"/>
        <v>1971.06</v>
      </c>
      <c r="P103" s="27">
        <f>O103/(parametros_manuales!$B$7)</f>
        <v>13.1404</v>
      </c>
      <c r="Q103" s="3" t="str">
        <f t="shared" si="12"/>
        <v>Dic</v>
      </c>
    </row>
    <row r="104" ht="14.25" customHeight="1">
      <c r="A104" s="3" t="str">
        <f>parametros_manuales!$B$40</f>
        <v>Presurización</v>
      </c>
      <c r="B104" s="4">
        <f>(parametros_manuales!$D$40*('Plan mensual'!D35+IF(parametros_manuales!$H$40="Todos",'Plan mensual'!D39,0))+parametros_manuales!$E$40*('Plan mensual'!D36+IF(parametros_manuales!$H$40="Todos",'Plan mensual'!D40,0))+parametros_manuales!$F$40*('Plan mensual'!D37+IF(parametros_manuales!$H$40="Todos",'Plan mensual'!D41,0))+parametros_manuales!$G$40*('Plan mensual'!D38+IF(parametros_manuales!$H$40="Todos",'Plan mensual'!D42,0)))*parametros_manuales!$I$40*parametros_manuales!$J$40</f>
        <v>1884.24</v>
      </c>
      <c r="C104" s="4">
        <f>(parametros_manuales!$D$40*('Plan mensual'!E35+IF(parametros_manuales!$H$40="Todos",'Plan mensual'!E39,0))+parametros_manuales!$E$40*('Plan mensual'!E36+IF(parametros_manuales!$H$40="Todos",'Plan mensual'!E40,0))+parametros_manuales!$F$40*('Plan mensual'!E37+IF(parametros_manuales!$H$40="Todos",'Plan mensual'!E41,0))+parametros_manuales!$G$40*('Plan mensual'!E38+IF(parametros_manuales!$H$40="Todos",'Plan mensual'!E42,0)))*parametros_manuales!$I$40*parametros_manuales!$J$40</f>
        <v>1456.59</v>
      </c>
      <c r="D104" s="4">
        <f>(parametros_manuales!$D$40*('Plan mensual'!F35+IF(parametros_manuales!$H$40="Todos",'Plan mensual'!F39,0))+parametros_manuales!$E$40*('Plan mensual'!F36+IF(parametros_manuales!$H$40="Todos",'Plan mensual'!F40,0))+parametros_manuales!$F$40*('Plan mensual'!F37+IF(parametros_manuales!$H$40="Todos",'Plan mensual'!F41,0))+parametros_manuales!$G$40*('Plan mensual'!F38+IF(parametros_manuales!$H$40="Todos",'Plan mensual'!F42,0)))*parametros_manuales!$I$40*parametros_manuales!$J$40</f>
        <v>1415.33</v>
      </c>
      <c r="E104" s="4">
        <f>(parametros_manuales!$D$40*('Plan mensual'!G35+IF(parametros_manuales!$H$40="Todos",'Plan mensual'!G39,0))+parametros_manuales!$E$40*('Plan mensual'!G36+IF(parametros_manuales!$H$40="Todos",'Plan mensual'!G40,0))+parametros_manuales!$F$40*('Plan mensual'!G37+IF(parametros_manuales!$H$40="Todos",'Plan mensual'!G41,0))+parametros_manuales!$G$40*('Plan mensual'!G38+IF(parametros_manuales!$H$40="Todos",'Plan mensual'!G42,0)))*parametros_manuales!$I$40*parametros_manuales!$J$40</f>
        <v>1372.995</v>
      </c>
      <c r="F104" s="4">
        <f>(parametros_manuales!$D$40*('Plan mensual'!H35+IF(parametros_manuales!$H$40="Todos",'Plan mensual'!H39,0))+parametros_manuales!$E$40*('Plan mensual'!H36+IF(parametros_manuales!$H$40="Todos",'Plan mensual'!H40,0))+parametros_manuales!$F$40*('Plan mensual'!H37+IF(parametros_manuales!$H$40="Todos",'Plan mensual'!H41,0))+parametros_manuales!$G$40*('Plan mensual'!H38+IF(parametros_manuales!$H$40="Todos",'Plan mensual'!H42,0)))*parametros_manuales!$I$40*parametros_manuales!$J$40</f>
        <v>1287.25</v>
      </c>
      <c r="G104" s="4">
        <f>(parametros_manuales!$D$40*('Plan mensual'!I35+IF(parametros_manuales!$H$40="Todos",'Plan mensual'!I39,0))+parametros_manuales!$E$40*('Plan mensual'!I36+IF(parametros_manuales!$H$40="Todos",'Plan mensual'!I40,0))+parametros_manuales!$F$40*('Plan mensual'!I37+IF(parametros_manuales!$H$40="Todos",'Plan mensual'!I41,0))+parametros_manuales!$G$40*('Plan mensual'!I38+IF(parametros_manuales!$H$40="Todos",'Plan mensual'!I42,0)))*parametros_manuales!$I$40*parametros_manuales!$J$40</f>
        <v>1243.84</v>
      </c>
      <c r="H104" s="4">
        <f>(parametros_manuales!$D$40*('Plan mensual'!J35+IF(parametros_manuales!$H$40="Todos",'Plan mensual'!J39,0))+parametros_manuales!$E$40*('Plan mensual'!J36+IF(parametros_manuales!$H$40="Todos",'Plan mensual'!J40,0))+parametros_manuales!$F$40*('Plan mensual'!J37+IF(parametros_manuales!$H$40="Todos",'Plan mensual'!J41,0))+parametros_manuales!$G$40*('Plan mensual'!J38+IF(parametros_manuales!$H$40="Todos",'Plan mensual'!J42,0)))*parametros_manuales!$I$40*parametros_manuales!$J$40</f>
        <v>1329.585</v>
      </c>
      <c r="I104" s="4">
        <f>(parametros_manuales!$D$40*('Plan mensual'!K35+IF(parametros_manuales!$H$40="Todos",'Plan mensual'!K39,0))+parametros_manuales!$E$40*('Plan mensual'!K36+IF(parametros_manuales!$H$40="Todos",'Plan mensual'!K40,0))+parametros_manuales!$F$40*('Plan mensual'!K37+IF(parametros_manuales!$H$40="Todos",'Plan mensual'!K41,0))+parametros_manuales!$G$40*('Plan mensual'!K38+IF(parametros_manuales!$H$40="Todos",'Plan mensual'!K42,0)))*parametros_manuales!$I$40*parametros_manuales!$J$40</f>
        <v>1329.585</v>
      </c>
      <c r="J104" s="4">
        <f>(parametros_manuales!$D$40*('Plan mensual'!L35+IF(parametros_manuales!$H$40="Todos",'Plan mensual'!L39,0))+parametros_manuales!$E$40*('Plan mensual'!L36+IF(parametros_manuales!$H$40="Todos",'Plan mensual'!L40,0))+parametros_manuales!$F$40*('Plan mensual'!L37+IF(parametros_manuales!$H$40="Todos",'Plan mensual'!L41,0))+parametros_manuales!$G$40*('Plan mensual'!L38+IF(parametros_manuales!$H$40="Todos",'Plan mensual'!L42,0)))*parametros_manuales!$I$40*parametros_manuales!$J$40</f>
        <v>1329.585</v>
      </c>
      <c r="K104" s="4">
        <f>(parametros_manuales!$D$40*('Plan mensual'!M35+IF(parametros_manuales!$H$40="Todos",'Plan mensual'!M39,0))+parametros_manuales!$E$40*('Plan mensual'!M36+IF(parametros_manuales!$H$40="Todos",'Plan mensual'!M40,0))+parametros_manuales!$F$40*('Plan mensual'!M37+IF(parametros_manuales!$H$40="Todos",'Plan mensual'!M41,0))+parametros_manuales!$G$40*('Plan mensual'!M38+IF(parametros_manuales!$H$40="Todos",'Plan mensual'!M42,0)))*parametros_manuales!$I$40*parametros_manuales!$J$40</f>
        <v>1286.175</v>
      </c>
      <c r="L104" s="4">
        <f>(parametros_manuales!$D$40*('Plan mensual'!N35+IF(parametros_manuales!$H$40="Todos",'Plan mensual'!N39,0))+parametros_manuales!$E$40*('Plan mensual'!N36+IF(parametros_manuales!$H$40="Todos",'Plan mensual'!N40,0))+parametros_manuales!$F$40*('Plan mensual'!N37+IF(parametros_manuales!$H$40="Todos",'Plan mensual'!N41,0))+parametros_manuales!$G$40*('Plan mensual'!N38+IF(parametros_manuales!$H$40="Todos",'Plan mensual'!N42,0)))*parametros_manuales!$I$40*parametros_manuales!$J$40</f>
        <v>1242.765</v>
      </c>
      <c r="M104" s="4">
        <f>(parametros_manuales!$D$40*('Plan mensual'!O35+IF(parametros_manuales!$H$40="Todos",'Plan mensual'!O39,0))+parametros_manuales!$E$40*('Plan mensual'!O36+IF(parametros_manuales!$H$40="Todos",'Plan mensual'!O40,0))+parametros_manuales!$F$40*('Plan mensual'!O37+IF(parametros_manuales!$H$40="Todos",'Plan mensual'!O41,0))+parametros_manuales!$G$40*('Plan mensual'!O38+IF(parametros_manuales!$H$40="Todos",'Plan mensual'!O42,0)))*parametros_manuales!$I$40*parametros_manuales!$J$40</f>
        <v>1971.06</v>
      </c>
      <c r="N104" s="4">
        <f t="shared" si="10"/>
        <v>17149</v>
      </c>
      <c r="O104" s="4">
        <f t="shared" si="11"/>
        <v>1971.06</v>
      </c>
      <c r="P104" s="27">
        <f>O104/(parametros_manuales!$B$7)</f>
        <v>13.1404</v>
      </c>
      <c r="Q104" s="3" t="str">
        <f t="shared" si="12"/>
        <v>Dic</v>
      </c>
    </row>
    <row r="105" ht="14.25" customHeight="1">
      <c r="A105" s="3" t="str">
        <f>parametros_manuales!$B$41</f>
        <v>Control de calidad — Ensayo de pérdidas</v>
      </c>
      <c r="B105" s="4">
        <f>(parametros_manuales!$D$41*('Plan mensual'!D35+IF(parametros_manuales!$H$41="Todos",'Plan mensual'!D39,0))+parametros_manuales!$E$41*('Plan mensual'!D36+IF(parametros_manuales!$H$41="Todos",'Plan mensual'!D40,0))+parametros_manuales!$F$41*('Plan mensual'!D37+IF(parametros_manuales!$H$41="Todos",'Plan mensual'!D41,0))+parametros_manuales!$G$41*('Plan mensual'!D38+IF(parametros_manuales!$H$41="Todos",'Plan mensual'!D42,0)))*parametros_manuales!$I$41*parametros_manuales!$J$41</f>
        <v>1884.24</v>
      </c>
      <c r="C105" s="4">
        <f>(parametros_manuales!$D$41*('Plan mensual'!E35+IF(parametros_manuales!$H$41="Todos",'Plan mensual'!E39,0))+parametros_manuales!$E$41*('Plan mensual'!E36+IF(parametros_manuales!$H$41="Todos",'Plan mensual'!E40,0))+parametros_manuales!$F$41*('Plan mensual'!E37+IF(parametros_manuales!$H$41="Todos",'Plan mensual'!E41,0))+parametros_manuales!$G$41*('Plan mensual'!E38+IF(parametros_manuales!$H$41="Todos",'Plan mensual'!E42,0)))*parametros_manuales!$I$41*parametros_manuales!$J$41</f>
        <v>1456.59</v>
      </c>
      <c r="D105" s="4">
        <f>(parametros_manuales!$D$41*('Plan mensual'!F35+IF(parametros_manuales!$H$41="Todos",'Plan mensual'!F39,0))+parametros_manuales!$E$41*('Plan mensual'!F36+IF(parametros_manuales!$H$41="Todos",'Plan mensual'!F40,0))+parametros_manuales!$F$41*('Plan mensual'!F37+IF(parametros_manuales!$H$41="Todos",'Plan mensual'!F41,0))+parametros_manuales!$G$41*('Plan mensual'!F38+IF(parametros_manuales!$H$41="Todos",'Plan mensual'!F42,0)))*parametros_manuales!$I$41*parametros_manuales!$J$41</f>
        <v>1415.33</v>
      </c>
      <c r="E105" s="4">
        <f>(parametros_manuales!$D$41*('Plan mensual'!G35+IF(parametros_manuales!$H$41="Todos",'Plan mensual'!G39,0))+parametros_manuales!$E$41*('Plan mensual'!G36+IF(parametros_manuales!$H$41="Todos",'Plan mensual'!G40,0))+parametros_manuales!$F$41*('Plan mensual'!G37+IF(parametros_manuales!$H$41="Todos",'Plan mensual'!G41,0))+parametros_manuales!$G$41*('Plan mensual'!G38+IF(parametros_manuales!$H$41="Todos",'Plan mensual'!G42,0)))*parametros_manuales!$I$41*parametros_manuales!$J$41</f>
        <v>1372.995</v>
      </c>
      <c r="F105" s="4">
        <f>(parametros_manuales!$D$41*('Plan mensual'!H35+IF(parametros_manuales!$H$41="Todos",'Plan mensual'!H39,0))+parametros_manuales!$E$41*('Plan mensual'!H36+IF(parametros_manuales!$H$41="Todos",'Plan mensual'!H40,0))+parametros_manuales!$F$41*('Plan mensual'!H37+IF(parametros_manuales!$H$41="Todos",'Plan mensual'!H41,0))+parametros_manuales!$G$41*('Plan mensual'!H38+IF(parametros_manuales!$H$41="Todos",'Plan mensual'!H42,0)))*parametros_manuales!$I$41*parametros_manuales!$J$41</f>
        <v>1287.25</v>
      </c>
      <c r="G105" s="4">
        <f>(parametros_manuales!$D$41*('Plan mensual'!I35+IF(parametros_manuales!$H$41="Todos",'Plan mensual'!I39,0))+parametros_manuales!$E$41*('Plan mensual'!I36+IF(parametros_manuales!$H$41="Todos",'Plan mensual'!I40,0))+parametros_manuales!$F$41*('Plan mensual'!I37+IF(parametros_manuales!$H$41="Todos",'Plan mensual'!I41,0))+parametros_manuales!$G$41*('Plan mensual'!I38+IF(parametros_manuales!$H$41="Todos",'Plan mensual'!I42,0)))*parametros_manuales!$I$41*parametros_manuales!$J$41</f>
        <v>1243.84</v>
      </c>
      <c r="H105" s="4">
        <f>(parametros_manuales!$D$41*('Plan mensual'!J35+IF(parametros_manuales!$H$41="Todos",'Plan mensual'!J39,0))+parametros_manuales!$E$41*('Plan mensual'!J36+IF(parametros_manuales!$H$41="Todos",'Plan mensual'!J40,0))+parametros_manuales!$F$41*('Plan mensual'!J37+IF(parametros_manuales!$H$41="Todos",'Plan mensual'!J41,0))+parametros_manuales!$G$41*('Plan mensual'!J38+IF(parametros_manuales!$H$41="Todos",'Plan mensual'!J42,0)))*parametros_manuales!$I$41*parametros_manuales!$J$41</f>
        <v>1329.585</v>
      </c>
      <c r="I105" s="4">
        <f>(parametros_manuales!$D$41*('Plan mensual'!K35+IF(parametros_manuales!$H$41="Todos",'Plan mensual'!K39,0))+parametros_manuales!$E$41*('Plan mensual'!K36+IF(parametros_manuales!$H$41="Todos",'Plan mensual'!K40,0))+parametros_manuales!$F$41*('Plan mensual'!K37+IF(parametros_manuales!$H$41="Todos",'Plan mensual'!K41,0))+parametros_manuales!$G$41*('Plan mensual'!K38+IF(parametros_manuales!$H$41="Todos",'Plan mensual'!K42,0)))*parametros_manuales!$I$41*parametros_manuales!$J$41</f>
        <v>1329.585</v>
      </c>
      <c r="J105" s="4">
        <f>(parametros_manuales!$D$41*('Plan mensual'!L35+IF(parametros_manuales!$H$41="Todos",'Plan mensual'!L39,0))+parametros_manuales!$E$41*('Plan mensual'!L36+IF(parametros_manuales!$H$41="Todos",'Plan mensual'!L40,0))+parametros_manuales!$F$41*('Plan mensual'!L37+IF(parametros_manuales!$H$41="Todos",'Plan mensual'!L41,0))+parametros_manuales!$G$41*('Plan mensual'!L38+IF(parametros_manuales!$H$41="Todos",'Plan mensual'!L42,0)))*parametros_manuales!$I$41*parametros_manuales!$J$41</f>
        <v>1329.585</v>
      </c>
      <c r="K105" s="4">
        <f>(parametros_manuales!$D$41*('Plan mensual'!M35+IF(parametros_manuales!$H$41="Todos",'Plan mensual'!M39,0))+parametros_manuales!$E$41*('Plan mensual'!M36+IF(parametros_manuales!$H$41="Todos",'Plan mensual'!M40,0))+parametros_manuales!$F$41*('Plan mensual'!M37+IF(parametros_manuales!$H$41="Todos",'Plan mensual'!M41,0))+parametros_manuales!$G$41*('Plan mensual'!M38+IF(parametros_manuales!$H$41="Todos",'Plan mensual'!M42,0)))*parametros_manuales!$I$41*parametros_manuales!$J$41</f>
        <v>1286.175</v>
      </c>
      <c r="L105" s="4">
        <f>(parametros_manuales!$D$41*('Plan mensual'!N35+IF(parametros_manuales!$H$41="Todos",'Plan mensual'!N39,0))+parametros_manuales!$E$41*('Plan mensual'!N36+IF(parametros_manuales!$H$41="Todos",'Plan mensual'!N40,0))+parametros_manuales!$F$41*('Plan mensual'!N37+IF(parametros_manuales!$H$41="Todos",'Plan mensual'!N41,0))+parametros_manuales!$G$41*('Plan mensual'!N38+IF(parametros_manuales!$H$41="Todos",'Plan mensual'!N42,0)))*parametros_manuales!$I$41*parametros_manuales!$J$41</f>
        <v>1242.765</v>
      </c>
      <c r="M105" s="4">
        <f>(parametros_manuales!$D$41*('Plan mensual'!O35+IF(parametros_manuales!$H$41="Todos",'Plan mensual'!O39,0))+parametros_manuales!$E$41*('Plan mensual'!O36+IF(parametros_manuales!$H$41="Todos",'Plan mensual'!O40,0))+parametros_manuales!$F$41*('Plan mensual'!O37+IF(parametros_manuales!$H$41="Todos",'Plan mensual'!O41,0))+parametros_manuales!$G$41*('Plan mensual'!O38+IF(parametros_manuales!$H$41="Todos",'Plan mensual'!O42,0)))*parametros_manuales!$I$41*parametros_manuales!$J$41</f>
        <v>1971.06</v>
      </c>
      <c r="N105" s="4">
        <f t="shared" si="10"/>
        <v>17149</v>
      </c>
      <c r="O105" s="4">
        <f t="shared" si="11"/>
        <v>1971.06</v>
      </c>
      <c r="P105" s="27">
        <f>O105/(parametros_manuales!$B$7)</f>
        <v>13.1404</v>
      </c>
      <c r="Q105" s="3" t="str">
        <f t="shared" si="12"/>
        <v>Dic</v>
      </c>
    </row>
    <row r="106" ht="14.25" customHeight="1">
      <c r="A106" s="3" t="str">
        <f>parametros_manuales!$B$42</f>
        <v>Etiquetado</v>
      </c>
      <c r="B106" s="4">
        <f>(parametros_manuales!$D$42*('Plan mensual'!D35+IF(parametros_manuales!$H$42="Todos",'Plan mensual'!D39,0))+parametros_manuales!$E$42*('Plan mensual'!D36+IF(parametros_manuales!$H$42="Todos",'Plan mensual'!D40,0))+parametros_manuales!$F$42*('Plan mensual'!D37+IF(parametros_manuales!$H$42="Todos",'Plan mensual'!D41,0))+parametros_manuales!$G$42*('Plan mensual'!D38+IF(parametros_manuales!$H$42="Todos",'Plan mensual'!D42,0)))*parametros_manuales!$I$42*parametros_manuales!$J$42</f>
        <v>1884.24</v>
      </c>
      <c r="C106" s="4">
        <f>(parametros_manuales!$D$42*('Plan mensual'!E35+IF(parametros_manuales!$H$42="Todos",'Plan mensual'!E39,0))+parametros_manuales!$E$42*('Plan mensual'!E36+IF(parametros_manuales!$H$42="Todos",'Plan mensual'!E40,0))+parametros_manuales!$F$42*('Plan mensual'!E37+IF(parametros_manuales!$H$42="Todos",'Plan mensual'!E41,0))+parametros_manuales!$G$42*('Plan mensual'!E38+IF(parametros_manuales!$H$42="Todos",'Plan mensual'!E42,0)))*parametros_manuales!$I$42*parametros_manuales!$J$42</f>
        <v>1456.59</v>
      </c>
      <c r="D106" s="4">
        <f>(parametros_manuales!$D$42*('Plan mensual'!F35+IF(parametros_manuales!$H$42="Todos",'Plan mensual'!F39,0))+parametros_manuales!$E$42*('Plan mensual'!F36+IF(parametros_manuales!$H$42="Todos",'Plan mensual'!F40,0))+parametros_manuales!$F$42*('Plan mensual'!F37+IF(parametros_manuales!$H$42="Todos",'Plan mensual'!F41,0))+parametros_manuales!$G$42*('Plan mensual'!F38+IF(parametros_manuales!$H$42="Todos",'Plan mensual'!F42,0)))*parametros_manuales!$I$42*parametros_manuales!$J$42</f>
        <v>1415.33</v>
      </c>
      <c r="E106" s="4">
        <f>(parametros_manuales!$D$42*('Plan mensual'!G35+IF(parametros_manuales!$H$42="Todos",'Plan mensual'!G39,0))+parametros_manuales!$E$42*('Plan mensual'!G36+IF(parametros_manuales!$H$42="Todos",'Plan mensual'!G40,0))+parametros_manuales!$F$42*('Plan mensual'!G37+IF(parametros_manuales!$H$42="Todos",'Plan mensual'!G41,0))+parametros_manuales!$G$42*('Plan mensual'!G38+IF(parametros_manuales!$H$42="Todos",'Plan mensual'!G42,0)))*parametros_manuales!$I$42*parametros_manuales!$J$42</f>
        <v>1372.995</v>
      </c>
      <c r="F106" s="4">
        <f>(parametros_manuales!$D$42*('Plan mensual'!H35+IF(parametros_manuales!$H$42="Todos",'Plan mensual'!H39,0))+parametros_manuales!$E$42*('Plan mensual'!H36+IF(parametros_manuales!$H$42="Todos",'Plan mensual'!H40,0))+parametros_manuales!$F$42*('Plan mensual'!H37+IF(parametros_manuales!$H$42="Todos",'Plan mensual'!H41,0))+parametros_manuales!$G$42*('Plan mensual'!H38+IF(parametros_manuales!$H$42="Todos",'Plan mensual'!H42,0)))*parametros_manuales!$I$42*parametros_manuales!$J$42</f>
        <v>1287.25</v>
      </c>
      <c r="G106" s="4">
        <f>(parametros_manuales!$D$42*('Plan mensual'!I35+IF(parametros_manuales!$H$42="Todos",'Plan mensual'!I39,0))+parametros_manuales!$E$42*('Plan mensual'!I36+IF(parametros_manuales!$H$42="Todos",'Plan mensual'!I40,0))+parametros_manuales!$F$42*('Plan mensual'!I37+IF(parametros_manuales!$H$42="Todos",'Plan mensual'!I41,0))+parametros_manuales!$G$42*('Plan mensual'!I38+IF(parametros_manuales!$H$42="Todos",'Plan mensual'!I42,0)))*parametros_manuales!$I$42*parametros_manuales!$J$42</f>
        <v>1243.84</v>
      </c>
      <c r="H106" s="4">
        <f>(parametros_manuales!$D$42*('Plan mensual'!J35+IF(parametros_manuales!$H$42="Todos",'Plan mensual'!J39,0))+parametros_manuales!$E$42*('Plan mensual'!J36+IF(parametros_manuales!$H$42="Todos",'Plan mensual'!J40,0))+parametros_manuales!$F$42*('Plan mensual'!J37+IF(parametros_manuales!$H$42="Todos",'Plan mensual'!J41,0))+parametros_manuales!$G$42*('Plan mensual'!J38+IF(parametros_manuales!$H$42="Todos",'Plan mensual'!J42,0)))*parametros_manuales!$I$42*parametros_manuales!$J$42</f>
        <v>1329.585</v>
      </c>
      <c r="I106" s="4">
        <f>(parametros_manuales!$D$42*('Plan mensual'!K35+IF(parametros_manuales!$H$42="Todos",'Plan mensual'!K39,0))+parametros_manuales!$E$42*('Plan mensual'!K36+IF(parametros_manuales!$H$42="Todos",'Plan mensual'!K40,0))+parametros_manuales!$F$42*('Plan mensual'!K37+IF(parametros_manuales!$H$42="Todos",'Plan mensual'!K41,0))+parametros_manuales!$G$42*('Plan mensual'!K38+IF(parametros_manuales!$H$42="Todos",'Plan mensual'!K42,0)))*parametros_manuales!$I$42*parametros_manuales!$J$42</f>
        <v>1329.585</v>
      </c>
      <c r="J106" s="4">
        <f>(parametros_manuales!$D$42*('Plan mensual'!L35+IF(parametros_manuales!$H$42="Todos",'Plan mensual'!L39,0))+parametros_manuales!$E$42*('Plan mensual'!L36+IF(parametros_manuales!$H$42="Todos",'Plan mensual'!L40,0))+parametros_manuales!$F$42*('Plan mensual'!L37+IF(parametros_manuales!$H$42="Todos",'Plan mensual'!L41,0))+parametros_manuales!$G$42*('Plan mensual'!L38+IF(parametros_manuales!$H$42="Todos",'Plan mensual'!L42,0)))*parametros_manuales!$I$42*parametros_manuales!$J$42</f>
        <v>1329.585</v>
      </c>
      <c r="K106" s="4">
        <f>(parametros_manuales!$D$42*('Plan mensual'!M35+IF(parametros_manuales!$H$42="Todos",'Plan mensual'!M39,0))+parametros_manuales!$E$42*('Plan mensual'!M36+IF(parametros_manuales!$H$42="Todos",'Plan mensual'!M40,0))+parametros_manuales!$F$42*('Plan mensual'!M37+IF(parametros_manuales!$H$42="Todos",'Plan mensual'!M41,0))+parametros_manuales!$G$42*('Plan mensual'!M38+IF(parametros_manuales!$H$42="Todos",'Plan mensual'!M42,0)))*parametros_manuales!$I$42*parametros_manuales!$J$42</f>
        <v>1286.175</v>
      </c>
      <c r="L106" s="4">
        <f>(parametros_manuales!$D$42*('Plan mensual'!N35+IF(parametros_manuales!$H$42="Todos",'Plan mensual'!N39,0))+parametros_manuales!$E$42*('Plan mensual'!N36+IF(parametros_manuales!$H$42="Todos",'Plan mensual'!N40,0))+parametros_manuales!$F$42*('Plan mensual'!N37+IF(parametros_manuales!$H$42="Todos",'Plan mensual'!N41,0))+parametros_manuales!$G$42*('Plan mensual'!N38+IF(parametros_manuales!$H$42="Todos",'Plan mensual'!N42,0)))*parametros_manuales!$I$42*parametros_manuales!$J$42</f>
        <v>1242.765</v>
      </c>
      <c r="M106" s="4">
        <f>(parametros_manuales!$D$42*('Plan mensual'!O35+IF(parametros_manuales!$H$42="Todos",'Plan mensual'!O39,0))+parametros_manuales!$E$42*('Plan mensual'!O36+IF(parametros_manuales!$H$42="Todos",'Plan mensual'!O40,0))+parametros_manuales!$F$42*('Plan mensual'!O37+IF(parametros_manuales!$H$42="Todos",'Plan mensual'!O41,0))+parametros_manuales!$G$42*('Plan mensual'!O38+IF(parametros_manuales!$H$42="Todos",'Plan mensual'!O42,0)))*parametros_manuales!$I$42*parametros_manuales!$J$42</f>
        <v>1971.06</v>
      </c>
      <c r="N106" s="4">
        <f t="shared" si="10"/>
        <v>17149</v>
      </c>
      <c r="O106" s="4">
        <f t="shared" si="11"/>
        <v>1971.06</v>
      </c>
      <c r="P106" s="27">
        <f>O106/(parametros_manuales!$B$7)</f>
        <v>13.1404</v>
      </c>
      <c r="Q106" s="3" t="str">
        <f t="shared" si="12"/>
        <v>Dic</v>
      </c>
    </row>
    <row r="107" ht="14.25" customHeight="1">
      <c r="A107" s="3" t="str">
        <f>parametros_manuales!$B$43</f>
        <v>Embalaje y paletizado</v>
      </c>
      <c r="B107" s="4">
        <f>(parametros_manuales!$D$43*('Plan mensual'!D35+IF(parametros_manuales!$H$43="Todos",'Plan mensual'!D39,0))+parametros_manuales!$E$43*('Plan mensual'!D36+IF(parametros_manuales!$H$43="Todos",'Plan mensual'!D40,0))+parametros_manuales!$F$43*('Plan mensual'!D37+IF(parametros_manuales!$H$43="Todos",'Plan mensual'!D41,0))+parametros_manuales!$G$43*('Plan mensual'!D38+IF(parametros_manuales!$H$43="Todos",'Plan mensual'!D42,0)))*parametros_manuales!$I$43*parametros_manuales!$J$43</f>
        <v>5738.74</v>
      </c>
      <c r="C107" s="4">
        <f>(parametros_manuales!$D$43*('Plan mensual'!E35+IF(parametros_manuales!$H$43="Todos",'Plan mensual'!E39,0))+parametros_manuales!$E$43*('Plan mensual'!E36+IF(parametros_manuales!$H$43="Todos",'Plan mensual'!E40,0))+parametros_manuales!$F$43*('Plan mensual'!E37+IF(parametros_manuales!$H$43="Todos",'Plan mensual'!E41,0))+parametros_manuales!$G$43*('Plan mensual'!E38+IF(parametros_manuales!$H$43="Todos",'Plan mensual'!E42,0)))*parametros_manuales!$I$43*parametros_manuales!$J$43</f>
        <v>4380.02</v>
      </c>
      <c r="D107" s="4">
        <f>(parametros_manuales!$D$43*('Plan mensual'!F35+IF(parametros_manuales!$H$43="Todos",'Plan mensual'!F39,0))+parametros_manuales!$E$43*('Plan mensual'!F36+IF(parametros_manuales!$H$43="Todos",'Plan mensual'!F40,0))+parametros_manuales!$F$43*('Plan mensual'!F37+IF(parametros_manuales!$H$43="Todos",'Plan mensual'!F41,0))+parametros_manuales!$G$43*('Plan mensual'!F38+IF(parametros_manuales!$H$43="Todos",'Plan mensual'!F42,0)))*parametros_manuales!$I$43*parametros_manuales!$J$43</f>
        <v>4104.365</v>
      </c>
      <c r="E107" s="4">
        <f>(parametros_manuales!$D$43*('Plan mensual'!G35+IF(parametros_manuales!$H$43="Todos",'Plan mensual'!G39,0))+parametros_manuales!$E$43*('Plan mensual'!G36+IF(parametros_manuales!$H$43="Todos",'Plan mensual'!G40,0))+parametros_manuales!$F$43*('Plan mensual'!G37+IF(parametros_manuales!$H$43="Todos",'Plan mensual'!G41,0))+parametros_manuales!$G$43*('Plan mensual'!G38+IF(parametros_manuales!$H$43="Todos",'Plan mensual'!G42,0)))*parametros_manuales!$I$43*parametros_manuales!$J$43</f>
        <v>3928.555</v>
      </c>
      <c r="F107" s="4">
        <f>(parametros_manuales!$D$43*('Plan mensual'!H35+IF(parametros_manuales!$H$43="Todos",'Plan mensual'!H39,0))+parametros_manuales!$E$43*('Plan mensual'!H36+IF(parametros_manuales!$H$43="Todos",'Plan mensual'!H40,0))+parametros_manuales!$F$43*('Plan mensual'!H37+IF(parametros_manuales!$H$43="Todos",'Plan mensual'!H41,0))+parametros_manuales!$G$43*('Plan mensual'!H38+IF(parametros_manuales!$H$43="Todos",'Plan mensual'!H42,0)))*parametros_manuales!$I$43*parametros_manuales!$J$43</f>
        <v>3676.78</v>
      </c>
      <c r="G107" s="4">
        <f>(parametros_manuales!$D$43*('Plan mensual'!I35+IF(parametros_manuales!$H$43="Todos",'Plan mensual'!I39,0))+parametros_manuales!$E$43*('Plan mensual'!I36+IF(parametros_manuales!$H$43="Todos",'Plan mensual'!I40,0))+parametros_manuales!$F$43*('Plan mensual'!I37+IF(parametros_manuales!$H$43="Todos",'Plan mensual'!I41,0))+parametros_manuales!$G$43*('Plan mensual'!I38+IF(parametros_manuales!$H$43="Todos",'Plan mensual'!I42,0)))*parametros_manuales!$I$43*parametros_manuales!$J$43</f>
        <v>3600.815</v>
      </c>
      <c r="H107" s="4">
        <f>(parametros_manuales!$D$43*('Plan mensual'!J35+IF(parametros_manuales!$H$43="Todos",'Plan mensual'!J39,0))+parametros_manuales!$E$43*('Plan mensual'!J36+IF(parametros_manuales!$H$43="Todos",'Plan mensual'!J40,0))+parametros_manuales!$F$43*('Plan mensual'!J37+IF(parametros_manuales!$H$43="Todos",'Plan mensual'!J41,0))+parametros_manuales!$G$43*('Plan mensual'!J38+IF(parametros_manuales!$H$43="Todos",'Plan mensual'!J42,0)))*parametros_manuales!$I$43*parametros_manuales!$J$43</f>
        <v>3852.59</v>
      </c>
      <c r="I107" s="4">
        <f>(parametros_manuales!$D$43*('Plan mensual'!K35+IF(parametros_manuales!$H$43="Todos",'Plan mensual'!K39,0))+parametros_manuales!$E$43*('Plan mensual'!K36+IF(parametros_manuales!$H$43="Todos",'Plan mensual'!K40,0))+parametros_manuales!$F$43*('Plan mensual'!K37+IF(parametros_manuales!$H$43="Todos",'Plan mensual'!K41,0))+parametros_manuales!$G$43*('Plan mensual'!K38+IF(parametros_manuales!$H$43="Todos",'Plan mensual'!K42,0)))*parametros_manuales!$I$43*parametros_manuales!$J$43</f>
        <v>3852.59</v>
      </c>
      <c r="J107" s="4">
        <f>(parametros_manuales!$D$43*('Plan mensual'!L35+IF(parametros_manuales!$H$43="Todos",'Plan mensual'!L39,0))+parametros_manuales!$E$43*('Plan mensual'!L36+IF(parametros_manuales!$H$43="Todos",'Plan mensual'!L40,0))+parametros_manuales!$F$43*('Plan mensual'!L37+IF(parametros_manuales!$H$43="Todos",'Plan mensual'!L41,0))+parametros_manuales!$G$43*('Plan mensual'!L38+IF(parametros_manuales!$H$43="Todos",'Plan mensual'!L42,0)))*parametros_manuales!$I$43*parametros_manuales!$J$43</f>
        <v>3852.59</v>
      </c>
      <c r="K107" s="4">
        <f>(parametros_manuales!$D$43*('Plan mensual'!M35+IF(parametros_manuales!$H$43="Todos",'Plan mensual'!M39,0))+parametros_manuales!$E$43*('Plan mensual'!M36+IF(parametros_manuales!$H$43="Todos",'Plan mensual'!M40,0))+parametros_manuales!$F$43*('Plan mensual'!M37+IF(parametros_manuales!$H$43="Todos",'Plan mensual'!M41,0))+parametros_manuales!$G$43*('Plan mensual'!M38+IF(parametros_manuales!$H$43="Todos",'Plan mensual'!M42,0)))*parametros_manuales!$I$43*parametros_manuales!$J$43</f>
        <v>3776.625</v>
      </c>
      <c r="L107" s="4">
        <f>(parametros_manuales!$D$43*('Plan mensual'!N35+IF(parametros_manuales!$H$43="Todos",'Plan mensual'!N39,0))+parametros_manuales!$E$43*('Plan mensual'!N36+IF(parametros_manuales!$H$43="Todos",'Plan mensual'!N40,0))+parametros_manuales!$F$43*('Plan mensual'!N37+IF(parametros_manuales!$H$43="Todos",'Plan mensual'!N41,0))+parametros_manuales!$G$43*('Plan mensual'!N38+IF(parametros_manuales!$H$43="Todos",'Plan mensual'!N42,0)))*parametros_manuales!$I$43*parametros_manuales!$J$43</f>
        <v>3700.66</v>
      </c>
      <c r="M107" s="4">
        <f>(parametros_manuales!$D$43*('Plan mensual'!O35+IF(parametros_manuales!$H$43="Todos",'Plan mensual'!O39,0))+parametros_manuales!$E$43*('Plan mensual'!O36+IF(parametros_manuales!$H$43="Todos",'Plan mensual'!O40,0))+parametros_manuales!$F$43*('Plan mensual'!O37+IF(parametros_manuales!$H$43="Todos",'Plan mensual'!O41,0))+parametros_manuales!$G$43*('Plan mensual'!O38+IF(parametros_manuales!$H$43="Todos",'Plan mensual'!O42,0)))*parametros_manuales!$I$43*parametros_manuales!$J$43</f>
        <v>5890.67</v>
      </c>
      <c r="N107" s="4">
        <f t="shared" si="10"/>
        <v>50355</v>
      </c>
      <c r="O107" s="4">
        <f t="shared" si="11"/>
        <v>5890.67</v>
      </c>
      <c r="P107" s="27">
        <f>O107/(parametros_manuales!$B$7)</f>
        <v>39.27113333</v>
      </c>
      <c r="Q107" s="3" t="str">
        <f t="shared" si="12"/>
        <v>Dic</v>
      </c>
    </row>
    <row r="108" ht="14.25" customHeight="1"/>
    <row r="109" ht="14.25" customHeight="1">
      <c r="A109" s="1" t="s">
        <v>181</v>
      </c>
      <c r="B109" s="1" t="s">
        <v>5</v>
      </c>
      <c r="C109" s="1" t="s">
        <v>7</v>
      </c>
      <c r="D109" s="1" t="s">
        <v>8</v>
      </c>
      <c r="E109" s="1" t="s">
        <v>9</v>
      </c>
      <c r="F109" s="1" t="s">
        <v>11</v>
      </c>
      <c r="G109" s="1" t="s">
        <v>12</v>
      </c>
      <c r="H109" s="1" t="s">
        <v>14</v>
      </c>
      <c r="I109" s="1" t="s">
        <v>15</v>
      </c>
      <c r="J109" s="1" t="s">
        <v>16</v>
      </c>
      <c r="K109" s="1" t="s">
        <v>18</v>
      </c>
      <c r="L109" s="1" t="s">
        <v>19</v>
      </c>
      <c r="M109" s="1" t="s">
        <v>20</v>
      </c>
      <c r="N109" s="1" t="s">
        <v>21</v>
      </c>
      <c r="O109" s="1" t="s">
        <v>22</v>
      </c>
      <c r="P109" s="1" t="s">
        <v>23</v>
      </c>
      <c r="Q109" s="1" t="s">
        <v>24</v>
      </c>
    </row>
    <row r="110" ht="14.25" customHeight="1">
      <c r="A110" s="3" t="str">
        <f>parametros_manuales!$B$19</f>
        <v>Recepción de materia prima</v>
      </c>
      <c r="B110" s="4">
        <f>(parametros_manuales!$D$19*('Plan mensual'!D46+IF(parametros_manuales!$H$19="Todos",'Plan mensual'!D50,0))+parametros_manuales!$E$19*('Plan mensual'!D47+IF(parametros_manuales!$H$19="Todos",'Plan mensual'!D51,0))+parametros_manuales!$F$19*('Plan mensual'!D48+IF(parametros_manuales!$H$19="Todos",'Plan mensual'!D52,0))+parametros_manuales!$G$19*('Plan mensual'!D49+IF(parametros_manuales!$H$19="Todos",'Plan mensual'!D53,0)))*parametros_manuales!$I$19*parametros_manuales!$J$19</f>
        <v>10033.02</v>
      </c>
      <c r="C110" s="4">
        <f>(parametros_manuales!$D$19*('Plan mensual'!E46+IF(parametros_manuales!$H$19="Todos",'Plan mensual'!E50,0))+parametros_manuales!$E$19*('Plan mensual'!E47+IF(parametros_manuales!$H$19="Todos",'Plan mensual'!E51,0))+parametros_manuales!$F$19*('Plan mensual'!E48+IF(parametros_manuales!$H$19="Todos",'Plan mensual'!E52,0))+parametros_manuales!$G$19*('Plan mensual'!E49+IF(parametros_manuales!$H$19="Todos",'Plan mensual'!E53,0)))*parametros_manuales!$I$19*parametros_manuales!$J$19</f>
        <v>7653.72</v>
      </c>
      <c r="D110" s="4">
        <f>(parametros_manuales!$D$19*('Plan mensual'!F46+IF(parametros_manuales!$H$19="Todos",'Plan mensual'!F50,0))+parametros_manuales!$E$19*('Plan mensual'!F47+IF(parametros_manuales!$H$19="Todos",'Plan mensual'!F51,0))+parametros_manuales!$F$19*('Plan mensual'!F48+IF(parametros_manuales!$H$19="Todos",'Plan mensual'!F52,0))+parametros_manuales!$G$19*('Plan mensual'!F49+IF(parametros_manuales!$H$19="Todos",'Plan mensual'!F53,0)))*parametros_manuales!$I$19*parametros_manuales!$J$19</f>
        <v>7161.515</v>
      </c>
      <c r="E110" s="4">
        <f>(parametros_manuales!$D$19*('Plan mensual'!G46+IF(parametros_manuales!$H$19="Todos",'Plan mensual'!G50,0))+parametros_manuales!$E$19*('Plan mensual'!G47+IF(parametros_manuales!$H$19="Todos",'Plan mensual'!G51,0))+parametros_manuales!$F$19*('Plan mensual'!G48+IF(parametros_manuales!$H$19="Todos",'Plan mensual'!G52,0))+parametros_manuales!$G$19*('Plan mensual'!G49+IF(parametros_manuales!$H$19="Todos",'Plan mensual'!G53,0)))*parametros_manuales!$I$19*parametros_manuales!$J$19</f>
        <v>6850.935</v>
      </c>
      <c r="F110" s="4">
        <f>(parametros_manuales!$D$19*('Plan mensual'!H46+IF(parametros_manuales!$H$19="Todos",'Plan mensual'!H50,0))+parametros_manuales!$E$19*('Plan mensual'!H47+IF(parametros_manuales!$H$19="Todos",'Plan mensual'!H51,0))+parametros_manuales!$F$19*('Plan mensual'!H48+IF(parametros_manuales!$H$19="Todos",'Plan mensual'!H52,0))+parametros_manuales!$G$19*('Plan mensual'!H49+IF(parametros_manuales!$H$19="Todos",'Plan mensual'!H53,0)))*parametros_manuales!$I$19*parametros_manuales!$J$19</f>
        <v>6411.4</v>
      </c>
      <c r="G110" s="4">
        <f>(parametros_manuales!$D$19*('Plan mensual'!I46+IF(parametros_manuales!$H$19="Todos",'Plan mensual'!I50,0))+parametros_manuales!$E$19*('Plan mensual'!I47+IF(parametros_manuales!$H$19="Todos",'Plan mensual'!I51,0))+parametros_manuales!$F$19*('Plan mensual'!I48+IF(parametros_manuales!$H$19="Todos",'Plan mensual'!I52,0))+parametros_manuales!$G$19*('Plan mensual'!I49+IF(parametros_manuales!$H$19="Todos",'Plan mensual'!I53,0)))*parametros_manuales!$I$19*parametros_manuales!$J$19</f>
        <v>6282.445</v>
      </c>
      <c r="H110" s="4">
        <f>(parametros_manuales!$D$19*('Plan mensual'!J46+IF(parametros_manuales!$H$19="Todos",'Plan mensual'!J50,0))+parametros_manuales!$E$19*('Plan mensual'!J47+IF(parametros_manuales!$H$19="Todos",'Plan mensual'!J51,0))+parametros_manuales!$F$19*('Plan mensual'!J48+IF(parametros_manuales!$H$19="Todos",'Plan mensual'!J52,0))+parametros_manuales!$G$19*('Plan mensual'!J49+IF(parametros_manuales!$H$19="Todos",'Plan mensual'!J53,0)))*parametros_manuales!$I$19*parametros_manuales!$J$19</f>
        <v>6721.98</v>
      </c>
      <c r="I110" s="4">
        <f>(parametros_manuales!$D$19*('Plan mensual'!K46+IF(parametros_manuales!$H$19="Todos",'Plan mensual'!K50,0))+parametros_manuales!$E$19*('Plan mensual'!K47+IF(parametros_manuales!$H$19="Todos",'Plan mensual'!K51,0))+parametros_manuales!$F$19*('Plan mensual'!K48+IF(parametros_manuales!$H$19="Todos",'Plan mensual'!K52,0))+parametros_manuales!$G$19*('Plan mensual'!K49+IF(parametros_manuales!$H$19="Todos",'Plan mensual'!K53,0)))*parametros_manuales!$I$19*parametros_manuales!$J$19</f>
        <v>6721.98</v>
      </c>
      <c r="J110" s="4">
        <f>(parametros_manuales!$D$19*('Plan mensual'!L46+IF(parametros_manuales!$H$19="Todos",'Plan mensual'!L50,0))+parametros_manuales!$E$19*('Plan mensual'!L47+IF(parametros_manuales!$H$19="Todos",'Plan mensual'!L51,0))+parametros_manuales!$F$19*('Plan mensual'!L48+IF(parametros_manuales!$H$19="Todos",'Plan mensual'!L52,0))+parametros_manuales!$G$19*('Plan mensual'!L49+IF(parametros_manuales!$H$19="Todos",'Plan mensual'!L53,0)))*parametros_manuales!$I$19*parametros_manuales!$J$19</f>
        <v>6721.98</v>
      </c>
      <c r="K110" s="4">
        <f>(parametros_manuales!$D$19*('Plan mensual'!M46+IF(parametros_manuales!$H$19="Todos",'Plan mensual'!M50,0))+parametros_manuales!$E$19*('Plan mensual'!M47+IF(parametros_manuales!$H$19="Todos",'Plan mensual'!M51,0))+parametros_manuales!$F$19*('Plan mensual'!M48+IF(parametros_manuales!$H$19="Todos",'Plan mensual'!M52,0))+parametros_manuales!$G$19*('Plan mensual'!M49+IF(parametros_manuales!$H$19="Todos",'Plan mensual'!M53,0)))*parametros_manuales!$I$19*parametros_manuales!$J$19</f>
        <v>6593.025</v>
      </c>
      <c r="L110" s="4">
        <f>(parametros_manuales!$D$19*('Plan mensual'!N46+IF(parametros_manuales!$H$19="Todos",'Plan mensual'!N50,0))+parametros_manuales!$E$19*('Plan mensual'!N47+IF(parametros_manuales!$H$19="Todos",'Plan mensual'!N51,0))+parametros_manuales!$F$19*('Plan mensual'!N48+IF(parametros_manuales!$H$19="Todos",'Plan mensual'!N52,0))+parametros_manuales!$G$19*('Plan mensual'!N49+IF(parametros_manuales!$H$19="Todos",'Plan mensual'!N53,0)))*parametros_manuales!$I$19*parametros_manuales!$J$19</f>
        <v>6464.07</v>
      </c>
      <c r="M110" s="4">
        <f>(parametros_manuales!$D$19*('Plan mensual'!O46+IF(parametros_manuales!$H$19="Todos",'Plan mensual'!O50,0))+parametros_manuales!$E$19*('Plan mensual'!O47+IF(parametros_manuales!$H$19="Todos",'Plan mensual'!O51,0))+parametros_manuales!$F$19*('Plan mensual'!O48+IF(parametros_manuales!$H$19="Todos",'Plan mensual'!O52,0))+parametros_manuales!$G$19*('Plan mensual'!O49+IF(parametros_manuales!$H$19="Todos",'Plan mensual'!O53,0)))*parametros_manuales!$I$19*parametros_manuales!$J$19</f>
        <v>10290.93</v>
      </c>
      <c r="N110" s="4">
        <f t="shared" ref="N110:N134" si="13">SUM(B110:M110)</f>
        <v>87907</v>
      </c>
      <c r="O110" s="4">
        <f t="shared" ref="O110:O134" si="14">MAX(B110:M110)</f>
        <v>10290.93</v>
      </c>
      <c r="P110" s="27">
        <f>O110/(parametros_manuales!$B$7)</f>
        <v>68.6062</v>
      </c>
      <c r="Q110" s="3" t="str">
        <f t="shared" ref="Q110:Q134" si="15">IF(O110=0,"-",INDEX($B$109:$M$109,MATCH(O110,B110:M110,0)))</f>
        <v>Dic</v>
      </c>
    </row>
    <row r="111" ht="14.25" customHeight="1">
      <c r="A111" s="3" t="str">
        <f>parametros_manuales!$B$20</f>
        <v>Corte de chapa (guillotina) — 2,5 a 10 kg</v>
      </c>
      <c r="B111" s="4">
        <f>(parametros_manuales!$D$20*('Plan mensual'!D46+IF(parametros_manuales!$H$20="Todos",'Plan mensual'!D50,0))+parametros_manuales!$E$20*('Plan mensual'!D47+IF(parametros_manuales!$H$20="Todos",'Plan mensual'!D51,0))+parametros_manuales!$F$20*('Plan mensual'!D48+IF(parametros_manuales!$H$20="Todos",'Plan mensual'!D52,0))+parametros_manuales!$G$20*('Plan mensual'!D49+IF(parametros_manuales!$H$20="Todos",'Plan mensual'!D53,0)))*parametros_manuales!$I$20*parametros_manuales!$J$20</f>
        <v>2579.1</v>
      </c>
      <c r="C111" s="4">
        <f>(parametros_manuales!$D$20*('Plan mensual'!E46+IF(parametros_manuales!$H$20="Todos",'Plan mensual'!E50,0))+parametros_manuales!$E$20*('Plan mensual'!E47+IF(parametros_manuales!$H$20="Todos",'Plan mensual'!E51,0))+parametros_manuales!$F$20*('Plan mensual'!E48+IF(parametros_manuales!$H$20="Todos",'Plan mensual'!E52,0))+parametros_manuales!$G$20*('Plan mensual'!E49+IF(parametros_manuales!$H$20="Todos",'Plan mensual'!E53,0)))*parametros_manuales!$I$20*parametros_manuales!$J$20</f>
        <v>2063.28</v>
      </c>
      <c r="D111" s="4">
        <f>(parametros_manuales!$D$20*('Plan mensual'!F46+IF(parametros_manuales!$H$20="Todos",'Plan mensual'!F50,0))+parametros_manuales!$E$20*('Plan mensual'!F47+IF(parametros_manuales!$H$20="Todos",'Plan mensual'!F51,0))+parametros_manuales!$F$20*('Plan mensual'!F48+IF(parametros_manuales!$H$20="Todos",'Plan mensual'!F52,0))+parametros_manuales!$G$20*('Plan mensual'!F49+IF(parametros_manuales!$H$20="Todos",'Plan mensual'!F53,0)))*parametros_manuales!$I$20*parametros_manuales!$J$20</f>
        <v>2192.235</v>
      </c>
      <c r="E111" s="4">
        <f>(parametros_manuales!$D$20*('Plan mensual'!G46+IF(parametros_manuales!$H$20="Todos",'Plan mensual'!G50,0))+parametros_manuales!$E$20*('Plan mensual'!G47+IF(parametros_manuales!$H$20="Todos",'Plan mensual'!G51,0))+parametros_manuales!$F$20*('Plan mensual'!G48+IF(parametros_manuales!$H$20="Todos",'Plan mensual'!G52,0))+parametros_manuales!$G$20*('Plan mensual'!G49+IF(parametros_manuales!$H$20="Todos",'Plan mensual'!G53,0)))*parametros_manuales!$I$20*parametros_manuales!$J$20</f>
        <v>2192.235</v>
      </c>
      <c r="F111" s="4">
        <f>(parametros_manuales!$D$20*('Plan mensual'!H46+IF(parametros_manuales!$H$20="Todos",'Plan mensual'!H50,0))+parametros_manuales!$E$20*('Plan mensual'!H47+IF(parametros_manuales!$H$20="Todos",'Plan mensual'!H51,0))+parametros_manuales!$F$20*('Plan mensual'!H48+IF(parametros_manuales!$H$20="Todos",'Plan mensual'!H52,0))+parametros_manuales!$G$20*('Plan mensual'!H49+IF(parametros_manuales!$H$20="Todos",'Plan mensual'!H53,0)))*parametros_manuales!$I$20*parametros_manuales!$J$20</f>
        <v>2063.28</v>
      </c>
      <c r="G111" s="4">
        <f>(parametros_manuales!$D$20*('Plan mensual'!I46+IF(parametros_manuales!$H$20="Todos",'Plan mensual'!I50,0))+parametros_manuales!$E$20*('Plan mensual'!I47+IF(parametros_manuales!$H$20="Todos",'Plan mensual'!I51,0))+parametros_manuales!$F$20*('Plan mensual'!I48+IF(parametros_manuales!$H$20="Todos",'Plan mensual'!I52,0))+parametros_manuales!$G$20*('Plan mensual'!I49+IF(parametros_manuales!$H$20="Todos",'Plan mensual'!I53,0)))*parametros_manuales!$I$20*parametros_manuales!$J$20</f>
        <v>1934.325</v>
      </c>
      <c r="H111" s="4">
        <f>(parametros_manuales!$D$20*('Plan mensual'!J46+IF(parametros_manuales!$H$20="Todos",'Plan mensual'!J50,0))+parametros_manuales!$E$20*('Plan mensual'!J47+IF(parametros_manuales!$H$20="Todos",'Plan mensual'!J51,0))+parametros_manuales!$F$20*('Plan mensual'!J48+IF(parametros_manuales!$H$20="Todos",'Plan mensual'!J52,0))+parametros_manuales!$G$20*('Plan mensual'!J49+IF(parametros_manuales!$H$20="Todos",'Plan mensual'!J53,0)))*parametros_manuales!$I$20*parametros_manuales!$J$20</f>
        <v>2063.28</v>
      </c>
      <c r="I111" s="4">
        <f>(parametros_manuales!$D$20*('Plan mensual'!K46+IF(parametros_manuales!$H$20="Todos",'Plan mensual'!K50,0))+parametros_manuales!$E$20*('Plan mensual'!K47+IF(parametros_manuales!$H$20="Todos",'Plan mensual'!K51,0))+parametros_manuales!$F$20*('Plan mensual'!K48+IF(parametros_manuales!$H$20="Todos",'Plan mensual'!K52,0))+parametros_manuales!$G$20*('Plan mensual'!K49+IF(parametros_manuales!$H$20="Todos",'Plan mensual'!K53,0)))*parametros_manuales!$I$20*parametros_manuales!$J$20</f>
        <v>2063.28</v>
      </c>
      <c r="J111" s="4">
        <f>(parametros_manuales!$D$20*('Plan mensual'!L46+IF(parametros_manuales!$H$20="Todos",'Plan mensual'!L50,0))+parametros_manuales!$E$20*('Plan mensual'!L47+IF(parametros_manuales!$H$20="Todos",'Plan mensual'!L51,0))+parametros_manuales!$F$20*('Plan mensual'!L48+IF(parametros_manuales!$H$20="Todos",'Plan mensual'!L52,0))+parametros_manuales!$G$20*('Plan mensual'!L49+IF(parametros_manuales!$H$20="Todos",'Plan mensual'!L53,0)))*parametros_manuales!$I$20*parametros_manuales!$J$20</f>
        <v>2063.28</v>
      </c>
      <c r="K111" s="4">
        <f>(parametros_manuales!$D$20*('Plan mensual'!M46+IF(parametros_manuales!$H$20="Todos",'Plan mensual'!M50,0))+parametros_manuales!$E$20*('Plan mensual'!M47+IF(parametros_manuales!$H$20="Todos",'Plan mensual'!M51,0))+parametros_manuales!$F$20*('Plan mensual'!M48+IF(parametros_manuales!$H$20="Todos",'Plan mensual'!M52,0))+parametros_manuales!$G$20*('Plan mensual'!M49+IF(parametros_manuales!$H$20="Todos",'Plan mensual'!M53,0)))*parametros_manuales!$I$20*parametros_manuales!$J$20</f>
        <v>1934.325</v>
      </c>
      <c r="L111" s="4">
        <f>(parametros_manuales!$D$20*('Plan mensual'!N46+IF(parametros_manuales!$H$20="Todos",'Plan mensual'!N50,0))+parametros_manuales!$E$20*('Plan mensual'!N47+IF(parametros_manuales!$H$20="Todos",'Plan mensual'!N51,0))+parametros_manuales!$F$20*('Plan mensual'!N48+IF(parametros_manuales!$H$20="Todos",'Plan mensual'!N52,0))+parametros_manuales!$G$20*('Plan mensual'!N49+IF(parametros_manuales!$H$20="Todos",'Plan mensual'!N53,0)))*parametros_manuales!$I$20*parametros_manuales!$J$20</f>
        <v>1805.37</v>
      </c>
      <c r="M111" s="4">
        <f>(parametros_manuales!$D$20*('Plan mensual'!O46+IF(parametros_manuales!$H$20="Todos",'Plan mensual'!O50,0))+parametros_manuales!$E$20*('Plan mensual'!O47+IF(parametros_manuales!$H$20="Todos",'Plan mensual'!O51,0))+parametros_manuales!$F$20*('Plan mensual'!O48+IF(parametros_manuales!$H$20="Todos",'Plan mensual'!O52,0))+parametros_manuales!$G$20*('Plan mensual'!O49+IF(parametros_manuales!$H$20="Todos",'Plan mensual'!O53,0)))*parametros_manuales!$I$20*parametros_manuales!$J$20</f>
        <v>2837.01</v>
      </c>
      <c r="N111" s="4">
        <f t="shared" si="13"/>
        <v>25791</v>
      </c>
      <c r="O111" s="4">
        <f t="shared" si="14"/>
        <v>2837.01</v>
      </c>
      <c r="P111" s="27">
        <f>O111/(parametros_manuales!$B$7)</f>
        <v>18.9134</v>
      </c>
      <c r="Q111" s="3" t="str">
        <f t="shared" si="15"/>
        <v>Dic</v>
      </c>
    </row>
    <row r="112" ht="14.25" customHeight="1">
      <c r="A112" s="3" t="str">
        <f>parametros_manuales!$B$21</f>
        <v>Corte de tubo — 1 kg</v>
      </c>
      <c r="B112" s="4">
        <f>(parametros_manuales!$D$21*('Plan mensual'!D46+IF(parametros_manuales!$H$21="Todos",'Plan mensual'!D50,0))+parametros_manuales!$E$21*('Plan mensual'!D47+IF(parametros_manuales!$H$21="Todos",'Plan mensual'!D51,0))+parametros_manuales!$F$21*('Plan mensual'!D48+IF(parametros_manuales!$H$21="Todos",'Plan mensual'!D52,0))+parametros_manuales!$G$21*('Plan mensual'!D49+IF(parametros_manuales!$H$21="Todos",'Plan mensual'!D53,0)))*parametros_manuales!$I$21*parametros_manuales!$J$21</f>
        <v>7453.92</v>
      </c>
      <c r="C112" s="4">
        <f>(parametros_manuales!$D$21*('Plan mensual'!E46+IF(parametros_manuales!$H$21="Todos",'Plan mensual'!E50,0))+parametros_manuales!$E$21*('Plan mensual'!E47+IF(parametros_manuales!$H$21="Todos",'Plan mensual'!E51,0))+parametros_manuales!$F$21*('Plan mensual'!E48+IF(parametros_manuales!$H$21="Todos",'Plan mensual'!E52,0))+parametros_manuales!$G$21*('Plan mensual'!E49+IF(parametros_manuales!$H$21="Todos",'Plan mensual'!E53,0)))*parametros_manuales!$I$21*parametros_manuales!$J$21</f>
        <v>5590.44</v>
      </c>
      <c r="D112" s="4">
        <f>(parametros_manuales!$D$21*('Plan mensual'!F46+IF(parametros_manuales!$H$21="Todos",'Plan mensual'!F50,0))+parametros_manuales!$E$21*('Plan mensual'!F47+IF(parametros_manuales!$H$21="Todos",'Plan mensual'!F51,0))+parametros_manuales!$F$21*('Plan mensual'!F48+IF(parametros_manuales!$H$21="Todos",'Plan mensual'!F52,0))+parametros_manuales!$G$21*('Plan mensual'!F49+IF(parametros_manuales!$H$21="Todos",'Plan mensual'!F53,0)))*parametros_manuales!$I$21*parametros_manuales!$J$21</f>
        <v>4969.28</v>
      </c>
      <c r="E112" s="4">
        <f>(parametros_manuales!$D$21*('Plan mensual'!G46+IF(parametros_manuales!$H$21="Todos",'Plan mensual'!G50,0))+parametros_manuales!$E$21*('Plan mensual'!G47+IF(parametros_manuales!$H$21="Todos",'Plan mensual'!G51,0))+parametros_manuales!$F$21*('Plan mensual'!G48+IF(parametros_manuales!$H$21="Todos",'Plan mensual'!G52,0))+parametros_manuales!$G$21*('Plan mensual'!G49+IF(parametros_manuales!$H$21="Todos",'Plan mensual'!G53,0)))*parametros_manuales!$I$21*parametros_manuales!$J$21</f>
        <v>4658.7</v>
      </c>
      <c r="F112" s="4">
        <f>(parametros_manuales!$D$21*('Plan mensual'!H46+IF(parametros_manuales!$H$21="Todos",'Plan mensual'!H50,0))+parametros_manuales!$E$21*('Plan mensual'!H47+IF(parametros_manuales!$H$21="Todos",'Plan mensual'!H51,0))+parametros_manuales!$F$21*('Plan mensual'!H48+IF(parametros_manuales!$H$21="Todos",'Plan mensual'!H52,0))+parametros_manuales!$G$21*('Plan mensual'!H49+IF(parametros_manuales!$H$21="Todos",'Plan mensual'!H53,0)))*parametros_manuales!$I$21*parametros_manuales!$J$21</f>
        <v>4348.12</v>
      </c>
      <c r="G112" s="4">
        <f>(parametros_manuales!$D$21*('Plan mensual'!I46+IF(parametros_manuales!$H$21="Todos",'Plan mensual'!I50,0))+parametros_manuales!$E$21*('Plan mensual'!I47+IF(parametros_manuales!$H$21="Todos",'Plan mensual'!I51,0))+parametros_manuales!$F$21*('Plan mensual'!I48+IF(parametros_manuales!$H$21="Todos",'Plan mensual'!I52,0))+parametros_manuales!$G$21*('Plan mensual'!I49+IF(parametros_manuales!$H$21="Todos",'Plan mensual'!I53,0)))*parametros_manuales!$I$21*parametros_manuales!$J$21</f>
        <v>4348.12</v>
      </c>
      <c r="H112" s="4">
        <f>(parametros_manuales!$D$21*('Plan mensual'!J46+IF(parametros_manuales!$H$21="Todos",'Plan mensual'!J50,0))+parametros_manuales!$E$21*('Plan mensual'!J47+IF(parametros_manuales!$H$21="Todos",'Plan mensual'!J51,0))+parametros_manuales!$F$21*('Plan mensual'!J48+IF(parametros_manuales!$H$21="Todos",'Plan mensual'!J52,0))+parametros_manuales!$G$21*('Plan mensual'!J49+IF(parametros_manuales!$H$21="Todos",'Plan mensual'!J53,0)))*parametros_manuales!$I$21*parametros_manuales!$J$21</f>
        <v>4658.7</v>
      </c>
      <c r="I112" s="4">
        <f>(parametros_manuales!$D$21*('Plan mensual'!K46+IF(parametros_manuales!$H$21="Todos",'Plan mensual'!K50,0))+parametros_manuales!$E$21*('Plan mensual'!K47+IF(parametros_manuales!$H$21="Todos",'Plan mensual'!K51,0))+parametros_manuales!$F$21*('Plan mensual'!K48+IF(parametros_manuales!$H$21="Todos",'Plan mensual'!K52,0))+parametros_manuales!$G$21*('Plan mensual'!K49+IF(parametros_manuales!$H$21="Todos",'Plan mensual'!K53,0)))*parametros_manuales!$I$21*parametros_manuales!$J$21</f>
        <v>4658.7</v>
      </c>
      <c r="J112" s="4">
        <f>(parametros_manuales!$D$21*('Plan mensual'!L46+IF(parametros_manuales!$H$21="Todos",'Plan mensual'!L50,0))+parametros_manuales!$E$21*('Plan mensual'!L47+IF(parametros_manuales!$H$21="Todos",'Plan mensual'!L51,0))+parametros_manuales!$F$21*('Plan mensual'!L48+IF(parametros_manuales!$H$21="Todos",'Plan mensual'!L52,0))+parametros_manuales!$G$21*('Plan mensual'!L49+IF(parametros_manuales!$H$21="Todos",'Plan mensual'!L53,0)))*parametros_manuales!$I$21*parametros_manuales!$J$21</f>
        <v>4658.7</v>
      </c>
      <c r="K112" s="4">
        <f>(parametros_manuales!$D$21*('Plan mensual'!M46+IF(parametros_manuales!$H$21="Todos",'Plan mensual'!M50,0))+parametros_manuales!$E$21*('Plan mensual'!M47+IF(parametros_manuales!$H$21="Todos",'Plan mensual'!M51,0))+parametros_manuales!$F$21*('Plan mensual'!M48+IF(parametros_manuales!$H$21="Todos",'Plan mensual'!M52,0))+parametros_manuales!$G$21*('Plan mensual'!M49+IF(parametros_manuales!$H$21="Todos",'Plan mensual'!M53,0)))*parametros_manuales!$I$21*parametros_manuales!$J$21</f>
        <v>4658.7</v>
      </c>
      <c r="L112" s="4">
        <f>(parametros_manuales!$D$21*('Plan mensual'!N46+IF(parametros_manuales!$H$21="Todos",'Plan mensual'!N50,0))+parametros_manuales!$E$21*('Plan mensual'!N47+IF(parametros_manuales!$H$21="Todos",'Plan mensual'!N51,0))+parametros_manuales!$F$21*('Plan mensual'!N48+IF(parametros_manuales!$H$21="Todos",'Plan mensual'!N52,0))+parametros_manuales!$G$21*('Plan mensual'!N49+IF(parametros_manuales!$H$21="Todos",'Plan mensual'!N53,0)))*parametros_manuales!$I$21*parametros_manuales!$J$21</f>
        <v>4658.7</v>
      </c>
      <c r="M112" s="4">
        <f>(parametros_manuales!$D$21*('Plan mensual'!O46+IF(parametros_manuales!$H$21="Todos",'Plan mensual'!O50,0))+parametros_manuales!$E$21*('Plan mensual'!O47+IF(parametros_manuales!$H$21="Todos",'Plan mensual'!O51,0))+parametros_manuales!$F$21*('Plan mensual'!O48+IF(parametros_manuales!$H$21="Todos",'Plan mensual'!O52,0))+parametros_manuales!$G$21*('Plan mensual'!O49+IF(parametros_manuales!$H$21="Todos",'Plan mensual'!O53,0)))*parametros_manuales!$I$21*parametros_manuales!$J$21</f>
        <v>7453.92</v>
      </c>
      <c r="N112" s="4">
        <f t="shared" si="13"/>
        <v>62116</v>
      </c>
      <c r="O112" s="4">
        <f t="shared" si="14"/>
        <v>7453.92</v>
      </c>
      <c r="P112" s="27">
        <f>O112/(parametros_manuales!$B$7)</f>
        <v>49.6928</v>
      </c>
      <c r="Q112" s="3" t="str">
        <f t="shared" si="15"/>
        <v>Ene</v>
      </c>
    </row>
    <row r="113" ht="14.25" customHeight="1">
      <c r="A113" s="3" t="str">
        <f>parametros_manuales!$B$22</f>
        <v>Corte de disco y embutido (cúpula y fondo)</v>
      </c>
      <c r="B113" s="4">
        <f>(parametros_manuales!$D$22*('Plan mensual'!D46+IF(parametros_manuales!$H$22="Todos",'Plan mensual'!D50,0))+parametros_manuales!$E$22*('Plan mensual'!D47+IF(parametros_manuales!$H$22="Todos",'Plan mensual'!D51,0))+parametros_manuales!$F$22*('Plan mensual'!D48+IF(parametros_manuales!$H$22="Todos",'Plan mensual'!D52,0))+parametros_manuales!$G$22*('Plan mensual'!D49+IF(parametros_manuales!$H$22="Todos",'Plan mensual'!D53,0)))*parametros_manuales!$I$22*parametros_manuales!$J$22</f>
        <v>20066.04</v>
      </c>
      <c r="C113" s="4">
        <f>(parametros_manuales!$D$22*('Plan mensual'!E46+IF(parametros_manuales!$H$22="Todos",'Plan mensual'!E50,0))+parametros_manuales!$E$22*('Plan mensual'!E47+IF(parametros_manuales!$H$22="Todos",'Plan mensual'!E51,0))+parametros_manuales!$F$22*('Plan mensual'!E48+IF(parametros_manuales!$H$22="Todos",'Plan mensual'!E52,0))+parametros_manuales!$G$22*('Plan mensual'!E49+IF(parametros_manuales!$H$22="Todos",'Plan mensual'!E53,0)))*parametros_manuales!$I$22*parametros_manuales!$J$22</f>
        <v>15307.44</v>
      </c>
      <c r="D113" s="4">
        <f>(parametros_manuales!$D$22*('Plan mensual'!F46+IF(parametros_manuales!$H$22="Todos",'Plan mensual'!F50,0))+parametros_manuales!$E$22*('Plan mensual'!F47+IF(parametros_manuales!$H$22="Todos",'Plan mensual'!F51,0))+parametros_manuales!$F$22*('Plan mensual'!F48+IF(parametros_manuales!$H$22="Todos",'Plan mensual'!F52,0))+parametros_manuales!$G$22*('Plan mensual'!F49+IF(parametros_manuales!$H$22="Todos",'Plan mensual'!F53,0)))*parametros_manuales!$I$22*parametros_manuales!$J$22</f>
        <v>14323.03</v>
      </c>
      <c r="E113" s="4">
        <f>(parametros_manuales!$D$22*('Plan mensual'!G46+IF(parametros_manuales!$H$22="Todos",'Plan mensual'!G50,0))+parametros_manuales!$E$22*('Plan mensual'!G47+IF(parametros_manuales!$H$22="Todos",'Plan mensual'!G51,0))+parametros_manuales!$F$22*('Plan mensual'!G48+IF(parametros_manuales!$H$22="Todos",'Plan mensual'!G52,0))+parametros_manuales!$G$22*('Plan mensual'!G49+IF(parametros_manuales!$H$22="Todos",'Plan mensual'!G53,0)))*parametros_manuales!$I$22*parametros_manuales!$J$22</f>
        <v>13701.87</v>
      </c>
      <c r="F113" s="4">
        <f>(parametros_manuales!$D$22*('Plan mensual'!H46+IF(parametros_manuales!$H$22="Todos",'Plan mensual'!H50,0))+parametros_manuales!$E$22*('Plan mensual'!H47+IF(parametros_manuales!$H$22="Todos",'Plan mensual'!H51,0))+parametros_manuales!$F$22*('Plan mensual'!H48+IF(parametros_manuales!$H$22="Todos",'Plan mensual'!H52,0))+parametros_manuales!$G$22*('Plan mensual'!H49+IF(parametros_manuales!$H$22="Todos",'Plan mensual'!H53,0)))*parametros_manuales!$I$22*parametros_manuales!$J$22</f>
        <v>12822.8</v>
      </c>
      <c r="G113" s="4">
        <f>(parametros_manuales!$D$22*('Plan mensual'!I46+IF(parametros_manuales!$H$22="Todos",'Plan mensual'!I50,0))+parametros_manuales!$E$22*('Plan mensual'!I47+IF(parametros_manuales!$H$22="Todos",'Plan mensual'!I51,0))+parametros_manuales!$F$22*('Plan mensual'!I48+IF(parametros_manuales!$H$22="Todos",'Plan mensual'!I52,0))+parametros_manuales!$G$22*('Plan mensual'!I49+IF(parametros_manuales!$H$22="Todos",'Plan mensual'!I53,0)))*parametros_manuales!$I$22*parametros_manuales!$J$22</f>
        <v>12564.89</v>
      </c>
      <c r="H113" s="4">
        <f>(parametros_manuales!$D$22*('Plan mensual'!J46+IF(parametros_manuales!$H$22="Todos",'Plan mensual'!J50,0))+parametros_manuales!$E$22*('Plan mensual'!J47+IF(parametros_manuales!$H$22="Todos",'Plan mensual'!J51,0))+parametros_manuales!$F$22*('Plan mensual'!J48+IF(parametros_manuales!$H$22="Todos",'Plan mensual'!J52,0))+parametros_manuales!$G$22*('Plan mensual'!J49+IF(parametros_manuales!$H$22="Todos",'Plan mensual'!J53,0)))*parametros_manuales!$I$22*parametros_manuales!$J$22</f>
        <v>13443.96</v>
      </c>
      <c r="I113" s="4">
        <f>(parametros_manuales!$D$22*('Plan mensual'!K46+IF(parametros_manuales!$H$22="Todos",'Plan mensual'!K50,0))+parametros_manuales!$E$22*('Plan mensual'!K47+IF(parametros_manuales!$H$22="Todos",'Plan mensual'!K51,0))+parametros_manuales!$F$22*('Plan mensual'!K48+IF(parametros_manuales!$H$22="Todos",'Plan mensual'!K52,0))+parametros_manuales!$G$22*('Plan mensual'!K49+IF(parametros_manuales!$H$22="Todos",'Plan mensual'!K53,0)))*parametros_manuales!$I$22*parametros_manuales!$J$22</f>
        <v>13443.96</v>
      </c>
      <c r="J113" s="4">
        <f>(parametros_manuales!$D$22*('Plan mensual'!L46+IF(parametros_manuales!$H$22="Todos",'Plan mensual'!L50,0))+parametros_manuales!$E$22*('Plan mensual'!L47+IF(parametros_manuales!$H$22="Todos",'Plan mensual'!L51,0))+parametros_manuales!$F$22*('Plan mensual'!L48+IF(parametros_manuales!$H$22="Todos",'Plan mensual'!L52,0))+parametros_manuales!$G$22*('Plan mensual'!L49+IF(parametros_manuales!$H$22="Todos",'Plan mensual'!L53,0)))*parametros_manuales!$I$22*parametros_manuales!$J$22</f>
        <v>13443.96</v>
      </c>
      <c r="K113" s="4">
        <f>(parametros_manuales!$D$22*('Plan mensual'!M46+IF(parametros_manuales!$H$22="Todos",'Plan mensual'!M50,0))+parametros_manuales!$E$22*('Plan mensual'!M47+IF(parametros_manuales!$H$22="Todos",'Plan mensual'!M51,0))+parametros_manuales!$F$22*('Plan mensual'!M48+IF(parametros_manuales!$H$22="Todos",'Plan mensual'!M52,0))+parametros_manuales!$G$22*('Plan mensual'!M49+IF(parametros_manuales!$H$22="Todos",'Plan mensual'!M53,0)))*parametros_manuales!$I$22*parametros_manuales!$J$22</f>
        <v>13186.05</v>
      </c>
      <c r="L113" s="4">
        <f>(parametros_manuales!$D$22*('Plan mensual'!N46+IF(parametros_manuales!$H$22="Todos",'Plan mensual'!N50,0))+parametros_manuales!$E$22*('Plan mensual'!N47+IF(parametros_manuales!$H$22="Todos",'Plan mensual'!N51,0))+parametros_manuales!$F$22*('Plan mensual'!N48+IF(parametros_manuales!$H$22="Todos",'Plan mensual'!N52,0))+parametros_manuales!$G$22*('Plan mensual'!N49+IF(parametros_manuales!$H$22="Todos",'Plan mensual'!N53,0)))*parametros_manuales!$I$22*parametros_manuales!$J$22</f>
        <v>12928.14</v>
      </c>
      <c r="M113" s="4">
        <f>(parametros_manuales!$D$22*('Plan mensual'!O46+IF(parametros_manuales!$H$22="Todos",'Plan mensual'!O50,0))+parametros_manuales!$E$22*('Plan mensual'!O47+IF(parametros_manuales!$H$22="Todos",'Plan mensual'!O51,0))+parametros_manuales!$F$22*('Plan mensual'!O48+IF(parametros_manuales!$H$22="Todos",'Plan mensual'!O52,0))+parametros_manuales!$G$22*('Plan mensual'!O49+IF(parametros_manuales!$H$22="Todos",'Plan mensual'!O53,0)))*parametros_manuales!$I$22*parametros_manuales!$J$22</f>
        <v>20581.86</v>
      </c>
      <c r="N113" s="4">
        <f t="shared" si="13"/>
        <v>175814</v>
      </c>
      <c r="O113" s="4">
        <f t="shared" si="14"/>
        <v>20581.86</v>
      </c>
      <c r="P113" s="27">
        <f>O113/(parametros_manuales!$B$7)</f>
        <v>137.2124</v>
      </c>
      <c r="Q113" s="3" t="str">
        <f t="shared" si="15"/>
        <v>Dic</v>
      </c>
    </row>
    <row r="114" ht="14.25" customHeight="1">
      <c r="A114" s="3" t="str">
        <f>parametros_manuales!$B$23</f>
        <v>Preparación de cuello</v>
      </c>
      <c r="B114" s="4">
        <f>(parametros_manuales!$D$23*('Plan mensual'!D46+IF(parametros_manuales!$H$23="Todos",'Plan mensual'!D50,0))+parametros_manuales!$E$23*('Plan mensual'!D47+IF(parametros_manuales!$H$23="Todos",'Plan mensual'!D51,0))+parametros_manuales!$F$23*('Plan mensual'!D48+IF(parametros_manuales!$H$23="Todos",'Plan mensual'!D52,0))+parametros_manuales!$G$23*('Plan mensual'!D49+IF(parametros_manuales!$H$23="Todos",'Plan mensual'!D53,0)))*parametros_manuales!$I$23*parametros_manuales!$J$23</f>
        <v>10033.02</v>
      </c>
      <c r="C114" s="4">
        <f>(parametros_manuales!$D$23*('Plan mensual'!E46+IF(parametros_manuales!$H$23="Todos",'Plan mensual'!E50,0))+parametros_manuales!$E$23*('Plan mensual'!E47+IF(parametros_manuales!$H$23="Todos",'Plan mensual'!E51,0))+parametros_manuales!$F$23*('Plan mensual'!E48+IF(parametros_manuales!$H$23="Todos",'Plan mensual'!E52,0))+parametros_manuales!$G$23*('Plan mensual'!E49+IF(parametros_manuales!$H$23="Todos",'Plan mensual'!E53,0)))*parametros_manuales!$I$23*parametros_manuales!$J$23</f>
        <v>7653.72</v>
      </c>
      <c r="D114" s="4">
        <f>(parametros_manuales!$D$23*('Plan mensual'!F46+IF(parametros_manuales!$H$23="Todos",'Plan mensual'!F50,0))+parametros_manuales!$E$23*('Plan mensual'!F47+IF(parametros_manuales!$H$23="Todos",'Plan mensual'!F51,0))+parametros_manuales!$F$23*('Plan mensual'!F48+IF(parametros_manuales!$H$23="Todos",'Plan mensual'!F52,0))+parametros_manuales!$G$23*('Plan mensual'!F49+IF(parametros_manuales!$H$23="Todos",'Plan mensual'!F53,0)))*parametros_manuales!$I$23*parametros_manuales!$J$23</f>
        <v>7161.515</v>
      </c>
      <c r="E114" s="4">
        <f>(parametros_manuales!$D$23*('Plan mensual'!G46+IF(parametros_manuales!$H$23="Todos",'Plan mensual'!G50,0))+parametros_manuales!$E$23*('Plan mensual'!G47+IF(parametros_manuales!$H$23="Todos",'Plan mensual'!G51,0))+parametros_manuales!$F$23*('Plan mensual'!G48+IF(parametros_manuales!$H$23="Todos",'Plan mensual'!G52,0))+parametros_manuales!$G$23*('Plan mensual'!G49+IF(parametros_manuales!$H$23="Todos",'Plan mensual'!G53,0)))*parametros_manuales!$I$23*parametros_manuales!$J$23</f>
        <v>6850.935</v>
      </c>
      <c r="F114" s="4">
        <f>(parametros_manuales!$D$23*('Plan mensual'!H46+IF(parametros_manuales!$H$23="Todos",'Plan mensual'!H50,0))+parametros_manuales!$E$23*('Plan mensual'!H47+IF(parametros_manuales!$H$23="Todos",'Plan mensual'!H51,0))+parametros_manuales!$F$23*('Plan mensual'!H48+IF(parametros_manuales!$H$23="Todos",'Plan mensual'!H52,0))+parametros_manuales!$G$23*('Plan mensual'!H49+IF(parametros_manuales!$H$23="Todos",'Plan mensual'!H53,0)))*parametros_manuales!$I$23*parametros_manuales!$J$23</f>
        <v>6411.4</v>
      </c>
      <c r="G114" s="4">
        <f>(parametros_manuales!$D$23*('Plan mensual'!I46+IF(parametros_manuales!$H$23="Todos",'Plan mensual'!I50,0))+parametros_manuales!$E$23*('Plan mensual'!I47+IF(parametros_manuales!$H$23="Todos",'Plan mensual'!I51,0))+parametros_manuales!$F$23*('Plan mensual'!I48+IF(parametros_manuales!$H$23="Todos",'Plan mensual'!I52,0))+parametros_manuales!$G$23*('Plan mensual'!I49+IF(parametros_manuales!$H$23="Todos",'Plan mensual'!I53,0)))*parametros_manuales!$I$23*parametros_manuales!$J$23</f>
        <v>6282.445</v>
      </c>
      <c r="H114" s="4">
        <f>(parametros_manuales!$D$23*('Plan mensual'!J46+IF(parametros_manuales!$H$23="Todos",'Plan mensual'!J50,0))+parametros_manuales!$E$23*('Plan mensual'!J47+IF(parametros_manuales!$H$23="Todos",'Plan mensual'!J51,0))+parametros_manuales!$F$23*('Plan mensual'!J48+IF(parametros_manuales!$H$23="Todos",'Plan mensual'!J52,0))+parametros_manuales!$G$23*('Plan mensual'!J49+IF(parametros_manuales!$H$23="Todos",'Plan mensual'!J53,0)))*parametros_manuales!$I$23*parametros_manuales!$J$23</f>
        <v>6721.98</v>
      </c>
      <c r="I114" s="4">
        <f>(parametros_manuales!$D$23*('Plan mensual'!K46+IF(parametros_manuales!$H$23="Todos",'Plan mensual'!K50,0))+parametros_manuales!$E$23*('Plan mensual'!K47+IF(parametros_manuales!$H$23="Todos",'Plan mensual'!K51,0))+parametros_manuales!$F$23*('Plan mensual'!K48+IF(parametros_manuales!$H$23="Todos",'Plan mensual'!K52,0))+parametros_manuales!$G$23*('Plan mensual'!K49+IF(parametros_manuales!$H$23="Todos",'Plan mensual'!K53,0)))*parametros_manuales!$I$23*parametros_manuales!$J$23</f>
        <v>6721.98</v>
      </c>
      <c r="J114" s="4">
        <f>(parametros_manuales!$D$23*('Plan mensual'!L46+IF(parametros_manuales!$H$23="Todos",'Plan mensual'!L50,0))+parametros_manuales!$E$23*('Plan mensual'!L47+IF(parametros_manuales!$H$23="Todos",'Plan mensual'!L51,0))+parametros_manuales!$F$23*('Plan mensual'!L48+IF(parametros_manuales!$H$23="Todos",'Plan mensual'!L52,0))+parametros_manuales!$G$23*('Plan mensual'!L49+IF(parametros_manuales!$H$23="Todos",'Plan mensual'!L53,0)))*parametros_manuales!$I$23*parametros_manuales!$J$23</f>
        <v>6721.98</v>
      </c>
      <c r="K114" s="4">
        <f>(parametros_manuales!$D$23*('Plan mensual'!M46+IF(parametros_manuales!$H$23="Todos",'Plan mensual'!M50,0))+parametros_manuales!$E$23*('Plan mensual'!M47+IF(parametros_manuales!$H$23="Todos",'Plan mensual'!M51,0))+parametros_manuales!$F$23*('Plan mensual'!M48+IF(parametros_manuales!$H$23="Todos",'Plan mensual'!M52,0))+parametros_manuales!$G$23*('Plan mensual'!M49+IF(parametros_manuales!$H$23="Todos",'Plan mensual'!M53,0)))*parametros_manuales!$I$23*parametros_manuales!$J$23</f>
        <v>6593.025</v>
      </c>
      <c r="L114" s="4">
        <f>(parametros_manuales!$D$23*('Plan mensual'!N46+IF(parametros_manuales!$H$23="Todos",'Plan mensual'!N50,0))+parametros_manuales!$E$23*('Plan mensual'!N47+IF(parametros_manuales!$H$23="Todos",'Plan mensual'!N51,0))+parametros_manuales!$F$23*('Plan mensual'!N48+IF(parametros_manuales!$H$23="Todos",'Plan mensual'!N52,0))+parametros_manuales!$G$23*('Plan mensual'!N49+IF(parametros_manuales!$H$23="Todos",'Plan mensual'!N53,0)))*parametros_manuales!$I$23*parametros_manuales!$J$23</f>
        <v>6464.07</v>
      </c>
      <c r="M114" s="4">
        <f>(parametros_manuales!$D$23*('Plan mensual'!O46+IF(parametros_manuales!$H$23="Todos",'Plan mensual'!O50,0))+parametros_manuales!$E$23*('Plan mensual'!O47+IF(parametros_manuales!$H$23="Todos",'Plan mensual'!O51,0))+parametros_manuales!$F$23*('Plan mensual'!O48+IF(parametros_manuales!$H$23="Todos",'Plan mensual'!O52,0))+parametros_manuales!$G$23*('Plan mensual'!O49+IF(parametros_manuales!$H$23="Todos",'Plan mensual'!O53,0)))*parametros_manuales!$I$23*parametros_manuales!$J$23</f>
        <v>10290.93</v>
      </c>
      <c r="N114" s="4">
        <f t="shared" si="13"/>
        <v>87907</v>
      </c>
      <c r="O114" s="4">
        <f t="shared" si="14"/>
        <v>10290.93</v>
      </c>
      <c r="P114" s="27">
        <f>O114/(parametros_manuales!$B$7)</f>
        <v>68.6062</v>
      </c>
      <c r="Q114" s="3" t="str">
        <f t="shared" si="15"/>
        <v>Dic</v>
      </c>
    </row>
    <row r="115" ht="14.25" customHeight="1">
      <c r="A115" s="3" t="str">
        <f>parametros_manuales!$B$24</f>
        <v>Numerado de cúpula</v>
      </c>
      <c r="B115" s="4">
        <f>(parametros_manuales!$D$24*('Plan mensual'!D46+IF(parametros_manuales!$H$24="Todos",'Plan mensual'!D50,0))+parametros_manuales!$E$24*('Plan mensual'!D47+IF(parametros_manuales!$H$24="Todos",'Plan mensual'!D51,0))+parametros_manuales!$F$24*('Plan mensual'!D48+IF(parametros_manuales!$H$24="Todos",'Plan mensual'!D52,0))+parametros_manuales!$G$24*('Plan mensual'!D49+IF(parametros_manuales!$H$24="Todos",'Plan mensual'!D53,0)))*parametros_manuales!$I$24*parametros_manuales!$J$24</f>
        <v>10033.02</v>
      </c>
      <c r="C115" s="4">
        <f>(parametros_manuales!$D$24*('Plan mensual'!E46+IF(parametros_manuales!$H$24="Todos",'Plan mensual'!E50,0))+parametros_manuales!$E$24*('Plan mensual'!E47+IF(parametros_manuales!$H$24="Todos",'Plan mensual'!E51,0))+parametros_manuales!$F$24*('Plan mensual'!E48+IF(parametros_manuales!$H$24="Todos",'Plan mensual'!E52,0))+parametros_manuales!$G$24*('Plan mensual'!E49+IF(parametros_manuales!$H$24="Todos",'Plan mensual'!E53,0)))*parametros_manuales!$I$24*parametros_manuales!$J$24</f>
        <v>7653.72</v>
      </c>
      <c r="D115" s="4">
        <f>(parametros_manuales!$D$24*('Plan mensual'!F46+IF(parametros_manuales!$H$24="Todos",'Plan mensual'!F50,0))+parametros_manuales!$E$24*('Plan mensual'!F47+IF(parametros_manuales!$H$24="Todos",'Plan mensual'!F51,0))+parametros_manuales!$F$24*('Plan mensual'!F48+IF(parametros_manuales!$H$24="Todos",'Plan mensual'!F52,0))+parametros_manuales!$G$24*('Plan mensual'!F49+IF(parametros_manuales!$H$24="Todos",'Plan mensual'!F53,0)))*parametros_manuales!$I$24*parametros_manuales!$J$24</f>
        <v>7161.515</v>
      </c>
      <c r="E115" s="4">
        <f>(parametros_manuales!$D$24*('Plan mensual'!G46+IF(parametros_manuales!$H$24="Todos",'Plan mensual'!G50,0))+parametros_manuales!$E$24*('Plan mensual'!G47+IF(parametros_manuales!$H$24="Todos",'Plan mensual'!G51,0))+parametros_manuales!$F$24*('Plan mensual'!G48+IF(parametros_manuales!$H$24="Todos",'Plan mensual'!G52,0))+parametros_manuales!$G$24*('Plan mensual'!G49+IF(parametros_manuales!$H$24="Todos",'Plan mensual'!G53,0)))*parametros_manuales!$I$24*parametros_manuales!$J$24</f>
        <v>6850.935</v>
      </c>
      <c r="F115" s="4">
        <f>(parametros_manuales!$D$24*('Plan mensual'!H46+IF(parametros_manuales!$H$24="Todos",'Plan mensual'!H50,0))+parametros_manuales!$E$24*('Plan mensual'!H47+IF(parametros_manuales!$H$24="Todos",'Plan mensual'!H51,0))+parametros_manuales!$F$24*('Plan mensual'!H48+IF(parametros_manuales!$H$24="Todos",'Plan mensual'!H52,0))+parametros_manuales!$G$24*('Plan mensual'!H49+IF(parametros_manuales!$H$24="Todos",'Plan mensual'!H53,0)))*parametros_manuales!$I$24*parametros_manuales!$J$24</f>
        <v>6411.4</v>
      </c>
      <c r="G115" s="4">
        <f>(parametros_manuales!$D$24*('Plan mensual'!I46+IF(parametros_manuales!$H$24="Todos",'Plan mensual'!I50,0))+parametros_manuales!$E$24*('Plan mensual'!I47+IF(parametros_manuales!$H$24="Todos",'Plan mensual'!I51,0))+parametros_manuales!$F$24*('Plan mensual'!I48+IF(parametros_manuales!$H$24="Todos",'Plan mensual'!I52,0))+parametros_manuales!$G$24*('Plan mensual'!I49+IF(parametros_manuales!$H$24="Todos",'Plan mensual'!I53,0)))*parametros_manuales!$I$24*parametros_manuales!$J$24</f>
        <v>6282.445</v>
      </c>
      <c r="H115" s="4">
        <f>(parametros_manuales!$D$24*('Plan mensual'!J46+IF(parametros_manuales!$H$24="Todos",'Plan mensual'!J50,0))+parametros_manuales!$E$24*('Plan mensual'!J47+IF(parametros_manuales!$H$24="Todos",'Plan mensual'!J51,0))+parametros_manuales!$F$24*('Plan mensual'!J48+IF(parametros_manuales!$H$24="Todos",'Plan mensual'!J52,0))+parametros_manuales!$G$24*('Plan mensual'!J49+IF(parametros_manuales!$H$24="Todos",'Plan mensual'!J53,0)))*parametros_manuales!$I$24*parametros_manuales!$J$24</f>
        <v>6721.98</v>
      </c>
      <c r="I115" s="4">
        <f>(parametros_manuales!$D$24*('Plan mensual'!K46+IF(parametros_manuales!$H$24="Todos",'Plan mensual'!K50,0))+parametros_manuales!$E$24*('Plan mensual'!K47+IF(parametros_manuales!$H$24="Todos",'Plan mensual'!K51,0))+parametros_manuales!$F$24*('Plan mensual'!K48+IF(parametros_manuales!$H$24="Todos",'Plan mensual'!K52,0))+parametros_manuales!$G$24*('Plan mensual'!K49+IF(parametros_manuales!$H$24="Todos",'Plan mensual'!K53,0)))*parametros_manuales!$I$24*parametros_manuales!$J$24</f>
        <v>6721.98</v>
      </c>
      <c r="J115" s="4">
        <f>(parametros_manuales!$D$24*('Plan mensual'!L46+IF(parametros_manuales!$H$24="Todos",'Plan mensual'!L50,0))+parametros_manuales!$E$24*('Plan mensual'!L47+IF(parametros_manuales!$H$24="Todos",'Plan mensual'!L51,0))+parametros_manuales!$F$24*('Plan mensual'!L48+IF(parametros_manuales!$H$24="Todos",'Plan mensual'!L52,0))+parametros_manuales!$G$24*('Plan mensual'!L49+IF(parametros_manuales!$H$24="Todos",'Plan mensual'!L53,0)))*parametros_manuales!$I$24*parametros_manuales!$J$24</f>
        <v>6721.98</v>
      </c>
      <c r="K115" s="4">
        <f>(parametros_manuales!$D$24*('Plan mensual'!M46+IF(parametros_manuales!$H$24="Todos",'Plan mensual'!M50,0))+parametros_manuales!$E$24*('Plan mensual'!M47+IF(parametros_manuales!$H$24="Todos",'Plan mensual'!M51,0))+parametros_manuales!$F$24*('Plan mensual'!M48+IF(parametros_manuales!$H$24="Todos",'Plan mensual'!M52,0))+parametros_manuales!$G$24*('Plan mensual'!M49+IF(parametros_manuales!$H$24="Todos",'Plan mensual'!M53,0)))*parametros_manuales!$I$24*parametros_manuales!$J$24</f>
        <v>6593.025</v>
      </c>
      <c r="L115" s="4">
        <f>(parametros_manuales!$D$24*('Plan mensual'!N46+IF(parametros_manuales!$H$24="Todos",'Plan mensual'!N50,0))+parametros_manuales!$E$24*('Plan mensual'!N47+IF(parametros_manuales!$H$24="Todos",'Plan mensual'!N51,0))+parametros_manuales!$F$24*('Plan mensual'!N48+IF(parametros_manuales!$H$24="Todos",'Plan mensual'!N52,0))+parametros_manuales!$G$24*('Plan mensual'!N49+IF(parametros_manuales!$H$24="Todos",'Plan mensual'!N53,0)))*parametros_manuales!$I$24*parametros_manuales!$J$24</f>
        <v>6464.07</v>
      </c>
      <c r="M115" s="4">
        <f>(parametros_manuales!$D$24*('Plan mensual'!O46+IF(parametros_manuales!$H$24="Todos",'Plan mensual'!O50,0))+parametros_manuales!$E$24*('Plan mensual'!O47+IF(parametros_manuales!$H$24="Todos",'Plan mensual'!O51,0))+parametros_manuales!$F$24*('Plan mensual'!O48+IF(parametros_manuales!$H$24="Todos",'Plan mensual'!O52,0))+parametros_manuales!$G$24*('Plan mensual'!O49+IF(parametros_manuales!$H$24="Todos",'Plan mensual'!O53,0)))*parametros_manuales!$I$24*parametros_manuales!$J$24</f>
        <v>10290.93</v>
      </c>
      <c r="N115" s="4">
        <f t="shared" si="13"/>
        <v>87907</v>
      </c>
      <c r="O115" s="4">
        <f t="shared" si="14"/>
        <v>10290.93</v>
      </c>
      <c r="P115" s="27">
        <f>O115/(parametros_manuales!$B$7)</f>
        <v>68.6062</v>
      </c>
      <c r="Q115" s="3" t="str">
        <f t="shared" si="15"/>
        <v>Dic</v>
      </c>
    </row>
    <row r="116" ht="14.25" customHeight="1">
      <c r="A116" s="3" t="str">
        <f>parametros_manuales!$B$25</f>
        <v>Soldadura del cuello a la cúpula</v>
      </c>
      <c r="B116" s="4">
        <f>(parametros_manuales!$D$25*('Plan mensual'!D46+IF(parametros_manuales!$H$25="Todos",'Plan mensual'!D50,0))+parametros_manuales!$E$25*('Plan mensual'!D47+IF(parametros_manuales!$H$25="Todos",'Plan mensual'!D51,0))+parametros_manuales!$F$25*('Plan mensual'!D48+IF(parametros_manuales!$H$25="Todos",'Plan mensual'!D52,0))+parametros_manuales!$G$25*('Plan mensual'!D49+IF(parametros_manuales!$H$25="Todos",'Plan mensual'!D53,0)))*parametros_manuales!$I$25*parametros_manuales!$J$25</f>
        <v>10033.02</v>
      </c>
      <c r="C116" s="4">
        <f>(parametros_manuales!$D$25*('Plan mensual'!E46+IF(parametros_manuales!$H$25="Todos",'Plan mensual'!E50,0))+parametros_manuales!$E$25*('Plan mensual'!E47+IF(parametros_manuales!$H$25="Todos",'Plan mensual'!E51,0))+parametros_manuales!$F$25*('Plan mensual'!E48+IF(parametros_manuales!$H$25="Todos",'Plan mensual'!E52,0))+parametros_manuales!$G$25*('Plan mensual'!E49+IF(parametros_manuales!$H$25="Todos",'Plan mensual'!E53,0)))*parametros_manuales!$I$25*parametros_manuales!$J$25</f>
        <v>7653.72</v>
      </c>
      <c r="D116" s="4">
        <f>(parametros_manuales!$D$25*('Plan mensual'!F46+IF(parametros_manuales!$H$25="Todos",'Plan mensual'!F50,0))+parametros_manuales!$E$25*('Plan mensual'!F47+IF(parametros_manuales!$H$25="Todos",'Plan mensual'!F51,0))+parametros_manuales!$F$25*('Plan mensual'!F48+IF(parametros_manuales!$H$25="Todos",'Plan mensual'!F52,0))+parametros_manuales!$G$25*('Plan mensual'!F49+IF(parametros_manuales!$H$25="Todos",'Plan mensual'!F53,0)))*parametros_manuales!$I$25*parametros_manuales!$J$25</f>
        <v>7161.515</v>
      </c>
      <c r="E116" s="4">
        <f>(parametros_manuales!$D$25*('Plan mensual'!G46+IF(parametros_manuales!$H$25="Todos",'Plan mensual'!G50,0))+parametros_manuales!$E$25*('Plan mensual'!G47+IF(parametros_manuales!$H$25="Todos",'Plan mensual'!G51,0))+parametros_manuales!$F$25*('Plan mensual'!G48+IF(parametros_manuales!$H$25="Todos",'Plan mensual'!G52,0))+parametros_manuales!$G$25*('Plan mensual'!G49+IF(parametros_manuales!$H$25="Todos",'Plan mensual'!G53,0)))*parametros_manuales!$I$25*parametros_manuales!$J$25</f>
        <v>6850.935</v>
      </c>
      <c r="F116" s="4">
        <f>(parametros_manuales!$D$25*('Plan mensual'!H46+IF(parametros_manuales!$H$25="Todos",'Plan mensual'!H50,0))+parametros_manuales!$E$25*('Plan mensual'!H47+IF(parametros_manuales!$H$25="Todos",'Plan mensual'!H51,0))+parametros_manuales!$F$25*('Plan mensual'!H48+IF(parametros_manuales!$H$25="Todos",'Plan mensual'!H52,0))+parametros_manuales!$G$25*('Plan mensual'!H49+IF(parametros_manuales!$H$25="Todos",'Plan mensual'!H53,0)))*parametros_manuales!$I$25*parametros_manuales!$J$25</f>
        <v>6411.4</v>
      </c>
      <c r="G116" s="4">
        <f>(parametros_manuales!$D$25*('Plan mensual'!I46+IF(parametros_manuales!$H$25="Todos",'Plan mensual'!I50,0))+parametros_manuales!$E$25*('Plan mensual'!I47+IF(parametros_manuales!$H$25="Todos",'Plan mensual'!I51,0))+parametros_manuales!$F$25*('Plan mensual'!I48+IF(parametros_manuales!$H$25="Todos",'Plan mensual'!I52,0))+parametros_manuales!$G$25*('Plan mensual'!I49+IF(parametros_manuales!$H$25="Todos",'Plan mensual'!I53,0)))*parametros_manuales!$I$25*parametros_manuales!$J$25</f>
        <v>6282.445</v>
      </c>
      <c r="H116" s="4">
        <f>(parametros_manuales!$D$25*('Plan mensual'!J46+IF(parametros_manuales!$H$25="Todos",'Plan mensual'!J50,0))+parametros_manuales!$E$25*('Plan mensual'!J47+IF(parametros_manuales!$H$25="Todos",'Plan mensual'!J51,0))+parametros_manuales!$F$25*('Plan mensual'!J48+IF(parametros_manuales!$H$25="Todos",'Plan mensual'!J52,0))+parametros_manuales!$G$25*('Plan mensual'!J49+IF(parametros_manuales!$H$25="Todos",'Plan mensual'!J53,0)))*parametros_manuales!$I$25*parametros_manuales!$J$25</f>
        <v>6721.98</v>
      </c>
      <c r="I116" s="4">
        <f>(parametros_manuales!$D$25*('Plan mensual'!K46+IF(parametros_manuales!$H$25="Todos",'Plan mensual'!K50,0))+parametros_manuales!$E$25*('Plan mensual'!K47+IF(parametros_manuales!$H$25="Todos",'Plan mensual'!K51,0))+parametros_manuales!$F$25*('Plan mensual'!K48+IF(parametros_manuales!$H$25="Todos",'Plan mensual'!K52,0))+parametros_manuales!$G$25*('Plan mensual'!K49+IF(parametros_manuales!$H$25="Todos",'Plan mensual'!K53,0)))*parametros_manuales!$I$25*parametros_manuales!$J$25</f>
        <v>6721.98</v>
      </c>
      <c r="J116" s="4">
        <f>(parametros_manuales!$D$25*('Plan mensual'!L46+IF(parametros_manuales!$H$25="Todos",'Plan mensual'!L50,0))+parametros_manuales!$E$25*('Plan mensual'!L47+IF(parametros_manuales!$H$25="Todos",'Plan mensual'!L51,0))+parametros_manuales!$F$25*('Plan mensual'!L48+IF(parametros_manuales!$H$25="Todos",'Plan mensual'!L52,0))+parametros_manuales!$G$25*('Plan mensual'!L49+IF(parametros_manuales!$H$25="Todos",'Plan mensual'!L53,0)))*parametros_manuales!$I$25*parametros_manuales!$J$25</f>
        <v>6721.98</v>
      </c>
      <c r="K116" s="4">
        <f>(parametros_manuales!$D$25*('Plan mensual'!M46+IF(parametros_manuales!$H$25="Todos",'Plan mensual'!M50,0))+parametros_manuales!$E$25*('Plan mensual'!M47+IF(parametros_manuales!$H$25="Todos",'Plan mensual'!M51,0))+parametros_manuales!$F$25*('Plan mensual'!M48+IF(parametros_manuales!$H$25="Todos",'Plan mensual'!M52,0))+parametros_manuales!$G$25*('Plan mensual'!M49+IF(parametros_manuales!$H$25="Todos",'Plan mensual'!M53,0)))*parametros_manuales!$I$25*parametros_manuales!$J$25</f>
        <v>6593.025</v>
      </c>
      <c r="L116" s="4">
        <f>(parametros_manuales!$D$25*('Plan mensual'!N46+IF(parametros_manuales!$H$25="Todos",'Plan mensual'!N50,0))+parametros_manuales!$E$25*('Plan mensual'!N47+IF(parametros_manuales!$H$25="Todos",'Plan mensual'!N51,0))+parametros_manuales!$F$25*('Plan mensual'!N48+IF(parametros_manuales!$H$25="Todos",'Plan mensual'!N52,0))+parametros_manuales!$G$25*('Plan mensual'!N49+IF(parametros_manuales!$H$25="Todos",'Plan mensual'!N53,0)))*parametros_manuales!$I$25*parametros_manuales!$J$25</f>
        <v>6464.07</v>
      </c>
      <c r="M116" s="4">
        <f>(parametros_manuales!$D$25*('Plan mensual'!O46+IF(parametros_manuales!$H$25="Todos",'Plan mensual'!O50,0))+parametros_manuales!$E$25*('Plan mensual'!O47+IF(parametros_manuales!$H$25="Todos",'Plan mensual'!O51,0))+parametros_manuales!$F$25*('Plan mensual'!O48+IF(parametros_manuales!$H$25="Todos",'Plan mensual'!O52,0))+parametros_manuales!$G$25*('Plan mensual'!O49+IF(parametros_manuales!$H$25="Todos",'Plan mensual'!O53,0)))*parametros_manuales!$I$25*parametros_manuales!$J$25</f>
        <v>10290.93</v>
      </c>
      <c r="N116" s="4">
        <f t="shared" si="13"/>
        <v>87907</v>
      </c>
      <c r="O116" s="4">
        <f t="shared" si="14"/>
        <v>10290.93</v>
      </c>
      <c r="P116" s="27">
        <f>O116/(parametros_manuales!$B$7)</f>
        <v>68.6062</v>
      </c>
      <c r="Q116" s="3" t="str">
        <f t="shared" si="15"/>
        <v>Dic</v>
      </c>
    </row>
    <row r="117" ht="14.25" customHeight="1">
      <c r="A117" s="3" t="str">
        <f>parametros_manuales!$B$26</f>
        <v>Cilindrado</v>
      </c>
      <c r="B117" s="4">
        <f>(parametros_manuales!$D$26*('Plan mensual'!D46+IF(parametros_manuales!$H$26="Todos",'Plan mensual'!D50,0))+parametros_manuales!$E$26*('Plan mensual'!D47+IF(parametros_manuales!$H$26="Todos",'Plan mensual'!D51,0))+parametros_manuales!$F$26*('Plan mensual'!D48+IF(parametros_manuales!$H$26="Todos",'Plan mensual'!D52,0))+parametros_manuales!$G$26*('Plan mensual'!D49+IF(parametros_manuales!$H$26="Todos",'Plan mensual'!D53,0)))*parametros_manuales!$I$26*parametros_manuales!$J$26</f>
        <v>2579.1</v>
      </c>
      <c r="C117" s="4">
        <f>(parametros_manuales!$D$26*('Plan mensual'!E46+IF(parametros_manuales!$H$26="Todos",'Plan mensual'!E50,0))+parametros_manuales!$E$26*('Plan mensual'!E47+IF(parametros_manuales!$H$26="Todos",'Plan mensual'!E51,0))+parametros_manuales!$F$26*('Plan mensual'!E48+IF(parametros_manuales!$H$26="Todos",'Plan mensual'!E52,0))+parametros_manuales!$G$26*('Plan mensual'!E49+IF(parametros_manuales!$H$26="Todos",'Plan mensual'!E53,0)))*parametros_manuales!$I$26*parametros_manuales!$J$26</f>
        <v>2063.28</v>
      </c>
      <c r="D117" s="4">
        <f>(parametros_manuales!$D$26*('Plan mensual'!F46+IF(parametros_manuales!$H$26="Todos",'Plan mensual'!F50,0))+parametros_manuales!$E$26*('Plan mensual'!F47+IF(parametros_manuales!$H$26="Todos",'Plan mensual'!F51,0))+parametros_manuales!$F$26*('Plan mensual'!F48+IF(parametros_manuales!$H$26="Todos",'Plan mensual'!F52,0))+parametros_manuales!$G$26*('Plan mensual'!F49+IF(parametros_manuales!$H$26="Todos",'Plan mensual'!F53,0)))*parametros_manuales!$I$26*parametros_manuales!$J$26</f>
        <v>2192.235</v>
      </c>
      <c r="E117" s="4">
        <f>(parametros_manuales!$D$26*('Plan mensual'!G46+IF(parametros_manuales!$H$26="Todos",'Plan mensual'!G50,0))+parametros_manuales!$E$26*('Plan mensual'!G47+IF(parametros_manuales!$H$26="Todos",'Plan mensual'!G51,0))+parametros_manuales!$F$26*('Plan mensual'!G48+IF(parametros_manuales!$H$26="Todos",'Plan mensual'!G52,0))+parametros_manuales!$G$26*('Plan mensual'!G49+IF(parametros_manuales!$H$26="Todos",'Plan mensual'!G53,0)))*parametros_manuales!$I$26*parametros_manuales!$J$26</f>
        <v>2192.235</v>
      </c>
      <c r="F117" s="4">
        <f>(parametros_manuales!$D$26*('Plan mensual'!H46+IF(parametros_manuales!$H$26="Todos",'Plan mensual'!H50,0))+parametros_manuales!$E$26*('Plan mensual'!H47+IF(parametros_manuales!$H$26="Todos",'Plan mensual'!H51,0))+parametros_manuales!$F$26*('Plan mensual'!H48+IF(parametros_manuales!$H$26="Todos",'Plan mensual'!H52,0))+parametros_manuales!$G$26*('Plan mensual'!H49+IF(parametros_manuales!$H$26="Todos",'Plan mensual'!H53,0)))*parametros_manuales!$I$26*parametros_manuales!$J$26</f>
        <v>2063.28</v>
      </c>
      <c r="G117" s="4">
        <f>(parametros_manuales!$D$26*('Plan mensual'!I46+IF(parametros_manuales!$H$26="Todos",'Plan mensual'!I50,0))+parametros_manuales!$E$26*('Plan mensual'!I47+IF(parametros_manuales!$H$26="Todos",'Plan mensual'!I51,0))+parametros_manuales!$F$26*('Plan mensual'!I48+IF(parametros_manuales!$H$26="Todos",'Plan mensual'!I52,0))+parametros_manuales!$G$26*('Plan mensual'!I49+IF(parametros_manuales!$H$26="Todos",'Plan mensual'!I53,0)))*parametros_manuales!$I$26*parametros_manuales!$J$26</f>
        <v>1934.325</v>
      </c>
      <c r="H117" s="4">
        <f>(parametros_manuales!$D$26*('Plan mensual'!J46+IF(parametros_manuales!$H$26="Todos",'Plan mensual'!J50,0))+parametros_manuales!$E$26*('Plan mensual'!J47+IF(parametros_manuales!$H$26="Todos",'Plan mensual'!J51,0))+parametros_manuales!$F$26*('Plan mensual'!J48+IF(parametros_manuales!$H$26="Todos",'Plan mensual'!J52,0))+parametros_manuales!$G$26*('Plan mensual'!J49+IF(parametros_manuales!$H$26="Todos",'Plan mensual'!J53,0)))*parametros_manuales!$I$26*parametros_manuales!$J$26</f>
        <v>2063.28</v>
      </c>
      <c r="I117" s="4">
        <f>(parametros_manuales!$D$26*('Plan mensual'!K46+IF(parametros_manuales!$H$26="Todos",'Plan mensual'!K50,0))+parametros_manuales!$E$26*('Plan mensual'!K47+IF(parametros_manuales!$H$26="Todos",'Plan mensual'!K51,0))+parametros_manuales!$F$26*('Plan mensual'!K48+IF(parametros_manuales!$H$26="Todos",'Plan mensual'!K52,0))+parametros_manuales!$G$26*('Plan mensual'!K49+IF(parametros_manuales!$H$26="Todos",'Plan mensual'!K53,0)))*parametros_manuales!$I$26*parametros_manuales!$J$26</f>
        <v>2063.28</v>
      </c>
      <c r="J117" s="4">
        <f>(parametros_manuales!$D$26*('Plan mensual'!L46+IF(parametros_manuales!$H$26="Todos",'Plan mensual'!L50,0))+parametros_manuales!$E$26*('Plan mensual'!L47+IF(parametros_manuales!$H$26="Todos",'Plan mensual'!L51,0))+parametros_manuales!$F$26*('Plan mensual'!L48+IF(parametros_manuales!$H$26="Todos",'Plan mensual'!L52,0))+parametros_manuales!$G$26*('Plan mensual'!L49+IF(parametros_manuales!$H$26="Todos",'Plan mensual'!L53,0)))*parametros_manuales!$I$26*parametros_manuales!$J$26</f>
        <v>2063.28</v>
      </c>
      <c r="K117" s="4">
        <f>(parametros_manuales!$D$26*('Plan mensual'!M46+IF(parametros_manuales!$H$26="Todos",'Plan mensual'!M50,0))+parametros_manuales!$E$26*('Plan mensual'!M47+IF(parametros_manuales!$H$26="Todos",'Plan mensual'!M51,0))+parametros_manuales!$F$26*('Plan mensual'!M48+IF(parametros_manuales!$H$26="Todos",'Plan mensual'!M52,0))+parametros_manuales!$G$26*('Plan mensual'!M49+IF(parametros_manuales!$H$26="Todos",'Plan mensual'!M53,0)))*parametros_manuales!$I$26*parametros_manuales!$J$26</f>
        <v>1934.325</v>
      </c>
      <c r="L117" s="4">
        <f>(parametros_manuales!$D$26*('Plan mensual'!N46+IF(parametros_manuales!$H$26="Todos",'Plan mensual'!N50,0))+parametros_manuales!$E$26*('Plan mensual'!N47+IF(parametros_manuales!$H$26="Todos",'Plan mensual'!N51,0))+parametros_manuales!$F$26*('Plan mensual'!N48+IF(parametros_manuales!$H$26="Todos",'Plan mensual'!N52,0))+parametros_manuales!$G$26*('Plan mensual'!N49+IF(parametros_manuales!$H$26="Todos",'Plan mensual'!N53,0)))*parametros_manuales!$I$26*parametros_manuales!$J$26</f>
        <v>1805.37</v>
      </c>
      <c r="M117" s="4">
        <f>(parametros_manuales!$D$26*('Plan mensual'!O46+IF(parametros_manuales!$H$26="Todos",'Plan mensual'!O50,0))+parametros_manuales!$E$26*('Plan mensual'!O47+IF(parametros_manuales!$H$26="Todos",'Plan mensual'!O51,0))+parametros_manuales!$F$26*('Plan mensual'!O48+IF(parametros_manuales!$H$26="Todos",'Plan mensual'!O52,0))+parametros_manuales!$G$26*('Plan mensual'!O49+IF(parametros_manuales!$H$26="Todos",'Plan mensual'!O53,0)))*parametros_manuales!$I$26*parametros_manuales!$J$26</f>
        <v>2837.01</v>
      </c>
      <c r="N117" s="4">
        <f t="shared" si="13"/>
        <v>25791</v>
      </c>
      <c r="O117" s="4">
        <f t="shared" si="14"/>
        <v>2837.01</v>
      </c>
      <c r="P117" s="27">
        <f>O117/(parametros_manuales!$B$7)</f>
        <v>18.9134</v>
      </c>
      <c r="Q117" s="3" t="str">
        <f t="shared" si="15"/>
        <v>Dic</v>
      </c>
    </row>
    <row r="118" ht="14.25" customHeight="1">
      <c r="A118" s="3" t="str">
        <f>parametros_manuales!$B$27</f>
        <v>Soldadura longitudinal</v>
      </c>
      <c r="B118" s="4">
        <f>(parametros_manuales!$D$27*('Plan mensual'!D46+IF(parametros_manuales!$H$27="Todos",'Plan mensual'!D50,0))+parametros_manuales!$E$27*('Plan mensual'!D47+IF(parametros_manuales!$H$27="Todos",'Plan mensual'!D51,0))+parametros_manuales!$F$27*('Plan mensual'!D48+IF(parametros_manuales!$H$27="Todos",'Plan mensual'!D52,0))+parametros_manuales!$G$27*('Plan mensual'!D49+IF(parametros_manuales!$H$27="Todos",'Plan mensual'!D53,0)))*parametros_manuales!$I$27*parametros_manuales!$J$27</f>
        <v>2579.1</v>
      </c>
      <c r="C118" s="4">
        <f>(parametros_manuales!$D$27*('Plan mensual'!E46+IF(parametros_manuales!$H$27="Todos",'Plan mensual'!E50,0))+parametros_manuales!$E$27*('Plan mensual'!E47+IF(parametros_manuales!$H$27="Todos",'Plan mensual'!E51,0))+parametros_manuales!$F$27*('Plan mensual'!E48+IF(parametros_manuales!$H$27="Todos",'Plan mensual'!E52,0))+parametros_manuales!$G$27*('Plan mensual'!E49+IF(parametros_manuales!$H$27="Todos",'Plan mensual'!E53,0)))*parametros_manuales!$I$27*parametros_manuales!$J$27</f>
        <v>2063.28</v>
      </c>
      <c r="D118" s="4">
        <f>(parametros_manuales!$D$27*('Plan mensual'!F46+IF(parametros_manuales!$H$27="Todos",'Plan mensual'!F50,0))+parametros_manuales!$E$27*('Plan mensual'!F47+IF(parametros_manuales!$H$27="Todos",'Plan mensual'!F51,0))+parametros_manuales!$F$27*('Plan mensual'!F48+IF(parametros_manuales!$H$27="Todos",'Plan mensual'!F52,0))+parametros_manuales!$G$27*('Plan mensual'!F49+IF(parametros_manuales!$H$27="Todos",'Plan mensual'!F53,0)))*parametros_manuales!$I$27*parametros_manuales!$J$27</f>
        <v>2192.235</v>
      </c>
      <c r="E118" s="4">
        <f>(parametros_manuales!$D$27*('Plan mensual'!G46+IF(parametros_manuales!$H$27="Todos",'Plan mensual'!G50,0))+parametros_manuales!$E$27*('Plan mensual'!G47+IF(parametros_manuales!$H$27="Todos",'Plan mensual'!G51,0))+parametros_manuales!$F$27*('Plan mensual'!G48+IF(parametros_manuales!$H$27="Todos",'Plan mensual'!G52,0))+parametros_manuales!$G$27*('Plan mensual'!G49+IF(parametros_manuales!$H$27="Todos",'Plan mensual'!G53,0)))*parametros_manuales!$I$27*parametros_manuales!$J$27</f>
        <v>2192.235</v>
      </c>
      <c r="F118" s="4">
        <f>(parametros_manuales!$D$27*('Plan mensual'!H46+IF(parametros_manuales!$H$27="Todos",'Plan mensual'!H50,0))+parametros_manuales!$E$27*('Plan mensual'!H47+IF(parametros_manuales!$H$27="Todos",'Plan mensual'!H51,0))+parametros_manuales!$F$27*('Plan mensual'!H48+IF(parametros_manuales!$H$27="Todos",'Plan mensual'!H52,0))+parametros_manuales!$G$27*('Plan mensual'!H49+IF(parametros_manuales!$H$27="Todos",'Plan mensual'!H53,0)))*parametros_manuales!$I$27*parametros_manuales!$J$27</f>
        <v>2063.28</v>
      </c>
      <c r="G118" s="4">
        <f>(parametros_manuales!$D$27*('Plan mensual'!I46+IF(parametros_manuales!$H$27="Todos",'Plan mensual'!I50,0))+parametros_manuales!$E$27*('Plan mensual'!I47+IF(parametros_manuales!$H$27="Todos",'Plan mensual'!I51,0))+parametros_manuales!$F$27*('Plan mensual'!I48+IF(parametros_manuales!$H$27="Todos",'Plan mensual'!I52,0))+parametros_manuales!$G$27*('Plan mensual'!I49+IF(parametros_manuales!$H$27="Todos",'Plan mensual'!I53,0)))*parametros_manuales!$I$27*parametros_manuales!$J$27</f>
        <v>1934.325</v>
      </c>
      <c r="H118" s="4">
        <f>(parametros_manuales!$D$27*('Plan mensual'!J46+IF(parametros_manuales!$H$27="Todos",'Plan mensual'!J50,0))+parametros_manuales!$E$27*('Plan mensual'!J47+IF(parametros_manuales!$H$27="Todos",'Plan mensual'!J51,0))+parametros_manuales!$F$27*('Plan mensual'!J48+IF(parametros_manuales!$H$27="Todos",'Plan mensual'!J52,0))+parametros_manuales!$G$27*('Plan mensual'!J49+IF(parametros_manuales!$H$27="Todos",'Plan mensual'!J53,0)))*parametros_manuales!$I$27*parametros_manuales!$J$27</f>
        <v>2063.28</v>
      </c>
      <c r="I118" s="4">
        <f>(parametros_manuales!$D$27*('Plan mensual'!K46+IF(parametros_manuales!$H$27="Todos",'Plan mensual'!K50,0))+parametros_manuales!$E$27*('Plan mensual'!K47+IF(parametros_manuales!$H$27="Todos",'Plan mensual'!K51,0))+parametros_manuales!$F$27*('Plan mensual'!K48+IF(parametros_manuales!$H$27="Todos",'Plan mensual'!K52,0))+parametros_manuales!$G$27*('Plan mensual'!K49+IF(parametros_manuales!$H$27="Todos",'Plan mensual'!K53,0)))*parametros_manuales!$I$27*parametros_manuales!$J$27</f>
        <v>2063.28</v>
      </c>
      <c r="J118" s="4">
        <f>(parametros_manuales!$D$27*('Plan mensual'!L46+IF(parametros_manuales!$H$27="Todos",'Plan mensual'!L50,0))+parametros_manuales!$E$27*('Plan mensual'!L47+IF(parametros_manuales!$H$27="Todos",'Plan mensual'!L51,0))+parametros_manuales!$F$27*('Plan mensual'!L48+IF(parametros_manuales!$H$27="Todos",'Plan mensual'!L52,0))+parametros_manuales!$G$27*('Plan mensual'!L49+IF(parametros_manuales!$H$27="Todos",'Plan mensual'!L53,0)))*parametros_manuales!$I$27*parametros_manuales!$J$27</f>
        <v>2063.28</v>
      </c>
      <c r="K118" s="4">
        <f>(parametros_manuales!$D$27*('Plan mensual'!M46+IF(parametros_manuales!$H$27="Todos",'Plan mensual'!M50,0))+parametros_manuales!$E$27*('Plan mensual'!M47+IF(parametros_manuales!$H$27="Todos",'Plan mensual'!M51,0))+parametros_manuales!$F$27*('Plan mensual'!M48+IF(parametros_manuales!$H$27="Todos",'Plan mensual'!M52,0))+parametros_manuales!$G$27*('Plan mensual'!M49+IF(parametros_manuales!$H$27="Todos",'Plan mensual'!M53,0)))*parametros_manuales!$I$27*parametros_manuales!$J$27</f>
        <v>1934.325</v>
      </c>
      <c r="L118" s="4">
        <f>(parametros_manuales!$D$27*('Plan mensual'!N46+IF(parametros_manuales!$H$27="Todos",'Plan mensual'!N50,0))+parametros_manuales!$E$27*('Plan mensual'!N47+IF(parametros_manuales!$H$27="Todos",'Plan mensual'!N51,0))+parametros_manuales!$F$27*('Plan mensual'!N48+IF(parametros_manuales!$H$27="Todos",'Plan mensual'!N52,0))+parametros_manuales!$G$27*('Plan mensual'!N49+IF(parametros_manuales!$H$27="Todos",'Plan mensual'!N53,0)))*parametros_manuales!$I$27*parametros_manuales!$J$27</f>
        <v>1805.37</v>
      </c>
      <c r="M118" s="4">
        <f>(parametros_manuales!$D$27*('Plan mensual'!O46+IF(parametros_manuales!$H$27="Todos",'Plan mensual'!O50,0))+parametros_manuales!$E$27*('Plan mensual'!O47+IF(parametros_manuales!$H$27="Todos",'Plan mensual'!O51,0))+parametros_manuales!$F$27*('Plan mensual'!O48+IF(parametros_manuales!$H$27="Todos",'Plan mensual'!O52,0))+parametros_manuales!$G$27*('Plan mensual'!O49+IF(parametros_manuales!$H$27="Todos",'Plan mensual'!O53,0)))*parametros_manuales!$I$27*parametros_manuales!$J$27</f>
        <v>2837.01</v>
      </c>
      <c r="N118" s="4">
        <f t="shared" si="13"/>
        <v>25791</v>
      </c>
      <c r="O118" s="4">
        <f t="shared" si="14"/>
        <v>2837.01</v>
      </c>
      <c r="P118" s="27">
        <f>O118/(parametros_manuales!$B$7)</f>
        <v>18.9134</v>
      </c>
      <c r="Q118" s="3" t="str">
        <f t="shared" si="15"/>
        <v>Dic</v>
      </c>
    </row>
    <row r="119" ht="14.25" customHeight="1">
      <c r="A119" s="3" t="str">
        <f>parametros_manuales!$B$28</f>
        <v>Encastre de fondo</v>
      </c>
      <c r="B119" s="4">
        <f>(parametros_manuales!$D$28*('Plan mensual'!D46+IF(parametros_manuales!$H$28="Todos",'Plan mensual'!D50,0))+parametros_manuales!$E$28*('Plan mensual'!D47+IF(parametros_manuales!$H$28="Todos",'Plan mensual'!D51,0))+parametros_manuales!$F$28*('Plan mensual'!D48+IF(parametros_manuales!$H$28="Todos",'Plan mensual'!D52,0))+parametros_manuales!$G$28*('Plan mensual'!D49+IF(parametros_manuales!$H$28="Todos",'Plan mensual'!D53,0)))*parametros_manuales!$I$28*parametros_manuales!$J$28</f>
        <v>10033.02</v>
      </c>
      <c r="C119" s="4">
        <f>(parametros_manuales!$D$28*('Plan mensual'!E46+IF(parametros_manuales!$H$28="Todos",'Plan mensual'!E50,0))+parametros_manuales!$E$28*('Plan mensual'!E47+IF(parametros_manuales!$H$28="Todos",'Plan mensual'!E51,0))+parametros_manuales!$F$28*('Plan mensual'!E48+IF(parametros_manuales!$H$28="Todos",'Plan mensual'!E52,0))+parametros_manuales!$G$28*('Plan mensual'!E49+IF(parametros_manuales!$H$28="Todos",'Plan mensual'!E53,0)))*parametros_manuales!$I$28*parametros_manuales!$J$28</f>
        <v>7653.72</v>
      </c>
      <c r="D119" s="4">
        <f>(parametros_manuales!$D$28*('Plan mensual'!F46+IF(parametros_manuales!$H$28="Todos",'Plan mensual'!F50,0))+parametros_manuales!$E$28*('Plan mensual'!F47+IF(parametros_manuales!$H$28="Todos",'Plan mensual'!F51,0))+parametros_manuales!$F$28*('Plan mensual'!F48+IF(parametros_manuales!$H$28="Todos",'Plan mensual'!F52,0))+parametros_manuales!$G$28*('Plan mensual'!F49+IF(parametros_manuales!$H$28="Todos",'Plan mensual'!F53,0)))*parametros_manuales!$I$28*parametros_manuales!$J$28</f>
        <v>7161.515</v>
      </c>
      <c r="E119" s="4">
        <f>(parametros_manuales!$D$28*('Plan mensual'!G46+IF(parametros_manuales!$H$28="Todos",'Plan mensual'!G50,0))+parametros_manuales!$E$28*('Plan mensual'!G47+IF(parametros_manuales!$H$28="Todos",'Plan mensual'!G51,0))+parametros_manuales!$F$28*('Plan mensual'!G48+IF(parametros_manuales!$H$28="Todos",'Plan mensual'!G52,0))+parametros_manuales!$G$28*('Plan mensual'!G49+IF(parametros_manuales!$H$28="Todos",'Plan mensual'!G53,0)))*parametros_manuales!$I$28*parametros_manuales!$J$28</f>
        <v>6850.935</v>
      </c>
      <c r="F119" s="4">
        <f>(parametros_manuales!$D$28*('Plan mensual'!H46+IF(parametros_manuales!$H$28="Todos",'Plan mensual'!H50,0))+parametros_manuales!$E$28*('Plan mensual'!H47+IF(parametros_manuales!$H$28="Todos",'Plan mensual'!H51,0))+parametros_manuales!$F$28*('Plan mensual'!H48+IF(parametros_manuales!$H$28="Todos",'Plan mensual'!H52,0))+parametros_manuales!$G$28*('Plan mensual'!H49+IF(parametros_manuales!$H$28="Todos",'Plan mensual'!H53,0)))*parametros_manuales!$I$28*parametros_manuales!$J$28</f>
        <v>6411.4</v>
      </c>
      <c r="G119" s="4">
        <f>(parametros_manuales!$D$28*('Plan mensual'!I46+IF(parametros_manuales!$H$28="Todos",'Plan mensual'!I50,0))+parametros_manuales!$E$28*('Plan mensual'!I47+IF(parametros_manuales!$H$28="Todos",'Plan mensual'!I51,0))+parametros_manuales!$F$28*('Plan mensual'!I48+IF(parametros_manuales!$H$28="Todos",'Plan mensual'!I52,0))+parametros_manuales!$G$28*('Plan mensual'!I49+IF(parametros_manuales!$H$28="Todos",'Plan mensual'!I53,0)))*parametros_manuales!$I$28*parametros_manuales!$J$28</f>
        <v>6282.445</v>
      </c>
      <c r="H119" s="4">
        <f>(parametros_manuales!$D$28*('Plan mensual'!J46+IF(parametros_manuales!$H$28="Todos",'Plan mensual'!J50,0))+parametros_manuales!$E$28*('Plan mensual'!J47+IF(parametros_manuales!$H$28="Todos",'Plan mensual'!J51,0))+parametros_manuales!$F$28*('Plan mensual'!J48+IF(parametros_manuales!$H$28="Todos",'Plan mensual'!J52,0))+parametros_manuales!$G$28*('Plan mensual'!J49+IF(parametros_manuales!$H$28="Todos",'Plan mensual'!J53,0)))*parametros_manuales!$I$28*parametros_manuales!$J$28</f>
        <v>6721.98</v>
      </c>
      <c r="I119" s="4">
        <f>(parametros_manuales!$D$28*('Plan mensual'!K46+IF(parametros_manuales!$H$28="Todos",'Plan mensual'!K50,0))+parametros_manuales!$E$28*('Plan mensual'!K47+IF(parametros_manuales!$H$28="Todos",'Plan mensual'!K51,0))+parametros_manuales!$F$28*('Plan mensual'!K48+IF(parametros_manuales!$H$28="Todos",'Plan mensual'!K52,0))+parametros_manuales!$G$28*('Plan mensual'!K49+IF(parametros_manuales!$H$28="Todos",'Plan mensual'!K53,0)))*parametros_manuales!$I$28*parametros_manuales!$J$28</f>
        <v>6721.98</v>
      </c>
      <c r="J119" s="4">
        <f>(parametros_manuales!$D$28*('Plan mensual'!L46+IF(parametros_manuales!$H$28="Todos",'Plan mensual'!L50,0))+parametros_manuales!$E$28*('Plan mensual'!L47+IF(parametros_manuales!$H$28="Todos",'Plan mensual'!L51,0))+parametros_manuales!$F$28*('Plan mensual'!L48+IF(parametros_manuales!$H$28="Todos",'Plan mensual'!L52,0))+parametros_manuales!$G$28*('Plan mensual'!L49+IF(parametros_manuales!$H$28="Todos",'Plan mensual'!L53,0)))*parametros_manuales!$I$28*parametros_manuales!$J$28</f>
        <v>6721.98</v>
      </c>
      <c r="K119" s="4">
        <f>(parametros_manuales!$D$28*('Plan mensual'!M46+IF(parametros_manuales!$H$28="Todos",'Plan mensual'!M50,0))+parametros_manuales!$E$28*('Plan mensual'!M47+IF(parametros_manuales!$H$28="Todos",'Plan mensual'!M51,0))+parametros_manuales!$F$28*('Plan mensual'!M48+IF(parametros_manuales!$H$28="Todos",'Plan mensual'!M52,0))+parametros_manuales!$G$28*('Plan mensual'!M49+IF(parametros_manuales!$H$28="Todos",'Plan mensual'!M53,0)))*parametros_manuales!$I$28*parametros_manuales!$J$28</f>
        <v>6593.025</v>
      </c>
      <c r="L119" s="4">
        <f>(parametros_manuales!$D$28*('Plan mensual'!N46+IF(parametros_manuales!$H$28="Todos",'Plan mensual'!N50,0))+parametros_manuales!$E$28*('Plan mensual'!N47+IF(parametros_manuales!$H$28="Todos",'Plan mensual'!N51,0))+parametros_manuales!$F$28*('Plan mensual'!N48+IF(parametros_manuales!$H$28="Todos",'Plan mensual'!N52,0))+parametros_manuales!$G$28*('Plan mensual'!N49+IF(parametros_manuales!$H$28="Todos",'Plan mensual'!N53,0)))*parametros_manuales!$I$28*parametros_manuales!$J$28</f>
        <v>6464.07</v>
      </c>
      <c r="M119" s="4">
        <f>(parametros_manuales!$D$28*('Plan mensual'!O46+IF(parametros_manuales!$H$28="Todos",'Plan mensual'!O50,0))+parametros_manuales!$E$28*('Plan mensual'!O47+IF(parametros_manuales!$H$28="Todos",'Plan mensual'!O51,0))+parametros_manuales!$F$28*('Plan mensual'!O48+IF(parametros_manuales!$H$28="Todos",'Plan mensual'!O52,0))+parametros_manuales!$G$28*('Plan mensual'!O49+IF(parametros_manuales!$H$28="Todos",'Plan mensual'!O53,0)))*parametros_manuales!$I$28*parametros_manuales!$J$28</f>
        <v>10290.93</v>
      </c>
      <c r="N119" s="4">
        <f t="shared" si="13"/>
        <v>87907</v>
      </c>
      <c r="O119" s="4">
        <f t="shared" si="14"/>
        <v>10290.93</v>
      </c>
      <c r="P119" s="27">
        <f>O119/(parametros_manuales!$B$7)</f>
        <v>68.6062</v>
      </c>
      <c r="Q119" s="3" t="str">
        <f t="shared" si="15"/>
        <v>Dic</v>
      </c>
    </row>
    <row r="120" ht="14.25" customHeight="1">
      <c r="A120" s="3" t="str">
        <f>parametros_manuales!$B$29</f>
        <v>Bordoneado</v>
      </c>
      <c r="B120" s="4">
        <f>(parametros_manuales!$D$29*('Plan mensual'!D46+IF(parametros_manuales!$H$29="Todos",'Plan mensual'!D50,0))+parametros_manuales!$E$29*('Plan mensual'!D47+IF(parametros_manuales!$H$29="Todos",'Plan mensual'!D51,0))+parametros_manuales!$F$29*('Plan mensual'!D48+IF(parametros_manuales!$H$29="Todos",'Plan mensual'!D52,0))+parametros_manuales!$G$29*('Plan mensual'!D49+IF(parametros_manuales!$H$29="Todos",'Plan mensual'!D53,0)))*parametros_manuales!$I$29*parametros_manuales!$J$29</f>
        <v>10033.02</v>
      </c>
      <c r="C120" s="4">
        <f>(parametros_manuales!$D$29*('Plan mensual'!E46+IF(parametros_manuales!$H$29="Todos",'Plan mensual'!E50,0))+parametros_manuales!$E$29*('Plan mensual'!E47+IF(parametros_manuales!$H$29="Todos",'Plan mensual'!E51,0))+parametros_manuales!$F$29*('Plan mensual'!E48+IF(parametros_manuales!$H$29="Todos",'Plan mensual'!E52,0))+parametros_manuales!$G$29*('Plan mensual'!E49+IF(parametros_manuales!$H$29="Todos",'Plan mensual'!E53,0)))*parametros_manuales!$I$29*parametros_manuales!$J$29</f>
        <v>7653.72</v>
      </c>
      <c r="D120" s="4">
        <f>(parametros_manuales!$D$29*('Plan mensual'!F46+IF(parametros_manuales!$H$29="Todos",'Plan mensual'!F50,0))+parametros_manuales!$E$29*('Plan mensual'!F47+IF(parametros_manuales!$H$29="Todos",'Plan mensual'!F51,0))+parametros_manuales!$F$29*('Plan mensual'!F48+IF(parametros_manuales!$H$29="Todos",'Plan mensual'!F52,0))+parametros_manuales!$G$29*('Plan mensual'!F49+IF(parametros_manuales!$H$29="Todos",'Plan mensual'!F53,0)))*parametros_manuales!$I$29*parametros_manuales!$J$29</f>
        <v>7161.515</v>
      </c>
      <c r="E120" s="4">
        <f>(parametros_manuales!$D$29*('Plan mensual'!G46+IF(parametros_manuales!$H$29="Todos",'Plan mensual'!G50,0))+parametros_manuales!$E$29*('Plan mensual'!G47+IF(parametros_manuales!$H$29="Todos",'Plan mensual'!G51,0))+parametros_manuales!$F$29*('Plan mensual'!G48+IF(parametros_manuales!$H$29="Todos",'Plan mensual'!G52,0))+parametros_manuales!$G$29*('Plan mensual'!G49+IF(parametros_manuales!$H$29="Todos",'Plan mensual'!G53,0)))*parametros_manuales!$I$29*parametros_manuales!$J$29</f>
        <v>6850.935</v>
      </c>
      <c r="F120" s="4">
        <f>(parametros_manuales!$D$29*('Plan mensual'!H46+IF(parametros_manuales!$H$29="Todos",'Plan mensual'!H50,0))+parametros_manuales!$E$29*('Plan mensual'!H47+IF(parametros_manuales!$H$29="Todos",'Plan mensual'!H51,0))+parametros_manuales!$F$29*('Plan mensual'!H48+IF(parametros_manuales!$H$29="Todos",'Plan mensual'!H52,0))+parametros_manuales!$G$29*('Plan mensual'!H49+IF(parametros_manuales!$H$29="Todos",'Plan mensual'!H53,0)))*parametros_manuales!$I$29*parametros_manuales!$J$29</f>
        <v>6411.4</v>
      </c>
      <c r="G120" s="4">
        <f>(parametros_manuales!$D$29*('Plan mensual'!I46+IF(parametros_manuales!$H$29="Todos",'Plan mensual'!I50,0))+parametros_manuales!$E$29*('Plan mensual'!I47+IF(parametros_manuales!$H$29="Todos",'Plan mensual'!I51,0))+parametros_manuales!$F$29*('Plan mensual'!I48+IF(parametros_manuales!$H$29="Todos",'Plan mensual'!I52,0))+parametros_manuales!$G$29*('Plan mensual'!I49+IF(parametros_manuales!$H$29="Todos",'Plan mensual'!I53,0)))*parametros_manuales!$I$29*parametros_manuales!$J$29</f>
        <v>6282.445</v>
      </c>
      <c r="H120" s="4">
        <f>(parametros_manuales!$D$29*('Plan mensual'!J46+IF(parametros_manuales!$H$29="Todos",'Plan mensual'!J50,0))+parametros_manuales!$E$29*('Plan mensual'!J47+IF(parametros_manuales!$H$29="Todos",'Plan mensual'!J51,0))+parametros_manuales!$F$29*('Plan mensual'!J48+IF(parametros_manuales!$H$29="Todos",'Plan mensual'!J52,0))+parametros_manuales!$G$29*('Plan mensual'!J49+IF(parametros_manuales!$H$29="Todos",'Plan mensual'!J53,0)))*parametros_manuales!$I$29*parametros_manuales!$J$29</f>
        <v>6721.98</v>
      </c>
      <c r="I120" s="4">
        <f>(parametros_manuales!$D$29*('Plan mensual'!K46+IF(parametros_manuales!$H$29="Todos",'Plan mensual'!K50,0))+parametros_manuales!$E$29*('Plan mensual'!K47+IF(parametros_manuales!$H$29="Todos",'Plan mensual'!K51,0))+parametros_manuales!$F$29*('Plan mensual'!K48+IF(parametros_manuales!$H$29="Todos",'Plan mensual'!K52,0))+parametros_manuales!$G$29*('Plan mensual'!K49+IF(parametros_manuales!$H$29="Todos",'Plan mensual'!K53,0)))*parametros_manuales!$I$29*parametros_manuales!$J$29</f>
        <v>6721.98</v>
      </c>
      <c r="J120" s="4">
        <f>(parametros_manuales!$D$29*('Plan mensual'!L46+IF(parametros_manuales!$H$29="Todos",'Plan mensual'!L50,0))+parametros_manuales!$E$29*('Plan mensual'!L47+IF(parametros_manuales!$H$29="Todos",'Plan mensual'!L51,0))+parametros_manuales!$F$29*('Plan mensual'!L48+IF(parametros_manuales!$H$29="Todos",'Plan mensual'!L52,0))+parametros_manuales!$G$29*('Plan mensual'!L49+IF(parametros_manuales!$H$29="Todos",'Plan mensual'!L53,0)))*parametros_manuales!$I$29*parametros_manuales!$J$29</f>
        <v>6721.98</v>
      </c>
      <c r="K120" s="4">
        <f>(parametros_manuales!$D$29*('Plan mensual'!M46+IF(parametros_manuales!$H$29="Todos",'Plan mensual'!M50,0))+parametros_manuales!$E$29*('Plan mensual'!M47+IF(parametros_manuales!$H$29="Todos",'Plan mensual'!M51,0))+parametros_manuales!$F$29*('Plan mensual'!M48+IF(parametros_manuales!$H$29="Todos",'Plan mensual'!M52,0))+parametros_manuales!$G$29*('Plan mensual'!M49+IF(parametros_manuales!$H$29="Todos",'Plan mensual'!M53,0)))*parametros_manuales!$I$29*parametros_manuales!$J$29</f>
        <v>6593.025</v>
      </c>
      <c r="L120" s="4">
        <f>(parametros_manuales!$D$29*('Plan mensual'!N46+IF(parametros_manuales!$H$29="Todos",'Plan mensual'!N50,0))+parametros_manuales!$E$29*('Plan mensual'!N47+IF(parametros_manuales!$H$29="Todos",'Plan mensual'!N51,0))+parametros_manuales!$F$29*('Plan mensual'!N48+IF(parametros_manuales!$H$29="Todos",'Plan mensual'!N52,0))+parametros_manuales!$G$29*('Plan mensual'!N49+IF(parametros_manuales!$H$29="Todos",'Plan mensual'!N53,0)))*parametros_manuales!$I$29*parametros_manuales!$J$29</f>
        <v>6464.07</v>
      </c>
      <c r="M120" s="4">
        <f>(parametros_manuales!$D$29*('Plan mensual'!O46+IF(parametros_manuales!$H$29="Todos",'Plan mensual'!O50,0))+parametros_manuales!$E$29*('Plan mensual'!O47+IF(parametros_manuales!$H$29="Todos",'Plan mensual'!O51,0))+parametros_manuales!$F$29*('Plan mensual'!O48+IF(parametros_manuales!$H$29="Todos",'Plan mensual'!O52,0))+parametros_manuales!$G$29*('Plan mensual'!O49+IF(parametros_manuales!$H$29="Todos",'Plan mensual'!O53,0)))*parametros_manuales!$I$29*parametros_manuales!$J$29</f>
        <v>10290.93</v>
      </c>
      <c r="N120" s="4">
        <f t="shared" si="13"/>
        <v>87907</v>
      </c>
      <c r="O120" s="4">
        <f t="shared" si="14"/>
        <v>10290.93</v>
      </c>
      <c r="P120" s="27">
        <f>O120/(parametros_manuales!$B$7)</f>
        <v>68.6062</v>
      </c>
      <c r="Q120" s="3" t="str">
        <f t="shared" si="15"/>
        <v>Dic</v>
      </c>
    </row>
    <row r="121" ht="14.25" customHeight="1">
      <c r="A121" s="3" t="str">
        <f>parametros_manuales!$B$30</f>
        <v>Soldadura circunferencial de cúpula y fondo</v>
      </c>
      <c r="B121" s="4">
        <f>(parametros_manuales!$D$30*('Plan mensual'!D46+IF(parametros_manuales!$H$30="Todos",'Plan mensual'!D50,0))+parametros_manuales!$E$30*('Plan mensual'!D47+IF(parametros_manuales!$H$30="Todos",'Plan mensual'!D51,0))+parametros_manuales!$F$30*('Plan mensual'!D48+IF(parametros_manuales!$H$30="Todos",'Plan mensual'!D52,0))+parametros_manuales!$G$30*('Plan mensual'!D49+IF(parametros_manuales!$H$30="Todos",'Plan mensual'!D53,0)))*parametros_manuales!$I$30*parametros_manuales!$J$30</f>
        <v>10033.02</v>
      </c>
      <c r="C121" s="4">
        <f>(parametros_manuales!$D$30*('Plan mensual'!E46+IF(parametros_manuales!$H$30="Todos",'Plan mensual'!E50,0))+parametros_manuales!$E$30*('Plan mensual'!E47+IF(parametros_manuales!$H$30="Todos",'Plan mensual'!E51,0))+parametros_manuales!$F$30*('Plan mensual'!E48+IF(parametros_manuales!$H$30="Todos",'Plan mensual'!E52,0))+parametros_manuales!$G$30*('Plan mensual'!E49+IF(parametros_manuales!$H$30="Todos",'Plan mensual'!E53,0)))*parametros_manuales!$I$30*parametros_manuales!$J$30</f>
        <v>7653.72</v>
      </c>
      <c r="D121" s="4">
        <f>(parametros_manuales!$D$30*('Plan mensual'!F46+IF(parametros_manuales!$H$30="Todos",'Plan mensual'!F50,0))+parametros_manuales!$E$30*('Plan mensual'!F47+IF(parametros_manuales!$H$30="Todos",'Plan mensual'!F51,0))+parametros_manuales!$F$30*('Plan mensual'!F48+IF(parametros_manuales!$H$30="Todos",'Plan mensual'!F52,0))+parametros_manuales!$G$30*('Plan mensual'!F49+IF(parametros_manuales!$H$30="Todos",'Plan mensual'!F53,0)))*parametros_manuales!$I$30*parametros_manuales!$J$30</f>
        <v>7161.515</v>
      </c>
      <c r="E121" s="4">
        <f>(parametros_manuales!$D$30*('Plan mensual'!G46+IF(parametros_manuales!$H$30="Todos",'Plan mensual'!G50,0))+parametros_manuales!$E$30*('Plan mensual'!G47+IF(parametros_manuales!$H$30="Todos",'Plan mensual'!G51,0))+parametros_manuales!$F$30*('Plan mensual'!G48+IF(parametros_manuales!$H$30="Todos",'Plan mensual'!G52,0))+parametros_manuales!$G$30*('Plan mensual'!G49+IF(parametros_manuales!$H$30="Todos",'Plan mensual'!G53,0)))*parametros_manuales!$I$30*parametros_manuales!$J$30</f>
        <v>6850.935</v>
      </c>
      <c r="F121" s="4">
        <f>(parametros_manuales!$D$30*('Plan mensual'!H46+IF(parametros_manuales!$H$30="Todos",'Plan mensual'!H50,0))+parametros_manuales!$E$30*('Plan mensual'!H47+IF(parametros_manuales!$H$30="Todos",'Plan mensual'!H51,0))+parametros_manuales!$F$30*('Plan mensual'!H48+IF(parametros_manuales!$H$30="Todos",'Plan mensual'!H52,0))+parametros_manuales!$G$30*('Plan mensual'!H49+IF(parametros_manuales!$H$30="Todos",'Plan mensual'!H53,0)))*parametros_manuales!$I$30*parametros_manuales!$J$30</f>
        <v>6411.4</v>
      </c>
      <c r="G121" s="4">
        <f>(parametros_manuales!$D$30*('Plan mensual'!I46+IF(parametros_manuales!$H$30="Todos",'Plan mensual'!I50,0))+parametros_manuales!$E$30*('Plan mensual'!I47+IF(parametros_manuales!$H$30="Todos",'Plan mensual'!I51,0))+parametros_manuales!$F$30*('Plan mensual'!I48+IF(parametros_manuales!$H$30="Todos",'Plan mensual'!I52,0))+parametros_manuales!$G$30*('Plan mensual'!I49+IF(parametros_manuales!$H$30="Todos",'Plan mensual'!I53,0)))*parametros_manuales!$I$30*parametros_manuales!$J$30</f>
        <v>6282.445</v>
      </c>
      <c r="H121" s="4">
        <f>(parametros_manuales!$D$30*('Plan mensual'!J46+IF(parametros_manuales!$H$30="Todos",'Plan mensual'!J50,0))+parametros_manuales!$E$30*('Plan mensual'!J47+IF(parametros_manuales!$H$30="Todos",'Plan mensual'!J51,0))+parametros_manuales!$F$30*('Plan mensual'!J48+IF(parametros_manuales!$H$30="Todos",'Plan mensual'!J52,0))+parametros_manuales!$G$30*('Plan mensual'!J49+IF(parametros_manuales!$H$30="Todos",'Plan mensual'!J53,0)))*parametros_manuales!$I$30*parametros_manuales!$J$30</f>
        <v>6721.98</v>
      </c>
      <c r="I121" s="4">
        <f>(parametros_manuales!$D$30*('Plan mensual'!K46+IF(parametros_manuales!$H$30="Todos",'Plan mensual'!K50,0))+parametros_manuales!$E$30*('Plan mensual'!K47+IF(parametros_manuales!$H$30="Todos",'Plan mensual'!K51,0))+parametros_manuales!$F$30*('Plan mensual'!K48+IF(parametros_manuales!$H$30="Todos",'Plan mensual'!K52,0))+parametros_manuales!$G$30*('Plan mensual'!K49+IF(parametros_manuales!$H$30="Todos",'Plan mensual'!K53,0)))*parametros_manuales!$I$30*parametros_manuales!$J$30</f>
        <v>6721.98</v>
      </c>
      <c r="J121" s="4">
        <f>(parametros_manuales!$D$30*('Plan mensual'!L46+IF(parametros_manuales!$H$30="Todos",'Plan mensual'!L50,0))+parametros_manuales!$E$30*('Plan mensual'!L47+IF(parametros_manuales!$H$30="Todos",'Plan mensual'!L51,0))+parametros_manuales!$F$30*('Plan mensual'!L48+IF(parametros_manuales!$H$30="Todos",'Plan mensual'!L52,0))+parametros_manuales!$G$30*('Plan mensual'!L49+IF(parametros_manuales!$H$30="Todos",'Plan mensual'!L53,0)))*parametros_manuales!$I$30*parametros_manuales!$J$30</f>
        <v>6721.98</v>
      </c>
      <c r="K121" s="4">
        <f>(parametros_manuales!$D$30*('Plan mensual'!M46+IF(parametros_manuales!$H$30="Todos",'Plan mensual'!M50,0))+parametros_manuales!$E$30*('Plan mensual'!M47+IF(parametros_manuales!$H$30="Todos",'Plan mensual'!M51,0))+parametros_manuales!$F$30*('Plan mensual'!M48+IF(parametros_manuales!$H$30="Todos",'Plan mensual'!M52,0))+parametros_manuales!$G$30*('Plan mensual'!M49+IF(parametros_manuales!$H$30="Todos",'Plan mensual'!M53,0)))*parametros_manuales!$I$30*parametros_manuales!$J$30</f>
        <v>6593.025</v>
      </c>
      <c r="L121" s="4">
        <f>(parametros_manuales!$D$30*('Plan mensual'!N46+IF(parametros_manuales!$H$30="Todos",'Plan mensual'!N50,0))+parametros_manuales!$E$30*('Plan mensual'!N47+IF(parametros_manuales!$H$30="Todos",'Plan mensual'!N51,0))+parametros_manuales!$F$30*('Plan mensual'!N48+IF(parametros_manuales!$H$30="Todos",'Plan mensual'!N52,0))+parametros_manuales!$G$30*('Plan mensual'!N49+IF(parametros_manuales!$H$30="Todos",'Plan mensual'!N53,0)))*parametros_manuales!$I$30*parametros_manuales!$J$30</f>
        <v>6464.07</v>
      </c>
      <c r="M121" s="4">
        <f>(parametros_manuales!$D$30*('Plan mensual'!O46+IF(parametros_manuales!$H$30="Todos",'Plan mensual'!O50,0))+parametros_manuales!$E$30*('Plan mensual'!O47+IF(parametros_manuales!$H$30="Todos",'Plan mensual'!O51,0))+parametros_manuales!$F$30*('Plan mensual'!O48+IF(parametros_manuales!$H$30="Todos",'Plan mensual'!O52,0))+parametros_manuales!$G$30*('Plan mensual'!O49+IF(parametros_manuales!$H$30="Todos",'Plan mensual'!O53,0)))*parametros_manuales!$I$30*parametros_manuales!$J$30</f>
        <v>10290.93</v>
      </c>
      <c r="N121" s="4">
        <f t="shared" si="13"/>
        <v>87907</v>
      </c>
      <c r="O121" s="4">
        <f t="shared" si="14"/>
        <v>10290.93</v>
      </c>
      <c r="P121" s="27">
        <f>O121/(parametros_manuales!$B$7)</f>
        <v>68.6062</v>
      </c>
      <c r="Q121" s="3" t="str">
        <f t="shared" si="15"/>
        <v>Dic</v>
      </c>
    </row>
    <row r="122" ht="14.25" customHeight="1">
      <c r="A122" s="3" t="str">
        <f>parametros_manuales!$B$31</f>
        <v>Control de calidad — Espesor</v>
      </c>
      <c r="B122" s="4">
        <f>(parametros_manuales!$D$31*('Plan mensual'!D46+IF(parametros_manuales!$H$31="Todos",'Plan mensual'!D50,0))+parametros_manuales!$E$31*('Plan mensual'!D47+IF(parametros_manuales!$H$31="Todos",'Plan mensual'!D51,0))+parametros_manuales!$F$31*('Plan mensual'!D48+IF(parametros_manuales!$H$31="Todos",'Plan mensual'!D52,0))+parametros_manuales!$G$31*('Plan mensual'!D49+IF(parametros_manuales!$H$31="Todos",'Plan mensual'!D53,0)))*parametros_manuales!$I$31*parametros_manuales!$J$31</f>
        <v>200.6604</v>
      </c>
      <c r="C122" s="4">
        <f>(parametros_manuales!$D$31*('Plan mensual'!E46+IF(parametros_manuales!$H$31="Todos",'Plan mensual'!E50,0))+parametros_manuales!$E$31*('Plan mensual'!E47+IF(parametros_manuales!$H$31="Todos",'Plan mensual'!E51,0))+parametros_manuales!$F$31*('Plan mensual'!E48+IF(parametros_manuales!$H$31="Todos",'Plan mensual'!E52,0))+parametros_manuales!$G$31*('Plan mensual'!E49+IF(parametros_manuales!$H$31="Todos",'Plan mensual'!E53,0)))*parametros_manuales!$I$31*parametros_manuales!$J$31</f>
        <v>153.0744</v>
      </c>
      <c r="D122" s="4">
        <f>(parametros_manuales!$D$31*('Plan mensual'!F46+IF(parametros_manuales!$H$31="Todos",'Plan mensual'!F50,0))+parametros_manuales!$E$31*('Plan mensual'!F47+IF(parametros_manuales!$H$31="Todos",'Plan mensual'!F51,0))+parametros_manuales!$F$31*('Plan mensual'!F48+IF(parametros_manuales!$H$31="Todos",'Plan mensual'!F52,0))+parametros_manuales!$G$31*('Plan mensual'!F49+IF(parametros_manuales!$H$31="Todos",'Plan mensual'!F53,0)))*parametros_manuales!$I$31*parametros_manuales!$J$31</f>
        <v>143.2303</v>
      </c>
      <c r="E122" s="4">
        <f>(parametros_manuales!$D$31*('Plan mensual'!G46+IF(parametros_manuales!$H$31="Todos",'Plan mensual'!G50,0))+parametros_manuales!$E$31*('Plan mensual'!G47+IF(parametros_manuales!$H$31="Todos",'Plan mensual'!G51,0))+parametros_manuales!$F$31*('Plan mensual'!G48+IF(parametros_manuales!$H$31="Todos",'Plan mensual'!G52,0))+parametros_manuales!$G$31*('Plan mensual'!G49+IF(parametros_manuales!$H$31="Todos",'Plan mensual'!G53,0)))*parametros_manuales!$I$31*parametros_manuales!$J$31</f>
        <v>137.0187</v>
      </c>
      <c r="F122" s="4">
        <f>(parametros_manuales!$D$31*('Plan mensual'!H46+IF(parametros_manuales!$H$31="Todos",'Plan mensual'!H50,0))+parametros_manuales!$E$31*('Plan mensual'!H47+IF(parametros_manuales!$H$31="Todos",'Plan mensual'!H51,0))+parametros_manuales!$F$31*('Plan mensual'!H48+IF(parametros_manuales!$H$31="Todos",'Plan mensual'!H52,0))+parametros_manuales!$G$31*('Plan mensual'!H49+IF(parametros_manuales!$H$31="Todos",'Plan mensual'!H53,0)))*parametros_manuales!$I$31*parametros_manuales!$J$31</f>
        <v>128.228</v>
      </c>
      <c r="G122" s="4">
        <f>(parametros_manuales!$D$31*('Plan mensual'!I46+IF(parametros_manuales!$H$31="Todos",'Plan mensual'!I50,0))+parametros_manuales!$E$31*('Plan mensual'!I47+IF(parametros_manuales!$H$31="Todos",'Plan mensual'!I51,0))+parametros_manuales!$F$31*('Plan mensual'!I48+IF(parametros_manuales!$H$31="Todos",'Plan mensual'!I52,0))+parametros_manuales!$G$31*('Plan mensual'!I49+IF(parametros_manuales!$H$31="Todos",'Plan mensual'!I53,0)))*parametros_manuales!$I$31*parametros_manuales!$J$31</f>
        <v>125.6489</v>
      </c>
      <c r="H122" s="4">
        <f>(parametros_manuales!$D$31*('Plan mensual'!J46+IF(parametros_manuales!$H$31="Todos",'Plan mensual'!J50,0))+parametros_manuales!$E$31*('Plan mensual'!J47+IF(parametros_manuales!$H$31="Todos",'Plan mensual'!J51,0))+parametros_manuales!$F$31*('Plan mensual'!J48+IF(parametros_manuales!$H$31="Todos",'Plan mensual'!J52,0))+parametros_manuales!$G$31*('Plan mensual'!J49+IF(parametros_manuales!$H$31="Todos",'Plan mensual'!J53,0)))*parametros_manuales!$I$31*parametros_manuales!$J$31</f>
        <v>134.4396</v>
      </c>
      <c r="I122" s="4">
        <f>(parametros_manuales!$D$31*('Plan mensual'!K46+IF(parametros_manuales!$H$31="Todos",'Plan mensual'!K50,0))+parametros_manuales!$E$31*('Plan mensual'!K47+IF(parametros_manuales!$H$31="Todos",'Plan mensual'!K51,0))+parametros_manuales!$F$31*('Plan mensual'!K48+IF(parametros_manuales!$H$31="Todos",'Plan mensual'!K52,0))+parametros_manuales!$G$31*('Plan mensual'!K49+IF(parametros_manuales!$H$31="Todos",'Plan mensual'!K53,0)))*parametros_manuales!$I$31*parametros_manuales!$J$31</f>
        <v>134.4396</v>
      </c>
      <c r="J122" s="4">
        <f>(parametros_manuales!$D$31*('Plan mensual'!L46+IF(parametros_manuales!$H$31="Todos",'Plan mensual'!L50,0))+parametros_manuales!$E$31*('Plan mensual'!L47+IF(parametros_manuales!$H$31="Todos",'Plan mensual'!L51,0))+parametros_manuales!$F$31*('Plan mensual'!L48+IF(parametros_manuales!$H$31="Todos",'Plan mensual'!L52,0))+parametros_manuales!$G$31*('Plan mensual'!L49+IF(parametros_manuales!$H$31="Todos",'Plan mensual'!L53,0)))*parametros_manuales!$I$31*parametros_manuales!$J$31</f>
        <v>134.4396</v>
      </c>
      <c r="K122" s="4">
        <f>(parametros_manuales!$D$31*('Plan mensual'!M46+IF(parametros_manuales!$H$31="Todos",'Plan mensual'!M50,0))+parametros_manuales!$E$31*('Plan mensual'!M47+IF(parametros_manuales!$H$31="Todos",'Plan mensual'!M51,0))+parametros_manuales!$F$31*('Plan mensual'!M48+IF(parametros_manuales!$H$31="Todos",'Plan mensual'!M52,0))+parametros_manuales!$G$31*('Plan mensual'!M49+IF(parametros_manuales!$H$31="Todos",'Plan mensual'!M53,0)))*parametros_manuales!$I$31*parametros_manuales!$J$31</f>
        <v>131.8605</v>
      </c>
      <c r="L122" s="4">
        <f>(parametros_manuales!$D$31*('Plan mensual'!N46+IF(parametros_manuales!$H$31="Todos",'Plan mensual'!N50,0))+parametros_manuales!$E$31*('Plan mensual'!N47+IF(parametros_manuales!$H$31="Todos",'Plan mensual'!N51,0))+parametros_manuales!$F$31*('Plan mensual'!N48+IF(parametros_manuales!$H$31="Todos",'Plan mensual'!N52,0))+parametros_manuales!$G$31*('Plan mensual'!N49+IF(parametros_manuales!$H$31="Todos",'Plan mensual'!N53,0)))*parametros_manuales!$I$31*parametros_manuales!$J$31</f>
        <v>129.2814</v>
      </c>
      <c r="M122" s="4">
        <f>(parametros_manuales!$D$31*('Plan mensual'!O46+IF(parametros_manuales!$H$31="Todos",'Plan mensual'!O50,0))+parametros_manuales!$E$31*('Plan mensual'!O47+IF(parametros_manuales!$H$31="Todos",'Plan mensual'!O51,0))+parametros_manuales!$F$31*('Plan mensual'!O48+IF(parametros_manuales!$H$31="Todos",'Plan mensual'!O52,0))+parametros_manuales!$G$31*('Plan mensual'!O49+IF(parametros_manuales!$H$31="Todos",'Plan mensual'!O53,0)))*parametros_manuales!$I$31*parametros_manuales!$J$31</f>
        <v>205.8186</v>
      </c>
      <c r="N122" s="4">
        <f t="shared" si="13"/>
        <v>1758.14</v>
      </c>
      <c r="O122" s="4">
        <f t="shared" si="14"/>
        <v>205.8186</v>
      </c>
      <c r="P122" s="27">
        <f>O122/(parametros_manuales!$B$7)</f>
        <v>1.372124</v>
      </c>
      <c r="Q122" s="3" t="str">
        <f t="shared" si="15"/>
        <v>Dic</v>
      </c>
    </row>
    <row r="123" ht="14.25" customHeight="1">
      <c r="A123" s="3" t="str">
        <f>parametros_manuales!$B$32</f>
        <v>Prueba hidráulica</v>
      </c>
      <c r="B123" s="4">
        <f>(parametros_manuales!$D$32*('Plan mensual'!D46+IF(parametros_manuales!$H$32="Todos",'Plan mensual'!D50,0))+parametros_manuales!$E$32*('Plan mensual'!D47+IF(parametros_manuales!$H$32="Todos",'Plan mensual'!D51,0))+parametros_manuales!$F$32*('Plan mensual'!D48+IF(parametros_manuales!$H$32="Todos",'Plan mensual'!D52,0))+parametros_manuales!$G$32*('Plan mensual'!D49+IF(parametros_manuales!$H$32="Todos",'Plan mensual'!D53,0)))*parametros_manuales!$I$32*parametros_manuales!$J$32</f>
        <v>10033.02</v>
      </c>
      <c r="C123" s="4">
        <f>(parametros_manuales!$D$32*('Plan mensual'!E46+IF(parametros_manuales!$H$32="Todos",'Plan mensual'!E50,0))+parametros_manuales!$E$32*('Plan mensual'!E47+IF(parametros_manuales!$H$32="Todos",'Plan mensual'!E51,0))+parametros_manuales!$F$32*('Plan mensual'!E48+IF(parametros_manuales!$H$32="Todos",'Plan mensual'!E52,0))+parametros_manuales!$G$32*('Plan mensual'!E49+IF(parametros_manuales!$H$32="Todos",'Plan mensual'!E53,0)))*parametros_manuales!$I$32*parametros_manuales!$J$32</f>
        <v>7653.72</v>
      </c>
      <c r="D123" s="4">
        <f>(parametros_manuales!$D$32*('Plan mensual'!F46+IF(parametros_manuales!$H$32="Todos",'Plan mensual'!F50,0))+parametros_manuales!$E$32*('Plan mensual'!F47+IF(parametros_manuales!$H$32="Todos",'Plan mensual'!F51,0))+parametros_manuales!$F$32*('Plan mensual'!F48+IF(parametros_manuales!$H$32="Todos",'Plan mensual'!F52,0))+parametros_manuales!$G$32*('Plan mensual'!F49+IF(parametros_manuales!$H$32="Todos",'Plan mensual'!F53,0)))*parametros_manuales!$I$32*parametros_manuales!$J$32</f>
        <v>7161.515</v>
      </c>
      <c r="E123" s="4">
        <f>(parametros_manuales!$D$32*('Plan mensual'!G46+IF(parametros_manuales!$H$32="Todos",'Plan mensual'!G50,0))+parametros_manuales!$E$32*('Plan mensual'!G47+IF(parametros_manuales!$H$32="Todos",'Plan mensual'!G51,0))+parametros_manuales!$F$32*('Plan mensual'!G48+IF(parametros_manuales!$H$32="Todos",'Plan mensual'!G52,0))+parametros_manuales!$G$32*('Plan mensual'!G49+IF(parametros_manuales!$H$32="Todos",'Plan mensual'!G53,0)))*parametros_manuales!$I$32*parametros_manuales!$J$32</f>
        <v>6850.935</v>
      </c>
      <c r="F123" s="4">
        <f>(parametros_manuales!$D$32*('Plan mensual'!H46+IF(parametros_manuales!$H$32="Todos",'Plan mensual'!H50,0))+parametros_manuales!$E$32*('Plan mensual'!H47+IF(parametros_manuales!$H$32="Todos",'Plan mensual'!H51,0))+parametros_manuales!$F$32*('Plan mensual'!H48+IF(parametros_manuales!$H$32="Todos",'Plan mensual'!H52,0))+parametros_manuales!$G$32*('Plan mensual'!H49+IF(parametros_manuales!$H$32="Todos",'Plan mensual'!H53,0)))*parametros_manuales!$I$32*parametros_manuales!$J$32</f>
        <v>6411.4</v>
      </c>
      <c r="G123" s="4">
        <f>(parametros_manuales!$D$32*('Plan mensual'!I46+IF(parametros_manuales!$H$32="Todos",'Plan mensual'!I50,0))+parametros_manuales!$E$32*('Plan mensual'!I47+IF(parametros_manuales!$H$32="Todos",'Plan mensual'!I51,0))+parametros_manuales!$F$32*('Plan mensual'!I48+IF(parametros_manuales!$H$32="Todos",'Plan mensual'!I52,0))+parametros_manuales!$G$32*('Plan mensual'!I49+IF(parametros_manuales!$H$32="Todos",'Plan mensual'!I53,0)))*parametros_manuales!$I$32*parametros_manuales!$J$32</f>
        <v>6282.445</v>
      </c>
      <c r="H123" s="4">
        <f>(parametros_manuales!$D$32*('Plan mensual'!J46+IF(parametros_manuales!$H$32="Todos",'Plan mensual'!J50,0))+parametros_manuales!$E$32*('Plan mensual'!J47+IF(parametros_manuales!$H$32="Todos",'Plan mensual'!J51,0))+parametros_manuales!$F$32*('Plan mensual'!J48+IF(parametros_manuales!$H$32="Todos",'Plan mensual'!J52,0))+parametros_manuales!$G$32*('Plan mensual'!J49+IF(parametros_manuales!$H$32="Todos",'Plan mensual'!J53,0)))*parametros_manuales!$I$32*parametros_manuales!$J$32</f>
        <v>6721.98</v>
      </c>
      <c r="I123" s="4">
        <f>(parametros_manuales!$D$32*('Plan mensual'!K46+IF(parametros_manuales!$H$32="Todos",'Plan mensual'!K50,0))+parametros_manuales!$E$32*('Plan mensual'!K47+IF(parametros_manuales!$H$32="Todos",'Plan mensual'!K51,0))+parametros_manuales!$F$32*('Plan mensual'!K48+IF(parametros_manuales!$H$32="Todos",'Plan mensual'!K52,0))+parametros_manuales!$G$32*('Plan mensual'!K49+IF(parametros_manuales!$H$32="Todos",'Plan mensual'!K53,0)))*parametros_manuales!$I$32*parametros_manuales!$J$32</f>
        <v>6721.98</v>
      </c>
      <c r="J123" s="4">
        <f>(parametros_manuales!$D$32*('Plan mensual'!L46+IF(parametros_manuales!$H$32="Todos",'Plan mensual'!L50,0))+parametros_manuales!$E$32*('Plan mensual'!L47+IF(parametros_manuales!$H$32="Todos",'Plan mensual'!L51,0))+parametros_manuales!$F$32*('Plan mensual'!L48+IF(parametros_manuales!$H$32="Todos",'Plan mensual'!L52,0))+parametros_manuales!$G$32*('Plan mensual'!L49+IF(parametros_manuales!$H$32="Todos",'Plan mensual'!L53,0)))*parametros_manuales!$I$32*parametros_manuales!$J$32</f>
        <v>6721.98</v>
      </c>
      <c r="K123" s="4">
        <f>(parametros_manuales!$D$32*('Plan mensual'!M46+IF(parametros_manuales!$H$32="Todos",'Plan mensual'!M50,0))+parametros_manuales!$E$32*('Plan mensual'!M47+IF(parametros_manuales!$H$32="Todos",'Plan mensual'!M51,0))+parametros_manuales!$F$32*('Plan mensual'!M48+IF(parametros_manuales!$H$32="Todos",'Plan mensual'!M52,0))+parametros_manuales!$G$32*('Plan mensual'!M49+IF(parametros_manuales!$H$32="Todos",'Plan mensual'!M53,0)))*parametros_manuales!$I$32*parametros_manuales!$J$32</f>
        <v>6593.025</v>
      </c>
      <c r="L123" s="4">
        <f>(parametros_manuales!$D$32*('Plan mensual'!N46+IF(parametros_manuales!$H$32="Todos",'Plan mensual'!N50,0))+parametros_manuales!$E$32*('Plan mensual'!N47+IF(parametros_manuales!$H$32="Todos",'Plan mensual'!N51,0))+parametros_manuales!$F$32*('Plan mensual'!N48+IF(parametros_manuales!$H$32="Todos",'Plan mensual'!N52,0))+parametros_manuales!$G$32*('Plan mensual'!N49+IF(parametros_manuales!$H$32="Todos",'Plan mensual'!N53,0)))*parametros_manuales!$I$32*parametros_manuales!$J$32</f>
        <v>6464.07</v>
      </c>
      <c r="M123" s="4">
        <f>(parametros_manuales!$D$32*('Plan mensual'!O46+IF(parametros_manuales!$H$32="Todos",'Plan mensual'!O50,0))+parametros_manuales!$E$32*('Plan mensual'!O47+IF(parametros_manuales!$H$32="Todos",'Plan mensual'!O51,0))+parametros_manuales!$F$32*('Plan mensual'!O48+IF(parametros_manuales!$H$32="Todos",'Plan mensual'!O52,0))+parametros_manuales!$G$32*('Plan mensual'!O49+IF(parametros_manuales!$H$32="Todos",'Plan mensual'!O53,0)))*parametros_manuales!$I$32*parametros_manuales!$J$32</f>
        <v>10290.93</v>
      </c>
      <c r="N123" s="4">
        <f t="shared" si="13"/>
        <v>87907</v>
      </c>
      <c r="O123" s="4">
        <f t="shared" si="14"/>
        <v>10290.93</v>
      </c>
      <c r="P123" s="27">
        <f>O123/(parametros_manuales!$B$7)</f>
        <v>68.6062</v>
      </c>
      <c r="Q123" s="3" t="str">
        <f t="shared" si="15"/>
        <v>Dic</v>
      </c>
    </row>
    <row r="124" ht="14.25" customHeight="1">
      <c r="A124" s="3" t="str">
        <f>parametros_manuales!$B$33</f>
        <v>Secado</v>
      </c>
      <c r="B124" s="4">
        <f>(parametros_manuales!$D$33*('Plan mensual'!D46+IF(parametros_manuales!$H$33="Todos",'Plan mensual'!D50,0))+parametros_manuales!$E$33*('Plan mensual'!D47+IF(parametros_manuales!$H$33="Todos",'Plan mensual'!D51,0))+parametros_manuales!$F$33*('Plan mensual'!D48+IF(parametros_manuales!$H$33="Todos",'Plan mensual'!D52,0))+parametros_manuales!$G$33*('Plan mensual'!D49+IF(parametros_manuales!$H$33="Todos",'Plan mensual'!D53,0)))*parametros_manuales!$I$33*parametros_manuales!$J$33</f>
        <v>10033.02</v>
      </c>
      <c r="C124" s="4">
        <f>(parametros_manuales!$D$33*('Plan mensual'!E46+IF(parametros_manuales!$H$33="Todos",'Plan mensual'!E50,0))+parametros_manuales!$E$33*('Plan mensual'!E47+IF(parametros_manuales!$H$33="Todos",'Plan mensual'!E51,0))+parametros_manuales!$F$33*('Plan mensual'!E48+IF(parametros_manuales!$H$33="Todos",'Plan mensual'!E52,0))+parametros_manuales!$G$33*('Plan mensual'!E49+IF(parametros_manuales!$H$33="Todos",'Plan mensual'!E53,0)))*parametros_manuales!$I$33*parametros_manuales!$J$33</f>
        <v>7653.72</v>
      </c>
      <c r="D124" s="4">
        <f>(parametros_manuales!$D$33*('Plan mensual'!F46+IF(parametros_manuales!$H$33="Todos",'Plan mensual'!F50,0))+parametros_manuales!$E$33*('Plan mensual'!F47+IF(parametros_manuales!$H$33="Todos",'Plan mensual'!F51,0))+parametros_manuales!$F$33*('Plan mensual'!F48+IF(parametros_manuales!$H$33="Todos",'Plan mensual'!F52,0))+parametros_manuales!$G$33*('Plan mensual'!F49+IF(parametros_manuales!$H$33="Todos",'Plan mensual'!F53,0)))*parametros_manuales!$I$33*parametros_manuales!$J$33</f>
        <v>7161.515</v>
      </c>
      <c r="E124" s="4">
        <f>(parametros_manuales!$D$33*('Plan mensual'!G46+IF(parametros_manuales!$H$33="Todos",'Plan mensual'!G50,0))+parametros_manuales!$E$33*('Plan mensual'!G47+IF(parametros_manuales!$H$33="Todos",'Plan mensual'!G51,0))+parametros_manuales!$F$33*('Plan mensual'!G48+IF(parametros_manuales!$H$33="Todos",'Plan mensual'!G52,0))+parametros_manuales!$G$33*('Plan mensual'!G49+IF(parametros_manuales!$H$33="Todos",'Plan mensual'!G53,0)))*parametros_manuales!$I$33*parametros_manuales!$J$33</f>
        <v>6850.935</v>
      </c>
      <c r="F124" s="4">
        <f>(parametros_manuales!$D$33*('Plan mensual'!H46+IF(parametros_manuales!$H$33="Todos",'Plan mensual'!H50,0))+parametros_manuales!$E$33*('Plan mensual'!H47+IF(parametros_manuales!$H$33="Todos",'Plan mensual'!H51,0))+parametros_manuales!$F$33*('Plan mensual'!H48+IF(parametros_manuales!$H$33="Todos",'Plan mensual'!H52,0))+parametros_manuales!$G$33*('Plan mensual'!H49+IF(parametros_manuales!$H$33="Todos",'Plan mensual'!H53,0)))*parametros_manuales!$I$33*parametros_manuales!$J$33</f>
        <v>6411.4</v>
      </c>
      <c r="G124" s="4">
        <f>(parametros_manuales!$D$33*('Plan mensual'!I46+IF(parametros_manuales!$H$33="Todos",'Plan mensual'!I50,0))+parametros_manuales!$E$33*('Plan mensual'!I47+IF(parametros_manuales!$H$33="Todos",'Plan mensual'!I51,0))+parametros_manuales!$F$33*('Plan mensual'!I48+IF(parametros_manuales!$H$33="Todos",'Plan mensual'!I52,0))+parametros_manuales!$G$33*('Plan mensual'!I49+IF(parametros_manuales!$H$33="Todos",'Plan mensual'!I53,0)))*parametros_manuales!$I$33*parametros_manuales!$J$33</f>
        <v>6282.445</v>
      </c>
      <c r="H124" s="4">
        <f>(parametros_manuales!$D$33*('Plan mensual'!J46+IF(parametros_manuales!$H$33="Todos",'Plan mensual'!J50,0))+parametros_manuales!$E$33*('Plan mensual'!J47+IF(parametros_manuales!$H$33="Todos",'Plan mensual'!J51,0))+parametros_manuales!$F$33*('Plan mensual'!J48+IF(parametros_manuales!$H$33="Todos",'Plan mensual'!J52,0))+parametros_manuales!$G$33*('Plan mensual'!J49+IF(parametros_manuales!$H$33="Todos",'Plan mensual'!J53,0)))*parametros_manuales!$I$33*parametros_manuales!$J$33</f>
        <v>6721.98</v>
      </c>
      <c r="I124" s="4">
        <f>(parametros_manuales!$D$33*('Plan mensual'!K46+IF(parametros_manuales!$H$33="Todos",'Plan mensual'!K50,0))+parametros_manuales!$E$33*('Plan mensual'!K47+IF(parametros_manuales!$H$33="Todos",'Plan mensual'!K51,0))+parametros_manuales!$F$33*('Plan mensual'!K48+IF(parametros_manuales!$H$33="Todos",'Plan mensual'!K52,0))+parametros_manuales!$G$33*('Plan mensual'!K49+IF(parametros_manuales!$H$33="Todos",'Plan mensual'!K53,0)))*parametros_manuales!$I$33*parametros_manuales!$J$33</f>
        <v>6721.98</v>
      </c>
      <c r="J124" s="4">
        <f>(parametros_manuales!$D$33*('Plan mensual'!L46+IF(parametros_manuales!$H$33="Todos",'Plan mensual'!L50,0))+parametros_manuales!$E$33*('Plan mensual'!L47+IF(parametros_manuales!$H$33="Todos",'Plan mensual'!L51,0))+parametros_manuales!$F$33*('Plan mensual'!L48+IF(parametros_manuales!$H$33="Todos",'Plan mensual'!L52,0))+parametros_manuales!$G$33*('Plan mensual'!L49+IF(parametros_manuales!$H$33="Todos",'Plan mensual'!L53,0)))*parametros_manuales!$I$33*parametros_manuales!$J$33</f>
        <v>6721.98</v>
      </c>
      <c r="K124" s="4">
        <f>(parametros_manuales!$D$33*('Plan mensual'!M46+IF(parametros_manuales!$H$33="Todos",'Plan mensual'!M50,0))+parametros_manuales!$E$33*('Plan mensual'!M47+IF(parametros_manuales!$H$33="Todos",'Plan mensual'!M51,0))+parametros_manuales!$F$33*('Plan mensual'!M48+IF(parametros_manuales!$H$33="Todos",'Plan mensual'!M52,0))+parametros_manuales!$G$33*('Plan mensual'!M49+IF(parametros_manuales!$H$33="Todos",'Plan mensual'!M53,0)))*parametros_manuales!$I$33*parametros_manuales!$J$33</f>
        <v>6593.025</v>
      </c>
      <c r="L124" s="4">
        <f>(parametros_manuales!$D$33*('Plan mensual'!N46+IF(parametros_manuales!$H$33="Todos",'Plan mensual'!N50,0))+parametros_manuales!$E$33*('Plan mensual'!N47+IF(parametros_manuales!$H$33="Todos",'Plan mensual'!N51,0))+parametros_manuales!$F$33*('Plan mensual'!N48+IF(parametros_manuales!$H$33="Todos",'Plan mensual'!N52,0))+parametros_manuales!$G$33*('Plan mensual'!N49+IF(parametros_manuales!$H$33="Todos",'Plan mensual'!N53,0)))*parametros_manuales!$I$33*parametros_manuales!$J$33</f>
        <v>6464.07</v>
      </c>
      <c r="M124" s="4">
        <f>(parametros_manuales!$D$33*('Plan mensual'!O46+IF(parametros_manuales!$H$33="Todos",'Plan mensual'!O50,0))+parametros_manuales!$E$33*('Plan mensual'!O47+IF(parametros_manuales!$H$33="Todos",'Plan mensual'!O51,0))+parametros_manuales!$F$33*('Plan mensual'!O48+IF(parametros_manuales!$H$33="Todos",'Plan mensual'!O52,0))+parametros_manuales!$G$33*('Plan mensual'!O49+IF(parametros_manuales!$H$33="Todos",'Plan mensual'!O53,0)))*parametros_manuales!$I$33*parametros_manuales!$J$33</f>
        <v>10290.93</v>
      </c>
      <c r="N124" s="4">
        <f t="shared" si="13"/>
        <v>87907</v>
      </c>
      <c r="O124" s="4">
        <f t="shared" si="14"/>
        <v>10290.93</v>
      </c>
      <c r="P124" s="27">
        <f>O124/(parametros_manuales!$B$7)</f>
        <v>68.6062</v>
      </c>
      <c r="Q124" s="3" t="str">
        <f t="shared" si="15"/>
        <v>Dic</v>
      </c>
    </row>
    <row r="125" ht="14.25" customHeight="1">
      <c r="A125" s="3" t="str">
        <f>parametros_manuales!$B$34</f>
        <v>Granallado</v>
      </c>
      <c r="B125" s="4">
        <f>(parametros_manuales!$D$34*('Plan mensual'!D46+IF(parametros_manuales!$H$34="Todos",'Plan mensual'!D50,0))+parametros_manuales!$E$34*('Plan mensual'!D47+IF(parametros_manuales!$H$34="Todos",'Plan mensual'!D51,0))+parametros_manuales!$F$34*('Plan mensual'!D48+IF(parametros_manuales!$H$34="Todos",'Plan mensual'!D52,0))+parametros_manuales!$G$34*('Plan mensual'!D49+IF(parametros_manuales!$H$34="Todos",'Plan mensual'!D53,0)))*parametros_manuales!$I$34*parametros_manuales!$J$34</f>
        <v>10033.02</v>
      </c>
      <c r="C125" s="4">
        <f>(parametros_manuales!$D$34*('Plan mensual'!E46+IF(parametros_manuales!$H$34="Todos",'Plan mensual'!E50,0))+parametros_manuales!$E$34*('Plan mensual'!E47+IF(parametros_manuales!$H$34="Todos",'Plan mensual'!E51,0))+parametros_manuales!$F$34*('Plan mensual'!E48+IF(parametros_manuales!$H$34="Todos",'Plan mensual'!E52,0))+parametros_manuales!$G$34*('Plan mensual'!E49+IF(parametros_manuales!$H$34="Todos",'Plan mensual'!E53,0)))*parametros_manuales!$I$34*parametros_manuales!$J$34</f>
        <v>7653.72</v>
      </c>
      <c r="D125" s="4">
        <f>(parametros_manuales!$D$34*('Plan mensual'!F46+IF(parametros_manuales!$H$34="Todos",'Plan mensual'!F50,0))+parametros_manuales!$E$34*('Plan mensual'!F47+IF(parametros_manuales!$H$34="Todos",'Plan mensual'!F51,0))+parametros_manuales!$F$34*('Plan mensual'!F48+IF(parametros_manuales!$H$34="Todos",'Plan mensual'!F52,0))+parametros_manuales!$G$34*('Plan mensual'!F49+IF(parametros_manuales!$H$34="Todos",'Plan mensual'!F53,0)))*parametros_manuales!$I$34*parametros_manuales!$J$34</f>
        <v>7161.515</v>
      </c>
      <c r="E125" s="4">
        <f>(parametros_manuales!$D$34*('Plan mensual'!G46+IF(parametros_manuales!$H$34="Todos",'Plan mensual'!G50,0))+parametros_manuales!$E$34*('Plan mensual'!G47+IF(parametros_manuales!$H$34="Todos",'Plan mensual'!G51,0))+parametros_manuales!$F$34*('Plan mensual'!G48+IF(parametros_manuales!$H$34="Todos",'Plan mensual'!G52,0))+parametros_manuales!$G$34*('Plan mensual'!G49+IF(parametros_manuales!$H$34="Todos",'Plan mensual'!G53,0)))*parametros_manuales!$I$34*parametros_manuales!$J$34</f>
        <v>6850.935</v>
      </c>
      <c r="F125" s="4">
        <f>(parametros_manuales!$D$34*('Plan mensual'!H46+IF(parametros_manuales!$H$34="Todos",'Plan mensual'!H50,0))+parametros_manuales!$E$34*('Plan mensual'!H47+IF(parametros_manuales!$H$34="Todos",'Plan mensual'!H51,0))+parametros_manuales!$F$34*('Plan mensual'!H48+IF(parametros_manuales!$H$34="Todos",'Plan mensual'!H52,0))+parametros_manuales!$G$34*('Plan mensual'!H49+IF(parametros_manuales!$H$34="Todos",'Plan mensual'!H53,0)))*parametros_manuales!$I$34*parametros_manuales!$J$34</f>
        <v>6411.4</v>
      </c>
      <c r="G125" s="4">
        <f>(parametros_manuales!$D$34*('Plan mensual'!I46+IF(parametros_manuales!$H$34="Todos",'Plan mensual'!I50,0))+parametros_manuales!$E$34*('Plan mensual'!I47+IF(parametros_manuales!$H$34="Todos",'Plan mensual'!I51,0))+parametros_manuales!$F$34*('Plan mensual'!I48+IF(parametros_manuales!$H$34="Todos",'Plan mensual'!I52,0))+parametros_manuales!$G$34*('Plan mensual'!I49+IF(parametros_manuales!$H$34="Todos",'Plan mensual'!I53,0)))*parametros_manuales!$I$34*parametros_manuales!$J$34</f>
        <v>6282.445</v>
      </c>
      <c r="H125" s="4">
        <f>(parametros_manuales!$D$34*('Plan mensual'!J46+IF(parametros_manuales!$H$34="Todos",'Plan mensual'!J50,0))+parametros_manuales!$E$34*('Plan mensual'!J47+IF(parametros_manuales!$H$34="Todos",'Plan mensual'!J51,0))+parametros_manuales!$F$34*('Plan mensual'!J48+IF(parametros_manuales!$H$34="Todos",'Plan mensual'!J52,0))+parametros_manuales!$G$34*('Plan mensual'!J49+IF(parametros_manuales!$H$34="Todos",'Plan mensual'!J53,0)))*parametros_manuales!$I$34*parametros_manuales!$J$34</f>
        <v>6721.98</v>
      </c>
      <c r="I125" s="4">
        <f>(parametros_manuales!$D$34*('Plan mensual'!K46+IF(parametros_manuales!$H$34="Todos",'Plan mensual'!K50,0))+parametros_manuales!$E$34*('Plan mensual'!K47+IF(parametros_manuales!$H$34="Todos",'Plan mensual'!K51,0))+parametros_manuales!$F$34*('Plan mensual'!K48+IF(parametros_manuales!$H$34="Todos",'Plan mensual'!K52,0))+parametros_manuales!$G$34*('Plan mensual'!K49+IF(parametros_manuales!$H$34="Todos",'Plan mensual'!K53,0)))*parametros_manuales!$I$34*parametros_manuales!$J$34</f>
        <v>6721.98</v>
      </c>
      <c r="J125" s="4">
        <f>(parametros_manuales!$D$34*('Plan mensual'!L46+IF(parametros_manuales!$H$34="Todos",'Plan mensual'!L50,0))+parametros_manuales!$E$34*('Plan mensual'!L47+IF(parametros_manuales!$H$34="Todos",'Plan mensual'!L51,0))+parametros_manuales!$F$34*('Plan mensual'!L48+IF(parametros_manuales!$H$34="Todos",'Plan mensual'!L52,0))+parametros_manuales!$G$34*('Plan mensual'!L49+IF(parametros_manuales!$H$34="Todos",'Plan mensual'!L53,0)))*parametros_manuales!$I$34*parametros_manuales!$J$34</f>
        <v>6721.98</v>
      </c>
      <c r="K125" s="4">
        <f>(parametros_manuales!$D$34*('Plan mensual'!M46+IF(parametros_manuales!$H$34="Todos",'Plan mensual'!M50,0))+parametros_manuales!$E$34*('Plan mensual'!M47+IF(parametros_manuales!$H$34="Todos",'Plan mensual'!M51,0))+parametros_manuales!$F$34*('Plan mensual'!M48+IF(parametros_manuales!$H$34="Todos",'Plan mensual'!M52,0))+parametros_manuales!$G$34*('Plan mensual'!M49+IF(parametros_manuales!$H$34="Todos",'Plan mensual'!M53,0)))*parametros_manuales!$I$34*parametros_manuales!$J$34</f>
        <v>6593.025</v>
      </c>
      <c r="L125" s="4">
        <f>(parametros_manuales!$D$34*('Plan mensual'!N46+IF(parametros_manuales!$H$34="Todos",'Plan mensual'!N50,0))+parametros_manuales!$E$34*('Plan mensual'!N47+IF(parametros_manuales!$H$34="Todos",'Plan mensual'!N51,0))+parametros_manuales!$F$34*('Plan mensual'!N48+IF(parametros_manuales!$H$34="Todos",'Plan mensual'!N52,0))+parametros_manuales!$G$34*('Plan mensual'!N49+IF(parametros_manuales!$H$34="Todos",'Plan mensual'!N53,0)))*parametros_manuales!$I$34*parametros_manuales!$J$34</f>
        <v>6464.07</v>
      </c>
      <c r="M125" s="4">
        <f>(parametros_manuales!$D$34*('Plan mensual'!O46+IF(parametros_manuales!$H$34="Todos",'Plan mensual'!O50,0))+parametros_manuales!$E$34*('Plan mensual'!O47+IF(parametros_manuales!$H$34="Todos",'Plan mensual'!O51,0))+parametros_manuales!$F$34*('Plan mensual'!O48+IF(parametros_manuales!$H$34="Todos",'Plan mensual'!O52,0))+parametros_manuales!$G$34*('Plan mensual'!O49+IF(parametros_manuales!$H$34="Todos",'Plan mensual'!O53,0)))*parametros_manuales!$I$34*parametros_manuales!$J$34</f>
        <v>10290.93</v>
      </c>
      <c r="N125" s="4">
        <f t="shared" si="13"/>
        <v>87907</v>
      </c>
      <c r="O125" s="4">
        <f t="shared" si="14"/>
        <v>10290.93</v>
      </c>
      <c r="P125" s="27">
        <f>O125/(parametros_manuales!$B$7)</f>
        <v>68.6062</v>
      </c>
      <c r="Q125" s="3" t="str">
        <f t="shared" si="15"/>
        <v>Dic</v>
      </c>
    </row>
    <row r="126" ht="14.25" customHeight="1">
      <c r="A126" s="3" t="str">
        <f>parametros_manuales!$B$35</f>
        <v>Detección de defectos</v>
      </c>
      <c r="B126" s="4">
        <f>(parametros_manuales!$D$35*('Plan mensual'!D46+IF(parametros_manuales!$H$35="Todos",'Plan mensual'!D50,0))+parametros_manuales!$E$35*('Plan mensual'!D47+IF(parametros_manuales!$H$35="Todos",'Plan mensual'!D51,0))+parametros_manuales!$F$35*('Plan mensual'!D48+IF(parametros_manuales!$H$35="Todos",'Plan mensual'!D52,0))+parametros_manuales!$G$35*('Plan mensual'!D49+IF(parametros_manuales!$H$35="Todos",'Plan mensual'!D53,0)))*parametros_manuales!$I$35*parametros_manuales!$J$35</f>
        <v>10033.02</v>
      </c>
      <c r="C126" s="4">
        <f>(parametros_manuales!$D$35*('Plan mensual'!E46+IF(parametros_manuales!$H$35="Todos",'Plan mensual'!E50,0))+parametros_manuales!$E$35*('Plan mensual'!E47+IF(parametros_manuales!$H$35="Todos",'Plan mensual'!E51,0))+parametros_manuales!$F$35*('Plan mensual'!E48+IF(parametros_manuales!$H$35="Todos",'Plan mensual'!E52,0))+parametros_manuales!$G$35*('Plan mensual'!E49+IF(parametros_manuales!$H$35="Todos",'Plan mensual'!E53,0)))*parametros_manuales!$I$35*parametros_manuales!$J$35</f>
        <v>7653.72</v>
      </c>
      <c r="D126" s="4">
        <f>(parametros_manuales!$D$35*('Plan mensual'!F46+IF(parametros_manuales!$H$35="Todos",'Plan mensual'!F50,0))+parametros_manuales!$E$35*('Plan mensual'!F47+IF(parametros_manuales!$H$35="Todos",'Plan mensual'!F51,0))+parametros_manuales!$F$35*('Plan mensual'!F48+IF(parametros_manuales!$H$35="Todos",'Plan mensual'!F52,0))+parametros_manuales!$G$35*('Plan mensual'!F49+IF(parametros_manuales!$H$35="Todos",'Plan mensual'!F53,0)))*parametros_manuales!$I$35*parametros_manuales!$J$35</f>
        <v>7161.515</v>
      </c>
      <c r="E126" s="4">
        <f>(parametros_manuales!$D$35*('Plan mensual'!G46+IF(parametros_manuales!$H$35="Todos",'Plan mensual'!G50,0))+parametros_manuales!$E$35*('Plan mensual'!G47+IF(parametros_manuales!$H$35="Todos",'Plan mensual'!G51,0))+parametros_manuales!$F$35*('Plan mensual'!G48+IF(parametros_manuales!$H$35="Todos",'Plan mensual'!G52,0))+parametros_manuales!$G$35*('Plan mensual'!G49+IF(parametros_manuales!$H$35="Todos",'Plan mensual'!G53,0)))*parametros_manuales!$I$35*parametros_manuales!$J$35</f>
        <v>6850.935</v>
      </c>
      <c r="F126" s="4">
        <f>(parametros_manuales!$D$35*('Plan mensual'!H46+IF(parametros_manuales!$H$35="Todos",'Plan mensual'!H50,0))+parametros_manuales!$E$35*('Plan mensual'!H47+IF(parametros_manuales!$H$35="Todos",'Plan mensual'!H51,0))+parametros_manuales!$F$35*('Plan mensual'!H48+IF(parametros_manuales!$H$35="Todos",'Plan mensual'!H52,0))+parametros_manuales!$G$35*('Plan mensual'!H49+IF(parametros_manuales!$H$35="Todos",'Plan mensual'!H53,0)))*parametros_manuales!$I$35*parametros_manuales!$J$35</f>
        <v>6411.4</v>
      </c>
      <c r="G126" s="4">
        <f>(parametros_manuales!$D$35*('Plan mensual'!I46+IF(parametros_manuales!$H$35="Todos",'Plan mensual'!I50,0))+parametros_manuales!$E$35*('Plan mensual'!I47+IF(parametros_manuales!$H$35="Todos",'Plan mensual'!I51,0))+parametros_manuales!$F$35*('Plan mensual'!I48+IF(parametros_manuales!$H$35="Todos",'Plan mensual'!I52,0))+parametros_manuales!$G$35*('Plan mensual'!I49+IF(parametros_manuales!$H$35="Todos",'Plan mensual'!I53,0)))*parametros_manuales!$I$35*parametros_manuales!$J$35</f>
        <v>6282.445</v>
      </c>
      <c r="H126" s="4">
        <f>(parametros_manuales!$D$35*('Plan mensual'!J46+IF(parametros_manuales!$H$35="Todos",'Plan mensual'!J50,0))+parametros_manuales!$E$35*('Plan mensual'!J47+IF(parametros_manuales!$H$35="Todos",'Plan mensual'!J51,0))+parametros_manuales!$F$35*('Plan mensual'!J48+IF(parametros_manuales!$H$35="Todos",'Plan mensual'!J52,0))+parametros_manuales!$G$35*('Plan mensual'!J49+IF(parametros_manuales!$H$35="Todos",'Plan mensual'!J53,0)))*parametros_manuales!$I$35*parametros_manuales!$J$35</f>
        <v>6721.98</v>
      </c>
      <c r="I126" s="4">
        <f>(parametros_manuales!$D$35*('Plan mensual'!K46+IF(parametros_manuales!$H$35="Todos",'Plan mensual'!K50,0))+parametros_manuales!$E$35*('Plan mensual'!K47+IF(parametros_manuales!$H$35="Todos",'Plan mensual'!K51,0))+parametros_manuales!$F$35*('Plan mensual'!K48+IF(parametros_manuales!$H$35="Todos",'Plan mensual'!K52,0))+parametros_manuales!$G$35*('Plan mensual'!K49+IF(parametros_manuales!$H$35="Todos",'Plan mensual'!K53,0)))*parametros_manuales!$I$35*parametros_manuales!$J$35</f>
        <v>6721.98</v>
      </c>
      <c r="J126" s="4">
        <f>(parametros_manuales!$D$35*('Plan mensual'!L46+IF(parametros_manuales!$H$35="Todos",'Plan mensual'!L50,0))+parametros_manuales!$E$35*('Plan mensual'!L47+IF(parametros_manuales!$H$35="Todos",'Plan mensual'!L51,0))+parametros_manuales!$F$35*('Plan mensual'!L48+IF(parametros_manuales!$H$35="Todos",'Plan mensual'!L52,0))+parametros_manuales!$G$35*('Plan mensual'!L49+IF(parametros_manuales!$H$35="Todos",'Plan mensual'!L53,0)))*parametros_manuales!$I$35*parametros_manuales!$J$35</f>
        <v>6721.98</v>
      </c>
      <c r="K126" s="4">
        <f>(parametros_manuales!$D$35*('Plan mensual'!M46+IF(parametros_manuales!$H$35="Todos",'Plan mensual'!M50,0))+parametros_manuales!$E$35*('Plan mensual'!M47+IF(parametros_manuales!$H$35="Todos",'Plan mensual'!M51,0))+parametros_manuales!$F$35*('Plan mensual'!M48+IF(parametros_manuales!$H$35="Todos",'Plan mensual'!M52,0))+parametros_manuales!$G$35*('Plan mensual'!M49+IF(parametros_manuales!$H$35="Todos",'Plan mensual'!M53,0)))*parametros_manuales!$I$35*parametros_manuales!$J$35</f>
        <v>6593.025</v>
      </c>
      <c r="L126" s="4">
        <f>(parametros_manuales!$D$35*('Plan mensual'!N46+IF(parametros_manuales!$H$35="Todos",'Plan mensual'!N50,0))+parametros_manuales!$E$35*('Plan mensual'!N47+IF(parametros_manuales!$H$35="Todos",'Plan mensual'!N51,0))+parametros_manuales!$F$35*('Plan mensual'!N48+IF(parametros_manuales!$H$35="Todos",'Plan mensual'!N52,0))+parametros_manuales!$G$35*('Plan mensual'!N49+IF(parametros_manuales!$H$35="Todos",'Plan mensual'!N53,0)))*parametros_manuales!$I$35*parametros_manuales!$J$35</f>
        <v>6464.07</v>
      </c>
      <c r="M126" s="4">
        <f>(parametros_manuales!$D$35*('Plan mensual'!O46+IF(parametros_manuales!$H$35="Todos",'Plan mensual'!O50,0))+parametros_manuales!$E$35*('Plan mensual'!O47+IF(parametros_manuales!$H$35="Todos",'Plan mensual'!O51,0))+parametros_manuales!$F$35*('Plan mensual'!O48+IF(parametros_manuales!$H$35="Todos",'Plan mensual'!O52,0))+parametros_manuales!$G$35*('Plan mensual'!O49+IF(parametros_manuales!$H$35="Todos",'Plan mensual'!O53,0)))*parametros_manuales!$I$35*parametros_manuales!$J$35</f>
        <v>10290.93</v>
      </c>
      <c r="N126" s="4">
        <f t="shared" si="13"/>
        <v>87907</v>
      </c>
      <c r="O126" s="4">
        <f t="shared" si="14"/>
        <v>10290.93</v>
      </c>
      <c r="P126" s="27">
        <f>O126/(parametros_manuales!$B$7)</f>
        <v>68.6062</v>
      </c>
      <c r="Q126" s="3" t="str">
        <f t="shared" si="15"/>
        <v>Dic</v>
      </c>
    </row>
    <row r="127" ht="14.25" customHeight="1">
      <c r="A127" s="3" t="str">
        <f>parametros_manuales!$B$36</f>
        <v>Corrección de defectos</v>
      </c>
      <c r="B127" s="4">
        <f>(parametros_manuales!$D$36*('Plan mensual'!D46+IF(parametros_manuales!$H$36="Todos",'Plan mensual'!D50,0))+parametros_manuales!$E$36*('Plan mensual'!D47+IF(parametros_manuales!$H$36="Todos",'Plan mensual'!D51,0))+parametros_manuales!$F$36*('Plan mensual'!D48+IF(parametros_manuales!$H$36="Todos",'Plan mensual'!D52,0))+parametros_manuales!$G$36*('Plan mensual'!D49+IF(parametros_manuales!$H$36="Todos",'Plan mensual'!D53,0)))*parametros_manuales!$I$36*parametros_manuales!$J$36</f>
        <v>501.651</v>
      </c>
      <c r="C127" s="4">
        <f>(parametros_manuales!$D$36*('Plan mensual'!E46+IF(parametros_manuales!$H$36="Todos",'Plan mensual'!E50,0))+parametros_manuales!$E$36*('Plan mensual'!E47+IF(parametros_manuales!$H$36="Todos",'Plan mensual'!E51,0))+parametros_manuales!$F$36*('Plan mensual'!E48+IF(parametros_manuales!$H$36="Todos",'Plan mensual'!E52,0))+parametros_manuales!$G$36*('Plan mensual'!E49+IF(parametros_manuales!$H$36="Todos",'Plan mensual'!E53,0)))*parametros_manuales!$I$36*parametros_manuales!$J$36</f>
        <v>382.686</v>
      </c>
      <c r="D127" s="4">
        <f>(parametros_manuales!$D$36*('Plan mensual'!F46+IF(parametros_manuales!$H$36="Todos",'Plan mensual'!F50,0))+parametros_manuales!$E$36*('Plan mensual'!F47+IF(parametros_manuales!$H$36="Todos",'Plan mensual'!F51,0))+parametros_manuales!$F$36*('Plan mensual'!F48+IF(parametros_manuales!$H$36="Todos",'Plan mensual'!F52,0))+parametros_manuales!$G$36*('Plan mensual'!F49+IF(parametros_manuales!$H$36="Todos",'Plan mensual'!F53,0)))*parametros_manuales!$I$36*parametros_manuales!$J$36</f>
        <v>358.07575</v>
      </c>
      <c r="E127" s="4">
        <f>(parametros_manuales!$D$36*('Plan mensual'!G46+IF(parametros_manuales!$H$36="Todos",'Plan mensual'!G50,0))+parametros_manuales!$E$36*('Plan mensual'!G47+IF(parametros_manuales!$H$36="Todos",'Plan mensual'!G51,0))+parametros_manuales!$F$36*('Plan mensual'!G48+IF(parametros_manuales!$H$36="Todos",'Plan mensual'!G52,0))+parametros_manuales!$G$36*('Plan mensual'!G49+IF(parametros_manuales!$H$36="Todos",'Plan mensual'!G53,0)))*parametros_manuales!$I$36*parametros_manuales!$J$36</f>
        <v>342.54675</v>
      </c>
      <c r="F127" s="4">
        <f>(parametros_manuales!$D$36*('Plan mensual'!H46+IF(parametros_manuales!$H$36="Todos",'Plan mensual'!H50,0))+parametros_manuales!$E$36*('Plan mensual'!H47+IF(parametros_manuales!$H$36="Todos",'Plan mensual'!H51,0))+parametros_manuales!$F$36*('Plan mensual'!H48+IF(parametros_manuales!$H$36="Todos",'Plan mensual'!H52,0))+parametros_manuales!$G$36*('Plan mensual'!H49+IF(parametros_manuales!$H$36="Todos",'Plan mensual'!H53,0)))*parametros_manuales!$I$36*parametros_manuales!$J$36</f>
        <v>320.57</v>
      </c>
      <c r="G127" s="4">
        <f>(parametros_manuales!$D$36*('Plan mensual'!I46+IF(parametros_manuales!$H$36="Todos",'Plan mensual'!I50,0))+parametros_manuales!$E$36*('Plan mensual'!I47+IF(parametros_manuales!$H$36="Todos",'Plan mensual'!I51,0))+parametros_manuales!$F$36*('Plan mensual'!I48+IF(parametros_manuales!$H$36="Todos",'Plan mensual'!I52,0))+parametros_manuales!$G$36*('Plan mensual'!I49+IF(parametros_manuales!$H$36="Todos",'Plan mensual'!I53,0)))*parametros_manuales!$I$36*parametros_manuales!$J$36</f>
        <v>314.12225</v>
      </c>
      <c r="H127" s="4">
        <f>(parametros_manuales!$D$36*('Plan mensual'!J46+IF(parametros_manuales!$H$36="Todos",'Plan mensual'!J50,0))+parametros_manuales!$E$36*('Plan mensual'!J47+IF(parametros_manuales!$H$36="Todos",'Plan mensual'!J51,0))+parametros_manuales!$F$36*('Plan mensual'!J48+IF(parametros_manuales!$H$36="Todos",'Plan mensual'!J52,0))+parametros_manuales!$G$36*('Plan mensual'!J49+IF(parametros_manuales!$H$36="Todos",'Plan mensual'!J53,0)))*parametros_manuales!$I$36*parametros_manuales!$J$36</f>
        <v>336.099</v>
      </c>
      <c r="I127" s="4">
        <f>(parametros_manuales!$D$36*('Plan mensual'!K46+IF(parametros_manuales!$H$36="Todos",'Plan mensual'!K50,0))+parametros_manuales!$E$36*('Plan mensual'!K47+IF(parametros_manuales!$H$36="Todos",'Plan mensual'!K51,0))+parametros_manuales!$F$36*('Plan mensual'!K48+IF(parametros_manuales!$H$36="Todos",'Plan mensual'!K52,0))+parametros_manuales!$G$36*('Plan mensual'!K49+IF(parametros_manuales!$H$36="Todos",'Plan mensual'!K53,0)))*parametros_manuales!$I$36*parametros_manuales!$J$36</f>
        <v>336.099</v>
      </c>
      <c r="J127" s="4">
        <f>(parametros_manuales!$D$36*('Plan mensual'!L46+IF(parametros_manuales!$H$36="Todos",'Plan mensual'!L50,0))+parametros_manuales!$E$36*('Plan mensual'!L47+IF(parametros_manuales!$H$36="Todos",'Plan mensual'!L51,0))+parametros_manuales!$F$36*('Plan mensual'!L48+IF(parametros_manuales!$H$36="Todos",'Plan mensual'!L52,0))+parametros_manuales!$G$36*('Plan mensual'!L49+IF(parametros_manuales!$H$36="Todos",'Plan mensual'!L53,0)))*parametros_manuales!$I$36*parametros_manuales!$J$36</f>
        <v>336.099</v>
      </c>
      <c r="K127" s="4">
        <f>(parametros_manuales!$D$36*('Plan mensual'!M46+IF(parametros_manuales!$H$36="Todos",'Plan mensual'!M50,0))+parametros_manuales!$E$36*('Plan mensual'!M47+IF(parametros_manuales!$H$36="Todos",'Plan mensual'!M51,0))+parametros_manuales!$F$36*('Plan mensual'!M48+IF(parametros_manuales!$H$36="Todos",'Plan mensual'!M52,0))+parametros_manuales!$G$36*('Plan mensual'!M49+IF(parametros_manuales!$H$36="Todos",'Plan mensual'!M53,0)))*parametros_manuales!$I$36*parametros_manuales!$J$36</f>
        <v>329.65125</v>
      </c>
      <c r="L127" s="4">
        <f>(parametros_manuales!$D$36*('Plan mensual'!N46+IF(parametros_manuales!$H$36="Todos",'Plan mensual'!N50,0))+parametros_manuales!$E$36*('Plan mensual'!N47+IF(parametros_manuales!$H$36="Todos",'Plan mensual'!N51,0))+parametros_manuales!$F$36*('Plan mensual'!N48+IF(parametros_manuales!$H$36="Todos",'Plan mensual'!N52,0))+parametros_manuales!$G$36*('Plan mensual'!N49+IF(parametros_manuales!$H$36="Todos",'Plan mensual'!N53,0)))*parametros_manuales!$I$36*parametros_manuales!$J$36</f>
        <v>323.2035</v>
      </c>
      <c r="M127" s="4">
        <f>(parametros_manuales!$D$36*('Plan mensual'!O46+IF(parametros_manuales!$H$36="Todos",'Plan mensual'!O50,0))+parametros_manuales!$E$36*('Plan mensual'!O47+IF(parametros_manuales!$H$36="Todos",'Plan mensual'!O51,0))+parametros_manuales!$F$36*('Plan mensual'!O48+IF(parametros_manuales!$H$36="Todos",'Plan mensual'!O52,0))+parametros_manuales!$G$36*('Plan mensual'!O49+IF(parametros_manuales!$H$36="Todos",'Plan mensual'!O53,0)))*parametros_manuales!$I$36*parametros_manuales!$J$36</f>
        <v>514.5465</v>
      </c>
      <c r="N127" s="4">
        <f t="shared" si="13"/>
        <v>4395.35</v>
      </c>
      <c r="O127" s="4">
        <f t="shared" si="14"/>
        <v>514.5465</v>
      </c>
      <c r="P127" s="27">
        <f>O127/(parametros_manuales!$B$7)</f>
        <v>3.43031</v>
      </c>
      <c r="Q127" s="3" t="str">
        <f t="shared" si="15"/>
        <v>Dic</v>
      </c>
    </row>
    <row r="128" ht="14.25" customHeight="1">
      <c r="A128" s="3" t="str">
        <f>parametros_manuales!$B$37</f>
        <v>Pintura en polvo + horno</v>
      </c>
      <c r="B128" s="4">
        <f>(parametros_manuales!$D$37*('Plan mensual'!D46+IF(parametros_manuales!$H$37="Todos",'Plan mensual'!D50,0))+parametros_manuales!$E$37*('Plan mensual'!D47+IF(parametros_manuales!$H$37="Todos",'Plan mensual'!D51,0))+parametros_manuales!$F$37*('Plan mensual'!D48+IF(parametros_manuales!$H$37="Todos",'Plan mensual'!D52,0))+parametros_manuales!$G$37*('Plan mensual'!D49+IF(parametros_manuales!$H$37="Todos",'Plan mensual'!D53,0)))*parametros_manuales!$I$37*parametros_manuales!$J$37</f>
        <v>10033.02</v>
      </c>
      <c r="C128" s="4">
        <f>(parametros_manuales!$D$37*('Plan mensual'!E46+IF(parametros_manuales!$H$37="Todos",'Plan mensual'!E50,0))+parametros_manuales!$E$37*('Plan mensual'!E47+IF(parametros_manuales!$H$37="Todos",'Plan mensual'!E51,0))+parametros_manuales!$F$37*('Plan mensual'!E48+IF(parametros_manuales!$H$37="Todos",'Plan mensual'!E52,0))+parametros_manuales!$G$37*('Plan mensual'!E49+IF(parametros_manuales!$H$37="Todos",'Plan mensual'!E53,0)))*parametros_manuales!$I$37*parametros_manuales!$J$37</f>
        <v>7653.72</v>
      </c>
      <c r="D128" s="4">
        <f>(parametros_manuales!$D$37*('Plan mensual'!F46+IF(parametros_manuales!$H$37="Todos",'Plan mensual'!F50,0))+parametros_manuales!$E$37*('Plan mensual'!F47+IF(parametros_manuales!$H$37="Todos",'Plan mensual'!F51,0))+parametros_manuales!$F$37*('Plan mensual'!F48+IF(parametros_manuales!$H$37="Todos",'Plan mensual'!F52,0))+parametros_manuales!$G$37*('Plan mensual'!F49+IF(parametros_manuales!$H$37="Todos",'Plan mensual'!F53,0)))*parametros_manuales!$I$37*parametros_manuales!$J$37</f>
        <v>7161.515</v>
      </c>
      <c r="E128" s="4">
        <f>(parametros_manuales!$D$37*('Plan mensual'!G46+IF(parametros_manuales!$H$37="Todos",'Plan mensual'!G50,0))+parametros_manuales!$E$37*('Plan mensual'!G47+IF(parametros_manuales!$H$37="Todos",'Plan mensual'!G51,0))+parametros_manuales!$F$37*('Plan mensual'!G48+IF(parametros_manuales!$H$37="Todos",'Plan mensual'!G52,0))+parametros_manuales!$G$37*('Plan mensual'!G49+IF(parametros_manuales!$H$37="Todos",'Plan mensual'!G53,0)))*parametros_manuales!$I$37*parametros_manuales!$J$37</f>
        <v>6850.935</v>
      </c>
      <c r="F128" s="4">
        <f>(parametros_manuales!$D$37*('Plan mensual'!H46+IF(parametros_manuales!$H$37="Todos",'Plan mensual'!H50,0))+parametros_manuales!$E$37*('Plan mensual'!H47+IF(parametros_manuales!$H$37="Todos",'Plan mensual'!H51,0))+parametros_manuales!$F$37*('Plan mensual'!H48+IF(parametros_manuales!$H$37="Todos",'Plan mensual'!H52,0))+parametros_manuales!$G$37*('Plan mensual'!H49+IF(parametros_manuales!$H$37="Todos",'Plan mensual'!H53,0)))*parametros_manuales!$I$37*parametros_manuales!$J$37</f>
        <v>6411.4</v>
      </c>
      <c r="G128" s="4">
        <f>(parametros_manuales!$D$37*('Plan mensual'!I46+IF(parametros_manuales!$H$37="Todos",'Plan mensual'!I50,0))+parametros_manuales!$E$37*('Plan mensual'!I47+IF(parametros_manuales!$H$37="Todos",'Plan mensual'!I51,0))+parametros_manuales!$F$37*('Plan mensual'!I48+IF(parametros_manuales!$H$37="Todos",'Plan mensual'!I52,0))+parametros_manuales!$G$37*('Plan mensual'!I49+IF(parametros_manuales!$H$37="Todos",'Plan mensual'!I53,0)))*parametros_manuales!$I$37*parametros_manuales!$J$37</f>
        <v>6282.445</v>
      </c>
      <c r="H128" s="4">
        <f>(parametros_manuales!$D$37*('Plan mensual'!J46+IF(parametros_manuales!$H$37="Todos",'Plan mensual'!J50,0))+parametros_manuales!$E$37*('Plan mensual'!J47+IF(parametros_manuales!$H$37="Todos",'Plan mensual'!J51,0))+parametros_manuales!$F$37*('Plan mensual'!J48+IF(parametros_manuales!$H$37="Todos",'Plan mensual'!J52,0))+parametros_manuales!$G$37*('Plan mensual'!J49+IF(parametros_manuales!$H$37="Todos",'Plan mensual'!J53,0)))*parametros_manuales!$I$37*parametros_manuales!$J$37</f>
        <v>6721.98</v>
      </c>
      <c r="I128" s="4">
        <f>(parametros_manuales!$D$37*('Plan mensual'!K46+IF(parametros_manuales!$H$37="Todos",'Plan mensual'!K50,0))+parametros_manuales!$E$37*('Plan mensual'!K47+IF(parametros_manuales!$H$37="Todos",'Plan mensual'!K51,0))+parametros_manuales!$F$37*('Plan mensual'!K48+IF(parametros_manuales!$H$37="Todos",'Plan mensual'!K52,0))+parametros_manuales!$G$37*('Plan mensual'!K49+IF(parametros_manuales!$H$37="Todos",'Plan mensual'!K53,0)))*parametros_manuales!$I$37*parametros_manuales!$J$37</f>
        <v>6721.98</v>
      </c>
      <c r="J128" s="4">
        <f>(parametros_manuales!$D$37*('Plan mensual'!L46+IF(parametros_manuales!$H$37="Todos",'Plan mensual'!L50,0))+parametros_manuales!$E$37*('Plan mensual'!L47+IF(parametros_manuales!$H$37="Todos",'Plan mensual'!L51,0))+parametros_manuales!$F$37*('Plan mensual'!L48+IF(parametros_manuales!$H$37="Todos",'Plan mensual'!L52,0))+parametros_manuales!$G$37*('Plan mensual'!L49+IF(parametros_manuales!$H$37="Todos",'Plan mensual'!L53,0)))*parametros_manuales!$I$37*parametros_manuales!$J$37</f>
        <v>6721.98</v>
      </c>
      <c r="K128" s="4">
        <f>(parametros_manuales!$D$37*('Plan mensual'!M46+IF(parametros_manuales!$H$37="Todos",'Plan mensual'!M50,0))+parametros_manuales!$E$37*('Plan mensual'!M47+IF(parametros_manuales!$H$37="Todos",'Plan mensual'!M51,0))+parametros_manuales!$F$37*('Plan mensual'!M48+IF(parametros_manuales!$H$37="Todos",'Plan mensual'!M52,0))+parametros_manuales!$G$37*('Plan mensual'!M49+IF(parametros_manuales!$H$37="Todos",'Plan mensual'!M53,0)))*parametros_manuales!$I$37*parametros_manuales!$J$37</f>
        <v>6593.025</v>
      </c>
      <c r="L128" s="4">
        <f>(parametros_manuales!$D$37*('Plan mensual'!N46+IF(parametros_manuales!$H$37="Todos",'Plan mensual'!N50,0))+parametros_manuales!$E$37*('Plan mensual'!N47+IF(parametros_manuales!$H$37="Todos",'Plan mensual'!N51,0))+parametros_manuales!$F$37*('Plan mensual'!N48+IF(parametros_manuales!$H$37="Todos",'Plan mensual'!N52,0))+parametros_manuales!$G$37*('Plan mensual'!N49+IF(parametros_manuales!$H$37="Todos",'Plan mensual'!N53,0)))*parametros_manuales!$I$37*parametros_manuales!$J$37</f>
        <v>6464.07</v>
      </c>
      <c r="M128" s="4">
        <f>(parametros_manuales!$D$37*('Plan mensual'!O46+IF(parametros_manuales!$H$37="Todos",'Plan mensual'!O50,0))+parametros_manuales!$E$37*('Plan mensual'!O47+IF(parametros_manuales!$H$37="Todos",'Plan mensual'!O51,0))+parametros_manuales!$F$37*('Plan mensual'!O48+IF(parametros_manuales!$H$37="Todos",'Plan mensual'!O52,0))+parametros_manuales!$G$37*('Plan mensual'!O49+IF(parametros_manuales!$H$37="Todos",'Plan mensual'!O53,0)))*parametros_manuales!$I$37*parametros_manuales!$J$37</f>
        <v>10290.93</v>
      </c>
      <c r="N128" s="4">
        <f t="shared" si="13"/>
        <v>87907</v>
      </c>
      <c r="O128" s="4">
        <f t="shared" si="14"/>
        <v>10290.93</v>
      </c>
      <c r="P128" s="27">
        <f>O128/(parametros_manuales!$B$7)</f>
        <v>68.6062</v>
      </c>
      <c r="Q128" s="3" t="str">
        <f t="shared" si="15"/>
        <v>Dic</v>
      </c>
    </row>
    <row r="129" ht="14.25" customHeight="1">
      <c r="A129" s="3" t="str">
        <f>parametros_manuales!$B$38</f>
        <v>Carga de polvo</v>
      </c>
      <c r="B129" s="4">
        <f>(parametros_manuales!$D$38*('Plan mensual'!D46+IF(parametros_manuales!$H$38="Todos",'Plan mensual'!D50,0))+parametros_manuales!$E$38*('Plan mensual'!D47+IF(parametros_manuales!$H$38="Todos",'Plan mensual'!D51,0))+parametros_manuales!$F$38*('Plan mensual'!D48+IF(parametros_manuales!$H$38="Todos",'Plan mensual'!D52,0))+parametros_manuales!$G$38*('Plan mensual'!D49+IF(parametros_manuales!$H$38="Todos",'Plan mensual'!D53,0)))*parametros_manuales!$I$38*parametros_manuales!$J$38</f>
        <v>2895.12</v>
      </c>
      <c r="C129" s="4">
        <f>(parametros_manuales!$D$38*('Plan mensual'!E46+IF(parametros_manuales!$H$38="Todos",'Plan mensual'!E50,0))+parametros_manuales!$E$38*('Plan mensual'!E47+IF(parametros_manuales!$H$38="Todos",'Plan mensual'!E51,0))+parametros_manuales!$F$38*('Plan mensual'!E48+IF(parametros_manuales!$H$38="Todos",'Plan mensual'!E52,0))+parametros_manuales!$G$38*('Plan mensual'!E49+IF(parametros_manuales!$H$38="Todos",'Plan mensual'!E53,0)))*parametros_manuales!$I$38*parametros_manuales!$J$38</f>
        <v>2240.01</v>
      </c>
      <c r="D129" s="4">
        <f>(parametros_manuales!$D$38*('Plan mensual'!F46+IF(parametros_manuales!$H$38="Todos",'Plan mensual'!F50,0))+parametros_manuales!$E$38*('Plan mensual'!F47+IF(parametros_manuales!$H$38="Todos",'Plan mensual'!F51,0))+parametros_manuales!$F$38*('Plan mensual'!F48+IF(parametros_manuales!$H$38="Todos",'Plan mensual'!F52,0))+parametros_manuales!$G$38*('Plan mensual'!F49+IF(parametros_manuales!$H$38="Todos",'Plan mensual'!F53,0)))*parametros_manuales!$I$38*parametros_manuales!$J$38</f>
        <v>2181.87</v>
      </c>
      <c r="E129" s="4">
        <f>(parametros_manuales!$D$38*('Plan mensual'!G46+IF(parametros_manuales!$H$38="Todos",'Plan mensual'!G50,0))+parametros_manuales!$E$38*('Plan mensual'!G47+IF(parametros_manuales!$H$38="Todos",'Plan mensual'!G51,0))+parametros_manuales!$F$38*('Plan mensual'!G48+IF(parametros_manuales!$H$38="Todos",'Plan mensual'!G52,0))+parametros_manuales!$G$38*('Plan mensual'!G49+IF(parametros_manuales!$H$38="Todos",'Plan mensual'!G53,0)))*parametros_manuales!$I$38*parametros_manuales!$J$38</f>
        <v>2118.465</v>
      </c>
      <c r="F129" s="4">
        <f>(parametros_manuales!$D$38*('Plan mensual'!H46+IF(parametros_manuales!$H$38="Todos",'Plan mensual'!H50,0))+parametros_manuales!$E$38*('Plan mensual'!H47+IF(parametros_manuales!$H$38="Todos",'Plan mensual'!H51,0))+parametros_manuales!$F$38*('Plan mensual'!H48+IF(parametros_manuales!$H$38="Todos",'Plan mensual'!H52,0))+parametros_manuales!$G$38*('Plan mensual'!H49+IF(parametros_manuales!$H$38="Todos",'Plan mensual'!H53,0)))*parametros_manuales!$I$38*parametros_manuales!$J$38</f>
        <v>1986.39</v>
      </c>
      <c r="G129" s="4">
        <f>(parametros_manuales!$D$38*('Plan mensual'!I46+IF(parametros_manuales!$H$38="Todos",'Plan mensual'!I50,0))+parametros_manuales!$E$38*('Plan mensual'!I47+IF(parametros_manuales!$H$38="Todos",'Plan mensual'!I51,0))+parametros_manuales!$F$38*('Plan mensual'!I48+IF(parametros_manuales!$H$38="Todos",'Plan mensual'!I52,0))+parametros_manuales!$G$38*('Plan mensual'!I49+IF(parametros_manuales!$H$38="Todos",'Plan mensual'!I53,0)))*parametros_manuales!$I$38*parametros_manuales!$J$38</f>
        <v>1917.72</v>
      </c>
      <c r="H129" s="4">
        <f>(parametros_manuales!$D$38*('Plan mensual'!J46+IF(parametros_manuales!$H$38="Todos",'Plan mensual'!J50,0))+parametros_manuales!$E$38*('Plan mensual'!J47+IF(parametros_manuales!$H$38="Todos",'Plan mensual'!J51,0))+parametros_manuales!$F$38*('Plan mensual'!J48+IF(parametros_manuales!$H$38="Todos",'Plan mensual'!J52,0))+parametros_manuales!$G$38*('Plan mensual'!J49+IF(parametros_manuales!$H$38="Todos",'Plan mensual'!J53,0)))*parametros_manuales!$I$38*parametros_manuales!$J$38</f>
        <v>2049.795</v>
      </c>
      <c r="I129" s="4">
        <f>(parametros_manuales!$D$38*('Plan mensual'!K46+IF(parametros_manuales!$H$38="Todos",'Plan mensual'!K50,0))+parametros_manuales!$E$38*('Plan mensual'!K47+IF(parametros_manuales!$H$38="Todos",'Plan mensual'!K51,0))+parametros_manuales!$F$38*('Plan mensual'!K48+IF(parametros_manuales!$H$38="Todos",'Plan mensual'!K52,0))+parametros_manuales!$G$38*('Plan mensual'!K49+IF(parametros_manuales!$H$38="Todos",'Plan mensual'!K53,0)))*parametros_manuales!$I$38*parametros_manuales!$J$38</f>
        <v>2049.795</v>
      </c>
      <c r="J129" s="4">
        <f>(parametros_manuales!$D$38*('Plan mensual'!L46+IF(parametros_manuales!$H$38="Todos",'Plan mensual'!L50,0))+parametros_manuales!$E$38*('Plan mensual'!L47+IF(parametros_manuales!$H$38="Todos",'Plan mensual'!L51,0))+parametros_manuales!$F$38*('Plan mensual'!L48+IF(parametros_manuales!$H$38="Todos",'Plan mensual'!L52,0))+parametros_manuales!$G$38*('Plan mensual'!L49+IF(parametros_manuales!$H$38="Todos",'Plan mensual'!L53,0)))*parametros_manuales!$I$38*parametros_manuales!$J$38</f>
        <v>2049.795</v>
      </c>
      <c r="K129" s="4">
        <f>(parametros_manuales!$D$38*('Plan mensual'!M46+IF(parametros_manuales!$H$38="Todos",'Plan mensual'!M50,0))+parametros_manuales!$E$38*('Plan mensual'!M47+IF(parametros_manuales!$H$38="Todos",'Plan mensual'!M51,0))+parametros_manuales!$F$38*('Plan mensual'!M48+IF(parametros_manuales!$H$38="Todos",'Plan mensual'!M52,0))+parametros_manuales!$G$38*('Plan mensual'!M49+IF(parametros_manuales!$H$38="Todos",'Plan mensual'!M53,0)))*parametros_manuales!$I$38*parametros_manuales!$J$38</f>
        <v>1981.125</v>
      </c>
      <c r="L129" s="4">
        <f>(parametros_manuales!$D$38*('Plan mensual'!N46+IF(parametros_manuales!$H$38="Todos",'Plan mensual'!N50,0))+parametros_manuales!$E$38*('Plan mensual'!N47+IF(parametros_manuales!$H$38="Todos",'Plan mensual'!N51,0))+parametros_manuales!$F$38*('Plan mensual'!N48+IF(parametros_manuales!$H$38="Todos",'Plan mensual'!N52,0))+parametros_manuales!$G$38*('Plan mensual'!N49+IF(parametros_manuales!$H$38="Todos",'Plan mensual'!N53,0)))*parametros_manuales!$I$38*parametros_manuales!$J$38</f>
        <v>1912.455</v>
      </c>
      <c r="M129" s="4">
        <f>(parametros_manuales!$D$38*('Plan mensual'!O46+IF(parametros_manuales!$H$38="Todos",'Plan mensual'!O50,0))+parametros_manuales!$E$38*('Plan mensual'!O47+IF(parametros_manuales!$H$38="Todos",'Plan mensual'!O51,0))+parametros_manuales!$F$38*('Plan mensual'!O48+IF(parametros_manuales!$H$38="Todos",'Plan mensual'!O52,0))+parametros_manuales!$G$38*('Plan mensual'!O49+IF(parametros_manuales!$H$38="Todos",'Plan mensual'!O53,0)))*parametros_manuales!$I$38*parametros_manuales!$J$38</f>
        <v>3032.46</v>
      </c>
      <c r="N129" s="4">
        <f t="shared" si="13"/>
        <v>26415</v>
      </c>
      <c r="O129" s="4">
        <f t="shared" si="14"/>
        <v>3032.46</v>
      </c>
      <c r="P129" s="27">
        <f>O129/(parametros_manuales!$B$7)</f>
        <v>20.2164</v>
      </c>
      <c r="Q129" s="3" t="str">
        <f t="shared" si="15"/>
        <v>Dic</v>
      </c>
    </row>
    <row r="130" ht="14.25" customHeight="1">
      <c r="A130" s="3" t="str">
        <f>parametros_manuales!$B$39</f>
        <v>Ensamblaje</v>
      </c>
      <c r="B130" s="4">
        <f>(parametros_manuales!$D$39*('Plan mensual'!D46+IF(parametros_manuales!$H$39="Todos",'Plan mensual'!D50,0))+parametros_manuales!$E$39*('Plan mensual'!D47+IF(parametros_manuales!$H$39="Todos",'Plan mensual'!D51,0))+parametros_manuales!$F$39*('Plan mensual'!D48+IF(parametros_manuales!$H$39="Todos",'Plan mensual'!D52,0))+parametros_manuales!$G$39*('Plan mensual'!D49+IF(parametros_manuales!$H$39="Todos",'Plan mensual'!D53,0)))*parametros_manuales!$I$39*parametros_manuales!$J$39</f>
        <v>2895.12</v>
      </c>
      <c r="C130" s="4">
        <f>(parametros_manuales!$D$39*('Plan mensual'!E46+IF(parametros_manuales!$H$39="Todos",'Plan mensual'!E50,0))+parametros_manuales!$E$39*('Plan mensual'!E47+IF(parametros_manuales!$H$39="Todos",'Plan mensual'!E51,0))+parametros_manuales!$F$39*('Plan mensual'!E48+IF(parametros_manuales!$H$39="Todos",'Plan mensual'!E52,0))+parametros_manuales!$G$39*('Plan mensual'!E49+IF(parametros_manuales!$H$39="Todos",'Plan mensual'!E53,0)))*parametros_manuales!$I$39*parametros_manuales!$J$39</f>
        <v>2240.01</v>
      </c>
      <c r="D130" s="4">
        <f>(parametros_manuales!$D$39*('Plan mensual'!F46+IF(parametros_manuales!$H$39="Todos",'Plan mensual'!F50,0))+parametros_manuales!$E$39*('Plan mensual'!F47+IF(parametros_manuales!$H$39="Todos",'Plan mensual'!F51,0))+parametros_manuales!$F$39*('Plan mensual'!F48+IF(parametros_manuales!$H$39="Todos",'Plan mensual'!F52,0))+parametros_manuales!$G$39*('Plan mensual'!F49+IF(parametros_manuales!$H$39="Todos",'Plan mensual'!F53,0)))*parametros_manuales!$I$39*parametros_manuales!$J$39</f>
        <v>2181.87</v>
      </c>
      <c r="E130" s="4">
        <f>(parametros_manuales!$D$39*('Plan mensual'!G46+IF(parametros_manuales!$H$39="Todos",'Plan mensual'!G50,0))+parametros_manuales!$E$39*('Plan mensual'!G47+IF(parametros_manuales!$H$39="Todos",'Plan mensual'!G51,0))+parametros_manuales!$F$39*('Plan mensual'!G48+IF(parametros_manuales!$H$39="Todos",'Plan mensual'!G52,0))+parametros_manuales!$G$39*('Plan mensual'!G49+IF(parametros_manuales!$H$39="Todos",'Plan mensual'!G53,0)))*parametros_manuales!$I$39*parametros_manuales!$J$39</f>
        <v>2118.465</v>
      </c>
      <c r="F130" s="4">
        <f>(parametros_manuales!$D$39*('Plan mensual'!H46+IF(parametros_manuales!$H$39="Todos",'Plan mensual'!H50,0))+parametros_manuales!$E$39*('Plan mensual'!H47+IF(parametros_manuales!$H$39="Todos",'Plan mensual'!H51,0))+parametros_manuales!$F$39*('Plan mensual'!H48+IF(parametros_manuales!$H$39="Todos",'Plan mensual'!H52,0))+parametros_manuales!$G$39*('Plan mensual'!H49+IF(parametros_manuales!$H$39="Todos",'Plan mensual'!H53,0)))*parametros_manuales!$I$39*parametros_manuales!$J$39</f>
        <v>1986.39</v>
      </c>
      <c r="G130" s="4">
        <f>(parametros_manuales!$D$39*('Plan mensual'!I46+IF(parametros_manuales!$H$39="Todos",'Plan mensual'!I50,0))+parametros_manuales!$E$39*('Plan mensual'!I47+IF(parametros_manuales!$H$39="Todos",'Plan mensual'!I51,0))+parametros_manuales!$F$39*('Plan mensual'!I48+IF(parametros_manuales!$H$39="Todos",'Plan mensual'!I52,0))+parametros_manuales!$G$39*('Plan mensual'!I49+IF(parametros_manuales!$H$39="Todos",'Plan mensual'!I53,0)))*parametros_manuales!$I$39*parametros_manuales!$J$39</f>
        <v>1917.72</v>
      </c>
      <c r="H130" s="4">
        <f>(parametros_manuales!$D$39*('Plan mensual'!J46+IF(parametros_manuales!$H$39="Todos",'Plan mensual'!J50,0))+parametros_manuales!$E$39*('Plan mensual'!J47+IF(parametros_manuales!$H$39="Todos",'Plan mensual'!J51,0))+parametros_manuales!$F$39*('Plan mensual'!J48+IF(parametros_manuales!$H$39="Todos",'Plan mensual'!J52,0))+parametros_manuales!$G$39*('Plan mensual'!J49+IF(parametros_manuales!$H$39="Todos",'Plan mensual'!J53,0)))*parametros_manuales!$I$39*parametros_manuales!$J$39</f>
        <v>2049.795</v>
      </c>
      <c r="I130" s="4">
        <f>(parametros_manuales!$D$39*('Plan mensual'!K46+IF(parametros_manuales!$H$39="Todos",'Plan mensual'!K50,0))+parametros_manuales!$E$39*('Plan mensual'!K47+IF(parametros_manuales!$H$39="Todos",'Plan mensual'!K51,0))+parametros_manuales!$F$39*('Plan mensual'!K48+IF(parametros_manuales!$H$39="Todos",'Plan mensual'!K52,0))+parametros_manuales!$G$39*('Plan mensual'!K49+IF(parametros_manuales!$H$39="Todos",'Plan mensual'!K53,0)))*parametros_manuales!$I$39*parametros_manuales!$J$39</f>
        <v>2049.795</v>
      </c>
      <c r="J130" s="4">
        <f>(parametros_manuales!$D$39*('Plan mensual'!L46+IF(parametros_manuales!$H$39="Todos",'Plan mensual'!L50,0))+parametros_manuales!$E$39*('Plan mensual'!L47+IF(parametros_manuales!$H$39="Todos",'Plan mensual'!L51,0))+parametros_manuales!$F$39*('Plan mensual'!L48+IF(parametros_manuales!$H$39="Todos",'Plan mensual'!L52,0))+parametros_manuales!$G$39*('Plan mensual'!L49+IF(parametros_manuales!$H$39="Todos",'Plan mensual'!L53,0)))*parametros_manuales!$I$39*parametros_manuales!$J$39</f>
        <v>2049.795</v>
      </c>
      <c r="K130" s="4">
        <f>(parametros_manuales!$D$39*('Plan mensual'!M46+IF(parametros_manuales!$H$39="Todos",'Plan mensual'!M50,0))+parametros_manuales!$E$39*('Plan mensual'!M47+IF(parametros_manuales!$H$39="Todos",'Plan mensual'!M51,0))+parametros_manuales!$F$39*('Plan mensual'!M48+IF(parametros_manuales!$H$39="Todos",'Plan mensual'!M52,0))+parametros_manuales!$G$39*('Plan mensual'!M49+IF(parametros_manuales!$H$39="Todos",'Plan mensual'!M53,0)))*parametros_manuales!$I$39*parametros_manuales!$J$39</f>
        <v>1981.125</v>
      </c>
      <c r="L130" s="4">
        <f>(parametros_manuales!$D$39*('Plan mensual'!N46+IF(parametros_manuales!$H$39="Todos",'Plan mensual'!N50,0))+parametros_manuales!$E$39*('Plan mensual'!N47+IF(parametros_manuales!$H$39="Todos",'Plan mensual'!N51,0))+parametros_manuales!$F$39*('Plan mensual'!N48+IF(parametros_manuales!$H$39="Todos",'Plan mensual'!N52,0))+parametros_manuales!$G$39*('Plan mensual'!N49+IF(parametros_manuales!$H$39="Todos",'Plan mensual'!N53,0)))*parametros_manuales!$I$39*parametros_manuales!$J$39</f>
        <v>1912.455</v>
      </c>
      <c r="M130" s="4">
        <f>(parametros_manuales!$D$39*('Plan mensual'!O46+IF(parametros_manuales!$H$39="Todos",'Plan mensual'!O50,0))+parametros_manuales!$E$39*('Plan mensual'!O47+IF(parametros_manuales!$H$39="Todos",'Plan mensual'!O51,0))+parametros_manuales!$F$39*('Plan mensual'!O48+IF(parametros_manuales!$H$39="Todos",'Plan mensual'!O52,0))+parametros_manuales!$G$39*('Plan mensual'!O49+IF(parametros_manuales!$H$39="Todos",'Plan mensual'!O53,0)))*parametros_manuales!$I$39*parametros_manuales!$J$39</f>
        <v>3032.46</v>
      </c>
      <c r="N130" s="4">
        <f t="shared" si="13"/>
        <v>26415</v>
      </c>
      <c r="O130" s="4">
        <f t="shared" si="14"/>
        <v>3032.46</v>
      </c>
      <c r="P130" s="27">
        <f>O130/(parametros_manuales!$B$7)</f>
        <v>20.2164</v>
      </c>
      <c r="Q130" s="3" t="str">
        <f t="shared" si="15"/>
        <v>Dic</v>
      </c>
    </row>
    <row r="131" ht="14.25" customHeight="1">
      <c r="A131" s="3" t="str">
        <f>parametros_manuales!$B$40</f>
        <v>Presurización</v>
      </c>
      <c r="B131" s="4">
        <f>(parametros_manuales!$D$40*('Plan mensual'!D46+IF(parametros_manuales!$H$40="Todos",'Plan mensual'!D50,0))+parametros_manuales!$E$40*('Plan mensual'!D47+IF(parametros_manuales!$H$40="Todos",'Plan mensual'!D51,0))+parametros_manuales!$F$40*('Plan mensual'!D48+IF(parametros_manuales!$H$40="Todos",'Plan mensual'!D52,0))+parametros_manuales!$G$40*('Plan mensual'!D49+IF(parametros_manuales!$H$40="Todos",'Plan mensual'!D53,0)))*parametros_manuales!$I$40*parametros_manuales!$J$40</f>
        <v>2895.12</v>
      </c>
      <c r="C131" s="4">
        <f>(parametros_manuales!$D$40*('Plan mensual'!E46+IF(parametros_manuales!$H$40="Todos",'Plan mensual'!E50,0))+parametros_manuales!$E$40*('Plan mensual'!E47+IF(parametros_manuales!$H$40="Todos",'Plan mensual'!E51,0))+parametros_manuales!$F$40*('Plan mensual'!E48+IF(parametros_manuales!$H$40="Todos",'Plan mensual'!E52,0))+parametros_manuales!$G$40*('Plan mensual'!E49+IF(parametros_manuales!$H$40="Todos",'Plan mensual'!E53,0)))*parametros_manuales!$I$40*parametros_manuales!$J$40</f>
        <v>2240.01</v>
      </c>
      <c r="D131" s="4">
        <f>(parametros_manuales!$D$40*('Plan mensual'!F46+IF(parametros_manuales!$H$40="Todos",'Plan mensual'!F50,0))+parametros_manuales!$E$40*('Plan mensual'!F47+IF(parametros_manuales!$H$40="Todos",'Plan mensual'!F51,0))+parametros_manuales!$F$40*('Plan mensual'!F48+IF(parametros_manuales!$H$40="Todos",'Plan mensual'!F52,0))+parametros_manuales!$G$40*('Plan mensual'!F49+IF(parametros_manuales!$H$40="Todos",'Plan mensual'!F53,0)))*parametros_manuales!$I$40*parametros_manuales!$J$40</f>
        <v>2181.87</v>
      </c>
      <c r="E131" s="4">
        <f>(parametros_manuales!$D$40*('Plan mensual'!G46+IF(parametros_manuales!$H$40="Todos",'Plan mensual'!G50,0))+parametros_manuales!$E$40*('Plan mensual'!G47+IF(parametros_manuales!$H$40="Todos",'Plan mensual'!G51,0))+parametros_manuales!$F$40*('Plan mensual'!G48+IF(parametros_manuales!$H$40="Todos",'Plan mensual'!G52,0))+parametros_manuales!$G$40*('Plan mensual'!G49+IF(parametros_manuales!$H$40="Todos",'Plan mensual'!G53,0)))*parametros_manuales!$I$40*parametros_manuales!$J$40</f>
        <v>2118.465</v>
      </c>
      <c r="F131" s="4">
        <f>(parametros_manuales!$D$40*('Plan mensual'!H46+IF(parametros_manuales!$H$40="Todos",'Plan mensual'!H50,0))+parametros_manuales!$E$40*('Plan mensual'!H47+IF(parametros_manuales!$H$40="Todos",'Plan mensual'!H51,0))+parametros_manuales!$F$40*('Plan mensual'!H48+IF(parametros_manuales!$H$40="Todos",'Plan mensual'!H52,0))+parametros_manuales!$G$40*('Plan mensual'!H49+IF(parametros_manuales!$H$40="Todos",'Plan mensual'!H53,0)))*parametros_manuales!$I$40*parametros_manuales!$J$40</f>
        <v>1986.39</v>
      </c>
      <c r="G131" s="4">
        <f>(parametros_manuales!$D$40*('Plan mensual'!I46+IF(parametros_manuales!$H$40="Todos",'Plan mensual'!I50,0))+parametros_manuales!$E$40*('Plan mensual'!I47+IF(parametros_manuales!$H$40="Todos",'Plan mensual'!I51,0))+parametros_manuales!$F$40*('Plan mensual'!I48+IF(parametros_manuales!$H$40="Todos",'Plan mensual'!I52,0))+parametros_manuales!$G$40*('Plan mensual'!I49+IF(parametros_manuales!$H$40="Todos",'Plan mensual'!I53,0)))*parametros_manuales!$I$40*parametros_manuales!$J$40</f>
        <v>1917.72</v>
      </c>
      <c r="H131" s="4">
        <f>(parametros_manuales!$D$40*('Plan mensual'!J46+IF(parametros_manuales!$H$40="Todos",'Plan mensual'!J50,0))+parametros_manuales!$E$40*('Plan mensual'!J47+IF(parametros_manuales!$H$40="Todos",'Plan mensual'!J51,0))+parametros_manuales!$F$40*('Plan mensual'!J48+IF(parametros_manuales!$H$40="Todos",'Plan mensual'!J52,0))+parametros_manuales!$G$40*('Plan mensual'!J49+IF(parametros_manuales!$H$40="Todos",'Plan mensual'!J53,0)))*parametros_manuales!$I$40*parametros_manuales!$J$40</f>
        <v>2049.795</v>
      </c>
      <c r="I131" s="4">
        <f>(parametros_manuales!$D$40*('Plan mensual'!K46+IF(parametros_manuales!$H$40="Todos",'Plan mensual'!K50,0))+parametros_manuales!$E$40*('Plan mensual'!K47+IF(parametros_manuales!$H$40="Todos",'Plan mensual'!K51,0))+parametros_manuales!$F$40*('Plan mensual'!K48+IF(parametros_manuales!$H$40="Todos",'Plan mensual'!K52,0))+parametros_manuales!$G$40*('Plan mensual'!K49+IF(parametros_manuales!$H$40="Todos",'Plan mensual'!K53,0)))*parametros_manuales!$I$40*parametros_manuales!$J$40</f>
        <v>2049.795</v>
      </c>
      <c r="J131" s="4">
        <f>(parametros_manuales!$D$40*('Plan mensual'!L46+IF(parametros_manuales!$H$40="Todos",'Plan mensual'!L50,0))+parametros_manuales!$E$40*('Plan mensual'!L47+IF(parametros_manuales!$H$40="Todos",'Plan mensual'!L51,0))+parametros_manuales!$F$40*('Plan mensual'!L48+IF(parametros_manuales!$H$40="Todos",'Plan mensual'!L52,0))+parametros_manuales!$G$40*('Plan mensual'!L49+IF(parametros_manuales!$H$40="Todos",'Plan mensual'!L53,0)))*parametros_manuales!$I$40*parametros_manuales!$J$40</f>
        <v>2049.795</v>
      </c>
      <c r="K131" s="4">
        <f>(parametros_manuales!$D$40*('Plan mensual'!M46+IF(parametros_manuales!$H$40="Todos",'Plan mensual'!M50,0))+parametros_manuales!$E$40*('Plan mensual'!M47+IF(parametros_manuales!$H$40="Todos",'Plan mensual'!M51,0))+parametros_manuales!$F$40*('Plan mensual'!M48+IF(parametros_manuales!$H$40="Todos",'Plan mensual'!M52,0))+parametros_manuales!$G$40*('Plan mensual'!M49+IF(parametros_manuales!$H$40="Todos",'Plan mensual'!M53,0)))*parametros_manuales!$I$40*parametros_manuales!$J$40</f>
        <v>1981.125</v>
      </c>
      <c r="L131" s="4">
        <f>(parametros_manuales!$D$40*('Plan mensual'!N46+IF(parametros_manuales!$H$40="Todos",'Plan mensual'!N50,0))+parametros_manuales!$E$40*('Plan mensual'!N47+IF(parametros_manuales!$H$40="Todos",'Plan mensual'!N51,0))+parametros_manuales!$F$40*('Plan mensual'!N48+IF(parametros_manuales!$H$40="Todos",'Plan mensual'!N52,0))+parametros_manuales!$G$40*('Plan mensual'!N49+IF(parametros_manuales!$H$40="Todos",'Plan mensual'!N53,0)))*parametros_manuales!$I$40*parametros_manuales!$J$40</f>
        <v>1912.455</v>
      </c>
      <c r="M131" s="4">
        <f>(parametros_manuales!$D$40*('Plan mensual'!O46+IF(parametros_manuales!$H$40="Todos",'Plan mensual'!O50,0))+parametros_manuales!$E$40*('Plan mensual'!O47+IF(parametros_manuales!$H$40="Todos",'Plan mensual'!O51,0))+parametros_manuales!$F$40*('Plan mensual'!O48+IF(parametros_manuales!$H$40="Todos",'Plan mensual'!O52,0))+parametros_manuales!$G$40*('Plan mensual'!O49+IF(parametros_manuales!$H$40="Todos",'Plan mensual'!O53,0)))*parametros_manuales!$I$40*parametros_manuales!$J$40</f>
        <v>3032.46</v>
      </c>
      <c r="N131" s="4">
        <f t="shared" si="13"/>
        <v>26415</v>
      </c>
      <c r="O131" s="4">
        <f t="shared" si="14"/>
        <v>3032.46</v>
      </c>
      <c r="P131" s="27">
        <f>O131/(parametros_manuales!$B$7)</f>
        <v>20.2164</v>
      </c>
      <c r="Q131" s="3" t="str">
        <f t="shared" si="15"/>
        <v>Dic</v>
      </c>
    </row>
    <row r="132" ht="14.25" customHeight="1">
      <c r="A132" s="3" t="str">
        <f>parametros_manuales!$B$41</f>
        <v>Control de calidad — Ensayo de pérdidas</v>
      </c>
      <c r="B132" s="4">
        <f>(parametros_manuales!$D$41*('Plan mensual'!D46+IF(parametros_manuales!$H$41="Todos",'Plan mensual'!D50,0))+parametros_manuales!$E$41*('Plan mensual'!D47+IF(parametros_manuales!$H$41="Todos",'Plan mensual'!D51,0))+parametros_manuales!$F$41*('Plan mensual'!D48+IF(parametros_manuales!$H$41="Todos",'Plan mensual'!D52,0))+parametros_manuales!$G$41*('Plan mensual'!D49+IF(parametros_manuales!$H$41="Todos",'Plan mensual'!D53,0)))*parametros_manuales!$I$41*parametros_manuales!$J$41</f>
        <v>2895.12</v>
      </c>
      <c r="C132" s="4">
        <f>(parametros_manuales!$D$41*('Plan mensual'!E46+IF(parametros_manuales!$H$41="Todos",'Plan mensual'!E50,0))+parametros_manuales!$E$41*('Plan mensual'!E47+IF(parametros_manuales!$H$41="Todos",'Plan mensual'!E51,0))+parametros_manuales!$F$41*('Plan mensual'!E48+IF(parametros_manuales!$H$41="Todos",'Plan mensual'!E52,0))+parametros_manuales!$G$41*('Plan mensual'!E49+IF(parametros_manuales!$H$41="Todos",'Plan mensual'!E53,0)))*parametros_manuales!$I$41*parametros_manuales!$J$41</f>
        <v>2240.01</v>
      </c>
      <c r="D132" s="4">
        <f>(parametros_manuales!$D$41*('Plan mensual'!F46+IF(parametros_manuales!$H$41="Todos",'Plan mensual'!F50,0))+parametros_manuales!$E$41*('Plan mensual'!F47+IF(parametros_manuales!$H$41="Todos",'Plan mensual'!F51,0))+parametros_manuales!$F$41*('Plan mensual'!F48+IF(parametros_manuales!$H$41="Todos",'Plan mensual'!F52,0))+parametros_manuales!$G$41*('Plan mensual'!F49+IF(parametros_manuales!$H$41="Todos",'Plan mensual'!F53,0)))*parametros_manuales!$I$41*parametros_manuales!$J$41</f>
        <v>2181.87</v>
      </c>
      <c r="E132" s="4">
        <f>(parametros_manuales!$D$41*('Plan mensual'!G46+IF(parametros_manuales!$H$41="Todos",'Plan mensual'!G50,0))+parametros_manuales!$E$41*('Plan mensual'!G47+IF(parametros_manuales!$H$41="Todos",'Plan mensual'!G51,0))+parametros_manuales!$F$41*('Plan mensual'!G48+IF(parametros_manuales!$H$41="Todos",'Plan mensual'!G52,0))+parametros_manuales!$G$41*('Plan mensual'!G49+IF(parametros_manuales!$H$41="Todos",'Plan mensual'!G53,0)))*parametros_manuales!$I$41*parametros_manuales!$J$41</f>
        <v>2118.465</v>
      </c>
      <c r="F132" s="4">
        <f>(parametros_manuales!$D$41*('Plan mensual'!H46+IF(parametros_manuales!$H$41="Todos",'Plan mensual'!H50,0))+parametros_manuales!$E$41*('Plan mensual'!H47+IF(parametros_manuales!$H$41="Todos",'Plan mensual'!H51,0))+parametros_manuales!$F$41*('Plan mensual'!H48+IF(parametros_manuales!$H$41="Todos",'Plan mensual'!H52,0))+parametros_manuales!$G$41*('Plan mensual'!H49+IF(parametros_manuales!$H$41="Todos",'Plan mensual'!H53,0)))*parametros_manuales!$I$41*parametros_manuales!$J$41</f>
        <v>1986.39</v>
      </c>
      <c r="G132" s="4">
        <f>(parametros_manuales!$D$41*('Plan mensual'!I46+IF(parametros_manuales!$H$41="Todos",'Plan mensual'!I50,0))+parametros_manuales!$E$41*('Plan mensual'!I47+IF(parametros_manuales!$H$41="Todos",'Plan mensual'!I51,0))+parametros_manuales!$F$41*('Plan mensual'!I48+IF(parametros_manuales!$H$41="Todos",'Plan mensual'!I52,0))+parametros_manuales!$G$41*('Plan mensual'!I49+IF(parametros_manuales!$H$41="Todos",'Plan mensual'!I53,0)))*parametros_manuales!$I$41*parametros_manuales!$J$41</f>
        <v>1917.72</v>
      </c>
      <c r="H132" s="4">
        <f>(parametros_manuales!$D$41*('Plan mensual'!J46+IF(parametros_manuales!$H$41="Todos",'Plan mensual'!J50,0))+parametros_manuales!$E$41*('Plan mensual'!J47+IF(parametros_manuales!$H$41="Todos",'Plan mensual'!J51,0))+parametros_manuales!$F$41*('Plan mensual'!J48+IF(parametros_manuales!$H$41="Todos",'Plan mensual'!J52,0))+parametros_manuales!$G$41*('Plan mensual'!J49+IF(parametros_manuales!$H$41="Todos",'Plan mensual'!J53,0)))*parametros_manuales!$I$41*parametros_manuales!$J$41</f>
        <v>2049.795</v>
      </c>
      <c r="I132" s="4">
        <f>(parametros_manuales!$D$41*('Plan mensual'!K46+IF(parametros_manuales!$H$41="Todos",'Plan mensual'!K50,0))+parametros_manuales!$E$41*('Plan mensual'!K47+IF(parametros_manuales!$H$41="Todos",'Plan mensual'!K51,0))+parametros_manuales!$F$41*('Plan mensual'!K48+IF(parametros_manuales!$H$41="Todos",'Plan mensual'!K52,0))+parametros_manuales!$G$41*('Plan mensual'!K49+IF(parametros_manuales!$H$41="Todos",'Plan mensual'!K53,0)))*parametros_manuales!$I$41*parametros_manuales!$J$41</f>
        <v>2049.795</v>
      </c>
      <c r="J132" s="4">
        <f>(parametros_manuales!$D$41*('Plan mensual'!L46+IF(parametros_manuales!$H$41="Todos",'Plan mensual'!L50,0))+parametros_manuales!$E$41*('Plan mensual'!L47+IF(parametros_manuales!$H$41="Todos",'Plan mensual'!L51,0))+parametros_manuales!$F$41*('Plan mensual'!L48+IF(parametros_manuales!$H$41="Todos",'Plan mensual'!L52,0))+parametros_manuales!$G$41*('Plan mensual'!L49+IF(parametros_manuales!$H$41="Todos",'Plan mensual'!L53,0)))*parametros_manuales!$I$41*parametros_manuales!$J$41</f>
        <v>2049.795</v>
      </c>
      <c r="K132" s="4">
        <f>(parametros_manuales!$D$41*('Plan mensual'!M46+IF(parametros_manuales!$H$41="Todos",'Plan mensual'!M50,0))+parametros_manuales!$E$41*('Plan mensual'!M47+IF(parametros_manuales!$H$41="Todos",'Plan mensual'!M51,0))+parametros_manuales!$F$41*('Plan mensual'!M48+IF(parametros_manuales!$H$41="Todos",'Plan mensual'!M52,0))+parametros_manuales!$G$41*('Plan mensual'!M49+IF(parametros_manuales!$H$41="Todos",'Plan mensual'!M53,0)))*parametros_manuales!$I$41*parametros_manuales!$J$41</f>
        <v>1981.125</v>
      </c>
      <c r="L132" s="4">
        <f>(parametros_manuales!$D$41*('Plan mensual'!N46+IF(parametros_manuales!$H$41="Todos",'Plan mensual'!N50,0))+parametros_manuales!$E$41*('Plan mensual'!N47+IF(parametros_manuales!$H$41="Todos",'Plan mensual'!N51,0))+parametros_manuales!$F$41*('Plan mensual'!N48+IF(parametros_manuales!$H$41="Todos",'Plan mensual'!N52,0))+parametros_manuales!$G$41*('Plan mensual'!N49+IF(parametros_manuales!$H$41="Todos",'Plan mensual'!N53,0)))*parametros_manuales!$I$41*parametros_manuales!$J$41</f>
        <v>1912.455</v>
      </c>
      <c r="M132" s="4">
        <f>(parametros_manuales!$D$41*('Plan mensual'!O46+IF(parametros_manuales!$H$41="Todos",'Plan mensual'!O50,0))+parametros_manuales!$E$41*('Plan mensual'!O47+IF(parametros_manuales!$H$41="Todos",'Plan mensual'!O51,0))+parametros_manuales!$F$41*('Plan mensual'!O48+IF(parametros_manuales!$H$41="Todos",'Plan mensual'!O52,0))+parametros_manuales!$G$41*('Plan mensual'!O49+IF(parametros_manuales!$H$41="Todos",'Plan mensual'!O53,0)))*parametros_manuales!$I$41*parametros_manuales!$J$41</f>
        <v>3032.46</v>
      </c>
      <c r="N132" s="4">
        <f t="shared" si="13"/>
        <v>26415</v>
      </c>
      <c r="O132" s="4">
        <f t="shared" si="14"/>
        <v>3032.46</v>
      </c>
      <c r="P132" s="27">
        <f>O132/(parametros_manuales!$B$7)</f>
        <v>20.2164</v>
      </c>
      <c r="Q132" s="3" t="str">
        <f t="shared" si="15"/>
        <v>Dic</v>
      </c>
    </row>
    <row r="133" ht="14.25" customHeight="1">
      <c r="A133" s="3" t="str">
        <f>parametros_manuales!$B$42</f>
        <v>Etiquetado</v>
      </c>
      <c r="B133" s="4">
        <f>(parametros_manuales!$D$42*('Plan mensual'!D46+IF(parametros_manuales!$H$42="Todos",'Plan mensual'!D50,0))+parametros_manuales!$E$42*('Plan mensual'!D47+IF(parametros_manuales!$H$42="Todos",'Plan mensual'!D51,0))+parametros_manuales!$F$42*('Plan mensual'!D48+IF(parametros_manuales!$H$42="Todos",'Plan mensual'!D52,0))+parametros_manuales!$G$42*('Plan mensual'!D49+IF(parametros_manuales!$H$42="Todos",'Plan mensual'!D53,0)))*parametros_manuales!$I$42*parametros_manuales!$J$42</f>
        <v>2895.12</v>
      </c>
      <c r="C133" s="4">
        <f>(parametros_manuales!$D$42*('Plan mensual'!E46+IF(parametros_manuales!$H$42="Todos",'Plan mensual'!E50,0))+parametros_manuales!$E$42*('Plan mensual'!E47+IF(parametros_manuales!$H$42="Todos",'Plan mensual'!E51,0))+parametros_manuales!$F$42*('Plan mensual'!E48+IF(parametros_manuales!$H$42="Todos",'Plan mensual'!E52,0))+parametros_manuales!$G$42*('Plan mensual'!E49+IF(parametros_manuales!$H$42="Todos",'Plan mensual'!E53,0)))*parametros_manuales!$I$42*parametros_manuales!$J$42</f>
        <v>2240.01</v>
      </c>
      <c r="D133" s="4">
        <f>(parametros_manuales!$D$42*('Plan mensual'!F46+IF(parametros_manuales!$H$42="Todos",'Plan mensual'!F50,0))+parametros_manuales!$E$42*('Plan mensual'!F47+IF(parametros_manuales!$H$42="Todos",'Plan mensual'!F51,0))+parametros_manuales!$F$42*('Plan mensual'!F48+IF(parametros_manuales!$H$42="Todos",'Plan mensual'!F52,0))+parametros_manuales!$G$42*('Plan mensual'!F49+IF(parametros_manuales!$H$42="Todos",'Plan mensual'!F53,0)))*parametros_manuales!$I$42*parametros_manuales!$J$42</f>
        <v>2181.87</v>
      </c>
      <c r="E133" s="4">
        <f>(parametros_manuales!$D$42*('Plan mensual'!G46+IF(parametros_manuales!$H$42="Todos",'Plan mensual'!G50,0))+parametros_manuales!$E$42*('Plan mensual'!G47+IF(parametros_manuales!$H$42="Todos",'Plan mensual'!G51,0))+parametros_manuales!$F$42*('Plan mensual'!G48+IF(parametros_manuales!$H$42="Todos",'Plan mensual'!G52,0))+parametros_manuales!$G$42*('Plan mensual'!G49+IF(parametros_manuales!$H$42="Todos",'Plan mensual'!G53,0)))*parametros_manuales!$I$42*parametros_manuales!$J$42</f>
        <v>2118.465</v>
      </c>
      <c r="F133" s="4">
        <f>(parametros_manuales!$D$42*('Plan mensual'!H46+IF(parametros_manuales!$H$42="Todos",'Plan mensual'!H50,0))+parametros_manuales!$E$42*('Plan mensual'!H47+IF(parametros_manuales!$H$42="Todos",'Plan mensual'!H51,0))+parametros_manuales!$F$42*('Plan mensual'!H48+IF(parametros_manuales!$H$42="Todos",'Plan mensual'!H52,0))+parametros_manuales!$G$42*('Plan mensual'!H49+IF(parametros_manuales!$H$42="Todos",'Plan mensual'!H53,0)))*parametros_manuales!$I$42*parametros_manuales!$J$42</f>
        <v>1986.39</v>
      </c>
      <c r="G133" s="4">
        <f>(parametros_manuales!$D$42*('Plan mensual'!I46+IF(parametros_manuales!$H$42="Todos",'Plan mensual'!I50,0))+parametros_manuales!$E$42*('Plan mensual'!I47+IF(parametros_manuales!$H$42="Todos",'Plan mensual'!I51,0))+parametros_manuales!$F$42*('Plan mensual'!I48+IF(parametros_manuales!$H$42="Todos",'Plan mensual'!I52,0))+parametros_manuales!$G$42*('Plan mensual'!I49+IF(parametros_manuales!$H$42="Todos",'Plan mensual'!I53,0)))*parametros_manuales!$I$42*parametros_manuales!$J$42</f>
        <v>1917.72</v>
      </c>
      <c r="H133" s="4">
        <f>(parametros_manuales!$D$42*('Plan mensual'!J46+IF(parametros_manuales!$H$42="Todos",'Plan mensual'!J50,0))+parametros_manuales!$E$42*('Plan mensual'!J47+IF(parametros_manuales!$H$42="Todos",'Plan mensual'!J51,0))+parametros_manuales!$F$42*('Plan mensual'!J48+IF(parametros_manuales!$H$42="Todos",'Plan mensual'!J52,0))+parametros_manuales!$G$42*('Plan mensual'!J49+IF(parametros_manuales!$H$42="Todos",'Plan mensual'!J53,0)))*parametros_manuales!$I$42*parametros_manuales!$J$42</f>
        <v>2049.795</v>
      </c>
      <c r="I133" s="4">
        <f>(parametros_manuales!$D$42*('Plan mensual'!K46+IF(parametros_manuales!$H$42="Todos",'Plan mensual'!K50,0))+parametros_manuales!$E$42*('Plan mensual'!K47+IF(parametros_manuales!$H$42="Todos",'Plan mensual'!K51,0))+parametros_manuales!$F$42*('Plan mensual'!K48+IF(parametros_manuales!$H$42="Todos",'Plan mensual'!K52,0))+parametros_manuales!$G$42*('Plan mensual'!K49+IF(parametros_manuales!$H$42="Todos",'Plan mensual'!K53,0)))*parametros_manuales!$I$42*parametros_manuales!$J$42</f>
        <v>2049.795</v>
      </c>
      <c r="J133" s="4">
        <f>(parametros_manuales!$D$42*('Plan mensual'!L46+IF(parametros_manuales!$H$42="Todos",'Plan mensual'!L50,0))+parametros_manuales!$E$42*('Plan mensual'!L47+IF(parametros_manuales!$H$42="Todos",'Plan mensual'!L51,0))+parametros_manuales!$F$42*('Plan mensual'!L48+IF(parametros_manuales!$H$42="Todos",'Plan mensual'!L52,0))+parametros_manuales!$G$42*('Plan mensual'!L49+IF(parametros_manuales!$H$42="Todos",'Plan mensual'!L53,0)))*parametros_manuales!$I$42*parametros_manuales!$J$42</f>
        <v>2049.795</v>
      </c>
      <c r="K133" s="4">
        <f>(parametros_manuales!$D$42*('Plan mensual'!M46+IF(parametros_manuales!$H$42="Todos",'Plan mensual'!M50,0))+parametros_manuales!$E$42*('Plan mensual'!M47+IF(parametros_manuales!$H$42="Todos",'Plan mensual'!M51,0))+parametros_manuales!$F$42*('Plan mensual'!M48+IF(parametros_manuales!$H$42="Todos",'Plan mensual'!M52,0))+parametros_manuales!$G$42*('Plan mensual'!M49+IF(parametros_manuales!$H$42="Todos",'Plan mensual'!M53,0)))*parametros_manuales!$I$42*parametros_manuales!$J$42</f>
        <v>1981.125</v>
      </c>
      <c r="L133" s="4">
        <f>(parametros_manuales!$D$42*('Plan mensual'!N46+IF(parametros_manuales!$H$42="Todos",'Plan mensual'!N50,0))+parametros_manuales!$E$42*('Plan mensual'!N47+IF(parametros_manuales!$H$42="Todos",'Plan mensual'!N51,0))+parametros_manuales!$F$42*('Plan mensual'!N48+IF(parametros_manuales!$H$42="Todos",'Plan mensual'!N52,0))+parametros_manuales!$G$42*('Plan mensual'!N49+IF(parametros_manuales!$H$42="Todos",'Plan mensual'!N53,0)))*parametros_manuales!$I$42*parametros_manuales!$J$42</f>
        <v>1912.455</v>
      </c>
      <c r="M133" s="4">
        <f>(parametros_manuales!$D$42*('Plan mensual'!O46+IF(parametros_manuales!$H$42="Todos",'Plan mensual'!O50,0))+parametros_manuales!$E$42*('Plan mensual'!O47+IF(parametros_manuales!$H$42="Todos",'Plan mensual'!O51,0))+parametros_manuales!$F$42*('Plan mensual'!O48+IF(parametros_manuales!$H$42="Todos",'Plan mensual'!O52,0))+parametros_manuales!$G$42*('Plan mensual'!O49+IF(parametros_manuales!$H$42="Todos",'Plan mensual'!O53,0)))*parametros_manuales!$I$42*parametros_manuales!$J$42</f>
        <v>3032.46</v>
      </c>
      <c r="N133" s="4">
        <f t="shared" si="13"/>
        <v>26415</v>
      </c>
      <c r="O133" s="4">
        <f t="shared" si="14"/>
        <v>3032.46</v>
      </c>
      <c r="P133" s="27">
        <f>O133/(parametros_manuales!$B$7)</f>
        <v>20.2164</v>
      </c>
      <c r="Q133" s="3" t="str">
        <f t="shared" si="15"/>
        <v>Dic</v>
      </c>
    </row>
    <row r="134" ht="14.25" customHeight="1">
      <c r="A134" s="3" t="str">
        <f>parametros_manuales!$B$43</f>
        <v>Embalaje y paletizado</v>
      </c>
      <c r="B134" s="4">
        <f>(parametros_manuales!$D$43*('Plan mensual'!D46+IF(parametros_manuales!$H$43="Todos",'Plan mensual'!D50,0))+parametros_manuales!$E$43*('Plan mensual'!D47+IF(parametros_manuales!$H$43="Todos",'Plan mensual'!D51,0))+parametros_manuales!$F$43*('Plan mensual'!D48+IF(parametros_manuales!$H$43="Todos",'Plan mensual'!D52,0))+parametros_manuales!$G$43*('Plan mensual'!D49+IF(parametros_manuales!$H$43="Todos",'Plan mensual'!D53,0)))*parametros_manuales!$I$43*parametros_manuales!$J$43</f>
        <v>10033.02</v>
      </c>
      <c r="C134" s="4">
        <f>(parametros_manuales!$D$43*('Plan mensual'!E46+IF(parametros_manuales!$H$43="Todos",'Plan mensual'!E50,0))+parametros_manuales!$E$43*('Plan mensual'!E47+IF(parametros_manuales!$H$43="Todos",'Plan mensual'!E51,0))+parametros_manuales!$F$43*('Plan mensual'!E48+IF(parametros_manuales!$H$43="Todos",'Plan mensual'!E52,0))+parametros_manuales!$G$43*('Plan mensual'!E49+IF(parametros_manuales!$H$43="Todos",'Plan mensual'!E53,0)))*parametros_manuales!$I$43*parametros_manuales!$J$43</f>
        <v>7653.72</v>
      </c>
      <c r="D134" s="4">
        <f>(parametros_manuales!$D$43*('Plan mensual'!F46+IF(parametros_manuales!$H$43="Todos",'Plan mensual'!F50,0))+parametros_manuales!$E$43*('Plan mensual'!F47+IF(parametros_manuales!$H$43="Todos",'Plan mensual'!F51,0))+parametros_manuales!$F$43*('Plan mensual'!F48+IF(parametros_manuales!$H$43="Todos",'Plan mensual'!F52,0))+parametros_manuales!$G$43*('Plan mensual'!F49+IF(parametros_manuales!$H$43="Todos",'Plan mensual'!F53,0)))*parametros_manuales!$I$43*parametros_manuales!$J$43</f>
        <v>7161.515</v>
      </c>
      <c r="E134" s="4">
        <f>(parametros_manuales!$D$43*('Plan mensual'!G46+IF(parametros_manuales!$H$43="Todos",'Plan mensual'!G50,0))+parametros_manuales!$E$43*('Plan mensual'!G47+IF(parametros_manuales!$H$43="Todos",'Plan mensual'!G51,0))+parametros_manuales!$F$43*('Plan mensual'!G48+IF(parametros_manuales!$H$43="Todos",'Plan mensual'!G52,0))+parametros_manuales!$G$43*('Plan mensual'!G49+IF(parametros_manuales!$H$43="Todos",'Plan mensual'!G53,0)))*parametros_manuales!$I$43*parametros_manuales!$J$43</f>
        <v>6850.935</v>
      </c>
      <c r="F134" s="4">
        <f>(parametros_manuales!$D$43*('Plan mensual'!H46+IF(parametros_manuales!$H$43="Todos",'Plan mensual'!H50,0))+parametros_manuales!$E$43*('Plan mensual'!H47+IF(parametros_manuales!$H$43="Todos",'Plan mensual'!H51,0))+parametros_manuales!$F$43*('Plan mensual'!H48+IF(parametros_manuales!$H$43="Todos",'Plan mensual'!H52,0))+parametros_manuales!$G$43*('Plan mensual'!H49+IF(parametros_manuales!$H$43="Todos",'Plan mensual'!H53,0)))*parametros_manuales!$I$43*parametros_manuales!$J$43</f>
        <v>6411.4</v>
      </c>
      <c r="G134" s="4">
        <f>(parametros_manuales!$D$43*('Plan mensual'!I46+IF(parametros_manuales!$H$43="Todos",'Plan mensual'!I50,0))+parametros_manuales!$E$43*('Plan mensual'!I47+IF(parametros_manuales!$H$43="Todos",'Plan mensual'!I51,0))+parametros_manuales!$F$43*('Plan mensual'!I48+IF(parametros_manuales!$H$43="Todos",'Plan mensual'!I52,0))+parametros_manuales!$G$43*('Plan mensual'!I49+IF(parametros_manuales!$H$43="Todos",'Plan mensual'!I53,0)))*parametros_manuales!$I$43*parametros_manuales!$J$43</f>
        <v>6282.445</v>
      </c>
      <c r="H134" s="4">
        <f>(parametros_manuales!$D$43*('Plan mensual'!J46+IF(parametros_manuales!$H$43="Todos",'Plan mensual'!J50,0))+parametros_manuales!$E$43*('Plan mensual'!J47+IF(parametros_manuales!$H$43="Todos",'Plan mensual'!J51,0))+parametros_manuales!$F$43*('Plan mensual'!J48+IF(parametros_manuales!$H$43="Todos",'Plan mensual'!J52,0))+parametros_manuales!$G$43*('Plan mensual'!J49+IF(parametros_manuales!$H$43="Todos",'Plan mensual'!J53,0)))*parametros_manuales!$I$43*parametros_manuales!$J$43</f>
        <v>6721.98</v>
      </c>
      <c r="I134" s="4">
        <f>(parametros_manuales!$D$43*('Plan mensual'!K46+IF(parametros_manuales!$H$43="Todos",'Plan mensual'!K50,0))+parametros_manuales!$E$43*('Plan mensual'!K47+IF(parametros_manuales!$H$43="Todos",'Plan mensual'!K51,0))+parametros_manuales!$F$43*('Plan mensual'!K48+IF(parametros_manuales!$H$43="Todos",'Plan mensual'!K52,0))+parametros_manuales!$G$43*('Plan mensual'!K49+IF(parametros_manuales!$H$43="Todos",'Plan mensual'!K53,0)))*parametros_manuales!$I$43*parametros_manuales!$J$43</f>
        <v>6721.98</v>
      </c>
      <c r="J134" s="4">
        <f>(parametros_manuales!$D$43*('Plan mensual'!L46+IF(parametros_manuales!$H$43="Todos",'Plan mensual'!L50,0))+parametros_manuales!$E$43*('Plan mensual'!L47+IF(parametros_manuales!$H$43="Todos",'Plan mensual'!L51,0))+parametros_manuales!$F$43*('Plan mensual'!L48+IF(parametros_manuales!$H$43="Todos",'Plan mensual'!L52,0))+parametros_manuales!$G$43*('Plan mensual'!L49+IF(parametros_manuales!$H$43="Todos",'Plan mensual'!L53,0)))*parametros_manuales!$I$43*parametros_manuales!$J$43</f>
        <v>6721.98</v>
      </c>
      <c r="K134" s="4">
        <f>(parametros_manuales!$D$43*('Plan mensual'!M46+IF(parametros_manuales!$H$43="Todos",'Plan mensual'!M50,0))+parametros_manuales!$E$43*('Plan mensual'!M47+IF(parametros_manuales!$H$43="Todos",'Plan mensual'!M51,0))+parametros_manuales!$F$43*('Plan mensual'!M48+IF(parametros_manuales!$H$43="Todos",'Plan mensual'!M52,0))+parametros_manuales!$G$43*('Plan mensual'!M49+IF(parametros_manuales!$H$43="Todos",'Plan mensual'!M53,0)))*parametros_manuales!$I$43*parametros_manuales!$J$43</f>
        <v>6593.025</v>
      </c>
      <c r="L134" s="4">
        <f>(parametros_manuales!$D$43*('Plan mensual'!N46+IF(parametros_manuales!$H$43="Todos",'Plan mensual'!N50,0))+parametros_manuales!$E$43*('Plan mensual'!N47+IF(parametros_manuales!$H$43="Todos",'Plan mensual'!N51,0))+parametros_manuales!$F$43*('Plan mensual'!N48+IF(parametros_manuales!$H$43="Todos",'Plan mensual'!N52,0))+parametros_manuales!$G$43*('Plan mensual'!N49+IF(parametros_manuales!$H$43="Todos",'Plan mensual'!N53,0)))*parametros_manuales!$I$43*parametros_manuales!$J$43</f>
        <v>6464.07</v>
      </c>
      <c r="M134" s="4">
        <f>(parametros_manuales!$D$43*('Plan mensual'!O46+IF(parametros_manuales!$H$43="Todos",'Plan mensual'!O50,0))+parametros_manuales!$E$43*('Plan mensual'!O47+IF(parametros_manuales!$H$43="Todos",'Plan mensual'!O51,0))+parametros_manuales!$F$43*('Plan mensual'!O48+IF(parametros_manuales!$H$43="Todos",'Plan mensual'!O52,0))+parametros_manuales!$G$43*('Plan mensual'!O49+IF(parametros_manuales!$H$43="Todos",'Plan mensual'!O53,0)))*parametros_manuales!$I$43*parametros_manuales!$J$43</f>
        <v>10290.93</v>
      </c>
      <c r="N134" s="4">
        <f t="shared" si="13"/>
        <v>87907</v>
      </c>
      <c r="O134" s="4">
        <f t="shared" si="14"/>
        <v>10290.93</v>
      </c>
      <c r="P134" s="27">
        <f>O134/(parametros_manuales!$B$7)</f>
        <v>68.6062</v>
      </c>
      <c r="Q134" s="3" t="str">
        <f t="shared" si="15"/>
        <v>Dic</v>
      </c>
    </row>
    <row r="135" ht="14.25" customHeight="1"/>
    <row r="136" ht="14.25" customHeight="1">
      <c r="A136" s="1" t="s">
        <v>182</v>
      </c>
      <c r="B136" s="1" t="s">
        <v>5</v>
      </c>
      <c r="C136" s="1" t="s">
        <v>7</v>
      </c>
      <c r="D136" s="1" t="s">
        <v>8</v>
      </c>
      <c r="E136" s="1" t="s">
        <v>9</v>
      </c>
      <c r="F136" s="1" t="s">
        <v>11</v>
      </c>
      <c r="G136" s="1" t="s">
        <v>12</v>
      </c>
      <c r="H136" s="1" t="s">
        <v>14</v>
      </c>
      <c r="I136" s="1" t="s">
        <v>15</v>
      </c>
      <c r="J136" s="1" t="s">
        <v>16</v>
      </c>
      <c r="K136" s="1" t="s">
        <v>18</v>
      </c>
      <c r="L136" s="1" t="s">
        <v>19</v>
      </c>
      <c r="M136" s="1" t="s">
        <v>20</v>
      </c>
      <c r="N136" s="1" t="s">
        <v>21</v>
      </c>
      <c r="O136" s="1" t="s">
        <v>22</v>
      </c>
      <c r="P136" s="1" t="s">
        <v>23</v>
      </c>
      <c r="Q136" s="1" t="s">
        <v>24</v>
      </c>
    </row>
    <row r="137" ht="14.25" customHeight="1">
      <c r="A137" s="3" t="str">
        <f>parametros_manuales!$B$19</f>
        <v>Recepción de materia prima</v>
      </c>
      <c r="B137" s="4">
        <f>(parametros_manuales!$D$19*('Plan mensual'!D57+IF(parametros_manuales!$H$19="Todos",'Plan mensual'!D61,0))+parametros_manuales!$E$19*('Plan mensual'!D58+IF(parametros_manuales!$H$19="Todos",'Plan mensual'!D62,0))+parametros_manuales!$F$19*('Plan mensual'!D59+IF(parametros_manuales!$H$19="Todos",'Plan mensual'!D63,0))+parametros_manuales!$G$19*('Plan mensual'!D60+IF(parametros_manuales!$H$19="Todos",'Plan mensual'!D64,0)))*parametros_manuales!$I$19*parametros_manuales!$J$19</f>
        <v>14097.3</v>
      </c>
      <c r="C137" s="4">
        <f>(parametros_manuales!$D$19*('Plan mensual'!E57+IF(parametros_manuales!$H$19="Todos",'Plan mensual'!E61,0))+parametros_manuales!$E$19*('Plan mensual'!E58+IF(parametros_manuales!$H$19="Todos",'Plan mensual'!E62,0))+parametros_manuales!$F$19*('Plan mensual'!E59+IF(parametros_manuales!$H$19="Todos",'Plan mensual'!E63,0))+parametros_manuales!$G$19*('Plan mensual'!E60+IF(parametros_manuales!$H$19="Todos",'Plan mensual'!E64,0)))*parametros_manuales!$I$19*parametros_manuales!$J$19</f>
        <v>10754.04</v>
      </c>
      <c r="D137" s="4">
        <f>(parametros_manuales!$D$19*('Plan mensual'!F57+IF(parametros_manuales!$H$19="Todos",'Plan mensual'!F61,0))+parametros_manuales!$E$19*('Plan mensual'!F58+IF(parametros_manuales!$H$19="Todos",'Plan mensual'!F62,0))+parametros_manuales!$F$19*('Plan mensual'!F59+IF(parametros_manuales!$H$19="Todos",'Plan mensual'!F63,0))+parametros_manuales!$G$19*('Plan mensual'!F60+IF(parametros_manuales!$H$19="Todos",'Plan mensual'!F64,0)))*parametros_manuales!$I$19*parametros_manuales!$J$19</f>
        <v>10062.105</v>
      </c>
      <c r="E137" s="4">
        <f>(parametros_manuales!$D$19*('Plan mensual'!G57+IF(parametros_manuales!$H$19="Todos",'Plan mensual'!G61,0))+parametros_manuales!$E$19*('Plan mensual'!G58+IF(parametros_manuales!$H$19="Todos",'Plan mensual'!G62,0))+parametros_manuales!$F$19*('Plan mensual'!G59+IF(parametros_manuales!$H$19="Todos",'Plan mensual'!G63,0))+parametros_manuales!$G$19*('Plan mensual'!G60+IF(parametros_manuales!$H$19="Todos",'Plan mensual'!G64,0)))*parametros_manuales!$I$19*parametros_manuales!$J$19</f>
        <v>9625.605</v>
      </c>
      <c r="F137" s="4">
        <f>(parametros_manuales!$D$19*('Plan mensual'!H57+IF(parametros_manuales!$H$19="Todos",'Plan mensual'!H61,0))+parametros_manuales!$E$19*('Plan mensual'!H58+IF(parametros_manuales!$H$19="Todos",'Plan mensual'!H62,0))+parametros_manuales!$F$19*('Plan mensual'!H59+IF(parametros_manuales!$H$19="Todos",'Plan mensual'!H63,0))+parametros_manuales!$G$19*('Plan mensual'!H60+IF(parametros_manuales!$H$19="Todos",'Plan mensual'!H64,0)))*parametros_manuales!$I$19*parametros_manuales!$J$19</f>
        <v>9008.04</v>
      </c>
      <c r="G137" s="4">
        <f>(parametros_manuales!$D$19*('Plan mensual'!I57+IF(parametros_manuales!$H$19="Todos",'Plan mensual'!I61,0))+parametros_manuales!$E$19*('Plan mensual'!I58+IF(parametros_manuales!$H$19="Todos",'Plan mensual'!I62,0))+parametros_manuales!$F$19*('Plan mensual'!I59+IF(parametros_manuales!$H$19="Todos",'Plan mensual'!I63,0))+parametros_manuales!$G$19*('Plan mensual'!I60+IF(parametros_manuales!$H$19="Todos",'Plan mensual'!I64,0)))*parametros_manuales!$I$19*parametros_manuales!$J$19</f>
        <v>8826.975</v>
      </c>
      <c r="H137" s="4">
        <f>(parametros_manuales!$D$19*('Plan mensual'!J57+IF(parametros_manuales!$H$19="Todos",'Plan mensual'!J61,0))+parametros_manuales!$E$19*('Plan mensual'!J58+IF(parametros_manuales!$H$19="Todos",'Plan mensual'!J62,0))+parametros_manuales!$F$19*('Plan mensual'!J59+IF(parametros_manuales!$H$19="Todos",'Plan mensual'!J63,0))+parametros_manuales!$G$19*('Plan mensual'!J60+IF(parametros_manuales!$H$19="Todos",'Plan mensual'!J64,0)))*parametros_manuales!$I$19*parametros_manuales!$J$19</f>
        <v>9444.54</v>
      </c>
      <c r="I137" s="4">
        <f>(parametros_manuales!$D$19*('Plan mensual'!K57+IF(parametros_manuales!$H$19="Todos",'Plan mensual'!K61,0))+parametros_manuales!$E$19*('Plan mensual'!K58+IF(parametros_manuales!$H$19="Todos",'Plan mensual'!K62,0))+parametros_manuales!$F$19*('Plan mensual'!K59+IF(parametros_manuales!$H$19="Todos",'Plan mensual'!K63,0))+parametros_manuales!$G$19*('Plan mensual'!K60+IF(parametros_manuales!$H$19="Todos",'Plan mensual'!K64,0)))*parametros_manuales!$I$19*parametros_manuales!$J$19</f>
        <v>9444.54</v>
      </c>
      <c r="J137" s="4">
        <f>(parametros_manuales!$D$19*('Plan mensual'!L57+IF(parametros_manuales!$H$19="Todos",'Plan mensual'!L61,0))+parametros_manuales!$E$19*('Plan mensual'!L58+IF(parametros_manuales!$H$19="Todos",'Plan mensual'!L62,0))+parametros_manuales!$F$19*('Plan mensual'!L59+IF(parametros_manuales!$H$19="Todos",'Plan mensual'!L63,0))+parametros_manuales!$G$19*('Plan mensual'!L60+IF(parametros_manuales!$H$19="Todos",'Plan mensual'!L64,0)))*parametros_manuales!$I$19*parametros_manuales!$J$19</f>
        <v>9444.54</v>
      </c>
      <c r="K137" s="4">
        <f>(parametros_manuales!$D$19*('Plan mensual'!M57+IF(parametros_manuales!$H$19="Todos",'Plan mensual'!M61,0))+parametros_manuales!$E$19*('Plan mensual'!M58+IF(parametros_manuales!$H$19="Todos",'Plan mensual'!M62,0))+parametros_manuales!$F$19*('Plan mensual'!M59+IF(parametros_manuales!$H$19="Todos",'Plan mensual'!M63,0))+parametros_manuales!$G$19*('Plan mensual'!M60+IF(parametros_manuales!$H$19="Todos",'Plan mensual'!M64,0)))*parametros_manuales!$I$19*parametros_manuales!$J$19</f>
        <v>9263.475</v>
      </c>
      <c r="L137" s="4">
        <f>(parametros_manuales!$D$19*('Plan mensual'!N57+IF(parametros_manuales!$H$19="Todos",'Plan mensual'!N61,0))+parametros_manuales!$E$19*('Plan mensual'!N58+IF(parametros_manuales!$H$19="Todos",'Plan mensual'!N62,0))+parametros_manuales!$F$19*('Plan mensual'!N59+IF(parametros_manuales!$H$19="Todos",'Plan mensual'!N63,0))+parametros_manuales!$G$19*('Plan mensual'!N60+IF(parametros_manuales!$H$19="Todos",'Plan mensual'!N64,0)))*parametros_manuales!$I$19*parametros_manuales!$J$19</f>
        <v>9082.41</v>
      </c>
      <c r="M137" s="4">
        <f>(parametros_manuales!$D$19*('Plan mensual'!O57+IF(parametros_manuales!$H$19="Todos",'Plan mensual'!O61,0))+parametros_manuales!$E$19*('Plan mensual'!O58+IF(parametros_manuales!$H$19="Todos",'Plan mensual'!O62,0))+parametros_manuales!$F$19*('Plan mensual'!O59+IF(parametros_manuales!$H$19="Todos",'Plan mensual'!O63,0))+parametros_manuales!$G$19*('Plan mensual'!O60+IF(parametros_manuales!$H$19="Todos",'Plan mensual'!O64,0)))*parametros_manuales!$I$19*parametros_manuales!$J$19</f>
        <v>14459.43</v>
      </c>
      <c r="N137" s="4">
        <f t="shared" ref="N137:N161" si="16">SUM(B137:M137)</f>
        <v>123513</v>
      </c>
      <c r="O137" s="4">
        <f t="shared" ref="O137:O161" si="17">MAX(B137:M137)</f>
        <v>14459.43</v>
      </c>
      <c r="P137" s="27">
        <f>O137/(parametros_manuales!$B$7)</f>
        <v>96.3962</v>
      </c>
      <c r="Q137" s="3" t="str">
        <f t="shared" ref="Q137:Q161" si="18">IF(O137=0,"-",INDEX($B$136:$M$136,MATCH(O137,B137:M137,0)))</f>
        <v>Dic</v>
      </c>
    </row>
    <row r="138" ht="14.25" customHeight="1">
      <c r="A138" s="3" t="str">
        <f>parametros_manuales!$B$20</f>
        <v>Corte de chapa (guillotina) — 2,5 a 10 kg</v>
      </c>
      <c r="B138" s="4">
        <f>(parametros_manuales!$D$20*('Plan mensual'!D57+IF(parametros_manuales!$H$20="Todos",'Plan mensual'!D61,0))+parametros_manuales!$E$20*('Plan mensual'!D58+IF(parametros_manuales!$H$20="Todos",'Plan mensual'!D62,0))+parametros_manuales!$F$20*('Plan mensual'!D59+IF(parametros_manuales!$H$20="Todos",'Plan mensual'!D63,0))+parametros_manuales!$G$20*('Plan mensual'!D60+IF(parametros_manuales!$H$20="Todos",'Plan mensual'!D64,0)))*parametros_manuales!$I$20*parametros_manuales!$J$20</f>
        <v>3621.3</v>
      </c>
      <c r="C138" s="4">
        <f>(parametros_manuales!$D$20*('Plan mensual'!E57+IF(parametros_manuales!$H$20="Todos",'Plan mensual'!E61,0))+parametros_manuales!$E$20*('Plan mensual'!E58+IF(parametros_manuales!$H$20="Todos",'Plan mensual'!E62,0))+parametros_manuales!$F$20*('Plan mensual'!E59+IF(parametros_manuales!$H$20="Todos",'Plan mensual'!E63,0))+parametros_manuales!$G$20*('Plan mensual'!E60+IF(parametros_manuales!$H$20="Todos",'Plan mensual'!E64,0)))*parametros_manuales!$I$20*parametros_manuales!$J$20</f>
        <v>2897.04</v>
      </c>
      <c r="D138" s="4">
        <f>(parametros_manuales!$D$20*('Plan mensual'!F57+IF(parametros_manuales!$H$20="Todos",'Plan mensual'!F61,0))+parametros_manuales!$E$20*('Plan mensual'!F58+IF(parametros_manuales!$H$20="Todos",'Plan mensual'!F62,0))+parametros_manuales!$F$20*('Plan mensual'!F59+IF(parametros_manuales!$H$20="Todos",'Plan mensual'!F63,0))+parametros_manuales!$G$20*('Plan mensual'!F60+IF(parametros_manuales!$H$20="Todos",'Plan mensual'!F64,0)))*parametros_manuales!$I$20*parametros_manuales!$J$20</f>
        <v>3078.105</v>
      </c>
      <c r="E138" s="4">
        <f>(parametros_manuales!$D$20*('Plan mensual'!G57+IF(parametros_manuales!$H$20="Todos",'Plan mensual'!G61,0))+parametros_manuales!$E$20*('Plan mensual'!G58+IF(parametros_manuales!$H$20="Todos",'Plan mensual'!G62,0))+parametros_manuales!$F$20*('Plan mensual'!G59+IF(parametros_manuales!$H$20="Todos",'Plan mensual'!G63,0))+parametros_manuales!$G$20*('Plan mensual'!G60+IF(parametros_manuales!$H$20="Todos",'Plan mensual'!G64,0)))*parametros_manuales!$I$20*parametros_manuales!$J$20</f>
        <v>3078.105</v>
      </c>
      <c r="F138" s="4">
        <f>(parametros_manuales!$D$20*('Plan mensual'!H57+IF(parametros_manuales!$H$20="Todos",'Plan mensual'!H61,0))+parametros_manuales!$E$20*('Plan mensual'!H58+IF(parametros_manuales!$H$20="Todos",'Plan mensual'!H62,0))+parametros_manuales!$F$20*('Plan mensual'!H59+IF(parametros_manuales!$H$20="Todos",'Plan mensual'!H63,0))+parametros_manuales!$G$20*('Plan mensual'!H60+IF(parametros_manuales!$H$20="Todos",'Plan mensual'!H64,0)))*parametros_manuales!$I$20*parametros_manuales!$J$20</f>
        <v>2897.04</v>
      </c>
      <c r="G138" s="4">
        <f>(parametros_manuales!$D$20*('Plan mensual'!I57+IF(parametros_manuales!$H$20="Todos",'Plan mensual'!I61,0))+parametros_manuales!$E$20*('Plan mensual'!I58+IF(parametros_manuales!$H$20="Todos",'Plan mensual'!I62,0))+parametros_manuales!$F$20*('Plan mensual'!I59+IF(parametros_manuales!$H$20="Todos",'Plan mensual'!I63,0))+parametros_manuales!$G$20*('Plan mensual'!I60+IF(parametros_manuales!$H$20="Todos",'Plan mensual'!I64,0)))*parametros_manuales!$I$20*parametros_manuales!$J$20</f>
        <v>2715.975</v>
      </c>
      <c r="H138" s="4">
        <f>(parametros_manuales!$D$20*('Plan mensual'!J57+IF(parametros_manuales!$H$20="Todos",'Plan mensual'!J61,0))+parametros_manuales!$E$20*('Plan mensual'!J58+IF(parametros_manuales!$H$20="Todos",'Plan mensual'!J62,0))+parametros_manuales!$F$20*('Plan mensual'!J59+IF(parametros_manuales!$H$20="Todos",'Plan mensual'!J63,0))+parametros_manuales!$G$20*('Plan mensual'!J60+IF(parametros_manuales!$H$20="Todos",'Plan mensual'!J64,0)))*parametros_manuales!$I$20*parametros_manuales!$J$20</f>
        <v>2897.04</v>
      </c>
      <c r="I138" s="4">
        <f>(parametros_manuales!$D$20*('Plan mensual'!K57+IF(parametros_manuales!$H$20="Todos",'Plan mensual'!K61,0))+parametros_manuales!$E$20*('Plan mensual'!K58+IF(parametros_manuales!$H$20="Todos",'Plan mensual'!K62,0))+parametros_manuales!$F$20*('Plan mensual'!K59+IF(parametros_manuales!$H$20="Todos",'Plan mensual'!K63,0))+parametros_manuales!$G$20*('Plan mensual'!K60+IF(parametros_manuales!$H$20="Todos",'Plan mensual'!K64,0)))*parametros_manuales!$I$20*parametros_manuales!$J$20</f>
        <v>2897.04</v>
      </c>
      <c r="J138" s="4">
        <f>(parametros_manuales!$D$20*('Plan mensual'!L57+IF(parametros_manuales!$H$20="Todos",'Plan mensual'!L61,0))+parametros_manuales!$E$20*('Plan mensual'!L58+IF(parametros_manuales!$H$20="Todos",'Plan mensual'!L62,0))+parametros_manuales!$F$20*('Plan mensual'!L59+IF(parametros_manuales!$H$20="Todos",'Plan mensual'!L63,0))+parametros_manuales!$G$20*('Plan mensual'!L60+IF(parametros_manuales!$H$20="Todos",'Plan mensual'!L64,0)))*parametros_manuales!$I$20*parametros_manuales!$J$20</f>
        <v>2897.04</v>
      </c>
      <c r="K138" s="4">
        <f>(parametros_manuales!$D$20*('Plan mensual'!M57+IF(parametros_manuales!$H$20="Todos",'Plan mensual'!M61,0))+parametros_manuales!$E$20*('Plan mensual'!M58+IF(parametros_manuales!$H$20="Todos",'Plan mensual'!M62,0))+parametros_manuales!$F$20*('Plan mensual'!M59+IF(parametros_manuales!$H$20="Todos",'Plan mensual'!M63,0))+parametros_manuales!$G$20*('Plan mensual'!M60+IF(parametros_manuales!$H$20="Todos",'Plan mensual'!M64,0)))*parametros_manuales!$I$20*parametros_manuales!$J$20</f>
        <v>2715.975</v>
      </c>
      <c r="L138" s="4">
        <f>(parametros_manuales!$D$20*('Plan mensual'!N57+IF(parametros_manuales!$H$20="Todos",'Plan mensual'!N61,0))+parametros_manuales!$E$20*('Plan mensual'!N58+IF(parametros_manuales!$H$20="Todos",'Plan mensual'!N62,0))+parametros_manuales!$F$20*('Plan mensual'!N59+IF(parametros_manuales!$H$20="Todos",'Plan mensual'!N63,0))+parametros_manuales!$G$20*('Plan mensual'!N60+IF(parametros_manuales!$H$20="Todos",'Plan mensual'!N64,0)))*parametros_manuales!$I$20*parametros_manuales!$J$20</f>
        <v>2534.91</v>
      </c>
      <c r="M138" s="4">
        <f>(parametros_manuales!$D$20*('Plan mensual'!O57+IF(parametros_manuales!$H$20="Todos",'Plan mensual'!O61,0))+parametros_manuales!$E$20*('Plan mensual'!O58+IF(parametros_manuales!$H$20="Todos",'Plan mensual'!O62,0))+parametros_manuales!$F$20*('Plan mensual'!O59+IF(parametros_manuales!$H$20="Todos",'Plan mensual'!O63,0))+parametros_manuales!$G$20*('Plan mensual'!O60+IF(parametros_manuales!$H$20="Todos",'Plan mensual'!O64,0)))*parametros_manuales!$I$20*parametros_manuales!$J$20</f>
        <v>3983.43</v>
      </c>
      <c r="N138" s="4">
        <f t="shared" si="16"/>
        <v>36213</v>
      </c>
      <c r="O138" s="4">
        <f t="shared" si="17"/>
        <v>3983.43</v>
      </c>
      <c r="P138" s="27">
        <f>O138/(parametros_manuales!$B$7)</f>
        <v>26.5562</v>
      </c>
      <c r="Q138" s="3" t="str">
        <f t="shared" si="18"/>
        <v>Dic</v>
      </c>
    </row>
    <row r="139" ht="14.25" customHeight="1">
      <c r="A139" s="3" t="str">
        <f>parametros_manuales!$B$21</f>
        <v>Corte de tubo — 1 kg</v>
      </c>
      <c r="B139" s="4">
        <f>(parametros_manuales!$D$21*('Plan mensual'!D57+IF(parametros_manuales!$H$21="Todos",'Plan mensual'!D61,0))+parametros_manuales!$E$21*('Plan mensual'!D58+IF(parametros_manuales!$H$21="Todos",'Plan mensual'!D62,0))+parametros_manuales!$F$21*('Plan mensual'!D59+IF(parametros_manuales!$H$21="Todos",'Plan mensual'!D63,0))+parametros_manuales!$G$21*('Plan mensual'!D60+IF(parametros_manuales!$H$21="Todos",'Plan mensual'!D64,0)))*parametros_manuales!$I$21*parametros_manuales!$J$21</f>
        <v>10476</v>
      </c>
      <c r="C139" s="4">
        <f>(parametros_manuales!$D$21*('Plan mensual'!E57+IF(parametros_manuales!$H$21="Todos",'Plan mensual'!E61,0))+parametros_manuales!$E$21*('Plan mensual'!E58+IF(parametros_manuales!$H$21="Todos",'Plan mensual'!E62,0))+parametros_manuales!$F$21*('Plan mensual'!E59+IF(parametros_manuales!$H$21="Todos",'Plan mensual'!E63,0))+parametros_manuales!$G$21*('Plan mensual'!E60+IF(parametros_manuales!$H$21="Todos",'Plan mensual'!E64,0)))*parametros_manuales!$I$21*parametros_manuales!$J$21</f>
        <v>7857</v>
      </c>
      <c r="D139" s="4">
        <f>(parametros_manuales!$D$21*('Plan mensual'!F57+IF(parametros_manuales!$H$21="Todos",'Plan mensual'!F61,0))+parametros_manuales!$E$21*('Plan mensual'!F58+IF(parametros_manuales!$H$21="Todos",'Plan mensual'!F62,0))+parametros_manuales!$F$21*('Plan mensual'!F59+IF(parametros_manuales!$H$21="Todos",'Plan mensual'!F63,0))+parametros_manuales!$G$21*('Plan mensual'!F60+IF(parametros_manuales!$H$21="Todos",'Plan mensual'!F64,0)))*parametros_manuales!$I$21*parametros_manuales!$J$21</f>
        <v>6984</v>
      </c>
      <c r="E139" s="4">
        <f>(parametros_manuales!$D$21*('Plan mensual'!G57+IF(parametros_manuales!$H$21="Todos",'Plan mensual'!G61,0))+parametros_manuales!$E$21*('Plan mensual'!G58+IF(parametros_manuales!$H$21="Todos",'Plan mensual'!G62,0))+parametros_manuales!$F$21*('Plan mensual'!G59+IF(parametros_manuales!$H$21="Todos",'Plan mensual'!G63,0))+parametros_manuales!$G$21*('Plan mensual'!G60+IF(parametros_manuales!$H$21="Todos",'Plan mensual'!G64,0)))*parametros_manuales!$I$21*parametros_manuales!$J$21</f>
        <v>6547.5</v>
      </c>
      <c r="F139" s="4">
        <f>(parametros_manuales!$D$21*('Plan mensual'!H57+IF(parametros_manuales!$H$21="Todos",'Plan mensual'!H61,0))+parametros_manuales!$E$21*('Plan mensual'!H58+IF(parametros_manuales!$H$21="Todos",'Plan mensual'!H62,0))+parametros_manuales!$F$21*('Plan mensual'!H59+IF(parametros_manuales!$H$21="Todos",'Plan mensual'!H63,0))+parametros_manuales!$G$21*('Plan mensual'!H60+IF(parametros_manuales!$H$21="Todos",'Plan mensual'!H64,0)))*parametros_manuales!$I$21*parametros_manuales!$J$21</f>
        <v>6111</v>
      </c>
      <c r="G139" s="4">
        <f>(parametros_manuales!$D$21*('Plan mensual'!I57+IF(parametros_manuales!$H$21="Todos",'Plan mensual'!I61,0))+parametros_manuales!$E$21*('Plan mensual'!I58+IF(parametros_manuales!$H$21="Todos",'Plan mensual'!I62,0))+parametros_manuales!$F$21*('Plan mensual'!I59+IF(parametros_manuales!$H$21="Todos",'Plan mensual'!I63,0))+parametros_manuales!$G$21*('Plan mensual'!I60+IF(parametros_manuales!$H$21="Todos",'Plan mensual'!I64,0)))*parametros_manuales!$I$21*parametros_manuales!$J$21</f>
        <v>6111</v>
      </c>
      <c r="H139" s="4">
        <f>(parametros_manuales!$D$21*('Plan mensual'!J57+IF(parametros_manuales!$H$21="Todos",'Plan mensual'!J61,0))+parametros_manuales!$E$21*('Plan mensual'!J58+IF(parametros_manuales!$H$21="Todos",'Plan mensual'!J62,0))+parametros_manuales!$F$21*('Plan mensual'!J59+IF(parametros_manuales!$H$21="Todos",'Plan mensual'!J63,0))+parametros_manuales!$G$21*('Plan mensual'!J60+IF(parametros_manuales!$H$21="Todos",'Plan mensual'!J64,0)))*parametros_manuales!$I$21*parametros_manuales!$J$21</f>
        <v>6547.5</v>
      </c>
      <c r="I139" s="4">
        <f>(parametros_manuales!$D$21*('Plan mensual'!K57+IF(parametros_manuales!$H$21="Todos",'Plan mensual'!K61,0))+parametros_manuales!$E$21*('Plan mensual'!K58+IF(parametros_manuales!$H$21="Todos",'Plan mensual'!K62,0))+parametros_manuales!$F$21*('Plan mensual'!K59+IF(parametros_manuales!$H$21="Todos",'Plan mensual'!K63,0))+parametros_manuales!$G$21*('Plan mensual'!K60+IF(parametros_manuales!$H$21="Todos",'Plan mensual'!K64,0)))*parametros_manuales!$I$21*parametros_manuales!$J$21</f>
        <v>6547.5</v>
      </c>
      <c r="J139" s="4">
        <f>(parametros_manuales!$D$21*('Plan mensual'!L57+IF(parametros_manuales!$H$21="Todos",'Plan mensual'!L61,0))+parametros_manuales!$E$21*('Plan mensual'!L58+IF(parametros_manuales!$H$21="Todos",'Plan mensual'!L62,0))+parametros_manuales!$F$21*('Plan mensual'!L59+IF(parametros_manuales!$H$21="Todos",'Plan mensual'!L63,0))+parametros_manuales!$G$21*('Plan mensual'!L60+IF(parametros_manuales!$H$21="Todos",'Plan mensual'!L64,0)))*parametros_manuales!$I$21*parametros_manuales!$J$21</f>
        <v>6547.5</v>
      </c>
      <c r="K139" s="4">
        <f>(parametros_manuales!$D$21*('Plan mensual'!M57+IF(parametros_manuales!$H$21="Todos",'Plan mensual'!M61,0))+parametros_manuales!$E$21*('Plan mensual'!M58+IF(parametros_manuales!$H$21="Todos",'Plan mensual'!M62,0))+parametros_manuales!$F$21*('Plan mensual'!M59+IF(parametros_manuales!$H$21="Todos",'Plan mensual'!M63,0))+parametros_manuales!$G$21*('Plan mensual'!M60+IF(parametros_manuales!$H$21="Todos",'Plan mensual'!M64,0)))*parametros_manuales!$I$21*parametros_manuales!$J$21</f>
        <v>6547.5</v>
      </c>
      <c r="L139" s="4">
        <f>(parametros_manuales!$D$21*('Plan mensual'!N57+IF(parametros_manuales!$H$21="Todos",'Plan mensual'!N61,0))+parametros_manuales!$E$21*('Plan mensual'!N58+IF(parametros_manuales!$H$21="Todos",'Plan mensual'!N62,0))+parametros_manuales!$F$21*('Plan mensual'!N59+IF(parametros_manuales!$H$21="Todos",'Plan mensual'!N63,0))+parametros_manuales!$G$21*('Plan mensual'!N60+IF(parametros_manuales!$H$21="Todos",'Plan mensual'!N64,0)))*parametros_manuales!$I$21*parametros_manuales!$J$21</f>
        <v>6547.5</v>
      </c>
      <c r="M139" s="4">
        <f>(parametros_manuales!$D$21*('Plan mensual'!O57+IF(parametros_manuales!$H$21="Todos",'Plan mensual'!O61,0))+parametros_manuales!$E$21*('Plan mensual'!O58+IF(parametros_manuales!$H$21="Todos",'Plan mensual'!O62,0))+parametros_manuales!$F$21*('Plan mensual'!O59+IF(parametros_manuales!$H$21="Todos",'Plan mensual'!O63,0))+parametros_manuales!$G$21*('Plan mensual'!O60+IF(parametros_manuales!$H$21="Todos",'Plan mensual'!O64,0)))*parametros_manuales!$I$21*parametros_manuales!$J$21</f>
        <v>10476</v>
      </c>
      <c r="N139" s="4">
        <f t="shared" si="16"/>
        <v>87300</v>
      </c>
      <c r="O139" s="4">
        <f t="shared" si="17"/>
        <v>10476</v>
      </c>
      <c r="P139" s="27">
        <f>O139/(parametros_manuales!$B$7)</f>
        <v>69.84</v>
      </c>
      <c r="Q139" s="3" t="str">
        <f t="shared" si="18"/>
        <v>Ene</v>
      </c>
    </row>
    <row r="140" ht="14.25" customHeight="1">
      <c r="A140" s="3" t="str">
        <f>parametros_manuales!$B$22</f>
        <v>Corte de disco y embutido (cúpula y fondo)</v>
      </c>
      <c r="B140" s="4">
        <f>(parametros_manuales!$D$22*('Plan mensual'!D57+IF(parametros_manuales!$H$22="Todos",'Plan mensual'!D61,0))+parametros_manuales!$E$22*('Plan mensual'!D58+IF(parametros_manuales!$H$22="Todos",'Plan mensual'!D62,0))+parametros_manuales!$F$22*('Plan mensual'!D59+IF(parametros_manuales!$H$22="Todos",'Plan mensual'!D63,0))+parametros_manuales!$G$22*('Plan mensual'!D60+IF(parametros_manuales!$H$22="Todos",'Plan mensual'!D64,0)))*parametros_manuales!$I$22*parametros_manuales!$J$22</f>
        <v>28194.6</v>
      </c>
      <c r="C140" s="4">
        <f>(parametros_manuales!$D$22*('Plan mensual'!E57+IF(parametros_manuales!$H$22="Todos",'Plan mensual'!E61,0))+parametros_manuales!$E$22*('Plan mensual'!E58+IF(parametros_manuales!$H$22="Todos",'Plan mensual'!E62,0))+parametros_manuales!$F$22*('Plan mensual'!E59+IF(parametros_manuales!$H$22="Todos",'Plan mensual'!E63,0))+parametros_manuales!$G$22*('Plan mensual'!E60+IF(parametros_manuales!$H$22="Todos",'Plan mensual'!E64,0)))*parametros_manuales!$I$22*parametros_manuales!$J$22</f>
        <v>21508.08</v>
      </c>
      <c r="D140" s="4">
        <f>(parametros_manuales!$D$22*('Plan mensual'!F57+IF(parametros_manuales!$H$22="Todos",'Plan mensual'!F61,0))+parametros_manuales!$E$22*('Plan mensual'!F58+IF(parametros_manuales!$H$22="Todos",'Plan mensual'!F62,0))+parametros_manuales!$F$22*('Plan mensual'!F59+IF(parametros_manuales!$H$22="Todos",'Plan mensual'!F63,0))+parametros_manuales!$G$22*('Plan mensual'!F60+IF(parametros_manuales!$H$22="Todos",'Plan mensual'!F64,0)))*parametros_manuales!$I$22*parametros_manuales!$J$22</f>
        <v>20124.21</v>
      </c>
      <c r="E140" s="4">
        <f>(parametros_manuales!$D$22*('Plan mensual'!G57+IF(parametros_manuales!$H$22="Todos",'Plan mensual'!G61,0))+parametros_manuales!$E$22*('Plan mensual'!G58+IF(parametros_manuales!$H$22="Todos",'Plan mensual'!G62,0))+parametros_manuales!$F$22*('Plan mensual'!G59+IF(parametros_manuales!$H$22="Todos",'Plan mensual'!G63,0))+parametros_manuales!$G$22*('Plan mensual'!G60+IF(parametros_manuales!$H$22="Todos",'Plan mensual'!G64,0)))*parametros_manuales!$I$22*parametros_manuales!$J$22</f>
        <v>19251.21</v>
      </c>
      <c r="F140" s="4">
        <f>(parametros_manuales!$D$22*('Plan mensual'!H57+IF(parametros_manuales!$H$22="Todos",'Plan mensual'!H61,0))+parametros_manuales!$E$22*('Plan mensual'!H58+IF(parametros_manuales!$H$22="Todos",'Plan mensual'!H62,0))+parametros_manuales!$F$22*('Plan mensual'!H59+IF(parametros_manuales!$H$22="Todos",'Plan mensual'!H63,0))+parametros_manuales!$G$22*('Plan mensual'!H60+IF(parametros_manuales!$H$22="Todos",'Plan mensual'!H64,0)))*parametros_manuales!$I$22*parametros_manuales!$J$22</f>
        <v>18016.08</v>
      </c>
      <c r="G140" s="4">
        <f>(parametros_manuales!$D$22*('Plan mensual'!I57+IF(parametros_manuales!$H$22="Todos",'Plan mensual'!I61,0))+parametros_manuales!$E$22*('Plan mensual'!I58+IF(parametros_manuales!$H$22="Todos",'Plan mensual'!I62,0))+parametros_manuales!$F$22*('Plan mensual'!I59+IF(parametros_manuales!$H$22="Todos",'Plan mensual'!I63,0))+parametros_manuales!$G$22*('Plan mensual'!I60+IF(parametros_manuales!$H$22="Todos",'Plan mensual'!I64,0)))*parametros_manuales!$I$22*parametros_manuales!$J$22</f>
        <v>17653.95</v>
      </c>
      <c r="H140" s="4">
        <f>(parametros_manuales!$D$22*('Plan mensual'!J57+IF(parametros_manuales!$H$22="Todos",'Plan mensual'!J61,0))+parametros_manuales!$E$22*('Plan mensual'!J58+IF(parametros_manuales!$H$22="Todos",'Plan mensual'!J62,0))+parametros_manuales!$F$22*('Plan mensual'!J59+IF(parametros_manuales!$H$22="Todos",'Plan mensual'!J63,0))+parametros_manuales!$G$22*('Plan mensual'!J60+IF(parametros_manuales!$H$22="Todos",'Plan mensual'!J64,0)))*parametros_manuales!$I$22*parametros_manuales!$J$22</f>
        <v>18889.08</v>
      </c>
      <c r="I140" s="4">
        <f>(parametros_manuales!$D$22*('Plan mensual'!K57+IF(parametros_manuales!$H$22="Todos",'Plan mensual'!K61,0))+parametros_manuales!$E$22*('Plan mensual'!K58+IF(parametros_manuales!$H$22="Todos",'Plan mensual'!K62,0))+parametros_manuales!$F$22*('Plan mensual'!K59+IF(parametros_manuales!$H$22="Todos",'Plan mensual'!K63,0))+parametros_manuales!$G$22*('Plan mensual'!K60+IF(parametros_manuales!$H$22="Todos",'Plan mensual'!K64,0)))*parametros_manuales!$I$22*parametros_manuales!$J$22</f>
        <v>18889.08</v>
      </c>
      <c r="J140" s="4">
        <f>(parametros_manuales!$D$22*('Plan mensual'!L57+IF(parametros_manuales!$H$22="Todos",'Plan mensual'!L61,0))+parametros_manuales!$E$22*('Plan mensual'!L58+IF(parametros_manuales!$H$22="Todos",'Plan mensual'!L62,0))+parametros_manuales!$F$22*('Plan mensual'!L59+IF(parametros_manuales!$H$22="Todos",'Plan mensual'!L63,0))+parametros_manuales!$G$22*('Plan mensual'!L60+IF(parametros_manuales!$H$22="Todos",'Plan mensual'!L64,0)))*parametros_manuales!$I$22*parametros_manuales!$J$22</f>
        <v>18889.08</v>
      </c>
      <c r="K140" s="4">
        <f>(parametros_manuales!$D$22*('Plan mensual'!M57+IF(parametros_manuales!$H$22="Todos",'Plan mensual'!M61,0))+parametros_manuales!$E$22*('Plan mensual'!M58+IF(parametros_manuales!$H$22="Todos",'Plan mensual'!M62,0))+parametros_manuales!$F$22*('Plan mensual'!M59+IF(parametros_manuales!$H$22="Todos",'Plan mensual'!M63,0))+parametros_manuales!$G$22*('Plan mensual'!M60+IF(parametros_manuales!$H$22="Todos",'Plan mensual'!M64,0)))*parametros_manuales!$I$22*parametros_manuales!$J$22</f>
        <v>18526.95</v>
      </c>
      <c r="L140" s="4">
        <f>(parametros_manuales!$D$22*('Plan mensual'!N57+IF(parametros_manuales!$H$22="Todos",'Plan mensual'!N61,0))+parametros_manuales!$E$22*('Plan mensual'!N58+IF(parametros_manuales!$H$22="Todos",'Plan mensual'!N62,0))+parametros_manuales!$F$22*('Plan mensual'!N59+IF(parametros_manuales!$H$22="Todos",'Plan mensual'!N63,0))+parametros_manuales!$G$22*('Plan mensual'!N60+IF(parametros_manuales!$H$22="Todos",'Plan mensual'!N64,0)))*parametros_manuales!$I$22*parametros_manuales!$J$22</f>
        <v>18164.82</v>
      </c>
      <c r="M140" s="4">
        <f>(parametros_manuales!$D$22*('Plan mensual'!O57+IF(parametros_manuales!$H$22="Todos",'Plan mensual'!O61,0))+parametros_manuales!$E$22*('Plan mensual'!O58+IF(parametros_manuales!$H$22="Todos",'Plan mensual'!O62,0))+parametros_manuales!$F$22*('Plan mensual'!O59+IF(parametros_manuales!$H$22="Todos",'Plan mensual'!O63,0))+parametros_manuales!$G$22*('Plan mensual'!O60+IF(parametros_manuales!$H$22="Todos",'Plan mensual'!O64,0)))*parametros_manuales!$I$22*parametros_manuales!$J$22</f>
        <v>28918.86</v>
      </c>
      <c r="N140" s="4">
        <f t="shared" si="16"/>
        <v>247026</v>
      </c>
      <c r="O140" s="4">
        <f t="shared" si="17"/>
        <v>28918.86</v>
      </c>
      <c r="P140" s="27">
        <f>O140/(parametros_manuales!$B$7)</f>
        <v>192.7924</v>
      </c>
      <c r="Q140" s="3" t="str">
        <f t="shared" si="18"/>
        <v>Dic</v>
      </c>
    </row>
    <row r="141" ht="14.25" customHeight="1">
      <c r="A141" s="3" t="str">
        <f>parametros_manuales!$B$23</f>
        <v>Preparación de cuello</v>
      </c>
      <c r="B141" s="4">
        <f>(parametros_manuales!$D$23*('Plan mensual'!D57+IF(parametros_manuales!$H$23="Todos",'Plan mensual'!D61,0))+parametros_manuales!$E$23*('Plan mensual'!D58+IF(parametros_manuales!$H$23="Todos",'Plan mensual'!D62,0))+parametros_manuales!$F$23*('Plan mensual'!D59+IF(parametros_manuales!$H$23="Todos",'Plan mensual'!D63,0))+parametros_manuales!$G$23*('Plan mensual'!D60+IF(parametros_manuales!$H$23="Todos",'Plan mensual'!D64,0)))*parametros_manuales!$I$23*parametros_manuales!$J$23</f>
        <v>14097.3</v>
      </c>
      <c r="C141" s="4">
        <f>(parametros_manuales!$D$23*('Plan mensual'!E57+IF(parametros_manuales!$H$23="Todos",'Plan mensual'!E61,0))+parametros_manuales!$E$23*('Plan mensual'!E58+IF(parametros_manuales!$H$23="Todos",'Plan mensual'!E62,0))+parametros_manuales!$F$23*('Plan mensual'!E59+IF(parametros_manuales!$H$23="Todos",'Plan mensual'!E63,0))+parametros_manuales!$G$23*('Plan mensual'!E60+IF(parametros_manuales!$H$23="Todos",'Plan mensual'!E64,0)))*parametros_manuales!$I$23*parametros_manuales!$J$23</f>
        <v>10754.04</v>
      </c>
      <c r="D141" s="4">
        <f>(parametros_manuales!$D$23*('Plan mensual'!F57+IF(parametros_manuales!$H$23="Todos",'Plan mensual'!F61,0))+parametros_manuales!$E$23*('Plan mensual'!F58+IF(parametros_manuales!$H$23="Todos",'Plan mensual'!F62,0))+parametros_manuales!$F$23*('Plan mensual'!F59+IF(parametros_manuales!$H$23="Todos",'Plan mensual'!F63,0))+parametros_manuales!$G$23*('Plan mensual'!F60+IF(parametros_manuales!$H$23="Todos",'Plan mensual'!F64,0)))*parametros_manuales!$I$23*parametros_manuales!$J$23</f>
        <v>10062.105</v>
      </c>
      <c r="E141" s="4">
        <f>(parametros_manuales!$D$23*('Plan mensual'!G57+IF(parametros_manuales!$H$23="Todos",'Plan mensual'!G61,0))+parametros_manuales!$E$23*('Plan mensual'!G58+IF(parametros_manuales!$H$23="Todos",'Plan mensual'!G62,0))+parametros_manuales!$F$23*('Plan mensual'!G59+IF(parametros_manuales!$H$23="Todos",'Plan mensual'!G63,0))+parametros_manuales!$G$23*('Plan mensual'!G60+IF(parametros_manuales!$H$23="Todos",'Plan mensual'!G64,0)))*parametros_manuales!$I$23*parametros_manuales!$J$23</f>
        <v>9625.605</v>
      </c>
      <c r="F141" s="4">
        <f>(parametros_manuales!$D$23*('Plan mensual'!H57+IF(parametros_manuales!$H$23="Todos",'Plan mensual'!H61,0))+parametros_manuales!$E$23*('Plan mensual'!H58+IF(parametros_manuales!$H$23="Todos",'Plan mensual'!H62,0))+parametros_manuales!$F$23*('Plan mensual'!H59+IF(parametros_manuales!$H$23="Todos",'Plan mensual'!H63,0))+parametros_manuales!$G$23*('Plan mensual'!H60+IF(parametros_manuales!$H$23="Todos",'Plan mensual'!H64,0)))*parametros_manuales!$I$23*parametros_manuales!$J$23</f>
        <v>9008.04</v>
      </c>
      <c r="G141" s="4">
        <f>(parametros_manuales!$D$23*('Plan mensual'!I57+IF(parametros_manuales!$H$23="Todos",'Plan mensual'!I61,0))+parametros_manuales!$E$23*('Plan mensual'!I58+IF(parametros_manuales!$H$23="Todos",'Plan mensual'!I62,0))+parametros_manuales!$F$23*('Plan mensual'!I59+IF(parametros_manuales!$H$23="Todos",'Plan mensual'!I63,0))+parametros_manuales!$G$23*('Plan mensual'!I60+IF(parametros_manuales!$H$23="Todos",'Plan mensual'!I64,0)))*parametros_manuales!$I$23*parametros_manuales!$J$23</f>
        <v>8826.975</v>
      </c>
      <c r="H141" s="4">
        <f>(parametros_manuales!$D$23*('Plan mensual'!J57+IF(parametros_manuales!$H$23="Todos",'Plan mensual'!J61,0))+parametros_manuales!$E$23*('Plan mensual'!J58+IF(parametros_manuales!$H$23="Todos",'Plan mensual'!J62,0))+parametros_manuales!$F$23*('Plan mensual'!J59+IF(parametros_manuales!$H$23="Todos",'Plan mensual'!J63,0))+parametros_manuales!$G$23*('Plan mensual'!J60+IF(parametros_manuales!$H$23="Todos",'Plan mensual'!J64,0)))*parametros_manuales!$I$23*parametros_manuales!$J$23</f>
        <v>9444.54</v>
      </c>
      <c r="I141" s="4">
        <f>(parametros_manuales!$D$23*('Plan mensual'!K57+IF(parametros_manuales!$H$23="Todos",'Plan mensual'!K61,0))+parametros_manuales!$E$23*('Plan mensual'!K58+IF(parametros_manuales!$H$23="Todos",'Plan mensual'!K62,0))+parametros_manuales!$F$23*('Plan mensual'!K59+IF(parametros_manuales!$H$23="Todos",'Plan mensual'!K63,0))+parametros_manuales!$G$23*('Plan mensual'!K60+IF(parametros_manuales!$H$23="Todos",'Plan mensual'!K64,0)))*parametros_manuales!$I$23*parametros_manuales!$J$23</f>
        <v>9444.54</v>
      </c>
      <c r="J141" s="4">
        <f>(parametros_manuales!$D$23*('Plan mensual'!L57+IF(parametros_manuales!$H$23="Todos",'Plan mensual'!L61,0))+parametros_manuales!$E$23*('Plan mensual'!L58+IF(parametros_manuales!$H$23="Todos",'Plan mensual'!L62,0))+parametros_manuales!$F$23*('Plan mensual'!L59+IF(parametros_manuales!$H$23="Todos",'Plan mensual'!L63,0))+parametros_manuales!$G$23*('Plan mensual'!L60+IF(parametros_manuales!$H$23="Todos",'Plan mensual'!L64,0)))*parametros_manuales!$I$23*parametros_manuales!$J$23</f>
        <v>9444.54</v>
      </c>
      <c r="K141" s="4">
        <f>(parametros_manuales!$D$23*('Plan mensual'!M57+IF(parametros_manuales!$H$23="Todos",'Plan mensual'!M61,0))+parametros_manuales!$E$23*('Plan mensual'!M58+IF(parametros_manuales!$H$23="Todos",'Plan mensual'!M62,0))+parametros_manuales!$F$23*('Plan mensual'!M59+IF(parametros_manuales!$H$23="Todos",'Plan mensual'!M63,0))+parametros_manuales!$G$23*('Plan mensual'!M60+IF(parametros_manuales!$H$23="Todos",'Plan mensual'!M64,0)))*parametros_manuales!$I$23*parametros_manuales!$J$23</f>
        <v>9263.475</v>
      </c>
      <c r="L141" s="4">
        <f>(parametros_manuales!$D$23*('Plan mensual'!N57+IF(parametros_manuales!$H$23="Todos",'Plan mensual'!N61,0))+parametros_manuales!$E$23*('Plan mensual'!N58+IF(parametros_manuales!$H$23="Todos",'Plan mensual'!N62,0))+parametros_manuales!$F$23*('Plan mensual'!N59+IF(parametros_manuales!$H$23="Todos",'Plan mensual'!N63,0))+parametros_manuales!$G$23*('Plan mensual'!N60+IF(parametros_manuales!$H$23="Todos",'Plan mensual'!N64,0)))*parametros_manuales!$I$23*parametros_manuales!$J$23</f>
        <v>9082.41</v>
      </c>
      <c r="M141" s="4">
        <f>(parametros_manuales!$D$23*('Plan mensual'!O57+IF(parametros_manuales!$H$23="Todos",'Plan mensual'!O61,0))+parametros_manuales!$E$23*('Plan mensual'!O58+IF(parametros_manuales!$H$23="Todos",'Plan mensual'!O62,0))+parametros_manuales!$F$23*('Plan mensual'!O59+IF(parametros_manuales!$H$23="Todos",'Plan mensual'!O63,0))+parametros_manuales!$G$23*('Plan mensual'!O60+IF(parametros_manuales!$H$23="Todos",'Plan mensual'!O64,0)))*parametros_manuales!$I$23*parametros_manuales!$J$23</f>
        <v>14459.43</v>
      </c>
      <c r="N141" s="4">
        <f t="shared" si="16"/>
        <v>123513</v>
      </c>
      <c r="O141" s="4">
        <f t="shared" si="17"/>
        <v>14459.43</v>
      </c>
      <c r="P141" s="27">
        <f>O141/(parametros_manuales!$B$7)</f>
        <v>96.3962</v>
      </c>
      <c r="Q141" s="3" t="str">
        <f t="shared" si="18"/>
        <v>Dic</v>
      </c>
    </row>
    <row r="142" ht="14.25" customHeight="1">
      <c r="A142" s="3" t="str">
        <f>parametros_manuales!$B$24</f>
        <v>Numerado de cúpula</v>
      </c>
      <c r="B142" s="4">
        <f>(parametros_manuales!$D$24*('Plan mensual'!D57+IF(parametros_manuales!$H$24="Todos",'Plan mensual'!D61,0))+parametros_manuales!$E$24*('Plan mensual'!D58+IF(parametros_manuales!$H$24="Todos",'Plan mensual'!D62,0))+parametros_manuales!$F$24*('Plan mensual'!D59+IF(parametros_manuales!$H$24="Todos",'Plan mensual'!D63,0))+parametros_manuales!$G$24*('Plan mensual'!D60+IF(parametros_manuales!$H$24="Todos",'Plan mensual'!D64,0)))*parametros_manuales!$I$24*parametros_manuales!$J$24</f>
        <v>14097.3</v>
      </c>
      <c r="C142" s="4">
        <f>(parametros_manuales!$D$24*('Plan mensual'!E57+IF(parametros_manuales!$H$24="Todos",'Plan mensual'!E61,0))+parametros_manuales!$E$24*('Plan mensual'!E58+IF(parametros_manuales!$H$24="Todos",'Plan mensual'!E62,0))+parametros_manuales!$F$24*('Plan mensual'!E59+IF(parametros_manuales!$H$24="Todos",'Plan mensual'!E63,0))+parametros_manuales!$G$24*('Plan mensual'!E60+IF(parametros_manuales!$H$24="Todos",'Plan mensual'!E64,0)))*parametros_manuales!$I$24*parametros_manuales!$J$24</f>
        <v>10754.04</v>
      </c>
      <c r="D142" s="4">
        <f>(parametros_manuales!$D$24*('Plan mensual'!F57+IF(parametros_manuales!$H$24="Todos",'Plan mensual'!F61,0))+parametros_manuales!$E$24*('Plan mensual'!F58+IF(parametros_manuales!$H$24="Todos",'Plan mensual'!F62,0))+parametros_manuales!$F$24*('Plan mensual'!F59+IF(parametros_manuales!$H$24="Todos",'Plan mensual'!F63,0))+parametros_manuales!$G$24*('Plan mensual'!F60+IF(parametros_manuales!$H$24="Todos",'Plan mensual'!F64,0)))*parametros_manuales!$I$24*parametros_manuales!$J$24</f>
        <v>10062.105</v>
      </c>
      <c r="E142" s="4">
        <f>(parametros_manuales!$D$24*('Plan mensual'!G57+IF(parametros_manuales!$H$24="Todos",'Plan mensual'!G61,0))+parametros_manuales!$E$24*('Plan mensual'!G58+IF(parametros_manuales!$H$24="Todos",'Plan mensual'!G62,0))+parametros_manuales!$F$24*('Plan mensual'!G59+IF(parametros_manuales!$H$24="Todos",'Plan mensual'!G63,0))+parametros_manuales!$G$24*('Plan mensual'!G60+IF(parametros_manuales!$H$24="Todos",'Plan mensual'!G64,0)))*parametros_manuales!$I$24*parametros_manuales!$J$24</f>
        <v>9625.605</v>
      </c>
      <c r="F142" s="4">
        <f>(parametros_manuales!$D$24*('Plan mensual'!H57+IF(parametros_manuales!$H$24="Todos",'Plan mensual'!H61,0))+parametros_manuales!$E$24*('Plan mensual'!H58+IF(parametros_manuales!$H$24="Todos",'Plan mensual'!H62,0))+parametros_manuales!$F$24*('Plan mensual'!H59+IF(parametros_manuales!$H$24="Todos",'Plan mensual'!H63,0))+parametros_manuales!$G$24*('Plan mensual'!H60+IF(parametros_manuales!$H$24="Todos",'Plan mensual'!H64,0)))*parametros_manuales!$I$24*parametros_manuales!$J$24</f>
        <v>9008.04</v>
      </c>
      <c r="G142" s="4">
        <f>(parametros_manuales!$D$24*('Plan mensual'!I57+IF(parametros_manuales!$H$24="Todos",'Plan mensual'!I61,0))+parametros_manuales!$E$24*('Plan mensual'!I58+IF(parametros_manuales!$H$24="Todos",'Plan mensual'!I62,0))+parametros_manuales!$F$24*('Plan mensual'!I59+IF(parametros_manuales!$H$24="Todos",'Plan mensual'!I63,0))+parametros_manuales!$G$24*('Plan mensual'!I60+IF(parametros_manuales!$H$24="Todos",'Plan mensual'!I64,0)))*parametros_manuales!$I$24*parametros_manuales!$J$24</f>
        <v>8826.975</v>
      </c>
      <c r="H142" s="4">
        <f>(parametros_manuales!$D$24*('Plan mensual'!J57+IF(parametros_manuales!$H$24="Todos",'Plan mensual'!J61,0))+parametros_manuales!$E$24*('Plan mensual'!J58+IF(parametros_manuales!$H$24="Todos",'Plan mensual'!J62,0))+parametros_manuales!$F$24*('Plan mensual'!J59+IF(parametros_manuales!$H$24="Todos",'Plan mensual'!J63,0))+parametros_manuales!$G$24*('Plan mensual'!J60+IF(parametros_manuales!$H$24="Todos",'Plan mensual'!J64,0)))*parametros_manuales!$I$24*parametros_manuales!$J$24</f>
        <v>9444.54</v>
      </c>
      <c r="I142" s="4">
        <f>(parametros_manuales!$D$24*('Plan mensual'!K57+IF(parametros_manuales!$H$24="Todos",'Plan mensual'!K61,0))+parametros_manuales!$E$24*('Plan mensual'!K58+IF(parametros_manuales!$H$24="Todos",'Plan mensual'!K62,0))+parametros_manuales!$F$24*('Plan mensual'!K59+IF(parametros_manuales!$H$24="Todos",'Plan mensual'!K63,0))+parametros_manuales!$G$24*('Plan mensual'!K60+IF(parametros_manuales!$H$24="Todos",'Plan mensual'!K64,0)))*parametros_manuales!$I$24*parametros_manuales!$J$24</f>
        <v>9444.54</v>
      </c>
      <c r="J142" s="4">
        <f>(parametros_manuales!$D$24*('Plan mensual'!L57+IF(parametros_manuales!$H$24="Todos",'Plan mensual'!L61,0))+parametros_manuales!$E$24*('Plan mensual'!L58+IF(parametros_manuales!$H$24="Todos",'Plan mensual'!L62,0))+parametros_manuales!$F$24*('Plan mensual'!L59+IF(parametros_manuales!$H$24="Todos",'Plan mensual'!L63,0))+parametros_manuales!$G$24*('Plan mensual'!L60+IF(parametros_manuales!$H$24="Todos",'Plan mensual'!L64,0)))*parametros_manuales!$I$24*parametros_manuales!$J$24</f>
        <v>9444.54</v>
      </c>
      <c r="K142" s="4">
        <f>(parametros_manuales!$D$24*('Plan mensual'!M57+IF(parametros_manuales!$H$24="Todos",'Plan mensual'!M61,0))+parametros_manuales!$E$24*('Plan mensual'!M58+IF(parametros_manuales!$H$24="Todos",'Plan mensual'!M62,0))+parametros_manuales!$F$24*('Plan mensual'!M59+IF(parametros_manuales!$H$24="Todos",'Plan mensual'!M63,0))+parametros_manuales!$G$24*('Plan mensual'!M60+IF(parametros_manuales!$H$24="Todos",'Plan mensual'!M64,0)))*parametros_manuales!$I$24*parametros_manuales!$J$24</f>
        <v>9263.475</v>
      </c>
      <c r="L142" s="4">
        <f>(parametros_manuales!$D$24*('Plan mensual'!N57+IF(parametros_manuales!$H$24="Todos",'Plan mensual'!N61,0))+parametros_manuales!$E$24*('Plan mensual'!N58+IF(parametros_manuales!$H$24="Todos",'Plan mensual'!N62,0))+parametros_manuales!$F$24*('Plan mensual'!N59+IF(parametros_manuales!$H$24="Todos",'Plan mensual'!N63,0))+parametros_manuales!$G$24*('Plan mensual'!N60+IF(parametros_manuales!$H$24="Todos",'Plan mensual'!N64,0)))*parametros_manuales!$I$24*parametros_manuales!$J$24</f>
        <v>9082.41</v>
      </c>
      <c r="M142" s="4">
        <f>(parametros_manuales!$D$24*('Plan mensual'!O57+IF(parametros_manuales!$H$24="Todos",'Plan mensual'!O61,0))+parametros_manuales!$E$24*('Plan mensual'!O58+IF(parametros_manuales!$H$24="Todos",'Plan mensual'!O62,0))+parametros_manuales!$F$24*('Plan mensual'!O59+IF(parametros_manuales!$H$24="Todos",'Plan mensual'!O63,0))+parametros_manuales!$G$24*('Plan mensual'!O60+IF(parametros_manuales!$H$24="Todos",'Plan mensual'!O64,0)))*parametros_manuales!$I$24*parametros_manuales!$J$24</f>
        <v>14459.43</v>
      </c>
      <c r="N142" s="4">
        <f t="shared" si="16"/>
        <v>123513</v>
      </c>
      <c r="O142" s="4">
        <f t="shared" si="17"/>
        <v>14459.43</v>
      </c>
      <c r="P142" s="27">
        <f>O142/(parametros_manuales!$B$7)</f>
        <v>96.3962</v>
      </c>
      <c r="Q142" s="3" t="str">
        <f t="shared" si="18"/>
        <v>Dic</v>
      </c>
    </row>
    <row r="143" ht="14.25" customHeight="1">
      <c r="A143" s="3" t="str">
        <f>parametros_manuales!$B$25</f>
        <v>Soldadura del cuello a la cúpula</v>
      </c>
      <c r="B143" s="4">
        <f>(parametros_manuales!$D$25*('Plan mensual'!D57+IF(parametros_manuales!$H$25="Todos",'Plan mensual'!D61,0))+parametros_manuales!$E$25*('Plan mensual'!D58+IF(parametros_manuales!$H$25="Todos",'Plan mensual'!D62,0))+parametros_manuales!$F$25*('Plan mensual'!D59+IF(parametros_manuales!$H$25="Todos",'Plan mensual'!D63,0))+parametros_manuales!$G$25*('Plan mensual'!D60+IF(parametros_manuales!$H$25="Todos",'Plan mensual'!D64,0)))*parametros_manuales!$I$25*parametros_manuales!$J$25</f>
        <v>14097.3</v>
      </c>
      <c r="C143" s="4">
        <f>(parametros_manuales!$D$25*('Plan mensual'!E57+IF(parametros_manuales!$H$25="Todos",'Plan mensual'!E61,0))+parametros_manuales!$E$25*('Plan mensual'!E58+IF(parametros_manuales!$H$25="Todos",'Plan mensual'!E62,0))+parametros_manuales!$F$25*('Plan mensual'!E59+IF(parametros_manuales!$H$25="Todos",'Plan mensual'!E63,0))+parametros_manuales!$G$25*('Plan mensual'!E60+IF(parametros_manuales!$H$25="Todos",'Plan mensual'!E64,0)))*parametros_manuales!$I$25*parametros_manuales!$J$25</f>
        <v>10754.04</v>
      </c>
      <c r="D143" s="4">
        <f>(parametros_manuales!$D$25*('Plan mensual'!F57+IF(parametros_manuales!$H$25="Todos",'Plan mensual'!F61,0))+parametros_manuales!$E$25*('Plan mensual'!F58+IF(parametros_manuales!$H$25="Todos",'Plan mensual'!F62,0))+parametros_manuales!$F$25*('Plan mensual'!F59+IF(parametros_manuales!$H$25="Todos",'Plan mensual'!F63,0))+parametros_manuales!$G$25*('Plan mensual'!F60+IF(parametros_manuales!$H$25="Todos",'Plan mensual'!F64,0)))*parametros_manuales!$I$25*parametros_manuales!$J$25</f>
        <v>10062.105</v>
      </c>
      <c r="E143" s="4">
        <f>(parametros_manuales!$D$25*('Plan mensual'!G57+IF(parametros_manuales!$H$25="Todos",'Plan mensual'!G61,0))+parametros_manuales!$E$25*('Plan mensual'!G58+IF(parametros_manuales!$H$25="Todos",'Plan mensual'!G62,0))+parametros_manuales!$F$25*('Plan mensual'!G59+IF(parametros_manuales!$H$25="Todos",'Plan mensual'!G63,0))+parametros_manuales!$G$25*('Plan mensual'!G60+IF(parametros_manuales!$H$25="Todos",'Plan mensual'!G64,0)))*parametros_manuales!$I$25*parametros_manuales!$J$25</f>
        <v>9625.605</v>
      </c>
      <c r="F143" s="4">
        <f>(parametros_manuales!$D$25*('Plan mensual'!H57+IF(parametros_manuales!$H$25="Todos",'Plan mensual'!H61,0))+parametros_manuales!$E$25*('Plan mensual'!H58+IF(parametros_manuales!$H$25="Todos",'Plan mensual'!H62,0))+parametros_manuales!$F$25*('Plan mensual'!H59+IF(parametros_manuales!$H$25="Todos",'Plan mensual'!H63,0))+parametros_manuales!$G$25*('Plan mensual'!H60+IF(parametros_manuales!$H$25="Todos",'Plan mensual'!H64,0)))*parametros_manuales!$I$25*parametros_manuales!$J$25</f>
        <v>9008.04</v>
      </c>
      <c r="G143" s="4">
        <f>(parametros_manuales!$D$25*('Plan mensual'!I57+IF(parametros_manuales!$H$25="Todos",'Plan mensual'!I61,0))+parametros_manuales!$E$25*('Plan mensual'!I58+IF(parametros_manuales!$H$25="Todos",'Plan mensual'!I62,0))+parametros_manuales!$F$25*('Plan mensual'!I59+IF(parametros_manuales!$H$25="Todos",'Plan mensual'!I63,0))+parametros_manuales!$G$25*('Plan mensual'!I60+IF(parametros_manuales!$H$25="Todos",'Plan mensual'!I64,0)))*parametros_manuales!$I$25*parametros_manuales!$J$25</f>
        <v>8826.975</v>
      </c>
      <c r="H143" s="4">
        <f>(parametros_manuales!$D$25*('Plan mensual'!J57+IF(parametros_manuales!$H$25="Todos",'Plan mensual'!J61,0))+parametros_manuales!$E$25*('Plan mensual'!J58+IF(parametros_manuales!$H$25="Todos",'Plan mensual'!J62,0))+parametros_manuales!$F$25*('Plan mensual'!J59+IF(parametros_manuales!$H$25="Todos",'Plan mensual'!J63,0))+parametros_manuales!$G$25*('Plan mensual'!J60+IF(parametros_manuales!$H$25="Todos",'Plan mensual'!J64,0)))*parametros_manuales!$I$25*parametros_manuales!$J$25</f>
        <v>9444.54</v>
      </c>
      <c r="I143" s="4">
        <f>(parametros_manuales!$D$25*('Plan mensual'!K57+IF(parametros_manuales!$H$25="Todos",'Plan mensual'!K61,0))+parametros_manuales!$E$25*('Plan mensual'!K58+IF(parametros_manuales!$H$25="Todos",'Plan mensual'!K62,0))+parametros_manuales!$F$25*('Plan mensual'!K59+IF(parametros_manuales!$H$25="Todos",'Plan mensual'!K63,0))+parametros_manuales!$G$25*('Plan mensual'!K60+IF(parametros_manuales!$H$25="Todos",'Plan mensual'!K64,0)))*parametros_manuales!$I$25*parametros_manuales!$J$25</f>
        <v>9444.54</v>
      </c>
      <c r="J143" s="4">
        <f>(parametros_manuales!$D$25*('Plan mensual'!L57+IF(parametros_manuales!$H$25="Todos",'Plan mensual'!L61,0))+parametros_manuales!$E$25*('Plan mensual'!L58+IF(parametros_manuales!$H$25="Todos",'Plan mensual'!L62,0))+parametros_manuales!$F$25*('Plan mensual'!L59+IF(parametros_manuales!$H$25="Todos",'Plan mensual'!L63,0))+parametros_manuales!$G$25*('Plan mensual'!L60+IF(parametros_manuales!$H$25="Todos",'Plan mensual'!L64,0)))*parametros_manuales!$I$25*parametros_manuales!$J$25</f>
        <v>9444.54</v>
      </c>
      <c r="K143" s="4">
        <f>(parametros_manuales!$D$25*('Plan mensual'!M57+IF(parametros_manuales!$H$25="Todos",'Plan mensual'!M61,0))+parametros_manuales!$E$25*('Plan mensual'!M58+IF(parametros_manuales!$H$25="Todos",'Plan mensual'!M62,0))+parametros_manuales!$F$25*('Plan mensual'!M59+IF(parametros_manuales!$H$25="Todos",'Plan mensual'!M63,0))+parametros_manuales!$G$25*('Plan mensual'!M60+IF(parametros_manuales!$H$25="Todos",'Plan mensual'!M64,0)))*parametros_manuales!$I$25*parametros_manuales!$J$25</f>
        <v>9263.475</v>
      </c>
      <c r="L143" s="4">
        <f>(parametros_manuales!$D$25*('Plan mensual'!N57+IF(parametros_manuales!$H$25="Todos",'Plan mensual'!N61,0))+parametros_manuales!$E$25*('Plan mensual'!N58+IF(parametros_manuales!$H$25="Todos",'Plan mensual'!N62,0))+parametros_manuales!$F$25*('Plan mensual'!N59+IF(parametros_manuales!$H$25="Todos",'Plan mensual'!N63,0))+parametros_manuales!$G$25*('Plan mensual'!N60+IF(parametros_manuales!$H$25="Todos",'Plan mensual'!N64,0)))*parametros_manuales!$I$25*parametros_manuales!$J$25</f>
        <v>9082.41</v>
      </c>
      <c r="M143" s="4">
        <f>(parametros_manuales!$D$25*('Plan mensual'!O57+IF(parametros_manuales!$H$25="Todos",'Plan mensual'!O61,0))+parametros_manuales!$E$25*('Plan mensual'!O58+IF(parametros_manuales!$H$25="Todos",'Plan mensual'!O62,0))+parametros_manuales!$F$25*('Plan mensual'!O59+IF(parametros_manuales!$H$25="Todos",'Plan mensual'!O63,0))+parametros_manuales!$G$25*('Plan mensual'!O60+IF(parametros_manuales!$H$25="Todos",'Plan mensual'!O64,0)))*parametros_manuales!$I$25*parametros_manuales!$J$25</f>
        <v>14459.43</v>
      </c>
      <c r="N143" s="4">
        <f t="shared" si="16"/>
        <v>123513</v>
      </c>
      <c r="O143" s="4">
        <f t="shared" si="17"/>
        <v>14459.43</v>
      </c>
      <c r="P143" s="27">
        <f>O143/(parametros_manuales!$B$7)</f>
        <v>96.3962</v>
      </c>
      <c r="Q143" s="3" t="str">
        <f t="shared" si="18"/>
        <v>Dic</v>
      </c>
    </row>
    <row r="144" ht="14.25" customHeight="1">
      <c r="A144" s="3" t="str">
        <f>parametros_manuales!$B$26</f>
        <v>Cilindrado</v>
      </c>
      <c r="B144" s="4">
        <f>(parametros_manuales!$D$26*('Plan mensual'!D57+IF(parametros_manuales!$H$26="Todos",'Plan mensual'!D61,0))+parametros_manuales!$E$26*('Plan mensual'!D58+IF(parametros_manuales!$H$26="Todos",'Plan mensual'!D62,0))+parametros_manuales!$F$26*('Plan mensual'!D59+IF(parametros_manuales!$H$26="Todos",'Plan mensual'!D63,0))+parametros_manuales!$G$26*('Plan mensual'!D60+IF(parametros_manuales!$H$26="Todos",'Plan mensual'!D64,0)))*parametros_manuales!$I$26*parametros_manuales!$J$26</f>
        <v>3621.3</v>
      </c>
      <c r="C144" s="4">
        <f>(parametros_manuales!$D$26*('Plan mensual'!E57+IF(parametros_manuales!$H$26="Todos",'Plan mensual'!E61,0))+parametros_manuales!$E$26*('Plan mensual'!E58+IF(parametros_manuales!$H$26="Todos",'Plan mensual'!E62,0))+parametros_manuales!$F$26*('Plan mensual'!E59+IF(parametros_manuales!$H$26="Todos",'Plan mensual'!E63,0))+parametros_manuales!$G$26*('Plan mensual'!E60+IF(parametros_manuales!$H$26="Todos",'Plan mensual'!E64,0)))*parametros_manuales!$I$26*parametros_manuales!$J$26</f>
        <v>2897.04</v>
      </c>
      <c r="D144" s="4">
        <f>(parametros_manuales!$D$26*('Plan mensual'!F57+IF(parametros_manuales!$H$26="Todos",'Plan mensual'!F61,0))+parametros_manuales!$E$26*('Plan mensual'!F58+IF(parametros_manuales!$H$26="Todos",'Plan mensual'!F62,0))+parametros_manuales!$F$26*('Plan mensual'!F59+IF(parametros_manuales!$H$26="Todos",'Plan mensual'!F63,0))+parametros_manuales!$G$26*('Plan mensual'!F60+IF(parametros_manuales!$H$26="Todos",'Plan mensual'!F64,0)))*parametros_manuales!$I$26*parametros_manuales!$J$26</f>
        <v>3078.105</v>
      </c>
      <c r="E144" s="4">
        <f>(parametros_manuales!$D$26*('Plan mensual'!G57+IF(parametros_manuales!$H$26="Todos",'Plan mensual'!G61,0))+parametros_manuales!$E$26*('Plan mensual'!G58+IF(parametros_manuales!$H$26="Todos",'Plan mensual'!G62,0))+parametros_manuales!$F$26*('Plan mensual'!G59+IF(parametros_manuales!$H$26="Todos",'Plan mensual'!G63,0))+parametros_manuales!$G$26*('Plan mensual'!G60+IF(parametros_manuales!$H$26="Todos",'Plan mensual'!G64,0)))*parametros_manuales!$I$26*parametros_manuales!$J$26</f>
        <v>3078.105</v>
      </c>
      <c r="F144" s="4">
        <f>(parametros_manuales!$D$26*('Plan mensual'!H57+IF(parametros_manuales!$H$26="Todos",'Plan mensual'!H61,0))+parametros_manuales!$E$26*('Plan mensual'!H58+IF(parametros_manuales!$H$26="Todos",'Plan mensual'!H62,0))+parametros_manuales!$F$26*('Plan mensual'!H59+IF(parametros_manuales!$H$26="Todos",'Plan mensual'!H63,0))+parametros_manuales!$G$26*('Plan mensual'!H60+IF(parametros_manuales!$H$26="Todos",'Plan mensual'!H64,0)))*parametros_manuales!$I$26*parametros_manuales!$J$26</f>
        <v>2897.04</v>
      </c>
      <c r="G144" s="4">
        <f>(parametros_manuales!$D$26*('Plan mensual'!I57+IF(parametros_manuales!$H$26="Todos",'Plan mensual'!I61,0))+parametros_manuales!$E$26*('Plan mensual'!I58+IF(parametros_manuales!$H$26="Todos",'Plan mensual'!I62,0))+parametros_manuales!$F$26*('Plan mensual'!I59+IF(parametros_manuales!$H$26="Todos",'Plan mensual'!I63,0))+parametros_manuales!$G$26*('Plan mensual'!I60+IF(parametros_manuales!$H$26="Todos",'Plan mensual'!I64,0)))*parametros_manuales!$I$26*parametros_manuales!$J$26</f>
        <v>2715.975</v>
      </c>
      <c r="H144" s="4">
        <f>(parametros_manuales!$D$26*('Plan mensual'!J57+IF(parametros_manuales!$H$26="Todos",'Plan mensual'!J61,0))+parametros_manuales!$E$26*('Plan mensual'!J58+IF(parametros_manuales!$H$26="Todos",'Plan mensual'!J62,0))+parametros_manuales!$F$26*('Plan mensual'!J59+IF(parametros_manuales!$H$26="Todos",'Plan mensual'!J63,0))+parametros_manuales!$G$26*('Plan mensual'!J60+IF(parametros_manuales!$H$26="Todos",'Plan mensual'!J64,0)))*parametros_manuales!$I$26*parametros_manuales!$J$26</f>
        <v>2897.04</v>
      </c>
      <c r="I144" s="4">
        <f>(parametros_manuales!$D$26*('Plan mensual'!K57+IF(parametros_manuales!$H$26="Todos",'Plan mensual'!K61,0))+parametros_manuales!$E$26*('Plan mensual'!K58+IF(parametros_manuales!$H$26="Todos",'Plan mensual'!K62,0))+parametros_manuales!$F$26*('Plan mensual'!K59+IF(parametros_manuales!$H$26="Todos",'Plan mensual'!K63,0))+parametros_manuales!$G$26*('Plan mensual'!K60+IF(parametros_manuales!$H$26="Todos",'Plan mensual'!K64,0)))*parametros_manuales!$I$26*parametros_manuales!$J$26</f>
        <v>2897.04</v>
      </c>
      <c r="J144" s="4">
        <f>(parametros_manuales!$D$26*('Plan mensual'!L57+IF(parametros_manuales!$H$26="Todos",'Plan mensual'!L61,0))+parametros_manuales!$E$26*('Plan mensual'!L58+IF(parametros_manuales!$H$26="Todos",'Plan mensual'!L62,0))+parametros_manuales!$F$26*('Plan mensual'!L59+IF(parametros_manuales!$H$26="Todos",'Plan mensual'!L63,0))+parametros_manuales!$G$26*('Plan mensual'!L60+IF(parametros_manuales!$H$26="Todos",'Plan mensual'!L64,0)))*parametros_manuales!$I$26*parametros_manuales!$J$26</f>
        <v>2897.04</v>
      </c>
      <c r="K144" s="4">
        <f>(parametros_manuales!$D$26*('Plan mensual'!M57+IF(parametros_manuales!$H$26="Todos",'Plan mensual'!M61,0))+parametros_manuales!$E$26*('Plan mensual'!M58+IF(parametros_manuales!$H$26="Todos",'Plan mensual'!M62,0))+parametros_manuales!$F$26*('Plan mensual'!M59+IF(parametros_manuales!$H$26="Todos",'Plan mensual'!M63,0))+parametros_manuales!$G$26*('Plan mensual'!M60+IF(parametros_manuales!$H$26="Todos",'Plan mensual'!M64,0)))*parametros_manuales!$I$26*parametros_manuales!$J$26</f>
        <v>2715.975</v>
      </c>
      <c r="L144" s="4">
        <f>(parametros_manuales!$D$26*('Plan mensual'!N57+IF(parametros_manuales!$H$26="Todos",'Plan mensual'!N61,0))+parametros_manuales!$E$26*('Plan mensual'!N58+IF(parametros_manuales!$H$26="Todos",'Plan mensual'!N62,0))+parametros_manuales!$F$26*('Plan mensual'!N59+IF(parametros_manuales!$H$26="Todos",'Plan mensual'!N63,0))+parametros_manuales!$G$26*('Plan mensual'!N60+IF(parametros_manuales!$H$26="Todos",'Plan mensual'!N64,0)))*parametros_manuales!$I$26*parametros_manuales!$J$26</f>
        <v>2534.91</v>
      </c>
      <c r="M144" s="4">
        <f>(parametros_manuales!$D$26*('Plan mensual'!O57+IF(parametros_manuales!$H$26="Todos",'Plan mensual'!O61,0))+parametros_manuales!$E$26*('Plan mensual'!O58+IF(parametros_manuales!$H$26="Todos",'Plan mensual'!O62,0))+parametros_manuales!$F$26*('Plan mensual'!O59+IF(parametros_manuales!$H$26="Todos",'Plan mensual'!O63,0))+parametros_manuales!$G$26*('Plan mensual'!O60+IF(parametros_manuales!$H$26="Todos",'Plan mensual'!O64,0)))*parametros_manuales!$I$26*parametros_manuales!$J$26</f>
        <v>3983.43</v>
      </c>
      <c r="N144" s="4">
        <f t="shared" si="16"/>
        <v>36213</v>
      </c>
      <c r="O144" s="4">
        <f t="shared" si="17"/>
        <v>3983.43</v>
      </c>
      <c r="P144" s="27">
        <f>O144/(parametros_manuales!$B$7)</f>
        <v>26.5562</v>
      </c>
      <c r="Q144" s="3" t="str">
        <f t="shared" si="18"/>
        <v>Dic</v>
      </c>
    </row>
    <row r="145" ht="14.25" customHeight="1">
      <c r="A145" s="3" t="str">
        <f>parametros_manuales!$B$27</f>
        <v>Soldadura longitudinal</v>
      </c>
      <c r="B145" s="4">
        <f>(parametros_manuales!$D$27*('Plan mensual'!D57+IF(parametros_manuales!$H$27="Todos",'Plan mensual'!D61,0))+parametros_manuales!$E$27*('Plan mensual'!D58+IF(parametros_manuales!$H$27="Todos",'Plan mensual'!D62,0))+parametros_manuales!$F$27*('Plan mensual'!D59+IF(parametros_manuales!$H$27="Todos",'Plan mensual'!D63,0))+parametros_manuales!$G$27*('Plan mensual'!D60+IF(parametros_manuales!$H$27="Todos",'Plan mensual'!D64,0)))*parametros_manuales!$I$27*parametros_manuales!$J$27</f>
        <v>3621.3</v>
      </c>
      <c r="C145" s="4">
        <f>(parametros_manuales!$D$27*('Plan mensual'!E57+IF(parametros_manuales!$H$27="Todos",'Plan mensual'!E61,0))+parametros_manuales!$E$27*('Plan mensual'!E58+IF(parametros_manuales!$H$27="Todos",'Plan mensual'!E62,0))+parametros_manuales!$F$27*('Plan mensual'!E59+IF(parametros_manuales!$H$27="Todos",'Plan mensual'!E63,0))+parametros_manuales!$G$27*('Plan mensual'!E60+IF(parametros_manuales!$H$27="Todos",'Plan mensual'!E64,0)))*parametros_manuales!$I$27*parametros_manuales!$J$27</f>
        <v>2897.04</v>
      </c>
      <c r="D145" s="4">
        <f>(parametros_manuales!$D$27*('Plan mensual'!F57+IF(parametros_manuales!$H$27="Todos",'Plan mensual'!F61,0))+parametros_manuales!$E$27*('Plan mensual'!F58+IF(parametros_manuales!$H$27="Todos",'Plan mensual'!F62,0))+parametros_manuales!$F$27*('Plan mensual'!F59+IF(parametros_manuales!$H$27="Todos",'Plan mensual'!F63,0))+parametros_manuales!$G$27*('Plan mensual'!F60+IF(parametros_manuales!$H$27="Todos",'Plan mensual'!F64,0)))*parametros_manuales!$I$27*parametros_manuales!$J$27</f>
        <v>3078.105</v>
      </c>
      <c r="E145" s="4">
        <f>(parametros_manuales!$D$27*('Plan mensual'!G57+IF(parametros_manuales!$H$27="Todos",'Plan mensual'!G61,0))+parametros_manuales!$E$27*('Plan mensual'!G58+IF(parametros_manuales!$H$27="Todos",'Plan mensual'!G62,0))+parametros_manuales!$F$27*('Plan mensual'!G59+IF(parametros_manuales!$H$27="Todos",'Plan mensual'!G63,0))+parametros_manuales!$G$27*('Plan mensual'!G60+IF(parametros_manuales!$H$27="Todos",'Plan mensual'!G64,0)))*parametros_manuales!$I$27*parametros_manuales!$J$27</f>
        <v>3078.105</v>
      </c>
      <c r="F145" s="4">
        <f>(parametros_manuales!$D$27*('Plan mensual'!H57+IF(parametros_manuales!$H$27="Todos",'Plan mensual'!H61,0))+parametros_manuales!$E$27*('Plan mensual'!H58+IF(parametros_manuales!$H$27="Todos",'Plan mensual'!H62,0))+parametros_manuales!$F$27*('Plan mensual'!H59+IF(parametros_manuales!$H$27="Todos",'Plan mensual'!H63,0))+parametros_manuales!$G$27*('Plan mensual'!H60+IF(parametros_manuales!$H$27="Todos",'Plan mensual'!H64,0)))*parametros_manuales!$I$27*parametros_manuales!$J$27</f>
        <v>2897.04</v>
      </c>
      <c r="G145" s="4">
        <f>(parametros_manuales!$D$27*('Plan mensual'!I57+IF(parametros_manuales!$H$27="Todos",'Plan mensual'!I61,0))+parametros_manuales!$E$27*('Plan mensual'!I58+IF(parametros_manuales!$H$27="Todos",'Plan mensual'!I62,0))+parametros_manuales!$F$27*('Plan mensual'!I59+IF(parametros_manuales!$H$27="Todos",'Plan mensual'!I63,0))+parametros_manuales!$G$27*('Plan mensual'!I60+IF(parametros_manuales!$H$27="Todos",'Plan mensual'!I64,0)))*parametros_manuales!$I$27*parametros_manuales!$J$27</f>
        <v>2715.975</v>
      </c>
      <c r="H145" s="4">
        <f>(parametros_manuales!$D$27*('Plan mensual'!J57+IF(parametros_manuales!$H$27="Todos",'Plan mensual'!J61,0))+parametros_manuales!$E$27*('Plan mensual'!J58+IF(parametros_manuales!$H$27="Todos",'Plan mensual'!J62,0))+parametros_manuales!$F$27*('Plan mensual'!J59+IF(parametros_manuales!$H$27="Todos",'Plan mensual'!J63,0))+parametros_manuales!$G$27*('Plan mensual'!J60+IF(parametros_manuales!$H$27="Todos",'Plan mensual'!J64,0)))*parametros_manuales!$I$27*parametros_manuales!$J$27</f>
        <v>2897.04</v>
      </c>
      <c r="I145" s="4">
        <f>(parametros_manuales!$D$27*('Plan mensual'!K57+IF(parametros_manuales!$H$27="Todos",'Plan mensual'!K61,0))+parametros_manuales!$E$27*('Plan mensual'!K58+IF(parametros_manuales!$H$27="Todos",'Plan mensual'!K62,0))+parametros_manuales!$F$27*('Plan mensual'!K59+IF(parametros_manuales!$H$27="Todos",'Plan mensual'!K63,0))+parametros_manuales!$G$27*('Plan mensual'!K60+IF(parametros_manuales!$H$27="Todos",'Plan mensual'!K64,0)))*parametros_manuales!$I$27*parametros_manuales!$J$27</f>
        <v>2897.04</v>
      </c>
      <c r="J145" s="4">
        <f>(parametros_manuales!$D$27*('Plan mensual'!L57+IF(parametros_manuales!$H$27="Todos",'Plan mensual'!L61,0))+parametros_manuales!$E$27*('Plan mensual'!L58+IF(parametros_manuales!$H$27="Todos",'Plan mensual'!L62,0))+parametros_manuales!$F$27*('Plan mensual'!L59+IF(parametros_manuales!$H$27="Todos",'Plan mensual'!L63,0))+parametros_manuales!$G$27*('Plan mensual'!L60+IF(parametros_manuales!$H$27="Todos",'Plan mensual'!L64,0)))*parametros_manuales!$I$27*parametros_manuales!$J$27</f>
        <v>2897.04</v>
      </c>
      <c r="K145" s="4">
        <f>(parametros_manuales!$D$27*('Plan mensual'!M57+IF(parametros_manuales!$H$27="Todos",'Plan mensual'!M61,0))+parametros_manuales!$E$27*('Plan mensual'!M58+IF(parametros_manuales!$H$27="Todos",'Plan mensual'!M62,0))+parametros_manuales!$F$27*('Plan mensual'!M59+IF(parametros_manuales!$H$27="Todos",'Plan mensual'!M63,0))+parametros_manuales!$G$27*('Plan mensual'!M60+IF(parametros_manuales!$H$27="Todos",'Plan mensual'!M64,0)))*parametros_manuales!$I$27*parametros_manuales!$J$27</f>
        <v>2715.975</v>
      </c>
      <c r="L145" s="4">
        <f>(parametros_manuales!$D$27*('Plan mensual'!N57+IF(parametros_manuales!$H$27="Todos",'Plan mensual'!N61,0))+parametros_manuales!$E$27*('Plan mensual'!N58+IF(parametros_manuales!$H$27="Todos",'Plan mensual'!N62,0))+parametros_manuales!$F$27*('Plan mensual'!N59+IF(parametros_manuales!$H$27="Todos",'Plan mensual'!N63,0))+parametros_manuales!$G$27*('Plan mensual'!N60+IF(parametros_manuales!$H$27="Todos",'Plan mensual'!N64,0)))*parametros_manuales!$I$27*parametros_manuales!$J$27</f>
        <v>2534.91</v>
      </c>
      <c r="M145" s="4">
        <f>(parametros_manuales!$D$27*('Plan mensual'!O57+IF(parametros_manuales!$H$27="Todos",'Plan mensual'!O61,0))+parametros_manuales!$E$27*('Plan mensual'!O58+IF(parametros_manuales!$H$27="Todos",'Plan mensual'!O62,0))+parametros_manuales!$F$27*('Plan mensual'!O59+IF(parametros_manuales!$H$27="Todos",'Plan mensual'!O63,0))+parametros_manuales!$G$27*('Plan mensual'!O60+IF(parametros_manuales!$H$27="Todos",'Plan mensual'!O64,0)))*parametros_manuales!$I$27*parametros_manuales!$J$27</f>
        <v>3983.43</v>
      </c>
      <c r="N145" s="4">
        <f t="shared" si="16"/>
        <v>36213</v>
      </c>
      <c r="O145" s="4">
        <f t="shared" si="17"/>
        <v>3983.43</v>
      </c>
      <c r="P145" s="27">
        <f>O145/(parametros_manuales!$B$7)</f>
        <v>26.5562</v>
      </c>
      <c r="Q145" s="3" t="str">
        <f t="shared" si="18"/>
        <v>Dic</v>
      </c>
    </row>
    <row r="146" ht="14.25" customHeight="1">
      <c r="A146" s="3" t="str">
        <f>parametros_manuales!$B$28</f>
        <v>Encastre de fondo</v>
      </c>
      <c r="B146" s="4">
        <f>(parametros_manuales!$D$28*('Plan mensual'!D57+IF(parametros_manuales!$H$28="Todos",'Plan mensual'!D61,0))+parametros_manuales!$E$28*('Plan mensual'!D58+IF(parametros_manuales!$H$28="Todos",'Plan mensual'!D62,0))+parametros_manuales!$F$28*('Plan mensual'!D59+IF(parametros_manuales!$H$28="Todos",'Plan mensual'!D63,0))+parametros_manuales!$G$28*('Plan mensual'!D60+IF(parametros_manuales!$H$28="Todos",'Plan mensual'!D64,0)))*parametros_manuales!$I$28*parametros_manuales!$J$28</f>
        <v>14097.3</v>
      </c>
      <c r="C146" s="4">
        <f>(parametros_manuales!$D$28*('Plan mensual'!E57+IF(parametros_manuales!$H$28="Todos",'Plan mensual'!E61,0))+parametros_manuales!$E$28*('Plan mensual'!E58+IF(parametros_manuales!$H$28="Todos",'Plan mensual'!E62,0))+parametros_manuales!$F$28*('Plan mensual'!E59+IF(parametros_manuales!$H$28="Todos",'Plan mensual'!E63,0))+parametros_manuales!$G$28*('Plan mensual'!E60+IF(parametros_manuales!$H$28="Todos",'Plan mensual'!E64,0)))*parametros_manuales!$I$28*parametros_manuales!$J$28</f>
        <v>10754.04</v>
      </c>
      <c r="D146" s="4">
        <f>(parametros_manuales!$D$28*('Plan mensual'!F57+IF(parametros_manuales!$H$28="Todos",'Plan mensual'!F61,0))+parametros_manuales!$E$28*('Plan mensual'!F58+IF(parametros_manuales!$H$28="Todos",'Plan mensual'!F62,0))+parametros_manuales!$F$28*('Plan mensual'!F59+IF(parametros_manuales!$H$28="Todos",'Plan mensual'!F63,0))+parametros_manuales!$G$28*('Plan mensual'!F60+IF(parametros_manuales!$H$28="Todos",'Plan mensual'!F64,0)))*parametros_manuales!$I$28*parametros_manuales!$J$28</f>
        <v>10062.105</v>
      </c>
      <c r="E146" s="4">
        <f>(parametros_manuales!$D$28*('Plan mensual'!G57+IF(parametros_manuales!$H$28="Todos",'Plan mensual'!G61,0))+parametros_manuales!$E$28*('Plan mensual'!G58+IF(parametros_manuales!$H$28="Todos",'Plan mensual'!G62,0))+parametros_manuales!$F$28*('Plan mensual'!G59+IF(parametros_manuales!$H$28="Todos",'Plan mensual'!G63,0))+parametros_manuales!$G$28*('Plan mensual'!G60+IF(parametros_manuales!$H$28="Todos",'Plan mensual'!G64,0)))*parametros_manuales!$I$28*parametros_manuales!$J$28</f>
        <v>9625.605</v>
      </c>
      <c r="F146" s="4">
        <f>(parametros_manuales!$D$28*('Plan mensual'!H57+IF(parametros_manuales!$H$28="Todos",'Plan mensual'!H61,0))+parametros_manuales!$E$28*('Plan mensual'!H58+IF(parametros_manuales!$H$28="Todos",'Plan mensual'!H62,0))+parametros_manuales!$F$28*('Plan mensual'!H59+IF(parametros_manuales!$H$28="Todos",'Plan mensual'!H63,0))+parametros_manuales!$G$28*('Plan mensual'!H60+IF(parametros_manuales!$H$28="Todos",'Plan mensual'!H64,0)))*parametros_manuales!$I$28*parametros_manuales!$J$28</f>
        <v>9008.04</v>
      </c>
      <c r="G146" s="4">
        <f>(parametros_manuales!$D$28*('Plan mensual'!I57+IF(parametros_manuales!$H$28="Todos",'Plan mensual'!I61,0))+parametros_manuales!$E$28*('Plan mensual'!I58+IF(parametros_manuales!$H$28="Todos",'Plan mensual'!I62,0))+parametros_manuales!$F$28*('Plan mensual'!I59+IF(parametros_manuales!$H$28="Todos",'Plan mensual'!I63,0))+parametros_manuales!$G$28*('Plan mensual'!I60+IF(parametros_manuales!$H$28="Todos",'Plan mensual'!I64,0)))*parametros_manuales!$I$28*parametros_manuales!$J$28</f>
        <v>8826.975</v>
      </c>
      <c r="H146" s="4">
        <f>(parametros_manuales!$D$28*('Plan mensual'!J57+IF(parametros_manuales!$H$28="Todos",'Plan mensual'!J61,0))+parametros_manuales!$E$28*('Plan mensual'!J58+IF(parametros_manuales!$H$28="Todos",'Plan mensual'!J62,0))+parametros_manuales!$F$28*('Plan mensual'!J59+IF(parametros_manuales!$H$28="Todos",'Plan mensual'!J63,0))+parametros_manuales!$G$28*('Plan mensual'!J60+IF(parametros_manuales!$H$28="Todos",'Plan mensual'!J64,0)))*parametros_manuales!$I$28*parametros_manuales!$J$28</f>
        <v>9444.54</v>
      </c>
      <c r="I146" s="4">
        <f>(parametros_manuales!$D$28*('Plan mensual'!K57+IF(parametros_manuales!$H$28="Todos",'Plan mensual'!K61,0))+parametros_manuales!$E$28*('Plan mensual'!K58+IF(parametros_manuales!$H$28="Todos",'Plan mensual'!K62,0))+parametros_manuales!$F$28*('Plan mensual'!K59+IF(parametros_manuales!$H$28="Todos",'Plan mensual'!K63,0))+parametros_manuales!$G$28*('Plan mensual'!K60+IF(parametros_manuales!$H$28="Todos",'Plan mensual'!K64,0)))*parametros_manuales!$I$28*parametros_manuales!$J$28</f>
        <v>9444.54</v>
      </c>
      <c r="J146" s="4">
        <f>(parametros_manuales!$D$28*('Plan mensual'!L57+IF(parametros_manuales!$H$28="Todos",'Plan mensual'!L61,0))+parametros_manuales!$E$28*('Plan mensual'!L58+IF(parametros_manuales!$H$28="Todos",'Plan mensual'!L62,0))+parametros_manuales!$F$28*('Plan mensual'!L59+IF(parametros_manuales!$H$28="Todos",'Plan mensual'!L63,0))+parametros_manuales!$G$28*('Plan mensual'!L60+IF(parametros_manuales!$H$28="Todos",'Plan mensual'!L64,0)))*parametros_manuales!$I$28*parametros_manuales!$J$28</f>
        <v>9444.54</v>
      </c>
      <c r="K146" s="4">
        <f>(parametros_manuales!$D$28*('Plan mensual'!M57+IF(parametros_manuales!$H$28="Todos",'Plan mensual'!M61,0))+parametros_manuales!$E$28*('Plan mensual'!M58+IF(parametros_manuales!$H$28="Todos",'Plan mensual'!M62,0))+parametros_manuales!$F$28*('Plan mensual'!M59+IF(parametros_manuales!$H$28="Todos",'Plan mensual'!M63,0))+parametros_manuales!$G$28*('Plan mensual'!M60+IF(parametros_manuales!$H$28="Todos",'Plan mensual'!M64,0)))*parametros_manuales!$I$28*parametros_manuales!$J$28</f>
        <v>9263.475</v>
      </c>
      <c r="L146" s="4">
        <f>(parametros_manuales!$D$28*('Plan mensual'!N57+IF(parametros_manuales!$H$28="Todos",'Plan mensual'!N61,0))+parametros_manuales!$E$28*('Plan mensual'!N58+IF(parametros_manuales!$H$28="Todos",'Plan mensual'!N62,0))+parametros_manuales!$F$28*('Plan mensual'!N59+IF(parametros_manuales!$H$28="Todos",'Plan mensual'!N63,0))+parametros_manuales!$G$28*('Plan mensual'!N60+IF(parametros_manuales!$H$28="Todos",'Plan mensual'!N64,0)))*parametros_manuales!$I$28*parametros_manuales!$J$28</f>
        <v>9082.41</v>
      </c>
      <c r="M146" s="4">
        <f>(parametros_manuales!$D$28*('Plan mensual'!O57+IF(parametros_manuales!$H$28="Todos",'Plan mensual'!O61,0))+parametros_manuales!$E$28*('Plan mensual'!O58+IF(parametros_manuales!$H$28="Todos",'Plan mensual'!O62,0))+parametros_manuales!$F$28*('Plan mensual'!O59+IF(parametros_manuales!$H$28="Todos",'Plan mensual'!O63,0))+parametros_manuales!$G$28*('Plan mensual'!O60+IF(parametros_manuales!$H$28="Todos",'Plan mensual'!O64,0)))*parametros_manuales!$I$28*parametros_manuales!$J$28</f>
        <v>14459.43</v>
      </c>
      <c r="N146" s="4">
        <f t="shared" si="16"/>
        <v>123513</v>
      </c>
      <c r="O146" s="4">
        <f t="shared" si="17"/>
        <v>14459.43</v>
      </c>
      <c r="P146" s="27">
        <f>O146/(parametros_manuales!$B$7)</f>
        <v>96.3962</v>
      </c>
      <c r="Q146" s="3" t="str">
        <f t="shared" si="18"/>
        <v>Dic</v>
      </c>
    </row>
    <row r="147" ht="14.25" customHeight="1">
      <c r="A147" s="3" t="str">
        <f>parametros_manuales!$B$29</f>
        <v>Bordoneado</v>
      </c>
      <c r="B147" s="4">
        <f>(parametros_manuales!$D$29*('Plan mensual'!D57+IF(parametros_manuales!$H$29="Todos",'Plan mensual'!D61,0))+parametros_manuales!$E$29*('Plan mensual'!D58+IF(parametros_manuales!$H$29="Todos",'Plan mensual'!D62,0))+parametros_manuales!$F$29*('Plan mensual'!D59+IF(parametros_manuales!$H$29="Todos",'Plan mensual'!D63,0))+parametros_manuales!$G$29*('Plan mensual'!D60+IF(parametros_manuales!$H$29="Todos",'Plan mensual'!D64,0)))*parametros_manuales!$I$29*parametros_manuales!$J$29</f>
        <v>14097.3</v>
      </c>
      <c r="C147" s="4">
        <f>(parametros_manuales!$D$29*('Plan mensual'!E57+IF(parametros_manuales!$H$29="Todos",'Plan mensual'!E61,0))+parametros_manuales!$E$29*('Plan mensual'!E58+IF(parametros_manuales!$H$29="Todos",'Plan mensual'!E62,0))+parametros_manuales!$F$29*('Plan mensual'!E59+IF(parametros_manuales!$H$29="Todos",'Plan mensual'!E63,0))+parametros_manuales!$G$29*('Plan mensual'!E60+IF(parametros_manuales!$H$29="Todos",'Plan mensual'!E64,0)))*parametros_manuales!$I$29*parametros_manuales!$J$29</f>
        <v>10754.04</v>
      </c>
      <c r="D147" s="4">
        <f>(parametros_manuales!$D$29*('Plan mensual'!F57+IF(parametros_manuales!$H$29="Todos",'Plan mensual'!F61,0))+parametros_manuales!$E$29*('Plan mensual'!F58+IF(parametros_manuales!$H$29="Todos",'Plan mensual'!F62,0))+parametros_manuales!$F$29*('Plan mensual'!F59+IF(parametros_manuales!$H$29="Todos",'Plan mensual'!F63,0))+parametros_manuales!$G$29*('Plan mensual'!F60+IF(parametros_manuales!$H$29="Todos",'Plan mensual'!F64,0)))*parametros_manuales!$I$29*parametros_manuales!$J$29</f>
        <v>10062.105</v>
      </c>
      <c r="E147" s="4">
        <f>(parametros_manuales!$D$29*('Plan mensual'!G57+IF(parametros_manuales!$H$29="Todos",'Plan mensual'!G61,0))+parametros_manuales!$E$29*('Plan mensual'!G58+IF(parametros_manuales!$H$29="Todos",'Plan mensual'!G62,0))+parametros_manuales!$F$29*('Plan mensual'!G59+IF(parametros_manuales!$H$29="Todos",'Plan mensual'!G63,0))+parametros_manuales!$G$29*('Plan mensual'!G60+IF(parametros_manuales!$H$29="Todos",'Plan mensual'!G64,0)))*parametros_manuales!$I$29*parametros_manuales!$J$29</f>
        <v>9625.605</v>
      </c>
      <c r="F147" s="4">
        <f>(parametros_manuales!$D$29*('Plan mensual'!H57+IF(parametros_manuales!$H$29="Todos",'Plan mensual'!H61,0))+parametros_manuales!$E$29*('Plan mensual'!H58+IF(parametros_manuales!$H$29="Todos",'Plan mensual'!H62,0))+parametros_manuales!$F$29*('Plan mensual'!H59+IF(parametros_manuales!$H$29="Todos",'Plan mensual'!H63,0))+parametros_manuales!$G$29*('Plan mensual'!H60+IF(parametros_manuales!$H$29="Todos",'Plan mensual'!H64,0)))*parametros_manuales!$I$29*parametros_manuales!$J$29</f>
        <v>9008.04</v>
      </c>
      <c r="G147" s="4">
        <f>(parametros_manuales!$D$29*('Plan mensual'!I57+IF(parametros_manuales!$H$29="Todos",'Plan mensual'!I61,0))+parametros_manuales!$E$29*('Plan mensual'!I58+IF(parametros_manuales!$H$29="Todos",'Plan mensual'!I62,0))+parametros_manuales!$F$29*('Plan mensual'!I59+IF(parametros_manuales!$H$29="Todos",'Plan mensual'!I63,0))+parametros_manuales!$G$29*('Plan mensual'!I60+IF(parametros_manuales!$H$29="Todos",'Plan mensual'!I64,0)))*parametros_manuales!$I$29*parametros_manuales!$J$29</f>
        <v>8826.975</v>
      </c>
      <c r="H147" s="4">
        <f>(parametros_manuales!$D$29*('Plan mensual'!J57+IF(parametros_manuales!$H$29="Todos",'Plan mensual'!J61,0))+parametros_manuales!$E$29*('Plan mensual'!J58+IF(parametros_manuales!$H$29="Todos",'Plan mensual'!J62,0))+parametros_manuales!$F$29*('Plan mensual'!J59+IF(parametros_manuales!$H$29="Todos",'Plan mensual'!J63,0))+parametros_manuales!$G$29*('Plan mensual'!J60+IF(parametros_manuales!$H$29="Todos",'Plan mensual'!J64,0)))*parametros_manuales!$I$29*parametros_manuales!$J$29</f>
        <v>9444.54</v>
      </c>
      <c r="I147" s="4">
        <f>(parametros_manuales!$D$29*('Plan mensual'!K57+IF(parametros_manuales!$H$29="Todos",'Plan mensual'!K61,0))+parametros_manuales!$E$29*('Plan mensual'!K58+IF(parametros_manuales!$H$29="Todos",'Plan mensual'!K62,0))+parametros_manuales!$F$29*('Plan mensual'!K59+IF(parametros_manuales!$H$29="Todos",'Plan mensual'!K63,0))+parametros_manuales!$G$29*('Plan mensual'!K60+IF(parametros_manuales!$H$29="Todos",'Plan mensual'!K64,0)))*parametros_manuales!$I$29*parametros_manuales!$J$29</f>
        <v>9444.54</v>
      </c>
      <c r="J147" s="4">
        <f>(parametros_manuales!$D$29*('Plan mensual'!L57+IF(parametros_manuales!$H$29="Todos",'Plan mensual'!L61,0))+parametros_manuales!$E$29*('Plan mensual'!L58+IF(parametros_manuales!$H$29="Todos",'Plan mensual'!L62,0))+parametros_manuales!$F$29*('Plan mensual'!L59+IF(parametros_manuales!$H$29="Todos",'Plan mensual'!L63,0))+parametros_manuales!$G$29*('Plan mensual'!L60+IF(parametros_manuales!$H$29="Todos",'Plan mensual'!L64,0)))*parametros_manuales!$I$29*parametros_manuales!$J$29</f>
        <v>9444.54</v>
      </c>
      <c r="K147" s="4">
        <f>(parametros_manuales!$D$29*('Plan mensual'!M57+IF(parametros_manuales!$H$29="Todos",'Plan mensual'!M61,0))+parametros_manuales!$E$29*('Plan mensual'!M58+IF(parametros_manuales!$H$29="Todos",'Plan mensual'!M62,0))+parametros_manuales!$F$29*('Plan mensual'!M59+IF(parametros_manuales!$H$29="Todos",'Plan mensual'!M63,0))+parametros_manuales!$G$29*('Plan mensual'!M60+IF(parametros_manuales!$H$29="Todos",'Plan mensual'!M64,0)))*parametros_manuales!$I$29*parametros_manuales!$J$29</f>
        <v>9263.475</v>
      </c>
      <c r="L147" s="4">
        <f>(parametros_manuales!$D$29*('Plan mensual'!N57+IF(parametros_manuales!$H$29="Todos",'Plan mensual'!N61,0))+parametros_manuales!$E$29*('Plan mensual'!N58+IF(parametros_manuales!$H$29="Todos",'Plan mensual'!N62,0))+parametros_manuales!$F$29*('Plan mensual'!N59+IF(parametros_manuales!$H$29="Todos",'Plan mensual'!N63,0))+parametros_manuales!$G$29*('Plan mensual'!N60+IF(parametros_manuales!$H$29="Todos",'Plan mensual'!N64,0)))*parametros_manuales!$I$29*parametros_manuales!$J$29</f>
        <v>9082.41</v>
      </c>
      <c r="M147" s="4">
        <f>(parametros_manuales!$D$29*('Plan mensual'!O57+IF(parametros_manuales!$H$29="Todos",'Plan mensual'!O61,0))+parametros_manuales!$E$29*('Plan mensual'!O58+IF(parametros_manuales!$H$29="Todos",'Plan mensual'!O62,0))+parametros_manuales!$F$29*('Plan mensual'!O59+IF(parametros_manuales!$H$29="Todos",'Plan mensual'!O63,0))+parametros_manuales!$G$29*('Plan mensual'!O60+IF(parametros_manuales!$H$29="Todos",'Plan mensual'!O64,0)))*parametros_manuales!$I$29*parametros_manuales!$J$29</f>
        <v>14459.43</v>
      </c>
      <c r="N147" s="4">
        <f t="shared" si="16"/>
        <v>123513</v>
      </c>
      <c r="O147" s="4">
        <f t="shared" si="17"/>
        <v>14459.43</v>
      </c>
      <c r="P147" s="27">
        <f>O147/(parametros_manuales!$B$7)</f>
        <v>96.3962</v>
      </c>
      <c r="Q147" s="3" t="str">
        <f t="shared" si="18"/>
        <v>Dic</v>
      </c>
    </row>
    <row r="148" ht="14.25" customHeight="1">
      <c r="A148" s="3" t="str">
        <f>parametros_manuales!$B$30</f>
        <v>Soldadura circunferencial de cúpula y fondo</v>
      </c>
      <c r="B148" s="4">
        <f>(parametros_manuales!$D$30*('Plan mensual'!D57+IF(parametros_manuales!$H$30="Todos",'Plan mensual'!D61,0))+parametros_manuales!$E$30*('Plan mensual'!D58+IF(parametros_manuales!$H$30="Todos",'Plan mensual'!D62,0))+parametros_manuales!$F$30*('Plan mensual'!D59+IF(parametros_manuales!$H$30="Todos",'Plan mensual'!D63,0))+parametros_manuales!$G$30*('Plan mensual'!D60+IF(parametros_manuales!$H$30="Todos",'Plan mensual'!D64,0)))*parametros_manuales!$I$30*parametros_manuales!$J$30</f>
        <v>14097.3</v>
      </c>
      <c r="C148" s="4">
        <f>(parametros_manuales!$D$30*('Plan mensual'!E57+IF(parametros_manuales!$H$30="Todos",'Plan mensual'!E61,0))+parametros_manuales!$E$30*('Plan mensual'!E58+IF(parametros_manuales!$H$30="Todos",'Plan mensual'!E62,0))+parametros_manuales!$F$30*('Plan mensual'!E59+IF(parametros_manuales!$H$30="Todos",'Plan mensual'!E63,0))+parametros_manuales!$G$30*('Plan mensual'!E60+IF(parametros_manuales!$H$30="Todos",'Plan mensual'!E64,0)))*parametros_manuales!$I$30*parametros_manuales!$J$30</f>
        <v>10754.04</v>
      </c>
      <c r="D148" s="4">
        <f>(parametros_manuales!$D$30*('Plan mensual'!F57+IF(parametros_manuales!$H$30="Todos",'Plan mensual'!F61,0))+parametros_manuales!$E$30*('Plan mensual'!F58+IF(parametros_manuales!$H$30="Todos",'Plan mensual'!F62,0))+parametros_manuales!$F$30*('Plan mensual'!F59+IF(parametros_manuales!$H$30="Todos",'Plan mensual'!F63,0))+parametros_manuales!$G$30*('Plan mensual'!F60+IF(parametros_manuales!$H$30="Todos",'Plan mensual'!F64,0)))*parametros_manuales!$I$30*parametros_manuales!$J$30</f>
        <v>10062.105</v>
      </c>
      <c r="E148" s="4">
        <f>(parametros_manuales!$D$30*('Plan mensual'!G57+IF(parametros_manuales!$H$30="Todos",'Plan mensual'!G61,0))+parametros_manuales!$E$30*('Plan mensual'!G58+IF(parametros_manuales!$H$30="Todos",'Plan mensual'!G62,0))+parametros_manuales!$F$30*('Plan mensual'!G59+IF(parametros_manuales!$H$30="Todos",'Plan mensual'!G63,0))+parametros_manuales!$G$30*('Plan mensual'!G60+IF(parametros_manuales!$H$30="Todos",'Plan mensual'!G64,0)))*parametros_manuales!$I$30*parametros_manuales!$J$30</f>
        <v>9625.605</v>
      </c>
      <c r="F148" s="4">
        <f>(parametros_manuales!$D$30*('Plan mensual'!H57+IF(parametros_manuales!$H$30="Todos",'Plan mensual'!H61,0))+parametros_manuales!$E$30*('Plan mensual'!H58+IF(parametros_manuales!$H$30="Todos",'Plan mensual'!H62,0))+parametros_manuales!$F$30*('Plan mensual'!H59+IF(parametros_manuales!$H$30="Todos",'Plan mensual'!H63,0))+parametros_manuales!$G$30*('Plan mensual'!H60+IF(parametros_manuales!$H$30="Todos",'Plan mensual'!H64,0)))*parametros_manuales!$I$30*parametros_manuales!$J$30</f>
        <v>9008.04</v>
      </c>
      <c r="G148" s="4">
        <f>(parametros_manuales!$D$30*('Plan mensual'!I57+IF(parametros_manuales!$H$30="Todos",'Plan mensual'!I61,0))+parametros_manuales!$E$30*('Plan mensual'!I58+IF(parametros_manuales!$H$30="Todos",'Plan mensual'!I62,0))+parametros_manuales!$F$30*('Plan mensual'!I59+IF(parametros_manuales!$H$30="Todos",'Plan mensual'!I63,0))+parametros_manuales!$G$30*('Plan mensual'!I60+IF(parametros_manuales!$H$30="Todos",'Plan mensual'!I64,0)))*parametros_manuales!$I$30*parametros_manuales!$J$30</f>
        <v>8826.975</v>
      </c>
      <c r="H148" s="4">
        <f>(parametros_manuales!$D$30*('Plan mensual'!J57+IF(parametros_manuales!$H$30="Todos",'Plan mensual'!J61,0))+parametros_manuales!$E$30*('Plan mensual'!J58+IF(parametros_manuales!$H$30="Todos",'Plan mensual'!J62,0))+parametros_manuales!$F$30*('Plan mensual'!J59+IF(parametros_manuales!$H$30="Todos",'Plan mensual'!J63,0))+parametros_manuales!$G$30*('Plan mensual'!J60+IF(parametros_manuales!$H$30="Todos",'Plan mensual'!J64,0)))*parametros_manuales!$I$30*parametros_manuales!$J$30</f>
        <v>9444.54</v>
      </c>
      <c r="I148" s="4">
        <f>(parametros_manuales!$D$30*('Plan mensual'!K57+IF(parametros_manuales!$H$30="Todos",'Plan mensual'!K61,0))+parametros_manuales!$E$30*('Plan mensual'!K58+IF(parametros_manuales!$H$30="Todos",'Plan mensual'!K62,0))+parametros_manuales!$F$30*('Plan mensual'!K59+IF(parametros_manuales!$H$30="Todos",'Plan mensual'!K63,0))+parametros_manuales!$G$30*('Plan mensual'!K60+IF(parametros_manuales!$H$30="Todos",'Plan mensual'!K64,0)))*parametros_manuales!$I$30*parametros_manuales!$J$30</f>
        <v>9444.54</v>
      </c>
      <c r="J148" s="4">
        <f>(parametros_manuales!$D$30*('Plan mensual'!L57+IF(parametros_manuales!$H$30="Todos",'Plan mensual'!L61,0))+parametros_manuales!$E$30*('Plan mensual'!L58+IF(parametros_manuales!$H$30="Todos",'Plan mensual'!L62,0))+parametros_manuales!$F$30*('Plan mensual'!L59+IF(parametros_manuales!$H$30="Todos",'Plan mensual'!L63,0))+parametros_manuales!$G$30*('Plan mensual'!L60+IF(parametros_manuales!$H$30="Todos",'Plan mensual'!L64,0)))*parametros_manuales!$I$30*parametros_manuales!$J$30</f>
        <v>9444.54</v>
      </c>
      <c r="K148" s="4">
        <f>(parametros_manuales!$D$30*('Plan mensual'!M57+IF(parametros_manuales!$H$30="Todos",'Plan mensual'!M61,0))+parametros_manuales!$E$30*('Plan mensual'!M58+IF(parametros_manuales!$H$30="Todos",'Plan mensual'!M62,0))+parametros_manuales!$F$30*('Plan mensual'!M59+IF(parametros_manuales!$H$30="Todos",'Plan mensual'!M63,0))+parametros_manuales!$G$30*('Plan mensual'!M60+IF(parametros_manuales!$H$30="Todos",'Plan mensual'!M64,0)))*parametros_manuales!$I$30*parametros_manuales!$J$30</f>
        <v>9263.475</v>
      </c>
      <c r="L148" s="4">
        <f>(parametros_manuales!$D$30*('Plan mensual'!N57+IF(parametros_manuales!$H$30="Todos",'Plan mensual'!N61,0))+parametros_manuales!$E$30*('Plan mensual'!N58+IF(parametros_manuales!$H$30="Todos",'Plan mensual'!N62,0))+parametros_manuales!$F$30*('Plan mensual'!N59+IF(parametros_manuales!$H$30="Todos",'Plan mensual'!N63,0))+parametros_manuales!$G$30*('Plan mensual'!N60+IF(parametros_manuales!$H$30="Todos",'Plan mensual'!N64,0)))*parametros_manuales!$I$30*parametros_manuales!$J$30</f>
        <v>9082.41</v>
      </c>
      <c r="M148" s="4">
        <f>(parametros_manuales!$D$30*('Plan mensual'!O57+IF(parametros_manuales!$H$30="Todos",'Plan mensual'!O61,0))+parametros_manuales!$E$30*('Plan mensual'!O58+IF(parametros_manuales!$H$30="Todos",'Plan mensual'!O62,0))+parametros_manuales!$F$30*('Plan mensual'!O59+IF(parametros_manuales!$H$30="Todos",'Plan mensual'!O63,0))+parametros_manuales!$G$30*('Plan mensual'!O60+IF(parametros_manuales!$H$30="Todos",'Plan mensual'!O64,0)))*parametros_manuales!$I$30*parametros_manuales!$J$30</f>
        <v>14459.43</v>
      </c>
      <c r="N148" s="4">
        <f t="shared" si="16"/>
        <v>123513</v>
      </c>
      <c r="O148" s="4">
        <f t="shared" si="17"/>
        <v>14459.43</v>
      </c>
      <c r="P148" s="27">
        <f>O148/(parametros_manuales!$B$7)</f>
        <v>96.3962</v>
      </c>
      <c r="Q148" s="3" t="str">
        <f t="shared" si="18"/>
        <v>Dic</v>
      </c>
    </row>
    <row r="149" ht="14.25" customHeight="1">
      <c r="A149" s="3" t="str">
        <f>parametros_manuales!$B$31</f>
        <v>Control de calidad — Espesor</v>
      </c>
      <c r="B149" s="4">
        <f>(parametros_manuales!$D$31*('Plan mensual'!D57+IF(parametros_manuales!$H$31="Todos",'Plan mensual'!D61,0))+parametros_manuales!$E$31*('Plan mensual'!D58+IF(parametros_manuales!$H$31="Todos",'Plan mensual'!D62,0))+parametros_manuales!$F$31*('Plan mensual'!D59+IF(parametros_manuales!$H$31="Todos",'Plan mensual'!D63,0))+parametros_manuales!$G$31*('Plan mensual'!D60+IF(parametros_manuales!$H$31="Todos",'Plan mensual'!D64,0)))*parametros_manuales!$I$31*parametros_manuales!$J$31</f>
        <v>281.946</v>
      </c>
      <c r="C149" s="4">
        <f>(parametros_manuales!$D$31*('Plan mensual'!E57+IF(parametros_manuales!$H$31="Todos",'Plan mensual'!E61,0))+parametros_manuales!$E$31*('Plan mensual'!E58+IF(parametros_manuales!$H$31="Todos",'Plan mensual'!E62,0))+parametros_manuales!$F$31*('Plan mensual'!E59+IF(parametros_manuales!$H$31="Todos",'Plan mensual'!E63,0))+parametros_manuales!$G$31*('Plan mensual'!E60+IF(parametros_manuales!$H$31="Todos",'Plan mensual'!E64,0)))*parametros_manuales!$I$31*parametros_manuales!$J$31</f>
        <v>215.0808</v>
      </c>
      <c r="D149" s="4">
        <f>(parametros_manuales!$D$31*('Plan mensual'!F57+IF(parametros_manuales!$H$31="Todos",'Plan mensual'!F61,0))+parametros_manuales!$E$31*('Plan mensual'!F58+IF(parametros_manuales!$H$31="Todos",'Plan mensual'!F62,0))+parametros_manuales!$F$31*('Plan mensual'!F59+IF(parametros_manuales!$H$31="Todos",'Plan mensual'!F63,0))+parametros_manuales!$G$31*('Plan mensual'!F60+IF(parametros_manuales!$H$31="Todos",'Plan mensual'!F64,0)))*parametros_manuales!$I$31*parametros_manuales!$J$31</f>
        <v>201.2421</v>
      </c>
      <c r="E149" s="4">
        <f>(parametros_manuales!$D$31*('Plan mensual'!G57+IF(parametros_manuales!$H$31="Todos",'Plan mensual'!G61,0))+parametros_manuales!$E$31*('Plan mensual'!G58+IF(parametros_manuales!$H$31="Todos",'Plan mensual'!G62,0))+parametros_manuales!$F$31*('Plan mensual'!G59+IF(parametros_manuales!$H$31="Todos",'Plan mensual'!G63,0))+parametros_manuales!$G$31*('Plan mensual'!G60+IF(parametros_manuales!$H$31="Todos",'Plan mensual'!G64,0)))*parametros_manuales!$I$31*parametros_manuales!$J$31</f>
        <v>192.5121</v>
      </c>
      <c r="F149" s="4">
        <f>(parametros_manuales!$D$31*('Plan mensual'!H57+IF(parametros_manuales!$H$31="Todos",'Plan mensual'!H61,0))+parametros_manuales!$E$31*('Plan mensual'!H58+IF(parametros_manuales!$H$31="Todos",'Plan mensual'!H62,0))+parametros_manuales!$F$31*('Plan mensual'!H59+IF(parametros_manuales!$H$31="Todos",'Plan mensual'!H63,0))+parametros_manuales!$G$31*('Plan mensual'!H60+IF(parametros_manuales!$H$31="Todos",'Plan mensual'!H64,0)))*parametros_manuales!$I$31*parametros_manuales!$J$31</f>
        <v>180.1608</v>
      </c>
      <c r="G149" s="4">
        <f>(parametros_manuales!$D$31*('Plan mensual'!I57+IF(parametros_manuales!$H$31="Todos",'Plan mensual'!I61,0))+parametros_manuales!$E$31*('Plan mensual'!I58+IF(parametros_manuales!$H$31="Todos",'Plan mensual'!I62,0))+parametros_manuales!$F$31*('Plan mensual'!I59+IF(parametros_manuales!$H$31="Todos",'Plan mensual'!I63,0))+parametros_manuales!$G$31*('Plan mensual'!I60+IF(parametros_manuales!$H$31="Todos",'Plan mensual'!I64,0)))*parametros_manuales!$I$31*parametros_manuales!$J$31</f>
        <v>176.5395</v>
      </c>
      <c r="H149" s="4">
        <f>(parametros_manuales!$D$31*('Plan mensual'!J57+IF(parametros_manuales!$H$31="Todos",'Plan mensual'!J61,0))+parametros_manuales!$E$31*('Plan mensual'!J58+IF(parametros_manuales!$H$31="Todos",'Plan mensual'!J62,0))+parametros_manuales!$F$31*('Plan mensual'!J59+IF(parametros_manuales!$H$31="Todos",'Plan mensual'!J63,0))+parametros_manuales!$G$31*('Plan mensual'!J60+IF(parametros_manuales!$H$31="Todos",'Plan mensual'!J64,0)))*parametros_manuales!$I$31*parametros_manuales!$J$31</f>
        <v>188.8908</v>
      </c>
      <c r="I149" s="4">
        <f>(parametros_manuales!$D$31*('Plan mensual'!K57+IF(parametros_manuales!$H$31="Todos",'Plan mensual'!K61,0))+parametros_manuales!$E$31*('Plan mensual'!K58+IF(parametros_manuales!$H$31="Todos",'Plan mensual'!K62,0))+parametros_manuales!$F$31*('Plan mensual'!K59+IF(parametros_manuales!$H$31="Todos",'Plan mensual'!K63,0))+parametros_manuales!$G$31*('Plan mensual'!K60+IF(parametros_manuales!$H$31="Todos",'Plan mensual'!K64,0)))*parametros_manuales!$I$31*parametros_manuales!$J$31</f>
        <v>188.8908</v>
      </c>
      <c r="J149" s="4">
        <f>(parametros_manuales!$D$31*('Plan mensual'!L57+IF(parametros_manuales!$H$31="Todos",'Plan mensual'!L61,0))+parametros_manuales!$E$31*('Plan mensual'!L58+IF(parametros_manuales!$H$31="Todos",'Plan mensual'!L62,0))+parametros_manuales!$F$31*('Plan mensual'!L59+IF(parametros_manuales!$H$31="Todos",'Plan mensual'!L63,0))+parametros_manuales!$G$31*('Plan mensual'!L60+IF(parametros_manuales!$H$31="Todos",'Plan mensual'!L64,0)))*parametros_manuales!$I$31*parametros_manuales!$J$31</f>
        <v>188.8908</v>
      </c>
      <c r="K149" s="4">
        <f>(parametros_manuales!$D$31*('Plan mensual'!M57+IF(parametros_manuales!$H$31="Todos",'Plan mensual'!M61,0))+parametros_manuales!$E$31*('Plan mensual'!M58+IF(parametros_manuales!$H$31="Todos",'Plan mensual'!M62,0))+parametros_manuales!$F$31*('Plan mensual'!M59+IF(parametros_manuales!$H$31="Todos",'Plan mensual'!M63,0))+parametros_manuales!$G$31*('Plan mensual'!M60+IF(parametros_manuales!$H$31="Todos",'Plan mensual'!M64,0)))*parametros_manuales!$I$31*parametros_manuales!$J$31</f>
        <v>185.2695</v>
      </c>
      <c r="L149" s="4">
        <f>(parametros_manuales!$D$31*('Plan mensual'!N57+IF(parametros_manuales!$H$31="Todos",'Plan mensual'!N61,0))+parametros_manuales!$E$31*('Plan mensual'!N58+IF(parametros_manuales!$H$31="Todos",'Plan mensual'!N62,0))+parametros_manuales!$F$31*('Plan mensual'!N59+IF(parametros_manuales!$H$31="Todos",'Plan mensual'!N63,0))+parametros_manuales!$G$31*('Plan mensual'!N60+IF(parametros_manuales!$H$31="Todos",'Plan mensual'!N64,0)))*parametros_manuales!$I$31*parametros_manuales!$J$31</f>
        <v>181.6482</v>
      </c>
      <c r="M149" s="4">
        <f>(parametros_manuales!$D$31*('Plan mensual'!O57+IF(parametros_manuales!$H$31="Todos",'Plan mensual'!O61,0))+parametros_manuales!$E$31*('Plan mensual'!O58+IF(parametros_manuales!$H$31="Todos",'Plan mensual'!O62,0))+parametros_manuales!$F$31*('Plan mensual'!O59+IF(parametros_manuales!$H$31="Todos",'Plan mensual'!O63,0))+parametros_manuales!$G$31*('Plan mensual'!O60+IF(parametros_manuales!$H$31="Todos",'Plan mensual'!O64,0)))*parametros_manuales!$I$31*parametros_manuales!$J$31</f>
        <v>289.1886</v>
      </c>
      <c r="N149" s="4">
        <f t="shared" si="16"/>
        <v>2470.26</v>
      </c>
      <c r="O149" s="4">
        <f t="shared" si="17"/>
        <v>289.1886</v>
      </c>
      <c r="P149" s="27">
        <f>O149/(parametros_manuales!$B$7)</f>
        <v>1.927924</v>
      </c>
      <c r="Q149" s="3" t="str">
        <f t="shared" si="18"/>
        <v>Dic</v>
      </c>
    </row>
    <row r="150" ht="14.25" customHeight="1">
      <c r="A150" s="3" t="str">
        <f>parametros_manuales!$B$32</f>
        <v>Prueba hidráulica</v>
      </c>
      <c r="B150" s="4">
        <f>(parametros_manuales!$D$32*('Plan mensual'!D57+IF(parametros_manuales!$H$32="Todos",'Plan mensual'!D61,0))+parametros_manuales!$E$32*('Plan mensual'!D58+IF(parametros_manuales!$H$32="Todos",'Plan mensual'!D62,0))+parametros_manuales!$F$32*('Plan mensual'!D59+IF(parametros_manuales!$H$32="Todos",'Plan mensual'!D63,0))+parametros_manuales!$G$32*('Plan mensual'!D60+IF(parametros_manuales!$H$32="Todos",'Plan mensual'!D64,0)))*parametros_manuales!$I$32*parametros_manuales!$J$32</f>
        <v>14097.3</v>
      </c>
      <c r="C150" s="4">
        <f>(parametros_manuales!$D$32*('Plan mensual'!E57+IF(parametros_manuales!$H$32="Todos",'Plan mensual'!E61,0))+parametros_manuales!$E$32*('Plan mensual'!E58+IF(parametros_manuales!$H$32="Todos",'Plan mensual'!E62,0))+parametros_manuales!$F$32*('Plan mensual'!E59+IF(parametros_manuales!$H$32="Todos",'Plan mensual'!E63,0))+parametros_manuales!$G$32*('Plan mensual'!E60+IF(parametros_manuales!$H$32="Todos",'Plan mensual'!E64,0)))*parametros_manuales!$I$32*parametros_manuales!$J$32</f>
        <v>10754.04</v>
      </c>
      <c r="D150" s="4">
        <f>(parametros_manuales!$D$32*('Plan mensual'!F57+IF(parametros_manuales!$H$32="Todos",'Plan mensual'!F61,0))+parametros_manuales!$E$32*('Plan mensual'!F58+IF(parametros_manuales!$H$32="Todos",'Plan mensual'!F62,0))+parametros_manuales!$F$32*('Plan mensual'!F59+IF(parametros_manuales!$H$32="Todos",'Plan mensual'!F63,0))+parametros_manuales!$G$32*('Plan mensual'!F60+IF(parametros_manuales!$H$32="Todos",'Plan mensual'!F64,0)))*parametros_manuales!$I$32*parametros_manuales!$J$32</f>
        <v>10062.105</v>
      </c>
      <c r="E150" s="4">
        <f>(parametros_manuales!$D$32*('Plan mensual'!G57+IF(parametros_manuales!$H$32="Todos",'Plan mensual'!G61,0))+parametros_manuales!$E$32*('Plan mensual'!G58+IF(parametros_manuales!$H$32="Todos",'Plan mensual'!G62,0))+parametros_manuales!$F$32*('Plan mensual'!G59+IF(parametros_manuales!$H$32="Todos",'Plan mensual'!G63,0))+parametros_manuales!$G$32*('Plan mensual'!G60+IF(parametros_manuales!$H$32="Todos",'Plan mensual'!G64,0)))*parametros_manuales!$I$32*parametros_manuales!$J$32</f>
        <v>9625.605</v>
      </c>
      <c r="F150" s="4">
        <f>(parametros_manuales!$D$32*('Plan mensual'!H57+IF(parametros_manuales!$H$32="Todos",'Plan mensual'!H61,0))+parametros_manuales!$E$32*('Plan mensual'!H58+IF(parametros_manuales!$H$32="Todos",'Plan mensual'!H62,0))+parametros_manuales!$F$32*('Plan mensual'!H59+IF(parametros_manuales!$H$32="Todos",'Plan mensual'!H63,0))+parametros_manuales!$G$32*('Plan mensual'!H60+IF(parametros_manuales!$H$32="Todos",'Plan mensual'!H64,0)))*parametros_manuales!$I$32*parametros_manuales!$J$32</f>
        <v>9008.04</v>
      </c>
      <c r="G150" s="4">
        <f>(parametros_manuales!$D$32*('Plan mensual'!I57+IF(parametros_manuales!$H$32="Todos",'Plan mensual'!I61,0))+parametros_manuales!$E$32*('Plan mensual'!I58+IF(parametros_manuales!$H$32="Todos",'Plan mensual'!I62,0))+parametros_manuales!$F$32*('Plan mensual'!I59+IF(parametros_manuales!$H$32="Todos",'Plan mensual'!I63,0))+parametros_manuales!$G$32*('Plan mensual'!I60+IF(parametros_manuales!$H$32="Todos",'Plan mensual'!I64,0)))*parametros_manuales!$I$32*parametros_manuales!$J$32</f>
        <v>8826.975</v>
      </c>
      <c r="H150" s="4">
        <f>(parametros_manuales!$D$32*('Plan mensual'!J57+IF(parametros_manuales!$H$32="Todos",'Plan mensual'!J61,0))+parametros_manuales!$E$32*('Plan mensual'!J58+IF(parametros_manuales!$H$32="Todos",'Plan mensual'!J62,0))+parametros_manuales!$F$32*('Plan mensual'!J59+IF(parametros_manuales!$H$32="Todos",'Plan mensual'!J63,0))+parametros_manuales!$G$32*('Plan mensual'!J60+IF(parametros_manuales!$H$32="Todos",'Plan mensual'!J64,0)))*parametros_manuales!$I$32*parametros_manuales!$J$32</f>
        <v>9444.54</v>
      </c>
      <c r="I150" s="4">
        <f>(parametros_manuales!$D$32*('Plan mensual'!K57+IF(parametros_manuales!$H$32="Todos",'Plan mensual'!K61,0))+parametros_manuales!$E$32*('Plan mensual'!K58+IF(parametros_manuales!$H$32="Todos",'Plan mensual'!K62,0))+parametros_manuales!$F$32*('Plan mensual'!K59+IF(parametros_manuales!$H$32="Todos",'Plan mensual'!K63,0))+parametros_manuales!$G$32*('Plan mensual'!K60+IF(parametros_manuales!$H$32="Todos",'Plan mensual'!K64,0)))*parametros_manuales!$I$32*parametros_manuales!$J$32</f>
        <v>9444.54</v>
      </c>
      <c r="J150" s="4">
        <f>(parametros_manuales!$D$32*('Plan mensual'!L57+IF(parametros_manuales!$H$32="Todos",'Plan mensual'!L61,0))+parametros_manuales!$E$32*('Plan mensual'!L58+IF(parametros_manuales!$H$32="Todos",'Plan mensual'!L62,0))+parametros_manuales!$F$32*('Plan mensual'!L59+IF(parametros_manuales!$H$32="Todos",'Plan mensual'!L63,0))+parametros_manuales!$G$32*('Plan mensual'!L60+IF(parametros_manuales!$H$32="Todos",'Plan mensual'!L64,0)))*parametros_manuales!$I$32*parametros_manuales!$J$32</f>
        <v>9444.54</v>
      </c>
      <c r="K150" s="4">
        <f>(parametros_manuales!$D$32*('Plan mensual'!M57+IF(parametros_manuales!$H$32="Todos",'Plan mensual'!M61,0))+parametros_manuales!$E$32*('Plan mensual'!M58+IF(parametros_manuales!$H$32="Todos",'Plan mensual'!M62,0))+parametros_manuales!$F$32*('Plan mensual'!M59+IF(parametros_manuales!$H$32="Todos",'Plan mensual'!M63,0))+parametros_manuales!$G$32*('Plan mensual'!M60+IF(parametros_manuales!$H$32="Todos",'Plan mensual'!M64,0)))*parametros_manuales!$I$32*parametros_manuales!$J$32</f>
        <v>9263.475</v>
      </c>
      <c r="L150" s="4">
        <f>(parametros_manuales!$D$32*('Plan mensual'!N57+IF(parametros_manuales!$H$32="Todos",'Plan mensual'!N61,0))+parametros_manuales!$E$32*('Plan mensual'!N58+IF(parametros_manuales!$H$32="Todos",'Plan mensual'!N62,0))+parametros_manuales!$F$32*('Plan mensual'!N59+IF(parametros_manuales!$H$32="Todos",'Plan mensual'!N63,0))+parametros_manuales!$G$32*('Plan mensual'!N60+IF(parametros_manuales!$H$32="Todos",'Plan mensual'!N64,0)))*parametros_manuales!$I$32*parametros_manuales!$J$32</f>
        <v>9082.41</v>
      </c>
      <c r="M150" s="4">
        <f>(parametros_manuales!$D$32*('Plan mensual'!O57+IF(parametros_manuales!$H$32="Todos",'Plan mensual'!O61,0))+parametros_manuales!$E$32*('Plan mensual'!O58+IF(parametros_manuales!$H$32="Todos",'Plan mensual'!O62,0))+parametros_manuales!$F$32*('Plan mensual'!O59+IF(parametros_manuales!$H$32="Todos",'Plan mensual'!O63,0))+parametros_manuales!$G$32*('Plan mensual'!O60+IF(parametros_manuales!$H$32="Todos",'Plan mensual'!O64,0)))*parametros_manuales!$I$32*parametros_manuales!$J$32</f>
        <v>14459.43</v>
      </c>
      <c r="N150" s="4">
        <f t="shared" si="16"/>
        <v>123513</v>
      </c>
      <c r="O150" s="4">
        <f t="shared" si="17"/>
        <v>14459.43</v>
      </c>
      <c r="P150" s="27">
        <f>O150/(parametros_manuales!$B$7)</f>
        <v>96.3962</v>
      </c>
      <c r="Q150" s="3" t="str">
        <f t="shared" si="18"/>
        <v>Dic</v>
      </c>
    </row>
    <row r="151" ht="14.25" customHeight="1">
      <c r="A151" s="3" t="str">
        <f>parametros_manuales!$B$33</f>
        <v>Secado</v>
      </c>
      <c r="B151" s="4">
        <f>(parametros_manuales!$D$33*('Plan mensual'!D57+IF(parametros_manuales!$H$33="Todos",'Plan mensual'!D61,0))+parametros_manuales!$E$33*('Plan mensual'!D58+IF(parametros_manuales!$H$33="Todos",'Plan mensual'!D62,0))+parametros_manuales!$F$33*('Plan mensual'!D59+IF(parametros_manuales!$H$33="Todos",'Plan mensual'!D63,0))+parametros_manuales!$G$33*('Plan mensual'!D60+IF(parametros_manuales!$H$33="Todos",'Plan mensual'!D64,0)))*parametros_manuales!$I$33*parametros_manuales!$J$33</f>
        <v>14097.3</v>
      </c>
      <c r="C151" s="4">
        <f>(parametros_manuales!$D$33*('Plan mensual'!E57+IF(parametros_manuales!$H$33="Todos",'Plan mensual'!E61,0))+parametros_manuales!$E$33*('Plan mensual'!E58+IF(parametros_manuales!$H$33="Todos",'Plan mensual'!E62,0))+parametros_manuales!$F$33*('Plan mensual'!E59+IF(parametros_manuales!$H$33="Todos",'Plan mensual'!E63,0))+parametros_manuales!$G$33*('Plan mensual'!E60+IF(parametros_manuales!$H$33="Todos",'Plan mensual'!E64,0)))*parametros_manuales!$I$33*parametros_manuales!$J$33</f>
        <v>10754.04</v>
      </c>
      <c r="D151" s="4">
        <f>(parametros_manuales!$D$33*('Plan mensual'!F57+IF(parametros_manuales!$H$33="Todos",'Plan mensual'!F61,0))+parametros_manuales!$E$33*('Plan mensual'!F58+IF(parametros_manuales!$H$33="Todos",'Plan mensual'!F62,0))+parametros_manuales!$F$33*('Plan mensual'!F59+IF(parametros_manuales!$H$33="Todos",'Plan mensual'!F63,0))+parametros_manuales!$G$33*('Plan mensual'!F60+IF(parametros_manuales!$H$33="Todos",'Plan mensual'!F64,0)))*parametros_manuales!$I$33*parametros_manuales!$J$33</f>
        <v>10062.105</v>
      </c>
      <c r="E151" s="4">
        <f>(parametros_manuales!$D$33*('Plan mensual'!G57+IF(parametros_manuales!$H$33="Todos",'Plan mensual'!G61,0))+parametros_manuales!$E$33*('Plan mensual'!G58+IF(parametros_manuales!$H$33="Todos",'Plan mensual'!G62,0))+parametros_manuales!$F$33*('Plan mensual'!G59+IF(parametros_manuales!$H$33="Todos",'Plan mensual'!G63,0))+parametros_manuales!$G$33*('Plan mensual'!G60+IF(parametros_manuales!$H$33="Todos",'Plan mensual'!G64,0)))*parametros_manuales!$I$33*parametros_manuales!$J$33</f>
        <v>9625.605</v>
      </c>
      <c r="F151" s="4">
        <f>(parametros_manuales!$D$33*('Plan mensual'!H57+IF(parametros_manuales!$H$33="Todos",'Plan mensual'!H61,0))+parametros_manuales!$E$33*('Plan mensual'!H58+IF(parametros_manuales!$H$33="Todos",'Plan mensual'!H62,0))+parametros_manuales!$F$33*('Plan mensual'!H59+IF(parametros_manuales!$H$33="Todos",'Plan mensual'!H63,0))+parametros_manuales!$G$33*('Plan mensual'!H60+IF(parametros_manuales!$H$33="Todos",'Plan mensual'!H64,0)))*parametros_manuales!$I$33*parametros_manuales!$J$33</f>
        <v>9008.04</v>
      </c>
      <c r="G151" s="4">
        <f>(parametros_manuales!$D$33*('Plan mensual'!I57+IF(parametros_manuales!$H$33="Todos",'Plan mensual'!I61,0))+parametros_manuales!$E$33*('Plan mensual'!I58+IF(parametros_manuales!$H$33="Todos",'Plan mensual'!I62,0))+parametros_manuales!$F$33*('Plan mensual'!I59+IF(parametros_manuales!$H$33="Todos",'Plan mensual'!I63,0))+parametros_manuales!$G$33*('Plan mensual'!I60+IF(parametros_manuales!$H$33="Todos",'Plan mensual'!I64,0)))*parametros_manuales!$I$33*parametros_manuales!$J$33</f>
        <v>8826.975</v>
      </c>
      <c r="H151" s="4">
        <f>(parametros_manuales!$D$33*('Plan mensual'!J57+IF(parametros_manuales!$H$33="Todos",'Plan mensual'!J61,0))+parametros_manuales!$E$33*('Plan mensual'!J58+IF(parametros_manuales!$H$33="Todos",'Plan mensual'!J62,0))+parametros_manuales!$F$33*('Plan mensual'!J59+IF(parametros_manuales!$H$33="Todos",'Plan mensual'!J63,0))+parametros_manuales!$G$33*('Plan mensual'!J60+IF(parametros_manuales!$H$33="Todos",'Plan mensual'!J64,0)))*parametros_manuales!$I$33*parametros_manuales!$J$33</f>
        <v>9444.54</v>
      </c>
      <c r="I151" s="4">
        <f>(parametros_manuales!$D$33*('Plan mensual'!K57+IF(parametros_manuales!$H$33="Todos",'Plan mensual'!K61,0))+parametros_manuales!$E$33*('Plan mensual'!K58+IF(parametros_manuales!$H$33="Todos",'Plan mensual'!K62,0))+parametros_manuales!$F$33*('Plan mensual'!K59+IF(parametros_manuales!$H$33="Todos",'Plan mensual'!K63,0))+parametros_manuales!$G$33*('Plan mensual'!K60+IF(parametros_manuales!$H$33="Todos",'Plan mensual'!K64,0)))*parametros_manuales!$I$33*parametros_manuales!$J$33</f>
        <v>9444.54</v>
      </c>
      <c r="J151" s="4">
        <f>(parametros_manuales!$D$33*('Plan mensual'!L57+IF(parametros_manuales!$H$33="Todos",'Plan mensual'!L61,0))+parametros_manuales!$E$33*('Plan mensual'!L58+IF(parametros_manuales!$H$33="Todos",'Plan mensual'!L62,0))+parametros_manuales!$F$33*('Plan mensual'!L59+IF(parametros_manuales!$H$33="Todos",'Plan mensual'!L63,0))+parametros_manuales!$G$33*('Plan mensual'!L60+IF(parametros_manuales!$H$33="Todos",'Plan mensual'!L64,0)))*parametros_manuales!$I$33*parametros_manuales!$J$33</f>
        <v>9444.54</v>
      </c>
      <c r="K151" s="4">
        <f>(parametros_manuales!$D$33*('Plan mensual'!M57+IF(parametros_manuales!$H$33="Todos",'Plan mensual'!M61,0))+parametros_manuales!$E$33*('Plan mensual'!M58+IF(parametros_manuales!$H$33="Todos",'Plan mensual'!M62,0))+parametros_manuales!$F$33*('Plan mensual'!M59+IF(parametros_manuales!$H$33="Todos",'Plan mensual'!M63,0))+parametros_manuales!$G$33*('Plan mensual'!M60+IF(parametros_manuales!$H$33="Todos",'Plan mensual'!M64,0)))*parametros_manuales!$I$33*parametros_manuales!$J$33</f>
        <v>9263.475</v>
      </c>
      <c r="L151" s="4">
        <f>(parametros_manuales!$D$33*('Plan mensual'!N57+IF(parametros_manuales!$H$33="Todos",'Plan mensual'!N61,0))+parametros_manuales!$E$33*('Plan mensual'!N58+IF(parametros_manuales!$H$33="Todos",'Plan mensual'!N62,0))+parametros_manuales!$F$33*('Plan mensual'!N59+IF(parametros_manuales!$H$33="Todos",'Plan mensual'!N63,0))+parametros_manuales!$G$33*('Plan mensual'!N60+IF(parametros_manuales!$H$33="Todos",'Plan mensual'!N64,0)))*parametros_manuales!$I$33*parametros_manuales!$J$33</f>
        <v>9082.41</v>
      </c>
      <c r="M151" s="4">
        <f>(parametros_manuales!$D$33*('Plan mensual'!O57+IF(parametros_manuales!$H$33="Todos",'Plan mensual'!O61,0))+parametros_manuales!$E$33*('Plan mensual'!O58+IF(parametros_manuales!$H$33="Todos",'Plan mensual'!O62,0))+parametros_manuales!$F$33*('Plan mensual'!O59+IF(parametros_manuales!$H$33="Todos",'Plan mensual'!O63,0))+parametros_manuales!$G$33*('Plan mensual'!O60+IF(parametros_manuales!$H$33="Todos",'Plan mensual'!O64,0)))*parametros_manuales!$I$33*parametros_manuales!$J$33</f>
        <v>14459.43</v>
      </c>
      <c r="N151" s="4">
        <f t="shared" si="16"/>
        <v>123513</v>
      </c>
      <c r="O151" s="4">
        <f t="shared" si="17"/>
        <v>14459.43</v>
      </c>
      <c r="P151" s="27">
        <f>O151/(parametros_manuales!$B$7)</f>
        <v>96.3962</v>
      </c>
      <c r="Q151" s="3" t="str">
        <f t="shared" si="18"/>
        <v>Dic</v>
      </c>
    </row>
    <row r="152" ht="14.25" customHeight="1">
      <c r="A152" s="3" t="str">
        <f>parametros_manuales!$B$34</f>
        <v>Granallado</v>
      </c>
      <c r="B152" s="4">
        <f>(parametros_manuales!$D$34*('Plan mensual'!D57+IF(parametros_manuales!$H$34="Todos",'Plan mensual'!D61,0))+parametros_manuales!$E$34*('Plan mensual'!D58+IF(parametros_manuales!$H$34="Todos",'Plan mensual'!D62,0))+parametros_manuales!$F$34*('Plan mensual'!D59+IF(parametros_manuales!$H$34="Todos",'Plan mensual'!D63,0))+parametros_manuales!$G$34*('Plan mensual'!D60+IF(parametros_manuales!$H$34="Todos",'Plan mensual'!D64,0)))*parametros_manuales!$I$34*parametros_manuales!$J$34</f>
        <v>14097.3</v>
      </c>
      <c r="C152" s="4">
        <f>(parametros_manuales!$D$34*('Plan mensual'!E57+IF(parametros_manuales!$H$34="Todos",'Plan mensual'!E61,0))+parametros_manuales!$E$34*('Plan mensual'!E58+IF(parametros_manuales!$H$34="Todos",'Plan mensual'!E62,0))+parametros_manuales!$F$34*('Plan mensual'!E59+IF(parametros_manuales!$H$34="Todos",'Plan mensual'!E63,0))+parametros_manuales!$G$34*('Plan mensual'!E60+IF(parametros_manuales!$H$34="Todos",'Plan mensual'!E64,0)))*parametros_manuales!$I$34*parametros_manuales!$J$34</f>
        <v>10754.04</v>
      </c>
      <c r="D152" s="4">
        <f>(parametros_manuales!$D$34*('Plan mensual'!F57+IF(parametros_manuales!$H$34="Todos",'Plan mensual'!F61,0))+parametros_manuales!$E$34*('Plan mensual'!F58+IF(parametros_manuales!$H$34="Todos",'Plan mensual'!F62,0))+parametros_manuales!$F$34*('Plan mensual'!F59+IF(parametros_manuales!$H$34="Todos",'Plan mensual'!F63,0))+parametros_manuales!$G$34*('Plan mensual'!F60+IF(parametros_manuales!$H$34="Todos",'Plan mensual'!F64,0)))*parametros_manuales!$I$34*parametros_manuales!$J$34</f>
        <v>10062.105</v>
      </c>
      <c r="E152" s="4">
        <f>(parametros_manuales!$D$34*('Plan mensual'!G57+IF(parametros_manuales!$H$34="Todos",'Plan mensual'!G61,0))+parametros_manuales!$E$34*('Plan mensual'!G58+IF(parametros_manuales!$H$34="Todos",'Plan mensual'!G62,0))+parametros_manuales!$F$34*('Plan mensual'!G59+IF(parametros_manuales!$H$34="Todos",'Plan mensual'!G63,0))+parametros_manuales!$G$34*('Plan mensual'!G60+IF(parametros_manuales!$H$34="Todos",'Plan mensual'!G64,0)))*parametros_manuales!$I$34*parametros_manuales!$J$34</f>
        <v>9625.605</v>
      </c>
      <c r="F152" s="4">
        <f>(parametros_manuales!$D$34*('Plan mensual'!H57+IF(parametros_manuales!$H$34="Todos",'Plan mensual'!H61,0))+parametros_manuales!$E$34*('Plan mensual'!H58+IF(parametros_manuales!$H$34="Todos",'Plan mensual'!H62,0))+parametros_manuales!$F$34*('Plan mensual'!H59+IF(parametros_manuales!$H$34="Todos",'Plan mensual'!H63,0))+parametros_manuales!$G$34*('Plan mensual'!H60+IF(parametros_manuales!$H$34="Todos",'Plan mensual'!H64,0)))*parametros_manuales!$I$34*parametros_manuales!$J$34</f>
        <v>9008.04</v>
      </c>
      <c r="G152" s="4">
        <f>(parametros_manuales!$D$34*('Plan mensual'!I57+IF(parametros_manuales!$H$34="Todos",'Plan mensual'!I61,0))+parametros_manuales!$E$34*('Plan mensual'!I58+IF(parametros_manuales!$H$34="Todos",'Plan mensual'!I62,0))+parametros_manuales!$F$34*('Plan mensual'!I59+IF(parametros_manuales!$H$34="Todos",'Plan mensual'!I63,0))+parametros_manuales!$G$34*('Plan mensual'!I60+IF(parametros_manuales!$H$34="Todos",'Plan mensual'!I64,0)))*parametros_manuales!$I$34*parametros_manuales!$J$34</f>
        <v>8826.975</v>
      </c>
      <c r="H152" s="4">
        <f>(parametros_manuales!$D$34*('Plan mensual'!J57+IF(parametros_manuales!$H$34="Todos",'Plan mensual'!J61,0))+parametros_manuales!$E$34*('Plan mensual'!J58+IF(parametros_manuales!$H$34="Todos",'Plan mensual'!J62,0))+parametros_manuales!$F$34*('Plan mensual'!J59+IF(parametros_manuales!$H$34="Todos",'Plan mensual'!J63,0))+parametros_manuales!$G$34*('Plan mensual'!J60+IF(parametros_manuales!$H$34="Todos",'Plan mensual'!J64,0)))*parametros_manuales!$I$34*parametros_manuales!$J$34</f>
        <v>9444.54</v>
      </c>
      <c r="I152" s="4">
        <f>(parametros_manuales!$D$34*('Plan mensual'!K57+IF(parametros_manuales!$H$34="Todos",'Plan mensual'!K61,0))+parametros_manuales!$E$34*('Plan mensual'!K58+IF(parametros_manuales!$H$34="Todos",'Plan mensual'!K62,0))+parametros_manuales!$F$34*('Plan mensual'!K59+IF(parametros_manuales!$H$34="Todos",'Plan mensual'!K63,0))+parametros_manuales!$G$34*('Plan mensual'!K60+IF(parametros_manuales!$H$34="Todos",'Plan mensual'!K64,0)))*parametros_manuales!$I$34*parametros_manuales!$J$34</f>
        <v>9444.54</v>
      </c>
      <c r="J152" s="4">
        <f>(parametros_manuales!$D$34*('Plan mensual'!L57+IF(parametros_manuales!$H$34="Todos",'Plan mensual'!L61,0))+parametros_manuales!$E$34*('Plan mensual'!L58+IF(parametros_manuales!$H$34="Todos",'Plan mensual'!L62,0))+parametros_manuales!$F$34*('Plan mensual'!L59+IF(parametros_manuales!$H$34="Todos",'Plan mensual'!L63,0))+parametros_manuales!$G$34*('Plan mensual'!L60+IF(parametros_manuales!$H$34="Todos",'Plan mensual'!L64,0)))*parametros_manuales!$I$34*parametros_manuales!$J$34</f>
        <v>9444.54</v>
      </c>
      <c r="K152" s="4">
        <f>(parametros_manuales!$D$34*('Plan mensual'!M57+IF(parametros_manuales!$H$34="Todos",'Plan mensual'!M61,0))+parametros_manuales!$E$34*('Plan mensual'!M58+IF(parametros_manuales!$H$34="Todos",'Plan mensual'!M62,0))+parametros_manuales!$F$34*('Plan mensual'!M59+IF(parametros_manuales!$H$34="Todos",'Plan mensual'!M63,0))+parametros_manuales!$G$34*('Plan mensual'!M60+IF(parametros_manuales!$H$34="Todos",'Plan mensual'!M64,0)))*parametros_manuales!$I$34*parametros_manuales!$J$34</f>
        <v>9263.475</v>
      </c>
      <c r="L152" s="4">
        <f>(parametros_manuales!$D$34*('Plan mensual'!N57+IF(parametros_manuales!$H$34="Todos",'Plan mensual'!N61,0))+parametros_manuales!$E$34*('Plan mensual'!N58+IF(parametros_manuales!$H$34="Todos",'Plan mensual'!N62,0))+parametros_manuales!$F$34*('Plan mensual'!N59+IF(parametros_manuales!$H$34="Todos",'Plan mensual'!N63,0))+parametros_manuales!$G$34*('Plan mensual'!N60+IF(parametros_manuales!$H$34="Todos",'Plan mensual'!N64,0)))*parametros_manuales!$I$34*parametros_manuales!$J$34</f>
        <v>9082.41</v>
      </c>
      <c r="M152" s="4">
        <f>(parametros_manuales!$D$34*('Plan mensual'!O57+IF(parametros_manuales!$H$34="Todos",'Plan mensual'!O61,0))+parametros_manuales!$E$34*('Plan mensual'!O58+IF(parametros_manuales!$H$34="Todos",'Plan mensual'!O62,0))+parametros_manuales!$F$34*('Plan mensual'!O59+IF(parametros_manuales!$H$34="Todos",'Plan mensual'!O63,0))+parametros_manuales!$G$34*('Plan mensual'!O60+IF(parametros_manuales!$H$34="Todos",'Plan mensual'!O64,0)))*parametros_manuales!$I$34*parametros_manuales!$J$34</f>
        <v>14459.43</v>
      </c>
      <c r="N152" s="4">
        <f t="shared" si="16"/>
        <v>123513</v>
      </c>
      <c r="O152" s="4">
        <f t="shared" si="17"/>
        <v>14459.43</v>
      </c>
      <c r="P152" s="27">
        <f>O152/(parametros_manuales!$B$7)</f>
        <v>96.3962</v>
      </c>
      <c r="Q152" s="3" t="str">
        <f t="shared" si="18"/>
        <v>Dic</v>
      </c>
    </row>
    <row r="153" ht="14.25" customHeight="1">
      <c r="A153" s="3" t="str">
        <f>parametros_manuales!$B$35</f>
        <v>Detección de defectos</v>
      </c>
      <c r="B153" s="4">
        <f>(parametros_manuales!$D$35*('Plan mensual'!D57+IF(parametros_manuales!$H$35="Todos",'Plan mensual'!D61,0))+parametros_manuales!$E$35*('Plan mensual'!D58+IF(parametros_manuales!$H$35="Todos",'Plan mensual'!D62,0))+parametros_manuales!$F$35*('Plan mensual'!D59+IF(parametros_manuales!$H$35="Todos",'Plan mensual'!D63,0))+parametros_manuales!$G$35*('Plan mensual'!D60+IF(parametros_manuales!$H$35="Todos",'Plan mensual'!D64,0)))*parametros_manuales!$I$35*parametros_manuales!$J$35</f>
        <v>14097.3</v>
      </c>
      <c r="C153" s="4">
        <f>(parametros_manuales!$D$35*('Plan mensual'!E57+IF(parametros_manuales!$H$35="Todos",'Plan mensual'!E61,0))+parametros_manuales!$E$35*('Plan mensual'!E58+IF(parametros_manuales!$H$35="Todos",'Plan mensual'!E62,0))+parametros_manuales!$F$35*('Plan mensual'!E59+IF(parametros_manuales!$H$35="Todos",'Plan mensual'!E63,0))+parametros_manuales!$G$35*('Plan mensual'!E60+IF(parametros_manuales!$H$35="Todos",'Plan mensual'!E64,0)))*parametros_manuales!$I$35*parametros_manuales!$J$35</f>
        <v>10754.04</v>
      </c>
      <c r="D153" s="4">
        <f>(parametros_manuales!$D$35*('Plan mensual'!F57+IF(parametros_manuales!$H$35="Todos",'Plan mensual'!F61,0))+parametros_manuales!$E$35*('Plan mensual'!F58+IF(parametros_manuales!$H$35="Todos",'Plan mensual'!F62,0))+parametros_manuales!$F$35*('Plan mensual'!F59+IF(parametros_manuales!$H$35="Todos",'Plan mensual'!F63,0))+parametros_manuales!$G$35*('Plan mensual'!F60+IF(parametros_manuales!$H$35="Todos",'Plan mensual'!F64,0)))*parametros_manuales!$I$35*parametros_manuales!$J$35</f>
        <v>10062.105</v>
      </c>
      <c r="E153" s="4">
        <f>(parametros_manuales!$D$35*('Plan mensual'!G57+IF(parametros_manuales!$H$35="Todos",'Plan mensual'!G61,0))+parametros_manuales!$E$35*('Plan mensual'!G58+IF(parametros_manuales!$H$35="Todos",'Plan mensual'!G62,0))+parametros_manuales!$F$35*('Plan mensual'!G59+IF(parametros_manuales!$H$35="Todos",'Plan mensual'!G63,0))+parametros_manuales!$G$35*('Plan mensual'!G60+IF(parametros_manuales!$H$35="Todos",'Plan mensual'!G64,0)))*parametros_manuales!$I$35*parametros_manuales!$J$35</f>
        <v>9625.605</v>
      </c>
      <c r="F153" s="4">
        <f>(parametros_manuales!$D$35*('Plan mensual'!H57+IF(parametros_manuales!$H$35="Todos",'Plan mensual'!H61,0))+parametros_manuales!$E$35*('Plan mensual'!H58+IF(parametros_manuales!$H$35="Todos",'Plan mensual'!H62,0))+parametros_manuales!$F$35*('Plan mensual'!H59+IF(parametros_manuales!$H$35="Todos",'Plan mensual'!H63,0))+parametros_manuales!$G$35*('Plan mensual'!H60+IF(parametros_manuales!$H$35="Todos",'Plan mensual'!H64,0)))*parametros_manuales!$I$35*parametros_manuales!$J$35</f>
        <v>9008.04</v>
      </c>
      <c r="G153" s="4">
        <f>(parametros_manuales!$D$35*('Plan mensual'!I57+IF(parametros_manuales!$H$35="Todos",'Plan mensual'!I61,0))+parametros_manuales!$E$35*('Plan mensual'!I58+IF(parametros_manuales!$H$35="Todos",'Plan mensual'!I62,0))+parametros_manuales!$F$35*('Plan mensual'!I59+IF(parametros_manuales!$H$35="Todos",'Plan mensual'!I63,0))+parametros_manuales!$G$35*('Plan mensual'!I60+IF(parametros_manuales!$H$35="Todos",'Plan mensual'!I64,0)))*parametros_manuales!$I$35*parametros_manuales!$J$35</f>
        <v>8826.975</v>
      </c>
      <c r="H153" s="4">
        <f>(parametros_manuales!$D$35*('Plan mensual'!J57+IF(parametros_manuales!$H$35="Todos",'Plan mensual'!J61,0))+parametros_manuales!$E$35*('Plan mensual'!J58+IF(parametros_manuales!$H$35="Todos",'Plan mensual'!J62,0))+parametros_manuales!$F$35*('Plan mensual'!J59+IF(parametros_manuales!$H$35="Todos",'Plan mensual'!J63,0))+parametros_manuales!$G$35*('Plan mensual'!J60+IF(parametros_manuales!$H$35="Todos",'Plan mensual'!J64,0)))*parametros_manuales!$I$35*parametros_manuales!$J$35</f>
        <v>9444.54</v>
      </c>
      <c r="I153" s="4">
        <f>(parametros_manuales!$D$35*('Plan mensual'!K57+IF(parametros_manuales!$H$35="Todos",'Plan mensual'!K61,0))+parametros_manuales!$E$35*('Plan mensual'!K58+IF(parametros_manuales!$H$35="Todos",'Plan mensual'!K62,0))+parametros_manuales!$F$35*('Plan mensual'!K59+IF(parametros_manuales!$H$35="Todos",'Plan mensual'!K63,0))+parametros_manuales!$G$35*('Plan mensual'!K60+IF(parametros_manuales!$H$35="Todos",'Plan mensual'!K64,0)))*parametros_manuales!$I$35*parametros_manuales!$J$35</f>
        <v>9444.54</v>
      </c>
      <c r="J153" s="4">
        <f>(parametros_manuales!$D$35*('Plan mensual'!L57+IF(parametros_manuales!$H$35="Todos",'Plan mensual'!L61,0))+parametros_manuales!$E$35*('Plan mensual'!L58+IF(parametros_manuales!$H$35="Todos",'Plan mensual'!L62,0))+parametros_manuales!$F$35*('Plan mensual'!L59+IF(parametros_manuales!$H$35="Todos",'Plan mensual'!L63,0))+parametros_manuales!$G$35*('Plan mensual'!L60+IF(parametros_manuales!$H$35="Todos",'Plan mensual'!L64,0)))*parametros_manuales!$I$35*parametros_manuales!$J$35</f>
        <v>9444.54</v>
      </c>
      <c r="K153" s="4">
        <f>(parametros_manuales!$D$35*('Plan mensual'!M57+IF(parametros_manuales!$H$35="Todos",'Plan mensual'!M61,0))+parametros_manuales!$E$35*('Plan mensual'!M58+IF(parametros_manuales!$H$35="Todos",'Plan mensual'!M62,0))+parametros_manuales!$F$35*('Plan mensual'!M59+IF(parametros_manuales!$H$35="Todos",'Plan mensual'!M63,0))+parametros_manuales!$G$35*('Plan mensual'!M60+IF(parametros_manuales!$H$35="Todos",'Plan mensual'!M64,0)))*parametros_manuales!$I$35*parametros_manuales!$J$35</f>
        <v>9263.475</v>
      </c>
      <c r="L153" s="4">
        <f>(parametros_manuales!$D$35*('Plan mensual'!N57+IF(parametros_manuales!$H$35="Todos",'Plan mensual'!N61,0))+parametros_manuales!$E$35*('Plan mensual'!N58+IF(parametros_manuales!$H$35="Todos",'Plan mensual'!N62,0))+parametros_manuales!$F$35*('Plan mensual'!N59+IF(parametros_manuales!$H$35="Todos",'Plan mensual'!N63,0))+parametros_manuales!$G$35*('Plan mensual'!N60+IF(parametros_manuales!$H$35="Todos",'Plan mensual'!N64,0)))*parametros_manuales!$I$35*parametros_manuales!$J$35</f>
        <v>9082.41</v>
      </c>
      <c r="M153" s="4">
        <f>(parametros_manuales!$D$35*('Plan mensual'!O57+IF(parametros_manuales!$H$35="Todos",'Plan mensual'!O61,0))+parametros_manuales!$E$35*('Plan mensual'!O58+IF(parametros_manuales!$H$35="Todos",'Plan mensual'!O62,0))+parametros_manuales!$F$35*('Plan mensual'!O59+IF(parametros_manuales!$H$35="Todos",'Plan mensual'!O63,0))+parametros_manuales!$G$35*('Plan mensual'!O60+IF(parametros_manuales!$H$35="Todos",'Plan mensual'!O64,0)))*parametros_manuales!$I$35*parametros_manuales!$J$35</f>
        <v>14459.43</v>
      </c>
      <c r="N153" s="4">
        <f t="shared" si="16"/>
        <v>123513</v>
      </c>
      <c r="O153" s="4">
        <f t="shared" si="17"/>
        <v>14459.43</v>
      </c>
      <c r="P153" s="27">
        <f>O153/(parametros_manuales!$B$7)</f>
        <v>96.3962</v>
      </c>
      <c r="Q153" s="3" t="str">
        <f t="shared" si="18"/>
        <v>Dic</v>
      </c>
    </row>
    <row r="154" ht="14.25" customHeight="1">
      <c r="A154" s="3" t="str">
        <f>parametros_manuales!$B$36</f>
        <v>Corrección de defectos</v>
      </c>
      <c r="B154" s="4">
        <f>(parametros_manuales!$D$36*('Plan mensual'!D57+IF(parametros_manuales!$H$36="Todos",'Plan mensual'!D61,0))+parametros_manuales!$E$36*('Plan mensual'!D58+IF(parametros_manuales!$H$36="Todos",'Plan mensual'!D62,0))+parametros_manuales!$F$36*('Plan mensual'!D59+IF(parametros_manuales!$H$36="Todos",'Plan mensual'!D63,0))+parametros_manuales!$G$36*('Plan mensual'!D60+IF(parametros_manuales!$H$36="Todos",'Plan mensual'!D64,0)))*parametros_manuales!$I$36*parametros_manuales!$J$36</f>
        <v>704.865</v>
      </c>
      <c r="C154" s="4">
        <f>(parametros_manuales!$D$36*('Plan mensual'!E57+IF(parametros_manuales!$H$36="Todos",'Plan mensual'!E61,0))+parametros_manuales!$E$36*('Plan mensual'!E58+IF(parametros_manuales!$H$36="Todos",'Plan mensual'!E62,0))+parametros_manuales!$F$36*('Plan mensual'!E59+IF(parametros_manuales!$H$36="Todos",'Plan mensual'!E63,0))+parametros_manuales!$G$36*('Plan mensual'!E60+IF(parametros_manuales!$H$36="Todos",'Plan mensual'!E64,0)))*parametros_manuales!$I$36*parametros_manuales!$J$36</f>
        <v>537.702</v>
      </c>
      <c r="D154" s="4">
        <f>(parametros_manuales!$D$36*('Plan mensual'!F57+IF(parametros_manuales!$H$36="Todos",'Plan mensual'!F61,0))+parametros_manuales!$E$36*('Plan mensual'!F58+IF(parametros_manuales!$H$36="Todos",'Plan mensual'!F62,0))+parametros_manuales!$F$36*('Plan mensual'!F59+IF(parametros_manuales!$H$36="Todos",'Plan mensual'!F63,0))+parametros_manuales!$G$36*('Plan mensual'!F60+IF(parametros_manuales!$H$36="Todos",'Plan mensual'!F64,0)))*parametros_manuales!$I$36*parametros_manuales!$J$36</f>
        <v>503.10525</v>
      </c>
      <c r="E154" s="4">
        <f>(parametros_manuales!$D$36*('Plan mensual'!G57+IF(parametros_manuales!$H$36="Todos",'Plan mensual'!G61,0))+parametros_manuales!$E$36*('Plan mensual'!G58+IF(parametros_manuales!$H$36="Todos",'Plan mensual'!G62,0))+parametros_manuales!$F$36*('Plan mensual'!G59+IF(parametros_manuales!$H$36="Todos",'Plan mensual'!G63,0))+parametros_manuales!$G$36*('Plan mensual'!G60+IF(parametros_manuales!$H$36="Todos",'Plan mensual'!G64,0)))*parametros_manuales!$I$36*parametros_manuales!$J$36</f>
        <v>481.28025</v>
      </c>
      <c r="F154" s="4">
        <f>(parametros_manuales!$D$36*('Plan mensual'!H57+IF(parametros_manuales!$H$36="Todos",'Plan mensual'!H61,0))+parametros_manuales!$E$36*('Plan mensual'!H58+IF(parametros_manuales!$H$36="Todos",'Plan mensual'!H62,0))+parametros_manuales!$F$36*('Plan mensual'!H59+IF(parametros_manuales!$H$36="Todos",'Plan mensual'!H63,0))+parametros_manuales!$G$36*('Plan mensual'!H60+IF(parametros_manuales!$H$36="Todos",'Plan mensual'!H64,0)))*parametros_manuales!$I$36*parametros_manuales!$J$36</f>
        <v>450.402</v>
      </c>
      <c r="G154" s="4">
        <f>(parametros_manuales!$D$36*('Plan mensual'!I57+IF(parametros_manuales!$H$36="Todos",'Plan mensual'!I61,0))+parametros_manuales!$E$36*('Plan mensual'!I58+IF(parametros_manuales!$H$36="Todos",'Plan mensual'!I62,0))+parametros_manuales!$F$36*('Plan mensual'!I59+IF(parametros_manuales!$H$36="Todos",'Plan mensual'!I63,0))+parametros_manuales!$G$36*('Plan mensual'!I60+IF(parametros_manuales!$H$36="Todos",'Plan mensual'!I64,0)))*parametros_manuales!$I$36*parametros_manuales!$J$36</f>
        <v>441.34875</v>
      </c>
      <c r="H154" s="4">
        <f>(parametros_manuales!$D$36*('Plan mensual'!J57+IF(parametros_manuales!$H$36="Todos",'Plan mensual'!J61,0))+parametros_manuales!$E$36*('Plan mensual'!J58+IF(parametros_manuales!$H$36="Todos",'Plan mensual'!J62,0))+parametros_manuales!$F$36*('Plan mensual'!J59+IF(parametros_manuales!$H$36="Todos",'Plan mensual'!J63,0))+parametros_manuales!$G$36*('Plan mensual'!J60+IF(parametros_manuales!$H$36="Todos",'Plan mensual'!J64,0)))*parametros_manuales!$I$36*parametros_manuales!$J$36</f>
        <v>472.227</v>
      </c>
      <c r="I154" s="4">
        <f>(parametros_manuales!$D$36*('Plan mensual'!K57+IF(parametros_manuales!$H$36="Todos",'Plan mensual'!K61,0))+parametros_manuales!$E$36*('Plan mensual'!K58+IF(parametros_manuales!$H$36="Todos",'Plan mensual'!K62,0))+parametros_manuales!$F$36*('Plan mensual'!K59+IF(parametros_manuales!$H$36="Todos",'Plan mensual'!K63,0))+parametros_manuales!$G$36*('Plan mensual'!K60+IF(parametros_manuales!$H$36="Todos",'Plan mensual'!K64,0)))*parametros_manuales!$I$36*parametros_manuales!$J$36</f>
        <v>472.227</v>
      </c>
      <c r="J154" s="4">
        <f>(parametros_manuales!$D$36*('Plan mensual'!L57+IF(parametros_manuales!$H$36="Todos",'Plan mensual'!L61,0))+parametros_manuales!$E$36*('Plan mensual'!L58+IF(parametros_manuales!$H$36="Todos",'Plan mensual'!L62,0))+parametros_manuales!$F$36*('Plan mensual'!L59+IF(parametros_manuales!$H$36="Todos",'Plan mensual'!L63,0))+parametros_manuales!$G$36*('Plan mensual'!L60+IF(parametros_manuales!$H$36="Todos",'Plan mensual'!L64,0)))*parametros_manuales!$I$36*parametros_manuales!$J$36</f>
        <v>472.227</v>
      </c>
      <c r="K154" s="4">
        <f>(parametros_manuales!$D$36*('Plan mensual'!M57+IF(parametros_manuales!$H$36="Todos",'Plan mensual'!M61,0))+parametros_manuales!$E$36*('Plan mensual'!M58+IF(parametros_manuales!$H$36="Todos",'Plan mensual'!M62,0))+parametros_manuales!$F$36*('Plan mensual'!M59+IF(parametros_manuales!$H$36="Todos",'Plan mensual'!M63,0))+parametros_manuales!$G$36*('Plan mensual'!M60+IF(parametros_manuales!$H$36="Todos",'Plan mensual'!M64,0)))*parametros_manuales!$I$36*parametros_manuales!$J$36</f>
        <v>463.17375</v>
      </c>
      <c r="L154" s="4">
        <f>(parametros_manuales!$D$36*('Plan mensual'!N57+IF(parametros_manuales!$H$36="Todos",'Plan mensual'!N61,0))+parametros_manuales!$E$36*('Plan mensual'!N58+IF(parametros_manuales!$H$36="Todos",'Plan mensual'!N62,0))+parametros_manuales!$F$36*('Plan mensual'!N59+IF(parametros_manuales!$H$36="Todos",'Plan mensual'!N63,0))+parametros_manuales!$G$36*('Plan mensual'!N60+IF(parametros_manuales!$H$36="Todos",'Plan mensual'!N64,0)))*parametros_manuales!$I$36*parametros_manuales!$J$36</f>
        <v>454.1205</v>
      </c>
      <c r="M154" s="4">
        <f>(parametros_manuales!$D$36*('Plan mensual'!O57+IF(parametros_manuales!$H$36="Todos",'Plan mensual'!O61,0))+parametros_manuales!$E$36*('Plan mensual'!O58+IF(parametros_manuales!$H$36="Todos",'Plan mensual'!O62,0))+parametros_manuales!$F$36*('Plan mensual'!O59+IF(parametros_manuales!$H$36="Todos",'Plan mensual'!O63,0))+parametros_manuales!$G$36*('Plan mensual'!O60+IF(parametros_manuales!$H$36="Todos",'Plan mensual'!O64,0)))*parametros_manuales!$I$36*parametros_manuales!$J$36</f>
        <v>722.9715</v>
      </c>
      <c r="N154" s="4">
        <f t="shared" si="16"/>
        <v>6175.65</v>
      </c>
      <c r="O154" s="4">
        <f t="shared" si="17"/>
        <v>722.9715</v>
      </c>
      <c r="P154" s="27">
        <f>O154/(parametros_manuales!$B$7)</f>
        <v>4.81981</v>
      </c>
      <c r="Q154" s="3" t="str">
        <f t="shared" si="18"/>
        <v>Dic</v>
      </c>
    </row>
    <row r="155" ht="14.25" customHeight="1">
      <c r="A155" s="3" t="str">
        <f>parametros_manuales!$B$37</f>
        <v>Pintura en polvo + horno</v>
      </c>
      <c r="B155" s="4">
        <f>(parametros_manuales!$D$37*('Plan mensual'!D57+IF(parametros_manuales!$H$37="Todos",'Plan mensual'!D61,0))+parametros_manuales!$E$37*('Plan mensual'!D58+IF(parametros_manuales!$H$37="Todos",'Plan mensual'!D62,0))+parametros_manuales!$F$37*('Plan mensual'!D59+IF(parametros_manuales!$H$37="Todos",'Plan mensual'!D63,0))+parametros_manuales!$G$37*('Plan mensual'!D60+IF(parametros_manuales!$H$37="Todos",'Plan mensual'!D64,0)))*parametros_manuales!$I$37*parametros_manuales!$J$37</f>
        <v>14097.3</v>
      </c>
      <c r="C155" s="4">
        <f>(parametros_manuales!$D$37*('Plan mensual'!E57+IF(parametros_manuales!$H$37="Todos",'Plan mensual'!E61,0))+parametros_manuales!$E$37*('Plan mensual'!E58+IF(parametros_manuales!$H$37="Todos",'Plan mensual'!E62,0))+parametros_manuales!$F$37*('Plan mensual'!E59+IF(parametros_manuales!$H$37="Todos",'Plan mensual'!E63,0))+parametros_manuales!$G$37*('Plan mensual'!E60+IF(parametros_manuales!$H$37="Todos",'Plan mensual'!E64,0)))*parametros_manuales!$I$37*parametros_manuales!$J$37</f>
        <v>10754.04</v>
      </c>
      <c r="D155" s="4">
        <f>(parametros_manuales!$D$37*('Plan mensual'!F57+IF(parametros_manuales!$H$37="Todos",'Plan mensual'!F61,0))+parametros_manuales!$E$37*('Plan mensual'!F58+IF(parametros_manuales!$H$37="Todos",'Plan mensual'!F62,0))+parametros_manuales!$F$37*('Plan mensual'!F59+IF(parametros_manuales!$H$37="Todos",'Plan mensual'!F63,0))+parametros_manuales!$G$37*('Plan mensual'!F60+IF(parametros_manuales!$H$37="Todos",'Plan mensual'!F64,0)))*parametros_manuales!$I$37*parametros_manuales!$J$37</f>
        <v>10062.105</v>
      </c>
      <c r="E155" s="4">
        <f>(parametros_manuales!$D$37*('Plan mensual'!G57+IF(parametros_manuales!$H$37="Todos",'Plan mensual'!G61,0))+parametros_manuales!$E$37*('Plan mensual'!G58+IF(parametros_manuales!$H$37="Todos",'Plan mensual'!G62,0))+parametros_manuales!$F$37*('Plan mensual'!G59+IF(parametros_manuales!$H$37="Todos",'Plan mensual'!G63,0))+parametros_manuales!$G$37*('Plan mensual'!G60+IF(parametros_manuales!$H$37="Todos",'Plan mensual'!G64,0)))*parametros_manuales!$I$37*parametros_manuales!$J$37</f>
        <v>9625.605</v>
      </c>
      <c r="F155" s="4">
        <f>(parametros_manuales!$D$37*('Plan mensual'!H57+IF(parametros_manuales!$H$37="Todos",'Plan mensual'!H61,0))+parametros_manuales!$E$37*('Plan mensual'!H58+IF(parametros_manuales!$H$37="Todos",'Plan mensual'!H62,0))+parametros_manuales!$F$37*('Plan mensual'!H59+IF(parametros_manuales!$H$37="Todos",'Plan mensual'!H63,0))+parametros_manuales!$G$37*('Plan mensual'!H60+IF(parametros_manuales!$H$37="Todos",'Plan mensual'!H64,0)))*parametros_manuales!$I$37*parametros_manuales!$J$37</f>
        <v>9008.04</v>
      </c>
      <c r="G155" s="4">
        <f>(parametros_manuales!$D$37*('Plan mensual'!I57+IF(parametros_manuales!$H$37="Todos",'Plan mensual'!I61,0))+parametros_manuales!$E$37*('Plan mensual'!I58+IF(parametros_manuales!$H$37="Todos",'Plan mensual'!I62,0))+parametros_manuales!$F$37*('Plan mensual'!I59+IF(parametros_manuales!$H$37="Todos",'Plan mensual'!I63,0))+parametros_manuales!$G$37*('Plan mensual'!I60+IF(parametros_manuales!$H$37="Todos",'Plan mensual'!I64,0)))*parametros_manuales!$I$37*parametros_manuales!$J$37</f>
        <v>8826.975</v>
      </c>
      <c r="H155" s="4">
        <f>(parametros_manuales!$D$37*('Plan mensual'!J57+IF(parametros_manuales!$H$37="Todos",'Plan mensual'!J61,0))+parametros_manuales!$E$37*('Plan mensual'!J58+IF(parametros_manuales!$H$37="Todos",'Plan mensual'!J62,0))+parametros_manuales!$F$37*('Plan mensual'!J59+IF(parametros_manuales!$H$37="Todos",'Plan mensual'!J63,0))+parametros_manuales!$G$37*('Plan mensual'!J60+IF(parametros_manuales!$H$37="Todos",'Plan mensual'!J64,0)))*parametros_manuales!$I$37*parametros_manuales!$J$37</f>
        <v>9444.54</v>
      </c>
      <c r="I155" s="4">
        <f>(parametros_manuales!$D$37*('Plan mensual'!K57+IF(parametros_manuales!$H$37="Todos",'Plan mensual'!K61,0))+parametros_manuales!$E$37*('Plan mensual'!K58+IF(parametros_manuales!$H$37="Todos",'Plan mensual'!K62,0))+parametros_manuales!$F$37*('Plan mensual'!K59+IF(parametros_manuales!$H$37="Todos",'Plan mensual'!K63,0))+parametros_manuales!$G$37*('Plan mensual'!K60+IF(parametros_manuales!$H$37="Todos",'Plan mensual'!K64,0)))*parametros_manuales!$I$37*parametros_manuales!$J$37</f>
        <v>9444.54</v>
      </c>
      <c r="J155" s="4">
        <f>(parametros_manuales!$D$37*('Plan mensual'!L57+IF(parametros_manuales!$H$37="Todos",'Plan mensual'!L61,0))+parametros_manuales!$E$37*('Plan mensual'!L58+IF(parametros_manuales!$H$37="Todos",'Plan mensual'!L62,0))+parametros_manuales!$F$37*('Plan mensual'!L59+IF(parametros_manuales!$H$37="Todos",'Plan mensual'!L63,0))+parametros_manuales!$G$37*('Plan mensual'!L60+IF(parametros_manuales!$H$37="Todos",'Plan mensual'!L64,0)))*parametros_manuales!$I$37*parametros_manuales!$J$37</f>
        <v>9444.54</v>
      </c>
      <c r="K155" s="4">
        <f>(parametros_manuales!$D$37*('Plan mensual'!M57+IF(parametros_manuales!$H$37="Todos",'Plan mensual'!M61,0))+parametros_manuales!$E$37*('Plan mensual'!M58+IF(parametros_manuales!$H$37="Todos",'Plan mensual'!M62,0))+parametros_manuales!$F$37*('Plan mensual'!M59+IF(parametros_manuales!$H$37="Todos",'Plan mensual'!M63,0))+parametros_manuales!$G$37*('Plan mensual'!M60+IF(parametros_manuales!$H$37="Todos",'Plan mensual'!M64,0)))*parametros_manuales!$I$37*parametros_manuales!$J$37</f>
        <v>9263.475</v>
      </c>
      <c r="L155" s="4">
        <f>(parametros_manuales!$D$37*('Plan mensual'!N57+IF(parametros_manuales!$H$37="Todos",'Plan mensual'!N61,0))+parametros_manuales!$E$37*('Plan mensual'!N58+IF(parametros_manuales!$H$37="Todos",'Plan mensual'!N62,0))+parametros_manuales!$F$37*('Plan mensual'!N59+IF(parametros_manuales!$H$37="Todos",'Plan mensual'!N63,0))+parametros_manuales!$G$37*('Plan mensual'!N60+IF(parametros_manuales!$H$37="Todos",'Plan mensual'!N64,0)))*parametros_manuales!$I$37*parametros_manuales!$J$37</f>
        <v>9082.41</v>
      </c>
      <c r="M155" s="4">
        <f>(parametros_manuales!$D$37*('Plan mensual'!O57+IF(parametros_manuales!$H$37="Todos",'Plan mensual'!O61,0))+parametros_manuales!$E$37*('Plan mensual'!O58+IF(parametros_manuales!$H$37="Todos",'Plan mensual'!O62,0))+parametros_manuales!$F$37*('Plan mensual'!O59+IF(parametros_manuales!$H$37="Todos",'Plan mensual'!O63,0))+parametros_manuales!$G$37*('Plan mensual'!O60+IF(parametros_manuales!$H$37="Todos",'Plan mensual'!O64,0)))*parametros_manuales!$I$37*parametros_manuales!$J$37</f>
        <v>14459.43</v>
      </c>
      <c r="N155" s="4">
        <f t="shared" si="16"/>
        <v>123513</v>
      </c>
      <c r="O155" s="4">
        <f t="shared" si="17"/>
        <v>14459.43</v>
      </c>
      <c r="P155" s="27">
        <f>O155/(parametros_manuales!$B$7)</f>
        <v>96.3962</v>
      </c>
      <c r="Q155" s="3" t="str">
        <f t="shared" si="18"/>
        <v>Dic</v>
      </c>
    </row>
    <row r="156" ht="14.25" customHeight="1">
      <c r="A156" s="3" t="str">
        <f>parametros_manuales!$B$38</f>
        <v>Carga de polvo</v>
      </c>
      <c r="B156" s="4">
        <f>(parametros_manuales!$D$38*('Plan mensual'!D57+IF(parametros_manuales!$H$38="Todos",'Plan mensual'!D61,0))+parametros_manuales!$E$38*('Plan mensual'!D58+IF(parametros_manuales!$H$38="Todos",'Plan mensual'!D62,0))+parametros_manuales!$F$38*('Plan mensual'!D59+IF(parametros_manuales!$H$38="Todos",'Plan mensual'!D63,0))+parametros_manuales!$G$38*('Plan mensual'!D60+IF(parametros_manuales!$H$38="Todos",'Plan mensual'!D64,0)))*parametros_manuales!$I$38*parametros_manuales!$J$38</f>
        <v>3747.4</v>
      </c>
      <c r="C156" s="4">
        <f>(parametros_manuales!$D$38*('Plan mensual'!E57+IF(parametros_manuales!$H$38="Todos",'Plan mensual'!E61,0))+parametros_manuales!$E$38*('Plan mensual'!E58+IF(parametros_manuales!$H$38="Todos",'Plan mensual'!E62,0))+parametros_manuales!$F$38*('Plan mensual'!E59+IF(parametros_manuales!$H$38="Todos",'Plan mensual'!E63,0))+parametros_manuales!$G$38*('Plan mensual'!E60+IF(parametros_manuales!$H$38="Todos",'Plan mensual'!E64,0)))*parametros_manuales!$I$38*parametros_manuales!$J$38</f>
        <v>2904.2</v>
      </c>
      <c r="D156" s="4">
        <f>(parametros_manuales!$D$38*('Plan mensual'!F57+IF(parametros_manuales!$H$38="Todos",'Plan mensual'!F61,0))+parametros_manuales!$E$38*('Plan mensual'!F58+IF(parametros_manuales!$H$38="Todos",'Plan mensual'!F62,0))+parametros_manuales!$F$38*('Plan mensual'!F59+IF(parametros_manuales!$H$38="Todos",'Plan mensual'!F63,0))+parametros_manuales!$G$38*('Plan mensual'!F60+IF(parametros_manuales!$H$38="Todos",'Plan mensual'!F64,0)))*parametros_manuales!$I$38*parametros_manuales!$J$38</f>
        <v>2841.65</v>
      </c>
      <c r="E156" s="4">
        <f>(parametros_manuales!$D$38*('Plan mensual'!G57+IF(parametros_manuales!$H$38="Todos",'Plan mensual'!G61,0))+parametros_manuales!$E$38*('Plan mensual'!G58+IF(parametros_manuales!$H$38="Todos",'Plan mensual'!G62,0))+parametros_manuales!$F$38*('Plan mensual'!G59+IF(parametros_manuales!$H$38="Todos",'Plan mensual'!G63,0))+parametros_manuales!$G$38*('Plan mensual'!G60+IF(parametros_manuales!$H$38="Todos",'Plan mensual'!G64,0)))*parametros_manuales!$I$38*parametros_manuales!$J$38</f>
        <v>2763.55</v>
      </c>
      <c r="F156" s="4">
        <f>(parametros_manuales!$D$38*('Plan mensual'!H57+IF(parametros_manuales!$H$38="Todos",'Plan mensual'!H61,0))+parametros_manuales!$E$38*('Plan mensual'!H58+IF(parametros_manuales!$H$38="Todos",'Plan mensual'!H62,0))+parametros_manuales!$F$38*('Plan mensual'!H59+IF(parametros_manuales!$H$38="Todos",'Plan mensual'!H63,0))+parametros_manuales!$G$38*('Plan mensual'!H60+IF(parametros_manuales!$H$38="Todos",'Plan mensual'!H64,0)))*parametros_manuales!$I$38*parametros_manuales!$J$38</f>
        <v>2591.8</v>
      </c>
      <c r="G156" s="4">
        <f>(parametros_manuales!$D$38*('Plan mensual'!I57+IF(parametros_manuales!$H$38="Todos",'Plan mensual'!I61,0))+parametros_manuales!$E$38*('Plan mensual'!I58+IF(parametros_manuales!$H$38="Todos",'Plan mensual'!I62,0))+parametros_manuales!$F$38*('Plan mensual'!I59+IF(parametros_manuales!$H$38="Todos",'Plan mensual'!I63,0))+parametros_manuales!$G$38*('Plan mensual'!I60+IF(parametros_manuales!$H$38="Todos",'Plan mensual'!I64,0)))*parametros_manuales!$I$38*parametros_manuales!$J$38</f>
        <v>2498.15</v>
      </c>
      <c r="H156" s="4">
        <f>(parametros_manuales!$D$38*('Plan mensual'!J57+IF(parametros_manuales!$H$38="Todos",'Plan mensual'!J61,0))+parametros_manuales!$E$38*('Plan mensual'!J58+IF(parametros_manuales!$H$38="Todos",'Plan mensual'!J62,0))+parametros_manuales!$F$38*('Plan mensual'!J59+IF(parametros_manuales!$H$38="Todos",'Plan mensual'!J63,0))+parametros_manuales!$G$38*('Plan mensual'!J60+IF(parametros_manuales!$H$38="Todos",'Plan mensual'!J64,0)))*parametros_manuales!$I$38*parametros_manuales!$J$38</f>
        <v>2669.9</v>
      </c>
      <c r="I156" s="4">
        <f>(parametros_manuales!$D$38*('Plan mensual'!K57+IF(parametros_manuales!$H$38="Todos",'Plan mensual'!K61,0))+parametros_manuales!$E$38*('Plan mensual'!K58+IF(parametros_manuales!$H$38="Todos",'Plan mensual'!K62,0))+parametros_manuales!$F$38*('Plan mensual'!K59+IF(parametros_manuales!$H$38="Todos",'Plan mensual'!K63,0))+parametros_manuales!$G$38*('Plan mensual'!K60+IF(parametros_manuales!$H$38="Todos",'Plan mensual'!K64,0)))*parametros_manuales!$I$38*parametros_manuales!$J$38</f>
        <v>2669.9</v>
      </c>
      <c r="J156" s="4">
        <f>(parametros_manuales!$D$38*('Plan mensual'!L57+IF(parametros_manuales!$H$38="Todos",'Plan mensual'!L61,0))+parametros_manuales!$E$38*('Plan mensual'!L58+IF(parametros_manuales!$H$38="Todos",'Plan mensual'!L62,0))+parametros_manuales!$F$38*('Plan mensual'!L59+IF(parametros_manuales!$H$38="Todos",'Plan mensual'!L63,0))+parametros_manuales!$G$38*('Plan mensual'!L60+IF(parametros_manuales!$H$38="Todos",'Plan mensual'!L64,0)))*parametros_manuales!$I$38*parametros_manuales!$J$38</f>
        <v>2669.9</v>
      </c>
      <c r="K156" s="4">
        <f>(parametros_manuales!$D$38*('Plan mensual'!M57+IF(parametros_manuales!$H$38="Todos",'Plan mensual'!M61,0))+parametros_manuales!$E$38*('Plan mensual'!M58+IF(parametros_manuales!$H$38="Todos",'Plan mensual'!M62,0))+parametros_manuales!$F$38*('Plan mensual'!M59+IF(parametros_manuales!$H$38="Todos",'Plan mensual'!M63,0))+parametros_manuales!$G$38*('Plan mensual'!M60+IF(parametros_manuales!$H$38="Todos",'Plan mensual'!M64,0)))*parametros_manuales!$I$38*parametros_manuales!$J$38</f>
        <v>2576.25</v>
      </c>
      <c r="L156" s="4">
        <f>(parametros_manuales!$D$38*('Plan mensual'!N57+IF(parametros_manuales!$H$38="Todos",'Plan mensual'!N61,0))+parametros_manuales!$E$38*('Plan mensual'!N58+IF(parametros_manuales!$H$38="Todos",'Plan mensual'!N62,0))+parametros_manuales!$F$38*('Plan mensual'!N59+IF(parametros_manuales!$H$38="Todos",'Plan mensual'!N63,0))+parametros_manuales!$G$38*('Plan mensual'!N60+IF(parametros_manuales!$H$38="Todos",'Plan mensual'!N64,0)))*parametros_manuales!$I$38*parametros_manuales!$J$38</f>
        <v>2482.6</v>
      </c>
      <c r="M156" s="4">
        <f>(parametros_manuales!$D$38*('Plan mensual'!O57+IF(parametros_manuales!$H$38="Todos",'Plan mensual'!O61,0))+parametros_manuales!$E$38*('Plan mensual'!O58+IF(parametros_manuales!$H$38="Todos",'Plan mensual'!O62,0))+parametros_manuales!$F$38*('Plan mensual'!O59+IF(parametros_manuales!$H$38="Todos",'Plan mensual'!O63,0))+parametros_manuales!$G$38*('Plan mensual'!O60+IF(parametros_manuales!$H$38="Todos",'Plan mensual'!O64,0)))*parametros_manuales!$I$38*parametros_manuales!$J$38</f>
        <v>3934.7</v>
      </c>
      <c r="N156" s="4">
        <f t="shared" si="16"/>
        <v>34350</v>
      </c>
      <c r="O156" s="4">
        <f t="shared" si="17"/>
        <v>3934.7</v>
      </c>
      <c r="P156" s="27">
        <f>O156/(parametros_manuales!$B$7)</f>
        <v>26.23133333</v>
      </c>
      <c r="Q156" s="3" t="str">
        <f t="shared" si="18"/>
        <v>Dic</v>
      </c>
    </row>
    <row r="157" ht="14.25" customHeight="1">
      <c r="A157" s="3" t="str">
        <f>parametros_manuales!$B$39</f>
        <v>Ensamblaje</v>
      </c>
      <c r="B157" s="4">
        <f>(parametros_manuales!$D$39*('Plan mensual'!D57+IF(parametros_manuales!$H$39="Todos",'Plan mensual'!D61,0))+parametros_manuales!$E$39*('Plan mensual'!D58+IF(parametros_manuales!$H$39="Todos",'Plan mensual'!D62,0))+parametros_manuales!$F$39*('Plan mensual'!D59+IF(parametros_manuales!$H$39="Todos",'Plan mensual'!D63,0))+parametros_manuales!$G$39*('Plan mensual'!D60+IF(parametros_manuales!$H$39="Todos",'Plan mensual'!D64,0)))*parametros_manuales!$I$39*parametros_manuales!$J$39</f>
        <v>3747.4</v>
      </c>
      <c r="C157" s="4">
        <f>(parametros_manuales!$D$39*('Plan mensual'!E57+IF(parametros_manuales!$H$39="Todos",'Plan mensual'!E61,0))+parametros_manuales!$E$39*('Plan mensual'!E58+IF(parametros_manuales!$H$39="Todos",'Plan mensual'!E62,0))+parametros_manuales!$F$39*('Plan mensual'!E59+IF(parametros_manuales!$H$39="Todos",'Plan mensual'!E63,0))+parametros_manuales!$G$39*('Plan mensual'!E60+IF(parametros_manuales!$H$39="Todos",'Plan mensual'!E64,0)))*parametros_manuales!$I$39*parametros_manuales!$J$39</f>
        <v>2904.2</v>
      </c>
      <c r="D157" s="4">
        <f>(parametros_manuales!$D$39*('Plan mensual'!F57+IF(parametros_manuales!$H$39="Todos",'Plan mensual'!F61,0))+parametros_manuales!$E$39*('Plan mensual'!F58+IF(parametros_manuales!$H$39="Todos",'Plan mensual'!F62,0))+parametros_manuales!$F$39*('Plan mensual'!F59+IF(parametros_manuales!$H$39="Todos",'Plan mensual'!F63,0))+parametros_manuales!$G$39*('Plan mensual'!F60+IF(parametros_manuales!$H$39="Todos",'Plan mensual'!F64,0)))*parametros_manuales!$I$39*parametros_manuales!$J$39</f>
        <v>2841.65</v>
      </c>
      <c r="E157" s="4">
        <f>(parametros_manuales!$D$39*('Plan mensual'!G57+IF(parametros_manuales!$H$39="Todos",'Plan mensual'!G61,0))+parametros_manuales!$E$39*('Plan mensual'!G58+IF(parametros_manuales!$H$39="Todos",'Plan mensual'!G62,0))+parametros_manuales!$F$39*('Plan mensual'!G59+IF(parametros_manuales!$H$39="Todos",'Plan mensual'!G63,0))+parametros_manuales!$G$39*('Plan mensual'!G60+IF(parametros_manuales!$H$39="Todos",'Plan mensual'!G64,0)))*parametros_manuales!$I$39*parametros_manuales!$J$39</f>
        <v>2763.55</v>
      </c>
      <c r="F157" s="4">
        <f>(parametros_manuales!$D$39*('Plan mensual'!H57+IF(parametros_manuales!$H$39="Todos",'Plan mensual'!H61,0))+parametros_manuales!$E$39*('Plan mensual'!H58+IF(parametros_manuales!$H$39="Todos",'Plan mensual'!H62,0))+parametros_manuales!$F$39*('Plan mensual'!H59+IF(parametros_manuales!$H$39="Todos",'Plan mensual'!H63,0))+parametros_manuales!$G$39*('Plan mensual'!H60+IF(parametros_manuales!$H$39="Todos",'Plan mensual'!H64,0)))*parametros_manuales!$I$39*parametros_manuales!$J$39</f>
        <v>2591.8</v>
      </c>
      <c r="G157" s="4">
        <f>(parametros_manuales!$D$39*('Plan mensual'!I57+IF(parametros_manuales!$H$39="Todos",'Plan mensual'!I61,0))+parametros_manuales!$E$39*('Plan mensual'!I58+IF(parametros_manuales!$H$39="Todos",'Plan mensual'!I62,0))+parametros_manuales!$F$39*('Plan mensual'!I59+IF(parametros_manuales!$H$39="Todos",'Plan mensual'!I63,0))+parametros_manuales!$G$39*('Plan mensual'!I60+IF(parametros_manuales!$H$39="Todos",'Plan mensual'!I64,0)))*parametros_manuales!$I$39*parametros_manuales!$J$39</f>
        <v>2498.15</v>
      </c>
      <c r="H157" s="4">
        <f>(parametros_manuales!$D$39*('Plan mensual'!J57+IF(parametros_manuales!$H$39="Todos",'Plan mensual'!J61,0))+parametros_manuales!$E$39*('Plan mensual'!J58+IF(parametros_manuales!$H$39="Todos",'Plan mensual'!J62,0))+parametros_manuales!$F$39*('Plan mensual'!J59+IF(parametros_manuales!$H$39="Todos",'Plan mensual'!J63,0))+parametros_manuales!$G$39*('Plan mensual'!J60+IF(parametros_manuales!$H$39="Todos",'Plan mensual'!J64,0)))*parametros_manuales!$I$39*parametros_manuales!$J$39</f>
        <v>2669.9</v>
      </c>
      <c r="I157" s="4">
        <f>(parametros_manuales!$D$39*('Plan mensual'!K57+IF(parametros_manuales!$H$39="Todos",'Plan mensual'!K61,0))+parametros_manuales!$E$39*('Plan mensual'!K58+IF(parametros_manuales!$H$39="Todos",'Plan mensual'!K62,0))+parametros_manuales!$F$39*('Plan mensual'!K59+IF(parametros_manuales!$H$39="Todos",'Plan mensual'!K63,0))+parametros_manuales!$G$39*('Plan mensual'!K60+IF(parametros_manuales!$H$39="Todos",'Plan mensual'!K64,0)))*parametros_manuales!$I$39*parametros_manuales!$J$39</f>
        <v>2669.9</v>
      </c>
      <c r="J157" s="4">
        <f>(parametros_manuales!$D$39*('Plan mensual'!L57+IF(parametros_manuales!$H$39="Todos",'Plan mensual'!L61,0))+parametros_manuales!$E$39*('Plan mensual'!L58+IF(parametros_manuales!$H$39="Todos",'Plan mensual'!L62,0))+parametros_manuales!$F$39*('Plan mensual'!L59+IF(parametros_manuales!$H$39="Todos",'Plan mensual'!L63,0))+parametros_manuales!$G$39*('Plan mensual'!L60+IF(parametros_manuales!$H$39="Todos",'Plan mensual'!L64,0)))*parametros_manuales!$I$39*parametros_manuales!$J$39</f>
        <v>2669.9</v>
      </c>
      <c r="K157" s="4">
        <f>(parametros_manuales!$D$39*('Plan mensual'!M57+IF(parametros_manuales!$H$39="Todos",'Plan mensual'!M61,0))+parametros_manuales!$E$39*('Plan mensual'!M58+IF(parametros_manuales!$H$39="Todos",'Plan mensual'!M62,0))+parametros_manuales!$F$39*('Plan mensual'!M59+IF(parametros_manuales!$H$39="Todos",'Plan mensual'!M63,0))+parametros_manuales!$G$39*('Plan mensual'!M60+IF(parametros_manuales!$H$39="Todos",'Plan mensual'!M64,0)))*parametros_manuales!$I$39*parametros_manuales!$J$39</f>
        <v>2576.25</v>
      </c>
      <c r="L157" s="4">
        <f>(parametros_manuales!$D$39*('Plan mensual'!N57+IF(parametros_manuales!$H$39="Todos",'Plan mensual'!N61,0))+parametros_manuales!$E$39*('Plan mensual'!N58+IF(parametros_manuales!$H$39="Todos",'Plan mensual'!N62,0))+parametros_manuales!$F$39*('Plan mensual'!N59+IF(parametros_manuales!$H$39="Todos",'Plan mensual'!N63,0))+parametros_manuales!$G$39*('Plan mensual'!N60+IF(parametros_manuales!$H$39="Todos",'Plan mensual'!N64,0)))*parametros_manuales!$I$39*parametros_manuales!$J$39</f>
        <v>2482.6</v>
      </c>
      <c r="M157" s="4">
        <f>(parametros_manuales!$D$39*('Plan mensual'!O57+IF(parametros_manuales!$H$39="Todos",'Plan mensual'!O61,0))+parametros_manuales!$E$39*('Plan mensual'!O58+IF(parametros_manuales!$H$39="Todos",'Plan mensual'!O62,0))+parametros_manuales!$F$39*('Plan mensual'!O59+IF(parametros_manuales!$H$39="Todos",'Plan mensual'!O63,0))+parametros_manuales!$G$39*('Plan mensual'!O60+IF(parametros_manuales!$H$39="Todos",'Plan mensual'!O64,0)))*parametros_manuales!$I$39*parametros_manuales!$J$39</f>
        <v>3934.7</v>
      </c>
      <c r="N157" s="4">
        <f t="shared" si="16"/>
        <v>34350</v>
      </c>
      <c r="O157" s="4">
        <f t="shared" si="17"/>
        <v>3934.7</v>
      </c>
      <c r="P157" s="27">
        <f>O157/(parametros_manuales!$B$7)</f>
        <v>26.23133333</v>
      </c>
      <c r="Q157" s="3" t="str">
        <f t="shared" si="18"/>
        <v>Dic</v>
      </c>
    </row>
    <row r="158" ht="14.25" customHeight="1">
      <c r="A158" s="3" t="str">
        <f>parametros_manuales!$B$40</f>
        <v>Presurización</v>
      </c>
      <c r="B158" s="4">
        <f>(parametros_manuales!$D$40*('Plan mensual'!D57+IF(parametros_manuales!$H$40="Todos",'Plan mensual'!D61,0))+parametros_manuales!$E$40*('Plan mensual'!D58+IF(parametros_manuales!$H$40="Todos",'Plan mensual'!D62,0))+parametros_manuales!$F$40*('Plan mensual'!D59+IF(parametros_manuales!$H$40="Todos",'Plan mensual'!D63,0))+parametros_manuales!$G$40*('Plan mensual'!D60+IF(parametros_manuales!$H$40="Todos",'Plan mensual'!D64,0)))*parametros_manuales!$I$40*parametros_manuales!$J$40</f>
        <v>3747.4</v>
      </c>
      <c r="C158" s="4">
        <f>(parametros_manuales!$D$40*('Plan mensual'!E57+IF(parametros_manuales!$H$40="Todos",'Plan mensual'!E61,0))+parametros_manuales!$E$40*('Plan mensual'!E58+IF(parametros_manuales!$H$40="Todos",'Plan mensual'!E62,0))+parametros_manuales!$F$40*('Plan mensual'!E59+IF(parametros_manuales!$H$40="Todos",'Plan mensual'!E63,0))+parametros_manuales!$G$40*('Plan mensual'!E60+IF(parametros_manuales!$H$40="Todos",'Plan mensual'!E64,0)))*parametros_manuales!$I$40*parametros_manuales!$J$40</f>
        <v>2904.2</v>
      </c>
      <c r="D158" s="4">
        <f>(parametros_manuales!$D$40*('Plan mensual'!F57+IF(parametros_manuales!$H$40="Todos",'Plan mensual'!F61,0))+parametros_manuales!$E$40*('Plan mensual'!F58+IF(parametros_manuales!$H$40="Todos",'Plan mensual'!F62,0))+parametros_manuales!$F$40*('Plan mensual'!F59+IF(parametros_manuales!$H$40="Todos",'Plan mensual'!F63,0))+parametros_manuales!$G$40*('Plan mensual'!F60+IF(parametros_manuales!$H$40="Todos",'Plan mensual'!F64,0)))*parametros_manuales!$I$40*parametros_manuales!$J$40</f>
        <v>2841.65</v>
      </c>
      <c r="E158" s="4">
        <f>(parametros_manuales!$D$40*('Plan mensual'!G57+IF(parametros_manuales!$H$40="Todos",'Plan mensual'!G61,0))+parametros_manuales!$E$40*('Plan mensual'!G58+IF(parametros_manuales!$H$40="Todos",'Plan mensual'!G62,0))+parametros_manuales!$F$40*('Plan mensual'!G59+IF(parametros_manuales!$H$40="Todos",'Plan mensual'!G63,0))+parametros_manuales!$G$40*('Plan mensual'!G60+IF(parametros_manuales!$H$40="Todos",'Plan mensual'!G64,0)))*parametros_manuales!$I$40*parametros_manuales!$J$40</f>
        <v>2763.55</v>
      </c>
      <c r="F158" s="4">
        <f>(parametros_manuales!$D$40*('Plan mensual'!H57+IF(parametros_manuales!$H$40="Todos",'Plan mensual'!H61,0))+parametros_manuales!$E$40*('Plan mensual'!H58+IF(parametros_manuales!$H$40="Todos",'Plan mensual'!H62,0))+parametros_manuales!$F$40*('Plan mensual'!H59+IF(parametros_manuales!$H$40="Todos",'Plan mensual'!H63,0))+parametros_manuales!$G$40*('Plan mensual'!H60+IF(parametros_manuales!$H$40="Todos",'Plan mensual'!H64,0)))*parametros_manuales!$I$40*parametros_manuales!$J$40</f>
        <v>2591.8</v>
      </c>
      <c r="G158" s="4">
        <f>(parametros_manuales!$D$40*('Plan mensual'!I57+IF(parametros_manuales!$H$40="Todos",'Plan mensual'!I61,0))+parametros_manuales!$E$40*('Plan mensual'!I58+IF(parametros_manuales!$H$40="Todos",'Plan mensual'!I62,0))+parametros_manuales!$F$40*('Plan mensual'!I59+IF(parametros_manuales!$H$40="Todos",'Plan mensual'!I63,0))+parametros_manuales!$G$40*('Plan mensual'!I60+IF(parametros_manuales!$H$40="Todos",'Plan mensual'!I64,0)))*parametros_manuales!$I$40*parametros_manuales!$J$40</f>
        <v>2498.15</v>
      </c>
      <c r="H158" s="4">
        <f>(parametros_manuales!$D$40*('Plan mensual'!J57+IF(parametros_manuales!$H$40="Todos",'Plan mensual'!J61,0))+parametros_manuales!$E$40*('Plan mensual'!J58+IF(parametros_manuales!$H$40="Todos",'Plan mensual'!J62,0))+parametros_manuales!$F$40*('Plan mensual'!J59+IF(parametros_manuales!$H$40="Todos",'Plan mensual'!J63,0))+parametros_manuales!$G$40*('Plan mensual'!J60+IF(parametros_manuales!$H$40="Todos",'Plan mensual'!J64,0)))*parametros_manuales!$I$40*parametros_manuales!$J$40</f>
        <v>2669.9</v>
      </c>
      <c r="I158" s="4">
        <f>(parametros_manuales!$D$40*('Plan mensual'!K57+IF(parametros_manuales!$H$40="Todos",'Plan mensual'!K61,0))+parametros_manuales!$E$40*('Plan mensual'!K58+IF(parametros_manuales!$H$40="Todos",'Plan mensual'!K62,0))+parametros_manuales!$F$40*('Plan mensual'!K59+IF(parametros_manuales!$H$40="Todos",'Plan mensual'!K63,0))+parametros_manuales!$G$40*('Plan mensual'!K60+IF(parametros_manuales!$H$40="Todos",'Plan mensual'!K64,0)))*parametros_manuales!$I$40*parametros_manuales!$J$40</f>
        <v>2669.9</v>
      </c>
      <c r="J158" s="4">
        <f>(parametros_manuales!$D$40*('Plan mensual'!L57+IF(parametros_manuales!$H$40="Todos",'Plan mensual'!L61,0))+parametros_manuales!$E$40*('Plan mensual'!L58+IF(parametros_manuales!$H$40="Todos",'Plan mensual'!L62,0))+parametros_manuales!$F$40*('Plan mensual'!L59+IF(parametros_manuales!$H$40="Todos",'Plan mensual'!L63,0))+parametros_manuales!$G$40*('Plan mensual'!L60+IF(parametros_manuales!$H$40="Todos",'Plan mensual'!L64,0)))*parametros_manuales!$I$40*parametros_manuales!$J$40</f>
        <v>2669.9</v>
      </c>
      <c r="K158" s="4">
        <f>(parametros_manuales!$D$40*('Plan mensual'!M57+IF(parametros_manuales!$H$40="Todos",'Plan mensual'!M61,0))+parametros_manuales!$E$40*('Plan mensual'!M58+IF(parametros_manuales!$H$40="Todos",'Plan mensual'!M62,0))+parametros_manuales!$F$40*('Plan mensual'!M59+IF(parametros_manuales!$H$40="Todos",'Plan mensual'!M63,0))+parametros_manuales!$G$40*('Plan mensual'!M60+IF(parametros_manuales!$H$40="Todos",'Plan mensual'!M64,0)))*parametros_manuales!$I$40*parametros_manuales!$J$40</f>
        <v>2576.25</v>
      </c>
      <c r="L158" s="4">
        <f>(parametros_manuales!$D$40*('Plan mensual'!N57+IF(parametros_manuales!$H$40="Todos",'Plan mensual'!N61,0))+parametros_manuales!$E$40*('Plan mensual'!N58+IF(parametros_manuales!$H$40="Todos",'Plan mensual'!N62,0))+parametros_manuales!$F$40*('Plan mensual'!N59+IF(parametros_manuales!$H$40="Todos",'Plan mensual'!N63,0))+parametros_manuales!$G$40*('Plan mensual'!N60+IF(parametros_manuales!$H$40="Todos",'Plan mensual'!N64,0)))*parametros_manuales!$I$40*parametros_manuales!$J$40</f>
        <v>2482.6</v>
      </c>
      <c r="M158" s="4">
        <f>(parametros_manuales!$D$40*('Plan mensual'!O57+IF(parametros_manuales!$H$40="Todos",'Plan mensual'!O61,0))+parametros_manuales!$E$40*('Plan mensual'!O58+IF(parametros_manuales!$H$40="Todos",'Plan mensual'!O62,0))+parametros_manuales!$F$40*('Plan mensual'!O59+IF(parametros_manuales!$H$40="Todos",'Plan mensual'!O63,0))+parametros_manuales!$G$40*('Plan mensual'!O60+IF(parametros_manuales!$H$40="Todos",'Plan mensual'!O64,0)))*parametros_manuales!$I$40*parametros_manuales!$J$40</f>
        <v>3934.7</v>
      </c>
      <c r="N158" s="4">
        <f t="shared" si="16"/>
        <v>34350</v>
      </c>
      <c r="O158" s="4">
        <f t="shared" si="17"/>
        <v>3934.7</v>
      </c>
      <c r="P158" s="27">
        <f>O158/(parametros_manuales!$B$7)</f>
        <v>26.23133333</v>
      </c>
      <c r="Q158" s="3" t="str">
        <f t="shared" si="18"/>
        <v>Dic</v>
      </c>
    </row>
    <row r="159" ht="14.25" customHeight="1">
      <c r="A159" s="3" t="str">
        <f>parametros_manuales!$B$41</f>
        <v>Control de calidad — Ensayo de pérdidas</v>
      </c>
      <c r="B159" s="4">
        <f>(parametros_manuales!$D$41*('Plan mensual'!D57+IF(parametros_manuales!$H$41="Todos",'Plan mensual'!D61,0))+parametros_manuales!$E$41*('Plan mensual'!D58+IF(parametros_manuales!$H$41="Todos",'Plan mensual'!D62,0))+parametros_manuales!$F$41*('Plan mensual'!D59+IF(parametros_manuales!$H$41="Todos",'Plan mensual'!D63,0))+parametros_manuales!$G$41*('Plan mensual'!D60+IF(parametros_manuales!$H$41="Todos",'Plan mensual'!D64,0)))*parametros_manuales!$I$41*parametros_manuales!$J$41</f>
        <v>3747.4</v>
      </c>
      <c r="C159" s="4">
        <f>(parametros_manuales!$D$41*('Plan mensual'!E57+IF(parametros_manuales!$H$41="Todos",'Plan mensual'!E61,0))+parametros_manuales!$E$41*('Plan mensual'!E58+IF(parametros_manuales!$H$41="Todos",'Plan mensual'!E62,0))+parametros_manuales!$F$41*('Plan mensual'!E59+IF(parametros_manuales!$H$41="Todos",'Plan mensual'!E63,0))+parametros_manuales!$G$41*('Plan mensual'!E60+IF(parametros_manuales!$H$41="Todos",'Plan mensual'!E64,0)))*parametros_manuales!$I$41*parametros_manuales!$J$41</f>
        <v>2904.2</v>
      </c>
      <c r="D159" s="4">
        <f>(parametros_manuales!$D$41*('Plan mensual'!F57+IF(parametros_manuales!$H$41="Todos",'Plan mensual'!F61,0))+parametros_manuales!$E$41*('Plan mensual'!F58+IF(parametros_manuales!$H$41="Todos",'Plan mensual'!F62,0))+parametros_manuales!$F$41*('Plan mensual'!F59+IF(parametros_manuales!$H$41="Todos",'Plan mensual'!F63,0))+parametros_manuales!$G$41*('Plan mensual'!F60+IF(parametros_manuales!$H$41="Todos",'Plan mensual'!F64,0)))*parametros_manuales!$I$41*parametros_manuales!$J$41</f>
        <v>2841.65</v>
      </c>
      <c r="E159" s="4">
        <f>(parametros_manuales!$D$41*('Plan mensual'!G57+IF(parametros_manuales!$H$41="Todos",'Plan mensual'!G61,0))+parametros_manuales!$E$41*('Plan mensual'!G58+IF(parametros_manuales!$H$41="Todos",'Plan mensual'!G62,0))+parametros_manuales!$F$41*('Plan mensual'!G59+IF(parametros_manuales!$H$41="Todos",'Plan mensual'!G63,0))+parametros_manuales!$G$41*('Plan mensual'!G60+IF(parametros_manuales!$H$41="Todos",'Plan mensual'!G64,0)))*parametros_manuales!$I$41*parametros_manuales!$J$41</f>
        <v>2763.55</v>
      </c>
      <c r="F159" s="4">
        <f>(parametros_manuales!$D$41*('Plan mensual'!H57+IF(parametros_manuales!$H$41="Todos",'Plan mensual'!H61,0))+parametros_manuales!$E$41*('Plan mensual'!H58+IF(parametros_manuales!$H$41="Todos",'Plan mensual'!H62,0))+parametros_manuales!$F$41*('Plan mensual'!H59+IF(parametros_manuales!$H$41="Todos",'Plan mensual'!H63,0))+parametros_manuales!$G$41*('Plan mensual'!H60+IF(parametros_manuales!$H$41="Todos",'Plan mensual'!H64,0)))*parametros_manuales!$I$41*parametros_manuales!$J$41</f>
        <v>2591.8</v>
      </c>
      <c r="G159" s="4">
        <f>(parametros_manuales!$D$41*('Plan mensual'!I57+IF(parametros_manuales!$H$41="Todos",'Plan mensual'!I61,0))+parametros_manuales!$E$41*('Plan mensual'!I58+IF(parametros_manuales!$H$41="Todos",'Plan mensual'!I62,0))+parametros_manuales!$F$41*('Plan mensual'!I59+IF(parametros_manuales!$H$41="Todos",'Plan mensual'!I63,0))+parametros_manuales!$G$41*('Plan mensual'!I60+IF(parametros_manuales!$H$41="Todos",'Plan mensual'!I64,0)))*parametros_manuales!$I$41*parametros_manuales!$J$41</f>
        <v>2498.15</v>
      </c>
      <c r="H159" s="4">
        <f>(parametros_manuales!$D$41*('Plan mensual'!J57+IF(parametros_manuales!$H$41="Todos",'Plan mensual'!J61,0))+parametros_manuales!$E$41*('Plan mensual'!J58+IF(parametros_manuales!$H$41="Todos",'Plan mensual'!J62,0))+parametros_manuales!$F$41*('Plan mensual'!J59+IF(parametros_manuales!$H$41="Todos",'Plan mensual'!J63,0))+parametros_manuales!$G$41*('Plan mensual'!J60+IF(parametros_manuales!$H$41="Todos",'Plan mensual'!J64,0)))*parametros_manuales!$I$41*parametros_manuales!$J$41</f>
        <v>2669.9</v>
      </c>
      <c r="I159" s="4">
        <f>(parametros_manuales!$D$41*('Plan mensual'!K57+IF(parametros_manuales!$H$41="Todos",'Plan mensual'!K61,0))+parametros_manuales!$E$41*('Plan mensual'!K58+IF(parametros_manuales!$H$41="Todos",'Plan mensual'!K62,0))+parametros_manuales!$F$41*('Plan mensual'!K59+IF(parametros_manuales!$H$41="Todos",'Plan mensual'!K63,0))+parametros_manuales!$G$41*('Plan mensual'!K60+IF(parametros_manuales!$H$41="Todos",'Plan mensual'!K64,0)))*parametros_manuales!$I$41*parametros_manuales!$J$41</f>
        <v>2669.9</v>
      </c>
      <c r="J159" s="4">
        <f>(parametros_manuales!$D$41*('Plan mensual'!L57+IF(parametros_manuales!$H$41="Todos",'Plan mensual'!L61,0))+parametros_manuales!$E$41*('Plan mensual'!L58+IF(parametros_manuales!$H$41="Todos",'Plan mensual'!L62,0))+parametros_manuales!$F$41*('Plan mensual'!L59+IF(parametros_manuales!$H$41="Todos",'Plan mensual'!L63,0))+parametros_manuales!$G$41*('Plan mensual'!L60+IF(parametros_manuales!$H$41="Todos",'Plan mensual'!L64,0)))*parametros_manuales!$I$41*parametros_manuales!$J$41</f>
        <v>2669.9</v>
      </c>
      <c r="K159" s="4">
        <f>(parametros_manuales!$D$41*('Plan mensual'!M57+IF(parametros_manuales!$H$41="Todos",'Plan mensual'!M61,0))+parametros_manuales!$E$41*('Plan mensual'!M58+IF(parametros_manuales!$H$41="Todos",'Plan mensual'!M62,0))+parametros_manuales!$F$41*('Plan mensual'!M59+IF(parametros_manuales!$H$41="Todos",'Plan mensual'!M63,0))+parametros_manuales!$G$41*('Plan mensual'!M60+IF(parametros_manuales!$H$41="Todos",'Plan mensual'!M64,0)))*parametros_manuales!$I$41*parametros_manuales!$J$41</f>
        <v>2576.25</v>
      </c>
      <c r="L159" s="4">
        <f>(parametros_manuales!$D$41*('Plan mensual'!N57+IF(parametros_manuales!$H$41="Todos",'Plan mensual'!N61,0))+parametros_manuales!$E$41*('Plan mensual'!N58+IF(parametros_manuales!$H$41="Todos",'Plan mensual'!N62,0))+parametros_manuales!$F$41*('Plan mensual'!N59+IF(parametros_manuales!$H$41="Todos",'Plan mensual'!N63,0))+parametros_manuales!$G$41*('Plan mensual'!N60+IF(parametros_manuales!$H$41="Todos",'Plan mensual'!N64,0)))*parametros_manuales!$I$41*parametros_manuales!$J$41</f>
        <v>2482.6</v>
      </c>
      <c r="M159" s="4">
        <f>(parametros_manuales!$D$41*('Plan mensual'!O57+IF(parametros_manuales!$H$41="Todos",'Plan mensual'!O61,0))+parametros_manuales!$E$41*('Plan mensual'!O58+IF(parametros_manuales!$H$41="Todos",'Plan mensual'!O62,0))+parametros_manuales!$F$41*('Plan mensual'!O59+IF(parametros_manuales!$H$41="Todos",'Plan mensual'!O63,0))+parametros_manuales!$G$41*('Plan mensual'!O60+IF(parametros_manuales!$H$41="Todos",'Plan mensual'!O64,0)))*parametros_manuales!$I$41*parametros_manuales!$J$41</f>
        <v>3934.7</v>
      </c>
      <c r="N159" s="4">
        <f t="shared" si="16"/>
        <v>34350</v>
      </c>
      <c r="O159" s="4">
        <f t="shared" si="17"/>
        <v>3934.7</v>
      </c>
      <c r="P159" s="27">
        <f>O159/(parametros_manuales!$B$7)</f>
        <v>26.23133333</v>
      </c>
      <c r="Q159" s="3" t="str">
        <f t="shared" si="18"/>
        <v>Dic</v>
      </c>
    </row>
    <row r="160" ht="14.25" customHeight="1">
      <c r="A160" s="3" t="str">
        <f>parametros_manuales!$B$42</f>
        <v>Etiquetado</v>
      </c>
      <c r="B160" s="4">
        <f>(parametros_manuales!$D$42*('Plan mensual'!D57+IF(parametros_manuales!$H$42="Todos",'Plan mensual'!D61,0))+parametros_manuales!$E$42*('Plan mensual'!D58+IF(parametros_manuales!$H$42="Todos",'Plan mensual'!D62,0))+parametros_manuales!$F$42*('Plan mensual'!D59+IF(parametros_manuales!$H$42="Todos",'Plan mensual'!D63,0))+parametros_manuales!$G$42*('Plan mensual'!D60+IF(parametros_manuales!$H$42="Todos",'Plan mensual'!D64,0)))*parametros_manuales!$I$42*parametros_manuales!$J$42</f>
        <v>3747.4</v>
      </c>
      <c r="C160" s="4">
        <f>(parametros_manuales!$D$42*('Plan mensual'!E57+IF(parametros_manuales!$H$42="Todos",'Plan mensual'!E61,0))+parametros_manuales!$E$42*('Plan mensual'!E58+IF(parametros_manuales!$H$42="Todos",'Plan mensual'!E62,0))+parametros_manuales!$F$42*('Plan mensual'!E59+IF(parametros_manuales!$H$42="Todos",'Plan mensual'!E63,0))+parametros_manuales!$G$42*('Plan mensual'!E60+IF(parametros_manuales!$H$42="Todos",'Plan mensual'!E64,0)))*parametros_manuales!$I$42*parametros_manuales!$J$42</f>
        <v>2904.2</v>
      </c>
      <c r="D160" s="4">
        <f>(parametros_manuales!$D$42*('Plan mensual'!F57+IF(parametros_manuales!$H$42="Todos",'Plan mensual'!F61,0))+parametros_manuales!$E$42*('Plan mensual'!F58+IF(parametros_manuales!$H$42="Todos",'Plan mensual'!F62,0))+parametros_manuales!$F$42*('Plan mensual'!F59+IF(parametros_manuales!$H$42="Todos",'Plan mensual'!F63,0))+parametros_manuales!$G$42*('Plan mensual'!F60+IF(parametros_manuales!$H$42="Todos",'Plan mensual'!F64,0)))*parametros_manuales!$I$42*parametros_manuales!$J$42</f>
        <v>2841.65</v>
      </c>
      <c r="E160" s="4">
        <f>(parametros_manuales!$D$42*('Plan mensual'!G57+IF(parametros_manuales!$H$42="Todos",'Plan mensual'!G61,0))+parametros_manuales!$E$42*('Plan mensual'!G58+IF(parametros_manuales!$H$42="Todos",'Plan mensual'!G62,0))+parametros_manuales!$F$42*('Plan mensual'!G59+IF(parametros_manuales!$H$42="Todos",'Plan mensual'!G63,0))+parametros_manuales!$G$42*('Plan mensual'!G60+IF(parametros_manuales!$H$42="Todos",'Plan mensual'!G64,0)))*parametros_manuales!$I$42*parametros_manuales!$J$42</f>
        <v>2763.55</v>
      </c>
      <c r="F160" s="4">
        <f>(parametros_manuales!$D$42*('Plan mensual'!H57+IF(parametros_manuales!$H$42="Todos",'Plan mensual'!H61,0))+parametros_manuales!$E$42*('Plan mensual'!H58+IF(parametros_manuales!$H$42="Todos",'Plan mensual'!H62,0))+parametros_manuales!$F$42*('Plan mensual'!H59+IF(parametros_manuales!$H$42="Todos",'Plan mensual'!H63,0))+parametros_manuales!$G$42*('Plan mensual'!H60+IF(parametros_manuales!$H$42="Todos",'Plan mensual'!H64,0)))*parametros_manuales!$I$42*parametros_manuales!$J$42</f>
        <v>2591.8</v>
      </c>
      <c r="G160" s="4">
        <f>(parametros_manuales!$D$42*('Plan mensual'!I57+IF(parametros_manuales!$H$42="Todos",'Plan mensual'!I61,0))+parametros_manuales!$E$42*('Plan mensual'!I58+IF(parametros_manuales!$H$42="Todos",'Plan mensual'!I62,0))+parametros_manuales!$F$42*('Plan mensual'!I59+IF(parametros_manuales!$H$42="Todos",'Plan mensual'!I63,0))+parametros_manuales!$G$42*('Plan mensual'!I60+IF(parametros_manuales!$H$42="Todos",'Plan mensual'!I64,0)))*parametros_manuales!$I$42*parametros_manuales!$J$42</f>
        <v>2498.15</v>
      </c>
      <c r="H160" s="4">
        <f>(parametros_manuales!$D$42*('Plan mensual'!J57+IF(parametros_manuales!$H$42="Todos",'Plan mensual'!J61,0))+parametros_manuales!$E$42*('Plan mensual'!J58+IF(parametros_manuales!$H$42="Todos",'Plan mensual'!J62,0))+parametros_manuales!$F$42*('Plan mensual'!J59+IF(parametros_manuales!$H$42="Todos",'Plan mensual'!J63,0))+parametros_manuales!$G$42*('Plan mensual'!J60+IF(parametros_manuales!$H$42="Todos",'Plan mensual'!J64,0)))*parametros_manuales!$I$42*parametros_manuales!$J$42</f>
        <v>2669.9</v>
      </c>
      <c r="I160" s="4">
        <f>(parametros_manuales!$D$42*('Plan mensual'!K57+IF(parametros_manuales!$H$42="Todos",'Plan mensual'!K61,0))+parametros_manuales!$E$42*('Plan mensual'!K58+IF(parametros_manuales!$H$42="Todos",'Plan mensual'!K62,0))+parametros_manuales!$F$42*('Plan mensual'!K59+IF(parametros_manuales!$H$42="Todos",'Plan mensual'!K63,0))+parametros_manuales!$G$42*('Plan mensual'!K60+IF(parametros_manuales!$H$42="Todos",'Plan mensual'!K64,0)))*parametros_manuales!$I$42*parametros_manuales!$J$42</f>
        <v>2669.9</v>
      </c>
      <c r="J160" s="4">
        <f>(parametros_manuales!$D$42*('Plan mensual'!L57+IF(parametros_manuales!$H$42="Todos",'Plan mensual'!L61,0))+parametros_manuales!$E$42*('Plan mensual'!L58+IF(parametros_manuales!$H$42="Todos",'Plan mensual'!L62,0))+parametros_manuales!$F$42*('Plan mensual'!L59+IF(parametros_manuales!$H$42="Todos",'Plan mensual'!L63,0))+parametros_manuales!$G$42*('Plan mensual'!L60+IF(parametros_manuales!$H$42="Todos",'Plan mensual'!L64,0)))*parametros_manuales!$I$42*parametros_manuales!$J$42</f>
        <v>2669.9</v>
      </c>
      <c r="K160" s="4">
        <f>(parametros_manuales!$D$42*('Plan mensual'!M57+IF(parametros_manuales!$H$42="Todos",'Plan mensual'!M61,0))+parametros_manuales!$E$42*('Plan mensual'!M58+IF(parametros_manuales!$H$42="Todos",'Plan mensual'!M62,0))+parametros_manuales!$F$42*('Plan mensual'!M59+IF(parametros_manuales!$H$42="Todos",'Plan mensual'!M63,0))+parametros_manuales!$G$42*('Plan mensual'!M60+IF(parametros_manuales!$H$42="Todos",'Plan mensual'!M64,0)))*parametros_manuales!$I$42*parametros_manuales!$J$42</f>
        <v>2576.25</v>
      </c>
      <c r="L160" s="4">
        <f>(parametros_manuales!$D$42*('Plan mensual'!N57+IF(parametros_manuales!$H$42="Todos",'Plan mensual'!N61,0))+parametros_manuales!$E$42*('Plan mensual'!N58+IF(parametros_manuales!$H$42="Todos",'Plan mensual'!N62,0))+parametros_manuales!$F$42*('Plan mensual'!N59+IF(parametros_manuales!$H$42="Todos",'Plan mensual'!N63,0))+parametros_manuales!$G$42*('Plan mensual'!N60+IF(parametros_manuales!$H$42="Todos",'Plan mensual'!N64,0)))*parametros_manuales!$I$42*parametros_manuales!$J$42</f>
        <v>2482.6</v>
      </c>
      <c r="M160" s="4">
        <f>(parametros_manuales!$D$42*('Plan mensual'!O57+IF(parametros_manuales!$H$42="Todos",'Plan mensual'!O61,0))+parametros_manuales!$E$42*('Plan mensual'!O58+IF(parametros_manuales!$H$42="Todos",'Plan mensual'!O62,0))+parametros_manuales!$F$42*('Plan mensual'!O59+IF(parametros_manuales!$H$42="Todos",'Plan mensual'!O63,0))+parametros_manuales!$G$42*('Plan mensual'!O60+IF(parametros_manuales!$H$42="Todos",'Plan mensual'!O64,0)))*parametros_manuales!$I$42*parametros_manuales!$J$42</f>
        <v>3934.7</v>
      </c>
      <c r="N160" s="4">
        <f t="shared" si="16"/>
        <v>34350</v>
      </c>
      <c r="O160" s="4">
        <f t="shared" si="17"/>
        <v>3934.7</v>
      </c>
      <c r="P160" s="27">
        <f>O160/(parametros_manuales!$B$7)</f>
        <v>26.23133333</v>
      </c>
      <c r="Q160" s="3" t="str">
        <f t="shared" si="18"/>
        <v>Dic</v>
      </c>
    </row>
    <row r="161" ht="14.25" customHeight="1">
      <c r="A161" s="3" t="str">
        <f>parametros_manuales!$B$43</f>
        <v>Embalaje y paletizado</v>
      </c>
      <c r="B161" s="4">
        <f>(parametros_manuales!$D$43*('Plan mensual'!D57+IF(parametros_manuales!$H$43="Todos",'Plan mensual'!D61,0))+parametros_manuales!$E$43*('Plan mensual'!D58+IF(parametros_manuales!$H$43="Todos",'Plan mensual'!D62,0))+parametros_manuales!$F$43*('Plan mensual'!D59+IF(parametros_manuales!$H$43="Todos",'Plan mensual'!D63,0))+parametros_manuales!$G$43*('Plan mensual'!D60+IF(parametros_manuales!$H$43="Todos",'Plan mensual'!D64,0)))*parametros_manuales!$I$43*parametros_manuales!$J$43</f>
        <v>14097.3</v>
      </c>
      <c r="C161" s="4">
        <f>(parametros_manuales!$D$43*('Plan mensual'!E57+IF(parametros_manuales!$H$43="Todos",'Plan mensual'!E61,0))+parametros_manuales!$E$43*('Plan mensual'!E58+IF(parametros_manuales!$H$43="Todos",'Plan mensual'!E62,0))+parametros_manuales!$F$43*('Plan mensual'!E59+IF(parametros_manuales!$H$43="Todos",'Plan mensual'!E63,0))+parametros_manuales!$G$43*('Plan mensual'!E60+IF(parametros_manuales!$H$43="Todos",'Plan mensual'!E64,0)))*parametros_manuales!$I$43*parametros_manuales!$J$43</f>
        <v>10754.04</v>
      </c>
      <c r="D161" s="4">
        <f>(parametros_manuales!$D$43*('Plan mensual'!F57+IF(parametros_manuales!$H$43="Todos",'Plan mensual'!F61,0))+parametros_manuales!$E$43*('Plan mensual'!F58+IF(parametros_manuales!$H$43="Todos",'Plan mensual'!F62,0))+parametros_manuales!$F$43*('Plan mensual'!F59+IF(parametros_manuales!$H$43="Todos",'Plan mensual'!F63,0))+parametros_manuales!$G$43*('Plan mensual'!F60+IF(parametros_manuales!$H$43="Todos",'Plan mensual'!F64,0)))*parametros_manuales!$I$43*parametros_manuales!$J$43</f>
        <v>10062.105</v>
      </c>
      <c r="E161" s="4">
        <f>(parametros_manuales!$D$43*('Plan mensual'!G57+IF(parametros_manuales!$H$43="Todos",'Plan mensual'!G61,0))+parametros_manuales!$E$43*('Plan mensual'!G58+IF(parametros_manuales!$H$43="Todos",'Plan mensual'!G62,0))+parametros_manuales!$F$43*('Plan mensual'!G59+IF(parametros_manuales!$H$43="Todos",'Plan mensual'!G63,0))+parametros_manuales!$G$43*('Plan mensual'!G60+IF(parametros_manuales!$H$43="Todos",'Plan mensual'!G64,0)))*parametros_manuales!$I$43*parametros_manuales!$J$43</f>
        <v>9625.605</v>
      </c>
      <c r="F161" s="4">
        <f>(parametros_manuales!$D$43*('Plan mensual'!H57+IF(parametros_manuales!$H$43="Todos",'Plan mensual'!H61,0))+parametros_manuales!$E$43*('Plan mensual'!H58+IF(parametros_manuales!$H$43="Todos",'Plan mensual'!H62,0))+parametros_manuales!$F$43*('Plan mensual'!H59+IF(parametros_manuales!$H$43="Todos",'Plan mensual'!H63,0))+parametros_manuales!$G$43*('Plan mensual'!H60+IF(parametros_manuales!$H$43="Todos",'Plan mensual'!H64,0)))*parametros_manuales!$I$43*parametros_manuales!$J$43</f>
        <v>9008.04</v>
      </c>
      <c r="G161" s="4">
        <f>(parametros_manuales!$D$43*('Plan mensual'!I57+IF(parametros_manuales!$H$43="Todos",'Plan mensual'!I61,0))+parametros_manuales!$E$43*('Plan mensual'!I58+IF(parametros_manuales!$H$43="Todos",'Plan mensual'!I62,0))+parametros_manuales!$F$43*('Plan mensual'!I59+IF(parametros_manuales!$H$43="Todos",'Plan mensual'!I63,0))+parametros_manuales!$G$43*('Plan mensual'!I60+IF(parametros_manuales!$H$43="Todos",'Plan mensual'!I64,0)))*parametros_manuales!$I$43*parametros_manuales!$J$43</f>
        <v>8826.975</v>
      </c>
      <c r="H161" s="4">
        <f>(parametros_manuales!$D$43*('Plan mensual'!J57+IF(parametros_manuales!$H$43="Todos",'Plan mensual'!J61,0))+parametros_manuales!$E$43*('Plan mensual'!J58+IF(parametros_manuales!$H$43="Todos",'Plan mensual'!J62,0))+parametros_manuales!$F$43*('Plan mensual'!J59+IF(parametros_manuales!$H$43="Todos",'Plan mensual'!J63,0))+parametros_manuales!$G$43*('Plan mensual'!J60+IF(parametros_manuales!$H$43="Todos",'Plan mensual'!J64,0)))*parametros_manuales!$I$43*parametros_manuales!$J$43</f>
        <v>9444.54</v>
      </c>
      <c r="I161" s="4">
        <f>(parametros_manuales!$D$43*('Plan mensual'!K57+IF(parametros_manuales!$H$43="Todos",'Plan mensual'!K61,0))+parametros_manuales!$E$43*('Plan mensual'!K58+IF(parametros_manuales!$H$43="Todos",'Plan mensual'!K62,0))+parametros_manuales!$F$43*('Plan mensual'!K59+IF(parametros_manuales!$H$43="Todos",'Plan mensual'!K63,0))+parametros_manuales!$G$43*('Plan mensual'!K60+IF(parametros_manuales!$H$43="Todos",'Plan mensual'!K64,0)))*parametros_manuales!$I$43*parametros_manuales!$J$43</f>
        <v>9444.54</v>
      </c>
      <c r="J161" s="4">
        <f>(parametros_manuales!$D$43*('Plan mensual'!L57+IF(parametros_manuales!$H$43="Todos",'Plan mensual'!L61,0))+parametros_manuales!$E$43*('Plan mensual'!L58+IF(parametros_manuales!$H$43="Todos",'Plan mensual'!L62,0))+parametros_manuales!$F$43*('Plan mensual'!L59+IF(parametros_manuales!$H$43="Todos",'Plan mensual'!L63,0))+parametros_manuales!$G$43*('Plan mensual'!L60+IF(parametros_manuales!$H$43="Todos",'Plan mensual'!L64,0)))*parametros_manuales!$I$43*parametros_manuales!$J$43</f>
        <v>9444.54</v>
      </c>
      <c r="K161" s="4">
        <f>(parametros_manuales!$D$43*('Plan mensual'!M57+IF(parametros_manuales!$H$43="Todos",'Plan mensual'!M61,0))+parametros_manuales!$E$43*('Plan mensual'!M58+IF(parametros_manuales!$H$43="Todos",'Plan mensual'!M62,0))+parametros_manuales!$F$43*('Plan mensual'!M59+IF(parametros_manuales!$H$43="Todos",'Plan mensual'!M63,0))+parametros_manuales!$G$43*('Plan mensual'!M60+IF(parametros_manuales!$H$43="Todos",'Plan mensual'!M64,0)))*parametros_manuales!$I$43*parametros_manuales!$J$43</f>
        <v>9263.475</v>
      </c>
      <c r="L161" s="4">
        <f>(parametros_manuales!$D$43*('Plan mensual'!N57+IF(parametros_manuales!$H$43="Todos",'Plan mensual'!N61,0))+parametros_manuales!$E$43*('Plan mensual'!N58+IF(parametros_manuales!$H$43="Todos",'Plan mensual'!N62,0))+parametros_manuales!$F$43*('Plan mensual'!N59+IF(parametros_manuales!$H$43="Todos",'Plan mensual'!N63,0))+parametros_manuales!$G$43*('Plan mensual'!N60+IF(parametros_manuales!$H$43="Todos",'Plan mensual'!N64,0)))*parametros_manuales!$I$43*parametros_manuales!$J$43</f>
        <v>9082.41</v>
      </c>
      <c r="M161" s="4">
        <f>(parametros_manuales!$D$43*('Plan mensual'!O57+IF(parametros_manuales!$H$43="Todos",'Plan mensual'!O61,0))+parametros_manuales!$E$43*('Plan mensual'!O58+IF(parametros_manuales!$H$43="Todos",'Plan mensual'!O62,0))+parametros_manuales!$F$43*('Plan mensual'!O59+IF(parametros_manuales!$H$43="Todos",'Plan mensual'!O63,0))+parametros_manuales!$G$43*('Plan mensual'!O60+IF(parametros_manuales!$H$43="Todos",'Plan mensual'!O64,0)))*parametros_manuales!$I$43*parametros_manuales!$J$43</f>
        <v>14459.43</v>
      </c>
      <c r="N161" s="4">
        <f t="shared" si="16"/>
        <v>123513</v>
      </c>
      <c r="O161" s="4">
        <f t="shared" si="17"/>
        <v>14459.43</v>
      </c>
      <c r="P161" s="27">
        <f>O161/(parametros_manuales!$B$7)</f>
        <v>96.3962</v>
      </c>
      <c r="Q161" s="3" t="str">
        <f t="shared" si="18"/>
        <v>Dic</v>
      </c>
    </row>
    <row r="162" ht="14.25" customHeight="1"/>
    <row r="163" ht="14.25" customHeight="1">
      <c r="A163" s="1" t="s">
        <v>183</v>
      </c>
      <c r="B163" s="1" t="s">
        <v>5</v>
      </c>
      <c r="C163" s="1" t="s">
        <v>7</v>
      </c>
      <c r="D163" s="1" t="s">
        <v>8</v>
      </c>
      <c r="E163" s="1" t="s">
        <v>9</v>
      </c>
      <c r="F163" s="1" t="s">
        <v>11</v>
      </c>
      <c r="G163" s="1" t="s">
        <v>12</v>
      </c>
      <c r="H163" s="1" t="s">
        <v>14</v>
      </c>
      <c r="I163" s="1" t="s">
        <v>15</v>
      </c>
      <c r="J163" s="1" t="s">
        <v>16</v>
      </c>
      <c r="K163" s="1" t="s">
        <v>18</v>
      </c>
      <c r="L163" s="1" t="s">
        <v>19</v>
      </c>
      <c r="M163" s="1" t="s">
        <v>20</v>
      </c>
      <c r="N163" s="1" t="s">
        <v>21</v>
      </c>
      <c r="O163" s="1" t="s">
        <v>22</v>
      </c>
      <c r="P163" s="1" t="s">
        <v>23</v>
      </c>
      <c r="Q163" s="1" t="s">
        <v>24</v>
      </c>
    </row>
    <row r="164" ht="14.25" customHeight="1">
      <c r="A164" s="3" t="str">
        <f>parametros_manuales!$B$19</f>
        <v>Recepción de materia prima</v>
      </c>
      <c r="B164" s="4">
        <f>(parametros_manuales!$D$19*('Plan mensual'!D68+IF(parametros_manuales!$H$19="Todos",'Plan mensual'!D72,0))+parametros_manuales!$E$19*('Plan mensual'!D69+IF(parametros_manuales!$H$19="Todos",'Plan mensual'!D73,0))+parametros_manuales!$F$19*('Plan mensual'!D70+IF(parametros_manuales!$H$19="Todos",'Plan mensual'!D74,0))+parametros_manuales!$G$19*('Plan mensual'!D71+IF(parametros_manuales!$H$19="Todos",'Plan mensual'!D75,0)))*parametros_manuales!$I$19*parametros_manuales!$J$19</f>
        <v>19483.38</v>
      </c>
      <c r="C164" s="4">
        <f>(parametros_manuales!$D$19*('Plan mensual'!E68+IF(parametros_manuales!$H$19="Todos",'Plan mensual'!E72,0))+parametros_manuales!$E$19*('Plan mensual'!E69+IF(parametros_manuales!$H$19="Todos",'Plan mensual'!E73,0))+parametros_manuales!$F$19*('Plan mensual'!E70+IF(parametros_manuales!$H$19="Todos",'Plan mensual'!E74,0))+parametros_manuales!$G$19*('Plan mensual'!E71+IF(parametros_manuales!$H$19="Todos",'Plan mensual'!E75,0)))*parametros_manuales!$I$19*parametros_manuales!$J$19</f>
        <v>14856.66</v>
      </c>
      <c r="D164" s="4">
        <f>(parametros_manuales!$D$19*('Plan mensual'!F68+IF(parametros_manuales!$H$19="Todos",'Plan mensual'!F72,0))+parametros_manuales!$E$19*('Plan mensual'!F69+IF(parametros_manuales!$H$19="Todos",'Plan mensual'!F73,0))+parametros_manuales!$F$19*('Plan mensual'!F70+IF(parametros_manuales!$H$19="Todos",'Plan mensual'!F74,0))+parametros_manuales!$G$19*('Plan mensual'!F71+IF(parametros_manuales!$H$19="Todos",'Plan mensual'!F75,0)))*parametros_manuales!$I$19*parametros_manuales!$J$19</f>
        <v>13884.045</v>
      </c>
      <c r="E164" s="4">
        <f>(parametros_manuales!$D$19*('Plan mensual'!G68+IF(parametros_manuales!$H$19="Todos",'Plan mensual'!G72,0))+parametros_manuales!$E$19*('Plan mensual'!G69+IF(parametros_manuales!$H$19="Todos",'Plan mensual'!G73,0))+parametros_manuales!$F$19*('Plan mensual'!G70+IF(parametros_manuales!$H$19="Todos",'Plan mensual'!G74,0))+parametros_manuales!$G$19*('Plan mensual'!G71+IF(parametros_manuales!$H$19="Todos",'Plan mensual'!G75,0)))*parametros_manuales!$I$19*parametros_manuales!$J$19</f>
        <v>13275.675</v>
      </c>
      <c r="F164" s="4">
        <f>(parametros_manuales!$D$19*('Plan mensual'!H68+IF(parametros_manuales!$H$19="Todos",'Plan mensual'!H72,0))+parametros_manuales!$E$19*('Plan mensual'!H69+IF(parametros_manuales!$H$19="Todos",'Plan mensual'!H73,0))+parametros_manuales!$F$19*('Plan mensual'!H70+IF(parametros_manuales!$H$19="Todos",'Plan mensual'!H74,0))+parametros_manuales!$G$19*('Plan mensual'!H71+IF(parametros_manuales!$H$19="Todos",'Plan mensual'!H75,0)))*parametros_manuales!$I$19*parametros_manuales!$J$19</f>
        <v>12423.18</v>
      </c>
      <c r="G164" s="4">
        <f>(parametros_manuales!$D$19*('Plan mensual'!I68+IF(parametros_manuales!$H$19="Todos",'Plan mensual'!I72,0))+parametros_manuales!$E$19*('Plan mensual'!I69+IF(parametros_manuales!$H$19="Todos",'Plan mensual'!I73,0))+parametros_manuales!$F$19*('Plan mensual'!I70+IF(parametros_manuales!$H$19="Todos",'Plan mensual'!I74,0))+parametros_manuales!$G$19*('Plan mensual'!I71+IF(parametros_manuales!$H$19="Todos",'Plan mensual'!I75,0)))*parametros_manuales!$I$19*parametros_manuales!$J$19</f>
        <v>12179.055</v>
      </c>
      <c r="H164" s="4">
        <f>(parametros_manuales!$D$19*('Plan mensual'!J68+IF(parametros_manuales!$H$19="Todos",'Plan mensual'!J72,0))+parametros_manuales!$E$19*('Plan mensual'!J69+IF(parametros_manuales!$H$19="Todos",'Plan mensual'!J73,0))+parametros_manuales!$F$19*('Plan mensual'!J70+IF(parametros_manuales!$H$19="Todos",'Plan mensual'!J74,0))+parametros_manuales!$G$19*('Plan mensual'!J71+IF(parametros_manuales!$H$19="Todos",'Plan mensual'!J75,0)))*parametros_manuales!$I$19*parametros_manuales!$J$19</f>
        <v>13031.55</v>
      </c>
      <c r="I164" s="4">
        <f>(parametros_manuales!$D$19*('Plan mensual'!K68+IF(parametros_manuales!$H$19="Todos",'Plan mensual'!K72,0))+parametros_manuales!$E$19*('Plan mensual'!K69+IF(parametros_manuales!$H$19="Todos",'Plan mensual'!K73,0))+parametros_manuales!$F$19*('Plan mensual'!K70+IF(parametros_manuales!$H$19="Todos",'Plan mensual'!K74,0))+parametros_manuales!$G$19*('Plan mensual'!K71+IF(parametros_manuales!$H$19="Todos",'Plan mensual'!K75,0)))*parametros_manuales!$I$19*parametros_manuales!$J$19</f>
        <v>13031.55</v>
      </c>
      <c r="J164" s="4">
        <f>(parametros_manuales!$D$19*('Plan mensual'!L68+IF(parametros_manuales!$H$19="Todos",'Plan mensual'!L72,0))+parametros_manuales!$E$19*('Plan mensual'!L69+IF(parametros_manuales!$H$19="Todos",'Plan mensual'!L73,0))+parametros_manuales!$F$19*('Plan mensual'!L70+IF(parametros_manuales!$H$19="Todos",'Plan mensual'!L74,0))+parametros_manuales!$G$19*('Plan mensual'!L71+IF(parametros_manuales!$H$19="Todos",'Plan mensual'!L75,0)))*parametros_manuales!$I$19*parametros_manuales!$J$19</f>
        <v>13031.55</v>
      </c>
      <c r="K164" s="4">
        <f>(parametros_manuales!$D$19*('Plan mensual'!M68+IF(parametros_manuales!$H$19="Todos",'Plan mensual'!M72,0))+parametros_manuales!$E$19*('Plan mensual'!M69+IF(parametros_manuales!$H$19="Todos",'Plan mensual'!M73,0))+parametros_manuales!$F$19*('Plan mensual'!M70+IF(parametros_manuales!$H$19="Todos",'Plan mensual'!M74,0))+parametros_manuales!$G$19*('Plan mensual'!M71+IF(parametros_manuales!$H$19="Todos",'Plan mensual'!M75,0)))*parametros_manuales!$I$19*parametros_manuales!$J$19</f>
        <v>12787.425</v>
      </c>
      <c r="L164" s="4">
        <f>(parametros_manuales!$D$19*('Plan mensual'!N68+IF(parametros_manuales!$H$19="Todos",'Plan mensual'!N72,0))+parametros_manuales!$E$19*('Plan mensual'!N69+IF(parametros_manuales!$H$19="Todos",'Plan mensual'!N73,0))+parametros_manuales!$F$19*('Plan mensual'!N70+IF(parametros_manuales!$H$19="Todos",'Plan mensual'!N74,0))+parametros_manuales!$G$19*('Plan mensual'!N71+IF(parametros_manuales!$H$19="Todos",'Plan mensual'!N75,0)))*parametros_manuales!$I$19*parametros_manuales!$J$19</f>
        <v>12543.3</v>
      </c>
      <c r="M164" s="4">
        <f>(parametros_manuales!$D$19*('Plan mensual'!O68+IF(parametros_manuales!$H$19="Todos",'Plan mensual'!O72,0))+parametros_manuales!$E$19*('Plan mensual'!O69+IF(parametros_manuales!$H$19="Todos",'Plan mensual'!O73,0))+parametros_manuales!$F$19*('Plan mensual'!O70+IF(parametros_manuales!$H$19="Todos",'Plan mensual'!O74,0))+parametros_manuales!$G$19*('Plan mensual'!O71+IF(parametros_manuales!$H$19="Todos",'Plan mensual'!O75,0)))*parametros_manuales!$I$19*parametros_manuales!$J$19</f>
        <v>19971.63</v>
      </c>
      <c r="N164" s="4">
        <f t="shared" ref="N164:N188" si="19">SUM(B164:M164)</f>
        <v>170499</v>
      </c>
      <c r="O164" s="4">
        <f t="shared" ref="O164:O188" si="20">MAX(B164:M164)</f>
        <v>19971.63</v>
      </c>
      <c r="P164" s="27">
        <f>O164/(parametros_manuales!$B$7)</f>
        <v>133.1442</v>
      </c>
      <c r="Q164" s="3" t="str">
        <f t="shared" ref="Q164:Q188" si="21">IF(O164=0,"-",INDEX($B$163:$M$163,MATCH(O164,B164:M164,0)))</f>
        <v>Dic</v>
      </c>
    </row>
    <row r="165" ht="14.25" customHeight="1">
      <c r="A165" s="3" t="str">
        <f>parametros_manuales!$B$20</f>
        <v>Corte de chapa (guillotina) — 2,5 a 10 kg</v>
      </c>
      <c r="B165" s="4">
        <f>(parametros_manuales!$D$20*('Plan mensual'!D68+IF(parametros_manuales!$H$20="Todos",'Plan mensual'!D72,0))+parametros_manuales!$E$20*('Plan mensual'!D69+IF(parametros_manuales!$H$20="Todos",'Plan mensual'!D73,0))+parametros_manuales!$F$20*('Plan mensual'!D70+IF(parametros_manuales!$H$20="Todos",'Plan mensual'!D74,0))+parametros_manuales!$G$20*('Plan mensual'!D71+IF(parametros_manuales!$H$20="Todos",'Plan mensual'!D75,0)))*parametros_manuales!$I$20*parametros_manuales!$J$20</f>
        <v>4882.5</v>
      </c>
      <c r="C165" s="4">
        <f>(parametros_manuales!$D$20*('Plan mensual'!E68+IF(parametros_manuales!$H$20="Todos",'Plan mensual'!E72,0))+parametros_manuales!$E$20*('Plan mensual'!E69+IF(parametros_manuales!$H$20="Todos",'Plan mensual'!E73,0))+parametros_manuales!$F$20*('Plan mensual'!E70+IF(parametros_manuales!$H$20="Todos",'Plan mensual'!E74,0))+parametros_manuales!$G$20*('Plan mensual'!E71+IF(parametros_manuales!$H$20="Todos",'Plan mensual'!E75,0)))*parametros_manuales!$I$20*parametros_manuales!$J$20</f>
        <v>3906</v>
      </c>
      <c r="D165" s="4">
        <f>(parametros_manuales!$D$20*('Plan mensual'!F68+IF(parametros_manuales!$H$20="Todos",'Plan mensual'!F72,0))+parametros_manuales!$E$20*('Plan mensual'!F69+IF(parametros_manuales!$H$20="Todos",'Plan mensual'!F73,0))+parametros_manuales!$F$20*('Plan mensual'!F70+IF(parametros_manuales!$H$20="Todos",'Plan mensual'!F74,0))+parametros_manuales!$G$20*('Plan mensual'!F71+IF(parametros_manuales!$H$20="Todos",'Plan mensual'!F75,0)))*parametros_manuales!$I$20*parametros_manuales!$J$20</f>
        <v>4150.125</v>
      </c>
      <c r="E165" s="4">
        <f>(parametros_manuales!$D$20*('Plan mensual'!G68+IF(parametros_manuales!$H$20="Todos",'Plan mensual'!G72,0))+parametros_manuales!$E$20*('Plan mensual'!G69+IF(parametros_manuales!$H$20="Todos",'Plan mensual'!G73,0))+parametros_manuales!$F$20*('Plan mensual'!G70+IF(parametros_manuales!$H$20="Todos",'Plan mensual'!G74,0))+parametros_manuales!$G$20*('Plan mensual'!G71+IF(parametros_manuales!$H$20="Todos",'Plan mensual'!G75,0)))*parametros_manuales!$I$20*parametros_manuales!$J$20</f>
        <v>4150.125</v>
      </c>
      <c r="F165" s="4">
        <f>(parametros_manuales!$D$20*('Plan mensual'!H68+IF(parametros_manuales!$H$20="Todos",'Plan mensual'!H72,0))+parametros_manuales!$E$20*('Plan mensual'!H69+IF(parametros_manuales!$H$20="Todos",'Plan mensual'!H73,0))+parametros_manuales!$F$20*('Plan mensual'!H70+IF(parametros_manuales!$H$20="Todos",'Plan mensual'!H74,0))+parametros_manuales!$G$20*('Plan mensual'!H71+IF(parametros_manuales!$H$20="Todos",'Plan mensual'!H75,0)))*parametros_manuales!$I$20*parametros_manuales!$J$20</f>
        <v>3906</v>
      </c>
      <c r="G165" s="4">
        <f>(parametros_manuales!$D$20*('Plan mensual'!I68+IF(parametros_manuales!$H$20="Todos",'Plan mensual'!I72,0))+parametros_manuales!$E$20*('Plan mensual'!I69+IF(parametros_manuales!$H$20="Todos",'Plan mensual'!I73,0))+parametros_manuales!$F$20*('Plan mensual'!I70+IF(parametros_manuales!$H$20="Todos",'Plan mensual'!I74,0))+parametros_manuales!$G$20*('Plan mensual'!I71+IF(parametros_manuales!$H$20="Todos",'Plan mensual'!I75,0)))*parametros_manuales!$I$20*parametros_manuales!$J$20</f>
        <v>3661.875</v>
      </c>
      <c r="H165" s="4">
        <f>(parametros_manuales!$D$20*('Plan mensual'!J68+IF(parametros_manuales!$H$20="Todos",'Plan mensual'!J72,0))+parametros_manuales!$E$20*('Plan mensual'!J69+IF(parametros_manuales!$H$20="Todos",'Plan mensual'!J73,0))+parametros_manuales!$F$20*('Plan mensual'!J70+IF(parametros_manuales!$H$20="Todos",'Plan mensual'!J74,0))+parametros_manuales!$G$20*('Plan mensual'!J71+IF(parametros_manuales!$H$20="Todos",'Plan mensual'!J75,0)))*parametros_manuales!$I$20*parametros_manuales!$J$20</f>
        <v>3906</v>
      </c>
      <c r="I165" s="4">
        <f>(parametros_manuales!$D$20*('Plan mensual'!K68+IF(parametros_manuales!$H$20="Todos",'Plan mensual'!K72,0))+parametros_manuales!$E$20*('Plan mensual'!K69+IF(parametros_manuales!$H$20="Todos",'Plan mensual'!K73,0))+parametros_manuales!$F$20*('Plan mensual'!K70+IF(parametros_manuales!$H$20="Todos",'Plan mensual'!K74,0))+parametros_manuales!$G$20*('Plan mensual'!K71+IF(parametros_manuales!$H$20="Todos",'Plan mensual'!K75,0)))*parametros_manuales!$I$20*parametros_manuales!$J$20</f>
        <v>3906</v>
      </c>
      <c r="J165" s="4">
        <f>(parametros_manuales!$D$20*('Plan mensual'!L68+IF(parametros_manuales!$H$20="Todos",'Plan mensual'!L72,0))+parametros_manuales!$E$20*('Plan mensual'!L69+IF(parametros_manuales!$H$20="Todos",'Plan mensual'!L73,0))+parametros_manuales!$F$20*('Plan mensual'!L70+IF(parametros_manuales!$H$20="Todos",'Plan mensual'!L74,0))+parametros_manuales!$G$20*('Plan mensual'!L71+IF(parametros_manuales!$H$20="Todos",'Plan mensual'!L75,0)))*parametros_manuales!$I$20*parametros_manuales!$J$20</f>
        <v>3906</v>
      </c>
      <c r="K165" s="4">
        <f>(parametros_manuales!$D$20*('Plan mensual'!M68+IF(parametros_manuales!$H$20="Todos",'Plan mensual'!M72,0))+parametros_manuales!$E$20*('Plan mensual'!M69+IF(parametros_manuales!$H$20="Todos",'Plan mensual'!M73,0))+parametros_manuales!$F$20*('Plan mensual'!M70+IF(parametros_manuales!$H$20="Todos",'Plan mensual'!M74,0))+parametros_manuales!$G$20*('Plan mensual'!M71+IF(parametros_manuales!$H$20="Todos",'Plan mensual'!M75,0)))*parametros_manuales!$I$20*parametros_manuales!$J$20</f>
        <v>3661.875</v>
      </c>
      <c r="L165" s="4">
        <f>(parametros_manuales!$D$20*('Plan mensual'!N68+IF(parametros_manuales!$H$20="Todos",'Plan mensual'!N72,0))+parametros_manuales!$E$20*('Plan mensual'!N69+IF(parametros_manuales!$H$20="Todos",'Plan mensual'!N73,0))+parametros_manuales!$F$20*('Plan mensual'!N70+IF(parametros_manuales!$H$20="Todos",'Plan mensual'!N74,0))+parametros_manuales!$G$20*('Plan mensual'!N71+IF(parametros_manuales!$H$20="Todos",'Plan mensual'!N75,0)))*parametros_manuales!$I$20*parametros_manuales!$J$20</f>
        <v>3417.75</v>
      </c>
      <c r="M165" s="4">
        <f>(parametros_manuales!$D$20*('Plan mensual'!O68+IF(parametros_manuales!$H$20="Todos",'Plan mensual'!O72,0))+parametros_manuales!$E$20*('Plan mensual'!O69+IF(parametros_manuales!$H$20="Todos",'Plan mensual'!O73,0))+parametros_manuales!$F$20*('Plan mensual'!O70+IF(parametros_manuales!$H$20="Todos",'Plan mensual'!O74,0))+parametros_manuales!$G$20*('Plan mensual'!O71+IF(parametros_manuales!$H$20="Todos",'Plan mensual'!O75,0)))*parametros_manuales!$I$20*parametros_manuales!$J$20</f>
        <v>5370.75</v>
      </c>
      <c r="N165" s="4">
        <f t="shared" si="19"/>
        <v>48825</v>
      </c>
      <c r="O165" s="4">
        <f t="shared" si="20"/>
        <v>5370.75</v>
      </c>
      <c r="P165" s="27">
        <f>O165/(parametros_manuales!$B$7)</f>
        <v>35.805</v>
      </c>
      <c r="Q165" s="3" t="str">
        <f t="shared" si="21"/>
        <v>Dic</v>
      </c>
    </row>
    <row r="166" ht="14.25" customHeight="1">
      <c r="A166" s="3" t="str">
        <f>parametros_manuales!$B$21</f>
        <v>Corte de tubo — 1 kg</v>
      </c>
      <c r="B166" s="4">
        <f>(parametros_manuales!$D$21*('Plan mensual'!D68+IF(parametros_manuales!$H$21="Todos",'Plan mensual'!D72,0))+parametros_manuales!$E$21*('Plan mensual'!D69+IF(parametros_manuales!$H$21="Todos",'Plan mensual'!D73,0))+parametros_manuales!$F$21*('Plan mensual'!D70+IF(parametros_manuales!$H$21="Todos",'Plan mensual'!D74,0))+parametros_manuales!$G$21*('Plan mensual'!D71+IF(parametros_manuales!$H$21="Todos",'Plan mensual'!D75,0)))*parametros_manuales!$I$21*parametros_manuales!$J$21</f>
        <v>14600.88</v>
      </c>
      <c r="C166" s="4">
        <f>(parametros_manuales!$D$21*('Plan mensual'!E68+IF(parametros_manuales!$H$21="Todos",'Plan mensual'!E72,0))+parametros_manuales!$E$21*('Plan mensual'!E69+IF(parametros_manuales!$H$21="Todos",'Plan mensual'!E73,0))+parametros_manuales!$F$21*('Plan mensual'!E70+IF(parametros_manuales!$H$21="Todos",'Plan mensual'!E74,0))+parametros_manuales!$G$21*('Plan mensual'!E71+IF(parametros_manuales!$H$21="Todos",'Plan mensual'!E75,0)))*parametros_manuales!$I$21*parametros_manuales!$J$21</f>
        <v>10950.66</v>
      </c>
      <c r="D166" s="4">
        <f>(parametros_manuales!$D$21*('Plan mensual'!F68+IF(parametros_manuales!$H$21="Todos",'Plan mensual'!F72,0))+parametros_manuales!$E$21*('Plan mensual'!F69+IF(parametros_manuales!$H$21="Todos",'Plan mensual'!F73,0))+parametros_manuales!$F$21*('Plan mensual'!F70+IF(parametros_manuales!$H$21="Todos",'Plan mensual'!F74,0))+parametros_manuales!$G$21*('Plan mensual'!F71+IF(parametros_manuales!$H$21="Todos",'Plan mensual'!F75,0)))*parametros_manuales!$I$21*parametros_manuales!$J$21</f>
        <v>9733.92</v>
      </c>
      <c r="E166" s="4">
        <f>(parametros_manuales!$D$21*('Plan mensual'!G68+IF(parametros_manuales!$H$21="Todos",'Plan mensual'!G72,0))+parametros_manuales!$E$21*('Plan mensual'!G69+IF(parametros_manuales!$H$21="Todos",'Plan mensual'!G73,0))+parametros_manuales!$F$21*('Plan mensual'!G70+IF(parametros_manuales!$H$21="Todos",'Plan mensual'!G74,0))+parametros_manuales!$G$21*('Plan mensual'!G71+IF(parametros_manuales!$H$21="Todos",'Plan mensual'!G75,0)))*parametros_manuales!$I$21*parametros_manuales!$J$21</f>
        <v>9125.55</v>
      </c>
      <c r="F166" s="4">
        <f>(parametros_manuales!$D$21*('Plan mensual'!H68+IF(parametros_manuales!$H$21="Todos",'Plan mensual'!H72,0))+parametros_manuales!$E$21*('Plan mensual'!H69+IF(parametros_manuales!$H$21="Todos",'Plan mensual'!H73,0))+parametros_manuales!$F$21*('Plan mensual'!H70+IF(parametros_manuales!$H$21="Todos",'Plan mensual'!H74,0))+parametros_manuales!$G$21*('Plan mensual'!H71+IF(parametros_manuales!$H$21="Todos",'Plan mensual'!H75,0)))*parametros_manuales!$I$21*parametros_manuales!$J$21</f>
        <v>8517.18</v>
      </c>
      <c r="G166" s="4">
        <f>(parametros_manuales!$D$21*('Plan mensual'!I68+IF(parametros_manuales!$H$21="Todos",'Plan mensual'!I72,0))+parametros_manuales!$E$21*('Plan mensual'!I69+IF(parametros_manuales!$H$21="Todos",'Plan mensual'!I73,0))+parametros_manuales!$F$21*('Plan mensual'!I70+IF(parametros_manuales!$H$21="Todos",'Plan mensual'!I74,0))+parametros_manuales!$G$21*('Plan mensual'!I71+IF(parametros_manuales!$H$21="Todos",'Plan mensual'!I75,0)))*parametros_manuales!$I$21*parametros_manuales!$J$21</f>
        <v>8517.18</v>
      </c>
      <c r="H166" s="4">
        <f>(parametros_manuales!$D$21*('Plan mensual'!J68+IF(parametros_manuales!$H$21="Todos",'Plan mensual'!J72,0))+parametros_manuales!$E$21*('Plan mensual'!J69+IF(parametros_manuales!$H$21="Todos",'Plan mensual'!J73,0))+parametros_manuales!$F$21*('Plan mensual'!J70+IF(parametros_manuales!$H$21="Todos",'Plan mensual'!J74,0))+parametros_manuales!$G$21*('Plan mensual'!J71+IF(parametros_manuales!$H$21="Todos",'Plan mensual'!J75,0)))*parametros_manuales!$I$21*parametros_manuales!$J$21</f>
        <v>9125.55</v>
      </c>
      <c r="I166" s="4">
        <f>(parametros_manuales!$D$21*('Plan mensual'!K68+IF(parametros_manuales!$H$21="Todos",'Plan mensual'!K72,0))+parametros_manuales!$E$21*('Plan mensual'!K69+IF(parametros_manuales!$H$21="Todos",'Plan mensual'!K73,0))+parametros_manuales!$F$21*('Plan mensual'!K70+IF(parametros_manuales!$H$21="Todos",'Plan mensual'!K74,0))+parametros_manuales!$G$21*('Plan mensual'!K71+IF(parametros_manuales!$H$21="Todos",'Plan mensual'!K75,0)))*parametros_manuales!$I$21*parametros_manuales!$J$21</f>
        <v>9125.55</v>
      </c>
      <c r="J166" s="4">
        <f>(parametros_manuales!$D$21*('Plan mensual'!L68+IF(parametros_manuales!$H$21="Todos",'Plan mensual'!L72,0))+parametros_manuales!$E$21*('Plan mensual'!L69+IF(parametros_manuales!$H$21="Todos",'Plan mensual'!L73,0))+parametros_manuales!$F$21*('Plan mensual'!L70+IF(parametros_manuales!$H$21="Todos",'Plan mensual'!L74,0))+parametros_manuales!$G$21*('Plan mensual'!L71+IF(parametros_manuales!$H$21="Todos",'Plan mensual'!L75,0)))*parametros_manuales!$I$21*parametros_manuales!$J$21</f>
        <v>9125.55</v>
      </c>
      <c r="K166" s="4">
        <f>(parametros_manuales!$D$21*('Plan mensual'!M68+IF(parametros_manuales!$H$21="Todos",'Plan mensual'!M72,0))+parametros_manuales!$E$21*('Plan mensual'!M69+IF(parametros_manuales!$H$21="Todos",'Plan mensual'!M73,0))+parametros_manuales!$F$21*('Plan mensual'!M70+IF(parametros_manuales!$H$21="Todos",'Plan mensual'!M74,0))+parametros_manuales!$G$21*('Plan mensual'!M71+IF(parametros_manuales!$H$21="Todos",'Plan mensual'!M75,0)))*parametros_manuales!$I$21*parametros_manuales!$J$21</f>
        <v>9125.55</v>
      </c>
      <c r="L166" s="4">
        <f>(parametros_manuales!$D$21*('Plan mensual'!N68+IF(parametros_manuales!$H$21="Todos",'Plan mensual'!N72,0))+parametros_manuales!$E$21*('Plan mensual'!N69+IF(parametros_manuales!$H$21="Todos",'Plan mensual'!N73,0))+parametros_manuales!$F$21*('Plan mensual'!N70+IF(parametros_manuales!$H$21="Todos",'Plan mensual'!N74,0))+parametros_manuales!$G$21*('Plan mensual'!N71+IF(parametros_manuales!$H$21="Todos",'Plan mensual'!N75,0)))*parametros_manuales!$I$21*parametros_manuales!$J$21</f>
        <v>9125.55</v>
      </c>
      <c r="M166" s="4">
        <f>(parametros_manuales!$D$21*('Plan mensual'!O68+IF(parametros_manuales!$H$21="Todos",'Plan mensual'!O72,0))+parametros_manuales!$E$21*('Plan mensual'!O69+IF(parametros_manuales!$H$21="Todos",'Plan mensual'!O73,0))+parametros_manuales!$F$21*('Plan mensual'!O70+IF(parametros_manuales!$H$21="Todos",'Plan mensual'!O74,0))+parametros_manuales!$G$21*('Plan mensual'!O71+IF(parametros_manuales!$H$21="Todos",'Plan mensual'!O75,0)))*parametros_manuales!$I$21*parametros_manuales!$J$21</f>
        <v>14600.88</v>
      </c>
      <c r="N166" s="4">
        <f t="shared" si="19"/>
        <v>121674</v>
      </c>
      <c r="O166" s="4">
        <f t="shared" si="20"/>
        <v>14600.88</v>
      </c>
      <c r="P166" s="27">
        <f>O166/(parametros_manuales!$B$7)</f>
        <v>97.3392</v>
      </c>
      <c r="Q166" s="3" t="str">
        <f t="shared" si="21"/>
        <v>Ene</v>
      </c>
    </row>
    <row r="167" ht="14.25" customHeight="1">
      <c r="A167" s="3" t="str">
        <f>parametros_manuales!$B$22</f>
        <v>Corte de disco y embutido (cúpula y fondo)</v>
      </c>
      <c r="B167" s="4">
        <f>(parametros_manuales!$D$22*('Plan mensual'!D68+IF(parametros_manuales!$H$22="Todos",'Plan mensual'!D72,0))+parametros_manuales!$E$22*('Plan mensual'!D69+IF(parametros_manuales!$H$22="Todos",'Plan mensual'!D73,0))+parametros_manuales!$F$22*('Plan mensual'!D70+IF(parametros_manuales!$H$22="Todos",'Plan mensual'!D74,0))+parametros_manuales!$G$22*('Plan mensual'!D71+IF(parametros_manuales!$H$22="Todos",'Plan mensual'!D75,0)))*parametros_manuales!$I$22*parametros_manuales!$J$22</f>
        <v>38966.76</v>
      </c>
      <c r="C167" s="4">
        <f>(parametros_manuales!$D$22*('Plan mensual'!E68+IF(parametros_manuales!$H$22="Todos",'Plan mensual'!E72,0))+parametros_manuales!$E$22*('Plan mensual'!E69+IF(parametros_manuales!$H$22="Todos",'Plan mensual'!E73,0))+parametros_manuales!$F$22*('Plan mensual'!E70+IF(parametros_manuales!$H$22="Todos",'Plan mensual'!E74,0))+parametros_manuales!$G$22*('Plan mensual'!E71+IF(parametros_manuales!$H$22="Todos",'Plan mensual'!E75,0)))*parametros_manuales!$I$22*parametros_manuales!$J$22</f>
        <v>29713.32</v>
      </c>
      <c r="D167" s="4">
        <f>(parametros_manuales!$D$22*('Plan mensual'!F68+IF(parametros_manuales!$H$22="Todos",'Plan mensual'!F72,0))+parametros_manuales!$E$22*('Plan mensual'!F69+IF(parametros_manuales!$H$22="Todos",'Plan mensual'!F73,0))+parametros_manuales!$F$22*('Plan mensual'!F70+IF(parametros_manuales!$H$22="Todos",'Plan mensual'!F74,0))+parametros_manuales!$G$22*('Plan mensual'!F71+IF(parametros_manuales!$H$22="Todos",'Plan mensual'!F75,0)))*parametros_manuales!$I$22*parametros_manuales!$J$22</f>
        <v>27768.09</v>
      </c>
      <c r="E167" s="4">
        <f>(parametros_manuales!$D$22*('Plan mensual'!G68+IF(parametros_manuales!$H$22="Todos",'Plan mensual'!G72,0))+parametros_manuales!$E$22*('Plan mensual'!G69+IF(parametros_manuales!$H$22="Todos",'Plan mensual'!G73,0))+parametros_manuales!$F$22*('Plan mensual'!G70+IF(parametros_manuales!$H$22="Todos",'Plan mensual'!G74,0))+parametros_manuales!$G$22*('Plan mensual'!G71+IF(parametros_manuales!$H$22="Todos",'Plan mensual'!G75,0)))*parametros_manuales!$I$22*parametros_manuales!$J$22</f>
        <v>26551.35</v>
      </c>
      <c r="F167" s="4">
        <f>(parametros_manuales!$D$22*('Plan mensual'!H68+IF(parametros_manuales!$H$22="Todos",'Plan mensual'!H72,0))+parametros_manuales!$E$22*('Plan mensual'!H69+IF(parametros_manuales!$H$22="Todos",'Plan mensual'!H73,0))+parametros_manuales!$F$22*('Plan mensual'!H70+IF(parametros_manuales!$H$22="Todos",'Plan mensual'!H74,0))+parametros_manuales!$G$22*('Plan mensual'!H71+IF(parametros_manuales!$H$22="Todos",'Plan mensual'!H75,0)))*parametros_manuales!$I$22*parametros_manuales!$J$22</f>
        <v>24846.36</v>
      </c>
      <c r="G167" s="4">
        <f>(parametros_manuales!$D$22*('Plan mensual'!I68+IF(parametros_manuales!$H$22="Todos",'Plan mensual'!I72,0))+parametros_manuales!$E$22*('Plan mensual'!I69+IF(parametros_manuales!$H$22="Todos",'Plan mensual'!I73,0))+parametros_manuales!$F$22*('Plan mensual'!I70+IF(parametros_manuales!$H$22="Todos",'Plan mensual'!I74,0))+parametros_manuales!$G$22*('Plan mensual'!I71+IF(parametros_manuales!$H$22="Todos",'Plan mensual'!I75,0)))*parametros_manuales!$I$22*parametros_manuales!$J$22</f>
        <v>24358.11</v>
      </c>
      <c r="H167" s="4">
        <f>(parametros_manuales!$D$22*('Plan mensual'!J68+IF(parametros_manuales!$H$22="Todos",'Plan mensual'!J72,0))+parametros_manuales!$E$22*('Plan mensual'!J69+IF(parametros_manuales!$H$22="Todos",'Plan mensual'!J73,0))+parametros_manuales!$F$22*('Plan mensual'!J70+IF(parametros_manuales!$H$22="Todos",'Plan mensual'!J74,0))+parametros_manuales!$G$22*('Plan mensual'!J71+IF(parametros_manuales!$H$22="Todos",'Plan mensual'!J75,0)))*parametros_manuales!$I$22*parametros_manuales!$J$22</f>
        <v>26063.1</v>
      </c>
      <c r="I167" s="4">
        <f>(parametros_manuales!$D$22*('Plan mensual'!K68+IF(parametros_manuales!$H$22="Todos",'Plan mensual'!K72,0))+parametros_manuales!$E$22*('Plan mensual'!K69+IF(parametros_manuales!$H$22="Todos",'Plan mensual'!K73,0))+parametros_manuales!$F$22*('Plan mensual'!K70+IF(parametros_manuales!$H$22="Todos",'Plan mensual'!K74,0))+parametros_manuales!$G$22*('Plan mensual'!K71+IF(parametros_manuales!$H$22="Todos",'Plan mensual'!K75,0)))*parametros_manuales!$I$22*parametros_manuales!$J$22</f>
        <v>26063.1</v>
      </c>
      <c r="J167" s="4">
        <f>(parametros_manuales!$D$22*('Plan mensual'!L68+IF(parametros_manuales!$H$22="Todos",'Plan mensual'!L72,0))+parametros_manuales!$E$22*('Plan mensual'!L69+IF(parametros_manuales!$H$22="Todos",'Plan mensual'!L73,0))+parametros_manuales!$F$22*('Plan mensual'!L70+IF(parametros_manuales!$H$22="Todos",'Plan mensual'!L74,0))+parametros_manuales!$G$22*('Plan mensual'!L71+IF(parametros_manuales!$H$22="Todos",'Plan mensual'!L75,0)))*parametros_manuales!$I$22*parametros_manuales!$J$22</f>
        <v>26063.1</v>
      </c>
      <c r="K167" s="4">
        <f>(parametros_manuales!$D$22*('Plan mensual'!M68+IF(parametros_manuales!$H$22="Todos",'Plan mensual'!M72,0))+parametros_manuales!$E$22*('Plan mensual'!M69+IF(parametros_manuales!$H$22="Todos",'Plan mensual'!M73,0))+parametros_manuales!$F$22*('Plan mensual'!M70+IF(parametros_manuales!$H$22="Todos",'Plan mensual'!M74,0))+parametros_manuales!$G$22*('Plan mensual'!M71+IF(parametros_manuales!$H$22="Todos",'Plan mensual'!M75,0)))*parametros_manuales!$I$22*parametros_manuales!$J$22</f>
        <v>25574.85</v>
      </c>
      <c r="L167" s="4">
        <f>(parametros_manuales!$D$22*('Plan mensual'!N68+IF(parametros_manuales!$H$22="Todos",'Plan mensual'!N72,0))+parametros_manuales!$E$22*('Plan mensual'!N69+IF(parametros_manuales!$H$22="Todos",'Plan mensual'!N73,0))+parametros_manuales!$F$22*('Plan mensual'!N70+IF(parametros_manuales!$H$22="Todos",'Plan mensual'!N74,0))+parametros_manuales!$G$22*('Plan mensual'!N71+IF(parametros_manuales!$H$22="Todos",'Plan mensual'!N75,0)))*parametros_manuales!$I$22*parametros_manuales!$J$22</f>
        <v>25086.6</v>
      </c>
      <c r="M167" s="4">
        <f>(parametros_manuales!$D$22*('Plan mensual'!O68+IF(parametros_manuales!$H$22="Todos",'Plan mensual'!O72,0))+parametros_manuales!$E$22*('Plan mensual'!O69+IF(parametros_manuales!$H$22="Todos",'Plan mensual'!O73,0))+parametros_manuales!$F$22*('Plan mensual'!O70+IF(parametros_manuales!$H$22="Todos",'Plan mensual'!O74,0))+parametros_manuales!$G$22*('Plan mensual'!O71+IF(parametros_manuales!$H$22="Todos",'Plan mensual'!O75,0)))*parametros_manuales!$I$22*parametros_manuales!$J$22</f>
        <v>39943.26</v>
      </c>
      <c r="N167" s="4">
        <f t="shared" si="19"/>
        <v>340998</v>
      </c>
      <c r="O167" s="4">
        <f t="shared" si="20"/>
        <v>39943.26</v>
      </c>
      <c r="P167" s="27">
        <f>O167/(parametros_manuales!$B$7)</f>
        <v>266.2884</v>
      </c>
      <c r="Q167" s="3" t="str">
        <f t="shared" si="21"/>
        <v>Dic</v>
      </c>
    </row>
    <row r="168" ht="14.25" customHeight="1">
      <c r="A168" s="3" t="str">
        <f>parametros_manuales!$B$23</f>
        <v>Preparación de cuello</v>
      </c>
      <c r="B168" s="4">
        <f>(parametros_manuales!$D$23*('Plan mensual'!D68+IF(parametros_manuales!$H$23="Todos",'Plan mensual'!D72,0))+parametros_manuales!$E$23*('Plan mensual'!D69+IF(parametros_manuales!$H$23="Todos",'Plan mensual'!D73,0))+parametros_manuales!$F$23*('Plan mensual'!D70+IF(parametros_manuales!$H$23="Todos",'Plan mensual'!D74,0))+parametros_manuales!$G$23*('Plan mensual'!D71+IF(parametros_manuales!$H$23="Todos",'Plan mensual'!D75,0)))*parametros_manuales!$I$23*parametros_manuales!$J$23</f>
        <v>19483.38</v>
      </c>
      <c r="C168" s="4">
        <f>(parametros_manuales!$D$23*('Plan mensual'!E68+IF(parametros_manuales!$H$23="Todos",'Plan mensual'!E72,0))+parametros_manuales!$E$23*('Plan mensual'!E69+IF(parametros_manuales!$H$23="Todos",'Plan mensual'!E73,0))+parametros_manuales!$F$23*('Plan mensual'!E70+IF(parametros_manuales!$H$23="Todos",'Plan mensual'!E74,0))+parametros_manuales!$G$23*('Plan mensual'!E71+IF(parametros_manuales!$H$23="Todos",'Plan mensual'!E75,0)))*parametros_manuales!$I$23*parametros_manuales!$J$23</f>
        <v>14856.66</v>
      </c>
      <c r="D168" s="4">
        <f>(parametros_manuales!$D$23*('Plan mensual'!F68+IF(parametros_manuales!$H$23="Todos",'Plan mensual'!F72,0))+parametros_manuales!$E$23*('Plan mensual'!F69+IF(parametros_manuales!$H$23="Todos",'Plan mensual'!F73,0))+parametros_manuales!$F$23*('Plan mensual'!F70+IF(parametros_manuales!$H$23="Todos",'Plan mensual'!F74,0))+parametros_manuales!$G$23*('Plan mensual'!F71+IF(parametros_manuales!$H$23="Todos",'Plan mensual'!F75,0)))*parametros_manuales!$I$23*parametros_manuales!$J$23</f>
        <v>13884.045</v>
      </c>
      <c r="E168" s="4">
        <f>(parametros_manuales!$D$23*('Plan mensual'!G68+IF(parametros_manuales!$H$23="Todos",'Plan mensual'!G72,0))+parametros_manuales!$E$23*('Plan mensual'!G69+IF(parametros_manuales!$H$23="Todos",'Plan mensual'!G73,0))+parametros_manuales!$F$23*('Plan mensual'!G70+IF(parametros_manuales!$H$23="Todos",'Plan mensual'!G74,0))+parametros_manuales!$G$23*('Plan mensual'!G71+IF(parametros_manuales!$H$23="Todos",'Plan mensual'!G75,0)))*parametros_manuales!$I$23*parametros_manuales!$J$23</f>
        <v>13275.675</v>
      </c>
      <c r="F168" s="4">
        <f>(parametros_manuales!$D$23*('Plan mensual'!H68+IF(parametros_manuales!$H$23="Todos",'Plan mensual'!H72,0))+parametros_manuales!$E$23*('Plan mensual'!H69+IF(parametros_manuales!$H$23="Todos",'Plan mensual'!H73,0))+parametros_manuales!$F$23*('Plan mensual'!H70+IF(parametros_manuales!$H$23="Todos",'Plan mensual'!H74,0))+parametros_manuales!$G$23*('Plan mensual'!H71+IF(parametros_manuales!$H$23="Todos",'Plan mensual'!H75,0)))*parametros_manuales!$I$23*parametros_manuales!$J$23</f>
        <v>12423.18</v>
      </c>
      <c r="G168" s="4">
        <f>(parametros_manuales!$D$23*('Plan mensual'!I68+IF(parametros_manuales!$H$23="Todos",'Plan mensual'!I72,0))+parametros_manuales!$E$23*('Plan mensual'!I69+IF(parametros_manuales!$H$23="Todos",'Plan mensual'!I73,0))+parametros_manuales!$F$23*('Plan mensual'!I70+IF(parametros_manuales!$H$23="Todos",'Plan mensual'!I74,0))+parametros_manuales!$G$23*('Plan mensual'!I71+IF(parametros_manuales!$H$23="Todos",'Plan mensual'!I75,0)))*parametros_manuales!$I$23*parametros_manuales!$J$23</f>
        <v>12179.055</v>
      </c>
      <c r="H168" s="4">
        <f>(parametros_manuales!$D$23*('Plan mensual'!J68+IF(parametros_manuales!$H$23="Todos",'Plan mensual'!J72,0))+parametros_manuales!$E$23*('Plan mensual'!J69+IF(parametros_manuales!$H$23="Todos",'Plan mensual'!J73,0))+parametros_manuales!$F$23*('Plan mensual'!J70+IF(parametros_manuales!$H$23="Todos",'Plan mensual'!J74,0))+parametros_manuales!$G$23*('Plan mensual'!J71+IF(parametros_manuales!$H$23="Todos",'Plan mensual'!J75,0)))*parametros_manuales!$I$23*parametros_manuales!$J$23</f>
        <v>13031.55</v>
      </c>
      <c r="I168" s="4">
        <f>(parametros_manuales!$D$23*('Plan mensual'!K68+IF(parametros_manuales!$H$23="Todos",'Plan mensual'!K72,0))+parametros_manuales!$E$23*('Plan mensual'!K69+IF(parametros_manuales!$H$23="Todos",'Plan mensual'!K73,0))+parametros_manuales!$F$23*('Plan mensual'!K70+IF(parametros_manuales!$H$23="Todos",'Plan mensual'!K74,0))+parametros_manuales!$G$23*('Plan mensual'!K71+IF(parametros_manuales!$H$23="Todos",'Plan mensual'!K75,0)))*parametros_manuales!$I$23*parametros_manuales!$J$23</f>
        <v>13031.55</v>
      </c>
      <c r="J168" s="4">
        <f>(parametros_manuales!$D$23*('Plan mensual'!L68+IF(parametros_manuales!$H$23="Todos",'Plan mensual'!L72,0))+parametros_manuales!$E$23*('Plan mensual'!L69+IF(parametros_manuales!$H$23="Todos",'Plan mensual'!L73,0))+parametros_manuales!$F$23*('Plan mensual'!L70+IF(parametros_manuales!$H$23="Todos",'Plan mensual'!L74,0))+parametros_manuales!$G$23*('Plan mensual'!L71+IF(parametros_manuales!$H$23="Todos",'Plan mensual'!L75,0)))*parametros_manuales!$I$23*parametros_manuales!$J$23</f>
        <v>13031.55</v>
      </c>
      <c r="K168" s="4">
        <f>(parametros_manuales!$D$23*('Plan mensual'!M68+IF(parametros_manuales!$H$23="Todos",'Plan mensual'!M72,0))+parametros_manuales!$E$23*('Plan mensual'!M69+IF(parametros_manuales!$H$23="Todos",'Plan mensual'!M73,0))+parametros_manuales!$F$23*('Plan mensual'!M70+IF(parametros_manuales!$H$23="Todos",'Plan mensual'!M74,0))+parametros_manuales!$G$23*('Plan mensual'!M71+IF(parametros_manuales!$H$23="Todos",'Plan mensual'!M75,0)))*parametros_manuales!$I$23*parametros_manuales!$J$23</f>
        <v>12787.425</v>
      </c>
      <c r="L168" s="4">
        <f>(parametros_manuales!$D$23*('Plan mensual'!N68+IF(parametros_manuales!$H$23="Todos",'Plan mensual'!N72,0))+parametros_manuales!$E$23*('Plan mensual'!N69+IF(parametros_manuales!$H$23="Todos",'Plan mensual'!N73,0))+parametros_manuales!$F$23*('Plan mensual'!N70+IF(parametros_manuales!$H$23="Todos",'Plan mensual'!N74,0))+parametros_manuales!$G$23*('Plan mensual'!N71+IF(parametros_manuales!$H$23="Todos",'Plan mensual'!N75,0)))*parametros_manuales!$I$23*parametros_manuales!$J$23</f>
        <v>12543.3</v>
      </c>
      <c r="M168" s="4">
        <f>(parametros_manuales!$D$23*('Plan mensual'!O68+IF(parametros_manuales!$H$23="Todos",'Plan mensual'!O72,0))+parametros_manuales!$E$23*('Plan mensual'!O69+IF(parametros_manuales!$H$23="Todos",'Plan mensual'!O73,0))+parametros_manuales!$F$23*('Plan mensual'!O70+IF(parametros_manuales!$H$23="Todos",'Plan mensual'!O74,0))+parametros_manuales!$G$23*('Plan mensual'!O71+IF(parametros_manuales!$H$23="Todos",'Plan mensual'!O75,0)))*parametros_manuales!$I$23*parametros_manuales!$J$23</f>
        <v>19971.63</v>
      </c>
      <c r="N168" s="4">
        <f t="shared" si="19"/>
        <v>170499</v>
      </c>
      <c r="O168" s="4">
        <f t="shared" si="20"/>
        <v>19971.63</v>
      </c>
      <c r="P168" s="27">
        <f>O168/(parametros_manuales!$B$7)</f>
        <v>133.1442</v>
      </c>
      <c r="Q168" s="3" t="str">
        <f t="shared" si="21"/>
        <v>Dic</v>
      </c>
    </row>
    <row r="169" ht="14.25" customHeight="1">
      <c r="A169" s="3" t="str">
        <f>parametros_manuales!$B$24</f>
        <v>Numerado de cúpula</v>
      </c>
      <c r="B169" s="4">
        <f>(parametros_manuales!$D$24*('Plan mensual'!D68+IF(parametros_manuales!$H$24="Todos",'Plan mensual'!D72,0))+parametros_manuales!$E$24*('Plan mensual'!D69+IF(parametros_manuales!$H$24="Todos",'Plan mensual'!D73,0))+parametros_manuales!$F$24*('Plan mensual'!D70+IF(parametros_manuales!$H$24="Todos",'Plan mensual'!D74,0))+parametros_manuales!$G$24*('Plan mensual'!D71+IF(parametros_manuales!$H$24="Todos",'Plan mensual'!D75,0)))*parametros_manuales!$I$24*parametros_manuales!$J$24</f>
        <v>19483.38</v>
      </c>
      <c r="C169" s="4">
        <f>(parametros_manuales!$D$24*('Plan mensual'!E68+IF(parametros_manuales!$H$24="Todos",'Plan mensual'!E72,0))+parametros_manuales!$E$24*('Plan mensual'!E69+IF(parametros_manuales!$H$24="Todos",'Plan mensual'!E73,0))+parametros_manuales!$F$24*('Plan mensual'!E70+IF(parametros_manuales!$H$24="Todos",'Plan mensual'!E74,0))+parametros_manuales!$G$24*('Plan mensual'!E71+IF(parametros_manuales!$H$24="Todos",'Plan mensual'!E75,0)))*parametros_manuales!$I$24*parametros_manuales!$J$24</f>
        <v>14856.66</v>
      </c>
      <c r="D169" s="4">
        <f>(parametros_manuales!$D$24*('Plan mensual'!F68+IF(parametros_manuales!$H$24="Todos",'Plan mensual'!F72,0))+parametros_manuales!$E$24*('Plan mensual'!F69+IF(parametros_manuales!$H$24="Todos",'Plan mensual'!F73,0))+parametros_manuales!$F$24*('Plan mensual'!F70+IF(parametros_manuales!$H$24="Todos",'Plan mensual'!F74,0))+parametros_manuales!$G$24*('Plan mensual'!F71+IF(parametros_manuales!$H$24="Todos",'Plan mensual'!F75,0)))*parametros_manuales!$I$24*parametros_manuales!$J$24</f>
        <v>13884.045</v>
      </c>
      <c r="E169" s="4">
        <f>(parametros_manuales!$D$24*('Plan mensual'!G68+IF(parametros_manuales!$H$24="Todos",'Plan mensual'!G72,0))+parametros_manuales!$E$24*('Plan mensual'!G69+IF(parametros_manuales!$H$24="Todos",'Plan mensual'!G73,0))+parametros_manuales!$F$24*('Plan mensual'!G70+IF(parametros_manuales!$H$24="Todos",'Plan mensual'!G74,0))+parametros_manuales!$G$24*('Plan mensual'!G71+IF(parametros_manuales!$H$24="Todos",'Plan mensual'!G75,0)))*parametros_manuales!$I$24*parametros_manuales!$J$24</f>
        <v>13275.675</v>
      </c>
      <c r="F169" s="4">
        <f>(parametros_manuales!$D$24*('Plan mensual'!H68+IF(parametros_manuales!$H$24="Todos",'Plan mensual'!H72,0))+parametros_manuales!$E$24*('Plan mensual'!H69+IF(parametros_manuales!$H$24="Todos",'Plan mensual'!H73,0))+parametros_manuales!$F$24*('Plan mensual'!H70+IF(parametros_manuales!$H$24="Todos",'Plan mensual'!H74,0))+parametros_manuales!$G$24*('Plan mensual'!H71+IF(parametros_manuales!$H$24="Todos",'Plan mensual'!H75,0)))*parametros_manuales!$I$24*parametros_manuales!$J$24</f>
        <v>12423.18</v>
      </c>
      <c r="G169" s="4">
        <f>(parametros_manuales!$D$24*('Plan mensual'!I68+IF(parametros_manuales!$H$24="Todos",'Plan mensual'!I72,0))+parametros_manuales!$E$24*('Plan mensual'!I69+IF(parametros_manuales!$H$24="Todos",'Plan mensual'!I73,0))+parametros_manuales!$F$24*('Plan mensual'!I70+IF(parametros_manuales!$H$24="Todos",'Plan mensual'!I74,0))+parametros_manuales!$G$24*('Plan mensual'!I71+IF(parametros_manuales!$H$24="Todos",'Plan mensual'!I75,0)))*parametros_manuales!$I$24*parametros_manuales!$J$24</f>
        <v>12179.055</v>
      </c>
      <c r="H169" s="4">
        <f>(parametros_manuales!$D$24*('Plan mensual'!J68+IF(parametros_manuales!$H$24="Todos",'Plan mensual'!J72,0))+parametros_manuales!$E$24*('Plan mensual'!J69+IF(parametros_manuales!$H$24="Todos",'Plan mensual'!J73,0))+parametros_manuales!$F$24*('Plan mensual'!J70+IF(parametros_manuales!$H$24="Todos",'Plan mensual'!J74,0))+parametros_manuales!$G$24*('Plan mensual'!J71+IF(parametros_manuales!$H$24="Todos",'Plan mensual'!J75,0)))*parametros_manuales!$I$24*parametros_manuales!$J$24</f>
        <v>13031.55</v>
      </c>
      <c r="I169" s="4">
        <f>(parametros_manuales!$D$24*('Plan mensual'!K68+IF(parametros_manuales!$H$24="Todos",'Plan mensual'!K72,0))+parametros_manuales!$E$24*('Plan mensual'!K69+IF(parametros_manuales!$H$24="Todos",'Plan mensual'!K73,0))+parametros_manuales!$F$24*('Plan mensual'!K70+IF(parametros_manuales!$H$24="Todos",'Plan mensual'!K74,0))+parametros_manuales!$G$24*('Plan mensual'!K71+IF(parametros_manuales!$H$24="Todos",'Plan mensual'!K75,0)))*parametros_manuales!$I$24*parametros_manuales!$J$24</f>
        <v>13031.55</v>
      </c>
      <c r="J169" s="4">
        <f>(parametros_manuales!$D$24*('Plan mensual'!L68+IF(parametros_manuales!$H$24="Todos",'Plan mensual'!L72,0))+parametros_manuales!$E$24*('Plan mensual'!L69+IF(parametros_manuales!$H$24="Todos",'Plan mensual'!L73,0))+parametros_manuales!$F$24*('Plan mensual'!L70+IF(parametros_manuales!$H$24="Todos",'Plan mensual'!L74,0))+parametros_manuales!$G$24*('Plan mensual'!L71+IF(parametros_manuales!$H$24="Todos",'Plan mensual'!L75,0)))*parametros_manuales!$I$24*parametros_manuales!$J$24</f>
        <v>13031.55</v>
      </c>
      <c r="K169" s="4">
        <f>(parametros_manuales!$D$24*('Plan mensual'!M68+IF(parametros_manuales!$H$24="Todos",'Plan mensual'!M72,0))+parametros_manuales!$E$24*('Plan mensual'!M69+IF(parametros_manuales!$H$24="Todos",'Plan mensual'!M73,0))+parametros_manuales!$F$24*('Plan mensual'!M70+IF(parametros_manuales!$H$24="Todos",'Plan mensual'!M74,0))+parametros_manuales!$G$24*('Plan mensual'!M71+IF(parametros_manuales!$H$24="Todos",'Plan mensual'!M75,0)))*parametros_manuales!$I$24*parametros_manuales!$J$24</f>
        <v>12787.425</v>
      </c>
      <c r="L169" s="4">
        <f>(parametros_manuales!$D$24*('Plan mensual'!N68+IF(parametros_manuales!$H$24="Todos",'Plan mensual'!N72,0))+parametros_manuales!$E$24*('Plan mensual'!N69+IF(parametros_manuales!$H$24="Todos",'Plan mensual'!N73,0))+parametros_manuales!$F$24*('Plan mensual'!N70+IF(parametros_manuales!$H$24="Todos",'Plan mensual'!N74,0))+parametros_manuales!$G$24*('Plan mensual'!N71+IF(parametros_manuales!$H$24="Todos",'Plan mensual'!N75,0)))*parametros_manuales!$I$24*parametros_manuales!$J$24</f>
        <v>12543.3</v>
      </c>
      <c r="M169" s="4">
        <f>(parametros_manuales!$D$24*('Plan mensual'!O68+IF(parametros_manuales!$H$24="Todos",'Plan mensual'!O72,0))+parametros_manuales!$E$24*('Plan mensual'!O69+IF(parametros_manuales!$H$24="Todos",'Plan mensual'!O73,0))+parametros_manuales!$F$24*('Plan mensual'!O70+IF(parametros_manuales!$H$24="Todos",'Plan mensual'!O74,0))+parametros_manuales!$G$24*('Plan mensual'!O71+IF(parametros_manuales!$H$24="Todos",'Plan mensual'!O75,0)))*parametros_manuales!$I$24*parametros_manuales!$J$24</f>
        <v>19971.63</v>
      </c>
      <c r="N169" s="4">
        <f t="shared" si="19"/>
        <v>170499</v>
      </c>
      <c r="O169" s="4">
        <f t="shared" si="20"/>
        <v>19971.63</v>
      </c>
      <c r="P169" s="27">
        <f>O169/(parametros_manuales!$B$7)</f>
        <v>133.1442</v>
      </c>
      <c r="Q169" s="3" t="str">
        <f t="shared" si="21"/>
        <v>Dic</v>
      </c>
    </row>
    <row r="170" ht="14.25" customHeight="1">
      <c r="A170" s="3" t="str">
        <f>parametros_manuales!$B$25</f>
        <v>Soldadura del cuello a la cúpula</v>
      </c>
      <c r="B170" s="4">
        <f>(parametros_manuales!$D$25*('Plan mensual'!D68+IF(parametros_manuales!$H$25="Todos",'Plan mensual'!D72,0))+parametros_manuales!$E$25*('Plan mensual'!D69+IF(parametros_manuales!$H$25="Todos",'Plan mensual'!D73,0))+parametros_manuales!$F$25*('Plan mensual'!D70+IF(parametros_manuales!$H$25="Todos",'Plan mensual'!D74,0))+parametros_manuales!$G$25*('Plan mensual'!D71+IF(parametros_manuales!$H$25="Todos",'Plan mensual'!D75,0)))*parametros_manuales!$I$25*parametros_manuales!$J$25</f>
        <v>19483.38</v>
      </c>
      <c r="C170" s="4">
        <f>(parametros_manuales!$D$25*('Plan mensual'!E68+IF(parametros_manuales!$H$25="Todos",'Plan mensual'!E72,0))+parametros_manuales!$E$25*('Plan mensual'!E69+IF(parametros_manuales!$H$25="Todos",'Plan mensual'!E73,0))+parametros_manuales!$F$25*('Plan mensual'!E70+IF(parametros_manuales!$H$25="Todos",'Plan mensual'!E74,0))+parametros_manuales!$G$25*('Plan mensual'!E71+IF(parametros_manuales!$H$25="Todos",'Plan mensual'!E75,0)))*parametros_manuales!$I$25*parametros_manuales!$J$25</f>
        <v>14856.66</v>
      </c>
      <c r="D170" s="4">
        <f>(parametros_manuales!$D$25*('Plan mensual'!F68+IF(parametros_manuales!$H$25="Todos",'Plan mensual'!F72,0))+parametros_manuales!$E$25*('Plan mensual'!F69+IF(parametros_manuales!$H$25="Todos",'Plan mensual'!F73,0))+parametros_manuales!$F$25*('Plan mensual'!F70+IF(parametros_manuales!$H$25="Todos",'Plan mensual'!F74,0))+parametros_manuales!$G$25*('Plan mensual'!F71+IF(parametros_manuales!$H$25="Todos",'Plan mensual'!F75,0)))*parametros_manuales!$I$25*parametros_manuales!$J$25</f>
        <v>13884.045</v>
      </c>
      <c r="E170" s="4">
        <f>(parametros_manuales!$D$25*('Plan mensual'!G68+IF(parametros_manuales!$H$25="Todos",'Plan mensual'!G72,0))+parametros_manuales!$E$25*('Plan mensual'!G69+IF(parametros_manuales!$H$25="Todos",'Plan mensual'!G73,0))+parametros_manuales!$F$25*('Plan mensual'!G70+IF(parametros_manuales!$H$25="Todos",'Plan mensual'!G74,0))+parametros_manuales!$G$25*('Plan mensual'!G71+IF(parametros_manuales!$H$25="Todos",'Plan mensual'!G75,0)))*parametros_manuales!$I$25*parametros_manuales!$J$25</f>
        <v>13275.675</v>
      </c>
      <c r="F170" s="4">
        <f>(parametros_manuales!$D$25*('Plan mensual'!H68+IF(parametros_manuales!$H$25="Todos",'Plan mensual'!H72,0))+parametros_manuales!$E$25*('Plan mensual'!H69+IF(parametros_manuales!$H$25="Todos",'Plan mensual'!H73,0))+parametros_manuales!$F$25*('Plan mensual'!H70+IF(parametros_manuales!$H$25="Todos",'Plan mensual'!H74,0))+parametros_manuales!$G$25*('Plan mensual'!H71+IF(parametros_manuales!$H$25="Todos",'Plan mensual'!H75,0)))*parametros_manuales!$I$25*parametros_manuales!$J$25</f>
        <v>12423.18</v>
      </c>
      <c r="G170" s="4">
        <f>(parametros_manuales!$D$25*('Plan mensual'!I68+IF(parametros_manuales!$H$25="Todos",'Plan mensual'!I72,0))+parametros_manuales!$E$25*('Plan mensual'!I69+IF(parametros_manuales!$H$25="Todos",'Plan mensual'!I73,0))+parametros_manuales!$F$25*('Plan mensual'!I70+IF(parametros_manuales!$H$25="Todos",'Plan mensual'!I74,0))+parametros_manuales!$G$25*('Plan mensual'!I71+IF(parametros_manuales!$H$25="Todos",'Plan mensual'!I75,0)))*parametros_manuales!$I$25*parametros_manuales!$J$25</f>
        <v>12179.055</v>
      </c>
      <c r="H170" s="4">
        <f>(parametros_manuales!$D$25*('Plan mensual'!J68+IF(parametros_manuales!$H$25="Todos",'Plan mensual'!J72,0))+parametros_manuales!$E$25*('Plan mensual'!J69+IF(parametros_manuales!$H$25="Todos",'Plan mensual'!J73,0))+parametros_manuales!$F$25*('Plan mensual'!J70+IF(parametros_manuales!$H$25="Todos",'Plan mensual'!J74,0))+parametros_manuales!$G$25*('Plan mensual'!J71+IF(parametros_manuales!$H$25="Todos",'Plan mensual'!J75,0)))*parametros_manuales!$I$25*parametros_manuales!$J$25</f>
        <v>13031.55</v>
      </c>
      <c r="I170" s="4">
        <f>(parametros_manuales!$D$25*('Plan mensual'!K68+IF(parametros_manuales!$H$25="Todos",'Plan mensual'!K72,0))+parametros_manuales!$E$25*('Plan mensual'!K69+IF(parametros_manuales!$H$25="Todos",'Plan mensual'!K73,0))+parametros_manuales!$F$25*('Plan mensual'!K70+IF(parametros_manuales!$H$25="Todos",'Plan mensual'!K74,0))+parametros_manuales!$G$25*('Plan mensual'!K71+IF(parametros_manuales!$H$25="Todos",'Plan mensual'!K75,0)))*parametros_manuales!$I$25*parametros_manuales!$J$25</f>
        <v>13031.55</v>
      </c>
      <c r="J170" s="4">
        <f>(parametros_manuales!$D$25*('Plan mensual'!L68+IF(parametros_manuales!$H$25="Todos",'Plan mensual'!L72,0))+parametros_manuales!$E$25*('Plan mensual'!L69+IF(parametros_manuales!$H$25="Todos",'Plan mensual'!L73,0))+parametros_manuales!$F$25*('Plan mensual'!L70+IF(parametros_manuales!$H$25="Todos",'Plan mensual'!L74,0))+parametros_manuales!$G$25*('Plan mensual'!L71+IF(parametros_manuales!$H$25="Todos",'Plan mensual'!L75,0)))*parametros_manuales!$I$25*parametros_manuales!$J$25</f>
        <v>13031.55</v>
      </c>
      <c r="K170" s="4">
        <f>(parametros_manuales!$D$25*('Plan mensual'!M68+IF(parametros_manuales!$H$25="Todos",'Plan mensual'!M72,0))+parametros_manuales!$E$25*('Plan mensual'!M69+IF(parametros_manuales!$H$25="Todos",'Plan mensual'!M73,0))+parametros_manuales!$F$25*('Plan mensual'!M70+IF(parametros_manuales!$H$25="Todos",'Plan mensual'!M74,0))+parametros_manuales!$G$25*('Plan mensual'!M71+IF(parametros_manuales!$H$25="Todos",'Plan mensual'!M75,0)))*parametros_manuales!$I$25*parametros_manuales!$J$25</f>
        <v>12787.425</v>
      </c>
      <c r="L170" s="4">
        <f>(parametros_manuales!$D$25*('Plan mensual'!N68+IF(parametros_manuales!$H$25="Todos",'Plan mensual'!N72,0))+parametros_manuales!$E$25*('Plan mensual'!N69+IF(parametros_manuales!$H$25="Todos",'Plan mensual'!N73,0))+parametros_manuales!$F$25*('Plan mensual'!N70+IF(parametros_manuales!$H$25="Todos",'Plan mensual'!N74,0))+parametros_manuales!$G$25*('Plan mensual'!N71+IF(parametros_manuales!$H$25="Todos",'Plan mensual'!N75,0)))*parametros_manuales!$I$25*parametros_manuales!$J$25</f>
        <v>12543.3</v>
      </c>
      <c r="M170" s="4">
        <f>(parametros_manuales!$D$25*('Plan mensual'!O68+IF(parametros_manuales!$H$25="Todos",'Plan mensual'!O72,0))+parametros_manuales!$E$25*('Plan mensual'!O69+IF(parametros_manuales!$H$25="Todos",'Plan mensual'!O73,0))+parametros_manuales!$F$25*('Plan mensual'!O70+IF(parametros_manuales!$H$25="Todos",'Plan mensual'!O74,0))+parametros_manuales!$G$25*('Plan mensual'!O71+IF(parametros_manuales!$H$25="Todos",'Plan mensual'!O75,0)))*parametros_manuales!$I$25*parametros_manuales!$J$25</f>
        <v>19971.63</v>
      </c>
      <c r="N170" s="4">
        <f t="shared" si="19"/>
        <v>170499</v>
      </c>
      <c r="O170" s="4">
        <f t="shared" si="20"/>
        <v>19971.63</v>
      </c>
      <c r="P170" s="27">
        <f>O170/(parametros_manuales!$B$7)</f>
        <v>133.1442</v>
      </c>
      <c r="Q170" s="3" t="str">
        <f t="shared" si="21"/>
        <v>Dic</v>
      </c>
    </row>
    <row r="171" ht="14.25" customHeight="1">
      <c r="A171" s="3" t="str">
        <f>parametros_manuales!$B$26</f>
        <v>Cilindrado</v>
      </c>
      <c r="B171" s="4">
        <f>(parametros_manuales!$D$26*('Plan mensual'!D68+IF(parametros_manuales!$H$26="Todos",'Plan mensual'!D72,0))+parametros_manuales!$E$26*('Plan mensual'!D69+IF(parametros_manuales!$H$26="Todos",'Plan mensual'!D73,0))+parametros_manuales!$F$26*('Plan mensual'!D70+IF(parametros_manuales!$H$26="Todos",'Plan mensual'!D74,0))+parametros_manuales!$G$26*('Plan mensual'!D71+IF(parametros_manuales!$H$26="Todos",'Plan mensual'!D75,0)))*parametros_manuales!$I$26*parametros_manuales!$J$26</f>
        <v>4882.5</v>
      </c>
      <c r="C171" s="4">
        <f>(parametros_manuales!$D$26*('Plan mensual'!E68+IF(parametros_manuales!$H$26="Todos",'Plan mensual'!E72,0))+parametros_manuales!$E$26*('Plan mensual'!E69+IF(parametros_manuales!$H$26="Todos",'Plan mensual'!E73,0))+parametros_manuales!$F$26*('Plan mensual'!E70+IF(parametros_manuales!$H$26="Todos",'Plan mensual'!E74,0))+parametros_manuales!$G$26*('Plan mensual'!E71+IF(parametros_manuales!$H$26="Todos",'Plan mensual'!E75,0)))*parametros_manuales!$I$26*parametros_manuales!$J$26</f>
        <v>3906</v>
      </c>
      <c r="D171" s="4">
        <f>(parametros_manuales!$D$26*('Plan mensual'!F68+IF(parametros_manuales!$H$26="Todos",'Plan mensual'!F72,0))+parametros_manuales!$E$26*('Plan mensual'!F69+IF(parametros_manuales!$H$26="Todos",'Plan mensual'!F73,0))+parametros_manuales!$F$26*('Plan mensual'!F70+IF(parametros_manuales!$H$26="Todos",'Plan mensual'!F74,0))+parametros_manuales!$G$26*('Plan mensual'!F71+IF(parametros_manuales!$H$26="Todos",'Plan mensual'!F75,0)))*parametros_manuales!$I$26*parametros_manuales!$J$26</f>
        <v>4150.125</v>
      </c>
      <c r="E171" s="4">
        <f>(parametros_manuales!$D$26*('Plan mensual'!G68+IF(parametros_manuales!$H$26="Todos",'Plan mensual'!G72,0))+parametros_manuales!$E$26*('Plan mensual'!G69+IF(parametros_manuales!$H$26="Todos",'Plan mensual'!G73,0))+parametros_manuales!$F$26*('Plan mensual'!G70+IF(parametros_manuales!$H$26="Todos",'Plan mensual'!G74,0))+parametros_manuales!$G$26*('Plan mensual'!G71+IF(parametros_manuales!$H$26="Todos",'Plan mensual'!G75,0)))*parametros_manuales!$I$26*parametros_manuales!$J$26</f>
        <v>4150.125</v>
      </c>
      <c r="F171" s="4">
        <f>(parametros_manuales!$D$26*('Plan mensual'!H68+IF(parametros_manuales!$H$26="Todos",'Plan mensual'!H72,0))+parametros_manuales!$E$26*('Plan mensual'!H69+IF(parametros_manuales!$H$26="Todos",'Plan mensual'!H73,0))+parametros_manuales!$F$26*('Plan mensual'!H70+IF(parametros_manuales!$H$26="Todos",'Plan mensual'!H74,0))+parametros_manuales!$G$26*('Plan mensual'!H71+IF(parametros_manuales!$H$26="Todos",'Plan mensual'!H75,0)))*parametros_manuales!$I$26*parametros_manuales!$J$26</f>
        <v>3906</v>
      </c>
      <c r="G171" s="4">
        <f>(parametros_manuales!$D$26*('Plan mensual'!I68+IF(parametros_manuales!$H$26="Todos",'Plan mensual'!I72,0))+parametros_manuales!$E$26*('Plan mensual'!I69+IF(parametros_manuales!$H$26="Todos",'Plan mensual'!I73,0))+parametros_manuales!$F$26*('Plan mensual'!I70+IF(parametros_manuales!$H$26="Todos",'Plan mensual'!I74,0))+parametros_manuales!$G$26*('Plan mensual'!I71+IF(parametros_manuales!$H$26="Todos",'Plan mensual'!I75,0)))*parametros_manuales!$I$26*parametros_manuales!$J$26</f>
        <v>3661.875</v>
      </c>
      <c r="H171" s="4">
        <f>(parametros_manuales!$D$26*('Plan mensual'!J68+IF(parametros_manuales!$H$26="Todos",'Plan mensual'!J72,0))+parametros_manuales!$E$26*('Plan mensual'!J69+IF(parametros_manuales!$H$26="Todos",'Plan mensual'!J73,0))+parametros_manuales!$F$26*('Plan mensual'!J70+IF(parametros_manuales!$H$26="Todos",'Plan mensual'!J74,0))+parametros_manuales!$G$26*('Plan mensual'!J71+IF(parametros_manuales!$H$26="Todos",'Plan mensual'!J75,0)))*parametros_manuales!$I$26*parametros_manuales!$J$26</f>
        <v>3906</v>
      </c>
      <c r="I171" s="4">
        <f>(parametros_manuales!$D$26*('Plan mensual'!K68+IF(parametros_manuales!$H$26="Todos",'Plan mensual'!K72,0))+parametros_manuales!$E$26*('Plan mensual'!K69+IF(parametros_manuales!$H$26="Todos",'Plan mensual'!K73,0))+parametros_manuales!$F$26*('Plan mensual'!K70+IF(parametros_manuales!$H$26="Todos",'Plan mensual'!K74,0))+parametros_manuales!$G$26*('Plan mensual'!K71+IF(parametros_manuales!$H$26="Todos",'Plan mensual'!K75,0)))*parametros_manuales!$I$26*parametros_manuales!$J$26</f>
        <v>3906</v>
      </c>
      <c r="J171" s="4">
        <f>(parametros_manuales!$D$26*('Plan mensual'!L68+IF(parametros_manuales!$H$26="Todos",'Plan mensual'!L72,0))+parametros_manuales!$E$26*('Plan mensual'!L69+IF(parametros_manuales!$H$26="Todos",'Plan mensual'!L73,0))+parametros_manuales!$F$26*('Plan mensual'!L70+IF(parametros_manuales!$H$26="Todos",'Plan mensual'!L74,0))+parametros_manuales!$G$26*('Plan mensual'!L71+IF(parametros_manuales!$H$26="Todos",'Plan mensual'!L75,0)))*parametros_manuales!$I$26*parametros_manuales!$J$26</f>
        <v>3906</v>
      </c>
      <c r="K171" s="4">
        <f>(parametros_manuales!$D$26*('Plan mensual'!M68+IF(parametros_manuales!$H$26="Todos",'Plan mensual'!M72,0))+parametros_manuales!$E$26*('Plan mensual'!M69+IF(parametros_manuales!$H$26="Todos",'Plan mensual'!M73,0))+parametros_manuales!$F$26*('Plan mensual'!M70+IF(parametros_manuales!$H$26="Todos",'Plan mensual'!M74,0))+parametros_manuales!$G$26*('Plan mensual'!M71+IF(parametros_manuales!$H$26="Todos",'Plan mensual'!M75,0)))*parametros_manuales!$I$26*parametros_manuales!$J$26</f>
        <v>3661.875</v>
      </c>
      <c r="L171" s="4">
        <f>(parametros_manuales!$D$26*('Plan mensual'!N68+IF(parametros_manuales!$H$26="Todos",'Plan mensual'!N72,0))+parametros_manuales!$E$26*('Plan mensual'!N69+IF(parametros_manuales!$H$26="Todos",'Plan mensual'!N73,0))+parametros_manuales!$F$26*('Plan mensual'!N70+IF(parametros_manuales!$H$26="Todos",'Plan mensual'!N74,0))+parametros_manuales!$G$26*('Plan mensual'!N71+IF(parametros_manuales!$H$26="Todos",'Plan mensual'!N75,0)))*parametros_manuales!$I$26*parametros_manuales!$J$26</f>
        <v>3417.75</v>
      </c>
      <c r="M171" s="4">
        <f>(parametros_manuales!$D$26*('Plan mensual'!O68+IF(parametros_manuales!$H$26="Todos",'Plan mensual'!O72,0))+parametros_manuales!$E$26*('Plan mensual'!O69+IF(parametros_manuales!$H$26="Todos",'Plan mensual'!O73,0))+parametros_manuales!$F$26*('Plan mensual'!O70+IF(parametros_manuales!$H$26="Todos",'Plan mensual'!O74,0))+parametros_manuales!$G$26*('Plan mensual'!O71+IF(parametros_manuales!$H$26="Todos",'Plan mensual'!O75,0)))*parametros_manuales!$I$26*parametros_manuales!$J$26</f>
        <v>5370.75</v>
      </c>
      <c r="N171" s="4">
        <f t="shared" si="19"/>
        <v>48825</v>
      </c>
      <c r="O171" s="4">
        <f t="shared" si="20"/>
        <v>5370.75</v>
      </c>
      <c r="P171" s="27">
        <f>O171/(parametros_manuales!$B$7)</f>
        <v>35.805</v>
      </c>
      <c r="Q171" s="3" t="str">
        <f t="shared" si="21"/>
        <v>Dic</v>
      </c>
    </row>
    <row r="172" ht="14.25" customHeight="1">
      <c r="A172" s="3" t="str">
        <f>parametros_manuales!$B$27</f>
        <v>Soldadura longitudinal</v>
      </c>
      <c r="B172" s="4">
        <f>(parametros_manuales!$D$27*('Plan mensual'!D68+IF(parametros_manuales!$H$27="Todos",'Plan mensual'!D72,0))+parametros_manuales!$E$27*('Plan mensual'!D69+IF(parametros_manuales!$H$27="Todos",'Plan mensual'!D73,0))+parametros_manuales!$F$27*('Plan mensual'!D70+IF(parametros_manuales!$H$27="Todos",'Plan mensual'!D74,0))+parametros_manuales!$G$27*('Plan mensual'!D71+IF(parametros_manuales!$H$27="Todos",'Plan mensual'!D75,0)))*parametros_manuales!$I$27*parametros_manuales!$J$27</f>
        <v>4882.5</v>
      </c>
      <c r="C172" s="4">
        <f>(parametros_manuales!$D$27*('Plan mensual'!E68+IF(parametros_manuales!$H$27="Todos",'Plan mensual'!E72,0))+parametros_manuales!$E$27*('Plan mensual'!E69+IF(parametros_manuales!$H$27="Todos",'Plan mensual'!E73,0))+parametros_manuales!$F$27*('Plan mensual'!E70+IF(parametros_manuales!$H$27="Todos",'Plan mensual'!E74,0))+parametros_manuales!$G$27*('Plan mensual'!E71+IF(parametros_manuales!$H$27="Todos",'Plan mensual'!E75,0)))*parametros_manuales!$I$27*parametros_manuales!$J$27</f>
        <v>3906</v>
      </c>
      <c r="D172" s="4">
        <f>(parametros_manuales!$D$27*('Plan mensual'!F68+IF(parametros_manuales!$H$27="Todos",'Plan mensual'!F72,0))+parametros_manuales!$E$27*('Plan mensual'!F69+IF(parametros_manuales!$H$27="Todos",'Plan mensual'!F73,0))+parametros_manuales!$F$27*('Plan mensual'!F70+IF(parametros_manuales!$H$27="Todos",'Plan mensual'!F74,0))+parametros_manuales!$G$27*('Plan mensual'!F71+IF(parametros_manuales!$H$27="Todos",'Plan mensual'!F75,0)))*parametros_manuales!$I$27*parametros_manuales!$J$27</f>
        <v>4150.125</v>
      </c>
      <c r="E172" s="4">
        <f>(parametros_manuales!$D$27*('Plan mensual'!G68+IF(parametros_manuales!$H$27="Todos",'Plan mensual'!G72,0))+parametros_manuales!$E$27*('Plan mensual'!G69+IF(parametros_manuales!$H$27="Todos",'Plan mensual'!G73,0))+parametros_manuales!$F$27*('Plan mensual'!G70+IF(parametros_manuales!$H$27="Todos",'Plan mensual'!G74,0))+parametros_manuales!$G$27*('Plan mensual'!G71+IF(parametros_manuales!$H$27="Todos",'Plan mensual'!G75,0)))*parametros_manuales!$I$27*parametros_manuales!$J$27</f>
        <v>4150.125</v>
      </c>
      <c r="F172" s="4">
        <f>(parametros_manuales!$D$27*('Plan mensual'!H68+IF(parametros_manuales!$H$27="Todos",'Plan mensual'!H72,0))+parametros_manuales!$E$27*('Plan mensual'!H69+IF(parametros_manuales!$H$27="Todos",'Plan mensual'!H73,0))+parametros_manuales!$F$27*('Plan mensual'!H70+IF(parametros_manuales!$H$27="Todos",'Plan mensual'!H74,0))+parametros_manuales!$G$27*('Plan mensual'!H71+IF(parametros_manuales!$H$27="Todos",'Plan mensual'!H75,0)))*parametros_manuales!$I$27*parametros_manuales!$J$27</f>
        <v>3906</v>
      </c>
      <c r="G172" s="4">
        <f>(parametros_manuales!$D$27*('Plan mensual'!I68+IF(parametros_manuales!$H$27="Todos",'Plan mensual'!I72,0))+parametros_manuales!$E$27*('Plan mensual'!I69+IF(parametros_manuales!$H$27="Todos",'Plan mensual'!I73,0))+parametros_manuales!$F$27*('Plan mensual'!I70+IF(parametros_manuales!$H$27="Todos",'Plan mensual'!I74,0))+parametros_manuales!$G$27*('Plan mensual'!I71+IF(parametros_manuales!$H$27="Todos",'Plan mensual'!I75,0)))*parametros_manuales!$I$27*parametros_manuales!$J$27</f>
        <v>3661.875</v>
      </c>
      <c r="H172" s="4">
        <f>(parametros_manuales!$D$27*('Plan mensual'!J68+IF(parametros_manuales!$H$27="Todos",'Plan mensual'!J72,0))+parametros_manuales!$E$27*('Plan mensual'!J69+IF(parametros_manuales!$H$27="Todos",'Plan mensual'!J73,0))+parametros_manuales!$F$27*('Plan mensual'!J70+IF(parametros_manuales!$H$27="Todos",'Plan mensual'!J74,0))+parametros_manuales!$G$27*('Plan mensual'!J71+IF(parametros_manuales!$H$27="Todos",'Plan mensual'!J75,0)))*parametros_manuales!$I$27*parametros_manuales!$J$27</f>
        <v>3906</v>
      </c>
      <c r="I172" s="4">
        <f>(parametros_manuales!$D$27*('Plan mensual'!K68+IF(parametros_manuales!$H$27="Todos",'Plan mensual'!K72,0))+parametros_manuales!$E$27*('Plan mensual'!K69+IF(parametros_manuales!$H$27="Todos",'Plan mensual'!K73,0))+parametros_manuales!$F$27*('Plan mensual'!K70+IF(parametros_manuales!$H$27="Todos",'Plan mensual'!K74,0))+parametros_manuales!$G$27*('Plan mensual'!K71+IF(parametros_manuales!$H$27="Todos",'Plan mensual'!K75,0)))*parametros_manuales!$I$27*parametros_manuales!$J$27</f>
        <v>3906</v>
      </c>
      <c r="J172" s="4">
        <f>(parametros_manuales!$D$27*('Plan mensual'!L68+IF(parametros_manuales!$H$27="Todos",'Plan mensual'!L72,0))+parametros_manuales!$E$27*('Plan mensual'!L69+IF(parametros_manuales!$H$27="Todos",'Plan mensual'!L73,0))+parametros_manuales!$F$27*('Plan mensual'!L70+IF(parametros_manuales!$H$27="Todos",'Plan mensual'!L74,0))+parametros_manuales!$G$27*('Plan mensual'!L71+IF(parametros_manuales!$H$27="Todos",'Plan mensual'!L75,0)))*parametros_manuales!$I$27*parametros_manuales!$J$27</f>
        <v>3906</v>
      </c>
      <c r="K172" s="4">
        <f>(parametros_manuales!$D$27*('Plan mensual'!M68+IF(parametros_manuales!$H$27="Todos",'Plan mensual'!M72,0))+parametros_manuales!$E$27*('Plan mensual'!M69+IF(parametros_manuales!$H$27="Todos",'Plan mensual'!M73,0))+parametros_manuales!$F$27*('Plan mensual'!M70+IF(parametros_manuales!$H$27="Todos",'Plan mensual'!M74,0))+parametros_manuales!$G$27*('Plan mensual'!M71+IF(parametros_manuales!$H$27="Todos",'Plan mensual'!M75,0)))*parametros_manuales!$I$27*parametros_manuales!$J$27</f>
        <v>3661.875</v>
      </c>
      <c r="L172" s="4">
        <f>(parametros_manuales!$D$27*('Plan mensual'!N68+IF(parametros_manuales!$H$27="Todos",'Plan mensual'!N72,0))+parametros_manuales!$E$27*('Plan mensual'!N69+IF(parametros_manuales!$H$27="Todos",'Plan mensual'!N73,0))+parametros_manuales!$F$27*('Plan mensual'!N70+IF(parametros_manuales!$H$27="Todos",'Plan mensual'!N74,0))+parametros_manuales!$G$27*('Plan mensual'!N71+IF(parametros_manuales!$H$27="Todos",'Plan mensual'!N75,0)))*parametros_manuales!$I$27*parametros_manuales!$J$27</f>
        <v>3417.75</v>
      </c>
      <c r="M172" s="4">
        <f>(parametros_manuales!$D$27*('Plan mensual'!O68+IF(parametros_manuales!$H$27="Todos",'Plan mensual'!O72,0))+parametros_manuales!$E$27*('Plan mensual'!O69+IF(parametros_manuales!$H$27="Todos",'Plan mensual'!O73,0))+parametros_manuales!$F$27*('Plan mensual'!O70+IF(parametros_manuales!$H$27="Todos",'Plan mensual'!O74,0))+parametros_manuales!$G$27*('Plan mensual'!O71+IF(parametros_manuales!$H$27="Todos",'Plan mensual'!O75,0)))*parametros_manuales!$I$27*parametros_manuales!$J$27</f>
        <v>5370.75</v>
      </c>
      <c r="N172" s="4">
        <f t="shared" si="19"/>
        <v>48825</v>
      </c>
      <c r="O172" s="4">
        <f t="shared" si="20"/>
        <v>5370.75</v>
      </c>
      <c r="P172" s="27">
        <f>O172/(parametros_manuales!$B$7)</f>
        <v>35.805</v>
      </c>
      <c r="Q172" s="3" t="str">
        <f t="shared" si="21"/>
        <v>Dic</v>
      </c>
    </row>
    <row r="173" ht="14.25" customHeight="1">
      <c r="A173" s="3" t="str">
        <f>parametros_manuales!$B$28</f>
        <v>Encastre de fondo</v>
      </c>
      <c r="B173" s="4">
        <f>(parametros_manuales!$D$28*('Plan mensual'!D68+IF(parametros_manuales!$H$28="Todos",'Plan mensual'!D72,0))+parametros_manuales!$E$28*('Plan mensual'!D69+IF(parametros_manuales!$H$28="Todos",'Plan mensual'!D73,0))+parametros_manuales!$F$28*('Plan mensual'!D70+IF(parametros_manuales!$H$28="Todos",'Plan mensual'!D74,0))+parametros_manuales!$G$28*('Plan mensual'!D71+IF(parametros_manuales!$H$28="Todos",'Plan mensual'!D75,0)))*parametros_manuales!$I$28*parametros_manuales!$J$28</f>
        <v>19483.38</v>
      </c>
      <c r="C173" s="4">
        <f>(parametros_manuales!$D$28*('Plan mensual'!E68+IF(parametros_manuales!$H$28="Todos",'Plan mensual'!E72,0))+parametros_manuales!$E$28*('Plan mensual'!E69+IF(parametros_manuales!$H$28="Todos",'Plan mensual'!E73,0))+parametros_manuales!$F$28*('Plan mensual'!E70+IF(parametros_manuales!$H$28="Todos",'Plan mensual'!E74,0))+parametros_manuales!$G$28*('Plan mensual'!E71+IF(parametros_manuales!$H$28="Todos",'Plan mensual'!E75,0)))*parametros_manuales!$I$28*parametros_manuales!$J$28</f>
        <v>14856.66</v>
      </c>
      <c r="D173" s="4">
        <f>(parametros_manuales!$D$28*('Plan mensual'!F68+IF(parametros_manuales!$H$28="Todos",'Plan mensual'!F72,0))+parametros_manuales!$E$28*('Plan mensual'!F69+IF(parametros_manuales!$H$28="Todos",'Plan mensual'!F73,0))+parametros_manuales!$F$28*('Plan mensual'!F70+IF(parametros_manuales!$H$28="Todos",'Plan mensual'!F74,0))+parametros_manuales!$G$28*('Plan mensual'!F71+IF(parametros_manuales!$H$28="Todos",'Plan mensual'!F75,0)))*parametros_manuales!$I$28*parametros_manuales!$J$28</f>
        <v>13884.045</v>
      </c>
      <c r="E173" s="4">
        <f>(parametros_manuales!$D$28*('Plan mensual'!G68+IF(parametros_manuales!$H$28="Todos",'Plan mensual'!G72,0))+parametros_manuales!$E$28*('Plan mensual'!G69+IF(parametros_manuales!$H$28="Todos",'Plan mensual'!G73,0))+parametros_manuales!$F$28*('Plan mensual'!G70+IF(parametros_manuales!$H$28="Todos",'Plan mensual'!G74,0))+parametros_manuales!$G$28*('Plan mensual'!G71+IF(parametros_manuales!$H$28="Todos",'Plan mensual'!G75,0)))*parametros_manuales!$I$28*parametros_manuales!$J$28</f>
        <v>13275.675</v>
      </c>
      <c r="F173" s="4">
        <f>(parametros_manuales!$D$28*('Plan mensual'!H68+IF(parametros_manuales!$H$28="Todos",'Plan mensual'!H72,0))+parametros_manuales!$E$28*('Plan mensual'!H69+IF(parametros_manuales!$H$28="Todos",'Plan mensual'!H73,0))+parametros_manuales!$F$28*('Plan mensual'!H70+IF(parametros_manuales!$H$28="Todos",'Plan mensual'!H74,0))+parametros_manuales!$G$28*('Plan mensual'!H71+IF(parametros_manuales!$H$28="Todos",'Plan mensual'!H75,0)))*parametros_manuales!$I$28*parametros_manuales!$J$28</f>
        <v>12423.18</v>
      </c>
      <c r="G173" s="4">
        <f>(parametros_manuales!$D$28*('Plan mensual'!I68+IF(parametros_manuales!$H$28="Todos",'Plan mensual'!I72,0))+parametros_manuales!$E$28*('Plan mensual'!I69+IF(parametros_manuales!$H$28="Todos",'Plan mensual'!I73,0))+parametros_manuales!$F$28*('Plan mensual'!I70+IF(parametros_manuales!$H$28="Todos",'Plan mensual'!I74,0))+parametros_manuales!$G$28*('Plan mensual'!I71+IF(parametros_manuales!$H$28="Todos",'Plan mensual'!I75,0)))*parametros_manuales!$I$28*parametros_manuales!$J$28</f>
        <v>12179.055</v>
      </c>
      <c r="H173" s="4">
        <f>(parametros_manuales!$D$28*('Plan mensual'!J68+IF(parametros_manuales!$H$28="Todos",'Plan mensual'!J72,0))+parametros_manuales!$E$28*('Plan mensual'!J69+IF(parametros_manuales!$H$28="Todos",'Plan mensual'!J73,0))+parametros_manuales!$F$28*('Plan mensual'!J70+IF(parametros_manuales!$H$28="Todos",'Plan mensual'!J74,0))+parametros_manuales!$G$28*('Plan mensual'!J71+IF(parametros_manuales!$H$28="Todos",'Plan mensual'!J75,0)))*parametros_manuales!$I$28*parametros_manuales!$J$28</f>
        <v>13031.55</v>
      </c>
      <c r="I173" s="4">
        <f>(parametros_manuales!$D$28*('Plan mensual'!K68+IF(parametros_manuales!$H$28="Todos",'Plan mensual'!K72,0))+parametros_manuales!$E$28*('Plan mensual'!K69+IF(parametros_manuales!$H$28="Todos",'Plan mensual'!K73,0))+parametros_manuales!$F$28*('Plan mensual'!K70+IF(parametros_manuales!$H$28="Todos",'Plan mensual'!K74,0))+parametros_manuales!$G$28*('Plan mensual'!K71+IF(parametros_manuales!$H$28="Todos",'Plan mensual'!K75,0)))*parametros_manuales!$I$28*parametros_manuales!$J$28</f>
        <v>13031.55</v>
      </c>
      <c r="J173" s="4">
        <f>(parametros_manuales!$D$28*('Plan mensual'!L68+IF(parametros_manuales!$H$28="Todos",'Plan mensual'!L72,0))+parametros_manuales!$E$28*('Plan mensual'!L69+IF(parametros_manuales!$H$28="Todos",'Plan mensual'!L73,0))+parametros_manuales!$F$28*('Plan mensual'!L70+IF(parametros_manuales!$H$28="Todos",'Plan mensual'!L74,0))+parametros_manuales!$G$28*('Plan mensual'!L71+IF(parametros_manuales!$H$28="Todos",'Plan mensual'!L75,0)))*parametros_manuales!$I$28*parametros_manuales!$J$28</f>
        <v>13031.55</v>
      </c>
      <c r="K173" s="4">
        <f>(parametros_manuales!$D$28*('Plan mensual'!M68+IF(parametros_manuales!$H$28="Todos",'Plan mensual'!M72,0))+parametros_manuales!$E$28*('Plan mensual'!M69+IF(parametros_manuales!$H$28="Todos",'Plan mensual'!M73,0))+parametros_manuales!$F$28*('Plan mensual'!M70+IF(parametros_manuales!$H$28="Todos",'Plan mensual'!M74,0))+parametros_manuales!$G$28*('Plan mensual'!M71+IF(parametros_manuales!$H$28="Todos",'Plan mensual'!M75,0)))*parametros_manuales!$I$28*parametros_manuales!$J$28</f>
        <v>12787.425</v>
      </c>
      <c r="L173" s="4">
        <f>(parametros_manuales!$D$28*('Plan mensual'!N68+IF(parametros_manuales!$H$28="Todos",'Plan mensual'!N72,0))+parametros_manuales!$E$28*('Plan mensual'!N69+IF(parametros_manuales!$H$28="Todos",'Plan mensual'!N73,0))+parametros_manuales!$F$28*('Plan mensual'!N70+IF(parametros_manuales!$H$28="Todos",'Plan mensual'!N74,0))+parametros_manuales!$G$28*('Plan mensual'!N71+IF(parametros_manuales!$H$28="Todos",'Plan mensual'!N75,0)))*parametros_manuales!$I$28*parametros_manuales!$J$28</f>
        <v>12543.3</v>
      </c>
      <c r="M173" s="4">
        <f>(parametros_manuales!$D$28*('Plan mensual'!O68+IF(parametros_manuales!$H$28="Todos",'Plan mensual'!O72,0))+parametros_manuales!$E$28*('Plan mensual'!O69+IF(parametros_manuales!$H$28="Todos",'Plan mensual'!O73,0))+parametros_manuales!$F$28*('Plan mensual'!O70+IF(parametros_manuales!$H$28="Todos",'Plan mensual'!O74,0))+parametros_manuales!$G$28*('Plan mensual'!O71+IF(parametros_manuales!$H$28="Todos",'Plan mensual'!O75,0)))*parametros_manuales!$I$28*parametros_manuales!$J$28</f>
        <v>19971.63</v>
      </c>
      <c r="N173" s="4">
        <f t="shared" si="19"/>
        <v>170499</v>
      </c>
      <c r="O173" s="4">
        <f t="shared" si="20"/>
        <v>19971.63</v>
      </c>
      <c r="P173" s="27">
        <f>O173/(parametros_manuales!$B$7)</f>
        <v>133.1442</v>
      </c>
      <c r="Q173" s="3" t="str">
        <f t="shared" si="21"/>
        <v>Dic</v>
      </c>
    </row>
    <row r="174" ht="14.25" customHeight="1">
      <c r="A174" s="3" t="str">
        <f>parametros_manuales!$B$29</f>
        <v>Bordoneado</v>
      </c>
      <c r="B174" s="4">
        <f>(parametros_manuales!$D$29*('Plan mensual'!D68+IF(parametros_manuales!$H$29="Todos",'Plan mensual'!D72,0))+parametros_manuales!$E$29*('Plan mensual'!D69+IF(parametros_manuales!$H$29="Todos",'Plan mensual'!D73,0))+parametros_manuales!$F$29*('Plan mensual'!D70+IF(parametros_manuales!$H$29="Todos",'Plan mensual'!D74,0))+parametros_manuales!$G$29*('Plan mensual'!D71+IF(parametros_manuales!$H$29="Todos",'Plan mensual'!D75,0)))*parametros_manuales!$I$29*parametros_manuales!$J$29</f>
        <v>19483.38</v>
      </c>
      <c r="C174" s="4">
        <f>(parametros_manuales!$D$29*('Plan mensual'!E68+IF(parametros_manuales!$H$29="Todos",'Plan mensual'!E72,0))+parametros_manuales!$E$29*('Plan mensual'!E69+IF(parametros_manuales!$H$29="Todos",'Plan mensual'!E73,0))+parametros_manuales!$F$29*('Plan mensual'!E70+IF(parametros_manuales!$H$29="Todos",'Plan mensual'!E74,0))+parametros_manuales!$G$29*('Plan mensual'!E71+IF(parametros_manuales!$H$29="Todos",'Plan mensual'!E75,0)))*parametros_manuales!$I$29*parametros_manuales!$J$29</f>
        <v>14856.66</v>
      </c>
      <c r="D174" s="4">
        <f>(parametros_manuales!$D$29*('Plan mensual'!F68+IF(parametros_manuales!$H$29="Todos",'Plan mensual'!F72,0))+parametros_manuales!$E$29*('Plan mensual'!F69+IF(parametros_manuales!$H$29="Todos",'Plan mensual'!F73,0))+parametros_manuales!$F$29*('Plan mensual'!F70+IF(parametros_manuales!$H$29="Todos",'Plan mensual'!F74,0))+parametros_manuales!$G$29*('Plan mensual'!F71+IF(parametros_manuales!$H$29="Todos",'Plan mensual'!F75,0)))*parametros_manuales!$I$29*parametros_manuales!$J$29</f>
        <v>13884.045</v>
      </c>
      <c r="E174" s="4">
        <f>(parametros_manuales!$D$29*('Plan mensual'!G68+IF(parametros_manuales!$H$29="Todos",'Plan mensual'!G72,0))+parametros_manuales!$E$29*('Plan mensual'!G69+IF(parametros_manuales!$H$29="Todos",'Plan mensual'!G73,0))+parametros_manuales!$F$29*('Plan mensual'!G70+IF(parametros_manuales!$H$29="Todos",'Plan mensual'!G74,0))+parametros_manuales!$G$29*('Plan mensual'!G71+IF(parametros_manuales!$H$29="Todos",'Plan mensual'!G75,0)))*parametros_manuales!$I$29*parametros_manuales!$J$29</f>
        <v>13275.675</v>
      </c>
      <c r="F174" s="4">
        <f>(parametros_manuales!$D$29*('Plan mensual'!H68+IF(parametros_manuales!$H$29="Todos",'Plan mensual'!H72,0))+parametros_manuales!$E$29*('Plan mensual'!H69+IF(parametros_manuales!$H$29="Todos",'Plan mensual'!H73,0))+parametros_manuales!$F$29*('Plan mensual'!H70+IF(parametros_manuales!$H$29="Todos",'Plan mensual'!H74,0))+parametros_manuales!$G$29*('Plan mensual'!H71+IF(parametros_manuales!$H$29="Todos",'Plan mensual'!H75,0)))*parametros_manuales!$I$29*parametros_manuales!$J$29</f>
        <v>12423.18</v>
      </c>
      <c r="G174" s="4">
        <f>(parametros_manuales!$D$29*('Plan mensual'!I68+IF(parametros_manuales!$H$29="Todos",'Plan mensual'!I72,0))+parametros_manuales!$E$29*('Plan mensual'!I69+IF(parametros_manuales!$H$29="Todos",'Plan mensual'!I73,0))+parametros_manuales!$F$29*('Plan mensual'!I70+IF(parametros_manuales!$H$29="Todos",'Plan mensual'!I74,0))+parametros_manuales!$G$29*('Plan mensual'!I71+IF(parametros_manuales!$H$29="Todos",'Plan mensual'!I75,0)))*parametros_manuales!$I$29*parametros_manuales!$J$29</f>
        <v>12179.055</v>
      </c>
      <c r="H174" s="4">
        <f>(parametros_manuales!$D$29*('Plan mensual'!J68+IF(parametros_manuales!$H$29="Todos",'Plan mensual'!J72,0))+parametros_manuales!$E$29*('Plan mensual'!J69+IF(parametros_manuales!$H$29="Todos",'Plan mensual'!J73,0))+parametros_manuales!$F$29*('Plan mensual'!J70+IF(parametros_manuales!$H$29="Todos",'Plan mensual'!J74,0))+parametros_manuales!$G$29*('Plan mensual'!J71+IF(parametros_manuales!$H$29="Todos",'Plan mensual'!J75,0)))*parametros_manuales!$I$29*parametros_manuales!$J$29</f>
        <v>13031.55</v>
      </c>
      <c r="I174" s="4">
        <f>(parametros_manuales!$D$29*('Plan mensual'!K68+IF(parametros_manuales!$H$29="Todos",'Plan mensual'!K72,0))+parametros_manuales!$E$29*('Plan mensual'!K69+IF(parametros_manuales!$H$29="Todos",'Plan mensual'!K73,0))+parametros_manuales!$F$29*('Plan mensual'!K70+IF(parametros_manuales!$H$29="Todos",'Plan mensual'!K74,0))+parametros_manuales!$G$29*('Plan mensual'!K71+IF(parametros_manuales!$H$29="Todos",'Plan mensual'!K75,0)))*parametros_manuales!$I$29*parametros_manuales!$J$29</f>
        <v>13031.55</v>
      </c>
      <c r="J174" s="4">
        <f>(parametros_manuales!$D$29*('Plan mensual'!L68+IF(parametros_manuales!$H$29="Todos",'Plan mensual'!L72,0))+parametros_manuales!$E$29*('Plan mensual'!L69+IF(parametros_manuales!$H$29="Todos",'Plan mensual'!L73,0))+parametros_manuales!$F$29*('Plan mensual'!L70+IF(parametros_manuales!$H$29="Todos",'Plan mensual'!L74,0))+parametros_manuales!$G$29*('Plan mensual'!L71+IF(parametros_manuales!$H$29="Todos",'Plan mensual'!L75,0)))*parametros_manuales!$I$29*parametros_manuales!$J$29</f>
        <v>13031.55</v>
      </c>
      <c r="K174" s="4">
        <f>(parametros_manuales!$D$29*('Plan mensual'!M68+IF(parametros_manuales!$H$29="Todos",'Plan mensual'!M72,0))+parametros_manuales!$E$29*('Plan mensual'!M69+IF(parametros_manuales!$H$29="Todos",'Plan mensual'!M73,0))+parametros_manuales!$F$29*('Plan mensual'!M70+IF(parametros_manuales!$H$29="Todos",'Plan mensual'!M74,0))+parametros_manuales!$G$29*('Plan mensual'!M71+IF(parametros_manuales!$H$29="Todos",'Plan mensual'!M75,0)))*parametros_manuales!$I$29*parametros_manuales!$J$29</f>
        <v>12787.425</v>
      </c>
      <c r="L174" s="4">
        <f>(parametros_manuales!$D$29*('Plan mensual'!N68+IF(parametros_manuales!$H$29="Todos",'Plan mensual'!N72,0))+parametros_manuales!$E$29*('Plan mensual'!N69+IF(parametros_manuales!$H$29="Todos",'Plan mensual'!N73,0))+parametros_manuales!$F$29*('Plan mensual'!N70+IF(parametros_manuales!$H$29="Todos",'Plan mensual'!N74,0))+parametros_manuales!$G$29*('Plan mensual'!N71+IF(parametros_manuales!$H$29="Todos",'Plan mensual'!N75,0)))*parametros_manuales!$I$29*parametros_manuales!$J$29</f>
        <v>12543.3</v>
      </c>
      <c r="M174" s="4">
        <f>(parametros_manuales!$D$29*('Plan mensual'!O68+IF(parametros_manuales!$H$29="Todos",'Plan mensual'!O72,0))+parametros_manuales!$E$29*('Plan mensual'!O69+IF(parametros_manuales!$H$29="Todos",'Plan mensual'!O73,0))+parametros_manuales!$F$29*('Plan mensual'!O70+IF(parametros_manuales!$H$29="Todos",'Plan mensual'!O74,0))+parametros_manuales!$G$29*('Plan mensual'!O71+IF(parametros_manuales!$H$29="Todos",'Plan mensual'!O75,0)))*parametros_manuales!$I$29*parametros_manuales!$J$29</f>
        <v>19971.63</v>
      </c>
      <c r="N174" s="4">
        <f t="shared" si="19"/>
        <v>170499</v>
      </c>
      <c r="O174" s="4">
        <f t="shared" si="20"/>
        <v>19971.63</v>
      </c>
      <c r="P174" s="27">
        <f>O174/(parametros_manuales!$B$7)</f>
        <v>133.1442</v>
      </c>
      <c r="Q174" s="3" t="str">
        <f t="shared" si="21"/>
        <v>Dic</v>
      </c>
    </row>
    <row r="175" ht="14.25" customHeight="1">
      <c r="A175" s="3" t="str">
        <f>parametros_manuales!$B$30</f>
        <v>Soldadura circunferencial de cúpula y fondo</v>
      </c>
      <c r="B175" s="4">
        <f>(parametros_manuales!$D$30*('Plan mensual'!D68+IF(parametros_manuales!$H$30="Todos",'Plan mensual'!D72,0))+parametros_manuales!$E$30*('Plan mensual'!D69+IF(parametros_manuales!$H$30="Todos",'Plan mensual'!D73,0))+parametros_manuales!$F$30*('Plan mensual'!D70+IF(parametros_manuales!$H$30="Todos",'Plan mensual'!D74,0))+parametros_manuales!$G$30*('Plan mensual'!D71+IF(parametros_manuales!$H$30="Todos",'Plan mensual'!D75,0)))*parametros_manuales!$I$30*parametros_manuales!$J$30</f>
        <v>19483.38</v>
      </c>
      <c r="C175" s="4">
        <f>(parametros_manuales!$D$30*('Plan mensual'!E68+IF(parametros_manuales!$H$30="Todos",'Plan mensual'!E72,0))+parametros_manuales!$E$30*('Plan mensual'!E69+IF(parametros_manuales!$H$30="Todos",'Plan mensual'!E73,0))+parametros_manuales!$F$30*('Plan mensual'!E70+IF(parametros_manuales!$H$30="Todos",'Plan mensual'!E74,0))+parametros_manuales!$G$30*('Plan mensual'!E71+IF(parametros_manuales!$H$30="Todos",'Plan mensual'!E75,0)))*parametros_manuales!$I$30*parametros_manuales!$J$30</f>
        <v>14856.66</v>
      </c>
      <c r="D175" s="4">
        <f>(parametros_manuales!$D$30*('Plan mensual'!F68+IF(parametros_manuales!$H$30="Todos",'Plan mensual'!F72,0))+parametros_manuales!$E$30*('Plan mensual'!F69+IF(parametros_manuales!$H$30="Todos",'Plan mensual'!F73,0))+parametros_manuales!$F$30*('Plan mensual'!F70+IF(parametros_manuales!$H$30="Todos",'Plan mensual'!F74,0))+parametros_manuales!$G$30*('Plan mensual'!F71+IF(parametros_manuales!$H$30="Todos",'Plan mensual'!F75,0)))*parametros_manuales!$I$30*parametros_manuales!$J$30</f>
        <v>13884.045</v>
      </c>
      <c r="E175" s="4">
        <f>(parametros_manuales!$D$30*('Plan mensual'!G68+IF(parametros_manuales!$H$30="Todos",'Plan mensual'!G72,0))+parametros_manuales!$E$30*('Plan mensual'!G69+IF(parametros_manuales!$H$30="Todos",'Plan mensual'!G73,0))+parametros_manuales!$F$30*('Plan mensual'!G70+IF(parametros_manuales!$H$30="Todos",'Plan mensual'!G74,0))+parametros_manuales!$G$30*('Plan mensual'!G71+IF(parametros_manuales!$H$30="Todos",'Plan mensual'!G75,0)))*parametros_manuales!$I$30*parametros_manuales!$J$30</f>
        <v>13275.675</v>
      </c>
      <c r="F175" s="4">
        <f>(parametros_manuales!$D$30*('Plan mensual'!H68+IF(parametros_manuales!$H$30="Todos",'Plan mensual'!H72,0))+parametros_manuales!$E$30*('Plan mensual'!H69+IF(parametros_manuales!$H$30="Todos",'Plan mensual'!H73,0))+parametros_manuales!$F$30*('Plan mensual'!H70+IF(parametros_manuales!$H$30="Todos",'Plan mensual'!H74,0))+parametros_manuales!$G$30*('Plan mensual'!H71+IF(parametros_manuales!$H$30="Todos",'Plan mensual'!H75,0)))*parametros_manuales!$I$30*parametros_manuales!$J$30</f>
        <v>12423.18</v>
      </c>
      <c r="G175" s="4">
        <f>(parametros_manuales!$D$30*('Plan mensual'!I68+IF(parametros_manuales!$H$30="Todos",'Plan mensual'!I72,0))+parametros_manuales!$E$30*('Plan mensual'!I69+IF(parametros_manuales!$H$30="Todos",'Plan mensual'!I73,0))+parametros_manuales!$F$30*('Plan mensual'!I70+IF(parametros_manuales!$H$30="Todos",'Plan mensual'!I74,0))+parametros_manuales!$G$30*('Plan mensual'!I71+IF(parametros_manuales!$H$30="Todos",'Plan mensual'!I75,0)))*parametros_manuales!$I$30*parametros_manuales!$J$30</f>
        <v>12179.055</v>
      </c>
      <c r="H175" s="4">
        <f>(parametros_manuales!$D$30*('Plan mensual'!J68+IF(parametros_manuales!$H$30="Todos",'Plan mensual'!J72,0))+parametros_manuales!$E$30*('Plan mensual'!J69+IF(parametros_manuales!$H$30="Todos",'Plan mensual'!J73,0))+parametros_manuales!$F$30*('Plan mensual'!J70+IF(parametros_manuales!$H$30="Todos",'Plan mensual'!J74,0))+parametros_manuales!$G$30*('Plan mensual'!J71+IF(parametros_manuales!$H$30="Todos",'Plan mensual'!J75,0)))*parametros_manuales!$I$30*parametros_manuales!$J$30</f>
        <v>13031.55</v>
      </c>
      <c r="I175" s="4">
        <f>(parametros_manuales!$D$30*('Plan mensual'!K68+IF(parametros_manuales!$H$30="Todos",'Plan mensual'!K72,0))+parametros_manuales!$E$30*('Plan mensual'!K69+IF(parametros_manuales!$H$30="Todos",'Plan mensual'!K73,0))+parametros_manuales!$F$30*('Plan mensual'!K70+IF(parametros_manuales!$H$30="Todos",'Plan mensual'!K74,0))+parametros_manuales!$G$30*('Plan mensual'!K71+IF(parametros_manuales!$H$30="Todos",'Plan mensual'!K75,0)))*parametros_manuales!$I$30*parametros_manuales!$J$30</f>
        <v>13031.55</v>
      </c>
      <c r="J175" s="4">
        <f>(parametros_manuales!$D$30*('Plan mensual'!L68+IF(parametros_manuales!$H$30="Todos",'Plan mensual'!L72,0))+parametros_manuales!$E$30*('Plan mensual'!L69+IF(parametros_manuales!$H$30="Todos",'Plan mensual'!L73,0))+parametros_manuales!$F$30*('Plan mensual'!L70+IF(parametros_manuales!$H$30="Todos",'Plan mensual'!L74,0))+parametros_manuales!$G$30*('Plan mensual'!L71+IF(parametros_manuales!$H$30="Todos",'Plan mensual'!L75,0)))*parametros_manuales!$I$30*parametros_manuales!$J$30</f>
        <v>13031.55</v>
      </c>
      <c r="K175" s="4">
        <f>(parametros_manuales!$D$30*('Plan mensual'!M68+IF(parametros_manuales!$H$30="Todos",'Plan mensual'!M72,0))+parametros_manuales!$E$30*('Plan mensual'!M69+IF(parametros_manuales!$H$30="Todos",'Plan mensual'!M73,0))+parametros_manuales!$F$30*('Plan mensual'!M70+IF(parametros_manuales!$H$30="Todos",'Plan mensual'!M74,0))+parametros_manuales!$G$30*('Plan mensual'!M71+IF(parametros_manuales!$H$30="Todos",'Plan mensual'!M75,0)))*parametros_manuales!$I$30*parametros_manuales!$J$30</f>
        <v>12787.425</v>
      </c>
      <c r="L175" s="4">
        <f>(parametros_manuales!$D$30*('Plan mensual'!N68+IF(parametros_manuales!$H$30="Todos",'Plan mensual'!N72,0))+parametros_manuales!$E$30*('Plan mensual'!N69+IF(parametros_manuales!$H$30="Todos",'Plan mensual'!N73,0))+parametros_manuales!$F$30*('Plan mensual'!N70+IF(parametros_manuales!$H$30="Todos",'Plan mensual'!N74,0))+parametros_manuales!$G$30*('Plan mensual'!N71+IF(parametros_manuales!$H$30="Todos",'Plan mensual'!N75,0)))*parametros_manuales!$I$30*parametros_manuales!$J$30</f>
        <v>12543.3</v>
      </c>
      <c r="M175" s="4">
        <f>(parametros_manuales!$D$30*('Plan mensual'!O68+IF(parametros_manuales!$H$30="Todos",'Plan mensual'!O72,0))+parametros_manuales!$E$30*('Plan mensual'!O69+IF(parametros_manuales!$H$30="Todos",'Plan mensual'!O73,0))+parametros_manuales!$F$30*('Plan mensual'!O70+IF(parametros_manuales!$H$30="Todos",'Plan mensual'!O74,0))+parametros_manuales!$G$30*('Plan mensual'!O71+IF(parametros_manuales!$H$30="Todos",'Plan mensual'!O75,0)))*parametros_manuales!$I$30*parametros_manuales!$J$30</f>
        <v>19971.63</v>
      </c>
      <c r="N175" s="4">
        <f t="shared" si="19"/>
        <v>170499</v>
      </c>
      <c r="O175" s="4">
        <f t="shared" si="20"/>
        <v>19971.63</v>
      </c>
      <c r="P175" s="27">
        <f>O175/(parametros_manuales!$B$7)</f>
        <v>133.1442</v>
      </c>
      <c r="Q175" s="3" t="str">
        <f t="shared" si="21"/>
        <v>Dic</v>
      </c>
    </row>
    <row r="176" ht="14.25" customHeight="1">
      <c r="A176" s="3" t="str">
        <f>parametros_manuales!$B$31</f>
        <v>Control de calidad — Espesor</v>
      </c>
      <c r="B176" s="4">
        <f>(parametros_manuales!$D$31*('Plan mensual'!D68+IF(parametros_manuales!$H$31="Todos",'Plan mensual'!D72,0))+parametros_manuales!$E$31*('Plan mensual'!D69+IF(parametros_manuales!$H$31="Todos",'Plan mensual'!D73,0))+parametros_manuales!$F$31*('Plan mensual'!D70+IF(parametros_manuales!$H$31="Todos",'Plan mensual'!D74,0))+parametros_manuales!$G$31*('Plan mensual'!D71+IF(parametros_manuales!$H$31="Todos",'Plan mensual'!D75,0)))*parametros_manuales!$I$31*parametros_manuales!$J$31</f>
        <v>389.6676</v>
      </c>
      <c r="C176" s="4">
        <f>(parametros_manuales!$D$31*('Plan mensual'!E68+IF(parametros_manuales!$H$31="Todos",'Plan mensual'!E72,0))+parametros_manuales!$E$31*('Plan mensual'!E69+IF(parametros_manuales!$H$31="Todos",'Plan mensual'!E73,0))+parametros_manuales!$F$31*('Plan mensual'!E70+IF(parametros_manuales!$H$31="Todos",'Plan mensual'!E74,0))+parametros_manuales!$G$31*('Plan mensual'!E71+IF(parametros_manuales!$H$31="Todos",'Plan mensual'!E75,0)))*parametros_manuales!$I$31*parametros_manuales!$J$31</f>
        <v>297.1332</v>
      </c>
      <c r="D176" s="4">
        <f>(parametros_manuales!$D$31*('Plan mensual'!F68+IF(parametros_manuales!$H$31="Todos",'Plan mensual'!F72,0))+parametros_manuales!$E$31*('Plan mensual'!F69+IF(parametros_manuales!$H$31="Todos",'Plan mensual'!F73,0))+parametros_manuales!$F$31*('Plan mensual'!F70+IF(parametros_manuales!$H$31="Todos",'Plan mensual'!F74,0))+parametros_manuales!$G$31*('Plan mensual'!F71+IF(parametros_manuales!$H$31="Todos",'Plan mensual'!F75,0)))*parametros_manuales!$I$31*parametros_manuales!$J$31</f>
        <v>277.6809</v>
      </c>
      <c r="E176" s="4">
        <f>(parametros_manuales!$D$31*('Plan mensual'!G68+IF(parametros_manuales!$H$31="Todos",'Plan mensual'!G72,0))+parametros_manuales!$E$31*('Plan mensual'!G69+IF(parametros_manuales!$H$31="Todos",'Plan mensual'!G73,0))+parametros_manuales!$F$31*('Plan mensual'!G70+IF(parametros_manuales!$H$31="Todos",'Plan mensual'!G74,0))+parametros_manuales!$G$31*('Plan mensual'!G71+IF(parametros_manuales!$H$31="Todos",'Plan mensual'!G75,0)))*parametros_manuales!$I$31*parametros_manuales!$J$31</f>
        <v>265.5135</v>
      </c>
      <c r="F176" s="4">
        <f>(parametros_manuales!$D$31*('Plan mensual'!H68+IF(parametros_manuales!$H$31="Todos",'Plan mensual'!H72,0))+parametros_manuales!$E$31*('Plan mensual'!H69+IF(parametros_manuales!$H$31="Todos",'Plan mensual'!H73,0))+parametros_manuales!$F$31*('Plan mensual'!H70+IF(parametros_manuales!$H$31="Todos",'Plan mensual'!H74,0))+parametros_manuales!$G$31*('Plan mensual'!H71+IF(parametros_manuales!$H$31="Todos",'Plan mensual'!H75,0)))*parametros_manuales!$I$31*parametros_manuales!$J$31</f>
        <v>248.4636</v>
      </c>
      <c r="G176" s="4">
        <f>(parametros_manuales!$D$31*('Plan mensual'!I68+IF(parametros_manuales!$H$31="Todos",'Plan mensual'!I72,0))+parametros_manuales!$E$31*('Plan mensual'!I69+IF(parametros_manuales!$H$31="Todos",'Plan mensual'!I73,0))+parametros_manuales!$F$31*('Plan mensual'!I70+IF(parametros_manuales!$H$31="Todos",'Plan mensual'!I74,0))+parametros_manuales!$G$31*('Plan mensual'!I71+IF(parametros_manuales!$H$31="Todos",'Plan mensual'!I75,0)))*parametros_manuales!$I$31*parametros_manuales!$J$31</f>
        <v>243.5811</v>
      </c>
      <c r="H176" s="4">
        <f>(parametros_manuales!$D$31*('Plan mensual'!J68+IF(parametros_manuales!$H$31="Todos",'Plan mensual'!J72,0))+parametros_manuales!$E$31*('Plan mensual'!J69+IF(parametros_manuales!$H$31="Todos",'Plan mensual'!J73,0))+parametros_manuales!$F$31*('Plan mensual'!J70+IF(parametros_manuales!$H$31="Todos",'Plan mensual'!J74,0))+parametros_manuales!$G$31*('Plan mensual'!J71+IF(parametros_manuales!$H$31="Todos",'Plan mensual'!J75,0)))*parametros_manuales!$I$31*parametros_manuales!$J$31</f>
        <v>260.631</v>
      </c>
      <c r="I176" s="4">
        <f>(parametros_manuales!$D$31*('Plan mensual'!K68+IF(parametros_manuales!$H$31="Todos",'Plan mensual'!K72,0))+parametros_manuales!$E$31*('Plan mensual'!K69+IF(parametros_manuales!$H$31="Todos",'Plan mensual'!K73,0))+parametros_manuales!$F$31*('Plan mensual'!K70+IF(parametros_manuales!$H$31="Todos",'Plan mensual'!K74,0))+parametros_manuales!$G$31*('Plan mensual'!K71+IF(parametros_manuales!$H$31="Todos",'Plan mensual'!K75,0)))*parametros_manuales!$I$31*parametros_manuales!$J$31</f>
        <v>260.631</v>
      </c>
      <c r="J176" s="4">
        <f>(parametros_manuales!$D$31*('Plan mensual'!L68+IF(parametros_manuales!$H$31="Todos",'Plan mensual'!L72,0))+parametros_manuales!$E$31*('Plan mensual'!L69+IF(parametros_manuales!$H$31="Todos",'Plan mensual'!L73,0))+parametros_manuales!$F$31*('Plan mensual'!L70+IF(parametros_manuales!$H$31="Todos",'Plan mensual'!L74,0))+parametros_manuales!$G$31*('Plan mensual'!L71+IF(parametros_manuales!$H$31="Todos",'Plan mensual'!L75,0)))*parametros_manuales!$I$31*parametros_manuales!$J$31</f>
        <v>260.631</v>
      </c>
      <c r="K176" s="4">
        <f>(parametros_manuales!$D$31*('Plan mensual'!M68+IF(parametros_manuales!$H$31="Todos",'Plan mensual'!M72,0))+parametros_manuales!$E$31*('Plan mensual'!M69+IF(parametros_manuales!$H$31="Todos",'Plan mensual'!M73,0))+parametros_manuales!$F$31*('Plan mensual'!M70+IF(parametros_manuales!$H$31="Todos",'Plan mensual'!M74,0))+parametros_manuales!$G$31*('Plan mensual'!M71+IF(parametros_manuales!$H$31="Todos",'Plan mensual'!M75,0)))*parametros_manuales!$I$31*parametros_manuales!$J$31</f>
        <v>255.7485</v>
      </c>
      <c r="L176" s="4">
        <f>(parametros_manuales!$D$31*('Plan mensual'!N68+IF(parametros_manuales!$H$31="Todos",'Plan mensual'!N72,0))+parametros_manuales!$E$31*('Plan mensual'!N69+IF(parametros_manuales!$H$31="Todos",'Plan mensual'!N73,0))+parametros_manuales!$F$31*('Plan mensual'!N70+IF(parametros_manuales!$H$31="Todos",'Plan mensual'!N74,0))+parametros_manuales!$G$31*('Plan mensual'!N71+IF(parametros_manuales!$H$31="Todos",'Plan mensual'!N75,0)))*parametros_manuales!$I$31*parametros_manuales!$J$31</f>
        <v>250.866</v>
      </c>
      <c r="M176" s="4">
        <f>(parametros_manuales!$D$31*('Plan mensual'!O68+IF(parametros_manuales!$H$31="Todos",'Plan mensual'!O72,0))+parametros_manuales!$E$31*('Plan mensual'!O69+IF(parametros_manuales!$H$31="Todos",'Plan mensual'!O73,0))+parametros_manuales!$F$31*('Plan mensual'!O70+IF(parametros_manuales!$H$31="Todos",'Plan mensual'!O74,0))+parametros_manuales!$G$31*('Plan mensual'!O71+IF(parametros_manuales!$H$31="Todos",'Plan mensual'!O75,0)))*parametros_manuales!$I$31*parametros_manuales!$J$31</f>
        <v>399.4326</v>
      </c>
      <c r="N176" s="4">
        <f t="shared" si="19"/>
        <v>3409.98</v>
      </c>
      <c r="O176" s="4">
        <f t="shared" si="20"/>
        <v>399.4326</v>
      </c>
      <c r="P176" s="27">
        <f>O176/(parametros_manuales!$B$7)</f>
        <v>2.662884</v>
      </c>
      <c r="Q176" s="3" t="str">
        <f t="shared" si="21"/>
        <v>Dic</v>
      </c>
    </row>
    <row r="177" ht="14.25" customHeight="1">
      <c r="A177" s="3" t="str">
        <f>parametros_manuales!$B$32</f>
        <v>Prueba hidráulica</v>
      </c>
      <c r="B177" s="4">
        <f>(parametros_manuales!$D$32*('Plan mensual'!D68+IF(parametros_manuales!$H$32="Todos",'Plan mensual'!D72,0))+parametros_manuales!$E$32*('Plan mensual'!D69+IF(parametros_manuales!$H$32="Todos",'Plan mensual'!D73,0))+parametros_manuales!$F$32*('Plan mensual'!D70+IF(parametros_manuales!$H$32="Todos",'Plan mensual'!D74,0))+parametros_manuales!$G$32*('Plan mensual'!D71+IF(parametros_manuales!$H$32="Todos",'Plan mensual'!D75,0)))*parametros_manuales!$I$32*parametros_manuales!$J$32</f>
        <v>19483.38</v>
      </c>
      <c r="C177" s="4">
        <f>(parametros_manuales!$D$32*('Plan mensual'!E68+IF(parametros_manuales!$H$32="Todos",'Plan mensual'!E72,0))+parametros_manuales!$E$32*('Plan mensual'!E69+IF(parametros_manuales!$H$32="Todos",'Plan mensual'!E73,0))+parametros_manuales!$F$32*('Plan mensual'!E70+IF(parametros_manuales!$H$32="Todos",'Plan mensual'!E74,0))+parametros_manuales!$G$32*('Plan mensual'!E71+IF(parametros_manuales!$H$32="Todos",'Plan mensual'!E75,0)))*parametros_manuales!$I$32*parametros_manuales!$J$32</f>
        <v>14856.66</v>
      </c>
      <c r="D177" s="4">
        <f>(parametros_manuales!$D$32*('Plan mensual'!F68+IF(parametros_manuales!$H$32="Todos",'Plan mensual'!F72,0))+parametros_manuales!$E$32*('Plan mensual'!F69+IF(parametros_manuales!$H$32="Todos",'Plan mensual'!F73,0))+parametros_manuales!$F$32*('Plan mensual'!F70+IF(parametros_manuales!$H$32="Todos",'Plan mensual'!F74,0))+parametros_manuales!$G$32*('Plan mensual'!F71+IF(parametros_manuales!$H$32="Todos",'Plan mensual'!F75,0)))*parametros_manuales!$I$32*parametros_manuales!$J$32</f>
        <v>13884.045</v>
      </c>
      <c r="E177" s="4">
        <f>(parametros_manuales!$D$32*('Plan mensual'!G68+IF(parametros_manuales!$H$32="Todos",'Plan mensual'!G72,0))+parametros_manuales!$E$32*('Plan mensual'!G69+IF(parametros_manuales!$H$32="Todos",'Plan mensual'!G73,0))+parametros_manuales!$F$32*('Plan mensual'!G70+IF(parametros_manuales!$H$32="Todos",'Plan mensual'!G74,0))+parametros_manuales!$G$32*('Plan mensual'!G71+IF(parametros_manuales!$H$32="Todos",'Plan mensual'!G75,0)))*parametros_manuales!$I$32*parametros_manuales!$J$32</f>
        <v>13275.675</v>
      </c>
      <c r="F177" s="4">
        <f>(parametros_manuales!$D$32*('Plan mensual'!H68+IF(parametros_manuales!$H$32="Todos",'Plan mensual'!H72,0))+parametros_manuales!$E$32*('Plan mensual'!H69+IF(parametros_manuales!$H$32="Todos",'Plan mensual'!H73,0))+parametros_manuales!$F$32*('Plan mensual'!H70+IF(parametros_manuales!$H$32="Todos",'Plan mensual'!H74,0))+parametros_manuales!$G$32*('Plan mensual'!H71+IF(parametros_manuales!$H$32="Todos",'Plan mensual'!H75,0)))*parametros_manuales!$I$32*parametros_manuales!$J$32</f>
        <v>12423.18</v>
      </c>
      <c r="G177" s="4">
        <f>(parametros_manuales!$D$32*('Plan mensual'!I68+IF(parametros_manuales!$H$32="Todos",'Plan mensual'!I72,0))+parametros_manuales!$E$32*('Plan mensual'!I69+IF(parametros_manuales!$H$32="Todos",'Plan mensual'!I73,0))+parametros_manuales!$F$32*('Plan mensual'!I70+IF(parametros_manuales!$H$32="Todos",'Plan mensual'!I74,0))+parametros_manuales!$G$32*('Plan mensual'!I71+IF(parametros_manuales!$H$32="Todos",'Plan mensual'!I75,0)))*parametros_manuales!$I$32*parametros_manuales!$J$32</f>
        <v>12179.055</v>
      </c>
      <c r="H177" s="4">
        <f>(parametros_manuales!$D$32*('Plan mensual'!J68+IF(parametros_manuales!$H$32="Todos",'Plan mensual'!J72,0))+parametros_manuales!$E$32*('Plan mensual'!J69+IF(parametros_manuales!$H$32="Todos",'Plan mensual'!J73,0))+parametros_manuales!$F$32*('Plan mensual'!J70+IF(parametros_manuales!$H$32="Todos",'Plan mensual'!J74,0))+parametros_manuales!$G$32*('Plan mensual'!J71+IF(parametros_manuales!$H$32="Todos",'Plan mensual'!J75,0)))*parametros_manuales!$I$32*parametros_manuales!$J$32</f>
        <v>13031.55</v>
      </c>
      <c r="I177" s="4">
        <f>(parametros_manuales!$D$32*('Plan mensual'!K68+IF(parametros_manuales!$H$32="Todos",'Plan mensual'!K72,0))+parametros_manuales!$E$32*('Plan mensual'!K69+IF(parametros_manuales!$H$32="Todos",'Plan mensual'!K73,0))+parametros_manuales!$F$32*('Plan mensual'!K70+IF(parametros_manuales!$H$32="Todos",'Plan mensual'!K74,0))+parametros_manuales!$G$32*('Plan mensual'!K71+IF(parametros_manuales!$H$32="Todos",'Plan mensual'!K75,0)))*parametros_manuales!$I$32*parametros_manuales!$J$32</f>
        <v>13031.55</v>
      </c>
      <c r="J177" s="4">
        <f>(parametros_manuales!$D$32*('Plan mensual'!L68+IF(parametros_manuales!$H$32="Todos",'Plan mensual'!L72,0))+parametros_manuales!$E$32*('Plan mensual'!L69+IF(parametros_manuales!$H$32="Todos",'Plan mensual'!L73,0))+parametros_manuales!$F$32*('Plan mensual'!L70+IF(parametros_manuales!$H$32="Todos",'Plan mensual'!L74,0))+parametros_manuales!$G$32*('Plan mensual'!L71+IF(parametros_manuales!$H$32="Todos",'Plan mensual'!L75,0)))*parametros_manuales!$I$32*parametros_manuales!$J$32</f>
        <v>13031.55</v>
      </c>
      <c r="K177" s="4">
        <f>(parametros_manuales!$D$32*('Plan mensual'!M68+IF(parametros_manuales!$H$32="Todos",'Plan mensual'!M72,0))+parametros_manuales!$E$32*('Plan mensual'!M69+IF(parametros_manuales!$H$32="Todos",'Plan mensual'!M73,0))+parametros_manuales!$F$32*('Plan mensual'!M70+IF(parametros_manuales!$H$32="Todos",'Plan mensual'!M74,0))+parametros_manuales!$G$32*('Plan mensual'!M71+IF(parametros_manuales!$H$32="Todos",'Plan mensual'!M75,0)))*parametros_manuales!$I$32*parametros_manuales!$J$32</f>
        <v>12787.425</v>
      </c>
      <c r="L177" s="4">
        <f>(parametros_manuales!$D$32*('Plan mensual'!N68+IF(parametros_manuales!$H$32="Todos",'Plan mensual'!N72,0))+parametros_manuales!$E$32*('Plan mensual'!N69+IF(parametros_manuales!$H$32="Todos",'Plan mensual'!N73,0))+parametros_manuales!$F$32*('Plan mensual'!N70+IF(parametros_manuales!$H$32="Todos",'Plan mensual'!N74,0))+parametros_manuales!$G$32*('Plan mensual'!N71+IF(parametros_manuales!$H$32="Todos",'Plan mensual'!N75,0)))*parametros_manuales!$I$32*parametros_manuales!$J$32</f>
        <v>12543.3</v>
      </c>
      <c r="M177" s="4">
        <f>(parametros_manuales!$D$32*('Plan mensual'!O68+IF(parametros_manuales!$H$32="Todos",'Plan mensual'!O72,0))+parametros_manuales!$E$32*('Plan mensual'!O69+IF(parametros_manuales!$H$32="Todos",'Plan mensual'!O73,0))+parametros_manuales!$F$32*('Plan mensual'!O70+IF(parametros_manuales!$H$32="Todos",'Plan mensual'!O74,0))+parametros_manuales!$G$32*('Plan mensual'!O71+IF(parametros_manuales!$H$32="Todos",'Plan mensual'!O75,0)))*parametros_manuales!$I$32*parametros_manuales!$J$32</f>
        <v>19971.63</v>
      </c>
      <c r="N177" s="4">
        <f t="shared" si="19"/>
        <v>170499</v>
      </c>
      <c r="O177" s="4">
        <f t="shared" si="20"/>
        <v>19971.63</v>
      </c>
      <c r="P177" s="27">
        <f>O177/(parametros_manuales!$B$7)</f>
        <v>133.1442</v>
      </c>
      <c r="Q177" s="3" t="str">
        <f t="shared" si="21"/>
        <v>Dic</v>
      </c>
    </row>
    <row r="178" ht="14.25" customHeight="1">
      <c r="A178" s="3" t="str">
        <f>parametros_manuales!$B$33</f>
        <v>Secado</v>
      </c>
      <c r="B178" s="4">
        <f>(parametros_manuales!$D$33*('Plan mensual'!D68+IF(parametros_manuales!$H$33="Todos",'Plan mensual'!D72,0))+parametros_manuales!$E$33*('Plan mensual'!D69+IF(parametros_manuales!$H$33="Todos",'Plan mensual'!D73,0))+parametros_manuales!$F$33*('Plan mensual'!D70+IF(parametros_manuales!$H$33="Todos",'Plan mensual'!D74,0))+parametros_manuales!$G$33*('Plan mensual'!D71+IF(parametros_manuales!$H$33="Todos",'Plan mensual'!D75,0)))*parametros_manuales!$I$33*parametros_manuales!$J$33</f>
        <v>19483.38</v>
      </c>
      <c r="C178" s="4">
        <f>(parametros_manuales!$D$33*('Plan mensual'!E68+IF(parametros_manuales!$H$33="Todos",'Plan mensual'!E72,0))+parametros_manuales!$E$33*('Plan mensual'!E69+IF(parametros_manuales!$H$33="Todos",'Plan mensual'!E73,0))+parametros_manuales!$F$33*('Plan mensual'!E70+IF(parametros_manuales!$H$33="Todos",'Plan mensual'!E74,0))+parametros_manuales!$G$33*('Plan mensual'!E71+IF(parametros_manuales!$H$33="Todos",'Plan mensual'!E75,0)))*parametros_manuales!$I$33*parametros_manuales!$J$33</f>
        <v>14856.66</v>
      </c>
      <c r="D178" s="4">
        <f>(parametros_manuales!$D$33*('Plan mensual'!F68+IF(parametros_manuales!$H$33="Todos",'Plan mensual'!F72,0))+parametros_manuales!$E$33*('Plan mensual'!F69+IF(parametros_manuales!$H$33="Todos",'Plan mensual'!F73,0))+parametros_manuales!$F$33*('Plan mensual'!F70+IF(parametros_manuales!$H$33="Todos",'Plan mensual'!F74,0))+parametros_manuales!$G$33*('Plan mensual'!F71+IF(parametros_manuales!$H$33="Todos",'Plan mensual'!F75,0)))*parametros_manuales!$I$33*parametros_manuales!$J$33</f>
        <v>13884.045</v>
      </c>
      <c r="E178" s="4">
        <f>(parametros_manuales!$D$33*('Plan mensual'!G68+IF(parametros_manuales!$H$33="Todos",'Plan mensual'!G72,0))+parametros_manuales!$E$33*('Plan mensual'!G69+IF(parametros_manuales!$H$33="Todos",'Plan mensual'!G73,0))+parametros_manuales!$F$33*('Plan mensual'!G70+IF(parametros_manuales!$H$33="Todos",'Plan mensual'!G74,0))+parametros_manuales!$G$33*('Plan mensual'!G71+IF(parametros_manuales!$H$33="Todos",'Plan mensual'!G75,0)))*parametros_manuales!$I$33*parametros_manuales!$J$33</f>
        <v>13275.675</v>
      </c>
      <c r="F178" s="4">
        <f>(parametros_manuales!$D$33*('Plan mensual'!H68+IF(parametros_manuales!$H$33="Todos",'Plan mensual'!H72,0))+parametros_manuales!$E$33*('Plan mensual'!H69+IF(parametros_manuales!$H$33="Todos",'Plan mensual'!H73,0))+parametros_manuales!$F$33*('Plan mensual'!H70+IF(parametros_manuales!$H$33="Todos",'Plan mensual'!H74,0))+parametros_manuales!$G$33*('Plan mensual'!H71+IF(parametros_manuales!$H$33="Todos",'Plan mensual'!H75,0)))*parametros_manuales!$I$33*parametros_manuales!$J$33</f>
        <v>12423.18</v>
      </c>
      <c r="G178" s="4">
        <f>(parametros_manuales!$D$33*('Plan mensual'!I68+IF(parametros_manuales!$H$33="Todos",'Plan mensual'!I72,0))+parametros_manuales!$E$33*('Plan mensual'!I69+IF(parametros_manuales!$H$33="Todos",'Plan mensual'!I73,0))+parametros_manuales!$F$33*('Plan mensual'!I70+IF(parametros_manuales!$H$33="Todos",'Plan mensual'!I74,0))+parametros_manuales!$G$33*('Plan mensual'!I71+IF(parametros_manuales!$H$33="Todos",'Plan mensual'!I75,0)))*parametros_manuales!$I$33*parametros_manuales!$J$33</f>
        <v>12179.055</v>
      </c>
      <c r="H178" s="4">
        <f>(parametros_manuales!$D$33*('Plan mensual'!J68+IF(parametros_manuales!$H$33="Todos",'Plan mensual'!J72,0))+parametros_manuales!$E$33*('Plan mensual'!J69+IF(parametros_manuales!$H$33="Todos",'Plan mensual'!J73,0))+parametros_manuales!$F$33*('Plan mensual'!J70+IF(parametros_manuales!$H$33="Todos",'Plan mensual'!J74,0))+parametros_manuales!$G$33*('Plan mensual'!J71+IF(parametros_manuales!$H$33="Todos",'Plan mensual'!J75,0)))*parametros_manuales!$I$33*parametros_manuales!$J$33</f>
        <v>13031.55</v>
      </c>
      <c r="I178" s="4">
        <f>(parametros_manuales!$D$33*('Plan mensual'!K68+IF(parametros_manuales!$H$33="Todos",'Plan mensual'!K72,0))+parametros_manuales!$E$33*('Plan mensual'!K69+IF(parametros_manuales!$H$33="Todos",'Plan mensual'!K73,0))+parametros_manuales!$F$33*('Plan mensual'!K70+IF(parametros_manuales!$H$33="Todos",'Plan mensual'!K74,0))+parametros_manuales!$G$33*('Plan mensual'!K71+IF(parametros_manuales!$H$33="Todos",'Plan mensual'!K75,0)))*parametros_manuales!$I$33*parametros_manuales!$J$33</f>
        <v>13031.55</v>
      </c>
      <c r="J178" s="4">
        <f>(parametros_manuales!$D$33*('Plan mensual'!L68+IF(parametros_manuales!$H$33="Todos",'Plan mensual'!L72,0))+parametros_manuales!$E$33*('Plan mensual'!L69+IF(parametros_manuales!$H$33="Todos",'Plan mensual'!L73,0))+parametros_manuales!$F$33*('Plan mensual'!L70+IF(parametros_manuales!$H$33="Todos",'Plan mensual'!L74,0))+parametros_manuales!$G$33*('Plan mensual'!L71+IF(parametros_manuales!$H$33="Todos",'Plan mensual'!L75,0)))*parametros_manuales!$I$33*parametros_manuales!$J$33</f>
        <v>13031.55</v>
      </c>
      <c r="K178" s="4">
        <f>(parametros_manuales!$D$33*('Plan mensual'!M68+IF(parametros_manuales!$H$33="Todos",'Plan mensual'!M72,0))+parametros_manuales!$E$33*('Plan mensual'!M69+IF(parametros_manuales!$H$33="Todos",'Plan mensual'!M73,0))+parametros_manuales!$F$33*('Plan mensual'!M70+IF(parametros_manuales!$H$33="Todos",'Plan mensual'!M74,0))+parametros_manuales!$G$33*('Plan mensual'!M71+IF(parametros_manuales!$H$33="Todos",'Plan mensual'!M75,0)))*parametros_manuales!$I$33*parametros_manuales!$J$33</f>
        <v>12787.425</v>
      </c>
      <c r="L178" s="4">
        <f>(parametros_manuales!$D$33*('Plan mensual'!N68+IF(parametros_manuales!$H$33="Todos",'Plan mensual'!N72,0))+parametros_manuales!$E$33*('Plan mensual'!N69+IF(parametros_manuales!$H$33="Todos",'Plan mensual'!N73,0))+parametros_manuales!$F$33*('Plan mensual'!N70+IF(parametros_manuales!$H$33="Todos",'Plan mensual'!N74,0))+parametros_manuales!$G$33*('Plan mensual'!N71+IF(parametros_manuales!$H$33="Todos",'Plan mensual'!N75,0)))*parametros_manuales!$I$33*parametros_manuales!$J$33</f>
        <v>12543.3</v>
      </c>
      <c r="M178" s="4">
        <f>(parametros_manuales!$D$33*('Plan mensual'!O68+IF(parametros_manuales!$H$33="Todos",'Plan mensual'!O72,0))+parametros_manuales!$E$33*('Plan mensual'!O69+IF(parametros_manuales!$H$33="Todos",'Plan mensual'!O73,0))+parametros_manuales!$F$33*('Plan mensual'!O70+IF(parametros_manuales!$H$33="Todos",'Plan mensual'!O74,0))+parametros_manuales!$G$33*('Plan mensual'!O71+IF(parametros_manuales!$H$33="Todos",'Plan mensual'!O75,0)))*parametros_manuales!$I$33*parametros_manuales!$J$33</f>
        <v>19971.63</v>
      </c>
      <c r="N178" s="4">
        <f t="shared" si="19"/>
        <v>170499</v>
      </c>
      <c r="O178" s="4">
        <f t="shared" si="20"/>
        <v>19971.63</v>
      </c>
      <c r="P178" s="27">
        <f>O178/(parametros_manuales!$B$7)</f>
        <v>133.1442</v>
      </c>
      <c r="Q178" s="3" t="str">
        <f t="shared" si="21"/>
        <v>Dic</v>
      </c>
    </row>
    <row r="179" ht="14.25" customHeight="1">
      <c r="A179" s="3" t="str">
        <f>parametros_manuales!$B$34</f>
        <v>Granallado</v>
      </c>
      <c r="B179" s="4">
        <f>(parametros_manuales!$D$34*('Plan mensual'!D68+IF(parametros_manuales!$H$34="Todos",'Plan mensual'!D72,0))+parametros_manuales!$E$34*('Plan mensual'!D69+IF(parametros_manuales!$H$34="Todos",'Plan mensual'!D73,0))+parametros_manuales!$F$34*('Plan mensual'!D70+IF(parametros_manuales!$H$34="Todos",'Plan mensual'!D74,0))+parametros_manuales!$G$34*('Plan mensual'!D71+IF(parametros_manuales!$H$34="Todos",'Plan mensual'!D75,0)))*parametros_manuales!$I$34*parametros_manuales!$J$34</f>
        <v>19483.38</v>
      </c>
      <c r="C179" s="4">
        <f>(parametros_manuales!$D$34*('Plan mensual'!E68+IF(parametros_manuales!$H$34="Todos",'Plan mensual'!E72,0))+parametros_manuales!$E$34*('Plan mensual'!E69+IF(parametros_manuales!$H$34="Todos",'Plan mensual'!E73,0))+parametros_manuales!$F$34*('Plan mensual'!E70+IF(parametros_manuales!$H$34="Todos",'Plan mensual'!E74,0))+parametros_manuales!$G$34*('Plan mensual'!E71+IF(parametros_manuales!$H$34="Todos",'Plan mensual'!E75,0)))*parametros_manuales!$I$34*parametros_manuales!$J$34</f>
        <v>14856.66</v>
      </c>
      <c r="D179" s="4">
        <f>(parametros_manuales!$D$34*('Plan mensual'!F68+IF(parametros_manuales!$H$34="Todos",'Plan mensual'!F72,0))+parametros_manuales!$E$34*('Plan mensual'!F69+IF(parametros_manuales!$H$34="Todos",'Plan mensual'!F73,0))+parametros_manuales!$F$34*('Plan mensual'!F70+IF(parametros_manuales!$H$34="Todos",'Plan mensual'!F74,0))+parametros_manuales!$G$34*('Plan mensual'!F71+IF(parametros_manuales!$H$34="Todos",'Plan mensual'!F75,0)))*parametros_manuales!$I$34*parametros_manuales!$J$34</f>
        <v>13884.045</v>
      </c>
      <c r="E179" s="4">
        <f>(parametros_manuales!$D$34*('Plan mensual'!G68+IF(parametros_manuales!$H$34="Todos",'Plan mensual'!G72,0))+parametros_manuales!$E$34*('Plan mensual'!G69+IF(parametros_manuales!$H$34="Todos",'Plan mensual'!G73,0))+parametros_manuales!$F$34*('Plan mensual'!G70+IF(parametros_manuales!$H$34="Todos",'Plan mensual'!G74,0))+parametros_manuales!$G$34*('Plan mensual'!G71+IF(parametros_manuales!$H$34="Todos",'Plan mensual'!G75,0)))*parametros_manuales!$I$34*parametros_manuales!$J$34</f>
        <v>13275.675</v>
      </c>
      <c r="F179" s="4">
        <f>(parametros_manuales!$D$34*('Plan mensual'!H68+IF(parametros_manuales!$H$34="Todos",'Plan mensual'!H72,0))+parametros_manuales!$E$34*('Plan mensual'!H69+IF(parametros_manuales!$H$34="Todos",'Plan mensual'!H73,0))+parametros_manuales!$F$34*('Plan mensual'!H70+IF(parametros_manuales!$H$34="Todos",'Plan mensual'!H74,0))+parametros_manuales!$G$34*('Plan mensual'!H71+IF(parametros_manuales!$H$34="Todos",'Plan mensual'!H75,0)))*parametros_manuales!$I$34*parametros_manuales!$J$34</f>
        <v>12423.18</v>
      </c>
      <c r="G179" s="4">
        <f>(parametros_manuales!$D$34*('Plan mensual'!I68+IF(parametros_manuales!$H$34="Todos",'Plan mensual'!I72,0))+parametros_manuales!$E$34*('Plan mensual'!I69+IF(parametros_manuales!$H$34="Todos",'Plan mensual'!I73,0))+parametros_manuales!$F$34*('Plan mensual'!I70+IF(parametros_manuales!$H$34="Todos",'Plan mensual'!I74,0))+parametros_manuales!$G$34*('Plan mensual'!I71+IF(parametros_manuales!$H$34="Todos",'Plan mensual'!I75,0)))*parametros_manuales!$I$34*parametros_manuales!$J$34</f>
        <v>12179.055</v>
      </c>
      <c r="H179" s="4">
        <f>(parametros_manuales!$D$34*('Plan mensual'!J68+IF(parametros_manuales!$H$34="Todos",'Plan mensual'!J72,0))+parametros_manuales!$E$34*('Plan mensual'!J69+IF(parametros_manuales!$H$34="Todos",'Plan mensual'!J73,0))+parametros_manuales!$F$34*('Plan mensual'!J70+IF(parametros_manuales!$H$34="Todos",'Plan mensual'!J74,0))+parametros_manuales!$G$34*('Plan mensual'!J71+IF(parametros_manuales!$H$34="Todos",'Plan mensual'!J75,0)))*parametros_manuales!$I$34*parametros_manuales!$J$34</f>
        <v>13031.55</v>
      </c>
      <c r="I179" s="4">
        <f>(parametros_manuales!$D$34*('Plan mensual'!K68+IF(parametros_manuales!$H$34="Todos",'Plan mensual'!K72,0))+parametros_manuales!$E$34*('Plan mensual'!K69+IF(parametros_manuales!$H$34="Todos",'Plan mensual'!K73,0))+parametros_manuales!$F$34*('Plan mensual'!K70+IF(parametros_manuales!$H$34="Todos",'Plan mensual'!K74,0))+parametros_manuales!$G$34*('Plan mensual'!K71+IF(parametros_manuales!$H$34="Todos",'Plan mensual'!K75,0)))*parametros_manuales!$I$34*parametros_manuales!$J$34</f>
        <v>13031.55</v>
      </c>
      <c r="J179" s="4">
        <f>(parametros_manuales!$D$34*('Plan mensual'!L68+IF(parametros_manuales!$H$34="Todos",'Plan mensual'!L72,0))+parametros_manuales!$E$34*('Plan mensual'!L69+IF(parametros_manuales!$H$34="Todos",'Plan mensual'!L73,0))+parametros_manuales!$F$34*('Plan mensual'!L70+IF(parametros_manuales!$H$34="Todos",'Plan mensual'!L74,0))+parametros_manuales!$G$34*('Plan mensual'!L71+IF(parametros_manuales!$H$34="Todos",'Plan mensual'!L75,0)))*parametros_manuales!$I$34*parametros_manuales!$J$34</f>
        <v>13031.55</v>
      </c>
      <c r="K179" s="4">
        <f>(parametros_manuales!$D$34*('Plan mensual'!M68+IF(parametros_manuales!$H$34="Todos",'Plan mensual'!M72,0))+parametros_manuales!$E$34*('Plan mensual'!M69+IF(parametros_manuales!$H$34="Todos",'Plan mensual'!M73,0))+parametros_manuales!$F$34*('Plan mensual'!M70+IF(parametros_manuales!$H$34="Todos",'Plan mensual'!M74,0))+parametros_manuales!$G$34*('Plan mensual'!M71+IF(parametros_manuales!$H$34="Todos",'Plan mensual'!M75,0)))*parametros_manuales!$I$34*parametros_manuales!$J$34</f>
        <v>12787.425</v>
      </c>
      <c r="L179" s="4">
        <f>(parametros_manuales!$D$34*('Plan mensual'!N68+IF(parametros_manuales!$H$34="Todos",'Plan mensual'!N72,0))+parametros_manuales!$E$34*('Plan mensual'!N69+IF(parametros_manuales!$H$34="Todos",'Plan mensual'!N73,0))+parametros_manuales!$F$34*('Plan mensual'!N70+IF(parametros_manuales!$H$34="Todos",'Plan mensual'!N74,0))+parametros_manuales!$G$34*('Plan mensual'!N71+IF(parametros_manuales!$H$34="Todos",'Plan mensual'!N75,0)))*parametros_manuales!$I$34*parametros_manuales!$J$34</f>
        <v>12543.3</v>
      </c>
      <c r="M179" s="4">
        <f>(parametros_manuales!$D$34*('Plan mensual'!O68+IF(parametros_manuales!$H$34="Todos",'Plan mensual'!O72,0))+parametros_manuales!$E$34*('Plan mensual'!O69+IF(parametros_manuales!$H$34="Todos",'Plan mensual'!O73,0))+parametros_manuales!$F$34*('Plan mensual'!O70+IF(parametros_manuales!$H$34="Todos",'Plan mensual'!O74,0))+parametros_manuales!$G$34*('Plan mensual'!O71+IF(parametros_manuales!$H$34="Todos",'Plan mensual'!O75,0)))*parametros_manuales!$I$34*parametros_manuales!$J$34</f>
        <v>19971.63</v>
      </c>
      <c r="N179" s="4">
        <f t="shared" si="19"/>
        <v>170499</v>
      </c>
      <c r="O179" s="4">
        <f t="shared" si="20"/>
        <v>19971.63</v>
      </c>
      <c r="P179" s="27">
        <f>O179/(parametros_manuales!$B$7)</f>
        <v>133.1442</v>
      </c>
      <c r="Q179" s="3" t="str">
        <f t="shared" si="21"/>
        <v>Dic</v>
      </c>
    </row>
    <row r="180" ht="14.25" customHeight="1">
      <c r="A180" s="3" t="str">
        <f>parametros_manuales!$B$35</f>
        <v>Detección de defectos</v>
      </c>
      <c r="B180" s="4">
        <f>(parametros_manuales!$D$35*('Plan mensual'!D68+IF(parametros_manuales!$H$35="Todos",'Plan mensual'!D72,0))+parametros_manuales!$E$35*('Plan mensual'!D69+IF(parametros_manuales!$H$35="Todos",'Plan mensual'!D73,0))+parametros_manuales!$F$35*('Plan mensual'!D70+IF(parametros_manuales!$H$35="Todos",'Plan mensual'!D74,0))+parametros_manuales!$G$35*('Plan mensual'!D71+IF(parametros_manuales!$H$35="Todos",'Plan mensual'!D75,0)))*parametros_manuales!$I$35*parametros_manuales!$J$35</f>
        <v>19483.38</v>
      </c>
      <c r="C180" s="4">
        <f>(parametros_manuales!$D$35*('Plan mensual'!E68+IF(parametros_manuales!$H$35="Todos",'Plan mensual'!E72,0))+parametros_manuales!$E$35*('Plan mensual'!E69+IF(parametros_manuales!$H$35="Todos",'Plan mensual'!E73,0))+parametros_manuales!$F$35*('Plan mensual'!E70+IF(parametros_manuales!$H$35="Todos",'Plan mensual'!E74,0))+parametros_manuales!$G$35*('Plan mensual'!E71+IF(parametros_manuales!$H$35="Todos",'Plan mensual'!E75,0)))*parametros_manuales!$I$35*parametros_manuales!$J$35</f>
        <v>14856.66</v>
      </c>
      <c r="D180" s="4">
        <f>(parametros_manuales!$D$35*('Plan mensual'!F68+IF(parametros_manuales!$H$35="Todos",'Plan mensual'!F72,0))+parametros_manuales!$E$35*('Plan mensual'!F69+IF(parametros_manuales!$H$35="Todos",'Plan mensual'!F73,0))+parametros_manuales!$F$35*('Plan mensual'!F70+IF(parametros_manuales!$H$35="Todos",'Plan mensual'!F74,0))+parametros_manuales!$G$35*('Plan mensual'!F71+IF(parametros_manuales!$H$35="Todos",'Plan mensual'!F75,0)))*parametros_manuales!$I$35*parametros_manuales!$J$35</f>
        <v>13884.045</v>
      </c>
      <c r="E180" s="4">
        <f>(parametros_manuales!$D$35*('Plan mensual'!G68+IF(parametros_manuales!$H$35="Todos",'Plan mensual'!G72,0))+parametros_manuales!$E$35*('Plan mensual'!G69+IF(parametros_manuales!$H$35="Todos",'Plan mensual'!G73,0))+parametros_manuales!$F$35*('Plan mensual'!G70+IF(parametros_manuales!$H$35="Todos",'Plan mensual'!G74,0))+parametros_manuales!$G$35*('Plan mensual'!G71+IF(parametros_manuales!$H$35="Todos",'Plan mensual'!G75,0)))*parametros_manuales!$I$35*parametros_manuales!$J$35</f>
        <v>13275.675</v>
      </c>
      <c r="F180" s="4">
        <f>(parametros_manuales!$D$35*('Plan mensual'!H68+IF(parametros_manuales!$H$35="Todos",'Plan mensual'!H72,0))+parametros_manuales!$E$35*('Plan mensual'!H69+IF(parametros_manuales!$H$35="Todos",'Plan mensual'!H73,0))+parametros_manuales!$F$35*('Plan mensual'!H70+IF(parametros_manuales!$H$35="Todos",'Plan mensual'!H74,0))+parametros_manuales!$G$35*('Plan mensual'!H71+IF(parametros_manuales!$H$35="Todos",'Plan mensual'!H75,0)))*parametros_manuales!$I$35*parametros_manuales!$J$35</f>
        <v>12423.18</v>
      </c>
      <c r="G180" s="4">
        <f>(parametros_manuales!$D$35*('Plan mensual'!I68+IF(parametros_manuales!$H$35="Todos",'Plan mensual'!I72,0))+parametros_manuales!$E$35*('Plan mensual'!I69+IF(parametros_manuales!$H$35="Todos",'Plan mensual'!I73,0))+parametros_manuales!$F$35*('Plan mensual'!I70+IF(parametros_manuales!$H$35="Todos",'Plan mensual'!I74,0))+parametros_manuales!$G$35*('Plan mensual'!I71+IF(parametros_manuales!$H$35="Todos",'Plan mensual'!I75,0)))*parametros_manuales!$I$35*parametros_manuales!$J$35</f>
        <v>12179.055</v>
      </c>
      <c r="H180" s="4">
        <f>(parametros_manuales!$D$35*('Plan mensual'!J68+IF(parametros_manuales!$H$35="Todos",'Plan mensual'!J72,0))+parametros_manuales!$E$35*('Plan mensual'!J69+IF(parametros_manuales!$H$35="Todos",'Plan mensual'!J73,0))+parametros_manuales!$F$35*('Plan mensual'!J70+IF(parametros_manuales!$H$35="Todos",'Plan mensual'!J74,0))+parametros_manuales!$G$35*('Plan mensual'!J71+IF(parametros_manuales!$H$35="Todos",'Plan mensual'!J75,0)))*parametros_manuales!$I$35*parametros_manuales!$J$35</f>
        <v>13031.55</v>
      </c>
      <c r="I180" s="4">
        <f>(parametros_manuales!$D$35*('Plan mensual'!K68+IF(parametros_manuales!$H$35="Todos",'Plan mensual'!K72,0))+parametros_manuales!$E$35*('Plan mensual'!K69+IF(parametros_manuales!$H$35="Todos",'Plan mensual'!K73,0))+parametros_manuales!$F$35*('Plan mensual'!K70+IF(parametros_manuales!$H$35="Todos",'Plan mensual'!K74,0))+parametros_manuales!$G$35*('Plan mensual'!K71+IF(parametros_manuales!$H$35="Todos",'Plan mensual'!K75,0)))*parametros_manuales!$I$35*parametros_manuales!$J$35</f>
        <v>13031.55</v>
      </c>
      <c r="J180" s="4">
        <f>(parametros_manuales!$D$35*('Plan mensual'!L68+IF(parametros_manuales!$H$35="Todos",'Plan mensual'!L72,0))+parametros_manuales!$E$35*('Plan mensual'!L69+IF(parametros_manuales!$H$35="Todos",'Plan mensual'!L73,0))+parametros_manuales!$F$35*('Plan mensual'!L70+IF(parametros_manuales!$H$35="Todos",'Plan mensual'!L74,0))+parametros_manuales!$G$35*('Plan mensual'!L71+IF(parametros_manuales!$H$35="Todos",'Plan mensual'!L75,0)))*parametros_manuales!$I$35*parametros_manuales!$J$35</f>
        <v>13031.55</v>
      </c>
      <c r="K180" s="4">
        <f>(parametros_manuales!$D$35*('Plan mensual'!M68+IF(parametros_manuales!$H$35="Todos",'Plan mensual'!M72,0))+parametros_manuales!$E$35*('Plan mensual'!M69+IF(parametros_manuales!$H$35="Todos",'Plan mensual'!M73,0))+parametros_manuales!$F$35*('Plan mensual'!M70+IF(parametros_manuales!$H$35="Todos",'Plan mensual'!M74,0))+parametros_manuales!$G$35*('Plan mensual'!M71+IF(parametros_manuales!$H$35="Todos",'Plan mensual'!M75,0)))*parametros_manuales!$I$35*parametros_manuales!$J$35</f>
        <v>12787.425</v>
      </c>
      <c r="L180" s="4">
        <f>(parametros_manuales!$D$35*('Plan mensual'!N68+IF(parametros_manuales!$H$35="Todos",'Plan mensual'!N72,0))+parametros_manuales!$E$35*('Plan mensual'!N69+IF(parametros_manuales!$H$35="Todos",'Plan mensual'!N73,0))+parametros_manuales!$F$35*('Plan mensual'!N70+IF(parametros_manuales!$H$35="Todos",'Plan mensual'!N74,0))+parametros_manuales!$G$35*('Plan mensual'!N71+IF(parametros_manuales!$H$35="Todos",'Plan mensual'!N75,0)))*parametros_manuales!$I$35*parametros_manuales!$J$35</f>
        <v>12543.3</v>
      </c>
      <c r="M180" s="4">
        <f>(parametros_manuales!$D$35*('Plan mensual'!O68+IF(parametros_manuales!$H$35="Todos",'Plan mensual'!O72,0))+parametros_manuales!$E$35*('Plan mensual'!O69+IF(parametros_manuales!$H$35="Todos",'Plan mensual'!O73,0))+parametros_manuales!$F$35*('Plan mensual'!O70+IF(parametros_manuales!$H$35="Todos",'Plan mensual'!O74,0))+parametros_manuales!$G$35*('Plan mensual'!O71+IF(parametros_manuales!$H$35="Todos",'Plan mensual'!O75,0)))*parametros_manuales!$I$35*parametros_manuales!$J$35</f>
        <v>19971.63</v>
      </c>
      <c r="N180" s="4">
        <f t="shared" si="19"/>
        <v>170499</v>
      </c>
      <c r="O180" s="4">
        <f t="shared" si="20"/>
        <v>19971.63</v>
      </c>
      <c r="P180" s="27">
        <f>O180/(parametros_manuales!$B$7)</f>
        <v>133.1442</v>
      </c>
      <c r="Q180" s="3" t="str">
        <f t="shared" si="21"/>
        <v>Dic</v>
      </c>
    </row>
    <row r="181" ht="14.25" customHeight="1">
      <c r="A181" s="3" t="str">
        <f>parametros_manuales!$B$36</f>
        <v>Corrección de defectos</v>
      </c>
      <c r="B181" s="4">
        <f>(parametros_manuales!$D$36*('Plan mensual'!D68+IF(parametros_manuales!$H$36="Todos",'Plan mensual'!D72,0))+parametros_manuales!$E$36*('Plan mensual'!D69+IF(parametros_manuales!$H$36="Todos",'Plan mensual'!D73,0))+parametros_manuales!$F$36*('Plan mensual'!D70+IF(parametros_manuales!$H$36="Todos",'Plan mensual'!D74,0))+parametros_manuales!$G$36*('Plan mensual'!D71+IF(parametros_manuales!$H$36="Todos",'Plan mensual'!D75,0)))*parametros_manuales!$I$36*parametros_manuales!$J$36</f>
        <v>974.169</v>
      </c>
      <c r="C181" s="4">
        <f>(parametros_manuales!$D$36*('Plan mensual'!E68+IF(parametros_manuales!$H$36="Todos",'Plan mensual'!E72,0))+parametros_manuales!$E$36*('Plan mensual'!E69+IF(parametros_manuales!$H$36="Todos",'Plan mensual'!E73,0))+parametros_manuales!$F$36*('Plan mensual'!E70+IF(parametros_manuales!$H$36="Todos",'Plan mensual'!E74,0))+parametros_manuales!$G$36*('Plan mensual'!E71+IF(parametros_manuales!$H$36="Todos",'Plan mensual'!E75,0)))*parametros_manuales!$I$36*parametros_manuales!$J$36</f>
        <v>742.833</v>
      </c>
      <c r="D181" s="4">
        <f>(parametros_manuales!$D$36*('Plan mensual'!F68+IF(parametros_manuales!$H$36="Todos",'Plan mensual'!F72,0))+parametros_manuales!$E$36*('Plan mensual'!F69+IF(parametros_manuales!$H$36="Todos",'Plan mensual'!F73,0))+parametros_manuales!$F$36*('Plan mensual'!F70+IF(parametros_manuales!$H$36="Todos",'Plan mensual'!F74,0))+parametros_manuales!$G$36*('Plan mensual'!F71+IF(parametros_manuales!$H$36="Todos",'Plan mensual'!F75,0)))*parametros_manuales!$I$36*parametros_manuales!$J$36</f>
        <v>694.20225</v>
      </c>
      <c r="E181" s="4">
        <f>(parametros_manuales!$D$36*('Plan mensual'!G68+IF(parametros_manuales!$H$36="Todos",'Plan mensual'!G72,0))+parametros_manuales!$E$36*('Plan mensual'!G69+IF(parametros_manuales!$H$36="Todos",'Plan mensual'!G73,0))+parametros_manuales!$F$36*('Plan mensual'!G70+IF(parametros_manuales!$H$36="Todos",'Plan mensual'!G74,0))+parametros_manuales!$G$36*('Plan mensual'!G71+IF(parametros_manuales!$H$36="Todos",'Plan mensual'!G75,0)))*parametros_manuales!$I$36*parametros_manuales!$J$36</f>
        <v>663.78375</v>
      </c>
      <c r="F181" s="4">
        <f>(parametros_manuales!$D$36*('Plan mensual'!H68+IF(parametros_manuales!$H$36="Todos",'Plan mensual'!H72,0))+parametros_manuales!$E$36*('Plan mensual'!H69+IF(parametros_manuales!$H$36="Todos",'Plan mensual'!H73,0))+parametros_manuales!$F$36*('Plan mensual'!H70+IF(parametros_manuales!$H$36="Todos",'Plan mensual'!H74,0))+parametros_manuales!$G$36*('Plan mensual'!H71+IF(parametros_manuales!$H$36="Todos",'Plan mensual'!H75,0)))*parametros_manuales!$I$36*parametros_manuales!$J$36</f>
        <v>621.159</v>
      </c>
      <c r="G181" s="4">
        <f>(parametros_manuales!$D$36*('Plan mensual'!I68+IF(parametros_manuales!$H$36="Todos",'Plan mensual'!I72,0))+parametros_manuales!$E$36*('Plan mensual'!I69+IF(parametros_manuales!$H$36="Todos",'Plan mensual'!I73,0))+parametros_manuales!$F$36*('Plan mensual'!I70+IF(parametros_manuales!$H$36="Todos",'Plan mensual'!I74,0))+parametros_manuales!$G$36*('Plan mensual'!I71+IF(parametros_manuales!$H$36="Todos",'Plan mensual'!I75,0)))*parametros_manuales!$I$36*parametros_manuales!$J$36</f>
        <v>608.95275</v>
      </c>
      <c r="H181" s="4">
        <f>(parametros_manuales!$D$36*('Plan mensual'!J68+IF(parametros_manuales!$H$36="Todos",'Plan mensual'!J72,0))+parametros_manuales!$E$36*('Plan mensual'!J69+IF(parametros_manuales!$H$36="Todos",'Plan mensual'!J73,0))+parametros_manuales!$F$36*('Plan mensual'!J70+IF(parametros_manuales!$H$36="Todos",'Plan mensual'!J74,0))+parametros_manuales!$G$36*('Plan mensual'!J71+IF(parametros_manuales!$H$36="Todos",'Plan mensual'!J75,0)))*parametros_manuales!$I$36*parametros_manuales!$J$36</f>
        <v>651.5775</v>
      </c>
      <c r="I181" s="4">
        <f>(parametros_manuales!$D$36*('Plan mensual'!K68+IF(parametros_manuales!$H$36="Todos",'Plan mensual'!K72,0))+parametros_manuales!$E$36*('Plan mensual'!K69+IF(parametros_manuales!$H$36="Todos",'Plan mensual'!K73,0))+parametros_manuales!$F$36*('Plan mensual'!K70+IF(parametros_manuales!$H$36="Todos",'Plan mensual'!K74,0))+parametros_manuales!$G$36*('Plan mensual'!K71+IF(parametros_manuales!$H$36="Todos",'Plan mensual'!K75,0)))*parametros_manuales!$I$36*parametros_manuales!$J$36</f>
        <v>651.5775</v>
      </c>
      <c r="J181" s="4">
        <f>(parametros_manuales!$D$36*('Plan mensual'!L68+IF(parametros_manuales!$H$36="Todos",'Plan mensual'!L72,0))+parametros_manuales!$E$36*('Plan mensual'!L69+IF(parametros_manuales!$H$36="Todos",'Plan mensual'!L73,0))+parametros_manuales!$F$36*('Plan mensual'!L70+IF(parametros_manuales!$H$36="Todos",'Plan mensual'!L74,0))+parametros_manuales!$G$36*('Plan mensual'!L71+IF(parametros_manuales!$H$36="Todos",'Plan mensual'!L75,0)))*parametros_manuales!$I$36*parametros_manuales!$J$36</f>
        <v>651.5775</v>
      </c>
      <c r="K181" s="4">
        <f>(parametros_manuales!$D$36*('Plan mensual'!M68+IF(parametros_manuales!$H$36="Todos",'Plan mensual'!M72,0))+parametros_manuales!$E$36*('Plan mensual'!M69+IF(parametros_manuales!$H$36="Todos",'Plan mensual'!M73,0))+parametros_manuales!$F$36*('Plan mensual'!M70+IF(parametros_manuales!$H$36="Todos",'Plan mensual'!M74,0))+parametros_manuales!$G$36*('Plan mensual'!M71+IF(parametros_manuales!$H$36="Todos",'Plan mensual'!M75,0)))*parametros_manuales!$I$36*parametros_manuales!$J$36</f>
        <v>639.37125</v>
      </c>
      <c r="L181" s="4">
        <f>(parametros_manuales!$D$36*('Plan mensual'!N68+IF(parametros_manuales!$H$36="Todos",'Plan mensual'!N72,0))+parametros_manuales!$E$36*('Plan mensual'!N69+IF(parametros_manuales!$H$36="Todos",'Plan mensual'!N73,0))+parametros_manuales!$F$36*('Plan mensual'!N70+IF(parametros_manuales!$H$36="Todos",'Plan mensual'!N74,0))+parametros_manuales!$G$36*('Plan mensual'!N71+IF(parametros_manuales!$H$36="Todos",'Plan mensual'!N75,0)))*parametros_manuales!$I$36*parametros_manuales!$J$36</f>
        <v>627.165</v>
      </c>
      <c r="M181" s="4">
        <f>(parametros_manuales!$D$36*('Plan mensual'!O68+IF(parametros_manuales!$H$36="Todos",'Plan mensual'!O72,0))+parametros_manuales!$E$36*('Plan mensual'!O69+IF(parametros_manuales!$H$36="Todos",'Plan mensual'!O73,0))+parametros_manuales!$F$36*('Plan mensual'!O70+IF(parametros_manuales!$H$36="Todos",'Plan mensual'!O74,0))+parametros_manuales!$G$36*('Plan mensual'!O71+IF(parametros_manuales!$H$36="Todos",'Plan mensual'!O75,0)))*parametros_manuales!$I$36*parametros_manuales!$J$36</f>
        <v>998.5815</v>
      </c>
      <c r="N181" s="4">
        <f t="shared" si="19"/>
        <v>8524.95</v>
      </c>
      <c r="O181" s="4">
        <f t="shared" si="20"/>
        <v>998.5815</v>
      </c>
      <c r="P181" s="27">
        <f>O181/(parametros_manuales!$B$7)</f>
        <v>6.65721</v>
      </c>
      <c r="Q181" s="3" t="str">
        <f t="shared" si="21"/>
        <v>Dic</v>
      </c>
    </row>
    <row r="182" ht="14.25" customHeight="1">
      <c r="A182" s="3" t="str">
        <f>parametros_manuales!$B$37</f>
        <v>Pintura en polvo + horno</v>
      </c>
      <c r="B182" s="4">
        <f>(parametros_manuales!$D$37*('Plan mensual'!D68+IF(parametros_manuales!$H$37="Todos",'Plan mensual'!D72,0))+parametros_manuales!$E$37*('Plan mensual'!D69+IF(parametros_manuales!$H$37="Todos",'Plan mensual'!D73,0))+parametros_manuales!$F$37*('Plan mensual'!D70+IF(parametros_manuales!$H$37="Todos",'Plan mensual'!D74,0))+parametros_manuales!$G$37*('Plan mensual'!D71+IF(parametros_manuales!$H$37="Todos",'Plan mensual'!D75,0)))*parametros_manuales!$I$37*parametros_manuales!$J$37</f>
        <v>19483.38</v>
      </c>
      <c r="C182" s="4">
        <f>(parametros_manuales!$D$37*('Plan mensual'!E68+IF(parametros_manuales!$H$37="Todos",'Plan mensual'!E72,0))+parametros_manuales!$E$37*('Plan mensual'!E69+IF(parametros_manuales!$H$37="Todos",'Plan mensual'!E73,0))+parametros_manuales!$F$37*('Plan mensual'!E70+IF(parametros_manuales!$H$37="Todos",'Plan mensual'!E74,0))+parametros_manuales!$G$37*('Plan mensual'!E71+IF(parametros_manuales!$H$37="Todos",'Plan mensual'!E75,0)))*parametros_manuales!$I$37*parametros_manuales!$J$37</f>
        <v>14856.66</v>
      </c>
      <c r="D182" s="4">
        <f>(parametros_manuales!$D$37*('Plan mensual'!F68+IF(parametros_manuales!$H$37="Todos",'Plan mensual'!F72,0))+parametros_manuales!$E$37*('Plan mensual'!F69+IF(parametros_manuales!$H$37="Todos",'Plan mensual'!F73,0))+parametros_manuales!$F$37*('Plan mensual'!F70+IF(parametros_manuales!$H$37="Todos",'Plan mensual'!F74,0))+parametros_manuales!$G$37*('Plan mensual'!F71+IF(parametros_manuales!$H$37="Todos",'Plan mensual'!F75,0)))*parametros_manuales!$I$37*parametros_manuales!$J$37</f>
        <v>13884.045</v>
      </c>
      <c r="E182" s="4">
        <f>(parametros_manuales!$D$37*('Plan mensual'!G68+IF(parametros_manuales!$H$37="Todos",'Plan mensual'!G72,0))+parametros_manuales!$E$37*('Plan mensual'!G69+IF(parametros_manuales!$H$37="Todos",'Plan mensual'!G73,0))+parametros_manuales!$F$37*('Plan mensual'!G70+IF(parametros_manuales!$H$37="Todos",'Plan mensual'!G74,0))+parametros_manuales!$G$37*('Plan mensual'!G71+IF(parametros_manuales!$H$37="Todos",'Plan mensual'!G75,0)))*parametros_manuales!$I$37*parametros_manuales!$J$37</f>
        <v>13275.675</v>
      </c>
      <c r="F182" s="4">
        <f>(parametros_manuales!$D$37*('Plan mensual'!H68+IF(parametros_manuales!$H$37="Todos",'Plan mensual'!H72,0))+parametros_manuales!$E$37*('Plan mensual'!H69+IF(parametros_manuales!$H$37="Todos",'Plan mensual'!H73,0))+parametros_manuales!$F$37*('Plan mensual'!H70+IF(parametros_manuales!$H$37="Todos",'Plan mensual'!H74,0))+parametros_manuales!$G$37*('Plan mensual'!H71+IF(parametros_manuales!$H$37="Todos",'Plan mensual'!H75,0)))*parametros_manuales!$I$37*parametros_manuales!$J$37</f>
        <v>12423.18</v>
      </c>
      <c r="G182" s="4">
        <f>(parametros_manuales!$D$37*('Plan mensual'!I68+IF(parametros_manuales!$H$37="Todos",'Plan mensual'!I72,0))+parametros_manuales!$E$37*('Plan mensual'!I69+IF(parametros_manuales!$H$37="Todos",'Plan mensual'!I73,0))+parametros_manuales!$F$37*('Plan mensual'!I70+IF(parametros_manuales!$H$37="Todos",'Plan mensual'!I74,0))+parametros_manuales!$G$37*('Plan mensual'!I71+IF(parametros_manuales!$H$37="Todos",'Plan mensual'!I75,0)))*parametros_manuales!$I$37*parametros_manuales!$J$37</f>
        <v>12179.055</v>
      </c>
      <c r="H182" s="4">
        <f>(parametros_manuales!$D$37*('Plan mensual'!J68+IF(parametros_manuales!$H$37="Todos",'Plan mensual'!J72,0))+parametros_manuales!$E$37*('Plan mensual'!J69+IF(parametros_manuales!$H$37="Todos",'Plan mensual'!J73,0))+parametros_manuales!$F$37*('Plan mensual'!J70+IF(parametros_manuales!$H$37="Todos",'Plan mensual'!J74,0))+parametros_manuales!$G$37*('Plan mensual'!J71+IF(parametros_manuales!$H$37="Todos",'Plan mensual'!J75,0)))*parametros_manuales!$I$37*parametros_manuales!$J$37</f>
        <v>13031.55</v>
      </c>
      <c r="I182" s="4">
        <f>(parametros_manuales!$D$37*('Plan mensual'!K68+IF(parametros_manuales!$H$37="Todos",'Plan mensual'!K72,0))+parametros_manuales!$E$37*('Plan mensual'!K69+IF(parametros_manuales!$H$37="Todos",'Plan mensual'!K73,0))+parametros_manuales!$F$37*('Plan mensual'!K70+IF(parametros_manuales!$H$37="Todos",'Plan mensual'!K74,0))+parametros_manuales!$G$37*('Plan mensual'!K71+IF(parametros_manuales!$H$37="Todos",'Plan mensual'!K75,0)))*parametros_manuales!$I$37*parametros_manuales!$J$37</f>
        <v>13031.55</v>
      </c>
      <c r="J182" s="4">
        <f>(parametros_manuales!$D$37*('Plan mensual'!L68+IF(parametros_manuales!$H$37="Todos",'Plan mensual'!L72,0))+parametros_manuales!$E$37*('Plan mensual'!L69+IF(parametros_manuales!$H$37="Todos",'Plan mensual'!L73,0))+parametros_manuales!$F$37*('Plan mensual'!L70+IF(parametros_manuales!$H$37="Todos",'Plan mensual'!L74,0))+parametros_manuales!$G$37*('Plan mensual'!L71+IF(parametros_manuales!$H$37="Todos",'Plan mensual'!L75,0)))*parametros_manuales!$I$37*parametros_manuales!$J$37</f>
        <v>13031.55</v>
      </c>
      <c r="K182" s="4">
        <f>(parametros_manuales!$D$37*('Plan mensual'!M68+IF(parametros_manuales!$H$37="Todos",'Plan mensual'!M72,0))+parametros_manuales!$E$37*('Plan mensual'!M69+IF(parametros_manuales!$H$37="Todos",'Plan mensual'!M73,0))+parametros_manuales!$F$37*('Plan mensual'!M70+IF(parametros_manuales!$H$37="Todos",'Plan mensual'!M74,0))+parametros_manuales!$G$37*('Plan mensual'!M71+IF(parametros_manuales!$H$37="Todos",'Plan mensual'!M75,0)))*parametros_manuales!$I$37*parametros_manuales!$J$37</f>
        <v>12787.425</v>
      </c>
      <c r="L182" s="4">
        <f>(parametros_manuales!$D$37*('Plan mensual'!N68+IF(parametros_manuales!$H$37="Todos",'Plan mensual'!N72,0))+parametros_manuales!$E$37*('Plan mensual'!N69+IF(parametros_manuales!$H$37="Todos",'Plan mensual'!N73,0))+parametros_manuales!$F$37*('Plan mensual'!N70+IF(parametros_manuales!$H$37="Todos",'Plan mensual'!N74,0))+parametros_manuales!$G$37*('Plan mensual'!N71+IF(parametros_manuales!$H$37="Todos",'Plan mensual'!N75,0)))*parametros_manuales!$I$37*parametros_manuales!$J$37</f>
        <v>12543.3</v>
      </c>
      <c r="M182" s="4">
        <f>(parametros_manuales!$D$37*('Plan mensual'!O68+IF(parametros_manuales!$H$37="Todos",'Plan mensual'!O72,0))+parametros_manuales!$E$37*('Plan mensual'!O69+IF(parametros_manuales!$H$37="Todos",'Plan mensual'!O73,0))+parametros_manuales!$F$37*('Plan mensual'!O70+IF(parametros_manuales!$H$37="Todos",'Plan mensual'!O74,0))+parametros_manuales!$G$37*('Plan mensual'!O71+IF(parametros_manuales!$H$37="Todos",'Plan mensual'!O75,0)))*parametros_manuales!$I$37*parametros_manuales!$J$37</f>
        <v>19971.63</v>
      </c>
      <c r="N182" s="4">
        <f t="shared" si="19"/>
        <v>170499</v>
      </c>
      <c r="O182" s="4">
        <f t="shared" si="20"/>
        <v>19971.63</v>
      </c>
      <c r="P182" s="27">
        <f>O182/(parametros_manuales!$B$7)</f>
        <v>133.1442</v>
      </c>
      <c r="Q182" s="3" t="str">
        <f t="shared" si="21"/>
        <v>Dic</v>
      </c>
    </row>
    <row r="183" ht="14.25" customHeight="1">
      <c r="A183" s="3" t="str">
        <f>parametros_manuales!$B$38</f>
        <v>Carga de polvo</v>
      </c>
      <c r="B183" s="4">
        <f>(parametros_manuales!$D$38*('Plan mensual'!D68+IF(parametros_manuales!$H$38="Todos",'Plan mensual'!D72,0))+parametros_manuales!$E$38*('Plan mensual'!D69+IF(parametros_manuales!$H$38="Todos",'Plan mensual'!D73,0))+parametros_manuales!$F$38*('Plan mensual'!D70+IF(parametros_manuales!$H$38="Todos",'Plan mensual'!D74,0))+parametros_manuales!$G$38*('Plan mensual'!D71+IF(parametros_manuales!$H$38="Todos",'Plan mensual'!D75,0)))*parametros_manuales!$I$38*parametros_manuales!$J$38</f>
        <v>4850.76</v>
      </c>
      <c r="C183" s="4">
        <f>(parametros_manuales!$D$38*('Plan mensual'!E68+IF(parametros_manuales!$H$38="Todos",'Plan mensual'!E72,0))+parametros_manuales!$E$38*('Plan mensual'!E69+IF(parametros_manuales!$H$38="Todos",'Plan mensual'!E73,0))+parametros_manuales!$F$38*('Plan mensual'!E70+IF(parametros_manuales!$H$38="Todos",'Plan mensual'!E74,0))+parametros_manuales!$G$38*('Plan mensual'!E71+IF(parametros_manuales!$H$38="Todos",'Plan mensual'!E75,0)))*parametros_manuales!$I$38*parametros_manuales!$J$38</f>
        <v>3758.61</v>
      </c>
      <c r="D183" s="4">
        <f>(parametros_manuales!$D$38*('Plan mensual'!F68+IF(parametros_manuales!$H$38="Todos",'Plan mensual'!F72,0))+parametros_manuales!$E$38*('Plan mensual'!F69+IF(parametros_manuales!$H$38="Todos",'Plan mensual'!F73,0))+parametros_manuales!$F$38*('Plan mensual'!F70+IF(parametros_manuales!$H$38="Todos",'Plan mensual'!F74,0))+parametros_manuales!$G$38*('Plan mensual'!F71+IF(parametros_manuales!$H$38="Todos",'Plan mensual'!F75,0)))*parametros_manuales!$I$38*parametros_manuales!$J$38</f>
        <v>3675.82</v>
      </c>
      <c r="E183" s="4">
        <f>(parametros_manuales!$D$38*('Plan mensual'!G68+IF(parametros_manuales!$H$38="Todos",'Plan mensual'!G72,0))+parametros_manuales!$E$38*('Plan mensual'!G69+IF(parametros_manuales!$H$38="Todos",'Plan mensual'!G73,0))+parametros_manuales!$F$38*('Plan mensual'!G70+IF(parametros_manuales!$H$38="Todos",'Plan mensual'!G74,0))+parametros_manuales!$G$38*('Plan mensual'!G71+IF(parametros_manuales!$H$38="Todos",'Plan mensual'!G75,0)))*parametros_manuales!$I$38*parametros_manuales!$J$38</f>
        <v>3574.155</v>
      </c>
      <c r="F183" s="4">
        <f>(parametros_manuales!$D$38*('Plan mensual'!H68+IF(parametros_manuales!$H$38="Todos",'Plan mensual'!H72,0))+parametros_manuales!$E$38*('Plan mensual'!H69+IF(parametros_manuales!$H$38="Todos",'Plan mensual'!H73,0))+parametros_manuales!$F$38*('Plan mensual'!H70+IF(parametros_manuales!$H$38="Todos",'Plan mensual'!H74,0))+parametros_manuales!$G$38*('Plan mensual'!H71+IF(parametros_manuales!$H$38="Todos",'Plan mensual'!H75,0)))*parametros_manuales!$I$38*parametros_manuales!$J$38</f>
        <v>3351.95</v>
      </c>
      <c r="G183" s="4">
        <f>(parametros_manuales!$D$38*('Plan mensual'!I68+IF(parametros_manuales!$H$38="Todos",'Plan mensual'!I72,0))+parametros_manuales!$E$38*('Plan mensual'!I69+IF(parametros_manuales!$H$38="Todos",'Plan mensual'!I73,0))+parametros_manuales!$F$38*('Plan mensual'!I70+IF(parametros_manuales!$H$38="Todos",'Plan mensual'!I74,0))+parametros_manuales!$G$38*('Plan mensual'!I71+IF(parametros_manuales!$H$38="Todos",'Plan mensual'!I75,0)))*parametros_manuales!$I$38*parametros_manuales!$J$38</f>
        <v>3231.41</v>
      </c>
      <c r="H183" s="4">
        <f>(parametros_manuales!$D$38*('Plan mensual'!J68+IF(parametros_manuales!$H$38="Todos",'Plan mensual'!J72,0))+parametros_manuales!$E$38*('Plan mensual'!J69+IF(parametros_manuales!$H$38="Todos",'Plan mensual'!J73,0))+parametros_manuales!$F$38*('Plan mensual'!J70+IF(parametros_manuales!$H$38="Todos",'Plan mensual'!J74,0))+parametros_manuales!$G$38*('Plan mensual'!J71+IF(parametros_manuales!$H$38="Todos",'Plan mensual'!J75,0)))*parametros_manuales!$I$38*parametros_manuales!$J$38</f>
        <v>3453.615</v>
      </c>
      <c r="I183" s="4">
        <f>(parametros_manuales!$D$38*('Plan mensual'!K68+IF(parametros_manuales!$H$38="Todos",'Plan mensual'!K72,0))+parametros_manuales!$E$38*('Plan mensual'!K69+IF(parametros_manuales!$H$38="Todos",'Plan mensual'!K73,0))+parametros_manuales!$F$38*('Plan mensual'!K70+IF(parametros_manuales!$H$38="Todos",'Plan mensual'!K74,0))+parametros_manuales!$G$38*('Plan mensual'!K71+IF(parametros_manuales!$H$38="Todos",'Plan mensual'!K75,0)))*parametros_manuales!$I$38*parametros_manuales!$J$38</f>
        <v>3453.615</v>
      </c>
      <c r="J183" s="4">
        <f>(parametros_manuales!$D$38*('Plan mensual'!L68+IF(parametros_manuales!$H$38="Todos",'Plan mensual'!L72,0))+parametros_manuales!$E$38*('Plan mensual'!L69+IF(parametros_manuales!$H$38="Todos",'Plan mensual'!L73,0))+parametros_manuales!$F$38*('Plan mensual'!L70+IF(parametros_manuales!$H$38="Todos",'Plan mensual'!L74,0))+parametros_manuales!$G$38*('Plan mensual'!L71+IF(parametros_manuales!$H$38="Todos",'Plan mensual'!L75,0)))*parametros_manuales!$I$38*parametros_manuales!$J$38</f>
        <v>3453.615</v>
      </c>
      <c r="K183" s="4">
        <f>(parametros_manuales!$D$38*('Plan mensual'!M68+IF(parametros_manuales!$H$38="Todos",'Plan mensual'!M72,0))+parametros_manuales!$E$38*('Plan mensual'!M69+IF(parametros_manuales!$H$38="Todos",'Plan mensual'!M73,0))+parametros_manuales!$F$38*('Plan mensual'!M70+IF(parametros_manuales!$H$38="Todos",'Plan mensual'!M74,0))+parametros_manuales!$G$38*('Plan mensual'!M71+IF(parametros_manuales!$H$38="Todos",'Plan mensual'!M75,0)))*parametros_manuales!$I$38*parametros_manuales!$J$38</f>
        <v>3333.075</v>
      </c>
      <c r="L183" s="4">
        <f>(parametros_manuales!$D$38*('Plan mensual'!N68+IF(parametros_manuales!$H$38="Todos",'Plan mensual'!N72,0))+parametros_manuales!$E$38*('Plan mensual'!N69+IF(parametros_manuales!$H$38="Todos",'Plan mensual'!N73,0))+parametros_manuales!$F$38*('Plan mensual'!N70+IF(parametros_manuales!$H$38="Todos",'Plan mensual'!N74,0))+parametros_manuales!$G$38*('Plan mensual'!N71+IF(parametros_manuales!$H$38="Todos",'Plan mensual'!N75,0)))*parametros_manuales!$I$38*parametros_manuales!$J$38</f>
        <v>3212.535</v>
      </c>
      <c r="M183" s="4">
        <f>(parametros_manuales!$D$38*('Plan mensual'!O68+IF(parametros_manuales!$H$38="Todos",'Plan mensual'!O72,0))+parametros_manuales!$E$38*('Plan mensual'!O69+IF(parametros_manuales!$H$38="Todos",'Plan mensual'!O73,0))+parametros_manuales!$F$38*('Plan mensual'!O70+IF(parametros_manuales!$H$38="Todos",'Plan mensual'!O74,0))+parametros_manuales!$G$38*('Plan mensual'!O71+IF(parametros_manuales!$H$38="Todos",'Plan mensual'!O75,0)))*parametros_manuales!$I$38*parametros_manuales!$J$38</f>
        <v>5091.84</v>
      </c>
      <c r="N183" s="4">
        <f t="shared" si="19"/>
        <v>44441</v>
      </c>
      <c r="O183" s="4">
        <f t="shared" si="20"/>
        <v>5091.84</v>
      </c>
      <c r="P183" s="27">
        <f>O183/(parametros_manuales!$B$7)</f>
        <v>33.9456</v>
      </c>
      <c r="Q183" s="3" t="str">
        <f t="shared" si="21"/>
        <v>Dic</v>
      </c>
    </row>
    <row r="184" ht="14.25" customHeight="1">
      <c r="A184" s="3" t="str">
        <f>parametros_manuales!$B$39</f>
        <v>Ensamblaje</v>
      </c>
      <c r="B184" s="4">
        <f>(parametros_manuales!$D$39*('Plan mensual'!D68+IF(parametros_manuales!$H$39="Todos",'Plan mensual'!D72,0))+parametros_manuales!$E$39*('Plan mensual'!D69+IF(parametros_manuales!$H$39="Todos",'Plan mensual'!D73,0))+parametros_manuales!$F$39*('Plan mensual'!D70+IF(parametros_manuales!$H$39="Todos",'Plan mensual'!D74,0))+parametros_manuales!$G$39*('Plan mensual'!D71+IF(parametros_manuales!$H$39="Todos",'Plan mensual'!D75,0)))*parametros_manuales!$I$39*parametros_manuales!$J$39</f>
        <v>4850.76</v>
      </c>
      <c r="C184" s="4">
        <f>(parametros_manuales!$D$39*('Plan mensual'!E68+IF(parametros_manuales!$H$39="Todos",'Plan mensual'!E72,0))+parametros_manuales!$E$39*('Plan mensual'!E69+IF(parametros_manuales!$H$39="Todos",'Plan mensual'!E73,0))+parametros_manuales!$F$39*('Plan mensual'!E70+IF(parametros_manuales!$H$39="Todos",'Plan mensual'!E74,0))+parametros_manuales!$G$39*('Plan mensual'!E71+IF(parametros_manuales!$H$39="Todos",'Plan mensual'!E75,0)))*parametros_manuales!$I$39*parametros_manuales!$J$39</f>
        <v>3758.61</v>
      </c>
      <c r="D184" s="4">
        <f>(parametros_manuales!$D$39*('Plan mensual'!F68+IF(parametros_manuales!$H$39="Todos",'Plan mensual'!F72,0))+parametros_manuales!$E$39*('Plan mensual'!F69+IF(parametros_manuales!$H$39="Todos",'Plan mensual'!F73,0))+parametros_manuales!$F$39*('Plan mensual'!F70+IF(parametros_manuales!$H$39="Todos",'Plan mensual'!F74,0))+parametros_manuales!$G$39*('Plan mensual'!F71+IF(parametros_manuales!$H$39="Todos",'Plan mensual'!F75,0)))*parametros_manuales!$I$39*parametros_manuales!$J$39</f>
        <v>3675.82</v>
      </c>
      <c r="E184" s="4">
        <f>(parametros_manuales!$D$39*('Plan mensual'!G68+IF(parametros_manuales!$H$39="Todos",'Plan mensual'!G72,0))+parametros_manuales!$E$39*('Plan mensual'!G69+IF(parametros_manuales!$H$39="Todos",'Plan mensual'!G73,0))+parametros_manuales!$F$39*('Plan mensual'!G70+IF(parametros_manuales!$H$39="Todos",'Plan mensual'!G74,0))+parametros_manuales!$G$39*('Plan mensual'!G71+IF(parametros_manuales!$H$39="Todos",'Plan mensual'!G75,0)))*parametros_manuales!$I$39*parametros_manuales!$J$39</f>
        <v>3574.155</v>
      </c>
      <c r="F184" s="4">
        <f>(parametros_manuales!$D$39*('Plan mensual'!H68+IF(parametros_manuales!$H$39="Todos",'Plan mensual'!H72,0))+parametros_manuales!$E$39*('Plan mensual'!H69+IF(parametros_manuales!$H$39="Todos",'Plan mensual'!H73,0))+parametros_manuales!$F$39*('Plan mensual'!H70+IF(parametros_manuales!$H$39="Todos",'Plan mensual'!H74,0))+parametros_manuales!$G$39*('Plan mensual'!H71+IF(parametros_manuales!$H$39="Todos",'Plan mensual'!H75,0)))*parametros_manuales!$I$39*parametros_manuales!$J$39</f>
        <v>3351.95</v>
      </c>
      <c r="G184" s="4">
        <f>(parametros_manuales!$D$39*('Plan mensual'!I68+IF(parametros_manuales!$H$39="Todos",'Plan mensual'!I72,0))+parametros_manuales!$E$39*('Plan mensual'!I69+IF(parametros_manuales!$H$39="Todos",'Plan mensual'!I73,0))+parametros_manuales!$F$39*('Plan mensual'!I70+IF(parametros_manuales!$H$39="Todos",'Plan mensual'!I74,0))+parametros_manuales!$G$39*('Plan mensual'!I71+IF(parametros_manuales!$H$39="Todos",'Plan mensual'!I75,0)))*parametros_manuales!$I$39*parametros_manuales!$J$39</f>
        <v>3231.41</v>
      </c>
      <c r="H184" s="4">
        <f>(parametros_manuales!$D$39*('Plan mensual'!J68+IF(parametros_manuales!$H$39="Todos",'Plan mensual'!J72,0))+parametros_manuales!$E$39*('Plan mensual'!J69+IF(parametros_manuales!$H$39="Todos",'Plan mensual'!J73,0))+parametros_manuales!$F$39*('Plan mensual'!J70+IF(parametros_manuales!$H$39="Todos",'Plan mensual'!J74,0))+parametros_manuales!$G$39*('Plan mensual'!J71+IF(parametros_manuales!$H$39="Todos",'Plan mensual'!J75,0)))*parametros_manuales!$I$39*parametros_manuales!$J$39</f>
        <v>3453.615</v>
      </c>
      <c r="I184" s="4">
        <f>(parametros_manuales!$D$39*('Plan mensual'!K68+IF(parametros_manuales!$H$39="Todos",'Plan mensual'!K72,0))+parametros_manuales!$E$39*('Plan mensual'!K69+IF(parametros_manuales!$H$39="Todos",'Plan mensual'!K73,0))+parametros_manuales!$F$39*('Plan mensual'!K70+IF(parametros_manuales!$H$39="Todos",'Plan mensual'!K74,0))+parametros_manuales!$G$39*('Plan mensual'!K71+IF(parametros_manuales!$H$39="Todos",'Plan mensual'!K75,0)))*parametros_manuales!$I$39*parametros_manuales!$J$39</f>
        <v>3453.615</v>
      </c>
      <c r="J184" s="4">
        <f>(parametros_manuales!$D$39*('Plan mensual'!L68+IF(parametros_manuales!$H$39="Todos",'Plan mensual'!L72,0))+parametros_manuales!$E$39*('Plan mensual'!L69+IF(parametros_manuales!$H$39="Todos",'Plan mensual'!L73,0))+parametros_manuales!$F$39*('Plan mensual'!L70+IF(parametros_manuales!$H$39="Todos",'Plan mensual'!L74,0))+parametros_manuales!$G$39*('Plan mensual'!L71+IF(parametros_manuales!$H$39="Todos",'Plan mensual'!L75,0)))*parametros_manuales!$I$39*parametros_manuales!$J$39</f>
        <v>3453.615</v>
      </c>
      <c r="K184" s="4">
        <f>(parametros_manuales!$D$39*('Plan mensual'!M68+IF(parametros_manuales!$H$39="Todos",'Plan mensual'!M72,0))+parametros_manuales!$E$39*('Plan mensual'!M69+IF(parametros_manuales!$H$39="Todos",'Plan mensual'!M73,0))+parametros_manuales!$F$39*('Plan mensual'!M70+IF(parametros_manuales!$H$39="Todos",'Plan mensual'!M74,0))+parametros_manuales!$G$39*('Plan mensual'!M71+IF(parametros_manuales!$H$39="Todos",'Plan mensual'!M75,0)))*parametros_manuales!$I$39*parametros_manuales!$J$39</f>
        <v>3333.075</v>
      </c>
      <c r="L184" s="4">
        <f>(parametros_manuales!$D$39*('Plan mensual'!N68+IF(parametros_manuales!$H$39="Todos",'Plan mensual'!N72,0))+parametros_manuales!$E$39*('Plan mensual'!N69+IF(parametros_manuales!$H$39="Todos",'Plan mensual'!N73,0))+parametros_manuales!$F$39*('Plan mensual'!N70+IF(parametros_manuales!$H$39="Todos",'Plan mensual'!N74,0))+parametros_manuales!$G$39*('Plan mensual'!N71+IF(parametros_manuales!$H$39="Todos",'Plan mensual'!N75,0)))*parametros_manuales!$I$39*parametros_manuales!$J$39</f>
        <v>3212.535</v>
      </c>
      <c r="M184" s="4">
        <f>(parametros_manuales!$D$39*('Plan mensual'!O68+IF(parametros_manuales!$H$39="Todos",'Plan mensual'!O72,0))+parametros_manuales!$E$39*('Plan mensual'!O69+IF(parametros_manuales!$H$39="Todos",'Plan mensual'!O73,0))+parametros_manuales!$F$39*('Plan mensual'!O70+IF(parametros_manuales!$H$39="Todos",'Plan mensual'!O74,0))+parametros_manuales!$G$39*('Plan mensual'!O71+IF(parametros_manuales!$H$39="Todos",'Plan mensual'!O75,0)))*parametros_manuales!$I$39*parametros_manuales!$J$39</f>
        <v>5091.84</v>
      </c>
      <c r="N184" s="4">
        <f t="shared" si="19"/>
        <v>44441</v>
      </c>
      <c r="O184" s="4">
        <f t="shared" si="20"/>
        <v>5091.84</v>
      </c>
      <c r="P184" s="27">
        <f>O184/(parametros_manuales!$B$7)</f>
        <v>33.9456</v>
      </c>
      <c r="Q184" s="3" t="str">
        <f t="shared" si="21"/>
        <v>Dic</v>
      </c>
    </row>
    <row r="185" ht="14.25" customHeight="1">
      <c r="A185" s="3" t="str">
        <f>parametros_manuales!$B$40</f>
        <v>Presurización</v>
      </c>
      <c r="B185" s="4">
        <f>(parametros_manuales!$D$40*('Plan mensual'!D68+IF(parametros_manuales!$H$40="Todos",'Plan mensual'!D72,0))+parametros_manuales!$E$40*('Plan mensual'!D69+IF(parametros_manuales!$H$40="Todos",'Plan mensual'!D73,0))+parametros_manuales!$F$40*('Plan mensual'!D70+IF(parametros_manuales!$H$40="Todos",'Plan mensual'!D74,0))+parametros_manuales!$G$40*('Plan mensual'!D71+IF(parametros_manuales!$H$40="Todos",'Plan mensual'!D75,0)))*parametros_manuales!$I$40*parametros_manuales!$J$40</f>
        <v>4850.76</v>
      </c>
      <c r="C185" s="4">
        <f>(parametros_manuales!$D$40*('Plan mensual'!E68+IF(parametros_manuales!$H$40="Todos",'Plan mensual'!E72,0))+parametros_manuales!$E$40*('Plan mensual'!E69+IF(parametros_manuales!$H$40="Todos",'Plan mensual'!E73,0))+parametros_manuales!$F$40*('Plan mensual'!E70+IF(parametros_manuales!$H$40="Todos",'Plan mensual'!E74,0))+parametros_manuales!$G$40*('Plan mensual'!E71+IF(parametros_manuales!$H$40="Todos",'Plan mensual'!E75,0)))*parametros_manuales!$I$40*parametros_manuales!$J$40</f>
        <v>3758.61</v>
      </c>
      <c r="D185" s="4">
        <f>(parametros_manuales!$D$40*('Plan mensual'!F68+IF(parametros_manuales!$H$40="Todos",'Plan mensual'!F72,0))+parametros_manuales!$E$40*('Plan mensual'!F69+IF(parametros_manuales!$H$40="Todos",'Plan mensual'!F73,0))+parametros_manuales!$F$40*('Plan mensual'!F70+IF(parametros_manuales!$H$40="Todos",'Plan mensual'!F74,0))+parametros_manuales!$G$40*('Plan mensual'!F71+IF(parametros_manuales!$H$40="Todos",'Plan mensual'!F75,0)))*parametros_manuales!$I$40*parametros_manuales!$J$40</f>
        <v>3675.82</v>
      </c>
      <c r="E185" s="4">
        <f>(parametros_manuales!$D$40*('Plan mensual'!G68+IF(parametros_manuales!$H$40="Todos",'Plan mensual'!G72,0))+parametros_manuales!$E$40*('Plan mensual'!G69+IF(parametros_manuales!$H$40="Todos",'Plan mensual'!G73,0))+parametros_manuales!$F$40*('Plan mensual'!G70+IF(parametros_manuales!$H$40="Todos",'Plan mensual'!G74,0))+parametros_manuales!$G$40*('Plan mensual'!G71+IF(parametros_manuales!$H$40="Todos",'Plan mensual'!G75,0)))*parametros_manuales!$I$40*parametros_manuales!$J$40</f>
        <v>3574.155</v>
      </c>
      <c r="F185" s="4">
        <f>(parametros_manuales!$D$40*('Plan mensual'!H68+IF(parametros_manuales!$H$40="Todos",'Plan mensual'!H72,0))+parametros_manuales!$E$40*('Plan mensual'!H69+IF(parametros_manuales!$H$40="Todos",'Plan mensual'!H73,0))+parametros_manuales!$F$40*('Plan mensual'!H70+IF(parametros_manuales!$H$40="Todos",'Plan mensual'!H74,0))+parametros_manuales!$G$40*('Plan mensual'!H71+IF(parametros_manuales!$H$40="Todos",'Plan mensual'!H75,0)))*parametros_manuales!$I$40*parametros_manuales!$J$40</f>
        <v>3351.95</v>
      </c>
      <c r="G185" s="4">
        <f>(parametros_manuales!$D$40*('Plan mensual'!I68+IF(parametros_manuales!$H$40="Todos",'Plan mensual'!I72,0))+parametros_manuales!$E$40*('Plan mensual'!I69+IF(parametros_manuales!$H$40="Todos",'Plan mensual'!I73,0))+parametros_manuales!$F$40*('Plan mensual'!I70+IF(parametros_manuales!$H$40="Todos",'Plan mensual'!I74,0))+parametros_manuales!$G$40*('Plan mensual'!I71+IF(parametros_manuales!$H$40="Todos",'Plan mensual'!I75,0)))*parametros_manuales!$I$40*parametros_manuales!$J$40</f>
        <v>3231.41</v>
      </c>
      <c r="H185" s="4">
        <f>(parametros_manuales!$D$40*('Plan mensual'!J68+IF(parametros_manuales!$H$40="Todos",'Plan mensual'!J72,0))+parametros_manuales!$E$40*('Plan mensual'!J69+IF(parametros_manuales!$H$40="Todos",'Plan mensual'!J73,0))+parametros_manuales!$F$40*('Plan mensual'!J70+IF(parametros_manuales!$H$40="Todos",'Plan mensual'!J74,0))+parametros_manuales!$G$40*('Plan mensual'!J71+IF(parametros_manuales!$H$40="Todos",'Plan mensual'!J75,0)))*parametros_manuales!$I$40*parametros_manuales!$J$40</f>
        <v>3453.615</v>
      </c>
      <c r="I185" s="4">
        <f>(parametros_manuales!$D$40*('Plan mensual'!K68+IF(parametros_manuales!$H$40="Todos",'Plan mensual'!K72,0))+parametros_manuales!$E$40*('Plan mensual'!K69+IF(parametros_manuales!$H$40="Todos",'Plan mensual'!K73,0))+parametros_manuales!$F$40*('Plan mensual'!K70+IF(parametros_manuales!$H$40="Todos",'Plan mensual'!K74,0))+parametros_manuales!$G$40*('Plan mensual'!K71+IF(parametros_manuales!$H$40="Todos",'Plan mensual'!K75,0)))*parametros_manuales!$I$40*parametros_manuales!$J$40</f>
        <v>3453.615</v>
      </c>
      <c r="J185" s="4">
        <f>(parametros_manuales!$D$40*('Plan mensual'!L68+IF(parametros_manuales!$H$40="Todos",'Plan mensual'!L72,0))+parametros_manuales!$E$40*('Plan mensual'!L69+IF(parametros_manuales!$H$40="Todos",'Plan mensual'!L73,0))+parametros_manuales!$F$40*('Plan mensual'!L70+IF(parametros_manuales!$H$40="Todos",'Plan mensual'!L74,0))+parametros_manuales!$G$40*('Plan mensual'!L71+IF(parametros_manuales!$H$40="Todos",'Plan mensual'!L75,0)))*parametros_manuales!$I$40*parametros_manuales!$J$40</f>
        <v>3453.615</v>
      </c>
      <c r="K185" s="4">
        <f>(parametros_manuales!$D$40*('Plan mensual'!M68+IF(parametros_manuales!$H$40="Todos",'Plan mensual'!M72,0))+parametros_manuales!$E$40*('Plan mensual'!M69+IF(parametros_manuales!$H$40="Todos",'Plan mensual'!M73,0))+parametros_manuales!$F$40*('Plan mensual'!M70+IF(parametros_manuales!$H$40="Todos",'Plan mensual'!M74,0))+parametros_manuales!$G$40*('Plan mensual'!M71+IF(parametros_manuales!$H$40="Todos",'Plan mensual'!M75,0)))*parametros_manuales!$I$40*parametros_manuales!$J$40</f>
        <v>3333.075</v>
      </c>
      <c r="L185" s="4">
        <f>(parametros_manuales!$D$40*('Plan mensual'!N68+IF(parametros_manuales!$H$40="Todos",'Plan mensual'!N72,0))+parametros_manuales!$E$40*('Plan mensual'!N69+IF(parametros_manuales!$H$40="Todos",'Plan mensual'!N73,0))+parametros_manuales!$F$40*('Plan mensual'!N70+IF(parametros_manuales!$H$40="Todos",'Plan mensual'!N74,0))+parametros_manuales!$G$40*('Plan mensual'!N71+IF(parametros_manuales!$H$40="Todos",'Plan mensual'!N75,0)))*parametros_manuales!$I$40*parametros_manuales!$J$40</f>
        <v>3212.535</v>
      </c>
      <c r="M185" s="4">
        <f>(parametros_manuales!$D$40*('Plan mensual'!O68+IF(parametros_manuales!$H$40="Todos",'Plan mensual'!O72,0))+parametros_manuales!$E$40*('Plan mensual'!O69+IF(parametros_manuales!$H$40="Todos",'Plan mensual'!O73,0))+parametros_manuales!$F$40*('Plan mensual'!O70+IF(parametros_manuales!$H$40="Todos",'Plan mensual'!O74,0))+parametros_manuales!$G$40*('Plan mensual'!O71+IF(parametros_manuales!$H$40="Todos",'Plan mensual'!O75,0)))*parametros_manuales!$I$40*parametros_manuales!$J$40</f>
        <v>5091.84</v>
      </c>
      <c r="N185" s="4">
        <f t="shared" si="19"/>
        <v>44441</v>
      </c>
      <c r="O185" s="4">
        <f t="shared" si="20"/>
        <v>5091.84</v>
      </c>
      <c r="P185" s="27">
        <f>O185/(parametros_manuales!$B$7)</f>
        <v>33.9456</v>
      </c>
      <c r="Q185" s="3" t="str">
        <f t="shared" si="21"/>
        <v>Dic</v>
      </c>
    </row>
    <row r="186" ht="14.25" customHeight="1">
      <c r="A186" s="3" t="str">
        <f>parametros_manuales!$B$41</f>
        <v>Control de calidad — Ensayo de pérdidas</v>
      </c>
      <c r="B186" s="4">
        <f>(parametros_manuales!$D$41*('Plan mensual'!D68+IF(parametros_manuales!$H$41="Todos",'Plan mensual'!D72,0))+parametros_manuales!$E$41*('Plan mensual'!D69+IF(parametros_manuales!$H$41="Todos",'Plan mensual'!D73,0))+parametros_manuales!$F$41*('Plan mensual'!D70+IF(parametros_manuales!$H$41="Todos",'Plan mensual'!D74,0))+parametros_manuales!$G$41*('Plan mensual'!D71+IF(parametros_manuales!$H$41="Todos",'Plan mensual'!D75,0)))*parametros_manuales!$I$41*parametros_manuales!$J$41</f>
        <v>4850.76</v>
      </c>
      <c r="C186" s="4">
        <f>(parametros_manuales!$D$41*('Plan mensual'!E68+IF(parametros_manuales!$H$41="Todos",'Plan mensual'!E72,0))+parametros_manuales!$E$41*('Plan mensual'!E69+IF(parametros_manuales!$H$41="Todos",'Plan mensual'!E73,0))+parametros_manuales!$F$41*('Plan mensual'!E70+IF(parametros_manuales!$H$41="Todos",'Plan mensual'!E74,0))+parametros_manuales!$G$41*('Plan mensual'!E71+IF(parametros_manuales!$H$41="Todos",'Plan mensual'!E75,0)))*parametros_manuales!$I$41*parametros_manuales!$J$41</f>
        <v>3758.61</v>
      </c>
      <c r="D186" s="4">
        <f>(parametros_manuales!$D$41*('Plan mensual'!F68+IF(parametros_manuales!$H$41="Todos",'Plan mensual'!F72,0))+parametros_manuales!$E$41*('Plan mensual'!F69+IF(parametros_manuales!$H$41="Todos",'Plan mensual'!F73,0))+parametros_manuales!$F$41*('Plan mensual'!F70+IF(parametros_manuales!$H$41="Todos",'Plan mensual'!F74,0))+parametros_manuales!$G$41*('Plan mensual'!F71+IF(parametros_manuales!$H$41="Todos",'Plan mensual'!F75,0)))*parametros_manuales!$I$41*parametros_manuales!$J$41</f>
        <v>3675.82</v>
      </c>
      <c r="E186" s="4">
        <f>(parametros_manuales!$D$41*('Plan mensual'!G68+IF(parametros_manuales!$H$41="Todos",'Plan mensual'!G72,0))+parametros_manuales!$E$41*('Plan mensual'!G69+IF(parametros_manuales!$H$41="Todos",'Plan mensual'!G73,0))+parametros_manuales!$F$41*('Plan mensual'!G70+IF(parametros_manuales!$H$41="Todos",'Plan mensual'!G74,0))+parametros_manuales!$G$41*('Plan mensual'!G71+IF(parametros_manuales!$H$41="Todos",'Plan mensual'!G75,0)))*parametros_manuales!$I$41*parametros_manuales!$J$41</f>
        <v>3574.155</v>
      </c>
      <c r="F186" s="4">
        <f>(parametros_manuales!$D$41*('Plan mensual'!H68+IF(parametros_manuales!$H$41="Todos",'Plan mensual'!H72,0))+parametros_manuales!$E$41*('Plan mensual'!H69+IF(parametros_manuales!$H$41="Todos",'Plan mensual'!H73,0))+parametros_manuales!$F$41*('Plan mensual'!H70+IF(parametros_manuales!$H$41="Todos",'Plan mensual'!H74,0))+parametros_manuales!$G$41*('Plan mensual'!H71+IF(parametros_manuales!$H$41="Todos",'Plan mensual'!H75,0)))*parametros_manuales!$I$41*parametros_manuales!$J$41</f>
        <v>3351.95</v>
      </c>
      <c r="G186" s="4">
        <f>(parametros_manuales!$D$41*('Plan mensual'!I68+IF(parametros_manuales!$H$41="Todos",'Plan mensual'!I72,0))+parametros_manuales!$E$41*('Plan mensual'!I69+IF(parametros_manuales!$H$41="Todos",'Plan mensual'!I73,0))+parametros_manuales!$F$41*('Plan mensual'!I70+IF(parametros_manuales!$H$41="Todos",'Plan mensual'!I74,0))+parametros_manuales!$G$41*('Plan mensual'!I71+IF(parametros_manuales!$H$41="Todos",'Plan mensual'!I75,0)))*parametros_manuales!$I$41*parametros_manuales!$J$41</f>
        <v>3231.41</v>
      </c>
      <c r="H186" s="4">
        <f>(parametros_manuales!$D$41*('Plan mensual'!J68+IF(parametros_manuales!$H$41="Todos",'Plan mensual'!J72,0))+parametros_manuales!$E$41*('Plan mensual'!J69+IF(parametros_manuales!$H$41="Todos",'Plan mensual'!J73,0))+parametros_manuales!$F$41*('Plan mensual'!J70+IF(parametros_manuales!$H$41="Todos",'Plan mensual'!J74,0))+parametros_manuales!$G$41*('Plan mensual'!J71+IF(parametros_manuales!$H$41="Todos",'Plan mensual'!J75,0)))*parametros_manuales!$I$41*parametros_manuales!$J$41</f>
        <v>3453.615</v>
      </c>
      <c r="I186" s="4">
        <f>(parametros_manuales!$D$41*('Plan mensual'!K68+IF(parametros_manuales!$H$41="Todos",'Plan mensual'!K72,0))+parametros_manuales!$E$41*('Plan mensual'!K69+IF(parametros_manuales!$H$41="Todos",'Plan mensual'!K73,0))+parametros_manuales!$F$41*('Plan mensual'!K70+IF(parametros_manuales!$H$41="Todos",'Plan mensual'!K74,0))+parametros_manuales!$G$41*('Plan mensual'!K71+IF(parametros_manuales!$H$41="Todos",'Plan mensual'!K75,0)))*parametros_manuales!$I$41*parametros_manuales!$J$41</f>
        <v>3453.615</v>
      </c>
      <c r="J186" s="4">
        <f>(parametros_manuales!$D$41*('Plan mensual'!L68+IF(parametros_manuales!$H$41="Todos",'Plan mensual'!L72,0))+parametros_manuales!$E$41*('Plan mensual'!L69+IF(parametros_manuales!$H$41="Todos",'Plan mensual'!L73,0))+parametros_manuales!$F$41*('Plan mensual'!L70+IF(parametros_manuales!$H$41="Todos",'Plan mensual'!L74,0))+parametros_manuales!$G$41*('Plan mensual'!L71+IF(parametros_manuales!$H$41="Todos",'Plan mensual'!L75,0)))*parametros_manuales!$I$41*parametros_manuales!$J$41</f>
        <v>3453.615</v>
      </c>
      <c r="K186" s="4">
        <f>(parametros_manuales!$D$41*('Plan mensual'!M68+IF(parametros_manuales!$H$41="Todos",'Plan mensual'!M72,0))+parametros_manuales!$E$41*('Plan mensual'!M69+IF(parametros_manuales!$H$41="Todos",'Plan mensual'!M73,0))+parametros_manuales!$F$41*('Plan mensual'!M70+IF(parametros_manuales!$H$41="Todos",'Plan mensual'!M74,0))+parametros_manuales!$G$41*('Plan mensual'!M71+IF(parametros_manuales!$H$41="Todos",'Plan mensual'!M75,0)))*parametros_manuales!$I$41*parametros_manuales!$J$41</f>
        <v>3333.075</v>
      </c>
      <c r="L186" s="4">
        <f>(parametros_manuales!$D$41*('Plan mensual'!N68+IF(parametros_manuales!$H$41="Todos",'Plan mensual'!N72,0))+parametros_manuales!$E$41*('Plan mensual'!N69+IF(parametros_manuales!$H$41="Todos",'Plan mensual'!N73,0))+parametros_manuales!$F$41*('Plan mensual'!N70+IF(parametros_manuales!$H$41="Todos",'Plan mensual'!N74,0))+parametros_manuales!$G$41*('Plan mensual'!N71+IF(parametros_manuales!$H$41="Todos",'Plan mensual'!N75,0)))*parametros_manuales!$I$41*parametros_manuales!$J$41</f>
        <v>3212.535</v>
      </c>
      <c r="M186" s="4">
        <f>(parametros_manuales!$D$41*('Plan mensual'!O68+IF(parametros_manuales!$H$41="Todos",'Plan mensual'!O72,0))+parametros_manuales!$E$41*('Plan mensual'!O69+IF(parametros_manuales!$H$41="Todos",'Plan mensual'!O73,0))+parametros_manuales!$F$41*('Plan mensual'!O70+IF(parametros_manuales!$H$41="Todos",'Plan mensual'!O74,0))+parametros_manuales!$G$41*('Plan mensual'!O71+IF(parametros_manuales!$H$41="Todos",'Plan mensual'!O75,0)))*parametros_manuales!$I$41*parametros_manuales!$J$41</f>
        <v>5091.84</v>
      </c>
      <c r="N186" s="4">
        <f t="shared" si="19"/>
        <v>44441</v>
      </c>
      <c r="O186" s="4">
        <f t="shared" si="20"/>
        <v>5091.84</v>
      </c>
      <c r="P186" s="27">
        <f>O186/(parametros_manuales!$B$7)</f>
        <v>33.9456</v>
      </c>
      <c r="Q186" s="3" t="str">
        <f t="shared" si="21"/>
        <v>Dic</v>
      </c>
    </row>
    <row r="187" ht="14.25" customHeight="1">
      <c r="A187" s="3" t="str">
        <f>parametros_manuales!$B$42</f>
        <v>Etiquetado</v>
      </c>
      <c r="B187" s="4">
        <f>(parametros_manuales!$D$42*('Plan mensual'!D68+IF(parametros_manuales!$H$42="Todos",'Plan mensual'!D72,0))+parametros_manuales!$E$42*('Plan mensual'!D69+IF(parametros_manuales!$H$42="Todos",'Plan mensual'!D73,0))+parametros_manuales!$F$42*('Plan mensual'!D70+IF(parametros_manuales!$H$42="Todos",'Plan mensual'!D74,0))+parametros_manuales!$G$42*('Plan mensual'!D71+IF(parametros_manuales!$H$42="Todos",'Plan mensual'!D75,0)))*parametros_manuales!$I$42*parametros_manuales!$J$42</f>
        <v>4850.76</v>
      </c>
      <c r="C187" s="4">
        <f>(parametros_manuales!$D$42*('Plan mensual'!E68+IF(parametros_manuales!$H$42="Todos",'Plan mensual'!E72,0))+parametros_manuales!$E$42*('Plan mensual'!E69+IF(parametros_manuales!$H$42="Todos",'Plan mensual'!E73,0))+parametros_manuales!$F$42*('Plan mensual'!E70+IF(parametros_manuales!$H$42="Todos",'Plan mensual'!E74,0))+parametros_manuales!$G$42*('Plan mensual'!E71+IF(parametros_manuales!$H$42="Todos",'Plan mensual'!E75,0)))*parametros_manuales!$I$42*parametros_manuales!$J$42</f>
        <v>3758.61</v>
      </c>
      <c r="D187" s="4">
        <f>(parametros_manuales!$D$42*('Plan mensual'!F68+IF(parametros_manuales!$H$42="Todos",'Plan mensual'!F72,0))+parametros_manuales!$E$42*('Plan mensual'!F69+IF(parametros_manuales!$H$42="Todos",'Plan mensual'!F73,0))+parametros_manuales!$F$42*('Plan mensual'!F70+IF(parametros_manuales!$H$42="Todos",'Plan mensual'!F74,0))+parametros_manuales!$G$42*('Plan mensual'!F71+IF(parametros_manuales!$H$42="Todos",'Plan mensual'!F75,0)))*parametros_manuales!$I$42*parametros_manuales!$J$42</f>
        <v>3675.82</v>
      </c>
      <c r="E187" s="4">
        <f>(parametros_manuales!$D$42*('Plan mensual'!G68+IF(parametros_manuales!$H$42="Todos",'Plan mensual'!G72,0))+parametros_manuales!$E$42*('Plan mensual'!G69+IF(parametros_manuales!$H$42="Todos",'Plan mensual'!G73,0))+parametros_manuales!$F$42*('Plan mensual'!G70+IF(parametros_manuales!$H$42="Todos",'Plan mensual'!G74,0))+parametros_manuales!$G$42*('Plan mensual'!G71+IF(parametros_manuales!$H$42="Todos",'Plan mensual'!G75,0)))*parametros_manuales!$I$42*parametros_manuales!$J$42</f>
        <v>3574.155</v>
      </c>
      <c r="F187" s="4">
        <f>(parametros_manuales!$D$42*('Plan mensual'!H68+IF(parametros_manuales!$H$42="Todos",'Plan mensual'!H72,0))+parametros_manuales!$E$42*('Plan mensual'!H69+IF(parametros_manuales!$H$42="Todos",'Plan mensual'!H73,0))+parametros_manuales!$F$42*('Plan mensual'!H70+IF(parametros_manuales!$H$42="Todos",'Plan mensual'!H74,0))+parametros_manuales!$G$42*('Plan mensual'!H71+IF(parametros_manuales!$H$42="Todos",'Plan mensual'!H75,0)))*parametros_manuales!$I$42*parametros_manuales!$J$42</f>
        <v>3351.95</v>
      </c>
      <c r="G187" s="4">
        <f>(parametros_manuales!$D$42*('Plan mensual'!I68+IF(parametros_manuales!$H$42="Todos",'Plan mensual'!I72,0))+parametros_manuales!$E$42*('Plan mensual'!I69+IF(parametros_manuales!$H$42="Todos",'Plan mensual'!I73,0))+parametros_manuales!$F$42*('Plan mensual'!I70+IF(parametros_manuales!$H$42="Todos",'Plan mensual'!I74,0))+parametros_manuales!$G$42*('Plan mensual'!I71+IF(parametros_manuales!$H$42="Todos",'Plan mensual'!I75,0)))*parametros_manuales!$I$42*parametros_manuales!$J$42</f>
        <v>3231.41</v>
      </c>
      <c r="H187" s="4">
        <f>(parametros_manuales!$D$42*('Plan mensual'!J68+IF(parametros_manuales!$H$42="Todos",'Plan mensual'!J72,0))+parametros_manuales!$E$42*('Plan mensual'!J69+IF(parametros_manuales!$H$42="Todos",'Plan mensual'!J73,0))+parametros_manuales!$F$42*('Plan mensual'!J70+IF(parametros_manuales!$H$42="Todos",'Plan mensual'!J74,0))+parametros_manuales!$G$42*('Plan mensual'!J71+IF(parametros_manuales!$H$42="Todos",'Plan mensual'!J75,0)))*parametros_manuales!$I$42*parametros_manuales!$J$42</f>
        <v>3453.615</v>
      </c>
      <c r="I187" s="4">
        <f>(parametros_manuales!$D$42*('Plan mensual'!K68+IF(parametros_manuales!$H$42="Todos",'Plan mensual'!K72,0))+parametros_manuales!$E$42*('Plan mensual'!K69+IF(parametros_manuales!$H$42="Todos",'Plan mensual'!K73,0))+parametros_manuales!$F$42*('Plan mensual'!K70+IF(parametros_manuales!$H$42="Todos",'Plan mensual'!K74,0))+parametros_manuales!$G$42*('Plan mensual'!K71+IF(parametros_manuales!$H$42="Todos",'Plan mensual'!K75,0)))*parametros_manuales!$I$42*parametros_manuales!$J$42</f>
        <v>3453.615</v>
      </c>
      <c r="J187" s="4">
        <f>(parametros_manuales!$D$42*('Plan mensual'!L68+IF(parametros_manuales!$H$42="Todos",'Plan mensual'!L72,0))+parametros_manuales!$E$42*('Plan mensual'!L69+IF(parametros_manuales!$H$42="Todos",'Plan mensual'!L73,0))+parametros_manuales!$F$42*('Plan mensual'!L70+IF(parametros_manuales!$H$42="Todos",'Plan mensual'!L74,0))+parametros_manuales!$G$42*('Plan mensual'!L71+IF(parametros_manuales!$H$42="Todos",'Plan mensual'!L75,0)))*parametros_manuales!$I$42*parametros_manuales!$J$42</f>
        <v>3453.615</v>
      </c>
      <c r="K187" s="4">
        <f>(parametros_manuales!$D$42*('Plan mensual'!M68+IF(parametros_manuales!$H$42="Todos",'Plan mensual'!M72,0))+parametros_manuales!$E$42*('Plan mensual'!M69+IF(parametros_manuales!$H$42="Todos",'Plan mensual'!M73,0))+parametros_manuales!$F$42*('Plan mensual'!M70+IF(parametros_manuales!$H$42="Todos",'Plan mensual'!M74,0))+parametros_manuales!$G$42*('Plan mensual'!M71+IF(parametros_manuales!$H$42="Todos",'Plan mensual'!M75,0)))*parametros_manuales!$I$42*parametros_manuales!$J$42</f>
        <v>3333.075</v>
      </c>
      <c r="L187" s="4">
        <f>(parametros_manuales!$D$42*('Plan mensual'!N68+IF(parametros_manuales!$H$42="Todos",'Plan mensual'!N72,0))+parametros_manuales!$E$42*('Plan mensual'!N69+IF(parametros_manuales!$H$42="Todos",'Plan mensual'!N73,0))+parametros_manuales!$F$42*('Plan mensual'!N70+IF(parametros_manuales!$H$42="Todos",'Plan mensual'!N74,0))+parametros_manuales!$G$42*('Plan mensual'!N71+IF(parametros_manuales!$H$42="Todos",'Plan mensual'!N75,0)))*parametros_manuales!$I$42*parametros_manuales!$J$42</f>
        <v>3212.535</v>
      </c>
      <c r="M187" s="4">
        <f>(parametros_manuales!$D$42*('Plan mensual'!O68+IF(parametros_manuales!$H$42="Todos",'Plan mensual'!O72,0))+parametros_manuales!$E$42*('Plan mensual'!O69+IF(parametros_manuales!$H$42="Todos",'Plan mensual'!O73,0))+parametros_manuales!$F$42*('Plan mensual'!O70+IF(parametros_manuales!$H$42="Todos",'Plan mensual'!O74,0))+parametros_manuales!$G$42*('Plan mensual'!O71+IF(parametros_manuales!$H$42="Todos",'Plan mensual'!O75,0)))*parametros_manuales!$I$42*parametros_manuales!$J$42</f>
        <v>5091.84</v>
      </c>
      <c r="N187" s="4">
        <f t="shared" si="19"/>
        <v>44441</v>
      </c>
      <c r="O187" s="4">
        <f t="shared" si="20"/>
        <v>5091.84</v>
      </c>
      <c r="P187" s="27">
        <f>O187/(parametros_manuales!$B$7)</f>
        <v>33.9456</v>
      </c>
      <c r="Q187" s="3" t="str">
        <f t="shared" si="21"/>
        <v>Dic</v>
      </c>
    </row>
    <row r="188" ht="14.25" customHeight="1">
      <c r="A188" s="3" t="str">
        <f>parametros_manuales!$B$43</f>
        <v>Embalaje y paletizado</v>
      </c>
      <c r="B188" s="4">
        <f>(parametros_manuales!$D$43*('Plan mensual'!D68+IF(parametros_manuales!$H$43="Todos",'Plan mensual'!D72,0))+parametros_manuales!$E$43*('Plan mensual'!D69+IF(parametros_manuales!$H$43="Todos",'Plan mensual'!D73,0))+parametros_manuales!$F$43*('Plan mensual'!D70+IF(parametros_manuales!$H$43="Todos",'Plan mensual'!D74,0))+parametros_manuales!$G$43*('Plan mensual'!D71+IF(parametros_manuales!$H$43="Todos",'Plan mensual'!D75,0)))*parametros_manuales!$I$43*parametros_manuales!$J$43</f>
        <v>19483.38</v>
      </c>
      <c r="C188" s="4">
        <f>(parametros_manuales!$D$43*('Plan mensual'!E68+IF(parametros_manuales!$H$43="Todos",'Plan mensual'!E72,0))+parametros_manuales!$E$43*('Plan mensual'!E69+IF(parametros_manuales!$H$43="Todos",'Plan mensual'!E73,0))+parametros_manuales!$F$43*('Plan mensual'!E70+IF(parametros_manuales!$H$43="Todos",'Plan mensual'!E74,0))+parametros_manuales!$G$43*('Plan mensual'!E71+IF(parametros_manuales!$H$43="Todos",'Plan mensual'!E75,0)))*parametros_manuales!$I$43*parametros_manuales!$J$43</f>
        <v>14856.66</v>
      </c>
      <c r="D188" s="4">
        <f>(parametros_manuales!$D$43*('Plan mensual'!F68+IF(parametros_manuales!$H$43="Todos",'Plan mensual'!F72,0))+parametros_manuales!$E$43*('Plan mensual'!F69+IF(parametros_manuales!$H$43="Todos",'Plan mensual'!F73,0))+parametros_manuales!$F$43*('Plan mensual'!F70+IF(parametros_manuales!$H$43="Todos",'Plan mensual'!F74,0))+parametros_manuales!$G$43*('Plan mensual'!F71+IF(parametros_manuales!$H$43="Todos",'Plan mensual'!F75,0)))*parametros_manuales!$I$43*parametros_manuales!$J$43</f>
        <v>13884.045</v>
      </c>
      <c r="E188" s="4">
        <f>(parametros_manuales!$D$43*('Plan mensual'!G68+IF(parametros_manuales!$H$43="Todos",'Plan mensual'!G72,0))+parametros_manuales!$E$43*('Plan mensual'!G69+IF(parametros_manuales!$H$43="Todos",'Plan mensual'!G73,0))+parametros_manuales!$F$43*('Plan mensual'!G70+IF(parametros_manuales!$H$43="Todos",'Plan mensual'!G74,0))+parametros_manuales!$G$43*('Plan mensual'!G71+IF(parametros_manuales!$H$43="Todos",'Plan mensual'!G75,0)))*parametros_manuales!$I$43*parametros_manuales!$J$43</f>
        <v>13275.675</v>
      </c>
      <c r="F188" s="4">
        <f>(parametros_manuales!$D$43*('Plan mensual'!H68+IF(parametros_manuales!$H$43="Todos",'Plan mensual'!H72,0))+parametros_manuales!$E$43*('Plan mensual'!H69+IF(parametros_manuales!$H$43="Todos",'Plan mensual'!H73,0))+parametros_manuales!$F$43*('Plan mensual'!H70+IF(parametros_manuales!$H$43="Todos",'Plan mensual'!H74,0))+parametros_manuales!$G$43*('Plan mensual'!H71+IF(parametros_manuales!$H$43="Todos",'Plan mensual'!H75,0)))*parametros_manuales!$I$43*parametros_manuales!$J$43</f>
        <v>12423.18</v>
      </c>
      <c r="G188" s="4">
        <f>(parametros_manuales!$D$43*('Plan mensual'!I68+IF(parametros_manuales!$H$43="Todos",'Plan mensual'!I72,0))+parametros_manuales!$E$43*('Plan mensual'!I69+IF(parametros_manuales!$H$43="Todos",'Plan mensual'!I73,0))+parametros_manuales!$F$43*('Plan mensual'!I70+IF(parametros_manuales!$H$43="Todos",'Plan mensual'!I74,0))+parametros_manuales!$G$43*('Plan mensual'!I71+IF(parametros_manuales!$H$43="Todos",'Plan mensual'!I75,0)))*parametros_manuales!$I$43*parametros_manuales!$J$43</f>
        <v>12179.055</v>
      </c>
      <c r="H188" s="4">
        <f>(parametros_manuales!$D$43*('Plan mensual'!J68+IF(parametros_manuales!$H$43="Todos",'Plan mensual'!J72,0))+parametros_manuales!$E$43*('Plan mensual'!J69+IF(parametros_manuales!$H$43="Todos",'Plan mensual'!J73,0))+parametros_manuales!$F$43*('Plan mensual'!J70+IF(parametros_manuales!$H$43="Todos",'Plan mensual'!J74,0))+parametros_manuales!$G$43*('Plan mensual'!J71+IF(parametros_manuales!$H$43="Todos",'Plan mensual'!J75,0)))*parametros_manuales!$I$43*parametros_manuales!$J$43</f>
        <v>13031.55</v>
      </c>
      <c r="I188" s="4">
        <f>(parametros_manuales!$D$43*('Plan mensual'!K68+IF(parametros_manuales!$H$43="Todos",'Plan mensual'!K72,0))+parametros_manuales!$E$43*('Plan mensual'!K69+IF(parametros_manuales!$H$43="Todos",'Plan mensual'!K73,0))+parametros_manuales!$F$43*('Plan mensual'!K70+IF(parametros_manuales!$H$43="Todos",'Plan mensual'!K74,0))+parametros_manuales!$G$43*('Plan mensual'!K71+IF(parametros_manuales!$H$43="Todos",'Plan mensual'!K75,0)))*parametros_manuales!$I$43*parametros_manuales!$J$43</f>
        <v>13031.55</v>
      </c>
      <c r="J188" s="4">
        <f>(parametros_manuales!$D$43*('Plan mensual'!L68+IF(parametros_manuales!$H$43="Todos",'Plan mensual'!L72,0))+parametros_manuales!$E$43*('Plan mensual'!L69+IF(parametros_manuales!$H$43="Todos",'Plan mensual'!L73,0))+parametros_manuales!$F$43*('Plan mensual'!L70+IF(parametros_manuales!$H$43="Todos",'Plan mensual'!L74,0))+parametros_manuales!$G$43*('Plan mensual'!L71+IF(parametros_manuales!$H$43="Todos",'Plan mensual'!L75,0)))*parametros_manuales!$I$43*parametros_manuales!$J$43</f>
        <v>13031.55</v>
      </c>
      <c r="K188" s="4">
        <f>(parametros_manuales!$D$43*('Plan mensual'!M68+IF(parametros_manuales!$H$43="Todos",'Plan mensual'!M72,0))+parametros_manuales!$E$43*('Plan mensual'!M69+IF(parametros_manuales!$H$43="Todos",'Plan mensual'!M73,0))+parametros_manuales!$F$43*('Plan mensual'!M70+IF(parametros_manuales!$H$43="Todos",'Plan mensual'!M74,0))+parametros_manuales!$G$43*('Plan mensual'!M71+IF(parametros_manuales!$H$43="Todos",'Plan mensual'!M75,0)))*parametros_manuales!$I$43*parametros_manuales!$J$43</f>
        <v>12787.425</v>
      </c>
      <c r="L188" s="4">
        <f>(parametros_manuales!$D$43*('Plan mensual'!N68+IF(parametros_manuales!$H$43="Todos",'Plan mensual'!N72,0))+parametros_manuales!$E$43*('Plan mensual'!N69+IF(parametros_manuales!$H$43="Todos",'Plan mensual'!N73,0))+parametros_manuales!$F$43*('Plan mensual'!N70+IF(parametros_manuales!$H$43="Todos",'Plan mensual'!N74,0))+parametros_manuales!$G$43*('Plan mensual'!N71+IF(parametros_manuales!$H$43="Todos",'Plan mensual'!N75,0)))*parametros_manuales!$I$43*parametros_manuales!$J$43</f>
        <v>12543.3</v>
      </c>
      <c r="M188" s="4">
        <f>(parametros_manuales!$D$43*('Plan mensual'!O68+IF(parametros_manuales!$H$43="Todos",'Plan mensual'!O72,0))+parametros_manuales!$E$43*('Plan mensual'!O69+IF(parametros_manuales!$H$43="Todos",'Plan mensual'!O73,0))+parametros_manuales!$F$43*('Plan mensual'!O70+IF(parametros_manuales!$H$43="Todos",'Plan mensual'!O74,0))+parametros_manuales!$G$43*('Plan mensual'!O71+IF(parametros_manuales!$H$43="Todos",'Plan mensual'!O75,0)))*parametros_manuales!$I$43*parametros_manuales!$J$43</f>
        <v>19971.63</v>
      </c>
      <c r="N188" s="4">
        <f t="shared" si="19"/>
        <v>170499</v>
      </c>
      <c r="O188" s="4">
        <f t="shared" si="20"/>
        <v>19971.63</v>
      </c>
      <c r="P188" s="27">
        <f>O188/(parametros_manuales!$B$7)</f>
        <v>133.1442</v>
      </c>
      <c r="Q188" s="3" t="str">
        <f t="shared" si="21"/>
        <v>Dic</v>
      </c>
    </row>
    <row r="189" ht="14.25" customHeight="1"/>
    <row r="190" ht="14.25" customHeight="1">
      <c r="A190" s="1" t="s">
        <v>184</v>
      </c>
      <c r="B190" s="1" t="s">
        <v>5</v>
      </c>
      <c r="C190" s="1" t="s">
        <v>7</v>
      </c>
      <c r="D190" s="1" t="s">
        <v>8</v>
      </c>
      <c r="E190" s="1" t="s">
        <v>9</v>
      </c>
      <c r="F190" s="1" t="s">
        <v>11</v>
      </c>
      <c r="G190" s="1" t="s">
        <v>12</v>
      </c>
      <c r="H190" s="1" t="s">
        <v>14</v>
      </c>
      <c r="I190" s="1" t="s">
        <v>15</v>
      </c>
      <c r="J190" s="1" t="s">
        <v>16</v>
      </c>
      <c r="K190" s="1" t="s">
        <v>18</v>
      </c>
      <c r="L190" s="1" t="s">
        <v>19</v>
      </c>
      <c r="M190" s="1" t="s">
        <v>20</v>
      </c>
      <c r="N190" s="1" t="s">
        <v>21</v>
      </c>
      <c r="O190" s="1" t="s">
        <v>22</v>
      </c>
      <c r="P190" s="1" t="s">
        <v>23</v>
      </c>
      <c r="Q190" s="1" t="s">
        <v>24</v>
      </c>
    </row>
    <row r="191" ht="14.25" customHeight="1">
      <c r="A191" s="3" t="str">
        <f>parametros_manuales!$B$19</f>
        <v>Recepción de materia prima</v>
      </c>
      <c r="B191" s="4">
        <f>(parametros_manuales!$D$19*('Plan mensual'!D79+IF(parametros_manuales!$H$19="Todos",'Plan mensual'!D83,0))+parametros_manuales!$E$19*('Plan mensual'!D80+IF(parametros_manuales!$H$19="Todos",'Plan mensual'!D84,0))+parametros_manuales!$F$19*('Plan mensual'!D81+IF(parametros_manuales!$H$19="Todos",'Plan mensual'!D85,0))+parametros_manuales!$G$19*('Plan mensual'!D82+IF(parametros_manuales!$H$19="Todos",'Plan mensual'!D86,0)))*parametros_manuales!$I$19*parametros_manuales!$J$19</f>
        <v>24917.86</v>
      </c>
      <c r="C191" s="4">
        <f>(parametros_manuales!$D$19*('Plan mensual'!E79+IF(parametros_manuales!$H$19="Todos",'Plan mensual'!E83,0))+parametros_manuales!$E$19*('Plan mensual'!E80+IF(parametros_manuales!$H$19="Todos",'Plan mensual'!E84,0))+parametros_manuales!$F$19*('Plan mensual'!E81+IF(parametros_manuales!$H$19="Todos",'Plan mensual'!E85,0))+parametros_manuales!$G$19*('Plan mensual'!E82+IF(parametros_manuales!$H$19="Todos",'Plan mensual'!E86,0)))*parametros_manuales!$I$19*parametros_manuales!$J$19</f>
        <v>18997.49</v>
      </c>
      <c r="D191" s="4">
        <f>(parametros_manuales!$D$19*('Plan mensual'!F79+IF(parametros_manuales!$H$19="Todos",'Plan mensual'!F83,0))+parametros_manuales!$E$19*('Plan mensual'!F80+IF(parametros_manuales!$H$19="Todos",'Plan mensual'!F84,0))+parametros_manuales!$F$19*('Plan mensual'!F81+IF(parametros_manuales!$H$19="Todos",'Plan mensual'!F85,0))+parametros_manuales!$G$19*('Plan mensual'!F82+IF(parametros_manuales!$H$19="Todos",'Plan mensual'!F86,0)))*parametros_manuales!$I$19*parametros_manuales!$J$19</f>
        <v>17745.255</v>
      </c>
      <c r="E191" s="4">
        <f>(parametros_manuales!$D$19*('Plan mensual'!G79+IF(parametros_manuales!$H$19="Todos",'Plan mensual'!G83,0))+parametros_manuales!$E$19*('Plan mensual'!G80+IF(parametros_manuales!$H$19="Todos",'Plan mensual'!G84,0))+parametros_manuales!$F$19*('Plan mensual'!G81+IF(parametros_manuales!$H$19="Todos",'Plan mensual'!G85,0))+parametros_manuales!$G$19*('Plan mensual'!G82+IF(parametros_manuales!$H$19="Todos",'Plan mensual'!G86,0)))*parametros_manuales!$I$19*parametros_manuales!$J$19</f>
        <v>16964.59</v>
      </c>
      <c r="F191" s="4">
        <f>(parametros_manuales!$D$19*('Plan mensual'!H79+IF(parametros_manuales!$H$19="Todos",'Plan mensual'!H83,0))+parametros_manuales!$E$19*('Plan mensual'!H80+IF(parametros_manuales!$H$19="Todos",'Plan mensual'!H84,0))+parametros_manuales!$F$19*('Plan mensual'!H81+IF(parametros_manuales!$H$19="Todos",'Plan mensual'!H85,0))+parametros_manuales!$G$19*('Plan mensual'!H82+IF(parametros_manuales!$H$19="Todos",'Plan mensual'!H86,0)))*parametros_manuales!$I$19*parametros_manuales!$J$19</f>
        <v>15874.83</v>
      </c>
      <c r="G191" s="4">
        <f>(parametros_manuales!$D$19*('Plan mensual'!I79+IF(parametros_manuales!$H$19="Todos",'Plan mensual'!I83,0))+parametros_manuales!$E$19*('Plan mensual'!I80+IF(parametros_manuales!$H$19="Todos",'Plan mensual'!I84,0))+parametros_manuales!$F$19*('Plan mensual'!I81+IF(parametros_manuales!$H$19="Todos",'Plan mensual'!I85,0))+parametros_manuales!$G$19*('Plan mensual'!I82+IF(parametros_manuales!$H$19="Todos",'Plan mensual'!I86,0)))*parametros_manuales!$I$19*parametros_manuales!$J$19</f>
        <v>15565.735</v>
      </c>
      <c r="H191" s="4">
        <f>(parametros_manuales!$D$19*('Plan mensual'!J79+IF(parametros_manuales!$H$19="Todos",'Plan mensual'!J83,0))+parametros_manuales!$E$19*('Plan mensual'!J80+IF(parametros_manuales!$H$19="Todos",'Plan mensual'!J84,0))+parametros_manuales!$F$19*('Plan mensual'!J81+IF(parametros_manuales!$H$19="Todos",'Plan mensual'!J85,0))+parametros_manuales!$G$19*('Plan mensual'!J82+IF(parametros_manuales!$H$19="Todos",'Plan mensual'!J86,0)))*parametros_manuales!$I$19*parametros_manuales!$J$19</f>
        <v>16655.495</v>
      </c>
      <c r="I191" s="4">
        <f>(parametros_manuales!$D$19*('Plan mensual'!K79+IF(parametros_manuales!$H$19="Todos",'Plan mensual'!K83,0))+parametros_manuales!$E$19*('Plan mensual'!K80+IF(parametros_manuales!$H$19="Todos",'Plan mensual'!K84,0))+parametros_manuales!$F$19*('Plan mensual'!K81+IF(parametros_manuales!$H$19="Todos",'Plan mensual'!K85,0))+parametros_manuales!$G$19*('Plan mensual'!K82+IF(parametros_manuales!$H$19="Todos",'Plan mensual'!K86,0)))*parametros_manuales!$I$19*parametros_manuales!$J$19</f>
        <v>16655.495</v>
      </c>
      <c r="J191" s="4">
        <f>(parametros_manuales!$D$19*('Plan mensual'!L79+IF(parametros_manuales!$H$19="Todos",'Plan mensual'!L83,0))+parametros_manuales!$E$19*('Plan mensual'!L80+IF(parametros_manuales!$H$19="Todos",'Plan mensual'!L84,0))+parametros_manuales!$F$19*('Plan mensual'!L81+IF(parametros_manuales!$H$19="Todos",'Plan mensual'!L85,0))+parametros_manuales!$G$19*('Plan mensual'!L82+IF(parametros_manuales!$H$19="Todos",'Plan mensual'!L86,0)))*parametros_manuales!$I$19*parametros_manuales!$J$19</f>
        <v>16655.495</v>
      </c>
      <c r="K191" s="4">
        <f>(parametros_manuales!$D$19*('Plan mensual'!M79+IF(parametros_manuales!$H$19="Todos",'Plan mensual'!M83,0))+parametros_manuales!$E$19*('Plan mensual'!M80+IF(parametros_manuales!$H$19="Todos",'Plan mensual'!M84,0))+parametros_manuales!$F$19*('Plan mensual'!M81+IF(parametros_manuales!$H$19="Todos",'Plan mensual'!M85,0))+parametros_manuales!$G$19*('Plan mensual'!M82+IF(parametros_manuales!$H$19="Todos",'Plan mensual'!M86,0)))*parametros_manuales!$I$19*parametros_manuales!$J$19</f>
        <v>16346.4</v>
      </c>
      <c r="L191" s="4">
        <f>(parametros_manuales!$D$19*('Plan mensual'!N79+IF(parametros_manuales!$H$19="Todos",'Plan mensual'!N83,0))+parametros_manuales!$E$19*('Plan mensual'!N80+IF(parametros_manuales!$H$19="Todos",'Plan mensual'!N84,0))+parametros_manuales!$F$19*('Plan mensual'!N81+IF(parametros_manuales!$H$19="Todos",'Plan mensual'!N85,0))+parametros_manuales!$G$19*('Plan mensual'!N82+IF(parametros_manuales!$H$19="Todos",'Plan mensual'!N86,0)))*parametros_manuales!$I$19*parametros_manuales!$J$19</f>
        <v>16037.305</v>
      </c>
      <c r="M191" s="4">
        <f>(parametros_manuales!$D$19*('Plan mensual'!O79+IF(parametros_manuales!$H$19="Todos",'Plan mensual'!O83,0))+parametros_manuales!$E$19*('Plan mensual'!O80+IF(parametros_manuales!$H$19="Todos",'Plan mensual'!O84,0))+parametros_manuales!$F$19*('Plan mensual'!O81+IF(parametros_manuales!$H$19="Todos",'Plan mensual'!O85,0))+parametros_manuales!$G$19*('Plan mensual'!O82+IF(parametros_manuales!$H$19="Todos",'Plan mensual'!O86,0)))*parametros_manuales!$I$19*parametros_manuales!$J$19</f>
        <v>25536.05</v>
      </c>
      <c r="N191" s="4">
        <f t="shared" ref="N191:N215" si="22">SUM(B191:M191)</f>
        <v>217952</v>
      </c>
      <c r="O191" s="4">
        <f t="shared" ref="O191:O215" si="23">MAX(B191:M191)</f>
        <v>25536.05</v>
      </c>
      <c r="P191" s="27">
        <f>O191/(parametros_manuales!$B$7)</f>
        <v>170.2403333</v>
      </c>
      <c r="Q191" s="3" t="str">
        <f t="shared" ref="Q191:Q215" si="24">IF(O191=0,"-",INDEX($B$190:$M$190,MATCH(O191,B191:M191,0)))</f>
        <v>Dic</v>
      </c>
    </row>
    <row r="192" ht="14.25" customHeight="1">
      <c r="A192" s="3" t="str">
        <f>parametros_manuales!$B$20</f>
        <v>Corte de chapa (guillotina) — 2,5 a 10 kg</v>
      </c>
      <c r="B192" s="4">
        <f>(parametros_manuales!$D$20*('Plan mensual'!D79+IF(parametros_manuales!$H$20="Todos",'Plan mensual'!D83,0))+parametros_manuales!$E$20*('Plan mensual'!D80+IF(parametros_manuales!$H$20="Todos",'Plan mensual'!D84,0))+parametros_manuales!$F$20*('Plan mensual'!D81+IF(parametros_manuales!$H$20="Todos",'Plan mensual'!D85,0))+parametros_manuales!$G$20*('Plan mensual'!D82+IF(parametros_manuales!$H$20="Todos",'Plan mensual'!D86,0)))*parametros_manuales!$I$20*parametros_manuales!$J$20</f>
        <v>6181.9</v>
      </c>
      <c r="C192" s="4">
        <f>(parametros_manuales!$D$20*('Plan mensual'!E79+IF(parametros_manuales!$H$20="Todos",'Plan mensual'!E83,0))+parametros_manuales!$E$20*('Plan mensual'!E80+IF(parametros_manuales!$H$20="Todos",'Plan mensual'!E84,0))+parametros_manuales!$F$20*('Plan mensual'!E81+IF(parametros_manuales!$H$20="Todos",'Plan mensual'!E85,0))+parametros_manuales!$G$20*('Plan mensual'!E82+IF(parametros_manuales!$H$20="Todos",'Plan mensual'!E86,0)))*parametros_manuales!$I$20*parametros_manuales!$J$20</f>
        <v>4945.52</v>
      </c>
      <c r="D192" s="4">
        <f>(parametros_manuales!$D$20*('Plan mensual'!F79+IF(parametros_manuales!$H$20="Todos",'Plan mensual'!F83,0))+parametros_manuales!$E$20*('Plan mensual'!F80+IF(parametros_manuales!$H$20="Todos",'Plan mensual'!F84,0))+parametros_manuales!$F$20*('Plan mensual'!F81+IF(parametros_manuales!$H$20="Todos",'Plan mensual'!F85,0))+parametros_manuales!$G$20*('Plan mensual'!F82+IF(parametros_manuales!$H$20="Todos",'Plan mensual'!F86,0)))*parametros_manuales!$I$20*parametros_manuales!$J$20</f>
        <v>5254.615</v>
      </c>
      <c r="E192" s="4">
        <f>(parametros_manuales!$D$20*('Plan mensual'!G79+IF(parametros_manuales!$H$20="Todos",'Plan mensual'!G83,0))+parametros_manuales!$E$20*('Plan mensual'!G80+IF(parametros_manuales!$H$20="Todos",'Plan mensual'!G84,0))+parametros_manuales!$F$20*('Plan mensual'!G81+IF(parametros_manuales!$H$20="Todos",'Plan mensual'!G85,0))+parametros_manuales!$G$20*('Plan mensual'!G82+IF(parametros_manuales!$H$20="Todos",'Plan mensual'!G86,0)))*parametros_manuales!$I$20*parametros_manuales!$J$20</f>
        <v>5254.615</v>
      </c>
      <c r="F192" s="4">
        <f>(parametros_manuales!$D$20*('Plan mensual'!H79+IF(parametros_manuales!$H$20="Todos",'Plan mensual'!H83,0))+parametros_manuales!$E$20*('Plan mensual'!H80+IF(parametros_manuales!$H$20="Todos",'Plan mensual'!H84,0))+parametros_manuales!$F$20*('Plan mensual'!H81+IF(parametros_manuales!$H$20="Todos",'Plan mensual'!H85,0))+parametros_manuales!$G$20*('Plan mensual'!H82+IF(parametros_manuales!$H$20="Todos",'Plan mensual'!H86,0)))*parametros_manuales!$I$20*parametros_manuales!$J$20</f>
        <v>4945.52</v>
      </c>
      <c r="G192" s="4">
        <f>(parametros_manuales!$D$20*('Plan mensual'!I79+IF(parametros_manuales!$H$20="Todos",'Plan mensual'!I83,0))+parametros_manuales!$E$20*('Plan mensual'!I80+IF(parametros_manuales!$H$20="Todos",'Plan mensual'!I84,0))+parametros_manuales!$F$20*('Plan mensual'!I81+IF(parametros_manuales!$H$20="Todos",'Plan mensual'!I85,0))+parametros_manuales!$G$20*('Plan mensual'!I82+IF(parametros_manuales!$H$20="Todos",'Plan mensual'!I86,0)))*parametros_manuales!$I$20*parametros_manuales!$J$20</f>
        <v>4636.425</v>
      </c>
      <c r="H192" s="4">
        <f>(parametros_manuales!$D$20*('Plan mensual'!J79+IF(parametros_manuales!$H$20="Todos",'Plan mensual'!J83,0))+parametros_manuales!$E$20*('Plan mensual'!J80+IF(parametros_manuales!$H$20="Todos",'Plan mensual'!J84,0))+parametros_manuales!$F$20*('Plan mensual'!J81+IF(parametros_manuales!$H$20="Todos",'Plan mensual'!J85,0))+parametros_manuales!$G$20*('Plan mensual'!J82+IF(parametros_manuales!$H$20="Todos",'Plan mensual'!J86,0)))*parametros_manuales!$I$20*parametros_manuales!$J$20</f>
        <v>4945.52</v>
      </c>
      <c r="I192" s="4">
        <f>(parametros_manuales!$D$20*('Plan mensual'!K79+IF(parametros_manuales!$H$20="Todos",'Plan mensual'!K83,0))+parametros_manuales!$E$20*('Plan mensual'!K80+IF(parametros_manuales!$H$20="Todos",'Plan mensual'!K84,0))+parametros_manuales!$F$20*('Plan mensual'!K81+IF(parametros_manuales!$H$20="Todos",'Plan mensual'!K85,0))+parametros_manuales!$G$20*('Plan mensual'!K82+IF(parametros_manuales!$H$20="Todos",'Plan mensual'!K86,0)))*parametros_manuales!$I$20*parametros_manuales!$J$20</f>
        <v>4945.52</v>
      </c>
      <c r="J192" s="4">
        <f>(parametros_manuales!$D$20*('Plan mensual'!L79+IF(parametros_manuales!$H$20="Todos",'Plan mensual'!L83,0))+parametros_manuales!$E$20*('Plan mensual'!L80+IF(parametros_manuales!$H$20="Todos",'Plan mensual'!L84,0))+parametros_manuales!$F$20*('Plan mensual'!L81+IF(parametros_manuales!$H$20="Todos",'Plan mensual'!L85,0))+parametros_manuales!$G$20*('Plan mensual'!L82+IF(parametros_manuales!$H$20="Todos",'Plan mensual'!L86,0)))*parametros_manuales!$I$20*parametros_manuales!$J$20</f>
        <v>4945.52</v>
      </c>
      <c r="K192" s="4">
        <f>(parametros_manuales!$D$20*('Plan mensual'!M79+IF(parametros_manuales!$H$20="Todos",'Plan mensual'!M83,0))+parametros_manuales!$E$20*('Plan mensual'!M80+IF(parametros_manuales!$H$20="Todos",'Plan mensual'!M84,0))+parametros_manuales!$F$20*('Plan mensual'!M81+IF(parametros_manuales!$H$20="Todos",'Plan mensual'!M85,0))+parametros_manuales!$G$20*('Plan mensual'!M82+IF(parametros_manuales!$H$20="Todos",'Plan mensual'!M86,0)))*parametros_manuales!$I$20*parametros_manuales!$J$20</f>
        <v>4636.425</v>
      </c>
      <c r="L192" s="4">
        <f>(parametros_manuales!$D$20*('Plan mensual'!N79+IF(parametros_manuales!$H$20="Todos",'Plan mensual'!N83,0))+parametros_manuales!$E$20*('Plan mensual'!N80+IF(parametros_manuales!$H$20="Todos",'Plan mensual'!N84,0))+parametros_manuales!$F$20*('Plan mensual'!N81+IF(parametros_manuales!$H$20="Todos",'Plan mensual'!N85,0))+parametros_manuales!$G$20*('Plan mensual'!N82+IF(parametros_manuales!$H$20="Todos",'Plan mensual'!N86,0)))*parametros_manuales!$I$20*parametros_manuales!$J$20</f>
        <v>4327.33</v>
      </c>
      <c r="M192" s="4">
        <f>(parametros_manuales!$D$20*('Plan mensual'!O79+IF(parametros_manuales!$H$20="Todos",'Plan mensual'!O83,0))+parametros_manuales!$E$20*('Plan mensual'!O80+IF(parametros_manuales!$H$20="Todos",'Plan mensual'!O84,0))+parametros_manuales!$F$20*('Plan mensual'!O81+IF(parametros_manuales!$H$20="Todos",'Plan mensual'!O85,0))+parametros_manuales!$G$20*('Plan mensual'!O82+IF(parametros_manuales!$H$20="Todos",'Plan mensual'!O86,0)))*parametros_manuales!$I$20*parametros_manuales!$J$20</f>
        <v>6800.09</v>
      </c>
      <c r="N192" s="4">
        <f t="shared" si="22"/>
        <v>61819</v>
      </c>
      <c r="O192" s="4">
        <f t="shared" si="23"/>
        <v>6800.09</v>
      </c>
      <c r="P192" s="27">
        <f>O192/(parametros_manuales!$B$7)</f>
        <v>45.33393333</v>
      </c>
      <c r="Q192" s="3" t="str">
        <f t="shared" si="24"/>
        <v>Dic</v>
      </c>
    </row>
    <row r="193" ht="14.25" customHeight="1">
      <c r="A193" s="3" t="str">
        <f>parametros_manuales!$B$21</f>
        <v>Corte de tubo — 1 kg</v>
      </c>
      <c r="B193" s="4">
        <f>(parametros_manuales!$D$21*('Plan mensual'!D79+IF(parametros_manuales!$H$21="Todos",'Plan mensual'!D83,0))+parametros_manuales!$E$21*('Plan mensual'!D80+IF(parametros_manuales!$H$21="Todos",'Plan mensual'!D84,0))+parametros_manuales!$F$21*('Plan mensual'!D81+IF(parametros_manuales!$H$21="Todos",'Plan mensual'!D85,0))+parametros_manuales!$G$21*('Plan mensual'!D82+IF(parametros_manuales!$H$21="Todos",'Plan mensual'!D86,0)))*parametros_manuales!$I$21*parametros_manuales!$J$21</f>
        <v>18735.96</v>
      </c>
      <c r="C193" s="4">
        <f>(parametros_manuales!$D$21*('Plan mensual'!E79+IF(parametros_manuales!$H$21="Todos",'Plan mensual'!E83,0))+parametros_manuales!$E$21*('Plan mensual'!E80+IF(parametros_manuales!$H$21="Todos",'Plan mensual'!E84,0))+parametros_manuales!$F$21*('Plan mensual'!E81+IF(parametros_manuales!$H$21="Todos",'Plan mensual'!E85,0))+parametros_manuales!$G$21*('Plan mensual'!E82+IF(parametros_manuales!$H$21="Todos",'Plan mensual'!E86,0)))*parametros_manuales!$I$21*parametros_manuales!$J$21</f>
        <v>14051.97</v>
      </c>
      <c r="D193" s="4">
        <f>(parametros_manuales!$D$21*('Plan mensual'!F79+IF(parametros_manuales!$H$21="Todos",'Plan mensual'!F83,0))+parametros_manuales!$E$21*('Plan mensual'!F80+IF(parametros_manuales!$H$21="Todos",'Plan mensual'!F84,0))+parametros_manuales!$F$21*('Plan mensual'!F81+IF(parametros_manuales!$H$21="Todos",'Plan mensual'!F85,0))+parametros_manuales!$G$21*('Plan mensual'!F82+IF(parametros_manuales!$H$21="Todos",'Plan mensual'!F86,0)))*parametros_manuales!$I$21*parametros_manuales!$J$21</f>
        <v>12490.64</v>
      </c>
      <c r="E193" s="4">
        <f>(parametros_manuales!$D$21*('Plan mensual'!G79+IF(parametros_manuales!$H$21="Todos",'Plan mensual'!G83,0))+parametros_manuales!$E$21*('Plan mensual'!G80+IF(parametros_manuales!$H$21="Todos",'Plan mensual'!G84,0))+parametros_manuales!$F$21*('Plan mensual'!G81+IF(parametros_manuales!$H$21="Todos",'Plan mensual'!G85,0))+parametros_manuales!$G$21*('Plan mensual'!G82+IF(parametros_manuales!$H$21="Todos",'Plan mensual'!G86,0)))*parametros_manuales!$I$21*parametros_manuales!$J$21</f>
        <v>11709.975</v>
      </c>
      <c r="F193" s="4">
        <f>(parametros_manuales!$D$21*('Plan mensual'!H79+IF(parametros_manuales!$H$21="Todos",'Plan mensual'!H83,0))+parametros_manuales!$E$21*('Plan mensual'!H80+IF(parametros_manuales!$H$21="Todos",'Plan mensual'!H84,0))+parametros_manuales!$F$21*('Plan mensual'!H81+IF(parametros_manuales!$H$21="Todos",'Plan mensual'!H85,0))+parametros_manuales!$G$21*('Plan mensual'!H82+IF(parametros_manuales!$H$21="Todos",'Plan mensual'!H86,0)))*parametros_manuales!$I$21*parametros_manuales!$J$21</f>
        <v>10929.31</v>
      </c>
      <c r="G193" s="4">
        <f>(parametros_manuales!$D$21*('Plan mensual'!I79+IF(parametros_manuales!$H$21="Todos",'Plan mensual'!I83,0))+parametros_manuales!$E$21*('Plan mensual'!I80+IF(parametros_manuales!$H$21="Todos",'Plan mensual'!I84,0))+parametros_manuales!$F$21*('Plan mensual'!I81+IF(parametros_manuales!$H$21="Todos",'Plan mensual'!I85,0))+parametros_manuales!$G$21*('Plan mensual'!I82+IF(parametros_manuales!$H$21="Todos",'Plan mensual'!I86,0)))*parametros_manuales!$I$21*parametros_manuales!$J$21</f>
        <v>10929.31</v>
      </c>
      <c r="H193" s="4">
        <f>(parametros_manuales!$D$21*('Plan mensual'!J79+IF(parametros_manuales!$H$21="Todos",'Plan mensual'!J83,0))+parametros_manuales!$E$21*('Plan mensual'!J80+IF(parametros_manuales!$H$21="Todos",'Plan mensual'!J84,0))+parametros_manuales!$F$21*('Plan mensual'!J81+IF(parametros_manuales!$H$21="Todos",'Plan mensual'!J85,0))+parametros_manuales!$G$21*('Plan mensual'!J82+IF(parametros_manuales!$H$21="Todos",'Plan mensual'!J86,0)))*parametros_manuales!$I$21*parametros_manuales!$J$21</f>
        <v>11709.975</v>
      </c>
      <c r="I193" s="4">
        <f>(parametros_manuales!$D$21*('Plan mensual'!K79+IF(parametros_manuales!$H$21="Todos",'Plan mensual'!K83,0))+parametros_manuales!$E$21*('Plan mensual'!K80+IF(parametros_manuales!$H$21="Todos",'Plan mensual'!K84,0))+parametros_manuales!$F$21*('Plan mensual'!K81+IF(parametros_manuales!$H$21="Todos",'Plan mensual'!K85,0))+parametros_manuales!$G$21*('Plan mensual'!K82+IF(parametros_manuales!$H$21="Todos",'Plan mensual'!K86,0)))*parametros_manuales!$I$21*parametros_manuales!$J$21</f>
        <v>11709.975</v>
      </c>
      <c r="J193" s="4">
        <f>(parametros_manuales!$D$21*('Plan mensual'!L79+IF(parametros_manuales!$H$21="Todos",'Plan mensual'!L83,0))+parametros_manuales!$E$21*('Plan mensual'!L80+IF(parametros_manuales!$H$21="Todos",'Plan mensual'!L84,0))+parametros_manuales!$F$21*('Plan mensual'!L81+IF(parametros_manuales!$H$21="Todos",'Plan mensual'!L85,0))+parametros_manuales!$G$21*('Plan mensual'!L82+IF(parametros_manuales!$H$21="Todos",'Plan mensual'!L86,0)))*parametros_manuales!$I$21*parametros_manuales!$J$21</f>
        <v>11709.975</v>
      </c>
      <c r="K193" s="4">
        <f>(parametros_manuales!$D$21*('Plan mensual'!M79+IF(parametros_manuales!$H$21="Todos",'Plan mensual'!M83,0))+parametros_manuales!$E$21*('Plan mensual'!M80+IF(parametros_manuales!$H$21="Todos",'Plan mensual'!M84,0))+parametros_manuales!$F$21*('Plan mensual'!M81+IF(parametros_manuales!$H$21="Todos",'Plan mensual'!M85,0))+parametros_manuales!$G$21*('Plan mensual'!M82+IF(parametros_manuales!$H$21="Todos",'Plan mensual'!M86,0)))*parametros_manuales!$I$21*parametros_manuales!$J$21</f>
        <v>11709.975</v>
      </c>
      <c r="L193" s="4">
        <f>(parametros_manuales!$D$21*('Plan mensual'!N79+IF(parametros_manuales!$H$21="Todos",'Plan mensual'!N83,0))+parametros_manuales!$E$21*('Plan mensual'!N80+IF(parametros_manuales!$H$21="Todos",'Plan mensual'!N84,0))+parametros_manuales!$F$21*('Plan mensual'!N81+IF(parametros_manuales!$H$21="Todos",'Plan mensual'!N85,0))+parametros_manuales!$G$21*('Plan mensual'!N82+IF(parametros_manuales!$H$21="Todos",'Plan mensual'!N86,0)))*parametros_manuales!$I$21*parametros_manuales!$J$21</f>
        <v>11709.975</v>
      </c>
      <c r="M193" s="4">
        <f>(parametros_manuales!$D$21*('Plan mensual'!O79+IF(parametros_manuales!$H$21="Todos",'Plan mensual'!O83,0))+parametros_manuales!$E$21*('Plan mensual'!O80+IF(parametros_manuales!$H$21="Todos",'Plan mensual'!O84,0))+parametros_manuales!$F$21*('Plan mensual'!O81+IF(parametros_manuales!$H$21="Todos",'Plan mensual'!O85,0))+parametros_manuales!$G$21*('Plan mensual'!O82+IF(parametros_manuales!$H$21="Todos",'Plan mensual'!O86,0)))*parametros_manuales!$I$21*parametros_manuales!$J$21</f>
        <v>18735.96</v>
      </c>
      <c r="N193" s="4">
        <f t="shared" si="22"/>
        <v>156133</v>
      </c>
      <c r="O193" s="4">
        <f t="shared" si="23"/>
        <v>18735.96</v>
      </c>
      <c r="P193" s="27">
        <f>O193/(parametros_manuales!$B$7)</f>
        <v>124.9064</v>
      </c>
      <c r="Q193" s="3" t="str">
        <f t="shared" si="24"/>
        <v>Ene</v>
      </c>
    </row>
    <row r="194" ht="14.25" customHeight="1">
      <c r="A194" s="3" t="str">
        <f>parametros_manuales!$B$22</f>
        <v>Corte de disco y embutido (cúpula y fondo)</v>
      </c>
      <c r="B194" s="4">
        <f>(parametros_manuales!$D$22*('Plan mensual'!D79+IF(parametros_manuales!$H$22="Todos",'Plan mensual'!D83,0))+parametros_manuales!$E$22*('Plan mensual'!D80+IF(parametros_manuales!$H$22="Todos",'Plan mensual'!D84,0))+parametros_manuales!$F$22*('Plan mensual'!D81+IF(parametros_manuales!$H$22="Todos",'Plan mensual'!D85,0))+parametros_manuales!$G$22*('Plan mensual'!D82+IF(parametros_manuales!$H$22="Todos",'Plan mensual'!D86,0)))*parametros_manuales!$I$22*parametros_manuales!$J$22</f>
        <v>49835.72</v>
      </c>
      <c r="C194" s="4">
        <f>(parametros_manuales!$D$22*('Plan mensual'!E79+IF(parametros_manuales!$H$22="Todos",'Plan mensual'!E83,0))+parametros_manuales!$E$22*('Plan mensual'!E80+IF(parametros_manuales!$H$22="Todos",'Plan mensual'!E84,0))+parametros_manuales!$F$22*('Plan mensual'!E81+IF(parametros_manuales!$H$22="Todos",'Plan mensual'!E85,0))+parametros_manuales!$G$22*('Plan mensual'!E82+IF(parametros_manuales!$H$22="Todos",'Plan mensual'!E86,0)))*parametros_manuales!$I$22*parametros_manuales!$J$22</f>
        <v>37994.98</v>
      </c>
      <c r="D194" s="4">
        <f>(parametros_manuales!$D$22*('Plan mensual'!F79+IF(parametros_manuales!$H$22="Todos",'Plan mensual'!F83,0))+parametros_manuales!$E$22*('Plan mensual'!F80+IF(parametros_manuales!$H$22="Todos",'Plan mensual'!F84,0))+parametros_manuales!$F$22*('Plan mensual'!F81+IF(parametros_manuales!$H$22="Todos",'Plan mensual'!F85,0))+parametros_manuales!$G$22*('Plan mensual'!F82+IF(parametros_manuales!$H$22="Todos",'Plan mensual'!F86,0)))*parametros_manuales!$I$22*parametros_manuales!$J$22</f>
        <v>35490.51</v>
      </c>
      <c r="E194" s="4">
        <f>(parametros_manuales!$D$22*('Plan mensual'!G79+IF(parametros_manuales!$H$22="Todos",'Plan mensual'!G83,0))+parametros_manuales!$E$22*('Plan mensual'!G80+IF(parametros_manuales!$H$22="Todos",'Plan mensual'!G84,0))+parametros_manuales!$F$22*('Plan mensual'!G81+IF(parametros_manuales!$H$22="Todos",'Plan mensual'!G85,0))+parametros_manuales!$G$22*('Plan mensual'!G82+IF(parametros_manuales!$H$22="Todos",'Plan mensual'!G86,0)))*parametros_manuales!$I$22*parametros_manuales!$J$22</f>
        <v>33929.18</v>
      </c>
      <c r="F194" s="4">
        <f>(parametros_manuales!$D$22*('Plan mensual'!H79+IF(parametros_manuales!$H$22="Todos",'Plan mensual'!H83,0))+parametros_manuales!$E$22*('Plan mensual'!H80+IF(parametros_manuales!$H$22="Todos",'Plan mensual'!H84,0))+parametros_manuales!$F$22*('Plan mensual'!H81+IF(parametros_manuales!$H$22="Todos",'Plan mensual'!H85,0))+parametros_manuales!$G$22*('Plan mensual'!H82+IF(parametros_manuales!$H$22="Todos",'Plan mensual'!H86,0)))*parametros_manuales!$I$22*parametros_manuales!$J$22</f>
        <v>31749.66</v>
      </c>
      <c r="G194" s="4">
        <f>(parametros_manuales!$D$22*('Plan mensual'!I79+IF(parametros_manuales!$H$22="Todos",'Plan mensual'!I83,0))+parametros_manuales!$E$22*('Plan mensual'!I80+IF(parametros_manuales!$H$22="Todos",'Plan mensual'!I84,0))+parametros_manuales!$F$22*('Plan mensual'!I81+IF(parametros_manuales!$H$22="Todos",'Plan mensual'!I85,0))+parametros_manuales!$G$22*('Plan mensual'!I82+IF(parametros_manuales!$H$22="Todos",'Plan mensual'!I86,0)))*parametros_manuales!$I$22*parametros_manuales!$J$22</f>
        <v>31131.47</v>
      </c>
      <c r="H194" s="4">
        <f>(parametros_manuales!$D$22*('Plan mensual'!J79+IF(parametros_manuales!$H$22="Todos",'Plan mensual'!J83,0))+parametros_manuales!$E$22*('Plan mensual'!J80+IF(parametros_manuales!$H$22="Todos",'Plan mensual'!J84,0))+parametros_manuales!$F$22*('Plan mensual'!J81+IF(parametros_manuales!$H$22="Todos",'Plan mensual'!J85,0))+parametros_manuales!$G$22*('Plan mensual'!J82+IF(parametros_manuales!$H$22="Todos",'Plan mensual'!J86,0)))*parametros_manuales!$I$22*parametros_manuales!$J$22</f>
        <v>33310.99</v>
      </c>
      <c r="I194" s="4">
        <f>(parametros_manuales!$D$22*('Plan mensual'!K79+IF(parametros_manuales!$H$22="Todos",'Plan mensual'!K83,0))+parametros_manuales!$E$22*('Plan mensual'!K80+IF(parametros_manuales!$H$22="Todos",'Plan mensual'!K84,0))+parametros_manuales!$F$22*('Plan mensual'!K81+IF(parametros_manuales!$H$22="Todos",'Plan mensual'!K85,0))+parametros_manuales!$G$22*('Plan mensual'!K82+IF(parametros_manuales!$H$22="Todos",'Plan mensual'!K86,0)))*parametros_manuales!$I$22*parametros_manuales!$J$22</f>
        <v>33310.99</v>
      </c>
      <c r="J194" s="4">
        <f>(parametros_manuales!$D$22*('Plan mensual'!L79+IF(parametros_manuales!$H$22="Todos",'Plan mensual'!L83,0))+parametros_manuales!$E$22*('Plan mensual'!L80+IF(parametros_manuales!$H$22="Todos",'Plan mensual'!L84,0))+parametros_manuales!$F$22*('Plan mensual'!L81+IF(parametros_manuales!$H$22="Todos",'Plan mensual'!L85,0))+parametros_manuales!$G$22*('Plan mensual'!L82+IF(parametros_manuales!$H$22="Todos",'Plan mensual'!L86,0)))*parametros_manuales!$I$22*parametros_manuales!$J$22</f>
        <v>33310.99</v>
      </c>
      <c r="K194" s="4">
        <f>(parametros_manuales!$D$22*('Plan mensual'!M79+IF(parametros_manuales!$H$22="Todos",'Plan mensual'!M83,0))+parametros_manuales!$E$22*('Plan mensual'!M80+IF(parametros_manuales!$H$22="Todos",'Plan mensual'!M84,0))+parametros_manuales!$F$22*('Plan mensual'!M81+IF(parametros_manuales!$H$22="Todos",'Plan mensual'!M85,0))+parametros_manuales!$G$22*('Plan mensual'!M82+IF(parametros_manuales!$H$22="Todos",'Plan mensual'!M86,0)))*parametros_manuales!$I$22*parametros_manuales!$J$22</f>
        <v>32692.8</v>
      </c>
      <c r="L194" s="4">
        <f>(parametros_manuales!$D$22*('Plan mensual'!N79+IF(parametros_manuales!$H$22="Todos",'Plan mensual'!N83,0))+parametros_manuales!$E$22*('Plan mensual'!N80+IF(parametros_manuales!$H$22="Todos",'Plan mensual'!N84,0))+parametros_manuales!$F$22*('Plan mensual'!N81+IF(parametros_manuales!$H$22="Todos",'Plan mensual'!N85,0))+parametros_manuales!$G$22*('Plan mensual'!N82+IF(parametros_manuales!$H$22="Todos",'Plan mensual'!N86,0)))*parametros_manuales!$I$22*parametros_manuales!$J$22</f>
        <v>32074.61</v>
      </c>
      <c r="M194" s="4">
        <f>(parametros_manuales!$D$22*('Plan mensual'!O79+IF(parametros_manuales!$H$22="Todos",'Plan mensual'!O83,0))+parametros_manuales!$E$22*('Plan mensual'!O80+IF(parametros_manuales!$H$22="Todos",'Plan mensual'!O84,0))+parametros_manuales!$F$22*('Plan mensual'!O81+IF(parametros_manuales!$H$22="Todos",'Plan mensual'!O85,0))+parametros_manuales!$G$22*('Plan mensual'!O82+IF(parametros_manuales!$H$22="Todos",'Plan mensual'!O86,0)))*parametros_manuales!$I$22*parametros_manuales!$J$22</f>
        <v>51072.1</v>
      </c>
      <c r="N194" s="4">
        <f t="shared" si="22"/>
        <v>435904</v>
      </c>
      <c r="O194" s="4">
        <f t="shared" si="23"/>
        <v>51072.1</v>
      </c>
      <c r="P194" s="27">
        <f>O194/(parametros_manuales!$B$7)</f>
        <v>340.4806667</v>
      </c>
      <c r="Q194" s="3" t="str">
        <f t="shared" si="24"/>
        <v>Dic</v>
      </c>
    </row>
    <row r="195" ht="14.25" customHeight="1">
      <c r="A195" s="3" t="str">
        <f>parametros_manuales!$B$23</f>
        <v>Preparación de cuello</v>
      </c>
      <c r="B195" s="4">
        <f>(parametros_manuales!$D$23*('Plan mensual'!D79+IF(parametros_manuales!$H$23="Todos",'Plan mensual'!D83,0))+parametros_manuales!$E$23*('Plan mensual'!D80+IF(parametros_manuales!$H$23="Todos",'Plan mensual'!D84,0))+parametros_manuales!$F$23*('Plan mensual'!D81+IF(parametros_manuales!$H$23="Todos",'Plan mensual'!D85,0))+parametros_manuales!$G$23*('Plan mensual'!D82+IF(parametros_manuales!$H$23="Todos",'Plan mensual'!D86,0)))*parametros_manuales!$I$23*parametros_manuales!$J$23</f>
        <v>24917.86</v>
      </c>
      <c r="C195" s="4">
        <f>(parametros_manuales!$D$23*('Plan mensual'!E79+IF(parametros_manuales!$H$23="Todos",'Plan mensual'!E83,0))+parametros_manuales!$E$23*('Plan mensual'!E80+IF(parametros_manuales!$H$23="Todos",'Plan mensual'!E84,0))+parametros_manuales!$F$23*('Plan mensual'!E81+IF(parametros_manuales!$H$23="Todos",'Plan mensual'!E85,0))+parametros_manuales!$G$23*('Plan mensual'!E82+IF(parametros_manuales!$H$23="Todos",'Plan mensual'!E86,0)))*parametros_manuales!$I$23*parametros_manuales!$J$23</f>
        <v>18997.49</v>
      </c>
      <c r="D195" s="4">
        <f>(parametros_manuales!$D$23*('Plan mensual'!F79+IF(parametros_manuales!$H$23="Todos",'Plan mensual'!F83,0))+parametros_manuales!$E$23*('Plan mensual'!F80+IF(parametros_manuales!$H$23="Todos",'Plan mensual'!F84,0))+parametros_manuales!$F$23*('Plan mensual'!F81+IF(parametros_manuales!$H$23="Todos",'Plan mensual'!F85,0))+parametros_manuales!$G$23*('Plan mensual'!F82+IF(parametros_manuales!$H$23="Todos",'Plan mensual'!F86,0)))*parametros_manuales!$I$23*parametros_manuales!$J$23</f>
        <v>17745.255</v>
      </c>
      <c r="E195" s="4">
        <f>(parametros_manuales!$D$23*('Plan mensual'!G79+IF(parametros_manuales!$H$23="Todos",'Plan mensual'!G83,0))+parametros_manuales!$E$23*('Plan mensual'!G80+IF(parametros_manuales!$H$23="Todos",'Plan mensual'!G84,0))+parametros_manuales!$F$23*('Plan mensual'!G81+IF(parametros_manuales!$H$23="Todos",'Plan mensual'!G85,0))+parametros_manuales!$G$23*('Plan mensual'!G82+IF(parametros_manuales!$H$23="Todos",'Plan mensual'!G86,0)))*parametros_manuales!$I$23*parametros_manuales!$J$23</f>
        <v>16964.59</v>
      </c>
      <c r="F195" s="4">
        <f>(parametros_manuales!$D$23*('Plan mensual'!H79+IF(parametros_manuales!$H$23="Todos",'Plan mensual'!H83,0))+parametros_manuales!$E$23*('Plan mensual'!H80+IF(parametros_manuales!$H$23="Todos",'Plan mensual'!H84,0))+parametros_manuales!$F$23*('Plan mensual'!H81+IF(parametros_manuales!$H$23="Todos",'Plan mensual'!H85,0))+parametros_manuales!$G$23*('Plan mensual'!H82+IF(parametros_manuales!$H$23="Todos",'Plan mensual'!H86,0)))*parametros_manuales!$I$23*parametros_manuales!$J$23</f>
        <v>15874.83</v>
      </c>
      <c r="G195" s="4">
        <f>(parametros_manuales!$D$23*('Plan mensual'!I79+IF(parametros_manuales!$H$23="Todos",'Plan mensual'!I83,0))+parametros_manuales!$E$23*('Plan mensual'!I80+IF(parametros_manuales!$H$23="Todos",'Plan mensual'!I84,0))+parametros_manuales!$F$23*('Plan mensual'!I81+IF(parametros_manuales!$H$23="Todos",'Plan mensual'!I85,0))+parametros_manuales!$G$23*('Plan mensual'!I82+IF(parametros_manuales!$H$23="Todos",'Plan mensual'!I86,0)))*parametros_manuales!$I$23*parametros_manuales!$J$23</f>
        <v>15565.735</v>
      </c>
      <c r="H195" s="4">
        <f>(parametros_manuales!$D$23*('Plan mensual'!J79+IF(parametros_manuales!$H$23="Todos",'Plan mensual'!J83,0))+parametros_manuales!$E$23*('Plan mensual'!J80+IF(parametros_manuales!$H$23="Todos",'Plan mensual'!J84,0))+parametros_manuales!$F$23*('Plan mensual'!J81+IF(parametros_manuales!$H$23="Todos",'Plan mensual'!J85,0))+parametros_manuales!$G$23*('Plan mensual'!J82+IF(parametros_manuales!$H$23="Todos",'Plan mensual'!J86,0)))*parametros_manuales!$I$23*parametros_manuales!$J$23</f>
        <v>16655.495</v>
      </c>
      <c r="I195" s="4">
        <f>(parametros_manuales!$D$23*('Plan mensual'!K79+IF(parametros_manuales!$H$23="Todos",'Plan mensual'!K83,0))+parametros_manuales!$E$23*('Plan mensual'!K80+IF(parametros_manuales!$H$23="Todos",'Plan mensual'!K84,0))+parametros_manuales!$F$23*('Plan mensual'!K81+IF(parametros_manuales!$H$23="Todos",'Plan mensual'!K85,0))+parametros_manuales!$G$23*('Plan mensual'!K82+IF(parametros_manuales!$H$23="Todos",'Plan mensual'!K86,0)))*parametros_manuales!$I$23*parametros_manuales!$J$23</f>
        <v>16655.495</v>
      </c>
      <c r="J195" s="4">
        <f>(parametros_manuales!$D$23*('Plan mensual'!L79+IF(parametros_manuales!$H$23="Todos",'Plan mensual'!L83,0))+parametros_manuales!$E$23*('Plan mensual'!L80+IF(parametros_manuales!$H$23="Todos",'Plan mensual'!L84,0))+parametros_manuales!$F$23*('Plan mensual'!L81+IF(parametros_manuales!$H$23="Todos",'Plan mensual'!L85,0))+parametros_manuales!$G$23*('Plan mensual'!L82+IF(parametros_manuales!$H$23="Todos",'Plan mensual'!L86,0)))*parametros_manuales!$I$23*parametros_manuales!$J$23</f>
        <v>16655.495</v>
      </c>
      <c r="K195" s="4">
        <f>(parametros_manuales!$D$23*('Plan mensual'!M79+IF(parametros_manuales!$H$23="Todos",'Plan mensual'!M83,0))+parametros_manuales!$E$23*('Plan mensual'!M80+IF(parametros_manuales!$H$23="Todos",'Plan mensual'!M84,0))+parametros_manuales!$F$23*('Plan mensual'!M81+IF(parametros_manuales!$H$23="Todos",'Plan mensual'!M85,0))+parametros_manuales!$G$23*('Plan mensual'!M82+IF(parametros_manuales!$H$23="Todos",'Plan mensual'!M86,0)))*parametros_manuales!$I$23*parametros_manuales!$J$23</f>
        <v>16346.4</v>
      </c>
      <c r="L195" s="4">
        <f>(parametros_manuales!$D$23*('Plan mensual'!N79+IF(parametros_manuales!$H$23="Todos",'Plan mensual'!N83,0))+parametros_manuales!$E$23*('Plan mensual'!N80+IF(parametros_manuales!$H$23="Todos",'Plan mensual'!N84,0))+parametros_manuales!$F$23*('Plan mensual'!N81+IF(parametros_manuales!$H$23="Todos",'Plan mensual'!N85,0))+parametros_manuales!$G$23*('Plan mensual'!N82+IF(parametros_manuales!$H$23="Todos",'Plan mensual'!N86,0)))*parametros_manuales!$I$23*parametros_manuales!$J$23</f>
        <v>16037.305</v>
      </c>
      <c r="M195" s="4">
        <f>(parametros_manuales!$D$23*('Plan mensual'!O79+IF(parametros_manuales!$H$23="Todos",'Plan mensual'!O83,0))+parametros_manuales!$E$23*('Plan mensual'!O80+IF(parametros_manuales!$H$23="Todos",'Plan mensual'!O84,0))+parametros_manuales!$F$23*('Plan mensual'!O81+IF(parametros_manuales!$H$23="Todos",'Plan mensual'!O85,0))+parametros_manuales!$G$23*('Plan mensual'!O82+IF(parametros_manuales!$H$23="Todos",'Plan mensual'!O86,0)))*parametros_manuales!$I$23*parametros_manuales!$J$23</f>
        <v>25536.05</v>
      </c>
      <c r="N195" s="4">
        <f t="shared" si="22"/>
        <v>217952</v>
      </c>
      <c r="O195" s="4">
        <f t="shared" si="23"/>
        <v>25536.05</v>
      </c>
      <c r="P195" s="27">
        <f>O195/(parametros_manuales!$B$7)</f>
        <v>170.2403333</v>
      </c>
      <c r="Q195" s="3" t="str">
        <f t="shared" si="24"/>
        <v>Dic</v>
      </c>
    </row>
    <row r="196" ht="14.25" customHeight="1">
      <c r="A196" s="3" t="str">
        <f>parametros_manuales!$B$24</f>
        <v>Numerado de cúpula</v>
      </c>
      <c r="B196" s="4">
        <f>(parametros_manuales!$D$24*('Plan mensual'!D79+IF(parametros_manuales!$H$24="Todos",'Plan mensual'!D83,0))+parametros_manuales!$E$24*('Plan mensual'!D80+IF(parametros_manuales!$H$24="Todos",'Plan mensual'!D84,0))+parametros_manuales!$F$24*('Plan mensual'!D81+IF(parametros_manuales!$H$24="Todos",'Plan mensual'!D85,0))+parametros_manuales!$G$24*('Plan mensual'!D82+IF(parametros_manuales!$H$24="Todos",'Plan mensual'!D86,0)))*parametros_manuales!$I$24*parametros_manuales!$J$24</f>
        <v>24917.86</v>
      </c>
      <c r="C196" s="4">
        <f>(parametros_manuales!$D$24*('Plan mensual'!E79+IF(parametros_manuales!$H$24="Todos",'Plan mensual'!E83,0))+parametros_manuales!$E$24*('Plan mensual'!E80+IF(parametros_manuales!$H$24="Todos",'Plan mensual'!E84,0))+parametros_manuales!$F$24*('Plan mensual'!E81+IF(parametros_manuales!$H$24="Todos",'Plan mensual'!E85,0))+parametros_manuales!$G$24*('Plan mensual'!E82+IF(parametros_manuales!$H$24="Todos",'Plan mensual'!E86,0)))*parametros_manuales!$I$24*parametros_manuales!$J$24</f>
        <v>18997.49</v>
      </c>
      <c r="D196" s="4">
        <f>(parametros_manuales!$D$24*('Plan mensual'!F79+IF(parametros_manuales!$H$24="Todos",'Plan mensual'!F83,0))+parametros_manuales!$E$24*('Plan mensual'!F80+IF(parametros_manuales!$H$24="Todos",'Plan mensual'!F84,0))+parametros_manuales!$F$24*('Plan mensual'!F81+IF(parametros_manuales!$H$24="Todos",'Plan mensual'!F85,0))+parametros_manuales!$G$24*('Plan mensual'!F82+IF(parametros_manuales!$H$24="Todos",'Plan mensual'!F86,0)))*parametros_manuales!$I$24*parametros_manuales!$J$24</f>
        <v>17745.255</v>
      </c>
      <c r="E196" s="4">
        <f>(parametros_manuales!$D$24*('Plan mensual'!G79+IF(parametros_manuales!$H$24="Todos",'Plan mensual'!G83,0))+parametros_manuales!$E$24*('Plan mensual'!G80+IF(parametros_manuales!$H$24="Todos",'Plan mensual'!G84,0))+parametros_manuales!$F$24*('Plan mensual'!G81+IF(parametros_manuales!$H$24="Todos",'Plan mensual'!G85,0))+parametros_manuales!$G$24*('Plan mensual'!G82+IF(parametros_manuales!$H$24="Todos",'Plan mensual'!G86,0)))*parametros_manuales!$I$24*parametros_manuales!$J$24</f>
        <v>16964.59</v>
      </c>
      <c r="F196" s="4">
        <f>(parametros_manuales!$D$24*('Plan mensual'!H79+IF(parametros_manuales!$H$24="Todos",'Plan mensual'!H83,0))+parametros_manuales!$E$24*('Plan mensual'!H80+IF(parametros_manuales!$H$24="Todos",'Plan mensual'!H84,0))+parametros_manuales!$F$24*('Plan mensual'!H81+IF(parametros_manuales!$H$24="Todos",'Plan mensual'!H85,0))+parametros_manuales!$G$24*('Plan mensual'!H82+IF(parametros_manuales!$H$24="Todos",'Plan mensual'!H86,0)))*parametros_manuales!$I$24*parametros_manuales!$J$24</f>
        <v>15874.83</v>
      </c>
      <c r="G196" s="4">
        <f>(parametros_manuales!$D$24*('Plan mensual'!I79+IF(parametros_manuales!$H$24="Todos",'Plan mensual'!I83,0))+parametros_manuales!$E$24*('Plan mensual'!I80+IF(parametros_manuales!$H$24="Todos",'Plan mensual'!I84,0))+parametros_manuales!$F$24*('Plan mensual'!I81+IF(parametros_manuales!$H$24="Todos",'Plan mensual'!I85,0))+parametros_manuales!$G$24*('Plan mensual'!I82+IF(parametros_manuales!$H$24="Todos",'Plan mensual'!I86,0)))*parametros_manuales!$I$24*parametros_manuales!$J$24</f>
        <v>15565.735</v>
      </c>
      <c r="H196" s="4">
        <f>(parametros_manuales!$D$24*('Plan mensual'!J79+IF(parametros_manuales!$H$24="Todos",'Plan mensual'!J83,0))+parametros_manuales!$E$24*('Plan mensual'!J80+IF(parametros_manuales!$H$24="Todos",'Plan mensual'!J84,0))+parametros_manuales!$F$24*('Plan mensual'!J81+IF(parametros_manuales!$H$24="Todos",'Plan mensual'!J85,0))+parametros_manuales!$G$24*('Plan mensual'!J82+IF(parametros_manuales!$H$24="Todos",'Plan mensual'!J86,0)))*parametros_manuales!$I$24*parametros_manuales!$J$24</f>
        <v>16655.495</v>
      </c>
      <c r="I196" s="4">
        <f>(parametros_manuales!$D$24*('Plan mensual'!K79+IF(parametros_manuales!$H$24="Todos",'Plan mensual'!K83,0))+parametros_manuales!$E$24*('Plan mensual'!K80+IF(parametros_manuales!$H$24="Todos",'Plan mensual'!K84,0))+parametros_manuales!$F$24*('Plan mensual'!K81+IF(parametros_manuales!$H$24="Todos",'Plan mensual'!K85,0))+parametros_manuales!$G$24*('Plan mensual'!K82+IF(parametros_manuales!$H$24="Todos",'Plan mensual'!K86,0)))*parametros_manuales!$I$24*parametros_manuales!$J$24</f>
        <v>16655.495</v>
      </c>
      <c r="J196" s="4">
        <f>(parametros_manuales!$D$24*('Plan mensual'!L79+IF(parametros_manuales!$H$24="Todos",'Plan mensual'!L83,0))+parametros_manuales!$E$24*('Plan mensual'!L80+IF(parametros_manuales!$H$24="Todos",'Plan mensual'!L84,0))+parametros_manuales!$F$24*('Plan mensual'!L81+IF(parametros_manuales!$H$24="Todos",'Plan mensual'!L85,0))+parametros_manuales!$G$24*('Plan mensual'!L82+IF(parametros_manuales!$H$24="Todos",'Plan mensual'!L86,0)))*parametros_manuales!$I$24*parametros_manuales!$J$24</f>
        <v>16655.495</v>
      </c>
      <c r="K196" s="4">
        <f>(parametros_manuales!$D$24*('Plan mensual'!M79+IF(parametros_manuales!$H$24="Todos",'Plan mensual'!M83,0))+parametros_manuales!$E$24*('Plan mensual'!M80+IF(parametros_manuales!$H$24="Todos",'Plan mensual'!M84,0))+parametros_manuales!$F$24*('Plan mensual'!M81+IF(parametros_manuales!$H$24="Todos",'Plan mensual'!M85,0))+parametros_manuales!$G$24*('Plan mensual'!M82+IF(parametros_manuales!$H$24="Todos",'Plan mensual'!M86,0)))*parametros_manuales!$I$24*parametros_manuales!$J$24</f>
        <v>16346.4</v>
      </c>
      <c r="L196" s="4">
        <f>(parametros_manuales!$D$24*('Plan mensual'!N79+IF(parametros_manuales!$H$24="Todos",'Plan mensual'!N83,0))+parametros_manuales!$E$24*('Plan mensual'!N80+IF(parametros_manuales!$H$24="Todos",'Plan mensual'!N84,0))+parametros_manuales!$F$24*('Plan mensual'!N81+IF(parametros_manuales!$H$24="Todos",'Plan mensual'!N85,0))+parametros_manuales!$G$24*('Plan mensual'!N82+IF(parametros_manuales!$H$24="Todos",'Plan mensual'!N86,0)))*parametros_manuales!$I$24*parametros_manuales!$J$24</f>
        <v>16037.305</v>
      </c>
      <c r="M196" s="4">
        <f>(parametros_manuales!$D$24*('Plan mensual'!O79+IF(parametros_manuales!$H$24="Todos",'Plan mensual'!O83,0))+parametros_manuales!$E$24*('Plan mensual'!O80+IF(parametros_manuales!$H$24="Todos",'Plan mensual'!O84,0))+parametros_manuales!$F$24*('Plan mensual'!O81+IF(parametros_manuales!$H$24="Todos",'Plan mensual'!O85,0))+parametros_manuales!$G$24*('Plan mensual'!O82+IF(parametros_manuales!$H$24="Todos",'Plan mensual'!O86,0)))*parametros_manuales!$I$24*parametros_manuales!$J$24</f>
        <v>25536.05</v>
      </c>
      <c r="N196" s="4">
        <f t="shared" si="22"/>
        <v>217952</v>
      </c>
      <c r="O196" s="4">
        <f t="shared" si="23"/>
        <v>25536.05</v>
      </c>
      <c r="P196" s="27">
        <f>O196/(parametros_manuales!$B$7)</f>
        <v>170.2403333</v>
      </c>
      <c r="Q196" s="3" t="str">
        <f t="shared" si="24"/>
        <v>Dic</v>
      </c>
    </row>
    <row r="197" ht="14.25" customHeight="1">
      <c r="A197" s="3" t="str">
        <f>parametros_manuales!$B$25</f>
        <v>Soldadura del cuello a la cúpula</v>
      </c>
      <c r="B197" s="4">
        <f>(parametros_manuales!$D$25*('Plan mensual'!D79+IF(parametros_manuales!$H$25="Todos",'Plan mensual'!D83,0))+parametros_manuales!$E$25*('Plan mensual'!D80+IF(parametros_manuales!$H$25="Todos",'Plan mensual'!D84,0))+parametros_manuales!$F$25*('Plan mensual'!D81+IF(parametros_manuales!$H$25="Todos",'Plan mensual'!D85,0))+parametros_manuales!$G$25*('Plan mensual'!D82+IF(parametros_manuales!$H$25="Todos",'Plan mensual'!D86,0)))*parametros_manuales!$I$25*parametros_manuales!$J$25</f>
        <v>24917.86</v>
      </c>
      <c r="C197" s="4">
        <f>(parametros_manuales!$D$25*('Plan mensual'!E79+IF(parametros_manuales!$H$25="Todos",'Plan mensual'!E83,0))+parametros_manuales!$E$25*('Plan mensual'!E80+IF(parametros_manuales!$H$25="Todos",'Plan mensual'!E84,0))+parametros_manuales!$F$25*('Plan mensual'!E81+IF(parametros_manuales!$H$25="Todos",'Plan mensual'!E85,0))+parametros_manuales!$G$25*('Plan mensual'!E82+IF(parametros_manuales!$H$25="Todos",'Plan mensual'!E86,0)))*parametros_manuales!$I$25*parametros_manuales!$J$25</f>
        <v>18997.49</v>
      </c>
      <c r="D197" s="4">
        <f>(parametros_manuales!$D$25*('Plan mensual'!F79+IF(parametros_manuales!$H$25="Todos",'Plan mensual'!F83,0))+parametros_manuales!$E$25*('Plan mensual'!F80+IF(parametros_manuales!$H$25="Todos",'Plan mensual'!F84,0))+parametros_manuales!$F$25*('Plan mensual'!F81+IF(parametros_manuales!$H$25="Todos",'Plan mensual'!F85,0))+parametros_manuales!$G$25*('Plan mensual'!F82+IF(parametros_manuales!$H$25="Todos",'Plan mensual'!F86,0)))*parametros_manuales!$I$25*parametros_manuales!$J$25</f>
        <v>17745.255</v>
      </c>
      <c r="E197" s="4">
        <f>(parametros_manuales!$D$25*('Plan mensual'!G79+IF(parametros_manuales!$H$25="Todos",'Plan mensual'!G83,0))+parametros_manuales!$E$25*('Plan mensual'!G80+IF(parametros_manuales!$H$25="Todos",'Plan mensual'!G84,0))+parametros_manuales!$F$25*('Plan mensual'!G81+IF(parametros_manuales!$H$25="Todos",'Plan mensual'!G85,0))+parametros_manuales!$G$25*('Plan mensual'!G82+IF(parametros_manuales!$H$25="Todos",'Plan mensual'!G86,0)))*parametros_manuales!$I$25*parametros_manuales!$J$25</f>
        <v>16964.59</v>
      </c>
      <c r="F197" s="4">
        <f>(parametros_manuales!$D$25*('Plan mensual'!H79+IF(parametros_manuales!$H$25="Todos",'Plan mensual'!H83,0))+parametros_manuales!$E$25*('Plan mensual'!H80+IF(parametros_manuales!$H$25="Todos",'Plan mensual'!H84,0))+parametros_manuales!$F$25*('Plan mensual'!H81+IF(parametros_manuales!$H$25="Todos",'Plan mensual'!H85,0))+parametros_manuales!$G$25*('Plan mensual'!H82+IF(parametros_manuales!$H$25="Todos",'Plan mensual'!H86,0)))*parametros_manuales!$I$25*parametros_manuales!$J$25</f>
        <v>15874.83</v>
      </c>
      <c r="G197" s="4">
        <f>(parametros_manuales!$D$25*('Plan mensual'!I79+IF(parametros_manuales!$H$25="Todos",'Plan mensual'!I83,0))+parametros_manuales!$E$25*('Plan mensual'!I80+IF(parametros_manuales!$H$25="Todos",'Plan mensual'!I84,0))+parametros_manuales!$F$25*('Plan mensual'!I81+IF(parametros_manuales!$H$25="Todos",'Plan mensual'!I85,0))+parametros_manuales!$G$25*('Plan mensual'!I82+IF(parametros_manuales!$H$25="Todos",'Plan mensual'!I86,0)))*parametros_manuales!$I$25*parametros_manuales!$J$25</f>
        <v>15565.735</v>
      </c>
      <c r="H197" s="4">
        <f>(parametros_manuales!$D$25*('Plan mensual'!J79+IF(parametros_manuales!$H$25="Todos",'Plan mensual'!J83,0))+parametros_manuales!$E$25*('Plan mensual'!J80+IF(parametros_manuales!$H$25="Todos",'Plan mensual'!J84,0))+parametros_manuales!$F$25*('Plan mensual'!J81+IF(parametros_manuales!$H$25="Todos",'Plan mensual'!J85,0))+parametros_manuales!$G$25*('Plan mensual'!J82+IF(parametros_manuales!$H$25="Todos",'Plan mensual'!J86,0)))*parametros_manuales!$I$25*parametros_manuales!$J$25</f>
        <v>16655.495</v>
      </c>
      <c r="I197" s="4">
        <f>(parametros_manuales!$D$25*('Plan mensual'!K79+IF(parametros_manuales!$H$25="Todos",'Plan mensual'!K83,0))+parametros_manuales!$E$25*('Plan mensual'!K80+IF(parametros_manuales!$H$25="Todos",'Plan mensual'!K84,0))+parametros_manuales!$F$25*('Plan mensual'!K81+IF(parametros_manuales!$H$25="Todos",'Plan mensual'!K85,0))+parametros_manuales!$G$25*('Plan mensual'!K82+IF(parametros_manuales!$H$25="Todos",'Plan mensual'!K86,0)))*parametros_manuales!$I$25*parametros_manuales!$J$25</f>
        <v>16655.495</v>
      </c>
      <c r="J197" s="4">
        <f>(parametros_manuales!$D$25*('Plan mensual'!L79+IF(parametros_manuales!$H$25="Todos",'Plan mensual'!L83,0))+parametros_manuales!$E$25*('Plan mensual'!L80+IF(parametros_manuales!$H$25="Todos",'Plan mensual'!L84,0))+parametros_manuales!$F$25*('Plan mensual'!L81+IF(parametros_manuales!$H$25="Todos",'Plan mensual'!L85,0))+parametros_manuales!$G$25*('Plan mensual'!L82+IF(parametros_manuales!$H$25="Todos",'Plan mensual'!L86,0)))*parametros_manuales!$I$25*parametros_manuales!$J$25</f>
        <v>16655.495</v>
      </c>
      <c r="K197" s="4">
        <f>(parametros_manuales!$D$25*('Plan mensual'!M79+IF(parametros_manuales!$H$25="Todos",'Plan mensual'!M83,0))+parametros_manuales!$E$25*('Plan mensual'!M80+IF(parametros_manuales!$H$25="Todos",'Plan mensual'!M84,0))+parametros_manuales!$F$25*('Plan mensual'!M81+IF(parametros_manuales!$H$25="Todos",'Plan mensual'!M85,0))+parametros_manuales!$G$25*('Plan mensual'!M82+IF(parametros_manuales!$H$25="Todos",'Plan mensual'!M86,0)))*parametros_manuales!$I$25*parametros_manuales!$J$25</f>
        <v>16346.4</v>
      </c>
      <c r="L197" s="4">
        <f>(parametros_manuales!$D$25*('Plan mensual'!N79+IF(parametros_manuales!$H$25="Todos",'Plan mensual'!N83,0))+parametros_manuales!$E$25*('Plan mensual'!N80+IF(parametros_manuales!$H$25="Todos",'Plan mensual'!N84,0))+parametros_manuales!$F$25*('Plan mensual'!N81+IF(parametros_manuales!$H$25="Todos",'Plan mensual'!N85,0))+parametros_manuales!$G$25*('Plan mensual'!N82+IF(parametros_manuales!$H$25="Todos",'Plan mensual'!N86,0)))*parametros_manuales!$I$25*parametros_manuales!$J$25</f>
        <v>16037.305</v>
      </c>
      <c r="M197" s="4">
        <f>(parametros_manuales!$D$25*('Plan mensual'!O79+IF(parametros_manuales!$H$25="Todos",'Plan mensual'!O83,0))+parametros_manuales!$E$25*('Plan mensual'!O80+IF(parametros_manuales!$H$25="Todos",'Plan mensual'!O84,0))+parametros_manuales!$F$25*('Plan mensual'!O81+IF(parametros_manuales!$H$25="Todos",'Plan mensual'!O85,0))+parametros_manuales!$G$25*('Plan mensual'!O82+IF(parametros_manuales!$H$25="Todos",'Plan mensual'!O86,0)))*parametros_manuales!$I$25*parametros_manuales!$J$25</f>
        <v>25536.05</v>
      </c>
      <c r="N197" s="4">
        <f t="shared" si="22"/>
        <v>217952</v>
      </c>
      <c r="O197" s="4">
        <f t="shared" si="23"/>
        <v>25536.05</v>
      </c>
      <c r="P197" s="27">
        <f>O197/(parametros_manuales!$B$7)</f>
        <v>170.2403333</v>
      </c>
      <c r="Q197" s="3" t="str">
        <f t="shared" si="24"/>
        <v>Dic</v>
      </c>
    </row>
    <row r="198" ht="14.25" customHeight="1">
      <c r="A198" s="3" t="str">
        <f>parametros_manuales!$B$26</f>
        <v>Cilindrado</v>
      </c>
      <c r="B198" s="4">
        <f>(parametros_manuales!$D$26*('Plan mensual'!D79+IF(parametros_manuales!$H$26="Todos",'Plan mensual'!D83,0))+parametros_manuales!$E$26*('Plan mensual'!D80+IF(parametros_manuales!$H$26="Todos",'Plan mensual'!D84,0))+parametros_manuales!$F$26*('Plan mensual'!D81+IF(parametros_manuales!$H$26="Todos",'Plan mensual'!D85,0))+parametros_manuales!$G$26*('Plan mensual'!D82+IF(parametros_manuales!$H$26="Todos",'Plan mensual'!D86,0)))*parametros_manuales!$I$26*parametros_manuales!$J$26</f>
        <v>6181.9</v>
      </c>
      <c r="C198" s="4">
        <f>(parametros_manuales!$D$26*('Plan mensual'!E79+IF(parametros_manuales!$H$26="Todos",'Plan mensual'!E83,0))+parametros_manuales!$E$26*('Plan mensual'!E80+IF(parametros_manuales!$H$26="Todos",'Plan mensual'!E84,0))+parametros_manuales!$F$26*('Plan mensual'!E81+IF(parametros_manuales!$H$26="Todos",'Plan mensual'!E85,0))+parametros_manuales!$G$26*('Plan mensual'!E82+IF(parametros_manuales!$H$26="Todos",'Plan mensual'!E86,0)))*parametros_manuales!$I$26*parametros_manuales!$J$26</f>
        <v>4945.52</v>
      </c>
      <c r="D198" s="4">
        <f>(parametros_manuales!$D$26*('Plan mensual'!F79+IF(parametros_manuales!$H$26="Todos",'Plan mensual'!F83,0))+parametros_manuales!$E$26*('Plan mensual'!F80+IF(parametros_manuales!$H$26="Todos",'Plan mensual'!F84,0))+parametros_manuales!$F$26*('Plan mensual'!F81+IF(parametros_manuales!$H$26="Todos",'Plan mensual'!F85,0))+parametros_manuales!$G$26*('Plan mensual'!F82+IF(parametros_manuales!$H$26="Todos",'Plan mensual'!F86,0)))*parametros_manuales!$I$26*parametros_manuales!$J$26</f>
        <v>5254.615</v>
      </c>
      <c r="E198" s="4">
        <f>(parametros_manuales!$D$26*('Plan mensual'!G79+IF(parametros_manuales!$H$26="Todos",'Plan mensual'!G83,0))+parametros_manuales!$E$26*('Plan mensual'!G80+IF(parametros_manuales!$H$26="Todos",'Plan mensual'!G84,0))+parametros_manuales!$F$26*('Plan mensual'!G81+IF(parametros_manuales!$H$26="Todos",'Plan mensual'!G85,0))+parametros_manuales!$G$26*('Plan mensual'!G82+IF(parametros_manuales!$H$26="Todos",'Plan mensual'!G86,0)))*parametros_manuales!$I$26*parametros_manuales!$J$26</f>
        <v>5254.615</v>
      </c>
      <c r="F198" s="4">
        <f>(parametros_manuales!$D$26*('Plan mensual'!H79+IF(parametros_manuales!$H$26="Todos",'Plan mensual'!H83,0))+parametros_manuales!$E$26*('Plan mensual'!H80+IF(parametros_manuales!$H$26="Todos",'Plan mensual'!H84,0))+parametros_manuales!$F$26*('Plan mensual'!H81+IF(parametros_manuales!$H$26="Todos",'Plan mensual'!H85,0))+parametros_manuales!$G$26*('Plan mensual'!H82+IF(parametros_manuales!$H$26="Todos",'Plan mensual'!H86,0)))*parametros_manuales!$I$26*parametros_manuales!$J$26</f>
        <v>4945.52</v>
      </c>
      <c r="G198" s="4">
        <f>(parametros_manuales!$D$26*('Plan mensual'!I79+IF(parametros_manuales!$H$26="Todos",'Plan mensual'!I83,0))+parametros_manuales!$E$26*('Plan mensual'!I80+IF(parametros_manuales!$H$26="Todos",'Plan mensual'!I84,0))+parametros_manuales!$F$26*('Plan mensual'!I81+IF(parametros_manuales!$H$26="Todos",'Plan mensual'!I85,0))+parametros_manuales!$G$26*('Plan mensual'!I82+IF(parametros_manuales!$H$26="Todos",'Plan mensual'!I86,0)))*parametros_manuales!$I$26*parametros_manuales!$J$26</f>
        <v>4636.425</v>
      </c>
      <c r="H198" s="4">
        <f>(parametros_manuales!$D$26*('Plan mensual'!J79+IF(parametros_manuales!$H$26="Todos",'Plan mensual'!J83,0))+parametros_manuales!$E$26*('Plan mensual'!J80+IF(parametros_manuales!$H$26="Todos",'Plan mensual'!J84,0))+parametros_manuales!$F$26*('Plan mensual'!J81+IF(parametros_manuales!$H$26="Todos",'Plan mensual'!J85,0))+parametros_manuales!$G$26*('Plan mensual'!J82+IF(parametros_manuales!$H$26="Todos",'Plan mensual'!J86,0)))*parametros_manuales!$I$26*parametros_manuales!$J$26</f>
        <v>4945.52</v>
      </c>
      <c r="I198" s="4">
        <f>(parametros_manuales!$D$26*('Plan mensual'!K79+IF(parametros_manuales!$H$26="Todos",'Plan mensual'!K83,0))+parametros_manuales!$E$26*('Plan mensual'!K80+IF(parametros_manuales!$H$26="Todos",'Plan mensual'!K84,0))+parametros_manuales!$F$26*('Plan mensual'!K81+IF(parametros_manuales!$H$26="Todos",'Plan mensual'!K85,0))+parametros_manuales!$G$26*('Plan mensual'!K82+IF(parametros_manuales!$H$26="Todos",'Plan mensual'!K86,0)))*parametros_manuales!$I$26*parametros_manuales!$J$26</f>
        <v>4945.52</v>
      </c>
      <c r="J198" s="4">
        <f>(parametros_manuales!$D$26*('Plan mensual'!L79+IF(parametros_manuales!$H$26="Todos",'Plan mensual'!L83,0))+parametros_manuales!$E$26*('Plan mensual'!L80+IF(parametros_manuales!$H$26="Todos",'Plan mensual'!L84,0))+parametros_manuales!$F$26*('Plan mensual'!L81+IF(parametros_manuales!$H$26="Todos",'Plan mensual'!L85,0))+parametros_manuales!$G$26*('Plan mensual'!L82+IF(parametros_manuales!$H$26="Todos",'Plan mensual'!L86,0)))*parametros_manuales!$I$26*parametros_manuales!$J$26</f>
        <v>4945.52</v>
      </c>
      <c r="K198" s="4">
        <f>(parametros_manuales!$D$26*('Plan mensual'!M79+IF(parametros_manuales!$H$26="Todos",'Plan mensual'!M83,0))+parametros_manuales!$E$26*('Plan mensual'!M80+IF(parametros_manuales!$H$26="Todos",'Plan mensual'!M84,0))+parametros_manuales!$F$26*('Plan mensual'!M81+IF(parametros_manuales!$H$26="Todos",'Plan mensual'!M85,0))+parametros_manuales!$G$26*('Plan mensual'!M82+IF(parametros_manuales!$H$26="Todos",'Plan mensual'!M86,0)))*parametros_manuales!$I$26*parametros_manuales!$J$26</f>
        <v>4636.425</v>
      </c>
      <c r="L198" s="4">
        <f>(parametros_manuales!$D$26*('Plan mensual'!N79+IF(parametros_manuales!$H$26="Todos",'Plan mensual'!N83,0))+parametros_manuales!$E$26*('Plan mensual'!N80+IF(parametros_manuales!$H$26="Todos",'Plan mensual'!N84,0))+parametros_manuales!$F$26*('Plan mensual'!N81+IF(parametros_manuales!$H$26="Todos",'Plan mensual'!N85,0))+parametros_manuales!$G$26*('Plan mensual'!N82+IF(parametros_manuales!$H$26="Todos",'Plan mensual'!N86,0)))*parametros_manuales!$I$26*parametros_manuales!$J$26</f>
        <v>4327.33</v>
      </c>
      <c r="M198" s="4">
        <f>(parametros_manuales!$D$26*('Plan mensual'!O79+IF(parametros_manuales!$H$26="Todos",'Plan mensual'!O83,0))+parametros_manuales!$E$26*('Plan mensual'!O80+IF(parametros_manuales!$H$26="Todos",'Plan mensual'!O84,0))+parametros_manuales!$F$26*('Plan mensual'!O81+IF(parametros_manuales!$H$26="Todos",'Plan mensual'!O85,0))+parametros_manuales!$G$26*('Plan mensual'!O82+IF(parametros_manuales!$H$26="Todos",'Plan mensual'!O86,0)))*parametros_manuales!$I$26*parametros_manuales!$J$26</f>
        <v>6800.09</v>
      </c>
      <c r="N198" s="4">
        <f t="shared" si="22"/>
        <v>61819</v>
      </c>
      <c r="O198" s="4">
        <f t="shared" si="23"/>
        <v>6800.09</v>
      </c>
      <c r="P198" s="27">
        <f>O198/(parametros_manuales!$B$7)</f>
        <v>45.33393333</v>
      </c>
      <c r="Q198" s="3" t="str">
        <f t="shared" si="24"/>
        <v>Dic</v>
      </c>
    </row>
    <row r="199" ht="14.25" customHeight="1">
      <c r="A199" s="3" t="str">
        <f>parametros_manuales!$B$27</f>
        <v>Soldadura longitudinal</v>
      </c>
      <c r="B199" s="4">
        <f>(parametros_manuales!$D$27*('Plan mensual'!D79+IF(parametros_manuales!$H$27="Todos",'Plan mensual'!D83,0))+parametros_manuales!$E$27*('Plan mensual'!D80+IF(parametros_manuales!$H$27="Todos",'Plan mensual'!D84,0))+parametros_manuales!$F$27*('Plan mensual'!D81+IF(parametros_manuales!$H$27="Todos",'Plan mensual'!D85,0))+parametros_manuales!$G$27*('Plan mensual'!D82+IF(parametros_manuales!$H$27="Todos",'Plan mensual'!D86,0)))*parametros_manuales!$I$27*parametros_manuales!$J$27</f>
        <v>6181.9</v>
      </c>
      <c r="C199" s="4">
        <f>(parametros_manuales!$D$27*('Plan mensual'!E79+IF(parametros_manuales!$H$27="Todos",'Plan mensual'!E83,0))+parametros_manuales!$E$27*('Plan mensual'!E80+IF(parametros_manuales!$H$27="Todos",'Plan mensual'!E84,0))+parametros_manuales!$F$27*('Plan mensual'!E81+IF(parametros_manuales!$H$27="Todos",'Plan mensual'!E85,0))+parametros_manuales!$G$27*('Plan mensual'!E82+IF(parametros_manuales!$H$27="Todos",'Plan mensual'!E86,0)))*parametros_manuales!$I$27*parametros_manuales!$J$27</f>
        <v>4945.52</v>
      </c>
      <c r="D199" s="4">
        <f>(parametros_manuales!$D$27*('Plan mensual'!F79+IF(parametros_manuales!$H$27="Todos",'Plan mensual'!F83,0))+parametros_manuales!$E$27*('Plan mensual'!F80+IF(parametros_manuales!$H$27="Todos",'Plan mensual'!F84,0))+parametros_manuales!$F$27*('Plan mensual'!F81+IF(parametros_manuales!$H$27="Todos",'Plan mensual'!F85,0))+parametros_manuales!$G$27*('Plan mensual'!F82+IF(parametros_manuales!$H$27="Todos",'Plan mensual'!F86,0)))*parametros_manuales!$I$27*parametros_manuales!$J$27</f>
        <v>5254.615</v>
      </c>
      <c r="E199" s="4">
        <f>(parametros_manuales!$D$27*('Plan mensual'!G79+IF(parametros_manuales!$H$27="Todos",'Plan mensual'!G83,0))+parametros_manuales!$E$27*('Plan mensual'!G80+IF(parametros_manuales!$H$27="Todos",'Plan mensual'!G84,0))+parametros_manuales!$F$27*('Plan mensual'!G81+IF(parametros_manuales!$H$27="Todos",'Plan mensual'!G85,0))+parametros_manuales!$G$27*('Plan mensual'!G82+IF(parametros_manuales!$H$27="Todos",'Plan mensual'!G86,0)))*parametros_manuales!$I$27*parametros_manuales!$J$27</f>
        <v>5254.615</v>
      </c>
      <c r="F199" s="4">
        <f>(parametros_manuales!$D$27*('Plan mensual'!H79+IF(parametros_manuales!$H$27="Todos",'Plan mensual'!H83,0))+parametros_manuales!$E$27*('Plan mensual'!H80+IF(parametros_manuales!$H$27="Todos",'Plan mensual'!H84,0))+parametros_manuales!$F$27*('Plan mensual'!H81+IF(parametros_manuales!$H$27="Todos",'Plan mensual'!H85,0))+parametros_manuales!$G$27*('Plan mensual'!H82+IF(parametros_manuales!$H$27="Todos",'Plan mensual'!H86,0)))*parametros_manuales!$I$27*parametros_manuales!$J$27</f>
        <v>4945.52</v>
      </c>
      <c r="G199" s="4">
        <f>(parametros_manuales!$D$27*('Plan mensual'!I79+IF(parametros_manuales!$H$27="Todos",'Plan mensual'!I83,0))+parametros_manuales!$E$27*('Plan mensual'!I80+IF(parametros_manuales!$H$27="Todos",'Plan mensual'!I84,0))+parametros_manuales!$F$27*('Plan mensual'!I81+IF(parametros_manuales!$H$27="Todos",'Plan mensual'!I85,0))+parametros_manuales!$G$27*('Plan mensual'!I82+IF(parametros_manuales!$H$27="Todos",'Plan mensual'!I86,0)))*parametros_manuales!$I$27*parametros_manuales!$J$27</f>
        <v>4636.425</v>
      </c>
      <c r="H199" s="4">
        <f>(parametros_manuales!$D$27*('Plan mensual'!J79+IF(parametros_manuales!$H$27="Todos",'Plan mensual'!J83,0))+parametros_manuales!$E$27*('Plan mensual'!J80+IF(parametros_manuales!$H$27="Todos",'Plan mensual'!J84,0))+parametros_manuales!$F$27*('Plan mensual'!J81+IF(parametros_manuales!$H$27="Todos",'Plan mensual'!J85,0))+parametros_manuales!$G$27*('Plan mensual'!J82+IF(parametros_manuales!$H$27="Todos",'Plan mensual'!J86,0)))*parametros_manuales!$I$27*parametros_manuales!$J$27</f>
        <v>4945.52</v>
      </c>
      <c r="I199" s="4">
        <f>(parametros_manuales!$D$27*('Plan mensual'!K79+IF(parametros_manuales!$H$27="Todos",'Plan mensual'!K83,0))+parametros_manuales!$E$27*('Plan mensual'!K80+IF(parametros_manuales!$H$27="Todos",'Plan mensual'!K84,0))+parametros_manuales!$F$27*('Plan mensual'!K81+IF(parametros_manuales!$H$27="Todos",'Plan mensual'!K85,0))+parametros_manuales!$G$27*('Plan mensual'!K82+IF(parametros_manuales!$H$27="Todos",'Plan mensual'!K86,0)))*parametros_manuales!$I$27*parametros_manuales!$J$27</f>
        <v>4945.52</v>
      </c>
      <c r="J199" s="4">
        <f>(parametros_manuales!$D$27*('Plan mensual'!L79+IF(parametros_manuales!$H$27="Todos",'Plan mensual'!L83,0))+parametros_manuales!$E$27*('Plan mensual'!L80+IF(parametros_manuales!$H$27="Todos",'Plan mensual'!L84,0))+parametros_manuales!$F$27*('Plan mensual'!L81+IF(parametros_manuales!$H$27="Todos",'Plan mensual'!L85,0))+parametros_manuales!$G$27*('Plan mensual'!L82+IF(parametros_manuales!$H$27="Todos",'Plan mensual'!L86,0)))*parametros_manuales!$I$27*parametros_manuales!$J$27</f>
        <v>4945.52</v>
      </c>
      <c r="K199" s="4">
        <f>(parametros_manuales!$D$27*('Plan mensual'!M79+IF(parametros_manuales!$H$27="Todos",'Plan mensual'!M83,0))+parametros_manuales!$E$27*('Plan mensual'!M80+IF(parametros_manuales!$H$27="Todos",'Plan mensual'!M84,0))+parametros_manuales!$F$27*('Plan mensual'!M81+IF(parametros_manuales!$H$27="Todos",'Plan mensual'!M85,0))+parametros_manuales!$G$27*('Plan mensual'!M82+IF(parametros_manuales!$H$27="Todos",'Plan mensual'!M86,0)))*parametros_manuales!$I$27*parametros_manuales!$J$27</f>
        <v>4636.425</v>
      </c>
      <c r="L199" s="4">
        <f>(parametros_manuales!$D$27*('Plan mensual'!N79+IF(parametros_manuales!$H$27="Todos",'Plan mensual'!N83,0))+parametros_manuales!$E$27*('Plan mensual'!N80+IF(parametros_manuales!$H$27="Todos",'Plan mensual'!N84,0))+parametros_manuales!$F$27*('Plan mensual'!N81+IF(parametros_manuales!$H$27="Todos",'Plan mensual'!N85,0))+parametros_manuales!$G$27*('Plan mensual'!N82+IF(parametros_manuales!$H$27="Todos",'Plan mensual'!N86,0)))*parametros_manuales!$I$27*parametros_manuales!$J$27</f>
        <v>4327.33</v>
      </c>
      <c r="M199" s="4">
        <f>(parametros_manuales!$D$27*('Plan mensual'!O79+IF(parametros_manuales!$H$27="Todos",'Plan mensual'!O83,0))+parametros_manuales!$E$27*('Plan mensual'!O80+IF(parametros_manuales!$H$27="Todos",'Plan mensual'!O84,0))+parametros_manuales!$F$27*('Plan mensual'!O81+IF(parametros_manuales!$H$27="Todos",'Plan mensual'!O85,0))+parametros_manuales!$G$27*('Plan mensual'!O82+IF(parametros_manuales!$H$27="Todos",'Plan mensual'!O86,0)))*parametros_manuales!$I$27*parametros_manuales!$J$27</f>
        <v>6800.09</v>
      </c>
      <c r="N199" s="4">
        <f t="shared" si="22"/>
        <v>61819</v>
      </c>
      <c r="O199" s="4">
        <f t="shared" si="23"/>
        <v>6800.09</v>
      </c>
      <c r="P199" s="27">
        <f>O199/(parametros_manuales!$B$7)</f>
        <v>45.33393333</v>
      </c>
      <c r="Q199" s="3" t="str">
        <f t="shared" si="24"/>
        <v>Dic</v>
      </c>
    </row>
    <row r="200" ht="14.25" customHeight="1">
      <c r="A200" s="3" t="str">
        <f>parametros_manuales!$B$28</f>
        <v>Encastre de fondo</v>
      </c>
      <c r="B200" s="4">
        <f>(parametros_manuales!$D$28*('Plan mensual'!D79+IF(parametros_manuales!$H$28="Todos",'Plan mensual'!D83,0))+parametros_manuales!$E$28*('Plan mensual'!D80+IF(parametros_manuales!$H$28="Todos",'Plan mensual'!D84,0))+parametros_manuales!$F$28*('Plan mensual'!D81+IF(parametros_manuales!$H$28="Todos",'Plan mensual'!D85,0))+parametros_manuales!$G$28*('Plan mensual'!D82+IF(parametros_manuales!$H$28="Todos",'Plan mensual'!D86,0)))*parametros_manuales!$I$28*parametros_manuales!$J$28</f>
        <v>24917.86</v>
      </c>
      <c r="C200" s="4">
        <f>(parametros_manuales!$D$28*('Plan mensual'!E79+IF(parametros_manuales!$H$28="Todos",'Plan mensual'!E83,0))+parametros_manuales!$E$28*('Plan mensual'!E80+IF(parametros_manuales!$H$28="Todos",'Plan mensual'!E84,0))+parametros_manuales!$F$28*('Plan mensual'!E81+IF(parametros_manuales!$H$28="Todos",'Plan mensual'!E85,0))+parametros_manuales!$G$28*('Plan mensual'!E82+IF(parametros_manuales!$H$28="Todos",'Plan mensual'!E86,0)))*parametros_manuales!$I$28*parametros_manuales!$J$28</f>
        <v>18997.49</v>
      </c>
      <c r="D200" s="4">
        <f>(parametros_manuales!$D$28*('Plan mensual'!F79+IF(parametros_manuales!$H$28="Todos",'Plan mensual'!F83,0))+parametros_manuales!$E$28*('Plan mensual'!F80+IF(parametros_manuales!$H$28="Todos",'Plan mensual'!F84,0))+parametros_manuales!$F$28*('Plan mensual'!F81+IF(parametros_manuales!$H$28="Todos",'Plan mensual'!F85,0))+parametros_manuales!$G$28*('Plan mensual'!F82+IF(parametros_manuales!$H$28="Todos",'Plan mensual'!F86,0)))*parametros_manuales!$I$28*parametros_manuales!$J$28</f>
        <v>17745.255</v>
      </c>
      <c r="E200" s="4">
        <f>(parametros_manuales!$D$28*('Plan mensual'!G79+IF(parametros_manuales!$H$28="Todos",'Plan mensual'!G83,0))+parametros_manuales!$E$28*('Plan mensual'!G80+IF(parametros_manuales!$H$28="Todos",'Plan mensual'!G84,0))+parametros_manuales!$F$28*('Plan mensual'!G81+IF(parametros_manuales!$H$28="Todos",'Plan mensual'!G85,0))+parametros_manuales!$G$28*('Plan mensual'!G82+IF(parametros_manuales!$H$28="Todos",'Plan mensual'!G86,0)))*parametros_manuales!$I$28*parametros_manuales!$J$28</f>
        <v>16964.59</v>
      </c>
      <c r="F200" s="4">
        <f>(parametros_manuales!$D$28*('Plan mensual'!H79+IF(parametros_manuales!$H$28="Todos",'Plan mensual'!H83,0))+parametros_manuales!$E$28*('Plan mensual'!H80+IF(parametros_manuales!$H$28="Todos",'Plan mensual'!H84,0))+parametros_manuales!$F$28*('Plan mensual'!H81+IF(parametros_manuales!$H$28="Todos",'Plan mensual'!H85,0))+parametros_manuales!$G$28*('Plan mensual'!H82+IF(parametros_manuales!$H$28="Todos",'Plan mensual'!H86,0)))*parametros_manuales!$I$28*parametros_manuales!$J$28</f>
        <v>15874.83</v>
      </c>
      <c r="G200" s="4">
        <f>(parametros_manuales!$D$28*('Plan mensual'!I79+IF(parametros_manuales!$H$28="Todos",'Plan mensual'!I83,0))+parametros_manuales!$E$28*('Plan mensual'!I80+IF(parametros_manuales!$H$28="Todos",'Plan mensual'!I84,0))+parametros_manuales!$F$28*('Plan mensual'!I81+IF(parametros_manuales!$H$28="Todos",'Plan mensual'!I85,0))+parametros_manuales!$G$28*('Plan mensual'!I82+IF(parametros_manuales!$H$28="Todos",'Plan mensual'!I86,0)))*parametros_manuales!$I$28*parametros_manuales!$J$28</f>
        <v>15565.735</v>
      </c>
      <c r="H200" s="4">
        <f>(parametros_manuales!$D$28*('Plan mensual'!J79+IF(parametros_manuales!$H$28="Todos",'Plan mensual'!J83,0))+parametros_manuales!$E$28*('Plan mensual'!J80+IF(parametros_manuales!$H$28="Todos",'Plan mensual'!J84,0))+parametros_manuales!$F$28*('Plan mensual'!J81+IF(parametros_manuales!$H$28="Todos",'Plan mensual'!J85,0))+parametros_manuales!$G$28*('Plan mensual'!J82+IF(parametros_manuales!$H$28="Todos",'Plan mensual'!J86,0)))*parametros_manuales!$I$28*parametros_manuales!$J$28</f>
        <v>16655.495</v>
      </c>
      <c r="I200" s="4">
        <f>(parametros_manuales!$D$28*('Plan mensual'!K79+IF(parametros_manuales!$H$28="Todos",'Plan mensual'!K83,0))+parametros_manuales!$E$28*('Plan mensual'!K80+IF(parametros_manuales!$H$28="Todos",'Plan mensual'!K84,0))+parametros_manuales!$F$28*('Plan mensual'!K81+IF(parametros_manuales!$H$28="Todos",'Plan mensual'!K85,0))+parametros_manuales!$G$28*('Plan mensual'!K82+IF(parametros_manuales!$H$28="Todos",'Plan mensual'!K86,0)))*parametros_manuales!$I$28*parametros_manuales!$J$28</f>
        <v>16655.495</v>
      </c>
      <c r="J200" s="4">
        <f>(parametros_manuales!$D$28*('Plan mensual'!L79+IF(parametros_manuales!$H$28="Todos",'Plan mensual'!L83,0))+parametros_manuales!$E$28*('Plan mensual'!L80+IF(parametros_manuales!$H$28="Todos",'Plan mensual'!L84,0))+parametros_manuales!$F$28*('Plan mensual'!L81+IF(parametros_manuales!$H$28="Todos",'Plan mensual'!L85,0))+parametros_manuales!$G$28*('Plan mensual'!L82+IF(parametros_manuales!$H$28="Todos",'Plan mensual'!L86,0)))*parametros_manuales!$I$28*parametros_manuales!$J$28</f>
        <v>16655.495</v>
      </c>
      <c r="K200" s="4">
        <f>(parametros_manuales!$D$28*('Plan mensual'!M79+IF(parametros_manuales!$H$28="Todos",'Plan mensual'!M83,0))+parametros_manuales!$E$28*('Plan mensual'!M80+IF(parametros_manuales!$H$28="Todos",'Plan mensual'!M84,0))+parametros_manuales!$F$28*('Plan mensual'!M81+IF(parametros_manuales!$H$28="Todos",'Plan mensual'!M85,0))+parametros_manuales!$G$28*('Plan mensual'!M82+IF(parametros_manuales!$H$28="Todos",'Plan mensual'!M86,0)))*parametros_manuales!$I$28*parametros_manuales!$J$28</f>
        <v>16346.4</v>
      </c>
      <c r="L200" s="4">
        <f>(parametros_manuales!$D$28*('Plan mensual'!N79+IF(parametros_manuales!$H$28="Todos",'Plan mensual'!N83,0))+parametros_manuales!$E$28*('Plan mensual'!N80+IF(parametros_manuales!$H$28="Todos",'Plan mensual'!N84,0))+parametros_manuales!$F$28*('Plan mensual'!N81+IF(parametros_manuales!$H$28="Todos",'Plan mensual'!N85,0))+parametros_manuales!$G$28*('Plan mensual'!N82+IF(parametros_manuales!$H$28="Todos",'Plan mensual'!N86,0)))*parametros_manuales!$I$28*parametros_manuales!$J$28</f>
        <v>16037.305</v>
      </c>
      <c r="M200" s="4">
        <f>(parametros_manuales!$D$28*('Plan mensual'!O79+IF(parametros_manuales!$H$28="Todos",'Plan mensual'!O83,0))+parametros_manuales!$E$28*('Plan mensual'!O80+IF(parametros_manuales!$H$28="Todos",'Plan mensual'!O84,0))+parametros_manuales!$F$28*('Plan mensual'!O81+IF(parametros_manuales!$H$28="Todos",'Plan mensual'!O85,0))+parametros_manuales!$G$28*('Plan mensual'!O82+IF(parametros_manuales!$H$28="Todos",'Plan mensual'!O86,0)))*parametros_manuales!$I$28*parametros_manuales!$J$28</f>
        <v>25536.05</v>
      </c>
      <c r="N200" s="4">
        <f t="shared" si="22"/>
        <v>217952</v>
      </c>
      <c r="O200" s="4">
        <f t="shared" si="23"/>
        <v>25536.05</v>
      </c>
      <c r="P200" s="27">
        <f>O200/(parametros_manuales!$B$7)</f>
        <v>170.2403333</v>
      </c>
      <c r="Q200" s="3" t="str">
        <f t="shared" si="24"/>
        <v>Dic</v>
      </c>
    </row>
    <row r="201" ht="14.25" customHeight="1">
      <c r="A201" s="3" t="str">
        <f>parametros_manuales!$B$29</f>
        <v>Bordoneado</v>
      </c>
      <c r="B201" s="4">
        <f>(parametros_manuales!$D$29*('Plan mensual'!D79+IF(parametros_manuales!$H$29="Todos",'Plan mensual'!D83,0))+parametros_manuales!$E$29*('Plan mensual'!D80+IF(parametros_manuales!$H$29="Todos",'Plan mensual'!D84,0))+parametros_manuales!$F$29*('Plan mensual'!D81+IF(parametros_manuales!$H$29="Todos",'Plan mensual'!D85,0))+parametros_manuales!$G$29*('Plan mensual'!D82+IF(parametros_manuales!$H$29="Todos",'Plan mensual'!D86,0)))*parametros_manuales!$I$29*parametros_manuales!$J$29</f>
        <v>24917.86</v>
      </c>
      <c r="C201" s="4">
        <f>(parametros_manuales!$D$29*('Plan mensual'!E79+IF(parametros_manuales!$H$29="Todos",'Plan mensual'!E83,0))+parametros_manuales!$E$29*('Plan mensual'!E80+IF(parametros_manuales!$H$29="Todos",'Plan mensual'!E84,0))+parametros_manuales!$F$29*('Plan mensual'!E81+IF(parametros_manuales!$H$29="Todos",'Plan mensual'!E85,0))+parametros_manuales!$G$29*('Plan mensual'!E82+IF(parametros_manuales!$H$29="Todos",'Plan mensual'!E86,0)))*parametros_manuales!$I$29*parametros_manuales!$J$29</f>
        <v>18997.49</v>
      </c>
      <c r="D201" s="4">
        <f>(parametros_manuales!$D$29*('Plan mensual'!F79+IF(parametros_manuales!$H$29="Todos",'Plan mensual'!F83,0))+parametros_manuales!$E$29*('Plan mensual'!F80+IF(parametros_manuales!$H$29="Todos",'Plan mensual'!F84,0))+parametros_manuales!$F$29*('Plan mensual'!F81+IF(parametros_manuales!$H$29="Todos",'Plan mensual'!F85,0))+parametros_manuales!$G$29*('Plan mensual'!F82+IF(parametros_manuales!$H$29="Todos",'Plan mensual'!F86,0)))*parametros_manuales!$I$29*parametros_manuales!$J$29</f>
        <v>17745.255</v>
      </c>
      <c r="E201" s="4">
        <f>(parametros_manuales!$D$29*('Plan mensual'!G79+IF(parametros_manuales!$H$29="Todos",'Plan mensual'!G83,0))+parametros_manuales!$E$29*('Plan mensual'!G80+IF(parametros_manuales!$H$29="Todos",'Plan mensual'!G84,0))+parametros_manuales!$F$29*('Plan mensual'!G81+IF(parametros_manuales!$H$29="Todos",'Plan mensual'!G85,0))+parametros_manuales!$G$29*('Plan mensual'!G82+IF(parametros_manuales!$H$29="Todos",'Plan mensual'!G86,0)))*parametros_manuales!$I$29*parametros_manuales!$J$29</f>
        <v>16964.59</v>
      </c>
      <c r="F201" s="4">
        <f>(parametros_manuales!$D$29*('Plan mensual'!H79+IF(parametros_manuales!$H$29="Todos",'Plan mensual'!H83,0))+parametros_manuales!$E$29*('Plan mensual'!H80+IF(parametros_manuales!$H$29="Todos",'Plan mensual'!H84,0))+parametros_manuales!$F$29*('Plan mensual'!H81+IF(parametros_manuales!$H$29="Todos",'Plan mensual'!H85,0))+parametros_manuales!$G$29*('Plan mensual'!H82+IF(parametros_manuales!$H$29="Todos",'Plan mensual'!H86,0)))*parametros_manuales!$I$29*parametros_manuales!$J$29</f>
        <v>15874.83</v>
      </c>
      <c r="G201" s="4">
        <f>(parametros_manuales!$D$29*('Plan mensual'!I79+IF(parametros_manuales!$H$29="Todos",'Plan mensual'!I83,0))+parametros_manuales!$E$29*('Plan mensual'!I80+IF(parametros_manuales!$H$29="Todos",'Plan mensual'!I84,0))+parametros_manuales!$F$29*('Plan mensual'!I81+IF(parametros_manuales!$H$29="Todos",'Plan mensual'!I85,0))+parametros_manuales!$G$29*('Plan mensual'!I82+IF(parametros_manuales!$H$29="Todos",'Plan mensual'!I86,0)))*parametros_manuales!$I$29*parametros_manuales!$J$29</f>
        <v>15565.735</v>
      </c>
      <c r="H201" s="4">
        <f>(parametros_manuales!$D$29*('Plan mensual'!J79+IF(parametros_manuales!$H$29="Todos",'Plan mensual'!J83,0))+parametros_manuales!$E$29*('Plan mensual'!J80+IF(parametros_manuales!$H$29="Todos",'Plan mensual'!J84,0))+parametros_manuales!$F$29*('Plan mensual'!J81+IF(parametros_manuales!$H$29="Todos",'Plan mensual'!J85,0))+parametros_manuales!$G$29*('Plan mensual'!J82+IF(parametros_manuales!$H$29="Todos",'Plan mensual'!J86,0)))*parametros_manuales!$I$29*parametros_manuales!$J$29</f>
        <v>16655.495</v>
      </c>
      <c r="I201" s="4">
        <f>(parametros_manuales!$D$29*('Plan mensual'!K79+IF(parametros_manuales!$H$29="Todos",'Plan mensual'!K83,0))+parametros_manuales!$E$29*('Plan mensual'!K80+IF(parametros_manuales!$H$29="Todos",'Plan mensual'!K84,0))+parametros_manuales!$F$29*('Plan mensual'!K81+IF(parametros_manuales!$H$29="Todos",'Plan mensual'!K85,0))+parametros_manuales!$G$29*('Plan mensual'!K82+IF(parametros_manuales!$H$29="Todos",'Plan mensual'!K86,0)))*parametros_manuales!$I$29*parametros_manuales!$J$29</f>
        <v>16655.495</v>
      </c>
      <c r="J201" s="4">
        <f>(parametros_manuales!$D$29*('Plan mensual'!L79+IF(parametros_manuales!$H$29="Todos",'Plan mensual'!L83,0))+parametros_manuales!$E$29*('Plan mensual'!L80+IF(parametros_manuales!$H$29="Todos",'Plan mensual'!L84,0))+parametros_manuales!$F$29*('Plan mensual'!L81+IF(parametros_manuales!$H$29="Todos",'Plan mensual'!L85,0))+parametros_manuales!$G$29*('Plan mensual'!L82+IF(parametros_manuales!$H$29="Todos",'Plan mensual'!L86,0)))*parametros_manuales!$I$29*parametros_manuales!$J$29</f>
        <v>16655.495</v>
      </c>
      <c r="K201" s="4">
        <f>(parametros_manuales!$D$29*('Plan mensual'!M79+IF(parametros_manuales!$H$29="Todos",'Plan mensual'!M83,0))+parametros_manuales!$E$29*('Plan mensual'!M80+IF(parametros_manuales!$H$29="Todos",'Plan mensual'!M84,0))+parametros_manuales!$F$29*('Plan mensual'!M81+IF(parametros_manuales!$H$29="Todos",'Plan mensual'!M85,0))+parametros_manuales!$G$29*('Plan mensual'!M82+IF(parametros_manuales!$H$29="Todos",'Plan mensual'!M86,0)))*parametros_manuales!$I$29*parametros_manuales!$J$29</f>
        <v>16346.4</v>
      </c>
      <c r="L201" s="4">
        <f>(parametros_manuales!$D$29*('Plan mensual'!N79+IF(parametros_manuales!$H$29="Todos",'Plan mensual'!N83,0))+parametros_manuales!$E$29*('Plan mensual'!N80+IF(parametros_manuales!$H$29="Todos",'Plan mensual'!N84,0))+parametros_manuales!$F$29*('Plan mensual'!N81+IF(parametros_manuales!$H$29="Todos",'Plan mensual'!N85,0))+parametros_manuales!$G$29*('Plan mensual'!N82+IF(parametros_manuales!$H$29="Todos",'Plan mensual'!N86,0)))*parametros_manuales!$I$29*parametros_manuales!$J$29</f>
        <v>16037.305</v>
      </c>
      <c r="M201" s="4">
        <f>(parametros_manuales!$D$29*('Plan mensual'!O79+IF(parametros_manuales!$H$29="Todos",'Plan mensual'!O83,0))+parametros_manuales!$E$29*('Plan mensual'!O80+IF(parametros_manuales!$H$29="Todos",'Plan mensual'!O84,0))+parametros_manuales!$F$29*('Plan mensual'!O81+IF(parametros_manuales!$H$29="Todos",'Plan mensual'!O85,0))+parametros_manuales!$G$29*('Plan mensual'!O82+IF(parametros_manuales!$H$29="Todos",'Plan mensual'!O86,0)))*parametros_manuales!$I$29*parametros_manuales!$J$29</f>
        <v>25536.05</v>
      </c>
      <c r="N201" s="4">
        <f t="shared" si="22"/>
        <v>217952</v>
      </c>
      <c r="O201" s="4">
        <f t="shared" si="23"/>
        <v>25536.05</v>
      </c>
      <c r="P201" s="27">
        <f>O201/(parametros_manuales!$B$7)</f>
        <v>170.2403333</v>
      </c>
      <c r="Q201" s="3" t="str">
        <f t="shared" si="24"/>
        <v>Dic</v>
      </c>
    </row>
    <row r="202" ht="14.25" customHeight="1">
      <c r="A202" s="3" t="str">
        <f>parametros_manuales!$B$30</f>
        <v>Soldadura circunferencial de cúpula y fondo</v>
      </c>
      <c r="B202" s="4">
        <f>(parametros_manuales!$D$30*('Plan mensual'!D79+IF(parametros_manuales!$H$30="Todos",'Plan mensual'!D83,0))+parametros_manuales!$E$30*('Plan mensual'!D80+IF(parametros_manuales!$H$30="Todos",'Plan mensual'!D84,0))+parametros_manuales!$F$30*('Plan mensual'!D81+IF(parametros_manuales!$H$30="Todos",'Plan mensual'!D85,0))+parametros_manuales!$G$30*('Plan mensual'!D82+IF(parametros_manuales!$H$30="Todos",'Plan mensual'!D86,0)))*parametros_manuales!$I$30*parametros_manuales!$J$30</f>
        <v>24917.86</v>
      </c>
      <c r="C202" s="4">
        <f>(parametros_manuales!$D$30*('Plan mensual'!E79+IF(parametros_manuales!$H$30="Todos",'Plan mensual'!E83,0))+parametros_manuales!$E$30*('Plan mensual'!E80+IF(parametros_manuales!$H$30="Todos",'Plan mensual'!E84,0))+parametros_manuales!$F$30*('Plan mensual'!E81+IF(parametros_manuales!$H$30="Todos",'Plan mensual'!E85,0))+parametros_manuales!$G$30*('Plan mensual'!E82+IF(parametros_manuales!$H$30="Todos",'Plan mensual'!E86,0)))*parametros_manuales!$I$30*parametros_manuales!$J$30</f>
        <v>18997.49</v>
      </c>
      <c r="D202" s="4">
        <f>(parametros_manuales!$D$30*('Plan mensual'!F79+IF(parametros_manuales!$H$30="Todos",'Plan mensual'!F83,0))+parametros_manuales!$E$30*('Plan mensual'!F80+IF(parametros_manuales!$H$30="Todos",'Plan mensual'!F84,0))+parametros_manuales!$F$30*('Plan mensual'!F81+IF(parametros_manuales!$H$30="Todos",'Plan mensual'!F85,0))+parametros_manuales!$G$30*('Plan mensual'!F82+IF(parametros_manuales!$H$30="Todos",'Plan mensual'!F86,0)))*parametros_manuales!$I$30*parametros_manuales!$J$30</f>
        <v>17745.255</v>
      </c>
      <c r="E202" s="4">
        <f>(parametros_manuales!$D$30*('Plan mensual'!G79+IF(parametros_manuales!$H$30="Todos",'Plan mensual'!G83,0))+parametros_manuales!$E$30*('Plan mensual'!G80+IF(parametros_manuales!$H$30="Todos",'Plan mensual'!G84,0))+parametros_manuales!$F$30*('Plan mensual'!G81+IF(parametros_manuales!$H$30="Todos",'Plan mensual'!G85,0))+parametros_manuales!$G$30*('Plan mensual'!G82+IF(parametros_manuales!$H$30="Todos",'Plan mensual'!G86,0)))*parametros_manuales!$I$30*parametros_manuales!$J$30</f>
        <v>16964.59</v>
      </c>
      <c r="F202" s="4">
        <f>(parametros_manuales!$D$30*('Plan mensual'!H79+IF(parametros_manuales!$H$30="Todos",'Plan mensual'!H83,0))+parametros_manuales!$E$30*('Plan mensual'!H80+IF(parametros_manuales!$H$30="Todos",'Plan mensual'!H84,0))+parametros_manuales!$F$30*('Plan mensual'!H81+IF(parametros_manuales!$H$30="Todos",'Plan mensual'!H85,0))+parametros_manuales!$G$30*('Plan mensual'!H82+IF(parametros_manuales!$H$30="Todos",'Plan mensual'!H86,0)))*parametros_manuales!$I$30*parametros_manuales!$J$30</f>
        <v>15874.83</v>
      </c>
      <c r="G202" s="4">
        <f>(parametros_manuales!$D$30*('Plan mensual'!I79+IF(parametros_manuales!$H$30="Todos",'Plan mensual'!I83,0))+parametros_manuales!$E$30*('Plan mensual'!I80+IF(parametros_manuales!$H$30="Todos",'Plan mensual'!I84,0))+parametros_manuales!$F$30*('Plan mensual'!I81+IF(parametros_manuales!$H$30="Todos",'Plan mensual'!I85,0))+parametros_manuales!$G$30*('Plan mensual'!I82+IF(parametros_manuales!$H$30="Todos",'Plan mensual'!I86,0)))*parametros_manuales!$I$30*parametros_manuales!$J$30</f>
        <v>15565.735</v>
      </c>
      <c r="H202" s="4">
        <f>(parametros_manuales!$D$30*('Plan mensual'!J79+IF(parametros_manuales!$H$30="Todos",'Plan mensual'!J83,0))+parametros_manuales!$E$30*('Plan mensual'!J80+IF(parametros_manuales!$H$30="Todos",'Plan mensual'!J84,0))+parametros_manuales!$F$30*('Plan mensual'!J81+IF(parametros_manuales!$H$30="Todos",'Plan mensual'!J85,0))+parametros_manuales!$G$30*('Plan mensual'!J82+IF(parametros_manuales!$H$30="Todos",'Plan mensual'!J86,0)))*parametros_manuales!$I$30*parametros_manuales!$J$30</f>
        <v>16655.495</v>
      </c>
      <c r="I202" s="4">
        <f>(parametros_manuales!$D$30*('Plan mensual'!K79+IF(parametros_manuales!$H$30="Todos",'Plan mensual'!K83,0))+parametros_manuales!$E$30*('Plan mensual'!K80+IF(parametros_manuales!$H$30="Todos",'Plan mensual'!K84,0))+parametros_manuales!$F$30*('Plan mensual'!K81+IF(parametros_manuales!$H$30="Todos",'Plan mensual'!K85,0))+parametros_manuales!$G$30*('Plan mensual'!K82+IF(parametros_manuales!$H$30="Todos",'Plan mensual'!K86,0)))*parametros_manuales!$I$30*parametros_manuales!$J$30</f>
        <v>16655.495</v>
      </c>
      <c r="J202" s="4">
        <f>(parametros_manuales!$D$30*('Plan mensual'!L79+IF(parametros_manuales!$H$30="Todos",'Plan mensual'!L83,0))+parametros_manuales!$E$30*('Plan mensual'!L80+IF(parametros_manuales!$H$30="Todos",'Plan mensual'!L84,0))+parametros_manuales!$F$30*('Plan mensual'!L81+IF(parametros_manuales!$H$30="Todos",'Plan mensual'!L85,0))+parametros_manuales!$G$30*('Plan mensual'!L82+IF(parametros_manuales!$H$30="Todos",'Plan mensual'!L86,0)))*parametros_manuales!$I$30*parametros_manuales!$J$30</f>
        <v>16655.495</v>
      </c>
      <c r="K202" s="4">
        <f>(parametros_manuales!$D$30*('Plan mensual'!M79+IF(parametros_manuales!$H$30="Todos",'Plan mensual'!M83,0))+parametros_manuales!$E$30*('Plan mensual'!M80+IF(parametros_manuales!$H$30="Todos",'Plan mensual'!M84,0))+parametros_manuales!$F$30*('Plan mensual'!M81+IF(parametros_manuales!$H$30="Todos",'Plan mensual'!M85,0))+parametros_manuales!$G$30*('Plan mensual'!M82+IF(parametros_manuales!$H$30="Todos",'Plan mensual'!M86,0)))*parametros_manuales!$I$30*parametros_manuales!$J$30</f>
        <v>16346.4</v>
      </c>
      <c r="L202" s="4">
        <f>(parametros_manuales!$D$30*('Plan mensual'!N79+IF(parametros_manuales!$H$30="Todos",'Plan mensual'!N83,0))+parametros_manuales!$E$30*('Plan mensual'!N80+IF(parametros_manuales!$H$30="Todos",'Plan mensual'!N84,0))+parametros_manuales!$F$30*('Plan mensual'!N81+IF(parametros_manuales!$H$30="Todos",'Plan mensual'!N85,0))+parametros_manuales!$G$30*('Plan mensual'!N82+IF(parametros_manuales!$H$30="Todos",'Plan mensual'!N86,0)))*parametros_manuales!$I$30*parametros_manuales!$J$30</f>
        <v>16037.305</v>
      </c>
      <c r="M202" s="4">
        <f>(parametros_manuales!$D$30*('Plan mensual'!O79+IF(parametros_manuales!$H$30="Todos",'Plan mensual'!O83,0))+parametros_manuales!$E$30*('Plan mensual'!O80+IF(parametros_manuales!$H$30="Todos",'Plan mensual'!O84,0))+parametros_manuales!$F$30*('Plan mensual'!O81+IF(parametros_manuales!$H$30="Todos",'Plan mensual'!O85,0))+parametros_manuales!$G$30*('Plan mensual'!O82+IF(parametros_manuales!$H$30="Todos",'Plan mensual'!O86,0)))*parametros_manuales!$I$30*parametros_manuales!$J$30</f>
        <v>25536.05</v>
      </c>
      <c r="N202" s="4">
        <f t="shared" si="22"/>
        <v>217952</v>
      </c>
      <c r="O202" s="4">
        <f t="shared" si="23"/>
        <v>25536.05</v>
      </c>
      <c r="P202" s="27">
        <f>O202/(parametros_manuales!$B$7)</f>
        <v>170.2403333</v>
      </c>
      <c r="Q202" s="3" t="str">
        <f t="shared" si="24"/>
        <v>Dic</v>
      </c>
    </row>
    <row r="203" ht="14.25" customHeight="1">
      <c r="A203" s="3" t="str">
        <f>parametros_manuales!$B$31</f>
        <v>Control de calidad — Espesor</v>
      </c>
      <c r="B203" s="4">
        <f>(parametros_manuales!$D$31*('Plan mensual'!D79+IF(parametros_manuales!$H$31="Todos",'Plan mensual'!D83,0))+parametros_manuales!$E$31*('Plan mensual'!D80+IF(parametros_manuales!$H$31="Todos",'Plan mensual'!D84,0))+parametros_manuales!$F$31*('Plan mensual'!D81+IF(parametros_manuales!$H$31="Todos",'Plan mensual'!D85,0))+parametros_manuales!$G$31*('Plan mensual'!D82+IF(parametros_manuales!$H$31="Todos",'Plan mensual'!D86,0)))*parametros_manuales!$I$31*parametros_manuales!$J$31</f>
        <v>498.3572</v>
      </c>
      <c r="C203" s="4">
        <f>(parametros_manuales!$D$31*('Plan mensual'!E79+IF(parametros_manuales!$H$31="Todos",'Plan mensual'!E83,0))+parametros_manuales!$E$31*('Plan mensual'!E80+IF(parametros_manuales!$H$31="Todos",'Plan mensual'!E84,0))+parametros_manuales!$F$31*('Plan mensual'!E81+IF(parametros_manuales!$H$31="Todos",'Plan mensual'!E85,0))+parametros_manuales!$G$31*('Plan mensual'!E82+IF(parametros_manuales!$H$31="Todos",'Plan mensual'!E86,0)))*parametros_manuales!$I$31*parametros_manuales!$J$31</f>
        <v>379.9498</v>
      </c>
      <c r="D203" s="4">
        <f>(parametros_manuales!$D$31*('Plan mensual'!F79+IF(parametros_manuales!$H$31="Todos",'Plan mensual'!F83,0))+parametros_manuales!$E$31*('Plan mensual'!F80+IF(parametros_manuales!$H$31="Todos",'Plan mensual'!F84,0))+parametros_manuales!$F$31*('Plan mensual'!F81+IF(parametros_manuales!$H$31="Todos",'Plan mensual'!F85,0))+parametros_manuales!$G$31*('Plan mensual'!F82+IF(parametros_manuales!$H$31="Todos",'Plan mensual'!F86,0)))*parametros_manuales!$I$31*parametros_manuales!$J$31</f>
        <v>354.9051</v>
      </c>
      <c r="E203" s="4">
        <f>(parametros_manuales!$D$31*('Plan mensual'!G79+IF(parametros_manuales!$H$31="Todos",'Plan mensual'!G83,0))+parametros_manuales!$E$31*('Plan mensual'!G80+IF(parametros_manuales!$H$31="Todos",'Plan mensual'!G84,0))+parametros_manuales!$F$31*('Plan mensual'!G81+IF(parametros_manuales!$H$31="Todos",'Plan mensual'!G85,0))+parametros_manuales!$G$31*('Plan mensual'!G82+IF(parametros_manuales!$H$31="Todos",'Plan mensual'!G86,0)))*parametros_manuales!$I$31*parametros_manuales!$J$31</f>
        <v>339.2918</v>
      </c>
      <c r="F203" s="4">
        <f>(parametros_manuales!$D$31*('Plan mensual'!H79+IF(parametros_manuales!$H$31="Todos",'Plan mensual'!H83,0))+parametros_manuales!$E$31*('Plan mensual'!H80+IF(parametros_manuales!$H$31="Todos",'Plan mensual'!H84,0))+parametros_manuales!$F$31*('Plan mensual'!H81+IF(parametros_manuales!$H$31="Todos",'Plan mensual'!H85,0))+parametros_manuales!$G$31*('Plan mensual'!H82+IF(parametros_manuales!$H$31="Todos",'Plan mensual'!H86,0)))*parametros_manuales!$I$31*parametros_manuales!$J$31</f>
        <v>317.4966</v>
      </c>
      <c r="G203" s="4">
        <f>(parametros_manuales!$D$31*('Plan mensual'!I79+IF(parametros_manuales!$H$31="Todos",'Plan mensual'!I83,0))+parametros_manuales!$E$31*('Plan mensual'!I80+IF(parametros_manuales!$H$31="Todos",'Plan mensual'!I84,0))+parametros_manuales!$F$31*('Plan mensual'!I81+IF(parametros_manuales!$H$31="Todos",'Plan mensual'!I85,0))+parametros_manuales!$G$31*('Plan mensual'!I82+IF(parametros_manuales!$H$31="Todos",'Plan mensual'!I86,0)))*parametros_manuales!$I$31*parametros_manuales!$J$31</f>
        <v>311.3147</v>
      </c>
      <c r="H203" s="4">
        <f>(parametros_manuales!$D$31*('Plan mensual'!J79+IF(parametros_manuales!$H$31="Todos",'Plan mensual'!J83,0))+parametros_manuales!$E$31*('Plan mensual'!J80+IF(parametros_manuales!$H$31="Todos",'Plan mensual'!J84,0))+parametros_manuales!$F$31*('Plan mensual'!J81+IF(parametros_manuales!$H$31="Todos",'Plan mensual'!J85,0))+parametros_manuales!$G$31*('Plan mensual'!J82+IF(parametros_manuales!$H$31="Todos",'Plan mensual'!J86,0)))*parametros_manuales!$I$31*parametros_manuales!$J$31</f>
        <v>333.1099</v>
      </c>
      <c r="I203" s="4">
        <f>(parametros_manuales!$D$31*('Plan mensual'!K79+IF(parametros_manuales!$H$31="Todos",'Plan mensual'!K83,0))+parametros_manuales!$E$31*('Plan mensual'!K80+IF(parametros_manuales!$H$31="Todos",'Plan mensual'!K84,0))+parametros_manuales!$F$31*('Plan mensual'!K81+IF(parametros_manuales!$H$31="Todos",'Plan mensual'!K85,0))+parametros_manuales!$G$31*('Plan mensual'!K82+IF(parametros_manuales!$H$31="Todos",'Plan mensual'!K86,0)))*parametros_manuales!$I$31*parametros_manuales!$J$31</f>
        <v>333.1099</v>
      </c>
      <c r="J203" s="4">
        <f>(parametros_manuales!$D$31*('Plan mensual'!L79+IF(parametros_manuales!$H$31="Todos",'Plan mensual'!L83,0))+parametros_manuales!$E$31*('Plan mensual'!L80+IF(parametros_manuales!$H$31="Todos",'Plan mensual'!L84,0))+parametros_manuales!$F$31*('Plan mensual'!L81+IF(parametros_manuales!$H$31="Todos",'Plan mensual'!L85,0))+parametros_manuales!$G$31*('Plan mensual'!L82+IF(parametros_manuales!$H$31="Todos",'Plan mensual'!L86,0)))*parametros_manuales!$I$31*parametros_manuales!$J$31</f>
        <v>333.1099</v>
      </c>
      <c r="K203" s="4">
        <f>(parametros_manuales!$D$31*('Plan mensual'!M79+IF(parametros_manuales!$H$31="Todos",'Plan mensual'!M83,0))+parametros_manuales!$E$31*('Plan mensual'!M80+IF(parametros_manuales!$H$31="Todos",'Plan mensual'!M84,0))+parametros_manuales!$F$31*('Plan mensual'!M81+IF(parametros_manuales!$H$31="Todos",'Plan mensual'!M85,0))+parametros_manuales!$G$31*('Plan mensual'!M82+IF(parametros_manuales!$H$31="Todos",'Plan mensual'!M86,0)))*parametros_manuales!$I$31*parametros_manuales!$J$31</f>
        <v>326.928</v>
      </c>
      <c r="L203" s="4">
        <f>(parametros_manuales!$D$31*('Plan mensual'!N79+IF(parametros_manuales!$H$31="Todos",'Plan mensual'!N83,0))+parametros_manuales!$E$31*('Plan mensual'!N80+IF(parametros_manuales!$H$31="Todos",'Plan mensual'!N84,0))+parametros_manuales!$F$31*('Plan mensual'!N81+IF(parametros_manuales!$H$31="Todos",'Plan mensual'!N85,0))+parametros_manuales!$G$31*('Plan mensual'!N82+IF(parametros_manuales!$H$31="Todos",'Plan mensual'!N86,0)))*parametros_manuales!$I$31*parametros_manuales!$J$31</f>
        <v>320.7461</v>
      </c>
      <c r="M203" s="4">
        <f>(parametros_manuales!$D$31*('Plan mensual'!O79+IF(parametros_manuales!$H$31="Todos",'Plan mensual'!O83,0))+parametros_manuales!$E$31*('Plan mensual'!O80+IF(parametros_manuales!$H$31="Todos",'Plan mensual'!O84,0))+parametros_manuales!$F$31*('Plan mensual'!O81+IF(parametros_manuales!$H$31="Todos",'Plan mensual'!O85,0))+parametros_manuales!$G$31*('Plan mensual'!O82+IF(parametros_manuales!$H$31="Todos",'Plan mensual'!O86,0)))*parametros_manuales!$I$31*parametros_manuales!$J$31</f>
        <v>510.721</v>
      </c>
      <c r="N203" s="4">
        <f t="shared" si="22"/>
        <v>4359.04</v>
      </c>
      <c r="O203" s="4">
        <f t="shared" si="23"/>
        <v>510.721</v>
      </c>
      <c r="P203" s="27">
        <f>O203/(parametros_manuales!$B$7)</f>
        <v>3.404806667</v>
      </c>
      <c r="Q203" s="3" t="str">
        <f t="shared" si="24"/>
        <v>Dic</v>
      </c>
    </row>
    <row r="204" ht="14.25" customHeight="1">
      <c r="A204" s="3" t="str">
        <f>parametros_manuales!$B$32</f>
        <v>Prueba hidráulica</v>
      </c>
      <c r="B204" s="4">
        <f>(parametros_manuales!$D$32*('Plan mensual'!D79+IF(parametros_manuales!$H$32="Todos",'Plan mensual'!D83,0))+parametros_manuales!$E$32*('Plan mensual'!D80+IF(parametros_manuales!$H$32="Todos",'Plan mensual'!D84,0))+parametros_manuales!$F$32*('Plan mensual'!D81+IF(parametros_manuales!$H$32="Todos",'Plan mensual'!D85,0))+parametros_manuales!$G$32*('Plan mensual'!D82+IF(parametros_manuales!$H$32="Todos",'Plan mensual'!D86,0)))*parametros_manuales!$I$32*parametros_manuales!$J$32</f>
        <v>24917.86</v>
      </c>
      <c r="C204" s="4">
        <f>(parametros_manuales!$D$32*('Plan mensual'!E79+IF(parametros_manuales!$H$32="Todos",'Plan mensual'!E83,0))+parametros_manuales!$E$32*('Plan mensual'!E80+IF(parametros_manuales!$H$32="Todos",'Plan mensual'!E84,0))+parametros_manuales!$F$32*('Plan mensual'!E81+IF(parametros_manuales!$H$32="Todos",'Plan mensual'!E85,0))+parametros_manuales!$G$32*('Plan mensual'!E82+IF(parametros_manuales!$H$32="Todos",'Plan mensual'!E86,0)))*parametros_manuales!$I$32*parametros_manuales!$J$32</f>
        <v>18997.49</v>
      </c>
      <c r="D204" s="4">
        <f>(parametros_manuales!$D$32*('Plan mensual'!F79+IF(parametros_manuales!$H$32="Todos",'Plan mensual'!F83,0))+parametros_manuales!$E$32*('Plan mensual'!F80+IF(parametros_manuales!$H$32="Todos",'Plan mensual'!F84,0))+parametros_manuales!$F$32*('Plan mensual'!F81+IF(parametros_manuales!$H$32="Todos",'Plan mensual'!F85,0))+parametros_manuales!$G$32*('Plan mensual'!F82+IF(parametros_manuales!$H$32="Todos",'Plan mensual'!F86,0)))*parametros_manuales!$I$32*parametros_manuales!$J$32</f>
        <v>17745.255</v>
      </c>
      <c r="E204" s="4">
        <f>(parametros_manuales!$D$32*('Plan mensual'!G79+IF(parametros_manuales!$H$32="Todos",'Plan mensual'!G83,0))+parametros_manuales!$E$32*('Plan mensual'!G80+IF(parametros_manuales!$H$32="Todos",'Plan mensual'!G84,0))+parametros_manuales!$F$32*('Plan mensual'!G81+IF(parametros_manuales!$H$32="Todos",'Plan mensual'!G85,0))+parametros_manuales!$G$32*('Plan mensual'!G82+IF(parametros_manuales!$H$32="Todos",'Plan mensual'!G86,0)))*parametros_manuales!$I$32*parametros_manuales!$J$32</f>
        <v>16964.59</v>
      </c>
      <c r="F204" s="4">
        <f>(parametros_manuales!$D$32*('Plan mensual'!H79+IF(parametros_manuales!$H$32="Todos",'Plan mensual'!H83,0))+parametros_manuales!$E$32*('Plan mensual'!H80+IF(parametros_manuales!$H$32="Todos",'Plan mensual'!H84,0))+parametros_manuales!$F$32*('Plan mensual'!H81+IF(parametros_manuales!$H$32="Todos",'Plan mensual'!H85,0))+parametros_manuales!$G$32*('Plan mensual'!H82+IF(parametros_manuales!$H$32="Todos",'Plan mensual'!H86,0)))*parametros_manuales!$I$32*parametros_manuales!$J$32</f>
        <v>15874.83</v>
      </c>
      <c r="G204" s="4">
        <f>(parametros_manuales!$D$32*('Plan mensual'!I79+IF(parametros_manuales!$H$32="Todos",'Plan mensual'!I83,0))+parametros_manuales!$E$32*('Plan mensual'!I80+IF(parametros_manuales!$H$32="Todos",'Plan mensual'!I84,0))+parametros_manuales!$F$32*('Plan mensual'!I81+IF(parametros_manuales!$H$32="Todos",'Plan mensual'!I85,0))+parametros_manuales!$G$32*('Plan mensual'!I82+IF(parametros_manuales!$H$32="Todos",'Plan mensual'!I86,0)))*parametros_manuales!$I$32*parametros_manuales!$J$32</f>
        <v>15565.735</v>
      </c>
      <c r="H204" s="4">
        <f>(parametros_manuales!$D$32*('Plan mensual'!J79+IF(parametros_manuales!$H$32="Todos",'Plan mensual'!J83,0))+parametros_manuales!$E$32*('Plan mensual'!J80+IF(parametros_manuales!$H$32="Todos",'Plan mensual'!J84,0))+parametros_manuales!$F$32*('Plan mensual'!J81+IF(parametros_manuales!$H$32="Todos",'Plan mensual'!J85,0))+parametros_manuales!$G$32*('Plan mensual'!J82+IF(parametros_manuales!$H$32="Todos",'Plan mensual'!J86,0)))*parametros_manuales!$I$32*parametros_manuales!$J$32</f>
        <v>16655.495</v>
      </c>
      <c r="I204" s="4">
        <f>(parametros_manuales!$D$32*('Plan mensual'!K79+IF(parametros_manuales!$H$32="Todos",'Plan mensual'!K83,0))+parametros_manuales!$E$32*('Plan mensual'!K80+IF(parametros_manuales!$H$32="Todos",'Plan mensual'!K84,0))+parametros_manuales!$F$32*('Plan mensual'!K81+IF(parametros_manuales!$H$32="Todos",'Plan mensual'!K85,0))+parametros_manuales!$G$32*('Plan mensual'!K82+IF(parametros_manuales!$H$32="Todos",'Plan mensual'!K86,0)))*parametros_manuales!$I$32*parametros_manuales!$J$32</f>
        <v>16655.495</v>
      </c>
      <c r="J204" s="4">
        <f>(parametros_manuales!$D$32*('Plan mensual'!L79+IF(parametros_manuales!$H$32="Todos",'Plan mensual'!L83,0))+parametros_manuales!$E$32*('Plan mensual'!L80+IF(parametros_manuales!$H$32="Todos",'Plan mensual'!L84,0))+parametros_manuales!$F$32*('Plan mensual'!L81+IF(parametros_manuales!$H$32="Todos",'Plan mensual'!L85,0))+parametros_manuales!$G$32*('Plan mensual'!L82+IF(parametros_manuales!$H$32="Todos",'Plan mensual'!L86,0)))*parametros_manuales!$I$32*parametros_manuales!$J$32</f>
        <v>16655.495</v>
      </c>
      <c r="K204" s="4">
        <f>(parametros_manuales!$D$32*('Plan mensual'!M79+IF(parametros_manuales!$H$32="Todos",'Plan mensual'!M83,0))+parametros_manuales!$E$32*('Plan mensual'!M80+IF(parametros_manuales!$H$32="Todos",'Plan mensual'!M84,0))+parametros_manuales!$F$32*('Plan mensual'!M81+IF(parametros_manuales!$H$32="Todos",'Plan mensual'!M85,0))+parametros_manuales!$G$32*('Plan mensual'!M82+IF(parametros_manuales!$H$32="Todos",'Plan mensual'!M86,0)))*parametros_manuales!$I$32*parametros_manuales!$J$32</f>
        <v>16346.4</v>
      </c>
      <c r="L204" s="4">
        <f>(parametros_manuales!$D$32*('Plan mensual'!N79+IF(parametros_manuales!$H$32="Todos",'Plan mensual'!N83,0))+parametros_manuales!$E$32*('Plan mensual'!N80+IF(parametros_manuales!$H$32="Todos",'Plan mensual'!N84,0))+parametros_manuales!$F$32*('Plan mensual'!N81+IF(parametros_manuales!$H$32="Todos",'Plan mensual'!N85,0))+parametros_manuales!$G$32*('Plan mensual'!N82+IF(parametros_manuales!$H$32="Todos",'Plan mensual'!N86,0)))*parametros_manuales!$I$32*parametros_manuales!$J$32</f>
        <v>16037.305</v>
      </c>
      <c r="M204" s="4">
        <f>(parametros_manuales!$D$32*('Plan mensual'!O79+IF(parametros_manuales!$H$32="Todos",'Plan mensual'!O83,0))+parametros_manuales!$E$32*('Plan mensual'!O80+IF(parametros_manuales!$H$32="Todos",'Plan mensual'!O84,0))+parametros_manuales!$F$32*('Plan mensual'!O81+IF(parametros_manuales!$H$32="Todos",'Plan mensual'!O85,0))+parametros_manuales!$G$32*('Plan mensual'!O82+IF(parametros_manuales!$H$32="Todos",'Plan mensual'!O86,0)))*parametros_manuales!$I$32*parametros_manuales!$J$32</f>
        <v>25536.05</v>
      </c>
      <c r="N204" s="4">
        <f t="shared" si="22"/>
        <v>217952</v>
      </c>
      <c r="O204" s="4">
        <f t="shared" si="23"/>
        <v>25536.05</v>
      </c>
      <c r="P204" s="27">
        <f>O204/(parametros_manuales!$B$7)</f>
        <v>170.2403333</v>
      </c>
      <c r="Q204" s="3" t="str">
        <f t="shared" si="24"/>
        <v>Dic</v>
      </c>
    </row>
    <row r="205" ht="14.25" customHeight="1">
      <c r="A205" s="3" t="str">
        <f>parametros_manuales!$B$33</f>
        <v>Secado</v>
      </c>
      <c r="B205" s="4">
        <f>(parametros_manuales!$D$33*('Plan mensual'!D79+IF(parametros_manuales!$H$33="Todos",'Plan mensual'!D83,0))+parametros_manuales!$E$33*('Plan mensual'!D80+IF(parametros_manuales!$H$33="Todos",'Plan mensual'!D84,0))+parametros_manuales!$F$33*('Plan mensual'!D81+IF(parametros_manuales!$H$33="Todos",'Plan mensual'!D85,0))+parametros_manuales!$G$33*('Plan mensual'!D82+IF(parametros_manuales!$H$33="Todos",'Plan mensual'!D86,0)))*parametros_manuales!$I$33*parametros_manuales!$J$33</f>
        <v>24917.86</v>
      </c>
      <c r="C205" s="4">
        <f>(parametros_manuales!$D$33*('Plan mensual'!E79+IF(parametros_manuales!$H$33="Todos",'Plan mensual'!E83,0))+parametros_manuales!$E$33*('Plan mensual'!E80+IF(parametros_manuales!$H$33="Todos",'Plan mensual'!E84,0))+parametros_manuales!$F$33*('Plan mensual'!E81+IF(parametros_manuales!$H$33="Todos",'Plan mensual'!E85,0))+parametros_manuales!$G$33*('Plan mensual'!E82+IF(parametros_manuales!$H$33="Todos",'Plan mensual'!E86,0)))*parametros_manuales!$I$33*parametros_manuales!$J$33</f>
        <v>18997.49</v>
      </c>
      <c r="D205" s="4">
        <f>(parametros_manuales!$D$33*('Plan mensual'!F79+IF(parametros_manuales!$H$33="Todos",'Plan mensual'!F83,0))+parametros_manuales!$E$33*('Plan mensual'!F80+IF(parametros_manuales!$H$33="Todos",'Plan mensual'!F84,0))+parametros_manuales!$F$33*('Plan mensual'!F81+IF(parametros_manuales!$H$33="Todos",'Plan mensual'!F85,0))+parametros_manuales!$G$33*('Plan mensual'!F82+IF(parametros_manuales!$H$33="Todos",'Plan mensual'!F86,0)))*parametros_manuales!$I$33*parametros_manuales!$J$33</f>
        <v>17745.255</v>
      </c>
      <c r="E205" s="4">
        <f>(parametros_manuales!$D$33*('Plan mensual'!G79+IF(parametros_manuales!$H$33="Todos",'Plan mensual'!G83,0))+parametros_manuales!$E$33*('Plan mensual'!G80+IF(parametros_manuales!$H$33="Todos",'Plan mensual'!G84,0))+parametros_manuales!$F$33*('Plan mensual'!G81+IF(parametros_manuales!$H$33="Todos",'Plan mensual'!G85,0))+parametros_manuales!$G$33*('Plan mensual'!G82+IF(parametros_manuales!$H$33="Todos",'Plan mensual'!G86,0)))*parametros_manuales!$I$33*parametros_manuales!$J$33</f>
        <v>16964.59</v>
      </c>
      <c r="F205" s="4">
        <f>(parametros_manuales!$D$33*('Plan mensual'!H79+IF(parametros_manuales!$H$33="Todos",'Plan mensual'!H83,0))+parametros_manuales!$E$33*('Plan mensual'!H80+IF(parametros_manuales!$H$33="Todos",'Plan mensual'!H84,0))+parametros_manuales!$F$33*('Plan mensual'!H81+IF(parametros_manuales!$H$33="Todos",'Plan mensual'!H85,0))+parametros_manuales!$G$33*('Plan mensual'!H82+IF(parametros_manuales!$H$33="Todos",'Plan mensual'!H86,0)))*parametros_manuales!$I$33*parametros_manuales!$J$33</f>
        <v>15874.83</v>
      </c>
      <c r="G205" s="4">
        <f>(parametros_manuales!$D$33*('Plan mensual'!I79+IF(parametros_manuales!$H$33="Todos",'Plan mensual'!I83,0))+parametros_manuales!$E$33*('Plan mensual'!I80+IF(parametros_manuales!$H$33="Todos",'Plan mensual'!I84,0))+parametros_manuales!$F$33*('Plan mensual'!I81+IF(parametros_manuales!$H$33="Todos",'Plan mensual'!I85,0))+parametros_manuales!$G$33*('Plan mensual'!I82+IF(parametros_manuales!$H$33="Todos",'Plan mensual'!I86,0)))*parametros_manuales!$I$33*parametros_manuales!$J$33</f>
        <v>15565.735</v>
      </c>
      <c r="H205" s="4">
        <f>(parametros_manuales!$D$33*('Plan mensual'!J79+IF(parametros_manuales!$H$33="Todos",'Plan mensual'!J83,0))+parametros_manuales!$E$33*('Plan mensual'!J80+IF(parametros_manuales!$H$33="Todos",'Plan mensual'!J84,0))+parametros_manuales!$F$33*('Plan mensual'!J81+IF(parametros_manuales!$H$33="Todos",'Plan mensual'!J85,0))+parametros_manuales!$G$33*('Plan mensual'!J82+IF(parametros_manuales!$H$33="Todos",'Plan mensual'!J86,0)))*parametros_manuales!$I$33*parametros_manuales!$J$33</f>
        <v>16655.495</v>
      </c>
      <c r="I205" s="4">
        <f>(parametros_manuales!$D$33*('Plan mensual'!K79+IF(parametros_manuales!$H$33="Todos",'Plan mensual'!K83,0))+parametros_manuales!$E$33*('Plan mensual'!K80+IF(parametros_manuales!$H$33="Todos",'Plan mensual'!K84,0))+parametros_manuales!$F$33*('Plan mensual'!K81+IF(parametros_manuales!$H$33="Todos",'Plan mensual'!K85,0))+parametros_manuales!$G$33*('Plan mensual'!K82+IF(parametros_manuales!$H$33="Todos",'Plan mensual'!K86,0)))*parametros_manuales!$I$33*parametros_manuales!$J$33</f>
        <v>16655.495</v>
      </c>
      <c r="J205" s="4">
        <f>(parametros_manuales!$D$33*('Plan mensual'!L79+IF(parametros_manuales!$H$33="Todos",'Plan mensual'!L83,0))+parametros_manuales!$E$33*('Plan mensual'!L80+IF(parametros_manuales!$H$33="Todos",'Plan mensual'!L84,0))+parametros_manuales!$F$33*('Plan mensual'!L81+IF(parametros_manuales!$H$33="Todos",'Plan mensual'!L85,0))+parametros_manuales!$G$33*('Plan mensual'!L82+IF(parametros_manuales!$H$33="Todos",'Plan mensual'!L86,0)))*parametros_manuales!$I$33*parametros_manuales!$J$33</f>
        <v>16655.495</v>
      </c>
      <c r="K205" s="4">
        <f>(parametros_manuales!$D$33*('Plan mensual'!M79+IF(parametros_manuales!$H$33="Todos",'Plan mensual'!M83,0))+parametros_manuales!$E$33*('Plan mensual'!M80+IF(parametros_manuales!$H$33="Todos",'Plan mensual'!M84,0))+parametros_manuales!$F$33*('Plan mensual'!M81+IF(parametros_manuales!$H$33="Todos",'Plan mensual'!M85,0))+parametros_manuales!$G$33*('Plan mensual'!M82+IF(parametros_manuales!$H$33="Todos",'Plan mensual'!M86,0)))*parametros_manuales!$I$33*parametros_manuales!$J$33</f>
        <v>16346.4</v>
      </c>
      <c r="L205" s="4">
        <f>(parametros_manuales!$D$33*('Plan mensual'!N79+IF(parametros_manuales!$H$33="Todos",'Plan mensual'!N83,0))+parametros_manuales!$E$33*('Plan mensual'!N80+IF(parametros_manuales!$H$33="Todos",'Plan mensual'!N84,0))+parametros_manuales!$F$33*('Plan mensual'!N81+IF(parametros_manuales!$H$33="Todos",'Plan mensual'!N85,0))+parametros_manuales!$G$33*('Plan mensual'!N82+IF(parametros_manuales!$H$33="Todos",'Plan mensual'!N86,0)))*parametros_manuales!$I$33*parametros_manuales!$J$33</f>
        <v>16037.305</v>
      </c>
      <c r="M205" s="4">
        <f>(parametros_manuales!$D$33*('Plan mensual'!O79+IF(parametros_manuales!$H$33="Todos",'Plan mensual'!O83,0))+parametros_manuales!$E$33*('Plan mensual'!O80+IF(parametros_manuales!$H$33="Todos",'Plan mensual'!O84,0))+parametros_manuales!$F$33*('Plan mensual'!O81+IF(parametros_manuales!$H$33="Todos",'Plan mensual'!O85,0))+parametros_manuales!$G$33*('Plan mensual'!O82+IF(parametros_manuales!$H$33="Todos",'Plan mensual'!O86,0)))*parametros_manuales!$I$33*parametros_manuales!$J$33</f>
        <v>25536.05</v>
      </c>
      <c r="N205" s="4">
        <f t="shared" si="22"/>
        <v>217952</v>
      </c>
      <c r="O205" s="4">
        <f t="shared" si="23"/>
        <v>25536.05</v>
      </c>
      <c r="P205" s="27">
        <f>O205/(parametros_manuales!$B$7)</f>
        <v>170.2403333</v>
      </c>
      <c r="Q205" s="3" t="str">
        <f t="shared" si="24"/>
        <v>Dic</v>
      </c>
    </row>
    <row r="206" ht="14.25" customHeight="1">
      <c r="A206" s="3" t="str">
        <f>parametros_manuales!$B$34</f>
        <v>Granallado</v>
      </c>
      <c r="B206" s="4">
        <f>(parametros_manuales!$D$34*('Plan mensual'!D79+IF(parametros_manuales!$H$34="Todos",'Plan mensual'!D83,0))+parametros_manuales!$E$34*('Plan mensual'!D80+IF(parametros_manuales!$H$34="Todos",'Plan mensual'!D84,0))+parametros_manuales!$F$34*('Plan mensual'!D81+IF(parametros_manuales!$H$34="Todos",'Plan mensual'!D85,0))+parametros_manuales!$G$34*('Plan mensual'!D82+IF(parametros_manuales!$H$34="Todos",'Plan mensual'!D86,0)))*parametros_manuales!$I$34*parametros_manuales!$J$34</f>
        <v>24917.86</v>
      </c>
      <c r="C206" s="4">
        <f>(parametros_manuales!$D$34*('Plan mensual'!E79+IF(parametros_manuales!$H$34="Todos",'Plan mensual'!E83,0))+parametros_manuales!$E$34*('Plan mensual'!E80+IF(parametros_manuales!$H$34="Todos",'Plan mensual'!E84,0))+parametros_manuales!$F$34*('Plan mensual'!E81+IF(parametros_manuales!$H$34="Todos",'Plan mensual'!E85,0))+parametros_manuales!$G$34*('Plan mensual'!E82+IF(parametros_manuales!$H$34="Todos",'Plan mensual'!E86,0)))*parametros_manuales!$I$34*parametros_manuales!$J$34</f>
        <v>18997.49</v>
      </c>
      <c r="D206" s="4">
        <f>(parametros_manuales!$D$34*('Plan mensual'!F79+IF(parametros_manuales!$H$34="Todos",'Plan mensual'!F83,0))+parametros_manuales!$E$34*('Plan mensual'!F80+IF(parametros_manuales!$H$34="Todos",'Plan mensual'!F84,0))+parametros_manuales!$F$34*('Plan mensual'!F81+IF(parametros_manuales!$H$34="Todos",'Plan mensual'!F85,0))+parametros_manuales!$G$34*('Plan mensual'!F82+IF(parametros_manuales!$H$34="Todos",'Plan mensual'!F86,0)))*parametros_manuales!$I$34*parametros_manuales!$J$34</f>
        <v>17745.255</v>
      </c>
      <c r="E206" s="4">
        <f>(parametros_manuales!$D$34*('Plan mensual'!G79+IF(parametros_manuales!$H$34="Todos",'Plan mensual'!G83,0))+parametros_manuales!$E$34*('Plan mensual'!G80+IF(parametros_manuales!$H$34="Todos",'Plan mensual'!G84,0))+parametros_manuales!$F$34*('Plan mensual'!G81+IF(parametros_manuales!$H$34="Todos",'Plan mensual'!G85,0))+parametros_manuales!$G$34*('Plan mensual'!G82+IF(parametros_manuales!$H$34="Todos",'Plan mensual'!G86,0)))*parametros_manuales!$I$34*parametros_manuales!$J$34</f>
        <v>16964.59</v>
      </c>
      <c r="F206" s="4">
        <f>(parametros_manuales!$D$34*('Plan mensual'!H79+IF(parametros_manuales!$H$34="Todos",'Plan mensual'!H83,0))+parametros_manuales!$E$34*('Plan mensual'!H80+IF(parametros_manuales!$H$34="Todos",'Plan mensual'!H84,0))+parametros_manuales!$F$34*('Plan mensual'!H81+IF(parametros_manuales!$H$34="Todos",'Plan mensual'!H85,0))+parametros_manuales!$G$34*('Plan mensual'!H82+IF(parametros_manuales!$H$34="Todos",'Plan mensual'!H86,0)))*parametros_manuales!$I$34*parametros_manuales!$J$34</f>
        <v>15874.83</v>
      </c>
      <c r="G206" s="4">
        <f>(parametros_manuales!$D$34*('Plan mensual'!I79+IF(parametros_manuales!$H$34="Todos",'Plan mensual'!I83,0))+parametros_manuales!$E$34*('Plan mensual'!I80+IF(parametros_manuales!$H$34="Todos",'Plan mensual'!I84,0))+parametros_manuales!$F$34*('Plan mensual'!I81+IF(parametros_manuales!$H$34="Todos",'Plan mensual'!I85,0))+parametros_manuales!$G$34*('Plan mensual'!I82+IF(parametros_manuales!$H$34="Todos",'Plan mensual'!I86,0)))*parametros_manuales!$I$34*parametros_manuales!$J$34</f>
        <v>15565.735</v>
      </c>
      <c r="H206" s="4">
        <f>(parametros_manuales!$D$34*('Plan mensual'!J79+IF(parametros_manuales!$H$34="Todos",'Plan mensual'!J83,0))+parametros_manuales!$E$34*('Plan mensual'!J80+IF(parametros_manuales!$H$34="Todos",'Plan mensual'!J84,0))+parametros_manuales!$F$34*('Plan mensual'!J81+IF(parametros_manuales!$H$34="Todos",'Plan mensual'!J85,0))+parametros_manuales!$G$34*('Plan mensual'!J82+IF(parametros_manuales!$H$34="Todos",'Plan mensual'!J86,0)))*parametros_manuales!$I$34*parametros_manuales!$J$34</f>
        <v>16655.495</v>
      </c>
      <c r="I206" s="4">
        <f>(parametros_manuales!$D$34*('Plan mensual'!K79+IF(parametros_manuales!$H$34="Todos",'Plan mensual'!K83,0))+parametros_manuales!$E$34*('Plan mensual'!K80+IF(parametros_manuales!$H$34="Todos",'Plan mensual'!K84,0))+parametros_manuales!$F$34*('Plan mensual'!K81+IF(parametros_manuales!$H$34="Todos",'Plan mensual'!K85,0))+parametros_manuales!$G$34*('Plan mensual'!K82+IF(parametros_manuales!$H$34="Todos",'Plan mensual'!K86,0)))*parametros_manuales!$I$34*parametros_manuales!$J$34</f>
        <v>16655.495</v>
      </c>
      <c r="J206" s="4">
        <f>(parametros_manuales!$D$34*('Plan mensual'!L79+IF(parametros_manuales!$H$34="Todos",'Plan mensual'!L83,0))+parametros_manuales!$E$34*('Plan mensual'!L80+IF(parametros_manuales!$H$34="Todos",'Plan mensual'!L84,0))+parametros_manuales!$F$34*('Plan mensual'!L81+IF(parametros_manuales!$H$34="Todos",'Plan mensual'!L85,0))+parametros_manuales!$G$34*('Plan mensual'!L82+IF(parametros_manuales!$H$34="Todos",'Plan mensual'!L86,0)))*parametros_manuales!$I$34*parametros_manuales!$J$34</f>
        <v>16655.495</v>
      </c>
      <c r="K206" s="4">
        <f>(parametros_manuales!$D$34*('Plan mensual'!M79+IF(parametros_manuales!$H$34="Todos",'Plan mensual'!M83,0))+parametros_manuales!$E$34*('Plan mensual'!M80+IF(parametros_manuales!$H$34="Todos",'Plan mensual'!M84,0))+parametros_manuales!$F$34*('Plan mensual'!M81+IF(parametros_manuales!$H$34="Todos",'Plan mensual'!M85,0))+parametros_manuales!$G$34*('Plan mensual'!M82+IF(parametros_manuales!$H$34="Todos",'Plan mensual'!M86,0)))*parametros_manuales!$I$34*parametros_manuales!$J$34</f>
        <v>16346.4</v>
      </c>
      <c r="L206" s="4">
        <f>(parametros_manuales!$D$34*('Plan mensual'!N79+IF(parametros_manuales!$H$34="Todos",'Plan mensual'!N83,0))+parametros_manuales!$E$34*('Plan mensual'!N80+IF(parametros_manuales!$H$34="Todos",'Plan mensual'!N84,0))+parametros_manuales!$F$34*('Plan mensual'!N81+IF(parametros_manuales!$H$34="Todos",'Plan mensual'!N85,0))+parametros_manuales!$G$34*('Plan mensual'!N82+IF(parametros_manuales!$H$34="Todos",'Plan mensual'!N86,0)))*parametros_manuales!$I$34*parametros_manuales!$J$34</f>
        <v>16037.305</v>
      </c>
      <c r="M206" s="4">
        <f>(parametros_manuales!$D$34*('Plan mensual'!O79+IF(parametros_manuales!$H$34="Todos",'Plan mensual'!O83,0))+parametros_manuales!$E$34*('Plan mensual'!O80+IF(parametros_manuales!$H$34="Todos",'Plan mensual'!O84,0))+parametros_manuales!$F$34*('Plan mensual'!O81+IF(parametros_manuales!$H$34="Todos",'Plan mensual'!O85,0))+parametros_manuales!$G$34*('Plan mensual'!O82+IF(parametros_manuales!$H$34="Todos",'Plan mensual'!O86,0)))*parametros_manuales!$I$34*parametros_manuales!$J$34</f>
        <v>25536.05</v>
      </c>
      <c r="N206" s="4">
        <f t="shared" si="22"/>
        <v>217952</v>
      </c>
      <c r="O206" s="4">
        <f t="shared" si="23"/>
        <v>25536.05</v>
      </c>
      <c r="P206" s="27">
        <f>O206/(parametros_manuales!$B$7)</f>
        <v>170.2403333</v>
      </c>
      <c r="Q206" s="3" t="str">
        <f t="shared" si="24"/>
        <v>Dic</v>
      </c>
    </row>
    <row r="207" ht="14.25" customHeight="1">
      <c r="A207" s="3" t="str">
        <f>parametros_manuales!$B$35</f>
        <v>Detección de defectos</v>
      </c>
      <c r="B207" s="4">
        <f>(parametros_manuales!$D$35*('Plan mensual'!D79+IF(parametros_manuales!$H$35="Todos",'Plan mensual'!D83,0))+parametros_manuales!$E$35*('Plan mensual'!D80+IF(parametros_manuales!$H$35="Todos",'Plan mensual'!D84,0))+parametros_manuales!$F$35*('Plan mensual'!D81+IF(parametros_manuales!$H$35="Todos",'Plan mensual'!D85,0))+parametros_manuales!$G$35*('Plan mensual'!D82+IF(parametros_manuales!$H$35="Todos",'Plan mensual'!D86,0)))*parametros_manuales!$I$35*parametros_manuales!$J$35</f>
        <v>24917.86</v>
      </c>
      <c r="C207" s="4">
        <f>(parametros_manuales!$D$35*('Plan mensual'!E79+IF(parametros_manuales!$H$35="Todos",'Plan mensual'!E83,0))+parametros_manuales!$E$35*('Plan mensual'!E80+IF(parametros_manuales!$H$35="Todos",'Plan mensual'!E84,0))+parametros_manuales!$F$35*('Plan mensual'!E81+IF(parametros_manuales!$H$35="Todos",'Plan mensual'!E85,0))+parametros_manuales!$G$35*('Plan mensual'!E82+IF(parametros_manuales!$H$35="Todos",'Plan mensual'!E86,0)))*parametros_manuales!$I$35*parametros_manuales!$J$35</f>
        <v>18997.49</v>
      </c>
      <c r="D207" s="4">
        <f>(parametros_manuales!$D$35*('Plan mensual'!F79+IF(parametros_manuales!$H$35="Todos",'Plan mensual'!F83,0))+parametros_manuales!$E$35*('Plan mensual'!F80+IF(parametros_manuales!$H$35="Todos",'Plan mensual'!F84,0))+parametros_manuales!$F$35*('Plan mensual'!F81+IF(parametros_manuales!$H$35="Todos",'Plan mensual'!F85,0))+parametros_manuales!$G$35*('Plan mensual'!F82+IF(parametros_manuales!$H$35="Todos",'Plan mensual'!F86,0)))*parametros_manuales!$I$35*parametros_manuales!$J$35</f>
        <v>17745.255</v>
      </c>
      <c r="E207" s="4">
        <f>(parametros_manuales!$D$35*('Plan mensual'!G79+IF(parametros_manuales!$H$35="Todos",'Plan mensual'!G83,0))+parametros_manuales!$E$35*('Plan mensual'!G80+IF(parametros_manuales!$H$35="Todos",'Plan mensual'!G84,0))+parametros_manuales!$F$35*('Plan mensual'!G81+IF(parametros_manuales!$H$35="Todos",'Plan mensual'!G85,0))+parametros_manuales!$G$35*('Plan mensual'!G82+IF(parametros_manuales!$H$35="Todos",'Plan mensual'!G86,0)))*parametros_manuales!$I$35*parametros_manuales!$J$35</f>
        <v>16964.59</v>
      </c>
      <c r="F207" s="4">
        <f>(parametros_manuales!$D$35*('Plan mensual'!H79+IF(parametros_manuales!$H$35="Todos",'Plan mensual'!H83,0))+parametros_manuales!$E$35*('Plan mensual'!H80+IF(parametros_manuales!$H$35="Todos",'Plan mensual'!H84,0))+parametros_manuales!$F$35*('Plan mensual'!H81+IF(parametros_manuales!$H$35="Todos",'Plan mensual'!H85,0))+parametros_manuales!$G$35*('Plan mensual'!H82+IF(parametros_manuales!$H$35="Todos",'Plan mensual'!H86,0)))*parametros_manuales!$I$35*parametros_manuales!$J$35</f>
        <v>15874.83</v>
      </c>
      <c r="G207" s="4">
        <f>(parametros_manuales!$D$35*('Plan mensual'!I79+IF(parametros_manuales!$H$35="Todos",'Plan mensual'!I83,0))+parametros_manuales!$E$35*('Plan mensual'!I80+IF(parametros_manuales!$H$35="Todos",'Plan mensual'!I84,0))+parametros_manuales!$F$35*('Plan mensual'!I81+IF(parametros_manuales!$H$35="Todos",'Plan mensual'!I85,0))+parametros_manuales!$G$35*('Plan mensual'!I82+IF(parametros_manuales!$H$35="Todos",'Plan mensual'!I86,0)))*parametros_manuales!$I$35*parametros_manuales!$J$35</f>
        <v>15565.735</v>
      </c>
      <c r="H207" s="4">
        <f>(parametros_manuales!$D$35*('Plan mensual'!J79+IF(parametros_manuales!$H$35="Todos",'Plan mensual'!J83,0))+parametros_manuales!$E$35*('Plan mensual'!J80+IF(parametros_manuales!$H$35="Todos",'Plan mensual'!J84,0))+parametros_manuales!$F$35*('Plan mensual'!J81+IF(parametros_manuales!$H$35="Todos",'Plan mensual'!J85,0))+parametros_manuales!$G$35*('Plan mensual'!J82+IF(parametros_manuales!$H$35="Todos",'Plan mensual'!J86,0)))*parametros_manuales!$I$35*parametros_manuales!$J$35</f>
        <v>16655.495</v>
      </c>
      <c r="I207" s="4">
        <f>(parametros_manuales!$D$35*('Plan mensual'!K79+IF(parametros_manuales!$H$35="Todos",'Plan mensual'!K83,0))+parametros_manuales!$E$35*('Plan mensual'!K80+IF(parametros_manuales!$H$35="Todos",'Plan mensual'!K84,0))+parametros_manuales!$F$35*('Plan mensual'!K81+IF(parametros_manuales!$H$35="Todos",'Plan mensual'!K85,0))+parametros_manuales!$G$35*('Plan mensual'!K82+IF(parametros_manuales!$H$35="Todos",'Plan mensual'!K86,0)))*parametros_manuales!$I$35*parametros_manuales!$J$35</f>
        <v>16655.495</v>
      </c>
      <c r="J207" s="4">
        <f>(parametros_manuales!$D$35*('Plan mensual'!L79+IF(parametros_manuales!$H$35="Todos",'Plan mensual'!L83,0))+parametros_manuales!$E$35*('Plan mensual'!L80+IF(parametros_manuales!$H$35="Todos",'Plan mensual'!L84,0))+parametros_manuales!$F$35*('Plan mensual'!L81+IF(parametros_manuales!$H$35="Todos",'Plan mensual'!L85,0))+parametros_manuales!$G$35*('Plan mensual'!L82+IF(parametros_manuales!$H$35="Todos",'Plan mensual'!L86,0)))*parametros_manuales!$I$35*parametros_manuales!$J$35</f>
        <v>16655.495</v>
      </c>
      <c r="K207" s="4">
        <f>(parametros_manuales!$D$35*('Plan mensual'!M79+IF(parametros_manuales!$H$35="Todos",'Plan mensual'!M83,0))+parametros_manuales!$E$35*('Plan mensual'!M80+IF(parametros_manuales!$H$35="Todos",'Plan mensual'!M84,0))+parametros_manuales!$F$35*('Plan mensual'!M81+IF(parametros_manuales!$H$35="Todos",'Plan mensual'!M85,0))+parametros_manuales!$G$35*('Plan mensual'!M82+IF(parametros_manuales!$H$35="Todos",'Plan mensual'!M86,0)))*parametros_manuales!$I$35*parametros_manuales!$J$35</f>
        <v>16346.4</v>
      </c>
      <c r="L207" s="4">
        <f>(parametros_manuales!$D$35*('Plan mensual'!N79+IF(parametros_manuales!$H$35="Todos",'Plan mensual'!N83,0))+parametros_manuales!$E$35*('Plan mensual'!N80+IF(parametros_manuales!$H$35="Todos",'Plan mensual'!N84,0))+parametros_manuales!$F$35*('Plan mensual'!N81+IF(parametros_manuales!$H$35="Todos",'Plan mensual'!N85,0))+parametros_manuales!$G$35*('Plan mensual'!N82+IF(parametros_manuales!$H$35="Todos",'Plan mensual'!N86,0)))*parametros_manuales!$I$35*parametros_manuales!$J$35</f>
        <v>16037.305</v>
      </c>
      <c r="M207" s="4">
        <f>(parametros_manuales!$D$35*('Plan mensual'!O79+IF(parametros_manuales!$H$35="Todos",'Plan mensual'!O83,0))+parametros_manuales!$E$35*('Plan mensual'!O80+IF(parametros_manuales!$H$35="Todos",'Plan mensual'!O84,0))+parametros_manuales!$F$35*('Plan mensual'!O81+IF(parametros_manuales!$H$35="Todos",'Plan mensual'!O85,0))+parametros_manuales!$G$35*('Plan mensual'!O82+IF(parametros_manuales!$H$35="Todos",'Plan mensual'!O86,0)))*parametros_manuales!$I$35*parametros_manuales!$J$35</f>
        <v>25536.05</v>
      </c>
      <c r="N207" s="4">
        <f t="shared" si="22"/>
        <v>217952</v>
      </c>
      <c r="O207" s="4">
        <f t="shared" si="23"/>
        <v>25536.05</v>
      </c>
      <c r="P207" s="27">
        <f>O207/(parametros_manuales!$B$7)</f>
        <v>170.2403333</v>
      </c>
      <c r="Q207" s="3" t="str">
        <f t="shared" si="24"/>
        <v>Dic</v>
      </c>
    </row>
    <row r="208" ht="14.25" customHeight="1">
      <c r="A208" s="3" t="str">
        <f>parametros_manuales!$B$36</f>
        <v>Corrección de defectos</v>
      </c>
      <c r="B208" s="4">
        <f>(parametros_manuales!$D$36*('Plan mensual'!D79+IF(parametros_manuales!$H$36="Todos",'Plan mensual'!D83,0))+parametros_manuales!$E$36*('Plan mensual'!D80+IF(parametros_manuales!$H$36="Todos",'Plan mensual'!D84,0))+parametros_manuales!$F$36*('Plan mensual'!D81+IF(parametros_manuales!$H$36="Todos",'Plan mensual'!D85,0))+parametros_manuales!$G$36*('Plan mensual'!D82+IF(parametros_manuales!$H$36="Todos",'Plan mensual'!D86,0)))*parametros_manuales!$I$36*parametros_manuales!$J$36</f>
        <v>1245.893</v>
      </c>
      <c r="C208" s="4">
        <f>(parametros_manuales!$D$36*('Plan mensual'!E79+IF(parametros_manuales!$H$36="Todos",'Plan mensual'!E83,0))+parametros_manuales!$E$36*('Plan mensual'!E80+IF(parametros_manuales!$H$36="Todos",'Plan mensual'!E84,0))+parametros_manuales!$F$36*('Plan mensual'!E81+IF(parametros_manuales!$H$36="Todos",'Plan mensual'!E85,0))+parametros_manuales!$G$36*('Plan mensual'!E82+IF(parametros_manuales!$H$36="Todos",'Plan mensual'!E86,0)))*parametros_manuales!$I$36*parametros_manuales!$J$36</f>
        <v>949.8745</v>
      </c>
      <c r="D208" s="4">
        <f>(parametros_manuales!$D$36*('Plan mensual'!F79+IF(parametros_manuales!$H$36="Todos",'Plan mensual'!F83,0))+parametros_manuales!$E$36*('Plan mensual'!F80+IF(parametros_manuales!$H$36="Todos",'Plan mensual'!F84,0))+parametros_manuales!$F$36*('Plan mensual'!F81+IF(parametros_manuales!$H$36="Todos",'Plan mensual'!F85,0))+parametros_manuales!$G$36*('Plan mensual'!F82+IF(parametros_manuales!$H$36="Todos",'Plan mensual'!F86,0)))*parametros_manuales!$I$36*parametros_manuales!$J$36</f>
        <v>887.26275</v>
      </c>
      <c r="E208" s="4">
        <f>(parametros_manuales!$D$36*('Plan mensual'!G79+IF(parametros_manuales!$H$36="Todos",'Plan mensual'!G83,0))+parametros_manuales!$E$36*('Plan mensual'!G80+IF(parametros_manuales!$H$36="Todos",'Plan mensual'!G84,0))+parametros_manuales!$F$36*('Plan mensual'!G81+IF(parametros_manuales!$H$36="Todos",'Plan mensual'!G85,0))+parametros_manuales!$G$36*('Plan mensual'!G82+IF(parametros_manuales!$H$36="Todos",'Plan mensual'!G86,0)))*parametros_manuales!$I$36*parametros_manuales!$J$36</f>
        <v>848.2295</v>
      </c>
      <c r="F208" s="4">
        <f>(parametros_manuales!$D$36*('Plan mensual'!H79+IF(parametros_manuales!$H$36="Todos",'Plan mensual'!H83,0))+parametros_manuales!$E$36*('Plan mensual'!H80+IF(parametros_manuales!$H$36="Todos",'Plan mensual'!H84,0))+parametros_manuales!$F$36*('Plan mensual'!H81+IF(parametros_manuales!$H$36="Todos",'Plan mensual'!H85,0))+parametros_manuales!$G$36*('Plan mensual'!H82+IF(parametros_manuales!$H$36="Todos",'Plan mensual'!H86,0)))*parametros_manuales!$I$36*parametros_manuales!$J$36</f>
        <v>793.7415</v>
      </c>
      <c r="G208" s="4">
        <f>(parametros_manuales!$D$36*('Plan mensual'!I79+IF(parametros_manuales!$H$36="Todos",'Plan mensual'!I83,0))+parametros_manuales!$E$36*('Plan mensual'!I80+IF(parametros_manuales!$H$36="Todos",'Plan mensual'!I84,0))+parametros_manuales!$F$36*('Plan mensual'!I81+IF(parametros_manuales!$H$36="Todos",'Plan mensual'!I85,0))+parametros_manuales!$G$36*('Plan mensual'!I82+IF(parametros_manuales!$H$36="Todos",'Plan mensual'!I86,0)))*parametros_manuales!$I$36*parametros_manuales!$J$36</f>
        <v>778.28675</v>
      </c>
      <c r="H208" s="4">
        <f>(parametros_manuales!$D$36*('Plan mensual'!J79+IF(parametros_manuales!$H$36="Todos",'Plan mensual'!J83,0))+parametros_manuales!$E$36*('Plan mensual'!J80+IF(parametros_manuales!$H$36="Todos",'Plan mensual'!J84,0))+parametros_manuales!$F$36*('Plan mensual'!J81+IF(parametros_manuales!$H$36="Todos",'Plan mensual'!J85,0))+parametros_manuales!$G$36*('Plan mensual'!J82+IF(parametros_manuales!$H$36="Todos",'Plan mensual'!J86,0)))*parametros_manuales!$I$36*parametros_manuales!$J$36</f>
        <v>832.77475</v>
      </c>
      <c r="I208" s="4">
        <f>(parametros_manuales!$D$36*('Plan mensual'!K79+IF(parametros_manuales!$H$36="Todos",'Plan mensual'!K83,0))+parametros_manuales!$E$36*('Plan mensual'!K80+IF(parametros_manuales!$H$36="Todos",'Plan mensual'!K84,0))+parametros_manuales!$F$36*('Plan mensual'!K81+IF(parametros_manuales!$H$36="Todos",'Plan mensual'!K85,0))+parametros_manuales!$G$36*('Plan mensual'!K82+IF(parametros_manuales!$H$36="Todos",'Plan mensual'!K86,0)))*parametros_manuales!$I$36*parametros_manuales!$J$36</f>
        <v>832.77475</v>
      </c>
      <c r="J208" s="4">
        <f>(parametros_manuales!$D$36*('Plan mensual'!L79+IF(parametros_manuales!$H$36="Todos",'Plan mensual'!L83,0))+parametros_manuales!$E$36*('Plan mensual'!L80+IF(parametros_manuales!$H$36="Todos",'Plan mensual'!L84,0))+parametros_manuales!$F$36*('Plan mensual'!L81+IF(parametros_manuales!$H$36="Todos",'Plan mensual'!L85,0))+parametros_manuales!$G$36*('Plan mensual'!L82+IF(parametros_manuales!$H$36="Todos",'Plan mensual'!L86,0)))*parametros_manuales!$I$36*parametros_manuales!$J$36</f>
        <v>832.77475</v>
      </c>
      <c r="K208" s="4">
        <f>(parametros_manuales!$D$36*('Plan mensual'!M79+IF(parametros_manuales!$H$36="Todos",'Plan mensual'!M83,0))+parametros_manuales!$E$36*('Plan mensual'!M80+IF(parametros_manuales!$H$36="Todos",'Plan mensual'!M84,0))+parametros_manuales!$F$36*('Plan mensual'!M81+IF(parametros_manuales!$H$36="Todos",'Plan mensual'!M85,0))+parametros_manuales!$G$36*('Plan mensual'!M82+IF(parametros_manuales!$H$36="Todos",'Plan mensual'!M86,0)))*parametros_manuales!$I$36*parametros_manuales!$J$36</f>
        <v>817.32</v>
      </c>
      <c r="L208" s="4">
        <f>(parametros_manuales!$D$36*('Plan mensual'!N79+IF(parametros_manuales!$H$36="Todos",'Plan mensual'!N83,0))+parametros_manuales!$E$36*('Plan mensual'!N80+IF(parametros_manuales!$H$36="Todos",'Plan mensual'!N84,0))+parametros_manuales!$F$36*('Plan mensual'!N81+IF(parametros_manuales!$H$36="Todos",'Plan mensual'!N85,0))+parametros_manuales!$G$36*('Plan mensual'!N82+IF(parametros_manuales!$H$36="Todos",'Plan mensual'!N86,0)))*parametros_manuales!$I$36*parametros_manuales!$J$36</f>
        <v>801.86525</v>
      </c>
      <c r="M208" s="4">
        <f>(parametros_manuales!$D$36*('Plan mensual'!O79+IF(parametros_manuales!$H$36="Todos",'Plan mensual'!O83,0))+parametros_manuales!$E$36*('Plan mensual'!O80+IF(parametros_manuales!$H$36="Todos",'Plan mensual'!O84,0))+parametros_manuales!$F$36*('Plan mensual'!O81+IF(parametros_manuales!$H$36="Todos",'Plan mensual'!O85,0))+parametros_manuales!$G$36*('Plan mensual'!O82+IF(parametros_manuales!$H$36="Todos",'Plan mensual'!O86,0)))*parametros_manuales!$I$36*parametros_manuales!$J$36</f>
        <v>1276.8025</v>
      </c>
      <c r="N208" s="4">
        <f t="shared" si="22"/>
        <v>10897.6</v>
      </c>
      <c r="O208" s="4">
        <f t="shared" si="23"/>
        <v>1276.8025</v>
      </c>
      <c r="P208" s="27">
        <f>O208/(parametros_manuales!$B$7)</f>
        <v>8.512016667</v>
      </c>
      <c r="Q208" s="3" t="str">
        <f t="shared" si="24"/>
        <v>Dic</v>
      </c>
    </row>
    <row r="209" ht="14.25" customHeight="1">
      <c r="A209" s="3" t="str">
        <f>parametros_manuales!$B$37</f>
        <v>Pintura en polvo + horno</v>
      </c>
      <c r="B209" s="4">
        <f>(parametros_manuales!$D$37*('Plan mensual'!D79+IF(parametros_manuales!$H$37="Todos",'Plan mensual'!D83,0))+parametros_manuales!$E$37*('Plan mensual'!D80+IF(parametros_manuales!$H$37="Todos",'Plan mensual'!D84,0))+parametros_manuales!$F$37*('Plan mensual'!D81+IF(parametros_manuales!$H$37="Todos",'Plan mensual'!D85,0))+parametros_manuales!$G$37*('Plan mensual'!D82+IF(parametros_manuales!$H$37="Todos",'Plan mensual'!D86,0)))*parametros_manuales!$I$37*parametros_manuales!$J$37</f>
        <v>24917.86</v>
      </c>
      <c r="C209" s="4">
        <f>(parametros_manuales!$D$37*('Plan mensual'!E79+IF(parametros_manuales!$H$37="Todos",'Plan mensual'!E83,0))+parametros_manuales!$E$37*('Plan mensual'!E80+IF(parametros_manuales!$H$37="Todos",'Plan mensual'!E84,0))+parametros_manuales!$F$37*('Plan mensual'!E81+IF(parametros_manuales!$H$37="Todos",'Plan mensual'!E85,0))+parametros_manuales!$G$37*('Plan mensual'!E82+IF(parametros_manuales!$H$37="Todos",'Plan mensual'!E86,0)))*parametros_manuales!$I$37*parametros_manuales!$J$37</f>
        <v>18997.49</v>
      </c>
      <c r="D209" s="4">
        <f>(parametros_manuales!$D$37*('Plan mensual'!F79+IF(parametros_manuales!$H$37="Todos",'Plan mensual'!F83,0))+parametros_manuales!$E$37*('Plan mensual'!F80+IF(parametros_manuales!$H$37="Todos",'Plan mensual'!F84,0))+parametros_manuales!$F$37*('Plan mensual'!F81+IF(parametros_manuales!$H$37="Todos",'Plan mensual'!F85,0))+parametros_manuales!$G$37*('Plan mensual'!F82+IF(parametros_manuales!$H$37="Todos",'Plan mensual'!F86,0)))*parametros_manuales!$I$37*parametros_manuales!$J$37</f>
        <v>17745.255</v>
      </c>
      <c r="E209" s="4">
        <f>(parametros_manuales!$D$37*('Plan mensual'!G79+IF(parametros_manuales!$H$37="Todos",'Plan mensual'!G83,0))+parametros_manuales!$E$37*('Plan mensual'!G80+IF(parametros_manuales!$H$37="Todos",'Plan mensual'!G84,0))+parametros_manuales!$F$37*('Plan mensual'!G81+IF(parametros_manuales!$H$37="Todos",'Plan mensual'!G85,0))+parametros_manuales!$G$37*('Plan mensual'!G82+IF(parametros_manuales!$H$37="Todos",'Plan mensual'!G86,0)))*parametros_manuales!$I$37*parametros_manuales!$J$37</f>
        <v>16964.59</v>
      </c>
      <c r="F209" s="4">
        <f>(parametros_manuales!$D$37*('Plan mensual'!H79+IF(parametros_manuales!$H$37="Todos",'Plan mensual'!H83,0))+parametros_manuales!$E$37*('Plan mensual'!H80+IF(parametros_manuales!$H$37="Todos",'Plan mensual'!H84,0))+parametros_manuales!$F$37*('Plan mensual'!H81+IF(parametros_manuales!$H$37="Todos",'Plan mensual'!H85,0))+parametros_manuales!$G$37*('Plan mensual'!H82+IF(parametros_manuales!$H$37="Todos",'Plan mensual'!H86,0)))*parametros_manuales!$I$37*parametros_manuales!$J$37</f>
        <v>15874.83</v>
      </c>
      <c r="G209" s="4">
        <f>(parametros_manuales!$D$37*('Plan mensual'!I79+IF(parametros_manuales!$H$37="Todos",'Plan mensual'!I83,0))+parametros_manuales!$E$37*('Plan mensual'!I80+IF(parametros_manuales!$H$37="Todos",'Plan mensual'!I84,0))+parametros_manuales!$F$37*('Plan mensual'!I81+IF(parametros_manuales!$H$37="Todos",'Plan mensual'!I85,0))+parametros_manuales!$G$37*('Plan mensual'!I82+IF(parametros_manuales!$H$37="Todos",'Plan mensual'!I86,0)))*parametros_manuales!$I$37*parametros_manuales!$J$37</f>
        <v>15565.735</v>
      </c>
      <c r="H209" s="4">
        <f>(parametros_manuales!$D$37*('Plan mensual'!J79+IF(parametros_manuales!$H$37="Todos",'Plan mensual'!J83,0))+parametros_manuales!$E$37*('Plan mensual'!J80+IF(parametros_manuales!$H$37="Todos",'Plan mensual'!J84,0))+parametros_manuales!$F$37*('Plan mensual'!J81+IF(parametros_manuales!$H$37="Todos",'Plan mensual'!J85,0))+parametros_manuales!$G$37*('Plan mensual'!J82+IF(parametros_manuales!$H$37="Todos",'Plan mensual'!J86,0)))*parametros_manuales!$I$37*parametros_manuales!$J$37</f>
        <v>16655.495</v>
      </c>
      <c r="I209" s="4">
        <f>(parametros_manuales!$D$37*('Plan mensual'!K79+IF(parametros_manuales!$H$37="Todos",'Plan mensual'!K83,0))+parametros_manuales!$E$37*('Plan mensual'!K80+IF(parametros_manuales!$H$37="Todos",'Plan mensual'!K84,0))+parametros_manuales!$F$37*('Plan mensual'!K81+IF(parametros_manuales!$H$37="Todos",'Plan mensual'!K85,0))+parametros_manuales!$G$37*('Plan mensual'!K82+IF(parametros_manuales!$H$37="Todos",'Plan mensual'!K86,0)))*parametros_manuales!$I$37*parametros_manuales!$J$37</f>
        <v>16655.495</v>
      </c>
      <c r="J209" s="4">
        <f>(parametros_manuales!$D$37*('Plan mensual'!L79+IF(parametros_manuales!$H$37="Todos",'Plan mensual'!L83,0))+parametros_manuales!$E$37*('Plan mensual'!L80+IF(parametros_manuales!$H$37="Todos",'Plan mensual'!L84,0))+parametros_manuales!$F$37*('Plan mensual'!L81+IF(parametros_manuales!$H$37="Todos",'Plan mensual'!L85,0))+parametros_manuales!$G$37*('Plan mensual'!L82+IF(parametros_manuales!$H$37="Todos",'Plan mensual'!L86,0)))*parametros_manuales!$I$37*parametros_manuales!$J$37</f>
        <v>16655.495</v>
      </c>
      <c r="K209" s="4">
        <f>(parametros_manuales!$D$37*('Plan mensual'!M79+IF(parametros_manuales!$H$37="Todos",'Plan mensual'!M83,0))+parametros_manuales!$E$37*('Plan mensual'!M80+IF(parametros_manuales!$H$37="Todos",'Plan mensual'!M84,0))+parametros_manuales!$F$37*('Plan mensual'!M81+IF(parametros_manuales!$H$37="Todos",'Plan mensual'!M85,0))+parametros_manuales!$G$37*('Plan mensual'!M82+IF(parametros_manuales!$H$37="Todos",'Plan mensual'!M86,0)))*parametros_manuales!$I$37*parametros_manuales!$J$37</f>
        <v>16346.4</v>
      </c>
      <c r="L209" s="4">
        <f>(parametros_manuales!$D$37*('Plan mensual'!N79+IF(parametros_manuales!$H$37="Todos",'Plan mensual'!N83,0))+parametros_manuales!$E$37*('Plan mensual'!N80+IF(parametros_manuales!$H$37="Todos",'Plan mensual'!N84,0))+parametros_manuales!$F$37*('Plan mensual'!N81+IF(parametros_manuales!$H$37="Todos",'Plan mensual'!N85,0))+parametros_manuales!$G$37*('Plan mensual'!N82+IF(parametros_manuales!$H$37="Todos",'Plan mensual'!N86,0)))*parametros_manuales!$I$37*parametros_manuales!$J$37</f>
        <v>16037.305</v>
      </c>
      <c r="M209" s="4">
        <f>(parametros_manuales!$D$37*('Plan mensual'!O79+IF(parametros_manuales!$H$37="Todos",'Plan mensual'!O83,0))+parametros_manuales!$E$37*('Plan mensual'!O80+IF(parametros_manuales!$H$37="Todos",'Plan mensual'!O84,0))+parametros_manuales!$F$37*('Plan mensual'!O81+IF(parametros_manuales!$H$37="Todos",'Plan mensual'!O85,0))+parametros_manuales!$G$37*('Plan mensual'!O82+IF(parametros_manuales!$H$37="Todos",'Plan mensual'!O86,0)))*parametros_manuales!$I$37*parametros_manuales!$J$37</f>
        <v>25536.05</v>
      </c>
      <c r="N209" s="4">
        <f t="shared" si="22"/>
        <v>217952</v>
      </c>
      <c r="O209" s="4">
        <f t="shared" si="23"/>
        <v>25536.05</v>
      </c>
      <c r="P209" s="27">
        <f>O209/(parametros_manuales!$B$7)</f>
        <v>170.2403333</v>
      </c>
      <c r="Q209" s="3" t="str">
        <f t="shared" si="24"/>
        <v>Dic</v>
      </c>
    </row>
    <row r="210" ht="14.25" customHeight="1">
      <c r="A210" s="3" t="str">
        <f>parametros_manuales!$B$38</f>
        <v>Carga de polvo</v>
      </c>
      <c r="B210" s="4">
        <f>(parametros_manuales!$D$38*('Plan mensual'!D79+IF(parametros_manuales!$H$38="Todos",'Plan mensual'!D83,0))+parametros_manuales!$E$38*('Plan mensual'!D80+IF(parametros_manuales!$H$38="Todos",'Plan mensual'!D84,0))+parametros_manuales!$F$38*('Plan mensual'!D81+IF(parametros_manuales!$H$38="Todos",'Plan mensual'!D85,0))+parametros_manuales!$G$38*('Plan mensual'!D82+IF(parametros_manuales!$H$38="Todos",'Plan mensual'!D86,0)))*parametros_manuales!$I$38*parametros_manuales!$J$38</f>
        <v>6002.64</v>
      </c>
      <c r="C210" s="4">
        <f>(parametros_manuales!$D$38*('Plan mensual'!E79+IF(parametros_manuales!$H$38="Todos",'Plan mensual'!E83,0))+parametros_manuales!$E$38*('Plan mensual'!E80+IF(parametros_manuales!$H$38="Todos",'Plan mensual'!E84,0))+parametros_manuales!$F$38*('Plan mensual'!E81+IF(parametros_manuales!$H$38="Todos",'Plan mensual'!E85,0))+parametros_manuales!$G$38*('Plan mensual'!E82+IF(parametros_manuales!$H$38="Todos",'Plan mensual'!E86,0)))*parametros_manuales!$I$38*parametros_manuales!$J$38</f>
        <v>4651.32</v>
      </c>
      <c r="D210" s="4">
        <f>(parametros_manuales!$D$38*('Plan mensual'!F79+IF(parametros_manuales!$H$38="Todos",'Plan mensual'!F83,0))+parametros_manuales!$E$38*('Plan mensual'!F80+IF(parametros_manuales!$H$38="Todos",'Plan mensual'!F84,0))+parametros_manuales!$F$38*('Plan mensual'!F81+IF(parametros_manuales!$H$38="Todos",'Plan mensual'!F85,0))+parametros_manuales!$G$38*('Plan mensual'!F82+IF(parametros_manuales!$H$38="Todos",'Plan mensual'!F86,0)))*parametros_manuales!$I$38*parametros_manuales!$J$38</f>
        <v>4549.34</v>
      </c>
      <c r="E210" s="4">
        <f>(parametros_manuales!$D$38*('Plan mensual'!G79+IF(parametros_manuales!$H$38="Todos",'Plan mensual'!G83,0))+parametros_manuales!$E$38*('Plan mensual'!G80+IF(parametros_manuales!$H$38="Todos",'Plan mensual'!G84,0))+parametros_manuales!$F$38*('Plan mensual'!G81+IF(parametros_manuales!$H$38="Todos",'Plan mensual'!G85,0))+parametros_manuales!$G$38*('Plan mensual'!G82+IF(parametros_manuales!$H$38="Todos",'Plan mensual'!G86,0)))*parametros_manuales!$I$38*parametros_manuales!$J$38</f>
        <v>4423.68</v>
      </c>
      <c r="F210" s="4">
        <f>(parametros_manuales!$D$38*('Plan mensual'!H79+IF(parametros_manuales!$H$38="Todos",'Plan mensual'!H83,0))+parametros_manuales!$E$38*('Plan mensual'!H80+IF(parametros_manuales!$H$38="Todos",'Plan mensual'!H84,0))+parametros_manuales!$F$38*('Plan mensual'!H81+IF(parametros_manuales!$H$38="Todos",'Plan mensual'!H85,0))+parametros_manuales!$G$38*('Plan mensual'!H82+IF(parametros_manuales!$H$38="Todos",'Plan mensual'!H86,0)))*parametros_manuales!$I$38*parametros_manuales!$J$38</f>
        <v>4148.68</v>
      </c>
      <c r="G210" s="4">
        <f>(parametros_manuales!$D$38*('Plan mensual'!I79+IF(parametros_manuales!$H$38="Todos",'Plan mensual'!I83,0))+parametros_manuales!$E$38*('Plan mensual'!I80+IF(parametros_manuales!$H$38="Todos",'Plan mensual'!I84,0))+parametros_manuales!$F$38*('Plan mensual'!I81+IF(parametros_manuales!$H$38="Todos",'Plan mensual'!I85,0))+parametros_manuales!$G$38*('Plan mensual'!I82+IF(parametros_manuales!$H$38="Todos",'Plan mensual'!I86,0)))*parametros_manuales!$I$38*parametros_manuales!$J$38</f>
        <v>3999.34</v>
      </c>
      <c r="H210" s="4">
        <f>(parametros_manuales!$D$38*('Plan mensual'!J79+IF(parametros_manuales!$H$38="Todos",'Plan mensual'!J83,0))+parametros_manuales!$E$38*('Plan mensual'!J80+IF(parametros_manuales!$H$38="Todos",'Plan mensual'!J84,0))+parametros_manuales!$F$38*('Plan mensual'!J81+IF(parametros_manuales!$H$38="Todos",'Plan mensual'!J85,0))+parametros_manuales!$G$38*('Plan mensual'!J82+IF(parametros_manuales!$H$38="Todos",'Plan mensual'!J86,0)))*parametros_manuales!$I$38*parametros_manuales!$J$38</f>
        <v>4274.34</v>
      </c>
      <c r="I210" s="4">
        <f>(parametros_manuales!$D$38*('Plan mensual'!K79+IF(parametros_manuales!$H$38="Todos",'Plan mensual'!K83,0))+parametros_manuales!$E$38*('Plan mensual'!K80+IF(parametros_manuales!$H$38="Todos",'Plan mensual'!K84,0))+parametros_manuales!$F$38*('Plan mensual'!K81+IF(parametros_manuales!$H$38="Todos",'Plan mensual'!K85,0))+parametros_manuales!$G$38*('Plan mensual'!K82+IF(parametros_manuales!$H$38="Todos",'Plan mensual'!K86,0)))*parametros_manuales!$I$38*parametros_manuales!$J$38</f>
        <v>4274.34</v>
      </c>
      <c r="J210" s="4">
        <f>(parametros_manuales!$D$38*('Plan mensual'!L79+IF(parametros_manuales!$H$38="Todos",'Plan mensual'!L83,0))+parametros_manuales!$E$38*('Plan mensual'!L80+IF(parametros_manuales!$H$38="Todos",'Plan mensual'!L84,0))+parametros_manuales!$F$38*('Plan mensual'!L81+IF(parametros_manuales!$H$38="Todos",'Plan mensual'!L85,0))+parametros_manuales!$G$38*('Plan mensual'!L82+IF(parametros_manuales!$H$38="Todos",'Plan mensual'!L86,0)))*parametros_manuales!$I$38*parametros_manuales!$J$38</f>
        <v>4274.34</v>
      </c>
      <c r="K210" s="4">
        <f>(parametros_manuales!$D$38*('Plan mensual'!M79+IF(parametros_manuales!$H$38="Todos",'Plan mensual'!M83,0))+parametros_manuales!$E$38*('Plan mensual'!M80+IF(parametros_manuales!$H$38="Todos",'Plan mensual'!M84,0))+parametros_manuales!$F$38*('Plan mensual'!M81+IF(parametros_manuales!$H$38="Todos",'Plan mensual'!M85,0))+parametros_manuales!$G$38*('Plan mensual'!M82+IF(parametros_manuales!$H$38="Todos",'Plan mensual'!M86,0)))*parametros_manuales!$I$38*parametros_manuales!$J$38</f>
        <v>4125</v>
      </c>
      <c r="L210" s="4">
        <f>(parametros_manuales!$D$38*('Plan mensual'!N79+IF(parametros_manuales!$H$38="Todos",'Plan mensual'!N83,0))+parametros_manuales!$E$38*('Plan mensual'!N80+IF(parametros_manuales!$H$38="Todos",'Plan mensual'!N84,0))+parametros_manuales!$F$38*('Plan mensual'!N81+IF(parametros_manuales!$H$38="Todos",'Plan mensual'!N85,0))+parametros_manuales!$G$38*('Plan mensual'!N82+IF(parametros_manuales!$H$38="Todos",'Plan mensual'!N86,0)))*parametros_manuales!$I$38*parametros_manuales!$J$38</f>
        <v>3975.66</v>
      </c>
      <c r="M210" s="4">
        <f>(parametros_manuales!$D$38*('Plan mensual'!O79+IF(parametros_manuales!$H$38="Todos",'Plan mensual'!O83,0))+parametros_manuales!$E$38*('Plan mensual'!O80+IF(parametros_manuales!$H$38="Todos",'Plan mensual'!O84,0))+parametros_manuales!$F$38*('Plan mensual'!O81+IF(parametros_manuales!$H$38="Todos",'Plan mensual'!O85,0))+parametros_manuales!$G$38*('Plan mensual'!O82+IF(parametros_manuales!$H$38="Todos",'Plan mensual'!O86,0)))*parametros_manuales!$I$38*parametros_manuales!$J$38</f>
        <v>6301.32</v>
      </c>
      <c r="N210" s="4">
        <f t="shared" si="22"/>
        <v>55000</v>
      </c>
      <c r="O210" s="4">
        <f t="shared" si="23"/>
        <v>6301.32</v>
      </c>
      <c r="P210" s="27">
        <f>O210/(parametros_manuales!$B$7)</f>
        <v>42.0088</v>
      </c>
      <c r="Q210" s="3" t="str">
        <f t="shared" si="24"/>
        <v>Dic</v>
      </c>
    </row>
    <row r="211" ht="14.25" customHeight="1">
      <c r="A211" s="3" t="str">
        <f>parametros_manuales!$B$39</f>
        <v>Ensamblaje</v>
      </c>
      <c r="B211" s="4">
        <f>(parametros_manuales!$D$39*('Plan mensual'!D79+IF(parametros_manuales!$H$39="Todos",'Plan mensual'!D83,0))+parametros_manuales!$E$39*('Plan mensual'!D80+IF(parametros_manuales!$H$39="Todos",'Plan mensual'!D84,0))+parametros_manuales!$F$39*('Plan mensual'!D81+IF(parametros_manuales!$H$39="Todos",'Plan mensual'!D85,0))+parametros_manuales!$G$39*('Plan mensual'!D82+IF(parametros_manuales!$H$39="Todos",'Plan mensual'!D86,0)))*parametros_manuales!$I$39*parametros_manuales!$J$39</f>
        <v>6002.64</v>
      </c>
      <c r="C211" s="4">
        <f>(parametros_manuales!$D$39*('Plan mensual'!E79+IF(parametros_manuales!$H$39="Todos",'Plan mensual'!E83,0))+parametros_manuales!$E$39*('Plan mensual'!E80+IF(parametros_manuales!$H$39="Todos",'Plan mensual'!E84,0))+parametros_manuales!$F$39*('Plan mensual'!E81+IF(parametros_manuales!$H$39="Todos",'Plan mensual'!E85,0))+parametros_manuales!$G$39*('Plan mensual'!E82+IF(parametros_manuales!$H$39="Todos",'Plan mensual'!E86,0)))*parametros_manuales!$I$39*parametros_manuales!$J$39</f>
        <v>4651.32</v>
      </c>
      <c r="D211" s="4">
        <f>(parametros_manuales!$D$39*('Plan mensual'!F79+IF(parametros_manuales!$H$39="Todos",'Plan mensual'!F83,0))+parametros_manuales!$E$39*('Plan mensual'!F80+IF(parametros_manuales!$H$39="Todos",'Plan mensual'!F84,0))+parametros_manuales!$F$39*('Plan mensual'!F81+IF(parametros_manuales!$H$39="Todos",'Plan mensual'!F85,0))+parametros_manuales!$G$39*('Plan mensual'!F82+IF(parametros_manuales!$H$39="Todos",'Plan mensual'!F86,0)))*parametros_manuales!$I$39*parametros_manuales!$J$39</f>
        <v>4549.34</v>
      </c>
      <c r="E211" s="4">
        <f>(parametros_manuales!$D$39*('Plan mensual'!G79+IF(parametros_manuales!$H$39="Todos",'Plan mensual'!G83,0))+parametros_manuales!$E$39*('Plan mensual'!G80+IF(parametros_manuales!$H$39="Todos",'Plan mensual'!G84,0))+parametros_manuales!$F$39*('Plan mensual'!G81+IF(parametros_manuales!$H$39="Todos",'Plan mensual'!G85,0))+parametros_manuales!$G$39*('Plan mensual'!G82+IF(parametros_manuales!$H$39="Todos",'Plan mensual'!G86,0)))*parametros_manuales!$I$39*parametros_manuales!$J$39</f>
        <v>4423.68</v>
      </c>
      <c r="F211" s="4">
        <f>(parametros_manuales!$D$39*('Plan mensual'!H79+IF(parametros_manuales!$H$39="Todos",'Plan mensual'!H83,0))+parametros_manuales!$E$39*('Plan mensual'!H80+IF(parametros_manuales!$H$39="Todos",'Plan mensual'!H84,0))+parametros_manuales!$F$39*('Plan mensual'!H81+IF(parametros_manuales!$H$39="Todos",'Plan mensual'!H85,0))+parametros_manuales!$G$39*('Plan mensual'!H82+IF(parametros_manuales!$H$39="Todos",'Plan mensual'!H86,0)))*parametros_manuales!$I$39*parametros_manuales!$J$39</f>
        <v>4148.68</v>
      </c>
      <c r="G211" s="4">
        <f>(parametros_manuales!$D$39*('Plan mensual'!I79+IF(parametros_manuales!$H$39="Todos",'Plan mensual'!I83,0))+parametros_manuales!$E$39*('Plan mensual'!I80+IF(parametros_manuales!$H$39="Todos",'Plan mensual'!I84,0))+parametros_manuales!$F$39*('Plan mensual'!I81+IF(parametros_manuales!$H$39="Todos",'Plan mensual'!I85,0))+parametros_manuales!$G$39*('Plan mensual'!I82+IF(parametros_manuales!$H$39="Todos",'Plan mensual'!I86,0)))*parametros_manuales!$I$39*parametros_manuales!$J$39</f>
        <v>3999.34</v>
      </c>
      <c r="H211" s="4">
        <f>(parametros_manuales!$D$39*('Plan mensual'!J79+IF(parametros_manuales!$H$39="Todos",'Plan mensual'!J83,0))+parametros_manuales!$E$39*('Plan mensual'!J80+IF(parametros_manuales!$H$39="Todos",'Plan mensual'!J84,0))+parametros_manuales!$F$39*('Plan mensual'!J81+IF(parametros_manuales!$H$39="Todos",'Plan mensual'!J85,0))+parametros_manuales!$G$39*('Plan mensual'!J82+IF(parametros_manuales!$H$39="Todos",'Plan mensual'!J86,0)))*parametros_manuales!$I$39*parametros_manuales!$J$39</f>
        <v>4274.34</v>
      </c>
      <c r="I211" s="4">
        <f>(parametros_manuales!$D$39*('Plan mensual'!K79+IF(parametros_manuales!$H$39="Todos",'Plan mensual'!K83,0))+parametros_manuales!$E$39*('Plan mensual'!K80+IF(parametros_manuales!$H$39="Todos",'Plan mensual'!K84,0))+parametros_manuales!$F$39*('Plan mensual'!K81+IF(parametros_manuales!$H$39="Todos",'Plan mensual'!K85,0))+parametros_manuales!$G$39*('Plan mensual'!K82+IF(parametros_manuales!$H$39="Todos",'Plan mensual'!K86,0)))*parametros_manuales!$I$39*parametros_manuales!$J$39</f>
        <v>4274.34</v>
      </c>
      <c r="J211" s="4">
        <f>(parametros_manuales!$D$39*('Plan mensual'!L79+IF(parametros_manuales!$H$39="Todos",'Plan mensual'!L83,0))+parametros_manuales!$E$39*('Plan mensual'!L80+IF(parametros_manuales!$H$39="Todos",'Plan mensual'!L84,0))+parametros_manuales!$F$39*('Plan mensual'!L81+IF(parametros_manuales!$H$39="Todos",'Plan mensual'!L85,0))+parametros_manuales!$G$39*('Plan mensual'!L82+IF(parametros_manuales!$H$39="Todos",'Plan mensual'!L86,0)))*parametros_manuales!$I$39*parametros_manuales!$J$39</f>
        <v>4274.34</v>
      </c>
      <c r="K211" s="4">
        <f>(parametros_manuales!$D$39*('Plan mensual'!M79+IF(parametros_manuales!$H$39="Todos",'Plan mensual'!M83,0))+parametros_manuales!$E$39*('Plan mensual'!M80+IF(parametros_manuales!$H$39="Todos",'Plan mensual'!M84,0))+parametros_manuales!$F$39*('Plan mensual'!M81+IF(parametros_manuales!$H$39="Todos",'Plan mensual'!M85,0))+parametros_manuales!$G$39*('Plan mensual'!M82+IF(parametros_manuales!$H$39="Todos",'Plan mensual'!M86,0)))*parametros_manuales!$I$39*parametros_manuales!$J$39</f>
        <v>4125</v>
      </c>
      <c r="L211" s="4">
        <f>(parametros_manuales!$D$39*('Plan mensual'!N79+IF(parametros_manuales!$H$39="Todos",'Plan mensual'!N83,0))+parametros_manuales!$E$39*('Plan mensual'!N80+IF(parametros_manuales!$H$39="Todos",'Plan mensual'!N84,0))+parametros_manuales!$F$39*('Plan mensual'!N81+IF(parametros_manuales!$H$39="Todos",'Plan mensual'!N85,0))+parametros_manuales!$G$39*('Plan mensual'!N82+IF(parametros_manuales!$H$39="Todos",'Plan mensual'!N86,0)))*parametros_manuales!$I$39*parametros_manuales!$J$39</f>
        <v>3975.66</v>
      </c>
      <c r="M211" s="4">
        <f>(parametros_manuales!$D$39*('Plan mensual'!O79+IF(parametros_manuales!$H$39="Todos",'Plan mensual'!O83,0))+parametros_manuales!$E$39*('Plan mensual'!O80+IF(parametros_manuales!$H$39="Todos",'Plan mensual'!O84,0))+parametros_manuales!$F$39*('Plan mensual'!O81+IF(parametros_manuales!$H$39="Todos",'Plan mensual'!O85,0))+parametros_manuales!$G$39*('Plan mensual'!O82+IF(parametros_manuales!$H$39="Todos",'Plan mensual'!O86,0)))*parametros_manuales!$I$39*parametros_manuales!$J$39</f>
        <v>6301.32</v>
      </c>
      <c r="N211" s="4">
        <f t="shared" si="22"/>
        <v>55000</v>
      </c>
      <c r="O211" s="4">
        <f t="shared" si="23"/>
        <v>6301.32</v>
      </c>
      <c r="P211" s="27">
        <f>O211/(parametros_manuales!$B$7)</f>
        <v>42.0088</v>
      </c>
      <c r="Q211" s="3" t="str">
        <f t="shared" si="24"/>
        <v>Dic</v>
      </c>
    </row>
    <row r="212" ht="14.25" customHeight="1">
      <c r="A212" s="3" t="str">
        <f>parametros_manuales!$B$40</f>
        <v>Presurización</v>
      </c>
      <c r="B212" s="4">
        <f>(parametros_manuales!$D$40*('Plan mensual'!D79+IF(parametros_manuales!$H$40="Todos",'Plan mensual'!D83,0))+parametros_manuales!$E$40*('Plan mensual'!D80+IF(parametros_manuales!$H$40="Todos",'Plan mensual'!D84,0))+parametros_manuales!$F$40*('Plan mensual'!D81+IF(parametros_manuales!$H$40="Todos",'Plan mensual'!D85,0))+parametros_manuales!$G$40*('Plan mensual'!D82+IF(parametros_manuales!$H$40="Todos",'Plan mensual'!D86,0)))*parametros_manuales!$I$40*parametros_manuales!$J$40</f>
        <v>6002.64</v>
      </c>
      <c r="C212" s="4">
        <f>(parametros_manuales!$D$40*('Plan mensual'!E79+IF(parametros_manuales!$H$40="Todos",'Plan mensual'!E83,0))+parametros_manuales!$E$40*('Plan mensual'!E80+IF(parametros_manuales!$H$40="Todos",'Plan mensual'!E84,0))+parametros_manuales!$F$40*('Plan mensual'!E81+IF(parametros_manuales!$H$40="Todos",'Plan mensual'!E85,0))+parametros_manuales!$G$40*('Plan mensual'!E82+IF(parametros_manuales!$H$40="Todos",'Plan mensual'!E86,0)))*parametros_manuales!$I$40*parametros_manuales!$J$40</f>
        <v>4651.32</v>
      </c>
      <c r="D212" s="4">
        <f>(parametros_manuales!$D$40*('Plan mensual'!F79+IF(parametros_manuales!$H$40="Todos",'Plan mensual'!F83,0))+parametros_manuales!$E$40*('Plan mensual'!F80+IF(parametros_manuales!$H$40="Todos",'Plan mensual'!F84,0))+parametros_manuales!$F$40*('Plan mensual'!F81+IF(parametros_manuales!$H$40="Todos",'Plan mensual'!F85,0))+parametros_manuales!$G$40*('Plan mensual'!F82+IF(parametros_manuales!$H$40="Todos",'Plan mensual'!F86,0)))*parametros_manuales!$I$40*parametros_manuales!$J$40</f>
        <v>4549.34</v>
      </c>
      <c r="E212" s="4">
        <f>(parametros_manuales!$D$40*('Plan mensual'!G79+IF(parametros_manuales!$H$40="Todos",'Plan mensual'!G83,0))+parametros_manuales!$E$40*('Plan mensual'!G80+IF(parametros_manuales!$H$40="Todos",'Plan mensual'!G84,0))+parametros_manuales!$F$40*('Plan mensual'!G81+IF(parametros_manuales!$H$40="Todos",'Plan mensual'!G85,0))+parametros_manuales!$G$40*('Plan mensual'!G82+IF(parametros_manuales!$H$40="Todos",'Plan mensual'!G86,0)))*parametros_manuales!$I$40*parametros_manuales!$J$40</f>
        <v>4423.68</v>
      </c>
      <c r="F212" s="4">
        <f>(parametros_manuales!$D$40*('Plan mensual'!H79+IF(parametros_manuales!$H$40="Todos",'Plan mensual'!H83,0))+parametros_manuales!$E$40*('Plan mensual'!H80+IF(parametros_manuales!$H$40="Todos",'Plan mensual'!H84,0))+parametros_manuales!$F$40*('Plan mensual'!H81+IF(parametros_manuales!$H$40="Todos",'Plan mensual'!H85,0))+parametros_manuales!$G$40*('Plan mensual'!H82+IF(parametros_manuales!$H$40="Todos",'Plan mensual'!H86,0)))*parametros_manuales!$I$40*parametros_manuales!$J$40</f>
        <v>4148.68</v>
      </c>
      <c r="G212" s="4">
        <f>(parametros_manuales!$D$40*('Plan mensual'!I79+IF(parametros_manuales!$H$40="Todos",'Plan mensual'!I83,0))+parametros_manuales!$E$40*('Plan mensual'!I80+IF(parametros_manuales!$H$40="Todos",'Plan mensual'!I84,0))+parametros_manuales!$F$40*('Plan mensual'!I81+IF(parametros_manuales!$H$40="Todos",'Plan mensual'!I85,0))+parametros_manuales!$G$40*('Plan mensual'!I82+IF(parametros_manuales!$H$40="Todos",'Plan mensual'!I86,0)))*parametros_manuales!$I$40*parametros_manuales!$J$40</f>
        <v>3999.34</v>
      </c>
      <c r="H212" s="4">
        <f>(parametros_manuales!$D$40*('Plan mensual'!J79+IF(parametros_manuales!$H$40="Todos",'Plan mensual'!J83,0))+parametros_manuales!$E$40*('Plan mensual'!J80+IF(parametros_manuales!$H$40="Todos",'Plan mensual'!J84,0))+parametros_manuales!$F$40*('Plan mensual'!J81+IF(parametros_manuales!$H$40="Todos",'Plan mensual'!J85,0))+parametros_manuales!$G$40*('Plan mensual'!J82+IF(parametros_manuales!$H$40="Todos",'Plan mensual'!J86,0)))*parametros_manuales!$I$40*parametros_manuales!$J$40</f>
        <v>4274.34</v>
      </c>
      <c r="I212" s="4">
        <f>(parametros_manuales!$D$40*('Plan mensual'!K79+IF(parametros_manuales!$H$40="Todos",'Plan mensual'!K83,0))+parametros_manuales!$E$40*('Plan mensual'!K80+IF(parametros_manuales!$H$40="Todos",'Plan mensual'!K84,0))+parametros_manuales!$F$40*('Plan mensual'!K81+IF(parametros_manuales!$H$40="Todos",'Plan mensual'!K85,0))+parametros_manuales!$G$40*('Plan mensual'!K82+IF(parametros_manuales!$H$40="Todos",'Plan mensual'!K86,0)))*parametros_manuales!$I$40*parametros_manuales!$J$40</f>
        <v>4274.34</v>
      </c>
      <c r="J212" s="4">
        <f>(parametros_manuales!$D$40*('Plan mensual'!L79+IF(parametros_manuales!$H$40="Todos",'Plan mensual'!L83,0))+parametros_manuales!$E$40*('Plan mensual'!L80+IF(parametros_manuales!$H$40="Todos",'Plan mensual'!L84,0))+parametros_manuales!$F$40*('Plan mensual'!L81+IF(parametros_manuales!$H$40="Todos",'Plan mensual'!L85,0))+parametros_manuales!$G$40*('Plan mensual'!L82+IF(parametros_manuales!$H$40="Todos",'Plan mensual'!L86,0)))*parametros_manuales!$I$40*parametros_manuales!$J$40</f>
        <v>4274.34</v>
      </c>
      <c r="K212" s="4">
        <f>(parametros_manuales!$D$40*('Plan mensual'!M79+IF(parametros_manuales!$H$40="Todos",'Plan mensual'!M83,0))+parametros_manuales!$E$40*('Plan mensual'!M80+IF(parametros_manuales!$H$40="Todos",'Plan mensual'!M84,0))+parametros_manuales!$F$40*('Plan mensual'!M81+IF(parametros_manuales!$H$40="Todos",'Plan mensual'!M85,0))+parametros_manuales!$G$40*('Plan mensual'!M82+IF(parametros_manuales!$H$40="Todos",'Plan mensual'!M86,0)))*parametros_manuales!$I$40*parametros_manuales!$J$40</f>
        <v>4125</v>
      </c>
      <c r="L212" s="4">
        <f>(parametros_manuales!$D$40*('Plan mensual'!N79+IF(parametros_manuales!$H$40="Todos",'Plan mensual'!N83,0))+parametros_manuales!$E$40*('Plan mensual'!N80+IF(parametros_manuales!$H$40="Todos",'Plan mensual'!N84,0))+parametros_manuales!$F$40*('Plan mensual'!N81+IF(parametros_manuales!$H$40="Todos",'Plan mensual'!N85,0))+parametros_manuales!$G$40*('Plan mensual'!N82+IF(parametros_manuales!$H$40="Todos",'Plan mensual'!N86,0)))*parametros_manuales!$I$40*parametros_manuales!$J$40</f>
        <v>3975.66</v>
      </c>
      <c r="M212" s="4">
        <f>(parametros_manuales!$D$40*('Plan mensual'!O79+IF(parametros_manuales!$H$40="Todos",'Plan mensual'!O83,0))+parametros_manuales!$E$40*('Plan mensual'!O80+IF(parametros_manuales!$H$40="Todos",'Plan mensual'!O84,0))+parametros_manuales!$F$40*('Plan mensual'!O81+IF(parametros_manuales!$H$40="Todos",'Plan mensual'!O85,0))+parametros_manuales!$G$40*('Plan mensual'!O82+IF(parametros_manuales!$H$40="Todos",'Plan mensual'!O86,0)))*parametros_manuales!$I$40*parametros_manuales!$J$40</f>
        <v>6301.32</v>
      </c>
      <c r="N212" s="4">
        <f t="shared" si="22"/>
        <v>55000</v>
      </c>
      <c r="O212" s="4">
        <f t="shared" si="23"/>
        <v>6301.32</v>
      </c>
      <c r="P212" s="27">
        <f>O212/(parametros_manuales!$B$7)</f>
        <v>42.0088</v>
      </c>
      <c r="Q212" s="3" t="str">
        <f t="shared" si="24"/>
        <v>Dic</v>
      </c>
    </row>
    <row r="213" ht="14.25" customHeight="1">
      <c r="A213" s="3" t="str">
        <f>parametros_manuales!$B$41</f>
        <v>Control de calidad — Ensayo de pérdidas</v>
      </c>
      <c r="B213" s="4">
        <f>(parametros_manuales!$D$41*('Plan mensual'!D79+IF(parametros_manuales!$H$41="Todos",'Plan mensual'!D83,0))+parametros_manuales!$E$41*('Plan mensual'!D80+IF(parametros_manuales!$H$41="Todos",'Plan mensual'!D84,0))+parametros_manuales!$F$41*('Plan mensual'!D81+IF(parametros_manuales!$H$41="Todos",'Plan mensual'!D85,0))+parametros_manuales!$G$41*('Plan mensual'!D82+IF(parametros_manuales!$H$41="Todos",'Plan mensual'!D86,0)))*parametros_manuales!$I$41*parametros_manuales!$J$41</f>
        <v>6002.64</v>
      </c>
      <c r="C213" s="4">
        <f>(parametros_manuales!$D$41*('Plan mensual'!E79+IF(parametros_manuales!$H$41="Todos",'Plan mensual'!E83,0))+parametros_manuales!$E$41*('Plan mensual'!E80+IF(parametros_manuales!$H$41="Todos",'Plan mensual'!E84,0))+parametros_manuales!$F$41*('Plan mensual'!E81+IF(parametros_manuales!$H$41="Todos",'Plan mensual'!E85,0))+parametros_manuales!$G$41*('Plan mensual'!E82+IF(parametros_manuales!$H$41="Todos",'Plan mensual'!E86,0)))*parametros_manuales!$I$41*parametros_manuales!$J$41</f>
        <v>4651.32</v>
      </c>
      <c r="D213" s="4">
        <f>(parametros_manuales!$D$41*('Plan mensual'!F79+IF(parametros_manuales!$H$41="Todos",'Plan mensual'!F83,0))+parametros_manuales!$E$41*('Plan mensual'!F80+IF(parametros_manuales!$H$41="Todos",'Plan mensual'!F84,0))+parametros_manuales!$F$41*('Plan mensual'!F81+IF(parametros_manuales!$H$41="Todos",'Plan mensual'!F85,0))+parametros_manuales!$G$41*('Plan mensual'!F82+IF(parametros_manuales!$H$41="Todos",'Plan mensual'!F86,0)))*parametros_manuales!$I$41*parametros_manuales!$J$41</f>
        <v>4549.34</v>
      </c>
      <c r="E213" s="4">
        <f>(parametros_manuales!$D$41*('Plan mensual'!G79+IF(parametros_manuales!$H$41="Todos",'Plan mensual'!G83,0))+parametros_manuales!$E$41*('Plan mensual'!G80+IF(parametros_manuales!$H$41="Todos",'Plan mensual'!G84,0))+parametros_manuales!$F$41*('Plan mensual'!G81+IF(parametros_manuales!$H$41="Todos",'Plan mensual'!G85,0))+parametros_manuales!$G$41*('Plan mensual'!G82+IF(parametros_manuales!$H$41="Todos",'Plan mensual'!G86,0)))*parametros_manuales!$I$41*parametros_manuales!$J$41</f>
        <v>4423.68</v>
      </c>
      <c r="F213" s="4">
        <f>(parametros_manuales!$D$41*('Plan mensual'!H79+IF(parametros_manuales!$H$41="Todos",'Plan mensual'!H83,0))+parametros_manuales!$E$41*('Plan mensual'!H80+IF(parametros_manuales!$H$41="Todos",'Plan mensual'!H84,0))+parametros_manuales!$F$41*('Plan mensual'!H81+IF(parametros_manuales!$H$41="Todos",'Plan mensual'!H85,0))+parametros_manuales!$G$41*('Plan mensual'!H82+IF(parametros_manuales!$H$41="Todos",'Plan mensual'!H86,0)))*parametros_manuales!$I$41*parametros_manuales!$J$41</f>
        <v>4148.68</v>
      </c>
      <c r="G213" s="4">
        <f>(parametros_manuales!$D$41*('Plan mensual'!I79+IF(parametros_manuales!$H$41="Todos",'Plan mensual'!I83,0))+parametros_manuales!$E$41*('Plan mensual'!I80+IF(parametros_manuales!$H$41="Todos",'Plan mensual'!I84,0))+parametros_manuales!$F$41*('Plan mensual'!I81+IF(parametros_manuales!$H$41="Todos",'Plan mensual'!I85,0))+parametros_manuales!$G$41*('Plan mensual'!I82+IF(parametros_manuales!$H$41="Todos",'Plan mensual'!I86,0)))*parametros_manuales!$I$41*parametros_manuales!$J$41</f>
        <v>3999.34</v>
      </c>
      <c r="H213" s="4">
        <f>(parametros_manuales!$D$41*('Plan mensual'!J79+IF(parametros_manuales!$H$41="Todos",'Plan mensual'!J83,0))+parametros_manuales!$E$41*('Plan mensual'!J80+IF(parametros_manuales!$H$41="Todos",'Plan mensual'!J84,0))+parametros_manuales!$F$41*('Plan mensual'!J81+IF(parametros_manuales!$H$41="Todos",'Plan mensual'!J85,0))+parametros_manuales!$G$41*('Plan mensual'!J82+IF(parametros_manuales!$H$41="Todos",'Plan mensual'!J86,0)))*parametros_manuales!$I$41*parametros_manuales!$J$41</f>
        <v>4274.34</v>
      </c>
      <c r="I213" s="4">
        <f>(parametros_manuales!$D$41*('Plan mensual'!K79+IF(parametros_manuales!$H$41="Todos",'Plan mensual'!K83,0))+parametros_manuales!$E$41*('Plan mensual'!K80+IF(parametros_manuales!$H$41="Todos",'Plan mensual'!K84,0))+parametros_manuales!$F$41*('Plan mensual'!K81+IF(parametros_manuales!$H$41="Todos",'Plan mensual'!K85,0))+parametros_manuales!$G$41*('Plan mensual'!K82+IF(parametros_manuales!$H$41="Todos",'Plan mensual'!K86,0)))*parametros_manuales!$I$41*parametros_manuales!$J$41</f>
        <v>4274.34</v>
      </c>
      <c r="J213" s="4">
        <f>(parametros_manuales!$D$41*('Plan mensual'!L79+IF(parametros_manuales!$H$41="Todos",'Plan mensual'!L83,0))+parametros_manuales!$E$41*('Plan mensual'!L80+IF(parametros_manuales!$H$41="Todos",'Plan mensual'!L84,0))+parametros_manuales!$F$41*('Plan mensual'!L81+IF(parametros_manuales!$H$41="Todos",'Plan mensual'!L85,0))+parametros_manuales!$G$41*('Plan mensual'!L82+IF(parametros_manuales!$H$41="Todos",'Plan mensual'!L86,0)))*parametros_manuales!$I$41*parametros_manuales!$J$41</f>
        <v>4274.34</v>
      </c>
      <c r="K213" s="4">
        <f>(parametros_manuales!$D$41*('Plan mensual'!M79+IF(parametros_manuales!$H$41="Todos",'Plan mensual'!M83,0))+parametros_manuales!$E$41*('Plan mensual'!M80+IF(parametros_manuales!$H$41="Todos",'Plan mensual'!M84,0))+parametros_manuales!$F$41*('Plan mensual'!M81+IF(parametros_manuales!$H$41="Todos",'Plan mensual'!M85,0))+parametros_manuales!$G$41*('Plan mensual'!M82+IF(parametros_manuales!$H$41="Todos",'Plan mensual'!M86,0)))*parametros_manuales!$I$41*parametros_manuales!$J$41</f>
        <v>4125</v>
      </c>
      <c r="L213" s="4">
        <f>(parametros_manuales!$D$41*('Plan mensual'!N79+IF(parametros_manuales!$H$41="Todos",'Plan mensual'!N83,0))+parametros_manuales!$E$41*('Plan mensual'!N80+IF(parametros_manuales!$H$41="Todos",'Plan mensual'!N84,0))+parametros_manuales!$F$41*('Plan mensual'!N81+IF(parametros_manuales!$H$41="Todos",'Plan mensual'!N85,0))+parametros_manuales!$G$41*('Plan mensual'!N82+IF(parametros_manuales!$H$41="Todos",'Plan mensual'!N86,0)))*parametros_manuales!$I$41*parametros_manuales!$J$41</f>
        <v>3975.66</v>
      </c>
      <c r="M213" s="4">
        <f>(parametros_manuales!$D$41*('Plan mensual'!O79+IF(parametros_manuales!$H$41="Todos",'Plan mensual'!O83,0))+parametros_manuales!$E$41*('Plan mensual'!O80+IF(parametros_manuales!$H$41="Todos",'Plan mensual'!O84,0))+parametros_manuales!$F$41*('Plan mensual'!O81+IF(parametros_manuales!$H$41="Todos",'Plan mensual'!O85,0))+parametros_manuales!$G$41*('Plan mensual'!O82+IF(parametros_manuales!$H$41="Todos",'Plan mensual'!O86,0)))*parametros_manuales!$I$41*parametros_manuales!$J$41</f>
        <v>6301.32</v>
      </c>
      <c r="N213" s="4">
        <f t="shared" si="22"/>
        <v>55000</v>
      </c>
      <c r="O213" s="4">
        <f t="shared" si="23"/>
        <v>6301.32</v>
      </c>
      <c r="P213" s="27">
        <f>O213/(parametros_manuales!$B$7)</f>
        <v>42.0088</v>
      </c>
      <c r="Q213" s="3" t="str">
        <f t="shared" si="24"/>
        <v>Dic</v>
      </c>
    </row>
    <row r="214" ht="14.25" customHeight="1">
      <c r="A214" s="3" t="str">
        <f>parametros_manuales!$B$42</f>
        <v>Etiquetado</v>
      </c>
      <c r="B214" s="4">
        <f>(parametros_manuales!$D$42*('Plan mensual'!D79+IF(parametros_manuales!$H$42="Todos",'Plan mensual'!D83,0))+parametros_manuales!$E$42*('Plan mensual'!D80+IF(parametros_manuales!$H$42="Todos",'Plan mensual'!D84,0))+parametros_manuales!$F$42*('Plan mensual'!D81+IF(parametros_manuales!$H$42="Todos",'Plan mensual'!D85,0))+parametros_manuales!$G$42*('Plan mensual'!D82+IF(parametros_manuales!$H$42="Todos",'Plan mensual'!D86,0)))*parametros_manuales!$I$42*parametros_manuales!$J$42</f>
        <v>6002.64</v>
      </c>
      <c r="C214" s="4">
        <f>(parametros_manuales!$D$42*('Plan mensual'!E79+IF(parametros_manuales!$H$42="Todos",'Plan mensual'!E83,0))+parametros_manuales!$E$42*('Plan mensual'!E80+IF(parametros_manuales!$H$42="Todos",'Plan mensual'!E84,0))+parametros_manuales!$F$42*('Plan mensual'!E81+IF(parametros_manuales!$H$42="Todos",'Plan mensual'!E85,0))+parametros_manuales!$G$42*('Plan mensual'!E82+IF(parametros_manuales!$H$42="Todos",'Plan mensual'!E86,0)))*parametros_manuales!$I$42*parametros_manuales!$J$42</f>
        <v>4651.32</v>
      </c>
      <c r="D214" s="4">
        <f>(parametros_manuales!$D$42*('Plan mensual'!F79+IF(parametros_manuales!$H$42="Todos",'Plan mensual'!F83,0))+parametros_manuales!$E$42*('Plan mensual'!F80+IF(parametros_manuales!$H$42="Todos",'Plan mensual'!F84,0))+parametros_manuales!$F$42*('Plan mensual'!F81+IF(parametros_manuales!$H$42="Todos",'Plan mensual'!F85,0))+parametros_manuales!$G$42*('Plan mensual'!F82+IF(parametros_manuales!$H$42="Todos",'Plan mensual'!F86,0)))*parametros_manuales!$I$42*parametros_manuales!$J$42</f>
        <v>4549.34</v>
      </c>
      <c r="E214" s="4">
        <f>(parametros_manuales!$D$42*('Plan mensual'!G79+IF(parametros_manuales!$H$42="Todos",'Plan mensual'!G83,0))+parametros_manuales!$E$42*('Plan mensual'!G80+IF(parametros_manuales!$H$42="Todos",'Plan mensual'!G84,0))+parametros_manuales!$F$42*('Plan mensual'!G81+IF(parametros_manuales!$H$42="Todos",'Plan mensual'!G85,0))+parametros_manuales!$G$42*('Plan mensual'!G82+IF(parametros_manuales!$H$42="Todos",'Plan mensual'!G86,0)))*parametros_manuales!$I$42*parametros_manuales!$J$42</f>
        <v>4423.68</v>
      </c>
      <c r="F214" s="4">
        <f>(parametros_manuales!$D$42*('Plan mensual'!H79+IF(parametros_manuales!$H$42="Todos",'Plan mensual'!H83,0))+parametros_manuales!$E$42*('Plan mensual'!H80+IF(parametros_manuales!$H$42="Todos",'Plan mensual'!H84,0))+parametros_manuales!$F$42*('Plan mensual'!H81+IF(parametros_manuales!$H$42="Todos",'Plan mensual'!H85,0))+parametros_manuales!$G$42*('Plan mensual'!H82+IF(parametros_manuales!$H$42="Todos",'Plan mensual'!H86,0)))*parametros_manuales!$I$42*parametros_manuales!$J$42</f>
        <v>4148.68</v>
      </c>
      <c r="G214" s="4">
        <f>(parametros_manuales!$D$42*('Plan mensual'!I79+IF(parametros_manuales!$H$42="Todos",'Plan mensual'!I83,0))+parametros_manuales!$E$42*('Plan mensual'!I80+IF(parametros_manuales!$H$42="Todos",'Plan mensual'!I84,0))+parametros_manuales!$F$42*('Plan mensual'!I81+IF(parametros_manuales!$H$42="Todos",'Plan mensual'!I85,0))+parametros_manuales!$G$42*('Plan mensual'!I82+IF(parametros_manuales!$H$42="Todos",'Plan mensual'!I86,0)))*parametros_manuales!$I$42*parametros_manuales!$J$42</f>
        <v>3999.34</v>
      </c>
      <c r="H214" s="4">
        <f>(parametros_manuales!$D$42*('Plan mensual'!J79+IF(parametros_manuales!$H$42="Todos",'Plan mensual'!J83,0))+parametros_manuales!$E$42*('Plan mensual'!J80+IF(parametros_manuales!$H$42="Todos",'Plan mensual'!J84,0))+parametros_manuales!$F$42*('Plan mensual'!J81+IF(parametros_manuales!$H$42="Todos",'Plan mensual'!J85,0))+parametros_manuales!$G$42*('Plan mensual'!J82+IF(parametros_manuales!$H$42="Todos",'Plan mensual'!J86,0)))*parametros_manuales!$I$42*parametros_manuales!$J$42</f>
        <v>4274.34</v>
      </c>
      <c r="I214" s="4">
        <f>(parametros_manuales!$D$42*('Plan mensual'!K79+IF(parametros_manuales!$H$42="Todos",'Plan mensual'!K83,0))+parametros_manuales!$E$42*('Plan mensual'!K80+IF(parametros_manuales!$H$42="Todos",'Plan mensual'!K84,0))+parametros_manuales!$F$42*('Plan mensual'!K81+IF(parametros_manuales!$H$42="Todos",'Plan mensual'!K85,0))+parametros_manuales!$G$42*('Plan mensual'!K82+IF(parametros_manuales!$H$42="Todos",'Plan mensual'!K86,0)))*parametros_manuales!$I$42*parametros_manuales!$J$42</f>
        <v>4274.34</v>
      </c>
      <c r="J214" s="4">
        <f>(parametros_manuales!$D$42*('Plan mensual'!L79+IF(parametros_manuales!$H$42="Todos",'Plan mensual'!L83,0))+parametros_manuales!$E$42*('Plan mensual'!L80+IF(parametros_manuales!$H$42="Todos",'Plan mensual'!L84,0))+parametros_manuales!$F$42*('Plan mensual'!L81+IF(parametros_manuales!$H$42="Todos",'Plan mensual'!L85,0))+parametros_manuales!$G$42*('Plan mensual'!L82+IF(parametros_manuales!$H$42="Todos",'Plan mensual'!L86,0)))*parametros_manuales!$I$42*parametros_manuales!$J$42</f>
        <v>4274.34</v>
      </c>
      <c r="K214" s="4">
        <f>(parametros_manuales!$D$42*('Plan mensual'!M79+IF(parametros_manuales!$H$42="Todos",'Plan mensual'!M83,0))+parametros_manuales!$E$42*('Plan mensual'!M80+IF(parametros_manuales!$H$42="Todos",'Plan mensual'!M84,0))+parametros_manuales!$F$42*('Plan mensual'!M81+IF(parametros_manuales!$H$42="Todos",'Plan mensual'!M85,0))+parametros_manuales!$G$42*('Plan mensual'!M82+IF(parametros_manuales!$H$42="Todos",'Plan mensual'!M86,0)))*parametros_manuales!$I$42*parametros_manuales!$J$42</f>
        <v>4125</v>
      </c>
      <c r="L214" s="4">
        <f>(parametros_manuales!$D$42*('Plan mensual'!N79+IF(parametros_manuales!$H$42="Todos",'Plan mensual'!N83,0))+parametros_manuales!$E$42*('Plan mensual'!N80+IF(parametros_manuales!$H$42="Todos",'Plan mensual'!N84,0))+parametros_manuales!$F$42*('Plan mensual'!N81+IF(parametros_manuales!$H$42="Todos",'Plan mensual'!N85,0))+parametros_manuales!$G$42*('Plan mensual'!N82+IF(parametros_manuales!$H$42="Todos",'Plan mensual'!N86,0)))*parametros_manuales!$I$42*parametros_manuales!$J$42</f>
        <v>3975.66</v>
      </c>
      <c r="M214" s="4">
        <f>(parametros_manuales!$D$42*('Plan mensual'!O79+IF(parametros_manuales!$H$42="Todos",'Plan mensual'!O83,0))+parametros_manuales!$E$42*('Plan mensual'!O80+IF(parametros_manuales!$H$42="Todos",'Plan mensual'!O84,0))+parametros_manuales!$F$42*('Plan mensual'!O81+IF(parametros_manuales!$H$42="Todos",'Plan mensual'!O85,0))+parametros_manuales!$G$42*('Plan mensual'!O82+IF(parametros_manuales!$H$42="Todos",'Plan mensual'!O86,0)))*parametros_manuales!$I$42*parametros_manuales!$J$42</f>
        <v>6301.32</v>
      </c>
      <c r="N214" s="4">
        <f t="shared" si="22"/>
        <v>55000</v>
      </c>
      <c r="O214" s="4">
        <f t="shared" si="23"/>
        <v>6301.32</v>
      </c>
      <c r="P214" s="27">
        <f>O214/(parametros_manuales!$B$7)</f>
        <v>42.0088</v>
      </c>
      <c r="Q214" s="3" t="str">
        <f t="shared" si="24"/>
        <v>Dic</v>
      </c>
    </row>
    <row r="215" ht="14.25" customHeight="1">
      <c r="A215" s="3" t="str">
        <f>parametros_manuales!$B$43</f>
        <v>Embalaje y paletizado</v>
      </c>
      <c r="B215" s="4">
        <f>(parametros_manuales!$D$43*('Plan mensual'!D79+IF(parametros_manuales!$H$43="Todos",'Plan mensual'!D83,0))+parametros_manuales!$E$43*('Plan mensual'!D80+IF(parametros_manuales!$H$43="Todos",'Plan mensual'!D84,0))+parametros_manuales!$F$43*('Plan mensual'!D81+IF(parametros_manuales!$H$43="Todos",'Plan mensual'!D85,0))+parametros_manuales!$G$43*('Plan mensual'!D82+IF(parametros_manuales!$H$43="Todos",'Plan mensual'!D86,0)))*parametros_manuales!$I$43*parametros_manuales!$J$43</f>
        <v>24917.86</v>
      </c>
      <c r="C215" s="4">
        <f>(parametros_manuales!$D$43*('Plan mensual'!E79+IF(parametros_manuales!$H$43="Todos",'Plan mensual'!E83,0))+parametros_manuales!$E$43*('Plan mensual'!E80+IF(parametros_manuales!$H$43="Todos",'Plan mensual'!E84,0))+parametros_manuales!$F$43*('Plan mensual'!E81+IF(parametros_manuales!$H$43="Todos",'Plan mensual'!E85,0))+parametros_manuales!$G$43*('Plan mensual'!E82+IF(parametros_manuales!$H$43="Todos",'Plan mensual'!E86,0)))*parametros_manuales!$I$43*parametros_manuales!$J$43</f>
        <v>18997.49</v>
      </c>
      <c r="D215" s="4">
        <f>(parametros_manuales!$D$43*('Plan mensual'!F79+IF(parametros_manuales!$H$43="Todos",'Plan mensual'!F83,0))+parametros_manuales!$E$43*('Plan mensual'!F80+IF(parametros_manuales!$H$43="Todos",'Plan mensual'!F84,0))+parametros_manuales!$F$43*('Plan mensual'!F81+IF(parametros_manuales!$H$43="Todos",'Plan mensual'!F85,0))+parametros_manuales!$G$43*('Plan mensual'!F82+IF(parametros_manuales!$H$43="Todos",'Plan mensual'!F86,0)))*parametros_manuales!$I$43*parametros_manuales!$J$43</f>
        <v>17745.255</v>
      </c>
      <c r="E215" s="4">
        <f>(parametros_manuales!$D$43*('Plan mensual'!G79+IF(parametros_manuales!$H$43="Todos",'Plan mensual'!G83,0))+parametros_manuales!$E$43*('Plan mensual'!G80+IF(parametros_manuales!$H$43="Todos",'Plan mensual'!G84,0))+parametros_manuales!$F$43*('Plan mensual'!G81+IF(parametros_manuales!$H$43="Todos",'Plan mensual'!G85,0))+parametros_manuales!$G$43*('Plan mensual'!G82+IF(parametros_manuales!$H$43="Todos",'Plan mensual'!G86,0)))*parametros_manuales!$I$43*parametros_manuales!$J$43</f>
        <v>16964.59</v>
      </c>
      <c r="F215" s="4">
        <f>(parametros_manuales!$D$43*('Plan mensual'!H79+IF(parametros_manuales!$H$43="Todos",'Plan mensual'!H83,0))+parametros_manuales!$E$43*('Plan mensual'!H80+IF(parametros_manuales!$H$43="Todos",'Plan mensual'!H84,0))+parametros_manuales!$F$43*('Plan mensual'!H81+IF(parametros_manuales!$H$43="Todos",'Plan mensual'!H85,0))+parametros_manuales!$G$43*('Plan mensual'!H82+IF(parametros_manuales!$H$43="Todos",'Plan mensual'!H86,0)))*parametros_manuales!$I$43*parametros_manuales!$J$43</f>
        <v>15874.83</v>
      </c>
      <c r="G215" s="4">
        <f>(parametros_manuales!$D$43*('Plan mensual'!I79+IF(parametros_manuales!$H$43="Todos",'Plan mensual'!I83,0))+parametros_manuales!$E$43*('Plan mensual'!I80+IF(parametros_manuales!$H$43="Todos",'Plan mensual'!I84,0))+parametros_manuales!$F$43*('Plan mensual'!I81+IF(parametros_manuales!$H$43="Todos",'Plan mensual'!I85,0))+parametros_manuales!$G$43*('Plan mensual'!I82+IF(parametros_manuales!$H$43="Todos",'Plan mensual'!I86,0)))*parametros_manuales!$I$43*parametros_manuales!$J$43</f>
        <v>15565.735</v>
      </c>
      <c r="H215" s="4">
        <f>(parametros_manuales!$D$43*('Plan mensual'!J79+IF(parametros_manuales!$H$43="Todos",'Plan mensual'!J83,0))+parametros_manuales!$E$43*('Plan mensual'!J80+IF(parametros_manuales!$H$43="Todos",'Plan mensual'!J84,0))+parametros_manuales!$F$43*('Plan mensual'!J81+IF(parametros_manuales!$H$43="Todos",'Plan mensual'!J85,0))+parametros_manuales!$G$43*('Plan mensual'!J82+IF(parametros_manuales!$H$43="Todos",'Plan mensual'!J86,0)))*parametros_manuales!$I$43*parametros_manuales!$J$43</f>
        <v>16655.495</v>
      </c>
      <c r="I215" s="4">
        <f>(parametros_manuales!$D$43*('Plan mensual'!K79+IF(parametros_manuales!$H$43="Todos",'Plan mensual'!K83,0))+parametros_manuales!$E$43*('Plan mensual'!K80+IF(parametros_manuales!$H$43="Todos",'Plan mensual'!K84,0))+parametros_manuales!$F$43*('Plan mensual'!K81+IF(parametros_manuales!$H$43="Todos",'Plan mensual'!K85,0))+parametros_manuales!$G$43*('Plan mensual'!K82+IF(parametros_manuales!$H$43="Todos",'Plan mensual'!K86,0)))*parametros_manuales!$I$43*parametros_manuales!$J$43</f>
        <v>16655.495</v>
      </c>
      <c r="J215" s="4">
        <f>(parametros_manuales!$D$43*('Plan mensual'!L79+IF(parametros_manuales!$H$43="Todos",'Plan mensual'!L83,0))+parametros_manuales!$E$43*('Plan mensual'!L80+IF(parametros_manuales!$H$43="Todos",'Plan mensual'!L84,0))+parametros_manuales!$F$43*('Plan mensual'!L81+IF(parametros_manuales!$H$43="Todos",'Plan mensual'!L85,0))+parametros_manuales!$G$43*('Plan mensual'!L82+IF(parametros_manuales!$H$43="Todos",'Plan mensual'!L86,0)))*parametros_manuales!$I$43*parametros_manuales!$J$43</f>
        <v>16655.495</v>
      </c>
      <c r="K215" s="4">
        <f>(parametros_manuales!$D$43*('Plan mensual'!M79+IF(parametros_manuales!$H$43="Todos",'Plan mensual'!M83,0))+parametros_manuales!$E$43*('Plan mensual'!M80+IF(parametros_manuales!$H$43="Todos",'Plan mensual'!M84,0))+parametros_manuales!$F$43*('Plan mensual'!M81+IF(parametros_manuales!$H$43="Todos",'Plan mensual'!M85,0))+parametros_manuales!$G$43*('Plan mensual'!M82+IF(parametros_manuales!$H$43="Todos",'Plan mensual'!M86,0)))*parametros_manuales!$I$43*parametros_manuales!$J$43</f>
        <v>16346.4</v>
      </c>
      <c r="L215" s="4">
        <f>(parametros_manuales!$D$43*('Plan mensual'!N79+IF(parametros_manuales!$H$43="Todos",'Plan mensual'!N83,0))+parametros_manuales!$E$43*('Plan mensual'!N80+IF(parametros_manuales!$H$43="Todos",'Plan mensual'!N84,0))+parametros_manuales!$F$43*('Plan mensual'!N81+IF(parametros_manuales!$H$43="Todos",'Plan mensual'!N85,0))+parametros_manuales!$G$43*('Plan mensual'!N82+IF(parametros_manuales!$H$43="Todos",'Plan mensual'!N86,0)))*parametros_manuales!$I$43*parametros_manuales!$J$43</f>
        <v>16037.305</v>
      </c>
      <c r="M215" s="4">
        <f>(parametros_manuales!$D$43*('Plan mensual'!O79+IF(parametros_manuales!$H$43="Todos",'Plan mensual'!O83,0))+parametros_manuales!$E$43*('Plan mensual'!O80+IF(parametros_manuales!$H$43="Todos",'Plan mensual'!O84,0))+parametros_manuales!$F$43*('Plan mensual'!O81+IF(parametros_manuales!$H$43="Todos",'Plan mensual'!O85,0))+parametros_manuales!$G$43*('Plan mensual'!O82+IF(parametros_manuales!$H$43="Todos",'Plan mensual'!O86,0)))*parametros_manuales!$I$43*parametros_manuales!$J$43</f>
        <v>25536.05</v>
      </c>
      <c r="N215" s="4">
        <f t="shared" si="22"/>
        <v>217952</v>
      </c>
      <c r="O215" s="4">
        <f t="shared" si="23"/>
        <v>25536.05</v>
      </c>
      <c r="P215" s="27">
        <f>O215/(parametros_manuales!$B$7)</f>
        <v>170.2403333</v>
      </c>
      <c r="Q215" s="3" t="str">
        <f t="shared" si="24"/>
        <v>Dic</v>
      </c>
    </row>
    <row r="216" ht="14.25" customHeight="1"/>
    <row r="217" ht="14.25" customHeight="1">
      <c r="A217" s="1" t="s">
        <v>185</v>
      </c>
      <c r="B217" s="1" t="s">
        <v>5</v>
      </c>
      <c r="C217" s="1" t="s">
        <v>7</v>
      </c>
      <c r="D217" s="1" t="s">
        <v>8</v>
      </c>
      <c r="E217" s="1" t="s">
        <v>9</v>
      </c>
      <c r="F217" s="1" t="s">
        <v>11</v>
      </c>
      <c r="G217" s="1" t="s">
        <v>12</v>
      </c>
      <c r="H217" s="1" t="s">
        <v>14</v>
      </c>
      <c r="I217" s="1" t="s">
        <v>15</v>
      </c>
      <c r="J217" s="1" t="s">
        <v>16</v>
      </c>
      <c r="K217" s="1" t="s">
        <v>18</v>
      </c>
      <c r="L217" s="1" t="s">
        <v>19</v>
      </c>
      <c r="M217" s="1" t="s">
        <v>20</v>
      </c>
      <c r="N217" s="1" t="s">
        <v>21</v>
      </c>
      <c r="O217" s="1" t="s">
        <v>22</v>
      </c>
      <c r="P217" s="1" t="s">
        <v>23</v>
      </c>
      <c r="Q217" s="1" t="s">
        <v>24</v>
      </c>
    </row>
    <row r="218" ht="14.25" customHeight="1">
      <c r="A218" s="3" t="str">
        <f>parametros_manuales!$B$19</f>
        <v>Recepción de materia prima</v>
      </c>
      <c r="B218" s="4">
        <f>(parametros_manuales!$D$19*('Plan mensual'!D90+IF(parametros_manuales!$H$19="Todos",'Plan mensual'!D94,0))+parametros_manuales!$E$19*('Plan mensual'!D91+IF(parametros_manuales!$H$19="Todos",'Plan mensual'!D95,0))+parametros_manuales!$F$19*('Plan mensual'!D92+IF(parametros_manuales!$H$19="Todos",'Plan mensual'!D96,0))+parametros_manuales!$G$19*('Plan mensual'!D93+IF(parametros_manuales!$H$19="Todos",'Plan mensual'!D97,0)))*parametros_manuales!$I$19*parametros_manuales!$J$19</f>
        <v>28105.46</v>
      </c>
      <c r="C218" s="4">
        <f>(parametros_manuales!$D$19*('Plan mensual'!E90+IF(parametros_manuales!$H$19="Todos",'Plan mensual'!E94,0))+parametros_manuales!$E$19*('Plan mensual'!E91+IF(parametros_manuales!$H$19="Todos",'Plan mensual'!E95,0))+parametros_manuales!$F$19*('Plan mensual'!E92+IF(parametros_manuales!$H$19="Todos",'Plan mensual'!E96,0))+parametros_manuales!$G$19*('Plan mensual'!E93+IF(parametros_manuales!$H$19="Todos",'Plan mensual'!E97,0)))*parametros_manuales!$I$19*parametros_manuales!$J$19</f>
        <v>21432.01</v>
      </c>
      <c r="D218" s="4">
        <f>(parametros_manuales!$D$19*('Plan mensual'!F90+IF(parametros_manuales!$H$19="Todos",'Plan mensual'!F94,0))+parametros_manuales!$E$19*('Plan mensual'!F91+IF(parametros_manuales!$H$19="Todos",'Plan mensual'!F95,0))+parametros_manuales!$F$19*('Plan mensual'!F92+IF(parametros_manuales!$H$19="Todos",'Plan mensual'!F96,0))+parametros_manuales!$G$19*('Plan mensual'!F93+IF(parametros_manuales!$H$19="Todos",'Plan mensual'!F97,0)))*parametros_manuales!$I$19*parametros_manuales!$J$19</f>
        <v>20030.995</v>
      </c>
      <c r="E218" s="4">
        <f>(parametros_manuales!$D$19*('Plan mensual'!G90+IF(parametros_manuales!$H$19="Todos",'Plan mensual'!G94,0))+parametros_manuales!$E$19*('Plan mensual'!G91+IF(parametros_manuales!$H$19="Todos",'Plan mensual'!G95,0))+parametros_manuales!$F$19*('Plan mensual'!G92+IF(parametros_manuales!$H$19="Todos",'Plan mensual'!G96,0))+parametros_manuales!$G$19*('Plan mensual'!G93+IF(parametros_manuales!$H$19="Todos",'Plan mensual'!G97,0)))*parametros_manuales!$I$19*parametros_manuales!$J$19</f>
        <v>19154.03</v>
      </c>
      <c r="F218" s="4">
        <f>(parametros_manuales!$D$19*('Plan mensual'!H90+IF(parametros_manuales!$H$19="Todos",'Plan mensual'!H94,0))+parametros_manuales!$E$19*('Plan mensual'!H91+IF(parametros_manuales!$H$19="Todos",'Plan mensual'!H95,0))+parametros_manuales!$F$19*('Plan mensual'!H92+IF(parametros_manuales!$H$19="Todos",'Plan mensual'!H96,0))+parametros_manuales!$G$19*('Plan mensual'!H93+IF(parametros_manuales!$H$19="Todos",'Plan mensual'!H97,0)))*parametros_manuales!$I$19*parametros_manuales!$J$19</f>
        <v>17924.15</v>
      </c>
      <c r="G218" s="4">
        <f>(parametros_manuales!$D$19*('Plan mensual'!I90+IF(parametros_manuales!$H$19="Todos",'Plan mensual'!I94,0))+parametros_manuales!$E$19*('Plan mensual'!I91+IF(parametros_manuales!$H$19="Todos",'Plan mensual'!I95,0))+parametros_manuales!$F$19*('Plan mensual'!I92+IF(parametros_manuales!$H$19="Todos",'Plan mensual'!I96,0))+parametros_manuales!$G$19*('Plan mensual'!I93+IF(parametros_manuales!$H$19="Todos",'Plan mensual'!I97,0)))*parametros_manuales!$I$19*parametros_manuales!$J$19</f>
        <v>17571.235</v>
      </c>
      <c r="H218" s="4">
        <f>(parametros_manuales!$D$19*('Plan mensual'!J90+IF(parametros_manuales!$H$19="Todos",'Plan mensual'!J94,0))+parametros_manuales!$E$19*('Plan mensual'!J91+IF(parametros_manuales!$H$19="Todos",'Plan mensual'!J95,0))+parametros_manuales!$F$19*('Plan mensual'!J92+IF(parametros_manuales!$H$19="Todos",'Plan mensual'!J96,0))+parametros_manuales!$G$19*('Plan mensual'!J93+IF(parametros_manuales!$H$19="Todos",'Plan mensual'!J97,0)))*parametros_manuales!$I$19*parametros_manuales!$J$19</f>
        <v>18801.115</v>
      </c>
      <c r="I218" s="4">
        <f>(parametros_manuales!$D$19*('Plan mensual'!K90+IF(parametros_manuales!$H$19="Todos",'Plan mensual'!K94,0))+parametros_manuales!$E$19*('Plan mensual'!K91+IF(parametros_manuales!$H$19="Todos",'Plan mensual'!K95,0))+parametros_manuales!$F$19*('Plan mensual'!K92+IF(parametros_manuales!$H$19="Todos",'Plan mensual'!K96,0))+parametros_manuales!$G$19*('Plan mensual'!K93+IF(parametros_manuales!$H$19="Todos",'Plan mensual'!K97,0)))*parametros_manuales!$I$19*parametros_manuales!$J$19</f>
        <v>18801.115</v>
      </c>
      <c r="J218" s="4">
        <f>(parametros_manuales!$D$19*('Plan mensual'!L90+IF(parametros_manuales!$H$19="Todos",'Plan mensual'!L94,0))+parametros_manuales!$E$19*('Plan mensual'!L91+IF(parametros_manuales!$H$19="Todos",'Plan mensual'!L95,0))+parametros_manuales!$F$19*('Plan mensual'!L92+IF(parametros_manuales!$H$19="Todos",'Plan mensual'!L96,0))+parametros_manuales!$G$19*('Plan mensual'!L93+IF(parametros_manuales!$H$19="Todos",'Plan mensual'!L97,0)))*parametros_manuales!$I$19*parametros_manuales!$J$19</f>
        <v>18801.115</v>
      </c>
      <c r="K218" s="4">
        <f>(parametros_manuales!$D$19*('Plan mensual'!M90+IF(parametros_manuales!$H$19="Todos",'Plan mensual'!M94,0))+parametros_manuales!$E$19*('Plan mensual'!M91+IF(parametros_manuales!$H$19="Todos",'Plan mensual'!M95,0))+parametros_manuales!$F$19*('Plan mensual'!M92+IF(parametros_manuales!$H$19="Todos",'Plan mensual'!M96,0))+parametros_manuales!$G$19*('Plan mensual'!M93+IF(parametros_manuales!$H$19="Todos",'Plan mensual'!M97,0)))*parametros_manuales!$I$19*parametros_manuales!$J$19</f>
        <v>18448.2</v>
      </c>
      <c r="L218" s="4">
        <f>(parametros_manuales!$D$19*('Plan mensual'!N90+IF(parametros_manuales!$H$19="Todos",'Plan mensual'!N94,0))+parametros_manuales!$E$19*('Plan mensual'!N91+IF(parametros_manuales!$H$19="Todos",'Plan mensual'!N95,0))+parametros_manuales!$F$19*('Plan mensual'!N92+IF(parametros_manuales!$H$19="Todos",'Plan mensual'!N96,0))+parametros_manuales!$G$19*('Plan mensual'!N93+IF(parametros_manuales!$H$19="Todos",'Plan mensual'!N97,0)))*parametros_manuales!$I$19*parametros_manuales!$J$19</f>
        <v>18095.285</v>
      </c>
      <c r="M218" s="4">
        <f>(parametros_manuales!$D$19*('Plan mensual'!O90+IF(parametros_manuales!$H$19="Todos",'Plan mensual'!O94,0))+parametros_manuales!$E$19*('Plan mensual'!O91+IF(parametros_manuales!$H$19="Todos",'Plan mensual'!O95,0))+parametros_manuales!$F$19*('Plan mensual'!O92+IF(parametros_manuales!$H$19="Todos",'Plan mensual'!O96,0))+parametros_manuales!$G$19*('Plan mensual'!O93+IF(parametros_manuales!$H$19="Todos",'Plan mensual'!O97,0)))*parametros_manuales!$I$19*parametros_manuales!$J$19</f>
        <v>28811.29</v>
      </c>
      <c r="N218" s="4">
        <f t="shared" ref="N218:N242" si="25">SUM(B218:M218)</f>
        <v>245976</v>
      </c>
      <c r="O218" s="4">
        <f t="shared" ref="O218:O242" si="26">MAX(B218:M218)</f>
        <v>28811.29</v>
      </c>
      <c r="P218" s="27">
        <f>O218/(parametros_manuales!$B$7)</f>
        <v>192.0752667</v>
      </c>
      <c r="Q218" s="3" t="str">
        <f t="shared" ref="Q218:Q242" si="27">IF(O218=0,"-",INDEX($B$217:$M$217,MATCH(O218,B218:M218,0)))</f>
        <v>Dic</v>
      </c>
    </row>
    <row r="219" ht="14.25" customHeight="1">
      <c r="A219" s="3" t="str">
        <f>parametros_manuales!$B$20</f>
        <v>Corte de chapa (guillotina) — 2,5 a 10 kg</v>
      </c>
      <c r="B219" s="4">
        <f>(parametros_manuales!$D$20*('Plan mensual'!D90+IF(parametros_manuales!$H$20="Todos",'Plan mensual'!D94,0))+parametros_manuales!$E$20*('Plan mensual'!D91+IF(parametros_manuales!$H$20="Todos",'Plan mensual'!D95,0))+parametros_manuales!$F$20*('Plan mensual'!D92+IF(parametros_manuales!$H$20="Todos",'Plan mensual'!D96,0))+parametros_manuales!$G$20*('Plan mensual'!D93+IF(parametros_manuales!$H$20="Todos",'Plan mensual'!D97,0)))*parametros_manuales!$I$20*parametros_manuales!$J$20</f>
        <v>7058.3</v>
      </c>
      <c r="C219" s="4">
        <f>(parametros_manuales!$D$20*('Plan mensual'!E90+IF(parametros_manuales!$H$20="Todos",'Plan mensual'!E94,0))+parametros_manuales!$E$20*('Plan mensual'!E91+IF(parametros_manuales!$H$20="Todos",'Plan mensual'!E95,0))+parametros_manuales!$F$20*('Plan mensual'!E92+IF(parametros_manuales!$H$20="Todos",'Plan mensual'!E96,0))+parametros_manuales!$G$20*('Plan mensual'!E93+IF(parametros_manuales!$H$20="Todos",'Plan mensual'!E97,0)))*parametros_manuales!$I$20*parametros_manuales!$J$20</f>
        <v>5646.64</v>
      </c>
      <c r="D219" s="4">
        <f>(parametros_manuales!$D$20*('Plan mensual'!F90+IF(parametros_manuales!$H$20="Todos",'Plan mensual'!F94,0))+parametros_manuales!$E$20*('Plan mensual'!F91+IF(parametros_manuales!$H$20="Todos",'Plan mensual'!F95,0))+parametros_manuales!$F$20*('Plan mensual'!F92+IF(parametros_manuales!$H$20="Todos",'Plan mensual'!F96,0))+parametros_manuales!$G$20*('Plan mensual'!F93+IF(parametros_manuales!$H$20="Todos",'Plan mensual'!F97,0)))*parametros_manuales!$I$20*parametros_manuales!$J$20</f>
        <v>5999.555</v>
      </c>
      <c r="E219" s="4">
        <f>(parametros_manuales!$D$20*('Plan mensual'!G90+IF(parametros_manuales!$H$20="Todos",'Plan mensual'!G94,0))+parametros_manuales!$E$20*('Plan mensual'!G91+IF(parametros_manuales!$H$20="Todos",'Plan mensual'!G95,0))+parametros_manuales!$F$20*('Plan mensual'!G92+IF(parametros_manuales!$H$20="Todos",'Plan mensual'!G96,0))+parametros_manuales!$G$20*('Plan mensual'!G93+IF(parametros_manuales!$H$20="Todos",'Plan mensual'!G97,0)))*parametros_manuales!$I$20*parametros_manuales!$J$20</f>
        <v>5999.555</v>
      </c>
      <c r="F219" s="4">
        <f>(parametros_manuales!$D$20*('Plan mensual'!H90+IF(parametros_manuales!$H$20="Todos",'Plan mensual'!H94,0))+parametros_manuales!$E$20*('Plan mensual'!H91+IF(parametros_manuales!$H$20="Todos",'Plan mensual'!H95,0))+parametros_manuales!$F$20*('Plan mensual'!H92+IF(parametros_manuales!$H$20="Todos",'Plan mensual'!H96,0))+parametros_manuales!$G$20*('Plan mensual'!H93+IF(parametros_manuales!$H$20="Todos",'Plan mensual'!H97,0)))*parametros_manuales!$I$20*parametros_manuales!$J$20</f>
        <v>5646.64</v>
      </c>
      <c r="G219" s="4">
        <f>(parametros_manuales!$D$20*('Plan mensual'!I90+IF(parametros_manuales!$H$20="Todos",'Plan mensual'!I94,0))+parametros_manuales!$E$20*('Plan mensual'!I91+IF(parametros_manuales!$H$20="Todos",'Plan mensual'!I95,0))+parametros_manuales!$F$20*('Plan mensual'!I92+IF(parametros_manuales!$H$20="Todos",'Plan mensual'!I96,0))+parametros_manuales!$G$20*('Plan mensual'!I93+IF(parametros_manuales!$H$20="Todos",'Plan mensual'!I97,0)))*parametros_manuales!$I$20*parametros_manuales!$J$20</f>
        <v>5293.725</v>
      </c>
      <c r="H219" s="4">
        <f>(parametros_manuales!$D$20*('Plan mensual'!J90+IF(parametros_manuales!$H$20="Todos",'Plan mensual'!J94,0))+parametros_manuales!$E$20*('Plan mensual'!J91+IF(parametros_manuales!$H$20="Todos",'Plan mensual'!J95,0))+parametros_manuales!$F$20*('Plan mensual'!J92+IF(parametros_manuales!$H$20="Todos",'Plan mensual'!J96,0))+parametros_manuales!$G$20*('Plan mensual'!J93+IF(parametros_manuales!$H$20="Todos",'Plan mensual'!J97,0)))*parametros_manuales!$I$20*parametros_manuales!$J$20</f>
        <v>5646.64</v>
      </c>
      <c r="I219" s="4">
        <f>(parametros_manuales!$D$20*('Plan mensual'!K90+IF(parametros_manuales!$H$20="Todos",'Plan mensual'!K94,0))+parametros_manuales!$E$20*('Plan mensual'!K91+IF(parametros_manuales!$H$20="Todos",'Plan mensual'!K95,0))+parametros_manuales!$F$20*('Plan mensual'!K92+IF(parametros_manuales!$H$20="Todos",'Plan mensual'!K96,0))+parametros_manuales!$G$20*('Plan mensual'!K93+IF(parametros_manuales!$H$20="Todos",'Plan mensual'!K97,0)))*parametros_manuales!$I$20*parametros_manuales!$J$20</f>
        <v>5646.64</v>
      </c>
      <c r="J219" s="4">
        <f>(parametros_manuales!$D$20*('Plan mensual'!L90+IF(parametros_manuales!$H$20="Todos",'Plan mensual'!L94,0))+parametros_manuales!$E$20*('Plan mensual'!L91+IF(parametros_manuales!$H$20="Todos",'Plan mensual'!L95,0))+parametros_manuales!$F$20*('Plan mensual'!L92+IF(parametros_manuales!$H$20="Todos",'Plan mensual'!L96,0))+parametros_manuales!$G$20*('Plan mensual'!L93+IF(parametros_manuales!$H$20="Todos",'Plan mensual'!L97,0)))*parametros_manuales!$I$20*parametros_manuales!$J$20</f>
        <v>5646.64</v>
      </c>
      <c r="K219" s="4">
        <f>(parametros_manuales!$D$20*('Plan mensual'!M90+IF(parametros_manuales!$H$20="Todos",'Plan mensual'!M94,0))+parametros_manuales!$E$20*('Plan mensual'!M91+IF(parametros_manuales!$H$20="Todos",'Plan mensual'!M95,0))+parametros_manuales!$F$20*('Plan mensual'!M92+IF(parametros_manuales!$H$20="Todos",'Plan mensual'!M96,0))+parametros_manuales!$G$20*('Plan mensual'!M93+IF(parametros_manuales!$H$20="Todos",'Plan mensual'!M97,0)))*parametros_manuales!$I$20*parametros_manuales!$J$20</f>
        <v>5293.725</v>
      </c>
      <c r="L219" s="4">
        <f>(parametros_manuales!$D$20*('Plan mensual'!N90+IF(parametros_manuales!$H$20="Todos",'Plan mensual'!N94,0))+parametros_manuales!$E$20*('Plan mensual'!N91+IF(parametros_manuales!$H$20="Todos",'Plan mensual'!N95,0))+parametros_manuales!$F$20*('Plan mensual'!N92+IF(parametros_manuales!$H$20="Todos",'Plan mensual'!N96,0))+parametros_manuales!$G$20*('Plan mensual'!N93+IF(parametros_manuales!$H$20="Todos",'Plan mensual'!N97,0)))*parametros_manuales!$I$20*parametros_manuales!$J$20</f>
        <v>4940.81</v>
      </c>
      <c r="M219" s="4">
        <f>(parametros_manuales!$D$20*('Plan mensual'!O90+IF(parametros_manuales!$H$20="Todos",'Plan mensual'!O94,0))+parametros_manuales!$E$20*('Plan mensual'!O91+IF(parametros_manuales!$H$20="Todos",'Plan mensual'!O95,0))+parametros_manuales!$F$20*('Plan mensual'!O92+IF(parametros_manuales!$H$20="Todos",'Plan mensual'!O96,0))+parametros_manuales!$G$20*('Plan mensual'!O93+IF(parametros_manuales!$H$20="Todos",'Plan mensual'!O97,0)))*parametros_manuales!$I$20*parametros_manuales!$J$20</f>
        <v>7764.13</v>
      </c>
      <c r="N219" s="4">
        <f t="shared" si="25"/>
        <v>70583</v>
      </c>
      <c r="O219" s="4">
        <f t="shared" si="26"/>
        <v>7764.13</v>
      </c>
      <c r="P219" s="27">
        <f>O219/(parametros_manuales!$B$7)</f>
        <v>51.76086667</v>
      </c>
      <c r="Q219" s="3" t="str">
        <f t="shared" si="27"/>
        <v>Dic</v>
      </c>
    </row>
    <row r="220" ht="14.25" customHeight="1">
      <c r="A220" s="3" t="str">
        <f>parametros_manuales!$B$21</f>
        <v>Corte de tubo — 1 kg</v>
      </c>
      <c r="B220" s="4">
        <f>(parametros_manuales!$D$21*('Plan mensual'!D90+IF(parametros_manuales!$H$21="Todos",'Plan mensual'!D94,0))+parametros_manuales!$E$21*('Plan mensual'!D91+IF(parametros_manuales!$H$21="Todos",'Plan mensual'!D95,0))+parametros_manuales!$F$21*('Plan mensual'!D92+IF(parametros_manuales!$H$21="Todos",'Plan mensual'!D96,0))+parametros_manuales!$G$21*('Plan mensual'!D93+IF(parametros_manuales!$H$21="Todos",'Plan mensual'!D97,0)))*parametros_manuales!$I$21*parametros_manuales!$J$21</f>
        <v>21047.16</v>
      </c>
      <c r="C220" s="4">
        <f>(parametros_manuales!$D$21*('Plan mensual'!E90+IF(parametros_manuales!$H$21="Todos",'Plan mensual'!E94,0))+parametros_manuales!$E$21*('Plan mensual'!E91+IF(parametros_manuales!$H$21="Todos",'Plan mensual'!E95,0))+parametros_manuales!$F$21*('Plan mensual'!E92+IF(parametros_manuales!$H$21="Todos",'Plan mensual'!E96,0))+parametros_manuales!$G$21*('Plan mensual'!E93+IF(parametros_manuales!$H$21="Todos",'Plan mensual'!E97,0)))*parametros_manuales!$I$21*parametros_manuales!$J$21</f>
        <v>15785.37</v>
      </c>
      <c r="D220" s="4">
        <f>(parametros_manuales!$D$21*('Plan mensual'!F90+IF(parametros_manuales!$H$21="Todos",'Plan mensual'!F94,0))+parametros_manuales!$E$21*('Plan mensual'!F91+IF(parametros_manuales!$H$21="Todos",'Plan mensual'!F95,0))+parametros_manuales!$F$21*('Plan mensual'!F92+IF(parametros_manuales!$H$21="Todos",'Plan mensual'!F96,0))+parametros_manuales!$G$21*('Plan mensual'!F93+IF(parametros_manuales!$H$21="Todos",'Plan mensual'!F97,0)))*parametros_manuales!$I$21*parametros_manuales!$J$21</f>
        <v>14031.44</v>
      </c>
      <c r="E220" s="4">
        <f>(parametros_manuales!$D$21*('Plan mensual'!G90+IF(parametros_manuales!$H$21="Todos",'Plan mensual'!G94,0))+parametros_manuales!$E$21*('Plan mensual'!G91+IF(parametros_manuales!$H$21="Todos",'Plan mensual'!G95,0))+parametros_manuales!$F$21*('Plan mensual'!G92+IF(parametros_manuales!$H$21="Todos",'Plan mensual'!G96,0))+parametros_manuales!$G$21*('Plan mensual'!G93+IF(parametros_manuales!$H$21="Todos",'Plan mensual'!G97,0)))*parametros_manuales!$I$21*parametros_manuales!$J$21</f>
        <v>13154.475</v>
      </c>
      <c r="F220" s="4">
        <f>(parametros_manuales!$D$21*('Plan mensual'!H90+IF(parametros_manuales!$H$21="Todos",'Plan mensual'!H94,0))+parametros_manuales!$E$21*('Plan mensual'!H91+IF(parametros_manuales!$H$21="Todos",'Plan mensual'!H95,0))+parametros_manuales!$F$21*('Plan mensual'!H92+IF(parametros_manuales!$H$21="Todos",'Plan mensual'!H96,0))+parametros_manuales!$G$21*('Plan mensual'!H93+IF(parametros_manuales!$H$21="Todos",'Plan mensual'!H97,0)))*parametros_manuales!$I$21*parametros_manuales!$J$21</f>
        <v>12277.51</v>
      </c>
      <c r="G220" s="4">
        <f>(parametros_manuales!$D$21*('Plan mensual'!I90+IF(parametros_manuales!$H$21="Todos",'Plan mensual'!I94,0))+parametros_manuales!$E$21*('Plan mensual'!I91+IF(parametros_manuales!$H$21="Todos",'Plan mensual'!I95,0))+parametros_manuales!$F$21*('Plan mensual'!I92+IF(parametros_manuales!$H$21="Todos",'Plan mensual'!I96,0))+parametros_manuales!$G$21*('Plan mensual'!I93+IF(parametros_manuales!$H$21="Todos",'Plan mensual'!I97,0)))*parametros_manuales!$I$21*parametros_manuales!$J$21</f>
        <v>12277.51</v>
      </c>
      <c r="H220" s="4">
        <f>(parametros_manuales!$D$21*('Plan mensual'!J90+IF(parametros_manuales!$H$21="Todos",'Plan mensual'!J94,0))+parametros_manuales!$E$21*('Plan mensual'!J91+IF(parametros_manuales!$H$21="Todos",'Plan mensual'!J95,0))+parametros_manuales!$F$21*('Plan mensual'!J92+IF(parametros_manuales!$H$21="Todos",'Plan mensual'!J96,0))+parametros_manuales!$G$21*('Plan mensual'!J93+IF(parametros_manuales!$H$21="Todos",'Plan mensual'!J97,0)))*parametros_manuales!$I$21*parametros_manuales!$J$21</f>
        <v>13154.475</v>
      </c>
      <c r="I220" s="4">
        <f>(parametros_manuales!$D$21*('Plan mensual'!K90+IF(parametros_manuales!$H$21="Todos",'Plan mensual'!K94,0))+parametros_manuales!$E$21*('Plan mensual'!K91+IF(parametros_manuales!$H$21="Todos",'Plan mensual'!K95,0))+parametros_manuales!$F$21*('Plan mensual'!K92+IF(parametros_manuales!$H$21="Todos",'Plan mensual'!K96,0))+parametros_manuales!$G$21*('Plan mensual'!K93+IF(parametros_manuales!$H$21="Todos",'Plan mensual'!K97,0)))*parametros_manuales!$I$21*parametros_manuales!$J$21</f>
        <v>13154.475</v>
      </c>
      <c r="J220" s="4">
        <f>(parametros_manuales!$D$21*('Plan mensual'!L90+IF(parametros_manuales!$H$21="Todos",'Plan mensual'!L94,0))+parametros_manuales!$E$21*('Plan mensual'!L91+IF(parametros_manuales!$H$21="Todos",'Plan mensual'!L95,0))+parametros_manuales!$F$21*('Plan mensual'!L92+IF(parametros_manuales!$H$21="Todos",'Plan mensual'!L96,0))+parametros_manuales!$G$21*('Plan mensual'!L93+IF(parametros_manuales!$H$21="Todos",'Plan mensual'!L97,0)))*parametros_manuales!$I$21*parametros_manuales!$J$21</f>
        <v>13154.475</v>
      </c>
      <c r="K220" s="4">
        <f>(parametros_manuales!$D$21*('Plan mensual'!M90+IF(parametros_manuales!$H$21="Todos",'Plan mensual'!M94,0))+parametros_manuales!$E$21*('Plan mensual'!M91+IF(parametros_manuales!$H$21="Todos",'Plan mensual'!M95,0))+parametros_manuales!$F$21*('Plan mensual'!M92+IF(parametros_manuales!$H$21="Todos",'Plan mensual'!M96,0))+parametros_manuales!$G$21*('Plan mensual'!M93+IF(parametros_manuales!$H$21="Todos",'Plan mensual'!M97,0)))*parametros_manuales!$I$21*parametros_manuales!$J$21</f>
        <v>13154.475</v>
      </c>
      <c r="L220" s="4">
        <f>(parametros_manuales!$D$21*('Plan mensual'!N90+IF(parametros_manuales!$H$21="Todos",'Plan mensual'!N94,0))+parametros_manuales!$E$21*('Plan mensual'!N91+IF(parametros_manuales!$H$21="Todos",'Plan mensual'!N95,0))+parametros_manuales!$F$21*('Plan mensual'!N92+IF(parametros_manuales!$H$21="Todos",'Plan mensual'!N96,0))+parametros_manuales!$G$21*('Plan mensual'!N93+IF(parametros_manuales!$H$21="Todos",'Plan mensual'!N97,0)))*parametros_manuales!$I$21*parametros_manuales!$J$21</f>
        <v>13154.475</v>
      </c>
      <c r="M220" s="4">
        <f>(parametros_manuales!$D$21*('Plan mensual'!O90+IF(parametros_manuales!$H$21="Todos",'Plan mensual'!O94,0))+parametros_manuales!$E$21*('Plan mensual'!O91+IF(parametros_manuales!$H$21="Todos",'Plan mensual'!O95,0))+parametros_manuales!$F$21*('Plan mensual'!O92+IF(parametros_manuales!$H$21="Todos",'Plan mensual'!O96,0))+parametros_manuales!$G$21*('Plan mensual'!O93+IF(parametros_manuales!$H$21="Todos",'Plan mensual'!O97,0)))*parametros_manuales!$I$21*parametros_manuales!$J$21</f>
        <v>21047.16</v>
      </c>
      <c r="N220" s="4">
        <f t="shared" si="25"/>
        <v>175393</v>
      </c>
      <c r="O220" s="4">
        <f t="shared" si="26"/>
        <v>21047.16</v>
      </c>
      <c r="P220" s="27">
        <f>O220/(parametros_manuales!$B$7)</f>
        <v>140.3144</v>
      </c>
      <c r="Q220" s="3" t="str">
        <f t="shared" si="27"/>
        <v>Ene</v>
      </c>
    </row>
    <row r="221" ht="14.25" customHeight="1">
      <c r="A221" s="3" t="str">
        <f>parametros_manuales!$B$22</f>
        <v>Corte de disco y embutido (cúpula y fondo)</v>
      </c>
      <c r="B221" s="4">
        <f>(parametros_manuales!$D$22*('Plan mensual'!D90+IF(parametros_manuales!$H$22="Todos",'Plan mensual'!D94,0))+parametros_manuales!$E$22*('Plan mensual'!D91+IF(parametros_manuales!$H$22="Todos",'Plan mensual'!D95,0))+parametros_manuales!$F$22*('Plan mensual'!D92+IF(parametros_manuales!$H$22="Todos",'Plan mensual'!D96,0))+parametros_manuales!$G$22*('Plan mensual'!D93+IF(parametros_manuales!$H$22="Todos",'Plan mensual'!D97,0)))*parametros_manuales!$I$22*parametros_manuales!$J$22</f>
        <v>56210.92</v>
      </c>
      <c r="C221" s="4">
        <f>(parametros_manuales!$D$22*('Plan mensual'!E90+IF(parametros_manuales!$H$22="Todos",'Plan mensual'!E94,0))+parametros_manuales!$E$22*('Plan mensual'!E91+IF(parametros_manuales!$H$22="Todos",'Plan mensual'!E95,0))+parametros_manuales!$F$22*('Plan mensual'!E92+IF(parametros_manuales!$H$22="Todos",'Plan mensual'!E96,0))+parametros_manuales!$G$22*('Plan mensual'!E93+IF(parametros_manuales!$H$22="Todos",'Plan mensual'!E97,0)))*parametros_manuales!$I$22*parametros_manuales!$J$22</f>
        <v>42864.02</v>
      </c>
      <c r="D221" s="4">
        <f>(parametros_manuales!$D$22*('Plan mensual'!F90+IF(parametros_manuales!$H$22="Todos",'Plan mensual'!F94,0))+parametros_manuales!$E$22*('Plan mensual'!F91+IF(parametros_manuales!$H$22="Todos",'Plan mensual'!F95,0))+parametros_manuales!$F$22*('Plan mensual'!F92+IF(parametros_manuales!$H$22="Todos",'Plan mensual'!F96,0))+parametros_manuales!$G$22*('Plan mensual'!F93+IF(parametros_manuales!$H$22="Todos",'Plan mensual'!F97,0)))*parametros_manuales!$I$22*parametros_manuales!$J$22</f>
        <v>40061.99</v>
      </c>
      <c r="E221" s="4">
        <f>(parametros_manuales!$D$22*('Plan mensual'!G90+IF(parametros_manuales!$H$22="Todos",'Plan mensual'!G94,0))+parametros_manuales!$E$22*('Plan mensual'!G91+IF(parametros_manuales!$H$22="Todos",'Plan mensual'!G95,0))+parametros_manuales!$F$22*('Plan mensual'!G92+IF(parametros_manuales!$H$22="Todos",'Plan mensual'!G96,0))+parametros_manuales!$G$22*('Plan mensual'!G93+IF(parametros_manuales!$H$22="Todos",'Plan mensual'!G97,0)))*parametros_manuales!$I$22*parametros_manuales!$J$22</f>
        <v>38308.06</v>
      </c>
      <c r="F221" s="4">
        <f>(parametros_manuales!$D$22*('Plan mensual'!H90+IF(parametros_manuales!$H$22="Todos",'Plan mensual'!H94,0))+parametros_manuales!$E$22*('Plan mensual'!H91+IF(parametros_manuales!$H$22="Todos",'Plan mensual'!H95,0))+parametros_manuales!$F$22*('Plan mensual'!H92+IF(parametros_manuales!$H$22="Todos",'Plan mensual'!H96,0))+parametros_manuales!$G$22*('Plan mensual'!H93+IF(parametros_manuales!$H$22="Todos",'Plan mensual'!H97,0)))*parametros_manuales!$I$22*parametros_manuales!$J$22</f>
        <v>35848.3</v>
      </c>
      <c r="G221" s="4">
        <f>(parametros_manuales!$D$22*('Plan mensual'!I90+IF(parametros_manuales!$H$22="Todos",'Plan mensual'!I94,0))+parametros_manuales!$E$22*('Plan mensual'!I91+IF(parametros_manuales!$H$22="Todos",'Plan mensual'!I95,0))+parametros_manuales!$F$22*('Plan mensual'!I92+IF(parametros_manuales!$H$22="Todos",'Plan mensual'!I96,0))+parametros_manuales!$G$22*('Plan mensual'!I93+IF(parametros_manuales!$H$22="Todos",'Plan mensual'!I97,0)))*parametros_manuales!$I$22*parametros_manuales!$J$22</f>
        <v>35142.47</v>
      </c>
      <c r="H221" s="4">
        <f>(parametros_manuales!$D$22*('Plan mensual'!J90+IF(parametros_manuales!$H$22="Todos",'Plan mensual'!J94,0))+parametros_manuales!$E$22*('Plan mensual'!J91+IF(parametros_manuales!$H$22="Todos",'Plan mensual'!J95,0))+parametros_manuales!$F$22*('Plan mensual'!J92+IF(parametros_manuales!$H$22="Todos",'Plan mensual'!J96,0))+parametros_manuales!$G$22*('Plan mensual'!J93+IF(parametros_manuales!$H$22="Todos",'Plan mensual'!J97,0)))*parametros_manuales!$I$22*parametros_manuales!$J$22</f>
        <v>37602.23</v>
      </c>
      <c r="I221" s="4">
        <f>(parametros_manuales!$D$22*('Plan mensual'!K90+IF(parametros_manuales!$H$22="Todos",'Plan mensual'!K94,0))+parametros_manuales!$E$22*('Plan mensual'!K91+IF(parametros_manuales!$H$22="Todos",'Plan mensual'!K95,0))+parametros_manuales!$F$22*('Plan mensual'!K92+IF(parametros_manuales!$H$22="Todos",'Plan mensual'!K96,0))+parametros_manuales!$G$22*('Plan mensual'!K93+IF(parametros_manuales!$H$22="Todos",'Plan mensual'!K97,0)))*parametros_manuales!$I$22*parametros_manuales!$J$22</f>
        <v>37602.23</v>
      </c>
      <c r="J221" s="4">
        <f>(parametros_manuales!$D$22*('Plan mensual'!L90+IF(parametros_manuales!$H$22="Todos",'Plan mensual'!L94,0))+parametros_manuales!$E$22*('Plan mensual'!L91+IF(parametros_manuales!$H$22="Todos",'Plan mensual'!L95,0))+parametros_manuales!$F$22*('Plan mensual'!L92+IF(parametros_manuales!$H$22="Todos",'Plan mensual'!L96,0))+parametros_manuales!$G$22*('Plan mensual'!L93+IF(parametros_manuales!$H$22="Todos",'Plan mensual'!L97,0)))*parametros_manuales!$I$22*parametros_manuales!$J$22</f>
        <v>37602.23</v>
      </c>
      <c r="K221" s="4">
        <f>(parametros_manuales!$D$22*('Plan mensual'!M90+IF(parametros_manuales!$H$22="Todos",'Plan mensual'!M94,0))+parametros_manuales!$E$22*('Plan mensual'!M91+IF(parametros_manuales!$H$22="Todos",'Plan mensual'!M95,0))+parametros_manuales!$F$22*('Plan mensual'!M92+IF(parametros_manuales!$H$22="Todos",'Plan mensual'!M96,0))+parametros_manuales!$G$22*('Plan mensual'!M93+IF(parametros_manuales!$H$22="Todos",'Plan mensual'!M97,0)))*parametros_manuales!$I$22*parametros_manuales!$J$22</f>
        <v>36896.4</v>
      </c>
      <c r="L221" s="4">
        <f>(parametros_manuales!$D$22*('Plan mensual'!N90+IF(parametros_manuales!$H$22="Todos",'Plan mensual'!N94,0))+parametros_manuales!$E$22*('Plan mensual'!N91+IF(parametros_manuales!$H$22="Todos",'Plan mensual'!N95,0))+parametros_manuales!$F$22*('Plan mensual'!N92+IF(parametros_manuales!$H$22="Todos",'Plan mensual'!N96,0))+parametros_manuales!$G$22*('Plan mensual'!N93+IF(parametros_manuales!$H$22="Todos",'Plan mensual'!N97,0)))*parametros_manuales!$I$22*parametros_manuales!$J$22</f>
        <v>36190.57</v>
      </c>
      <c r="M221" s="4">
        <f>(parametros_manuales!$D$22*('Plan mensual'!O90+IF(parametros_manuales!$H$22="Todos",'Plan mensual'!O94,0))+parametros_manuales!$E$22*('Plan mensual'!O91+IF(parametros_manuales!$H$22="Todos",'Plan mensual'!O95,0))+parametros_manuales!$F$22*('Plan mensual'!O92+IF(parametros_manuales!$H$22="Todos",'Plan mensual'!O96,0))+parametros_manuales!$G$22*('Plan mensual'!O93+IF(parametros_manuales!$H$22="Todos",'Plan mensual'!O97,0)))*parametros_manuales!$I$22*parametros_manuales!$J$22</f>
        <v>57622.58</v>
      </c>
      <c r="N221" s="4">
        <f t="shared" si="25"/>
        <v>491952</v>
      </c>
      <c r="O221" s="4">
        <f t="shared" si="26"/>
        <v>57622.58</v>
      </c>
      <c r="P221" s="27">
        <f>O221/(parametros_manuales!$B$7)</f>
        <v>384.1505333</v>
      </c>
      <c r="Q221" s="3" t="str">
        <f t="shared" si="27"/>
        <v>Dic</v>
      </c>
    </row>
    <row r="222" ht="14.25" customHeight="1">
      <c r="A222" s="3" t="str">
        <f>parametros_manuales!$B$23</f>
        <v>Preparación de cuello</v>
      </c>
      <c r="B222" s="4">
        <f>(parametros_manuales!$D$23*('Plan mensual'!D90+IF(parametros_manuales!$H$23="Todos",'Plan mensual'!D94,0))+parametros_manuales!$E$23*('Plan mensual'!D91+IF(parametros_manuales!$H$23="Todos",'Plan mensual'!D95,0))+parametros_manuales!$F$23*('Plan mensual'!D92+IF(parametros_manuales!$H$23="Todos",'Plan mensual'!D96,0))+parametros_manuales!$G$23*('Plan mensual'!D93+IF(parametros_manuales!$H$23="Todos",'Plan mensual'!D97,0)))*parametros_manuales!$I$23*parametros_manuales!$J$23</f>
        <v>28105.46</v>
      </c>
      <c r="C222" s="4">
        <f>(parametros_manuales!$D$23*('Plan mensual'!E90+IF(parametros_manuales!$H$23="Todos",'Plan mensual'!E94,0))+parametros_manuales!$E$23*('Plan mensual'!E91+IF(parametros_manuales!$H$23="Todos",'Plan mensual'!E95,0))+parametros_manuales!$F$23*('Plan mensual'!E92+IF(parametros_manuales!$H$23="Todos",'Plan mensual'!E96,0))+parametros_manuales!$G$23*('Plan mensual'!E93+IF(parametros_manuales!$H$23="Todos",'Plan mensual'!E97,0)))*parametros_manuales!$I$23*parametros_manuales!$J$23</f>
        <v>21432.01</v>
      </c>
      <c r="D222" s="4">
        <f>(parametros_manuales!$D$23*('Plan mensual'!F90+IF(parametros_manuales!$H$23="Todos",'Plan mensual'!F94,0))+parametros_manuales!$E$23*('Plan mensual'!F91+IF(parametros_manuales!$H$23="Todos",'Plan mensual'!F95,0))+parametros_manuales!$F$23*('Plan mensual'!F92+IF(parametros_manuales!$H$23="Todos",'Plan mensual'!F96,0))+parametros_manuales!$G$23*('Plan mensual'!F93+IF(parametros_manuales!$H$23="Todos",'Plan mensual'!F97,0)))*parametros_manuales!$I$23*parametros_manuales!$J$23</f>
        <v>20030.995</v>
      </c>
      <c r="E222" s="4">
        <f>(parametros_manuales!$D$23*('Plan mensual'!G90+IF(parametros_manuales!$H$23="Todos",'Plan mensual'!G94,0))+parametros_manuales!$E$23*('Plan mensual'!G91+IF(parametros_manuales!$H$23="Todos",'Plan mensual'!G95,0))+parametros_manuales!$F$23*('Plan mensual'!G92+IF(parametros_manuales!$H$23="Todos",'Plan mensual'!G96,0))+parametros_manuales!$G$23*('Plan mensual'!G93+IF(parametros_manuales!$H$23="Todos",'Plan mensual'!G97,0)))*parametros_manuales!$I$23*parametros_manuales!$J$23</f>
        <v>19154.03</v>
      </c>
      <c r="F222" s="4">
        <f>(parametros_manuales!$D$23*('Plan mensual'!H90+IF(parametros_manuales!$H$23="Todos",'Plan mensual'!H94,0))+parametros_manuales!$E$23*('Plan mensual'!H91+IF(parametros_manuales!$H$23="Todos",'Plan mensual'!H95,0))+parametros_manuales!$F$23*('Plan mensual'!H92+IF(parametros_manuales!$H$23="Todos",'Plan mensual'!H96,0))+parametros_manuales!$G$23*('Plan mensual'!H93+IF(parametros_manuales!$H$23="Todos",'Plan mensual'!H97,0)))*parametros_manuales!$I$23*parametros_manuales!$J$23</f>
        <v>17924.15</v>
      </c>
      <c r="G222" s="4">
        <f>(parametros_manuales!$D$23*('Plan mensual'!I90+IF(parametros_manuales!$H$23="Todos",'Plan mensual'!I94,0))+parametros_manuales!$E$23*('Plan mensual'!I91+IF(parametros_manuales!$H$23="Todos",'Plan mensual'!I95,0))+parametros_manuales!$F$23*('Plan mensual'!I92+IF(parametros_manuales!$H$23="Todos",'Plan mensual'!I96,0))+parametros_manuales!$G$23*('Plan mensual'!I93+IF(parametros_manuales!$H$23="Todos",'Plan mensual'!I97,0)))*parametros_manuales!$I$23*parametros_manuales!$J$23</f>
        <v>17571.235</v>
      </c>
      <c r="H222" s="4">
        <f>(parametros_manuales!$D$23*('Plan mensual'!J90+IF(parametros_manuales!$H$23="Todos",'Plan mensual'!J94,0))+parametros_manuales!$E$23*('Plan mensual'!J91+IF(parametros_manuales!$H$23="Todos",'Plan mensual'!J95,0))+parametros_manuales!$F$23*('Plan mensual'!J92+IF(parametros_manuales!$H$23="Todos",'Plan mensual'!J96,0))+parametros_manuales!$G$23*('Plan mensual'!J93+IF(parametros_manuales!$H$23="Todos",'Plan mensual'!J97,0)))*parametros_manuales!$I$23*parametros_manuales!$J$23</f>
        <v>18801.115</v>
      </c>
      <c r="I222" s="4">
        <f>(parametros_manuales!$D$23*('Plan mensual'!K90+IF(parametros_manuales!$H$23="Todos",'Plan mensual'!K94,0))+parametros_manuales!$E$23*('Plan mensual'!K91+IF(parametros_manuales!$H$23="Todos",'Plan mensual'!K95,0))+parametros_manuales!$F$23*('Plan mensual'!K92+IF(parametros_manuales!$H$23="Todos",'Plan mensual'!K96,0))+parametros_manuales!$G$23*('Plan mensual'!K93+IF(parametros_manuales!$H$23="Todos",'Plan mensual'!K97,0)))*parametros_manuales!$I$23*parametros_manuales!$J$23</f>
        <v>18801.115</v>
      </c>
      <c r="J222" s="4">
        <f>(parametros_manuales!$D$23*('Plan mensual'!L90+IF(parametros_manuales!$H$23="Todos",'Plan mensual'!L94,0))+parametros_manuales!$E$23*('Plan mensual'!L91+IF(parametros_manuales!$H$23="Todos",'Plan mensual'!L95,0))+parametros_manuales!$F$23*('Plan mensual'!L92+IF(parametros_manuales!$H$23="Todos",'Plan mensual'!L96,0))+parametros_manuales!$G$23*('Plan mensual'!L93+IF(parametros_manuales!$H$23="Todos",'Plan mensual'!L97,0)))*parametros_manuales!$I$23*parametros_manuales!$J$23</f>
        <v>18801.115</v>
      </c>
      <c r="K222" s="4">
        <f>(parametros_manuales!$D$23*('Plan mensual'!M90+IF(parametros_manuales!$H$23="Todos",'Plan mensual'!M94,0))+parametros_manuales!$E$23*('Plan mensual'!M91+IF(parametros_manuales!$H$23="Todos",'Plan mensual'!M95,0))+parametros_manuales!$F$23*('Plan mensual'!M92+IF(parametros_manuales!$H$23="Todos",'Plan mensual'!M96,0))+parametros_manuales!$G$23*('Plan mensual'!M93+IF(parametros_manuales!$H$23="Todos",'Plan mensual'!M97,0)))*parametros_manuales!$I$23*parametros_manuales!$J$23</f>
        <v>18448.2</v>
      </c>
      <c r="L222" s="4">
        <f>(parametros_manuales!$D$23*('Plan mensual'!N90+IF(parametros_manuales!$H$23="Todos",'Plan mensual'!N94,0))+parametros_manuales!$E$23*('Plan mensual'!N91+IF(parametros_manuales!$H$23="Todos",'Plan mensual'!N95,0))+parametros_manuales!$F$23*('Plan mensual'!N92+IF(parametros_manuales!$H$23="Todos",'Plan mensual'!N96,0))+parametros_manuales!$G$23*('Plan mensual'!N93+IF(parametros_manuales!$H$23="Todos",'Plan mensual'!N97,0)))*parametros_manuales!$I$23*parametros_manuales!$J$23</f>
        <v>18095.285</v>
      </c>
      <c r="M222" s="4">
        <f>(parametros_manuales!$D$23*('Plan mensual'!O90+IF(parametros_manuales!$H$23="Todos",'Plan mensual'!O94,0))+parametros_manuales!$E$23*('Plan mensual'!O91+IF(parametros_manuales!$H$23="Todos",'Plan mensual'!O95,0))+parametros_manuales!$F$23*('Plan mensual'!O92+IF(parametros_manuales!$H$23="Todos",'Plan mensual'!O96,0))+parametros_manuales!$G$23*('Plan mensual'!O93+IF(parametros_manuales!$H$23="Todos",'Plan mensual'!O97,0)))*parametros_manuales!$I$23*parametros_manuales!$J$23</f>
        <v>28811.29</v>
      </c>
      <c r="N222" s="4">
        <f t="shared" si="25"/>
        <v>245976</v>
      </c>
      <c r="O222" s="4">
        <f t="shared" si="26"/>
        <v>28811.29</v>
      </c>
      <c r="P222" s="27">
        <f>O222/(parametros_manuales!$B$7)</f>
        <v>192.0752667</v>
      </c>
      <c r="Q222" s="3" t="str">
        <f t="shared" si="27"/>
        <v>Dic</v>
      </c>
    </row>
    <row r="223" ht="14.25" customHeight="1">
      <c r="A223" s="3" t="str">
        <f>parametros_manuales!$B$24</f>
        <v>Numerado de cúpula</v>
      </c>
      <c r="B223" s="4">
        <f>(parametros_manuales!$D$24*('Plan mensual'!D90+IF(parametros_manuales!$H$24="Todos",'Plan mensual'!D94,0))+parametros_manuales!$E$24*('Plan mensual'!D91+IF(parametros_manuales!$H$24="Todos",'Plan mensual'!D95,0))+parametros_manuales!$F$24*('Plan mensual'!D92+IF(parametros_manuales!$H$24="Todos",'Plan mensual'!D96,0))+parametros_manuales!$G$24*('Plan mensual'!D93+IF(parametros_manuales!$H$24="Todos",'Plan mensual'!D97,0)))*parametros_manuales!$I$24*parametros_manuales!$J$24</f>
        <v>28105.46</v>
      </c>
      <c r="C223" s="4">
        <f>(parametros_manuales!$D$24*('Plan mensual'!E90+IF(parametros_manuales!$H$24="Todos",'Plan mensual'!E94,0))+parametros_manuales!$E$24*('Plan mensual'!E91+IF(parametros_manuales!$H$24="Todos",'Plan mensual'!E95,0))+parametros_manuales!$F$24*('Plan mensual'!E92+IF(parametros_manuales!$H$24="Todos",'Plan mensual'!E96,0))+parametros_manuales!$G$24*('Plan mensual'!E93+IF(parametros_manuales!$H$24="Todos",'Plan mensual'!E97,0)))*parametros_manuales!$I$24*parametros_manuales!$J$24</f>
        <v>21432.01</v>
      </c>
      <c r="D223" s="4">
        <f>(parametros_manuales!$D$24*('Plan mensual'!F90+IF(parametros_manuales!$H$24="Todos",'Plan mensual'!F94,0))+parametros_manuales!$E$24*('Plan mensual'!F91+IF(parametros_manuales!$H$24="Todos",'Plan mensual'!F95,0))+parametros_manuales!$F$24*('Plan mensual'!F92+IF(parametros_manuales!$H$24="Todos",'Plan mensual'!F96,0))+parametros_manuales!$G$24*('Plan mensual'!F93+IF(parametros_manuales!$H$24="Todos",'Plan mensual'!F97,0)))*parametros_manuales!$I$24*parametros_manuales!$J$24</f>
        <v>20030.995</v>
      </c>
      <c r="E223" s="4">
        <f>(parametros_manuales!$D$24*('Plan mensual'!G90+IF(parametros_manuales!$H$24="Todos",'Plan mensual'!G94,0))+parametros_manuales!$E$24*('Plan mensual'!G91+IF(parametros_manuales!$H$24="Todos",'Plan mensual'!G95,0))+parametros_manuales!$F$24*('Plan mensual'!G92+IF(parametros_manuales!$H$24="Todos",'Plan mensual'!G96,0))+parametros_manuales!$G$24*('Plan mensual'!G93+IF(parametros_manuales!$H$24="Todos",'Plan mensual'!G97,0)))*parametros_manuales!$I$24*parametros_manuales!$J$24</f>
        <v>19154.03</v>
      </c>
      <c r="F223" s="4">
        <f>(parametros_manuales!$D$24*('Plan mensual'!H90+IF(parametros_manuales!$H$24="Todos",'Plan mensual'!H94,0))+parametros_manuales!$E$24*('Plan mensual'!H91+IF(parametros_manuales!$H$24="Todos",'Plan mensual'!H95,0))+parametros_manuales!$F$24*('Plan mensual'!H92+IF(parametros_manuales!$H$24="Todos",'Plan mensual'!H96,0))+parametros_manuales!$G$24*('Plan mensual'!H93+IF(parametros_manuales!$H$24="Todos",'Plan mensual'!H97,0)))*parametros_manuales!$I$24*parametros_manuales!$J$24</f>
        <v>17924.15</v>
      </c>
      <c r="G223" s="4">
        <f>(parametros_manuales!$D$24*('Plan mensual'!I90+IF(parametros_manuales!$H$24="Todos",'Plan mensual'!I94,0))+parametros_manuales!$E$24*('Plan mensual'!I91+IF(parametros_manuales!$H$24="Todos",'Plan mensual'!I95,0))+parametros_manuales!$F$24*('Plan mensual'!I92+IF(parametros_manuales!$H$24="Todos",'Plan mensual'!I96,0))+parametros_manuales!$G$24*('Plan mensual'!I93+IF(parametros_manuales!$H$24="Todos",'Plan mensual'!I97,0)))*parametros_manuales!$I$24*parametros_manuales!$J$24</f>
        <v>17571.235</v>
      </c>
      <c r="H223" s="4">
        <f>(parametros_manuales!$D$24*('Plan mensual'!J90+IF(parametros_manuales!$H$24="Todos",'Plan mensual'!J94,0))+parametros_manuales!$E$24*('Plan mensual'!J91+IF(parametros_manuales!$H$24="Todos",'Plan mensual'!J95,0))+parametros_manuales!$F$24*('Plan mensual'!J92+IF(parametros_manuales!$H$24="Todos",'Plan mensual'!J96,0))+parametros_manuales!$G$24*('Plan mensual'!J93+IF(parametros_manuales!$H$24="Todos",'Plan mensual'!J97,0)))*parametros_manuales!$I$24*parametros_manuales!$J$24</f>
        <v>18801.115</v>
      </c>
      <c r="I223" s="4">
        <f>(parametros_manuales!$D$24*('Plan mensual'!K90+IF(parametros_manuales!$H$24="Todos",'Plan mensual'!K94,0))+parametros_manuales!$E$24*('Plan mensual'!K91+IF(parametros_manuales!$H$24="Todos",'Plan mensual'!K95,0))+parametros_manuales!$F$24*('Plan mensual'!K92+IF(parametros_manuales!$H$24="Todos",'Plan mensual'!K96,0))+parametros_manuales!$G$24*('Plan mensual'!K93+IF(parametros_manuales!$H$24="Todos",'Plan mensual'!K97,0)))*parametros_manuales!$I$24*parametros_manuales!$J$24</f>
        <v>18801.115</v>
      </c>
      <c r="J223" s="4">
        <f>(parametros_manuales!$D$24*('Plan mensual'!L90+IF(parametros_manuales!$H$24="Todos",'Plan mensual'!L94,0))+parametros_manuales!$E$24*('Plan mensual'!L91+IF(parametros_manuales!$H$24="Todos",'Plan mensual'!L95,0))+parametros_manuales!$F$24*('Plan mensual'!L92+IF(parametros_manuales!$H$24="Todos",'Plan mensual'!L96,0))+parametros_manuales!$G$24*('Plan mensual'!L93+IF(parametros_manuales!$H$24="Todos",'Plan mensual'!L97,0)))*parametros_manuales!$I$24*parametros_manuales!$J$24</f>
        <v>18801.115</v>
      </c>
      <c r="K223" s="4">
        <f>(parametros_manuales!$D$24*('Plan mensual'!M90+IF(parametros_manuales!$H$24="Todos",'Plan mensual'!M94,0))+parametros_manuales!$E$24*('Plan mensual'!M91+IF(parametros_manuales!$H$24="Todos",'Plan mensual'!M95,0))+parametros_manuales!$F$24*('Plan mensual'!M92+IF(parametros_manuales!$H$24="Todos",'Plan mensual'!M96,0))+parametros_manuales!$G$24*('Plan mensual'!M93+IF(parametros_manuales!$H$24="Todos",'Plan mensual'!M97,0)))*parametros_manuales!$I$24*parametros_manuales!$J$24</f>
        <v>18448.2</v>
      </c>
      <c r="L223" s="4">
        <f>(parametros_manuales!$D$24*('Plan mensual'!N90+IF(parametros_manuales!$H$24="Todos",'Plan mensual'!N94,0))+parametros_manuales!$E$24*('Plan mensual'!N91+IF(parametros_manuales!$H$24="Todos",'Plan mensual'!N95,0))+parametros_manuales!$F$24*('Plan mensual'!N92+IF(parametros_manuales!$H$24="Todos",'Plan mensual'!N96,0))+parametros_manuales!$G$24*('Plan mensual'!N93+IF(parametros_manuales!$H$24="Todos",'Plan mensual'!N97,0)))*parametros_manuales!$I$24*parametros_manuales!$J$24</f>
        <v>18095.285</v>
      </c>
      <c r="M223" s="4">
        <f>(parametros_manuales!$D$24*('Plan mensual'!O90+IF(parametros_manuales!$H$24="Todos",'Plan mensual'!O94,0))+parametros_manuales!$E$24*('Plan mensual'!O91+IF(parametros_manuales!$H$24="Todos",'Plan mensual'!O95,0))+parametros_manuales!$F$24*('Plan mensual'!O92+IF(parametros_manuales!$H$24="Todos",'Plan mensual'!O96,0))+parametros_manuales!$G$24*('Plan mensual'!O93+IF(parametros_manuales!$H$24="Todos",'Plan mensual'!O97,0)))*parametros_manuales!$I$24*parametros_manuales!$J$24</f>
        <v>28811.29</v>
      </c>
      <c r="N223" s="4">
        <f t="shared" si="25"/>
        <v>245976</v>
      </c>
      <c r="O223" s="4">
        <f t="shared" si="26"/>
        <v>28811.29</v>
      </c>
      <c r="P223" s="27">
        <f>O223/(parametros_manuales!$B$7)</f>
        <v>192.0752667</v>
      </c>
      <c r="Q223" s="3" t="str">
        <f t="shared" si="27"/>
        <v>Dic</v>
      </c>
    </row>
    <row r="224" ht="14.25" customHeight="1">
      <c r="A224" s="3" t="str">
        <f>parametros_manuales!$B$25</f>
        <v>Soldadura del cuello a la cúpula</v>
      </c>
      <c r="B224" s="4">
        <f>(parametros_manuales!$D$25*('Plan mensual'!D90+IF(parametros_manuales!$H$25="Todos",'Plan mensual'!D94,0))+parametros_manuales!$E$25*('Plan mensual'!D91+IF(parametros_manuales!$H$25="Todos",'Plan mensual'!D95,0))+parametros_manuales!$F$25*('Plan mensual'!D92+IF(parametros_manuales!$H$25="Todos",'Plan mensual'!D96,0))+parametros_manuales!$G$25*('Plan mensual'!D93+IF(parametros_manuales!$H$25="Todos",'Plan mensual'!D97,0)))*parametros_manuales!$I$25*parametros_manuales!$J$25</f>
        <v>28105.46</v>
      </c>
      <c r="C224" s="4">
        <f>(parametros_manuales!$D$25*('Plan mensual'!E90+IF(parametros_manuales!$H$25="Todos",'Plan mensual'!E94,0))+parametros_manuales!$E$25*('Plan mensual'!E91+IF(parametros_manuales!$H$25="Todos",'Plan mensual'!E95,0))+parametros_manuales!$F$25*('Plan mensual'!E92+IF(parametros_manuales!$H$25="Todos",'Plan mensual'!E96,0))+parametros_manuales!$G$25*('Plan mensual'!E93+IF(parametros_manuales!$H$25="Todos",'Plan mensual'!E97,0)))*parametros_manuales!$I$25*parametros_manuales!$J$25</f>
        <v>21432.01</v>
      </c>
      <c r="D224" s="4">
        <f>(parametros_manuales!$D$25*('Plan mensual'!F90+IF(parametros_manuales!$H$25="Todos",'Plan mensual'!F94,0))+parametros_manuales!$E$25*('Plan mensual'!F91+IF(parametros_manuales!$H$25="Todos",'Plan mensual'!F95,0))+parametros_manuales!$F$25*('Plan mensual'!F92+IF(parametros_manuales!$H$25="Todos",'Plan mensual'!F96,0))+parametros_manuales!$G$25*('Plan mensual'!F93+IF(parametros_manuales!$H$25="Todos",'Plan mensual'!F97,0)))*parametros_manuales!$I$25*parametros_manuales!$J$25</f>
        <v>20030.995</v>
      </c>
      <c r="E224" s="4">
        <f>(parametros_manuales!$D$25*('Plan mensual'!G90+IF(parametros_manuales!$H$25="Todos",'Plan mensual'!G94,0))+parametros_manuales!$E$25*('Plan mensual'!G91+IF(parametros_manuales!$H$25="Todos",'Plan mensual'!G95,0))+parametros_manuales!$F$25*('Plan mensual'!G92+IF(parametros_manuales!$H$25="Todos",'Plan mensual'!G96,0))+parametros_manuales!$G$25*('Plan mensual'!G93+IF(parametros_manuales!$H$25="Todos",'Plan mensual'!G97,0)))*parametros_manuales!$I$25*parametros_manuales!$J$25</f>
        <v>19154.03</v>
      </c>
      <c r="F224" s="4">
        <f>(parametros_manuales!$D$25*('Plan mensual'!H90+IF(parametros_manuales!$H$25="Todos",'Plan mensual'!H94,0))+parametros_manuales!$E$25*('Plan mensual'!H91+IF(parametros_manuales!$H$25="Todos",'Plan mensual'!H95,0))+parametros_manuales!$F$25*('Plan mensual'!H92+IF(parametros_manuales!$H$25="Todos",'Plan mensual'!H96,0))+parametros_manuales!$G$25*('Plan mensual'!H93+IF(parametros_manuales!$H$25="Todos",'Plan mensual'!H97,0)))*parametros_manuales!$I$25*parametros_manuales!$J$25</f>
        <v>17924.15</v>
      </c>
      <c r="G224" s="4">
        <f>(parametros_manuales!$D$25*('Plan mensual'!I90+IF(parametros_manuales!$H$25="Todos",'Plan mensual'!I94,0))+parametros_manuales!$E$25*('Plan mensual'!I91+IF(parametros_manuales!$H$25="Todos",'Plan mensual'!I95,0))+parametros_manuales!$F$25*('Plan mensual'!I92+IF(parametros_manuales!$H$25="Todos",'Plan mensual'!I96,0))+parametros_manuales!$G$25*('Plan mensual'!I93+IF(parametros_manuales!$H$25="Todos",'Plan mensual'!I97,0)))*parametros_manuales!$I$25*parametros_manuales!$J$25</f>
        <v>17571.235</v>
      </c>
      <c r="H224" s="4">
        <f>(parametros_manuales!$D$25*('Plan mensual'!J90+IF(parametros_manuales!$H$25="Todos",'Plan mensual'!J94,0))+parametros_manuales!$E$25*('Plan mensual'!J91+IF(parametros_manuales!$H$25="Todos",'Plan mensual'!J95,0))+parametros_manuales!$F$25*('Plan mensual'!J92+IF(parametros_manuales!$H$25="Todos",'Plan mensual'!J96,0))+parametros_manuales!$G$25*('Plan mensual'!J93+IF(parametros_manuales!$H$25="Todos",'Plan mensual'!J97,0)))*parametros_manuales!$I$25*parametros_manuales!$J$25</f>
        <v>18801.115</v>
      </c>
      <c r="I224" s="4">
        <f>(parametros_manuales!$D$25*('Plan mensual'!K90+IF(parametros_manuales!$H$25="Todos",'Plan mensual'!K94,0))+parametros_manuales!$E$25*('Plan mensual'!K91+IF(parametros_manuales!$H$25="Todos",'Plan mensual'!K95,0))+parametros_manuales!$F$25*('Plan mensual'!K92+IF(parametros_manuales!$H$25="Todos",'Plan mensual'!K96,0))+parametros_manuales!$G$25*('Plan mensual'!K93+IF(parametros_manuales!$H$25="Todos",'Plan mensual'!K97,0)))*parametros_manuales!$I$25*parametros_manuales!$J$25</f>
        <v>18801.115</v>
      </c>
      <c r="J224" s="4">
        <f>(parametros_manuales!$D$25*('Plan mensual'!L90+IF(parametros_manuales!$H$25="Todos",'Plan mensual'!L94,0))+parametros_manuales!$E$25*('Plan mensual'!L91+IF(parametros_manuales!$H$25="Todos",'Plan mensual'!L95,0))+parametros_manuales!$F$25*('Plan mensual'!L92+IF(parametros_manuales!$H$25="Todos",'Plan mensual'!L96,0))+parametros_manuales!$G$25*('Plan mensual'!L93+IF(parametros_manuales!$H$25="Todos",'Plan mensual'!L97,0)))*parametros_manuales!$I$25*parametros_manuales!$J$25</f>
        <v>18801.115</v>
      </c>
      <c r="K224" s="4">
        <f>(parametros_manuales!$D$25*('Plan mensual'!M90+IF(parametros_manuales!$H$25="Todos",'Plan mensual'!M94,0))+parametros_manuales!$E$25*('Plan mensual'!M91+IF(parametros_manuales!$H$25="Todos",'Plan mensual'!M95,0))+parametros_manuales!$F$25*('Plan mensual'!M92+IF(parametros_manuales!$H$25="Todos",'Plan mensual'!M96,0))+parametros_manuales!$G$25*('Plan mensual'!M93+IF(parametros_manuales!$H$25="Todos",'Plan mensual'!M97,0)))*parametros_manuales!$I$25*parametros_manuales!$J$25</f>
        <v>18448.2</v>
      </c>
      <c r="L224" s="4">
        <f>(parametros_manuales!$D$25*('Plan mensual'!N90+IF(parametros_manuales!$H$25="Todos",'Plan mensual'!N94,0))+parametros_manuales!$E$25*('Plan mensual'!N91+IF(parametros_manuales!$H$25="Todos",'Plan mensual'!N95,0))+parametros_manuales!$F$25*('Plan mensual'!N92+IF(parametros_manuales!$H$25="Todos",'Plan mensual'!N96,0))+parametros_manuales!$G$25*('Plan mensual'!N93+IF(parametros_manuales!$H$25="Todos",'Plan mensual'!N97,0)))*parametros_manuales!$I$25*parametros_manuales!$J$25</f>
        <v>18095.285</v>
      </c>
      <c r="M224" s="4">
        <f>(parametros_manuales!$D$25*('Plan mensual'!O90+IF(parametros_manuales!$H$25="Todos",'Plan mensual'!O94,0))+parametros_manuales!$E$25*('Plan mensual'!O91+IF(parametros_manuales!$H$25="Todos",'Plan mensual'!O95,0))+parametros_manuales!$F$25*('Plan mensual'!O92+IF(parametros_manuales!$H$25="Todos",'Plan mensual'!O96,0))+parametros_manuales!$G$25*('Plan mensual'!O93+IF(parametros_manuales!$H$25="Todos",'Plan mensual'!O97,0)))*parametros_manuales!$I$25*parametros_manuales!$J$25</f>
        <v>28811.29</v>
      </c>
      <c r="N224" s="4">
        <f t="shared" si="25"/>
        <v>245976</v>
      </c>
      <c r="O224" s="4">
        <f t="shared" si="26"/>
        <v>28811.29</v>
      </c>
      <c r="P224" s="27">
        <f>O224/(parametros_manuales!$B$7)</f>
        <v>192.0752667</v>
      </c>
      <c r="Q224" s="3" t="str">
        <f t="shared" si="27"/>
        <v>Dic</v>
      </c>
    </row>
    <row r="225" ht="14.25" customHeight="1">
      <c r="A225" s="3" t="str">
        <f>parametros_manuales!$B$26</f>
        <v>Cilindrado</v>
      </c>
      <c r="B225" s="4">
        <f>(parametros_manuales!$D$26*('Plan mensual'!D90+IF(parametros_manuales!$H$26="Todos",'Plan mensual'!D94,0))+parametros_manuales!$E$26*('Plan mensual'!D91+IF(parametros_manuales!$H$26="Todos",'Plan mensual'!D95,0))+parametros_manuales!$F$26*('Plan mensual'!D92+IF(parametros_manuales!$H$26="Todos",'Plan mensual'!D96,0))+parametros_manuales!$G$26*('Plan mensual'!D93+IF(parametros_manuales!$H$26="Todos",'Plan mensual'!D97,0)))*parametros_manuales!$I$26*parametros_manuales!$J$26</f>
        <v>7058.3</v>
      </c>
      <c r="C225" s="4">
        <f>(parametros_manuales!$D$26*('Plan mensual'!E90+IF(parametros_manuales!$H$26="Todos",'Plan mensual'!E94,0))+parametros_manuales!$E$26*('Plan mensual'!E91+IF(parametros_manuales!$H$26="Todos",'Plan mensual'!E95,0))+parametros_manuales!$F$26*('Plan mensual'!E92+IF(parametros_manuales!$H$26="Todos",'Plan mensual'!E96,0))+parametros_manuales!$G$26*('Plan mensual'!E93+IF(parametros_manuales!$H$26="Todos",'Plan mensual'!E97,0)))*parametros_manuales!$I$26*parametros_manuales!$J$26</f>
        <v>5646.64</v>
      </c>
      <c r="D225" s="4">
        <f>(parametros_manuales!$D$26*('Plan mensual'!F90+IF(parametros_manuales!$H$26="Todos",'Plan mensual'!F94,0))+parametros_manuales!$E$26*('Plan mensual'!F91+IF(parametros_manuales!$H$26="Todos",'Plan mensual'!F95,0))+parametros_manuales!$F$26*('Plan mensual'!F92+IF(parametros_manuales!$H$26="Todos",'Plan mensual'!F96,0))+parametros_manuales!$G$26*('Plan mensual'!F93+IF(parametros_manuales!$H$26="Todos",'Plan mensual'!F97,0)))*parametros_manuales!$I$26*parametros_manuales!$J$26</f>
        <v>5999.555</v>
      </c>
      <c r="E225" s="4">
        <f>(parametros_manuales!$D$26*('Plan mensual'!G90+IF(parametros_manuales!$H$26="Todos",'Plan mensual'!G94,0))+parametros_manuales!$E$26*('Plan mensual'!G91+IF(parametros_manuales!$H$26="Todos",'Plan mensual'!G95,0))+parametros_manuales!$F$26*('Plan mensual'!G92+IF(parametros_manuales!$H$26="Todos",'Plan mensual'!G96,0))+parametros_manuales!$G$26*('Plan mensual'!G93+IF(parametros_manuales!$H$26="Todos",'Plan mensual'!G97,0)))*parametros_manuales!$I$26*parametros_manuales!$J$26</f>
        <v>5999.555</v>
      </c>
      <c r="F225" s="4">
        <f>(parametros_manuales!$D$26*('Plan mensual'!H90+IF(parametros_manuales!$H$26="Todos",'Plan mensual'!H94,0))+parametros_manuales!$E$26*('Plan mensual'!H91+IF(parametros_manuales!$H$26="Todos",'Plan mensual'!H95,0))+parametros_manuales!$F$26*('Plan mensual'!H92+IF(parametros_manuales!$H$26="Todos",'Plan mensual'!H96,0))+parametros_manuales!$G$26*('Plan mensual'!H93+IF(parametros_manuales!$H$26="Todos",'Plan mensual'!H97,0)))*parametros_manuales!$I$26*parametros_manuales!$J$26</f>
        <v>5646.64</v>
      </c>
      <c r="G225" s="4">
        <f>(parametros_manuales!$D$26*('Plan mensual'!I90+IF(parametros_manuales!$H$26="Todos",'Plan mensual'!I94,0))+parametros_manuales!$E$26*('Plan mensual'!I91+IF(parametros_manuales!$H$26="Todos",'Plan mensual'!I95,0))+parametros_manuales!$F$26*('Plan mensual'!I92+IF(parametros_manuales!$H$26="Todos",'Plan mensual'!I96,0))+parametros_manuales!$G$26*('Plan mensual'!I93+IF(parametros_manuales!$H$26="Todos",'Plan mensual'!I97,0)))*parametros_manuales!$I$26*parametros_manuales!$J$26</f>
        <v>5293.725</v>
      </c>
      <c r="H225" s="4">
        <f>(parametros_manuales!$D$26*('Plan mensual'!J90+IF(parametros_manuales!$H$26="Todos",'Plan mensual'!J94,0))+parametros_manuales!$E$26*('Plan mensual'!J91+IF(parametros_manuales!$H$26="Todos",'Plan mensual'!J95,0))+parametros_manuales!$F$26*('Plan mensual'!J92+IF(parametros_manuales!$H$26="Todos",'Plan mensual'!J96,0))+parametros_manuales!$G$26*('Plan mensual'!J93+IF(parametros_manuales!$H$26="Todos",'Plan mensual'!J97,0)))*parametros_manuales!$I$26*parametros_manuales!$J$26</f>
        <v>5646.64</v>
      </c>
      <c r="I225" s="4">
        <f>(parametros_manuales!$D$26*('Plan mensual'!K90+IF(parametros_manuales!$H$26="Todos",'Plan mensual'!K94,0))+parametros_manuales!$E$26*('Plan mensual'!K91+IF(parametros_manuales!$H$26="Todos",'Plan mensual'!K95,0))+parametros_manuales!$F$26*('Plan mensual'!K92+IF(parametros_manuales!$H$26="Todos",'Plan mensual'!K96,0))+parametros_manuales!$G$26*('Plan mensual'!K93+IF(parametros_manuales!$H$26="Todos",'Plan mensual'!K97,0)))*parametros_manuales!$I$26*parametros_manuales!$J$26</f>
        <v>5646.64</v>
      </c>
      <c r="J225" s="4">
        <f>(parametros_manuales!$D$26*('Plan mensual'!L90+IF(parametros_manuales!$H$26="Todos",'Plan mensual'!L94,0))+parametros_manuales!$E$26*('Plan mensual'!L91+IF(parametros_manuales!$H$26="Todos",'Plan mensual'!L95,0))+parametros_manuales!$F$26*('Plan mensual'!L92+IF(parametros_manuales!$H$26="Todos",'Plan mensual'!L96,0))+parametros_manuales!$G$26*('Plan mensual'!L93+IF(parametros_manuales!$H$26="Todos",'Plan mensual'!L97,0)))*parametros_manuales!$I$26*parametros_manuales!$J$26</f>
        <v>5646.64</v>
      </c>
      <c r="K225" s="4">
        <f>(parametros_manuales!$D$26*('Plan mensual'!M90+IF(parametros_manuales!$H$26="Todos",'Plan mensual'!M94,0))+parametros_manuales!$E$26*('Plan mensual'!M91+IF(parametros_manuales!$H$26="Todos",'Plan mensual'!M95,0))+parametros_manuales!$F$26*('Plan mensual'!M92+IF(parametros_manuales!$H$26="Todos",'Plan mensual'!M96,0))+parametros_manuales!$G$26*('Plan mensual'!M93+IF(parametros_manuales!$H$26="Todos",'Plan mensual'!M97,0)))*parametros_manuales!$I$26*parametros_manuales!$J$26</f>
        <v>5293.725</v>
      </c>
      <c r="L225" s="4">
        <f>(parametros_manuales!$D$26*('Plan mensual'!N90+IF(parametros_manuales!$H$26="Todos",'Plan mensual'!N94,0))+parametros_manuales!$E$26*('Plan mensual'!N91+IF(parametros_manuales!$H$26="Todos",'Plan mensual'!N95,0))+parametros_manuales!$F$26*('Plan mensual'!N92+IF(parametros_manuales!$H$26="Todos",'Plan mensual'!N96,0))+parametros_manuales!$G$26*('Plan mensual'!N93+IF(parametros_manuales!$H$26="Todos",'Plan mensual'!N97,0)))*parametros_manuales!$I$26*parametros_manuales!$J$26</f>
        <v>4940.81</v>
      </c>
      <c r="M225" s="4">
        <f>(parametros_manuales!$D$26*('Plan mensual'!O90+IF(parametros_manuales!$H$26="Todos",'Plan mensual'!O94,0))+parametros_manuales!$E$26*('Plan mensual'!O91+IF(parametros_manuales!$H$26="Todos",'Plan mensual'!O95,0))+parametros_manuales!$F$26*('Plan mensual'!O92+IF(parametros_manuales!$H$26="Todos",'Plan mensual'!O96,0))+parametros_manuales!$G$26*('Plan mensual'!O93+IF(parametros_manuales!$H$26="Todos",'Plan mensual'!O97,0)))*parametros_manuales!$I$26*parametros_manuales!$J$26</f>
        <v>7764.13</v>
      </c>
      <c r="N225" s="4">
        <f t="shared" si="25"/>
        <v>70583</v>
      </c>
      <c r="O225" s="4">
        <f t="shared" si="26"/>
        <v>7764.13</v>
      </c>
      <c r="P225" s="27">
        <f>O225/(parametros_manuales!$B$7)</f>
        <v>51.76086667</v>
      </c>
      <c r="Q225" s="3" t="str">
        <f t="shared" si="27"/>
        <v>Dic</v>
      </c>
    </row>
    <row r="226" ht="14.25" customHeight="1">
      <c r="A226" s="3" t="str">
        <f>parametros_manuales!$B$27</f>
        <v>Soldadura longitudinal</v>
      </c>
      <c r="B226" s="4">
        <f>(parametros_manuales!$D$27*('Plan mensual'!D90+IF(parametros_manuales!$H$27="Todos",'Plan mensual'!D94,0))+parametros_manuales!$E$27*('Plan mensual'!D91+IF(parametros_manuales!$H$27="Todos",'Plan mensual'!D95,0))+parametros_manuales!$F$27*('Plan mensual'!D92+IF(parametros_manuales!$H$27="Todos",'Plan mensual'!D96,0))+parametros_manuales!$G$27*('Plan mensual'!D93+IF(parametros_manuales!$H$27="Todos",'Plan mensual'!D97,0)))*parametros_manuales!$I$27*parametros_manuales!$J$27</f>
        <v>7058.3</v>
      </c>
      <c r="C226" s="4">
        <f>(parametros_manuales!$D$27*('Plan mensual'!E90+IF(parametros_manuales!$H$27="Todos",'Plan mensual'!E94,0))+parametros_manuales!$E$27*('Plan mensual'!E91+IF(parametros_manuales!$H$27="Todos",'Plan mensual'!E95,0))+parametros_manuales!$F$27*('Plan mensual'!E92+IF(parametros_manuales!$H$27="Todos",'Plan mensual'!E96,0))+parametros_manuales!$G$27*('Plan mensual'!E93+IF(parametros_manuales!$H$27="Todos",'Plan mensual'!E97,0)))*parametros_manuales!$I$27*parametros_manuales!$J$27</f>
        <v>5646.64</v>
      </c>
      <c r="D226" s="4">
        <f>(parametros_manuales!$D$27*('Plan mensual'!F90+IF(parametros_manuales!$H$27="Todos",'Plan mensual'!F94,0))+parametros_manuales!$E$27*('Plan mensual'!F91+IF(parametros_manuales!$H$27="Todos",'Plan mensual'!F95,0))+parametros_manuales!$F$27*('Plan mensual'!F92+IF(parametros_manuales!$H$27="Todos",'Plan mensual'!F96,0))+parametros_manuales!$G$27*('Plan mensual'!F93+IF(parametros_manuales!$H$27="Todos",'Plan mensual'!F97,0)))*parametros_manuales!$I$27*parametros_manuales!$J$27</f>
        <v>5999.555</v>
      </c>
      <c r="E226" s="4">
        <f>(parametros_manuales!$D$27*('Plan mensual'!G90+IF(parametros_manuales!$H$27="Todos",'Plan mensual'!G94,0))+parametros_manuales!$E$27*('Plan mensual'!G91+IF(parametros_manuales!$H$27="Todos",'Plan mensual'!G95,0))+parametros_manuales!$F$27*('Plan mensual'!G92+IF(parametros_manuales!$H$27="Todos",'Plan mensual'!G96,0))+parametros_manuales!$G$27*('Plan mensual'!G93+IF(parametros_manuales!$H$27="Todos",'Plan mensual'!G97,0)))*parametros_manuales!$I$27*parametros_manuales!$J$27</f>
        <v>5999.555</v>
      </c>
      <c r="F226" s="4">
        <f>(parametros_manuales!$D$27*('Plan mensual'!H90+IF(parametros_manuales!$H$27="Todos",'Plan mensual'!H94,0))+parametros_manuales!$E$27*('Plan mensual'!H91+IF(parametros_manuales!$H$27="Todos",'Plan mensual'!H95,0))+parametros_manuales!$F$27*('Plan mensual'!H92+IF(parametros_manuales!$H$27="Todos",'Plan mensual'!H96,0))+parametros_manuales!$G$27*('Plan mensual'!H93+IF(parametros_manuales!$H$27="Todos",'Plan mensual'!H97,0)))*parametros_manuales!$I$27*parametros_manuales!$J$27</f>
        <v>5646.64</v>
      </c>
      <c r="G226" s="4">
        <f>(parametros_manuales!$D$27*('Plan mensual'!I90+IF(parametros_manuales!$H$27="Todos",'Plan mensual'!I94,0))+parametros_manuales!$E$27*('Plan mensual'!I91+IF(parametros_manuales!$H$27="Todos",'Plan mensual'!I95,0))+parametros_manuales!$F$27*('Plan mensual'!I92+IF(parametros_manuales!$H$27="Todos",'Plan mensual'!I96,0))+parametros_manuales!$G$27*('Plan mensual'!I93+IF(parametros_manuales!$H$27="Todos",'Plan mensual'!I97,0)))*parametros_manuales!$I$27*parametros_manuales!$J$27</f>
        <v>5293.725</v>
      </c>
      <c r="H226" s="4">
        <f>(parametros_manuales!$D$27*('Plan mensual'!J90+IF(parametros_manuales!$H$27="Todos",'Plan mensual'!J94,0))+parametros_manuales!$E$27*('Plan mensual'!J91+IF(parametros_manuales!$H$27="Todos",'Plan mensual'!J95,0))+parametros_manuales!$F$27*('Plan mensual'!J92+IF(parametros_manuales!$H$27="Todos",'Plan mensual'!J96,0))+parametros_manuales!$G$27*('Plan mensual'!J93+IF(parametros_manuales!$H$27="Todos",'Plan mensual'!J97,0)))*parametros_manuales!$I$27*parametros_manuales!$J$27</f>
        <v>5646.64</v>
      </c>
      <c r="I226" s="4">
        <f>(parametros_manuales!$D$27*('Plan mensual'!K90+IF(parametros_manuales!$H$27="Todos",'Plan mensual'!K94,0))+parametros_manuales!$E$27*('Plan mensual'!K91+IF(parametros_manuales!$H$27="Todos",'Plan mensual'!K95,0))+parametros_manuales!$F$27*('Plan mensual'!K92+IF(parametros_manuales!$H$27="Todos",'Plan mensual'!K96,0))+parametros_manuales!$G$27*('Plan mensual'!K93+IF(parametros_manuales!$H$27="Todos",'Plan mensual'!K97,0)))*parametros_manuales!$I$27*parametros_manuales!$J$27</f>
        <v>5646.64</v>
      </c>
      <c r="J226" s="4">
        <f>(parametros_manuales!$D$27*('Plan mensual'!L90+IF(parametros_manuales!$H$27="Todos",'Plan mensual'!L94,0))+parametros_manuales!$E$27*('Plan mensual'!L91+IF(parametros_manuales!$H$27="Todos",'Plan mensual'!L95,0))+parametros_manuales!$F$27*('Plan mensual'!L92+IF(parametros_manuales!$H$27="Todos",'Plan mensual'!L96,0))+parametros_manuales!$G$27*('Plan mensual'!L93+IF(parametros_manuales!$H$27="Todos",'Plan mensual'!L97,0)))*parametros_manuales!$I$27*parametros_manuales!$J$27</f>
        <v>5646.64</v>
      </c>
      <c r="K226" s="4">
        <f>(parametros_manuales!$D$27*('Plan mensual'!M90+IF(parametros_manuales!$H$27="Todos",'Plan mensual'!M94,0))+parametros_manuales!$E$27*('Plan mensual'!M91+IF(parametros_manuales!$H$27="Todos",'Plan mensual'!M95,0))+parametros_manuales!$F$27*('Plan mensual'!M92+IF(parametros_manuales!$H$27="Todos",'Plan mensual'!M96,0))+parametros_manuales!$G$27*('Plan mensual'!M93+IF(parametros_manuales!$H$27="Todos",'Plan mensual'!M97,0)))*parametros_manuales!$I$27*parametros_manuales!$J$27</f>
        <v>5293.725</v>
      </c>
      <c r="L226" s="4">
        <f>(parametros_manuales!$D$27*('Plan mensual'!N90+IF(parametros_manuales!$H$27="Todos",'Plan mensual'!N94,0))+parametros_manuales!$E$27*('Plan mensual'!N91+IF(parametros_manuales!$H$27="Todos",'Plan mensual'!N95,0))+parametros_manuales!$F$27*('Plan mensual'!N92+IF(parametros_manuales!$H$27="Todos",'Plan mensual'!N96,0))+parametros_manuales!$G$27*('Plan mensual'!N93+IF(parametros_manuales!$H$27="Todos",'Plan mensual'!N97,0)))*parametros_manuales!$I$27*parametros_manuales!$J$27</f>
        <v>4940.81</v>
      </c>
      <c r="M226" s="4">
        <f>(parametros_manuales!$D$27*('Plan mensual'!O90+IF(parametros_manuales!$H$27="Todos",'Plan mensual'!O94,0))+parametros_manuales!$E$27*('Plan mensual'!O91+IF(parametros_manuales!$H$27="Todos",'Plan mensual'!O95,0))+parametros_manuales!$F$27*('Plan mensual'!O92+IF(parametros_manuales!$H$27="Todos",'Plan mensual'!O96,0))+parametros_manuales!$G$27*('Plan mensual'!O93+IF(parametros_manuales!$H$27="Todos",'Plan mensual'!O97,0)))*parametros_manuales!$I$27*parametros_manuales!$J$27</f>
        <v>7764.13</v>
      </c>
      <c r="N226" s="4">
        <f t="shared" si="25"/>
        <v>70583</v>
      </c>
      <c r="O226" s="4">
        <f t="shared" si="26"/>
        <v>7764.13</v>
      </c>
      <c r="P226" s="27">
        <f>O226/(parametros_manuales!$B$7)</f>
        <v>51.76086667</v>
      </c>
      <c r="Q226" s="3" t="str">
        <f t="shared" si="27"/>
        <v>Dic</v>
      </c>
    </row>
    <row r="227" ht="14.25" customHeight="1">
      <c r="A227" s="3" t="str">
        <f>parametros_manuales!$B$28</f>
        <v>Encastre de fondo</v>
      </c>
      <c r="B227" s="4">
        <f>(parametros_manuales!$D$28*('Plan mensual'!D90+IF(parametros_manuales!$H$28="Todos",'Plan mensual'!D94,0))+parametros_manuales!$E$28*('Plan mensual'!D91+IF(parametros_manuales!$H$28="Todos",'Plan mensual'!D95,0))+parametros_manuales!$F$28*('Plan mensual'!D92+IF(parametros_manuales!$H$28="Todos",'Plan mensual'!D96,0))+parametros_manuales!$G$28*('Plan mensual'!D93+IF(parametros_manuales!$H$28="Todos",'Plan mensual'!D97,0)))*parametros_manuales!$I$28*parametros_manuales!$J$28</f>
        <v>28105.46</v>
      </c>
      <c r="C227" s="4">
        <f>(parametros_manuales!$D$28*('Plan mensual'!E90+IF(parametros_manuales!$H$28="Todos",'Plan mensual'!E94,0))+parametros_manuales!$E$28*('Plan mensual'!E91+IF(parametros_manuales!$H$28="Todos",'Plan mensual'!E95,0))+parametros_manuales!$F$28*('Plan mensual'!E92+IF(parametros_manuales!$H$28="Todos",'Plan mensual'!E96,0))+parametros_manuales!$G$28*('Plan mensual'!E93+IF(parametros_manuales!$H$28="Todos",'Plan mensual'!E97,0)))*parametros_manuales!$I$28*parametros_manuales!$J$28</f>
        <v>21432.01</v>
      </c>
      <c r="D227" s="4">
        <f>(parametros_manuales!$D$28*('Plan mensual'!F90+IF(parametros_manuales!$H$28="Todos",'Plan mensual'!F94,0))+parametros_manuales!$E$28*('Plan mensual'!F91+IF(parametros_manuales!$H$28="Todos",'Plan mensual'!F95,0))+parametros_manuales!$F$28*('Plan mensual'!F92+IF(parametros_manuales!$H$28="Todos",'Plan mensual'!F96,0))+parametros_manuales!$G$28*('Plan mensual'!F93+IF(parametros_manuales!$H$28="Todos",'Plan mensual'!F97,0)))*parametros_manuales!$I$28*parametros_manuales!$J$28</f>
        <v>20030.995</v>
      </c>
      <c r="E227" s="4">
        <f>(parametros_manuales!$D$28*('Plan mensual'!G90+IF(parametros_manuales!$H$28="Todos",'Plan mensual'!G94,0))+parametros_manuales!$E$28*('Plan mensual'!G91+IF(parametros_manuales!$H$28="Todos",'Plan mensual'!G95,0))+parametros_manuales!$F$28*('Plan mensual'!G92+IF(parametros_manuales!$H$28="Todos",'Plan mensual'!G96,0))+parametros_manuales!$G$28*('Plan mensual'!G93+IF(parametros_manuales!$H$28="Todos",'Plan mensual'!G97,0)))*parametros_manuales!$I$28*parametros_manuales!$J$28</f>
        <v>19154.03</v>
      </c>
      <c r="F227" s="4">
        <f>(parametros_manuales!$D$28*('Plan mensual'!H90+IF(parametros_manuales!$H$28="Todos",'Plan mensual'!H94,0))+parametros_manuales!$E$28*('Plan mensual'!H91+IF(parametros_manuales!$H$28="Todos",'Plan mensual'!H95,0))+parametros_manuales!$F$28*('Plan mensual'!H92+IF(parametros_manuales!$H$28="Todos",'Plan mensual'!H96,0))+parametros_manuales!$G$28*('Plan mensual'!H93+IF(parametros_manuales!$H$28="Todos",'Plan mensual'!H97,0)))*parametros_manuales!$I$28*parametros_manuales!$J$28</f>
        <v>17924.15</v>
      </c>
      <c r="G227" s="4">
        <f>(parametros_manuales!$D$28*('Plan mensual'!I90+IF(parametros_manuales!$H$28="Todos",'Plan mensual'!I94,0))+parametros_manuales!$E$28*('Plan mensual'!I91+IF(parametros_manuales!$H$28="Todos",'Plan mensual'!I95,0))+parametros_manuales!$F$28*('Plan mensual'!I92+IF(parametros_manuales!$H$28="Todos",'Plan mensual'!I96,0))+parametros_manuales!$G$28*('Plan mensual'!I93+IF(parametros_manuales!$H$28="Todos",'Plan mensual'!I97,0)))*parametros_manuales!$I$28*parametros_manuales!$J$28</f>
        <v>17571.235</v>
      </c>
      <c r="H227" s="4">
        <f>(parametros_manuales!$D$28*('Plan mensual'!J90+IF(parametros_manuales!$H$28="Todos",'Plan mensual'!J94,0))+parametros_manuales!$E$28*('Plan mensual'!J91+IF(parametros_manuales!$H$28="Todos",'Plan mensual'!J95,0))+parametros_manuales!$F$28*('Plan mensual'!J92+IF(parametros_manuales!$H$28="Todos",'Plan mensual'!J96,0))+parametros_manuales!$G$28*('Plan mensual'!J93+IF(parametros_manuales!$H$28="Todos",'Plan mensual'!J97,0)))*parametros_manuales!$I$28*parametros_manuales!$J$28</f>
        <v>18801.115</v>
      </c>
      <c r="I227" s="4">
        <f>(parametros_manuales!$D$28*('Plan mensual'!K90+IF(parametros_manuales!$H$28="Todos",'Plan mensual'!K94,0))+parametros_manuales!$E$28*('Plan mensual'!K91+IF(parametros_manuales!$H$28="Todos",'Plan mensual'!K95,0))+parametros_manuales!$F$28*('Plan mensual'!K92+IF(parametros_manuales!$H$28="Todos",'Plan mensual'!K96,0))+parametros_manuales!$G$28*('Plan mensual'!K93+IF(parametros_manuales!$H$28="Todos",'Plan mensual'!K97,0)))*parametros_manuales!$I$28*parametros_manuales!$J$28</f>
        <v>18801.115</v>
      </c>
      <c r="J227" s="4">
        <f>(parametros_manuales!$D$28*('Plan mensual'!L90+IF(parametros_manuales!$H$28="Todos",'Plan mensual'!L94,0))+parametros_manuales!$E$28*('Plan mensual'!L91+IF(parametros_manuales!$H$28="Todos",'Plan mensual'!L95,0))+parametros_manuales!$F$28*('Plan mensual'!L92+IF(parametros_manuales!$H$28="Todos",'Plan mensual'!L96,0))+parametros_manuales!$G$28*('Plan mensual'!L93+IF(parametros_manuales!$H$28="Todos",'Plan mensual'!L97,0)))*parametros_manuales!$I$28*parametros_manuales!$J$28</f>
        <v>18801.115</v>
      </c>
      <c r="K227" s="4">
        <f>(parametros_manuales!$D$28*('Plan mensual'!M90+IF(parametros_manuales!$H$28="Todos",'Plan mensual'!M94,0))+parametros_manuales!$E$28*('Plan mensual'!M91+IF(parametros_manuales!$H$28="Todos",'Plan mensual'!M95,0))+parametros_manuales!$F$28*('Plan mensual'!M92+IF(parametros_manuales!$H$28="Todos",'Plan mensual'!M96,0))+parametros_manuales!$G$28*('Plan mensual'!M93+IF(parametros_manuales!$H$28="Todos",'Plan mensual'!M97,0)))*parametros_manuales!$I$28*parametros_manuales!$J$28</f>
        <v>18448.2</v>
      </c>
      <c r="L227" s="4">
        <f>(parametros_manuales!$D$28*('Plan mensual'!N90+IF(parametros_manuales!$H$28="Todos",'Plan mensual'!N94,0))+parametros_manuales!$E$28*('Plan mensual'!N91+IF(parametros_manuales!$H$28="Todos",'Plan mensual'!N95,0))+parametros_manuales!$F$28*('Plan mensual'!N92+IF(parametros_manuales!$H$28="Todos",'Plan mensual'!N96,0))+parametros_manuales!$G$28*('Plan mensual'!N93+IF(parametros_manuales!$H$28="Todos",'Plan mensual'!N97,0)))*parametros_manuales!$I$28*parametros_manuales!$J$28</f>
        <v>18095.285</v>
      </c>
      <c r="M227" s="4">
        <f>(parametros_manuales!$D$28*('Plan mensual'!O90+IF(parametros_manuales!$H$28="Todos",'Plan mensual'!O94,0))+parametros_manuales!$E$28*('Plan mensual'!O91+IF(parametros_manuales!$H$28="Todos",'Plan mensual'!O95,0))+parametros_manuales!$F$28*('Plan mensual'!O92+IF(parametros_manuales!$H$28="Todos",'Plan mensual'!O96,0))+parametros_manuales!$G$28*('Plan mensual'!O93+IF(parametros_manuales!$H$28="Todos",'Plan mensual'!O97,0)))*parametros_manuales!$I$28*parametros_manuales!$J$28</f>
        <v>28811.29</v>
      </c>
      <c r="N227" s="4">
        <f t="shared" si="25"/>
        <v>245976</v>
      </c>
      <c r="O227" s="4">
        <f t="shared" si="26"/>
        <v>28811.29</v>
      </c>
      <c r="P227" s="27">
        <f>O227/(parametros_manuales!$B$7)</f>
        <v>192.0752667</v>
      </c>
      <c r="Q227" s="3" t="str">
        <f t="shared" si="27"/>
        <v>Dic</v>
      </c>
    </row>
    <row r="228" ht="14.25" customHeight="1">
      <c r="A228" s="3" t="str">
        <f>parametros_manuales!$B$29</f>
        <v>Bordoneado</v>
      </c>
      <c r="B228" s="4">
        <f>(parametros_manuales!$D$29*('Plan mensual'!D90+IF(parametros_manuales!$H$29="Todos",'Plan mensual'!D94,0))+parametros_manuales!$E$29*('Plan mensual'!D91+IF(parametros_manuales!$H$29="Todos",'Plan mensual'!D95,0))+parametros_manuales!$F$29*('Plan mensual'!D92+IF(parametros_manuales!$H$29="Todos",'Plan mensual'!D96,0))+parametros_manuales!$G$29*('Plan mensual'!D93+IF(parametros_manuales!$H$29="Todos",'Plan mensual'!D97,0)))*parametros_manuales!$I$29*parametros_manuales!$J$29</f>
        <v>28105.46</v>
      </c>
      <c r="C228" s="4">
        <f>(parametros_manuales!$D$29*('Plan mensual'!E90+IF(parametros_manuales!$H$29="Todos",'Plan mensual'!E94,0))+parametros_manuales!$E$29*('Plan mensual'!E91+IF(parametros_manuales!$H$29="Todos",'Plan mensual'!E95,0))+parametros_manuales!$F$29*('Plan mensual'!E92+IF(parametros_manuales!$H$29="Todos",'Plan mensual'!E96,0))+parametros_manuales!$G$29*('Plan mensual'!E93+IF(parametros_manuales!$H$29="Todos",'Plan mensual'!E97,0)))*parametros_manuales!$I$29*parametros_manuales!$J$29</f>
        <v>21432.01</v>
      </c>
      <c r="D228" s="4">
        <f>(parametros_manuales!$D$29*('Plan mensual'!F90+IF(parametros_manuales!$H$29="Todos",'Plan mensual'!F94,0))+parametros_manuales!$E$29*('Plan mensual'!F91+IF(parametros_manuales!$H$29="Todos",'Plan mensual'!F95,0))+parametros_manuales!$F$29*('Plan mensual'!F92+IF(parametros_manuales!$H$29="Todos",'Plan mensual'!F96,0))+parametros_manuales!$G$29*('Plan mensual'!F93+IF(parametros_manuales!$H$29="Todos",'Plan mensual'!F97,0)))*parametros_manuales!$I$29*parametros_manuales!$J$29</f>
        <v>20030.995</v>
      </c>
      <c r="E228" s="4">
        <f>(parametros_manuales!$D$29*('Plan mensual'!G90+IF(parametros_manuales!$H$29="Todos",'Plan mensual'!G94,0))+parametros_manuales!$E$29*('Plan mensual'!G91+IF(parametros_manuales!$H$29="Todos",'Plan mensual'!G95,0))+parametros_manuales!$F$29*('Plan mensual'!G92+IF(parametros_manuales!$H$29="Todos",'Plan mensual'!G96,0))+parametros_manuales!$G$29*('Plan mensual'!G93+IF(parametros_manuales!$H$29="Todos",'Plan mensual'!G97,0)))*parametros_manuales!$I$29*parametros_manuales!$J$29</f>
        <v>19154.03</v>
      </c>
      <c r="F228" s="4">
        <f>(parametros_manuales!$D$29*('Plan mensual'!H90+IF(parametros_manuales!$H$29="Todos",'Plan mensual'!H94,0))+parametros_manuales!$E$29*('Plan mensual'!H91+IF(parametros_manuales!$H$29="Todos",'Plan mensual'!H95,0))+parametros_manuales!$F$29*('Plan mensual'!H92+IF(parametros_manuales!$H$29="Todos",'Plan mensual'!H96,0))+parametros_manuales!$G$29*('Plan mensual'!H93+IF(parametros_manuales!$H$29="Todos",'Plan mensual'!H97,0)))*parametros_manuales!$I$29*parametros_manuales!$J$29</f>
        <v>17924.15</v>
      </c>
      <c r="G228" s="4">
        <f>(parametros_manuales!$D$29*('Plan mensual'!I90+IF(parametros_manuales!$H$29="Todos",'Plan mensual'!I94,0))+parametros_manuales!$E$29*('Plan mensual'!I91+IF(parametros_manuales!$H$29="Todos",'Plan mensual'!I95,0))+parametros_manuales!$F$29*('Plan mensual'!I92+IF(parametros_manuales!$H$29="Todos",'Plan mensual'!I96,0))+parametros_manuales!$G$29*('Plan mensual'!I93+IF(parametros_manuales!$H$29="Todos",'Plan mensual'!I97,0)))*parametros_manuales!$I$29*parametros_manuales!$J$29</f>
        <v>17571.235</v>
      </c>
      <c r="H228" s="4">
        <f>(parametros_manuales!$D$29*('Plan mensual'!J90+IF(parametros_manuales!$H$29="Todos",'Plan mensual'!J94,0))+parametros_manuales!$E$29*('Plan mensual'!J91+IF(parametros_manuales!$H$29="Todos",'Plan mensual'!J95,0))+parametros_manuales!$F$29*('Plan mensual'!J92+IF(parametros_manuales!$H$29="Todos",'Plan mensual'!J96,0))+parametros_manuales!$G$29*('Plan mensual'!J93+IF(parametros_manuales!$H$29="Todos",'Plan mensual'!J97,0)))*parametros_manuales!$I$29*parametros_manuales!$J$29</f>
        <v>18801.115</v>
      </c>
      <c r="I228" s="4">
        <f>(parametros_manuales!$D$29*('Plan mensual'!K90+IF(parametros_manuales!$H$29="Todos",'Plan mensual'!K94,0))+parametros_manuales!$E$29*('Plan mensual'!K91+IF(parametros_manuales!$H$29="Todos",'Plan mensual'!K95,0))+parametros_manuales!$F$29*('Plan mensual'!K92+IF(parametros_manuales!$H$29="Todos",'Plan mensual'!K96,0))+parametros_manuales!$G$29*('Plan mensual'!K93+IF(parametros_manuales!$H$29="Todos",'Plan mensual'!K97,0)))*parametros_manuales!$I$29*parametros_manuales!$J$29</f>
        <v>18801.115</v>
      </c>
      <c r="J228" s="4">
        <f>(parametros_manuales!$D$29*('Plan mensual'!L90+IF(parametros_manuales!$H$29="Todos",'Plan mensual'!L94,0))+parametros_manuales!$E$29*('Plan mensual'!L91+IF(parametros_manuales!$H$29="Todos",'Plan mensual'!L95,0))+parametros_manuales!$F$29*('Plan mensual'!L92+IF(parametros_manuales!$H$29="Todos",'Plan mensual'!L96,0))+parametros_manuales!$G$29*('Plan mensual'!L93+IF(parametros_manuales!$H$29="Todos",'Plan mensual'!L97,0)))*parametros_manuales!$I$29*parametros_manuales!$J$29</f>
        <v>18801.115</v>
      </c>
      <c r="K228" s="4">
        <f>(parametros_manuales!$D$29*('Plan mensual'!M90+IF(parametros_manuales!$H$29="Todos",'Plan mensual'!M94,0))+parametros_manuales!$E$29*('Plan mensual'!M91+IF(parametros_manuales!$H$29="Todos",'Plan mensual'!M95,0))+parametros_manuales!$F$29*('Plan mensual'!M92+IF(parametros_manuales!$H$29="Todos",'Plan mensual'!M96,0))+parametros_manuales!$G$29*('Plan mensual'!M93+IF(parametros_manuales!$H$29="Todos",'Plan mensual'!M97,0)))*parametros_manuales!$I$29*parametros_manuales!$J$29</f>
        <v>18448.2</v>
      </c>
      <c r="L228" s="4">
        <f>(parametros_manuales!$D$29*('Plan mensual'!N90+IF(parametros_manuales!$H$29="Todos",'Plan mensual'!N94,0))+parametros_manuales!$E$29*('Plan mensual'!N91+IF(parametros_manuales!$H$29="Todos",'Plan mensual'!N95,0))+parametros_manuales!$F$29*('Plan mensual'!N92+IF(parametros_manuales!$H$29="Todos",'Plan mensual'!N96,0))+parametros_manuales!$G$29*('Plan mensual'!N93+IF(parametros_manuales!$H$29="Todos",'Plan mensual'!N97,0)))*parametros_manuales!$I$29*parametros_manuales!$J$29</f>
        <v>18095.285</v>
      </c>
      <c r="M228" s="4">
        <f>(parametros_manuales!$D$29*('Plan mensual'!O90+IF(parametros_manuales!$H$29="Todos",'Plan mensual'!O94,0))+parametros_manuales!$E$29*('Plan mensual'!O91+IF(parametros_manuales!$H$29="Todos",'Plan mensual'!O95,0))+parametros_manuales!$F$29*('Plan mensual'!O92+IF(parametros_manuales!$H$29="Todos",'Plan mensual'!O96,0))+parametros_manuales!$G$29*('Plan mensual'!O93+IF(parametros_manuales!$H$29="Todos",'Plan mensual'!O97,0)))*parametros_manuales!$I$29*parametros_manuales!$J$29</f>
        <v>28811.29</v>
      </c>
      <c r="N228" s="4">
        <f t="shared" si="25"/>
        <v>245976</v>
      </c>
      <c r="O228" s="4">
        <f t="shared" si="26"/>
        <v>28811.29</v>
      </c>
      <c r="P228" s="27">
        <f>O228/(parametros_manuales!$B$7)</f>
        <v>192.0752667</v>
      </c>
      <c r="Q228" s="3" t="str">
        <f t="shared" si="27"/>
        <v>Dic</v>
      </c>
    </row>
    <row r="229" ht="14.25" customHeight="1">
      <c r="A229" s="3" t="str">
        <f>parametros_manuales!$B$30</f>
        <v>Soldadura circunferencial de cúpula y fondo</v>
      </c>
      <c r="B229" s="4">
        <f>(parametros_manuales!$D$30*('Plan mensual'!D90+IF(parametros_manuales!$H$30="Todos",'Plan mensual'!D94,0))+parametros_manuales!$E$30*('Plan mensual'!D91+IF(parametros_manuales!$H$30="Todos",'Plan mensual'!D95,0))+parametros_manuales!$F$30*('Plan mensual'!D92+IF(parametros_manuales!$H$30="Todos",'Plan mensual'!D96,0))+parametros_manuales!$G$30*('Plan mensual'!D93+IF(parametros_manuales!$H$30="Todos",'Plan mensual'!D97,0)))*parametros_manuales!$I$30*parametros_manuales!$J$30</f>
        <v>28105.46</v>
      </c>
      <c r="C229" s="4">
        <f>(parametros_manuales!$D$30*('Plan mensual'!E90+IF(parametros_manuales!$H$30="Todos",'Plan mensual'!E94,0))+parametros_manuales!$E$30*('Plan mensual'!E91+IF(parametros_manuales!$H$30="Todos",'Plan mensual'!E95,0))+parametros_manuales!$F$30*('Plan mensual'!E92+IF(parametros_manuales!$H$30="Todos",'Plan mensual'!E96,0))+parametros_manuales!$G$30*('Plan mensual'!E93+IF(parametros_manuales!$H$30="Todos",'Plan mensual'!E97,0)))*parametros_manuales!$I$30*parametros_manuales!$J$30</f>
        <v>21432.01</v>
      </c>
      <c r="D229" s="4">
        <f>(parametros_manuales!$D$30*('Plan mensual'!F90+IF(parametros_manuales!$H$30="Todos",'Plan mensual'!F94,0))+parametros_manuales!$E$30*('Plan mensual'!F91+IF(parametros_manuales!$H$30="Todos",'Plan mensual'!F95,0))+parametros_manuales!$F$30*('Plan mensual'!F92+IF(parametros_manuales!$H$30="Todos",'Plan mensual'!F96,0))+parametros_manuales!$G$30*('Plan mensual'!F93+IF(parametros_manuales!$H$30="Todos",'Plan mensual'!F97,0)))*parametros_manuales!$I$30*parametros_manuales!$J$30</f>
        <v>20030.995</v>
      </c>
      <c r="E229" s="4">
        <f>(parametros_manuales!$D$30*('Plan mensual'!G90+IF(parametros_manuales!$H$30="Todos",'Plan mensual'!G94,0))+parametros_manuales!$E$30*('Plan mensual'!G91+IF(parametros_manuales!$H$30="Todos",'Plan mensual'!G95,0))+parametros_manuales!$F$30*('Plan mensual'!G92+IF(parametros_manuales!$H$30="Todos",'Plan mensual'!G96,0))+parametros_manuales!$G$30*('Plan mensual'!G93+IF(parametros_manuales!$H$30="Todos",'Plan mensual'!G97,0)))*parametros_manuales!$I$30*parametros_manuales!$J$30</f>
        <v>19154.03</v>
      </c>
      <c r="F229" s="4">
        <f>(parametros_manuales!$D$30*('Plan mensual'!H90+IF(parametros_manuales!$H$30="Todos",'Plan mensual'!H94,0))+parametros_manuales!$E$30*('Plan mensual'!H91+IF(parametros_manuales!$H$30="Todos",'Plan mensual'!H95,0))+parametros_manuales!$F$30*('Plan mensual'!H92+IF(parametros_manuales!$H$30="Todos",'Plan mensual'!H96,0))+parametros_manuales!$G$30*('Plan mensual'!H93+IF(parametros_manuales!$H$30="Todos",'Plan mensual'!H97,0)))*parametros_manuales!$I$30*parametros_manuales!$J$30</f>
        <v>17924.15</v>
      </c>
      <c r="G229" s="4">
        <f>(parametros_manuales!$D$30*('Plan mensual'!I90+IF(parametros_manuales!$H$30="Todos",'Plan mensual'!I94,0))+parametros_manuales!$E$30*('Plan mensual'!I91+IF(parametros_manuales!$H$30="Todos",'Plan mensual'!I95,0))+parametros_manuales!$F$30*('Plan mensual'!I92+IF(parametros_manuales!$H$30="Todos",'Plan mensual'!I96,0))+parametros_manuales!$G$30*('Plan mensual'!I93+IF(parametros_manuales!$H$30="Todos",'Plan mensual'!I97,0)))*parametros_manuales!$I$30*parametros_manuales!$J$30</f>
        <v>17571.235</v>
      </c>
      <c r="H229" s="4">
        <f>(parametros_manuales!$D$30*('Plan mensual'!J90+IF(parametros_manuales!$H$30="Todos",'Plan mensual'!J94,0))+parametros_manuales!$E$30*('Plan mensual'!J91+IF(parametros_manuales!$H$30="Todos",'Plan mensual'!J95,0))+parametros_manuales!$F$30*('Plan mensual'!J92+IF(parametros_manuales!$H$30="Todos",'Plan mensual'!J96,0))+parametros_manuales!$G$30*('Plan mensual'!J93+IF(parametros_manuales!$H$30="Todos",'Plan mensual'!J97,0)))*parametros_manuales!$I$30*parametros_manuales!$J$30</f>
        <v>18801.115</v>
      </c>
      <c r="I229" s="4">
        <f>(parametros_manuales!$D$30*('Plan mensual'!K90+IF(parametros_manuales!$H$30="Todos",'Plan mensual'!K94,0))+parametros_manuales!$E$30*('Plan mensual'!K91+IF(parametros_manuales!$H$30="Todos",'Plan mensual'!K95,0))+parametros_manuales!$F$30*('Plan mensual'!K92+IF(parametros_manuales!$H$30="Todos",'Plan mensual'!K96,0))+parametros_manuales!$G$30*('Plan mensual'!K93+IF(parametros_manuales!$H$30="Todos",'Plan mensual'!K97,0)))*parametros_manuales!$I$30*parametros_manuales!$J$30</f>
        <v>18801.115</v>
      </c>
      <c r="J229" s="4">
        <f>(parametros_manuales!$D$30*('Plan mensual'!L90+IF(parametros_manuales!$H$30="Todos",'Plan mensual'!L94,0))+parametros_manuales!$E$30*('Plan mensual'!L91+IF(parametros_manuales!$H$30="Todos",'Plan mensual'!L95,0))+parametros_manuales!$F$30*('Plan mensual'!L92+IF(parametros_manuales!$H$30="Todos",'Plan mensual'!L96,0))+parametros_manuales!$G$30*('Plan mensual'!L93+IF(parametros_manuales!$H$30="Todos",'Plan mensual'!L97,0)))*parametros_manuales!$I$30*parametros_manuales!$J$30</f>
        <v>18801.115</v>
      </c>
      <c r="K229" s="4">
        <f>(parametros_manuales!$D$30*('Plan mensual'!M90+IF(parametros_manuales!$H$30="Todos",'Plan mensual'!M94,0))+parametros_manuales!$E$30*('Plan mensual'!M91+IF(parametros_manuales!$H$30="Todos",'Plan mensual'!M95,0))+parametros_manuales!$F$30*('Plan mensual'!M92+IF(parametros_manuales!$H$30="Todos",'Plan mensual'!M96,0))+parametros_manuales!$G$30*('Plan mensual'!M93+IF(parametros_manuales!$H$30="Todos",'Plan mensual'!M97,0)))*parametros_manuales!$I$30*parametros_manuales!$J$30</f>
        <v>18448.2</v>
      </c>
      <c r="L229" s="4">
        <f>(parametros_manuales!$D$30*('Plan mensual'!N90+IF(parametros_manuales!$H$30="Todos",'Plan mensual'!N94,0))+parametros_manuales!$E$30*('Plan mensual'!N91+IF(parametros_manuales!$H$30="Todos",'Plan mensual'!N95,0))+parametros_manuales!$F$30*('Plan mensual'!N92+IF(parametros_manuales!$H$30="Todos",'Plan mensual'!N96,0))+parametros_manuales!$G$30*('Plan mensual'!N93+IF(parametros_manuales!$H$30="Todos",'Plan mensual'!N97,0)))*parametros_manuales!$I$30*parametros_manuales!$J$30</f>
        <v>18095.285</v>
      </c>
      <c r="M229" s="4">
        <f>(parametros_manuales!$D$30*('Plan mensual'!O90+IF(parametros_manuales!$H$30="Todos",'Plan mensual'!O94,0))+parametros_manuales!$E$30*('Plan mensual'!O91+IF(parametros_manuales!$H$30="Todos",'Plan mensual'!O95,0))+parametros_manuales!$F$30*('Plan mensual'!O92+IF(parametros_manuales!$H$30="Todos",'Plan mensual'!O96,0))+parametros_manuales!$G$30*('Plan mensual'!O93+IF(parametros_manuales!$H$30="Todos",'Plan mensual'!O97,0)))*parametros_manuales!$I$30*parametros_manuales!$J$30</f>
        <v>28811.29</v>
      </c>
      <c r="N229" s="4">
        <f t="shared" si="25"/>
        <v>245976</v>
      </c>
      <c r="O229" s="4">
        <f t="shared" si="26"/>
        <v>28811.29</v>
      </c>
      <c r="P229" s="27">
        <f>O229/(parametros_manuales!$B$7)</f>
        <v>192.0752667</v>
      </c>
      <c r="Q229" s="3" t="str">
        <f t="shared" si="27"/>
        <v>Dic</v>
      </c>
    </row>
    <row r="230" ht="14.25" customHeight="1">
      <c r="A230" s="3" t="str">
        <f>parametros_manuales!$B$31</f>
        <v>Control de calidad — Espesor</v>
      </c>
      <c r="B230" s="4">
        <f>(parametros_manuales!$D$31*('Plan mensual'!D90+IF(parametros_manuales!$H$31="Todos",'Plan mensual'!D94,0))+parametros_manuales!$E$31*('Plan mensual'!D91+IF(parametros_manuales!$H$31="Todos",'Plan mensual'!D95,0))+parametros_manuales!$F$31*('Plan mensual'!D92+IF(parametros_manuales!$H$31="Todos",'Plan mensual'!D96,0))+parametros_manuales!$G$31*('Plan mensual'!D93+IF(parametros_manuales!$H$31="Todos",'Plan mensual'!D97,0)))*parametros_manuales!$I$31*parametros_manuales!$J$31</f>
        <v>562.1092</v>
      </c>
      <c r="C230" s="4">
        <f>(parametros_manuales!$D$31*('Plan mensual'!E90+IF(parametros_manuales!$H$31="Todos",'Plan mensual'!E94,0))+parametros_manuales!$E$31*('Plan mensual'!E91+IF(parametros_manuales!$H$31="Todos",'Plan mensual'!E95,0))+parametros_manuales!$F$31*('Plan mensual'!E92+IF(parametros_manuales!$H$31="Todos",'Plan mensual'!E96,0))+parametros_manuales!$G$31*('Plan mensual'!E93+IF(parametros_manuales!$H$31="Todos",'Plan mensual'!E97,0)))*parametros_manuales!$I$31*parametros_manuales!$J$31</f>
        <v>428.6402</v>
      </c>
      <c r="D230" s="4">
        <f>(parametros_manuales!$D$31*('Plan mensual'!F90+IF(parametros_manuales!$H$31="Todos",'Plan mensual'!F94,0))+parametros_manuales!$E$31*('Plan mensual'!F91+IF(parametros_manuales!$H$31="Todos",'Plan mensual'!F95,0))+parametros_manuales!$F$31*('Plan mensual'!F92+IF(parametros_manuales!$H$31="Todos",'Plan mensual'!F96,0))+parametros_manuales!$G$31*('Plan mensual'!F93+IF(parametros_manuales!$H$31="Todos",'Plan mensual'!F97,0)))*parametros_manuales!$I$31*parametros_manuales!$J$31</f>
        <v>400.6199</v>
      </c>
      <c r="E230" s="4">
        <f>(parametros_manuales!$D$31*('Plan mensual'!G90+IF(parametros_manuales!$H$31="Todos",'Plan mensual'!G94,0))+parametros_manuales!$E$31*('Plan mensual'!G91+IF(parametros_manuales!$H$31="Todos",'Plan mensual'!G95,0))+parametros_manuales!$F$31*('Plan mensual'!G92+IF(parametros_manuales!$H$31="Todos",'Plan mensual'!G96,0))+parametros_manuales!$G$31*('Plan mensual'!G93+IF(parametros_manuales!$H$31="Todos",'Plan mensual'!G97,0)))*parametros_manuales!$I$31*parametros_manuales!$J$31</f>
        <v>383.0806</v>
      </c>
      <c r="F230" s="4">
        <f>(parametros_manuales!$D$31*('Plan mensual'!H90+IF(parametros_manuales!$H$31="Todos",'Plan mensual'!H94,0))+parametros_manuales!$E$31*('Plan mensual'!H91+IF(parametros_manuales!$H$31="Todos",'Plan mensual'!H95,0))+parametros_manuales!$F$31*('Plan mensual'!H92+IF(parametros_manuales!$H$31="Todos",'Plan mensual'!H96,0))+parametros_manuales!$G$31*('Plan mensual'!H93+IF(parametros_manuales!$H$31="Todos",'Plan mensual'!H97,0)))*parametros_manuales!$I$31*parametros_manuales!$J$31</f>
        <v>358.483</v>
      </c>
      <c r="G230" s="4">
        <f>(parametros_manuales!$D$31*('Plan mensual'!I90+IF(parametros_manuales!$H$31="Todos",'Plan mensual'!I94,0))+parametros_manuales!$E$31*('Plan mensual'!I91+IF(parametros_manuales!$H$31="Todos",'Plan mensual'!I95,0))+parametros_manuales!$F$31*('Plan mensual'!I92+IF(parametros_manuales!$H$31="Todos",'Plan mensual'!I96,0))+parametros_manuales!$G$31*('Plan mensual'!I93+IF(parametros_manuales!$H$31="Todos",'Plan mensual'!I97,0)))*parametros_manuales!$I$31*parametros_manuales!$J$31</f>
        <v>351.4247</v>
      </c>
      <c r="H230" s="4">
        <f>(parametros_manuales!$D$31*('Plan mensual'!J90+IF(parametros_manuales!$H$31="Todos",'Plan mensual'!J94,0))+parametros_manuales!$E$31*('Plan mensual'!J91+IF(parametros_manuales!$H$31="Todos",'Plan mensual'!J95,0))+parametros_manuales!$F$31*('Plan mensual'!J92+IF(parametros_manuales!$H$31="Todos",'Plan mensual'!J96,0))+parametros_manuales!$G$31*('Plan mensual'!J93+IF(parametros_manuales!$H$31="Todos",'Plan mensual'!J97,0)))*parametros_manuales!$I$31*parametros_manuales!$J$31</f>
        <v>376.0223</v>
      </c>
      <c r="I230" s="4">
        <f>(parametros_manuales!$D$31*('Plan mensual'!K90+IF(parametros_manuales!$H$31="Todos",'Plan mensual'!K94,0))+parametros_manuales!$E$31*('Plan mensual'!K91+IF(parametros_manuales!$H$31="Todos",'Plan mensual'!K95,0))+parametros_manuales!$F$31*('Plan mensual'!K92+IF(parametros_manuales!$H$31="Todos",'Plan mensual'!K96,0))+parametros_manuales!$G$31*('Plan mensual'!K93+IF(parametros_manuales!$H$31="Todos",'Plan mensual'!K97,0)))*parametros_manuales!$I$31*parametros_manuales!$J$31</f>
        <v>376.0223</v>
      </c>
      <c r="J230" s="4">
        <f>(parametros_manuales!$D$31*('Plan mensual'!L90+IF(parametros_manuales!$H$31="Todos",'Plan mensual'!L94,0))+parametros_manuales!$E$31*('Plan mensual'!L91+IF(parametros_manuales!$H$31="Todos",'Plan mensual'!L95,0))+parametros_manuales!$F$31*('Plan mensual'!L92+IF(parametros_manuales!$H$31="Todos",'Plan mensual'!L96,0))+parametros_manuales!$G$31*('Plan mensual'!L93+IF(parametros_manuales!$H$31="Todos",'Plan mensual'!L97,0)))*parametros_manuales!$I$31*parametros_manuales!$J$31</f>
        <v>376.0223</v>
      </c>
      <c r="K230" s="4">
        <f>(parametros_manuales!$D$31*('Plan mensual'!M90+IF(parametros_manuales!$H$31="Todos",'Plan mensual'!M94,0))+parametros_manuales!$E$31*('Plan mensual'!M91+IF(parametros_manuales!$H$31="Todos",'Plan mensual'!M95,0))+parametros_manuales!$F$31*('Plan mensual'!M92+IF(parametros_manuales!$H$31="Todos",'Plan mensual'!M96,0))+parametros_manuales!$G$31*('Plan mensual'!M93+IF(parametros_manuales!$H$31="Todos",'Plan mensual'!M97,0)))*parametros_manuales!$I$31*parametros_manuales!$J$31</f>
        <v>368.964</v>
      </c>
      <c r="L230" s="4">
        <f>(parametros_manuales!$D$31*('Plan mensual'!N90+IF(parametros_manuales!$H$31="Todos",'Plan mensual'!N94,0))+parametros_manuales!$E$31*('Plan mensual'!N91+IF(parametros_manuales!$H$31="Todos",'Plan mensual'!N95,0))+parametros_manuales!$F$31*('Plan mensual'!N92+IF(parametros_manuales!$H$31="Todos",'Plan mensual'!N96,0))+parametros_manuales!$G$31*('Plan mensual'!N93+IF(parametros_manuales!$H$31="Todos",'Plan mensual'!N97,0)))*parametros_manuales!$I$31*parametros_manuales!$J$31</f>
        <v>361.9057</v>
      </c>
      <c r="M230" s="4">
        <f>(parametros_manuales!$D$31*('Plan mensual'!O90+IF(parametros_manuales!$H$31="Todos",'Plan mensual'!O94,0))+parametros_manuales!$E$31*('Plan mensual'!O91+IF(parametros_manuales!$H$31="Todos",'Plan mensual'!O95,0))+parametros_manuales!$F$31*('Plan mensual'!O92+IF(parametros_manuales!$H$31="Todos",'Plan mensual'!O96,0))+parametros_manuales!$G$31*('Plan mensual'!O93+IF(parametros_manuales!$H$31="Todos",'Plan mensual'!O97,0)))*parametros_manuales!$I$31*parametros_manuales!$J$31</f>
        <v>576.2258</v>
      </c>
      <c r="N230" s="4">
        <f t="shared" si="25"/>
        <v>4919.52</v>
      </c>
      <c r="O230" s="4">
        <f t="shared" si="26"/>
        <v>576.2258</v>
      </c>
      <c r="P230" s="27">
        <f>O230/(parametros_manuales!$B$7)</f>
        <v>3.841505333</v>
      </c>
      <c r="Q230" s="3" t="str">
        <f t="shared" si="27"/>
        <v>Dic</v>
      </c>
    </row>
    <row r="231" ht="14.25" customHeight="1">
      <c r="A231" s="3" t="str">
        <f>parametros_manuales!$B$32</f>
        <v>Prueba hidráulica</v>
      </c>
      <c r="B231" s="4">
        <f>(parametros_manuales!$D$32*('Plan mensual'!D90+IF(parametros_manuales!$H$32="Todos",'Plan mensual'!D94,0))+parametros_manuales!$E$32*('Plan mensual'!D91+IF(parametros_manuales!$H$32="Todos",'Plan mensual'!D95,0))+parametros_manuales!$F$32*('Plan mensual'!D92+IF(parametros_manuales!$H$32="Todos",'Plan mensual'!D96,0))+parametros_manuales!$G$32*('Plan mensual'!D93+IF(parametros_manuales!$H$32="Todos",'Plan mensual'!D97,0)))*parametros_manuales!$I$32*parametros_manuales!$J$32</f>
        <v>28105.46</v>
      </c>
      <c r="C231" s="4">
        <f>(parametros_manuales!$D$32*('Plan mensual'!E90+IF(parametros_manuales!$H$32="Todos",'Plan mensual'!E94,0))+parametros_manuales!$E$32*('Plan mensual'!E91+IF(parametros_manuales!$H$32="Todos",'Plan mensual'!E95,0))+parametros_manuales!$F$32*('Plan mensual'!E92+IF(parametros_manuales!$H$32="Todos",'Plan mensual'!E96,0))+parametros_manuales!$G$32*('Plan mensual'!E93+IF(parametros_manuales!$H$32="Todos",'Plan mensual'!E97,0)))*parametros_manuales!$I$32*parametros_manuales!$J$32</f>
        <v>21432.01</v>
      </c>
      <c r="D231" s="4">
        <f>(parametros_manuales!$D$32*('Plan mensual'!F90+IF(parametros_manuales!$H$32="Todos",'Plan mensual'!F94,0))+parametros_manuales!$E$32*('Plan mensual'!F91+IF(parametros_manuales!$H$32="Todos",'Plan mensual'!F95,0))+parametros_manuales!$F$32*('Plan mensual'!F92+IF(parametros_manuales!$H$32="Todos",'Plan mensual'!F96,0))+parametros_manuales!$G$32*('Plan mensual'!F93+IF(parametros_manuales!$H$32="Todos",'Plan mensual'!F97,0)))*parametros_manuales!$I$32*parametros_manuales!$J$32</f>
        <v>20030.995</v>
      </c>
      <c r="E231" s="4">
        <f>(parametros_manuales!$D$32*('Plan mensual'!G90+IF(parametros_manuales!$H$32="Todos",'Plan mensual'!G94,0))+parametros_manuales!$E$32*('Plan mensual'!G91+IF(parametros_manuales!$H$32="Todos",'Plan mensual'!G95,0))+parametros_manuales!$F$32*('Plan mensual'!G92+IF(parametros_manuales!$H$32="Todos",'Plan mensual'!G96,0))+parametros_manuales!$G$32*('Plan mensual'!G93+IF(parametros_manuales!$H$32="Todos",'Plan mensual'!G97,0)))*parametros_manuales!$I$32*parametros_manuales!$J$32</f>
        <v>19154.03</v>
      </c>
      <c r="F231" s="4">
        <f>(parametros_manuales!$D$32*('Plan mensual'!H90+IF(parametros_manuales!$H$32="Todos",'Plan mensual'!H94,0))+parametros_manuales!$E$32*('Plan mensual'!H91+IF(parametros_manuales!$H$32="Todos",'Plan mensual'!H95,0))+parametros_manuales!$F$32*('Plan mensual'!H92+IF(parametros_manuales!$H$32="Todos",'Plan mensual'!H96,0))+parametros_manuales!$G$32*('Plan mensual'!H93+IF(parametros_manuales!$H$32="Todos",'Plan mensual'!H97,0)))*parametros_manuales!$I$32*parametros_manuales!$J$32</f>
        <v>17924.15</v>
      </c>
      <c r="G231" s="4">
        <f>(parametros_manuales!$D$32*('Plan mensual'!I90+IF(parametros_manuales!$H$32="Todos",'Plan mensual'!I94,0))+parametros_manuales!$E$32*('Plan mensual'!I91+IF(parametros_manuales!$H$32="Todos",'Plan mensual'!I95,0))+parametros_manuales!$F$32*('Plan mensual'!I92+IF(parametros_manuales!$H$32="Todos",'Plan mensual'!I96,0))+parametros_manuales!$G$32*('Plan mensual'!I93+IF(parametros_manuales!$H$32="Todos",'Plan mensual'!I97,0)))*parametros_manuales!$I$32*parametros_manuales!$J$32</f>
        <v>17571.235</v>
      </c>
      <c r="H231" s="4">
        <f>(parametros_manuales!$D$32*('Plan mensual'!J90+IF(parametros_manuales!$H$32="Todos",'Plan mensual'!J94,0))+parametros_manuales!$E$32*('Plan mensual'!J91+IF(parametros_manuales!$H$32="Todos",'Plan mensual'!J95,0))+parametros_manuales!$F$32*('Plan mensual'!J92+IF(parametros_manuales!$H$32="Todos",'Plan mensual'!J96,0))+parametros_manuales!$G$32*('Plan mensual'!J93+IF(parametros_manuales!$H$32="Todos",'Plan mensual'!J97,0)))*parametros_manuales!$I$32*parametros_manuales!$J$32</f>
        <v>18801.115</v>
      </c>
      <c r="I231" s="4">
        <f>(parametros_manuales!$D$32*('Plan mensual'!K90+IF(parametros_manuales!$H$32="Todos",'Plan mensual'!K94,0))+parametros_manuales!$E$32*('Plan mensual'!K91+IF(parametros_manuales!$H$32="Todos",'Plan mensual'!K95,0))+parametros_manuales!$F$32*('Plan mensual'!K92+IF(parametros_manuales!$H$32="Todos",'Plan mensual'!K96,0))+parametros_manuales!$G$32*('Plan mensual'!K93+IF(parametros_manuales!$H$32="Todos",'Plan mensual'!K97,0)))*parametros_manuales!$I$32*parametros_manuales!$J$32</f>
        <v>18801.115</v>
      </c>
      <c r="J231" s="4">
        <f>(parametros_manuales!$D$32*('Plan mensual'!L90+IF(parametros_manuales!$H$32="Todos",'Plan mensual'!L94,0))+parametros_manuales!$E$32*('Plan mensual'!L91+IF(parametros_manuales!$H$32="Todos",'Plan mensual'!L95,0))+parametros_manuales!$F$32*('Plan mensual'!L92+IF(parametros_manuales!$H$32="Todos",'Plan mensual'!L96,0))+parametros_manuales!$G$32*('Plan mensual'!L93+IF(parametros_manuales!$H$32="Todos",'Plan mensual'!L97,0)))*parametros_manuales!$I$32*parametros_manuales!$J$32</f>
        <v>18801.115</v>
      </c>
      <c r="K231" s="4">
        <f>(parametros_manuales!$D$32*('Plan mensual'!M90+IF(parametros_manuales!$H$32="Todos",'Plan mensual'!M94,0))+parametros_manuales!$E$32*('Plan mensual'!M91+IF(parametros_manuales!$H$32="Todos",'Plan mensual'!M95,0))+parametros_manuales!$F$32*('Plan mensual'!M92+IF(parametros_manuales!$H$32="Todos",'Plan mensual'!M96,0))+parametros_manuales!$G$32*('Plan mensual'!M93+IF(parametros_manuales!$H$32="Todos",'Plan mensual'!M97,0)))*parametros_manuales!$I$32*parametros_manuales!$J$32</f>
        <v>18448.2</v>
      </c>
      <c r="L231" s="4">
        <f>(parametros_manuales!$D$32*('Plan mensual'!N90+IF(parametros_manuales!$H$32="Todos",'Plan mensual'!N94,0))+parametros_manuales!$E$32*('Plan mensual'!N91+IF(parametros_manuales!$H$32="Todos",'Plan mensual'!N95,0))+parametros_manuales!$F$32*('Plan mensual'!N92+IF(parametros_manuales!$H$32="Todos",'Plan mensual'!N96,0))+parametros_manuales!$G$32*('Plan mensual'!N93+IF(parametros_manuales!$H$32="Todos",'Plan mensual'!N97,0)))*parametros_manuales!$I$32*parametros_manuales!$J$32</f>
        <v>18095.285</v>
      </c>
      <c r="M231" s="4">
        <f>(parametros_manuales!$D$32*('Plan mensual'!O90+IF(parametros_manuales!$H$32="Todos",'Plan mensual'!O94,0))+parametros_manuales!$E$32*('Plan mensual'!O91+IF(parametros_manuales!$H$32="Todos",'Plan mensual'!O95,0))+parametros_manuales!$F$32*('Plan mensual'!O92+IF(parametros_manuales!$H$32="Todos",'Plan mensual'!O96,0))+parametros_manuales!$G$32*('Plan mensual'!O93+IF(parametros_manuales!$H$32="Todos",'Plan mensual'!O97,0)))*parametros_manuales!$I$32*parametros_manuales!$J$32</f>
        <v>28811.29</v>
      </c>
      <c r="N231" s="4">
        <f t="shared" si="25"/>
        <v>245976</v>
      </c>
      <c r="O231" s="4">
        <f t="shared" si="26"/>
        <v>28811.29</v>
      </c>
      <c r="P231" s="27">
        <f>O231/(parametros_manuales!$B$7)</f>
        <v>192.0752667</v>
      </c>
      <c r="Q231" s="3" t="str">
        <f t="shared" si="27"/>
        <v>Dic</v>
      </c>
    </row>
    <row r="232" ht="14.25" customHeight="1">
      <c r="A232" s="3" t="str">
        <f>parametros_manuales!$B$33</f>
        <v>Secado</v>
      </c>
      <c r="B232" s="4">
        <f>(parametros_manuales!$D$33*('Plan mensual'!D90+IF(parametros_manuales!$H$33="Todos",'Plan mensual'!D94,0))+parametros_manuales!$E$33*('Plan mensual'!D91+IF(parametros_manuales!$H$33="Todos",'Plan mensual'!D95,0))+parametros_manuales!$F$33*('Plan mensual'!D92+IF(parametros_manuales!$H$33="Todos",'Plan mensual'!D96,0))+parametros_manuales!$G$33*('Plan mensual'!D93+IF(parametros_manuales!$H$33="Todos",'Plan mensual'!D97,0)))*parametros_manuales!$I$33*parametros_manuales!$J$33</f>
        <v>28105.46</v>
      </c>
      <c r="C232" s="4">
        <f>(parametros_manuales!$D$33*('Plan mensual'!E90+IF(parametros_manuales!$H$33="Todos",'Plan mensual'!E94,0))+parametros_manuales!$E$33*('Plan mensual'!E91+IF(parametros_manuales!$H$33="Todos",'Plan mensual'!E95,0))+parametros_manuales!$F$33*('Plan mensual'!E92+IF(parametros_manuales!$H$33="Todos",'Plan mensual'!E96,0))+parametros_manuales!$G$33*('Plan mensual'!E93+IF(parametros_manuales!$H$33="Todos",'Plan mensual'!E97,0)))*parametros_manuales!$I$33*parametros_manuales!$J$33</f>
        <v>21432.01</v>
      </c>
      <c r="D232" s="4">
        <f>(parametros_manuales!$D$33*('Plan mensual'!F90+IF(parametros_manuales!$H$33="Todos",'Plan mensual'!F94,0))+parametros_manuales!$E$33*('Plan mensual'!F91+IF(parametros_manuales!$H$33="Todos",'Plan mensual'!F95,0))+parametros_manuales!$F$33*('Plan mensual'!F92+IF(parametros_manuales!$H$33="Todos",'Plan mensual'!F96,0))+parametros_manuales!$G$33*('Plan mensual'!F93+IF(parametros_manuales!$H$33="Todos",'Plan mensual'!F97,0)))*parametros_manuales!$I$33*parametros_manuales!$J$33</f>
        <v>20030.995</v>
      </c>
      <c r="E232" s="4">
        <f>(parametros_manuales!$D$33*('Plan mensual'!G90+IF(parametros_manuales!$H$33="Todos",'Plan mensual'!G94,0))+parametros_manuales!$E$33*('Plan mensual'!G91+IF(parametros_manuales!$H$33="Todos",'Plan mensual'!G95,0))+parametros_manuales!$F$33*('Plan mensual'!G92+IF(parametros_manuales!$H$33="Todos",'Plan mensual'!G96,0))+parametros_manuales!$G$33*('Plan mensual'!G93+IF(parametros_manuales!$H$33="Todos",'Plan mensual'!G97,0)))*parametros_manuales!$I$33*parametros_manuales!$J$33</f>
        <v>19154.03</v>
      </c>
      <c r="F232" s="4">
        <f>(parametros_manuales!$D$33*('Plan mensual'!H90+IF(parametros_manuales!$H$33="Todos",'Plan mensual'!H94,0))+parametros_manuales!$E$33*('Plan mensual'!H91+IF(parametros_manuales!$H$33="Todos",'Plan mensual'!H95,0))+parametros_manuales!$F$33*('Plan mensual'!H92+IF(parametros_manuales!$H$33="Todos",'Plan mensual'!H96,0))+parametros_manuales!$G$33*('Plan mensual'!H93+IF(parametros_manuales!$H$33="Todos",'Plan mensual'!H97,0)))*parametros_manuales!$I$33*parametros_manuales!$J$33</f>
        <v>17924.15</v>
      </c>
      <c r="G232" s="4">
        <f>(parametros_manuales!$D$33*('Plan mensual'!I90+IF(parametros_manuales!$H$33="Todos",'Plan mensual'!I94,0))+parametros_manuales!$E$33*('Plan mensual'!I91+IF(parametros_manuales!$H$33="Todos",'Plan mensual'!I95,0))+parametros_manuales!$F$33*('Plan mensual'!I92+IF(parametros_manuales!$H$33="Todos",'Plan mensual'!I96,0))+parametros_manuales!$G$33*('Plan mensual'!I93+IF(parametros_manuales!$H$33="Todos",'Plan mensual'!I97,0)))*parametros_manuales!$I$33*parametros_manuales!$J$33</f>
        <v>17571.235</v>
      </c>
      <c r="H232" s="4">
        <f>(parametros_manuales!$D$33*('Plan mensual'!J90+IF(parametros_manuales!$H$33="Todos",'Plan mensual'!J94,0))+parametros_manuales!$E$33*('Plan mensual'!J91+IF(parametros_manuales!$H$33="Todos",'Plan mensual'!J95,0))+parametros_manuales!$F$33*('Plan mensual'!J92+IF(parametros_manuales!$H$33="Todos",'Plan mensual'!J96,0))+parametros_manuales!$G$33*('Plan mensual'!J93+IF(parametros_manuales!$H$33="Todos",'Plan mensual'!J97,0)))*parametros_manuales!$I$33*parametros_manuales!$J$33</f>
        <v>18801.115</v>
      </c>
      <c r="I232" s="4">
        <f>(parametros_manuales!$D$33*('Plan mensual'!K90+IF(parametros_manuales!$H$33="Todos",'Plan mensual'!K94,0))+parametros_manuales!$E$33*('Plan mensual'!K91+IF(parametros_manuales!$H$33="Todos",'Plan mensual'!K95,0))+parametros_manuales!$F$33*('Plan mensual'!K92+IF(parametros_manuales!$H$33="Todos",'Plan mensual'!K96,0))+parametros_manuales!$G$33*('Plan mensual'!K93+IF(parametros_manuales!$H$33="Todos",'Plan mensual'!K97,0)))*parametros_manuales!$I$33*parametros_manuales!$J$33</f>
        <v>18801.115</v>
      </c>
      <c r="J232" s="4">
        <f>(parametros_manuales!$D$33*('Plan mensual'!L90+IF(parametros_manuales!$H$33="Todos",'Plan mensual'!L94,0))+parametros_manuales!$E$33*('Plan mensual'!L91+IF(parametros_manuales!$H$33="Todos",'Plan mensual'!L95,0))+parametros_manuales!$F$33*('Plan mensual'!L92+IF(parametros_manuales!$H$33="Todos",'Plan mensual'!L96,0))+parametros_manuales!$G$33*('Plan mensual'!L93+IF(parametros_manuales!$H$33="Todos",'Plan mensual'!L97,0)))*parametros_manuales!$I$33*parametros_manuales!$J$33</f>
        <v>18801.115</v>
      </c>
      <c r="K232" s="4">
        <f>(parametros_manuales!$D$33*('Plan mensual'!M90+IF(parametros_manuales!$H$33="Todos",'Plan mensual'!M94,0))+parametros_manuales!$E$33*('Plan mensual'!M91+IF(parametros_manuales!$H$33="Todos",'Plan mensual'!M95,0))+parametros_manuales!$F$33*('Plan mensual'!M92+IF(parametros_manuales!$H$33="Todos",'Plan mensual'!M96,0))+parametros_manuales!$G$33*('Plan mensual'!M93+IF(parametros_manuales!$H$33="Todos",'Plan mensual'!M97,0)))*parametros_manuales!$I$33*parametros_manuales!$J$33</f>
        <v>18448.2</v>
      </c>
      <c r="L232" s="4">
        <f>(parametros_manuales!$D$33*('Plan mensual'!N90+IF(parametros_manuales!$H$33="Todos",'Plan mensual'!N94,0))+parametros_manuales!$E$33*('Plan mensual'!N91+IF(parametros_manuales!$H$33="Todos",'Plan mensual'!N95,0))+parametros_manuales!$F$33*('Plan mensual'!N92+IF(parametros_manuales!$H$33="Todos",'Plan mensual'!N96,0))+parametros_manuales!$G$33*('Plan mensual'!N93+IF(parametros_manuales!$H$33="Todos",'Plan mensual'!N97,0)))*parametros_manuales!$I$33*parametros_manuales!$J$33</f>
        <v>18095.285</v>
      </c>
      <c r="M232" s="4">
        <f>(parametros_manuales!$D$33*('Plan mensual'!O90+IF(parametros_manuales!$H$33="Todos",'Plan mensual'!O94,0))+parametros_manuales!$E$33*('Plan mensual'!O91+IF(parametros_manuales!$H$33="Todos",'Plan mensual'!O95,0))+parametros_manuales!$F$33*('Plan mensual'!O92+IF(parametros_manuales!$H$33="Todos",'Plan mensual'!O96,0))+parametros_manuales!$G$33*('Plan mensual'!O93+IF(parametros_manuales!$H$33="Todos",'Plan mensual'!O97,0)))*parametros_manuales!$I$33*parametros_manuales!$J$33</f>
        <v>28811.29</v>
      </c>
      <c r="N232" s="4">
        <f t="shared" si="25"/>
        <v>245976</v>
      </c>
      <c r="O232" s="4">
        <f t="shared" si="26"/>
        <v>28811.29</v>
      </c>
      <c r="P232" s="27">
        <f>O232/(parametros_manuales!$B$7)</f>
        <v>192.0752667</v>
      </c>
      <c r="Q232" s="3" t="str">
        <f t="shared" si="27"/>
        <v>Dic</v>
      </c>
    </row>
    <row r="233" ht="14.25" customHeight="1">
      <c r="A233" s="3" t="str">
        <f>parametros_manuales!$B$34</f>
        <v>Granallado</v>
      </c>
      <c r="B233" s="4">
        <f>(parametros_manuales!$D$34*('Plan mensual'!D90+IF(parametros_manuales!$H$34="Todos",'Plan mensual'!D94,0))+parametros_manuales!$E$34*('Plan mensual'!D91+IF(parametros_manuales!$H$34="Todos",'Plan mensual'!D95,0))+parametros_manuales!$F$34*('Plan mensual'!D92+IF(parametros_manuales!$H$34="Todos",'Plan mensual'!D96,0))+parametros_manuales!$G$34*('Plan mensual'!D93+IF(parametros_manuales!$H$34="Todos",'Plan mensual'!D97,0)))*parametros_manuales!$I$34*parametros_manuales!$J$34</f>
        <v>28105.46</v>
      </c>
      <c r="C233" s="4">
        <f>(parametros_manuales!$D$34*('Plan mensual'!E90+IF(parametros_manuales!$H$34="Todos",'Plan mensual'!E94,0))+parametros_manuales!$E$34*('Plan mensual'!E91+IF(parametros_manuales!$H$34="Todos",'Plan mensual'!E95,0))+parametros_manuales!$F$34*('Plan mensual'!E92+IF(parametros_manuales!$H$34="Todos",'Plan mensual'!E96,0))+parametros_manuales!$G$34*('Plan mensual'!E93+IF(parametros_manuales!$H$34="Todos",'Plan mensual'!E97,0)))*parametros_manuales!$I$34*parametros_manuales!$J$34</f>
        <v>21432.01</v>
      </c>
      <c r="D233" s="4">
        <f>(parametros_manuales!$D$34*('Plan mensual'!F90+IF(parametros_manuales!$H$34="Todos",'Plan mensual'!F94,0))+parametros_manuales!$E$34*('Plan mensual'!F91+IF(parametros_manuales!$H$34="Todos",'Plan mensual'!F95,0))+parametros_manuales!$F$34*('Plan mensual'!F92+IF(parametros_manuales!$H$34="Todos",'Plan mensual'!F96,0))+parametros_manuales!$G$34*('Plan mensual'!F93+IF(parametros_manuales!$H$34="Todos",'Plan mensual'!F97,0)))*parametros_manuales!$I$34*parametros_manuales!$J$34</f>
        <v>20030.995</v>
      </c>
      <c r="E233" s="4">
        <f>(parametros_manuales!$D$34*('Plan mensual'!G90+IF(parametros_manuales!$H$34="Todos",'Plan mensual'!G94,0))+parametros_manuales!$E$34*('Plan mensual'!G91+IF(parametros_manuales!$H$34="Todos",'Plan mensual'!G95,0))+parametros_manuales!$F$34*('Plan mensual'!G92+IF(parametros_manuales!$H$34="Todos",'Plan mensual'!G96,0))+parametros_manuales!$G$34*('Plan mensual'!G93+IF(parametros_manuales!$H$34="Todos",'Plan mensual'!G97,0)))*parametros_manuales!$I$34*parametros_manuales!$J$34</f>
        <v>19154.03</v>
      </c>
      <c r="F233" s="4">
        <f>(parametros_manuales!$D$34*('Plan mensual'!H90+IF(parametros_manuales!$H$34="Todos",'Plan mensual'!H94,0))+parametros_manuales!$E$34*('Plan mensual'!H91+IF(parametros_manuales!$H$34="Todos",'Plan mensual'!H95,0))+parametros_manuales!$F$34*('Plan mensual'!H92+IF(parametros_manuales!$H$34="Todos",'Plan mensual'!H96,0))+parametros_manuales!$G$34*('Plan mensual'!H93+IF(parametros_manuales!$H$34="Todos",'Plan mensual'!H97,0)))*parametros_manuales!$I$34*parametros_manuales!$J$34</f>
        <v>17924.15</v>
      </c>
      <c r="G233" s="4">
        <f>(parametros_manuales!$D$34*('Plan mensual'!I90+IF(parametros_manuales!$H$34="Todos",'Plan mensual'!I94,0))+parametros_manuales!$E$34*('Plan mensual'!I91+IF(parametros_manuales!$H$34="Todos",'Plan mensual'!I95,0))+parametros_manuales!$F$34*('Plan mensual'!I92+IF(parametros_manuales!$H$34="Todos",'Plan mensual'!I96,0))+parametros_manuales!$G$34*('Plan mensual'!I93+IF(parametros_manuales!$H$34="Todos",'Plan mensual'!I97,0)))*parametros_manuales!$I$34*parametros_manuales!$J$34</f>
        <v>17571.235</v>
      </c>
      <c r="H233" s="4">
        <f>(parametros_manuales!$D$34*('Plan mensual'!J90+IF(parametros_manuales!$H$34="Todos",'Plan mensual'!J94,0))+parametros_manuales!$E$34*('Plan mensual'!J91+IF(parametros_manuales!$H$34="Todos",'Plan mensual'!J95,0))+parametros_manuales!$F$34*('Plan mensual'!J92+IF(parametros_manuales!$H$34="Todos",'Plan mensual'!J96,0))+parametros_manuales!$G$34*('Plan mensual'!J93+IF(parametros_manuales!$H$34="Todos",'Plan mensual'!J97,0)))*parametros_manuales!$I$34*parametros_manuales!$J$34</f>
        <v>18801.115</v>
      </c>
      <c r="I233" s="4">
        <f>(parametros_manuales!$D$34*('Plan mensual'!K90+IF(parametros_manuales!$H$34="Todos",'Plan mensual'!K94,0))+parametros_manuales!$E$34*('Plan mensual'!K91+IF(parametros_manuales!$H$34="Todos",'Plan mensual'!K95,0))+parametros_manuales!$F$34*('Plan mensual'!K92+IF(parametros_manuales!$H$34="Todos",'Plan mensual'!K96,0))+parametros_manuales!$G$34*('Plan mensual'!K93+IF(parametros_manuales!$H$34="Todos",'Plan mensual'!K97,0)))*parametros_manuales!$I$34*parametros_manuales!$J$34</f>
        <v>18801.115</v>
      </c>
      <c r="J233" s="4">
        <f>(parametros_manuales!$D$34*('Plan mensual'!L90+IF(parametros_manuales!$H$34="Todos",'Plan mensual'!L94,0))+parametros_manuales!$E$34*('Plan mensual'!L91+IF(parametros_manuales!$H$34="Todos",'Plan mensual'!L95,0))+parametros_manuales!$F$34*('Plan mensual'!L92+IF(parametros_manuales!$H$34="Todos",'Plan mensual'!L96,0))+parametros_manuales!$G$34*('Plan mensual'!L93+IF(parametros_manuales!$H$34="Todos",'Plan mensual'!L97,0)))*parametros_manuales!$I$34*parametros_manuales!$J$34</f>
        <v>18801.115</v>
      </c>
      <c r="K233" s="4">
        <f>(parametros_manuales!$D$34*('Plan mensual'!M90+IF(parametros_manuales!$H$34="Todos",'Plan mensual'!M94,0))+parametros_manuales!$E$34*('Plan mensual'!M91+IF(parametros_manuales!$H$34="Todos",'Plan mensual'!M95,0))+parametros_manuales!$F$34*('Plan mensual'!M92+IF(parametros_manuales!$H$34="Todos",'Plan mensual'!M96,0))+parametros_manuales!$G$34*('Plan mensual'!M93+IF(parametros_manuales!$H$34="Todos",'Plan mensual'!M97,0)))*parametros_manuales!$I$34*parametros_manuales!$J$34</f>
        <v>18448.2</v>
      </c>
      <c r="L233" s="4">
        <f>(parametros_manuales!$D$34*('Plan mensual'!N90+IF(parametros_manuales!$H$34="Todos",'Plan mensual'!N94,0))+parametros_manuales!$E$34*('Plan mensual'!N91+IF(parametros_manuales!$H$34="Todos",'Plan mensual'!N95,0))+parametros_manuales!$F$34*('Plan mensual'!N92+IF(parametros_manuales!$H$34="Todos",'Plan mensual'!N96,0))+parametros_manuales!$G$34*('Plan mensual'!N93+IF(parametros_manuales!$H$34="Todos",'Plan mensual'!N97,0)))*parametros_manuales!$I$34*parametros_manuales!$J$34</f>
        <v>18095.285</v>
      </c>
      <c r="M233" s="4">
        <f>(parametros_manuales!$D$34*('Plan mensual'!O90+IF(parametros_manuales!$H$34="Todos",'Plan mensual'!O94,0))+parametros_manuales!$E$34*('Plan mensual'!O91+IF(parametros_manuales!$H$34="Todos",'Plan mensual'!O95,0))+parametros_manuales!$F$34*('Plan mensual'!O92+IF(parametros_manuales!$H$34="Todos",'Plan mensual'!O96,0))+parametros_manuales!$G$34*('Plan mensual'!O93+IF(parametros_manuales!$H$34="Todos",'Plan mensual'!O97,0)))*parametros_manuales!$I$34*parametros_manuales!$J$34</f>
        <v>28811.29</v>
      </c>
      <c r="N233" s="4">
        <f t="shared" si="25"/>
        <v>245976</v>
      </c>
      <c r="O233" s="4">
        <f t="shared" si="26"/>
        <v>28811.29</v>
      </c>
      <c r="P233" s="27">
        <f>O233/(parametros_manuales!$B$7)</f>
        <v>192.0752667</v>
      </c>
      <c r="Q233" s="3" t="str">
        <f t="shared" si="27"/>
        <v>Dic</v>
      </c>
    </row>
    <row r="234" ht="14.25" customHeight="1">
      <c r="A234" s="3" t="str">
        <f>parametros_manuales!$B$35</f>
        <v>Detección de defectos</v>
      </c>
      <c r="B234" s="4">
        <f>(parametros_manuales!$D$35*('Plan mensual'!D90+IF(parametros_manuales!$H$35="Todos",'Plan mensual'!D94,0))+parametros_manuales!$E$35*('Plan mensual'!D91+IF(parametros_manuales!$H$35="Todos",'Plan mensual'!D95,0))+parametros_manuales!$F$35*('Plan mensual'!D92+IF(parametros_manuales!$H$35="Todos",'Plan mensual'!D96,0))+parametros_manuales!$G$35*('Plan mensual'!D93+IF(parametros_manuales!$H$35="Todos",'Plan mensual'!D97,0)))*parametros_manuales!$I$35*parametros_manuales!$J$35</f>
        <v>28105.46</v>
      </c>
      <c r="C234" s="4">
        <f>(parametros_manuales!$D$35*('Plan mensual'!E90+IF(parametros_manuales!$H$35="Todos",'Plan mensual'!E94,0))+parametros_manuales!$E$35*('Plan mensual'!E91+IF(parametros_manuales!$H$35="Todos",'Plan mensual'!E95,0))+parametros_manuales!$F$35*('Plan mensual'!E92+IF(parametros_manuales!$H$35="Todos",'Plan mensual'!E96,0))+parametros_manuales!$G$35*('Plan mensual'!E93+IF(parametros_manuales!$H$35="Todos",'Plan mensual'!E97,0)))*parametros_manuales!$I$35*parametros_manuales!$J$35</f>
        <v>21432.01</v>
      </c>
      <c r="D234" s="4">
        <f>(parametros_manuales!$D$35*('Plan mensual'!F90+IF(parametros_manuales!$H$35="Todos",'Plan mensual'!F94,0))+parametros_manuales!$E$35*('Plan mensual'!F91+IF(parametros_manuales!$H$35="Todos",'Plan mensual'!F95,0))+parametros_manuales!$F$35*('Plan mensual'!F92+IF(parametros_manuales!$H$35="Todos",'Plan mensual'!F96,0))+parametros_manuales!$G$35*('Plan mensual'!F93+IF(parametros_manuales!$H$35="Todos",'Plan mensual'!F97,0)))*parametros_manuales!$I$35*parametros_manuales!$J$35</f>
        <v>20030.995</v>
      </c>
      <c r="E234" s="4">
        <f>(parametros_manuales!$D$35*('Plan mensual'!G90+IF(parametros_manuales!$H$35="Todos",'Plan mensual'!G94,0))+parametros_manuales!$E$35*('Plan mensual'!G91+IF(parametros_manuales!$H$35="Todos",'Plan mensual'!G95,0))+parametros_manuales!$F$35*('Plan mensual'!G92+IF(parametros_manuales!$H$35="Todos",'Plan mensual'!G96,0))+parametros_manuales!$G$35*('Plan mensual'!G93+IF(parametros_manuales!$H$35="Todos",'Plan mensual'!G97,0)))*parametros_manuales!$I$35*parametros_manuales!$J$35</f>
        <v>19154.03</v>
      </c>
      <c r="F234" s="4">
        <f>(parametros_manuales!$D$35*('Plan mensual'!H90+IF(parametros_manuales!$H$35="Todos",'Plan mensual'!H94,0))+parametros_manuales!$E$35*('Plan mensual'!H91+IF(parametros_manuales!$H$35="Todos",'Plan mensual'!H95,0))+parametros_manuales!$F$35*('Plan mensual'!H92+IF(parametros_manuales!$H$35="Todos",'Plan mensual'!H96,0))+parametros_manuales!$G$35*('Plan mensual'!H93+IF(parametros_manuales!$H$35="Todos",'Plan mensual'!H97,0)))*parametros_manuales!$I$35*parametros_manuales!$J$35</f>
        <v>17924.15</v>
      </c>
      <c r="G234" s="4">
        <f>(parametros_manuales!$D$35*('Plan mensual'!I90+IF(parametros_manuales!$H$35="Todos",'Plan mensual'!I94,0))+parametros_manuales!$E$35*('Plan mensual'!I91+IF(parametros_manuales!$H$35="Todos",'Plan mensual'!I95,0))+parametros_manuales!$F$35*('Plan mensual'!I92+IF(parametros_manuales!$H$35="Todos",'Plan mensual'!I96,0))+parametros_manuales!$G$35*('Plan mensual'!I93+IF(parametros_manuales!$H$35="Todos",'Plan mensual'!I97,0)))*parametros_manuales!$I$35*parametros_manuales!$J$35</f>
        <v>17571.235</v>
      </c>
      <c r="H234" s="4">
        <f>(parametros_manuales!$D$35*('Plan mensual'!J90+IF(parametros_manuales!$H$35="Todos",'Plan mensual'!J94,0))+parametros_manuales!$E$35*('Plan mensual'!J91+IF(parametros_manuales!$H$35="Todos",'Plan mensual'!J95,0))+parametros_manuales!$F$35*('Plan mensual'!J92+IF(parametros_manuales!$H$35="Todos",'Plan mensual'!J96,0))+parametros_manuales!$G$35*('Plan mensual'!J93+IF(parametros_manuales!$H$35="Todos",'Plan mensual'!J97,0)))*parametros_manuales!$I$35*parametros_manuales!$J$35</f>
        <v>18801.115</v>
      </c>
      <c r="I234" s="4">
        <f>(parametros_manuales!$D$35*('Plan mensual'!K90+IF(parametros_manuales!$H$35="Todos",'Plan mensual'!K94,0))+parametros_manuales!$E$35*('Plan mensual'!K91+IF(parametros_manuales!$H$35="Todos",'Plan mensual'!K95,0))+parametros_manuales!$F$35*('Plan mensual'!K92+IF(parametros_manuales!$H$35="Todos",'Plan mensual'!K96,0))+parametros_manuales!$G$35*('Plan mensual'!K93+IF(parametros_manuales!$H$35="Todos",'Plan mensual'!K97,0)))*parametros_manuales!$I$35*parametros_manuales!$J$35</f>
        <v>18801.115</v>
      </c>
      <c r="J234" s="4">
        <f>(parametros_manuales!$D$35*('Plan mensual'!L90+IF(parametros_manuales!$H$35="Todos",'Plan mensual'!L94,0))+parametros_manuales!$E$35*('Plan mensual'!L91+IF(parametros_manuales!$H$35="Todos",'Plan mensual'!L95,0))+parametros_manuales!$F$35*('Plan mensual'!L92+IF(parametros_manuales!$H$35="Todos",'Plan mensual'!L96,0))+parametros_manuales!$G$35*('Plan mensual'!L93+IF(parametros_manuales!$H$35="Todos",'Plan mensual'!L97,0)))*parametros_manuales!$I$35*parametros_manuales!$J$35</f>
        <v>18801.115</v>
      </c>
      <c r="K234" s="4">
        <f>(parametros_manuales!$D$35*('Plan mensual'!M90+IF(parametros_manuales!$H$35="Todos",'Plan mensual'!M94,0))+parametros_manuales!$E$35*('Plan mensual'!M91+IF(parametros_manuales!$H$35="Todos",'Plan mensual'!M95,0))+parametros_manuales!$F$35*('Plan mensual'!M92+IF(parametros_manuales!$H$35="Todos",'Plan mensual'!M96,0))+parametros_manuales!$G$35*('Plan mensual'!M93+IF(parametros_manuales!$H$35="Todos",'Plan mensual'!M97,0)))*parametros_manuales!$I$35*parametros_manuales!$J$35</f>
        <v>18448.2</v>
      </c>
      <c r="L234" s="4">
        <f>(parametros_manuales!$D$35*('Plan mensual'!N90+IF(parametros_manuales!$H$35="Todos",'Plan mensual'!N94,0))+parametros_manuales!$E$35*('Plan mensual'!N91+IF(parametros_manuales!$H$35="Todos",'Plan mensual'!N95,0))+parametros_manuales!$F$35*('Plan mensual'!N92+IF(parametros_manuales!$H$35="Todos",'Plan mensual'!N96,0))+parametros_manuales!$G$35*('Plan mensual'!N93+IF(parametros_manuales!$H$35="Todos",'Plan mensual'!N97,0)))*parametros_manuales!$I$35*parametros_manuales!$J$35</f>
        <v>18095.285</v>
      </c>
      <c r="M234" s="4">
        <f>(parametros_manuales!$D$35*('Plan mensual'!O90+IF(parametros_manuales!$H$35="Todos",'Plan mensual'!O94,0))+parametros_manuales!$E$35*('Plan mensual'!O91+IF(parametros_manuales!$H$35="Todos",'Plan mensual'!O95,0))+parametros_manuales!$F$35*('Plan mensual'!O92+IF(parametros_manuales!$H$35="Todos",'Plan mensual'!O96,0))+parametros_manuales!$G$35*('Plan mensual'!O93+IF(parametros_manuales!$H$35="Todos",'Plan mensual'!O97,0)))*parametros_manuales!$I$35*parametros_manuales!$J$35</f>
        <v>28811.29</v>
      </c>
      <c r="N234" s="4">
        <f t="shared" si="25"/>
        <v>245976</v>
      </c>
      <c r="O234" s="4">
        <f t="shared" si="26"/>
        <v>28811.29</v>
      </c>
      <c r="P234" s="27">
        <f>O234/(parametros_manuales!$B$7)</f>
        <v>192.0752667</v>
      </c>
      <c r="Q234" s="3" t="str">
        <f t="shared" si="27"/>
        <v>Dic</v>
      </c>
    </row>
    <row r="235" ht="14.25" customHeight="1">
      <c r="A235" s="3" t="str">
        <f>parametros_manuales!$B$36</f>
        <v>Corrección de defectos</v>
      </c>
      <c r="B235" s="4">
        <f>(parametros_manuales!$D$36*('Plan mensual'!D90+IF(parametros_manuales!$H$36="Todos",'Plan mensual'!D94,0))+parametros_manuales!$E$36*('Plan mensual'!D91+IF(parametros_manuales!$H$36="Todos",'Plan mensual'!D95,0))+parametros_manuales!$F$36*('Plan mensual'!D92+IF(parametros_manuales!$H$36="Todos",'Plan mensual'!D96,0))+parametros_manuales!$G$36*('Plan mensual'!D93+IF(parametros_manuales!$H$36="Todos",'Plan mensual'!D97,0)))*parametros_manuales!$I$36*parametros_manuales!$J$36</f>
        <v>1405.273</v>
      </c>
      <c r="C235" s="4">
        <f>(parametros_manuales!$D$36*('Plan mensual'!E90+IF(parametros_manuales!$H$36="Todos",'Plan mensual'!E94,0))+parametros_manuales!$E$36*('Plan mensual'!E91+IF(parametros_manuales!$H$36="Todos",'Plan mensual'!E95,0))+parametros_manuales!$F$36*('Plan mensual'!E92+IF(parametros_manuales!$H$36="Todos",'Plan mensual'!E96,0))+parametros_manuales!$G$36*('Plan mensual'!E93+IF(parametros_manuales!$H$36="Todos",'Plan mensual'!E97,0)))*parametros_manuales!$I$36*parametros_manuales!$J$36</f>
        <v>1071.6005</v>
      </c>
      <c r="D235" s="4">
        <f>(parametros_manuales!$D$36*('Plan mensual'!F90+IF(parametros_manuales!$H$36="Todos",'Plan mensual'!F94,0))+parametros_manuales!$E$36*('Plan mensual'!F91+IF(parametros_manuales!$H$36="Todos",'Plan mensual'!F95,0))+parametros_manuales!$F$36*('Plan mensual'!F92+IF(parametros_manuales!$H$36="Todos",'Plan mensual'!F96,0))+parametros_manuales!$G$36*('Plan mensual'!F93+IF(parametros_manuales!$H$36="Todos",'Plan mensual'!F97,0)))*parametros_manuales!$I$36*parametros_manuales!$J$36</f>
        <v>1001.54975</v>
      </c>
      <c r="E235" s="4">
        <f>(parametros_manuales!$D$36*('Plan mensual'!G90+IF(parametros_manuales!$H$36="Todos",'Plan mensual'!G94,0))+parametros_manuales!$E$36*('Plan mensual'!G91+IF(parametros_manuales!$H$36="Todos",'Plan mensual'!G95,0))+parametros_manuales!$F$36*('Plan mensual'!G92+IF(parametros_manuales!$H$36="Todos",'Plan mensual'!G96,0))+parametros_manuales!$G$36*('Plan mensual'!G93+IF(parametros_manuales!$H$36="Todos",'Plan mensual'!G97,0)))*parametros_manuales!$I$36*parametros_manuales!$J$36</f>
        <v>957.7015</v>
      </c>
      <c r="F235" s="4">
        <f>(parametros_manuales!$D$36*('Plan mensual'!H90+IF(parametros_manuales!$H$36="Todos",'Plan mensual'!H94,0))+parametros_manuales!$E$36*('Plan mensual'!H91+IF(parametros_manuales!$H$36="Todos",'Plan mensual'!H95,0))+parametros_manuales!$F$36*('Plan mensual'!H92+IF(parametros_manuales!$H$36="Todos",'Plan mensual'!H96,0))+parametros_manuales!$G$36*('Plan mensual'!H93+IF(parametros_manuales!$H$36="Todos",'Plan mensual'!H97,0)))*parametros_manuales!$I$36*parametros_manuales!$J$36</f>
        <v>896.2075</v>
      </c>
      <c r="G235" s="4">
        <f>(parametros_manuales!$D$36*('Plan mensual'!I90+IF(parametros_manuales!$H$36="Todos",'Plan mensual'!I94,0))+parametros_manuales!$E$36*('Plan mensual'!I91+IF(parametros_manuales!$H$36="Todos",'Plan mensual'!I95,0))+parametros_manuales!$F$36*('Plan mensual'!I92+IF(parametros_manuales!$H$36="Todos",'Plan mensual'!I96,0))+parametros_manuales!$G$36*('Plan mensual'!I93+IF(parametros_manuales!$H$36="Todos",'Plan mensual'!I97,0)))*parametros_manuales!$I$36*parametros_manuales!$J$36</f>
        <v>878.56175</v>
      </c>
      <c r="H235" s="4">
        <f>(parametros_manuales!$D$36*('Plan mensual'!J90+IF(parametros_manuales!$H$36="Todos",'Plan mensual'!J94,0))+parametros_manuales!$E$36*('Plan mensual'!J91+IF(parametros_manuales!$H$36="Todos",'Plan mensual'!J95,0))+parametros_manuales!$F$36*('Plan mensual'!J92+IF(parametros_manuales!$H$36="Todos",'Plan mensual'!J96,0))+parametros_manuales!$G$36*('Plan mensual'!J93+IF(parametros_manuales!$H$36="Todos",'Plan mensual'!J97,0)))*parametros_manuales!$I$36*parametros_manuales!$J$36</f>
        <v>940.05575</v>
      </c>
      <c r="I235" s="4">
        <f>(parametros_manuales!$D$36*('Plan mensual'!K90+IF(parametros_manuales!$H$36="Todos",'Plan mensual'!K94,0))+parametros_manuales!$E$36*('Plan mensual'!K91+IF(parametros_manuales!$H$36="Todos",'Plan mensual'!K95,0))+parametros_manuales!$F$36*('Plan mensual'!K92+IF(parametros_manuales!$H$36="Todos",'Plan mensual'!K96,0))+parametros_manuales!$G$36*('Plan mensual'!K93+IF(parametros_manuales!$H$36="Todos",'Plan mensual'!K97,0)))*parametros_manuales!$I$36*parametros_manuales!$J$36</f>
        <v>940.05575</v>
      </c>
      <c r="J235" s="4">
        <f>(parametros_manuales!$D$36*('Plan mensual'!L90+IF(parametros_manuales!$H$36="Todos",'Plan mensual'!L94,0))+parametros_manuales!$E$36*('Plan mensual'!L91+IF(parametros_manuales!$H$36="Todos",'Plan mensual'!L95,0))+parametros_manuales!$F$36*('Plan mensual'!L92+IF(parametros_manuales!$H$36="Todos",'Plan mensual'!L96,0))+parametros_manuales!$G$36*('Plan mensual'!L93+IF(parametros_manuales!$H$36="Todos",'Plan mensual'!L97,0)))*parametros_manuales!$I$36*parametros_manuales!$J$36</f>
        <v>940.05575</v>
      </c>
      <c r="K235" s="4">
        <f>(parametros_manuales!$D$36*('Plan mensual'!M90+IF(parametros_manuales!$H$36="Todos",'Plan mensual'!M94,0))+parametros_manuales!$E$36*('Plan mensual'!M91+IF(parametros_manuales!$H$36="Todos",'Plan mensual'!M95,0))+parametros_manuales!$F$36*('Plan mensual'!M92+IF(parametros_manuales!$H$36="Todos",'Plan mensual'!M96,0))+parametros_manuales!$G$36*('Plan mensual'!M93+IF(parametros_manuales!$H$36="Todos",'Plan mensual'!M97,0)))*parametros_manuales!$I$36*parametros_manuales!$J$36</f>
        <v>922.41</v>
      </c>
      <c r="L235" s="4">
        <f>(parametros_manuales!$D$36*('Plan mensual'!N90+IF(parametros_manuales!$H$36="Todos",'Plan mensual'!N94,0))+parametros_manuales!$E$36*('Plan mensual'!N91+IF(parametros_manuales!$H$36="Todos",'Plan mensual'!N95,0))+parametros_manuales!$F$36*('Plan mensual'!N92+IF(parametros_manuales!$H$36="Todos",'Plan mensual'!N96,0))+parametros_manuales!$G$36*('Plan mensual'!N93+IF(parametros_manuales!$H$36="Todos",'Plan mensual'!N97,0)))*parametros_manuales!$I$36*parametros_manuales!$J$36</f>
        <v>904.76425</v>
      </c>
      <c r="M235" s="4">
        <f>(parametros_manuales!$D$36*('Plan mensual'!O90+IF(parametros_manuales!$H$36="Todos",'Plan mensual'!O94,0))+parametros_manuales!$E$36*('Plan mensual'!O91+IF(parametros_manuales!$H$36="Todos",'Plan mensual'!O95,0))+parametros_manuales!$F$36*('Plan mensual'!O92+IF(parametros_manuales!$H$36="Todos",'Plan mensual'!O96,0))+parametros_manuales!$G$36*('Plan mensual'!O93+IF(parametros_manuales!$H$36="Todos",'Plan mensual'!O97,0)))*parametros_manuales!$I$36*parametros_manuales!$J$36</f>
        <v>1440.5645</v>
      </c>
      <c r="N235" s="4">
        <f t="shared" si="25"/>
        <v>12298.8</v>
      </c>
      <c r="O235" s="4">
        <f t="shared" si="26"/>
        <v>1440.5645</v>
      </c>
      <c r="P235" s="27">
        <f>O235/(parametros_manuales!$B$7)</f>
        <v>9.603763333</v>
      </c>
      <c r="Q235" s="3" t="str">
        <f t="shared" si="27"/>
        <v>Dic</v>
      </c>
    </row>
    <row r="236" ht="14.25" customHeight="1">
      <c r="A236" s="3" t="str">
        <f>parametros_manuales!$B$37</f>
        <v>Pintura en polvo + horno</v>
      </c>
      <c r="B236" s="4">
        <f>(parametros_manuales!$D$37*('Plan mensual'!D90+IF(parametros_manuales!$H$37="Todos",'Plan mensual'!D94,0))+parametros_manuales!$E$37*('Plan mensual'!D91+IF(parametros_manuales!$H$37="Todos",'Plan mensual'!D95,0))+parametros_manuales!$F$37*('Plan mensual'!D92+IF(parametros_manuales!$H$37="Todos",'Plan mensual'!D96,0))+parametros_manuales!$G$37*('Plan mensual'!D93+IF(parametros_manuales!$H$37="Todos",'Plan mensual'!D97,0)))*parametros_manuales!$I$37*parametros_manuales!$J$37</f>
        <v>28105.46</v>
      </c>
      <c r="C236" s="4">
        <f>(parametros_manuales!$D$37*('Plan mensual'!E90+IF(parametros_manuales!$H$37="Todos",'Plan mensual'!E94,0))+parametros_manuales!$E$37*('Plan mensual'!E91+IF(parametros_manuales!$H$37="Todos",'Plan mensual'!E95,0))+parametros_manuales!$F$37*('Plan mensual'!E92+IF(parametros_manuales!$H$37="Todos",'Plan mensual'!E96,0))+parametros_manuales!$G$37*('Plan mensual'!E93+IF(parametros_manuales!$H$37="Todos",'Plan mensual'!E97,0)))*parametros_manuales!$I$37*parametros_manuales!$J$37</f>
        <v>21432.01</v>
      </c>
      <c r="D236" s="4">
        <f>(parametros_manuales!$D$37*('Plan mensual'!F90+IF(parametros_manuales!$H$37="Todos",'Plan mensual'!F94,0))+parametros_manuales!$E$37*('Plan mensual'!F91+IF(parametros_manuales!$H$37="Todos",'Plan mensual'!F95,0))+parametros_manuales!$F$37*('Plan mensual'!F92+IF(parametros_manuales!$H$37="Todos",'Plan mensual'!F96,0))+parametros_manuales!$G$37*('Plan mensual'!F93+IF(parametros_manuales!$H$37="Todos",'Plan mensual'!F97,0)))*parametros_manuales!$I$37*parametros_manuales!$J$37</f>
        <v>20030.995</v>
      </c>
      <c r="E236" s="4">
        <f>(parametros_manuales!$D$37*('Plan mensual'!G90+IF(parametros_manuales!$H$37="Todos",'Plan mensual'!G94,0))+parametros_manuales!$E$37*('Plan mensual'!G91+IF(parametros_manuales!$H$37="Todos",'Plan mensual'!G95,0))+parametros_manuales!$F$37*('Plan mensual'!G92+IF(parametros_manuales!$H$37="Todos",'Plan mensual'!G96,0))+parametros_manuales!$G$37*('Plan mensual'!G93+IF(parametros_manuales!$H$37="Todos",'Plan mensual'!G97,0)))*parametros_manuales!$I$37*parametros_manuales!$J$37</f>
        <v>19154.03</v>
      </c>
      <c r="F236" s="4">
        <f>(parametros_manuales!$D$37*('Plan mensual'!H90+IF(parametros_manuales!$H$37="Todos",'Plan mensual'!H94,0))+parametros_manuales!$E$37*('Plan mensual'!H91+IF(parametros_manuales!$H$37="Todos",'Plan mensual'!H95,0))+parametros_manuales!$F$37*('Plan mensual'!H92+IF(parametros_manuales!$H$37="Todos",'Plan mensual'!H96,0))+parametros_manuales!$G$37*('Plan mensual'!H93+IF(parametros_manuales!$H$37="Todos",'Plan mensual'!H97,0)))*parametros_manuales!$I$37*parametros_manuales!$J$37</f>
        <v>17924.15</v>
      </c>
      <c r="G236" s="4">
        <f>(parametros_manuales!$D$37*('Plan mensual'!I90+IF(parametros_manuales!$H$37="Todos",'Plan mensual'!I94,0))+parametros_manuales!$E$37*('Plan mensual'!I91+IF(parametros_manuales!$H$37="Todos",'Plan mensual'!I95,0))+parametros_manuales!$F$37*('Plan mensual'!I92+IF(parametros_manuales!$H$37="Todos",'Plan mensual'!I96,0))+parametros_manuales!$G$37*('Plan mensual'!I93+IF(parametros_manuales!$H$37="Todos",'Plan mensual'!I97,0)))*parametros_manuales!$I$37*parametros_manuales!$J$37</f>
        <v>17571.235</v>
      </c>
      <c r="H236" s="4">
        <f>(parametros_manuales!$D$37*('Plan mensual'!J90+IF(parametros_manuales!$H$37="Todos",'Plan mensual'!J94,0))+parametros_manuales!$E$37*('Plan mensual'!J91+IF(parametros_manuales!$H$37="Todos",'Plan mensual'!J95,0))+parametros_manuales!$F$37*('Plan mensual'!J92+IF(parametros_manuales!$H$37="Todos",'Plan mensual'!J96,0))+parametros_manuales!$G$37*('Plan mensual'!J93+IF(parametros_manuales!$H$37="Todos",'Plan mensual'!J97,0)))*parametros_manuales!$I$37*parametros_manuales!$J$37</f>
        <v>18801.115</v>
      </c>
      <c r="I236" s="4">
        <f>(parametros_manuales!$D$37*('Plan mensual'!K90+IF(parametros_manuales!$H$37="Todos",'Plan mensual'!K94,0))+parametros_manuales!$E$37*('Plan mensual'!K91+IF(parametros_manuales!$H$37="Todos",'Plan mensual'!K95,0))+parametros_manuales!$F$37*('Plan mensual'!K92+IF(parametros_manuales!$H$37="Todos",'Plan mensual'!K96,0))+parametros_manuales!$G$37*('Plan mensual'!K93+IF(parametros_manuales!$H$37="Todos",'Plan mensual'!K97,0)))*parametros_manuales!$I$37*parametros_manuales!$J$37</f>
        <v>18801.115</v>
      </c>
      <c r="J236" s="4">
        <f>(parametros_manuales!$D$37*('Plan mensual'!L90+IF(parametros_manuales!$H$37="Todos",'Plan mensual'!L94,0))+parametros_manuales!$E$37*('Plan mensual'!L91+IF(parametros_manuales!$H$37="Todos",'Plan mensual'!L95,0))+parametros_manuales!$F$37*('Plan mensual'!L92+IF(parametros_manuales!$H$37="Todos",'Plan mensual'!L96,0))+parametros_manuales!$G$37*('Plan mensual'!L93+IF(parametros_manuales!$H$37="Todos",'Plan mensual'!L97,0)))*parametros_manuales!$I$37*parametros_manuales!$J$37</f>
        <v>18801.115</v>
      </c>
      <c r="K236" s="4">
        <f>(parametros_manuales!$D$37*('Plan mensual'!M90+IF(parametros_manuales!$H$37="Todos",'Plan mensual'!M94,0))+parametros_manuales!$E$37*('Plan mensual'!M91+IF(parametros_manuales!$H$37="Todos",'Plan mensual'!M95,0))+parametros_manuales!$F$37*('Plan mensual'!M92+IF(parametros_manuales!$H$37="Todos",'Plan mensual'!M96,0))+parametros_manuales!$G$37*('Plan mensual'!M93+IF(parametros_manuales!$H$37="Todos",'Plan mensual'!M97,0)))*parametros_manuales!$I$37*parametros_manuales!$J$37</f>
        <v>18448.2</v>
      </c>
      <c r="L236" s="4">
        <f>(parametros_manuales!$D$37*('Plan mensual'!N90+IF(parametros_manuales!$H$37="Todos",'Plan mensual'!N94,0))+parametros_manuales!$E$37*('Plan mensual'!N91+IF(parametros_manuales!$H$37="Todos",'Plan mensual'!N95,0))+parametros_manuales!$F$37*('Plan mensual'!N92+IF(parametros_manuales!$H$37="Todos",'Plan mensual'!N96,0))+parametros_manuales!$G$37*('Plan mensual'!N93+IF(parametros_manuales!$H$37="Todos",'Plan mensual'!N97,0)))*parametros_manuales!$I$37*parametros_manuales!$J$37</f>
        <v>18095.285</v>
      </c>
      <c r="M236" s="4">
        <f>(parametros_manuales!$D$37*('Plan mensual'!O90+IF(parametros_manuales!$H$37="Todos",'Plan mensual'!O94,0))+parametros_manuales!$E$37*('Plan mensual'!O91+IF(parametros_manuales!$H$37="Todos",'Plan mensual'!O95,0))+parametros_manuales!$F$37*('Plan mensual'!O92+IF(parametros_manuales!$H$37="Todos",'Plan mensual'!O96,0))+parametros_manuales!$G$37*('Plan mensual'!O93+IF(parametros_manuales!$H$37="Todos",'Plan mensual'!O97,0)))*parametros_manuales!$I$37*parametros_manuales!$J$37</f>
        <v>28811.29</v>
      </c>
      <c r="N236" s="4">
        <f t="shared" si="25"/>
        <v>245976</v>
      </c>
      <c r="O236" s="4">
        <f t="shared" si="26"/>
        <v>28811.29</v>
      </c>
      <c r="P236" s="27">
        <f>O236/(parametros_manuales!$B$7)</f>
        <v>192.0752667</v>
      </c>
      <c r="Q236" s="3" t="str">
        <f t="shared" si="27"/>
        <v>Dic</v>
      </c>
    </row>
    <row r="237" ht="14.25" customHeight="1">
      <c r="A237" s="3" t="str">
        <f>parametros_manuales!$B$38</f>
        <v>Carga de polvo</v>
      </c>
      <c r="B237" s="4">
        <f>(parametros_manuales!$D$38*('Plan mensual'!D90+IF(parametros_manuales!$H$38="Todos",'Plan mensual'!D94,0))+parametros_manuales!$E$38*('Plan mensual'!D91+IF(parametros_manuales!$H$38="Todos",'Plan mensual'!D95,0))+parametros_manuales!$F$38*('Plan mensual'!D92+IF(parametros_manuales!$H$38="Todos",'Plan mensual'!D96,0))+parametros_manuales!$G$38*('Plan mensual'!D93+IF(parametros_manuales!$H$38="Todos",'Plan mensual'!D97,0)))*parametros_manuales!$I$38*parametros_manuales!$J$38</f>
        <v>6906.26</v>
      </c>
      <c r="C237" s="4">
        <f>(parametros_manuales!$D$38*('Plan mensual'!E90+IF(parametros_manuales!$H$38="Todos",'Plan mensual'!E94,0))+parametros_manuales!$E$38*('Plan mensual'!E91+IF(parametros_manuales!$H$38="Todos",'Plan mensual'!E95,0))+parametros_manuales!$F$38*('Plan mensual'!E92+IF(parametros_manuales!$H$38="Todos",'Plan mensual'!E96,0))+parametros_manuales!$G$38*('Plan mensual'!E93+IF(parametros_manuales!$H$38="Todos",'Plan mensual'!E97,0)))*parametros_manuales!$I$38*parametros_manuales!$J$38</f>
        <v>5353.57</v>
      </c>
      <c r="D237" s="4">
        <f>(parametros_manuales!$D$38*('Plan mensual'!F90+IF(parametros_manuales!$H$38="Todos",'Plan mensual'!F94,0))+parametros_manuales!$E$38*('Plan mensual'!F91+IF(parametros_manuales!$H$38="Todos",'Plan mensual'!F95,0))+parametros_manuales!$F$38*('Plan mensual'!F92+IF(parametros_manuales!$H$38="Todos",'Plan mensual'!F96,0))+parametros_manuales!$G$38*('Plan mensual'!F93+IF(parametros_manuales!$H$38="Todos",'Plan mensual'!F97,0)))*parametros_manuales!$I$38*parametros_manuales!$J$38</f>
        <v>5241.715</v>
      </c>
      <c r="E237" s="4">
        <f>(parametros_manuales!$D$38*('Plan mensual'!G90+IF(parametros_manuales!$H$38="Todos",'Plan mensual'!G94,0))+parametros_manuales!$E$38*('Plan mensual'!G91+IF(parametros_manuales!$H$38="Todos",'Plan mensual'!G95,0))+parametros_manuales!$F$38*('Plan mensual'!G92+IF(parametros_manuales!$H$38="Todos",'Plan mensual'!G96,0))+parametros_manuales!$G$38*('Plan mensual'!G93+IF(parametros_manuales!$H$38="Todos",'Plan mensual'!G97,0)))*parametros_manuales!$I$38*parametros_manuales!$J$38</f>
        <v>5098.85</v>
      </c>
      <c r="F237" s="4">
        <f>(parametros_manuales!$D$38*('Plan mensual'!H90+IF(parametros_manuales!$H$38="Todos",'Plan mensual'!H94,0))+parametros_manuales!$E$38*('Plan mensual'!H91+IF(parametros_manuales!$H$38="Todos",'Plan mensual'!H95,0))+parametros_manuales!$F$38*('Plan mensual'!H92+IF(parametros_manuales!$H$38="Todos",'Plan mensual'!H96,0))+parametros_manuales!$G$38*('Plan mensual'!H93+IF(parametros_manuales!$H$38="Todos",'Plan mensual'!H97,0)))*parametros_manuales!$I$38*parametros_manuales!$J$38</f>
        <v>4782.11</v>
      </c>
      <c r="G237" s="4">
        <f>(parametros_manuales!$D$38*('Plan mensual'!I90+IF(parametros_manuales!$H$38="Todos",'Plan mensual'!I94,0))+parametros_manuales!$E$38*('Plan mensual'!I91+IF(parametros_manuales!$H$38="Todos",'Plan mensual'!I95,0))+parametros_manuales!$F$38*('Plan mensual'!I92+IF(parametros_manuales!$H$38="Todos",'Plan mensual'!I96,0))+parametros_manuales!$G$38*('Plan mensual'!I93+IF(parametros_manuales!$H$38="Todos",'Plan mensual'!I97,0)))*parametros_manuales!$I$38*parametros_manuales!$J$38</f>
        <v>4608.235</v>
      </c>
      <c r="H237" s="4">
        <f>(parametros_manuales!$D$38*('Plan mensual'!J90+IF(parametros_manuales!$H$38="Todos",'Plan mensual'!J94,0))+parametros_manuales!$E$38*('Plan mensual'!J91+IF(parametros_manuales!$H$38="Todos",'Plan mensual'!J95,0))+parametros_manuales!$F$38*('Plan mensual'!J92+IF(parametros_manuales!$H$38="Todos",'Plan mensual'!J96,0))+parametros_manuales!$G$38*('Plan mensual'!J93+IF(parametros_manuales!$H$38="Todos",'Plan mensual'!J97,0)))*parametros_manuales!$I$38*parametros_manuales!$J$38</f>
        <v>4924.975</v>
      </c>
      <c r="I237" s="4">
        <f>(parametros_manuales!$D$38*('Plan mensual'!K90+IF(parametros_manuales!$H$38="Todos",'Plan mensual'!K94,0))+parametros_manuales!$E$38*('Plan mensual'!K91+IF(parametros_manuales!$H$38="Todos",'Plan mensual'!K95,0))+parametros_manuales!$F$38*('Plan mensual'!K92+IF(parametros_manuales!$H$38="Todos",'Plan mensual'!K96,0))+parametros_manuales!$G$38*('Plan mensual'!K93+IF(parametros_manuales!$H$38="Todos",'Plan mensual'!K97,0)))*parametros_manuales!$I$38*parametros_manuales!$J$38</f>
        <v>4924.975</v>
      </c>
      <c r="J237" s="4">
        <f>(parametros_manuales!$D$38*('Plan mensual'!L90+IF(parametros_manuales!$H$38="Todos",'Plan mensual'!L94,0))+parametros_manuales!$E$38*('Plan mensual'!L91+IF(parametros_manuales!$H$38="Todos",'Plan mensual'!L95,0))+parametros_manuales!$F$38*('Plan mensual'!L92+IF(parametros_manuales!$H$38="Todos",'Plan mensual'!L96,0))+parametros_manuales!$G$38*('Plan mensual'!L93+IF(parametros_manuales!$H$38="Todos",'Plan mensual'!L97,0)))*parametros_manuales!$I$38*parametros_manuales!$J$38</f>
        <v>4924.975</v>
      </c>
      <c r="K237" s="4">
        <f>(parametros_manuales!$D$38*('Plan mensual'!M90+IF(parametros_manuales!$H$38="Todos",'Plan mensual'!M94,0))+parametros_manuales!$E$38*('Plan mensual'!M91+IF(parametros_manuales!$H$38="Todos",'Plan mensual'!M95,0))+parametros_manuales!$F$38*('Plan mensual'!M92+IF(parametros_manuales!$H$38="Todos",'Plan mensual'!M96,0))+parametros_manuales!$G$38*('Plan mensual'!M93+IF(parametros_manuales!$H$38="Todos",'Plan mensual'!M97,0)))*parametros_manuales!$I$38*parametros_manuales!$J$38</f>
        <v>4751.1</v>
      </c>
      <c r="L237" s="4">
        <f>(parametros_manuales!$D$38*('Plan mensual'!N90+IF(parametros_manuales!$H$38="Todos",'Plan mensual'!N94,0))+parametros_manuales!$E$38*('Plan mensual'!N91+IF(parametros_manuales!$H$38="Todos",'Plan mensual'!N95,0))+parametros_manuales!$F$38*('Plan mensual'!N92+IF(parametros_manuales!$H$38="Todos",'Plan mensual'!N96,0))+parametros_manuales!$G$38*('Plan mensual'!N93+IF(parametros_manuales!$H$38="Todos",'Plan mensual'!N97,0)))*parametros_manuales!$I$38*parametros_manuales!$J$38</f>
        <v>4577.225</v>
      </c>
      <c r="M237" s="4">
        <f>(parametros_manuales!$D$38*('Plan mensual'!O90+IF(parametros_manuales!$H$38="Todos",'Plan mensual'!O94,0))+parametros_manuales!$E$38*('Plan mensual'!O91+IF(parametros_manuales!$H$38="Todos",'Plan mensual'!O95,0))+parametros_manuales!$F$38*('Plan mensual'!O92+IF(parametros_manuales!$H$38="Todos",'Plan mensual'!O96,0))+parametros_manuales!$G$38*('Plan mensual'!O93+IF(parametros_manuales!$H$38="Todos",'Plan mensual'!O97,0)))*parametros_manuales!$I$38*parametros_manuales!$J$38</f>
        <v>7254.01</v>
      </c>
      <c r="N237" s="4">
        <f t="shared" si="25"/>
        <v>63348</v>
      </c>
      <c r="O237" s="4">
        <f t="shared" si="26"/>
        <v>7254.01</v>
      </c>
      <c r="P237" s="27">
        <f>O237/(parametros_manuales!$B$7)</f>
        <v>48.36006667</v>
      </c>
      <c r="Q237" s="3" t="str">
        <f t="shared" si="27"/>
        <v>Dic</v>
      </c>
    </row>
    <row r="238" ht="14.25" customHeight="1">
      <c r="A238" s="3" t="str">
        <f>parametros_manuales!$B$39</f>
        <v>Ensamblaje</v>
      </c>
      <c r="B238" s="4">
        <f>(parametros_manuales!$D$39*('Plan mensual'!D90+IF(parametros_manuales!$H$39="Todos",'Plan mensual'!D94,0))+parametros_manuales!$E$39*('Plan mensual'!D91+IF(parametros_manuales!$H$39="Todos",'Plan mensual'!D95,0))+parametros_manuales!$F$39*('Plan mensual'!D92+IF(parametros_manuales!$H$39="Todos",'Plan mensual'!D96,0))+parametros_manuales!$G$39*('Plan mensual'!D93+IF(parametros_manuales!$H$39="Todos",'Plan mensual'!D97,0)))*parametros_manuales!$I$39*parametros_manuales!$J$39</f>
        <v>6906.26</v>
      </c>
      <c r="C238" s="4">
        <f>(parametros_manuales!$D$39*('Plan mensual'!E90+IF(parametros_manuales!$H$39="Todos",'Plan mensual'!E94,0))+parametros_manuales!$E$39*('Plan mensual'!E91+IF(parametros_manuales!$H$39="Todos",'Plan mensual'!E95,0))+parametros_manuales!$F$39*('Plan mensual'!E92+IF(parametros_manuales!$H$39="Todos",'Plan mensual'!E96,0))+parametros_manuales!$G$39*('Plan mensual'!E93+IF(parametros_manuales!$H$39="Todos",'Plan mensual'!E97,0)))*parametros_manuales!$I$39*parametros_manuales!$J$39</f>
        <v>5353.57</v>
      </c>
      <c r="D238" s="4">
        <f>(parametros_manuales!$D$39*('Plan mensual'!F90+IF(parametros_manuales!$H$39="Todos",'Plan mensual'!F94,0))+parametros_manuales!$E$39*('Plan mensual'!F91+IF(parametros_manuales!$H$39="Todos",'Plan mensual'!F95,0))+parametros_manuales!$F$39*('Plan mensual'!F92+IF(parametros_manuales!$H$39="Todos",'Plan mensual'!F96,0))+parametros_manuales!$G$39*('Plan mensual'!F93+IF(parametros_manuales!$H$39="Todos",'Plan mensual'!F97,0)))*parametros_manuales!$I$39*parametros_manuales!$J$39</f>
        <v>5241.715</v>
      </c>
      <c r="E238" s="4">
        <f>(parametros_manuales!$D$39*('Plan mensual'!G90+IF(parametros_manuales!$H$39="Todos",'Plan mensual'!G94,0))+parametros_manuales!$E$39*('Plan mensual'!G91+IF(parametros_manuales!$H$39="Todos",'Plan mensual'!G95,0))+parametros_manuales!$F$39*('Plan mensual'!G92+IF(parametros_manuales!$H$39="Todos",'Plan mensual'!G96,0))+parametros_manuales!$G$39*('Plan mensual'!G93+IF(parametros_manuales!$H$39="Todos",'Plan mensual'!G97,0)))*parametros_manuales!$I$39*parametros_manuales!$J$39</f>
        <v>5098.85</v>
      </c>
      <c r="F238" s="4">
        <f>(parametros_manuales!$D$39*('Plan mensual'!H90+IF(parametros_manuales!$H$39="Todos",'Plan mensual'!H94,0))+parametros_manuales!$E$39*('Plan mensual'!H91+IF(parametros_manuales!$H$39="Todos",'Plan mensual'!H95,0))+parametros_manuales!$F$39*('Plan mensual'!H92+IF(parametros_manuales!$H$39="Todos",'Plan mensual'!H96,0))+parametros_manuales!$G$39*('Plan mensual'!H93+IF(parametros_manuales!$H$39="Todos",'Plan mensual'!H97,0)))*parametros_manuales!$I$39*parametros_manuales!$J$39</f>
        <v>4782.11</v>
      </c>
      <c r="G238" s="4">
        <f>(parametros_manuales!$D$39*('Plan mensual'!I90+IF(parametros_manuales!$H$39="Todos",'Plan mensual'!I94,0))+parametros_manuales!$E$39*('Plan mensual'!I91+IF(parametros_manuales!$H$39="Todos",'Plan mensual'!I95,0))+parametros_manuales!$F$39*('Plan mensual'!I92+IF(parametros_manuales!$H$39="Todos",'Plan mensual'!I96,0))+parametros_manuales!$G$39*('Plan mensual'!I93+IF(parametros_manuales!$H$39="Todos",'Plan mensual'!I97,0)))*parametros_manuales!$I$39*parametros_manuales!$J$39</f>
        <v>4608.235</v>
      </c>
      <c r="H238" s="4">
        <f>(parametros_manuales!$D$39*('Plan mensual'!J90+IF(parametros_manuales!$H$39="Todos",'Plan mensual'!J94,0))+parametros_manuales!$E$39*('Plan mensual'!J91+IF(parametros_manuales!$H$39="Todos",'Plan mensual'!J95,0))+parametros_manuales!$F$39*('Plan mensual'!J92+IF(parametros_manuales!$H$39="Todos",'Plan mensual'!J96,0))+parametros_manuales!$G$39*('Plan mensual'!J93+IF(parametros_manuales!$H$39="Todos",'Plan mensual'!J97,0)))*parametros_manuales!$I$39*parametros_manuales!$J$39</f>
        <v>4924.975</v>
      </c>
      <c r="I238" s="4">
        <f>(parametros_manuales!$D$39*('Plan mensual'!K90+IF(parametros_manuales!$H$39="Todos",'Plan mensual'!K94,0))+parametros_manuales!$E$39*('Plan mensual'!K91+IF(parametros_manuales!$H$39="Todos",'Plan mensual'!K95,0))+parametros_manuales!$F$39*('Plan mensual'!K92+IF(parametros_manuales!$H$39="Todos",'Plan mensual'!K96,0))+parametros_manuales!$G$39*('Plan mensual'!K93+IF(parametros_manuales!$H$39="Todos",'Plan mensual'!K97,0)))*parametros_manuales!$I$39*parametros_manuales!$J$39</f>
        <v>4924.975</v>
      </c>
      <c r="J238" s="4">
        <f>(parametros_manuales!$D$39*('Plan mensual'!L90+IF(parametros_manuales!$H$39="Todos",'Plan mensual'!L94,0))+parametros_manuales!$E$39*('Plan mensual'!L91+IF(parametros_manuales!$H$39="Todos",'Plan mensual'!L95,0))+parametros_manuales!$F$39*('Plan mensual'!L92+IF(parametros_manuales!$H$39="Todos",'Plan mensual'!L96,0))+parametros_manuales!$G$39*('Plan mensual'!L93+IF(parametros_manuales!$H$39="Todos",'Plan mensual'!L97,0)))*parametros_manuales!$I$39*parametros_manuales!$J$39</f>
        <v>4924.975</v>
      </c>
      <c r="K238" s="4">
        <f>(parametros_manuales!$D$39*('Plan mensual'!M90+IF(parametros_manuales!$H$39="Todos",'Plan mensual'!M94,0))+parametros_manuales!$E$39*('Plan mensual'!M91+IF(parametros_manuales!$H$39="Todos",'Plan mensual'!M95,0))+parametros_manuales!$F$39*('Plan mensual'!M92+IF(parametros_manuales!$H$39="Todos",'Plan mensual'!M96,0))+parametros_manuales!$G$39*('Plan mensual'!M93+IF(parametros_manuales!$H$39="Todos",'Plan mensual'!M97,0)))*parametros_manuales!$I$39*parametros_manuales!$J$39</f>
        <v>4751.1</v>
      </c>
      <c r="L238" s="4">
        <f>(parametros_manuales!$D$39*('Plan mensual'!N90+IF(parametros_manuales!$H$39="Todos",'Plan mensual'!N94,0))+parametros_manuales!$E$39*('Plan mensual'!N91+IF(parametros_manuales!$H$39="Todos",'Plan mensual'!N95,0))+parametros_manuales!$F$39*('Plan mensual'!N92+IF(parametros_manuales!$H$39="Todos",'Plan mensual'!N96,0))+parametros_manuales!$G$39*('Plan mensual'!N93+IF(parametros_manuales!$H$39="Todos",'Plan mensual'!N97,0)))*parametros_manuales!$I$39*parametros_manuales!$J$39</f>
        <v>4577.225</v>
      </c>
      <c r="M238" s="4">
        <f>(parametros_manuales!$D$39*('Plan mensual'!O90+IF(parametros_manuales!$H$39="Todos",'Plan mensual'!O94,0))+parametros_manuales!$E$39*('Plan mensual'!O91+IF(parametros_manuales!$H$39="Todos",'Plan mensual'!O95,0))+parametros_manuales!$F$39*('Plan mensual'!O92+IF(parametros_manuales!$H$39="Todos",'Plan mensual'!O96,0))+parametros_manuales!$G$39*('Plan mensual'!O93+IF(parametros_manuales!$H$39="Todos",'Plan mensual'!O97,0)))*parametros_manuales!$I$39*parametros_manuales!$J$39</f>
        <v>7254.01</v>
      </c>
      <c r="N238" s="4">
        <f t="shared" si="25"/>
        <v>63348</v>
      </c>
      <c r="O238" s="4">
        <f t="shared" si="26"/>
        <v>7254.01</v>
      </c>
      <c r="P238" s="27">
        <f>O238/(parametros_manuales!$B$7)</f>
        <v>48.36006667</v>
      </c>
      <c r="Q238" s="3" t="str">
        <f t="shared" si="27"/>
        <v>Dic</v>
      </c>
    </row>
    <row r="239" ht="14.25" customHeight="1">
      <c r="A239" s="3" t="str">
        <f>parametros_manuales!$B$40</f>
        <v>Presurización</v>
      </c>
      <c r="B239" s="4">
        <f>(parametros_manuales!$D$40*('Plan mensual'!D90+IF(parametros_manuales!$H$40="Todos",'Plan mensual'!D94,0))+parametros_manuales!$E$40*('Plan mensual'!D91+IF(parametros_manuales!$H$40="Todos",'Plan mensual'!D95,0))+parametros_manuales!$F$40*('Plan mensual'!D92+IF(parametros_manuales!$H$40="Todos",'Plan mensual'!D96,0))+parametros_manuales!$G$40*('Plan mensual'!D93+IF(parametros_manuales!$H$40="Todos",'Plan mensual'!D97,0)))*parametros_manuales!$I$40*parametros_manuales!$J$40</f>
        <v>6906.26</v>
      </c>
      <c r="C239" s="4">
        <f>(parametros_manuales!$D$40*('Plan mensual'!E90+IF(parametros_manuales!$H$40="Todos",'Plan mensual'!E94,0))+parametros_manuales!$E$40*('Plan mensual'!E91+IF(parametros_manuales!$H$40="Todos",'Plan mensual'!E95,0))+parametros_manuales!$F$40*('Plan mensual'!E92+IF(parametros_manuales!$H$40="Todos",'Plan mensual'!E96,0))+parametros_manuales!$G$40*('Plan mensual'!E93+IF(parametros_manuales!$H$40="Todos",'Plan mensual'!E97,0)))*parametros_manuales!$I$40*parametros_manuales!$J$40</f>
        <v>5353.57</v>
      </c>
      <c r="D239" s="4">
        <f>(parametros_manuales!$D$40*('Plan mensual'!F90+IF(parametros_manuales!$H$40="Todos",'Plan mensual'!F94,0))+parametros_manuales!$E$40*('Plan mensual'!F91+IF(parametros_manuales!$H$40="Todos",'Plan mensual'!F95,0))+parametros_manuales!$F$40*('Plan mensual'!F92+IF(parametros_manuales!$H$40="Todos",'Plan mensual'!F96,0))+parametros_manuales!$G$40*('Plan mensual'!F93+IF(parametros_manuales!$H$40="Todos",'Plan mensual'!F97,0)))*parametros_manuales!$I$40*parametros_manuales!$J$40</f>
        <v>5241.715</v>
      </c>
      <c r="E239" s="4">
        <f>(parametros_manuales!$D$40*('Plan mensual'!G90+IF(parametros_manuales!$H$40="Todos",'Plan mensual'!G94,0))+parametros_manuales!$E$40*('Plan mensual'!G91+IF(parametros_manuales!$H$40="Todos",'Plan mensual'!G95,0))+parametros_manuales!$F$40*('Plan mensual'!G92+IF(parametros_manuales!$H$40="Todos",'Plan mensual'!G96,0))+parametros_manuales!$G$40*('Plan mensual'!G93+IF(parametros_manuales!$H$40="Todos",'Plan mensual'!G97,0)))*parametros_manuales!$I$40*parametros_manuales!$J$40</f>
        <v>5098.85</v>
      </c>
      <c r="F239" s="4">
        <f>(parametros_manuales!$D$40*('Plan mensual'!H90+IF(parametros_manuales!$H$40="Todos",'Plan mensual'!H94,0))+parametros_manuales!$E$40*('Plan mensual'!H91+IF(parametros_manuales!$H$40="Todos",'Plan mensual'!H95,0))+parametros_manuales!$F$40*('Plan mensual'!H92+IF(parametros_manuales!$H$40="Todos",'Plan mensual'!H96,0))+parametros_manuales!$G$40*('Plan mensual'!H93+IF(parametros_manuales!$H$40="Todos",'Plan mensual'!H97,0)))*parametros_manuales!$I$40*parametros_manuales!$J$40</f>
        <v>4782.11</v>
      </c>
      <c r="G239" s="4">
        <f>(parametros_manuales!$D$40*('Plan mensual'!I90+IF(parametros_manuales!$H$40="Todos",'Plan mensual'!I94,0))+parametros_manuales!$E$40*('Plan mensual'!I91+IF(parametros_manuales!$H$40="Todos",'Plan mensual'!I95,0))+parametros_manuales!$F$40*('Plan mensual'!I92+IF(parametros_manuales!$H$40="Todos",'Plan mensual'!I96,0))+parametros_manuales!$G$40*('Plan mensual'!I93+IF(parametros_manuales!$H$40="Todos",'Plan mensual'!I97,0)))*parametros_manuales!$I$40*parametros_manuales!$J$40</f>
        <v>4608.235</v>
      </c>
      <c r="H239" s="4">
        <f>(parametros_manuales!$D$40*('Plan mensual'!J90+IF(parametros_manuales!$H$40="Todos",'Plan mensual'!J94,0))+parametros_manuales!$E$40*('Plan mensual'!J91+IF(parametros_manuales!$H$40="Todos",'Plan mensual'!J95,0))+parametros_manuales!$F$40*('Plan mensual'!J92+IF(parametros_manuales!$H$40="Todos",'Plan mensual'!J96,0))+parametros_manuales!$G$40*('Plan mensual'!J93+IF(parametros_manuales!$H$40="Todos",'Plan mensual'!J97,0)))*parametros_manuales!$I$40*parametros_manuales!$J$40</f>
        <v>4924.975</v>
      </c>
      <c r="I239" s="4">
        <f>(parametros_manuales!$D$40*('Plan mensual'!K90+IF(parametros_manuales!$H$40="Todos",'Plan mensual'!K94,0))+parametros_manuales!$E$40*('Plan mensual'!K91+IF(parametros_manuales!$H$40="Todos",'Plan mensual'!K95,0))+parametros_manuales!$F$40*('Plan mensual'!K92+IF(parametros_manuales!$H$40="Todos",'Plan mensual'!K96,0))+parametros_manuales!$G$40*('Plan mensual'!K93+IF(parametros_manuales!$H$40="Todos",'Plan mensual'!K97,0)))*parametros_manuales!$I$40*parametros_manuales!$J$40</f>
        <v>4924.975</v>
      </c>
      <c r="J239" s="4">
        <f>(parametros_manuales!$D$40*('Plan mensual'!L90+IF(parametros_manuales!$H$40="Todos",'Plan mensual'!L94,0))+parametros_manuales!$E$40*('Plan mensual'!L91+IF(parametros_manuales!$H$40="Todos",'Plan mensual'!L95,0))+parametros_manuales!$F$40*('Plan mensual'!L92+IF(parametros_manuales!$H$40="Todos",'Plan mensual'!L96,0))+parametros_manuales!$G$40*('Plan mensual'!L93+IF(parametros_manuales!$H$40="Todos",'Plan mensual'!L97,0)))*parametros_manuales!$I$40*parametros_manuales!$J$40</f>
        <v>4924.975</v>
      </c>
      <c r="K239" s="4">
        <f>(parametros_manuales!$D$40*('Plan mensual'!M90+IF(parametros_manuales!$H$40="Todos",'Plan mensual'!M94,0))+parametros_manuales!$E$40*('Plan mensual'!M91+IF(parametros_manuales!$H$40="Todos",'Plan mensual'!M95,0))+parametros_manuales!$F$40*('Plan mensual'!M92+IF(parametros_manuales!$H$40="Todos",'Plan mensual'!M96,0))+parametros_manuales!$G$40*('Plan mensual'!M93+IF(parametros_manuales!$H$40="Todos",'Plan mensual'!M97,0)))*parametros_manuales!$I$40*parametros_manuales!$J$40</f>
        <v>4751.1</v>
      </c>
      <c r="L239" s="4">
        <f>(parametros_manuales!$D$40*('Plan mensual'!N90+IF(parametros_manuales!$H$40="Todos",'Plan mensual'!N94,0))+parametros_manuales!$E$40*('Plan mensual'!N91+IF(parametros_manuales!$H$40="Todos",'Plan mensual'!N95,0))+parametros_manuales!$F$40*('Plan mensual'!N92+IF(parametros_manuales!$H$40="Todos",'Plan mensual'!N96,0))+parametros_manuales!$G$40*('Plan mensual'!N93+IF(parametros_manuales!$H$40="Todos",'Plan mensual'!N97,0)))*parametros_manuales!$I$40*parametros_manuales!$J$40</f>
        <v>4577.225</v>
      </c>
      <c r="M239" s="4">
        <f>(parametros_manuales!$D$40*('Plan mensual'!O90+IF(parametros_manuales!$H$40="Todos",'Plan mensual'!O94,0))+parametros_manuales!$E$40*('Plan mensual'!O91+IF(parametros_manuales!$H$40="Todos",'Plan mensual'!O95,0))+parametros_manuales!$F$40*('Plan mensual'!O92+IF(parametros_manuales!$H$40="Todos",'Plan mensual'!O96,0))+parametros_manuales!$G$40*('Plan mensual'!O93+IF(parametros_manuales!$H$40="Todos",'Plan mensual'!O97,0)))*parametros_manuales!$I$40*parametros_manuales!$J$40</f>
        <v>7254.01</v>
      </c>
      <c r="N239" s="4">
        <f t="shared" si="25"/>
        <v>63348</v>
      </c>
      <c r="O239" s="4">
        <f t="shared" si="26"/>
        <v>7254.01</v>
      </c>
      <c r="P239" s="27">
        <f>O239/(parametros_manuales!$B$7)</f>
        <v>48.36006667</v>
      </c>
      <c r="Q239" s="3" t="str">
        <f t="shared" si="27"/>
        <v>Dic</v>
      </c>
    </row>
    <row r="240" ht="14.25" customHeight="1">
      <c r="A240" s="3" t="str">
        <f>parametros_manuales!$B$41</f>
        <v>Control de calidad — Ensayo de pérdidas</v>
      </c>
      <c r="B240" s="4">
        <f>(parametros_manuales!$D$41*('Plan mensual'!D90+IF(parametros_manuales!$H$41="Todos",'Plan mensual'!D94,0))+parametros_manuales!$E$41*('Plan mensual'!D91+IF(parametros_manuales!$H$41="Todos",'Plan mensual'!D95,0))+parametros_manuales!$F$41*('Plan mensual'!D92+IF(parametros_manuales!$H$41="Todos",'Plan mensual'!D96,0))+parametros_manuales!$G$41*('Plan mensual'!D93+IF(parametros_manuales!$H$41="Todos",'Plan mensual'!D97,0)))*parametros_manuales!$I$41*parametros_manuales!$J$41</f>
        <v>6906.26</v>
      </c>
      <c r="C240" s="4">
        <f>(parametros_manuales!$D$41*('Plan mensual'!E90+IF(parametros_manuales!$H$41="Todos",'Plan mensual'!E94,0))+parametros_manuales!$E$41*('Plan mensual'!E91+IF(parametros_manuales!$H$41="Todos",'Plan mensual'!E95,0))+parametros_manuales!$F$41*('Plan mensual'!E92+IF(parametros_manuales!$H$41="Todos",'Plan mensual'!E96,0))+parametros_manuales!$G$41*('Plan mensual'!E93+IF(parametros_manuales!$H$41="Todos",'Plan mensual'!E97,0)))*parametros_manuales!$I$41*parametros_manuales!$J$41</f>
        <v>5353.57</v>
      </c>
      <c r="D240" s="4">
        <f>(parametros_manuales!$D$41*('Plan mensual'!F90+IF(parametros_manuales!$H$41="Todos",'Plan mensual'!F94,0))+parametros_manuales!$E$41*('Plan mensual'!F91+IF(parametros_manuales!$H$41="Todos",'Plan mensual'!F95,0))+parametros_manuales!$F$41*('Plan mensual'!F92+IF(parametros_manuales!$H$41="Todos",'Plan mensual'!F96,0))+parametros_manuales!$G$41*('Plan mensual'!F93+IF(parametros_manuales!$H$41="Todos",'Plan mensual'!F97,0)))*parametros_manuales!$I$41*parametros_manuales!$J$41</f>
        <v>5241.715</v>
      </c>
      <c r="E240" s="4">
        <f>(parametros_manuales!$D$41*('Plan mensual'!G90+IF(parametros_manuales!$H$41="Todos",'Plan mensual'!G94,0))+parametros_manuales!$E$41*('Plan mensual'!G91+IF(parametros_manuales!$H$41="Todos",'Plan mensual'!G95,0))+parametros_manuales!$F$41*('Plan mensual'!G92+IF(parametros_manuales!$H$41="Todos",'Plan mensual'!G96,0))+parametros_manuales!$G$41*('Plan mensual'!G93+IF(parametros_manuales!$H$41="Todos",'Plan mensual'!G97,0)))*parametros_manuales!$I$41*parametros_manuales!$J$41</f>
        <v>5098.85</v>
      </c>
      <c r="F240" s="4">
        <f>(parametros_manuales!$D$41*('Plan mensual'!H90+IF(parametros_manuales!$H$41="Todos",'Plan mensual'!H94,0))+parametros_manuales!$E$41*('Plan mensual'!H91+IF(parametros_manuales!$H$41="Todos",'Plan mensual'!H95,0))+parametros_manuales!$F$41*('Plan mensual'!H92+IF(parametros_manuales!$H$41="Todos",'Plan mensual'!H96,0))+parametros_manuales!$G$41*('Plan mensual'!H93+IF(parametros_manuales!$H$41="Todos",'Plan mensual'!H97,0)))*parametros_manuales!$I$41*parametros_manuales!$J$41</f>
        <v>4782.11</v>
      </c>
      <c r="G240" s="4">
        <f>(parametros_manuales!$D$41*('Plan mensual'!I90+IF(parametros_manuales!$H$41="Todos",'Plan mensual'!I94,0))+parametros_manuales!$E$41*('Plan mensual'!I91+IF(parametros_manuales!$H$41="Todos",'Plan mensual'!I95,0))+parametros_manuales!$F$41*('Plan mensual'!I92+IF(parametros_manuales!$H$41="Todos",'Plan mensual'!I96,0))+parametros_manuales!$G$41*('Plan mensual'!I93+IF(parametros_manuales!$H$41="Todos",'Plan mensual'!I97,0)))*parametros_manuales!$I$41*parametros_manuales!$J$41</f>
        <v>4608.235</v>
      </c>
      <c r="H240" s="4">
        <f>(parametros_manuales!$D$41*('Plan mensual'!J90+IF(parametros_manuales!$H$41="Todos",'Plan mensual'!J94,0))+parametros_manuales!$E$41*('Plan mensual'!J91+IF(parametros_manuales!$H$41="Todos",'Plan mensual'!J95,0))+parametros_manuales!$F$41*('Plan mensual'!J92+IF(parametros_manuales!$H$41="Todos",'Plan mensual'!J96,0))+parametros_manuales!$G$41*('Plan mensual'!J93+IF(parametros_manuales!$H$41="Todos",'Plan mensual'!J97,0)))*parametros_manuales!$I$41*parametros_manuales!$J$41</f>
        <v>4924.975</v>
      </c>
      <c r="I240" s="4">
        <f>(parametros_manuales!$D$41*('Plan mensual'!K90+IF(parametros_manuales!$H$41="Todos",'Plan mensual'!K94,0))+parametros_manuales!$E$41*('Plan mensual'!K91+IF(parametros_manuales!$H$41="Todos",'Plan mensual'!K95,0))+parametros_manuales!$F$41*('Plan mensual'!K92+IF(parametros_manuales!$H$41="Todos",'Plan mensual'!K96,0))+parametros_manuales!$G$41*('Plan mensual'!K93+IF(parametros_manuales!$H$41="Todos",'Plan mensual'!K97,0)))*parametros_manuales!$I$41*parametros_manuales!$J$41</f>
        <v>4924.975</v>
      </c>
      <c r="J240" s="4">
        <f>(parametros_manuales!$D$41*('Plan mensual'!L90+IF(parametros_manuales!$H$41="Todos",'Plan mensual'!L94,0))+parametros_manuales!$E$41*('Plan mensual'!L91+IF(parametros_manuales!$H$41="Todos",'Plan mensual'!L95,0))+parametros_manuales!$F$41*('Plan mensual'!L92+IF(parametros_manuales!$H$41="Todos",'Plan mensual'!L96,0))+parametros_manuales!$G$41*('Plan mensual'!L93+IF(parametros_manuales!$H$41="Todos",'Plan mensual'!L97,0)))*parametros_manuales!$I$41*parametros_manuales!$J$41</f>
        <v>4924.975</v>
      </c>
      <c r="K240" s="4">
        <f>(parametros_manuales!$D$41*('Plan mensual'!M90+IF(parametros_manuales!$H$41="Todos",'Plan mensual'!M94,0))+parametros_manuales!$E$41*('Plan mensual'!M91+IF(parametros_manuales!$H$41="Todos",'Plan mensual'!M95,0))+parametros_manuales!$F$41*('Plan mensual'!M92+IF(parametros_manuales!$H$41="Todos",'Plan mensual'!M96,0))+parametros_manuales!$G$41*('Plan mensual'!M93+IF(parametros_manuales!$H$41="Todos",'Plan mensual'!M97,0)))*parametros_manuales!$I$41*parametros_manuales!$J$41</f>
        <v>4751.1</v>
      </c>
      <c r="L240" s="4">
        <f>(parametros_manuales!$D$41*('Plan mensual'!N90+IF(parametros_manuales!$H$41="Todos",'Plan mensual'!N94,0))+parametros_manuales!$E$41*('Plan mensual'!N91+IF(parametros_manuales!$H$41="Todos",'Plan mensual'!N95,0))+parametros_manuales!$F$41*('Plan mensual'!N92+IF(parametros_manuales!$H$41="Todos",'Plan mensual'!N96,0))+parametros_manuales!$G$41*('Plan mensual'!N93+IF(parametros_manuales!$H$41="Todos",'Plan mensual'!N97,0)))*parametros_manuales!$I$41*parametros_manuales!$J$41</f>
        <v>4577.225</v>
      </c>
      <c r="M240" s="4">
        <f>(parametros_manuales!$D$41*('Plan mensual'!O90+IF(parametros_manuales!$H$41="Todos",'Plan mensual'!O94,0))+parametros_manuales!$E$41*('Plan mensual'!O91+IF(parametros_manuales!$H$41="Todos",'Plan mensual'!O95,0))+parametros_manuales!$F$41*('Plan mensual'!O92+IF(parametros_manuales!$H$41="Todos",'Plan mensual'!O96,0))+parametros_manuales!$G$41*('Plan mensual'!O93+IF(parametros_manuales!$H$41="Todos",'Plan mensual'!O97,0)))*parametros_manuales!$I$41*parametros_manuales!$J$41</f>
        <v>7254.01</v>
      </c>
      <c r="N240" s="4">
        <f t="shared" si="25"/>
        <v>63348</v>
      </c>
      <c r="O240" s="4">
        <f t="shared" si="26"/>
        <v>7254.01</v>
      </c>
      <c r="P240" s="27">
        <f>O240/(parametros_manuales!$B$7)</f>
        <v>48.36006667</v>
      </c>
      <c r="Q240" s="3" t="str">
        <f t="shared" si="27"/>
        <v>Dic</v>
      </c>
    </row>
    <row r="241" ht="14.25" customHeight="1">
      <c r="A241" s="3" t="str">
        <f>parametros_manuales!$B$42</f>
        <v>Etiquetado</v>
      </c>
      <c r="B241" s="4">
        <f>(parametros_manuales!$D$42*('Plan mensual'!D90+IF(parametros_manuales!$H$42="Todos",'Plan mensual'!D94,0))+parametros_manuales!$E$42*('Plan mensual'!D91+IF(parametros_manuales!$H$42="Todos",'Plan mensual'!D95,0))+parametros_manuales!$F$42*('Plan mensual'!D92+IF(parametros_manuales!$H$42="Todos",'Plan mensual'!D96,0))+parametros_manuales!$G$42*('Plan mensual'!D93+IF(parametros_manuales!$H$42="Todos",'Plan mensual'!D97,0)))*parametros_manuales!$I$42*parametros_manuales!$J$42</f>
        <v>6906.26</v>
      </c>
      <c r="C241" s="4">
        <f>(parametros_manuales!$D$42*('Plan mensual'!E90+IF(parametros_manuales!$H$42="Todos",'Plan mensual'!E94,0))+parametros_manuales!$E$42*('Plan mensual'!E91+IF(parametros_manuales!$H$42="Todos",'Plan mensual'!E95,0))+parametros_manuales!$F$42*('Plan mensual'!E92+IF(parametros_manuales!$H$42="Todos",'Plan mensual'!E96,0))+parametros_manuales!$G$42*('Plan mensual'!E93+IF(parametros_manuales!$H$42="Todos",'Plan mensual'!E97,0)))*parametros_manuales!$I$42*parametros_manuales!$J$42</f>
        <v>5353.57</v>
      </c>
      <c r="D241" s="4">
        <f>(parametros_manuales!$D$42*('Plan mensual'!F90+IF(parametros_manuales!$H$42="Todos",'Plan mensual'!F94,0))+parametros_manuales!$E$42*('Plan mensual'!F91+IF(parametros_manuales!$H$42="Todos",'Plan mensual'!F95,0))+parametros_manuales!$F$42*('Plan mensual'!F92+IF(parametros_manuales!$H$42="Todos",'Plan mensual'!F96,0))+parametros_manuales!$G$42*('Plan mensual'!F93+IF(parametros_manuales!$H$42="Todos",'Plan mensual'!F97,0)))*parametros_manuales!$I$42*parametros_manuales!$J$42</f>
        <v>5241.715</v>
      </c>
      <c r="E241" s="4">
        <f>(parametros_manuales!$D$42*('Plan mensual'!G90+IF(parametros_manuales!$H$42="Todos",'Plan mensual'!G94,0))+parametros_manuales!$E$42*('Plan mensual'!G91+IF(parametros_manuales!$H$42="Todos",'Plan mensual'!G95,0))+parametros_manuales!$F$42*('Plan mensual'!G92+IF(parametros_manuales!$H$42="Todos",'Plan mensual'!G96,0))+parametros_manuales!$G$42*('Plan mensual'!G93+IF(parametros_manuales!$H$42="Todos",'Plan mensual'!G97,0)))*parametros_manuales!$I$42*parametros_manuales!$J$42</f>
        <v>5098.85</v>
      </c>
      <c r="F241" s="4">
        <f>(parametros_manuales!$D$42*('Plan mensual'!H90+IF(parametros_manuales!$H$42="Todos",'Plan mensual'!H94,0))+parametros_manuales!$E$42*('Plan mensual'!H91+IF(parametros_manuales!$H$42="Todos",'Plan mensual'!H95,0))+parametros_manuales!$F$42*('Plan mensual'!H92+IF(parametros_manuales!$H$42="Todos",'Plan mensual'!H96,0))+parametros_manuales!$G$42*('Plan mensual'!H93+IF(parametros_manuales!$H$42="Todos",'Plan mensual'!H97,0)))*parametros_manuales!$I$42*parametros_manuales!$J$42</f>
        <v>4782.11</v>
      </c>
      <c r="G241" s="4">
        <f>(parametros_manuales!$D$42*('Plan mensual'!I90+IF(parametros_manuales!$H$42="Todos",'Plan mensual'!I94,0))+parametros_manuales!$E$42*('Plan mensual'!I91+IF(parametros_manuales!$H$42="Todos",'Plan mensual'!I95,0))+parametros_manuales!$F$42*('Plan mensual'!I92+IF(parametros_manuales!$H$42="Todos",'Plan mensual'!I96,0))+parametros_manuales!$G$42*('Plan mensual'!I93+IF(parametros_manuales!$H$42="Todos",'Plan mensual'!I97,0)))*parametros_manuales!$I$42*parametros_manuales!$J$42</f>
        <v>4608.235</v>
      </c>
      <c r="H241" s="4">
        <f>(parametros_manuales!$D$42*('Plan mensual'!J90+IF(parametros_manuales!$H$42="Todos",'Plan mensual'!J94,0))+parametros_manuales!$E$42*('Plan mensual'!J91+IF(parametros_manuales!$H$42="Todos",'Plan mensual'!J95,0))+parametros_manuales!$F$42*('Plan mensual'!J92+IF(parametros_manuales!$H$42="Todos",'Plan mensual'!J96,0))+parametros_manuales!$G$42*('Plan mensual'!J93+IF(parametros_manuales!$H$42="Todos",'Plan mensual'!J97,0)))*parametros_manuales!$I$42*parametros_manuales!$J$42</f>
        <v>4924.975</v>
      </c>
      <c r="I241" s="4">
        <f>(parametros_manuales!$D$42*('Plan mensual'!K90+IF(parametros_manuales!$H$42="Todos",'Plan mensual'!K94,0))+parametros_manuales!$E$42*('Plan mensual'!K91+IF(parametros_manuales!$H$42="Todos",'Plan mensual'!K95,0))+parametros_manuales!$F$42*('Plan mensual'!K92+IF(parametros_manuales!$H$42="Todos",'Plan mensual'!K96,0))+parametros_manuales!$G$42*('Plan mensual'!K93+IF(parametros_manuales!$H$42="Todos",'Plan mensual'!K97,0)))*parametros_manuales!$I$42*parametros_manuales!$J$42</f>
        <v>4924.975</v>
      </c>
      <c r="J241" s="4">
        <f>(parametros_manuales!$D$42*('Plan mensual'!L90+IF(parametros_manuales!$H$42="Todos",'Plan mensual'!L94,0))+parametros_manuales!$E$42*('Plan mensual'!L91+IF(parametros_manuales!$H$42="Todos",'Plan mensual'!L95,0))+parametros_manuales!$F$42*('Plan mensual'!L92+IF(parametros_manuales!$H$42="Todos",'Plan mensual'!L96,0))+parametros_manuales!$G$42*('Plan mensual'!L93+IF(parametros_manuales!$H$42="Todos",'Plan mensual'!L97,0)))*parametros_manuales!$I$42*parametros_manuales!$J$42</f>
        <v>4924.975</v>
      </c>
      <c r="K241" s="4">
        <f>(parametros_manuales!$D$42*('Plan mensual'!M90+IF(parametros_manuales!$H$42="Todos",'Plan mensual'!M94,0))+parametros_manuales!$E$42*('Plan mensual'!M91+IF(parametros_manuales!$H$42="Todos",'Plan mensual'!M95,0))+parametros_manuales!$F$42*('Plan mensual'!M92+IF(parametros_manuales!$H$42="Todos",'Plan mensual'!M96,0))+parametros_manuales!$G$42*('Plan mensual'!M93+IF(parametros_manuales!$H$42="Todos",'Plan mensual'!M97,0)))*parametros_manuales!$I$42*parametros_manuales!$J$42</f>
        <v>4751.1</v>
      </c>
      <c r="L241" s="4">
        <f>(parametros_manuales!$D$42*('Plan mensual'!N90+IF(parametros_manuales!$H$42="Todos",'Plan mensual'!N94,0))+parametros_manuales!$E$42*('Plan mensual'!N91+IF(parametros_manuales!$H$42="Todos",'Plan mensual'!N95,0))+parametros_manuales!$F$42*('Plan mensual'!N92+IF(parametros_manuales!$H$42="Todos",'Plan mensual'!N96,0))+parametros_manuales!$G$42*('Plan mensual'!N93+IF(parametros_manuales!$H$42="Todos",'Plan mensual'!N97,0)))*parametros_manuales!$I$42*parametros_manuales!$J$42</f>
        <v>4577.225</v>
      </c>
      <c r="M241" s="4">
        <f>(parametros_manuales!$D$42*('Plan mensual'!O90+IF(parametros_manuales!$H$42="Todos",'Plan mensual'!O94,0))+parametros_manuales!$E$42*('Plan mensual'!O91+IF(parametros_manuales!$H$42="Todos",'Plan mensual'!O95,0))+parametros_manuales!$F$42*('Plan mensual'!O92+IF(parametros_manuales!$H$42="Todos",'Plan mensual'!O96,0))+parametros_manuales!$G$42*('Plan mensual'!O93+IF(parametros_manuales!$H$42="Todos",'Plan mensual'!O97,0)))*parametros_manuales!$I$42*parametros_manuales!$J$42</f>
        <v>7254.01</v>
      </c>
      <c r="N241" s="4">
        <f t="shared" si="25"/>
        <v>63348</v>
      </c>
      <c r="O241" s="4">
        <f t="shared" si="26"/>
        <v>7254.01</v>
      </c>
      <c r="P241" s="27">
        <f>O241/(parametros_manuales!$B$7)</f>
        <v>48.36006667</v>
      </c>
      <c r="Q241" s="3" t="str">
        <f t="shared" si="27"/>
        <v>Dic</v>
      </c>
    </row>
    <row r="242" ht="14.25" customHeight="1">
      <c r="A242" s="3" t="str">
        <f>parametros_manuales!$B$43</f>
        <v>Embalaje y paletizado</v>
      </c>
      <c r="B242" s="4">
        <f>(parametros_manuales!$D$43*('Plan mensual'!D90+IF(parametros_manuales!$H$43="Todos",'Plan mensual'!D94,0))+parametros_manuales!$E$43*('Plan mensual'!D91+IF(parametros_manuales!$H$43="Todos",'Plan mensual'!D95,0))+parametros_manuales!$F$43*('Plan mensual'!D92+IF(parametros_manuales!$H$43="Todos",'Plan mensual'!D96,0))+parametros_manuales!$G$43*('Plan mensual'!D93+IF(parametros_manuales!$H$43="Todos",'Plan mensual'!D97,0)))*parametros_manuales!$I$43*parametros_manuales!$J$43</f>
        <v>28105.46</v>
      </c>
      <c r="C242" s="4">
        <f>(parametros_manuales!$D$43*('Plan mensual'!E90+IF(parametros_manuales!$H$43="Todos",'Plan mensual'!E94,0))+parametros_manuales!$E$43*('Plan mensual'!E91+IF(parametros_manuales!$H$43="Todos",'Plan mensual'!E95,0))+parametros_manuales!$F$43*('Plan mensual'!E92+IF(parametros_manuales!$H$43="Todos",'Plan mensual'!E96,0))+parametros_manuales!$G$43*('Plan mensual'!E93+IF(parametros_manuales!$H$43="Todos",'Plan mensual'!E97,0)))*parametros_manuales!$I$43*parametros_manuales!$J$43</f>
        <v>21432.01</v>
      </c>
      <c r="D242" s="4">
        <f>(parametros_manuales!$D$43*('Plan mensual'!F90+IF(parametros_manuales!$H$43="Todos",'Plan mensual'!F94,0))+parametros_manuales!$E$43*('Plan mensual'!F91+IF(parametros_manuales!$H$43="Todos",'Plan mensual'!F95,0))+parametros_manuales!$F$43*('Plan mensual'!F92+IF(parametros_manuales!$H$43="Todos",'Plan mensual'!F96,0))+parametros_manuales!$G$43*('Plan mensual'!F93+IF(parametros_manuales!$H$43="Todos",'Plan mensual'!F97,0)))*parametros_manuales!$I$43*parametros_manuales!$J$43</f>
        <v>20030.995</v>
      </c>
      <c r="E242" s="4">
        <f>(parametros_manuales!$D$43*('Plan mensual'!G90+IF(parametros_manuales!$H$43="Todos",'Plan mensual'!G94,0))+parametros_manuales!$E$43*('Plan mensual'!G91+IF(parametros_manuales!$H$43="Todos",'Plan mensual'!G95,0))+parametros_manuales!$F$43*('Plan mensual'!G92+IF(parametros_manuales!$H$43="Todos",'Plan mensual'!G96,0))+parametros_manuales!$G$43*('Plan mensual'!G93+IF(parametros_manuales!$H$43="Todos",'Plan mensual'!G97,0)))*parametros_manuales!$I$43*parametros_manuales!$J$43</f>
        <v>19154.03</v>
      </c>
      <c r="F242" s="4">
        <f>(parametros_manuales!$D$43*('Plan mensual'!H90+IF(parametros_manuales!$H$43="Todos",'Plan mensual'!H94,0))+parametros_manuales!$E$43*('Plan mensual'!H91+IF(parametros_manuales!$H$43="Todos",'Plan mensual'!H95,0))+parametros_manuales!$F$43*('Plan mensual'!H92+IF(parametros_manuales!$H$43="Todos",'Plan mensual'!H96,0))+parametros_manuales!$G$43*('Plan mensual'!H93+IF(parametros_manuales!$H$43="Todos",'Plan mensual'!H97,0)))*parametros_manuales!$I$43*parametros_manuales!$J$43</f>
        <v>17924.15</v>
      </c>
      <c r="G242" s="4">
        <f>(parametros_manuales!$D$43*('Plan mensual'!I90+IF(parametros_manuales!$H$43="Todos",'Plan mensual'!I94,0))+parametros_manuales!$E$43*('Plan mensual'!I91+IF(parametros_manuales!$H$43="Todos",'Plan mensual'!I95,0))+parametros_manuales!$F$43*('Plan mensual'!I92+IF(parametros_manuales!$H$43="Todos",'Plan mensual'!I96,0))+parametros_manuales!$G$43*('Plan mensual'!I93+IF(parametros_manuales!$H$43="Todos",'Plan mensual'!I97,0)))*parametros_manuales!$I$43*parametros_manuales!$J$43</f>
        <v>17571.235</v>
      </c>
      <c r="H242" s="4">
        <f>(parametros_manuales!$D$43*('Plan mensual'!J90+IF(parametros_manuales!$H$43="Todos",'Plan mensual'!J94,0))+parametros_manuales!$E$43*('Plan mensual'!J91+IF(parametros_manuales!$H$43="Todos",'Plan mensual'!J95,0))+parametros_manuales!$F$43*('Plan mensual'!J92+IF(parametros_manuales!$H$43="Todos",'Plan mensual'!J96,0))+parametros_manuales!$G$43*('Plan mensual'!J93+IF(parametros_manuales!$H$43="Todos",'Plan mensual'!J97,0)))*parametros_manuales!$I$43*parametros_manuales!$J$43</f>
        <v>18801.115</v>
      </c>
      <c r="I242" s="4">
        <f>(parametros_manuales!$D$43*('Plan mensual'!K90+IF(parametros_manuales!$H$43="Todos",'Plan mensual'!K94,0))+parametros_manuales!$E$43*('Plan mensual'!K91+IF(parametros_manuales!$H$43="Todos",'Plan mensual'!K95,0))+parametros_manuales!$F$43*('Plan mensual'!K92+IF(parametros_manuales!$H$43="Todos",'Plan mensual'!K96,0))+parametros_manuales!$G$43*('Plan mensual'!K93+IF(parametros_manuales!$H$43="Todos",'Plan mensual'!K97,0)))*parametros_manuales!$I$43*parametros_manuales!$J$43</f>
        <v>18801.115</v>
      </c>
      <c r="J242" s="4">
        <f>(parametros_manuales!$D$43*('Plan mensual'!L90+IF(parametros_manuales!$H$43="Todos",'Plan mensual'!L94,0))+parametros_manuales!$E$43*('Plan mensual'!L91+IF(parametros_manuales!$H$43="Todos",'Plan mensual'!L95,0))+parametros_manuales!$F$43*('Plan mensual'!L92+IF(parametros_manuales!$H$43="Todos",'Plan mensual'!L96,0))+parametros_manuales!$G$43*('Plan mensual'!L93+IF(parametros_manuales!$H$43="Todos",'Plan mensual'!L97,0)))*parametros_manuales!$I$43*parametros_manuales!$J$43</f>
        <v>18801.115</v>
      </c>
      <c r="K242" s="4">
        <f>(parametros_manuales!$D$43*('Plan mensual'!M90+IF(parametros_manuales!$H$43="Todos",'Plan mensual'!M94,0))+parametros_manuales!$E$43*('Plan mensual'!M91+IF(parametros_manuales!$H$43="Todos",'Plan mensual'!M95,0))+parametros_manuales!$F$43*('Plan mensual'!M92+IF(parametros_manuales!$H$43="Todos",'Plan mensual'!M96,0))+parametros_manuales!$G$43*('Plan mensual'!M93+IF(parametros_manuales!$H$43="Todos",'Plan mensual'!M97,0)))*parametros_manuales!$I$43*parametros_manuales!$J$43</f>
        <v>18448.2</v>
      </c>
      <c r="L242" s="4">
        <f>(parametros_manuales!$D$43*('Plan mensual'!N90+IF(parametros_manuales!$H$43="Todos",'Plan mensual'!N94,0))+parametros_manuales!$E$43*('Plan mensual'!N91+IF(parametros_manuales!$H$43="Todos",'Plan mensual'!N95,0))+parametros_manuales!$F$43*('Plan mensual'!N92+IF(parametros_manuales!$H$43="Todos",'Plan mensual'!N96,0))+parametros_manuales!$G$43*('Plan mensual'!N93+IF(parametros_manuales!$H$43="Todos",'Plan mensual'!N97,0)))*parametros_manuales!$I$43*parametros_manuales!$J$43</f>
        <v>18095.285</v>
      </c>
      <c r="M242" s="4">
        <f>(parametros_manuales!$D$43*('Plan mensual'!O90+IF(parametros_manuales!$H$43="Todos",'Plan mensual'!O94,0))+parametros_manuales!$E$43*('Plan mensual'!O91+IF(parametros_manuales!$H$43="Todos",'Plan mensual'!O95,0))+parametros_manuales!$F$43*('Plan mensual'!O92+IF(parametros_manuales!$H$43="Todos",'Plan mensual'!O96,0))+parametros_manuales!$G$43*('Plan mensual'!O93+IF(parametros_manuales!$H$43="Todos",'Plan mensual'!O97,0)))*parametros_manuales!$I$43*parametros_manuales!$J$43</f>
        <v>28811.29</v>
      </c>
      <c r="N242" s="4">
        <f t="shared" si="25"/>
        <v>245976</v>
      </c>
      <c r="O242" s="4">
        <f t="shared" si="26"/>
        <v>28811.29</v>
      </c>
      <c r="P242" s="27">
        <f>O242/(parametros_manuales!$B$7)</f>
        <v>192.0752667</v>
      </c>
      <c r="Q242" s="3" t="str">
        <f t="shared" si="27"/>
        <v>Dic</v>
      </c>
    </row>
    <row r="243" ht="14.25" customHeight="1"/>
    <row r="244" ht="14.25" customHeight="1">
      <c r="A244" s="1" t="s">
        <v>186</v>
      </c>
      <c r="B244" s="1" t="s">
        <v>5</v>
      </c>
      <c r="C244" s="1" t="s">
        <v>7</v>
      </c>
      <c r="D244" s="1" t="s">
        <v>8</v>
      </c>
      <c r="E244" s="1" t="s">
        <v>9</v>
      </c>
      <c r="F244" s="1" t="s">
        <v>11</v>
      </c>
      <c r="G244" s="1" t="s">
        <v>12</v>
      </c>
      <c r="H244" s="1" t="s">
        <v>14</v>
      </c>
      <c r="I244" s="1" t="s">
        <v>15</v>
      </c>
      <c r="J244" s="1" t="s">
        <v>16</v>
      </c>
      <c r="K244" s="1" t="s">
        <v>18</v>
      </c>
      <c r="L244" s="1" t="s">
        <v>19</v>
      </c>
      <c r="M244" s="1" t="s">
        <v>20</v>
      </c>
      <c r="N244" s="1" t="s">
        <v>21</v>
      </c>
      <c r="O244" s="1" t="s">
        <v>22</v>
      </c>
      <c r="P244" s="1" t="s">
        <v>23</v>
      </c>
      <c r="Q244" s="1" t="s">
        <v>24</v>
      </c>
    </row>
    <row r="245" ht="14.25" customHeight="1">
      <c r="A245" s="3" t="str">
        <f>parametros_manuales!$B$19</f>
        <v>Recepción de materia prima</v>
      </c>
      <c r="B245" s="4">
        <f>(parametros_manuales!$D$19*('Plan mensual'!D101+IF(parametros_manuales!$H$19="Todos",'Plan mensual'!D105,0))+parametros_manuales!$E$19*('Plan mensual'!D102+IF(parametros_manuales!$H$19="Todos",'Plan mensual'!D106,0))+parametros_manuales!$F$19*('Plan mensual'!D103+IF(parametros_manuales!$H$19="Todos",'Plan mensual'!D107,0))+parametros_manuales!$G$19*('Plan mensual'!D104+IF(parametros_manuales!$H$19="Todos",'Plan mensual'!D108,0)))*parametros_manuales!$I$19*parametros_manuales!$J$19</f>
        <v>32475.72</v>
      </c>
      <c r="C245" s="4">
        <f>(parametros_manuales!$D$19*('Plan mensual'!E101+IF(parametros_manuales!$H$19="Todos",'Plan mensual'!E105,0))+parametros_manuales!$E$19*('Plan mensual'!E102+IF(parametros_manuales!$H$19="Todos",'Plan mensual'!E106,0))+parametros_manuales!$F$19*('Plan mensual'!E103+IF(parametros_manuales!$H$19="Todos",'Plan mensual'!E107,0))+parametros_manuales!$G$19*('Plan mensual'!E104+IF(parametros_manuales!$H$19="Todos",'Plan mensual'!E108,0)))*parametros_manuales!$I$19*parametros_manuales!$J$19</f>
        <v>24764.85</v>
      </c>
      <c r="D245" s="4">
        <f>(parametros_manuales!$D$19*('Plan mensual'!F101+IF(parametros_manuales!$H$19="Todos",'Plan mensual'!F105,0))+parametros_manuales!$E$19*('Plan mensual'!F102+IF(parametros_manuales!$H$19="Todos",'Plan mensual'!F106,0))+parametros_manuales!$F$19*('Plan mensual'!F103+IF(parametros_manuales!$H$19="Todos",'Plan mensual'!F107,0))+parametros_manuales!$G$19*('Plan mensual'!F104+IF(parametros_manuales!$H$19="Todos",'Plan mensual'!F108,0)))*parametros_manuales!$I$19*parametros_manuales!$J$19</f>
        <v>23146.7</v>
      </c>
      <c r="E245" s="4">
        <f>(parametros_manuales!$D$19*('Plan mensual'!G101+IF(parametros_manuales!$H$19="Todos",'Plan mensual'!G105,0))+parametros_manuales!$E$19*('Plan mensual'!G102+IF(parametros_manuales!$H$19="Todos",'Plan mensual'!G106,0))+parametros_manuales!$F$19*('Plan mensual'!G103+IF(parametros_manuales!$H$19="Todos",'Plan mensual'!G107,0))+parametros_manuales!$G$19*('Plan mensual'!G104+IF(parametros_manuales!$H$19="Todos",'Plan mensual'!G108,0)))*parametros_manuales!$I$19*parametros_manuales!$J$19</f>
        <v>22133.595</v>
      </c>
      <c r="F245" s="4">
        <f>(parametros_manuales!$D$19*('Plan mensual'!H101+IF(parametros_manuales!$H$19="Todos",'Plan mensual'!H105,0))+parametros_manuales!$E$19*('Plan mensual'!H102+IF(parametros_manuales!$H$19="Todos",'Plan mensual'!H106,0))+parametros_manuales!$F$19*('Plan mensual'!H103+IF(parametros_manuales!$H$19="Todos",'Plan mensual'!H107,0))+parametros_manuales!$G$19*('Plan mensual'!H104+IF(parametros_manuales!$H$19="Todos",'Plan mensual'!H108,0)))*parametros_manuales!$I$19*parametros_manuales!$J$19</f>
        <v>20712.43</v>
      </c>
      <c r="G245" s="4">
        <f>(parametros_manuales!$D$19*('Plan mensual'!I101+IF(parametros_manuales!$H$19="Todos",'Plan mensual'!I105,0))+parametros_manuales!$E$19*('Plan mensual'!I102+IF(parametros_manuales!$H$19="Todos",'Plan mensual'!I106,0))+parametros_manuales!$F$19*('Plan mensual'!I103+IF(parametros_manuales!$H$19="Todos",'Plan mensual'!I107,0))+parametros_manuales!$G$19*('Plan mensual'!I104+IF(parametros_manuales!$H$19="Todos",'Plan mensual'!I108,0)))*parametros_manuales!$I$19*parametros_manuales!$J$19</f>
        <v>20304.37</v>
      </c>
      <c r="H245" s="4">
        <f>(parametros_manuales!$D$19*('Plan mensual'!J101+IF(parametros_manuales!$H$19="Todos",'Plan mensual'!J105,0))+parametros_manuales!$E$19*('Plan mensual'!J102+IF(parametros_manuales!$H$19="Todos",'Plan mensual'!J106,0))+parametros_manuales!$F$19*('Plan mensual'!J103+IF(parametros_manuales!$H$19="Todos",'Plan mensual'!J107,0))+parametros_manuales!$G$19*('Plan mensual'!J104+IF(parametros_manuales!$H$19="Todos",'Plan mensual'!J108,0)))*parametros_manuales!$I$19*parametros_manuales!$J$19</f>
        <v>21725.535</v>
      </c>
      <c r="I245" s="4">
        <f>(parametros_manuales!$D$19*('Plan mensual'!K101+IF(parametros_manuales!$H$19="Todos",'Plan mensual'!K105,0))+parametros_manuales!$E$19*('Plan mensual'!K102+IF(parametros_manuales!$H$19="Todos",'Plan mensual'!K106,0))+parametros_manuales!$F$19*('Plan mensual'!K103+IF(parametros_manuales!$H$19="Todos",'Plan mensual'!K107,0))+parametros_manuales!$G$19*('Plan mensual'!K104+IF(parametros_manuales!$H$19="Todos",'Plan mensual'!K108,0)))*parametros_manuales!$I$19*parametros_manuales!$J$19</f>
        <v>21725.535</v>
      </c>
      <c r="J245" s="4">
        <f>(parametros_manuales!$D$19*('Plan mensual'!L101+IF(parametros_manuales!$H$19="Todos",'Plan mensual'!L105,0))+parametros_manuales!$E$19*('Plan mensual'!L102+IF(parametros_manuales!$H$19="Todos",'Plan mensual'!L106,0))+parametros_manuales!$F$19*('Plan mensual'!L103+IF(parametros_manuales!$H$19="Todos",'Plan mensual'!L107,0))+parametros_manuales!$G$19*('Plan mensual'!L104+IF(parametros_manuales!$H$19="Todos",'Plan mensual'!L108,0)))*parametros_manuales!$I$19*parametros_manuales!$J$19</f>
        <v>21725.535</v>
      </c>
      <c r="K245" s="4">
        <f>(parametros_manuales!$D$19*('Plan mensual'!M101+IF(parametros_manuales!$H$19="Todos",'Plan mensual'!M105,0))+parametros_manuales!$E$19*('Plan mensual'!M102+IF(parametros_manuales!$H$19="Todos",'Plan mensual'!M106,0))+parametros_manuales!$F$19*('Plan mensual'!M103+IF(parametros_manuales!$H$19="Todos",'Plan mensual'!M107,0))+parametros_manuales!$G$19*('Plan mensual'!M104+IF(parametros_manuales!$H$19="Todos",'Plan mensual'!M108,0)))*parametros_manuales!$I$19*parametros_manuales!$J$19</f>
        <v>21317.475</v>
      </c>
      <c r="L245" s="4">
        <f>(parametros_manuales!$D$19*('Plan mensual'!N101+IF(parametros_manuales!$H$19="Todos",'Plan mensual'!N105,0))+parametros_manuales!$E$19*('Plan mensual'!N102+IF(parametros_manuales!$H$19="Todos",'Plan mensual'!N106,0))+parametros_manuales!$F$19*('Plan mensual'!N103+IF(parametros_manuales!$H$19="Todos",'Plan mensual'!N107,0))+parametros_manuales!$G$19*('Plan mensual'!N104+IF(parametros_manuales!$H$19="Todos",'Plan mensual'!N108,0)))*parametros_manuales!$I$19*parametros_manuales!$J$19</f>
        <v>20909.415</v>
      </c>
      <c r="M245" s="4">
        <f>(parametros_manuales!$D$19*('Plan mensual'!O101+IF(parametros_manuales!$H$19="Todos",'Plan mensual'!O105,0))+parametros_manuales!$E$19*('Plan mensual'!O102+IF(parametros_manuales!$H$19="Todos",'Plan mensual'!O106,0))+parametros_manuales!$F$19*('Plan mensual'!O103+IF(parametros_manuales!$H$19="Todos",'Plan mensual'!O107,0))+parametros_manuales!$G$19*('Plan mensual'!O104+IF(parametros_manuales!$H$19="Todos",'Plan mensual'!O108,0)))*parametros_manuales!$I$19*parametros_manuales!$J$19</f>
        <v>33291.84</v>
      </c>
      <c r="N245" s="4">
        <f t="shared" ref="N245:N269" si="28">SUM(B245:M245)</f>
        <v>284233</v>
      </c>
      <c r="O245" s="4">
        <f t="shared" ref="O245:O269" si="29">MAX(B245:M245)</f>
        <v>33291.84</v>
      </c>
      <c r="P245" s="27">
        <f>O245/(parametros_manuales!$B$7)</f>
        <v>221.9456</v>
      </c>
      <c r="Q245" s="3" t="str">
        <f t="shared" ref="Q245:Q269" si="30">IF(O245=0,"-",INDEX($B$244:$M$244,MATCH(O245,B245:M245,0)))</f>
        <v>Dic</v>
      </c>
    </row>
    <row r="246" ht="14.25" customHeight="1">
      <c r="A246" s="3" t="str">
        <f>parametros_manuales!$B$20</f>
        <v>Corte de chapa (guillotina) — 2,5 a 10 kg</v>
      </c>
      <c r="B246" s="4">
        <f>(parametros_manuales!$D$20*('Plan mensual'!D101+IF(parametros_manuales!$H$20="Todos",'Plan mensual'!D105,0))+parametros_manuales!$E$20*('Plan mensual'!D102+IF(parametros_manuales!$H$20="Todos",'Plan mensual'!D106,0))+parametros_manuales!$F$20*('Plan mensual'!D103+IF(parametros_manuales!$H$20="Todos",'Plan mensual'!D107,0))+parametros_manuales!$G$20*('Plan mensual'!D104+IF(parametros_manuales!$H$20="Todos",'Plan mensual'!D108,0)))*parametros_manuales!$I$20*parametros_manuales!$J$20</f>
        <v>8161.2</v>
      </c>
      <c r="C246" s="4">
        <f>(parametros_manuales!$D$20*('Plan mensual'!E101+IF(parametros_manuales!$H$20="Todos",'Plan mensual'!E105,0))+parametros_manuales!$E$20*('Plan mensual'!E102+IF(parametros_manuales!$H$20="Todos",'Plan mensual'!E106,0))+parametros_manuales!$F$20*('Plan mensual'!E103+IF(parametros_manuales!$H$20="Todos",'Plan mensual'!E107,0))+parametros_manuales!$G$20*('Plan mensual'!E104+IF(parametros_manuales!$H$20="Todos",'Plan mensual'!E108,0)))*parametros_manuales!$I$20*parametros_manuales!$J$20</f>
        <v>6528.96</v>
      </c>
      <c r="D246" s="4">
        <f>(parametros_manuales!$D$20*('Plan mensual'!F101+IF(parametros_manuales!$H$20="Todos",'Plan mensual'!F105,0))+parametros_manuales!$E$20*('Plan mensual'!F102+IF(parametros_manuales!$H$20="Todos",'Plan mensual'!F106,0))+parametros_manuales!$F$20*('Plan mensual'!F103+IF(parametros_manuales!$H$20="Todos",'Plan mensual'!F107,0))+parametros_manuales!$G$20*('Plan mensual'!F104+IF(parametros_manuales!$H$20="Todos",'Plan mensual'!F108,0)))*parametros_manuales!$I$20*parametros_manuales!$J$20</f>
        <v>6937.02</v>
      </c>
      <c r="E246" s="4">
        <f>(parametros_manuales!$D$20*('Plan mensual'!G101+IF(parametros_manuales!$H$20="Todos",'Plan mensual'!G105,0))+parametros_manuales!$E$20*('Plan mensual'!G102+IF(parametros_manuales!$H$20="Todos",'Plan mensual'!G106,0))+parametros_manuales!$F$20*('Plan mensual'!G103+IF(parametros_manuales!$H$20="Todos",'Plan mensual'!G107,0))+parametros_manuales!$G$20*('Plan mensual'!G104+IF(parametros_manuales!$H$20="Todos",'Plan mensual'!G108,0)))*parametros_manuales!$I$20*parametros_manuales!$J$20</f>
        <v>6937.02</v>
      </c>
      <c r="F246" s="4">
        <f>(parametros_manuales!$D$20*('Plan mensual'!H101+IF(parametros_manuales!$H$20="Todos",'Plan mensual'!H105,0))+parametros_manuales!$E$20*('Plan mensual'!H102+IF(parametros_manuales!$H$20="Todos",'Plan mensual'!H106,0))+parametros_manuales!$F$20*('Plan mensual'!H103+IF(parametros_manuales!$H$20="Todos",'Plan mensual'!H107,0))+parametros_manuales!$G$20*('Plan mensual'!H104+IF(parametros_manuales!$H$20="Todos",'Plan mensual'!H108,0)))*parametros_manuales!$I$20*parametros_manuales!$J$20</f>
        <v>6528.96</v>
      </c>
      <c r="G246" s="4">
        <f>(parametros_manuales!$D$20*('Plan mensual'!I101+IF(parametros_manuales!$H$20="Todos",'Plan mensual'!I105,0))+parametros_manuales!$E$20*('Plan mensual'!I102+IF(parametros_manuales!$H$20="Todos",'Plan mensual'!I106,0))+parametros_manuales!$F$20*('Plan mensual'!I103+IF(parametros_manuales!$H$20="Todos",'Plan mensual'!I107,0))+parametros_manuales!$G$20*('Plan mensual'!I104+IF(parametros_manuales!$H$20="Todos",'Plan mensual'!I108,0)))*parametros_manuales!$I$20*parametros_manuales!$J$20</f>
        <v>6120.9</v>
      </c>
      <c r="H246" s="4">
        <f>(parametros_manuales!$D$20*('Plan mensual'!J101+IF(parametros_manuales!$H$20="Todos",'Plan mensual'!J105,0))+parametros_manuales!$E$20*('Plan mensual'!J102+IF(parametros_manuales!$H$20="Todos",'Plan mensual'!J106,0))+parametros_manuales!$F$20*('Plan mensual'!J103+IF(parametros_manuales!$H$20="Todos",'Plan mensual'!J107,0))+parametros_manuales!$G$20*('Plan mensual'!J104+IF(parametros_manuales!$H$20="Todos",'Plan mensual'!J108,0)))*parametros_manuales!$I$20*parametros_manuales!$J$20</f>
        <v>6528.96</v>
      </c>
      <c r="I246" s="4">
        <f>(parametros_manuales!$D$20*('Plan mensual'!K101+IF(parametros_manuales!$H$20="Todos",'Plan mensual'!K105,0))+parametros_manuales!$E$20*('Plan mensual'!K102+IF(parametros_manuales!$H$20="Todos",'Plan mensual'!K106,0))+parametros_manuales!$F$20*('Plan mensual'!K103+IF(parametros_manuales!$H$20="Todos",'Plan mensual'!K107,0))+parametros_manuales!$G$20*('Plan mensual'!K104+IF(parametros_manuales!$H$20="Todos",'Plan mensual'!K108,0)))*parametros_manuales!$I$20*parametros_manuales!$J$20</f>
        <v>6528.96</v>
      </c>
      <c r="J246" s="4">
        <f>(parametros_manuales!$D$20*('Plan mensual'!L101+IF(parametros_manuales!$H$20="Todos",'Plan mensual'!L105,0))+parametros_manuales!$E$20*('Plan mensual'!L102+IF(parametros_manuales!$H$20="Todos",'Plan mensual'!L106,0))+parametros_manuales!$F$20*('Plan mensual'!L103+IF(parametros_manuales!$H$20="Todos",'Plan mensual'!L107,0))+parametros_manuales!$G$20*('Plan mensual'!L104+IF(parametros_manuales!$H$20="Todos",'Plan mensual'!L108,0)))*parametros_manuales!$I$20*parametros_manuales!$J$20</f>
        <v>6528.96</v>
      </c>
      <c r="K246" s="4">
        <f>(parametros_manuales!$D$20*('Plan mensual'!M101+IF(parametros_manuales!$H$20="Todos",'Plan mensual'!M105,0))+parametros_manuales!$E$20*('Plan mensual'!M102+IF(parametros_manuales!$H$20="Todos",'Plan mensual'!M106,0))+parametros_manuales!$F$20*('Plan mensual'!M103+IF(parametros_manuales!$H$20="Todos",'Plan mensual'!M107,0))+parametros_manuales!$G$20*('Plan mensual'!M104+IF(parametros_manuales!$H$20="Todos",'Plan mensual'!M108,0)))*parametros_manuales!$I$20*parametros_manuales!$J$20</f>
        <v>6120.9</v>
      </c>
      <c r="L246" s="4">
        <f>(parametros_manuales!$D$20*('Plan mensual'!N101+IF(parametros_manuales!$H$20="Todos",'Plan mensual'!N105,0))+parametros_manuales!$E$20*('Plan mensual'!N102+IF(parametros_manuales!$H$20="Todos",'Plan mensual'!N106,0))+parametros_manuales!$F$20*('Plan mensual'!N103+IF(parametros_manuales!$H$20="Todos",'Plan mensual'!N107,0))+parametros_manuales!$G$20*('Plan mensual'!N104+IF(parametros_manuales!$H$20="Todos",'Plan mensual'!N108,0)))*parametros_manuales!$I$20*parametros_manuales!$J$20</f>
        <v>5712.84</v>
      </c>
      <c r="M246" s="4">
        <f>(parametros_manuales!$D$20*('Plan mensual'!O101+IF(parametros_manuales!$H$20="Todos",'Plan mensual'!O105,0))+parametros_manuales!$E$20*('Plan mensual'!O102+IF(parametros_manuales!$H$20="Todos",'Plan mensual'!O106,0))+parametros_manuales!$F$20*('Plan mensual'!O103+IF(parametros_manuales!$H$20="Todos",'Plan mensual'!O107,0))+parametros_manuales!$G$20*('Plan mensual'!O104+IF(parametros_manuales!$H$20="Todos",'Plan mensual'!O108,0)))*parametros_manuales!$I$20*parametros_manuales!$J$20</f>
        <v>8977.32</v>
      </c>
      <c r="N246" s="4">
        <f t="shared" si="28"/>
        <v>81612</v>
      </c>
      <c r="O246" s="4">
        <f t="shared" si="29"/>
        <v>8977.32</v>
      </c>
      <c r="P246" s="27">
        <f>O246/(parametros_manuales!$B$7)</f>
        <v>59.8488</v>
      </c>
      <c r="Q246" s="3" t="str">
        <f t="shared" si="30"/>
        <v>Dic</v>
      </c>
    </row>
    <row r="247" ht="14.25" customHeight="1">
      <c r="A247" s="3" t="str">
        <f>parametros_manuales!$B$21</f>
        <v>Corte de tubo — 1 kg</v>
      </c>
      <c r="B247" s="4">
        <f>(parametros_manuales!$D$21*('Plan mensual'!D101+IF(parametros_manuales!$H$21="Todos",'Plan mensual'!D105,0))+parametros_manuales!$E$21*('Plan mensual'!D102+IF(parametros_manuales!$H$21="Todos",'Plan mensual'!D106,0))+parametros_manuales!$F$21*('Plan mensual'!D103+IF(parametros_manuales!$H$21="Todos",'Plan mensual'!D107,0))+parametros_manuales!$G$21*('Plan mensual'!D104+IF(parametros_manuales!$H$21="Todos",'Plan mensual'!D108,0)))*parametros_manuales!$I$21*parametros_manuales!$J$21</f>
        <v>24314.52</v>
      </c>
      <c r="C247" s="4">
        <f>(parametros_manuales!$D$21*('Plan mensual'!E101+IF(parametros_manuales!$H$21="Todos",'Plan mensual'!E105,0))+parametros_manuales!$E$21*('Plan mensual'!E102+IF(parametros_manuales!$H$21="Todos",'Plan mensual'!E106,0))+parametros_manuales!$F$21*('Plan mensual'!E103+IF(parametros_manuales!$H$21="Todos",'Plan mensual'!E107,0))+parametros_manuales!$G$21*('Plan mensual'!E104+IF(parametros_manuales!$H$21="Todos",'Plan mensual'!E108,0)))*parametros_manuales!$I$21*parametros_manuales!$J$21</f>
        <v>18235.89</v>
      </c>
      <c r="D247" s="4">
        <f>(parametros_manuales!$D$21*('Plan mensual'!F101+IF(parametros_manuales!$H$21="Todos",'Plan mensual'!F105,0))+parametros_manuales!$E$21*('Plan mensual'!F102+IF(parametros_manuales!$H$21="Todos",'Plan mensual'!F106,0))+parametros_manuales!$F$21*('Plan mensual'!F103+IF(parametros_manuales!$H$21="Todos",'Plan mensual'!F107,0))+parametros_manuales!$G$21*('Plan mensual'!F104+IF(parametros_manuales!$H$21="Todos",'Plan mensual'!F108,0)))*parametros_manuales!$I$21*parametros_manuales!$J$21</f>
        <v>16209.68</v>
      </c>
      <c r="E247" s="4">
        <f>(parametros_manuales!$D$21*('Plan mensual'!G101+IF(parametros_manuales!$H$21="Todos",'Plan mensual'!G105,0))+parametros_manuales!$E$21*('Plan mensual'!G102+IF(parametros_manuales!$H$21="Todos",'Plan mensual'!G106,0))+parametros_manuales!$F$21*('Plan mensual'!G103+IF(parametros_manuales!$H$21="Todos",'Plan mensual'!G107,0))+parametros_manuales!$G$21*('Plan mensual'!G104+IF(parametros_manuales!$H$21="Todos",'Plan mensual'!G108,0)))*parametros_manuales!$I$21*parametros_manuales!$J$21</f>
        <v>15196.575</v>
      </c>
      <c r="F247" s="4">
        <f>(parametros_manuales!$D$21*('Plan mensual'!H101+IF(parametros_manuales!$H$21="Todos",'Plan mensual'!H105,0))+parametros_manuales!$E$21*('Plan mensual'!H102+IF(parametros_manuales!$H$21="Todos",'Plan mensual'!H106,0))+parametros_manuales!$F$21*('Plan mensual'!H103+IF(parametros_manuales!$H$21="Todos",'Plan mensual'!H107,0))+parametros_manuales!$G$21*('Plan mensual'!H104+IF(parametros_manuales!$H$21="Todos",'Plan mensual'!H108,0)))*parametros_manuales!$I$21*parametros_manuales!$J$21</f>
        <v>14183.47</v>
      </c>
      <c r="G247" s="4">
        <f>(parametros_manuales!$D$21*('Plan mensual'!I101+IF(parametros_manuales!$H$21="Todos",'Plan mensual'!I105,0))+parametros_manuales!$E$21*('Plan mensual'!I102+IF(parametros_manuales!$H$21="Todos",'Plan mensual'!I106,0))+parametros_manuales!$F$21*('Plan mensual'!I103+IF(parametros_manuales!$H$21="Todos",'Plan mensual'!I107,0))+parametros_manuales!$G$21*('Plan mensual'!I104+IF(parametros_manuales!$H$21="Todos",'Plan mensual'!I108,0)))*parametros_manuales!$I$21*parametros_manuales!$J$21</f>
        <v>14183.47</v>
      </c>
      <c r="H247" s="4">
        <f>(parametros_manuales!$D$21*('Plan mensual'!J101+IF(parametros_manuales!$H$21="Todos",'Plan mensual'!J105,0))+parametros_manuales!$E$21*('Plan mensual'!J102+IF(parametros_manuales!$H$21="Todos",'Plan mensual'!J106,0))+parametros_manuales!$F$21*('Plan mensual'!J103+IF(parametros_manuales!$H$21="Todos",'Plan mensual'!J107,0))+parametros_manuales!$G$21*('Plan mensual'!J104+IF(parametros_manuales!$H$21="Todos",'Plan mensual'!J108,0)))*parametros_manuales!$I$21*parametros_manuales!$J$21</f>
        <v>15196.575</v>
      </c>
      <c r="I247" s="4">
        <f>(parametros_manuales!$D$21*('Plan mensual'!K101+IF(parametros_manuales!$H$21="Todos",'Plan mensual'!K105,0))+parametros_manuales!$E$21*('Plan mensual'!K102+IF(parametros_manuales!$H$21="Todos",'Plan mensual'!K106,0))+parametros_manuales!$F$21*('Plan mensual'!K103+IF(parametros_manuales!$H$21="Todos",'Plan mensual'!K107,0))+parametros_manuales!$G$21*('Plan mensual'!K104+IF(parametros_manuales!$H$21="Todos",'Plan mensual'!K108,0)))*parametros_manuales!$I$21*parametros_manuales!$J$21</f>
        <v>15196.575</v>
      </c>
      <c r="J247" s="4">
        <f>(parametros_manuales!$D$21*('Plan mensual'!L101+IF(parametros_manuales!$H$21="Todos",'Plan mensual'!L105,0))+parametros_manuales!$E$21*('Plan mensual'!L102+IF(parametros_manuales!$H$21="Todos",'Plan mensual'!L106,0))+parametros_manuales!$F$21*('Plan mensual'!L103+IF(parametros_manuales!$H$21="Todos",'Plan mensual'!L107,0))+parametros_manuales!$G$21*('Plan mensual'!L104+IF(parametros_manuales!$H$21="Todos",'Plan mensual'!L108,0)))*parametros_manuales!$I$21*parametros_manuales!$J$21</f>
        <v>15196.575</v>
      </c>
      <c r="K247" s="4">
        <f>(parametros_manuales!$D$21*('Plan mensual'!M101+IF(parametros_manuales!$H$21="Todos",'Plan mensual'!M105,0))+parametros_manuales!$E$21*('Plan mensual'!M102+IF(parametros_manuales!$H$21="Todos",'Plan mensual'!M106,0))+parametros_manuales!$F$21*('Plan mensual'!M103+IF(parametros_manuales!$H$21="Todos",'Plan mensual'!M107,0))+parametros_manuales!$G$21*('Plan mensual'!M104+IF(parametros_manuales!$H$21="Todos",'Plan mensual'!M108,0)))*parametros_manuales!$I$21*parametros_manuales!$J$21</f>
        <v>15196.575</v>
      </c>
      <c r="L247" s="4">
        <f>(parametros_manuales!$D$21*('Plan mensual'!N101+IF(parametros_manuales!$H$21="Todos",'Plan mensual'!N105,0))+parametros_manuales!$E$21*('Plan mensual'!N102+IF(parametros_manuales!$H$21="Todos",'Plan mensual'!N106,0))+parametros_manuales!$F$21*('Plan mensual'!N103+IF(parametros_manuales!$H$21="Todos",'Plan mensual'!N107,0))+parametros_manuales!$G$21*('Plan mensual'!N104+IF(parametros_manuales!$H$21="Todos",'Plan mensual'!N108,0)))*parametros_manuales!$I$21*parametros_manuales!$J$21</f>
        <v>15196.575</v>
      </c>
      <c r="M247" s="4">
        <f>(parametros_manuales!$D$21*('Plan mensual'!O101+IF(parametros_manuales!$H$21="Todos",'Plan mensual'!O105,0))+parametros_manuales!$E$21*('Plan mensual'!O102+IF(parametros_manuales!$H$21="Todos",'Plan mensual'!O106,0))+parametros_manuales!$F$21*('Plan mensual'!O103+IF(parametros_manuales!$H$21="Todos",'Plan mensual'!O107,0))+parametros_manuales!$G$21*('Plan mensual'!O104+IF(parametros_manuales!$H$21="Todos",'Plan mensual'!O108,0)))*parametros_manuales!$I$21*parametros_manuales!$J$21</f>
        <v>24314.52</v>
      </c>
      <c r="N247" s="4">
        <f t="shared" si="28"/>
        <v>202621</v>
      </c>
      <c r="O247" s="4">
        <f t="shared" si="29"/>
        <v>24314.52</v>
      </c>
      <c r="P247" s="27">
        <f>O247/(parametros_manuales!$B$7)</f>
        <v>162.0968</v>
      </c>
      <c r="Q247" s="3" t="str">
        <f t="shared" si="30"/>
        <v>Ene</v>
      </c>
    </row>
    <row r="248" ht="14.25" customHeight="1">
      <c r="A248" s="3" t="str">
        <f>parametros_manuales!$B$22</f>
        <v>Corte de disco y embutido (cúpula y fondo)</v>
      </c>
      <c r="B248" s="4">
        <f>(parametros_manuales!$D$22*('Plan mensual'!D101+IF(parametros_manuales!$H$22="Todos",'Plan mensual'!D105,0))+parametros_manuales!$E$22*('Plan mensual'!D102+IF(parametros_manuales!$H$22="Todos",'Plan mensual'!D106,0))+parametros_manuales!$F$22*('Plan mensual'!D103+IF(parametros_manuales!$H$22="Todos",'Plan mensual'!D107,0))+parametros_manuales!$G$22*('Plan mensual'!D104+IF(parametros_manuales!$H$22="Todos",'Plan mensual'!D108,0)))*parametros_manuales!$I$22*parametros_manuales!$J$22</f>
        <v>64951.44</v>
      </c>
      <c r="C248" s="4">
        <f>(parametros_manuales!$D$22*('Plan mensual'!E101+IF(parametros_manuales!$H$22="Todos",'Plan mensual'!E105,0))+parametros_manuales!$E$22*('Plan mensual'!E102+IF(parametros_manuales!$H$22="Todos",'Plan mensual'!E106,0))+parametros_manuales!$F$22*('Plan mensual'!E103+IF(parametros_manuales!$H$22="Todos",'Plan mensual'!E107,0))+parametros_manuales!$G$22*('Plan mensual'!E104+IF(parametros_manuales!$H$22="Todos",'Plan mensual'!E108,0)))*parametros_manuales!$I$22*parametros_manuales!$J$22</f>
        <v>49529.7</v>
      </c>
      <c r="D248" s="4">
        <f>(parametros_manuales!$D$22*('Plan mensual'!F101+IF(parametros_manuales!$H$22="Todos",'Plan mensual'!F105,0))+parametros_manuales!$E$22*('Plan mensual'!F102+IF(parametros_manuales!$H$22="Todos",'Plan mensual'!F106,0))+parametros_manuales!$F$22*('Plan mensual'!F103+IF(parametros_manuales!$H$22="Todos",'Plan mensual'!F107,0))+parametros_manuales!$G$22*('Plan mensual'!F104+IF(parametros_manuales!$H$22="Todos",'Plan mensual'!F108,0)))*parametros_manuales!$I$22*parametros_manuales!$J$22</f>
        <v>46293.4</v>
      </c>
      <c r="E248" s="4">
        <f>(parametros_manuales!$D$22*('Plan mensual'!G101+IF(parametros_manuales!$H$22="Todos",'Plan mensual'!G105,0))+parametros_manuales!$E$22*('Plan mensual'!G102+IF(parametros_manuales!$H$22="Todos",'Plan mensual'!G106,0))+parametros_manuales!$F$22*('Plan mensual'!G103+IF(parametros_manuales!$H$22="Todos",'Plan mensual'!G107,0))+parametros_manuales!$G$22*('Plan mensual'!G104+IF(parametros_manuales!$H$22="Todos",'Plan mensual'!G108,0)))*parametros_manuales!$I$22*parametros_manuales!$J$22</f>
        <v>44267.19</v>
      </c>
      <c r="F248" s="4">
        <f>(parametros_manuales!$D$22*('Plan mensual'!H101+IF(parametros_manuales!$H$22="Todos",'Plan mensual'!H105,0))+parametros_manuales!$E$22*('Plan mensual'!H102+IF(parametros_manuales!$H$22="Todos",'Plan mensual'!H106,0))+parametros_manuales!$F$22*('Plan mensual'!H103+IF(parametros_manuales!$H$22="Todos",'Plan mensual'!H107,0))+parametros_manuales!$G$22*('Plan mensual'!H104+IF(parametros_manuales!$H$22="Todos",'Plan mensual'!H108,0)))*parametros_manuales!$I$22*parametros_manuales!$J$22</f>
        <v>41424.86</v>
      </c>
      <c r="G248" s="4">
        <f>(parametros_manuales!$D$22*('Plan mensual'!I101+IF(parametros_manuales!$H$22="Todos",'Plan mensual'!I105,0))+parametros_manuales!$E$22*('Plan mensual'!I102+IF(parametros_manuales!$H$22="Todos",'Plan mensual'!I106,0))+parametros_manuales!$F$22*('Plan mensual'!I103+IF(parametros_manuales!$H$22="Todos",'Plan mensual'!I107,0))+parametros_manuales!$G$22*('Plan mensual'!I104+IF(parametros_manuales!$H$22="Todos",'Plan mensual'!I108,0)))*parametros_manuales!$I$22*parametros_manuales!$J$22</f>
        <v>40608.74</v>
      </c>
      <c r="H248" s="4">
        <f>(parametros_manuales!$D$22*('Plan mensual'!J101+IF(parametros_manuales!$H$22="Todos",'Plan mensual'!J105,0))+parametros_manuales!$E$22*('Plan mensual'!J102+IF(parametros_manuales!$H$22="Todos",'Plan mensual'!J106,0))+parametros_manuales!$F$22*('Plan mensual'!J103+IF(parametros_manuales!$H$22="Todos",'Plan mensual'!J107,0))+parametros_manuales!$G$22*('Plan mensual'!J104+IF(parametros_manuales!$H$22="Todos",'Plan mensual'!J108,0)))*parametros_manuales!$I$22*parametros_manuales!$J$22</f>
        <v>43451.07</v>
      </c>
      <c r="I248" s="4">
        <f>(parametros_manuales!$D$22*('Plan mensual'!K101+IF(parametros_manuales!$H$22="Todos",'Plan mensual'!K105,0))+parametros_manuales!$E$22*('Plan mensual'!K102+IF(parametros_manuales!$H$22="Todos",'Plan mensual'!K106,0))+parametros_manuales!$F$22*('Plan mensual'!K103+IF(parametros_manuales!$H$22="Todos",'Plan mensual'!K107,0))+parametros_manuales!$G$22*('Plan mensual'!K104+IF(parametros_manuales!$H$22="Todos",'Plan mensual'!K108,0)))*parametros_manuales!$I$22*parametros_manuales!$J$22</f>
        <v>43451.07</v>
      </c>
      <c r="J248" s="4">
        <f>(parametros_manuales!$D$22*('Plan mensual'!L101+IF(parametros_manuales!$H$22="Todos",'Plan mensual'!L105,0))+parametros_manuales!$E$22*('Plan mensual'!L102+IF(parametros_manuales!$H$22="Todos",'Plan mensual'!L106,0))+parametros_manuales!$F$22*('Plan mensual'!L103+IF(parametros_manuales!$H$22="Todos",'Plan mensual'!L107,0))+parametros_manuales!$G$22*('Plan mensual'!L104+IF(parametros_manuales!$H$22="Todos",'Plan mensual'!L108,0)))*parametros_manuales!$I$22*parametros_manuales!$J$22</f>
        <v>43451.07</v>
      </c>
      <c r="K248" s="4">
        <f>(parametros_manuales!$D$22*('Plan mensual'!M101+IF(parametros_manuales!$H$22="Todos",'Plan mensual'!M105,0))+parametros_manuales!$E$22*('Plan mensual'!M102+IF(parametros_manuales!$H$22="Todos",'Plan mensual'!M106,0))+parametros_manuales!$F$22*('Plan mensual'!M103+IF(parametros_manuales!$H$22="Todos",'Plan mensual'!M107,0))+parametros_manuales!$G$22*('Plan mensual'!M104+IF(parametros_manuales!$H$22="Todos",'Plan mensual'!M108,0)))*parametros_manuales!$I$22*parametros_manuales!$J$22</f>
        <v>42634.95</v>
      </c>
      <c r="L248" s="4">
        <f>(parametros_manuales!$D$22*('Plan mensual'!N101+IF(parametros_manuales!$H$22="Todos",'Plan mensual'!N105,0))+parametros_manuales!$E$22*('Plan mensual'!N102+IF(parametros_manuales!$H$22="Todos",'Plan mensual'!N106,0))+parametros_manuales!$F$22*('Plan mensual'!N103+IF(parametros_manuales!$H$22="Todos",'Plan mensual'!N107,0))+parametros_manuales!$G$22*('Plan mensual'!N104+IF(parametros_manuales!$H$22="Todos",'Plan mensual'!N108,0)))*parametros_manuales!$I$22*parametros_manuales!$J$22</f>
        <v>41818.83</v>
      </c>
      <c r="M248" s="4">
        <f>(parametros_manuales!$D$22*('Plan mensual'!O101+IF(parametros_manuales!$H$22="Todos",'Plan mensual'!O105,0))+parametros_manuales!$E$22*('Plan mensual'!O102+IF(parametros_manuales!$H$22="Todos",'Plan mensual'!O106,0))+parametros_manuales!$F$22*('Plan mensual'!O103+IF(parametros_manuales!$H$22="Todos",'Plan mensual'!O107,0))+parametros_manuales!$G$22*('Plan mensual'!O104+IF(parametros_manuales!$H$22="Todos",'Plan mensual'!O108,0)))*parametros_manuales!$I$22*parametros_manuales!$J$22</f>
        <v>66583.68</v>
      </c>
      <c r="N248" s="4">
        <f t="shared" si="28"/>
        <v>568466</v>
      </c>
      <c r="O248" s="4">
        <f t="shared" si="29"/>
        <v>66583.68</v>
      </c>
      <c r="P248" s="27">
        <f>O248/(parametros_manuales!$B$7)</f>
        <v>443.8912</v>
      </c>
      <c r="Q248" s="3" t="str">
        <f t="shared" si="30"/>
        <v>Dic</v>
      </c>
    </row>
    <row r="249" ht="14.25" customHeight="1">
      <c r="A249" s="3" t="str">
        <f>parametros_manuales!$B$23</f>
        <v>Preparación de cuello</v>
      </c>
      <c r="B249" s="4">
        <f>(parametros_manuales!$D$23*('Plan mensual'!D101+IF(parametros_manuales!$H$23="Todos",'Plan mensual'!D105,0))+parametros_manuales!$E$23*('Plan mensual'!D102+IF(parametros_manuales!$H$23="Todos",'Plan mensual'!D106,0))+parametros_manuales!$F$23*('Plan mensual'!D103+IF(parametros_manuales!$H$23="Todos",'Plan mensual'!D107,0))+parametros_manuales!$G$23*('Plan mensual'!D104+IF(parametros_manuales!$H$23="Todos",'Plan mensual'!D108,0)))*parametros_manuales!$I$23*parametros_manuales!$J$23</f>
        <v>32475.72</v>
      </c>
      <c r="C249" s="4">
        <f>(parametros_manuales!$D$23*('Plan mensual'!E101+IF(parametros_manuales!$H$23="Todos",'Plan mensual'!E105,0))+parametros_manuales!$E$23*('Plan mensual'!E102+IF(parametros_manuales!$H$23="Todos",'Plan mensual'!E106,0))+parametros_manuales!$F$23*('Plan mensual'!E103+IF(parametros_manuales!$H$23="Todos",'Plan mensual'!E107,0))+parametros_manuales!$G$23*('Plan mensual'!E104+IF(parametros_manuales!$H$23="Todos",'Plan mensual'!E108,0)))*parametros_manuales!$I$23*parametros_manuales!$J$23</f>
        <v>24764.85</v>
      </c>
      <c r="D249" s="4">
        <f>(parametros_manuales!$D$23*('Plan mensual'!F101+IF(parametros_manuales!$H$23="Todos",'Plan mensual'!F105,0))+parametros_manuales!$E$23*('Plan mensual'!F102+IF(parametros_manuales!$H$23="Todos",'Plan mensual'!F106,0))+parametros_manuales!$F$23*('Plan mensual'!F103+IF(parametros_manuales!$H$23="Todos",'Plan mensual'!F107,0))+parametros_manuales!$G$23*('Plan mensual'!F104+IF(parametros_manuales!$H$23="Todos",'Plan mensual'!F108,0)))*parametros_manuales!$I$23*parametros_manuales!$J$23</f>
        <v>23146.7</v>
      </c>
      <c r="E249" s="4">
        <f>(parametros_manuales!$D$23*('Plan mensual'!G101+IF(parametros_manuales!$H$23="Todos",'Plan mensual'!G105,0))+parametros_manuales!$E$23*('Plan mensual'!G102+IF(parametros_manuales!$H$23="Todos",'Plan mensual'!G106,0))+parametros_manuales!$F$23*('Plan mensual'!G103+IF(parametros_manuales!$H$23="Todos",'Plan mensual'!G107,0))+parametros_manuales!$G$23*('Plan mensual'!G104+IF(parametros_manuales!$H$23="Todos",'Plan mensual'!G108,0)))*parametros_manuales!$I$23*parametros_manuales!$J$23</f>
        <v>22133.595</v>
      </c>
      <c r="F249" s="4">
        <f>(parametros_manuales!$D$23*('Plan mensual'!H101+IF(parametros_manuales!$H$23="Todos",'Plan mensual'!H105,0))+parametros_manuales!$E$23*('Plan mensual'!H102+IF(parametros_manuales!$H$23="Todos",'Plan mensual'!H106,0))+parametros_manuales!$F$23*('Plan mensual'!H103+IF(parametros_manuales!$H$23="Todos",'Plan mensual'!H107,0))+parametros_manuales!$G$23*('Plan mensual'!H104+IF(parametros_manuales!$H$23="Todos",'Plan mensual'!H108,0)))*parametros_manuales!$I$23*parametros_manuales!$J$23</f>
        <v>20712.43</v>
      </c>
      <c r="G249" s="4">
        <f>(parametros_manuales!$D$23*('Plan mensual'!I101+IF(parametros_manuales!$H$23="Todos",'Plan mensual'!I105,0))+parametros_manuales!$E$23*('Plan mensual'!I102+IF(parametros_manuales!$H$23="Todos",'Plan mensual'!I106,0))+parametros_manuales!$F$23*('Plan mensual'!I103+IF(parametros_manuales!$H$23="Todos",'Plan mensual'!I107,0))+parametros_manuales!$G$23*('Plan mensual'!I104+IF(parametros_manuales!$H$23="Todos",'Plan mensual'!I108,0)))*parametros_manuales!$I$23*parametros_manuales!$J$23</f>
        <v>20304.37</v>
      </c>
      <c r="H249" s="4">
        <f>(parametros_manuales!$D$23*('Plan mensual'!J101+IF(parametros_manuales!$H$23="Todos",'Plan mensual'!J105,0))+parametros_manuales!$E$23*('Plan mensual'!J102+IF(parametros_manuales!$H$23="Todos",'Plan mensual'!J106,0))+parametros_manuales!$F$23*('Plan mensual'!J103+IF(parametros_manuales!$H$23="Todos",'Plan mensual'!J107,0))+parametros_manuales!$G$23*('Plan mensual'!J104+IF(parametros_manuales!$H$23="Todos",'Plan mensual'!J108,0)))*parametros_manuales!$I$23*parametros_manuales!$J$23</f>
        <v>21725.535</v>
      </c>
      <c r="I249" s="4">
        <f>(parametros_manuales!$D$23*('Plan mensual'!K101+IF(parametros_manuales!$H$23="Todos",'Plan mensual'!K105,0))+parametros_manuales!$E$23*('Plan mensual'!K102+IF(parametros_manuales!$H$23="Todos",'Plan mensual'!K106,0))+parametros_manuales!$F$23*('Plan mensual'!K103+IF(parametros_manuales!$H$23="Todos",'Plan mensual'!K107,0))+parametros_manuales!$G$23*('Plan mensual'!K104+IF(parametros_manuales!$H$23="Todos",'Plan mensual'!K108,0)))*parametros_manuales!$I$23*parametros_manuales!$J$23</f>
        <v>21725.535</v>
      </c>
      <c r="J249" s="4">
        <f>(parametros_manuales!$D$23*('Plan mensual'!L101+IF(parametros_manuales!$H$23="Todos",'Plan mensual'!L105,0))+parametros_manuales!$E$23*('Plan mensual'!L102+IF(parametros_manuales!$H$23="Todos",'Plan mensual'!L106,0))+parametros_manuales!$F$23*('Plan mensual'!L103+IF(parametros_manuales!$H$23="Todos",'Plan mensual'!L107,0))+parametros_manuales!$G$23*('Plan mensual'!L104+IF(parametros_manuales!$H$23="Todos",'Plan mensual'!L108,0)))*parametros_manuales!$I$23*parametros_manuales!$J$23</f>
        <v>21725.535</v>
      </c>
      <c r="K249" s="4">
        <f>(parametros_manuales!$D$23*('Plan mensual'!M101+IF(parametros_manuales!$H$23="Todos",'Plan mensual'!M105,0))+parametros_manuales!$E$23*('Plan mensual'!M102+IF(parametros_manuales!$H$23="Todos",'Plan mensual'!M106,0))+parametros_manuales!$F$23*('Plan mensual'!M103+IF(parametros_manuales!$H$23="Todos",'Plan mensual'!M107,0))+parametros_manuales!$G$23*('Plan mensual'!M104+IF(parametros_manuales!$H$23="Todos",'Plan mensual'!M108,0)))*parametros_manuales!$I$23*parametros_manuales!$J$23</f>
        <v>21317.475</v>
      </c>
      <c r="L249" s="4">
        <f>(parametros_manuales!$D$23*('Plan mensual'!N101+IF(parametros_manuales!$H$23="Todos",'Plan mensual'!N105,0))+parametros_manuales!$E$23*('Plan mensual'!N102+IF(parametros_manuales!$H$23="Todos",'Plan mensual'!N106,0))+parametros_manuales!$F$23*('Plan mensual'!N103+IF(parametros_manuales!$H$23="Todos",'Plan mensual'!N107,0))+parametros_manuales!$G$23*('Plan mensual'!N104+IF(parametros_manuales!$H$23="Todos",'Plan mensual'!N108,0)))*parametros_manuales!$I$23*parametros_manuales!$J$23</f>
        <v>20909.415</v>
      </c>
      <c r="M249" s="4">
        <f>(parametros_manuales!$D$23*('Plan mensual'!O101+IF(parametros_manuales!$H$23="Todos",'Plan mensual'!O105,0))+parametros_manuales!$E$23*('Plan mensual'!O102+IF(parametros_manuales!$H$23="Todos",'Plan mensual'!O106,0))+parametros_manuales!$F$23*('Plan mensual'!O103+IF(parametros_manuales!$H$23="Todos",'Plan mensual'!O107,0))+parametros_manuales!$G$23*('Plan mensual'!O104+IF(parametros_manuales!$H$23="Todos",'Plan mensual'!O108,0)))*parametros_manuales!$I$23*parametros_manuales!$J$23</f>
        <v>33291.84</v>
      </c>
      <c r="N249" s="4">
        <f t="shared" si="28"/>
        <v>284233</v>
      </c>
      <c r="O249" s="4">
        <f t="shared" si="29"/>
        <v>33291.84</v>
      </c>
      <c r="P249" s="27">
        <f>O249/(parametros_manuales!$B$7)</f>
        <v>221.9456</v>
      </c>
      <c r="Q249" s="3" t="str">
        <f t="shared" si="30"/>
        <v>Dic</v>
      </c>
    </row>
    <row r="250" ht="14.25" customHeight="1">
      <c r="A250" s="3" t="str">
        <f>parametros_manuales!$B$24</f>
        <v>Numerado de cúpula</v>
      </c>
      <c r="B250" s="4">
        <f>(parametros_manuales!$D$24*('Plan mensual'!D101+IF(parametros_manuales!$H$24="Todos",'Plan mensual'!D105,0))+parametros_manuales!$E$24*('Plan mensual'!D102+IF(parametros_manuales!$H$24="Todos",'Plan mensual'!D106,0))+parametros_manuales!$F$24*('Plan mensual'!D103+IF(parametros_manuales!$H$24="Todos",'Plan mensual'!D107,0))+parametros_manuales!$G$24*('Plan mensual'!D104+IF(parametros_manuales!$H$24="Todos",'Plan mensual'!D108,0)))*parametros_manuales!$I$24*parametros_manuales!$J$24</f>
        <v>32475.72</v>
      </c>
      <c r="C250" s="4">
        <f>(parametros_manuales!$D$24*('Plan mensual'!E101+IF(parametros_manuales!$H$24="Todos",'Plan mensual'!E105,0))+parametros_manuales!$E$24*('Plan mensual'!E102+IF(parametros_manuales!$H$24="Todos",'Plan mensual'!E106,0))+parametros_manuales!$F$24*('Plan mensual'!E103+IF(parametros_manuales!$H$24="Todos",'Plan mensual'!E107,0))+parametros_manuales!$G$24*('Plan mensual'!E104+IF(parametros_manuales!$H$24="Todos",'Plan mensual'!E108,0)))*parametros_manuales!$I$24*parametros_manuales!$J$24</f>
        <v>24764.85</v>
      </c>
      <c r="D250" s="4">
        <f>(parametros_manuales!$D$24*('Plan mensual'!F101+IF(parametros_manuales!$H$24="Todos",'Plan mensual'!F105,0))+parametros_manuales!$E$24*('Plan mensual'!F102+IF(parametros_manuales!$H$24="Todos",'Plan mensual'!F106,0))+parametros_manuales!$F$24*('Plan mensual'!F103+IF(parametros_manuales!$H$24="Todos",'Plan mensual'!F107,0))+parametros_manuales!$G$24*('Plan mensual'!F104+IF(parametros_manuales!$H$24="Todos",'Plan mensual'!F108,0)))*parametros_manuales!$I$24*parametros_manuales!$J$24</f>
        <v>23146.7</v>
      </c>
      <c r="E250" s="4">
        <f>(parametros_manuales!$D$24*('Plan mensual'!G101+IF(parametros_manuales!$H$24="Todos",'Plan mensual'!G105,0))+parametros_manuales!$E$24*('Plan mensual'!G102+IF(parametros_manuales!$H$24="Todos",'Plan mensual'!G106,0))+parametros_manuales!$F$24*('Plan mensual'!G103+IF(parametros_manuales!$H$24="Todos",'Plan mensual'!G107,0))+parametros_manuales!$G$24*('Plan mensual'!G104+IF(parametros_manuales!$H$24="Todos",'Plan mensual'!G108,0)))*parametros_manuales!$I$24*parametros_manuales!$J$24</f>
        <v>22133.595</v>
      </c>
      <c r="F250" s="4">
        <f>(parametros_manuales!$D$24*('Plan mensual'!H101+IF(parametros_manuales!$H$24="Todos",'Plan mensual'!H105,0))+parametros_manuales!$E$24*('Plan mensual'!H102+IF(parametros_manuales!$H$24="Todos",'Plan mensual'!H106,0))+parametros_manuales!$F$24*('Plan mensual'!H103+IF(parametros_manuales!$H$24="Todos",'Plan mensual'!H107,0))+parametros_manuales!$G$24*('Plan mensual'!H104+IF(parametros_manuales!$H$24="Todos",'Plan mensual'!H108,0)))*parametros_manuales!$I$24*parametros_manuales!$J$24</f>
        <v>20712.43</v>
      </c>
      <c r="G250" s="4">
        <f>(parametros_manuales!$D$24*('Plan mensual'!I101+IF(parametros_manuales!$H$24="Todos",'Plan mensual'!I105,0))+parametros_manuales!$E$24*('Plan mensual'!I102+IF(parametros_manuales!$H$24="Todos",'Plan mensual'!I106,0))+parametros_manuales!$F$24*('Plan mensual'!I103+IF(parametros_manuales!$H$24="Todos",'Plan mensual'!I107,0))+parametros_manuales!$G$24*('Plan mensual'!I104+IF(parametros_manuales!$H$24="Todos",'Plan mensual'!I108,0)))*parametros_manuales!$I$24*parametros_manuales!$J$24</f>
        <v>20304.37</v>
      </c>
      <c r="H250" s="4">
        <f>(parametros_manuales!$D$24*('Plan mensual'!J101+IF(parametros_manuales!$H$24="Todos",'Plan mensual'!J105,0))+parametros_manuales!$E$24*('Plan mensual'!J102+IF(parametros_manuales!$H$24="Todos",'Plan mensual'!J106,0))+parametros_manuales!$F$24*('Plan mensual'!J103+IF(parametros_manuales!$H$24="Todos",'Plan mensual'!J107,0))+parametros_manuales!$G$24*('Plan mensual'!J104+IF(parametros_manuales!$H$24="Todos",'Plan mensual'!J108,0)))*parametros_manuales!$I$24*parametros_manuales!$J$24</f>
        <v>21725.535</v>
      </c>
      <c r="I250" s="4">
        <f>(parametros_manuales!$D$24*('Plan mensual'!K101+IF(parametros_manuales!$H$24="Todos",'Plan mensual'!K105,0))+parametros_manuales!$E$24*('Plan mensual'!K102+IF(parametros_manuales!$H$24="Todos",'Plan mensual'!K106,0))+parametros_manuales!$F$24*('Plan mensual'!K103+IF(parametros_manuales!$H$24="Todos",'Plan mensual'!K107,0))+parametros_manuales!$G$24*('Plan mensual'!K104+IF(parametros_manuales!$H$24="Todos",'Plan mensual'!K108,0)))*parametros_manuales!$I$24*parametros_manuales!$J$24</f>
        <v>21725.535</v>
      </c>
      <c r="J250" s="4">
        <f>(parametros_manuales!$D$24*('Plan mensual'!L101+IF(parametros_manuales!$H$24="Todos",'Plan mensual'!L105,0))+parametros_manuales!$E$24*('Plan mensual'!L102+IF(parametros_manuales!$H$24="Todos",'Plan mensual'!L106,0))+parametros_manuales!$F$24*('Plan mensual'!L103+IF(parametros_manuales!$H$24="Todos",'Plan mensual'!L107,0))+parametros_manuales!$G$24*('Plan mensual'!L104+IF(parametros_manuales!$H$24="Todos",'Plan mensual'!L108,0)))*parametros_manuales!$I$24*parametros_manuales!$J$24</f>
        <v>21725.535</v>
      </c>
      <c r="K250" s="4">
        <f>(parametros_manuales!$D$24*('Plan mensual'!M101+IF(parametros_manuales!$H$24="Todos",'Plan mensual'!M105,0))+parametros_manuales!$E$24*('Plan mensual'!M102+IF(parametros_manuales!$H$24="Todos",'Plan mensual'!M106,0))+parametros_manuales!$F$24*('Plan mensual'!M103+IF(parametros_manuales!$H$24="Todos",'Plan mensual'!M107,0))+parametros_manuales!$G$24*('Plan mensual'!M104+IF(parametros_manuales!$H$24="Todos",'Plan mensual'!M108,0)))*parametros_manuales!$I$24*parametros_manuales!$J$24</f>
        <v>21317.475</v>
      </c>
      <c r="L250" s="4">
        <f>(parametros_manuales!$D$24*('Plan mensual'!N101+IF(parametros_manuales!$H$24="Todos",'Plan mensual'!N105,0))+parametros_manuales!$E$24*('Plan mensual'!N102+IF(parametros_manuales!$H$24="Todos",'Plan mensual'!N106,0))+parametros_manuales!$F$24*('Plan mensual'!N103+IF(parametros_manuales!$H$24="Todos",'Plan mensual'!N107,0))+parametros_manuales!$G$24*('Plan mensual'!N104+IF(parametros_manuales!$H$24="Todos",'Plan mensual'!N108,0)))*parametros_manuales!$I$24*parametros_manuales!$J$24</f>
        <v>20909.415</v>
      </c>
      <c r="M250" s="4">
        <f>(parametros_manuales!$D$24*('Plan mensual'!O101+IF(parametros_manuales!$H$24="Todos",'Plan mensual'!O105,0))+parametros_manuales!$E$24*('Plan mensual'!O102+IF(parametros_manuales!$H$24="Todos",'Plan mensual'!O106,0))+parametros_manuales!$F$24*('Plan mensual'!O103+IF(parametros_manuales!$H$24="Todos",'Plan mensual'!O107,0))+parametros_manuales!$G$24*('Plan mensual'!O104+IF(parametros_manuales!$H$24="Todos",'Plan mensual'!O108,0)))*parametros_manuales!$I$24*parametros_manuales!$J$24</f>
        <v>33291.84</v>
      </c>
      <c r="N250" s="4">
        <f t="shared" si="28"/>
        <v>284233</v>
      </c>
      <c r="O250" s="4">
        <f t="shared" si="29"/>
        <v>33291.84</v>
      </c>
      <c r="P250" s="27">
        <f>O250/(parametros_manuales!$B$7)</f>
        <v>221.9456</v>
      </c>
      <c r="Q250" s="3" t="str">
        <f t="shared" si="30"/>
        <v>Dic</v>
      </c>
    </row>
    <row r="251" ht="14.25" customHeight="1">
      <c r="A251" s="3" t="str">
        <f>parametros_manuales!$B$25</f>
        <v>Soldadura del cuello a la cúpula</v>
      </c>
      <c r="B251" s="4">
        <f>(parametros_manuales!$D$25*('Plan mensual'!D101+IF(parametros_manuales!$H$25="Todos",'Plan mensual'!D105,0))+parametros_manuales!$E$25*('Plan mensual'!D102+IF(parametros_manuales!$H$25="Todos",'Plan mensual'!D106,0))+parametros_manuales!$F$25*('Plan mensual'!D103+IF(parametros_manuales!$H$25="Todos",'Plan mensual'!D107,0))+parametros_manuales!$G$25*('Plan mensual'!D104+IF(parametros_manuales!$H$25="Todos",'Plan mensual'!D108,0)))*parametros_manuales!$I$25*parametros_manuales!$J$25</f>
        <v>32475.72</v>
      </c>
      <c r="C251" s="4">
        <f>(parametros_manuales!$D$25*('Plan mensual'!E101+IF(parametros_manuales!$H$25="Todos",'Plan mensual'!E105,0))+parametros_manuales!$E$25*('Plan mensual'!E102+IF(parametros_manuales!$H$25="Todos",'Plan mensual'!E106,0))+parametros_manuales!$F$25*('Plan mensual'!E103+IF(parametros_manuales!$H$25="Todos",'Plan mensual'!E107,0))+parametros_manuales!$G$25*('Plan mensual'!E104+IF(parametros_manuales!$H$25="Todos",'Plan mensual'!E108,0)))*parametros_manuales!$I$25*parametros_manuales!$J$25</f>
        <v>24764.85</v>
      </c>
      <c r="D251" s="4">
        <f>(parametros_manuales!$D$25*('Plan mensual'!F101+IF(parametros_manuales!$H$25="Todos",'Plan mensual'!F105,0))+parametros_manuales!$E$25*('Plan mensual'!F102+IF(parametros_manuales!$H$25="Todos",'Plan mensual'!F106,0))+parametros_manuales!$F$25*('Plan mensual'!F103+IF(parametros_manuales!$H$25="Todos",'Plan mensual'!F107,0))+parametros_manuales!$G$25*('Plan mensual'!F104+IF(parametros_manuales!$H$25="Todos",'Plan mensual'!F108,0)))*parametros_manuales!$I$25*parametros_manuales!$J$25</f>
        <v>23146.7</v>
      </c>
      <c r="E251" s="4">
        <f>(parametros_manuales!$D$25*('Plan mensual'!G101+IF(parametros_manuales!$H$25="Todos",'Plan mensual'!G105,0))+parametros_manuales!$E$25*('Plan mensual'!G102+IF(parametros_manuales!$H$25="Todos",'Plan mensual'!G106,0))+parametros_manuales!$F$25*('Plan mensual'!G103+IF(parametros_manuales!$H$25="Todos",'Plan mensual'!G107,0))+parametros_manuales!$G$25*('Plan mensual'!G104+IF(parametros_manuales!$H$25="Todos",'Plan mensual'!G108,0)))*parametros_manuales!$I$25*parametros_manuales!$J$25</f>
        <v>22133.595</v>
      </c>
      <c r="F251" s="4">
        <f>(parametros_manuales!$D$25*('Plan mensual'!H101+IF(parametros_manuales!$H$25="Todos",'Plan mensual'!H105,0))+parametros_manuales!$E$25*('Plan mensual'!H102+IF(parametros_manuales!$H$25="Todos",'Plan mensual'!H106,0))+parametros_manuales!$F$25*('Plan mensual'!H103+IF(parametros_manuales!$H$25="Todos",'Plan mensual'!H107,0))+parametros_manuales!$G$25*('Plan mensual'!H104+IF(parametros_manuales!$H$25="Todos",'Plan mensual'!H108,0)))*parametros_manuales!$I$25*parametros_manuales!$J$25</f>
        <v>20712.43</v>
      </c>
      <c r="G251" s="4">
        <f>(parametros_manuales!$D$25*('Plan mensual'!I101+IF(parametros_manuales!$H$25="Todos",'Plan mensual'!I105,0))+parametros_manuales!$E$25*('Plan mensual'!I102+IF(parametros_manuales!$H$25="Todos",'Plan mensual'!I106,0))+parametros_manuales!$F$25*('Plan mensual'!I103+IF(parametros_manuales!$H$25="Todos",'Plan mensual'!I107,0))+parametros_manuales!$G$25*('Plan mensual'!I104+IF(parametros_manuales!$H$25="Todos",'Plan mensual'!I108,0)))*parametros_manuales!$I$25*parametros_manuales!$J$25</f>
        <v>20304.37</v>
      </c>
      <c r="H251" s="4">
        <f>(parametros_manuales!$D$25*('Plan mensual'!J101+IF(parametros_manuales!$H$25="Todos",'Plan mensual'!J105,0))+parametros_manuales!$E$25*('Plan mensual'!J102+IF(parametros_manuales!$H$25="Todos",'Plan mensual'!J106,0))+parametros_manuales!$F$25*('Plan mensual'!J103+IF(parametros_manuales!$H$25="Todos",'Plan mensual'!J107,0))+parametros_manuales!$G$25*('Plan mensual'!J104+IF(parametros_manuales!$H$25="Todos",'Plan mensual'!J108,0)))*parametros_manuales!$I$25*parametros_manuales!$J$25</f>
        <v>21725.535</v>
      </c>
      <c r="I251" s="4">
        <f>(parametros_manuales!$D$25*('Plan mensual'!K101+IF(parametros_manuales!$H$25="Todos",'Plan mensual'!K105,0))+parametros_manuales!$E$25*('Plan mensual'!K102+IF(parametros_manuales!$H$25="Todos",'Plan mensual'!K106,0))+parametros_manuales!$F$25*('Plan mensual'!K103+IF(parametros_manuales!$H$25="Todos",'Plan mensual'!K107,0))+parametros_manuales!$G$25*('Plan mensual'!K104+IF(parametros_manuales!$H$25="Todos",'Plan mensual'!K108,0)))*parametros_manuales!$I$25*parametros_manuales!$J$25</f>
        <v>21725.535</v>
      </c>
      <c r="J251" s="4">
        <f>(parametros_manuales!$D$25*('Plan mensual'!L101+IF(parametros_manuales!$H$25="Todos",'Plan mensual'!L105,0))+parametros_manuales!$E$25*('Plan mensual'!L102+IF(parametros_manuales!$H$25="Todos",'Plan mensual'!L106,0))+parametros_manuales!$F$25*('Plan mensual'!L103+IF(parametros_manuales!$H$25="Todos",'Plan mensual'!L107,0))+parametros_manuales!$G$25*('Plan mensual'!L104+IF(parametros_manuales!$H$25="Todos",'Plan mensual'!L108,0)))*parametros_manuales!$I$25*parametros_manuales!$J$25</f>
        <v>21725.535</v>
      </c>
      <c r="K251" s="4">
        <f>(parametros_manuales!$D$25*('Plan mensual'!M101+IF(parametros_manuales!$H$25="Todos",'Plan mensual'!M105,0))+parametros_manuales!$E$25*('Plan mensual'!M102+IF(parametros_manuales!$H$25="Todos",'Plan mensual'!M106,0))+parametros_manuales!$F$25*('Plan mensual'!M103+IF(parametros_manuales!$H$25="Todos",'Plan mensual'!M107,0))+parametros_manuales!$G$25*('Plan mensual'!M104+IF(parametros_manuales!$H$25="Todos",'Plan mensual'!M108,0)))*parametros_manuales!$I$25*parametros_manuales!$J$25</f>
        <v>21317.475</v>
      </c>
      <c r="L251" s="4">
        <f>(parametros_manuales!$D$25*('Plan mensual'!N101+IF(parametros_manuales!$H$25="Todos",'Plan mensual'!N105,0))+parametros_manuales!$E$25*('Plan mensual'!N102+IF(parametros_manuales!$H$25="Todos",'Plan mensual'!N106,0))+parametros_manuales!$F$25*('Plan mensual'!N103+IF(parametros_manuales!$H$25="Todos",'Plan mensual'!N107,0))+parametros_manuales!$G$25*('Plan mensual'!N104+IF(parametros_manuales!$H$25="Todos",'Plan mensual'!N108,0)))*parametros_manuales!$I$25*parametros_manuales!$J$25</f>
        <v>20909.415</v>
      </c>
      <c r="M251" s="4">
        <f>(parametros_manuales!$D$25*('Plan mensual'!O101+IF(parametros_manuales!$H$25="Todos",'Plan mensual'!O105,0))+parametros_manuales!$E$25*('Plan mensual'!O102+IF(parametros_manuales!$H$25="Todos",'Plan mensual'!O106,0))+parametros_manuales!$F$25*('Plan mensual'!O103+IF(parametros_manuales!$H$25="Todos",'Plan mensual'!O107,0))+parametros_manuales!$G$25*('Plan mensual'!O104+IF(parametros_manuales!$H$25="Todos",'Plan mensual'!O108,0)))*parametros_manuales!$I$25*parametros_manuales!$J$25</f>
        <v>33291.84</v>
      </c>
      <c r="N251" s="4">
        <f t="shared" si="28"/>
        <v>284233</v>
      </c>
      <c r="O251" s="4">
        <f t="shared" si="29"/>
        <v>33291.84</v>
      </c>
      <c r="P251" s="27">
        <f>O251/(parametros_manuales!$B$7)</f>
        <v>221.9456</v>
      </c>
      <c r="Q251" s="3" t="str">
        <f t="shared" si="30"/>
        <v>Dic</v>
      </c>
    </row>
    <row r="252" ht="14.25" customHeight="1">
      <c r="A252" s="3" t="str">
        <f>parametros_manuales!$B$26</f>
        <v>Cilindrado</v>
      </c>
      <c r="B252" s="4">
        <f>(parametros_manuales!$D$26*('Plan mensual'!D101+IF(parametros_manuales!$H$26="Todos",'Plan mensual'!D105,0))+parametros_manuales!$E$26*('Plan mensual'!D102+IF(parametros_manuales!$H$26="Todos",'Plan mensual'!D106,0))+parametros_manuales!$F$26*('Plan mensual'!D103+IF(parametros_manuales!$H$26="Todos",'Plan mensual'!D107,0))+parametros_manuales!$G$26*('Plan mensual'!D104+IF(parametros_manuales!$H$26="Todos",'Plan mensual'!D108,0)))*parametros_manuales!$I$26*parametros_manuales!$J$26</f>
        <v>8161.2</v>
      </c>
      <c r="C252" s="4">
        <f>(parametros_manuales!$D$26*('Plan mensual'!E101+IF(parametros_manuales!$H$26="Todos",'Plan mensual'!E105,0))+parametros_manuales!$E$26*('Plan mensual'!E102+IF(parametros_manuales!$H$26="Todos",'Plan mensual'!E106,0))+parametros_manuales!$F$26*('Plan mensual'!E103+IF(parametros_manuales!$H$26="Todos",'Plan mensual'!E107,0))+parametros_manuales!$G$26*('Plan mensual'!E104+IF(parametros_manuales!$H$26="Todos",'Plan mensual'!E108,0)))*parametros_manuales!$I$26*parametros_manuales!$J$26</f>
        <v>6528.96</v>
      </c>
      <c r="D252" s="4">
        <f>(parametros_manuales!$D$26*('Plan mensual'!F101+IF(parametros_manuales!$H$26="Todos",'Plan mensual'!F105,0))+parametros_manuales!$E$26*('Plan mensual'!F102+IF(parametros_manuales!$H$26="Todos",'Plan mensual'!F106,0))+parametros_manuales!$F$26*('Plan mensual'!F103+IF(parametros_manuales!$H$26="Todos",'Plan mensual'!F107,0))+parametros_manuales!$G$26*('Plan mensual'!F104+IF(parametros_manuales!$H$26="Todos",'Plan mensual'!F108,0)))*parametros_manuales!$I$26*parametros_manuales!$J$26</f>
        <v>6937.02</v>
      </c>
      <c r="E252" s="4">
        <f>(parametros_manuales!$D$26*('Plan mensual'!G101+IF(parametros_manuales!$H$26="Todos",'Plan mensual'!G105,0))+parametros_manuales!$E$26*('Plan mensual'!G102+IF(parametros_manuales!$H$26="Todos",'Plan mensual'!G106,0))+parametros_manuales!$F$26*('Plan mensual'!G103+IF(parametros_manuales!$H$26="Todos",'Plan mensual'!G107,0))+parametros_manuales!$G$26*('Plan mensual'!G104+IF(parametros_manuales!$H$26="Todos",'Plan mensual'!G108,0)))*parametros_manuales!$I$26*parametros_manuales!$J$26</f>
        <v>6937.02</v>
      </c>
      <c r="F252" s="4">
        <f>(parametros_manuales!$D$26*('Plan mensual'!H101+IF(parametros_manuales!$H$26="Todos",'Plan mensual'!H105,0))+parametros_manuales!$E$26*('Plan mensual'!H102+IF(parametros_manuales!$H$26="Todos",'Plan mensual'!H106,0))+parametros_manuales!$F$26*('Plan mensual'!H103+IF(parametros_manuales!$H$26="Todos",'Plan mensual'!H107,0))+parametros_manuales!$G$26*('Plan mensual'!H104+IF(parametros_manuales!$H$26="Todos",'Plan mensual'!H108,0)))*parametros_manuales!$I$26*parametros_manuales!$J$26</f>
        <v>6528.96</v>
      </c>
      <c r="G252" s="4">
        <f>(parametros_manuales!$D$26*('Plan mensual'!I101+IF(parametros_manuales!$H$26="Todos",'Plan mensual'!I105,0))+parametros_manuales!$E$26*('Plan mensual'!I102+IF(parametros_manuales!$H$26="Todos",'Plan mensual'!I106,0))+parametros_manuales!$F$26*('Plan mensual'!I103+IF(parametros_manuales!$H$26="Todos",'Plan mensual'!I107,0))+parametros_manuales!$G$26*('Plan mensual'!I104+IF(parametros_manuales!$H$26="Todos",'Plan mensual'!I108,0)))*parametros_manuales!$I$26*parametros_manuales!$J$26</f>
        <v>6120.9</v>
      </c>
      <c r="H252" s="4">
        <f>(parametros_manuales!$D$26*('Plan mensual'!J101+IF(parametros_manuales!$H$26="Todos",'Plan mensual'!J105,0))+parametros_manuales!$E$26*('Plan mensual'!J102+IF(parametros_manuales!$H$26="Todos",'Plan mensual'!J106,0))+parametros_manuales!$F$26*('Plan mensual'!J103+IF(parametros_manuales!$H$26="Todos",'Plan mensual'!J107,0))+parametros_manuales!$G$26*('Plan mensual'!J104+IF(parametros_manuales!$H$26="Todos",'Plan mensual'!J108,0)))*parametros_manuales!$I$26*parametros_manuales!$J$26</f>
        <v>6528.96</v>
      </c>
      <c r="I252" s="4">
        <f>(parametros_manuales!$D$26*('Plan mensual'!K101+IF(parametros_manuales!$H$26="Todos",'Plan mensual'!K105,0))+parametros_manuales!$E$26*('Plan mensual'!K102+IF(parametros_manuales!$H$26="Todos",'Plan mensual'!K106,0))+parametros_manuales!$F$26*('Plan mensual'!K103+IF(parametros_manuales!$H$26="Todos",'Plan mensual'!K107,0))+parametros_manuales!$G$26*('Plan mensual'!K104+IF(parametros_manuales!$H$26="Todos",'Plan mensual'!K108,0)))*parametros_manuales!$I$26*parametros_manuales!$J$26</f>
        <v>6528.96</v>
      </c>
      <c r="J252" s="4">
        <f>(parametros_manuales!$D$26*('Plan mensual'!L101+IF(parametros_manuales!$H$26="Todos",'Plan mensual'!L105,0))+parametros_manuales!$E$26*('Plan mensual'!L102+IF(parametros_manuales!$H$26="Todos",'Plan mensual'!L106,0))+parametros_manuales!$F$26*('Plan mensual'!L103+IF(parametros_manuales!$H$26="Todos",'Plan mensual'!L107,0))+parametros_manuales!$G$26*('Plan mensual'!L104+IF(parametros_manuales!$H$26="Todos",'Plan mensual'!L108,0)))*parametros_manuales!$I$26*parametros_manuales!$J$26</f>
        <v>6528.96</v>
      </c>
      <c r="K252" s="4">
        <f>(parametros_manuales!$D$26*('Plan mensual'!M101+IF(parametros_manuales!$H$26="Todos",'Plan mensual'!M105,0))+parametros_manuales!$E$26*('Plan mensual'!M102+IF(parametros_manuales!$H$26="Todos",'Plan mensual'!M106,0))+parametros_manuales!$F$26*('Plan mensual'!M103+IF(parametros_manuales!$H$26="Todos",'Plan mensual'!M107,0))+parametros_manuales!$G$26*('Plan mensual'!M104+IF(parametros_manuales!$H$26="Todos",'Plan mensual'!M108,0)))*parametros_manuales!$I$26*parametros_manuales!$J$26</f>
        <v>6120.9</v>
      </c>
      <c r="L252" s="4">
        <f>(parametros_manuales!$D$26*('Plan mensual'!N101+IF(parametros_manuales!$H$26="Todos",'Plan mensual'!N105,0))+parametros_manuales!$E$26*('Plan mensual'!N102+IF(parametros_manuales!$H$26="Todos",'Plan mensual'!N106,0))+parametros_manuales!$F$26*('Plan mensual'!N103+IF(parametros_manuales!$H$26="Todos",'Plan mensual'!N107,0))+parametros_manuales!$G$26*('Plan mensual'!N104+IF(parametros_manuales!$H$26="Todos",'Plan mensual'!N108,0)))*parametros_manuales!$I$26*parametros_manuales!$J$26</f>
        <v>5712.84</v>
      </c>
      <c r="M252" s="4">
        <f>(parametros_manuales!$D$26*('Plan mensual'!O101+IF(parametros_manuales!$H$26="Todos",'Plan mensual'!O105,0))+parametros_manuales!$E$26*('Plan mensual'!O102+IF(parametros_manuales!$H$26="Todos",'Plan mensual'!O106,0))+parametros_manuales!$F$26*('Plan mensual'!O103+IF(parametros_manuales!$H$26="Todos",'Plan mensual'!O107,0))+parametros_manuales!$G$26*('Plan mensual'!O104+IF(parametros_manuales!$H$26="Todos",'Plan mensual'!O108,0)))*parametros_manuales!$I$26*parametros_manuales!$J$26</f>
        <v>8977.32</v>
      </c>
      <c r="N252" s="4">
        <f t="shared" si="28"/>
        <v>81612</v>
      </c>
      <c r="O252" s="4">
        <f t="shared" si="29"/>
        <v>8977.32</v>
      </c>
      <c r="P252" s="27">
        <f>O252/(parametros_manuales!$B$7)</f>
        <v>59.8488</v>
      </c>
      <c r="Q252" s="3" t="str">
        <f t="shared" si="30"/>
        <v>Dic</v>
      </c>
    </row>
    <row r="253" ht="14.25" customHeight="1">
      <c r="A253" s="3" t="str">
        <f>parametros_manuales!$B$27</f>
        <v>Soldadura longitudinal</v>
      </c>
      <c r="B253" s="4">
        <f>(parametros_manuales!$D$27*('Plan mensual'!D101+IF(parametros_manuales!$H$27="Todos",'Plan mensual'!D105,0))+parametros_manuales!$E$27*('Plan mensual'!D102+IF(parametros_manuales!$H$27="Todos",'Plan mensual'!D106,0))+parametros_manuales!$F$27*('Plan mensual'!D103+IF(parametros_manuales!$H$27="Todos",'Plan mensual'!D107,0))+parametros_manuales!$G$27*('Plan mensual'!D104+IF(parametros_manuales!$H$27="Todos",'Plan mensual'!D108,0)))*parametros_manuales!$I$27*parametros_manuales!$J$27</f>
        <v>8161.2</v>
      </c>
      <c r="C253" s="4">
        <f>(parametros_manuales!$D$27*('Plan mensual'!E101+IF(parametros_manuales!$H$27="Todos",'Plan mensual'!E105,0))+parametros_manuales!$E$27*('Plan mensual'!E102+IF(parametros_manuales!$H$27="Todos",'Plan mensual'!E106,0))+parametros_manuales!$F$27*('Plan mensual'!E103+IF(parametros_manuales!$H$27="Todos",'Plan mensual'!E107,0))+parametros_manuales!$G$27*('Plan mensual'!E104+IF(parametros_manuales!$H$27="Todos",'Plan mensual'!E108,0)))*parametros_manuales!$I$27*parametros_manuales!$J$27</f>
        <v>6528.96</v>
      </c>
      <c r="D253" s="4">
        <f>(parametros_manuales!$D$27*('Plan mensual'!F101+IF(parametros_manuales!$H$27="Todos",'Plan mensual'!F105,0))+parametros_manuales!$E$27*('Plan mensual'!F102+IF(parametros_manuales!$H$27="Todos",'Plan mensual'!F106,0))+parametros_manuales!$F$27*('Plan mensual'!F103+IF(parametros_manuales!$H$27="Todos",'Plan mensual'!F107,0))+parametros_manuales!$G$27*('Plan mensual'!F104+IF(parametros_manuales!$H$27="Todos",'Plan mensual'!F108,0)))*parametros_manuales!$I$27*parametros_manuales!$J$27</f>
        <v>6937.02</v>
      </c>
      <c r="E253" s="4">
        <f>(parametros_manuales!$D$27*('Plan mensual'!G101+IF(parametros_manuales!$H$27="Todos",'Plan mensual'!G105,0))+parametros_manuales!$E$27*('Plan mensual'!G102+IF(parametros_manuales!$H$27="Todos",'Plan mensual'!G106,0))+parametros_manuales!$F$27*('Plan mensual'!G103+IF(parametros_manuales!$H$27="Todos",'Plan mensual'!G107,0))+parametros_manuales!$G$27*('Plan mensual'!G104+IF(parametros_manuales!$H$27="Todos",'Plan mensual'!G108,0)))*parametros_manuales!$I$27*parametros_manuales!$J$27</f>
        <v>6937.02</v>
      </c>
      <c r="F253" s="4">
        <f>(parametros_manuales!$D$27*('Plan mensual'!H101+IF(parametros_manuales!$H$27="Todos",'Plan mensual'!H105,0))+parametros_manuales!$E$27*('Plan mensual'!H102+IF(parametros_manuales!$H$27="Todos",'Plan mensual'!H106,0))+parametros_manuales!$F$27*('Plan mensual'!H103+IF(parametros_manuales!$H$27="Todos",'Plan mensual'!H107,0))+parametros_manuales!$G$27*('Plan mensual'!H104+IF(parametros_manuales!$H$27="Todos",'Plan mensual'!H108,0)))*parametros_manuales!$I$27*parametros_manuales!$J$27</f>
        <v>6528.96</v>
      </c>
      <c r="G253" s="4">
        <f>(parametros_manuales!$D$27*('Plan mensual'!I101+IF(parametros_manuales!$H$27="Todos",'Plan mensual'!I105,0))+parametros_manuales!$E$27*('Plan mensual'!I102+IF(parametros_manuales!$H$27="Todos",'Plan mensual'!I106,0))+parametros_manuales!$F$27*('Plan mensual'!I103+IF(parametros_manuales!$H$27="Todos",'Plan mensual'!I107,0))+parametros_manuales!$G$27*('Plan mensual'!I104+IF(parametros_manuales!$H$27="Todos",'Plan mensual'!I108,0)))*parametros_manuales!$I$27*parametros_manuales!$J$27</f>
        <v>6120.9</v>
      </c>
      <c r="H253" s="4">
        <f>(parametros_manuales!$D$27*('Plan mensual'!J101+IF(parametros_manuales!$H$27="Todos",'Plan mensual'!J105,0))+parametros_manuales!$E$27*('Plan mensual'!J102+IF(parametros_manuales!$H$27="Todos",'Plan mensual'!J106,0))+parametros_manuales!$F$27*('Plan mensual'!J103+IF(parametros_manuales!$H$27="Todos",'Plan mensual'!J107,0))+parametros_manuales!$G$27*('Plan mensual'!J104+IF(parametros_manuales!$H$27="Todos",'Plan mensual'!J108,0)))*parametros_manuales!$I$27*parametros_manuales!$J$27</f>
        <v>6528.96</v>
      </c>
      <c r="I253" s="4">
        <f>(parametros_manuales!$D$27*('Plan mensual'!K101+IF(parametros_manuales!$H$27="Todos",'Plan mensual'!K105,0))+parametros_manuales!$E$27*('Plan mensual'!K102+IF(parametros_manuales!$H$27="Todos",'Plan mensual'!K106,0))+parametros_manuales!$F$27*('Plan mensual'!K103+IF(parametros_manuales!$H$27="Todos",'Plan mensual'!K107,0))+parametros_manuales!$G$27*('Plan mensual'!K104+IF(parametros_manuales!$H$27="Todos",'Plan mensual'!K108,0)))*parametros_manuales!$I$27*parametros_manuales!$J$27</f>
        <v>6528.96</v>
      </c>
      <c r="J253" s="4">
        <f>(parametros_manuales!$D$27*('Plan mensual'!L101+IF(parametros_manuales!$H$27="Todos",'Plan mensual'!L105,0))+parametros_manuales!$E$27*('Plan mensual'!L102+IF(parametros_manuales!$H$27="Todos",'Plan mensual'!L106,0))+parametros_manuales!$F$27*('Plan mensual'!L103+IF(parametros_manuales!$H$27="Todos",'Plan mensual'!L107,0))+parametros_manuales!$G$27*('Plan mensual'!L104+IF(parametros_manuales!$H$27="Todos",'Plan mensual'!L108,0)))*parametros_manuales!$I$27*parametros_manuales!$J$27</f>
        <v>6528.96</v>
      </c>
      <c r="K253" s="4">
        <f>(parametros_manuales!$D$27*('Plan mensual'!M101+IF(parametros_manuales!$H$27="Todos",'Plan mensual'!M105,0))+parametros_manuales!$E$27*('Plan mensual'!M102+IF(parametros_manuales!$H$27="Todos",'Plan mensual'!M106,0))+parametros_manuales!$F$27*('Plan mensual'!M103+IF(parametros_manuales!$H$27="Todos",'Plan mensual'!M107,0))+parametros_manuales!$G$27*('Plan mensual'!M104+IF(parametros_manuales!$H$27="Todos",'Plan mensual'!M108,0)))*parametros_manuales!$I$27*parametros_manuales!$J$27</f>
        <v>6120.9</v>
      </c>
      <c r="L253" s="4">
        <f>(parametros_manuales!$D$27*('Plan mensual'!N101+IF(parametros_manuales!$H$27="Todos",'Plan mensual'!N105,0))+parametros_manuales!$E$27*('Plan mensual'!N102+IF(parametros_manuales!$H$27="Todos",'Plan mensual'!N106,0))+parametros_manuales!$F$27*('Plan mensual'!N103+IF(parametros_manuales!$H$27="Todos",'Plan mensual'!N107,0))+parametros_manuales!$G$27*('Plan mensual'!N104+IF(parametros_manuales!$H$27="Todos",'Plan mensual'!N108,0)))*parametros_manuales!$I$27*parametros_manuales!$J$27</f>
        <v>5712.84</v>
      </c>
      <c r="M253" s="4">
        <f>(parametros_manuales!$D$27*('Plan mensual'!O101+IF(parametros_manuales!$H$27="Todos",'Plan mensual'!O105,0))+parametros_manuales!$E$27*('Plan mensual'!O102+IF(parametros_manuales!$H$27="Todos",'Plan mensual'!O106,0))+parametros_manuales!$F$27*('Plan mensual'!O103+IF(parametros_manuales!$H$27="Todos",'Plan mensual'!O107,0))+parametros_manuales!$G$27*('Plan mensual'!O104+IF(parametros_manuales!$H$27="Todos",'Plan mensual'!O108,0)))*parametros_manuales!$I$27*parametros_manuales!$J$27</f>
        <v>8977.32</v>
      </c>
      <c r="N253" s="4">
        <f t="shared" si="28"/>
        <v>81612</v>
      </c>
      <c r="O253" s="4">
        <f t="shared" si="29"/>
        <v>8977.32</v>
      </c>
      <c r="P253" s="27">
        <f>O253/(parametros_manuales!$B$7)</f>
        <v>59.8488</v>
      </c>
      <c r="Q253" s="3" t="str">
        <f t="shared" si="30"/>
        <v>Dic</v>
      </c>
    </row>
    <row r="254" ht="14.25" customHeight="1">
      <c r="A254" s="3" t="str">
        <f>parametros_manuales!$B$28</f>
        <v>Encastre de fondo</v>
      </c>
      <c r="B254" s="4">
        <f>(parametros_manuales!$D$28*('Plan mensual'!D101+IF(parametros_manuales!$H$28="Todos",'Plan mensual'!D105,0))+parametros_manuales!$E$28*('Plan mensual'!D102+IF(parametros_manuales!$H$28="Todos",'Plan mensual'!D106,0))+parametros_manuales!$F$28*('Plan mensual'!D103+IF(parametros_manuales!$H$28="Todos",'Plan mensual'!D107,0))+parametros_manuales!$G$28*('Plan mensual'!D104+IF(parametros_manuales!$H$28="Todos",'Plan mensual'!D108,0)))*parametros_manuales!$I$28*parametros_manuales!$J$28</f>
        <v>32475.72</v>
      </c>
      <c r="C254" s="4">
        <f>(parametros_manuales!$D$28*('Plan mensual'!E101+IF(parametros_manuales!$H$28="Todos",'Plan mensual'!E105,0))+parametros_manuales!$E$28*('Plan mensual'!E102+IF(parametros_manuales!$H$28="Todos",'Plan mensual'!E106,0))+parametros_manuales!$F$28*('Plan mensual'!E103+IF(parametros_manuales!$H$28="Todos",'Plan mensual'!E107,0))+parametros_manuales!$G$28*('Plan mensual'!E104+IF(parametros_manuales!$H$28="Todos",'Plan mensual'!E108,0)))*parametros_manuales!$I$28*parametros_manuales!$J$28</f>
        <v>24764.85</v>
      </c>
      <c r="D254" s="4">
        <f>(parametros_manuales!$D$28*('Plan mensual'!F101+IF(parametros_manuales!$H$28="Todos",'Plan mensual'!F105,0))+parametros_manuales!$E$28*('Plan mensual'!F102+IF(parametros_manuales!$H$28="Todos",'Plan mensual'!F106,0))+parametros_manuales!$F$28*('Plan mensual'!F103+IF(parametros_manuales!$H$28="Todos",'Plan mensual'!F107,0))+parametros_manuales!$G$28*('Plan mensual'!F104+IF(parametros_manuales!$H$28="Todos",'Plan mensual'!F108,0)))*parametros_manuales!$I$28*parametros_manuales!$J$28</f>
        <v>23146.7</v>
      </c>
      <c r="E254" s="4">
        <f>(parametros_manuales!$D$28*('Plan mensual'!G101+IF(parametros_manuales!$H$28="Todos",'Plan mensual'!G105,0))+parametros_manuales!$E$28*('Plan mensual'!G102+IF(parametros_manuales!$H$28="Todos",'Plan mensual'!G106,0))+parametros_manuales!$F$28*('Plan mensual'!G103+IF(parametros_manuales!$H$28="Todos",'Plan mensual'!G107,0))+parametros_manuales!$G$28*('Plan mensual'!G104+IF(parametros_manuales!$H$28="Todos",'Plan mensual'!G108,0)))*parametros_manuales!$I$28*parametros_manuales!$J$28</f>
        <v>22133.595</v>
      </c>
      <c r="F254" s="4">
        <f>(parametros_manuales!$D$28*('Plan mensual'!H101+IF(parametros_manuales!$H$28="Todos",'Plan mensual'!H105,0))+parametros_manuales!$E$28*('Plan mensual'!H102+IF(parametros_manuales!$H$28="Todos",'Plan mensual'!H106,0))+parametros_manuales!$F$28*('Plan mensual'!H103+IF(parametros_manuales!$H$28="Todos",'Plan mensual'!H107,0))+parametros_manuales!$G$28*('Plan mensual'!H104+IF(parametros_manuales!$H$28="Todos",'Plan mensual'!H108,0)))*parametros_manuales!$I$28*parametros_manuales!$J$28</f>
        <v>20712.43</v>
      </c>
      <c r="G254" s="4">
        <f>(parametros_manuales!$D$28*('Plan mensual'!I101+IF(parametros_manuales!$H$28="Todos",'Plan mensual'!I105,0))+parametros_manuales!$E$28*('Plan mensual'!I102+IF(parametros_manuales!$H$28="Todos",'Plan mensual'!I106,0))+parametros_manuales!$F$28*('Plan mensual'!I103+IF(parametros_manuales!$H$28="Todos",'Plan mensual'!I107,0))+parametros_manuales!$G$28*('Plan mensual'!I104+IF(parametros_manuales!$H$28="Todos",'Plan mensual'!I108,0)))*parametros_manuales!$I$28*parametros_manuales!$J$28</f>
        <v>20304.37</v>
      </c>
      <c r="H254" s="4">
        <f>(parametros_manuales!$D$28*('Plan mensual'!J101+IF(parametros_manuales!$H$28="Todos",'Plan mensual'!J105,0))+parametros_manuales!$E$28*('Plan mensual'!J102+IF(parametros_manuales!$H$28="Todos",'Plan mensual'!J106,0))+parametros_manuales!$F$28*('Plan mensual'!J103+IF(parametros_manuales!$H$28="Todos",'Plan mensual'!J107,0))+parametros_manuales!$G$28*('Plan mensual'!J104+IF(parametros_manuales!$H$28="Todos",'Plan mensual'!J108,0)))*parametros_manuales!$I$28*parametros_manuales!$J$28</f>
        <v>21725.535</v>
      </c>
      <c r="I254" s="4">
        <f>(parametros_manuales!$D$28*('Plan mensual'!K101+IF(parametros_manuales!$H$28="Todos",'Plan mensual'!K105,0))+parametros_manuales!$E$28*('Plan mensual'!K102+IF(parametros_manuales!$H$28="Todos",'Plan mensual'!K106,0))+parametros_manuales!$F$28*('Plan mensual'!K103+IF(parametros_manuales!$H$28="Todos",'Plan mensual'!K107,0))+parametros_manuales!$G$28*('Plan mensual'!K104+IF(parametros_manuales!$H$28="Todos",'Plan mensual'!K108,0)))*parametros_manuales!$I$28*parametros_manuales!$J$28</f>
        <v>21725.535</v>
      </c>
      <c r="J254" s="4">
        <f>(parametros_manuales!$D$28*('Plan mensual'!L101+IF(parametros_manuales!$H$28="Todos",'Plan mensual'!L105,0))+parametros_manuales!$E$28*('Plan mensual'!L102+IF(parametros_manuales!$H$28="Todos",'Plan mensual'!L106,0))+parametros_manuales!$F$28*('Plan mensual'!L103+IF(parametros_manuales!$H$28="Todos",'Plan mensual'!L107,0))+parametros_manuales!$G$28*('Plan mensual'!L104+IF(parametros_manuales!$H$28="Todos",'Plan mensual'!L108,0)))*parametros_manuales!$I$28*parametros_manuales!$J$28</f>
        <v>21725.535</v>
      </c>
      <c r="K254" s="4">
        <f>(parametros_manuales!$D$28*('Plan mensual'!M101+IF(parametros_manuales!$H$28="Todos",'Plan mensual'!M105,0))+parametros_manuales!$E$28*('Plan mensual'!M102+IF(parametros_manuales!$H$28="Todos",'Plan mensual'!M106,0))+parametros_manuales!$F$28*('Plan mensual'!M103+IF(parametros_manuales!$H$28="Todos",'Plan mensual'!M107,0))+parametros_manuales!$G$28*('Plan mensual'!M104+IF(parametros_manuales!$H$28="Todos",'Plan mensual'!M108,0)))*parametros_manuales!$I$28*parametros_manuales!$J$28</f>
        <v>21317.475</v>
      </c>
      <c r="L254" s="4">
        <f>(parametros_manuales!$D$28*('Plan mensual'!N101+IF(parametros_manuales!$H$28="Todos",'Plan mensual'!N105,0))+parametros_manuales!$E$28*('Plan mensual'!N102+IF(parametros_manuales!$H$28="Todos",'Plan mensual'!N106,0))+parametros_manuales!$F$28*('Plan mensual'!N103+IF(parametros_manuales!$H$28="Todos",'Plan mensual'!N107,0))+parametros_manuales!$G$28*('Plan mensual'!N104+IF(parametros_manuales!$H$28="Todos",'Plan mensual'!N108,0)))*parametros_manuales!$I$28*parametros_manuales!$J$28</f>
        <v>20909.415</v>
      </c>
      <c r="M254" s="4">
        <f>(parametros_manuales!$D$28*('Plan mensual'!O101+IF(parametros_manuales!$H$28="Todos",'Plan mensual'!O105,0))+parametros_manuales!$E$28*('Plan mensual'!O102+IF(parametros_manuales!$H$28="Todos",'Plan mensual'!O106,0))+parametros_manuales!$F$28*('Plan mensual'!O103+IF(parametros_manuales!$H$28="Todos",'Plan mensual'!O107,0))+parametros_manuales!$G$28*('Plan mensual'!O104+IF(parametros_manuales!$H$28="Todos",'Plan mensual'!O108,0)))*parametros_manuales!$I$28*parametros_manuales!$J$28</f>
        <v>33291.84</v>
      </c>
      <c r="N254" s="4">
        <f t="shared" si="28"/>
        <v>284233</v>
      </c>
      <c r="O254" s="4">
        <f t="shared" si="29"/>
        <v>33291.84</v>
      </c>
      <c r="P254" s="27">
        <f>O254/(parametros_manuales!$B$7)</f>
        <v>221.9456</v>
      </c>
      <c r="Q254" s="3" t="str">
        <f t="shared" si="30"/>
        <v>Dic</v>
      </c>
    </row>
    <row r="255" ht="14.25" customHeight="1">
      <c r="A255" s="3" t="str">
        <f>parametros_manuales!$B$29</f>
        <v>Bordoneado</v>
      </c>
      <c r="B255" s="4">
        <f>(parametros_manuales!$D$29*('Plan mensual'!D101+IF(parametros_manuales!$H$29="Todos",'Plan mensual'!D105,0))+parametros_manuales!$E$29*('Plan mensual'!D102+IF(parametros_manuales!$H$29="Todos",'Plan mensual'!D106,0))+parametros_manuales!$F$29*('Plan mensual'!D103+IF(parametros_manuales!$H$29="Todos",'Plan mensual'!D107,0))+parametros_manuales!$G$29*('Plan mensual'!D104+IF(parametros_manuales!$H$29="Todos",'Plan mensual'!D108,0)))*parametros_manuales!$I$29*parametros_manuales!$J$29</f>
        <v>32475.72</v>
      </c>
      <c r="C255" s="4">
        <f>(parametros_manuales!$D$29*('Plan mensual'!E101+IF(parametros_manuales!$H$29="Todos",'Plan mensual'!E105,0))+parametros_manuales!$E$29*('Plan mensual'!E102+IF(parametros_manuales!$H$29="Todos",'Plan mensual'!E106,0))+parametros_manuales!$F$29*('Plan mensual'!E103+IF(parametros_manuales!$H$29="Todos",'Plan mensual'!E107,0))+parametros_manuales!$G$29*('Plan mensual'!E104+IF(parametros_manuales!$H$29="Todos",'Plan mensual'!E108,0)))*parametros_manuales!$I$29*parametros_manuales!$J$29</f>
        <v>24764.85</v>
      </c>
      <c r="D255" s="4">
        <f>(parametros_manuales!$D$29*('Plan mensual'!F101+IF(parametros_manuales!$H$29="Todos",'Plan mensual'!F105,0))+parametros_manuales!$E$29*('Plan mensual'!F102+IF(parametros_manuales!$H$29="Todos",'Plan mensual'!F106,0))+parametros_manuales!$F$29*('Plan mensual'!F103+IF(parametros_manuales!$H$29="Todos",'Plan mensual'!F107,0))+parametros_manuales!$G$29*('Plan mensual'!F104+IF(parametros_manuales!$H$29="Todos",'Plan mensual'!F108,0)))*parametros_manuales!$I$29*parametros_manuales!$J$29</f>
        <v>23146.7</v>
      </c>
      <c r="E255" s="4">
        <f>(parametros_manuales!$D$29*('Plan mensual'!G101+IF(parametros_manuales!$H$29="Todos",'Plan mensual'!G105,0))+parametros_manuales!$E$29*('Plan mensual'!G102+IF(parametros_manuales!$H$29="Todos",'Plan mensual'!G106,0))+parametros_manuales!$F$29*('Plan mensual'!G103+IF(parametros_manuales!$H$29="Todos",'Plan mensual'!G107,0))+parametros_manuales!$G$29*('Plan mensual'!G104+IF(parametros_manuales!$H$29="Todos",'Plan mensual'!G108,0)))*parametros_manuales!$I$29*parametros_manuales!$J$29</f>
        <v>22133.595</v>
      </c>
      <c r="F255" s="4">
        <f>(parametros_manuales!$D$29*('Plan mensual'!H101+IF(parametros_manuales!$H$29="Todos",'Plan mensual'!H105,0))+parametros_manuales!$E$29*('Plan mensual'!H102+IF(parametros_manuales!$H$29="Todos",'Plan mensual'!H106,0))+parametros_manuales!$F$29*('Plan mensual'!H103+IF(parametros_manuales!$H$29="Todos",'Plan mensual'!H107,0))+parametros_manuales!$G$29*('Plan mensual'!H104+IF(parametros_manuales!$H$29="Todos",'Plan mensual'!H108,0)))*parametros_manuales!$I$29*parametros_manuales!$J$29</f>
        <v>20712.43</v>
      </c>
      <c r="G255" s="4">
        <f>(parametros_manuales!$D$29*('Plan mensual'!I101+IF(parametros_manuales!$H$29="Todos",'Plan mensual'!I105,0))+parametros_manuales!$E$29*('Plan mensual'!I102+IF(parametros_manuales!$H$29="Todos",'Plan mensual'!I106,0))+parametros_manuales!$F$29*('Plan mensual'!I103+IF(parametros_manuales!$H$29="Todos",'Plan mensual'!I107,0))+parametros_manuales!$G$29*('Plan mensual'!I104+IF(parametros_manuales!$H$29="Todos",'Plan mensual'!I108,0)))*parametros_manuales!$I$29*parametros_manuales!$J$29</f>
        <v>20304.37</v>
      </c>
      <c r="H255" s="4">
        <f>(parametros_manuales!$D$29*('Plan mensual'!J101+IF(parametros_manuales!$H$29="Todos",'Plan mensual'!J105,0))+parametros_manuales!$E$29*('Plan mensual'!J102+IF(parametros_manuales!$H$29="Todos",'Plan mensual'!J106,0))+parametros_manuales!$F$29*('Plan mensual'!J103+IF(parametros_manuales!$H$29="Todos",'Plan mensual'!J107,0))+parametros_manuales!$G$29*('Plan mensual'!J104+IF(parametros_manuales!$H$29="Todos",'Plan mensual'!J108,0)))*parametros_manuales!$I$29*parametros_manuales!$J$29</f>
        <v>21725.535</v>
      </c>
      <c r="I255" s="4">
        <f>(parametros_manuales!$D$29*('Plan mensual'!K101+IF(parametros_manuales!$H$29="Todos",'Plan mensual'!K105,0))+parametros_manuales!$E$29*('Plan mensual'!K102+IF(parametros_manuales!$H$29="Todos",'Plan mensual'!K106,0))+parametros_manuales!$F$29*('Plan mensual'!K103+IF(parametros_manuales!$H$29="Todos",'Plan mensual'!K107,0))+parametros_manuales!$G$29*('Plan mensual'!K104+IF(parametros_manuales!$H$29="Todos",'Plan mensual'!K108,0)))*parametros_manuales!$I$29*parametros_manuales!$J$29</f>
        <v>21725.535</v>
      </c>
      <c r="J255" s="4">
        <f>(parametros_manuales!$D$29*('Plan mensual'!L101+IF(parametros_manuales!$H$29="Todos",'Plan mensual'!L105,0))+parametros_manuales!$E$29*('Plan mensual'!L102+IF(parametros_manuales!$H$29="Todos",'Plan mensual'!L106,0))+parametros_manuales!$F$29*('Plan mensual'!L103+IF(parametros_manuales!$H$29="Todos",'Plan mensual'!L107,0))+parametros_manuales!$G$29*('Plan mensual'!L104+IF(parametros_manuales!$H$29="Todos",'Plan mensual'!L108,0)))*parametros_manuales!$I$29*parametros_manuales!$J$29</f>
        <v>21725.535</v>
      </c>
      <c r="K255" s="4">
        <f>(parametros_manuales!$D$29*('Plan mensual'!M101+IF(parametros_manuales!$H$29="Todos",'Plan mensual'!M105,0))+parametros_manuales!$E$29*('Plan mensual'!M102+IF(parametros_manuales!$H$29="Todos",'Plan mensual'!M106,0))+parametros_manuales!$F$29*('Plan mensual'!M103+IF(parametros_manuales!$H$29="Todos",'Plan mensual'!M107,0))+parametros_manuales!$G$29*('Plan mensual'!M104+IF(parametros_manuales!$H$29="Todos",'Plan mensual'!M108,0)))*parametros_manuales!$I$29*parametros_manuales!$J$29</f>
        <v>21317.475</v>
      </c>
      <c r="L255" s="4">
        <f>(parametros_manuales!$D$29*('Plan mensual'!N101+IF(parametros_manuales!$H$29="Todos",'Plan mensual'!N105,0))+parametros_manuales!$E$29*('Plan mensual'!N102+IF(parametros_manuales!$H$29="Todos",'Plan mensual'!N106,0))+parametros_manuales!$F$29*('Plan mensual'!N103+IF(parametros_manuales!$H$29="Todos",'Plan mensual'!N107,0))+parametros_manuales!$G$29*('Plan mensual'!N104+IF(parametros_manuales!$H$29="Todos",'Plan mensual'!N108,0)))*parametros_manuales!$I$29*parametros_manuales!$J$29</f>
        <v>20909.415</v>
      </c>
      <c r="M255" s="4">
        <f>(parametros_manuales!$D$29*('Plan mensual'!O101+IF(parametros_manuales!$H$29="Todos",'Plan mensual'!O105,0))+parametros_manuales!$E$29*('Plan mensual'!O102+IF(parametros_manuales!$H$29="Todos",'Plan mensual'!O106,0))+parametros_manuales!$F$29*('Plan mensual'!O103+IF(parametros_manuales!$H$29="Todos",'Plan mensual'!O107,0))+parametros_manuales!$G$29*('Plan mensual'!O104+IF(parametros_manuales!$H$29="Todos",'Plan mensual'!O108,0)))*parametros_manuales!$I$29*parametros_manuales!$J$29</f>
        <v>33291.84</v>
      </c>
      <c r="N255" s="4">
        <f t="shared" si="28"/>
        <v>284233</v>
      </c>
      <c r="O255" s="4">
        <f t="shared" si="29"/>
        <v>33291.84</v>
      </c>
      <c r="P255" s="27">
        <f>O255/(parametros_manuales!$B$7)</f>
        <v>221.9456</v>
      </c>
      <c r="Q255" s="3" t="str">
        <f t="shared" si="30"/>
        <v>Dic</v>
      </c>
    </row>
    <row r="256" ht="14.25" customHeight="1">
      <c r="A256" s="3" t="str">
        <f>parametros_manuales!$B$30</f>
        <v>Soldadura circunferencial de cúpula y fondo</v>
      </c>
      <c r="B256" s="4">
        <f>(parametros_manuales!$D$30*('Plan mensual'!D101+IF(parametros_manuales!$H$30="Todos",'Plan mensual'!D105,0))+parametros_manuales!$E$30*('Plan mensual'!D102+IF(parametros_manuales!$H$30="Todos",'Plan mensual'!D106,0))+parametros_manuales!$F$30*('Plan mensual'!D103+IF(parametros_manuales!$H$30="Todos",'Plan mensual'!D107,0))+parametros_manuales!$G$30*('Plan mensual'!D104+IF(parametros_manuales!$H$30="Todos",'Plan mensual'!D108,0)))*parametros_manuales!$I$30*parametros_manuales!$J$30</f>
        <v>32475.72</v>
      </c>
      <c r="C256" s="4">
        <f>(parametros_manuales!$D$30*('Plan mensual'!E101+IF(parametros_manuales!$H$30="Todos",'Plan mensual'!E105,0))+parametros_manuales!$E$30*('Plan mensual'!E102+IF(parametros_manuales!$H$30="Todos",'Plan mensual'!E106,0))+parametros_manuales!$F$30*('Plan mensual'!E103+IF(parametros_manuales!$H$30="Todos",'Plan mensual'!E107,0))+parametros_manuales!$G$30*('Plan mensual'!E104+IF(parametros_manuales!$H$30="Todos",'Plan mensual'!E108,0)))*parametros_manuales!$I$30*parametros_manuales!$J$30</f>
        <v>24764.85</v>
      </c>
      <c r="D256" s="4">
        <f>(parametros_manuales!$D$30*('Plan mensual'!F101+IF(parametros_manuales!$H$30="Todos",'Plan mensual'!F105,0))+parametros_manuales!$E$30*('Plan mensual'!F102+IF(parametros_manuales!$H$30="Todos",'Plan mensual'!F106,0))+parametros_manuales!$F$30*('Plan mensual'!F103+IF(parametros_manuales!$H$30="Todos",'Plan mensual'!F107,0))+parametros_manuales!$G$30*('Plan mensual'!F104+IF(parametros_manuales!$H$30="Todos",'Plan mensual'!F108,0)))*parametros_manuales!$I$30*parametros_manuales!$J$30</f>
        <v>23146.7</v>
      </c>
      <c r="E256" s="4">
        <f>(parametros_manuales!$D$30*('Plan mensual'!G101+IF(parametros_manuales!$H$30="Todos",'Plan mensual'!G105,0))+parametros_manuales!$E$30*('Plan mensual'!G102+IF(parametros_manuales!$H$30="Todos",'Plan mensual'!G106,0))+parametros_manuales!$F$30*('Plan mensual'!G103+IF(parametros_manuales!$H$30="Todos",'Plan mensual'!G107,0))+parametros_manuales!$G$30*('Plan mensual'!G104+IF(parametros_manuales!$H$30="Todos",'Plan mensual'!G108,0)))*parametros_manuales!$I$30*parametros_manuales!$J$30</f>
        <v>22133.595</v>
      </c>
      <c r="F256" s="4">
        <f>(parametros_manuales!$D$30*('Plan mensual'!H101+IF(parametros_manuales!$H$30="Todos",'Plan mensual'!H105,0))+parametros_manuales!$E$30*('Plan mensual'!H102+IF(parametros_manuales!$H$30="Todos",'Plan mensual'!H106,0))+parametros_manuales!$F$30*('Plan mensual'!H103+IF(parametros_manuales!$H$30="Todos",'Plan mensual'!H107,0))+parametros_manuales!$G$30*('Plan mensual'!H104+IF(parametros_manuales!$H$30="Todos",'Plan mensual'!H108,0)))*parametros_manuales!$I$30*parametros_manuales!$J$30</f>
        <v>20712.43</v>
      </c>
      <c r="G256" s="4">
        <f>(parametros_manuales!$D$30*('Plan mensual'!I101+IF(parametros_manuales!$H$30="Todos",'Plan mensual'!I105,0))+parametros_manuales!$E$30*('Plan mensual'!I102+IF(parametros_manuales!$H$30="Todos",'Plan mensual'!I106,0))+parametros_manuales!$F$30*('Plan mensual'!I103+IF(parametros_manuales!$H$30="Todos",'Plan mensual'!I107,0))+parametros_manuales!$G$30*('Plan mensual'!I104+IF(parametros_manuales!$H$30="Todos",'Plan mensual'!I108,0)))*parametros_manuales!$I$30*parametros_manuales!$J$30</f>
        <v>20304.37</v>
      </c>
      <c r="H256" s="4">
        <f>(parametros_manuales!$D$30*('Plan mensual'!J101+IF(parametros_manuales!$H$30="Todos",'Plan mensual'!J105,0))+parametros_manuales!$E$30*('Plan mensual'!J102+IF(parametros_manuales!$H$30="Todos",'Plan mensual'!J106,0))+parametros_manuales!$F$30*('Plan mensual'!J103+IF(parametros_manuales!$H$30="Todos",'Plan mensual'!J107,0))+parametros_manuales!$G$30*('Plan mensual'!J104+IF(parametros_manuales!$H$30="Todos",'Plan mensual'!J108,0)))*parametros_manuales!$I$30*parametros_manuales!$J$30</f>
        <v>21725.535</v>
      </c>
      <c r="I256" s="4">
        <f>(parametros_manuales!$D$30*('Plan mensual'!K101+IF(parametros_manuales!$H$30="Todos",'Plan mensual'!K105,0))+parametros_manuales!$E$30*('Plan mensual'!K102+IF(parametros_manuales!$H$30="Todos",'Plan mensual'!K106,0))+parametros_manuales!$F$30*('Plan mensual'!K103+IF(parametros_manuales!$H$30="Todos",'Plan mensual'!K107,0))+parametros_manuales!$G$30*('Plan mensual'!K104+IF(parametros_manuales!$H$30="Todos",'Plan mensual'!K108,0)))*parametros_manuales!$I$30*parametros_manuales!$J$30</f>
        <v>21725.535</v>
      </c>
      <c r="J256" s="4">
        <f>(parametros_manuales!$D$30*('Plan mensual'!L101+IF(parametros_manuales!$H$30="Todos",'Plan mensual'!L105,0))+parametros_manuales!$E$30*('Plan mensual'!L102+IF(parametros_manuales!$H$30="Todos",'Plan mensual'!L106,0))+parametros_manuales!$F$30*('Plan mensual'!L103+IF(parametros_manuales!$H$30="Todos",'Plan mensual'!L107,0))+parametros_manuales!$G$30*('Plan mensual'!L104+IF(parametros_manuales!$H$30="Todos",'Plan mensual'!L108,0)))*parametros_manuales!$I$30*parametros_manuales!$J$30</f>
        <v>21725.535</v>
      </c>
      <c r="K256" s="4">
        <f>(parametros_manuales!$D$30*('Plan mensual'!M101+IF(parametros_manuales!$H$30="Todos",'Plan mensual'!M105,0))+parametros_manuales!$E$30*('Plan mensual'!M102+IF(parametros_manuales!$H$30="Todos",'Plan mensual'!M106,0))+parametros_manuales!$F$30*('Plan mensual'!M103+IF(parametros_manuales!$H$30="Todos",'Plan mensual'!M107,0))+parametros_manuales!$G$30*('Plan mensual'!M104+IF(parametros_manuales!$H$30="Todos",'Plan mensual'!M108,0)))*parametros_manuales!$I$30*parametros_manuales!$J$30</f>
        <v>21317.475</v>
      </c>
      <c r="L256" s="4">
        <f>(parametros_manuales!$D$30*('Plan mensual'!N101+IF(parametros_manuales!$H$30="Todos",'Plan mensual'!N105,0))+parametros_manuales!$E$30*('Plan mensual'!N102+IF(parametros_manuales!$H$30="Todos",'Plan mensual'!N106,0))+parametros_manuales!$F$30*('Plan mensual'!N103+IF(parametros_manuales!$H$30="Todos",'Plan mensual'!N107,0))+parametros_manuales!$G$30*('Plan mensual'!N104+IF(parametros_manuales!$H$30="Todos",'Plan mensual'!N108,0)))*parametros_manuales!$I$30*parametros_manuales!$J$30</f>
        <v>20909.415</v>
      </c>
      <c r="M256" s="4">
        <f>(parametros_manuales!$D$30*('Plan mensual'!O101+IF(parametros_manuales!$H$30="Todos",'Plan mensual'!O105,0))+parametros_manuales!$E$30*('Plan mensual'!O102+IF(parametros_manuales!$H$30="Todos",'Plan mensual'!O106,0))+parametros_manuales!$F$30*('Plan mensual'!O103+IF(parametros_manuales!$H$30="Todos",'Plan mensual'!O107,0))+parametros_manuales!$G$30*('Plan mensual'!O104+IF(parametros_manuales!$H$30="Todos",'Plan mensual'!O108,0)))*parametros_manuales!$I$30*parametros_manuales!$J$30</f>
        <v>33291.84</v>
      </c>
      <c r="N256" s="4">
        <f t="shared" si="28"/>
        <v>284233</v>
      </c>
      <c r="O256" s="4">
        <f t="shared" si="29"/>
        <v>33291.84</v>
      </c>
      <c r="P256" s="27">
        <f>O256/(parametros_manuales!$B$7)</f>
        <v>221.9456</v>
      </c>
      <c r="Q256" s="3" t="str">
        <f t="shared" si="30"/>
        <v>Dic</v>
      </c>
    </row>
    <row r="257" ht="14.25" customHeight="1">
      <c r="A257" s="3" t="str">
        <f>parametros_manuales!$B$31</f>
        <v>Control de calidad — Espesor</v>
      </c>
      <c r="B257" s="4">
        <f>(parametros_manuales!$D$31*('Plan mensual'!D101+IF(parametros_manuales!$H$31="Todos",'Plan mensual'!D105,0))+parametros_manuales!$E$31*('Plan mensual'!D102+IF(parametros_manuales!$H$31="Todos",'Plan mensual'!D106,0))+parametros_manuales!$F$31*('Plan mensual'!D103+IF(parametros_manuales!$H$31="Todos",'Plan mensual'!D107,0))+parametros_manuales!$G$31*('Plan mensual'!D104+IF(parametros_manuales!$H$31="Todos",'Plan mensual'!D108,0)))*parametros_manuales!$I$31*parametros_manuales!$J$31</f>
        <v>649.5144</v>
      </c>
      <c r="C257" s="4">
        <f>(parametros_manuales!$D$31*('Plan mensual'!E101+IF(parametros_manuales!$H$31="Todos",'Plan mensual'!E105,0))+parametros_manuales!$E$31*('Plan mensual'!E102+IF(parametros_manuales!$H$31="Todos",'Plan mensual'!E106,0))+parametros_manuales!$F$31*('Plan mensual'!E103+IF(parametros_manuales!$H$31="Todos",'Plan mensual'!E107,0))+parametros_manuales!$G$31*('Plan mensual'!E104+IF(parametros_manuales!$H$31="Todos",'Plan mensual'!E108,0)))*parametros_manuales!$I$31*parametros_manuales!$J$31</f>
        <v>495.297</v>
      </c>
      <c r="D257" s="4">
        <f>(parametros_manuales!$D$31*('Plan mensual'!F101+IF(parametros_manuales!$H$31="Todos",'Plan mensual'!F105,0))+parametros_manuales!$E$31*('Plan mensual'!F102+IF(parametros_manuales!$H$31="Todos",'Plan mensual'!F106,0))+parametros_manuales!$F$31*('Plan mensual'!F103+IF(parametros_manuales!$H$31="Todos",'Plan mensual'!F107,0))+parametros_manuales!$G$31*('Plan mensual'!F104+IF(parametros_manuales!$H$31="Todos",'Plan mensual'!F108,0)))*parametros_manuales!$I$31*parametros_manuales!$J$31</f>
        <v>462.934</v>
      </c>
      <c r="E257" s="4">
        <f>(parametros_manuales!$D$31*('Plan mensual'!G101+IF(parametros_manuales!$H$31="Todos",'Plan mensual'!G105,0))+parametros_manuales!$E$31*('Plan mensual'!G102+IF(parametros_manuales!$H$31="Todos",'Plan mensual'!G106,0))+parametros_manuales!$F$31*('Plan mensual'!G103+IF(parametros_manuales!$H$31="Todos",'Plan mensual'!G107,0))+parametros_manuales!$G$31*('Plan mensual'!G104+IF(parametros_manuales!$H$31="Todos",'Plan mensual'!G108,0)))*parametros_manuales!$I$31*parametros_manuales!$J$31</f>
        <v>442.6719</v>
      </c>
      <c r="F257" s="4">
        <f>(parametros_manuales!$D$31*('Plan mensual'!H101+IF(parametros_manuales!$H$31="Todos",'Plan mensual'!H105,0))+parametros_manuales!$E$31*('Plan mensual'!H102+IF(parametros_manuales!$H$31="Todos",'Plan mensual'!H106,0))+parametros_manuales!$F$31*('Plan mensual'!H103+IF(parametros_manuales!$H$31="Todos",'Plan mensual'!H107,0))+parametros_manuales!$G$31*('Plan mensual'!H104+IF(parametros_manuales!$H$31="Todos",'Plan mensual'!H108,0)))*parametros_manuales!$I$31*parametros_manuales!$J$31</f>
        <v>414.2486</v>
      </c>
      <c r="G257" s="4">
        <f>(parametros_manuales!$D$31*('Plan mensual'!I101+IF(parametros_manuales!$H$31="Todos",'Plan mensual'!I105,0))+parametros_manuales!$E$31*('Plan mensual'!I102+IF(parametros_manuales!$H$31="Todos",'Plan mensual'!I106,0))+parametros_manuales!$F$31*('Plan mensual'!I103+IF(parametros_manuales!$H$31="Todos",'Plan mensual'!I107,0))+parametros_manuales!$G$31*('Plan mensual'!I104+IF(parametros_manuales!$H$31="Todos",'Plan mensual'!I108,0)))*parametros_manuales!$I$31*parametros_manuales!$J$31</f>
        <v>406.0874</v>
      </c>
      <c r="H257" s="4">
        <f>(parametros_manuales!$D$31*('Plan mensual'!J101+IF(parametros_manuales!$H$31="Todos",'Plan mensual'!J105,0))+parametros_manuales!$E$31*('Plan mensual'!J102+IF(parametros_manuales!$H$31="Todos",'Plan mensual'!J106,0))+parametros_manuales!$F$31*('Plan mensual'!J103+IF(parametros_manuales!$H$31="Todos",'Plan mensual'!J107,0))+parametros_manuales!$G$31*('Plan mensual'!J104+IF(parametros_manuales!$H$31="Todos",'Plan mensual'!J108,0)))*parametros_manuales!$I$31*parametros_manuales!$J$31</f>
        <v>434.5107</v>
      </c>
      <c r="I257" s="4">
        <f>(parametros_manuales!$D$31*('Plan mensual'!K101+IF(parametros_manuales!$H$31="Todos",'Plan mensual'!K105,0))+parametros_manuales!$E$31*('Plan mensual'!K102+IF(parametros_manuales!$H$31="Todos",'Plan mensual'!K106,0))+parametros_manuales!$F$31*('Plan mensual'!K103+IF(parametros_manuales!$H$31="Todos",'Plan mensual'!K107,0))+parametros_manuales!$G$31*('Plan mensual'!K104+IF(parametros_manuales!$H$31="Todos",'Plan mensual'!K108,0)))*parametros_manuales!$I$31*parametros_manuales!$J$31</f>
        <v>434.5107</v>
      </c>
      <c r="J257" s="4">
        <f>(parametros_manuales!$D$31*('Plan mensual'!L101+IF(parametros_manuales!$H$31="Todos",'Plan mensual'!L105,0))+parametros_manuales!$E$31*('Plan mensual'!L102+IF(parametros_manuales!$H$31="Todos",'Plan mensual'!L106,0))+parametros_manuales!$F$31*('Plan mensual'!L103+IF(parametros_manuales!$H$31="Todos",'Plan mensual'!L107,0))+parametros_manuales!$G$31*('Plan mensual'!L104+IF(parametros_manuales!$H$31="Todos",'Plan mensual'!L108,0)))*parametros_manuales!$I$31*parametros_manuales!$J$31</f>
        <v>434.5107</v>
      </c>
      <c r="K257" s="4">
        <f>(parametros_manuales!$D$31*('Plan mensual'!M101+IF(parametros_manuales!$H$31="Todos",'Plan mensual'!M105,0))+parametros_manuales!$E$31*('Plan mensual'!M102+IF(parametros_manuales!$H$31="Todos",'Plan mensual'!M106,0))+parametros_manuales!$F$31*('Plan mensual'!M103+IF(parametros_manuales!$H$31="Todos",'Plan mensual'!M107,0))+parametros_manuales!$G$31*('Plan mensual'!M104+IF(parametros_manuales!$H$31="Todos",'Plan mensual'!M108,0)))*parametros_manuales!$I$31*parametros_manuales!$J$31</f>
        <v>426.3495</v>
      </c>
      <c r="L257" s="4">
        <f>(parametros_manuales!$D$31*('Plan mensual'!N101+IF(parametros_manuales!$H$31="Todos",'Plan mensual'!N105,0))+parametros_manuales!$E$31*('Plan mensual'!N102+IF(parametros_manuales!$H$31="Todos",'Plan mensual'!N106,0))+parametros_manuales!$F$31*('Plan mensual'!N103+IF(parametros_manuales!$H$31="Todos",'Plan mensual'!N107,0))+parametros_manuales!$G$31*('Plan mensual'!N104+IF(parametros_manuales!$H$31="Todos",'Plan mensual'!N108,0)))*parametros_manuales!$I$31*parametros_manuales!$J$31</f>
        <v>418.1883</v>
      </c>
      <c r="M257" s="4">
        <f>(parametros_manuales!$D$31*('Plan mensual'!O101+IF(parametros_manuales!$H$31="Todos",'Plan mensual'!O105,0))+parametros_manuales!$E$31*('Plan mensual'!O102+IF(parametros_manuales!$H$31="Todos",'Plan mensual'!O106,0))+parametros_manuales!$F$31*('Plan mensual'!O103+IF(parametros_manuales!$H$31="Todos",'Plan mensual'!O107,0))+parametros_manuales!$G$31*('Plan mensual'!O104+IF(parametros_manuales!$H$31="Todos",'Plan mensual'!O108,0)))*parametros_manuales!$I$31*parametros_manuales!$J$31</f>
        <v>665.8368</v>
      </c>
      <c r="N257" s="4">
        <f t="shared" si="28"/>
        <v>5684.66</v>
      </c>
      <c r="O257" s="4">
        <f t="shared" si="29"/>
        <v>665.8368</v>
      </c>
      <c r="P257" s="27">
        <f>O257/(parametros_manuales!$B$7)</f>
        <v>4.438912</v>
      </c>
      <c r="Q257" s="3" t="str">
        <f t="shared" si="30"/>
        <v>Dic</v>
      </c>
    </row>
    <row r="258" ht="14.25" customHeight="1">
      <c r="A258" s="3" t="str">
        <f>parametros_manuales!$B$32</f>
        <v>Prueba hidráulica</v>
      </c>
      <c r="B258" s="4">
        <f>(parametros_manuales!$D$32*('Plan mensual'!D101+IF(parametros_manuales!$H$32="Todos",'Plan mensual'!D105,0))+parametros_manuales!$E$32*('Plan mensual'!D102+IF(parametros_manuales!$H$32="Todos",'Plan mensual'!D106,0))+parametros_manuales!$F$32*('Plan mensual'!D103+IF(parametros_manuales!$H$32="Todos",'Plan mensual'!D107,0))+parametros_manuales!$G$32*('Plan mensual'!D104+IF(parametros_manuales!$H$32="Todos",'Plan mensual'!D108,0)))*parametros_manuales!$I$32*parametros_manuales!$J$32</f>
        <v>32475.72</v>
      </c>
      <c r="C258" s="4">
        <f>(parametros_manuales!$D$32*('Plan mensual'!E101+IF(parametros_manuales!$H$32="Todos",'Plan mensual'!E105,0))+parametros_manuales!$E$32*('Plan mensual'!E102+IF(parametros_manuales!$H$32="Todos",'Plan mensual'!E106,0))+parametros_manuales!$F$32*('Plan mensual'!E103+IF(parametros_manuales!$H$32="Todos",'Plan mensual'!E107,0))+parametros_manuales!$G$32*('Plan mensual'!E104+IF(parametros_manuales!$H$32="Todos",'Plan mensual'!E108,0)))*parametros_manuales!$I$32*parametros_manuales!$J$32</f>
        <v>24764.85</v>
      </c>
      <c r="D258" s="4">
        <f>(parametros_manuales!$D$32*('Plan mensual'!F101+IF(parametros_manuales!$H$32="Todos",'Plan mensual'!F105,0))+parametros_manuales!$E$32*('Plan mensual'!F102+IF(parametros_manuales!$H$32="Todos",'Plan mensual'!F106,0))+parametros_manuales!$F$32*('Plan mensual'!F103+IF(parametros_manuales!$H$32="Todos",'Plan mensual'!F107,0))+parametros_manuales!$G$32*('Plan mensual'!F104+IF(parametros_manuales!$H$32="Todos",'Plan mensual'!F108,0)))*parametros_manuales!$I$32*parametros_manuales!$J$32</f>
        <v>23146.7</v>
      </c>
      <c r="E258" s="4">
        <f>(parametros_manuales!$D$32*('Plan mensual'!G101+IF(parametros_manuales!$H$32="Todos",'Plan mensual'!G105,0))+parametros_manuales!$E$32*('Plan mensual'!G102+IF(parametros_manuales!$H$32="Todos",'Plan mensual'!G106,0))+parametros_manuales!$F$32*('Plan mensual'!G103+IF(parametros_manuales!$H$32="Todos",'Plan mensual'!G107,0))+parametros_manuales!$G$32*('Plan mensual'!G104+IF(parametros_manuales!$H$32="Todos",'Plan mensual'!G108,0)))*parametros_manuales!$I$32*parametros_manuales!$J$32</f>
        <v>22133.595</v>
      </c>
      <c r="F258" s="4">
        <f>(parametros_manuales!$D$32*('Plan mensual'!H101+IF(parametros_manuales!$H$32="Todos",'Plan mensual'!H105,0))+parametros_manuales!$E$32*('Plan mensual'!H102+IF(parametros_manuales!$H$32="Todos",'Plan mensual'!H106,0))+parametros_manuales!$F$32*('Plan mensual'!H103+IF(parametros_manuales!$H$32="Todos",'Plan mensual'!H107,0))+parametros_manuales!$G$32*('Plan mensual'!H104+IF(parametros_manuales!$H$32="Todos",'Plan mensual'!H108,0)))*parametros_manuales!$I$32*parametros_manuales!$J$32</f>
        <v>20712.43</v>
      </c>
      <c r="G258" s="4">
        <f>(parametros_manuales!$D$32*('Plan mensual'!I101+IF(parametros_manuales!$H$32="Todos",'Plan mensual'!I105,0))+parametros_manuales!$E$32*('Plan mensual'!I102+IF(parametros_manuales!$H$32="Todos",'Plan mensual'!I106,0))+parametros_manuales!$F$32*('Plan mensual'!I103+IF(parametros_manuales!$H$32="Todos",'Plan mensual'!I107,0))+parametros_manuales!$G$32*('Plan mensual'!I104+IF(parametros_manuales!$H$32="Todos",'Plan mensual'!I108,0)))*parametros_manuales!$I$32*parametros_manuales!$J$32</f>
        <v>20304.37</v>
      </c>
      <c r="H258" s="4">
        <f>(parametros_manuales!$D$32*('Plan mensual'!J101+IF(parametros_manuales!$H$32="Todos",'Plan mensual'!J105,0))+parametros_manuales!$E$32*('Plan mensual'!J102+IF(parametros_manuales!$H$32="Todos",'Plan mensual'!J106,0))+parametros_manuales!$F$32*('Plan mensual'!J103+IF(parametros_manuales!$H$32="Todos",'Plan mensual'!J107,0))+parametros_manuales!$G$32*('Plan mensual'!J104+IF(parametros_manuales!$H$32="Todos",'Plan mensual'!J108,0)))*parametros_manuales!$I$32*parametros_manuales!$J$32</f>
        <v>21725.535</v>
      </c>
      <c r="I258" s="4">
        <f>(parametros_manuales!$D$32*('Plan mensual'!K101+IF(parametros_manuales!$H$32="Todos",'Plan mensual'!K105,0))+parametros_manuales!$E$32*('Plan mensual'!K102+IF(parametros_manuales!$H$32="Todos",'Plan mensual'!K106,0))+parametros_manuales!$F$32*('Plan mensual'!K103+IF(parametros_manuales!$H$32="Todos",'Plan mensual'!K107,0))+parametros_manuales!$G$32*('Plan mensual'!K104+IF(parametros_manuales!$H$32="Todos",'Plan mensual'!K108,0)))*parametros_manuales!$I$32*parametros_manuales!$J$32</f>
        <v>21725.535</v>
      </c>
      <c r="J258" s="4">
        <f>(parametros_manuales!$D$32*('Plan mensual'!L101+IF(parametros_manuales!$H$32="Todos",'Plan mensual'!L105,0))+parametros_manuales!$E$32*('Plan mensual'!L102+IF(parametros_manuales!$H$32="Todos",'Plan mensual'!L106,0))+parametros_manuales!$F$32*('Plan mensual'!L103+IF(parametros_manuales!$H$32="Todos",'Plan mensual'!L107,0))+parametros_manuales!$G$32*('Plan mensual'!L104+IF(parametros_manuales!$H$32="Todos",'Plan mensual'!L108,0)))*parametros_manuales!$I$32*parametros_manuales!$J$32</f>
        <v>21725.535</v>
      </c>
      <c r="K258" s="4">
        <f>(parametros_manuales!$D$32*('Plan mensual'!M101+IF(parametros_manuales!$H$32="Todos",'Plan mensual'!M105,0))+parametros_manuales!$E$32*('Plan mensual'!M102+IF(parametros_manuales!$H$32="Todos",'Plan mensual'!M106,0))+parametros_manuales!$F$32*('Plan mensual'!M103+IF(parametros_manuales!$H$32="Todos",'Plan mensual'!M107,0))+parametros_manuales!$G$32*('Plan mensual'!M104+IF(parametros_manuales!$H$32="Todos",'Plan mensual'!M108,0)))*parametros_manuales!$I$32*parametros_manuales!$J$32</f>
        <v>21317.475</v>
      </c>
      <c r="L258" s="4">
        <f>(parametros_manuales!$D$32*('Plan mensual'!N101+IF(parametros_manuales!$H$32="Todos",'Plan mensual'!N105,0))+parametros_manuales!$E$32*('Plan mensual'!N102+IF(parametros_manuales!$H$32="Todos",'Plan mensual'!N106,0))+parametros_manuales!$F$32*('Plan mensual'!N103+IF(parametros_manuales!$H$32="Todos",'Plan mensual'!N107,0))+parametros_manuales!$G$32*('Plan mensual'!N104+IF(parametros_manuales!$H$32="Todos",'Plan mensual'!N108,0)))*parametros_manuales!$I$32*parametros_manuales!$J$32</f>
        <v>20909.415</v>
      </c>
      <c r="M258" s="4">
        <f>(parametros_manuales!$D$32*('Plan mensual'!O101+IF(parametros_manuales!$H$32="Todos",'Plan mensual'!O105,0))+parametros_manuales!$E$32*('Plan mensual'!O102+IF(parametros_manuales!$H$32="Todos",'Plan mensual'!O106,0))+parametros_manuales!$F$32*('Plan mensual'!O103+IF(parametros_manuales!$H$32="Todos",'Plan mensual'!O107,0))+parametros_manuales!$G$32*('Plan mensual'!O104+IF(parametros_manuales!$H$32="Todos",'Plan mensual'!O108,0)))*parametros_manuales!$I$32*parametros_manuales!$J$32</f>
        <v>33291.84</v>
      </c>
      <c r="N258" s="4">
        <f t="shared" si="28"/>
        <v>284233</v>
      </c>
      <c r="O258" s="4">
        <f t="shared" si="29"/>
        <v>33291.84</v>
      </c>
      <c r="P258" s="27">
        <f>O258/(parametros_manuales!$B$7)</f>
        <v>221.9456</v>
      </c>
      <c r="Q258" s="3" t="str">
        <f t="shared" si="30"/>
        <v>Dic</v>
      </c>
    </row>
    <row r="259" ht="14.25" customHeight="1">
      <c r="A259" s="3" t="str">
        <f>parametros_manuales!$B$33</f>
        <v>Secado</v>
      </c>
      <c r="B259" s="4">
        <f>(parametros_manuales!$D$33*('Plan mensual'!D101+IF(parametros_manuales!$H$33="Todos",'Plan mensual'!D105,0))+parametros_manuales!$E$33*('Plan mensual'!D102+IF(parametros_manuales!$H$33="Todos",'Plan mensual'!D106,0))+parametros_manuales!$F$33*('Plan mensual'!D103+IF(parametros_manuales!$H$33="Todos",'Plan mensual'!D107,0))+parametros_manuales!$G$33*('Plan mensual'!D104+IF(parametros_manuales!$H$33="Todos",'Plan mensual'!D108,0)))*parametros_manuales!$I$33*parametros_manuales!$J$33</f>
        <v>32475.72</v>
      </c>
      <c r="C259" s="4">
        <f>(parametros_manuales!$D$33*('Plan mensual'!E101+IF(parametros_manuales!$H$33="Todos",'Plan mensual'!E105,0))+parametros_manuales!$E$33*('Plan mensual'!E102+IF(parametros_manuales!$H$33="Todos",'Plan mensual'!E106,0))+parametros_manuales!$F$33*('Plan mensual'!E103+IF(parametros_manuales!$H$33="Todos",'Plan mensual'!E107,0))+parametros_manuales!$G$33*('Plan mensual'!E104+IF(parametros_manuales!$H$33="Todos",'Plan mensual'!E108,0)))*parametros_manuales!$I$33*parametros_manuales!$J$33</f>
        <v>24764.85</v>
      </c>
      <c r="D259" s="4">
        <f>(parametros_manuales!$D$33*('Plan mensual'!F101+IF(parametros_manuales!$H$33="Todos",'Plan mensual'!F105,0))+parametros_manuales!$E$33*('Plan mensual'!F102+IF(parametros_manuales!$H$33="Todos",'Plan mensual'!F106,0))+parametros_manuales!$F$33*('Plan mensual'!F103+IF(parametros_manuales!$H$33="Todos",'Plan mensual'!F107,0))+parametros_manuales!$G$33*('Plan mensual'!F104+IF(parametros_manuales!$H$33="Todos",'Plan mensual'!F108,0)))*parametros_manuales!$I$33*parametros_manuales!$J$33</f>
        <v>23146.7</v>
      </c>
      <c r="E259" s="4">
        <f>(parametros_manuales!$D$33*('Plan mensual'!G101+IF(parametros_manuales!$H$33="Todos",'Plan mensual'!G105,0))+parametros_manuales!$E$33*('Plan mensual'!G102+IF(parametros_manuales!$H$33="Todos",'Plan mensual'!G106,0))+parametros_manuales!$F$33*('Plan mensual'!G103+IF(parametros_manuales!$H$33="Todos",'Plan mensual'!G107,0))+parametros_manuales!$G$33*('Plan mensual'!G104+IF(parametros_manuales!$H$33="Todos",'Plan mensual'!G108,0)))*parametros_manuales!$I$33*parametros_manuales!$J$33</f>
        <v>22133.595</v>
      </c>
      <c r="F259" s="4">
        <f>(parametros_manuales!$D$33*('Plan mensual'!H101+IF(parametros_manuales!$H$33="Todos",'Plan mensual'!H105,0))+parametros_manuales!$E$33*('Plan mensual'!H102+IF(parametros_manuales!$H$33="Todos",'Plan mensual'!H106,0))+parametros_manuales!$F$33*('Plan mensual'!H103+IF(parametros_manuales!$H$33="Todos",'Plan mensual'!H107,0))+parametros_manuales!$G$33*('Plan mensual'!H104+IF(parametros_manuales!$H$33="Todos",'Plan mensual'!H108,0)))*parametros_manuales!$I$33*parametros_manuales!$J$33</f>
        <v>20712.43</v>
      </c>
      <c r="G259" s="4">
        <f>(parametros_manuales!$D$33*('Plan mensual'!I101+IF(parametros_manuales!$H$33="Todos",'Plan mensual'!I105,0))+parametros_manuales!$E$33*('Plan mensual'!I102+IF(parametros_manuales!$H$33="Todos",'Plan mensual'!I106,0))+parametros_manuales!$F$33*('Plan mensual'!I103+IF(parametros_manuales!$H$33="Todos",'Plan mensual'!I107,0))+parametros_manuales!$G$33*('Plan mensual'!I104+IF(parametros_manuales!$H$33="Todos",'Plan mensual'!I108,0)))*parametros_manuales!$I$33*parametros_manuales!$J$33</f>
        <v>20304.37</v>
      </c>
      <c r="H259" s="4">
        <f>(parametros_manuales!$D$33*('Plan mensual'!J101+IF(parametros_manuales!$H$33="Todos",'Plan mensual'!J105,0))+parametros_manuales!$E$33*('Plan mensual'!J102+IF(parametros_manuales!$H$33="Todos",'Plan mensual'!J106,0))+parametros_manuales!$F$33*('Plan mensual'!J103+IF(parametros_manuales!$H$33="Todos",'Plan mensual'!J107,0))+parametros_manuales!$G$33*('Plan mensual'!J104+IF(parametros_manuales!$H$33="Todos",'Plan mensual'!J108,0)))*parametros_manuales!$I$33*parametros_manuales!$J$33</f>
        <v>21725.535</v>
      </c>
      <c r="I259" s="4">
        <f>(parametros_manuales!$D$33*('Plan mensual'!K101+IF(parametros_manuales!$H$33="Todos",'Plan mensual'!K105,0))+parametros_manuales!$E$33*('Plan mensual'!K102+IF(parametros_manuales!$H$33="Todos",'Plan mensual'!K106,0))+parametros_manuales!$F$33*('Plan mensual'!K103+IF(parametros_manuales!$H$33="Todos",'Plan mensual'!K107,0))+parametros_manuales!$G$33*('Plan mensual'!K104+IF(parametros_manuales!$H$33="Todos",'Plan mensual'!K108,0)))*parametros_manuales!$I$33*parametros_manuales!$J$33</f>
        <v>21725.535</v>
      </c>
      <c r="J259" s="4">
        <f>(parametros_manuales!$D$33*('Plan mensual'!L101+IF(parametros_manuales!$H$33="Todos",'Plan mensual'!L105,0))+parametros_manuales!$E$33*('Plan mensual'!L102+IF(parametros_manuales!$H$33="Todos",'Plan mensual'!L106,0))+parametros_manuales!$F$33*('Plan mensual'!L103+IF(parametros_manuales!$H$33="Todos",'Plan mensual'!L107,0))+parametros_manuales!$G$33*('Plan mensual'!L104+IF(parametros_manuales!$H$33="Todos",'Plan mensual'!L108,0)))*parametros_manuales!$I$33*parametros_manuales!$J$33</f>
        <v>21725.535</v>
      </c>
      <c r="K259" s="4">
        <f>(parametros_manuales!$D$33*('Plan mensual'!M101+IF(parametros_manuales!$H$33="Todos",'Plan mensual'!M105,0))+parametros_manuales!$E$33*('Plan mensual'!M102+IF(parametros_manuales!$H$33="Todos",'Plan mensual'!M106,0))+parametros_manuales!$F$33*('Plan mensual'!M103+IF(parametros_manuales!$H$33="Todos",'Plan mensual'!M107,0))+parametros_manuales!$G$33*('Plan mensual'!M104+IF(parametros_manuales!$H$33="Todos",'Plan mensual'!M108,0)))*parametros_manuales!$I$33*parametros_manuales!$J$33</f>
        <v>21317.475</v>
      </c>
      <c r="L259" s="4">
        <f>(parametros_manuales!$D$33*('Plan mensual'!N101+IF(parametros_manuales!$H$33="Todos",'Plan mensual'!N105,0))+parametros_manuales!$E$33*('Plan mensual'!N102+IF(parametros_manuales!$H$33="Todos",'Plan mensual'!N106,0))+parametros_manuales!$F$33*('Plan mensual'!N103+IF(parametros_manuales!$H$33="Todos",'Plan mensual'!N107,0))+parametros_manuales!$G$33*('Plan mensual'!N104+IF(parametros_manuales!$H$33="Todos",'Plan mensual'!N108,0)))*parametros_manuales!$I$33*parametros_manuales!$J$33</f>
        <v>20909.415</v>
      </c>
      <c r="M259" s="4">
        <f>(parametros_manuales!$D$33*('Plan mensual'!O101+IF(parametros_manuales!$H$33="Todos",'Plan mensual'!O105,0))+parametros_manuales!$E$33*('Plan mensual'!O102+IF(parametros_manuales!$H$33="Todos",'Plan mensual'!O106,0))+parametros_manuales!$F$33*('Plan mensual'!O103+IF(parametros_manuales!$H$33="Todos",'Plan mensual'!O107,0))+parametros_manuales!$G$33*('Plan mensual'!O104+IF(parametros_manuales!$H$33="Todos",'Plan mensual'!O108,0)))*parametros_manuales!$I$33*parametros_manuales!$J$33</f>
        <v>33291.84</v>
      </c>
      <c r="N259" s="4">
        <f t="shared" si="28"/>
        <v>284233</v>
      </c>
      <c r="O259" s="4">
        <f t="shared" si="29"/>
        <v>33291.84</v>
      </c>
      <c r="P259" s="27">
        <f>O259/(parametros_manuales!$B$7)</f>
        <v>221.9456</v>
      </c>
      <c r="Q259" s="3" t="str">
        <f t="shared" si="30"/>
        <v>Dic</v>
      </c>
    </row>
    <row r="260" ht="14.25" customHeight="1">
      <c r="A260" s="3" t="str">
        <f>parametros_manuales!$B$34</f>
        <v>Granallado</v>
      </c>
      <c r="B260" s="4">
        <f>(parametros_manuales!$D$34*('Plan mensual'!D101+IF(parametros_manuales!$H$34="Todos",'Plan mensual'!D105,0))+parametros_manuales!$E$34*('Plan mensual'!D102+IF(parametros_manuales!$H$34="Todos",'Plan mensual'!D106,0))+parametros_manuales!$F$34*('Plan mensual'!D103+IF(parametros_manuales!$H$34="Todos",'Plan mensual'!D107,0))+parametros_manuales!$G$34*('Plan mensual'!D104+IF(parametros_manuales!$H$34="Todos",'Plan mensual'!D108,0)))*parametros_manuales!$I$34*parametros_manuales!$J$34</f>
        <v>32475.72</v>
      </c>
      <c r="C260" s="4">
        <f>(parametros_manuales!$D$34*('Plan mensual'!E101+IF(parametros_manuales!$H$34="Todos",'Plan mensual'!E105,0))+parametros_manuales!$E$34*('Plan mensual'!E102+IF(parametros_manuales!$H$34="Todos",'Plan mensual'!E106,0))+parametros_manuales!$F$34*('Plan mensual'!E103+IF(parametros_manuales!$H$34="Todos",'Plan mensual'!E107,0))+parametros_manuales!$G$34*('Plan mensual'!E104+IF(parametros_manuales!$H$34="Todos",'Plan mensual'!E108,0)))*parametros_manuales!$I$34*parametros_manuales!$J$34</f>
        <v>24764.85</v>
      </c>
      <c r="D260" s="4">
        <f>(parametros_manuales!$D$34*('Plan mensual'!F101+IF(parametros_manuales!$H$34="Todos",'Plan mensual'!F105,0))+parametros_manuales!$E$34*('Plan mensual'!F102+IF(parametros_manuales!$H$34="Todos",'Plan mensual'!F106,0))+parametros_manuales!$F$34*('Plan mensual'!F103+IF(parametros_manuales!$H$34="Todos",'Plan mensual'!F107,0))+parametros_manuales!$G$34*('Plan mensual'!F104+IF(parametros_manuales!$H$34="Todos",'Plan mensual'!F108,0)))*parametros_manuales!$I$34*parametros_manuales!$J$34</f>
        <v>23146.7</v>
      </c>
      <c r="E260" s="4">
        <f>(parametros_manuales!$D$34*('Plan mensual'!G101+IF(parametros_manuales!$H$34="Todos",'Plan mensual'!G105,0))+parametros_manuales!$E$34*('Plan mensual'!G102+IF(parametros_manuales!$H$34="Todos",'Plan mensual'!G106,0))+parametros_manuales!$F$34*('Plan mensual'!G103+IF(parametros_manuales!$H$34="Todos",'Plan mensual'!G107,0))+parametros_manuales!$G$34*('Plan mensual'!G104+IF(parametros_manuales!$H$34="Todos",'Plan mensual'!G108,0)))*parametros_manuales!$I$34*parametros_manuales!$J$34</f>
        <v>22133.595</v>
      </c>
      <c r="F260" s="4">
        <f>(parametros_manuales!$D$34*('Plan mensual'!H101+IF(parametros_manuales!$H$34="Todos",'Plan mensual'!H105,0))+parametros_manuales!$E$34*('Plan mensual'!H102+IF(parametros_manuales!$H$34="Todos",'Plan mensual'!H106,0))+parametros_manuales!$F$34*('Plan mensual'!H103+IF(parametros_manuales!$H$34="Todos",'Plan mensual'!H107,0))+parametros_manuales!$G$34*('Plan mensual'!H104+IF(parametros_manuales!$H$34="Todos",'Plan mensual'!H108,0)))*parametros_manuales!$I$34*parametros_manuales!$J$34</f>
        <v>20712.43</v>
      </c>
      <c r="G260" s="4">
        <f>(parametros_manuales!$D$34*('Plan mensual'!I101+IF(parametros_manuales!$H$34="Todos",'Plan mensual'!I105,0))+parametros_manuales!$E$34*('Plan mensual'!I102+IF(parametros_manuales!$H$34="Todos",'Plan mensual'!I106,0))+parametros_manuales!$F$34*('Plan mensual'!I103+IF(parametros_manuales!$H$34="Todos",'Plan mensual'!I107,0))+parametros_manuales!$G$34*('Plan mensual'!I104+IF(parametros_manuales!$H$34="Todos",'Plan mensual'!I108,0)))*parametros_manuales!$I$34*parametros_manuales!$J$34</f>
        <v>20304.37</v>
      </c>
      <c r="H260" s="4">
        <f>(parametros_manuales!$D$34*('Plan mensual'!J101+IF(parametros_manuales!$H$34="Todos",'Plan mensual'!J105,0))+parametros_manuales!$E$34*('Plan mensual'!J102+IF(parametros_manuales!$H$34="Todos",'Plan mensual'!J106,0))+parametros_manuales!$F$34*('Plan mensual'!J103+IF(parametros_manuales!$H$34="Todos",'Plan mensual'!J107,0))+parametros_manuales!$G$34*('Plan mensual'!J104+IF(parametros_manuales!$H$34="Todos",'Plan mensual'!J108,0)))*parametros_manuales!$I$34*parametros_manuales!$J$34</f>
        <v>21725.535</v>
      </c>
      <c r="I260" s="4">
        <f>(parametros_manuales!$D$34*('Plan mensual'!K101+IF(parametros_manuales!$H$34="Todos",'Plan mensual'!K105,0))+parametros_manuales!$E$34*('Plan mensual'!K102+IF(parametros_manuales!$H$34="Todos",'Plan mensual'!K106,0))+parametros_manuales!$F$34*('Plan mensual'!K103+IF(parametros_manuales!$H$34="Todos",'Plan mensual'!K107,0))+parametros_manuales!$G$34*('Plan mensual'!K104+IF(parametros_manuales!$H$34="Todos",'Plan mensual'!K108,0)))*parametros_manuales!$I$34*parametros_manuales!$J$34</f>
        <v>21725.535</v>
      </c>
      <c r="J260" s="4">
        <f>(parametros_manuales!$D$34*('Plan mensual'!L101+IF(parametros_manuales!$H$34="Todos",'Plan mensual'!L105,0))+parametros_manuales!$E$34*('Plan mensual'!L102+IF(parametros_manuales!$H$34="Todos",'Plan mensual'!L106,0))+parametros_manuales!$F$34*('Plan mensual'!L103+IF(parametros_manuales!$H$34="Todos",'Plan mensual'!L107,0))+parametros_manuales!$G$34*('Plan mensual'!L104+IF(parametros_manuales!$H$34="Todos",'Plan mensual'!L108,0)))*parametros_manuales!$I$34*parametros_manuales!$J$34</f>
        <v>21725.535</v>
      </c>
      <c r="K260" s="4">
        <f>(parametros_manuales!$D$34*('Plan mensual'!M101+IF(parametros_manuales!$H$34="Todos",'Plan mensual'!M105,0))+parametros_manuales!$E$34*('Plan mensual'!M102+IF(parametros_manuales!$H$34="Todos",'Plan mensual'!M106,0))+parametros_manuales!$F$34*('Plan mensual'!M103+IF(parametros_manuales!$H$34="Todos",'Plan mensual'!M107,0))+parametros_manuales!$G$34*('Plan mensual'!M104+IF(parametros_manuales!$H$34="Todos",'Plan mensual'!M108,0)))*parametros_manuales!$I$34*parametros_manuales!$J$34</f>
        <v>21317.475</v>
      </c>
      <c r="L260" s="4">
        <f>(parametros_manuales!$D$34*('Plan mensual'!N101+IF(parametros_manuales!$H$34="Todos",'Plan mensual'!N105,0))+parametros_manuales!$E$34*('Plan mensual'!N102+IF(parametros_manuales!$H$34="Todos",'Plan mensual'!N106,0))+parametros_manuales!$F$34*('Plan mensual'!N103+IF(parametros_manuales!$H$34="Todos",'Plan mensual'!N107,0))+parametros_manuales!$G$34*('Plan mensual'!N104+IF(parametros_manuales!$H$34="Todos",'Plan mensual'!N108,0)))*parametros_manuales!$I$34*parametros_manuales!$J$34</f>
        <v>20909.415</v>
      </c>
      <c r="M260" s="4">
        <f>(parametros_manuales!$D$34*('Plan mensual'!O101+IF(parametros_manuales!$H$34="Todos",'Plan mensual'!O105,0))+parametros_manuales!$E$34*('Plan mensual'!O102+IF(parametros_manuales!$H$34="Todos",'Plan mensual'!O106,0))+parametros_manuales!$F$34*('Plan mensual'!O103+IF(parametros_manuales!$H$34="Todos",'Plan mensual'!O107,0))+parametros_manuales!$G$34*('Plan mensual'!O104+IF(parametros_manuales!$H$34="Todos",'Plan mensual'!O108,0)))*parametros_manuales!$I$34*parametros_manuales!$J$34</f>
        <v>33291.84</v>
      </c>
      <c r="N260" s="4">
        <f t="shared" si="28"/>
        <v>284233</v>
      </c>
      <c r="O260" s="4">
        <f t="shared" si="29"/>
        <v>33291.84</v>
      </c>
      <c r="P260" s="27">
        <f>O260/(parametros_manuales!$B$7)</f>
        <v>221.9456</v>
      </c>
      <c r="Q260" s="3" t="str">
        <f t="shared" si="30"/>
        <v>Dic</v>
      </c>
    </row>
    <row r="261" ht="14.25" customHeight="1">
      <c r="A261" s="3" t="str">
        <f>parametros_manuales!$B$35</f>
        <v>Detección de defectos</v>
      </c>
      <c r="B261" s="4">
        <f>(parametros_manuales!$D$35*('Plan mensual'!D101+IF(parametros_manuales!$H$35="Todos",'Plan mensual'!D105,0))+parametros_manuales!$E$35*('Plan mensual'!D102+IF(parametros_manuales!$H$35="Todos",'Plan mensual'!D106,0))+parametros_manuales!$F$35*('Plan mensual'!D103+IF(parametros_manuales!$H$35="Todos",'Plan mensual'!D107,0))+parametros_manuales!$G$35*('Plan mensual'!D104+IF(parametros_manuales!$H$35="Todos",'Plan mensual'!D108,0)))*parametros_manuales!$I$35*parametros_manuales!$J$35</f>
        <v>32475.72</v>
      </c>
      <c r="C261" s="4">
        <f>(parametros_manuales!$D$35*('Plan mensual'!E101+IF(parametros_manuales!$H$35="Todos",'Plan mensual'!E105,0))+parametros_manuales!$E$35*('Plan mensual'!E102+IF(parametros_manuales!$H$35="Todos",'Plan mensual'!E106,0))+parametros_manuales!$F$35*('Plan mensual'!E103+IF(parametros_manuales!$H$35="Todos",'Plan mensual'!E107,0))+parametros_manuales!$G$35*('Plan mensual'!E104+IF(parametros_manuales!$H$35="Todos",'Plan mensual'!E108,0)))*parametros_manuales!$I$35*parametros_manuales!$J$35</f>
        <v>24764.85</v>
      </c>
      <c r="D261" s="4">
        <f>(parametros_manuales!$D$35*('Plan mensual'!F101+IF(parametros_manuales!$H$35="Todos",'Plan mensual'!F105,0))+parametros_manuales!$E$35*('Plan mensual'!F102+IF(parametros_manuales!$H$35="Todos",'Plan mensual'!F106,0))+parametros_manuales!$F$35*('Plan mensual'!F103+IF(parametros_manuales!$H$35="Todos",'Plan mensual'!F107,0))+parametros_manuales!$G$35*('Plan mensual'!F104+IF(parametros_manuales!$H$35="Todos",'Plan mensual'!F108,0)))*parametros_manuales!$I$35*parametros_manuales!$J$35</f>
        <v>23146.7</v>
      </c>
      <c r="E261" s="4">
        <f>(parametros_manuales!$D$35*('Plan mensual'!G101+IF(parametros_manuales!$H$35="Todos",'Plan mensual'!G105,0))+parametros_manuales!$E$35*('Plan mensual'!G102+IF(parametros_manuales!$H$35="Todos",'Plan mensual'!G106,0))+parametros_manuales!$F$35*('Plan mensual'!G103+IF(parametros_manuales!$H$35="Todos",'Plan mensual'!G107,0))+parametros_manuales!$G$35*('Plan mensual'!G104+IF(parametros_manuales!$H$35="Todos",'Plan mensual'!G108,0)))*parametros_manuales!$I$35*parametros_manuales!$J$35</f>
        <v>22133.595</v>
      </c>
      <c r="F261" s="4">
        <f>(parametros_manuales!$D$35*('Plan mensual'!H101+IF(parametros_manuales!$H$35="Todos",'Plan mensual'!H105,0))+parametros_manuales!$E$35*('Plan mensual'!H102+IF(parametros_manuales!$H$35="Todos",'Plan mensual'!H106,0))+parametros_manuales!$F$35*('Plan mensual'!H103+IF(parametros_manuales!$H$35="Todos",'Plan mensual'!H107,0))+parametros_manuales!$G$35*('Plan mensual'!H104+IF(parametros_manuales!$H$35="Todos",'Plan mensual'!H108,0)))*parametros_manuales!$I$35*parametros_manuales!$J$35</f>
        <v>20712.43</v>
      </c>
      <c r="G261" s="4">
        <f>(parametros_manuales!$D$35*('Plan mensual'!I101+IF(parametros_manuales!$H$35="Todos",'Plan mensual'!I105,0))+parametros_manuales!$E$35*('Plan mensual'!I102+IF(parametros_manuales!$H$35="Todos",'Plan mensual'!I106,0))+parametros_manuales!$F$35*('Plan mensual'!I103+IF(parametros_manuales!$H$35="Todos",'Plan mensual'!I107,0))+parametros_manuales!$G$35*('Plan mensual'!I104+IF(parametros_manuales!$H$35="Todos",'Plan mensual'!I108,0)))*parametros_manuales!$I$35*parametros_manuales!$J$35</f>
        <v>20304.37</v>
      </c>
      <c r="H261" s="4">
        <f>(parametros_manuales!$D$35*('Plan mensual'!J101+IF(parametros_manuales!$H$35="Todos",'Plan mensual'!J105,0))+parametros_manuales!$E$35*('Plan mensual'!J102+IF(parametros_manuales!$H$35="Todos",'Plan mensual'!J106,0))+parametros_manuales!$F$35*('Plan mensual'!J103+IF(parametros_manuales!$H$35="Todos",'Plan mensual'!J107,0))+parametros_manuales!$G$35*('Plan mensual'!J104+IF(parametros_manuales!$H$35="Todos",'Plan mensual'!J108,0)))*parametros_manuales!$I$35*parametros_manuales!$J$35</f>
        <v>21725.535</v>
      </c>
      <c r="I261" s="4">
        <f>(parametros_manuales!$D$35*('Plan mensual'!K101+IF(parametros_manuales!$H$35="Todos",'Plan mensual'!K105,0))+parametros_manuales!$E$35*('Plan mensual'!K102+IF(parametros_manuales!$H$35="Todos",'Plan mensual'!K106,0))+parametros_manuales!$F$35*('Plan mensual'!K103+IF(parametros_manuales!$H$35="Todos",'Plan mensual'!K107,0))+parametros_manuales!$G$35*('Plan mensual'!K104+IF(parametros_manuales!$H$35="Todos",'Plan mensual'!K108,0)))*parametros_manuales!$I$35*parametros_manuales!$J$35</f>
        <v>21725.535</v>
      </c>
      <c r="J261" s="4">
        <f>(parametros_manuales!$D$35*('Plan mensual'!L101+IF(parametros_manuales!$H$35="Todos",'Plan mensual'!L105,0))+parametros_manuales!$E$35*('Plan mensual'!L102+IF(parametros_manuales!$H$35="Todos",'Plan mensual'!L106,0))+parametros_manuales!$F$35*('Plan mensual'!L103+IF(parametros_manuales!$H$35="Todos",'Plan mensual'!L107,0))+parametros_manuales!$G$35*('Plan mensual'!L104+IF(parametros_manuales!$H$35="Todos",'Plan mensual'!L108,0)))*parametros_manuales!$I$35*parametros_manuales!$J$35</f>
        <v>21725.535</v>
      </c>
      <c r="K261" s="4">
        <f>(parametros_manuales!$D$35*('Plan mensual'!M101+IF(parametros_manuales!$H$35="Todos",'Plan mensual'!M105,0))+parametros_manuales!$E$35*('Plan mensual'!M102+IF(parametros_manuales!$H$35="Todos",'Plan mensual'!M106,0))+parametros_manuales!$F$35*('Plan mensual'!M103+IF(parametros_manuales!$H$35="Todos",'Plan mensual'!M107,0))+parametros_manuales!$G$35*('Plan mensual'!M104+IF(parametros_manuales!$H$35="Todos",'Plan mensual'!M108,0)))*parametros_manuales!$I$35*parametros_manuales!$J$35</f>
        <v>21317.475</v>
      </c>
      <c r="L261" s="4">
        <f>(parametros_manuales!$D$35*('Plan mensual'!N101+IF(parametros_manuales!$H$35="Todos",'Plan mensual'!N105,0))+parametros_manuales!$E$35*('Plan mensual'!N102+IF(parametros_manuales!$H$35="Todos",'Plan mensual'!N106,0))+parametros_manuales!$F$35*('Plan mensual'!N103+IF(parametros_manuales!$H$35="Todos",'Plan mensual'!N107,0))+parametros_manuales!$G$35*('Plan mensual'!N104+IF(parametros_manuales!$H$35="Todos",'Plan mensual'!N108,0)))*parametros_manuales!$I$35*parametros_manuales!$J$35</f>
        <v>20909.415</v>
      </c>
      <c r="M261" s="4">
        <f>(parametros_manuales!$D$35*('Plan mensual'!O101+IF(parametros_manuales!$H$35="Todos",'Plan mensual'!O105,0))+parametros_manuales!$E$35*('Plan mensual'!O102+IF(parametros_manuales!$H$35="Todos",'Plan mensual'!O106,0))+parametros_manuales!$F$35*('Plan mensual'!O103+IF(parametros_manuales!$H$35="Todos",'Plan mensual'!O107,0))+parametros_manuales!$G$35*('Plan mensual'!O104+IF(parametros_manuales!$H$35="Todos",'Plan mensual'!O108,0)))*parametros_manuales!$I$35*parametros_manuales!$J$35</f>
        <v>33291.84</v>
      </c>
      <c r="N261" s="4">
        <f t="shared" si="28"/>
        <v>284233</v>
      </c>
      <c r="O261" s="4">
        <f t="shared" si="29"/>
        <v>33291.84</v>
      </c>
      <c r="P261" s="27">
        <f>O261/(parametros_manuales!$B$7)</f>
        <v>221.9456</v>
      </c>
      <c r="Q261" s="3" t="str">
        <f t="shared" si="30"/>
        <v>Dic</v>
      </c>
    </row>
    <row r="262" ht="14.25" customHeight="1">
      <c r="A262" s="3" t="str">
        <f>parametros_manuales!$B$36</f>
        <v>Corrección de defectos</v>
      </c>
      <c r="B262" s="4">
        <f>(parametros_manuales!$D$36*('Plan mensual'!D101+IF(parametros_manuales!$H$36="Todos",'Plan mensual'!D105,0))+parametros_manuales!$E$36*('Plan mensual'!D102+IF(parametros_manuales!$H$36="Todos",'Plan mensual'!D106,0))+parametros_manuales!$F$36*('Plan mensual'!D103+IF(parametros_manuales!$H$36="Todos",'Plan mensual'!D107,0))+parametros_manuales!$G$36*('Plan mensual'!D104+IF(parametros_manuales!$H$36="Todos",'Plan mensual'!D108,0)))*parametros_manuales!$I$36*parametros_manuales!$J$36</f>
        <v>1623.786</v>
      </c>
      <c r="C262" s="4">
        <f>(parametros_manuales!$D$36*('Plan mensual'!E101+IF(parametros_manuales!$H$36="Todos",'Plan mensual'!E105,0))+parametros_manuales!$E$36*('Plan mensual'!E102+IF(parametros_manuales!$H$36="Todos",'Plan mensual'!E106,0))+parametros_manuales!$F$36*('Plan mensual'!E103+IF(parametros_manuales!$H$36="Todos",'Plan mensual'!E107,0))+parametros_manuales!$G$36*('Plan mensual'!E104+IF(parametros_manuales!$H$36="Todos",'Plan mensual'!E108,0)))*parametros_manuales!$I$36*parametros_manuales!$J$36</f>
        <v>1238.2425</v>
      </c>
      <c r="D262" s="4">
        <f>(parametros_manuales!$D$36*('Plan mensual'!F101+IF(parametros_manuales!$H$36="Todos",'Plan mensual'!F105,0))+parametros_manuales!$E$36*('Plan mensual'!F102+IF(parametros_manuales!$H$36="Todos",'Plan mensual'!F106,0))+parametros_manuales!$F$36*('Plan mensual'!F103+IF(parametros_manuales!$H$36="Todos",'Plan mensual'!F107,0))+parametros_manuales!$G$36*('Plan mensual'!F104+IF(parametros_manuales!$H$36="Todos",'Plan mensual'!F108,0)))*parametros_manuales!$I$36*parametros_manuales!$J$36</f>
        <v>1157.335</v>
      </c>
      <c r="E262" s="4">
        <f>(parametros_manuales!$D$36*('Plan mensual'!G101+IF(parametros_manuales!$H$36="Todos",'Plan mensual'!G105,0))+parametros_manuales!$E$36*('Plan mensual'!G102+IF(parametros_manuales!$H$36="Todos",'Plan mensual'!G106,0))+parametros_manuales!$F$36*('Plan mensual'!G103+IF(parametros_manuales!$H$36="Todos",'Plan mensual'!G107,0))+parametros_manuales!$G$36*('Plan mensual'!G104+IF(parametros_manuales!$H$36="Todos",'Plan mensual'!G108,0)))*parametros_manuales!$I$36*parametros_manuales!$J$36</f>
        <v>1106.67975</v>
      </c>
      <c r="F262" s="4">
        <f>(parametros_manuales!$D$36*('Plan mensual'!H101+IF(parametros_manuales!$H$36="Todos",'Plan mensual'!H105,0))+parametros_manuales!$E$36*('Plan mensual'!H102+IF(parametros_manuales!$H$36="Todos",'Plan mensual'!H106,0))+parametros_manuales!$F$36*('Plan mensual'!H103+IF(parametros_manuales!$H$36="Todos",'Plan mensual'!H107,0))+parametros_manuales!$G$36*('Plan mensual'!H104+IF(parametros_manuales!$H$36="Todos",'Plan mensual'!H108,0)))*parametros_manuales!$I$36*parametros_manuales!$J$36</f>
        <v>1035.6215</v>
      </c>
      <c r="G262" s="4">
        <f>(parametros_manuales!$D$36*('Plan mensual'!I101+IF(parametros_manuales!$H$36="Todos",'Plan mensual'!I105,0))+parametros_manuales!$E$36*('Plan mensual'!I102+IF(parametros_manuales!$H$36="Todos",'Plan mensual'!I106,0))+parametros_manuales!$F$36*('Plan mensual'!I103+IF(parametros_manuales!$H$36="Todos",'Plan mensual'!I107,0))+parametros_manuales!$G$36*('Plan mensual'!I104+IF(parametros_manuales!$H$36="Todos",'Plan mensual'!I108,0)))*parametros_manuales!$I$36*parametros_manuales!$J$36</f>
        <v>1015.2185</v>
      </c>
      <c r="H262" s="4">
        <f>(parametros_manuales!$D$36*('Plan mensual'!J101+IF(parametros_manuales!$H$36="Todos",'Plan mensual'!J105,0))+parametros_manuales!$E$36*('Plan mensual'!J102+IF(parametros_manuales!$H$36="Todos",'Plan mensual'!J106,0))+parametros_manuales!$F$36*('Plan mensual'!J103+IF(parametros_manuales!$H$36="Todos",'Plan mensual'!J107,0))+parametros_manuales!$G$36*('Plan mensual'!J104+IF(parametros_manuales!$H$36="Todos",'Plan mensual'!J108,0)))*parametros_manuales!$I$36*parametros_manuales!$J$36</f>
        <v>1086.27675</v>
      </c>
      <c r="I262" s="4">
        <f>(parametros_manuales!$D$36*('Plan mensual'!K101+IF(parametros_manuales!$H$36="Todos",'Plan mensual'!K105,0))+parametros_manuales!$E$36*('Plan mensual'!K102+IF(parametros_manuales!$H$36="Todos",'Plan mensual'!K106,0))+parametros_manuales!$F$36*('Plan mensual'!K103+IF(parametros_manuales!$H$36="Todos",'Plan mensual'!K107,0))+parametros_manuales!$G$36*('Plan mensual'!K104+IF(parametros_manuales!$H$36="Todos",'Plan mensual'!K108,0)))*parametros_manuales!$I$36*parametros_manuales!$J$36</f>
        <v>1086.27675</v>
      </c>
      <c r="J262" s="4">
        <f>(parametros_manuales!$D$36*('Plan mensual'!L101+IF(parametros_manuales!$H$36="Todos",'Plan mensual'!L105,0))+parametros_manuales!$E$36*('Plan mensual'!L102+IF(parametros_manuales!$H$36="Todos",'Plan mensual'!L106,0))+parametros_manuales!$F$36*('Plan mensual'!L103+IF(parametros_manuales!$H$36="Todos",'Plan mensual'!L107,0))+parametros_manuales!$G$36*('Plan mensual'!L104+IF(parametros_manuales!$H$36="Todos",'Plan mensual'!L108,0)))*parametros_manuales!$I$36*parametros_manuales!$J$36</f>
        <v>1086.27675</v>
      </c>
      <c r="K262" s="4">
        <f>(parametros_manuales!$D$36*('Plan mensual'!M101+IF(parametros_manuales!$H$36="Todos",'Plan mensual'!M105,0))+parametros_manuales!$E$36*('Plan mensual'!M102+IF(parametros_manuales!$H$36="Todos",'Plan mensual'!M106,0))+parametros_manuales!$F$36*('Plan mensual'!M103+IF(parametros_manuales!$H$36="Todos",'Plan mensual'!M107,0))+parametros_manuales!$G$36*('Plan mensual'!M104+IF(parametros_manuales!$H$36="Todos",'Plan mensual'!M108,0)))*parametros_manuales!$I$36*parametros_manuales!$J$36</f>
        <v>1065.87375</v>
      </c>
      <c r="L262" s="4">
        <f>(parametros_manuales!$D$36*('Plan mensual'!N101+IF(parametros_manuales!$H$36="Todos",'Plan mensual'!N105,0))+parametros_manuales!$E$36*('Plan mensual'!N102+IF(parametros_manuales!$H$36="Todos",'Plan mensual'!N106,0))+parametros_manuales!$F$36*('Plan mensual'!N103+IF(parametros_manuales!$H$36="Todos",'Plan mensual'!N107,0))+parametros_manuales!$G$36*('Plan mensual'!N104+IF(parametros_manuales!$H$36="Todos",'Plan mensual'!N108,0)))*parametros_manuales!$I$36*parametros_manuales!$J$36</f>
        <v>1045.47075</v>
      </c>
      <c r="M262" s="4">
        <f>(parametros_manuales!$D$36*('Plan mensual'!O101+IF(parametros_manuales!$H$36="Todos",'Plan mensual'!O105,0))+parametros_manuales!$E$36*('Plan mensual'!O102+IF(parametros_manuales!$H$36="Todos",'Plan mensual'!O106,0))+parametros_manuales!$F$36*('Plan mensual'!O103+IF(parametros_manuales!$H$36="Todos",'Plan mensual'!O107,0))+parametros_manuales!$G$36*('Plan mensual'!O104+IF(parametros_manuales!$H$36="Todos",'Plan mensual'!O108,0)))*parametros_manuales!$I$36*parametros_manuales!$J$36</f>
        <v>1664.592</v>
      </c>
      <c r="N262" s="4">
        <f t="shared" si="28"/>
        <v>14211.65</v>
      </c>
      <c r="O262" s="4">
        <f t="shared" si="29"/>
        <v>1664.592</v>
      </c>
      <c r="P262" s="27">
        <f>O262/(parametros_manuales!$B$7)</f>
        <v>11.09728</v>
      </c>
      <c r="Q262" s="3" t="str">
        <f t="shared" si="30"/>
        <v>Dic</v>
      </c>
    </row>
    <row r="263" ht="14.25" customHeight="1">
      <c r="A263" s="3" t="str">
        <f>parametros_manuales!$B$37</f>
        <v>Pintura en polvo + horno</v>
      </c>
      <c r="B263" s="4">
        <f>(parametros_manuales!$D$37*('Plan mensual'!D101+IF(parametros_manuales!$H$37="Todos",'Plan mensual'!D105,0))+parametros_manuales!$E$37*('Plan mensual'!D102+IF(parametros_manuales!$H$37="Todos",'Plan mensual'!D106,0))+parametros_manuales!$F$37*('Plan mensual'!D103+IF(parametros_manuales!$H$37="Todos",'Plan mensual'!D107,0))+parametros_manuales!$G$37*('Plan mensual'!D104+IF(parametros_manuales!$H$37="Todos",'Plan mensual'!D108,0)))*parametros_manuales!$I$37*parametros_manuales!$J$37</f>
        <v>32475.72</v>
      </c>
      <c r="C263" s="4">
        <f>(parametros_manuales!$D$37*('Plan mensual'!E101+IF(parametros_manuales!$H$37="Todos",'Plan mensual'!E105,0))+parametros_manuales!$E$37*('Plan mensual'!E102+IF(parametros_manuales!$H$37="Todos",'Plan mensual'!E106,0))+parametros_manuales!$F$37*('Plan mensual'!E103+IF(parametros_manuales!$H$37="Todos",'Plan mensual'!E107,0))+parametros_manuales!$G$37*('Plan mensual'!E104+IF(parametros_manuales!$H$37="Todos",'Plan mensual'!E108,0)))*parametros_manuales!$I$37*parametros_manuales!$J$37</f>
        <v>24764.85</v>
      </c>
      <c r="D263" s="4">
        <f>(parametros_manuales!$D$37*('Plan mensual'!F101+IF(parametros_manuales!$H$37="Todos",'Plan mensual'!F105,0))+parametros_manuales!$E$37*('Plan mensual'!F102+IF(parametros_manuales!$H$37="Todos",'Plan mensual'!F106,0))+parametros_manuales!$F$37*('Plan mensual'!F103+IF(parametros_manuales!$H$37="Todos",'Plan mensual'!F107,0))+parametros_manuales!$G$37*('Plan mensual'!F104+IF(parametros_manuales!$H$37="Todos",'Plan mensual'!F108,0)))*parametros_manuales!$I$37*parametros_manuales!$J$37</f>
        <v>23146.7</v>
      </c>
      <c r="E263" s="4">
        <f>(parametros_manuales!$D$37*('Plan mensual'!G101+IF(parametros_manuales!$H$37="Todos",'Plan mensual'!G105,0))+parametros_manuales!$E$37*('Plan mensual'!G102+IF(parametros_manuales!$H$37="Todos",'Plan mensual'!G106,0))+parametros_manuales!$F$37*('Plan mensual'!G103+IF(parametros_manuales!$H$37="Todos",'Plan mensual'!G107,0))+parametros_manuales!$G$37*('Plan mensual'!G104+IF(parametros_manuales!$H$37="Todos",'Plan mensual'!G108,0)))*parametros_manuales!$I$37*parametros_manuales!$J$37</f>
        <v>22133.595</v>
      </c>
      <c r="F263" s="4">
        <f>(parametros_manuales!$D$37*('Plan mensual'!H101+IF(parametros_manuales!$H$37="Todos",'Plan mensual'!H105,0))+parametros_manuales!$E$37*('Plan mensual'!H102+IF(parametros_manuales!$H$37="Todos",'Plan mensual'!H106,0))+parametros_manuales!$F$37*('Plan mensual'!H103+IF(parametros_manuales!$H$37="Todos",'Plan mensual'!H107,0))+parametros_manuales!$G$37*('Plan mensual'!H104+IF(parametros_manuales!$H$37="Todos",'Plan mensual'!H108,0)))*parametros_manuales!$I$37*parametros_manuales!$J$37</f>
        <v>20712.43</v>
      </c>
      <c r="G263" s="4">
        <f>(parametros_manuales!$D$37*('Plan mensual'!I101+IF(parametros_manuales!$H$37="Todos",'Plan mensual'!I105,0))+parametros_manuales!$E$37*('Plan mensual'!I102+IF(parametros_manuales!$H$37="Todos",'Plan mensual'!I106,0))+parametros_manuales!$F$37*('Plan mensual'!I103+IF(parametros_manuales!$H$37="Todos",'Plan mensual'!I107,0))+parametros_manuales!$G$37*('Plan mensual'!I104+IF(parametros_manuales!$H$37="Todos",'Plan mensual'!I108,0)))*parametros_manuales!$I$37*parametros_manuales!$J$37</f>
        <v>20304.37</v>
      </c>
      <c r="H263" s="4">
        <f>(parametros_manuales!$D$37*('Plan mensual'!J101+IF(parametros_manuales!$H$37="Todos",'Plan mensual'!J105,0))+parametros_manuales!$E$37*('Plan mensual'!J102+IF(parametros_manuales!$H$37="Todos",'Plan mensual'!J106,0))+parametros_manuales!$F$37*('Plan mensual'!J103+IF(parametros_manuales!$H$37="Todos",'Plan mensual'!J107,0))+parametros_manuales!$G$37*('Plan mensual'!J104+IF(parametros_manuales!$H$37="Todos",'Plan mensual'!J108,0)))*parametros_manuales!$I$37*parametros_manuales!$J$37</f>
        <v>21725.535</v>
      </c>
      <c r="I263" s="4">
        <f>(parametros_manuales!$D$37*('Plan mensual'!K101+IF(parametros_manuales!$H$37="Todos",'Plan mensual'!K105,0))+parametros_manuales!$E$37*('Plan mensual'!K102+IF(parametros_manuales!$H$37="Todos",'Plan mensual'!K106,0))+parametros_manuales!$F$37*('Plan mensual'!K103+IF(parametros_manuales!$H$37="Todos",'Plan mensual'!K107,0))+parametros_manuales!$G$37*('Plan mensual'!K104+IF(parametros_manuales!$H$37="Todos",'Plan mensual'!K108,0)))*parametros_manuales!$I$37*parametros_manuales!$J$37</f>
        <v>21725.535</v>
      </c>
      <c r="J263" s="4">
        <f>(parametros_manuales!$D$37*('Plan mensual'!L101+IF(parametros_manuales!$H$37="Todos",'Plan mensual'!L105,0))+parametros_manuales!$E$37*('Plan mensual'!L102+IF(parametros_manuales!$H$37="Todos",'Plan mensual'!L106,0))+parametros_manuales!$F$37*('Plan mensual'!L103+IF(parametros_manuales!$H$37="Todos",'Plan mensual'!L107,0))+parametros_manuales!$G$37*('Plan mensual'!L104+IF(parametros_manuales!$H$37="Todos",'Plan mensual'!L108,0)))*parametros_manuales!$I$37*parametros_manuales!$J$37</f>
        <v>21725.535</v>
      </c>
      <c r="K263" s="4">
        <f>(parametros_manuales!$D$37*('Plan mensual'!M101+IF(parametros_manuales!$H$37="Todos",'Plan mensual'!M105,0))+parametros_manuales!$E$37*('Plan mensual'!M102+IF(parametros_manuales!$H$37="Todos",'Plan mensual'!M106,0))+parametros_manuales!$F$37*('Plan mensual'!M103+IF(parametros_manuales!$H$37="Todos",'Plan mensual'!M107,0))+parametros_manuales!$G$37*('Plan mensual'!M104+IF(parametros_manuales!$H$37="Todos",'Plan mensual'!M108,0)))*parametros_manuales!$I$37*parametros_manuales!$J$37</f>
        <v>21317.475</v>
      </c>
      <c r="L263" s="4">
        <f>(parametros_manuales!$D$37*('Plan mensual'!N101+IF(parametros_manuales!$H$37="Todos",'Plan mensual'!N105,0))+parametros_manuales!$E$37*('Plan mensual'!N102+IF(parametros_manuales!$H$37="Todos",'Plan mensual'!N106,0))+parametros_manuales!$F$37*('Plan mensual'!N103+IF(parametros_manuales!$H$37="Todos",'Plan mensual'!N107,0))+parametros_manuales!$G$37*('Plan mensual'!N104+IF(parametros_manuales!$H$37="Todos",'Plan mensual'!N108,0)))*parametros_manuales!$I$37*parametros_manuales!$J$37</f>
        <v>20909.415</v>
      </c>
      <c r="M263" s="4">
        <f>(parametros_manuales!$D$37*('Plan mensual'!O101+IF(parametros_manuales!$H$37="Todos",'Plan mensual'!O105,0))+parametros_manuales!$E$37*('Plan mensual'!O102+IF(parametros_manuales!$H$37="Todos",'Plan mensual'!O106,0))+parametros_manuales!$F$37*('Plan mensual'!O103+IF(parametros_manuales!$H$37="Todos",'Plan mensual'!O107,0))+parametros_manuales!$G$37*('Plan mensual'!O104+IF(parametros_manuales!$H$37="Todos",'Plan mensual'!O108,0)))*parametros_manuales!$I$37*parametros_manuales!$J$37</f>
        <v>33291.84</v>
      </c>
      <c r="N263" s="4">
        <f t="shared" si="28"/>
        <v>284233</v>
      </c>
      <c r="O263" s="4">
        <f t="shared" si="29"/>
        <v>33291.84</v>
      </c>
      <c r="P263" s="27">
        <f>O263/(parametros_manuales!$B$7)</f>
        <v>221.9456</v>
      </c>
      <c r="Q263" s="3" t="str">
        <f t="shared" si="30"/>
        <v>Dic</v>
      </c>
    </row>
    <row r="264" ht="14.25" customHeight="1">
      <c r="A264" s="3" t="str">
        <f>parametros_manuales!$B$38</f>
        <v>Carga de polvo</v>
      </c>
      <c r="B264" s="4">
        <f>(parametros_manuales!$D$38*('Plan mensual'!D101+IF(parametros_manuales!$H$38="Todos",'Plan mensual'!D105,0))+parametros_manuales!$E$38*('Plan mensual'!D102+IF(parametros_manuales!$H$38="Todos",'Plan mensual'!D106,0))+parametros_manuales!$F$38*('Plan mensual'!D103+IF(parametros_manuales!$H$38="Todos",'Plan mensual'!D107,0))+parametros_manuales!$G$38*('Plan mensual'!D104+IF(parametros_manuales!$H$38="Todos",'Plan mensual'!D108,0)))*parametros_manuales!$I$38*parametros_manuales!$J$38</f>
        <v>7850.46</v>
      </c>
      <c r="C264" s="4">
        <f>(parametros_manuales!$D$38*('Plan mensual'!E101+IF(parametros_manuales!$H$38="Todos",'Plan mensual'!E105,0))+parametros_manuales!$E$38*('Plan mensual'!E102+IF(parametros_manuales!$H$38="Todos",'Plan mensual'!E106,0))+parametros_manuales!$F$38*('Plan mensual'!E103+IF(parametros_manuales!$H$38="Todos",'Plan mensual'!E107,0))+parametros_manuales!$G$38*('Plan mensual'!E104+IF(parametros_manuales!$H$38="Todos",'Plan mensual'!E108,0)))*parametros_manuales!$I$38*parametros_manuales!$J$38</f>
        <v>6087.93</v>
      </c>
      <c r="D264" s="4">
        <f>(parametros_manuales!$D$38*('Plan mensual'!F101+IF(parametros_manuales!$H$38="Todos",'Plan mensual'!F105,0))+parametros_manuales!$E$38*('Plan mensual'!F102+IF(parametros_manuales!$H$38="Todos",'Plan mensual'!F106,0))+parametros_manuales!$F$38*('Plan mensual'!F103+IF(parametros_manuales!$H$38="Todos",'Plan mensual'!F107,0))+parametros_manuales!$G$38*('Plan mensual'!F104+IF(parametros_manuales!$H$38="Todos",'Plan mensual'!F108,0)))*parametros_manuales!$I$38*parametros_manuales!$J$38</f>
        <v>5967.285</v>
      </c>
      <c r="E264" s="4">
        <f>(parametros_manuales!$D$38*('Plan mensual'!G101+IF(parametros_manuales!$H$38="Todos",'Plan mensual'!G105,0))+parametros_manuales!$E$38*('Plan mensual'!G102+IF(parametros_manuales!$H$38="Todos",'Plan mensual'!G106,0))+parametros_manuales!$F$38*('Plan mensual'!G103+IF(parametros_manuales!$H$38="Todos",'Plan mensual'!G107,0))+parametros_manuales!$G$38*('Plan mensual'!G104+IF(parametros_manuales!$H$38="Todos",'Plan mensual'!G108,0)))*parametros_manuales!$I$38*parametros_manuales!$J$38</f>
        <v>5806.92</v>
      </c>
      <c r="F264" s="4">
        <f>(parametros_manuales!$D$38*('Plan mensual'!H101+IF(parametros_manuales!$H$38="Todos",'Plan mensual'!H105,0))+parametros_manuales!$E$38*('Plan mensual'!H102+IF(parametros_manuales!$H$38="Todos",'Plan mensual'!H106,0))+parametros_manuales!$F$38*('Plan mensual'!H103+IF(parametros_manuales!$H$38="Todos",'Plan mensual'!H107,0))+parametros_manuales!$G$38*('Plan mensual'!H104+IF(parametros_manuales!$H$38="Todos",'Plan mensual'!H108,0)))*parametros_manuales!$I$38*parametros_manuales!$J$38</f>
        <v>5446.47</v>
      </c>
      <c r="G264" s="4">
        <f>(parametros_manuales!$D$38*('Plan mensual'!I101+IF(parametros_manuales!$H$38="Todos",'Plan mensual'!I105,0))+parametros_manuales!$E$38*('Plan mensual'!I102+IF(parametros_manuales!$H$38="Todos",'Plan mensual'!I106,0))+parametros_manuales!$F$38*('Plan mensual'!I103+IF(parametros_manuales!$H$38="Todos",'Plan mensual'!I107,0))+parametros_manuales!$G$38*('Plan mensual'!I104+IF(parametros_manuales!$H$38="Todos",'Plan mensual'!I108,0)))*parametros_manuales!$I$38*parametros_manuales!$J$38</f>
        <v>5246.385</v>
      </c>
      <c r="H264" s="4">
        <f>(parametros_manuales!$D$38*('Plan mensual'!J101+IF(parametros_manuales!$H$38="Todos",'Plan mensual'!J105,0))+parametros_manuales!$E$38*('Plan mensual'!J102+IF(parametros_manuales!$H$38="Todos",'Plan mensual'!J106,0))+parametros_manuales!$F$38*('Plan mensual'!J103+IF(parametros_manuales!$H$38="Todos",'Plan mensual'!J107,0))+parametros_manuales!$G$38*('Plan mensual'!J104+IF(parametros_manuales!$H$38="Todos",'Plan mensual'!J108,0)))*parametros_manuales!$I$38*parametros_manuales!$J$38</f>
        <v>5606.835</v>
      </c>
      <c r="I264" s="4">
        <f>(parametros_manuales!$D$38*('Plan mensual'!K101+IF(parametros_manuales!$H$38="Todos",'Plan mensual'!K105,0))+parametros_manuales!$E$38*('Plan mensual'!K102+IF(parametros_manuales!$H$38="Todos",'Plan mensual'!K106,0))+parametros_manuales!$F$38*('Plan mensual'!K103+IF(parametros_manuales!$H$38="Todos",'Plan mensual'!K107,0))+parametros_manuales!$G$38*('Plan mensual'!K104+IF(parametros_manuales!$H$38="Todos",'Plan mensual'!K108,0)))*parametros_manuales!$I$38*parametros_manuales!$J$38</f>
        <v>5606.835</v>
      </c>
      <c r="J264" s="4">
        <f>(parametros_manuales!$D$38*('Plan mensual'!L101+IF(parametros_manuales!$H$38="Todos",'Plan mensual'!L105,0))+parametros_manuales!$E$38*('Plan mensual'!L102+IF(parametros_manuales!$H$38="Todos",'Plan mensual'!L106,0))+parametros_manuales!$F$38*('Plan mensual'!L103+IF(parametros_manuales!$H$38="Todos",'Plan mensual'!L107,0))+parametros_manuales!$G$38*('Plan mensual'!L104+IF(parametros_manuales!$H$38="Todos",'Plan mensual'!L108,0)))*parametros_manuales!$I$38*parametros_manuales!$J$38</f>
        <v>5606.835</v>
      </c>
      <c r="K264" s="4">
        <f>(parametros_manuales!$D$38*('Plan mensual'!M101+IF(parametros_manuales!$H$38="Todos",'Plan mensual'!M105,0))+parametros_manuales!$E$38*('Plan mensual'!M102+IF(parametros_manuales!$H$38="Todos",'Plan mensual'!M106,0))+parametros_manuales!$F$38*('Plan mensual'!M103+IF(parametros_manuales!$H$38="Todos",'Plan mensual'!M107,0))+parametros_manuales!$G$38*('Plan mensual'!M104+IF(parametros_manuales!$H$38="Todos",'Plan mensual'!M108,0)))*parametros_manuales!$I$38*parametros_manuales!$J$38</f>
        <v>5406.75</v>
      </c>
      <c r="L264" s="4">
        <f>(parametros_manuales!$D$38*('Plan mensual'!N101+IF(parametros_manuales!$H$38="Todos",'Plan mensual'!N105,0))+parametros_manuales!$E$38*('Plan mensual'!N102+IF(parametros_manuales!$H$38="Todos",'Plan mensual'!N106,0))+parametros_manuales!$F$38*('Plan mensual'!N103+IF(parametros_manuales!$H$38="Todos",'Plan mensual'!N107,0))+parametros_manuales!$G$38*('Plan mensual'!N104+IF(parametros_manuales!$H$38="Todos",'Plan mensual'!N108,0)))*parametros_manuales!$I$38*parametros_manuales!$J$38</f>
        <v>5206.665</v>
      </c>
      <c r="M264" s="4">
        <f>(parametros_manuales!$D$38*('Plan mensual'!O101+IF(parametros_manuales!$H$38="Todos",'Plan mensual'!O105,0))+parametros_manuales!$E$38*('Plan mensual'!O102+IF(parametros_manuales!$H$38="Todos",'Plan mensual'!O106,0))+parametros_manuales!$F$38*('Plan mensual'!O103+IF(parametros_manuales!$H$38="Todos",'Plan mensual'!O107,0))+parametros_manuales!$G$38*('Plan mensual'!O104+IF(parametros_manuales!$H$38="Todos",'Plan mensual'!O108,0)))*parametros_manuales!$I$38*parametros_manuales!$J$38</f>
        <v>8250.63</v>
      </c>
      <c r="N264" s="4">
        <f t="shared" si="28"/>
        <v>72090</v>
      </c>
      <c r="O264" s="4">
        <f t="shared" si="29"/>
        <v>8250.63</v>
      </c>
      <c r="P264" s="27">
        <f>O264/(parametros_manuales!$B$7)</f>
        <v>55.0042</v>
      </c>
      <c r="Q264" s="3" t="str">
        <f t="shared" si="30"/>
        <v>Dic</v>
      </c>
    </row>
    <row r="265" ht="14.25" customHeight="1">
      <c r="A265" s="3" t="str">
        <f>parametros_manuales!$B$39</f>
        <v>Ensamblaje</v>
      </c>
      <c r="B265" s="4">
        <f>(parametros_manuales!$D$39*('Plan mensual'!D101+IF(parametros_manuales!$H$39="Todos",'Plan mensual'!D105,0))+parametros_manuales!$E$39*('Plan mensual'!D102+IF(parametros_manuales!$H$39="Todos",'Plan mensual'!D106,0))+parametros_manuales!$F$39*('Plan mensual'!D103+IF(parametros_manuales!$H$39="Todos",'Plan mensual'!D107,0))+parametros_manuales!$G$39*('Plan mensual'!D104+IF(parametros_manuales!$H$39="Todos",'Plan mensual'!D108,0)))*parametros_manuales!$I$39*parametros_manuales!$J$39</f>
        <v>7850.46</v>
      </c>
      <c r="C265" s="4">
        <f>(parametros_manuales!$D$39*('Plan mensual'!E101+IF(parametros_manuales!$H$39="Todos",'Plan mensual'!E105,0))+parametros_manuales!$E$39*('Plan mensual'!E102+IF(parametros_manuales!$H$39="Todos",'Plan mensual'!E106,0))+parametros_manuales!$F$39*('Plan mensual'!E103+IF(parametros_manuales!$H$39="Todos",'Plan mensual'!E107,0))+parametros_manuales!$G$39*('Plan mensual'!E104+IF(parametros_manuales!$H$39="Todos",'Plan mensual'!E108,0)))*parametros_manuales!$I$39*parametros_manuales!$J$39</f>
        <v>6087.93</v>
      </c>
      <c r="D265" s="4">
        <f>(parametros_manuales!$D$39*('Plan mensual'!F101+IF(parametros_manuales!$H$39="Todos",'Plan mensual'!F105,0))+parametros_manuales!$E$39*('Plan mensual'!F102+IF(parametros_manuales!$H$39="Todos",'Plan mensual'!F106,0))+parametros_manuales!$F$39*('Plan mensual'!F103+IF(parametros_manuales!$H$39="Todos",'Plan mensual'!F107,0))+parametros_manuales!$G$39*('Plan mensual'!F104+IF(parametros_manuales!$H$39="Todos",'Plan mensual'!F108,0)))*parametros_manuales!$I$39*parametros_manuales!$J$39</f>
        <v>5967.285</v>
      </c>
      <c r="E265" s="4">
        <f>(parametros_manuales!$D$39*('Plan mensual'!G101+IF(parametros_manuales!$H$39="Todos",'Plan mensual'!G105,0))+parametros_manuales!$E$39*('Plan mensual'!G102+IF(parametros_manuales!$H$39="Todos",'Plan mensual'!G106,0))+parametros_manuales!$F$39*('Plan mensual'!G103+IF(parametros_manuales!$H$39="Todos",'Plan mensual'!G107,0))+parametros_manuales!$G$39*('Plan mensual'!G104+IF(parametros_manuales!$H$39="Todos",'Plan mensual'!G108,0)))*parametros_manuales!$I$39*parametros_manuales!$J$39</f>
        <v>5806.92</v>
      </c>
      <c r="F265" s="4">
        <f>(parametros_manuales!$D$39*('Plan mensual'!H101+IF(parametros_manuales!$H$39="Todos",'Plan mensual'!H105,0))+parametros_manuales!$E$39*('Plan mensual'!H102+IF(parametros_manuales!$H$39="Todos",'Plan mensual'!H106,0))+parametros_manuales!$F$39*('Plan mensual'!H103+IF(parametros_manuales!$H$39="Todos",'Plan mensual'!H107,0))+parametros_manuales!$G$39*('Plan mensual'!H104+IF(parametros_manuales!$H$39="Todos",'Plan mensual'!H108,0)))*parametros_manuales!$I$39*parametros_manuales!$J$39</f>
        <v>5446.47</v>
      </c>
      <c r="G265" s="4">
        <f>(parametros_manuales!$D$39*('Plan mensual'!I101+IF(parametros_manuales!$H$39="Todos",'Plan mensual'!I105,0))+parametros_manuales!$E$39*('Plan mensual'!I102+IF(parametros_manuales!$H$39="Todos",'Plan mensual'!I106,0))+parametros_manuales!$F$39*('Plan mensual'!I103+IF(parametros_manuales!$H$39="Todos",'Plan mensual'!I107,0))+parametros_manuales!$G$39*('Plan mensual'!I104+IF(parametros_manuales!$H$39="Todos",'Plan mensual'!I108,0)))*parametros_manuales!$I$39*parametros_manuales!$J$39</f>
        <v>5246.385</v>
      </c>
      <c r="H265" s="4">
        <f>(parametros_manuales!$D$39*('Plan mensual'!J101+IF(parametros_manuales!$H$39="Todos",'Plan mensual'!J105,0))+parametros_manuales!$E$39*('Plan mensual'!J102+IF(parametros_manuales!$H$39="Todos",'Plan mensual'!J106,0))+parametros_manuales!$F$39*('Plan mensual'!J103+IF(parametros_manuales!$H$39="Todos",'Plan mensual'!J107,0))+parametros_manuales!$G$39*('Plan mensual'!J104+IF(parametros_manuales!$H$39="Todos",'Plan mensual'!J108,0)))*parametros_manuales!$I$39*parametros_manuales!$J$39</f>
        <v>5606.835</v>
      </c>
      <c r="I265" s="4">
        <f>(parametros_manuales!$D$39*('Plan mensual'!K101+IF(parametros_manuales!$H$39="Todos",'Plan mensual'!K105,0))+parametros_manuales!$E$39*('Plan mensual'!K102+IF(parametros_manuales!$H$39="Todos",'Plan mensual'!K106,0))+parametros_manuales!$F$39*('Plan mensual'!K103+IF(parametros_manuales!$H$39="Todos",'Plan mensual'!K107,0))+parametros_manuales!$G$39*('Plan mensual'!K104+IF(parametros_manuales!$H$39="Todos",'Plan mensual'!K108,0)))*parametros_manuales!$I$39*parametros_manuales!$J$39</f>
        <v>5606.835</v>
      </c>
      <c r="J265" s="4">
        <f>(parametros_manuales!$D$39*('Plan mensual'!L101+IF(parametros_manuales!$H$39="Todos",'Plan mensual'!L105,0))+parametros_manuales!$E$39*('Plan mensual'!L102+IF(parametros_manuales!$H$39="Todos",'Plan mensual'!L106,0))+parametros_manuales!$F$39*('Plan mensual'!L103+IF(parametros_manuales!$H$39="Todos",'Plan mensual'!L107,0))+parametros_manuales!$G$39*('Plan mensual'!L104+IF(parametros_manuales!$H$39="Todos",'Plan mensual'!L108,0)))*parametros_manuales!$I$39*parametros_manuales!$J$39</f>
        <v>5606.835</v>
      </c>
      <c r="K265" s="4">
        <f>(parametros_manuales!$D$39*('Plan mensual'!M101+IF(parametros_manuales!$H$39="Todos",'Plan mensual'!M105,0))+parametros_manuales!$E$39*('Plan mensual'!M102+IF(parametros_manuales!$H$39="Todos",'Plan mensual'!M106,0))+parametros_manuales!$F$39*('Plan mensual'!M103+IF(parametros_manuales!$H$39="Todos",'Plan mensual'!M107,0))+parametros_manuales!$G$39*('Plan mensual'!M104+IF(parametros_manuales!$H$39="Todos",'Plan mensual'!M108,0)))*parametros_manuales!$I$39*parametros_manuales!$J$39</f>
        <v>5406.75</v>
      </c>
      <c r="L265" s="4">
        <f>(parametros_manuales!$D$39*('Plan mensual'!N101+IF(parametros_manuales!$H$39="Todos",'Plan mensual'!N105,0))+parametros_manuales!$E$39*('Plan mensual'!N102+IF(parametros_manuales!$H$39="Todos",'Plan mensual'!N106,0))+parametros_manuales!$F$39*('Plan mensual'!N103+IF(parametros_manuales!$H$39="Todos",'Plan mensual'!N107,0))+parametros_manuales!$G$39*('Plan mensual'!N104+IF(parametros_manuales!$H$39="Todos",'Plan mensual'!N108,0)))*parametros_manuales!$I$39*parametros_manuales!$J$39</f>
        <v>5206.665</v>
      </c>
      <c r="M265" s="4">
        <f>(parametros_manuales!$D$39*('Plan mensual'!O101+IF(parametros_manuales!$H$39="Todos",'Plan mensual'!O105,0))+parametros_manuales!$E$39*('Plan mensual'!O102+IF(parametros_manuales!$H$39="Todos",'Plan mensual'!O106,0))+parametros_manuales!$F$39*('Plan mensual'!O103+IF(parametros_manuales!$H$39="Todos",'Plan mensual'!O107,0))+parametros_manuales!$G$39*('Plan mensual'!O104+IF(parametros_manuales!$H$39="Todos",'Plan mensual'!O108,0)))*parametros_manuales!$I$39*parametros_manuales!$J$39</f>
        <v>8250.63</v>
      </c>
      <c r="N265" s="4">
        <f t="shared" si="28"/>
        <v>72090</v>
      </c>
      <c r="O265" s="4">
        <f t="shared" si="29"/>
        <v>8250.63</v>
      </c>
      <c r="P265" s="27">
        <f>O265/(parametros_manuales!$B$7)</f>
        <v>55.0042</v>
      </c>
      <c r="Q265" s="3" t="str">
        <f t="shared" si="30"/>
        <v>Dic</v>
      </c>
    </row>
    <row r="266" ht="14.25" customHeight="1">
      <c r="A266" s="3" t="str">
        <f>parametros_manuales!$B$40</f>
        <v>Presurización</v>
      </c>
      <c r="B266" s="4">
        <f>(parametros_manuales!$D$40*('Plan mensual'!D101+IF(parametros_manuales!$H$40="Todos",'Plan mensual'!D105,0))+parametros_manuales!$E$40*('Plan mensual'!D102+IF(parametros_manuales!$H$40="Todos",'Plan mensual'!D106,0))+parametros_manuales!$F$40*('Plan mensual'!D103+IF(parametros_manuales!$H$40="Todos",'Plan mensual'!D107,0))+parametros_manuales!$G$40*('Plan mensual'!D104+IF(parametros_manuales!$H$40="Todos",'Plan mensual'!D108,0)))*parametros_manuales!$I$40*parametros_manuales!$J$40</f>
        <v>7850.46</v>
      </c>
      <c r="C266" s="4">
        <f>(parametros_manuales!$D$40*('Plan mensual'!E101+IF(parametros_manuales!$H$40="Todos",'Plan mensual'!E105,0))+parametros_manuales!$E$40*('Plan mensual'!E102+IF(parametros_manuales!$H$40="Todos",'Plan mensual'!E106,0))+parametros_manuales!$F$40*('Plan mensual'!E103+IF(parametros_manuales!$H$40="Todos",'Plan mensual'!E107,0))+parametros_manuales!$G$40*('Plan mensual'!E104+IF(parametros_manuales!$H$40="Todos",'Plan mensual'!E108,0)))*parametros_manuales!$I$40*parametros_manuales!$J$40</f>
        <v>6087.93</v>
      </c>
      <c r="D266" s="4">
        <f>(parametros_manuales!$D$40*('Plan mensual'!F101+IF(parametros_manuales!$H$40="Todos",'Plan mensual'!F105,0))+parametros_manuales!$E$40*('Plan mensual'!F102+IF(parametros_manuales!$H$40="Todos",'Plan mensual'!F106,0))+parametros_manuales!$F$40*('Plan mensual'!F103+IF(parametros_manuales!$H$40="Todos",'Plan mensual'!F107,0))+parametros_manuales!$G$40*('Plan mensual'!F104+IF(parametros_manuales!$H$40="Todos",'Plan mensual'!F108,0)))*parametros_manuales!$I$40*parametros_manuales!$J$40</f>
        <v>5967.285</v>
      </c>
      <c r="E266" s="4">
        <f>(parametros_manuales!$D$40*('Plan mensual'!G101+IF(parametros_manuales!$H$40="Todos",'Plan mensual'!G105,0))+parametros_manuales!$E$40*('Plan mensual'!G102+IF(parametros_manuales!$H$40="Todos",'Plan mensual'!G106,0))+parametros_manuales!$F$40*('Plan mensual'!G103+IF(parametros_manuales!$H$40="Todos",'Plan mensual'!G107,0))+parametros_manuales!$G$40*('Plan mensual'!G104+IF(parametros_manuales!$H$40="Todos",'Plan mensual'!G108,0)))*parametros_manuales!$I$40*parametros_manuales!$J$40</f>
        <v>5806.92</v>
      </c>
      <c r="F266" s="4">
        <f>(parametros_manuales!$D$40*('Plan mensual'!H101+IF(parametros_manuales!$H$40="Todos",'Plan mensual'!H105,0))+parametros_manuales!$E$40*('Plan mensual'!H102+IF(parametros_manuales!$H$40="Todos",'Plan mensual'!H106,0))+parametros_manuales!$F$40*('Plan mensual'!H103+IF(parametros_manuales!$H$40="Todos",'Plan mensual'!H107,0))+parametros_manuales!$G$40*('Plan mensual'!H104+IF(parametros_manuales!$H$40="Todos",'Plan mensual'!H108,0)))*parametros_manuales!$I$40*parametros_manuales!$J$40</f>
        <v>5446.47</v>
      </c>
      <c r="G266" s="4">
        <f>(parametros_manuales!$D$40*('Plan mensual'!I101+IF(parametros_manuales!$H$40="Todos",'Plan mensual'!I105,0))+parametros_manuales!$E$40*('Plan mensual'!I102+IF(parametros_manuales!$H$40="Todos",'Plan mensual'!I106,0))+parametros_manuales!$F$40*('Plan mensual'!I103+IF(parametros_manuales!$H$40="Todos",'Plan mensual'!I107,0))+parametros_manuales!$G$40*('Plan mensual'!I104+IF(parametros_manuales!$H$40="Todos",'Plan mensual'!I108,0)))*parametros_manuales!$I$40*parametros_manuales!$J$40</f>
        <v>5246.385</v>
      </c>
      <c r="H266" s="4">
        <f>(parametros_manuales!$D$40*('Plan mensual'!J101+IF(parametros_manuales!$H$40="Todos",'Plan mensual'!J105,0))+parametros_manuales!$E$40*('Plan mensual'!J102+IF(parametros_manuales!$H$40="Todos",'Plan mensual'!J106,0))+parametros_manuales!$F$40*('Plan mensual'!J103+IF(parametros_manuales!$H$40="Todos",'Plan mensual'!J107,0))+parametros_manuales!$G$40*('Plan mensual'!J104+IF(parametros_manuales!$H$40="Todos",'Plan mensual'!J108,0)))*parametros_manuales!$I$40*parametros_manuales!$J$40</f>
        <v>5606.835</v>
      </c>
      <c r="I266" s="4">
        <f>(parametros_manuales!$D$40*('Plan mensual'!K101+IF(parametros_manuales!$H$40="Todos",'Plan mensual'!K105,0))+parametros_manuales!$E$40*('Plan mensual'!K102+IF(parametros_manuales!$H$40="Todos",'Plan mensual'!K106,0))+parametros_manuales!$F$40*('Plan mensual'!K103+IF(parametros_manuales!$H$40="Todos",'Plan mensual'!K107,0))+parametros_manuales!$G$40*('Plan mensual'!K104+IF(parametros_manuales!$H$40="Todos",'Plan mensual'!K108,0)))*parametros_manuales!$I$40*parametros_manuales!$J$40</f>
        <v>5606.835</v>
      </c>
      <c r="J266" s="4">
        <f>(parametros_manuales!$D$40*('Plan mensual'!L101+IF(parametros_manuales!$H$40="Todos",'Plan mensual'!L105,0))+parametros_manuales!$E$40*('Plan mensual'!L102+IF(parametros_manuales!$H$40="Todos",'Plan mensual'!L106,0))+parametros_manuales!$F$40*('Plan mensual'!L103+IF(parametros_manuales!$H$40="Todos",'Plan mensual'!L107,0))+parametros_manuales!$G$40*('Plan mensual'!L104+IF(parametros_manuales!$H$40="Todos",'Plan mensual'!L108,0)))*parametros_manuales!$I$40*parametros_manuales!$J$40</f>
        <v>5606.835</v>
      </c>
      <c r="K266" s="4">
        <f>(parametros_manuales!$D$40*('Plan mensual'!M101+IF(parametros_manuales!$H$40="Todos",'Plan mensual'!M105,0))+parametros_manuales!$E$40*('Plan mensual'!M102+IF(parametros_manuales!$H$40="Todos",'Plan mensual'!M106,0))+parametros_manuales!$F$40*('Plan mensual'!M103+IF(parametros_manuales!$H$40="Todos",'Plan mensual'!M107,0))+parametros_manuales!$G$40*('Plan mensual'!M104+IF(parametros_manuales!$H$40="Todos",'Plan mensual'!M108,0)))*parametros_manuales!$I$40*parametros_manuales!$J$40</f>
        <v>5406.75</v>
      </c>
      <c r="L266" s="4">
        <f>(parametros_manuales!$D$40*('Plan mensual'!N101+IF(parametros_manuales!$H$40="Todos",'Plan mensual'!N105,0))+parametros_manuales!$E$40*('Plan mensual'!N102+IF(parametros_manuales!$H$40="Todos",'Plan mensual'!N106,0))+parametros_manuales!$F$40*('Plan mensual'!N103+IF(parametros_manuales!$H$40="Todos",'Plan mensual'!N107,0))+parametros_manuales!$G$40*('Plan mensual'!N104+IF(parametros_manuales!$H$40="Todos",'Plan mensual'!N108,0)))*parametros_manuales!$I$40*parametros_manuales!$J$40</f>
        <v>5206.665</v>
      </c>
      <c r="M266" s="4">
        <f>(parametros_manuales!$D$40*('Plan mensual'!O101+IF(parametros_manuales!$H$40="Todos",'Plan mensual'!O105,0))+parametros_manuales!$E$40*('Plan mensual'!O102+IF(parametros_manuales!$H$40="Todos",'Plan mensual'!O106,0))+parametros_manuales!$F$40*('Plan mensual'!O103+IF(parametros_manuales!$H$40="Todos",'Plan mensual'!O107,0))+parametros_manuales!$G$40*('Plan mensual'!O104+IF(parametros_manuales!$H$40="Todos",'Plan mensual'!O108,0)))*parametros_manuales!$I$40*parametros_manuales!$J$40</f>
        <v>8250.63</v>
      </c>
      <c r="N266" s="4">
        <f t="shared" si="28"/>
        <v>72090</v>
      </c>
      <c r="O266" s="4">
        <f t="shared" si="29"/>
        <v>8250.63</v>
      </c>
      <c r="P266" s="27">
        <f>O266/(parametros_manuales!$B$7)</f>
        <v>55.0042</v>
      </c>
      <c r="Q266" s="3" t="str">
        <f t="shared" si="30"/>
        <v>Dic</v>
      </c>
    </row>
    <row r="267" ht="14.25" customHeight="1">
      <c r="A267" s="3" t="str">
        <f>parametros_manuales!$B$41</f>
        <v>Control de calidad — Ensayo de pérdidas</v>
      </c>
      <c r="B267" s="4">
        <f>(parametros_manuales!$D$41*('Plan mensual'!D101+IF(parametros_manuales!$H$41="Todos",'Plan mensual'!D105,0))+parametros_manuales!$E$41*('Plan mensual'!D102+IF(parametros_manuales!$H$41="Todos",'Plan mensual'!D106,0))+parametros_manuales!$F$41*('Plan mensual'!D103+IF(parametros_manuales!$H$41="Todos",'Plan mensual'!D107,0))+parametros_manuales!$G$41*('Plan mensual'!D104+IF(parametros_manuales!$H$41="Todos",'Plan mensual'!D108,0)))*parametros_manuales!$I$41*parametros_manuales!$J$41</f>
        <v>7850.46</v>
      </c>
      <c r="C267" s="4">
        <f>(parametros_manuales!$D$41*('Plan mensual'!E101+IF(parametros_manuales!$H$41="Todos",'Plan mensual'!E105,0))+parametros_manuales!$E$41*('Plan mensual'!E102+IF(parametros_manuales!$H$41="Todos",'Plan mensual'!E106,0))+parametros_manuales!$F$41*('Plan mensual'!E103+IF(parametros_manuales!$H$41="Todos",'Plan mensual'!E107,0))+parametros_manuales!$G$41*('Plan mensual'!E104+IF(parametros_manuales!$H$41="Todos",'Plan mensual'!E108,0)))*parametros_manuales!$I$41*parametros_manuales!$J$41</f>
        <v>6087.93</v>
      </c>
      <c r="D267" s="4">
        <f>(parametros_manuales!$D$41*('Plan mensual'!F101+IF(parametros_manuales!$H$41="Todos",'Plan mensual'!F105,0))+parametros_manuales!$E$41*('Plan mensual'!F102+IF(parametros_manuales!$H$41="Todos",'Plan mensual'!F106,0))+parametros_manuales!$F$41*('Plan mensual'!F103+IF(parametros_manuales!$H$41="Todos",'Plan mensual'!F107,0))+parametros_manuales!$G$41*('Plan mensual'!F104+IF(parametros_manuales!$H$41="Todos",'Plan mensual'!F108,0)))*parametros_manuales!$I$41*parametros_manuales!$J$41</f>
        <v>5967.285</v>
      </c>
      <c r="E267" s="4">
        <f>(parametros_manuales!$D$41*('Plan mensual'!G101+IF(parametros_manuales!$H$41="Todos",'Plan mensual'!G105,0))+parametros_manuales!$E$41*('Plan mensual'!G102+IF(parametros_manuales!$H$41="Todos",'Plan mensual'!G106,0))+parametros_manuales!$F$41*('Plan mensual'!G103+IF(parametros_manuales!$H$41="Todos",'Plan mensual'!G107,0))+parametros_manuales!$G$41*('Plan mensual'!G104+IF(parametros_manuales!$H$41="Todos",'Plan mensual'!G108,0)))*parametros_manuales!$I$41*parametros_manuales!$J$41</f>
        <v>5806.92</v>
      </c>
      <c r="F267" s="4">
        <f>(parametros_manuales!$D$41*('Plan mensual'!H101+IF(parametros_manuales!$H$41="Todos",'Plan mensual'!H105,0))+parametros_manuales!$E$41*('Plan mensual'!H102+IF(parametros_manuales!$H$41="Todos",'Plan mensual'!H106,0))+parametros_manuales!$F$41*('Plan mensual'!H103+IF(parametros_manuales!$H$41="Todos",'Plan mensual'!H107,0))+parametros_manuales!$G$41*('Plan mensual'!H104+IF(parametros_manuales!$H$41="Todos",'Plan mensual'!H108,0)))*parametros_manuales!$I$41*parametros_manuales!$J$41</f>
        <v>5446.47</v>
      </c>
      <c r="G267" s="4">
        <f>(parametros_manuales!$D$41*('Plan mensual'!I101+IF(parametros_manuales!$H$41="Todos",'Plan mensual'!I105,0))+parametros_manuales!$E$41*('Plan mensual'!I102+IF(parametros_manuales!$H$41="Todos",'Plan mensual'!I106,0))+parametros_manuales!$F$41*('Plan mensual'!I103+IF(parametros_manuales!$H$41="Todos",'Plan mensual'!I107,0))+parametros_manuales!$G$41*('Plan mensual'!I104+IF(parametros_manuales!$H$41="Todos",'Plan mensual'!I108,0)))*parametros_manuales!$I$41*parametros_manuales!$J$41</f>
        <v>5246.385</v>
      </c>
      <c r="H267" s="4">
        <f>(parametros_manuales!$D$41*('Plan mensual'!J101+IF(parametros_manuales!$H$41="Todos",'Plan mensual'!J105,0))+parametros_manuales!$E$41*('Plan mensual'!J102+IF(parametros_manuales!$H$41="Todos",'Plan mensual'!J106,0))+parametros_manuales!$F$41*('Plan mensual'!J103+IF(parametros_manuales!$H$41="Todos",'Plan mensual'!J107,0))+parametros_manuales!$G$41*('Plan mensual'!J104+IF(parametros_manuales!$H$41="Todos",'Plan mensual'!J108,0)))*parametros_manuales!$I$41*parametros_manuales!$J$41</f>
        <v>5606.835</v>
      </c>
      <c r="I267" s="4">
        <f>(parametros_manuales!$D$41*('Plan mensual'!K101+IF(parametros_manuales!$H$41="Todos",'Plan mensual'!K105,0))+parametros_manuales!$E$41*('Plan mensual'!K102+IF(parametros_manuales!$H$41="Todos",'Plan mensual'!K106,0))+parametros_manuales!$F$41*('Plan mensual'!K103+IF(parametros_manuales!$H$41="Todos",'Plan mensual'!K107,0))+parametros_manuales!$G$41*('Plan mensual'!K104+IF(parametros_manuales!$H$41="Todos",'Plan mensual'!K108,0)))*parametros_manuales!$I$41*parametros_manuales!$J$41</f>
        <v>5606.835</v>
      </c>
      <c r="J267" s="4">
        <f>(parametros_manuales!$D$41*('Plan mensual'!L101+IF(parametros_manuales!$H$41="Todos",'Plan mensual'!L105,0))+parametros_manuales!$E$41*('Plan mensual'!L102+IF(parametros_manuales!$H$41="Todos",'Plan mensual'!L106,0))+parametros_manuales!$F$41*('Plan mensual'!L103+IF(parametros_manuales!$H$41="Todos",'Plan mensual'!L107,0))+parametros_manuales!$G$41*('Plan mensual'!L104+IF(parametros_manuales!$H$41="Todos",'Plan mensual'!L108,0)))*parametros_manuales!$I$41*parametros_manuales!$J$41</f>
        <v>5606.835</v>
      </c>
      <c r="K267" s="4">
        <f>(parametros_manuales!$D$41*('Plan mensual'!M101+IF(parametros_manuales!$H$41="Todos",'Plan mensual'!M105,0))+parametros_manuales!$E$41*('Plan mensual'!M102+IF(parametros_manuales!$H$41="Todos",'Plan mensual'!M106,0))+parametros_manuales!$F$41*('Plan mensual'!M103+IF(parametros_manuales!$H$41="Todos",'Plan mensual'!M107,0))+parametros_manuales!$G$41*('Plan mensual'!M104+IF(parametros_manuales!$H$41="Todos",'Plan mensual'!M108,0)))*parametros_manuales!$I$41*parametros_manuales!$J$41</f>
        <v>5406.75</v>
      </c>
      <c r="L267" s="4">
        <f>(parametros_manuales!$D$41*('Plan mensual'!N101+IF(parametros_manuales!$H$41="Todos",'Plan mensual'!N105,0))+parametros_manuales!$E$41*('Plan mensual'!N102+IF(parametros_manuales!$H$41="Todos",'Plan mensual'!N106,0))+parametros_manuales!$F$41*('Plan mensual'!N103+IF(parametros_manuales!$H$41="Todos",'Plan mensual'!N107,0))+parametros_manuales!$G$41*('Plan mensual'!N104+IF(parametros_manuales!$H$41="Todos",'Plan mensual'!N108,0)))*parametros_manuales!$I$41*parametros_manuales!$J$41</f>
        <v>5206.665</v>
      </c>
      <c r="M267" s="4">
        <f>(parametros_manuales!$D$41*('Plan mensual'!O101+IF(parametros_manuales!$H$41="Todos",'Plan mensual'!O105,0))+parametros_manuales!$E$41*('Plan mensual'!O102+IF(parametros_manuales!$H$41="Todos",'Plan mensual'!O106,0))+parametros_manuales!$F$41*('Plan mensual'!O103+IF(parametros_manuales!$H$41="Todos",'Plan mensual'!O107,0))+parametros_manuales!$G$41*('Plan mensual'!O104+IF(parametros_manuales!$H$41="Todos",'Plan mensual'!O108,0)))*parametros_manuales!$I$41*parametros_manuales!$J$41</f>
        <v>8250.63</v>
      </c>
      <c r="N267" s="4">
        <f t="shared" si="28"/>
        <v>72090</v>
      </c>
      <c r="O267" s="4">
        <f t="shared" si="29"/>
        <v>8250.63</v>
      </c>
      <c r="P267" s="27">
        <f>O267/(parametros_manuales!$B$7)</f>
        <v>55.0042</v>
      </c>
      <c r="Q267" s="3" t="str">
        <f t="shared" si="30"/>
        <v>Dic</v>
      </c>
    </row>
    <row r="268" ht="14.25" customHeight="1">
      <c r="A268" s="3" t="str">
        <f>parametros_manuales!$B$42</f>
        <v>Etiquetado</v>
      </c>
      <c r="B268" s="4">
        <f>(parametros_manuales!$D$42*('Plan mensual'!D101+IF(parametros_manuales!$H$42="Todos",'Plan mensual'!D105,0))+parametros_manuales!$E$42*('Plan mensual'!D102+IF(parametros_manuales!$H$42="Todos",'Plan mensual'!D106,0))+parametros_manuales!$F$42*('Plan mensual'!D103+IF(parametros_manuales!$H$42="Todos",'Plan mensual'!D107,0))+parametros_manuales!$G$42*('Plan mensual'!D104+IF(parametros_manuales!$H$42="Todos",'Plan mensual'!D108,0)))*parametros_manuales!$I$42*parametros_manuales!$J$42</f>
        <v>7850.46</v>
      </c>
      <c r="C268" s="4">
        <f>(parametros_manuales!$D$42*('Plan mensual'!E101+IF(parametros_manuales!$H$42="Todos",'Plan mensual'!E105,0))+parametros_manuales!$E$42*('Plan mensual'!E102+IF(parametros_manuales!$H$42="Todos",'Plan mensual'!E106,0))+parametros_manuales!$F$42*('Plan mensual'!E103+IF(parametros_manuales!$H$42="Todos",'Plan mensual'!E107,0))+parametros_manuales!$G$42*('Plan mensual'!E104+IF(parametros_manuales!$H$42="Todos",'Plan mensual'!E108,0)))*parametros_manuales!$I$42*parametros_manuales!$J$42</f>
        <v>6087.93</v>
      </c>
      <c r="D268" s="4">
        <f>(parametros_manuales!$D$42*('Plan mensual'!F101+IF(parametros_manuales!$H$42="Todos",'Plan mensual'!F105,0))+parametros_manuales!$E$42*('Plan mensual'!F102+IF(parametros_manuales!$H$42="Todos",'Plan mensual'!F106,0))+parametros_manuales!$F$42*('Plan mensual'!F103+IF(parametros_manuales!$H$42="Todos",'Plan mensual'!F107,0))+parametros_manuales!$G$42*('Plan mensual'!F104+IF(parametros_manuales!$H$42="Todos",'Plan mensual'!F108,0)))*parametros_manuales!$I$42*parametros_manuales!$J$42</f>
        <v>5967.285</v>
      </c>
      <c r="E268" s="4">
        <f>(parametros_manuales!$D$42*('Plan mensual'!G101+IF(parametros_manuales!$H$42="Todos",'Plan mensual'!G105,0))+parametros_manuales!$E$42*('Plan mensual'!G102+IF(parametros_manuales!$H$42="Todos",'Plan mensual'!G106,0))+parametros_manuales!$F$42*('Plan mensual'!G103+IF(parametros_manuales!$H$42="Todos",'Plan mensual'!G107,0))+parametros_manuales!$G$42*('Plan mensual'!G104+IF(parametros_manuales!$H$42="Todos",'Plan mensual'!G108,0)))*parametros_manuales!$I$42*parametros_manuales!$J$42</f>
        <v>5806.92</v>
      </c>
      <c r="F268" s="4">
        <f>(parametros_manuales!$D$42*('Plan mensual'!H101+IF(parametros_manuales!$H$42="Todos",'Plan mensual'!H105,0))+parametros_manuales!$E$42*('Plan mensual'!H102+IF(parametros_manuales!$H$42="Todos",'Plan mensual'!H106,0))+parametros_manuales!$F$42*('Plan mensual'!H103+IF(parametros_manuales!$H$42="Todos",'Plan mensual'!H107,0))+parametros_manuales!$G$42*('Plan mensual'!H104+IF(parametros_manuales!$H$42="Todos",'Plan mensual'!H108,0)))*parametros_manuales!$I$42*parametros_manuales!$J$42</f>
        <v>5446.47</v>
      </c>
      <c r="G268" s="4">
        <f>(parametros_manuales!$D$42*('Plan mensual'!I101+IF(parametros_manuales!$H$42="Todos",'Plan mensual'!I105,0))+parametros_manuales!$E$42*('Plan mensual'!I102+IF(parametros_manuales!$H$42="Todos",'Plan mensual'!I106,0))+parametros_manuales!$F$42*('Plan mensual'!I103+IF(parametros_manuales!$H$42="Todos",'Plan mensual'!I107,0))+parametros_manuales!$G$42*('Plan mensual'!I104+IF(parametros_manuales!$H$42="Todos",'Plan mensual'!I108,0)))*parametros_manuales!$I$42*parametros_manuales!$J$42</f>
        <v>5246.385</v>
      </c>
      <c r="H268" s="4">
        <f>(parametros_manuales!$D$42*('Plan mensual'!J101+IF(parametros_manuales!$H$42="Todos",'Plan mensual'!J105,0))+parametros_manuales!$E$42*('Plan mensual'!J102+IF(parametros_manuales!$H$42="Todos",'Plan mensual'!J106,0))+parametros_manuales!$F$42*('Plan mensual'!J103+IF(parametros_manuales!$H$42="Todos",'Plan mensual'!J107,0))+parametros_manuales!$G$42*('Plan mensual'!J104+IF(parametros_manuales!$H$42="Todos",'Plan mensual'!J108,0)))*parametros_manuales!$I$42*parametros_manuales!$J$42</f>
        <v>5606.835</v>
      </c>
      <c r="I268" s="4">
        <f>(parametros_manuales!$D$42*('Plan mensual'!K101+IF(parametros_manuales!$H$42="Todos",'Plan mensual'!K105,0))+parametros_manuales!$E$42*('Plan mensual'!K102+IF(parametros_manuales!$H$42="Todos",'Plan mensual'!K106,0))+parametros_manuales!$F$42*('Plan mensual'!K103+IF(parametros_manuales!$H$42="Todos",'Plan mensual'!K107,0))+parametros_manuales!$G$42*('Plan mensual'!K104+IF(parametros_manuales!$H$42="Todos",'Plan mensual'!K108,0)))*parametros_manuales!$I$42*parametros_manuales!$J$42</f>
        <v>5606.835</v>
      </c>
      <c r="J268" s="4">
        <f>(parametros_manuales!$D$42*('Plan mensual'!L101+IF(parametros_manuales!$H$42="Todos",'Plan mensual'!L105,0))+parametros_manuales!$E$42*('Plan mensual'!L102+IF(parametros_manuales!$H$42="Todos",'Plan mensual'!L106,0))+parametros_manuales!$F$42*('Plan mensual'!L103+IF(parametros_manuales!$H$42="Todos",'Plan mensual'!L107,0))+parametros_manuales!$G$42*('Plan mensual'!L104+IF(parametros_manuales!$H$42="Todos",'Plan mensual'!L108,0)))*parametros_manuales!$I$42*parametros_manuales!$J$42</f>
        <v>5606.835</v>
      </c>
      <c r="K268" s="4">
        <f>(parametros_manuales!$D$42*('Plan mensual'!M101+IF(parametros_manuales!$H$42="Todos",'Plan mensual'!M105,0))+parametros_manuales!$E$42*('Plan mensual'!M102+IF(parametros_manuales!$H$42="Todos",'Plan mensual'!M106,0))+parametros_manuales!$F$42*('Plan mensual'!M103+IF(parametros_manuales!$H$42="Todos",'Plan mensual'!M107,0))+parametros_manuales!$G$42*('Plan mensual'!M104+IF(parametros_manuales!$H$42="Todos",'Plan mensual'!M108,0)))*parametros_manuales!$I$42*parametros_manuales!$J$42</f>
        <v>5406.75</v>
      </c>
      <c r="L268" s="4">
        <f>(parametros_manuales!$D$42*('Plan mensual'!N101+IF(parametros_manuales!$H$42="Todos",'Plan mensual'!N105,0))+parametros_manuales!$E$42*('Plan mensual'!N102+IF(parametros_manuales!$H$42="Todos",'Plan mensual'!N106,0))+parametros_manuales!$F$42*('Plan mensual'!N103+IF(parametros_manuales!$H$42="Todos",'Plan mensual'!N107,0))+parametros_manuales!$G$42*('Plan mensual'!N104+IF(parametros_manuales!$H$42="Todos",'Plan mensual'!N108,0)))*parametros_manuales!$I$42*parametros_manuales!$J$42</f>
        <v>5206.665</v>
      </c>
      <c r="M268" s="4">
        <f>(parametros_manuales!$D$42*('Plan mensual'!O101+IF(parametros_manuales!$H$42="Todos",'Plan mensual'!O105,0))+parametros_manuales!$E$42*('Plan mensual'!O102+IF(parametros_manuales!$H$42="Todos",'Plan mensual'!O106,0))+parametros_manuales!$F$42*('Plan mensual'!O103+IF(parametros_manuales!$H$42="Todos",'Plan mensual'!O107,0))+parametros_manuales!$G$42*('Plan mensual'!O104+IF(parametros_manuales!$H$42="Todos",'Plan mensual'!O108,0)))*parametros_manuales!$I$42*parametros_manuales!$J$42</f>
        <v>8250.63</v>
      </c>
      <c r="N268" s="4">
        <f t="shared" si="28"/>
        <v>72090</v>
      </c>
      <c r="O268" s="4">
        <f t="shared" si="29"/>
        <v>8250.63</v>
      </c>
      <c r="P268" s="27">
        <f>O268/(parametros_manuales!$B$7)</f>
        <v>55.0042</v>
      </c>
      <c r="Q268" s="3" t="str">
        <f t="shared" si="30"/>
        <v>Dic</v>
      </c>
    </row>
    <row r="269" ht="14.25" customHeight="1">
      <c r="A269" s="3" t="str">
        <f>parametros_manuales!$B$43</f>
        <v>Embalaje y paletizado</v>
      </c>
      <c r="B269" s="4">
        <f>(parametros_manuales!$D$43*('Plan mensual'!D101+IF(parametros_manuales!$H$43="Todos",'Plan mensual'!D105,0))+parametros_manuales!$E$43*('Plan mensual'!D102+IF(parametros_manuales!$H$43="Todos",'Plan mensual'!D106,0))+parametros_manuales!$F$43*('Plan mensual'!D103+IF(parametros_manuales!$H$43="Todos",'Plan mensual'!D107,0))+parametros_manuales!$G$43*('Plan mensual'!D104+IF(parametros_manuales!$H$43="Todos",'Plan mensual'!D108,0)))*parametros_manuales!$I$43*parametros_manuales!$J$43</f>
        <v>32475.72</v>
      </c>
      <c r="C269" s="4">
        <f>(parametros_manuales!$D$43*('Plan mensual'!E101+IF(parametros_manuales!$H$43="Todos",'Plan mensual'!E105,0))+parametros_manuales!$E$43*('Plan mensual'!E102+IF(parametros_manuales!$H$43="Todos",'Plan mensual'!E106,0))+parametros_manuales!$F$43*('Plan mensual'!E103+IF(parametros_manuales!$H$43="Todos",'Plan mensual'!E107,0))+parametros_manuales!$G$43*('Plan mensual'!E104+IF(parametros_manuales!$H$43="Todos",'Plan mensual'!E108,0)))*parametros_manuales!$I$43*parametros_manuales!$J$43</f>
        <v>24764.85</v>
      </c>
      <c r="D269" s="4">
        <f>(parametros_manuales!$D$43*('Plan mensual'!F101+IF(parametros_manuales!$H$43="Todos",'Plan mensual'!F105,0))+parametros_manuales!$E$43*('Plan mensual'!F102+IF(parametros_manuales!$H$43="Todos",'Plan mensual'!F106,0))+parametros_manuales!$F$43*('Plan mensual'!F103+IF(parametros_manuales!$H$43="Todos",'Plan mensual'!F107,0))+parametros_manuales!$G$43*('Plan mensual'!F104+IF(parametros_manuales!$H$43="Todos",'Plan mensual'!F108,0)))*parametros_manuales!$I$43*parametros_manuales!$J$43</f>
        <v>23146.7</v>
      </c>
      <c r="E269" s="4">
        <f>(parametros_manuales!$D$43*('Plan mensual'!G101+IF(parametros_manuales!$H$43="Todos",'Plan mensual'!G105,0))+parametros_manuales!$E$43*('Plan mensual'!G102+IF(parametros_manuales!$H$43="Todos",'Plan mensual'!G106,0))+parametros_manuales!$F$43*('Plan mensual'!G103+IF(parametros_manuales!$H$43="Todos",'Plan mensual'!G107,0))+parametros_manuales!$G$43*('Plan mensual'!G104+IF(parametros_manuales!$H$43="Todos",'Plan mensual'!G108,0)))*parametros_manuales!$I$43*parametros_manuales!$J$43</f>
        <v>22133.595</v>
      </c>
      <c r="F269" s="4">
        <f>(parametros_manuales!$D$43*('Plan mensual'!H101+IF(parametros_manuales!$H$43="Todos",'Plan mensual'!H105,0))+parametros_manuales!$E$43*('Plan mensual'!H102+IF(parametros_manuales!$H$43="Todos",'Plan mensual'!H106,0))+parametros_manuales!$F$43*('Plan mensual'!H103+IF(parametros_manuales!$H$43="Todos",'Plan mensual'!H107,0))+parametros_manuales!$G$43*('Plan mensual'!H104+IF(parametros_manuales!$H$43="Todos",'Plan mensual'!H108,0)))*parametros_manuales!$I$43*parametros_manuales!$J$43</f>
        <v>20712.43</v>
      </c>
      <c r="G269" s="4">
        <f>(parametros_manuales!$D$43*('Plan mensual'!I101+IF(parametros_manuales!$H$43="Todos",'Plan mensual'!I105,0))+parametros_manuales!$E$43*('Plan mensual'!I102+IF(parametros_manuales!$H$43="Todos",'Plan mensual'!I106,0))+parametros_manuales!$F$43*('Plan mensual'!I103+IF(parametros_manuales!$H$43="Todos",'Plan mensual'!I107,0))+parametros_manuales!$G$43*('Plan mensual'!I104+IF(parametros_manuales!$H$43="Todos",'Plan mensual'!I108,0)))*parametros_manuales!$I$43*parametros_manuales!$J$43</f>
        <v>20304.37</v>
      </c>
      <c r="H269" s="4">
        <f>(parametros_manuales!$D$43*('Plan mensual'!J101+IF(parametros_manuales!$H$43="Todos",'Plan mensual'!J105,0))+parametros_manuales!$E$43*('Plan mensual'!J102+IF(parametros_manuales!$H$43="Todos",'Plan mensual'!J106,0))+parametros_manuales!$F$43*('Plan mensual'!J103+IF(parametros_manuales!$H$43="Todos",'Plan mensual'!J107,0))+parametros_manuales!$G$43*('Plan mensual'!J104+IF(parametros_manuales!$H$43="Todos",'Plan mensual'!J108,0)))*parametros_manuales!$I$43*parametros_manuales!$J$43</f>
        <v>21725.535</v>
      </c>
      <c r="I269" s="4">
        <f>(parametros_manuales!$D$43*('Plan mensual'!K101+IF(parametros_manuales!$H$43="Todos",'Plan mensual'!K105,0))+parametros_manuales!$E$43*('Plan mensual'!K102+IF(parametros_manuales!$H$43="Todos",'Plan mensual'!K106,0))+parametros_manuales!$F$43*('Plan mensual'!K103+IF(parametros_manuales!$H$43="Todos",'Plan mensual'!K107,0))+parametros_manuales!$G$43*('Plan mensual'!K104+IF(parametros_manuales!$H$43="Todos",'Plan mensual'!K108,0)))*parametros_manuales!$I$43*parametros_manuales!$J$43</f>
        <v>21725.535</v>
      </c>
      <c r="J269" s="4">
        <f>(parametros_manuales!$D$43*('Plan mensual'!L101+IF(parametros_manuales!$H$43="Todos",'Plan mensual'!L105,0))+parametros_manuales!$E$43*('Plan mensual'!L102+IF(parametros_manuales!$H$43="Todos",'Plan mensual'!L106,0))+parametros_manuales!$F$43*('Plan mensual'!L103+IF(parametros_manuales!$H$43="Todos",'Plan mensual'!L107,0))+parametros_manuales!$G$43*('Plan mensual'!L104+IF(parametros_manuales!$H$43="Todos",'Plan mensual'!L108,0)))*parametros_manuales!$I$43*parametros_manuales!$J$43</f>
        <v>21725.535</v>
      </c>
      <c r="K269" s="4">
        <f>(parametros_manuales!$D$43*('Plan mensual'!M101+IF(parametros_manuales!$H$43="Todos",'Plan mensual'!M105,0))+parametros_manuales!$E$43*('Plan mensual'!M102+IF(parametros_manuales!$H$43="Todos",'Plan mensual'!M106,0))+parametros_manuales!$F$43*('Plan mensual'!M103+IF(parametros_manuales!$H$43="Todos",'Plan mensual'!M107,0))+parametros_manuales!$G$43*('Plan mensual'!M104+IF(parametros_manuales!$H$43="Todos",'Plan mensual'!M108,0)))*parametros_manuales!$I$43*parametros_manuales!$J$43</f>
        <v>21317.475</v>
      </c>
      <c r="L269" s="4">
        <f>(parametros_manuales!$D$43*('Plan mensual'!N101+IF(parametros_manuales!$H$43="Todos",'Plan mensual'!N105,0))+parametros_manuales!$E$43*('Plan mensual'!N102+IF(parametros_manuales!$H$43="Todos",'Plan mensual'!N106,0))+parametros_manuales!$F$43*('Plan mensual'!N103+IF(parametros_manuales!$H$43="Todos",'Plan mensual'!N107,0))+parametros_manuales!$G$43*('Plan mensual'!N104+IF(parametros_manuales!$H$43="Todos",'Plan mensual'!N108,0)))*parametros_manuales!$I$43*parametros_manuales!$J$43</f>
        <v>20909.415</v>
      </c>
      <c r="M269" s="4">
        <f>(parametros_manuales!$D$43*('Plan mensual'!O101+IF(parametros_manuales!$H$43="Todos",'Plan mensual'!O105,0))+parametros_manuales!$E$43*('Plan mensual'!O102+IF(parametros_manuales!$H$43="Todos",'Plan mensual'!O106,0))+parametros_manuales!$F$43*('Plan mensual'!O103+IF(parametros_manuales!$H$43="Todos",'Plan mensual'!O107,0))+parametros_manuales!$G$43*('Plan mensual'!O104+IF(parametros_manuales!$H$43="Todos",'Plan mensual'!O108,0)))*parametros_manuales!$I$43*parametros_manuales!$J$43</f>
        <v>33291.84</v>
      </c>
      <c r="N269" s="4">
        <f t="shared" si="28"/>
        <v>284233</v>
      </c>
      <c r="O269" s="4">
        <f t="shared" si="29"/>
        <v>33291.84</v>
      </c>
      <c r="P269" s="27">
        <f>O269/(parametros_manuales!$B$7)</f>
        <v>221.9456</v>
      </c>
      <c r="Q269" s="3" t="str">
        <f t="shared" si="30"/>
        <v>Dic</v>
      </c>
    </row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4.0"/>
    <col customWidth="1" min="2" max="11" width="10.0"/>
    <col customWidth="1" min="12" max="12" width="8.57"/>
    <col customWidth="1" min="13" max="13" width="34.71"/>
  </cols>
  <sheetData>
    <row r="1" ht="14.25" customHeight="1">
      <c r="A1" s="1" t="s">
        <v>125</v>
      </c>
      <c r="B1" s="1">
        <v>2026.0</v>
      </c>
      <c r="C1" s="1">
        <v>2027.0</v>
      </c>
      <c r="D1" s="1">
        <v>2028.0</v>
      </c>
      <c r="E1" s="1">
        <v>2029.0</v>
      </c>
      <c r="F1" s="1">
        <v>2030.0</v>
      </c>
      <c r="G1" s="1">
        <v>2031.0</v>
      </c>
      <c r="H1" s="1">
        <v>2032.0</v>
      </c>
      <c r="I1" s="1">
        <v>2033.0</v>
      </c>
      <c r="J1" s="1">
        <v>2034.0</v>
      </c>
      <c r="K1" s="1">
        <v>2035.0</v>
      </c>
    </row>
    <row r="2" ht="14.25" customHeight="1">
      <c r="A2" s="26" t="str">
        <f>parametros_manuales!$B$19</f>
        <v>Recepción de materia prima</v>
      </c>
      <c r="B2" s="29">
        <f>IF(B30*parametros_manuales!$M$19*parametros_manuales!$B$6=0,0,'Demanda puesto sin sobrestock'!$P$2/(parametros_manuales!$M$19*B30*parametros_manuales!$B$6))</f>
        <v>0.08802333333</v>
      </c>
      <c r="C2" s="29">
        <f>IF(C30*parametros_manuales!$M$19*parametros_manuales!$B$6=0,0,'Demanda puesto sin sobrestock'!$P$29/(parametros_manuales!$M$19*C30*parametros_manuales!$B$6))</f>
        <v>0.1378077778</v>
      </c>
      <c r="D2" s="29">
        <f>IF(D30*parametros_manuales!$M$19*parametros_manuales!$B$6=0,0,'Demanda puesto sin sobrestock'!$P$56/(parametros_manuales!$M$19*D30*parametros_manuales!$B$6))</f>
        <v>0.2937788889</v>
      </c>
      <c r="E2" s="29">
        <f>IF(E30*parametros_manuales!$M$19*parametros_manuales!$B$6=0,0,'Demanda puesto sin sobrestock'!$P$83/(parametros_manuales!$M$19*E30*parametros_manuales!$B$6))</f>
        <v>0.6545188889</v>
      </c>
      <c r="F2" s="34">
        <f>IF(F30*parametros_manuales!$M$19*parametros_manuales!$B$6=0,0,'Demanda puesto sin sobrestock'!$P$110/(parametros_manuales!$M$19*F30*parametros_manuales!$B$6))</f>
        <v>0.5717183333</v>
      </c>
      <c r="G2" s="34">
        <f>IF(G30*parametros_manuales!$M$19*parametros_manuales!$B$6=0,0,'Demanda puesto sin sobrestock'!$P$137/(parametros_manuales!$M$19*G30*parametros_manuales!$B$6))</f>
        <v>0.5355344444</v>
      </c>
      <c r="H2" s="29">
        <f>IF(H30*parametros_manuales!$M$19*parametros_manuales!$B$6=0,0,'Demanda puesto sin sobrestock'!$P$164/(parametros_manuales!$M$19*H30*parametros_manuales!$B$6))</f>
        <v>0.73969</v>
      </c>
      <c r="I2" s="36">
        <f>IF(I30*parametros_manuales!$M$19*parametros_manuales!$B$6=0,0,('Demanda puesto sin sobrestock'!$P$191/(parametros_manuales!$M$19*I30*parametros_manuales!$B$6)/2))</f>
        <v>0.4728898148</v>
      </c>
      <c r="J2" s="29">
        <f>IF(J30*parametros_manuales!$M$19*parametros_manuales!$B$6=0,0,('Demanda puesto sin sobrestock'!$P$218/(parametros_manuales!$M$19*J30*parametros_manuales!$B$6)/2))</f>
        <v>0.5335424074</v>
      </c>
      <c r="K2" s="29">
        <f>IF(K30*parametros_manuales!$M$19*parametros_manuales!$B$6=0,0,('Demanda puesto sin sobrestock'!$P$245/(parametros_manuales!$M$19*K30*parametros_manuales!$B$6)/2))</f>
        <v>0.6165155556</v>
      </c>
    </row>
    <row r="3" ht="14.25" customHeight="1">
      <c r="A3" s="26" t="str">
        <f>parametros_manuales!$B$20</f>
        <v>Corte de chapa (guillotina) — 2,5 a 10 kg</v>
      </c>
      <c r="B3" s="29">
        <f>IF(B31*parametros_manuales!$M$20*parametros_manuales!$B$6=0,0,'Demanda puesto sin sobrestock'!$P$3/(parametros_manuales!$M$20*B31*parametros_manuales!$B$6))</f>
        <v>0.04878020134</v>
      </c>
      <c r="C3" s="29">
        <f>IF(C31*parametros_manuales!$M$20*parametros_manuales!$B$6=0,0,'Demanda puesto sin sobrestock'!$P$30/(parametros_manuales!$M$20*C31*parametros_manuales!$B$6))</f>
        <v>0.08735402685</v>
      </c>
      <c r="D3" s="29">
        <f>IF(D31*parametros_manuales!$M$20*parametros_manuales!$B$6=0,0,'Demanda puesto sin sobrestock'!$P$57/(parametros_manuales!$M$20*D31*parametros_manuales!$B$6))</f>
        <v>0.151397651</v>
      </c>
      <c r="E3" s="29">
        <f>IF(E31*parametros_manuales!$M$20*parametros_manuales!$B$6=0,0,'Demanda puesto sin sobrestock'!$P$84/(parametros_manuales!$M$20*E31*parametros_manuales!$B$6))</f>
        <v>0.2804077181</v>
      </c>
      <c r="F3" s="29">
        <f>IF(F31*parametros_manuales!$M$20*parametros_manuales!$B$6=0,0,'Demanda puesto sin sobrestock'!$P$111/(parametros_manuales!$M$20*F31*parametros_manuales!$B$6))</f>
        <v>0.4760083893</v>
      </c>
      <c r="G3" s="29">
        <f>IF(G31*parametros_manuales!$M$20*parametros_manuales!$B$6=0,0,'Demanda puesto sin sobrestock'!$P$138/(parametros_manuales!$M$20*G31*parametros_manuales!$B$6))</f>
        <v>0.6683607383</v>
      </c>
      <c r="H3" s="29">
        <f>IF(H31*parametros_manuales!$M$20*parametros_manuales!$B$6=0,0,'Demanda puesto sin sobrestock'!$P$165/(parametros_manuales!$M$20*H31*parametros_manuales!$B$6))</f>
        <v>0.9011325503</v>
      </c>
      <c r="I3" s="36">
        <f>IF(I31*parametros_manuales!$M$20*parametros_manuales!$B$6=0,0,('Demanda puesto sin sobrestock'!$P$192/(parametros_manuales!$M$20*I31*parametros_manuales!$B$6)/2))</f>
        <v>0.570477349</v>
      </c>
      <c r="J3" s="29">
        <f>IF(J31*parametros_manuales!$M$20*parametros_manuales!$B$6=0,0,('Demanda puesto sin sobrestock'!$P$219/(parametros_manuales!$M$20*J31*parametros_manuales!$B$6)/2))</f>
        <v>0.6513531879</v>
      </c>
      <c r="K3" s="29">
        <f>IF(K31*parametros_manuales!$M$20*parametros_manuales!$B$6=0,0,('Demanda puesto sin sobrestock'!$P$246/(parametros_manuales!$M$20*K31*parametros_manuales!$B$6)/2))</f>
        <v>0.7531308725</v>
      </c>
    </row>
    <row r="4" ht="14.25" customHeight="1">
      <c r="A4" s="26" t="str">
        <f>parametros_manuales!$B$21</f>
        <v>Corte de tubo — 1 kg</v>
      </c>
      <c r="B4" s="29">
        <f>IF(B32*parametros_manuales!$M$21*parametros_manuales!$B$6=0,0,'Demanda puesto sin sobrestock'!$P$4/(parametros_manuales!$M$21*B32*parametros_manuales!$B$6))</f>
        <v>0.02786</v>
      </c>
      <c r="C4" s="29">
        <f>IF(C32*parametros_manuales!$M$21*parametros_manuales!$B$6=0,0,'Demanda puesto sin sobrestock'!$P$31/(parametros_manuales!$M$21*C32*parametros_manuales!$B$6))</f>
        <v>0.03998</v>
      </c>
      <c r="D4" s="29">
        <f>IF(D32*parametros_manuales!$M$21*parametros_manuales!$B$6=0,0,'Demanda puesto sin sobrestock'!$P$58/(parametros_manuales!$M$21*D32*parametros_manuales!$B$6))</f>
        <v>0.09676</v>
      </c>
      <c r="E4" s="29">
        <f>IF(E32*parametros_manuales!$M$21*parametros_manuales!$B$6=0,0,'Demanda puesto sin sobrestock'!$P$85/(parametros_manuales!$M$21*E32*parametros_manuales!$B$6))</f>
        <v>0.2344133333</v>
      </c>
      <c r="F4" s="29">
        <f>IF(F32*parametros_manuales!$M$21*parametros_manuales!$B$6=0,0,'Demanda puesto sin sobrestock'!$P$112/(parametros_manuales!$M$21*F32*parametros_manuales!$B$6))</f>
        <v>0.4141066667</v>
      </c>
      <c r="G4" s="29">
        <f>IF(G32*parametros_manuales!$M$21*parametros_manuales!$B$6=0,0,'Demanda puesto sin sobrestock'!$P$139/(parametros_manuales!$M$21*G32*parametros_manuales!$B$6))</f>
        <v>0.582</v>
      </c>
      <c r="H4" s="29">
        <f>IF(H32*parametros_manuales!$M$21*parametros_manuales!$B$6=0,0,'Demanda puesto sin sobrestock'!$P$166/(parametros_manuales!$M$21*H32*parametros_manuales!$B$6))</f>
        <v>0.81116</v>
      </c>
      <c r="I4" s="36">
        <f>IF(I32*parametros_manuales!$M$21*parametros_manuales!$B$6=0,0,('Demanda puesto sin sobrestock'!$P$193/(parametros_manuales!$M$21*I32*parametros_manuales!$B$6)/2))</f>
        <v>0.5204433333</v>
      </c>
      <c r="J4" s="29">
        <f>IF(J32*parametros_manuales!$M$21*parametros_manuales!$B$6=0,0,('Demanda puesto sin sobrestock'!$P$220/(parametros_manuales!$M$21*J32*parametros_manuales!$B$6)/2))</f>
        <v>0.5846433333</v>
      </c>
      <c r="K4" s="29">
        <f>IF(K32*parametros_manuales!$M$21*parametros_manuales!$B$6=0,0,('Demanda puesto sin sobrestock'!$P$247/(parametros_manuales!$M$21*K32*parametros_manuales!$B$6)/2))</f>
        <v>0.6754033333</v>
      </c>
    </row>
    <row r="5" ht="14.25" customHeight="1">
      <c r="A5" s="26" t="str">
        <f>parametros_manuales!$B$22</f>
        <v>Corte de disco y embutido (cúpula y fondo)</v>
      </c>
      <c r="B5" s="29">
        <f>IF(B33*parametros_manuales!$M$22*parametros_manuales!$B$6=0,0,'Demanda puesto sin sobrestock'!$P$5/(parametros_manuales!$M$22*B33*parametros_manuales!$B$6))</f>
        <v>0.03451895425</v>
      </c>
      <c r="C5" s="29">
        <f>IF(C33*parametros_manuales!$M$22*parametros_manuales!$B$6=0,0,'Demanda puesto sin sobrestock'!$P$32/(parametros_manuales!$M$22*C33*parametros_manuales!$B$6))</f>
        <v>0.0540422658</v>
      </c>
      <c r="D5" s="29">
        <f>IF(D33*parametros_manuales!$M$22*parametros_manuales!$B$6=0,0,'Demanda puesto sin sobrestock'!$P$59/(parametros_manuales!$M$22*D33*parametros_manuales!$B$6))</f>
        <v>0.1152074074</v>
      </c>
      <c r="E5" s="29">
        <f>IF(E33*parametros_manuales!$M$22*parametros_manuales!$B$6=0,0,'Demanda puesto sin sobrestock'!$P$86/(parametros_manuales!$M$22*E33*parametros_manuales!$B$6))</f>
        <v>0.2566740741</v>
      </c>
      <c r="F5" s="29">
        <f>IF(F33*parametros_manuales!$M$22*parametros_manuales!$B$6=0,0,'Demanda puesto sin sobrestock'!$P$113/(parametros_manuales!$M$22*F33*parametros_manuales!$B$6))</f>
        <v>0.4484065359</v>
      </c>
      <c r="G5" s="29">
        <f>IF(G33*parametros_manuales!$M$22*parametros_manuales!$B$6=0,0,'Demanda puesto sin sobrestock'!$P$140/(parametros_manuales!$M$22*G33*parametros_manuales!$B$6))</f>
        <v>0.6300405229</v>
      </c>
      <c r="H5" s="29">
        <f>IF(H33*parametros_manuales!$M$22*parametros_manuales!$B$6=0,0,'Demanda puesto sin sobrestock'!$P$167/(parametros_manuales!$M$22*H33*parametros_manuales!$B$6))</f>
        <v>0.8702235294</v>
      </c>
      <c r="I5" s="36">
        <f>IF(I33*parametros_manuales!$M$22*parametros_manuales!$B$6=0,0,('Demanda puesto sin sobrestock'!$P$194/(parametros_manuales!$M$22*I33*parametros_manuales!$B$6)/2))</f>
        <v>0.5563409586</v>
      </c>
      <c r="J5" s="29">
        <f>IF(J33*parametros_manuales!$M$22*parametros_manuales!$B$6=0,0,('Demanda puesto sin sobrestock'!$P$221/(parametros_manuales!$M$22*J33*parametros_manuales!$B$6)/2))</f>
        <v>0.6276969499</v>
      </c>
      <c r="K5" s="29">
        <f>IF(K33*parametros_manuales!$M$22*parametros_manuales!$B$6=0,0,('Demanda puesto sin sobrestock'!$P$248/(parametros_manuales!$M$22*K33*parametros_manuales!$B$6)/2))</f>
        <v>0.7253124183</v>
      </c>
    </row>
    <row r="6" ht="14.25" customHeight="1">
      <c r="A6" s="26" t="str">
        <f>parametros_manuales!$B$23</f>
        <v>Preparación de cuello</v>
      </c>
      <c r="B6" s="29">
        <f>IF(B34*parametros_manuales!$M$23*parametros_manuales!$B$6=0,0,'Demanda puesto sin sobrestock'!$P$6/(parametros_manuales!$M$23*B34*parametros_manuales!$B$6))</f>
        <v>0.08802333333</v>
      </c>
      <c r="C6" s="29">
        <f>IF(C34*parametros_manuales!$M$23*parametros_manuales!$B$6=0,0,'Demanda puesto sin sobrestock'!$P$33/(parametros_manuales!$M$23*C34*parametros_manuales!$B$6))</f>
        <v>0.1378077778</v>
      </c>
      <c r="D6" s="29">
        <f>IF(D34*parametros_manuales!$M$23*parametros_manuales!$B$6=0,0,'Demanda puesto sin sobrestock'!$P$60/(parametros_manuales!$M$23*D34*parametros_manuales!$B$6))</f>
        <v>0.2937788889</v>
      </c>
      <c r="E6" s="29">
        <f>IF(E34*parametros_manuales!$M$23*parametros_manuales!$B$6=0,0,'Demanda puesto sin sobrestock'!$P$87/(parametros_manuales!$M$23*E34*parametros_manuales!$B$6))</f>
        <v>0.6545188889</v>
      </c>
      <c r="F6" s="43">
        <f>IF(F34*parametros_manuales!$M$23*parametros_manuales!$B$6=0,0,'Demanda puesto sin sobrestock'!$P$114/(parametros_manuales!$M$23*F34*parametros_manuales!$B$6))</f>
        <v>0.5717183333</v>
      </c>
      <c r="G6" s="29">
        <f>IF(G34*parametros_manuales!$M$23*parametros_manuales!$B$6=0,0,'Demanda puesto sin sobrestock'!$P$141/(parametros_manuales!$M$23*G34*parametros_manuales!$B$6))</f>
        <v>0.8033016667</v>
      </c>
      <c r="H6" s="36">
        <f>IF(H34*parametros_manuales!$M$23*parametros_manuales!$B$6=0,0,('Demanda puesto sin sobrestock'!$P$168/(parametros_manuales!$M$23*H34*parametros_manuales!$B$6)/2))</f>
        <v>0.5547675</v>
      </c>
      <c r="I6" s="29">
        <f>IF(I34*parametros_manuales!$M$23*parametros_manuales!$B$6=0,0,('Demanda puesto sin sobrestock'!$P$195/(parametros_manuales!$M$23*I34*parametros_manuales!$B$6)/2))</f>
        <v>0.7093347222</v>
      </c>
      <c r="J6" s="29">
        <f>IF(J34*parametros_manuales!$M$23*parametros_manuales!$B$6=0,0,('Demanda puesto sin sobrestock'!$P$222/(parametros_manuales!$M$23*J34*parametros_manuales!$B$6)/2))</f>
        <v>0.8003136111</v>
      </c>
      <c r="K6" s="44">
        <f>IF(K34*parametros_manuales!$M$23*parametros_manuales!$B$6=0,0,('Demanda puesto sin sobrestock'!$P$249/(parametros_manuales!$M$23*K34*parametros_manuales!$B$6)/2))</f>
        <v>0.9247733333</v>
      </c>
    </row>
    <row r="7" ht="14.25" customHeight="1">
      <c r="A7" s="26" t="str">
        <f>parametros_manuales!$B$24</f>
        <v>Numerado de cúpula</v>
      </c>
      <c r="B7" s="29">
        <f>IF(B35*parametros_manuales!$M$24*parametros_manuales!$B$6=0,0,'Demanda puesto sin sobrestock'!$P$7/(parametros_manuales!$M$24*B35*parametros_manuales!$B$6))</f>
        <v>0.02934111111</v>
      </c>
      <c r="C7" s="29">
        <f>IF(C35*parametros_manuales!$M$24*parametros_manuales!$B$6=0,0,'Demanda puesto sin sobrestock'!$P$34/(parametros_manuales!$M$24*C35*parametros_manuales!$B$6))</f>
        <v>0.04593592593</v>
      </c>
      <c r="D7" s="29">
        <f>IF(D35*parametros_manuales!$M$24*parametros_manuales!$B$6=0,0,'Demanda puesto sin sobrestock'!$P$61/(parametros_manuales!$M$24*D35*parametros_manuales!$B$6))</f>
        <v>0.0979262963</v>
      </c>
      <c r="E7" s="29">
        <f>IF(E35*parametros_manuales!$M$24*parametros_manuales!$B$6=0,0,'Demanda puesto sin sobrestock'!$P$88/(parametros_manuales!$M$24*E35*parametros_manuales!$B$6))</f>
        <v>0.218172963</v>
      </c>
      <c r="F7" s="29">
        <f>IF(F35*parametros_manuales!$M$24*parametros_manuales!$B$6=0,0,'Demanda puesto sin sobrestock'!$P$115/(parametros_manuales!$M$24*F35*parametros_manuales!$B$6))</f>
        <v>0.3811455556</v>
      </c>
      <c r="G7" s="29">
        <f>IF(G35*parametros_manuales!$M$24*parametros_manuales!$B$6=0,0,'Demanda puesto sin sobrestock'!$P$142/(parametros_manuales!$M$24*G35*parametros_manuales!$B$6))</f>
        <v>0.5355344444</v>
      </c>
      <c r="H7" s="29">
        <f>IF(H35*parametros_manuales!$M$24*parametros_manuales!$B$6=0,0,'Demanda puesto sin sobrestock'!$P$169/(parametros_manuales!$M$24*H35*parametros_manuales!$B$6))</f>
        <v>0.73969</v>
      </c>
      <c r="I7" s="36">
        <f>IF(I35*parametros_manuales!$M$24*parametros_manuales!$B$6=0,0,('Demanda puesto sin sobrestock'!$P$196/(parametros_manuales!$M$24*I35*parametros_manuales!$B$6)/2))</f>
        <v>0.4728898148</v>
      </c>
      <c r="J7" s="29">
        <f>IF(J35*parametros_manuales!$M$24*parametros_manuales!$B$6=0,0,('Demanda puesto sin sobrestock'!$P$223/(parametros_manuales!$M$24*J35*parametros_manuales!$B$6)/2))</f>
        <v>0.5335424074</v>
      </c>
      <c r="K7" s="29">
        <f>IF(K35*parametros_manuales!$M$24*parametros_manuales!$B$6=0,0,('Demanda puesto sin sobrestock'!$P$250/(parametros_manuales!$M$24*K35*parametros_manuales!$B$6)/2))</f>
        <v>0.6165155556</v>
      </c>
      <c r="M7" s="46" t="s">
        <v>161</v>
      </c>
    </row>
    <row r="8" ht="14.25" customHeight="1">
      <c r="A8" s="26" t="str">
        <f>parametros_manuales!$B$25</f>
        <v>Soldadura del cuello a la cúpula</v>
      </c>
      <c r="B8" s="29">
        <f>IF(B36*parametros_manuales!$M$25*parametros_manuales!$B$6=0,0,'Demanda puesto sin sobrestock'!$P$8/(parametros_manuales!$M$25*B36*parametros_manuales!$B$6))</f>
        <v>0.03768122146</v>
      </c>
      <c r="C8" s="29">
        <f>IF(C36*parametros_manuales!$M$25*parametros_manuales!$B$6=0,0,'Demanda puesto sin sobrestock'!$P$35/(parametros_manuales!$M$25*C36*parametros_manuales!$B$6))</f>
        <v>0.05899305556</v>
      </c>
      <c r="D8" s="29">
        <f>IF(D36*parametros_manuales!$M$25*parametros_manuales!$B$6=0,0,'Demanda puesto sin sobrestock'!$P$62/(parametros_manuales!$M$25*D36*parametros_manuales!$B$6))</f>
        <v>0.1257615107</v>
      </c>
      <c r="E8" s="29">
        <f>IF(E36*parametros_manuales!$M$25*parametros_manuales!$B$6=0,0,'Demanda puesto sin sobrestock'!$P$89/(parametros_manuales!$M$25*E36*parametros_manuales!$B$6))</f>
        <v>0.2801878805</v>
      </c>
      <c r="F8" s="29">
        <f>IF(F36*parametros_manuales!$M$25*parametros_manuales!$B$6=0,0,'Demanda puesto sin sobrestock'!$P$116/(parametros_manuales!$M$25*F36*parametros_manuales!$B$6))</f>
        <v>0.4894848744</v>
      </c>
      <c r="G8" s="29">
        <f>IF(G36*parametros_manuales!$M$25*parametros_manuales!$B$6=0,0,'Demanda puesto sin sobrestock'!$P$143/(parametros_manuales!$M$25*G36*parametros_manuales!$B$6))</f>
        <v>0.6877582763</v>
      </c>
      <c r="H8" s="36">
        <f>IF(H36*parametros_manuales!$M$25*parametros_manuales!$B$6=0,0,('Demanda puesto sin sobrestock'!$P$170/(parametros_manuales!$M$25*H36*parametros_manuales!$B$6)/2))</f>
        <v>0.4749721747</v>
      </c>
      <c r="I8" s="29">
        <f>IF(I36*parametros_manuales!$M$25*parametros_manuales!$B$6=0,0,('Demanda puesto sin sobrestock'!$P$197/(parametros_manuales!$M$25*I36*parametros_manuales!$B$6)/2))</f>
        <v>0.6073071252</v>
      </c>
      <c r="J8" s="29">
        <f>IF(J36*parametros_manuales!$M$25*parametros_manuales!$B$6=0,0,('Demanda puesto sin sobrestock'!$P$224/(parametros_manuales!$M$25*J36*parametros_manuales!$B$6)/2))</f>
        <v>0.6852000095</v>
      </c>
      <c r="K8" s="29">
        <f>IF(K36*parametros_manuales!$M$25*parametros_manuales!$B$6=0,0,('Demanda puesto sin sobrestock'!$P$251/(parametros_manuales!$M$25*K36*parametros_manuales!$B$6)/2))</f>
        <v>0.7917579909</v>
      </c>
      <c r="M8" s="47" t="s">
        <v>163</v>
      </c>
    </row>
    <row r="9" ht="14.25" customHeight="1">
      <c r="A9" s="26" t="str">
        <f>parametros_manuales!$B$26</f>
        <v>Cilindrado</v>
      </c>
      <c r="B9" s="29">
        <f>IF(B37*parametros_manuales!$M$26*parametros_manuales!$B$6=0,0,'Demanda puesto sin sobrestock'!$P$9/(parametros_manuales!$M$26*B37*parametros_manuales!$B$6))</f>
        <v>0.04365315315</v>
      </c>
      <c r="C9" s="29">
        <f>IF(C37*parametros_manuales!$M$26*parametros_manuales!$B$6=0,0,'Demanda puesto sin sobrestock'!$P$36/(parametros_manuales!$M$26*C37*parametros_manuales!$B$6))</f>
        <v>0.07817267267</v>
      </c>
      <c r="D9" s="29">
        <f>IF(D37*parametros_manuales!$M$26*parametros_manuales!$B$6=0,0,'Demanda puesto sin sobrestock'!$P$63/(parametros_manuales!$M$26*D37*parametros_manuales!$B$6))</f>
        <v>0.135484985</v>
      </c>
      <c r="E9" s="29">
        <f>IF(E37*parametros_manuales!$M$26*parametros_manuales!$B$6=0,0,'Demanda puesto sin sobrestock'!$P$90/(parametros_manuales!$M$26*E37*parametros_manuales!$B$6))</f>
        <v>0.2509354354</v>
      </c>
      <c r="F9" s="29">
        <f>IF(F37*parametros_manuales!$M$26*parametros_manuales!$B$6=0,0,'Demanda puesto sin sobrestock'!$P$117/(parametros_manuales!$M$26*F37*parametros_manuales!$B$6))</f>
        <v>0.4259774775</v>
      </c>
      <c r="G9" s="29">
        <f>IF(G37*parametros_manuales!$M$26*parametros_manuales!$B$6=0,0,'Demanda puesto sin sobrestock'!$P$144/(parametros_manuales!$M$26*G37*parametros_manuales!$B$6))</f>
        <v>0.5981126126</v>
      </c>
      <c r="H9" s="29">
        <f>IF(H37*parametros_manuales!$M$26*parametros_manuales!$B$6=0,0,'Demanda puesto sin sobrestock'!$P$171/(parametros_manuales!$M$26*H37*parametros_manuales!$B$6))</f>
        <v>0.8064189189</v>
      </c>
      <c r="I9" s="36">
        <f>IF(I37*parametros_manuales!$M$26*parametros_manuales!$B$6=0,0,('Demanda puesto sin sobrestock'!$P$198/(parametros_manuales!$M$26*I37*parametros_manuales!$B$6)/2))</f>
        <v>0.5105172673</v>
      </c>
      <c r="J9" s="29">
        <f>IF(J37*parametros_manuales!$M$26*parametros_manuales!$B$6=0,0,('Demanda puesto sin sobrestock'!$P$225/(parametros_manuales!$M$26*J37*parametros_manuales!$B$6)/2))</f>
        <v>0.5828926426</v>
      </c>
      <c r="K9" s="29">
        <f>IF(K37*parametros_manuales!$M$26*parametros_manuales!$B$6=0,0,('Demanda puesto sin sobrestock'!$P$252/(parametros_manuales!$M$26*K37*parametros_manuales!$B$6)/2))</f>
        <v>0.673972973</v>
      </c>
      <c r="M9" s="48" t="s">
        <v>165</v>
      </c>
    </row>
    <row r="10" ht="14.25" customHeight="1">
      <c r="A10" s="26" t="str">
        <f>parametros_manuales!$B$27</f>
        <v>Soldadura longitudinal</v>
      </c>
      <c r="B10" s="29">
        <f>IF(B38*parametros_manuales!$M$27*parametros_manuales!$B$6=0,0,'Demanda puesto sin sobrestock'!$P$10/(parametros_manuales!$M$27*B38*parametros_manuales!$B$6))</f>
        <v>0.06275140766</v>
      </c>
      <c r="C10" s="29">
        <f>IF(C38*parametros_manuales!$M$27*parametros_manuales!$B$6=0,0,'Demanda puesto sin sobrestock'!$P$37/(parametros_manuales!$M$27*C38*parametros_manuales!$B$6))</f>
        <v>0.112373217</v>
      </c>
      <c r="D10" s="29">
        <f>IF(D38*parametros_manuales!$M$27*parametros_manuales!$B$6=0,0,'Demanda puesto sin sobrestock'!$P$64/(parametros_manuales!$M$27*D38*parametros_manuales!$B$6))</f>
        <v>0.1947596659</v>
      </c>
      <c r="E10" s="29">
        <f>IF(E38*parametros_manuales!$M$27*parametros_manuales!$B$6=0,0,'Demanda puesto sin sobrestock'!$P$91/(parametros_manuales!$M$27*E38*parametros_manuales!$B$6))</f>
        <v>0.3607196884</v>
      </c>
      <c r="F10" s="29">
        <f>IF(F38*parametros_manuales!$M$27*parametros_manuales!$B$6=0,0,'Demanda puesto sin sobrestock'!$P$118/(parametros_manuales!$M$27*F38*parametros_manuales!$B$6))</f>
        <v>0.6123426239</v>
      </c>
      <c r="G10" s="29">
        <f>IF(G38*parametros_manuales!$M$27*parametros_manuales!$B$6=0,0,'Demanda puesto sin sobrestock'!$P$145/(parametros_manuales!$M$27*G38*parametros_manuales!$B$6))</f>
        <v>0.8597868806</v>
      </c>
      <c r="H10" s="36">
        <f>IF(H38*parametros_manuales!$M$27*parametros_manuales!$B$6=0,0,('Demanda puesto sin sobrestock'!$P$172/(parametros_manuales!$M$27*H38*parametros_manuales!$B$6)/2))</f>
        <v>0.579613598</v>
      </c>
      <c r="I10" s="29">
        <f>IF(I38*parametros_manuales!$M$27*parametros_manuales!$B$6=0,0,('Demanda puesto sin sobrestock'!$P$199/(parametros_manuales!$M$27*I38*parametros_manuales!$B$6)/2))</f>
        <v>0.7338685717</v>
      </c>
      <c r="J10" s="29">
        <f>IF(J38*parametros_manuales!$M$27*parametros_manuales!$B$6=0,0,('Demanda puesto sin sobrestock'!$P$226/(parametros_manuales!$M$27*J38*parametros_manuales!$B$6)/2))</f>
        <v>0.8379081738</v>
      </c>
      <c r="K10" s="44">
        <f>IF(K38*parametros_manuales!$M$27*parametros_manuales!$B$6=0,0,('Demanda puesto sin sobrestock'!$P$253/(parametros_manuales!$M$27*K38*parametros_manuales!$B$6)/2))</f>
        <v>0.9688361486</v>
      </c>
      <c r="M10" s="49" t="s">
        <v>166</v>
      </c>
    </row>
    <row r="11" ht="14.25" customHeight="1">
      <c r="A11" s="26" t="str">
        <f>parametros_manuales!$B$28</f>
        <v>Encastre de fondo</v>
      </c>
      <c r="B11" s="29">
        <f>IF(B39*parametros_manuales!$M$28*parametros_manuales!$B$6=0,0,'Demanda puesto sin sobrestock'!$P$11/(parametros_manuales!$M$28*B39*parametros_manuales!$B$6))</f>
        <v>0.04480825792</v>
      </c>
      <c r="C11" s="29">
        <f>IF(C39*parametros_manuales!$M$28*parametros_manuales!$B$6=0,0,'Demanda puesto sin sobrestock'!$P$38/(parametros_manuales!$M$28*C39*parametros_manuales!$B$6))</f>
        <v>0.0701510181</v>
      </c>
      <c r="D11" s="29">
        <f>IF(D39*parametros_manuales!$M$28*parametros_manuales!$B$6=0,0,'Demanda puesto sin sobrestock'!$P$65/(parametros_manuales!$M$28*D39*parametros_manuales!$B$6))</f>
        <v>0.1495480769</v>
      </c>
      <c r="E11" s="29">
        <f>IF(E39*parametros_manuales!$M$28*parametros_manuales!$B$6=0,0,'Demanda puesto sin sobrestock'!$P$92/(parametros_manuales!$M$28*E39*parametros_manuales!$B$6))</f>
        <v>0.3331826923</v>
      </c>
      <c r="F11" s="29">
        <f>IF(F39*parametros_manuales!$M$28*parametros_manuales!$B$6=0,0,'Demanda puesto sin sobrestock'!$P$119/(parametros_manuales!$M$28*F39*parametros_manuales!$B$6))</f>
        <v>0.5820661765</v>
      </c>
      <c r="G11" s="29">
        <f>IF(G39*parametros_manuales!$M$28*parametros_manuales!$B$6=0,0,'Demanda puesto sin sobrestock'!$P$146/(parametros_manuales!$M$28*G39*parametros_manuales!$B$6))</f>
        <v>0.8178410633</v>
      </c>
      <c r="H11" s="36">
        <f>IF(H39*parametros_manuales!$M$28*parametros_manuales!$B$6=0,0,('Demanda puesto sin sobrestock'!$P$173/(parametros_manuales!$M$28*H39*parametros_manuales!$B$6)/2))</f>
        <v>0.5648085407</v>
      </c>
      <c r="I11" s="29">
        <f>IF(I39*parametros_manuales!$M$28*parametros_manuales!$B$6=0,0,('Demanda puesto sin sobrestock'!$P$200/(parametros_manuales!$M$28*I39*parametros_manuales!$B$6)/2))</f>
        <v>0.7221733597</v>
      </c>
      <c r="J11" s="29">
        <f>IF(J39*parametros_manuales!$M$28*parametros_manuales!$B$6=0,0,('Demanda puesto sin sobrestock'!$P$227/(parametros_manuales!$M$28*J39*parametros_manuales!$B$6)/2))</f>
        <v>0.8147989253</v>
      </c>
      <c r="K11" s="44">
        <f>IF(K39*parametros_manuales!$M$28*parametros_manuales!$B$6=0,0,('Demanda puesto sin sobrestock'!$P$254/(parametros_manuales!$M$28*K39*parametros_manuales!$B$6)/2))</f>
        <v>0.9415113122</v>
      </c>
      <c r="M11" s="50" t="s">
        <v>167</v>
      </c>
    </row>
    <row r="12" ht="14.25" customHeight="1">
      <c r="A12" s="26" t="str">
        <f>parametros_manuales!$B$29</f>
        <v>Bordoneado</v>
      </c>
      <c r="B12" s="29">
        <f>IF(B40*parametros_manuales!$M$29*parametros_manuales!$B$6=0,0,'Demanda puesto sin sobrestock'!$P$12/(parametros_manuales!$M$29*B40*parametros_manuales!$B$6))</f>
        <v>0.02987217195</v>
      </c>
      <c r="C12" s="29">
        <f>IF(C40*parametros_manuales!$M$29*parametros_manuales!$B$6=0,0,'Demanda puesto sin sobrestock'!$P$39/(parametros_manuales!$M$29*C40*parametros_manuales!$B$6))</f>
        <v>0.0467673454</v>
      </c>
      <c r="D12" s="29">
        <f>IF(D40*parametros_manuales!$M$29*parametros_manuales!$B$6=0,0,'Demanda puesto sin sobrestock'!$P$66/(parametros_manuales!$M$29*D40*parametros_manuales!$B$6))</f>
        <v>0.09969871795</v>
      </c>
      <c r="E12" s="29">
        <f>IF(E40*parametros_manuales!$M$29*parametros_manuales!$B$6=0,0,'Demanda puesto sin sobrestock'!$P$93/(parametros_manuales!$M$29*E40*parametros_manuales!$B$6))</f>
        <v>0.2221217949</v>
      </c>
      <c r="F12" s="29">
        <f>IF(F40*parametros_manuales!$M$29*parametros_manuales!$B$6=0,0,'Demanda puesto sin sobrestock'!$P$120/(parametros_manuales!$M$29*F40*parametros_manuales!$B$6))</f>
        <v>0.3880441176</v>
      </c>
      <c r="G12" s="29">
        <f>IF(G40*parametros_manuales!$M$29*parametros_manuales!$B$6=0,0,'Demanda puesto sin sobrestock'!$P$147/(parametros_manuales!$M$29*G40*parametros_manuales!$B$6))</f>
        <v>0.5452273756</v>
      </c>
      <c r="H12" s="29">
        <f>IF(H40*parametros_manuales!$M$29*parametros_manuales!$B$6=0,0,'Demanda puesto sin sobrestock'!$P$174/(parametros_manuales!$M$29*H40*parametros_manuales!$B$6))</f>
        <v>0.7530780543</v>
      </c>
      <c r="I12" s="36">
        <f>IF(I40*parametros_manuales!$M$29*parametros_manuales!$B$6=0,0,('Demanda puesto sin sobrestock'!$P$201/(parametros_manuales!$M$29*I40*parametros_manuales!$B$6)/2))</f>
        <v>0.4814489065</v>
      </c>
      <c r="J12" s="29">
        <f>IF(J40*parametros_manuales!$M$29*parametros_manuales!$B$6=0,0,('Demanda puesto sin sobrestock'!$P$228/(parametros_manuales!$M$29*J40*parametros_manuales!$B$6)/2))</f>
        <v>0.5431992836</v>
      </c>
      <c r="K12" s="29">
        <f>IF(K40*parametros_manuales!$M$29*parametros_manuales!$B$6=0,0,('Demanda puesto sin sobrestock'!$P$255/(parametros_manuales!$M$29*K40*parametros_manuales!$B$6)/2))</f>
        <v>0.6276742081</v>
      </c>
    </row>
    <row r="13" ht="14.25" customHeight="1">
      <c r="A13" s="26" t="str">
        <f>parametros_manuales!$B$30</f>
        <v>Soldadura circunferencial de cúpula y fondo</v>
      </c>
      <c r="B13" s="29">
        <f>IF(B41*parametros_manuales!$M$30*parametros_manuales!$B$6=0,0,'Demanda puesto sin sobrestock'!$P$13/(parametros_manuales!$M$30*B41*parametros_manuales!$B$6))</f>
        <v>0.08961651584</v>
      </c>
      <c r="C13" s="29">
        <f>IF(C41*parametros_manuales!$M$30*parametros_manuales!$B$6=0,0,'Demanda puesto sin sobrestock'!$P$40/(parametros_manuales!$M$30*C41*parametros_manuales!$B$6))</f>
        <v>0.1403020362</v>
      </c>
      <c r="D13" s="29">
        <f>IF(D41*parametros_manuales!$M$30*parametros_manuales!$B$6=0,0,'Demanda puesto sin sobrestock'!$P$67/(parametros_manuales!$M$30*D41*parametros_manuales!$B$6))</f>
        <v>0.2990961538</v>
      </c>
      <c r="E13" s="29">
        <f>IF(E41*parametros_manuales!$M$30*parametros_manuales!$B$6=0,0,'Demanda puesto sin sobrestock'!$P$94/(parametros_manuales!$M$30*E41*parametros_manuales!$B$6))</f>
        <v>0.6663653846</v>
      </c>
      <c r="F13" s="43">
        <f>IF(F41*parametros_manuales!$M$30*parametros_manuales!$B$6=0,0,'Demanda puesto sin sobrestock'!$P$121/(parametros_manuales!$M$30*F41*parametros_manuales!$B$6))</f>
        <v>0.5820661765</v>
      </c>
      <c r="G13" s="29">
        <f>IF(G41*parametros_manuales!$M$30*parametros_manuales!$B$6=0,0,'Demanda puesto sin sobrestock'!$P$148/(parametros_manuales!$M$30*G41*parametros_manuales!$B$6))</f>
        <v>0.8178410633</v>
      </c>
      <c r="H13" s="36">
        <f>IF(H41*parametros_manuales!$M$30*parametros_manuales!$B$6=0,0,('Demanda puesto sin sobrestock'!$P$175/(parametros_manuales!$M$30*H41*parametros_manuales!$B$6)/2))</f>
        <v>0.5648085407</v>
      </c>
      <c r="I13" s="29">
        <f>IF(I41*parametros_manuales!$M$30*parametros_manuales!$B$6=0,0,('Demanda puesto sin sobrestock'!$P$202/(parametros_manuales!$M$30*I41*parametros_manuales!$B$6)/2))</f>
        <v>0.7221733597</v>
      </c>
      <c r="J13" s="29">
        <f>IF(J41*parametros_manuales!$M$30*parametros_manuales!$B$6=0,0,('Demanda puesto sin sobrestock'!$P$229/(parametros_manuales!$M$30*J41*parametros_manuales!$B$6)/2))</f>
        <v>0.8147989253</v>
      </c>
      <c r="K13" s="44">
        <f>IF(K41*parametros_manuales!$M$30*parametros_manuales!$B$6=0,0,('Demanda puesto sin sobrestock'!$P$256/(parametros_manuales!$M$30*K41*parametros_manuales!$B$6)/2))</f>
        <v>0.9415113122</v>
      </c>
    </row>
    <row r="14" ht="14.25" customHeight="1">
      <c r="A14" s="26" t="str">
        <f>parametros_manuales!$B$31</f>
        <v>Control de calidad — Espesor</v>
      </c>
      <c r="B14" s="29">
        <f>IF(B42*parametros_manuales!$M$31*parametros_manuales!$B$6=0,0,'Demanda puesto sin sobrestock'!$P$14/(parametros_manuales!$M$31*B42*parametros_manuales!$B$6))</f>
        <v>0.003520933333</v>
      </c>
      <c r="C14" s="29">
        <f>IF(C42*parametros_manuales!$M$31*parametros_manuales!$B$6=0,0,'Demanda puesto sin sobrestock'!$P$41/(parametros_manuales!$M$31*C42*parametros_manuales!$B$6))</f>
        <v>0.005512311111</v>
      </c>
      <c r="D14" s="29">
        <f>IF(D42*parametros_manuales!$M$31*parametros_manuales!$B$6=0,0,'Demanda puesto sin sobrestock'!$P$68/(parametros_manuales!$M$31*D42*parametros_manuales!$B$6))</f>
        <v>0.01175115556</v>
      </c>
      <c r="E14" s="29">
        <f>IF(E42*parametros_manuales!$M$31*parametros_manuales!$B$6=0,0,'Demanda puesto sin sobrestock'!$P$95/(parametros_manuales!$M$31*E42*parametros_manuales!$B$6))</f>
        <v>0.02618075556</v>
      </c>
      <c r="F14" s="29">
        <f>IF(F42*parametros_manuales!$M$31*parametros_manuales!$B$6=0,0,'Demanda puesto sin sobrestock'!$P$122/(parametros_manuales!$M$31*F42*parametros_manuales!$B$6))</f>
        <v>0.04573746667</v>
      </c>
      <c r="G14" s="29">
        <f>IF(G42*parametros_manuales!$M$31*parametros_manuales!$B$6=0,0,'Demanda puesto sin sobrestock'!$P$149/(parametros_manuales!$M$31*G42*parametros_manuales!$B$6))</f>
        <v>0.06426413333</v>
      </c>
      <c r="H14" s="29">
        <f>IF(H42*parametros_manuales!$M$31*parametros_manuales!$B$6=0,0,'Demanda puesto sin sobrestock'!$P$176/(parametros_manuales!$M$31*H42*parametros_manuales!$B$6))</f>
        <v>0.0887628</v>
      </c>
      <c r="I14" s="29">
        <f>IF(I42*parametros_manuales!$M$31*parametros_manuales!$B$6=0,0,'Demanda puesto sin sobrestock'!$P$203/(parametros_manuales!$M$31*I42*parametros_manuales!$B$6))</f>
        <v>0.1134935556</v>
      </c>
      <c r="J14" s="29">
        <f>IF(J42*parametros_manuales!$M$31*parametros_manuales!$B$6=0,0,'Demanda puesto sin sobrestock'!$P$230/(parametros_manuales!$M$31*J42*parametros_manuales!$B$6))</f>
        <v>0.1280501778</v>
      </c>
      <c r="K14" s="29">
        <f>IF(K42*parametros_manuales!$M$31*parametros_manuales!$B$6=0,0,'Demanda puesto sin sobrestock'!$P$257/(parametros_manuales!$M$31*K42*parametros_manuales!$B$6))</f>
        <v>0.1479637333</v>
      </c>
    </row>
    <row r="15" ht="14.25" customHeight="1">
      <c r="A15" s="26" t="str">
        <f>parametros_manuales!$B$32</f>
        <v>Prueba hidráulica</v>
      </c>
      <c r="B15" s="29">
        <f>IF(B43*parametros_manuales!$M$32*parametros_manuales!$B$6=0,0,'Demanda puesto sin sobrestock'!$P$15/(parametros_manuales!$M$32*B43*parametros_manuales!$B$6))</f>
        <v>0.08961651584</v>
      </c>
      <c r="C15" s="29">
        <f>IF(C43*parametros_manuales!$M$32*parametros_manuales!$B$6=0,0,'Demanda puesto sin sobrestock'!$P$42/(parametros_manuales!$M$32*C43*parametros_manuales!$B$6))</f>
        <v>0.1403020362</v>
      </c>
      <c r="D15" s="29">
        <f>IF(D43*parametros_manuales!$M$32*parametros_manuales!$B$6=0,0,'Demanda puesto sin sobrestock'!$P$69/(parametros_manuales!$M$32*D43*parametros_manuales!$B$6))</f>
        <v>0.2990961538</v>
      </c>
      <c r="E15" s="29">
        <f>IF(E43*parametros_manuales!$M$32*parametros_manuales!$B$6=0,0,'Demanda puesto sin sobrestock'!$P$96/(parametros_manuales!$M$32*E43*parametros_manuales!$B$6))</f>
        <v>0.6663653846</v>
      </c>
      <c r="F15" s="43">
        <f>IF(F43*parametros_manuales!$M$32*parametros_manuales!$B$6=0,0,'Demanda puesto sin sobrestock'!$P$123/(parametros_manuales!$M$32*F43*parametros_manuales!$B$6))</f>
        <v>0.5820661765</v>
      </c>
      <c r="G15" s="29">
        <f>IF(G43*parametros_manuales!$M$32*parametros_manuales!$B$6=0,0,'Demanda puesto sin sobrestock'!$P$150/(parametros_manuales!$M$32*G43*parametros_manuales!$B$6))</f>
        <v>0.8178410633</v>
      </c>
      <c r="H15" s="36">
        <f>IF(H43*parametros_manuales!$M$32*parametros_manuales!$B$6=0,0,('Demanda puesto sin sobrestock'!$P$177/(parametros_manuales!$M$32*H43*parametros_manuales!$B$6)/2))</f>
        <v>0.5648085407</v>
      </c>
      <c r="I15" s="29">
        <f>IF(I43*parametros_manuales!$M$32*parametros_manuales!$B$6=0,0,('Demanda puesto sin sobrestock'!$P$204/(parametros_manuales!$M$32*I43*parametros_manuales!$B$6)/2))</f>
        <v>0.7221733597</v>
      </c>
      <c r="J15" s="29">
        <f>IF(J43*parametros_manuales!$M$32*parametros_manuales!$B$6=0,0,('Demanda puesto sin sobrestock'!$P$231/(parametros_manuales!$M$32*J43*parametros_manuales!$B$6)/2))</f>
        <v>0.8147989253</v>
      </c>
      <c r="K15" s="44">
        <f>IF(K43*parametros_manuales!$M$32*parametros_manuales!$B$6=0,0,('Demanda puesto sin sobrestock'!$P$258/(parametros_manuales!$M$32*K43*parametros_manuales!$B$6)/2))</f>
        <v>0.9415113122</v>
      </c>
    </row>
    <row r="16" ht="14.25" customHeight="1">
      <c r="A16" s="26" t="str">
        <f>parametros_manuales!$B$33</f>
        <v>Secado</v>
      </c>
      <c r="B16" s="29">
        <f>IF(B44*parametros_manuales!$M$33*parametros_manuales!$B$6=0,0,'Demanda puesto sin sobrestock'!$P$16/(parametros_manuales!$M$33*B44*parametros_manuales!$B$6))</f>
        <v>0.1760466667</v>
      </c>
      <c r="C16" s="29">
        <f>IF(C44*parametros_manuales!$M$33*parametros_manuales!$B$6=0,0,'Demanda puesto sin sobrestock'!$P$43/(parametros_manuales!$M$33*C44*parametros_manuales!$B$6))</f>
        <v>0.2756155556</v>
      </c>
      <c r="D16" s="29">
        <f>IF(D44*parametros_manuales!$M$33*parametros_manuales!$B$6=0,0,'Demanda puesto sin sobrestock'!$P$70/(parametros_manuales!$M$33*D44*parametros_manuales!$B$6))</f>
        <v>0.5875577778</v>
      </c>
      <c r="E16" s="43">
        <f>IF(E44*parametros_manuales!$M$33*parametros_manuales!$B$6=0,0,'Demanda puesto sin sobrestock'!$P$97/(parametros_manuales!$M$33*E44*parametros_manuales!$B$6))</f>
        <v>0.6545188889</v>
      </c>
      <c r="F16" s="43">
        <f>IF(F44*parametros_manuales!$M$33*parametros_manuales!$B$6=0,0,'Demanda puesto sin sobrestock'!$P$124/(parametros_manuales!$M$33*F44*parametros_manuales!$B$6))</f>
        <v>0.7622911111</v>
      </c>
      <c r="G16" s="43">
        <f>IF(G44*parametros_manuales!$M$33*parametros_manuales!$B$6=0,0,'Demanda puesto sin sobrestock'!$P$151/(parametros_manuales!$M$33*G44*parametros_manuales!$B$6))</f>
        <v>0.8033016667</v>
      </c>
      <c r="H16" s="36">
        <f>IF(H44*parametros_manuales!$M$33*parametros_manuales!$B$6=0,0,('Demanda puesto sin sobrestock'!$P$178/(parametros_manuales!$M$33*H44*parametros_manuales!$B$6)/2))</f>
        <v>0.5547675</v>
      </c>
      <c r="I16" s="29">
        <f>IF(I44*parametros_manuales!$M$33*parametros_manuales!$B$6=0,0,('Demanda puesto sin sobrestock'!$P$205/(parametros_manuales!$M$33*I44*parametros_manuales!$B$6)/2))</f>
        <v>0.7093347222</v>
      </c>
      <c r="J16" s="29">
        <f>IF(J44*parametros_manuales!$M$33*parametros_manuales!$B$6=0,0,('Demanda puesto sin sobrestock'!$P$232/(parametros_manuales!$M$33*J44*parametros_manuales!$B$6)/2))</f>
        <v>0.8003136111</v>
      </c>
      <c r="K16" s="44">
        <f>IF(K44*parametros_manuales!$M$33*parametros_manuales!$B$6=0,0,('Demanda puesto sin sobrestock'!$P$259/(parametros_manuales!$M$33*K44*parametros_manuales!$B$6)/2))</f>
        <v>0.9247733333</v>
      </c>
    </row>
    <row r="17" ht="14.25" customHeight="1">
      <c r="A17" s="26" t="str">
        <f>parametros_manuales!$B$34</f>
        <v>Granallado</v>
      </c>
      <c r="B17" s="29">
        <f>IF(B45*parametros_manuales!$M$34*parametros_manuales!$B$6=0,0,'Demanda puesto sin sobrestock'!$P$17/(parametros_manuales!$M$34*B45*parametros_manuales!$B$6))</f>
        <v>0.04401166667</v>
      </c>
      <c r="C17" s="29">
        <f>IF(C45*parametros_manuales!$M$34*parametros_manuales!$B$6=0,0,'Demanda puesto sin sobrestock'!$P$44/(parametros_manuales!$M$34*C45*parametros_manuales!$B$6))</f>
        <v>0.06890388889</v>
      </c>
      <c r="D17" s="29">
        <f>IF(D45*parametros_manuales!$M$34*parametros_manuales!$B$6=0,0,'Demanda puesto sin sobrestock'!$P$71/(parametros_manuales!$M$34*D45*parametros_manuales!$B$6))</f>
        <v>0.1468894444</v>
      </c>
      <c r="E17" s="29">
        <f>IF(E45*parametros_manuales!$M$34*parametros_manuales!$B$6=0,0,'Demanda puesto sin sobrestock'!$P$98/(parametros_manuales!$M$34*E45*parametros_manuales!$B$6))</f>
        <v>0.3272594444</v>
      </c>
      <c r="F17" s="29">
        <f>IF(F45*parametros_manuales!$M$34*parametros_manuales!$B$6=0,0,'Demanda puesto sin sobrestock'!$P$125/(parametros_manuales!$M$34*F45*parametros_manuales!$B$6))</f>
        <v>0.5717183333</v>
      </c>
      <c r="G17" s="29">
        <f>IF(G45*parametros_manuales!$M$34*parametros_manuales!$B$6=0,0,'Demanda puesto sin sobrestock'!$P$152/(parametros_manuales!$M$34*G45*parametros_manuales!$B$6))</f>
        <v>0.8033016667</v>
      </c>
      <c r="H17" s="36">
        <f>IF(H45*parametros_manuales!$M$34*parametros_manuales!$B$6=0,0,('Demanda puesto sin sobrestock'!$P$179/(parametros_manuales!$M$34*H45*parametros_manuales!$B$6)/2))</f>
        <v>0.5547675</v>
      </c>
      <c r="I17" s="29">
        <f>IF(I45*parametros_manuales!$M$34*parametros_manuales!$B$6=0,0,('Demanda puesto sin sobrestock'!$P$206/(parametros_manuales!$M$34*I45*parametros_manuales!$B$6)/2))</f>
        <v>0.7093347222</v>
      </c>
      <c r="J17" s="29">
        <f>IF(J45*parametros_manuales!$M$34*parametros_manuales!$B$6=0,0,('Demanda puesto sin sobrestock'!$P$233/(parametros_manuales!$M$34*J45*parametros_manuales!$B$6)/2))</f>
        <v>0.8003136111</v>
      </c>
      <c r="K17" s="44">
        <f>IF(K45*parametros_manuales!$M$34*parametros_manuales!$B$6=0,0,('Demanda puesto sin sobrestock'!$P$260/(parametros_manuales!$M$34*K45*parametros_manuales!$B$6)/2))</f>
        <v>0.9247733333</v>
      </c>
    </row>
    <row r="18" ht="14.25" customHeight="1">
      <c r="A18" s="26" t="str">
        <f>parametros_manuales!$B$35</f>
        <v>Detección de defectos</v>
      </c>
      <c r="B18" s="29">
        <f>IF(B46*parametros_manuales!$M$35*parametros_manuales!$B$6=0,0,'Demanda puesto sin sobrestock'!$P$18/(parametros_manuales!$M$35*B46*parametros_manuales!$B$6))</f>
        <v>0.02934111111</v>
      </c>
      <c r="C18" s="29">
        <f>IF(C46*parametros_manuales!$M$35*parametros_manuales!$B$6=0,0,'Demanda puesto sin sobrestock'!$P$45/(parametros_manuales!$M$35*C46*parametros_manuales!$B$6))</f>
        <v>0.04593592593</v>
      </c>
      <c r="D18" s="29">
        <f>IF(D46*parametros_manuales!$M$35*parametros_manuales!$B$6=0,0,'Demanda puesto sin sobrestock'!$P$72/(parametros_manuales!$M$35*D46*parametros_manuales!$B$6))</f>
        <v>0.0979262963</v>
      </c>
      <c r="E18" s="29">
        <f>IF(E46*parametros_manuales!$M$35*parametros_manuales!$B$6=0,0,'Demanda puesto sin sobrestock'!$P$99/(parametros_manuales!$M$35*E46*parametros_manuales!$B$6))</f>
        <v>0.218172963</v>
      </c>
      <c r="F18" s="29">
        <f>IF(F46*parametros_manuales!$M$35*parametros_manuales!$B$6=0,0,'Demanda puesto sin sobrestock'!$P$126/(parametros_manuales!$M$35*F46*parametros_manuales!$B$6))</f>
        <v>0.3811455556</v>
      </c>
      <c r="G18" s="29">
        <f>IF(G46*parametros_manuales!$M$35*parametros_manuales!$B$6=0,0,'Demanda puesto sin sobrestock'!$P$153/(parametros_manuales!$M$35*G46*parametros_manuales!$B$6))</f>
        <v>0.5355344444</v>
      </c>
      <c r="H18" s="29">
        <f>IF(H46*parametros_manuales!$M$35*parametros_manuales!$B$6=0,0,'Demanda puesto sin sobrestock'!$P$180/(parametros_manuales!$M$35*H46*parametros_manuales!$B$6))</f>
        <v>0.73969</v>
      </c>
      <c r="I18" s="36">
        <f>IF(I46*parametros_manuales!$M$35*parametros_manuales!$B$6=0,0,('Demanda puesto sin sobrestock'!$P$207/(parametros_manuales!$M$35*I46*parametros_manuales!$B$6)/2))</f>
        <v>0.4728898148</v>
      </c>
      <c r="J18" s="29">
        <f>IF(J46*parametros_manuales!$M$35*parametros_manuales!$B$6=0,0,('Demanda puesto sin sobrestock'!$P$234/(parametros_manuales!$M$35*J46*parametros_manuales!$B$6)/2))</f>
        <v>0.5335424074</v>
      </c>
      <c r="K18" s="29">
        <f>IF(K46*parametros_manuales!$M$35*parametros_manuales!$B$6=0,0,('Demanda puesto sin sobrestock'!$P$261/(parametros_manuales!$M$35*K46*parametros_manuales!$B$6)/2))</f>
        <v>0.6165155556</v>
      </c>
    </row>
    <row r="19" ht="14.25" customHeight="1">
      <c r="A19" s="26" t="str">
        <f>parametros_manuales!$B$36</f>
        <v>Corrección de defectos</v>
      </c>
      <c r="B19" s="29">
        <f>IF(B47*parametros_manuales!$M$36*parametros_manuales!$B$6=0,0,'Demanda puesto sin sobrestock'!$P$19/(parametros_manuales!$M$36*B47*parametros_manuales!$B$6))</f>
        <v>0.0132035</v>
      </c>
      <c r="C19" s="29">
        <f>IF(C47*parametros_manuales!$M$36*parametros_manuales!$B$6=0,0,'Demanda puesto sin sobrestock'!$P$46/(parametros_manuales!$M$36*C47*parametros_manuales!$B$6))</f>
        <v>0.02067116667</v>
      </c>
      <c r="D19" s="29">
        <f>IF(D47*parametros_manuales!$M$36*parametros_manuales!$B$6=0,0,'Demanda puesto sin sobrestock'!$P$73/(parametros_manuales!$M$36*D47*parametros_manuales!$B$6))</f>
        <v>0.04406683333</v>
      </c>
      <c r="E19" s="29">
        <f>IF(E47*parametros_manuales!$M$36*parametros_manuales!$B$6=0,0,'Demanda puesto sin sobrestock'!$P$100/(parametros_manuales!$M$36*E47*parametros_manuales!$B$6))</f>
        <v>0.09817783333</v>
      </c>
      <c r="F19" s="29">
        <f>IF(F47*parametros_manuales!$M$36*parametros_manuales!$B$6=0,0,'Demanda puesto sin sobrestock'!$P$127/(parametros_manuales!$M$36*F47*parametros_manuales!$B$6))</f>
        <v>0.1715155</v>
      </c>
      <c r="G19" s="29">
        <f>IF(G47*parametros_manuales!$M$36*parametros_manuales!$B$6=0,0,'Demanda puesto sin sobrestock'!$P$154/(parametros_manuales!$M$36*G47*parametros_manuales!$B$6))</f>
        <v>0.2409905</v>
      </c>
      <c r="H19" s="29">
        <f>IF(H47*parametros_manuales!$M$36*parametros_manuales!$B$6=0,0,'Demanda puesto sin sobrestock'!$P$181/(parametros_manuales!$M$36*H47*parametros_manuales!$B$6))</f>
        <v>0.3328605</v>
      </c>
      <c r="I19" s="29">
        <f>IF(I47*parametros_manuales!$M$36*parametros_manuales!$B$6=0,0,'Demanda puesto sin sobrestock'!$P$208/(parametros_manuales!$M$36*I47*parametros_manuales!$B$6))</f>
        <v>0.4256008333</v>
      </c>
      <c r="J19" s="29">
        <f>IF(J47*parametros_manuales!$M$36*parametros_manuales!$B$6=0,0,'Demanda puesto sin sobrestock'!$P$235/(parametros_manuales!$M$36*J47*parametros_manuales!$B$6))</f>
        <v>0.4801881667</v>
      </c>
      <c r="K19" s="29">
        <f>IF(K47*parametros_manuales!$M$36*parametros_manuales!$B$6=0,0,'Demanda puesto sin sobrestock'!$P$262/(parametros_manuales!$M$36*K47*parametros_manuales!$B$6))</f>
        <v>0.554864</v>
      </c>
    </row>
    <row r="20" ht="14.25" customHeight="1">
      <c r="A20" s="26" t="str">
        <f>parametros_manuales!$B$37</f>
        <v>Pintura en polvo + horno</v>
      </c>
      <c r="B20" s="51">
        <f>IF(B48*parametros_manuales!$M$37*parametros_manuales!$B$6=0,0,'Demanda puesto sin sobrestock'!$P$20/(parametros_manuales!$M$37*B48*parametros_manuales!$B$6))</f>
        <v>0</v>
      </c>
      <c r="C20" s="51">
        <f>IF(C48*parametros_manuales!$M$37*parametros_manuales!$B$6=0,0,'Demanda puesto sin sobrestock'!$P$47/(parametros_manuales!$M$37*C48*parametros_manuales!$B$6))</f>
        <v>0</v>
      </c>
      <c r="D20" s="51">
        <f>IF(D48*parametros_manuales!$M$37*parametros_manuales!$B$6=0,0,'Demanda puesto sin sobrestock'!$P$74/(parametros_manuales!$M$37*D48*parametros_manuales!$B$6))</f>
        <v>0</v>
      </c>
      <c r="E20" s="51">
        <f>IF(E48*parametros_manuales!$M$37*parametros_manuales!$B$6=0,0,'Demanda puesto sin sobrestock'!$P$101/(parametros_manuales!$M$37*E48*parametros_manuales!$B$6))</f>
        <v>0</v>
      </c>
      <c r="F20" s="29">
        <f>IF(F48*parametros_manuales!$M$37*parametros_manuales!$B$6=0,0,'Demanda puesto sin sobrestock'!$P$128/(parametros_manuales!$M$37*F48*parametros_manuales!$B$6))</f>
        <v>0.5032731808</v>
      </c>
      <c r="G20" s="29">
        <f>IF(G48*parametros_manuales!$M$37*parametros_manuales!$B$6=0,0,'Demanda puesto sin sobrestock'!$P$155/(parametros_manuales!$M$37*G48*parametros_manuales!$B$6))</f>
        <v>0.7071317488</v>
      </c>
      <c r="H20" s="36">
        <f>IF(H48*parametros_manuales!$M$37*parametros_manuales!$B$6=0,0,('Demanda puesto sin sobrestock'!$P$182/(parametros_manuales!$M$37*H48*parametros_manuales!$B$6)/2))</f>
        <v>0.4883516725</v>
      </c>
      <c r="I20" s="29">
        <f>IF(I48*parametros_manuales!$M$37*parametros_manuales!$B$6=0,0,('Demanda puesto sin sobrestock'!$P$209/(parametros_manuales!$M$37*I48*parametros_manuales!$B$6)/2))</f>
        <v>0.6244143682</v>
      </c>
      <c r="J20" s="29">
        <f>IF(J48*parametros_manuales!$M$37*parametros_manuales!$B$6=0,0,('Demanda puesto sin sobrestock'!$P$236/(parametros_manuales!$M$37*J48*parametros_manuales!$B$6)/2))</f>
        <v>0.7045014182</v>
      </c>
      <c r="K20" s="29">
        <f>IF(K48*parametros_manuales!$M$37*parametros_manuales!$B$6=0,0,('Demanda puesto sin sobrestock'!$P$263/(parametros_manuales!$M$37*K48*parametros_manuales!$B$6)/2))</f>
        <v>0.8140610329</v>
      </c>
    </row>
    <row r="21" ht="14.25" customHeight="1">
      <c r="A21" s="26" t="str">
        <f>parametros_manuales!$B$38</f>
        <v>Carga de polvo</v>
      </c>
      <c r="B21" s="29">
        <f>IF(B49*parametros_manuales!$M$38*parametros_manuales!$B$6=0,0,'Demanda puesto sin sobrestock'!$P$21/(parametros_manuales!$M$38*B49*parametros_manuales!$B$6))</f>
        <v>0.0660175</v>
      </c>
      <c r="C21" s="29">
        <f>IF(C49*parametros_manuales!$M$38*parametros_manuales!$B$6=0,0,'Demanda puesto sin sobrestock'!$P$48/(parametros_manuales!$M$38*C49*parametros_manuales!$B$6))</f>
        <v>0.1033558333</v>
      </c>
      <c r="D21" s="29">
        <f>IF(D49*parametros_manuales!$M$38*parametros_manuales!$B$6=0,0,'Demanda puesto sin sobrestock'!$P$75/(parametros_manuales!$M$38*D49*parametros_manuales!$B$6))</f>
        <v>0.1265816667</v>
      </c>
      <c r="E21" s="29">
        <f>IF(E49*parametros_manuales!$M$38*parametros_manuales!$B$6=0,0,'Demanda puesto sin sobrestock'!$P$102/(parametros_manuales!$M$38*E49*parametros_manuales!$B$6))</f>
        <v>0.164255</v>
      </c>
      <c r="F21" s="29">
        <f>IF(F49*parametros_manuales!$M$38*parametros_manuales!$B$6=0,0,'Demanda puesto sin sobrestock'!$P$129/(parametros_manuales!$M$38*F49*parametros_manuales!$B$6))</f>
        <v>0.252705</v>
      </c>
      <c r="G21" s="29">
        <f>IF(G49*parametros_manuales!$M$38*parametros_manuales!$B$6=0,0,'Demanda puesto sin sobrestock'!$P$156/(parametros_manuales!$M$38*G49*parametros_manuales!$B$6))</f>
        <v>0.3278916667</v>
      </c>
      <c r="H21" s="29">
        <f>IF(H49*parametros_manuales!$M$38*parametros_manuales!$B$6=0,0,'Demanda puesto sin sobrestock'!$P$183/(parametros_manuales!$M$38*H49*parametros_manuales!$B$6))</f>
        <v>0.42432</v>
      </c>
      <c r="I21" s="29">
        <f>IF(I49*parametros_manuales!$M$38*parametros_manuales!$B$6=0,0,'Demanda puesto sin sobrestock'!$P$210/(parametros_manuales!$M$38*I49*parametros_manuales!$B$6))</f>
        <v>0.52511</v>
      </c>
      <c r="J21" s="29">
        <f>IF(J49*parametros_manuales!$M$38*parametros_manuales!$B$6=0,0,'Demanda puesto sin sobrestock'!$P$237/(parametros_manuales!$M$38*J49*parametros_manuales!$B$6))</f>
        <v>0.6045008333</v>
      </c>
      <c r="K21" s="29">
        <f>IF(K49*parametros_manuales!$M$38*parametros_manuales!$B$6=0,0,'Demanda puesto sin sobrestock'!$P$264/(parametros_manuales!$M$38*K49*parametros_manuales!$B$6))</f>
        <v>0.6875525</v>
      </c>
    </row>
    <row r="22" ht="14.25" customHeight="1">
      <c r="A22" s="26" t="str">
        <f>parametros_manuales!$B$39</f>
        <v>Ensamblaje</v>
      </c>
      <c r="B22" s="29">
        <f>IF(B50*parametros_manuales!$M$39*parametros_manuales!$B$6=0,0,'Demanda puesto sin sobrestock'!$P$22/(parametros_manuales!$M$39*B50*parametros_manuales!$B$6))</f>
        <v>0.1493608597</v>
      </c>
      <c r="C22" s="29">
        <f>IF(C50*parametros_manuales!$M$39*parametros_manuales!$B$6=0,0,'Demanda puesto sin sobrestock'!$P$49/(parametros_manuales!$M$39*C50*parametros_manuales!$B$6))</f>
        <v>0.233836727</v>
      </c>
      <c r="D22" s="29">
        <f>IF(D50*parametros_manuales!$M$39*parametros_manuales!$B$6=0,0,'Demanda puesto sin sobrestock'!$P$76/(parametros_manuales!$M$39*D50*parametros_manuales!$B$6))</f>
        <v>0.2863838612</v>
      </c>
      <c r="E22" s="29">
        <f>IF(E50*parametros_manuales!$M$39*parametros_manuales!$B$6=0,0,'Demanda puesto sin sobrestock'!$P$103/(parametros_manuales!$M$39*E50*parametros_manuales!$B$6))</f>
        <v>0.3716176471</v>
      </c>
      <c r="F22" s="29">
        <f>IF(F50*parametros_manuales!$M$39*parametros_manuales!$B$6=0,0,'Demanda puesto sin sobrestock'!$P$130/(parametros_manuales!$M$39*F50*parametros_manuales!$B$6))</f>
        <v>0.5717307692</v>
      </c>
      <c r="G22" s="29">
        <f>IF(G50*parametros_manuales!$M$39*parametros_manuales!$B$6=0,0,'Demanda puesto sin sobrestock'!$P$157/(parametros_manuales!$M$39*G50*parametros_manuales!$B$6))</f>
        <v>0.7418363499</v>
      </c>
      <c r="H22" s="36">
        <f>IF(H50*parametros_manuales!$M$39*parametros_manuales!$B$6=0,0,('Demanda puesto sin sobrestock'!$P$184/(parametros_manuales!$M$39*H50*parametros_manuales!$B$6)/2))</f>
        <v>0.48</v>
      </c>
      <c r="I22" s="29">
        <f>IF(I50*parametros_manuales!$M$39*parametros_manuales!$B$6=0,0,('Demanda puesto sin sobrestock'!$P$211/(parametros_manuales!$M$39*I50*parametros_manuales!$B$6)/2))</f>
        <v>0.5940158371</v>
      </c>
      <c r="J22" s="29">
        <f>IF(J50*parametros_manuales!$M$39*parametros_manuales!$B$6=0,0,('Demanda puesto sin sobrestock'!$P$238/(parametros_manuales!$M$39*J50*parametros_manuales!$B$6)/2))</f>
        <v>0.6838244721</v>
      </c>
      <c r="K22" s="29">
        <f>IF(K50*parametros_manuales!$M$39*parametros_manuales!$B$6=0,0,('Demanda puesto sin sobrestock'!$P$265/(parametros_manuales!$M$39*K50*parametros_manuales!$B$6)/2))</f>
        <v>0.7777743213</v>
      </c>
    </row>
    <row r="23" ht="14.25" customHeight="1">
      <c r="A23" s="26" t="str">
        <f>parametros_manuales!$B$40</f>
        <v>Presurización</v>
      </c>
      <c r="B23" s="29">
        <f>IF(B51*parametros_manuales!$M$40*parametros_manuales!$B$6=0,0,'Demanda puesto sin sobrestock'!$P$23/(parametros_manuales!$M$40*B51*parametros_manuales!$B$6))</f>
        <v>0.04401166667</v>
      </c>
      <c r="C23" s="29">
        <f>IF(C51*parametros_manuales!$M$40*parametros_manuales!$B$6=0,0,'Demanda puesto sin sobrestock'!$P$50/(parametros_manuales!$M$40*C51*parametros_manuales!$B$6))</f>
        <v>0.06890388889</v>
      </c>
      <c r="D23" s="29">
        <f>IF(D51*parametros_manuales!$M$40*parametros_manuales!$B$6=0,0,'Demanda puesto sin sobrestock'!$P$77/(parametros_manuales!$M$40*D51*parametros_manuales!$B$6))</f>
        <v>0.08438777778</v>
      </c>
      <c r="E23" s="29">
        <f>IF(E51*parametros_manuales!$M$40*parametros_manuales!$B$6=0,0,'Demanda puesto sin sobrestock'!$P$104/(parametros_manuales!$M$40*E51*parametros_manuales!$B$6))</f>
        <v>0.1095033333</v>
      </c>
      <c r="F23" s="29">
        <f>IF(F51*parametros_manuales!$M$40*parametros_manuales!$B$6=0,0,'Demanda puesto sin sobrestock'!$P$131/(parametros_manuales!$M$40*F51*parametros_manuales!$B$6))</f>
        <v>0.16847</v>
      </c>
      <c r="G23" s="29">
        <f>IF(G51*parametros_manuales!$M$40*parametros_manuales!$B$6=0,0,'Demanda puesto sin sobrestock'!$P$158/(parametros_manuales!$M$40*G51*parametros_manuales!$B$6))</f>
        <v>0.2185944444</v>
      </c>
      <c r="H23" s="29">
        <f>IF(H51*parametros_manuales!$M$40*parametros_manuales!$B$6=0,0,'Demanda puesto sin sobrestock'!$P$185/(parametros_manuales!$M$40*H51*parametros_manuales!$B$6))</f>
        <v>0.28288</v>
      </c>
      <c r="I23" s="29">
        <f>IF(I51*parametros_manuales!$M$40*parametros_manuales!$B$6=0,0,'Demanda puesto sin sobrestock'!$P$212/(parametros_manuales!$M$40*I51*parametros_manuales!$B$6))</f>
        <v>0.3500733333</v>
      </c>
      <c r="J23" s="29">
        <f>IF(J51*parametros_manuales!$M$40*parametros_manuales!$B$6=0,0,'Demanda puesto sin sobrestock'!$P$239/(parametros_manuales!$M$40*J51*parametros_manuales!$B$6))</f>
        <v>0.4030005556</v>
      </c>
      <c r="K23" s="29">
        <f>IF(K51*parametros_manuales!$M$40*parametros_manuales!$B$6=0,0,'Demanda puesto sin sobrestock'!$P$266/(parametros_manuales!$M$40*K51*parametros_manuales!$B$6))</f>
        <v>0.4583683333</v>
      </c>
    </row>
    <row r="24" ht="14.25" customHeight="1">
      <c r="A24" s="26" t="str">
        <f>parametros_manuales!$B$41</f>
        <v>Control de calidad — Ensayo de pérdidas</v>
      </c>
      <c r="B24" s="29">
        <f>IF(B52*parametros_manuales!$M$41*parametros_manuales!$B$6=0,0,'Demanda puesto sin sobrestock'!$P$24/(parametros_manuales!$M$41*B52*parametros_manuales!$B$6))</f>
        <v>0.08068805556</v>
      </c>
      <c r="C24" s="29">
        <f>IF(C52*parametros_manuales!$M$41*parametros_manuales!$B$6=0,0,'Demanda puesto sin sobrestock'!$P$51/(parametros_manuales!$M$41*C52*parametros_manuales!$B$6))</f>
        <v>0.1263237963</v>
      </c>
      <c r="D24" s="29">
        <f>IF(D52*parametros_manuales!$M$41*parametros_manuales!$B$6=0,0,'Demanda puesto sin sobrestock'!$P$78/(parametros_manuales!$M$41*D52*parametros_manuales!$B$6))</f>
        <v>0.1547109259</v>
      </c>
      <c r="E24" s="29">
        <f>IF(E52*parametros_manuales!$M$41*parametros_manuales!$B$6=0,0,'Demanda puesto sin sobrestock'!$P$105/(parametros_manuales!$M$41*E52*parametros_manuales!$B$6))</f>
        <v>0.2007561111</v>
      </c>
      <c r="F24" s="29">
        <f>IF(F52*parametros_manuales!$M$41*parametros_manuales!$B$6=0,0,'Demanda puesto sin sobrestock'!$P$132/(parametros_manuales!$M$41*F52*parametros_manuales!$B$6))</f>
        <v>0.3088616667</v>
      </c>
      <c r="G24" s="29">
        <f>IF(G52*parametros_manuales!$M$41*parametros_manuales!$B$6=0,0,'Demanda puesto sin sobrestock'!$P$159/(parametros_manuales!$M$41*G52*parametros_manuales!$B$6))</f>
        <v>0.4007564815</v>
      </c>
      <c r="H24" s="29">
        <f>IF(H52*parametros_manuales!$M$41*parametros_manuales!$B$6=0,0,'Demanda puesto sin sobrestock'!$P$186/(parametros_manuales!$M$41*H52*parametros_manuales!$B$6))</f>
        <v>0.5186133333</v>
      </c>
      <c r="I24" s="29">
        <f>IF(I52*parametros_manuales!$M$41*parametros_manuales!$B$6=0,0,'Demanda puesto sin sobrestock'!$P$213/(parametros_manuales!$M$41*I52*parametros_manuales!$B$6))</f>
        <v>0.6418011111</v>
      </c>
      <c r="J24" s="36">
        <f>IF(J52*parametros_manuales!$M$41*parametros_manuales!$B$6=0,0,('Demanda puesto sin sobrestock'!$P$240/(parametros_manuales!$M$41*J52*parametros_manuales!$B$6)/2))</f>
        <v>0.3694171759</v>
      </c>
      <c r="K24" s="29">
        <f>IF(K52*parametros_manuales!$M$41*parametros_manuales!$B$6=0,0,('Demanda puesto sin sobrestock'!$P$267/(parametros_manuales!$M$41*K52*parametros_manuales!$B$6)/2))</f>
        <v>0.4201709722</v>
      </c>
    </row>
    <row r="25" ht="14.25" customHeight="1">
      <c r="A25" s="26" t="str">
        <f>parametros_manuales!$B$42</f>
        <v>Etiquetado</v>
      </c>
      <c r="B25" s="29">
        <f>IF(B53*parametros_manuales!$M$42*parametros_manuales!$B$6=0,0,'Demanda puesto sin sobrestock'!$P$25/(parametros_manuales!$M$42*B53*parametros_manuales!$B$6))</f>
        <v>0.08802333333</v>
      </c>
      <c r="C25" s="29">
        <f>IF(C53*parametros_manuales!$M$42*parametros_manuales!$B$6=0,0,'Demanda puesto sin sobrestock'!$P$52/(parametros_manuales!$M$42*C53*parametros_manuales!$B$6))</f>
        <v>0.1378077778</v>
      </c>
      <c r="D25" s="29">
        <f>IF(D53*parametros_manuales!$M$42*parametros_manuales!$B$6=0,0,'Demanda puesto sin sobrestock'!$P$79/(parametros_manuales!$M$42*D53*parametros_manuales!$B$6))</f>
        <v>0.1687755556</v>
      </c>
      <c r="E25" s="29">
        <f>IF(E53*parametros_manuales!$M$42*parametros_manuales!$B$6=0,0,'Demanda puesto sin sobrestock'!$P$106/(parametros_manuales!$M$42*E53*parametros_manuales!$B$6))</f>
        <v>0.2190066667</v>
      </c>
      <c r="F25" s="29">
        <f>IF(F53*parametros_manuales!$M$42*parametros_manuales!$B$6=0,0,'Demanda puesto sin sobrestock'!$P$133/(parametros_manuales!$M$42*F53*parametros_manuales!$B$6))</f>
        <v>0.33694</v>
      </c>
      <c r="G25" s="29">
        <f>IF(G53*parametros_manuales!$M$42*parametros_manuales!$B$6=0,0,'Demanda puesto sin sobrestock'!$P$160/(parametros_manuales!$M$42*G53*parametros_manuales!$B$6))</f>
        <v>0.4371888889</v>
      </c>
      <c r="H25" s="29">
        <f>IF(H53*parametros_manuales!$M$42*parametros_manuales!$B$6=0,0,'Demanda puesto sin sobrestock'!$P$187/(parametros_manuales!$M$42*H53*parametros_manuales!$B$6))</f>
        <v>0.56576</v>
      </c>
      <c r="I25" s="29">
        <f>IF(I53*parametros_manuales!$M$42*parametros_manuales!$B$6=0,0,'Demanda puesto sin sobrestock'!$P$214/(parametros_manuales!$M$42*I53*parametros_manuales!$B$6))</f>
        <v>0.7001466667</v>
      </c>
      <c r="J25" s="29">
        <f>IF(J53*parametros_manuales!$M$42*parametros_manuales!$B$6=0,0,'Demanda puesto sin sobrestock'!$P$241/(parametros_manuales!$M$42*J53*parametros_manuales!$B$6))</f>
        <v>0.8060011111</v>
      </c>
      <c r="K25" s="44">
        <f>IF(K53*parametros_manuales!$M$42*parametros_manuales!$B$6=0,0,'Demanda puesto sin sobrestock'!$P$268/(parametros_manuales!$M$42*K53*parametros_manuales!$B$6))</f>
        <v>0.9167366667</v>
      </c>
    </row>
    <row r="26" ht="14.25" customHeight="1">
      <c r="A26" s="26" t="str">
        <f>parametros_manuales!$B$43</f>
        <v>Embalaje y paletizado</v>
      </c>
      <c r="B26" s="29">
        <f>IF(B54*parametros_manuales!$M$43*parametros_manuales!$B$6=0,0,'Demanda puesto sin sobrestock'!$P$26/(parametros_manuales!$M$43*B54*parametros_manuales!$B$6))</f>
        <v>0.0666095852</v>
      </c>
      <c r="C26" s="29">
        <f>IF(C54*parametros_manuales!$M$43*parametros_manuales!$B$6=0,0,'Demanda puesto sin sobrestock'!$P$53/(parametros_manuales!$M$43*C54*parametros_manuales!$B$6))</f>
        <v>0.1042827915</v>
      </c>
      <c r="D26" s="29">
        <f>IF(D54*parametros_manuales!$M$43*parametros_manuales!$B$6=0,0,'Demanda puesto sin sobrestock'!$P$80/(parametros_manuales!$M$43*D54*parametros_manuales!$B$6))</f>
        <v>0.2223102578</v>
      </c>
      <c r="E26" s="29">
        <f>IF(E54*parametros_manuales!$M$43*parametros_manuales!$B$6=0,0,'Demanda puesto sin sobrestock'!$P$107/(parametros_manuales!$M$43*E54*parametros_manuales!$B$6))</f>
        <v>0.4952917601</v>
      </c>
      <c r="F26" s="29">
        <f>IF(F54*parametros_manuales!$M$43*parametros_manuales!$B$6=0,0,'Demanda puesto sin sobrestock'!$P$134/(parametros_manuales!$M$43*F54*parametros_manuales!$B$6))</f>
        <v>0.865268778</v>
      </c>
      <c r="G26" s="34">
        <f>IF(G54*parametros_manuales!$M$43*parametros_manuales!$B$6=0,0,'Demanda puesto sin sobrestock'!$P$161/(parametros_manuales!$M$43*G54*parametros_manuales!$B$6))</f>
        <v>0.6078796244</v>
      </c>
      <c r="H26" s="29">
        <f>IF(H54*parametros_manuales!$M$43*parametros_manuales!$B$6=0,0,'Demanda puesto sin sobrestock'!$P$188/(parametros_manuales!$M$43*H54*parametros_manuales!$B$6))</f>
        <v>0.8396144899</v>
      </c>
      <c r="I26" s="36">
        <f>IF(I54*parametros_manuales!$M$43*parametros_manuales!$B$6=0,0,('Demanda puesto sin sobrestock'!$P$215/(parametros_manuales!$M$43*I54*parametros_manuales!$B$6)/2))</f>
        <v>0.5367723515</v>
      </c>
      <c r="J26" s="29">
        <f>IF(J54*parametros_manuales!$M$43*parametros_manuales!$B$6=0,0,('Demanda puesto sin sobrestock'!$P$242/(parametros_manuales!$M$43*J54*parametros_manuales!$B$6)/2))</f>
        <v>0.6056184837</v>
      </c>
      <c r="K26" s="29">
        <f>IF(K54*parametros_manuales!$M$43*parametros_manuales!$B$6=0,0,('Demanda puesto sin sobrestock'!$P$269/(parametros_manuales!$M$43*K54*parametros_manuales!$B$6)/2))</f>
        <v>0.6998004484</v>
      </c>
    </row>
    <row r="27" ht="14.25" customHeight="1">
      <c r="A27" s="9" t="s">
        <v>169</v>
      </c>
      <c r="B27" s="53">
        <f t="shared" ref="B27:K27" si="1">MAX(B2:B26)</f>
        <v>0.1760466667</v>
      </c>
      <c r="C27" s="53">
        <f t="shared" si="1"/>
        <v>0.2756155556</v>
      </c>
      <c r="D27" s="53">
        <f t="shared" si="1"/>
        <v>0.5875577778</v>
      </c>
      <c r="E27" s="53">
        <f t="shared" si="1"/>
        <v>0.6663653846</v>
      </c>
      <c r="F27" s="53">
        <f t="shared" si="1"/>
        <v>0.865268778</v>
      </c>
      <c r="G27" s="53">
        <f t="shared" si="1"/>
        <v>0.8597868806</v>
      </c>
      <c r="H27" s="53">
        <f t="shared" si="1"/>
        <v>0.9011325503</v>
      </c>
      <c r="I27" s="53">
        <f t="shared" si="1"/>
        <v>0.7338685717</v>
      </c>
      <c r="J27" s="53">
        <f t="shared" si="1"/>
        <v>0.8379081738</v>
      </c>
      <c r="K27" s="53">
        <f t="shared" si="1"/>
        <v>0.9688361486</v>
      </c>
    </row>
    <row r="28" ht="14.25" customHeight="1"/>
    <row r="29" ht="14.25" customHeight="1">
      <c r="A29" s="1" t="s">
        <v>170</v>
      </c>
      <c r="B29" s="1">
        <v>2026.0</v>
      </c>
      <c r="C29" s="1">
        <v>2027.0</v>
      </c>
      <c r="D29" s="1">
        <v>2028.0</v>
      </c>
      <c r="E29" s="1">
        <v>2029.0</v>
      </c>
      <c r="F29" s="1">
        <v>2030.0</v>
      </c>
      <c r="G29" s="1">
        <v>2031.0</v>
      </c>
      <c r="H29" s="1">
        <v>2032.0</v>
      </c>
      <c r="I29" s="1">
        <v>2033.0</v>
      </c>
      <c r="J29" s="1">
        <v>2034.0</v>
      </c>
      <c r="K29" s="1">
        <v>2035.0</v>
      </c>
    </row>
    <row r="30" ht="14.25" customHeight="1">
      <c r="A30" s="3" t="str">
        <f>parametros_manuales!$B$19</f>
        <v>Recepción de materia prima</v>
      </c>
      <c r="B30" s="8">
        <v>1.0</v>
      </c>
      <c r="C30" s="8">
        <v>1.0</v>
      </c>
      <c r="D30" s="8">
        <v>1.0</v>
      </c>
      <c r="E30" s="8">
        <v>1.0</v>
      </c>
      <c r="F30" s="8">
        <v>2.0</v>
      </c>
      <c r="G30" s="8">
        <v>3.0</v>
      </c>
      <c r="H30" s="8">
        <v>3.0</v>
      </c>
      <c r="I30" s="8">
        <v>3.0</v>
      </c>
      <c r="J30" s="8">
        <v>3.0</v>
      </c>
      <c r="K30" s="8">
        <v>3.0</v>
      </c>
    </row>
    <row r="31" ht="14.25" customHeight="1">
      <c r="A31" s="3" t="str">
        <f>parametros_manuales!$B$20</f>
        <v>Corte de chapa (guillotina) — 2,5 a 10 kg</v>
      </c>
      <c r="B31" s="8">
        <v>1.0</v>
      </c>
      <c r="C31" s="8">
        <v>1.0</v>
      </c>
      <c r="D31" s="8">
        <v>1.0</v>
      </c>
      <c r="E31" s="8">
        <v>1.0</v>
      </c>
      <c r="F31" s="8">
        <v>1.0</v>
      </c>
      <c r="G31" s="8">
        <v>1.0</v>
      </c>
      <c r="H31" s="8">
        <v>1.0</v>
      </c>
      <c r="I31" s="8">
        <v>1.0</v>
      </c>
      <c r="J31" s="8">
        <v>1.0</v>
      </c>
      <c r="K31" s="8">
        <v>1.0</v>
      </c>
    </row>
    <row r="32" ht="14.25" customHeight="1">
      <c r="A32" s="3" t="str">
        <f>parametros_manuales!$B$21</f>
        <v>Corte de tubo — 1 kg</v>
      </c>
      <c r="B32" s="8">
        <v>1.0</v>
      </c>
      <c r="C32" s="8">
        <v>1.0</v>
      </c>
      <c r="D32" s="8">
        <v>1.0</v>
      </c>
      <c r="E32" s="8">
        <v>1.0</v>
      </c>
      <c r="F32" s="8">
        <v>1.0</v>
      </c>
      <c r="G32" s="8">
        <v>1.0</v>
      </c>
      <c r="H32" s="8">
        <v>1.0</v>
      </c>
      <c r="I32" s="8">
        <v>1.0</v>
      </c>
      <c r="J32" s="8">
        <v>1.0</v>
      </c>
      <c r="K32" s="8">
        <v>1.0</v>
      </c>
    </row>
    <row r="33" ht="14.25" customHeight="1">
      <c r="A33" s="3" t="str">
        <f>parametros_manuales!$B$22</f>
        <v>Corte de disco y embutido (cúpula y fondo)</v>
      </c>
      <c r="B33" s="8">
        <v>1.0</v>
      </c>
      <c r="C33" s="8">
        <v>1.0</v>
      </c>
      <c r="D33" s="8">
        <v>1.0</v>
      </c>
      <c r="E33" s="8">
        <v>1.0</v>
      </c>
      <c r="F33" s="8">
        <v>1.0</v>
      </c>
      <c r="G33" s="8">
        <v>1.0</v>
      </c>
      <c r="H33" s="8">
        <v>1.0</v>
      </c>
      <c r="I33" s="8">
        <v>1.0</v>
      </c>
      <c r="J33" s="8">
        <v>1.0</v>
      </c>
      <c r="K33" s="8">
        <v>1.0</v>
      </c>
    </row>
    <row r="34" ht="14.25" customHeight="1">
      <c r="A34" s="3" t="str">
        <f>parametros_manuales!$B$23</f>
        <v>Preparación de cuello</v>
      </c>
      <c r="B34" s="8">
        <v>1.0</v>
      </c>
      <c r="C34" s="8">
        <v>1.0</v>
      </c>
      <c r="D34" s="8">
        <v>1.0</v>
      </c>
      <c r="E34" s="8">
        <v>1.0</v>
      </c>
      <c r="F34" s="8">
        <v>2.0</v>
      </c>
      <c r="G34" s="8">
        <v>2.0</v>
      </c>
      <c r="H34" s="8">
        <v>2.0</v>
      </c>
      <c r="I34" s="8">
        <v>2.0</v>
      </c>
      <c r="J34" s="8">
        <v>2.0</v>
      </c>
      <c r="K34" s="8">
        <v>2.0</v>
      </c>
    </row>
    <row r="35" ht="14.25" customHeight="1">
      <c r="A35" s="3" t="str">
        <f>parametros_manuales!$B$24</f>
        <v>Numerado de cúpula</v>
      </c>
      <c r="B35" s="8">
        <v>1.0</v>
      </c>
      <c r="C35" s="8">
        <v>1.0</v>
      </c>
      <c r="D35" s="8">
        <v>1.0</v>
      </c>
      <c r="E35" s="8">
        <v>1.0</v>
      </c>
      <c r="F35" s="8">
        <v>1.0</v>
      </c>
      <c r="G35" s="8">
        <v>1.0</v>
      </c>
      <c r="H35" s="8">
        <v>1.0</v>
      </c>
      <c r="I35" s="8">
        <v>1.0</v>
      </c>
      <c r="J35" s="8">
        <v>1.0</v>
      </c>
      <c r="K35" s="8">
        <v>1.0</v>
      </c>
    </row>
    <row r="36" ht="14.25" customHeight="1">
      <c r="A36" s="3" t="str">
        <f>parametros_manuales!$B$25</f>
        <v>Soldadura del cuello a la cúpula</v>
      </c>
      <c r="B36" s="8">
        <v>1.0</v>
      </c>
      <c r="C36" s="8">
        <v>1.0</v>
      </c>
      <c r="D36" s="8">
        <v>1.0</v>
      </c>
      <c r="E36" s="8">
        <v>1.0</v>
      </c>
      <c r="F36" s="8">
        <v>1.0</v>
      </c>
      <c r="G36" s="8">
        <v>1.0</v>
      </c>
      <c r="H36" s="8">
        <v>1.0</v>
      </c>
      <c r="I36" s="8">
        <v>1.0</v>
      </c>
      <c r="J36" s="8">
        <v>1.0</v>
      </c>
      <c r="K36" s="8">
        <v>1.0</v>
      </c>
    </row>
    <row r="37" ht="14.25" customHeight="1">
      <c r="A37" s="3" t="str">
        <f>parametros_manuales!$B$26</f>
        <v>Cilindrado</v>
      </c>
      <c r="B37" s="8">
        <v>1.0</v>
      </c>
      <c r="C37" s="8">
        <v>1.0</v>
      </c>
      <c r="D37" s="8">
        <v>1.0</v>
      </c>
      <c r="E37" s="8">
        <v>1.0</v>
      </c>
      <c r="F37" s="8">
        <v>1.0</v>
      </c>
      <c r="G37" s="8">
        <v>1.0</v>
      </c>
      <c r="H37" s="8">
        <v>1.0</v>
      </c>
      <c r="I37" s="8">
        <v>1.0</v>
      </c>
      <c r="J37" s="8">
        <v>1.0</v>
      </c>
      <c r="K37" s="8">
        <v>1.0</v>
      </c>
    </row>
    <row r="38" ht="14.25" customHeight="1">
      <c r="A38" s="3" t="str">
        <f>parametros_manuales!$B$27</f>
        <v>Soldadura longitudinal</v>
      </c>
      <c r="B38" s="8">
        <v>1.0</v>
      </c>
      <c r="C38" s="8">
        <v>1.0</v>
      </c>
      <c r="D38" s="8">
        <v>1.0</v>
      </c>
      <c r="E38" s="8">
        <v>1.0</v>
      </c>
      <c r="F38" s="8">
        <v>1.0</v>
      </c>
      <c r="G38" s="8">
        <v>1.0</v>
      </c>
      <c r="H38" s="8">
        <v>1.0</v>
      </c>
      <c r="I38" s="8">
        <v>1.0</v>
      </c>
      <c r="J38" s="8">
        <v>1.0</v>
      </c>
      <c r="K38" s="8">
        <v>1.0</v>
      </c>
    </row>
    <row r="39" ht="14.25" customHeight="1">
      <c r="A39" s="3" t="str">
        <f>parametros_manuales!$B$28</f>
        <v>Encastre de fondo</v>
      </c>
      <c r="B39" s="8">
        <v>1.0</v>
      </c>
      <c r="C39" s="8">
        <v>1.0</v>
      </c>
      <c r="D39" s="8">
        <v>1.0</v>
      </c>
      <c r="E39" s="8">
        <v>1.0</v>
      </c>
      <c r="F39" s="8">
        <v>1.0</v>
      </c>
      <c r="G39" s="8">
        <v>1.0</v>
      </c>
      <c r="H39" s="8">
        <v>1.0</v>
      </c>
      <c r="I39" s="8">
        <v>1.0</v>
      </c>
      <c r="J39" s="8">
        <v>1.0</v>
      </c>
      <c r="K39" s="8">
        <v>1.0</v>
      </c>
    </row>
    <row r="40" ht="14.25" customHeight="1">
      <c r="A40" s="3" t="str">
        <f>parametros_manuales!$B$29</f>
        <v>Bordoneado</v>
      </c>
      <c r="B40" s="8">
        <v>1.0</v>
      </c>
      <c r="C40" s="8">
        <v>1.0</v>
      </c>
      <c r="D40" s="8">
        <v>1.0</v>
      </c>
      <c r="E40" s="8">
        <v>1.0</v>
      </c>
      <c r="F40" s="8">
        <v>1.0</v>
      </c>
      <c r="G40" s="8">
        <v>1.0</v>
      </c>
      <c r="H40" s="8">
        <v>1.0</v>
      </c>
      <c r="I40" s="8">
        <v>1.0</v>
      </c>
      <c r="J40" s="8">
        <v>1.0</v>
      </c>
      <c r="K40" s="8">
        <v>1.0</v>
      </c>
    </row>
    <row r="41" ht="14.25" customHeight="1">
      <c r="A41" s="3" t="str">
        <f>parametros_manuales!$B$30</f>
        <v>Soldadura circunferencial de cúpula y fondo</v>
      </c>
      <c r="B41" s="8">
        <v>1.0</v>
      </c>
      <c r="C41" s="8">
        <v>1.0</v>
      </c>
      <c r="D41" s="8">
        <v>1.0</v>
      </c>
      <c r="E41" s="8">
        <v>1.0</v>
      </c>
      <c r="F41" s="8">
        <v>2.0</v>
      </c>
      <c r="G41" s="8">
        <v>2.0</v>
      </c>
      <c r="H41" s="8">
        <v>2.0</v>
      </c>
      <c r="I41" s="8">
        <v>2.0</v>
      </c>
      <c r="J41" s="8">
        <v>2.0</v>
      </c>
      <c r="K41" s="8">
        <v>2.0</v>
      </c>
    </row>
    <row r="42" ht="14.25" customHeight="1">
      <c r="A42" s="3" t="str">
        <f>parametros_manuales!$B$31</f>
        <v>Control de calidad — Espesor</v>
      </c>
      <c r="B42" s="8">
        <v>1.0</v>
      </c>
      <c r="C42" s="8">
        <v>1.0</v>
      </c>
      <c r="D42" s="8">
        <v>1.0</v>
      </c>
      <c r="E42" s="8">
        <v>1.0</v>
      </c>
      <c r="F42" s="8">
        <v>1.0</v>
      </c>
      <c r="G42" s="8">
        <v>1.0</v>
      </c>
      <c r="H42" s="8">
        <v>1.0</v>
      </c>
      <c r="I42" s="8">
        <v>1.0</v>
      </c>
      <c r="J42" s="8">
        <v>1.0</v>
      </c>
      <c r="K42" s="8">
        <v>1.0</v>
      </c>
    </row>
    <row r="43" ht="14.25" customHeight="1">
      <c r="A43" s="3" t="str">
        <f>parametros_manuales!$B$32</f>
        <v>Prueba hidráulica</v>
      </c>
      <c r="B43" s="8">
        <v>1.0</v>
      </c>
      <c r="C43" s="8">
        <v>1.0</v>
      </c>
      <c r="D43" s="8">
        <v>1.0</v>
      </c>
      <c r="E43" s="8">
        <v>1.0</v>
      </c>
      <c r="F43" s="8">
        <v>2.0</v>
      </c>
      <c r="G43" s="8">
        <v>2.0</v>
      </c>
      <c r="H43" s="8">
        <v>2.0</v>
      </c>
      <c r="I43" s="8">
        <v>2.0</v>
      </c>
      <c r="J43" s="8">
        <v>2.0</v>
      </c>
      <c r="K43" s="8">
        <v>2.0</v>
      </c>
    </row>
    <row r="44" ht="14.25" customHeight="1">
      <c r="A44" s="3" t="str">
        <f>parametros_manuales!$B$33</f>
        <v>Secado</v>
      </c>
      <c r="B44" s="8">
        <v>1.0</v>
      </c>
      <c r="C44" s="8">
        <v>1.0</v>
      </c>
      <c r="D44" s="8">
        <v>1.0</v>
      </c>
      <c r="E44" s="8">
        <v>2.0</v>
      </c>
      <c r="F44" s="8">
        <v>3.0</v>
      </c>
      <c r="G44" s="8">
        <v>4.0</v>
      </c>
      <c r="H44" s="8">
        <v>4.0</v>
      </c>
      <c r="I44" s="8">
        <v>4.0</v>
      </c>
      <c r="J44" s="8">
        <v>4.0</v>
      </c>
      <c r="K44" s="8">
        <v>4.0</v>
      </c>
    </row>
    <row r="45" ht="14.25" customHeight="1">
      <c r="A45" s="3" t="str">
        <f>parametros_manuales!$B$34</f>
        <v>Granallado</v>
      </c>
      <c r="B45" s="8">
        <v>1.0</v>
      </c>
      <c r="C45" s="8">
        <v>1.0</v>
      </c>
      <c r="D45" s="8">
        <v>1.0</v>
      </c>
      <c r="E45" s="8">
        <v>1.0</v>
      </c>
      <c r="F45" s="8">
        <v>1.0</v>
      </c>
      <c r="G45" s="8">
        <v>1.0</v>
      </c>
      <c r="H45" s="8">
        <v>1.0</v>
      </c>
      <c r="I45" s="8">
        <v>1.0</v>
      </c>
      <c r="J45" s="8">
        <v>1.0</v>
      </c>
      <c r="K45" s="8">
        <v>1.0</v>
      </c>
    </row>
    <row r="46" ht="14.25" customHeight="1">
      <c r="A46" s="3" t="str">
        <f>parametros_manuales!$B$35</f>
        <v>Detección de defectos</v>
      </c>
      <c r="B46" s="8">
        <v>1.0</v>
      </c>
      <c r="C46" s="8">
        <v>1.0</v>
      </c>
      <c r="D46" s="8">
        <v>1.0</v>
      </c>
      <c r="E46" s="8">
        <v>1.0</v>
      </c>
      <c r="F46" s="8">
        <v>1.0</v>
      </c>
      <c r="G46" s="8">
        <v>1.0</v>
      </c>
      <c r="H46" s="8">
        <v>1.0</v>
      </c>
      <c r="I46" s="8">
        <v>1.0</v>
      </c>
      <c r="J46" s="8">
        <v>1.0</v>
      </c>
      <c r="K46" s="8">
        <v>1.0</v>
      </c>
    </row>
    <row r="47" ht="14.25" customHeight="1">
      <c r="A47" s="3" t="str">
        <f>parametros_manuales!$B$36</f>
        <v>Corrección de defectos</v>
      </c>
      <c r="B47" s="8">
        <v>1.0</v>
      </c>
      <c r="C47" s="8">
        <v>1.0</v>
      </c>
      <c r="D47" s="8">
        <v>1.0</v>
      </c>
      <c r="E47" s="8">
        <v>1.0</v>
      </c>
      <c r="F47" s="8">
        <v>1.0</v>
      </c>
      <c r="G47" s="8">
        <v>1.0</v>
      </c>
      <c r="H47" s="8">
        <v>1.0</v>
      </c>
      <c r="I47" s="8">
        <v>1.0</v>
      </c>
      <c r="J47" s="8">
        <v>1.0</v>
      </c>
      <c r="K47" s="8">
        <v>1.0</v>
      </c>
    </row>
    <row r="48" ht="14.25" customHeight="1">
      <c r="A48" s="3" t="str">
        <f>parametros_manuales!$B$37</f>
        <v>Pintura en polvo + horno</v>
      </c>
      <c r="B48" s="8">
        <v>0.0</v>
      </c>
      <c r="C48" s="8">
        <v>0.0</v>
      </c>
      <c r="D48" s="8">
        <v>0.0</v>
      </c>
      <c r="E48" s="8">
        <v>0.0</v>
      </c>
      <c r="F48" s="8">
        <v>1.0</v>
      </c>
      <c r="G48" s="8">
        <v>1.0</v>
      </c>
      <c r="H48" s="8">
        <v>1.0</v>
      </c>
      <c r="I48" s="8">
        <v>1.0</v>
      </c>
      <c r="J48" s="8">
        <v>1.0</v>
      </c>
      <c r="K48" s="8">
        <v>1.0</v>
      </c>
    </row>
    <row r="49" ht="14.25" customHeight="1">
      <c r="A49" s="3" t="str">
        <f>parametros_manuales!$B$38</f>
        <v>Carga de polvo</v>
      </c>
      <c r="B49" s="8">
        <v>1.0</v>
      </c>
      <c r="C49" s="8">
        <v>1.0</v>
      </c>
      <c r="D49" s="8">
        <v>1.0</v>
      </c>
      <c r="E49" s="8">
        <v>1.0</v>
      </c>
      <c r="F49" s="8">
        <v>1.0</v>
      </c>
      <c r="G49" s="8">
        <v>1.0</v>
      </c>
      <c r="H49" s="8">
        <v>1.0</v>
      </c>
      <c r="I49" s="8">
        <v>1.0</v>
      </c>
      <c r="J49" s="8">
        <v>1.0</v>
      </c>
      <c r="K49" s="8">
        <v>1.0</v>
      </c>
    </row>
    <row r="50" ht="14.25" customHeight="1">
      <c r="A50" s="3" t="str">
        <f>parametros_manuales!$B$39</f>
        <v>Ensamblaje</v>
      </c>
      <c r="B50" s="8">
        <v>1.0</v>
      </c>
      <c r="C50" s="8">
        <v>1.0</v>
      </c>
      <c r="D50" s="8">
        <v>1.0</v>
      </c>
      <c r="E50" s="8">
        <v>1.0</v>
      </c>
      <c r="F50" s="8">
        <v>1.0</v>
      </c>
      <c r="G50" s="8">
        <v>1.0</v>
      </c>
      <c r="H50" s="8">
        <v>1.0</v>
      </c>
      <c r="I50" s="8">
        <v>1.0</v>
      </c>
      <c r="J50" s="8">
        <v>1.0</v>
      </c>
      <c r="K50" s="8">
        <v>1.0</v>
      </c>
    </row>
    <row r="51" ht="14.25" customHeight="1">
      <c r="A51" s="3" t="str">
        <f>parametros_manuales!$B$40</f>
        <v>Presurización</v>
      </c>
      <c r="B51" s="8">
        <v>1.0</v>
      </c>
      <c r="C51" s="8">
        <v>1.0</v>
      </c>
      <c r="D51" s="8">
        <v>1.0</v>
      </c>
      <c r="E51" s="8">
        <v>1.0</v>
      </c>
      <c r="F51" s="8">
        <v>1.0</v>
      </c>
      <c r="G51" s="8">
        <v>1.0</v>
      </c>
      <c r="H51" s="8">
        <v>1.0</v>
      </c>
      <c r="I51" s="8">
        <v>1.0</v>
      </c>
      <c r="J51" s="8">
        <v>1.0</v>
      </c>
      <c r="K51" s="8">
        <v>1.0</v>
      </c>
    </row>
    <row r="52" ht="14.25" customHeight="1">
      <c r="A52" s="3" t="str">
        <f>parametros_manuales!$B$41</f>
        <v>Control de calidad — Ensayo de pérdidas</v>
      </c>
      <c r="B52" s="8">
        <v>1.0</v>
      </c>
      <c r="C52" s="8">
        <v>1.0</v>
      </c>
      <c r="D52" s="8">
        <v>1.0</v>
      </c>
      <c r="E52" s="8">
        <v>1.0</v>
      </c>
      <c r="F52" s="8">
        <v>1.0</v>
      </c>
      <c r="G52" s="8">
        <v>1.0</v>
      </c>
      <c r="H52" s="8">
        <v>1.0</v>
      </c>
      <c r="I52" s="8">
        <v>1.0</v>
      </c>
      <c r="J52" s="8">
        <v>1.0</v>
      </c>
      <c r="K52" s="8">
        <v>1.0</v>
      </c>
    </row>
    <row r="53" ht="14.25" customHeight="1">
      <c r="A53" s="3" t="str">
        <f>parametros_manuales!$B$42</f>
        <v>Etiquetado</v>
      </c>
      <c r="B53" s="8">
        <v>1.0</v>
      </c>
      <c r="C53" s="8">
        <v>1.0</v>
      </c>
      <c r="D53" s="8">
        <v>1.0</v>
      </c>
      <c r="E53" s="8">
        <v>1.0</v>
      </c>
      <c r="F53" s="8">
        <v>1.0</v>
      </c>
      <c r="G53" s="8">
        <v>1.0</v>
      </c>
      <c r="H53" s="8">
        <v>1.0</v>
      </c>
      <c r="I53" s="8">
        <v>1.0</v>
      </c>
      <c r="J53" s="8">
        <v>1.0</v>
      </c>
      <c r="K53" s="8">
        <v>1.0</v>
      </c>
    </row>
    <row r="54" ht="14.25" customHeight="1">
      <c r="A54" s="3" t="str">
        <f>parametros_manuales!$B$43</f>
        <v>Embalaje y paletizado</v>
      </c>
      <c r="B54" s="8">
        <v>1.0</v>
      </c>
      <c r="C54" s="8">
        <v>1.0</v>
      </c>
      <c r="D54" s="8">
        <v>1.0</v>
      </c>
      <c r="E54" s="8">
        <v>1.0</v>
      </c>
      <c r="F54" s="8">
        <v>1.0</v>
      </c>
      <c r="G54" s="8">
        <v>2.0</v>
      </c>
      <c r="H54" s="8">
        <v>2.0</v>
      </c>
      <c r="I54" s="8">
        <v>2.0</v>
      </c>
      <c r="J54" s="8">
        <v>2.0</v>
      </c>
      <c r="K54" s="8">
        <v>2.0</v>
      </c>
    </row>
    <row r="55" ht="14.25" customHeight="1">
      <c r="A55" s="9" t="s">
        <v>171</v>
      </c>
      <c r="B55" s="54">
        <f t="shared" ref="B55:K55" si="2">SUM(B30:B54)</f>
        <v>24</v>
      </c>
      <c r="C55" s="54">
        <f t="shared" si="2"/>
        <v>24</v>
      </c>
      <c r="D55" s="54">
        <f t="shared" si="2"/>
        <v>24</v>
      </c>
      <c r="E55" s="54">
        <f t="shared" si="2"/>
        <v>25</v>
      </c>
      <c r="F55" s="54">
        <f t="shared" si="2"/>
        <v>31</v>
      </c>
      <c r="G55" s="54">
        <f t="shared" si="2"/>
        <v>34</v>
      </c>
      <c r="H55" s="54">
        <f t="shared" si="2"/>
        <v>34</v>
      </c>
      <c r="I55" s="54">
        <f t="shared" si="2"/>
        <v>34</v>
      </c>
      <c r="J55" s="54">
        <f t="shared" si="2"/>
        <v>34</v>
      </c>
      <c r="K55" s="54">
        <f t="shared" si="2"/>
        <v>34</v>
      </c>
    </row>
    <row r="56" ht="14.25" customHeight="1"/>
    <row r="57" ht="14.25" customHeight="1">
      <c r="A57" s="1" t="s">
        <v>172</v>
      </c>
      <c r="B57" s="1">
        <v>2026.0</v>
      </c>
      <c r="C57" s="1">
        <v>2027.0</v>
      </c>
      <c r="D57" s="1">
        <v>2028.0</v>
      </c>
      <c r="E57" s="1">
        <v>2029.0</v>
      </c>
      <c r="F57" s="1">
        <v>2030.0</v>
      </c>
      <c r="G57" s="1">
        <v>2031.0</v>
      </c>
      <c r="H57" s="1">
        <v>2032.0</v>
      </c>
      <c r="I57" s="1">
        <v>2033.0</v>
      </c>
      <c r="J57" s="1">
        <v>2034.0</v>
      </c>
      <c r="K57" s="1">
        <v>2035.0</v>
      </c>
    </row>
    <row r="58" ht="14.25" customHeight="1">
      <c r="A58" s="3" t="str">
        <f>parametros_manuales!$B$19</f>
        <v>Recepción de materia prima</v>
      </c>
      <c r="B58" s="8">
        <v>1.0</v>
      </c>
      <c r="C58" s="8">
        <v>1.0</v>
      </c>
      <c r="D58" s="8">
        <v>1.0</v>
      </c>
      <c r="E58" s="8">
        <v>1.0</v>
      </c>
      <c r="F58" s="8">
        <v>1.0</v>
      </c>
      <c r="G58" s="8">
        <v>1.0</v>
      </c>
      <c r="H58" s="8">
        <v>1.0</v>
      </c>
      <c r="I58" s="8">
        <v>2.0</v>
      </c>
      <c r="J58" s="8">
        <v>2.0</v>
      </c>
      <c r="K58" s="8">
        <v>2.0</v>
      </c>
    </row>
    <row r="59" ht="14.25" customHeight="1">
      <c r="A59" s="3" t="str">
        <f>parametros_manuales!$B$20</f>
        <v>Corte de chapa (guillotina) — 2,5 a 10 kg</v>
      </c>
      <c r="B59" s="8">
        <v>1.0</v>
      </c>
      <c r="C59" s="8">
        <v>1.0</v>
      </c>
      <c r="D59" s="8">
        <v>1.0</v>
      </c>
      <c r="E59" s="8">
        <v>1.0</v>
      </c>
      <c r="F59" s="8">
        <v>1.0</v>
      </c>
      <c r="G59" s="8">
        <v>1.0</v>
      </c>
      <c r="H59" s="8">
        <v>1.0</v>
      </c>
      <c r="I59" s="8">
        <v>2.0</v>
      </c>
      <c r="J59" s="8">
        <v>2.0</v>
      </c>
      <c r="K59" s="8">
        <v>2.0</v>
      </c>
    </row>
    <row r="60" ht="14.25" customHeight="1">
      <c r="A60" s="3" t="str">
        <f>parametros_manuales!$B$21</f>
        <v>Corte de tubo — 1 kg</v>
      </c>
      <c r="B60" s="8">
        <v>1.0</v>
      </c>
      <c r="C60" s="8">
        <v>1.0</v>
      </c>
      <c r="D60" s="8">
        <v>1.0</v>
      </c>
      <c r="E60" s="8">
        <v>1.0</v>
      </c>
      <c r="F60" s="8">
        <v>1.0</v>
      </c>
      <c r="G60" s="8">
        <v>1.0</v>
      </c>
      <c r="H60" s="8">
        <v>1.0</v>
      </c>
      <c r="I60" s="8">
        <v>2.0</v>
      </c>
      <c r="J60" s="8">
        <v>2.0</v>
      </c>
      <c r="K60" s="8">
        <v>2.0</v>
      </c>
    </row>
    <row r="61" ht="14.25" customHeight="1">
      <c r="A61" s="3" t="str">
        <f>parametros_manuales!$B$22</f>
        <v>Corte de disco y embutido (cúpula y fondo)</v>
      </c>
      <c r="B61" s="8">
        <v>1.0</v>
      </c>
      <c r="C61" s="8">
        <v>1.0</v>
      </c>
      <c r="D61" s="8">
        <v>1.0</v>
      </c>
      <c r="E61" s="8">
        <v>1.0</v>
      </c>
      <c r="F61" s="8">
        <v>1.0</v>
      </c>
      <c r="G61" s="8">
        <v>1.0</v>
      </c>
      <c r="H61" s="8">
        <v>1.0</v>
      </c>
      <c r="I61" s="8">
        <v>2.0</v>
      </c>
      <c r="J61" s="8">
        <v>2.0</v>
      </c>
      <c r="K61" s="8">
        <v>2.0</v>
      </c>
    </row>
    <row r="62" ht="14.25" customHeight="1">
      <c r="A62" s="3" t="str">
        <f>parametros_manuales!$B$23</f>
        <v>Preparación de cuello</v>
      </c>
      <c r="B62" s="8">
        <v>1.0</v>
      </c>
      <c r="C62" s="8">
        <v>1.0</v>
      </c>
      <c r="D62" s="8">
        <v>1.0</v>
      </c>
      <c r="E62" s="8">
        <v>1.0</v>
      </c>
      <c r="F62" s="8">
        <v>1.0</v>
      </c>
      <c r="G62" s="8">
        <v>1.0</v>
      </c>
      <c r="H62" s="8">
        <v>2.0</v>
      </c>
      <c r="I62" s="8">
        <v>2.0</v>
      </c>
      <c r="J62" s="8">
        <v>2.0</v>
      </c>
      <c r="K62" s="8">
        <v>2.0</v>
      </c>
    </row>
    <row r="63" ht="14.25" customHeight="1">
      <c r="A63" s="3" t="str">
        <f>parametros_manuales!$B$24</f>
        <v>Numerado de cúpula</v>
      </c>
      <c r="B63" s="8">
        <v>1.0</v>
      </c>
      <c r="C63" s="8">
        <v>1.0</v>
      </c>
      <c r="D63" s="8">
        <v>1.0</v>
      </c>
      <c r="E63" s="8">
        <v>1.0</v>
      </c>
      <c r="F63" s="8">
        <v>1.0</v>
      </c>
      <c r="G63" s="8">
        <v>1.0</v>
      </c>
      <c r="H63" s="8">
        <v>1.0</v>
      </c>
      <c r="I63" s="8">
        <v>1.0</v>
      </c>
      <c r="J63" s="8">
        <v>2.0</v>
      </c>
      <c r="K63" s="8">
        <v>2.0</v>
      </c>
    </row>
    <row r="64" ht="14.25" customHeight="1">
      <c r="A64" s="3" t="str">
        <f>parametros_manuales!$B$25</f>
        <v>Soldadura del cuello a la cúpula</v>
      </c>
      <c r="B64" s="8">
        <v>1.0</v>
      </c>
      <c r="C64" s="8">
        <v>1.0</v>
      </c>
      <c r="D64" s="8">
        <v>1.0</v>
      </c>
      <c r="E64" s="8">
        <v>1.0</v>
      </c>
      <c r="F64" s="8">
        <v>1.0</v>
      </c>
      <c r="G64" s="8">
        <v>1.0</v>
      </c>
      <c r="H64" s="8">
        <v>1.0</v>
      </c>
      <c r="I64" s="8">
        <v>2.0</v>
      </c>
      <c r="J64" s="8">
        <v>2.0</v>
      </c>
      <c r="K64" s="8">
        <v>2.0</v>
      </c>
    </row>
    <row r="65" ht="14.25" customHeight="1">
      <c r="A65" s="3" t="str">
        <f>parametros_manuales!$B$26</f>
        <v>Cilindrado</v>
      </c>
      <c r="B65" s="8">
        <v>1.0</v>
      </c>
      <c r="C65" s="8">
        <v>1.0</v>
      </c>
      <c r="D65" s="8">
        <v>1.0</v>
      </c>
      <c r="E65" s="8">
        <v>1.0</v>
      </c>
      <c r="F65" s="8">
        <v>1.0</v>
      </c>
      <c r="G65" s="8">
        <v>1.0</v>
      </c>
      <c r="H65" s="8">
        <v>1.0</v>
      </c>
      <c r="I65" s="8">
        <v>2.0</v>
      </c>
      <c r="J65" s="8">
        <v>2.0</v>
      </c>
      <c r="K65" s="8">
        <v>2.0</v>
      </c>
    </row>
    <row r="66" ht="14.25" customHeight="1">
      <c r="A66" s="3" t="str">
        <f>parametros_manuales!$B$27</f>
        <v>Soldadura longitudinal</v>
      </c>
      <c r="B66" s="8">
        <v>1.0</v>
      </c>
      <c r="C66" s="8">
        <v>1.0</v>
      </c>
      <c r="D66" s="8">
        <v>1.0</v>
      </c>
      <c r="E66" s="8">
        <v>1.0</v>
      </c>
      <c r="F66" s="8">
        <v>1.0</v>
      </c>
      <c r="G66" s="8">
        <v>1.0</v>
      </c>
      <c r="H66" s="8">
        <v>2.0</v>
      </c>
      <c r="I66" s="8">
        <v>2.0</v>
      </c>
      <c r="J66" s="8">
        <v>2.0</v>
      </c>
      <c r="K66" s="8">
        <v>2.0</v>
      </c>
    </row>
    <row r="67" ht="14.25" customHeight="1">
      <c r="A67" s="3" t="str">
        <f>parametros_manuales!$B$28</f>
        <v>Encastre de fondo</v>
      </c>
      <c r="B67" s="8">
        <v>1.0</v>
      </c>
      <c r="C67" s="8">
        <v>1.0</v>
      </c>
      <c r="D67" s="8">
        <v>1.0</v>
      </c>
      <c r="E67" s="8">
        <v>1.0</v>
      </c>
      <c r="F67" s="8">
        <v>1.0</v>
      </c>
      <c r="G67" s="8">
        <v>1.0</v>
      </c>
      <c r="H67" s="8">
        <v>2.0</v>
      </c>
      <c r="I67" s="8">
        <v>2.0</v>
      </c>
      <c r="J67" s="8">
        <v>2.0</v>
      </c>
      <c r="K67" s="8">
        <v>2.0</v>
      </c>
    </row>
    <row r="68" ht="14.25" customHeight="1">
      <c r="A68" s="3" t="str">
        <f>parametros_manuales!$B$29</f>
        <v>Bordoneado</v>
      </c>
      <c r="B68" s="8">
        <v>1.0</v>
      </c>
      <c r="C68" s="8">
        <v>1.0</v>
      </c>
      <c r="D68" s="8">
        <v>1.0</v>
      </c>
      <c r="E68" s="8">
        <v>1.0</v>
      </c>
      <c r="F68" s="8">
        <v>1.0</v>
      </c>
      <c r="G68" s="8">
        <v>1.0</v>
      </c>
      <c r="H68" s="8">
        <v>1.0</v>
      </c>
      <c r="I68" s="8">
        <v>1.0</v>
      </c>
      <c r="J68" s="8">
        <v>2.0</v>
      </c>
      <c r="K68" s="8">
        <v>2.0</v>
      </c>
    </row>
    <row r="69" ht="14.25" customHeight="1">
      <c r="A69" s="3" t="str">
        <f>parametros_manuales!$B$30</f>
        <v>Soldadura circunferencial de cúpula y fondo</v>
      </c>
      <c r="B69" s="8">
        <v>1.0</v>
      </c>
      <c r="C69" s="8">
        <v>1.0</v>
      </c>
      <c r="D69" s="8">
        <v>1.0</v>
      </c>
      <c r="E69" s="8">
        <v>1.0</v>
      </c>
      <c r="F69" s="8">
        <v>1.0</v>
      </c>
      <c r="G69" s="8">
        <v>1.0</v>
      </c>
      <c r="H69" s="8">
        <v>2.0</v>
      </c>
      <c r="I69" s="8">
        <v>2.0</v>
      </c>
      <c r="J69" s="8">
        <v>2.0</v>
      </c>
      <c r="K69" s="8">
        <v>2.0</v>
      </c>
    </row>
    <row r="70" ht="14.25" customHeight="1">
      <c r="A70" s="3" t="str">
        <f>parametros_manuales!$B$31</f>
        <v>Control de calidad — Espesor</v>
      </c>
      <c r="B70" s="8">
        <v>1.0</v>
      </c>
      <c r="C70" s="8">
        <v>1.0</v>
      </c>
      <c r="D70" s="8">
        <v>1.0</v>
      </c>
      <c r="E70" s="8">
        <v>1.0</v>
      </c>
      <c r="F70" s="8">
        <v>1.0</v>
      </c>
      <c r="G70" s="8">
        <v>1.0</v>
      </c>
      <c r="H70" s="8">
        <v>1.0</v>
      </c>
      <c r="I70" s="8">
        <v>1.0</v>
      </c>
      <c r="J70" s="8">
        <v>1.0</v>
      </c>
      <c r="K70" s="8">
        <v>1.0</v>
      </c>
    </row>
    <row r="71" ht="14.25" customHeight="1">
      <c r="A71" s="3" t="str">
        <f>parametros_manuales!$B$32</f>
        <v>Prueba hidráulica</v>
      </c>
      <c r="B71" s="8">
        <v>1.0</v>
      </c>
      <c r="C71" s="8">
        <v>1.0</v>
      </c>
      <c r="D71" s="8">
        <v>1.0</v>
      </c>
      <c r="E71" s="8">
        <v>1.0</v>
      </c>
      <c r="F71" s="8">
        <v>1.0</v>
      </c>
      <c r="G71" s="8">
        <v>1.0</v>
      </c>
      <c r="H71" s="8">
        <v>2.0</v>
      </c>
      <c r="I71" s="8">
        <v>2.0</v>
      </c>
      <c r="J71" s="8">
        <v>2.0</v>
      </c>
      <c r="K71" s="8">
        <v>2.0</v>
      </c>
    </row>
    <row r="72" ht="14.25" customHeight="1">
      <c r="A72" s="3" t="str">
        <f>parametros_manuales!$B$33</f>
        <v>Secado</v>
      </c>
      <c r="B72" s="8">
        <v>1.0</v>
      </c>
      <c r="C72" s="8">
        <v>1.0</v>
      </c>
      <c r="D72" s="8">
        <v>1.0</v>
      </c>
      <c r="E72" s="8">
        <v>1.0</v>
      </c>
      <c r="F72" s="8">
        <v>1.0</v>
      </c>
      <c r="G72" s="8">
        <v>1.0</v>
      </c>
      <c r="H72" s="8">
        <v>2.0</v>
      </c>
      <c r="I72" s="8">
        <v>2.0</v>
      </c>
      <c r="J72" s="8">
        <v>2.0</v>
      </c>
      <c r="K72" s="8">
        <v>2.0</v>
      </c>
    </row>
    <row r="73" ht="14.25" customHeight="1">
      <c r="A73" s="3" t="str">
        <f>parametros_manuales!$B$34</f>
        <v>Granallado</v>
      </c>
      <c r="B73" s="8">
        <v>1.0</v>
      </c>
      <c r="C73" s="8">
        <v>1.0</v>
      </c>
      <c r="D73" s="8">
        <v>1.0</v>
      </c>
      <c r="E73" s="8">
        <v>1.0</v>
      </c>
      <c r="F73" s="8">
        <v>1.0</v>
      </c>
      <c r="G73" s="8">
        <v>1.0</v>
      </c>
      <c r="H73" s="8">
        <v>2.0</v>
      </c>
      <c r="I73" s="8">
        <v>2.0</v>
      </c>
      <c r="J73" s="8">
        <v>2.0</v>
      </c>
      <c r="K73" s="8">
        <v>2.0</v>
      </c>
    </row>
    <row r="74" ht="14.25" customHeight="1">
      <c r="A74" s="3" t="str">
        <f>parametros_manuales!$B$35</f>
        <v>Detección de defectos</v>
      </c>
      <c r="B74" s="8">
        <v>1.0</v>
      </c>
      <c r="C74" s="8">
        <v>1.0</v>
      </c>
      <c r="D74" s="8">
        <v>1.0</v>
      </c>
      <c r="E74" s="8">
        <v>1.0</v>
      </c>
      <c r="F74" s="8">
        <v>1.0</v>
      </c>
      <c r="G74" s="8">
        <v>1.0</v>
      </c>
      <c r="H74" s="8">
        <v>1.0</v>
      </c>
      <c r="I74" s="8">
        <v>1.0</v>
      </c>
      <c r="J74" s="8">
        <v>2.0</v>
      </c>
      <c r="K74" s="8">
        <v>2.0</v>
      </c>
    </row>
    <row r="75" ht="14.25" customHeight="1">
      <c r="A75" s="3" t="str">
        <f>parametros_manuales!$B$36</f>
        <v>Corrección de defectos</v>
      </c>
      <c r="B75" s="8">
        <v>1.0</v>
      </c>
      <c r="C75" s="8">
        <v>1.0</v>
      </c>
      <c r="D75" s="8">
        <v>1.0</v>
      </c>
      <c r="E75" s="8">
        <v>1.0</v>
      </c>
      <c r="F75" s="8">
        <v>1.0</v>
      </c>
      <c r="G75" s="8">
        <v>1.0</v>
      </c>
      <c r="H75" s="8">
        <v>1.0</v>
      </c>
      <c r="I75" s="8">
        <v>1.0</v>
      </c>
      <c r="J75" s="8">
        <v>1.0</v>
      </c>
      <c r="K75" s="8">
        <v>1.0</v>
      </c>
    </row>
    <row r="76" ht="14.25" customHeight="1">
      <c r="A76" s="3" t="str">
        <f>parametros_manuales!$B$37</f>
        <v>Pintura en polvo + horno</v>
      </c>
      <c r="B76" s="8">
        <v>1.0</v>
      </c>
      <c r="C76" s="8">
        <v>1.0</v>
      </c>
      <c r="D76" s="8">
        <v>1.0</v>
      </c>
      <c r="E76" s="8">
        <v>1.0</v>
      </c>
      <c r="F76" s="8">
        <v>1.0</v>
      </c>
      <c r="G76" s="8">
        <v>1.0</v>
      </c>
      <c r="H76" s="8">
        <v>1.0</v>
      </c>
      <c r="I76" s="8">
        <v>2.0</v>
      </c>
      <c r="J76" s="8">
        <v>2.0</v>
      </c>
      <c r="K76" s="8">
        <v>2.0</v>
      </c>
    </row>
    <row r="77" ht="14.25" customHeight="1">
      <c r="A77" s="3" t="str">
        <f>parametros_manuales!$B$38</f>
        <v>Carga de polvo</v>
      </c>
      <c r="B77" s="8">
        <v>1.0</v>
      </c>
      <c r="C77" s="8">
        <v>1.0</v>
      </c>
      <c r="D77" s="8">
        <v>1.0</v>
      </c>
      <c r="E77" s="8">
        <v>1.0</v>
      </c>
      <c r="F77" s="8">
        <v>1.0</v>
      </c>
      <c r="G77" s="8">
        <v>1.0</v>
      </c>
      <c r="H77" s="8">
        <v>1.0</v>
      </c>
      <c r="I77" s="8">
        <v>1.0</v>
      </c>
      <c r="J77" s="8">
        <v>1.0</v>
      </c>
      <c r="K77" s="8">
        <v>1.0</v>
      </c>
    </row>
    <row r="78" ht="14.25" customHeight="1">
      <c r="A78" s="3" t="str">
        <f>parametros_manuales!$B$39</f>
        <v>Ensamblaje</v>
      </c>
      <c r="B78" s="8">
        <v>1.0</v>
      </c>
      <c r="C78" s="8">
        <v>1.0</v>
      </c>
      <c r="D78" s="8">
        <v>1.0</v>
      </c>
      <c r="E78" s="8">
        <v>1.0</v>
      </c>
      <c r="F78" s="8">
        <v>1.0</v>
      </c>
      <c r="G78" s="8">
        <v>1.0</v>
      </c>
      <c r="H78" s="8">
        <v>1.0</v>
      </c>
      <c r="I78" s="8">
        <v>2.0</v>
      </c>
      <c r="J78" s="8">
        <v>2.0</v>
      </c>
      <c r="K78" s="8">
        <v>2.0</v>
      </c>
    </row>
    <row r="79" ht="14.25" customHeight="1">
      <c r="A79" s="3" t="str">
        <f>parametros_manuales!$B$40</f>
        <v>Presurización</v>
      </c>
      <c r="B79" s="8">
        <v>1.0</v>
      </c>
      <c r="C79" s="8">
        <v>1.0</v>
      </c>
      <c r="D79" s="8">
        <v>1.0</v>
      </c>
      <c r="E79" s="8">
        <v>1.0</v>
      </c>
      <c r="F79" s="8">
        <v>1.0</v>
      </c>
      <c r="G79" s="8">
        <v>1.0</v>
      </c>
      <c r="H79" s="8">
        <v>1.0</v>
      </c>
      <c r="I79" s="8">
        <v>1.0</v>
      </c>
      <c r="J79" s="8">
        <v>1.0</v>
      </c>
      <c r="K79" s="8">
        <v>1.0</v>
      </c>
    </row>
    <row r="80" ht="14.25" customHeight="1">
      <c r="A80" s="3" t="str">
        <f>parametros_manuales!$B$41</f>
        <v>Control de calidad — Ensayo de pérdidas</v>
      </c>
      <c r="B80" s="8">
        <v>1.0</v>
      </c>
      <c r="C80" s="8">
        <v>1.0</v>
      </c>
      <c r="D80" s="8">
        <v>1.0</v>
      </c>
      <c r="E80" s="8">
        <v>1.0</v>
      </c>
      <c r="F80" s="8">
        <v>1.0</v>
      </c>
      <c r="G80" s="8">
        <v>1.0</v>
      </c>
      <c r="H80" s="8">
        <v>1.0</v>
      </c>
      <c r="I80" s="8">
        <v>1.0</v>
      </c>
      <c r="J80" s="8">
        <v>1.0</v>
      </c>
      <c r="K80" s="8">
        <v>2.0</v>
      </c>
    </row>
    <row r="81" ht="14.25" customHeight="1">
      <c r="A81" s="3" t="str">
        <f>parametros_manuales!$B$42</f>
        <v>Etiquetado</v>
      </c>
      <c r="B81" s="8">
        <v>1.0</v>
      </c>
      <c r="C81" s="8">
        <v>1.0</v>
      </c>
      <c r="D81" s="8">
        <v>1.0</v>
      </c>
      <c r="E81" s="8">
        <v>1.0</v>
      </c>
      <c r="F81" s="8">
        <v>1.0</v>
      </c>
      <c r="G81" s="8">
        <v>1.0</v>
      </c>
      <c r="H81" s="8">
        <v>1.0</v>
      </c>
      <c r="I81" s="8">
        <v>1.0</v>
      </c>
      <c r="J81" s="8">
        <v>1.0</v>
      </c>
      <c r="K81" s="8">
        <v>1.0</v>
      </c>
    </row>
    <row r="82" ht="14.25" customHeight="1">
      <c r="A82" s="3" t="str">
        <f>parametros_manuales!$B$43</f>
        <v>Embalaje y paletizado</v>
      </c>
      <c r="B82" s="8">
        <v>1.0</v>
      </c>
      <c r="C82" s="8">
        <v>1.0</v>
      </c>
      <c r="D82" s="8">
        <v>1.0</v>
      </c>
      <c r="E82" s="8">
        <v>1.0</v>
      </c>
      <c r="F82" s="8">
        <v>1.0</v>
      </c>
      <c r="G82" s="8">
        <v>1.0</v>
      </c>
      <c r="H82" s="8">
        <v>1.0</v>
      </c>
      <c r="I82" s="8">
        <v>2.0</v>
      </c>
      <c r="J82" s="8">
        <v>1.0</v>
      </c>
      <c r="K82" s="8">
        <v>1.0</v>
      </c>
    </row>
    <row r="83" ht="14.25" customHeight="1">
      <c r="A83" s="9" t="s">
        <v>173</v>
      </c>
      <c r="B83" s="54">
        <f t="shared" ref="B83:K83" si="3">MAX(B58:B82)</f>
        <v>1</v>
      </c>
      <c r="C83" s="54">
        <f t="shared" si="3"/>
        <v>1</v>
      </c>
      <c r="D83" s="54">
        <f t="shared" si="3"/>
        <v>1</v>
      </c>
      <c r="E83" s="54">
        <f t="shared" si="3"/>
        <v>1</v>
      </c>
      <c r="F83" s="54">
        <f t="shared" si="3"/>
        <v>1</v>
      </c>
      <c r="G83" s="54">
        <f t="shared" si="3"/>
        <v>1</v>
      </c>
      <c r="H83" s="54">
        <f t="shared" si="3"/>
        <v>2</v>
      </c>
      <c r="I83" s="54">
        <f t="shared" si="3"/>
        <v>2</v>
      </c>
      <c r="J83" s="54">
        <f t="shared" si="3"/>
        <v>2</v>
      </c>
      <c r="K83" s="54">
        <f t="shared" si="3"/>
        <v>2</v>
      </c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14" width="9.0"/>
    <col customWidth="1" min="15" max="16" width="12.0"/>
    <col customWidth="1" min="17" max="17" width="9.0"/>
    <col customWidth="1" min="18" max="19" width="8.57"/>
  </cols>
  <sheetData>
    <row r="1" ht="14.25" customHeight="1">
      <c r="A1" s="1" t="s">
        <v>10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11</v>
      </c>
      <c r="G1" s="1" t="s">
        <v>12</v>
      </c>
      <c r="H1" s="1" t="s">
        <v>14</v>
      </c>
      <c r="I1" s="1" t="s">
        <v>15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S1" s="52" t="s">
        <v>168</v>
      </c>
    </row>
    <row r="2" ht="14.25" customHeight="1">
      <c r="A2" s="3" t="str">
        <f>parametros_manuales!$B$19</f>
        <v>Recepción de materia prima</v>
      </c>
      <c r="B2" s="4">
        <f>(parametros_manuales!$D$19*(datos_base!$B$2+IF(parametros_manuales!$H$19="Todos",datos_base!$B$9,0))*parametros_manuales!$B$95+parametros_manuales!$E$19*(datos_base!$B$3+IF(parametros_manuales!$H$19="Todos",datos_base!$B$10,0))*parametros_manuales!$B$100+parametros_manuales!$F$19*(datos_base!$B$4+IF(parametros_manuales!$H$19="Todos",datos_base!$B$11,0))*parametros_manuales!$B$105+parametros_manuales!$G$19*(datos_base!$B$5+IF(parametros_manuales!$H$19="Todos",datos_base!$B$12,0))*parametros_manuales!$B$110)*parametros_manuales!$I$19*parametros_manuales!$J$19</f>
        <v>613.98</v>
      </c>
      <c r="C2" s="4">
        <f>(parametros_manuales!$D$19*(datos_base!$B$2+IF(parametros_manuales!$H$19="Todos",datos_base!$B$9,0))*parametros_manuales!$C$95+parametros_manuales!$E$19*(datos_base!$B$3+IF(parametros_manuales!$H$19="Todos",datos_base!$B$10,0))*parametros_manuales!$C$100+parametros_manuales!$F$19*(datos_base!$B$4+IF(parametros_manuales!$H$19="Todos",datos_base!$B$11,0))*parametros_manuales!$C$105+parametros_manuales!$G$19*(datos_base!$B$5+IF(parametros_manuales!$H$19="Todos",datos_base!$B$12,0))*parametros_manuales!$C$110)*parametros_manuales!$I$19*parametros_manuales!$J$19</f>
        <v>587.55</v>
      </c>
      <c r="D2" s="4">
        <f>(parametros_manuales!$D$19*(datos_base!$B$2+IF(parametros_manuales!$H$19="Todos",datos_base!$B$9,0))*parametros_manuales!$D$95+parametros_manuales!$E$19*(datos_base!$B$3+IF(parametros_manuales!$H$19="Todos",datos_base!$B$10,0))*parametros_manuales!$D$100+parametros_manuales!$F$19*(datos_base!$B$4+IF(parametros_manuales!$H$19="Todos",datos_base!$B$11,0))*parametros_manuales!$D$105+parametros_manuales!$G$19*(datos_base!$B$5+IF(parametros_manuales!$H$19="Todos",datos_base!$B$12,0))*parametros_manuales!$D$110)*parametros_manuales!$I$19*parametros_manuales!$J$19</f>
        <v>558.975</v>
      </c>
      <c r="E2" s="4">
        <f>(parametros_manuales!$D$19*(datos_base!$B$2+IF(parametros_manuales!$H$19="Todos",datos_base!$B$9,0))*parametros_manuales!$E$95+parametros_manuales!$E$19*(datos_base!$B$3+IF(parametros_manuales!$H$19="Todos",datos_base!$B$10,0))*parametros_manuales!$E$100+parametros_manuales!$F$19*(datos_base!$B$4+IF(parametros_manuales!$H$19="Todos",datos_base!$B$11,0))*parametros_manuales!$E$105+parametros_manuales!$G$19*(datos_base!$B$5+IF(parametros_manuales!$H$19="Todos",datos_base!$B$12,0))*parametros_manuales!$E$110)*parametros_manuales!$I$19*parametros_manuales!$J$19</f>
        <v>538.08</v>
      </c>
      <c r="F2" s="4">
        <f>(parametros_manuales!$D$19*(datos_base!$B$2+IF(parametros_manuales!$H$19="Todos",datos_base!$B$9,0))*parametros_manuales!$F$95+parametros_manuales!$E$19*(datos_base!$B$3+IF(parametros_manuales!$H$19="Todos",datos_base!$B$10,0))*parametros_manuales!$F$100+parametros_manuales!$F$19*(datos_base!$B$4+IF(parametros_manuales!$H$19="Todos",datos_base!$B$11,0))*parametros_manuales!$F$105+parametros_manuales!$G$19*(datos_base!$B$5+IF(parametros_manuales!$H$19="Todos",datos_base!$B$12,0))*parametros_manuales!$F$110)*parametros_manuales!$I$19*parametros_manuales!$J$19</f>
        <v>503.97</v>
      </c>
      <c r="G2" s="4">
        <f>(parametros_manuales!$D$19*(datos_base!$B$2+IF(parametros_manuales!$H$19="Todos",datos_base!$B$9,0))*parametros_manuales!$G$95+parametros_manuales!$E$19*(datos_base!$B$3+IF(parametros_manuales!$H$19="Todos",datos_base!$B$10,0))*parametros_manuales!$G$100+parametros_manuales!$F$19*(datos_base!$B$4+IF(parametros_manuales!$H$19="Todos",datos_base!$B$11,0))*parametros_manuales!$G$105+parametros_manuales!$G$19*(datos_base!$B$5+IF(parametros_manuales!$H$19="Todos",datos_base!$B$12,0))*parametros_manuales!$G$110)*parametros_manuales!$I$19*parametros_manuales!$J$19</f>
        <v>490.755</v>
      </c>
      <c r="H2" s="4">
        <f>(parametros_manuales!$D$19*(datos_base!$B$2+IF(parametros_manuales!$H$19="Todos",datos_base!$B$9,0))*parametros_manuales!$H$95+parametros_manuales!$E$19*(datos_base!$B$3+IF(parametros_manuales!$H$19="Todos",datos_base!$B$10,0))*parametros_manuales!$H$100+parametros_manuales!$F$19*(datos_base!$B$4+IF(parametros_manuales!$H$19="Todos",datos_base!$B$11,0))*parametros_manuales!$H$105+parametros_manuales!$G$19*(datos_base!$B$5+IF(parametros_manuales!$H$19="Todos",datos_base!$B$12,0))*parametros_manuales!$H$110)*parametros_manuales!$I$19*parametros_manuales!$J$19</f>
        <v>524.865</v>
      </c>
      <c r="I2" s="4">
        <f>(parametros_manuales!$D$19*(datos_base!$B$2+IF(parametros_manuales!$H$19="Todos",datos_base!$B$9,0))*parametros_manuales!$I$95+parametros_manuales!$E$19*(datos_base!$B$3+IF(parametros_manuales!$H$19="Todos",datos_base!$B$10,0))*parametros_manuales!$I$100+parametros_manuales!$F$19*(datos_base!$B$4+IF(parametros_manuales!$H$19="Todos",datos_base!$B$11,0))*parametros_manuales!$I$105+parametros_manuales!$G$19*(datos_base!$B$5+IF(parametros_manuales!$H$19="Todos",datos_base!$B$12,0))*parametros_manuales!$I$110)*parametros_manuales!$I$19*parametros_manuales!$J$19</f>
        <v>587.55</v>
      </c>
      <c r="J2" s="4">
        <f>(parametros_manuales!$D$19*(datos_base!$B$2+IF(parametros_manuales!$H$19="Todos",datos_base!$B$9,0))*parametros_manuales!$J$95+parametros_manuales!$E$19*(datos_base!$B$3+IF(parametros_manuales!$H$19="Todos",datos_base!$B$10,0))*parametros_manuales!$J$100+parametros_manuales!$F$19*(datos_base!$B$4+IF(parametros_manuales!$H$19="Todos",datos_base!$B$11,0))*parametros_manuales!$J$105+parametros_manuales!$G$19*(datos_base!$B$5+IF(parametros_manuales!$H$19="Todos",datos_base!$B$12,0))*parametros_manuales!$J$110)*parametros_manuales!$I$19*parametros_manuales!$J$19</f>
        <v>587.55</v>
      </c>
      <c r="K2" s="4">
        <f>(parametros_manuales!$D$19*(datos_base!$B$2+IF(parametros_manuales!$H$19="Todos",datos_base!$B$9,0))*parametros_manuales!$K$95+parametros_manuales!$E$19*(datos_base!$B$3+IF(parametros_manuales!$H$19="Todos",datos_base!$B$10,0))*parametros_manuales!$K$100+parametros_manuales!$F$19*(datos_base!$B$4+IF(parametros_manuales!$H$19="Todos",datos_base!$B$11,0))*parametros_manuales!$K$105+parametros_manuales!$G$19*(datos_base!$B$5+IF(parametros_manuales!$H$19="Todos",datos_base!$B$12,0))*parametros_manuales!$K$110)*parametros_manuales!$I$19*parametros_manuales!$J$19</f>
        <v>600.765</v>
      </c>
      <c r="L2" s="4">
        <f>(parametros_manuales!$D$19*(datos_base!$B$2+IF(parametros_manuales!$H$19="Todos",datos_base!$B$9,0))*parametros_manuales!$L$95+parametros_manuales!$E$19*(datos_base!$B$3+IF(parametros_manuales!$H$19="Todos",datos_base!$B$10,0))*parametros_manuales!$L$100+parametros_manuales!$F$19*(datos_base!$B$4+IF(parametros_manuales!$H$19="Todos",datos_base!$B$11,0))*parametros_manuales!$L$105+parametros_manuales!$G$19*(datos_base!$B$5+IF(parametros_manuales!$H$19="Todos",datos_base!$B$12,0))*parametros_manuales!$L$110)*parametros_manuales!$I$19*parametros_manuales!$J$19</f>
        <v>613.98</v>
      </c>
      <c r="M2" s="4">
        <f>(parametros_manuales!$D$19*(datos_base!$B$2+IF(parametros_manuales!$H$19="Todos",datos_base!$B$9,0))*parametros_manuales!$M$95+parametros_manuales!$E$19*(datos_base!$B$3+IF(parametros_manuales!$H$19="Todos",datos_base!$B$10,0))*parametros_manuales!$M$100+parametros_manuales!$F$19*(datos_base!$B$4+IF(parametros_manuales!$H$19="Todos",datos_base!$B$11,0))*parametros_manuales!$M$105+parametros_manuales!$G$19*(datos_base!$B$5+IF(parametros_manuales!$H$19="Todos",datos_base!$B$12,0))*parametros_manuales!$M$110)*parametros_manuales!$I$19*parametros_manuales!$J$19</f>
        <v>613.98</v>
      </c>
      <c r="N2" s="4">
        <f t="shared" ref="N2:N26" si="1">SUM(B2:M2)</f>
        <v>6822</v>
      </c>
      <c r="O2" s="4">
        <f t="shared" ref="O2:O26" si="2">MAX(B2:M2)</f>
        <v>613.98</v>
      </c>
      <c r="P2" s="27">
        <f>O2/(parametros_manuales!$B$7)</f>
        <v>4.0932</v>
      </c>
      <c r="Q2" s="3" t="str">
        <f t="shared" ref="Q2:Q26" si="3">IF(O2=0,"-",INDEX($B$1:$M$1,MATCH(O2,B2:M2,0)))</f>
        <v>Ene</v>
      </c>
    </row>
    <row r="3" ht="14.25" customHeight="1">
      <c r="A3" s="3" t="str">
        <f>parametros_manuales!$B$20</f>
        <v>Corte de chapa (guillotina) — 2,5 a 10 kg</v>
      </c>
      <c r="B3" s="4">
        <f>(parametros_manuales!$D$20*(datos_base!$B$2+IF(parametros_manuales!$H$20="Todos",datos_base!$B$9,0))*parametros_manuales!$B$95+parametros_manuales!$E$20*(datos_base!$B$3+IF(parametros_manuales!$H$20="Todos",datos_base!$B$10,0))*parametros_manuales!$B$100+parametros_manuales!$F$20*(datos_base!$B$4+IF(parametros_manuales!$H$20="Todos",datos_base!$B$11,0))*parametros_manuales!$B$105+parametros_manuales!$G$20*(datos_base!$B$5+IF(parametros_manuales!$H$20="Todos",datos_base!$B$12,0))*parametros_manuales!$B$110)*parametros_manuales!$I$20*parametros_manuales!$J$20</f>
        <v>237.87</v>
      </c>
      <c r="C3" s="4">
        <f>(parametros_manuales!$D$20*(datos_base!$B$2+IF(parametros_manuales!$H$20="Todos",datos_base!$B$9,0))*parametros_manuales!$C$95+parametros_manuales!$E$20*(datos_base!$B$3+IF(parametros_manuales!$H$20="Todos",datos_base!$B$10,0))*parametros_manuales!$C$100+parametros_manuales!$F$20*(datos_base!$B$4+IF(parametros_manuales!$H$20="Todos",datos_base!$B$11,0))*parametros_manuales!$C$105+parametros_manuales!$G$20*(datos_base!$B$5+IF(parametros_manuales!$H$20="Todos",datos_base!$B$12,0))*parametros_manuales!$C$110)*parametros_manuales!$I$20*parametros_manuales!$J$20</f>
        <v>211.44</v>
      </c>
      <c r="D3" s="4">
        <f>(parametros_manuales!$D$20*(datos_base!$B$2+IF(parametros_manuales!$H$20="Todos",datos_base!$B$9,0))*parametros_manuales!$D$95+parametros_manuales!$E$20*(datos_base!$B$3+IF(parametros_manuales!$H$20="Todos",datos_base!$B$10,0))*parametros_manuales!$D$100+parametros_manuales!$F$20*(datos_base!$B$4+IF(parametros_manuales!$H$20="Todos",datos_base!$B$11,0))*parametros_manuales!$D$105+parametros_manuales!$G$20*(datos_base!$B$5+IF(parametros_manuales!$H$20="Todos",datos_base!$B$12,0))*parametros_manuales!$D$110)*parametros_manuales!$I$20*parametros_manuales!$J$20</f>
        <v>224.655</v>
      </c>
      <c r="E3" s="4">
        <f>(parametros_manuales!$D$20*(datos_base!$B$2+IF(parametros_manuales!$H$20="Todos",datos_base!$B$9,0))*parametros_manuales!$E$95+parametros_manuales!$E$20*(datos_base!$B$3+IF(parametros_manuales!$H$20="Todos",datos_base!$B$10,0))*parametros_manuales!$E$100+parametros_manuales!$F$20*(datos_base!$B$4+IF(parametros_manuales!$H$20="Todos",datos_base!$B$11,0))*parametros_manuales!$E$105+parametros_manuales!$G$20*(datos_base!$B$5+IF(parametros_manuales!$H$20="Todos",datos_base!$B$12,0))*parametros_manuales!$E$110)*parametros_manuales!$I$20*parametros_manuales!$J$20</f>
        <v>224.655</v>
      </c>
      <c r="F3" s="4">
        <f>(parametros_manuales!$D$20*(datos_base!$B$2+IF(parametros_manuales!$H$20="Todos",datos_base!$B$9,0))*parametros_manuales!$F$95+parametros_manuales!$E$20*(datos_base!$B$3+IF(parametros_manuales!$H$20="Todos",datos_base!$B$10,0))*parametros_manuales!$F$100+parametros_manuales!$F$20*(datos_base!$B$4+IF(parametros_manuales!$H$20="Todos",datos_base!$B$11,0))*parametros_manuales!$F$105+parametros_manuales!$G$20*(datos_base!$B$5+IF(parametros_manuales!$H$20="Todos",datos_base!$B$12,0))*parametros_manuales!$F$110)*parametros_manuales!$I$20*parametros_manuales!$J$20</f>
        <v>211.44</v>
      </c>
      <c r="G3" s="4">
        <f>(parametros_manuales!$D$20*(datos_base!$B$2+IF(parametros_manuales!$H$20="Todos",datos_base!$B$9,0))*parametros_manuales!$G$95+parametros_manuales!$E$20*(datos_base!$B$3+IF(parametros_manuales!$H$20="Todos",datos_base!$B$10,0))*parametros_manuales!$G$100+parametros_manuales!$F$20*(datos_base!$B$4+IF(parametros_manuales!$H$20="Todos",datos_base!$B$11,0))*parametros_manuales!$G$105+parametros_manuales!$G$20*(datos_base!$B$5+IF(parametros_manuales!$H$20="Todos",datos_base!$B$12,0))*parametros_manuales!$G$110)*parametros_manuales!$I$20*parametros_manuales!$J$20</f>
        <v>198.225</v>
      </c>
      <c r="H3" s="4">
        <f>(parametros_manuales!$D$20*(datos_base!$B$2+IF(parametros_manuales!$H$20="Todos",datos_base!$B$9,0))*parametros_manuales!$H$95+parametros_manuales!$E$20*(datos_base!$B$3+IF(parametros_manuales!$H$20="Todos",datos_base!$B$10,0))*parametros_manuales!$H$100+parametros_manuales!$F$20*(datos_base!$B$4+IF(parametros_manuales!$H$20="Todos",datos_base!$B$11,0))*parametros_manuales!$H$105+parametros_manuales!$G$20*(datos_base!$B$5+IF(parametros_manuales!$H$20="Todos",datos_base!$B$12,0))*parametros_manuales!$H$110)*parametros_manuales!$I$20*parametros_manuales!$J$20</f>
        <v>211.44</v>
      </c>
      <c r="I3" s="4">
        <f>(parametros_manuales!$D$20*(datos_base!$B$2+IF(parametros_manuales!$H$20="Todos",datos_base!$B$9,0))*parametros_manuales!$I$95+parametros_manuales!$E$20*(datos_base!$B$3+IF(parametros_manuales!$H$20="Todos",datos_base!$B$10,0))*parametros_manuales!$I$100+parametros_manuales!$F$20*(datos_base!$B$4+IF(parametros_manuales!$H$20="Todos",datos_base!$B$11,0))*parametros_manuales!$I$105+parametros_manuales!$G$20*(datos_base!$B$5+IF(parametros_manuales!$H$20="Todos",datos_base!$B$12,0))*parametros_manuales!$I$110)*parametros_manuales!$I$20*parametros_manuales!$J$20</f>
        <v>211.44</v>
      </c>
      <c r="J3" s="4">
        <f>(parametros_manuales!$D$20*(datos_base!$B$2+IF(parametros_manuales!$H$20="Todos",datos_base!$B$9,0))*parametros_manuales!$J$95+parametros_manuales!$E$20*(datos_base!$B$3+IF(parametros_manuales!$H$20="Todos",datos_base!$B$10,0))*parametros_manuales!$J$100+parametros_manuales!$F$20*(datos_base!$B$4+IF(parametros_manuales!$H$20="Todos",datos_base!$B$11,0))*parametros_manuales!$J$105+parametros_manuales!$G$20*(datos_base!$B$5+IF(parametros_manuales!$H$20="Todos",datos_base!$B$12,0))*parametros_manuales!$J$110)*parametros_manuales!$I$20*parametros_manuales!$J$20</f>
        <v>211.44</v>
      </c>
      <c r="K3" s="4">
        <f>(parametros_manuales!$D$20*(datos_base!$B$2+IF(parametros_manuales!$H$20="Todos",datos_base!$B$9,0))*parametros_manuales!$K$95+parametros_manuales!$E$20*(datos_base!$B$3+IF(parametros_manuales!$H$20="Todos",datos_base!$B$10,0))*parametros_manuales!$K$100+parametros_manuales!$F$20*(datos_base!$B$4+IF(parametros_manuales!$H$20="Todos",datos_base!$B$11,0))*parametros_manuales!$K$105+parametros_manuales!$G$20*(datos_base!$B$5+IF(parametros_manuales!$H$20="Todos",datos_base!$B$12,0))*parametros_manuales!$K$110)*parametros_manuales!$I$20*parametros_manuales!$J$20</f>
        <v>224.655</v>
      </c>
      <c r="L3" s="4">
        <f>(parametros_manuales!$D$20*(datos_base!$B$2+IF(parametros_manuales!$H$20="Todos",datos_base!$B$9,0))*parametros_manuales!$L$95+parametros_manuales!$E$20*(datos_base!$B$3+IF(parametros_manuales!$H$20="Todos",datos_base!$B$10,0))*parametros_manuales!$L$100+parametros_manuales!$F$20*(datos_base!$B$4+IF(parametros_manuales!$H$20="Todos",datos_base!$B$11,0))*parametros_manuales!$L$105+parametros_manuales!$G$20*(datos_base!$B$5+IF(parametros_manuales!$H$20="Todos",datos_base!$B$12,0))*parametros_manuales!$L$110)*parametros_manuales!$I$20*parametros_manuales!$J$20</f>
        <v>237.87</v>
      </c>
      <c r="M3" s="4">
        <f>(parametros_manuales!$D$20*(datos_base!$B$2+IF(parametros_manuales!$H$20="Todos",datos_base!$B$9,0))*parametros_manuales!$M$95+parametros_manuales!$E$20*(datos_base!$B$3+IF(parametros_manuales!$H$20="Todos",datos_base!$B$10,0))*parametros_manuales!$M$100+parametros_manuales!$F$20*(datos_base!$B$4+IF(parametros_manuales!$H$20="Todos",datos_base!$B$11,0))*parametros_manuales!$M$105+parametros_manuales!$G$20*(datos_base!$B$5+IF(parametros_manuales!$H$20="Todos",datos_base!$B$12,0))*parametros_manuales!$M$110)*parametros_manuales!$I$20*parametros_manuales!$J$20</f>
        <v>237.87</v>
      </c>
      <c r="N3" s="4">
        <f t="shared" si="1"/>
        <v>2643</v>
      </c>
      <c r="O3" s="4">
        <f t="shared" si="2"/>
        <v>237.87</v>
      </c>
      <c r="P3" s="27">
        <f>O3/(parametros_manuales!$B$7)</f>
        <v>1.5858</v>
      </c>
      <c r="Q3" s="3" t="str">
        <f t="shared" si="3"/>
        <v>Ene</v>
      </c>
    </row>
    <row r="4" ht="14.25" customHeight="1">
      <c r="A4" s="3" t="str">
        <f>parametros_manuales!$B$21</f>
        <v>Corte de tubo — 1 kg</v>
      </c>
      <c r="B4" s="4">
        <f>(parametros_manuales!$D$21*(datos_base!$B$2+IF(parametros_manuales!$H$21="Todos",datos_base!$B$9,0))*parametros_manuales!$B$95+parametros_manuales!$E$21*(datos_base!$B$3+IF(parametros_manuales!$H$21="Todos",datos_base!$B$10,0))*parametros_manuales!$B$100+parametros_manuales!$F$21*(datos_base!$B$4+IF(parametros_manuales!$H$21="Todos",datos_base!$B$11,0))*parametros_manuales!$B$105+parametros_manuales!$G$21*(datos_base!$B$5+IF(parametros_manuales!$H$21="Todos",datos_base!$B$12,0))*parametros_manuales!$B$110)*parametros_manuales!$I$21*parametros_manuales!$J$21</f>
        <v>376.11</v>
      </c>
      <c r="C4" s="4">
        <f>(parametros_manuales!$D$21*(datos_base!$B$2+IF(parametros_manuales!$H$21="Todos",datos_base!$B$9,0))*parametros_manuales!$C$95+parametros_manuales!$E$21*(datos_base!$B$3+IF(parametros_manuales!$H$21="Todos",datos_base!$B$10,0))*parametros_manuales!$C$100+parametros_manuales!$F$21*(datos_base!$B$4+IF(parametros_manuales!$H$21="Todos",datos_base!$B$11,0))*parametros_manuales!$C$105+parametros_manuales!$G$21*(datos_base!$B$5+IF(parametros_manuales!$H$21="Todos",datos_base!$B$12,0))*parametros_manuales!$C$110)*parametros_manuales!$I$21*parametros_manuales!$J$21</f>
        <v>376.11</v>
      </c>
      <c r="D4" s="4">
        <f>(parametros_manuales!$D$21*(datos_base!$B$2+IF(parametros_manuales!$H$21="Todos",datos_base!$B$9,0))*parametros_manuales!$D$95+parametros_manuales!$E$21*(datos_base!$B$3+IF(parametros_manuales!$H$21="Todos",datos_base!$B$10,0))*parametros_manuales!$D$100+parametros_manuales!$F$21*(datos_base!$B$4+IF(parametros_manuales!$H$21="Todos",datos_base!$B$11,0))*parametros_manuales!$D$105+parametros_manuales!$G$21*(datos_base!$B$5+IF(parametros_manuales!$H$21="Todos",datos_base!$B$12,0))*parametros_manuales!$D$110)*parametros_manuales!$I$21*parametros_manuales!$J$21</f>
        <v>334.32</v>
      </c>
      <c r="E4" s="4">
        <f>(parametros_manuales!$D$21*(datos_base!$B$2+IF(parametros_manuales!$H$21="Todos",datos_base!$B$9,0))*parametros_manuales!$E$95+parametros_manuales!$E$21*(datos_base!$B$3+IF(parametros_manuales!$H$21="Todos",datos_base!$B$10,0))*parametros_manuales!$E$100+parametros_manuales!$F$21*(datos_base!$B$4+IF(parametros_manuales!$H$21="Todos",datos_base!$B$11,0))*parametros_manuales!$E$105+parametros_manuales!$G$21*(datos_base!$B$5+IF(parametros_manuales!$H$21="Todos",datos_base!$B$12,0))*parametros_manuales!$E$110)*parametros_manuales!$I$21*parametros_manuales!$J$21</f>
        <v>313.425</v>
      </c>
      <c r="F4" s="4">
        <f>(parametros_manuales!$D$21*(datos_base!$B$2+IF(parametros_manuales!$H$21="Todos",datos_base!$B$9,0))*parametros_manuales!$F$95+parametros_manuales!$E$21*(datos_base!$B$3+IF(parametros_manuales!$H$21="Todos",datos_base!$B$10,0))*parametros_manuales!$F$100+parametros_manuales!$F$21*(datos_base!$B$4+IF(parametros_manuales!$H$21="Todos",datos_base!$B$11,0))*parametros_manuales!$F$105+parametros_manuales!$G$21*(datos_base!$B$5+IF(parametros_manuales!$H$21="Todos",datos_base!$B$12,0))*parametros_manuales!$F$110)*parametros_manuales!$I$21*parametros_manuales!$J$21</f>
        <v>292.53</v>
      </c>
      <c r="G4" s="4">
        <f>(parametros_manuales!$D$21*(datos_base!$B$2+IF(parametros_manuales!$H$21="Todos",datos_base!$B$9,0))*parametros_manuales!$G$95+parametros_manuales!$E$21*(datos_base!$B$3+IF(parametros_manuales!$H$21="Todos",datos_base!$B$10,0))*parametros_manuales!$G$100+parametros_manuales!$F$21*(datos_base!$B$4+IF(parametros_manuales!$H$21="Todos",datos_base!$B$11,0))*parametros_manuales!$G$105+parametros_manuales!$G$21*(datos_base!$B$5+IF(parametros_manuales!$H$21="Todos",datos_base!$B$12,0))*parametros_manuales!$G$110)*parametros_manuales!$I$21*parametros_manuales!$J$21</f>
        <v>292.53</v>
      </c>
      <c r="H4" s="4">
        <f>(parametros_manuales!$D$21*(datos_base!$B$2+IF(parametros_manuales!$H$21="Todos",datos_base!$B$9,0))*parametros_manuales!$H$95+parametros_manuales!$E$21*(datos_base!$B$3+IF(parametros_manuales!$H$21="Todos",datos_base!$B$10,0))*parametros_manuales!$H$100+parametros_manuales!$F$21*(datos_base!$B$4+IF(parametros_manuales!$H$21="Todos",datos_base!$B$11,0))*parametros_manuales!$H$105+parametros_manuales!$G$21*(datos_base!$B$5+IF(parametros_manuales!$H$21="Todos",datos_base!$B$12,0))*parametros_manuales!$H$110)*parametros_manuales!$I$21*parametros_manuales!$J$21</f>
        <v>313.425</v>
      </c>
      <c r="I4" s="4">
        <f>(parametros_manuales!$D$21*(datos_base!$B$2+IF(parametros_manuales!$H$21="Todos",datos_base!$B$9,0))*parametros_manuales!$I$95+parametros_manuales!$E$21*(datos_base!$B$3+IF(parametros_manuales!$H$21="Todos",datos_base!$B$10,0))*parametros_manuales!$I$100+parametros_manuales!$F$21*(datos_base!$B$4+IF(parametros_manuales!$H$21="Todos",datos_base!$B$11,0))*parametros_manuales!$I$105+parametros_manuales!$G$21*(datos_base!$B$5+IF(parametros_manuales!$H$21="Todos",datos_base!$B$12,0))*parametros_manuales!$I$110)*parametros_manuales!$I$21*parametros_manuales!$J$21</f>
        <v>376.11</v>
      </c>
      <c r="J4" s="4">
        <f>(parametros_manuales!$D$21*(datos_base!$B$2+IF(parametros_manuales!$H$21="Todos",datos_base!$B$9,0))*parametros_manuales!$J$95+parametros_manuales!$E$21*(datos_base!$B$3+IF(parametros_manuales!$H$21="Todos",datos_base!$B$10,0))*parametros_manuales!$J$100+parametros_manuales!$F$21*(datos_base!$B$4+IF(parametros_manuales!$H$21="Todos",datos_base!$B$11,0))*parametros_manuales!$J$105+parametros_manuales!$G$21*(datos_base!$B$5+IF(parametros_manuales!$H$21="Todos",datos_base!$B$12,0))*parametros_manuales!$J$110)*parametros_manuales!$I$21*parametros_manuales!$J$21</f>
        <v>376.11</v>
      </c>
      <c r="K4" s="4">
        <f>(parametros_manuales!$D$21*(datos_base!$B$2+IF(parametros_manuales!$H$21="Todos",datos_base!$B$9,0))*parametros_manuales!$K$95+parametros_manuales!$E$21*(datos_base!$B$3+IF(parametros_manuales!$H$21="Todos",datos_base!$B$10,0))*parametros_manuales!$K$100+parametros_manuales!$F$21*(datos_base!$B$4+IF(parametros_manuales!$H$21="Todos",datos_base!$B$11,0))*parametros_manuales!$K$105+parametros_manuales!$G$21*(datos_base!$B$5+IF(parametros_manuales!$H$21="Todos",datos_base!$B$12,0))*parametros_manuales!$K$110)*parametros_manuales!$I$21*parametros_manuales!$J$21</f>
        <v>376.11</v>
      </c>
      <c r="L4" s="4">
        <f>(parametros_manuales!$D$21*(datos_base!$B$2+IF(parametros_manuales!$H$21="Todos",datos_base!$B$9,0))*parametros_manuales!$L$95+parametros_manuales!$E$21*(datos_base!$B$3+IF(parametros_manuales!$H$21="Todos",datos_base!$B$10,0))*parametros_manuales!$L$100+parametros_manuales!$F$21*(datos_base!$B$4+IF(parametros_manuales!$H$21="Todos",datos_base!$B$11,0))*parametros_manuales!$L$105+parametros_manuales!$G$21*(datos_base!$B$5+IF(parametros_manuales!$H$21="Todos",datos_base!$B$12,0))*parametros_manuales!$L$110)*parametros_manuales!$I$21*parametros_manuales!$J$21</f>
        <v>376.11</v>
      </c>
      <c r="M4" s="4">
        <f>(parametros_manuales!$D$21*(datos_base!$B$2+IF(parametros_manuales!$H$21="Todos",datos_base!$B$9,0))*parametros_manuales!$M$95+parametros_manuales!$E$21*(datos_base!$B$3+IF(parametros_manuales!$H$21="Todos",datos_base!$B$10,0))*parametros_manuales!$M$100+parametros_manuales!$F$21*(datos_base!$B$4+IF(parametros_manuales!$H$21="Todos",datos_base!$B$11,0))*parametros_manuales!$M$105+parametros_manuales!$G$21*(datos_base!$B$5+IF(parametros_manuales!$H$21="Todos",datos_base!$B$12,0))*parametros_manuales!$M$110)*parametros_manuales!$I$21*parametros_manuales!$J$21</f>
        <v>376.11</v>
      </c>
      <c r="N4" s="4">
        <f t="shared" si="1"/>
        <v>4179</v>
      </c>
      <c r="O4" s="4">
        <f t="shared" si="2"/>
        <v>376.11</v>
      </c>
      <c r="P4" s="27">
        <f>O4/(parametros_manuales!$B$7)</f>
        <v>2.5074</v>
      </c>
      <c r="Q4" s="3" t="str">
        <f t="shared" si="3"/>
        <v>Ene</v>
      </c>
    </row>
    <row r="5" ht="14.25" customHeight="1">
      <c r="A5" s="3" t="str">
        <f>parametros_manuales!$B$22</f>
        <v>Corte de disco y embutido (cúpula y fondo)</v>
      </c>
      <c r="B5" s="4">
        <f>(parametros_manuales!$D$22*(datos_base!$B$2+IF(parametros_manuales!$H$22="Todos",datos_base!$B$9,0))*parametros_manuales!$B$95+parametros_manuales!$E$22*(datos_base!$B$3+IF(parametros_manuales!$H$22="Todos",datos_base!$B$10,0))*parametros_manuales!$B$100+parametros_manuales!$F$22*(datos_base!$B$4+IF(parametros_manuales!$H$22="Todos",datos_base!$B$11,0))*parametros_manuales!$B$105+parametros_manuales!$G$22*(datos_base!$B$5+IF(parametros_manuales!$H$22="Todos",datos_base!$B$12,0))*parametros_manuales!$B$110)*parametros_manuales!$I$22*parametros_manuales!$J$22</f>
        <v>1227.96</v>
      </c>
      <c r="C5" s="4">
        <f>(parametros_manuales!$D$22*(datos_base!$B$2+IF(parametros_manuales!$H$22="Todos",datos_base!$B$9,0))*parametros_manuales!$C$95+parametros_manuales!$E$22*(datos_base!$B$3+IF(parametros_manuales!$H$22="Todos",datos_base!$B$10,0))*parametros_manuales!$C$100+parametros_manuales!$F$22*(datos_base!$B$4+IF(parametros_manuales!$H$22="Todos",datos_base!$B$11,0))*parametros_manuales!$C$105+parametros_manuales!$G$22*(datos_base!$B$5+IF(parametros_manuales!$H$22="Todos",datos_base!$B$12,0))*parametros_manuales!$C$110)*parametros_manuales!$I$22*parametros_manuales!$J$22</f>
        <v>1175.1</v>
      </c>
      <c r="D5" s="4">
        <f>(parametros_manuales!$D$22*(datos_base!$B$2+IF(parametros_manuales!$H$22="Todos",datos_base!$B$9,0))*parametros_manuales!$D$95+parametros_manuales!$E$22*(datos_base!$B$3+IF(parametros_manuales!$H$22="Todos",datos_base!$B$10,0))*parametros_manuales!$D$100+parametros_manuales!$F$22*(datos_base!$B$4+IF(parametros_manuales!$H$22="Todos",datos_base!$B$11,0))*parametros_manuales!$D$105+parametros_manuales!$G$22*(datos_base!$B$5+IF(parametros_manuales!$H$22="Todos",datos_base!$B$12,0))*parametros_manuales!$D$110)*parametros_manuales!$I$22*parametros_manuales!$J$22</f>
        <v>1117.95</v>
      </c>
      <c r="E5" s="4">
        <f>(parametros_manuales!$D$22*(datos_base!$B$2+IF(parametros_manuales!$H$22="Todos",datos_base!$B$9,0))*parametros_manuales!$E$95+parametros_manuales!$E$22*(datos_base!$B$3+IF(parametros_manuales!$H$22="Todos",datos_base!$B$10,0))*parametros_manuales!$E$100+parametros_manuales!$F$22*(datos_base!$B$4+IF(parametros_manuales!$H$22="Todos",datos_base!$B$11,0))*parametros_manuales!$E$105+parametros_manuales!$G$22*(datos_base!$B$5+IF(parametros_manuales!$H$22="Todos",datos_base!$B$12,0))*parametros_manuales!$E$110)*parametros_manuales!$I$22*parametros_manuales!$J$22</f>
        <v>1076.16</v>
      </c>
      <c r="F5" s="4">
        <f>(parametros_manuales!$D$22*(datos_base!$B$2+IF(parametros_manuales!$H$22="Todos",datos_base!$B$9,0))*parametros_manuales!$F$95+parametros_manuales!$E$22*(datos_base!$B$3+IF(parametros_manuales!$H$22="Todos",datos_base!$B$10,0))*parametros_manuales!$F$100+parametros_manuales!$F$22*(datos_base!$B$4+IF(parametros_manuales!$H$22="Todos",datos_base!$B$11,0))*parametros_manuales!$F$105+parametros_manuales!$G$22*(datos_base!$B$5+IF(parametros_manuales!$H$22="Todos",datos_base!$B$12,0))*parametros_manuales!$F$110)*parametros_manuales!$I$22*parametros_manuales!$J$22</f>
        <v>1007.94</v>
      </c>
      <c r="G5" s="4">
        <f>(parametros_manuales!$D$22*(datos_base!$B$2+IF(parametros_manuales!$H$22="Todos",datos_base!$B$9,0))*parametros_manuales!$G$95+parametros_manuales!$E$22*(datos_base!$B$3+IF(parametros_manuales!$H$22="Todos",datos_base!$B$10,0))*parametros_manuales!$G$100+parametros_manuales!$F$22*(datos_base!$B$4+IF(parametros_manuales!$H$22="Todos",datos_base!$B$11,0))*parametros_manuales!$G$105+parametros_manuales!$G$22*(datos_base!$B$5+IF(parametros_manuales!$H$22="Todos",datos_base!$B$12,0))*parametros_manuales!$G$110)*parametros_manuales!$I$22*parametros_manuales!$J$22</f>
        <v>981.51</v>
      </c>
      <c r="H5" s="4">
        <f>(parametros_manuales!$D$22*(datos_base!$B$2+IF(parametros_manuales!$H$22="Todos",datos_base!$B$9,0))*parametros_manuales!$H$95+parametros_manuales!$E$22*(datos_base!$B$3+IF(parametros_manuales!$H$22="Todos",datos_base!$B$10,0))*parametros_manuales!$H$100+parametros_manuales!$F$22*(datos_base!$B$4+IF(parametros_manuales!$H$22="Todos",datos_base!$B$11,0))*parametros_manuales!$H$105+parametros_manuales!$G$22*(datos_base!$B$5+IF(parametros_manuales!$H$22="Todos",datos_base!$B$12,0))*parametros_manuales!$H$110)*parametros_manuales!$I$22*parametros_manuales!$J$22</f>
        <v>1049.73</v>
      </c>
      <c r="I5" s="4">
        <f>(parametros_manuales!$D$22*(datos_base!$B$2+IF(parametros_manuales!$H$22="Todos",datos_base!$B$9,0))*parametros_manuales!$I$95+parametros_manuales!$E$22*(datos_base!$B$3+IF(parametros_manuales!$H$22="Todos",datos_base!$B$10,0))*parametros_manuales!$I$100+parametros_manuales!$F$22*(datos_base!$B$4+IF(parametros_manuales!$H$22="Todos",datos_base!$B$11,0))*parametros_manuales!$I$105+parametros_manuales!$G$22*(datos_base!$B$5+IF(parametros_manuales!$H$22="Todos",datos_base!$B$12,0))*parametros_manuales!$I$110)*parametros_manuales!$I$22*parametros_manuales!$J$22</f>
        <v>1175.1</v>
      </c>
      <c r="J5" s="4">
        <f>(parametros_manuales!$D$22*(datos_base!$B$2+IF(parametros_manuales!$H$22="Todos",datos_base!$B$9,0))*parametros_manuales!$J$95+parametros_manuales!$E$22*(datos_base!$B$3+IF(parametros_manuales!$H$22="Todos",datos_base!$B$10,0))*parametros_manuales!$J$100+parametros_manuales!$F$22*(datos_base!$B$4+IF(parametros_manuales!$H$22="Todos",datos_base!$B$11,0))*parametros_manuales!$J$105+parametros_manuales!$G$22*(datos_base!$B$5+IF(parametros_manuales!$H$22="Todos",datos_base!$B$12,0))*parametros_manuales!$J$110)*parametros_manuales!$I$22*parametros_manuales!$J$22</f>
        <v>1175.1</v>
      </c>
      <c r="K5" s="4">
        <f>(parametros_manuales!$D$22*(datos_base!$B$2+IF(parametros_manuales!$H$22="Todos",datos_base!$B$9,0))*parametros_manuales!$K$95+parametros_manuales!$E$22*(datos_base!$B$3+IF(parametros_manuales!$H$22="Todos",datos_base!$B$10,0))*parametros_manuales!$K$100+parametros_manuales!$F$22*(datos_base!$B$4+IF(parametros_manuales!$H$22="Todos",datos_base!$B$11,0))*parametros_manuales!$K$105+parametros_manuales!$G$22*(datos_base!$B$5+IF(parametros_manuales!$H$22="Todos",datos_base!$B$12,0))*parametros_manuales!$K$110)*parametros_manuales!$I$22*parametros_manuales!$J$22</f>
        <v>1201.53</v>
      </c>
      <c r="L5" s="4">
        <f>(parametros_manuales!$D$22*(datos_base!$B$2+IF(parametros_manuales!$H$22="Todos",datos_base!$B$9,0))*parametros_manuales!$L$95+parametros_manuales!$E$22*(datos_base!$B$3+IF(parametros_manuales!$H$22="Todos",datos_base!$B$10,0))*parametros_manuales!$L$100+parametros_manuales!$F$22*(datos_base!$B$4+IF(parametros_manuales!$H$22="Todos",datos_base!$B$11,0))*parametros_manuales!$L$105+parametros_manuales!$G$22*(datos_base!$B$5+IF(parametros_manuales!$H$22="Todos",datos_base!$B$12,0))*parametros_manuales!$L$110)*parametros_manuales!$I$22*parametros_manuales!$J$22</f>
        <v>1227.96</v>
      </c>
      <c r="M5" s="4">
        <f>(parametros_manuales!$D$22*(datos_base!$B$2+IF(parametros_manuales!$H$22="Todos",datos_base!$B$9,0))*parametros_manuales!$M$95+parametros_manuales!$E$22*(datos_base!$B$3+IF(parametros_manuales!$H$22="Todos",datos_base!$B$10,0))*parametros_manuales!$M$100+parametros_manuales!$F$22*(datos_base!$B$4+IF(parametros_manuales!$H$22="Todos",datos_base!$B$11,0))*parametros_manuales!$M$105+parametros_manuales!$G$22*(datos_base!$B$5+IF(parametros_manuales!$H$22="Todos",datos_base!$B$12,0))*parametros_manuales!$M$110)*parametros_manuales!$I$22*parametros_manuales!$J$22</f>
        <v>1227.96</v>
      </c>
      <c r="N5" s="4">
        <f t="shared" si="1"/>
        <v>13644</v>
      </c>
      <c r="O5" s="4">
        <f t="shared" si="2"/>
        <v>1227.96</v>
      </c>
      <c r="P5" s="27">
        <f>O5/(parametros_manuales!$B$7)</f>
        <v>8.1864</v>
      </c>
      <c r="Q5" s="3" t="str">
        <f t="shared" si="3"/>
        <v>Ene</v>
      </c>
    </row>
    <row r="6" ht="14.25" customHeight="1">
      <c r="A6" s="3" t="str">
        <f>parametros_manuales!$B$23</f>
        <v>Preparación de cuello</v>
      </c>
      <c r="B6" s="4">
        <f>(parametros_manuales!$D$23*(datos_base!$B$2+IF(parametros_manuales!$H$23="Todos",datos_base!$B$9,0))*parametros_manuales!$B$95+parametros_manuales!$E$23*(datos_base!$B$3+IF(parametros_manuales!$H$23="Todos",datos_base!$B$10,0))*parametros_manuales!$B$100+parametros_manuales!$F$23*(datos_base!$B$4+IF(parametros_manuales!$H$23="Todos",datos_base!$B$11,0))*parametros_manuales!$B$105+parametros_manuales!$G$23*(datos_base!$B$5+IF(parametros_manuales!$H$23="Todos",datos_base!$B$12,0))*parametros_manuales!$B$110)*parametros_manuales!$I$23*parametros_manuales!$J$23</f>
        <v>613.98</v>
      </c>
      <c r="C6" s="4">
        <f>(parametros_manuales!$D$23*(datos_base!$B$2+IF(parametros_manuales!$H$23="Todos",datos_base!$B$9,0))*parametros_manuales!$C$95+parametros_manuales!$E$23*(datos_base!$B$3+IF(parametros_manuales!$H$23="Todos",datos_base!$B$10,0))*parametros_manuales!$C$100+parametros_manuales!$F$23*(datos_base!$B$4+IF(parametros_manuales!$H$23="Todos",datos_base!$B$11,0))*parametros_manuales!$C$105+parametros_manuales!$G$23*(datos_base!$B$5+IF(parametros_manuales!$H$23="Todos",datos_base!$B$12,0))*parametros_manuales!$C$110)*parametros_manuales!$I$23*parametros_manuales!$J$23</f>
        <v>587.55</v>
      </c>
      <c r="D6" s="4">
        <f>(parametros_manuales!$D$23*(datos_base!$B$2+IF(parametros_manuales!$H$23="Todos",datos_base!$B$9,0))*parametros_manuales!$D$95+parametros_manuales!$E$23*(datos_base!$B$3+IF(parametros_manuales!$H$23="Todos",datos_base!$B$10,0))*parametros_manuales!$D$100+parametros_manuales!$F$23*(datos_base!$B$4+IF(parametros_manuales!$H$23="Todos",datos_base!$B$11,0))*parametros_manuales!$D$105+parametros_manuales!$G$23*(datos_base!$B$5+IF(parametros_manuales!$H$23="Todos",datos_base!$B$12,0))*parametros_manuales!$D$110)*parametros_manuales!$I$23*parametros_manuales!$J$23</f>
        <v>558.975</v>
      </c>
      <c r="E6" s="4">
        <f>(parametros_manuales!$D$23*(datos_base!$B$2+IF(parametros_manuales!$H$23="Todos",datos_base!$B$9,0))*parametros_manuales!$E$95+parametros_manuales!$E$23*(datos_base!$B$3+IF(parametros_manuales!$H$23="Todos",datos_base!$B$10,0))*parametros_manuales!$E$100+parametros_manuales!$F$23*(datos_base!$B$4+IF(parametros_manuales!$H$23="Todos",datos_base!$B$11,0))*parametros_manuales!$E$105+parametros_manuales!$G$23*(datos_base!$B$5+IF(parametros_manuales!$H$23="Todos",datos_base!$B$12,0))*parametros_manuales!$E$110)*parametros_manuales!$I$23*parametros_manuales!$J$23</f>
        <v>538.08</v>
      </c>
      <c r="F6" s="4">
        <f>(parametros_manuales!$D$23*(datos_base!$B$2+IF(parametros_manuales!$H$23="Todos",datos_base!$B$9,0))*parametros_manuales!$F$95+parametros_manuales!$E$23*(datos_base!$B$3+IF(parametros_manuales!$H$23="Todos",datos_base!$B$10,0))*parametros_manuales!$F$100+parametros_manuales!$F$23*(datos_base!$B$4+IF(parametros_manuales!$H$23="Todos",datos_base!$B$11,0))*parametros_manuales!$F$105+parametros_manuales!$G$23*(datos_base!$B$5+IF(parametros_manuales!$H$23="Todos",datos_base!$B$12,0))*parametros_manuales!$F$110)*parametros_manuales!$I$23*parametros_manuales!$J$23</f>
        <v>503.97</v>
      </c>
      <c r="G6" s="4">
        <f>(parametros_manuales!$D$23*(datos_base!$B$2+IF(parametros_manuales!$H$23="Todos",datos_base!$B$9,0))*parametros_manuales!$G$95+parametros_manuales!$E$23*(datos_base!$B$3+IF(parametros_manuales!$H$23="Todos",datos_base!$B$10,0))*parametros_manuales!$G$100+parametros_manuales!$F$23*(datos_base!$B$4+IF(parametros_manuales!$H$23="Todos",datos_base!$B$11,0))*parametros_manuales!$G$105+parametros_manuales!$G$23*(datos_base!$B$5+IF(parametros_manuales!$H$23="Todos",datos_base!$B$12,0))*parametros_manuales!$G$110)*parametros_manuales!$I$23*parametros_manuales!$J$23</f>
        <v>490.755</v>
      </c>
      <c r="H6" s="4">
        <f>(parametros_manuales!$D$23*(datos_base!$B$2+IF(parametros_manuales!$H$23="Todos",datos_base!$B$9,0))*parametros_manuales!$H$95+parametros_manuales!$E$23*(datos_base!$B$3+IF(parametros_manuales!$H$23="Todos",datos_base!$B$10,0))*parametros_manuales!$H$100+parametros_manuales!$F$23*(datos_base!$B$4+IF(parametros_manuales!$H$23="Todos",datos_base!$B$11,0))*parametros_manuales!$H$105+parametros_manuales!$G$23*(datos_base!$B$5+IF(parametros_manuales!$H$23="Todos",datos_base!$B$12,0))*parametros_manuales!$H$110)*parametros_manuales!$I$23*parametros_manuales!$J$23</f>
        <v>524.865</v>
      </c>
      <c r="I6" s="4">
        <f>(parametros_manuales!$D$23*(datos_base!$B$2+IF(parametros_manuales!$H$23="Todos",datos_base!$B$9,0))*parametros_manuales!$I$95+parametros_manuales!$E$23*(datos_base!$B$3+IF(parametros_manuales!$H$23="Todos",datos_base!$B$10,0))*parametros_manuales!$I$100+parametros_manuales!$F$23*(datos_base!$B$4+IF(parametros_manuales!$H$23="Todos",datos_base!$B$11,0))*parametros_manuales!$I$105+parametros_manuales!$G$23*(datos_base!$B$5+IF(parametros_manuales!$H$23="Todos",datos_base!$B$12,0))*parametros_manuales!$I$110)*parametros_manuales!$I$23*parametros_manuales!$J$23</f>
        <v>587.55</v>
      </c>
      <c r="J6" s="4">
        <f>(parametros_manuales!$D$23*(datos_base!$B$2+IF(parametros_manuales!$H$23="Todos",datos_base!$B$9,0))*parametros_manuales!$J$95+parametros_manuales!$E$23*(datos_base!$B$3+IF(parametros_manuales!$H$23="Todos",datos_base!$B$10,0))*parametros_manuales!$J$100+parametros_manuales!$F$23*(datos_base!$B$4+IF(parametros_manuales!$H$23="Todos",datos_base!$B$11,0))*parametros_manuales!$J$105+parametros_manuales!$G$23*(datos_base!$B$5+IF(parametros_manuales!$H$23="Todos",datos_base!$B$12,0))*parametros_manuales!$J$110)*parametros_manuales!$I$23*parametros_manuales!$J$23</f>
        <v>587.55</v>
      </c>
      <c r="K6" s="4">
        <f>(parametros_manuales!$D$23*(datos_base!$B$2+IF(parametros_manuales!$H$23="Todos",datos_base!$B$9,0))*parametros_manuales!$K$95+parametros_manuales!$E$23*(datos_base!$B$3+IF(parametros_manuales!$H$23="Todos",datos_base!$B$10,0))*parametros_manuales!$K$100+parametros_manuales!$F$23*(datos_base!$B$4+IF(parametros_manuales!$H$23="Todos",datos_base!$B$11,0))*parametros_manuales!$K$105+parametros_manuales!$G$23*(datos_base!$B$5+IF(parametros_manuales!$H$23="Todos",datos_base!$B$12,0))*parametros_manuales!$K$110)*parametros_manuales!$I$23*parametros_manuales!$J$23</f>
        <v>600.765</v>
      </c>
      <c r="L6" s="4">
        <f>(parametros_manuales!$D$23*(datos_base!$B$2+IF(parametros_manuales!$H$23="Todos",datos_base!$B$9,0))*parametros_manuales!$L$95+parametros_manuales!$E$23*(datos_base!$B$3+IF(parametros_manuales!$H$23="Todos",datos_base!$B$10,0))*parametros_manuales!$L$100+parametros_manuales!$F$23*(datos_base!$B$4+IF(parametros_manuales!$H$23="Todos",datos_base!$B$11,0))*parametros_manuales!$L$105+parametros_manuales!$G$23*(datos_base!$B$5+IF(parametros_manuales!$H$23="Todos",datos_base!$B$12,0))*parametros_manuales!$L$110)*parametros_manuales!$I$23*parametros_manuales!$J$23</f>
        <v>613.98</v>
      </c>
      <c r="M6" s="4">
        <f>(parametros_manuales!$D$23*(datos_base!$B$2+IF(parametros_manuales!$H$23="Todos",datos_base!$B$9,0))*parametros_manuales!$M$95+parametros_manuales!$E$23*(datos_base!$B$3+IF(parametros_manuales!$H$23="Todos",datos_base!$B$10,0))*parametros_manuales!$M$100+parametros_manuales!$F$23*(datos_base!$B$4+IF(parametros_manuales!$H$23="Todos",datos_base!$B$11,0))*parametros_manuales!$M$105+parametros_manuales!$G$23*(datos_base!$B$5+IF(parametros_manuales!$H$23="Todos",datos_base!$B$12,0))*parametros_manuales!$M$110)*parametros_manuales!$I$23*parametros_manuales!$J$23</f>
        <v>613.98</v>
      </c>
      <c r="N6" s="4">
        <f t="shared" si="1"/>
        <v>6822</v>
      </c>
      <c r="O6" s="4">
        <f t="shared" si="2"/>
        <v>613.98</v>
      </c>
      <c r="P6" s="27">
        <f>O6/(parametros_manuales!$B$7)</f>
        <v>4.0932</v>
      </c>
      <c r="Q6" s="3" t="str">
        <f t="shared" si="3"/>
        <v>Ene</v>
      </c>
    </row>
    <row r="7" ht="14.25" customHeight="1">
      <c r="A7" s="3" t="str">
        <f>parametros_manuales!$B$24</f>
        <v>Numerado de cúpula</v>
      </c>
      <c r="B7" s="4">
        <f>(parametros_manuales!$D$24*(datos_base!$B$2+IF(parametros_manuales!$H$24="Todos",datos_base!$B$9,0))*parametros_manuales!$B$95+parametros_manuales!$E$24*(datos_base!$B$3+IF(parametros_manuales!$H$24="Todos",datos_base!$B$10,0))*parametros_manuales!$B$100+parametros_manuales!$F$24*(datos_base!$B$4+IF(parametros_manuales!$H$24="Todos",datos_base!$B$11,0))*parametros_manuales!$B$105+parametros_manuales!$G$24*(datos_base!$B$5+IF(parametros_manuales!$H$24="Todos",datos_base!$B$12,0))*parametros_manuales!$B$110)*parametros_manuales!$I$24*parametros_manuales!$J$24</f>
        <v>613.98</v>
      </c>
      <c r="C7" s="4">
        <f>(parametros_manuales!$D$24*(datos_base!$B$2+IF(parametros_manuales!$H$24="Todos",datos_base!$B$9,0))*parametros_manuales!$C$95+parametros_manuales!$E$24*(datos_base!$B$3+IF(parametros_manuales!$H$24="Todos",datos_base!$B$10,0))*parametros_manuales!$C$100+parametros_manuales!$F$24*(datos_base!$B$4+IF(parametros_manuales!$H$24="Todos",datos_base!$B$11,0))*parametros_manuales!$C$105+parametros_manuales!$G$24*(datos_base!$B$5+IF(parametros_manuales!$H$24="Todos",datos_base!$B$12,0))*parametros_manuales!$C$110)*parametros_manuales!$I$24*parametros_manuales!$J$24</f>
        <v>587.55</v>
      </c>
      <c r="D7" s="4">
        <f>(parametros_manuales!$D$24*(datos_base!$B$2+IF(parametros_manuales!$H$24="Todos",datos_base!$B$9,0))*parametros_manuales!$D$95+parametros_manuales!$E$24*(datos_base!$B$3+IF(parametros_manuales!$H$24="Todos",datos_base!$B$10,0))*parametros_manuales!$D$100+parametros_manuales!$F$24*(datos_base!$B$4+IF(parametros_manuales!$H$24="Todos",datos_base!$B$11,0))*parametros_manuales!$D$105+parametros_manuales!$G$24*(datos_base!$B$5+IF(parametros_manuales!$H$24="Todos",datos_base!$B$12,0))*parametros_manuales!$D$110)*parametros_manuales!$I$24*parametros_manuales!$J$24</f>
        <v>558.975</v>
      </c>
      <c r="E7" s="4">
        <f>(parametros_manuales!$D$24*(datos_base!$B$2+IF(parametros_manuales!$H$24="Todos",datos_base!$B$9,0))*parametros_manuales!$E$95+parametros_manuales!$E$24*(datos_base!$B$3+IF(parametros_manuales!$H$24="Todos",datos_base!$B$10,0))*parametros_manuales!$E$100+parametros_manuales!$F$24*(datos_base!$B$4+IF(parametros_manuales!$H$24="Todos",datos_base!$B$11,0))*parametros_manuales!$E$105+parametros_manuales!$G$24*(datos_base!$B$5+IF(parametros_manuales!$H$24="Todos",datos_base!$B$12,0))*parametros_manuales!$E$110)*parametros_manuales!$I$24*parametros_manuales!$J$24</f>
        <v>538.08</v>
      </c>
      <c r="F7" s="4">
        <f>(parametros_manuales!$D$24*(datos_base!$B$2+IF(parametros_manuales!$H$24="Todos",datos_base!$B$9,0))*parametros_manuales!$F$95+parametros_manuales!$E$24*(datos_base!$B$3+IF(parametros_manuales!$H$24="Todos",datos_base!$B$10,0))*parametros_manuales!$F$100+parametros_manuales!$F$24*(datos_base!$B$4+IF(parametros_manuales!$H$24="Todos",datos_base!$B$11,0))*parametros_manuales!$F$105+parametros_manuales!$G$24*(datos_base!$B$5+IF(parametros_manuales!$H$24="Todos",datos_base!$B$12,0))*parametros_manuales!$F$110)*parametros_manuales!$I$24*parametros_manuales!$J$24</f>
        <v>503.97</v>
      </c>
      <c r="G7" s="4">
        <f>(parametros_manuales!$D$24*(datos_base!$B$2+IF(parametros_manuales!$H$24="Todos",datos_base!$B$9,0))*parametros_manuales!$G$95+parametros_manuales!$E$24*(datos_base!$B$3+IF(parametros_manuales!$H$24="Todos",datos_base!$B$10,0))*parametros_manuales!$G$100+parametros_manuales!$F$24*(datos_base!$B$4+IF(parametros_manuales!$H$24="Todos",datos_base!$B$11,0))*parametros_manuales!$G$105+parametros_manuales!$G$24*(datos_base!$B$5+IF(parametros_manuales!$H$24="Todos",datos_base!$B$12,0))*parametros_manuales!$G$110)*parametros_manuales!$I$24*parametros_manuales!$J$24</f>
        <v>490.755</v>
      </c>
      <c r="H7" s="4">
        <f>(parametros_manuales!$D$24*(datos_base!$B$2+IF(parametros_manuales!$H$24="Todos",datos_base!$B$9,0))*parametros_manuales!$H$95+parametros_manuales!$E$24*(datos_base!$B$3+IF(parametros_manuales!$H$24="Todos",datos_base!$B$10,0))*parametros_manuales!$H$100+parametros_manuales!$F$24*(datos_base!$B$4+IF(parametros_manuales!$H$24="Todos",datos_base!$B$11,0))*parametros_manuales!$H$105+parametros_manuales!$G$24*(datos_base!$B$5+IF(parametros_manuales!$H$24="Todos",datos_base!$B$12,0))*parametros_manuales!$H$110)*parametros_manuales!$I$24*parametros_manuales!$J$24</f>
        <v>524.865</v>
      </c>
      <c r="I7" s="4">
        <f>(parametros_manuales!$D$24*(datos_base!$B$2+IF(parametros_manuales!$H$24="Todos",datos_base!$B$9,0))*parametros_manuales!$I$95+parametros_manuales!$E$24*(datos_base!$B$3+IF(parametros_manuales!$H$24="Todos",datos_base!$B$10,0))*parametros_manuales!$I$100+parametros_manuales!$F$24*(datos_base!$B$4+IF(parametros_manuales!$H$24="Todos",datos_base!$B$11,0))*parametros_manuales!$I$105+parametros_manuales!$G$24*(datos_base!$B$5+IF(parametros_manuales!$H$24="Todos",datos_base!$B$12,0))*parametros_manuales!$I$110)*parametros_manuales!$I$24*parametros_manuales!$J$24</f>
        <v>587.55</v>
      </c>
      <c r="J7" s="4">
        <f>(parametros_manuales!$D$24*(datos_base!$B$2+IF(parametros_manuales!$H$24="Todos",datos_base!$B$9,0))*parametros_manuales!$J$95+parametros_manuales!$E$24*(datos_base!$B$3+IF(parametros_manuales!$H$24="Todos",datos_base!$B$10,0))*parametros_manuales!$J$100+parametros_manuales!$F$24*(datos_base!$B$4+IF(parametros_manuales!$H$24="Todos",datos_base!$B$11,0))*parametros_manuales!$J$105+parametros_manuales!$G$24*(datos_base!$B$5+IF(parametros_manuales!$H$24="Todos",datos_base!$B$12,0))*parametros_manuales!$J$110)*parametros_manuales!$I$24*parametros_manuales!$J$24</f>
        <v>587.55</v>
      </c>
      <c r="K7" s="4">
        <f>(parametros_manuales!$D$24*(datos_base!$B$2+IF(parametros_manuales!$H$24="Todos",datos_base!$B$9,0))*parametros_manuales!$K$95+parametros_manuales!$E$24*(datos_base!$B$3+IF(parametros_manuales!$H$24="Todos",datos_base!$B$10,0))*parametros_manuales!$K$100+parametros_manuales!$F$24*(datos_base!$B$4+IF(parametros_manuales!$H$24="Todos",datos_base!$B$11,0))*parametros_manuales!$K$105+parametros_manuales!$G$24*(datos_base!$B$5+IF(parametros_manuales!$H$24="Todos",datos_base!$B$12,0))*parametros_manuales!$K$110)*parametros_manuales!$I$24*parametros_manuales!$J$24</f>
        <v>600.765</v>
      </c>
      <c r="L7" s="4">
        <f>(parametros_manuales!$D$24*(datos_base!$B$2+IF(parametros_manuales!$H$24="Todos",datos_base!$B$9,0))*parametros_manuales!$L$95+parametros_manuales!$E$24*(datos_base!$B$3+IF(parametros_manuales!$H$24="Todos",datos_base!$B$10,0))*parametros_manuales!$L$100+parametros_manuales!$F$24*(datos_base!$B$4+IF(parametros_manuales!$H$24="Todos",datos_base!$B$11,0))*parametros_manuales!$L$105+parametros_manuales!$G$24*(datos_base!$B$5+IF(parametros_manuales!$H$24="Todos",datos_base!$B$12,0))*parametros_manuales!$L$110)*parametros_manuales!$I$24*parametros_manuales!$J$24</f>
        <v>613.98</v>
      </c>
      <c r="M7" s="4">
        <f>(parametros_manuales!$D$24*(datos_base!$B$2+IF(parametros_manuales!$H$24="Todos",datos_base!$B$9,0))*parametros_manuales!$M$95+parametros_manuales!$E$24*(datos_base!$B$3+IF(parametros_manuales!$H$24="Todos",datos_base!$B$10,0))*parametros_manuales!$M$100+parametros_manuales!$F$24*(datos_base!$B$4+IF(parametros_manuales!$H$24="Todos",datos_base!$B$11,0))*parametros_manuales!$M$105+parametros_manuales!$G$24*(datos_base!$B$5+IF(parametros_manuales!$H$24="Todos",datos_base!$B$12,0))*parametros_manuales!$M$110)*parametros_manuales!$I$24*parametros_manuales!$J$24</f>
        <v>613.98</v>
      </c>
      <c r="N7" s="4">
        <f t="shared" si="1"/>
        <v>6822</v>
      </c>
      <c r="O7" s="4">
        <f t="shared" si="2"/>
        <v>613.98</v>
      </c>
      <c r="P7" s="27">
        <f>O7/(parametros_manuales!$B$7)</f>
        <v>4.0932</v>
      </c>
      <c r="Q7" s="3" t="str">
        <f t="shared" si="3"/>
        <v>Ene</v>
      </c>
    </row>
    <row r="8" ht="14.25" customHeight="1">
      <c r="A8" s="3" t="str">
        <f>parametros_manuales!$B$25</f>
        <v>Soldadura del cuello a la cúpula</v>
      </c>
      <c r="B8" s="4">
        <f>(parametros_manuales!$D$25*(datos_base!$B$2+IF(parametros_manuales!$H$25="Todos",datos_base!$B$9,0))*parametros_manuales!$B$95+parametros_manuales!$E$25*(datos_base!$B$3+IF(parametros_manuales!$H$25="Todos",datos_base!$B$10,0))*parametros_manuales!$B$100+parametros_manuales!$F$25*(datos_base!$B$4+IF(parametros_manuales!$H$25="Todos",datos_base!$B$11,0))*parametros_manuales!$B$105+parametros_manuales!$G$25*(datos_base!$B$5+IF(parametros_manuales!$H$25="Todos",datos_base!$B$12,0))*parametros_manuales!$B$110)*parametros_manuales!$I$25*parametros_manuales!$J$25</f>
        <v>613.98</v>
      </c>
      <c r="C8" s="4">
        <f>(parametros_manuales!$D$25*(datos_base!$B$2+IF(parametros_manuales!$H$25="Todos",datos_base!$B$9,0))*parametros_manuales!$C$95+parametros_manuales!$E$25*(datos_base!$B$3+IF(parametros_manuales!$H$25="Todos",datos_base!$B$10,0))*parametros_manuales!$C$100+parametros_manuales!$F$25*(datos_base!$B$4+IF(parametros_manuales!$H$25="Todos",datos_base!$B$11,0))*parametros_manuales!$C$105+parametros_manuales!$G$25*(datos_base!$B$5+IF(parametros_manuales!$H$25="Todos",datos_base!$B$12,0))*parametros_manuales!$C$110)*parametros_manuales!$I$25*parametros_manuales!$J$25</f>
        <v>587.55</v>
      </c>
      <c r="D8" s="4">
        <f>(parametros_manuales!$D$25*(datos_base!$B$2+IF(parametros_manuales!$H$25="Todos",datos_base!$B$9,0))*parametros_manuales!$D$95+parametros_manuales!$E$25*(datos_base!$B$3+IF(parametros_manuales!$H$25="Todos",datos_base!$B$10,0))*parametros_manuales!$D$100+parametros_manuales!$F$25*(datos_base!$B$4+IF(parametros_manuales!$H$25="Todos",datos_base!$B$11,0))*parametros_manuales!$D$105+parametros_manuales!$G$25*(datos_base!$B$5+IF(parametros_manuales!$H$25="Todos",datos_base!$B$12,0))*parametros_manuales!$D$110)*parametros_manuales!$I$25*parametros_manuales!$J$25</f>
        <v>558.975</v>
      </c>
      <c r="E8" s="4">
        <f>(parametros_manuales!$D$25*(datos_base!$B$2+IF(parametros_manuales!$H$25="Todos",datos_base!$B$9,0))*parametros_manuales!$E$95+parametros_manuales!$E$25*(datos_base!$B$3+IF(parametros_manuales!$H$25="Todos",datos_base!$B$10,0))*parametros_manuales!$E$100+parametros_manuales!$F$25*(datos_base!$B$4+IF(parametros_manuales!$H$25="Todos",datos_base!$B$11,0))*parametros_manuales!$E$105+parametros_manuales!$G$25*(datos_base!$B$5+IF(parametros_manuales!$H$25="Todos",datos_base!$B$12,0))*parametros_manuales!$E$110)*parametros_manuales!$I$25*parametros_manuales!$J$25</f>
        <v>538.08</v>
      </c>
      <c r="F8" s="4">
        <f>(parametros_manuales!$D$25*(datos_base!$B$2+IF(parametros_manuales!$H$25="Todos",datos_base!$B$9,0))*parametros_manuales!$F$95+parametros_manuales!$E$25*(datos_base!$B$3+IF(parametros_manuales!$H$25="Todos",datos_base!$B$10,0))*parametros_manuales!$F$100+parametros_manuales!$F$25*(datos_base!$B$4+IF(parametros_manuales!$H$25="Todos",datos_base!$B$11,0))*parametros_manuales!$F$105+parametros_manuales!$G$25*(datos_base!$B$5+IF(parametros_manuales!$H$25="Todos",datos_base!$B$12,0))*parametros_manuales!$F$110)*parametros_manuales!$I$25*parametros_manuales!$J$25</f>
        <v>503.97</v>
      </c>
      <c r="G8" s="4">
        <f>(parametros_manuales!$D$25*(datos_base!$B$2+IF(parametros_manuales!$H$25="Todos",datos_base!$B$9,0))*parametros_manuales!$G$95+parametros_manuales!$E$25*(datos_base!$B$3+IF(parametros_manuales!$H$25="Todos",datos_base!$B$10,0))*parametros_manuales!$G$100+parametros_manuales!$F$25*(datos_base!$B$4+IF(parametros_manuales!$H$25="Todos",datos_base!$B$11,0))*parametros_manuales!$G$105+parametros_manuales!$G$25*(datos_base!$B$5+IF(parametros_manuales!$H$25="Todos",datos_base!$B$12,0))*parametros_manuales!$G$110)*parametros_manuales!$I$25*parametros_manuales!$J$25</f>
        <v>490.755</v>
      </c>
      <c r="H8" s="4">
        <f>(parametros_manuales!$D$25*(datos_base!$B$2+IF(parametros_manuales!$H$25="Todos",datos_base!$B$9,0))*parametros_manuales!$H$95+parametros_manuales!$E$25*(datos_base!$B$3+IF(parametros_manuales!$H$25="Todos",datos_base!$B$10,0))*parametros_manuales!$H$100+parametros_manuales!$F$25*(datos_base!$B$4+IF(parametros_manuales!$H$25="Todos",datos_base!$B$11,0))*parametros_manuales!$H$105+parametros_manuales!$G$25*(datos_base!$B$5+IF(parametros_manuales!$H$25="Todos",datos_base!$B$12,0))*parametros_manuales!$H$110)*parametros_manuales!$I$25*parametros_manuales!$J$25</f>
        <v>524.865</v>
      </c>
      <c r="I8" s="4">
        <f>(parametros_manuales!$D$25*(datos_base!$B$2+IF(parametros_manuales!$H$25="Todos",datos_base!$B$9,0))*parametros_manuales!$I$95+parametros_manuales!$E$25*(datos_base!$B$3+IF(parametros_manuales!$H$25="Todos",datos_base!$B$10,0))*parametros_manuales!$I$100+parametros_manuales!$F$25*(datos_base!$B$4+IF(parametros_manuales!$H$25="Todos",datos_base!$B$11,0))*parametros_manuales!$I$105+parametros_manuales!$G$25*(datos_base!$B$5+IF(parametros_manuales!$H$25="Todos",datos_base!$B$12,0))*parametros_manuales!$I$110)*parametros_manuales!$I$25*parametros_manuales!$J$25</f>
        <v>587.55</v>
      </c>
      <c r="J8" s="4">
        <f>(parametros_manuales!$D$25*(datos_base!$B$2+IF(parametros_manuales!$H$25="Todos",datos_base!$B$9,0))*parametros_manuales!$J$95+parametros_manuales!$E$25*(datos_base!$B$3+IF(parametros_manuales!$H$25="Todos",datos_base!$B$10,0))*parametros_manuales!$J$100+parametros_manuales!$F$25*(datos_base!$B$4+IF(parametros_manuales!$H$25="Todos",datos_base!$B$11,0))*parametros_manuales!$J$105+parametros_manuales!$G$25*(datos_base!$B$5+IF(parametros_manuales!$H$25="Todos",datos_base!$B$12,0))*parametros_manuales!$J$110)*parametros_manuales!$I$25*parametros_manuales!$J$25</f>
        <v>587.55</v>
      </c>
      <c r="K8" s="4">
        <f>(parametros_manuales!$D$25*(datos_base!$B$2+IF(parametros_manuales!$H$25="Todos",datos_base!$B$9,0))*parametros_manuales!$K$95+parametros_manuales!$E$25*(datos_base!$B$3+IF(parametros_manuales!$H$25="Todos",datos_base!$B$10,0))*parametros_manuales!$K$100+parametros_manuales!$F$25*(datos_base!$B$4+IF(parametros_manuales!$H$25="Todos",datos_base!$B$11,0))*parametros_manuales!$K$105+parametros_manuales!$G$25*(datos_base!$B$5+IF(parametros_manuales!$H$25="Todos",datos_base!$B$12,0))*parametros_manuales!$K$110)*parametros_manuales!$I$25*parametros_manuales!$J$25</f>
        <v>600.765</v>
      </c>
      <c r="L8" s="4">
        <f>(parametros_manuales!$D$25*(datos_base!$B$2+IF(parametros_manuales!$H$25="Todos",datos_base!$B$9,0))*parametros_manuales!$L$95+parametros_manuales!$E$25*(datos_base!$B$3+IF(parametros_manuales!$H$25="Todos",datos_base!$B$10,0))*parametros_manuales!$L$100+parametros_manuales!$F$25*(datos_base!$B$4+IF(parametros_manuales!$H$25="Todos",datos_base!$B$11,0))*parametros_manuales!$L$105+parametros_manuales!$G$25*(datos_base!$B$5+IF(parametros_manuales!$H$25="Todos",datos_base!$B$12,0))*parametros_manuales!$L$110)*parametros_manuales!$I$25*parametros_manuales!$J$25</f>
        <v>613.98</v>
      </c>
      <c r="M8" s="4">
        <f>(parametros_manuales!$D$25*(datos_base!$B$2+IF(parametros_manuales!$H$25="Todos",datos_base!$B$9,0))*parametros_manuales!$M$95+parametros_manuales!$E$25*(datos_base!$B$3+IF(parametros_manuales!$H$25="Todos",datos_base!$B$10,0))*parametros_manuales!$M$100+parametros_manuales!$F$25*(datos_base!$B$4+IF(parametros_manuales!$H$25="Todos",datos_base!$B$11,0))*parametros_manuales!$M$105+parametros_manuales!$G$25*(datos_base!$B$5+IF(parametros_manuales!$H$25="Todos",datos_base!$B$12,0))*parametros_manuales!$M$110)*parametros_manuales!$I$25*parametros_manuales!$J$25</f>
        <v>613.98</v>
      </c>
      <c r="N8" s="4">
        <f t="shared" si="1"/>
        <v>6822</v>
      </c>
      <c r="O8" s="4">
        <f t="shared" si="2"/>
        <v>613.98</v>
      </c>
      <c r="P8" s="27">
        <f>O8/(parametros_manuales!$B$7)</f>
        <v>4.0932</v>
      </c>
      <c r="Q8" s="3" t="str">
        <f t="shared" si="3"/>
        <v>Ene</v>
      </c>
    </row>
    <row r="9" ht="14.25" customHeight="1">
      <c r="A9" s="3" t="str">
        <f>parametros_manuales!$B$26</f>
        <v>Cilindrado</v>
      </c>
      <c r="B9" s="4">
        <f>(parametros_manuales!$D$26*(datos_base!$B$2+IF(parametros_manuales!$H$26="Todos",datos_base!$B$9,0))*parametros_manuales!$B$95+parametros_manuales!$E$26*(datos_base!$B$3+IF(parametros_manuales!$H$26="Todos",datos_base!$B$10,0))*parametros_manuales!$B$100+parametros_manuales!$F$26*(datos_base!$B$4+IF(parametros_manuales!$H$26="Todos",datos_base!$B$11,0))*parametros_manuales!$B$105+parametros_manuales!$G$26*(datos_base!$B$5+IF(parametros_manuales!$H$26="Todos",datos_base!$B$12,0))*parametros_manuales!$B$110)*parametros_manuales!$I$26*parametros_manuales!$J$26</f>
        <v>237.87</v>
      </c>
      <c r="C9" s="4">
        <f>(parametros_manuales!$D$26*(datos_base!$B$2+IF(parametros_manuales!$H$26="Todos",datos_base!$B$9,0))*parametros_manuales!$C$95+parametros_manuales!$E$26*(datos_base!$B$3+IF(parametros_manuales!$H$26="Todos",datos_base!$B$10,0))*parametros_manuales!$C$100+parametros_manuales!$F$26*(datos_base!$B$4+IF(parametros_manuales!$H$26="Todos",datos_base!$B$11,0))*parametros_manuales!$C$105+parametros_manuales!$G$26*(datos_base!$B$5+IF(parametros_manuales!$H$26="Todos",datos_base!$B$12,0))*parametros_manuales!$C$110)*parametros_manuales!$I$26*parametros_manuales!$J$26</f>
        <v>211.44</v>
      </c>
      <c r="D9" s="4">
        <f>(parametros_manuales!$D$26*(datos_base!$B$2+IF(parametros_manuales!$H$26="Todos",datos_base!$B$9,0))*parametros_manuales!$D$95+parametros_manuales!$E$26*(datos_base!$B$3+IF(parametros_manuales!$H$26="Todos",datos_base!$B$10,0))*parametros_manuales!$D$100+parametros_manuales!$F$26*(datos_base!$B$4+IF(parametros_manuales!$H$26="Todos",datos_base!$B$11,0))*parametros_manuales!$D$105+parametros_manuales!$G$26*(datos_base!$B$5+IF(parametros_manuales!$H$26="Todos",datos_base!$B$12,0))*parametros_manuales!$D$110)*parametros_manuales!$I$26*parametros_manuales!$J$26</f>
        <v>224.655</v>
      </c>
      <c r="E9" s="4">
        <f>(parametros_manuales!$D$26*(datos_base!$B$2+IF(parametros_manuales!$H$26="Todos",datos_base!$B$9,0))*parametros_manuales!$E$95+parametros_manuales!$E$26*(datos_base!$B$3+IF(parametros_manuales!$H$26="Todos",datos_base!$B$10,0))*parametros_manuales!$E$100+parametros_manuales!$F$26*(datos_base!$B$4+IF(parametros_manuales!$H$26="Todos",datos_base!$B$11,0))*parametros_manuales!$E$105+parametros_manuales!$G$26*(datos_base!$B$5+IF(parametros_manuales!$H$26="Todos",datos_base!$B$12,0))*parametros_manuales!$E$110)*parametros_manuales!$I$26*parametros_manuales!$J$26</f>
        <v>224.655</v>
      </c>
      <c r="F9" s="4">
        <f>(parametros_manuales!$D$26*(datos_base!$B$2+IF(parametros_manuales!$H$26="Todos",datos_base!$B$9,0))*parametros_manuales!$F$95+parametros_manuales!$E$26*(datos_base!$B$3+IF(parametros_manuales!$H$26="Todos",datos_base!$B$10,0))*parametros_manuales!$F$100+parametros_manuales!$F$26*(datos_base!$B$4+IF(parametros_manuales!$H$26="Todos",datos_base!$B$11,0))*parametros_manuales!$F$105+parametros_manuales!$G$26*(datos_base!$B$5+IF(parametros_manuales!$H$26="Todos",datos_base!$B$12,0))*parametros_manuales!$F$110)*parametros_manuales!$I$26*parametros_manuales!$J$26</f>
        <v>211.44</v>
      </c>
      <c r="G9" s="4">
        <f>(parametros_manuales!$D$26*(datos_base!$B$2+IF(parametros_manuales!$H$26="Todos",datos_base!$B$9,0))*parametros_manuales!$G$95+parametros_manuales!$E$26*(datos_base!$B$3+IF(parametros_manuales!$H$26="Todos",datos_base!$B$10,0))*parametros_manuales!$G$100+parametros_manuales!$F$26*(datos_base!$B$4+IF(parametros_manuales!$H$26="Todos",datos_base!$B$11,0))*parametros_manuales!$G$105+parametros_manuales!$G$26*(datos_base!$B$5+IF(parametros_manuales!$H$26="Todos",datos_base!$B$12,0))*parametros_manuales!$G$110)*parametros_manuales!$I$26*parametros_manuales!$J$26</f>
        <v>198.225</v>
      </c>
      <c r="H9" s="4">
        <f>(parametros_manuales!$D$26*(datos_base!$B$2+IF(parametros_manuales!$H$26="Todos",datos_base!$B$9,0))*parametros_manuales!$H$95+parametros_manuales!$E$26*(datos_base!$B$3+IF(parametros_manuales!$H$26="Todos",datos_base!$B$10,0))*parametros_manuales!$H$100+parametros_manuales!$F$26*(datos_base!$B$4+IF(parametros_manuales!$H$26="Todos",datos_base!$B$11,0))*parametros_manuales!$H$105+parametros_manuales!$G$26*(datos_base!$B$5+IF(parametros_manuales!$H$26="Todos",datos_base!$B$12,0))*parametros_manuales!$H$110)*parametros_manuales!$I$26*parametros_manuales!$J$26</f>
        <v>211.44</v>
      </c>
      <c r="I9" s="4">
        <f>(parametros_manuales!$D$26*(datos_base!$B$2+IF(parametros_manuales!$H$26="Todos",datos_base!$B$9,0))*parametros_manuales!$I$95+parametros_manuales!$E$26*(datos_base!$B$3+IF(parametros_manuales!$H$26="Todos",datos_base!$B$10,0))*parametros_manuales!$I$100+parametros_manuales!$F$26*(datos_base!$B$4+IF(parametros_manuales!$H$26="Todos",datos_base!$B$11,0))*parametros_manuales!$I$105+parametros_manuales!$G$26*(datos_base!$B$5+IF(parametros_manuales!$H$26="Todos",datos_base!$B$12,0))*parametros_manuales!$I$110)*parametros_manuales!$I$26*parametros_manuales!$J$26</f>
        <v>211.44</v>
      </c>
      <c r="J9" s="4">
        <f>(parametros_manuales!$D$26*(datos_base!$B$2+IF(parametros_manuales!$H$26="Todos",datos_base!$B$9,0))*parametros_manuales!$J$95+parametros_manuales!$E$26*(datos_base!$B$3+IF(parametros_manuales!$H$26="Todos",datos_base!$B$10,0))*parametros_manuales!$J$100+parametros_manuales!$F$26*(datos_base!$B$4+IF(parametros_manuales!$H$26="Todos",datos_base!$B$11,0))*parametros_manuales!$J$105+parametros_manuales!$G$26*(datos_base!$B$5+IF(parametros_manuales!$H$26="Todos",datos_base!$B$12,0))*parametros_manuales!$J$110)*parametros_manuales!$I$26*parametros_manuales!$J$26</f>
        <v>211.44</v>
      </c>
      <c r="K9" s="4">
        <f>(parametros_manuales!$D$26*(datos_base!$B$2+IF(parametros_manuales!$H$26="Todos",datos_base!$B$9,0))*parametros_manuales!$K$95+parametros_manuales!$E$26*(datos_base!$B$3+IF(parametros_manuales!$H$26="Todos",datos_base!$B$10,0))*parametros_manuales!$K$100+parametros_manuales!$F$26*(datos_base!$B$4+IF(parametros_manuales!$H$26="Todos",datos_base!$B$11,0))*parametros_manuales!$K$105+parametros_manuales!$G$26*(datos_base!$B$5+IF(parametros_manuales!$H$26="Todos",datos_base!$B$12,0))*parametros_manuales!$K$110)*parametros_manuales!$I$26*parametros_manuales!$J$26</f>
        <v>224.655</v>
      </c>
      <c r="L9" s="4">
        <f>(parametros_manuales!$D$26*(datos_base!$B$2+IF(parametros_manuales!$H$26="Todos",datos_base!$B$9,0))*parametros_manuales!$L$95+parametros_manuales!$E$26*(datos_base!$B$3+IF(parametros_manuales!$H$26="Todos",datos_base!$B$10,0))*parametros_manuales!$L$100+parametros_manuales!$F$26*(datos_base!$B$4+IF(parametros_manuales!$H$26="Todos",datos_base!$B$11,0))*parametros_manuales!$L$105+parametros_manuales!$G$26*(datos_base!$B$5+IF(parametros_manuales!$H$26="Todos",datos_base!$B$12,0))*parametros_manuales!$L$110)*parametros_manuales!$I$26*parametros_manuales!$J$26</f>
        <v>237.87</v>
      </c>
      <c r="M9" s="4">
        <f>(parametros_manuales!$D$26*(datos_base!$B$2+IF(parametros_manuales!$H$26="Todos",datos_base!$B$9,0))*parametros_manuales!$M$95+parametros_manuales!$E$26*(datos_base!$B$3+IF(parametros_manuales!$H$26="Todos",datos_base!$B$10,0))*parametros_manuales!$M$100+parametros_manuales!$F$26*(datos_base!$B$4+IF(parametros_manuales!$H$26="Todos",datos_base!$B$11,0))*parametros_manuales!$M$105+parametros_manuales!$G$26*(datos_base!$B$5+IF(parametros_manuales!$H$26="Todos",datos_base!$B$12,0))*parametros_manuales!$M$110)*parametros_manuales!$I$26*parametros_manuales!$J$26</f>
        <v>237.87</v>
      </c>
      <c r="N9" s="4">
        <f t="shared" si="1"/>
        <v>2643</v>
      </c>
      <c r="O9" s="4">
        <f t="shared" si="2"/>
        <v>237.87</v>
      </c>
      <c r="P9" s="27">
        <f>O9/(parametros_manuales!$B$7)</f>
        <v>1.5858</v>
      </c>
      <c r="Q9" s="3" t="str">
        <f t="shared" si="3"/>
        <v>Ene</v>
      </c>
    </row>
    <row r="10" ht="14.25" customHeight="1">
      <c r="A10" s="3" t="str">
        <f>parametros_manuales!$B$27</f>
        <v>Soldadura longitudinal</v>
      </c>
      <c r="B10" s="4">
        <f>(parametros_manuales!$D$27*(datos_base!$B$2+IF(parametros_manuales!$H$27="Todos",datos_base!$B$9,0))*parametros_manuales!$B$95+parametros_manuales!$E$27*(datos_base!$B$3+IF(parametros_manuales!$H$27="Todos",datos_base!$B$10,0))*parametros_manuales!$B$100+parametros_manuales!$F$27*(datos_base!$B$4+IF(parametros_manuales!$H$27="Todos",datos_base!$B$11,0))*parametros_manuales!$B$105+parametros_manuales!$G$27*(datos_base!$B$5+IF(parametros_manuales!$H$27="Todos",datos_base!$B$12,0))*parametros_manuales!$B$110)*parametros_manuales!$I$27*parametros_manuales!$J$27</f>
        <v>237.87</v>
      </c>
      <c r="C10" s="4">
        <f>(parametros_manuales!$D$27*(datos_base!$B$2+IF(parametros_manuales!$H$27="Todos",datos_base!$B$9,0))*parametros_manuales!$C$95+parametros_manuales!$E$27*(datos_base!$B$3+IF(parametros_manuales!$H$27="Todos",datos_base!$B$10,0))*parametros_manuales!$C$100+parametros_manuales!$F$27*(datos_base!$B$4+IF(parametros_manuales!$H$27="Todos",datos_base!$B$11,0))*parametros_manuales!$C$105+parametros_manuales!$G$27*(datos_base!$B$5+IF(parametros_manuales!$H$27="Todos",datos_base!$B$12,0))*parametros_manuales!$C$110)*parametros_manuales!$I$27*parametros_manuales!$J$27</f>
        <v>211.44</v>
      </c>
      <c r="D10" s="4">
        <f>(parametros_manuales!$D$27*(datos_base!$B$2+IF(parametros_manuales!$H$27="Todos",datos_base!$B$9,0))*parametros_manuales!$D$95+parametros_manuales!$E$27*(datos_base!$B$3+IF(parametros_manuales!$H$27="Todos",datos_base!$B$10,0))*parametros_manuales!$D$100+parametros_manuales!$F$27*(datos_base!$B$4+IF(parametros_manuales!$H$27="Todos",datos_base!$B$11,0))*parametros_manuales!$D$105+parametros_manuales!$G$27*(datos_base!$B$5+IF(parametros_manuales!$H$27="Todos",datos_base!$B$12,0))*parametros_manuales!$D$110)*parametros_manuales!$I$27*parametros_manuales!$J$27</f>
        <v>224.655</v>
      </c>
      <c r="E10" s="4">
        <f>(parametros_manuales!$D$27*(datos_base!$B$2+IF(parametros_manuales!$H$27="Todos",datos_base!$B$9,0))*parametros_manuales!$E$95+parametros_manuales!$E$27*(datos_base!$B$3+IF(parametros_manuales!$H$27="Todos",datos_base!$B$10,0))*parametros_manuales!$E$100+parametros_manuales!$F$27*(datos_base!$B$4+IF(parametros_manuales!$H$27="Todos",datos_base!$B$11,0))*parametros_manuales!$E$105+parametros_manuales!$G$27*(datos_base!$B$5+IF(parametros_manuales!$H$27="Todos",datos_base!$B$12,0))*parametros_manuales!$E$110)*parametros_manuales!$I$27*parametros_manuales!$J$27</f>
        <v>224.655</v>
      </c>
      <c r="F10" s="4">
        <f>(parametros_manuales!$D$27*(datos_base!$B$2+IF(parametros_manuales!$H$27="Todos",datos_base!$B$9,0))*parametros_manuales!$F$95+parametros_manuales!$E$27*(datos_base!$B$3+IF(parametros_manuales!$H$27="Todos",datos_base!$B$10,0))*parametros_manuales!$F$100+parametros_manuales!$F$27*(datos_base!$B$4+IF(parametros_manuales!$H$27="Todos",datos_base!$B$11,0))*parametros_manuales!$F$105+parametros_manuales!$G$27*(datos_base!$B$5+IF(parametros_manuales!$H$27="Todos",datos_base!$B$12,0))*parametros_manuales!$F$110)*parametros_manuales!$I$27*parametros_manuales!$J$27</f>
        <v>211.44</v>
      </c>
      <c r="G10" s="4">
        <f>(parametros_manuales!$D$27*(datos_base!$B$2+IF(parametros_manuales!$H$27="Todos",datos_base!$B$9,0))*parametros_manuales!$G$95+parametros_manuales!$E$27*(datos_base!$B$3+IF(parametros_manuales!$H$27="Todos",datos_base!$B$10,0))*parametros_manuales!$G$100+parametros_manuales!$F$27*(datos_base!$B$4+IF(parametros_manuales!$H$27="Todos",datos_base!$B$11,0))*parametros_manuales!$G$105+parametros_manuales!$G$27*(datos_base!$B$5+IF(parametros_manuales!$H$27="Todos",datos_base!$B$12,0))*parametros_manuales!$G$110)*parametros_manuales!$I$27*parametros_manuales!$J$27</f>
        <v>198.225</v>
      </c>
      <c r="H10" s="4">
        <f>(parametros_manuales!$D$27*(datos_base!$B$2+IF(parametros_manuales!$H$27="Todos",datos_base!$B$9,0))*parametros_manuales!$H$95+parametros_manuales!$E$27*(datos_base!$B$3+IF(parametros_manuales!$H$27="Todos",datos_base!$B$10,0))*parametros_manuales!$H$100+parametros_manuales!$F$27*(datos_base!$B$4+IF(parametros_manuales!$H$27="Todos",datos_base!$B$11,0))*parametros_manuales!$H$105+parametros_manuales!$G$27*(datos_base!$B$5+IF(parametros_manuales!$H$27="Todos",datos_base!$B$12,0))*parametros_manuales!$H$110)*parametros_manuales!$I$27*parametros_manuales!$J$27</f>
        <v>211.44</v>
      </c>
      <c r="I10" s="4">
        <f>(parametros_manuales!$D$27*(datos_base!$B$2+IF(parametros_manuales!$H$27="Todos",datos_base!$B$9,0))*parametros_manuales!$I$95+parametros_manuales!$E$27*(datos_base!$B$3+IF(parametros_manuales!$H$27="Todos",datos_base!$B$10,0))*parametros_manuales!$I$100+parametros_manuales!$F$27*(datos_base!$B$4+IF(parametros_manuales!$H$27="Todos",datos_base!$B$11,0))*parametros_manuales!$I$105+parametros_manuales!$G$27*(datos_base!$B$5+IF(parametros_manuales!$H$27="Todos",datos_base!$B$12,0))*parametros_manuales!$I$110)*parametros_manuales!$I$27*parametros_manuales!$J$27</f>
        <v>211.44</v>
      </c>
      <c r="J10" s="4">
        <f>(parametros_manuales!$D$27*(datos_base!$B$2+IF(parametros_manuales!$H$27="Todos",datos_base!$B$9,0))*parametros_manuales!$J$95+parametros_manuales!$E$27*(datos_base!$B$3+IF(parametros_manuales!$H$27="Todos",datos_base!$B$10,0))*parametros_manuales!$J$100+parametros_manuales!$F$27*(datos_base!$B$4+IF(parametros_manuales!$H$27="Todos",datos_base!$B$11,0))*parametros_manuales!$J$105+parametros_manuales!$G$27*(datos_base!$B$5+IF(parametros_manuales!$H$27="Todos",datos_base!$B$12,0))*parametros_manuales!$J$110)*parametros_manuales!$I$27*parametros_manuales!$J$27</f>
        <v>211.44</v>
      </c>
      <c r="K10" s="4">
        <f>(parametros_manuales!$D$27*(datos_base!$B$2+IF(parametros_manuales!$H$27="Todos",datos_base!$B$9,0))*parametros_manuales!$K$95+parametros_manuales!$E$27*(datos_base!$B$3+IF(parametros_manuales!$H$27="Todos",datos_base!$B$10,0))*parametros_manuales!$K$100+parametros_manuales!$F$27*(datos_base!$B$4+IF(parametros_manuales!$H$27="Todos",datos_base!$B$11,0))*parametros_manuales!$K$105+parametros_manuales!$G$27*(datos_base!$B$5+IF(parametros_manuales!$H$27="Todos",datos_base!$B$12,0))*parametros_manuales!$K$110)*parametros_manuales!$I$27*parametros_manuales!$J$27</f>
        <v>224.655</v>
      </c>
      <c r="L10" s="4">
        <f>(parametros_manuales!$D$27*(datos_base!$B$2+IF(parametros_manuales!$H$27="Todos",datos_base!$B$9,0))*parametros_manuales!$L$95+parametros_manuales!$E$27*(datos_base!$B$3+IF(parametros_manuales!$H$27="Todos",datos_base!$B$10,0))*parametros_manuales!$L$100+parametros_manuales!$F$27*(datos_base!$B$4+IF(parametros_manuales!$H$27="Todos",datos_base!$B$11,0))*parametros_manuales!$L$105+parametros_manuales!$G$27*(datos_base!$B$5+IF(parametros_manuales!$H$27="Todos",datos_base!$B$12,0))*parametros_manuales!$L$110)*parametros_manuales!$I$27*parametros_manuales!$J$27</f>
        <v>237.87</v>
      </c>
      <c r="M10" s="4">
        <f>(parametros_manuales!$D$27*(datos_base!$B$2+IF(parametros_manuales!$H$27="Todos",datos_base!$B$9,0))*parametros_manuales!$M$95+parametros_manuales!$E$27*(datos_base!$B$3+IF(parametros_manuales!$H$27="Todos",datos_base!$B$10,0))*parametros_manuales!$M$100+parametros_manuales!$F$27*(datos_base!$B$4+IF(parametros_manuales!$H$27="Todos",datos_base!$B$11,0))*parametros_manuales!$M$105+parametros_manuales!$G$27*(datos_base!$B$5+IF(parametros_manuales!$H$27="Todos",datos_base!$B$12,0))*parametros_manuales!$M$110)*parametros_manuales!$I$27*parametros_manuales!$J$27</f>
        <v>237.87</v>
      </c>
      <c r="N10" s="4">
        <f t="shared" si="1"/>
        <v>2643</v>
      </c>
      <c r="O10" s="4">
        <f t="shared" si="2"/>
        <v>237.87</v>
      </c>
      <c r="P10" s="27">
        <f>O10/(parametros_manuales!$B$7)</f>
        <v>1.5858</v>
      </c>
      <c r="Q10" s="3" t="str">
        <f t="shared" si="3"/>
        <v>Ene</v>
      </c>
    </row>
    <row r="11" ht="14.25" customHeight="1">
      <c r="A11" s="3" t="str">
        <f>parametros_manuales!$B$28</f>
        <v>Encastre de fondo</v>
      </c>
      <c r="B11" s="4">
        <f>(parametros_manuales!$D$28*(datos_base!$B$2+IF(parametros_manuales!$H$28="Todos",datos_base!$B$9,0))*parametros_manuales!$B$95+parametros_manuales!$E$28*(datos_base!$B$3+IF(parametros_manuales!$H$28="Todos",datos_base!$B$10,0))*parametros_manuales!$B$100+parametros_manuales!$F$28*(datos_base!$B$4+IF(parametros_manuales!$H$28="Todos",datos_base!$B$11,0))*parametros_manuales!$B$105+parametros_manuales!$G$28*(datos_base!$B$5+IF(parametros_manuales!$H$28="Todos",datos_base!$B$12,0))*parametros_manuales!$B$110)*parametros_manuales!$I$28*parametros_manuales!$J$28</f>
        <v>613.98</v>
      </c>
      <c r="C11" s="4">
        <f>(parametros_manuales!$D$28*(datos_base!$B$2+IF(parametros_manuales!$H$28="Todos",datos_base!$B$9,0))*parametros_manuales!$C$95+parametros_manuales!$E$28*(datos_base!$B$3+IF(parametros_manuales!$H$28="Todos",datos_base!$B$10,0))*parametros_manuales!$C$100+parametros_manuales!$F$28*(datos_base!$B$4+IF(parametros_manuales!$H$28="Todos",datos_base!$B$11,0))*parametros_manuales!$C$105+parametros_manuales!$G$28*(datos_base!$B$5+IF(parametros_manuales!$H$28="Todos",datos_base!$B$12,0))*parametros_manuales!$C$110)*parametros_manuales!$I$28*parametros_manuales!$J$28</f>
        <v>587.55</v>
      </c>
      <c r="D11" s="4">
        <f>(parametros_manuales!$D$28*(datos_base!$B$2+IF(parametros_manuales!$H$28="Todos",datos_base!$B$9,0))*parametros_manuales!$D$95+parametros_manuales!$E$28*(datos_base!$B$3+IF(parametros_manuales!$H$28="Todos",datos_base!$B$10,0))*parametros_manuales!$D$100+parametros_manuales!$F$28*(datos_base!$B$4+IF(parametros_manuales!$H$28="Todos",datos_base!$B$11,0))*parametros_manuales!$D$105+parametros_manuales!$G$28*(datos_base!$B$5+IF(parametros_manuales!$H$28="Todos",datos_base!$B$12,0))*parametros_manuales!$D$110)*parametros_manuales!$I$28*parametros_manuales!$J$28</f>
        <v>558.975</v>
      </c>
      <c r="E11" s="4">
        <f>(parametros_manuales!$D$28*(datos_base!$B$2+IF(parametros_manuales!$H$28="Todos",datos_base!$B$9,0))*parametros_manuales!$E$95+parametros_manuales!$E$28*(datos_base!$B$3+IF(parametros_manuales!$H$28="Todos",datos_base!$B$10,0))*parametros_manuales!$E$100+parametros_manuales!$F$28*(datos_base!$B$4+IF(parametros_manuales!$H$28="Todos",datos_base!$B$11,0))*parametros_manuales!$E$105+parametros_manuales!$G$28*(datos_base!$B$5+IF(parametros_manuales!$H$28="Todos",datos_base!$B$12,0))*parametros_manuales!$E$110)*parametros_manuales!$I$28*parametros_manuales!$J$28</f>
        <v>538.08</v>
      </c>
      <c r="F11" s="4">
        <f>(parametros_manuales!$D$28*(datos_base!$B$2+IF(parametros_manuales!$H$28="Todos",datos_base!$B$9,0))*parametros_manuales!$F$95+parametros_manuales!$E$28*(datos_base!$B$3+IF(parametros_manuales!$H$28="Todos",datos_base!$B$10,0))*parametros_manuales!$F$100+parametros_manuales!$F$28*(datos_base!$B$4+IF(parametros_manuales!$H$28="Todos",datos_base!$B$11,0))*parametros_manuales!$F$105+parametros_manuales!$G$28*(datos_base!$B$5+IF(parametros_manuales!$H$28="Todos",datos_base!$B$12,0))*parametros_manuales!$F$110)*parametros_manuales!$I$28*parametros_manuales!$J$28</f>
        <v>503.97</v>
      </c>
      <c r="G11" s="4">
        <f>(parametros_manuales!$D$28*(datos_base!$B$2+IF(parametros_manuales!$H$28="Todos",datos_base!$B$9,0))*parametros_manuales!$G$95+parametros_manuales!$E$28*(datos_base!$B$3+IF(parametros_manuales!$H$28="Todos",datos_base!$B$10,0))*parametros_manuales!$G$100+parametros_manuales!$F$28*(datos_base!$B$4+IF(parametros_manuales!$H$28="Todos",datos_base!$B$11,0))*parametros_manuales!$G$105+parametros_manuales!$G$28*(datos_base!$B$5+IF(parametros_manuales!$H$28="Todos",datos_base!$B$12,0))*parametros_manuales!$G$110)*parametros_manuales!$I$28*parametros_manuales!$J$28</f>
        <v>490.755</v>
      </c>
      <c r="H11" s="4">
        <f>(parametros_manuales!$D$28*(datos_base!$B$2+IF(parametros_manuales!$H$28="Todos",datos_base!$B$9,0))*parametros_manuales!$H$95+parametros_manuales!$E$28*(datos_base!$B$3+IF(parametros_manuales!$H$28="Todos",datos_base!$B$10,0))*parametros_manuales!$H$100+parametros_manuales!$F$28*(datos_base!$B$4+IF(parametros_manuales!$H$28="Todos",datos_base!$B$11,0))*parametros_manuales!$H$105+parametros_manuales!$G$28*(datos_base!$B$5+IF(parametros_manuales!$H$28="Todos",datos_base!$B$12,0))*parametros_manuales!$H$110)*parametros_manuales!$I$28*parametros_manuales!$J$28</f>
        <v>524.865</v>
      </c>
      <c r="I11" s="4">
        <f>(parametros_manuales!$D$28*(datos_base!$B$2+IF(parametros_manuales!$H$28="Todos",datos_base!$B$9,0))*parametros_manuales!$I$95+parametros_manuales!$E$28*(datos_base!$B$3+IF(parametros_manuales!$H$28="Todos",datos_base!$B$10,0))*parametros_manuales!$I$100+parametros_manuales!$F$28*(datos_base!$B$4+IF(parametros_manuales!$H$28="Todos",datos_base!$B$11,0))*parametros_manuales!$I$105+parametros_manuales!$G$28*(datos_base!$B$5+IF(parametros_manuales!$H$28="Todos",datos_base!$B$12,0))*parametros_manuales!$I$110)*parametros_manuales!$I$28*parametros_manuales!$J$28</f>
        <v>587.55</v>
      </c>
      <c r="J11" s="4">
        <f>(parametros_manuales!$D$28*(datos_base!$B$2+IF(parametros_manuales!$H$28="Todos",datos_base!$B$9,0))*parametros_manuales!$J$95+parametros_manuales!$E$28*(datos_base!$B$3+IF(parametros_manuales!$H$28="Todos",datos_base!$B$10,0))*parametros_manuales!$J$100+parametros_manuales!$F$28*(datos_base!$B$4+IF(parametros_manuales!$H$28="Todos",datos_base!$B$11,0))*parametros_manuales!$J$105+parametros_manuales!$G$28*(datos_base!$B$5+IF(parametros_manuales!$H$28="Todos",datos_base!$B$12,0))*parametros_manuales!$J$110)*parametros_manuales!$I$28*parametros_manuales!$J$28</f>
        <v>587.55</v>
      </c>
      <c r="K11" s="4">
        <f>(parametros_manuales!$D$28*(datos_base!$B$2+IF(parametros_manuales!$H$28="Todos",datos_base!$B$9,0))*parametros_manuales!$K$95+parametros_manuales!$E$28*(datos_base!$B$3+IF(parametros_manuales!$H$28="Todos",datos_base!$B$10,0))*parametros_manuales!$K$100+parametros_manuales!$F$28*(datos_base!$B$4+IF(parametros_manuales!$H$28="Todos",datos_base!$B$11,0))*parametros_manuales!$K$105+parametros_manuales!$G$28*(datos_base!$B$5+IF(parametros_manuales!$H$28="Todos",datos_base!$B$12,0))*parametros_manuales!$K$110)*parametros_manuales!$I$28*parametros_manuales!$J$28</f>
        <v>600.765</v>
      </c>
      <c r="L11" s="4">
        <f>(parametros_manuales!$D$28*(datos_base!$B$2+IF(parametros_manuales!$H$28="Todos",datos_base!$B$9,0))*parametros_manuales!$L$95+parametros_manuales!$E$28*(datos_base!$B$3+IF(parametros_manuales!$H$28="Todos",datos_base!$B$10,0))*parametros_manuales!$L$100+parametros_manuales!$F$28*(datos_base!$B$4+IF(parametros_manuales!$H$28="Todos",datos_base!$B$11,0))*parametros_manuales!$L$105+parametros_manuales!$G$28*(datos_base!$B$5+IF(parametros_manuales!$H$28="Todos",datos_base!$B$12,0))*parametros_manuales!$L$110)*parametros_manuales!$I$28*parametros_manuales!$J$28</f>
        <v>613.98</v>
      </c>
      <c r="M11" s="4">
        <f>(parametros_manuales!$D$28*(datos_base!$B$2+IF(parametros_manuales!$H$28="Todos",datos_base!$B$9,0))*parametros_manuales!$M$95+parametros_manuales!$E$28*(datos_base!$B$3+IF(parametros_manuales!$H$28="Todos",datos_base!$B$10,0))*parametros_manuales!$M$100+parametros_manuales!$F$28*(datos_base!$B$4+IF(parametros_manuales!$H$28="Todos",datos_base!$B$11,0))*parametros_manuales!$M$105+parametros_manuales!$G$28*(datos_base!$B$5+IF(parametros_manuales!$H$28="Todos",datos_base!$B$12,0))*parametros_manuales!$M$110)*parametros_manuales!$I$28*parametros_manuales!$J$28</f>
        <v>613.98</v>
      </c>
      <c r="N11" s="4">
        <f t="shared" si="1"/>
        <v>6822</v>
      </c>
      <c r="O11" s="4">
        <f t="shared" si="2"/>
        <v>613.98</v>
      </c>
      <c r="P11" s="27">
        <f>O11/(parametros_manuales!$B$7)</f>
        <v>4.0932</v>
      </c>
      <c r="Q11" s="3" t="str">
        <f t="shared" si="3"/>
        <v>Ene</v>
      </c>
    </row>
    <row r="12" ht="14.25" customHeight="1">
      <c r="A12" s="3" t="str">
        <f>parametros_manuales!$B$29</f>
        <v>Bordoneado</v>
      </c>
      <c r="B12" s="4">
        <f>(parametros_manuales!$D$29*(datos_base!$B$2+IF(parametros_manuales!$H$29="Todos",datos_base!$B$9,0))*parametros_manuales!$B$95+parametros_manuales!$E$29*(datos_base!$B$3+IF(parametros_manuales!$H$29="Todos",datos_base!$B$10,0))*parametros_manuales!$B$100+parametros_manuales!$F$29*(datos_base!$B$4+IF(parametros_manuales!$H$29="Todos",datos_base!$B$11,0))*parametros_manuales!$B$105+parametros_manuales!$G$29*(datos_base!$B$5+IF(parametros_manuales!$H$29="Todos",datos_base!$B$12,0))*parametros_manuales!$B$110)*parametros_manuales!$I$29*parametros_manuales!$J$29</f>
        <v>613.98</v>
      </c>
      <c r="C12" s="4">
        <f>(parametros_manuales!$D$29*(datos_base!$B$2+IF(parametros_manuales!$H$29="Todos",datos_base!$B$9,0))*parametros_manuales!$C$95+parametros_manuales!$E$29*(datos_base!$B$3+IF(parametros_manuales!$H$29="Todos",datos_base!$B$10,0))*parametros_manuales!$C$100+parametros_manuales!$F$29*(datos_base!$B$4+IF(parametros_manuales!$H$29="Todos",datos_base!$B$11,0))*parametros_manuales!$C$105+parametros_manuales!$G$29*(datos_base!$B$5+IF(parametros_manuales!$H$29="Todos",datos_base!$B$12,0))*parametros_manuales!$C$110)*parametros_manuales!$I$29*parametros_manuales!$J$29</f>
        <v>587.55</v>
      </c>
      <c r="D12" s="4">
        <f>(parametros_manuales!$D$29*(datos_base!$B$2+IF(parametros_manuales!$H$29="Todos",datos_base!$B$9,0))*parametros_manuales!$D$95+parametros_manuales!$E$29*(datos_base!$B$3+IF(parametros_manuales!$H$29="Todos",datos_base!$B$10,0))*parametros_manuales!$D$100+parametros_manuales!$F$29*(datos_base!$B$4+IF(parametros_manuales!$H$29="Todos",datos_base!$B$11,0))*parametros_manuales!$D$105+parametros_manuales!$G$29*(datos_base!$B$5+IF(parametros_manuales!$H$29="Todos",datos_base!$B$12,0))*parametros_manuales!$D$110)*parametros_manuales!$I$29*parametros_manuales!$J$29</f>
        <v>558.975</v>
      </c>
      <c r="E12" s="4">
        <f>(parametros_manuales!$D$29*(datos_base!$B$2+IF(parametros_manuales!$H$29="Todos",datos_base!$B$9,0))*parametros_manuales!$E$95+parametros_manuales!$E$29*(datos_base!$B$3+IF(parametros_manuales!$H$29="Todos",datos_base!$B$10,0))*parametros_manuales!$E$100+parametros_manuales!$F$29*(datos_base!$B$4+IF(parametros_manuales!$H$29="Todos",datos_base!$B$11,0))*parametros_manuales!$E$105+parametros_manuales!$G$29*(datos_base!$B$5+IF(parametros_manuales!$H$29="Todos",datos_base!$B$12,0))*parametros_manuales!$E$110)*parametros_manuales!$I$29*parametros_manuales!$J$29</f>
        <v>538.08</v>
      </c>
      <c r="F12" s="4">
        <f>(parametros_manuales!$D$29*(datos_base!$B$2+IF(parametros_manuales!$H$29="Todos",datos_base!$B$9,0))*parametros_manuales!$F$95+parametros_manuales!$E$29*(datos_base!$B$3+IF(parametros_manuales!$H$29="Todos",datos_base!$B$10,0))*parametros_manuales!$F$100+parametros_manuales!$F$29*(datos_base!$B$4+IF(parametros_manuales!$H$29="Todos",datos_base!$B$11,0))*parametros_manuales!$F$105+parametros_manuales!$G$29*(datos_base!$B$5+IF(parametros_manuales!$H$29="Todos",datos_base!$B$12,0))*parametros_manuales!$F$110)*parametros_manuales!$I$29*parametros_manuales!$J$29</f>
        <v>503.97</v>
      </c>
      <c r="G12" s="4">
        <f>(parametros_manuales!$D$29*(datos_base!$B$2+IF(parametros_manuales!$H$29="Todos",datos_base!$B$9,0))*parametros_manuales!$G$95+parametros_manuales!$E$29*(datos_base!$B$3+IF(parametros_manuales!$H$29="Todos",datos_base!$B$10,0))*parametros_manuales!$G$100+parametros_manuales!$F$29*(datos_base!$B$4+IF(parametros_manuales!$H$29="Todos",datos_base!$B$11,0))*parametros_manuales!$G$105+parametros_manuales!$G$29*(datos_base!$B$5+IF(parametros_manuales!$H$29="Todos",datos_base!$B$12,0))*parametros_manuales!$G$110)*parametros_manuales!$I$29*parametros_manuales!$J$29</f>
        <v>490.755</v>
      </c>
      <c r="H12" s="4">
        <f>(parametros_manuales!$D$29*(datos_base!$B$2+IF(parametros_manuales!$H$29="Todos",datos_base!$B$9,0))*parametros_manuales!$H$95+parametros_manuales!$E$29*(datos_base!$B$3+IF(parametros_manuales!$H$29="Todos",datos_base!$B$10,0))*parametros_manuales!$H$100+parametros_manuales!$F$29*(datos_base!$B$4+IF(parametros_manuales!$H$29="Todos",datos_base!$B$11,0))*parametros_manuales!$H$105+parametros_manuales!$G$29*(datos_base!$B$5+IF(parametros_manuales!$H$29="Todos",datos_base!$B$12,0))*parametros_manuales!$H$110)*parametros_manuales!$I$29*parametros_manuales!$J$29</f>
        <v>524.865</v>
      </c>
      <c r="I12" s="4">
        <f>(parametros_manuales!$D$29*(datos_base!$B$2+IF(parametros_manuales!$H$29="Todos",datos_base!$B$9,0))*parametros_manuales!$I$95+parametros_manuales!$E$29*(datos_base!$B$3+IF(parametros_manuales!$H$29="Todos",datos_base!$B$10,0))*parametros_manuales!$I$100+parametros_manuales!$F$29*(datos_base!$B$4+IF(parametros_manuales!$H$29="Todos",datos_base!$B$11,0))*parametros_manuales!$I$105+parametros_manuales!$G$29*(datos_base!$B$5+IF(parametros_manuales!$H$29="Todos",datos_base!$B$12,0))*parametros_manuales!$I$110)*parametros_manuales!$I$29*parametros_manuales!$J$29</f>
        <v>587.55</v>
      </c>
      <c r="J12" s="4">
        <f>(parametros_manuales!$D$29*(datos_base!$B$2+IF(parametros_manuales!$H$29="Todos",datos_base!$B$9,0))*parametros_manuales!$J$95+parametros_manuales!$E$29*(datos_base!$B$3+IF(parametros_manuales!$H$29="Todos",datos_base!$B$10,0))*parametros_manuales!$J$100+parametros_manuales!$F$29*(datos_base!$B$4+IF(parametros_manuales!$H$29="Todos",datos_base!$B$11,0))*parametros_manuales!$J$105+parametros_manuales!$G$29*(datos_base!$B$5+IF(parametros_manuales!$H$29="Todos",datos_base!$B$12,0))*parametros_manuales!$J$110)*parametros_manuales!$I$29*parametros_manuales!$J$29</f>
        <v>587.55</v>
      </c>
      <c r="K12" s="4">
        <f>(parametros_manuales!$D$29*(datos_base!$B$2+IF(parametros_manuales!$H$29="Todos",datos_base!$B$9,0))*parametros_manuales!$K$95+parametros_manuales!$E$29*(datos_base!$B$3+IF(parametros_manuales!$H$29="Todos",datos_base!$B$10,0))*parametros_manuales!$K$100+parametros_manuales!$F$29*(datos_base!$B$4+IF(parametros_manuales!$H$29="Todos",datos_base!$B$11,0))*parametros_manuales!$K$105+parametros_manuales!$G$29*(datos_base!$B$5+IF(parametros_manuales!$H$29="Todos",datos_base!$B$12,0))*parametros_manuales!$K$110)*parametros_manuales!$I$29*parametros_manuales!$J$29</f>
        <v>600.765</v>
      </c>
      <c r="L12" s="4">
        <f>(parametros_manuales!$D$29*(datos_base!$B$2+IF(parametros_manuales!$H$29="Todos",datos_base!$B$9,0))*parametros_manuales!$L$95+parametros_manuales!$E$29*(datos_base!$B$3+IF(parametros_manuales!$H$29="Todos",datos_base!$B$10,0))*parametros_manuales!$L$100+parametros_manuales!$F$29*(datos_base!$B$4+IF(parametros_manuales!$H$29="Todos",datos_base!$B$11,0))*parametros_manuales!$L$105+parametros_manuales!$G$29*(datos_base!$B$5+IF(parametros_manuales!$H$29="Todos",datos_base!$B$12,0))*parametros_manuales!$L$110)*parametros_manuales!$I$29*parametros_manuales!$J$29</f>
        <v>613.98</v>
      </c>
      <c r="M12" s="4">
        <f>(parametros_manuales!$D$29*(datos_base!$B$2+IF(parametros_manuales!$H$29="Todos",datos_base!$B$9,0))*parametros_manuales!$M$95+parametros_manuales!$E$29*(datos_base!$B$3+IF(parametros_manuales!$H$29="Todos",datos_base!$B$10,0))*parametros_manuales!$M$100+parametros_manuales!$F$29*(datos_base!$B$4+IF(parametros_manuales!$H$29="Todos",datos_base!$B$11,0))*parametros_manuales!$M$105+parametros_manuales!$G$29*(datos_base!$B$5+IF(parametros_manuales!$H$29="Todos",datos_base!$B$12,0))*parametros_manuales!$M$110)*parametros_manuales!$I$29*parametros_manuales!$J$29</f>
        <v>613.98</v>
      </c>
      <c r="N12" s="4">
        <f t="shared" si="1"/>
        <v>6822</v>
      </c>
      <c r="O12" s="4">
        <f t="shared" si="2"/>
        <v>613.98</v>
      </c>
      <c r="P12" s="27">
        <f>O12/(parametros_manuales!$B$7)</f>
        <v>4.0932</v>
      </c>
      <c r="Q12" s="3" t="str">
        <f t="shared" si="3"/>
        <v>Ene</v>
      </c>
    </row>
    <row r="13" ht="14.25" customHeight="1">
      <c r="A13" s="3" t="str">
        <f>parametros_manuales!$B$30</f>
        <v>Soldadura circunferencial de cúpula y fondo</v>
      </c>
      <c r="B13" s="4">
        <f>(parametros_manuales!$D$30*(datos_base!$B$2+IF(parametros_manuales!$H$30="Todos",datos_base!$B$9,0))*parametros_manuales!$B$95+parametros_manuales!$E$30*(datos_base!$B$3+IF(parametros_manuales!$H$30="Todos",datos_base!$B$10,0))*parametros_manuales!$B$100+parametros_manuales!$F$30*(datos_base!$B$4+IF(parametros_manuales!$H$30="Todos",datos_base!$B$11,0))*parametros_manuales!$B$105+parametros_manuales!$G$30*(datos_base!$B$5+IF(parametros_manuales!$H$30="Todos",datos_base!$B$12,0))*parametros_manuales!$B$110)*parametros_manuales!$I$30*parametros_manuales!$J$30</f>
        <v>613.98</v>
      </c>
      <c r="C13" s="4">
        <f>(parametros_manuales!$D$30*(datos_base!$B$2+IF(parametros_manuales!$H$30="Todos",datos_base!$B$9,0))*parametros_manuales!$C$95+parametros_manuales!$E$30*(datos_base!$B$3+IF(parametros_manuales!$H$30="Todos",datos_base!$B$10,0))*parametros_manuales!$C$100+parametros_manuales!$F$30*(datos_base!$B$4+IF(parametros_manuales!$H$30="Todos",datos_base!$B$11,0))*parametros_manuales!$C$105+parametros_manuales!$G$30*(datos_base!$B$5+IF(parametros_manuales!$H$30="Todos",datos_base!$B$12,0))*parametros_manuales!$C$110)*parametros_manuales!$I$30*parametros_manuales!$J$30</f>
        <v>587.55</v>
      </c>
      <c r="D13" s="4">
        <f>(parametros_manuales!$D$30*(datos_base!$B$2+IF(parametros_manuales!$H$30="Todos",datos_base!$B$9,0))*parametros_manuales!$D$95+parametros_manuales!$E$30*(datos_base!$B$3+IF(parametros_manuales!$H$30="Todos",datos_base!$B$10,0))*parametros_manuales!$D$100+parametros_manuales!$F$30*(datos_base!$B$4+IF(parametros_manuales!$H$30="Todos",datos_base!$B$11,0))*parametros_manuales!$D$105+parametros_manuales!$G$30*(datos_base!$B$5+IF(parametros_manuales!$H$30="Todos",datos_base!$B$12,0))*parametros_manuales!$D$110)*parametros_manuales!$I$30*parametros_manuales!$J$30</f>
        <v>558.975</v>
      </c>
      <c r="E13" s="4">
        <f>(parametros_manuales!$D$30*(datos_base!$B$2+IF(parametros_manuales!$H$30="Todos",datos_base!$B$9,0))*parametros_manuales!$E$95+parametros_manuales!$E$30*(datos_base!$B$3+IF(parametros_manuales!$H$30="Todos",datos_base!$B$10,0))*parametros_manuales!$E$100+parametros_manuales!$F$30*(datos_base!$B$4+IF(parametros_manuales!$H$30="Todos",datos_base!$B$11,0))*parametros_manuales!$E$105+parametros_manuales!$G$30*(datos_base!$B$5+IF(parametros_manuales!$H$30="Todos",datos_base!$B$12,0))*parametros_manuales!$E$110)*parametros_manuales!$I$30*parametros_manuales!$J$30</f>
        <v>538.08</v>
      </c>
      <c r="F13" s="4">
        <f>(parametros_manuales!$D$30*(datos_base!$B$2+IF(parametros_manuales!$H$30="Todos",datos_base!$B$9,0))*parametros_manuales!$F$95+parametros_manuales!$E$30*(datos_base!$B$3+IF(parametros_manuales!$H$30="Todos",datos_base!$B$10,0))*parametros_manuales!$F$100+parametros_manuales!$F$30*(datos_base!$B$4+IF(parametros_manuales!$H$30="Todos",datos_base!$B$11,0))*parametros_manuales!$F$105+parametros_manuales!$G$30*(datos_base!$B$5+IF(parametros_manuales!$H$30="Todos",datos_base!$B$12,0))*parametros_manuales!$F$110)*parametros_manuales!$I$30*parametros_manuales!$J$30</f>
        <v>503.97</v>
      </c>
      <c r="G13" s="4">
        <f>(parametros_manuales!$D$30*(datos_base!$B$2+IF(parametros_manuales!$H$30="Todos",datos_base!$B$9,0))*parametros_manuales!$G$95+parametros_manuales!$E$30*(datos_base!$B$3+IF(parametros_manuales!$H$30="Todos",datos_base!$B$10,0))*parametros_manuales!$G$100+parametros_manuales!$F$30*(datos_base!$B$4+IF(parametros_manuales!$H$30="Todos",datos_base!$B$11,0))*parametros_manuales!$G$105+parametros_manuales!$G$30*(datos_base!$B$5+IF(parametros_manuales!$H$30="Todos",datos_base!$B$12,0))*parametros_manuales!$G$110)*parametros_manuales!$I$30*parametros_manuales!$J$30</f>
        <v>490.755</v>
      </c>
      <c r="H13" s="4">
        <f>(parametros_manuales!$D$30*(datos_base!$B$2+IF(parametros_manuales!$H$30="Todos",datos_base!$B$9,0))*parametros_manuales!$H$95+parametros_manuales!$E$30*(datos_base!$B$3+IF(parametros_manuales!$H$30="Todos",datos_base!$B$10,0))*parametros_manuales!$H$100+parametros_manuales!$F$30*(datos_base!$B$4+IF(parametros_manuales!$H$30="Todos",datos_base!$B$11,0))*parametros_manuales!$H$105+parametros_manuales!$G$30*(datos_base!$B$5+IF(parametros_manuales!$H$30="Todos",datos_base!$B$12,0))*parametros_manuales!$H$110)*parametros_manuales!$I$30*parametros_manuales!$J$30</f>
        <v>524.865</v>
      </c>
      <c r="I13" s="4">
        <f>(parametros_manuales!$D$30*(datos_base!$B$2+IF(parametros_manuales!$H$30="Todos",datos_base!$B$9,0))*parametros_manuales!$I$95+parametros_manuales!$E$30*(datos_base!$B$3+IF(parametros_manuales!$H$30="Todos",datos_base!$B$10,0))*parametros_manuales!$I$100+parametros_manuales!$F$30*(datos_base!$B$4+IF(parametros_manuales!$H$30="Todos",datos_base!$B$11,0))*parametros_manuales!$I$105+parametros_manuales!$G$30*(datos_base!$B$5+IF(parametros_manuales!$H$30="Todos",datos_base!$B$12,0))*parametros_manuales!$I$110)*parametros_manuales!$I$30*parametros_manuales!$J$30</f>
        <v>587.55</v>
      </c>
      <c r="J13" s="4">
        <f>(parametros_manuales!$D$30*(datos_base!$B$2+IF(parametros_manuales!$H$30="Todos",datos_base!$B$9,0))*parametros_manuales!$J$95+parametros_manuales!$E$30*(datos_base!$B$3+IF(parametros_manuales!$H$30="Todos",datos_base!$B$10,0))*parametros_manuales!$J$100+parametros_manuales!$F$30*(datos_base!$B$4+IF(parametros_manuales!$H$30="Todos",datos_base!$B$11,0))*parametros_manuales!$J$105+parametros_manuales!$G$30*(datos_base!$B$5+IF(parametros_manuales!$H$30="Todos",datos_base!$B$12,0))*parametros_manuales!$J$110)*parametros_manuales!$I$30*parametros_manuales!$J$30</f>
        <v>587.55</v>
      </c>
      <c r="K13" s="4">
        <f>(parametros_manuales!$D$30*(datos_base!$B$2+IF(parametros_manuales!$H$30="Todos",datos_base!$B$9,0))*parametros_manuales!$K$95+parametros_manuales!$E$30*(datos_base!$B$3+IF(parametros_manuales!$H$30="Todos",datos_base!$B$10,0))*parametros_manuales!$K$100+parametros_manuales!$F$30*(datos_base!$B$4+IF(parametros_manuales!$H$30="Todos",datos_base!$B$11,0))*parametros_manuales!$K$105+parametros_manuales!$G$30*(datos_base!$B$5+IF(parametros_manuales!$H$30="Todos",datos_base!$B$12,0))*parametros_manuales!$K$110)*parametros_manuales!$I$30*parametros_manuales!$J$30</f>
        <v>600.765</v>
      </c>
      <c r="L13" s="4">
        <f>(parametros_manuales!$D$30*(datos_base!$B$2+IF(parametros_manuales!$H$30="Todos",datos_base!$B$9,0))*parametros_manuales!$L$95+parametros_manuales!$E$30*(datos_base!$B$3+IF(parametros_manuales!$H$30="Todos",datos_base!$B$10,0))*parametros_manuales!$L$100+parametros_manuales!$F$30*(datos_base!$B$4+IF(parametros_manuales!$H$30="Todos",datos_base!$B$11,0))*parametros_manuales!$L$105+parametros_manuales!$G$30*(datos_base!$B$5+IF(parametros_manuales!$H$30="Todos",datos_base!$B$12,0))*parametros_manuales!$L$110)*parametros_manuales!$I$30*parametros_manuales!$J$30</f>
        <v>613.98</v>
      </c>
      <c r="M13" s="4">
        <f>(parametros_manuales!$D$30*(datos_base!$B$2+IF(parametros_manuales!$H$30="Todos",datos_base!$B$9,0))*parametros_manuales!$M$95+parametros_manuales!$E$30*(datos_base!$B$3+IF(parametros_manuales!$H$30="Todos",datos_base!$B$10,0))*parametros_manuales!$M$100+parametros_manuales!$F$30*(datos_base!$B$4+IF(parametros_manuales!$H$30="Todos",datos_base!$B$11,0))*parametros_manuales!$M$105+parametros_manuales!$G$30*(datos_base!$B$5+IF(parametros_manuales!$H$30="Todos",datos_base!$B$12,0))*parametros_manuales!$M$110)*parametros_manuales!$I$30*parametros_manuales!$J$30</f>
        <v>613.98</v>
      </c>
      <c r="N13" s="4">
        <f t="shared" si="1"/>
        <v>6822</v>
      </c>
      <c r="O13" s="4">
        <f t="shared" si="2"/>
        <v>613.98</v>
      </c>
      <c r="P13" s="27">
        <f>O13/(parametros_manuales!$B$7)</f>
        <v>4.0932</v>
      </c>
      <c r="Q13" s="3" t="str">
        <f t="shared" si="3"/>
        <v>Ene</v>
      </c>
    </row>
    <row r="14" ht="14.25" customHeight="1">
      <c r="A14" s="3" t="str">
        <f>parametros_manuales!$B$31</f>
        <v>Control de calidad — Espesor</v>
      </c>
      <c r="B14" s="4">
        <f>(parametros_manuales!$D$31*(datos_base!$B$2+IF(parametros_manuales!$H$31="Todos",datos_base!$B$9,0))*parametros_manuales!$B$95+parametros_manuales!$E$31*(datos_base!$B$3+IF(parametros_manuales!$H$31="Todos",datos_base!$B$10,0))*parametros_manuales!$B$100+parametros_manuales!$F$31*(datos_base!$B$4+IF(parametros_manuales!$H$31="Todos",datos_base!$B$11,0))*parametros_manuales!$B$105+parametros_manuales!$G$31*(datos_base!$B$5+IF(parametros_manuales!$H$31="Todos",datos_base!$B$12,0))*parametros_manuales!$B$110)*parametros_manuales!$I$31*parametros_manuales!$J$31</f>
        <v>12.2796</v>
      </c>
      <c r="C14" s="4">
        <f>(parametros_manuales!$D$31*(datos_base!$B$2+IF(parametros_manuales!$H$31="Todos",datos_base!$B$9,0))*parametros_manuales!$C$95+parametros_manuales!$E$31*(datos_base!$B$3+IF(parametros_manuales!$H$31="Todos",datos_base!$B$10,0))*parametros_manuales!$C$100+parametros_manuales!$F$31*(datos_base!$B$4+IF(parametros_manuales!$H$31="Todos",datos_base!$B$11,0))*parametros_manuales!$C$105+parametros_manuales!$G$31*(datos_base!$B$5+IF(parametros_manuales!$H$31="Todos",datos_base!$B$12,0))*parametros_manuales!$C$110)*parametros_manuales!$I$31*parametros_manuales!$J$31</f>
        <v>11.751</v>
      </c>
      <c r="D14" s="4">
        <f>(parametros_manuales!$D$31*(datos_base!$B$2+IF(parametros_manuales!$H$31="Todos",datos_base!$B$9,0))*parametros_manuales!$D$95+parametros_manuales!$E$31*(datos_base!$B$3+IF(parametros_manuales!$H$31="Todos",datos_base!$B$10,0))*parametros_manuales!$D$100+parametros_manuales!$F$31*(datos_base!$B$4+IF(parametros_manuales!$H$31="Todos",datos_base!$B$11,0))*parametros_manuales!$D$105+parametros_manuales!$G$31*(datos_base!$B$5+IF(parametros_manuales!$H$31="Todos",datos_base!$B$12,0))*parametros_manuales!$D$110)*parametros_manuales!$I$31*parametros_manuales!$J$31</f>
        <v>11.1795</v>
      </c>
      <c r="E14" s="4">
        <f>(parametros_manuales!$D$31*(datos_base!$B$2+IF(parametros_manuales!$H$31="Todos",datos_base!$B$9,0))*parametros_manuales!$E$95+parametros_manuales!$E$31*(datos_base!$B$3+IF(parametros_manuales!$H$31="Todos",datos_base!$B$10,0))*parametros_manuales!$E$100+parametros_manuales!$F$31*(datos_base!$B$4+IF(parametros_manuales!$H$31="Todos",datos_base!$B$11,0))*parametros_manuales!$E$105+parametros_manuales!$G$31*(datos_base!$B$5+IF(parametros_manuales!$H$31="Todos",datos_base!$B$12,0))*parametros_manuales!$E$110)*parametros_manuales!$I$31*parametros_manuales!$J$31</f>
        <v>10.7616</v>
      </c>
      <c r="F14" s="4">
        <f>(parametros_manuales!$D$31*(datos_base!$B$2+IF(parametros_manuales!$H$31="Todos",datos_base!$B$9,0))*parametros_manuales!$F$95+parametros_manuales!$E$31*(datos_base!$B$3+IF(parametros_manuales!$H$31="Todos",datos_base!$B$10,0))*parametros_manuales!$F$100+parametros_manuales!$F$31*(datos_base!$B$4+IF(parametros_manuales!$H$31="Todos",datos_base!$B$11,0))*parametros_manuales!$F$105+parametros_manuales!$G$31*(datos_base!$B$5+IF(parametros_manuales!$H$31="Todos",datos_base!$B$12,0))*parametros_manuales!$F$110)*parametros_manuales!$I$31*parametros_manuales!$J$31</f>
        <v>10.0794</v>
      </c>
      <c r="G14" s="4">
        <f>(parametros_manuales!$D$31*(datos_base!$B$2+IF(parametros_manuales!$H$31="Todos",datos_base!$B$9,0))*parametros_manuales!$G$95+parametros_manuales!$E$31*(datos_base!$B$3+IF(parametros_manuales!$H$31="Todos",datos_base!$B$10,0))*parametros_manuales!$G$100+parametros_manuales!$F$31*(datos_base!$B$4+IF(parametros_manuales!$H$31="Todos",datos_base!$B$11,0))*parametros_manuales!$G$105+parametros_manuales!$G$31*(datos_base!$B$5+IF(parametros_manuales!$H$31="Todos",datos_base!$B$12,0))*parametros_manuales!$G$110)*parametros_manuales!$I$31*parametros_manuales!$J$31</f>
        <v>9.8151</v>
      </c>
      <c r="H14" s="4">
        <f>(parametros_manuales!$D$31*(datos_base!$B$2+IF(parametros_manuales!$H$31="Todos",datos_base!$B$9,0))*parametros_manuales!$H$95+parametros_manuales!$E$31*(datos_base!$B$3+IF(parametros_manuales!$H$31="Todos",datos_base!$B$10,0))*parametros_manuales!$H$100+parametros_manuales!$F$31*(datos_base!$B$4+IF(parametros_manuales!$H$31="Todos",datos_base!$B$11,0))*parametros_manuales!$H$105+parametros_manuales!$G$31*(datos_base!$B$5+IF(parametros_manuales!$H$31="Todos",datos_base!$B$12,0))*parametros_manuales!$H$110)*parametros_manuales!$I$31*parametros_manuales!$J$31</f>
        <v>10.4973</v>
      </c>
      <c r="I14" s="4">
        <f>(parametros_manuales!$D$31*(datos_base!$B$2+IF(parametros_manuales!$H$31="Todos",datos_base!$B$9,0))*parametros_manuales!$I$95+parametros_manuales!$E$31*(datos_base!$B$3+IF(parametros_manuales!$H$31="Todos",datos_base!$B$10,0))*parametros_manuales!$I$100+parametros_manuales!$F$31*(datos_base!$B$4+IF(parametros_manuales!$H$31="Todos",datos_base!$B$11,0))*parametros_manuales!$I$105+parametros_manuales!$G$31*(datos_base!$B$5+IF(parametros_manuales!$H$31="Todos",datos_base!$B$12,0))*parametros_manuales!$I$110)*parametros_manuales!$I$31*parametros_manuales!$J$31</f>
        <v>11.751</v>
      </c>
      <c r="J14" s="4">
        <f>(parametros_manuales!$D$31*(datos_base!$B$2+IF(parametros_manuales!$H$31="Todos",datos_base!$B$9,0))*parametros_manuales!$J$95+parametros_manuales!$E$31*(datos_base!$B$3+IF(parametros_manuales!$H$31="Todos",datos_base!$B$10,0))*parametros_manuales!$J$100+parametros_manuales!$F$31*(datos_base!$B$4+IF(parametros_manuales!$H$31="Todos",datos_base!$B$11,0))*parametros_manuales!$J$105+parametros_manuales!$G$31*(datos_base!$B$5+IF(parametros_manuales!$H$31="Todos",datos_base!$B$12,0))*parametros_manuales!$J$110)*parametros_manuales!$I$31*parametros_manuales!$J$31</f>
        <v>11.751</v>
      </c>
      <c r="K14" s="4">
        <f>(parametros_manuales!$D$31*(datos_base!$B$2+IF(parametros_manuales!$H$31="Todos",datos_base!$B$9,0))*parametros_manuales!$K$95+parametros_manuales!$E$31*(datos_base!$B$3+IF(parametros_manuales!$H$31="Todos",datos_base!$B$10,0))*parametros_manuales!$K$100+parametros_manuales!$F$31*(datos_base!$B$4+IF(parametros_manuales!$H$31="Todos",datos_base!$B$11,0))*parametros_manuales!$K$105+parametros_manuales!$G$31*(datos_base!$B$5+IF(parametros_manuales!$H$31="Todos",datos_base!$B$12,0))*parametros_manuales!$K$110)*parametros_manuales!$I$31*parametros_manuales!$J$31</f>
        <v>12.0153</v>
      </c>
      <c r="L14" s="4">
        <f>(parametros_manuales!$D$31*(datos_base!$B$2+IF(parametros_manuales!$H$31="Todos",datos_base!$B$9,0))*parametros_manuales!$L$95+parametros_manuales!$E$31*(datos_base!$B$3+IF(parametros_manuales!$H$31="Todos",datos_base!$B$10,0))*parametros_manuales!$L$100+parametros_manuales!$F$31*(datos_base!$B$4+IF(parametros_manuales!$H$31="Todos",datos_base!$B$11,0))*parametros_manuales!$L$105+parametros_manuales!$G$31*(datos_base!$B$5+IF(parametros_manuales!$H$31="Todos",datos_base!$B$12,0))*parametros_manuales!$L$110)*parametros_manuales!$I$31*parametros_manuales!$J$31</f>
        <v>12.2796</v>
      </c>
      <c r="M14" s="4">
        <f>(parametros_manuales!$D$31*(datos_base!$B$2+IF(parametros_manuales!$H$31="Todos",datos_base!$B$9,0))*parametros_manuales!$M$95+parametros_manuales!$E$31*(datos_base!$B$3+IF(parametros_manuales!$H$31="Todos",datos_base!$B$10,0))*parametros_manuales!$M$100+parametros_manuales!$F$31*(datos_base!$B$4+IF(parametros_manuales!$H$31="Todos",datos_base!$B$11,0))*parametros_manuales!$M$105+parametros_manuales!$G$31*(datos_base!$B$5+IF(parametros_manuales!$H$31="Todos",datos_base!$B$12,0))*parametros_manuales!$M$110)*parametros_manuales!$I$31*parametros_manuales!$J$31</f>
        <v>12.2796</v>
      </c>
      <c r="N14" s="4">
        <f t="shared" si="1"/>
        <v>136.44</v>
      </c>
      <c r="O14" s="4">
        <f t="shared" si="2"/>
        <v>12.2796</v>
      </c>
      <c r="P14" s="27">
        <f>O14/(parametros_manuales!$B$7)</f>
        <v>0.081864</v>
      </c>
      <c r="Q14" s="3" t="str">
        <f t="shared" si="3"/>
        <v>Ene</v>
      </c>
    </row>
    <row r="15" ht="14.25" customHeight="1">
      <c r="A15" s="3" t="str">
        <f>parametros_manuales!$B$32</f>
        <v>Prueba hidráulica</v>
      </c>
      <c r="B15" s="4">
        <f>(parametros_manuales!$D$32*(datos_base!$B$2+IF(parametros_manuales!$H$32="Todos",datos_base!$B$9,0))*parametros_manuales!$B$95+parametros_manuales!$E$32*(datos_base!$B$3+IF(parametros_manuales!$H$32="Todos",datos_base!$B$10,0))*parametros_manuales!$B$100+parametros_manuales!$F$32*(datos_base!$B$4+IF(parametros_manuales!$H$32="Todos",datos_base!$B$11,0))*parametros_manuales!$B$105+parametros_manuales!$G$32*(datos_base!$B$5+IF(parametros_manuales!$H$32="Todos",datos_base!$B$12,0))*parametros_manuales!$B$110)*parametros_manuales!$I$32*parametros_manuales!$J$32</f>
        <v>613.98</v>
      </c>
      <c r="C15" s="4">
        <f>(parametros_manuales!$D$32*(datos_base!$B$2+IF(parametros_manuales!$H$32="Todos",datos_base!$B$9,0))*parametros_manuales!$C$95+parametros_manuales!$E$32*(datos_base!$B$3+IF(parametros_manuales!$H$32="Todos",datos_base!$B$10,0))*parametros_manuales!$C$100+parametros_manuales!$F$32*(datos_base!$B$4+IF(parametros_manuales!$H$32="Todos",datos_base!$B$11,0))*parametros_manuales!$C$105+parametros_manuales!$G$32*(datos_base!$B$5+IF(parametros_manuales!$H$32="Todos",datos_base!$B$12,0))*parametros_manuales!$C$110)*parametros_manuales!$I$32*parametros_manuales!$J$32</f>
        <v>587.55</v>
      </c>
      <c r="D15" s="4">
        <f>(parametros_manuales!$D$32*(datos_base!$B$2+IF(parametros_manuales!$H$32="Todos",datos_base!$B$9,0))*parametros_manuales!$D$95+parametros_manuales!$E$32*(datos_base!$B$3+IF(parametros_manuales!$H$32="Todos",datos_base!$B$10,0))*parametros_manuales!$D$100+parametros_manuales!$F$32*(datos_base!$B$4+IF(parametros_manuales!$H$32="Todos",datos_base!$B$11,0))*parametros_manuales!$D$105+parametros_manuales!$G$32*(datos_base!$B$5+IF(parametros_manuales!$H$32="Todos",datos_base!$B$12,0))*parametros_manuales!$D$110)*parametros_manuales!$I$32*parametros_manuales!$J$32</f>
        <v>558.975</v>
      </c>
      <c r="E15" s="4">
        <f>(parametros_manuales!$D$32*(datos_base!$B$2+IF(parametros_manuales!$H$32="Todos",datos_base!$B$9,0))*parametros_manuales!$E$95+parametros_manuales!$E$32*(datos_base!$B$3+IF(parametros_manuales!$H$32="Todos",datos_base!$B$10,0))*parametros_manuales!$E$100+parametros_manuales!$F$32*(datos_base!$B$4+IF(parametros_manuales!$H$32="Todos",datos_base!$B$11,0))*parametros_manuales!$E$105+parametros_manuales!$G$32*(datos_base!$B$5+IF(parametros_manuales!$H$32="Todos",datos_base!$B$12,0))*parametros_manuales!$E$110)*parametros_manuales!$I$32*parametros_manuales!$J$32</f>
        <v>538.08</v>
      </c>
      <c r="F15" s="4">
        <f>(parametros_manuales!$D$32*(datos_base!$B$2+IF(parametros_manuales!$H$32="Todos",datos_base!$B$9,0))*parametros_manuales!$F$95+parametros_manuales!$E$32*(datos_base!$B$3+IF(parametros_manuales!$H$32="Todos",datos_base!$B$10,0))*parametros_manuales!$F$100+parametros_manuales!$F$32*(datos_base!$B$4+IF(parametros_manuales!$H$32="Todos",datos_base!$B$11,0))*parametros_manuales!$F$105+parametros_manuales!$G$32*(datos_base!$B$5+IF(parametros_manuales!$H$32="Todos",datos_base!$B$12,0))*parametros_manuales!$F$110)*parametros_manuales!$I$32*parametros_manuales!$J$32</f>
        <v>503.97</v>
      </c>
      <c r="G15" s="4">
        <f>(parametros_manuales!$D$32*(datos_base!$B$2+IF(parametros_manuales!$H$32="Todos",datos_base!$B$9,0))*parametros_manuales!$G$95+parametros_manuales!$E$32*(datos_base!$B$3+IF(parametros_manuales!$H$32="Todos",datos_base!$B$10,0))*parametros_manuales!$G$100+parametros_manuales!$F$32*(datos_base!$B$4+IF(parametros_manuales!$H$32="Todos",datos_base!$B$11,0))*parametros_manuales!$G$105+parametros_manuales!$G$32*(datos_base!$B$5+IF(parametros_manuales!$H$32="Todos",datos_base!$B$12,0))*parametros_manuales!$G$110)*parametros_manuales!$I$32*parametros_manuales!$J$32</f>
        <v>490.755</v>
      </c>
      <c r="H15" s="4">
        <f>(parametros_manuales!$D$32*(datos_base!$B$2+IF(parametros_manuales!$H$32="Todos",datos_base!$B$9,0))*parametros_manuales!$H$95+parametros_manuales!$E$32*(datos_base!$B$3+IF(parametros_manuales!$H$32="Todos",datos_base!$B$10,0))*parametros_manuales!$H$100+parametros_manuales!$F$32*(datos_base!$B$4+IF(parametros_manuales!$H$32="Todos",datos_base!$B$11,0))*parametros_manuales!$H$105+parametros_manuales!$G$32*(datos_base!$B$5+IF(parametros_manuales!$H$32="Todos",datos_base!$B$12,0))*parametros_manuales!$H$110)*parametros_manuales!$I$32*parametros_manuales!$J$32</f>
        <v>524.865</v>
      </c>
      <c r="I15" s="4">
        <f>(parametros_manuales!$D$32*(datos_base!$B$2+IF(parametros_manuales!$H$32="Todos",datos_base!$B$9,0))*parametros_manuales!$I$95+parametros_manuales!$E$32*(datos_base!$B$3+IF(parametros_manuales!$H$32="Todos",datos_base!$B$10,0))*parametros_manuales!$I$100+parametros_manuales!$F$32*(datos_base!$B$4+IF(parametros_manuales!$H$32="Todos",datos_base!$B$11,0))*parametros_manuales!$I$105+parametros_manuales!$G$32*(datos_base!$B$5+IF(parametros_manuales!$H$32="Todos",datos_base!$B$12,0))*parametros_manuales!$I$110)*parametros_manuales!$I$32*parametros_manuales!$J$32</f>
        <v>587.55</v>
      </c>
      <c r="J15" s="4">
        <f>(parametros_manuales!$D$32*(datos_base!$B$2+IF(parametros_manuales!$H$32="Todos",datos_base!$B$9,0))*parametros_manuales!$J$95+parametros_manuales!$E$32*(datos_base!$B$3+IF(parametros_manuales!$H$32="Todos",datos_base!$B$10,0))*parametros_manuales!$J$100+parametros_manuales!$F$32*(datos_base!$B$4+IF(parametros_manuales!$H$32="Todos",datos_base!$B$11,0))*parametros_manuales!$J$105+parametros_manuales!$G$32*(datos_base!$B$5+IF(parametros_manuales!$H$32="Todos",datos_base!$B$12,0))*parametros_manuales!$J$110)*parametros_manuales!$I$32*parametros_manuales!$J$32</f>
        <v>587.55</v>
      </c>
      <c r="K15" s="4">
        <f>(parametros_manuales!$D$32*(datos_base!$B$2+IF(parametros_manuales!$H$32="Todos",datos_base!$B$9,0))*parametros_manuales!$K$95+parametros_manuales!$E$32*(datos_base!$B$3+IF(parametros_manuales!$H$32="Todos",datos_base!$B$10,0))*parametros_manuales!$K$100+parametros_manuales!$F$32*(datos_base!$B$4+IF(parametros_manuales!$H$32="Todos",datos_base!$B$11,0))*parametros_manuales!$K$105+parametros_manuales!$G$32*(datos_base!$B$5+IF(parametros_manuales!$H$32="Todos",datos_base!$B$12,0))*parametros_manuales!$K$110)*parametros_manuales!$I$32*parametros_manuales!$J$32</f>
        <v>600.765</v>
      </c>
      <c r="L15" s="4">
        <f>(parametros_manuales!$D$32*(datos_base!$B$2+IF(parametros_manuales!$H$32="Todos",datos_base!$B$9,0))*parametros_manuales!$L$95+parametros_manuales!$E$32*(datos_base!$B$3+IF(parametros_manuales!$H$32="Todos",datos_base!$B$10,0))*parametros_manuales!$L$100+parametros_manuales!$F$32*(datos_base!$B$4+IF(parametros_manuales!$H$32="Todos",datos_base!$B$11,0))*parametros_manuales!$L$105+parametros_manuales!$G$32*(datos_base!$B$5+IF(parametros_manuales!$H$32="Todos",datos_base!$B$12,0))*parametros_manuales!$L$110)*parametros_manuales!$I$32*parametros_manuales!$J$32</f>
        <v>613.98</v>
      </c>
      <c r="M15" s="4">
        <f>(parametros_manuales!$D$32*(datos_base!$B$2+IF(parametros_manuales!$H$32="Todos",datos_base!$B$9,0))*parametros_manuales!$M$95+parametros_manuales!$E$32*(datos_base!$B$3+IF(parametros_manuales!$H$32="Todos",datos_base!$B$10,0))*parametros_manuales!$M$100+parametros_manuales!$F$32*(datos_base!$B$4+IF(parametros_manuales!$H$32="Todos",datos_base!$B$11,0))*parametros_manuales!$M$105+parametros_manuales!$G$32*(datos_base!$B$5+IF(parametros_manuales!$H$32="Todos",datos_base!$B$12,0))*parametros_manuales!$M$110)*parametros_manuales!$I$32*parametros_manuales!$J$32</f>
        <v>613.98</v>
      </c>
      <c r="N15" s="4">
        <f t="shared" si="1"/>
        <v>6822</v>
      </c>
      <c r="O15" s="4">
        <f t="shared" si="2"/>
        <v>613.98</v>
      </c>
      <c r="P15" s="27">
        <f>O15/(parametros_manuales!$B$7)</f>
        <v>4.0932</v>
      </c>
      <c r="Q15" s="3" t="str">
        <f t="shared" si="3"/>
        <v>Ene</v>
      </c>
    </row>
    <row r="16" ht="14.25" customHeight="1">
      <c r="A16" s="3" t="str">
        <f>parametros_manuales!$B$33</f>
        <v>Secado</v>
      </c>
      <c r="B16" s="4">
        <f>(parametros_manuales!$D$33*(datos_base!$B$2+IF(parametros_manuales!$H$33="Todos",datos_base!$B$9,0))*parametros_manuales!$B$95+parametros_manuales!$E$33*(datos_base!$B$3+IF(parametros_manuales!$H$33="Todos",datos_base!$B$10,0))*parametros_manuales!$B$100+parametros_manuales!$F$33*(datos_base!$B$4+IF(parametros_manuales!$H$33="Todos",datos_base!$B$11,0))*parametros_manuales!$B$105+parametros_manuales!$G$33*(datos_base!$B$5+IF(parametros_manuales!$H$33="Todos",datos_base!$B$12,0))*parametros_manuales!$B$110)*parametros_manuales!$I$33*parametros_manuales!$J$33</f>
        <v>613.98</v>
      </c>
      <c r="C16" s="4">
        <f>(parametros_manuales!$D$33*(datos_base!$B$2+IF(parametros_manuales!$H$33="Todos",datos_base!$B$9,0))*parametros_manuales!$C$95+parametros_manuales!$E$33*(datos_base!$B$3+IF(parametros_manuales!$H$33="Todos",datos_base!$B$10,0))*parametros_manuales!$C$100+parametros_manuales!$F$33*(datos_base!$B$4+IF(parametros_manuales!$H$33="Todos",datos_base!$B$11,0))*parametros_manuales!$C$105+parametros_manuales!$G$33*(datos_base!$B$5+IF(parametros_manuales!$H$33="Todos",datos_base!$B$12,0))*parametros_manuales!$C$110)*parametros_manuales!$I$33*parametros_manuales!$J$33</f>
        <v>587.55</v>
      </c>
      <c r="D16" s="4">
        <f>(parametros_manuales!$D$33*(datos_base!$B$2+IF(parametros_manuales!$H$33="Todos",datos_base!$B$9,0))*parametros_manuales!$D$95+parametros_manuales!$E$33*(datos_base!$B$3+IF(parametros_manuales!$H$33="Todos",datos_base!$B$10,0))*parametros_manuales!$D$100+parametros_manuales!$F$33*(datos_base!$B$4+IF(parametros_manuales!$H$33="Todos",datos_base!$B$11,0))*parametros_manuales!$D$105+parametros_manuales!$G$33*(datos_base!$B$5+IF(parametros_manuales!$H$33="Todos",datos_base!$B$12,0))*parametros_manuales!$D$110)*parametros_manuales!$I$33*parametros_manuales!$J$33</f>
        <v>558.975</v>
      </c>
      <c r="E16" s="4">
        <f>(parametros_manuales!$D$33*(datos_base!$B$2+IF(parametros_manuales!$H$33="Todos",datos_base!$B$9,0))*parametros_manuales!$E$95+parametros_manuales!$E$33*(datos_base!$B$3+IF(parametros_manuales!$H$33="Todos",datos_base!$B$10,0))*parametros_manuales!$E$100+parametros_manuales!$F$33*(datos_base!$B$4+IF(parametros_manuales!$H$33="Todos",datos_base!$B$11,0))*parametros_manuales!$E$105+parametros_manuales!$G$33*(datos_base!$B$5+IF(parametros_manuales!$H$33="Todos",datos_base!$B$12,0))*parametros_manuales!$E$110)*parametros_manuales!$I$33*parametros_manuales!$J$33</f>
        <v>538.08</v>
      </c>
      <c r="F16" s="4">
        <f>(parametros_manuales!$D$33*(datos_base!$B$2+IF(parametros_manuales!$H$33="Todos",datos_base!$B$9,0))*parametros_manuales!$F$95+parametros_manuales!$E$33*(datos_base!$B$3+IF(parametros_manuales!$H$33="Todos",datos_base!$B$10,0))*parametros_manuales!$F$100+parametros_manuales!$F$33*(datos_base!$B$4+IF(parametros_manuales!$H$33="Todos",datos_base!$B$11,0))*parametros_manuales!$F$105+parametros_manuales!$G$33*(datos_base!$B$5+IF(parametros_manuales!$H$33="Todos",datos_base!$B$12,0))*parametros_manuales!$F$110)*parametros_manuales!$I$33*parametros_manuales!$J$33</f>
        <v>503.97</v>
      </c>
      <c r="G16" s="4">
        <f>(parametros_manuales!$D$33*(datos_base!$B$2+IF(parametros_manuales!$H$33="Todos",datos_base!$B$9,0))*parametros_manuales!$G$95+parametros_manuales!$E$33*(datos_base!$B$3+IF(parametros_manuales!$H$33="Todos",datos_base!$B$10,0))*parametros_manuales!$G$100+parametros_manuales!$F$33*(datos_base!$B$4+IF(parametros_manuales!$H$33="Todos",datos_base!$B$11,0))*parametros_manuales!$G$105+parametros_manuales!$G$33*(datos_base!$B$5+IF(parametros_manuales!$H$33="Todos",datos_base!$B$12,0))*parametros_manuales!$G$110)*parametros_manuales!$I$33*parametros_manuales!$J$33</f>
        <v>490.755</v>
      </c>
      <c r="H16" s="4">
        <f>(parametros_manuales!$D$33*(datos_base!$B$2+IF(parametros_manuales!$H$33="Todos",datos_base!$B$9,0))*parametros_manuales!$H$95+parametros_manuales!$E$33*(datos_base!$B$3+IF(parametros_manuales!$H$33="Todos",datos_base!$B$10,0))*parametros_manuales!$H$100+parametros_manuales!$F$33*(datos_base!$B$4+IF(parametros_manuales!$H$33="Todos",datos_base!$B$11,0))*parametros_manuales!$H$105+parametros_manuales!$G$33*(datos_base!$B$5+IF(parametros_manuales!$H$33="Todos",datos_base!$B$12,0))*parametros_manuales!$H$110)*parametros_manuales!$I$33*parametros_manuales!$J$33</f>
        <v>524.865</v>
      </c>
      <c r="I16" s="4">
        <f>(parametros_manuales!$D$33*(datos_base!$B$2+IF(parametros_manuales!$H$33="Todos",datos_base!$B$9,0))*parametros_manuales!$I$95+parametros_manuales!$E$33*(datos_base!$B$3+IF(parametros_manuales!$H$33="Todos",datos_base!$B$10,0))*parametros_manuales!$I$100+parametros_manuales!$F$33*(datos_base!$B$4+IF(parametros_manuales!$H$33="Todos",datos_base!$B$11,0))*parametros_manuales!$I$105+parametros_manuales!$G$33*(datos_base!$B$5+IF(parametros_manuales!$H$33="Todos",datos_base!$B$12,0))*parametros_manuales!$I$110)*parametros_manuales!$I$33*parametros_manuales!$J$33</f>
        <v>587.55</v>
      </c>
      <c r="J16" s="4">
        <f>(parametros_manuales!$D$33*(datos_base!$B$2+IF(parametros_manuales!$H$33="Todos",datos_base!$B$9,0))*parametros_manuales!$J$95+parametros_manuales!$E$33*(datos_base!$B$3+IF(parametros_manuales!$H$33="Todos",datos_base!$B$10,0))*parametros_manuales!$J$100+parametros_manuales!$F$33*(datos_base!$B$4+IF(parametros_manuales!$H$33="Todos",datos_base!$B$11,0))*parametros_manuales!$J$105+parametros_manuales!$G$33*(datos_base!$B$5+IF(parametros_manuales!$H$33="Todos",datos_base!$B$12,0))*parametros_manuales!$J$110)*parametros_manuales!$I$33*parametros_manuales!$J$33</f>
        <v>587.55</v>
      </c>
      <c r="K16" s="4">
        <f>(parametros_manuales!$D$33*(datos_base!$B$2+IF(parametros_manuales!$H$33="Todos",datos_base!$B$9,0))*parametros_manuales!$K$95+parametros_manuales!$E$33*(datos_base!$B$3+IF(parametros_manuales!$H$33="Todos",datos_base!$B$10,0))*parametros_manuales!$K$100+parametros_manuales!$F$33*(datos_base!$B$4+IF(parametros_manuales!$H$33="Todos",datos_base!$B$11,0))*parametros_manuales!$K$105+parametros_manuales!$G$33*(datos_base!$B$5+IF(parametros_manuales!$H$33="Todos",datos_base!$B$12,0))*parametros_manuales!$K$110)*parametros_manuales!$I$33*parametros_manuales!$J$33</f>
        <v>600.765</v>
      </c>
      <c r="L16" s="4">
        <f>(parametros_manuales!$D$33*(datos_base!$B$2+IF(parametros_manuales!$H$33="Todos",datos_base!$B$9,0))*parametros_manuales!$L$95+parametros_manuales!$E$33*(datos_base!$B$3+IF(parametros_manuales!$H$33="Todos",datos_base!$B$10,0))*parametros_manuales!$L$100+parametros_manuales!$F$33*(datos_base!$B$4+IF(parametros_manuales!$H$33="Todos",datos_base!$B$11,0))*parametros_manuales!$L$105+parametros_manuales!$G$33*(datos_base!$B$5+IF(parametros_manuales!$H$33="Todos",datos_base!$B$12,0))*parametros_manuales!$L$110)*parametros_manuales!$I$33*parametros_manuales!$J$33</f>
        <v>613.98</v>
      </c>
      <c r="M16" s="4">
        <f>(parametros_manuales!$D$33*(datos_base!$B$2+IF(parametros_manuales!$H$33="Todos",datos_base!$B$9,0))*parametros_manuales!$M$95+parametros_manuales!$E$33*(datos_base!$B$3+IF(parametros_manuales!$H$33="Todos",datos_base!$B$10,0))*parametros_manuales!$M$100+parametros_manuales!$F$33*(datos_base!$B$4+IF(parametros_manuales!$H$33="Todos",datos_base!$B$11,0))*parametros_manuales!$M$105+parametros_manuales!$G$33*(datos_base!$B$5+IF(parametros_manuales!$H$33="Todos",datos_base!$B$12,0))*parametros_manuales!$M$110)*parametros_manuales!$I$33*parametros_manuales!$J$33</f>
        <v>613.98</v>
      </c>
      <c r="N16" s="4">
        <f t="shared" si="1"/>
        <v>6822</v>
      </c>
      <c r="O16" s="4">
        <f t="shared" si="2"/>
        <v>613.98</v>
      </c>
      <c r="P16" s="27">
        <f>O16/(parametros_manuales!$B$7)</f>
        <v>4.0932</v>
      </c>
      <c r="Q16" s="3" t="str">
        <f t="shared" si="3"/>
        <v>Ene</v>
      </c>
    </row>
    <row r="17" ht="14.25" customHeight="1">
      <c r="A17" s="3" t="str">
        <f>parametros_manuales!$B$34</f>
        <v>Granallado</v>
      </c>
      <c r="B17" s="4">
        <f>(parametros_manuales!$D$34*(datos_base!$B$2+IF(parametros_manuales!$H$34="Todos",datos_base!$B$9,0))*parametros_manuales!$B$95+parametros_manuales!$E$34*(datos_base!$B$3+IF(parametros_manuales!$H$34="Todos",datos_base!$B$10,0))*parametros_manuales!$B$100+parametros_manuales!$F$34*(datos_base!$B$4+IF(parametros_manuales!$H$34="Todos",datos_base!$B$11,0))*parametros_manuales!$B$105+parametros_manuales!$G$34*(datos_base!$B$5+IF(parametros_manuales!$H$34="Todos",datos_base!$B$12,0))*parametros_manuales!$B$110)*parametros_manuales!$I$34*parametros_manuales!$J$34</f>
        <v>613.98</v>
      </c>
      <c r="C17" s="4">
        <f>(parametros_manuales!$D$34*(datos_base!$B$2+IF(parametros_manuales!$H$34="Todos",datos_base!$B$9,0))*parametros_manuales!$C$95+parametros_manuales!$E$34*(datos_base!$B$3+IF(parametros_manuales!$H$34="Todos",datos_base!$B$10,0))*parametros_manuales!$C$100+parametros_manuales!$F$34*(datos_base!$B$4+IF(parametros_manuales!$H$34="Todos",datos_base!$B$11,0))*parametros_manuales!$C$105+parametros_manuales!$G$34*(datos_base!$B$5+IF(parametros_manuales!$H$34="Todos",datos_base!$B$12,0))*parametros_manuales!$C$110)*parametros_manuales!$I$34*parametros_manuales!$J$34</f>
        <v>587.55</v>
      </c>
      <c r="D17" s="4">
        <f>(parametros_manuales!$D$34*(datos_base!$B$2+IF(parametros_manuales!$H$34="Todos",datos_base!$B$9,0))*parametros_manuales!$D$95+parametros_manuales!$E$34*(datos_base!$B$3+IF(parametros_manuales!$H$34="Todos",datos_base!$B$10,0))*parametros_manuales!$D$100+parametros_manuales!$F$34*(datos_base!$B$4+IF(parametros_manuales!$H$34="Todos",datos_base!$B$11,0))*parametros_manuales!$D$105+parametros_manuales!$G$34*(datos_base!$B$5+IF(parametros_manuales!$H$34="Todos",datos_base!$B$12,0))*parametros_manuales!$D$110)*parametros_manuales!$I$34*parametros_manuales!$J$34</f>
        <v>558.975</v>
      </c>
      <c r="E17" s="4">
        <f>(parametros_manuales!$D$34*(datos_base!$B$2+IF(parametros_manuales!$H$34="Todos",datos_base!$B$9,0))*parametros_manuales!$E$95+parametros_manuales!$E$34*(datos_base!$B$3+IF(parametros_manuales!$H$34="Todos",datos_base!$B$10,0))*parametros_manuales!$E$100+parametros_manuales!$F$34*(datos_base!$B$4+IF(parametros_manuales!$H$34="Todos",datos_base!$B$11,0))*parametros_manuales!$E$105+parametros_manuales!$G$34*(datos_base!$B$5+IF(parametros_manuales!$H$34="Todos",datos_base!$B$12,0))*parametros_manuales!$E$110)*parametros_manuales!$I$34*parametros_manuales!$J$34</f>
        <v>538.08</v>
      </c>
      <c r="F17" s="4">
        <f>(parametros_manuales!$D$34*(datos_base!$B$2+IF(parametros_manuales!$H$34="Todos",datos_base!$B$9,0))*parametros_manuales!$F$95+parametros_manuales!$E$34*(datos_base!$B$3+IF(parametros_manuales!$H$34="Todos",datos_base!$B$10,0))*parametros_manuales!$F$100+parametros_manuales!$F$34*(datos_base!$B$4+IF(parametros_manuales!$H$34="Todos",datos_base!$B$11,0))*parametros_manuales!$F$105+parametros_manuales!$G$34*(datos_base!$B$5+IF(parametros_manuales!$H$34="Todos",datos_base!$B$12,0))*parametros_manuales!$F$110)*parametros_manuales!$I$34*parametros_manuales!$J$34</f>
        <v>503.97</v>
      </c>
      <c r="G17" s="4">
        <f>(parametros_manuales!$D$34*(datos_base!$B$2+IF(parametros_manuales!$H$34="Todos",datos_base!$B$9,0))*parametros_manuales!$G$95+parametros_manuales!$E$34*(datos_base!$B$3+IF(parametros_manuales!$H$34="Todos",datos_base!$B$10,0))*parametros_manuales!$G$100+parametros_manuales!$F$34*(datos_base!$B$4+IF(parametros_manuales!$H$34="Todos",datos_base!$B$11,0))*parametros_manuales!$G$105+parametros_manuales!$G$34*(datos_base!$B$5+IF(parametros_manuales!$H$34="Todos",datos_base!$B$12,0))*parametros_manuales!$G$110)*parametros_manuales!$I$34*parametros_manuales!$J$34</f>
        <v>490.755</v>
      </c>
      <c r="H17" s="4">
        <f>(parametros_manuales!$D$34*(datos_base!$B$2+IF(parametros_manuales!$H$34="Todos",datos_base!$B$9,0))*parametros_manuales!$H$95+parametros_manuales!$E$34*(datos_base!$B$3+IF(parametros_manuales!$H$34="Todos",datos_base!$B$10,0))*parametros_manuales!$H$100+parametros_manuales!$F$34*(datos_base!$B$4+IF(parametros_manuales!$H$34="Todos",datos_base!$B$11,0))*parametros_manuales!$H$105+parametros_manuales!$G$34*(datos_base!$B$5+IF(parametros_manuales!$H$34="Todos",datos_base!$B$12,0))*parametros_manuales!$H$110)*parametros_manuales!$I$34*parametros_manuales!$J$34</f>
        <v>524.865</v>
      </c>
      <c r="I17" s="4">
        <f>(parametros_manuales!$D$34*(datos_base!$B$2+IF(parametros_manuales!$H$34="Todos",datos_base!$B$9,0))*parametros_manuales!$I$95+parametros_manuales!$E$34*(datos_base!$B$3+IF(parametros_manuales!$H$34="Todos",datos_base!$B$10,0))*parametros_manuales!$I$100+parametros_manuales!$F$34*(datos_base!$B$4+IF(parametros_manuales!$H$34="Todos",datos_base!$B$11,0))*parametros_manuales!$I$105+parametros_manuales!$G$34*(datos_base!$B$5+IF(parametros_manuales!$H$34="Todos",datos_base!$B$12,0))*parametros_manuales!$I$110)*parametros_manuales!$I$34*parametros_manuales!$J$34</f>
        <v>587.55</v>
      </c>
      <c r="J17" s="4">
        <f>(parametros_manuales!$D$34*(datos_base!$B$2+IF(parametros_manuales!$H$34="Todos",datos_base!$B$9,0))*parametros_manuales!$J$95+parametros_manuales!$E$34*(datos_base!$B$3+IF(parametros_manuales!$H$34="Todos",datos_base!$B$10,0))*parametros_manuales!$J$100+parametros_manuales!$F$34*(datos_base!$B$4+IF(parametros_manuales!$H$34="Todos",datos_base!$B$11,0))*parametros_manuales!$J$105+parametros_manuales!$G$34*(datos_base!$B$5+IF(parametros_manuales!$H$34="Todos",datos_base!$B$12,0))*parametros_manuales!$J$110)*parametros_manuales!$I$34*parametros_manuales!$J$34</f>
        <v>587.55</v>
      </c>
      <c r="K17" s="4">
        <f>(parametros_manuales!$D$34*(datos_base!$B$2+IF(parametros_manuales!$H$34="Todos",datos_base!$B$9,0))*parametros_manuales!$K$95+parametros_manuales!$E$34*(datos_base!$B$3+IF(parametros_manuales!$H$34="Todos",datos_base!$B$10,0))*parametros_manuales!$K$100+parametros_manuales!$F$34*(datos_base!$B$4+IF(parametros_manuales!$H$34="Todos",datos_base!$B$11,0))*parametros_manuales!$K$105+parametros_manuales!$G$34*(datos_base!$B$5+IF(parametros_manuales!$H$34="Todos",datos_base!$B$12,0))*parametros_manuales!$K$110)*parametros_manuales!$I$34*parametros_manuales!$J$34</f>
        <v>600.765</v>
      </c>
      <c r="L17" s="4">
        <f>(parametros_manuales!$D$34*(datos_base!$B$2+IF(parametros_manuales!$H$34="Todos",datos_base!$B$9,0))*parametros_manuales!$L$95+parametros_manuales!$E$34*(datos_base!$B$3+IF(parametros_manuales!$H$34="Todos",datos_base!$B$10,0))*parametros_manuales!$L$100+parametros_manuales!$F$34*(datos_base!$B$4+IF(parametros_manuales!$H$34="Todos",datos_base!$B$11,0))*parametros_manuales!$L$105+parametros_manuales!$G$34*(datos_base!$B$5+IF(parametros_manuales!$H$34="Todos",datos_base!$B$12,0))*parametros_manuales!$L$110)*parametros_manuales!$I$34*parametros_manuales!$J$34</f>
        <v>613.98</v>
      </c>
      <c r="M17" s="4">
        <f>(parametros_manuales!$D$34*(datos_base!$B$2+IF(parametros_manuales!$H$34="Todos",datos_base!$B$9,0))*parametros_manuales!$M$95+parametros_manuales!$E$34*(datos_base!$B$3+IF(parametros_manuales!$H$34="Todos",datos_base!$B$10,0))*parametros_manuales!$M$100+parametros_manuales!$F$34*(datos_base!$B$4+IF(parametros_manuales!$H$34="Todos",datos_base!$B$11,0))*parametros_manuales!$M$105+parametros_manuales!$G$34*(datos_base!$B$5+IF(parametros_manuales!$H$34="Todos",datos_base!$B$12,0))*parametros_manuales!$M$110)*parametros_manuales!$I$34*parametros_manuales!$J$34</f>
        <v>613.98</v>
      </c>
      <c r="N17" s="4">
        <f t="shared" si="1"/>
        <v>6822</v>
      </c>
      <c r="O17" s="4">
        <f t="shared" si="2"/>
        <v>613.98</v>
      </c>
      <c r="P17" s="27">
        <f>O17/(parametros_manuales!$B$7)</f>
        <v>4.0932</v>
      </c>
      <c r="Q17" s="3" t="str">
        <f t="shared" si="3"/>
        <v>Ene</v>
      </c>
    </row>
    <row r="18" ht="14.25" customHeight="1">
      <c r="A18" s="3" t="str">
        <f>parametros_manuales!$B$35</f>
        <v>Detección de defectos</v>
      </c>
      <c r="B18" s="4">
        <f>(parametros_manuales!$D$35*(datos_base!$B$2+IF(parametros_manuales!$H$35="Todos",datos_base!$B$9,0))*parametros_manuales!$B$95+parametros_manuales!$E$35*(datos_base!$B$3+IF(parametros_manuales!$H$35="Todos",datos_base!$B$10,0))*parametros_manuales!$B$100+parametros_manuales!$F$35*(datos_base!$B$4+IF(parametros_manuales!$H$35="Todos",datos_base!$B$11,0))*parametros_manuales!$B$105+parametros_manuales!$G$35*(datos_base!$B$5+IF(parametros_manuales!$H$35="Todos",datos_base!$B$12,0))*parametros_manuales!$B$110)*parametros_manuales!$I$35*parametros_manuales!$J$35</f>
        <v>613.98</v>
      </c>
      <c r="C18" s="4">
        <f>(parametros_manuales!$D$35*(datos_base!$B$2+IF(parametros_manuales!$H$35="Todos",datos_base!$B$9,0))*parametros_manuales!$C$95+parametros_manuales!$E$35*(datos_base!$B$3+IF(parametros_manuales!$H$35="Todos",datos_base!$B$10,0))*parametros_manuales!$C$100+parametros_manuales!$F$35*(datos_base!$B$4+IF(parametros_manuales!$H$35="Todos",datos_base!$B$11,0))*parametros_manuales!$C$105+parametros_manuales!$G$35*(datos_base!$B$5+IF(parametros_manuales!$H$35="Todos",datos_base!$B$12,0))*parametros_manuales!$C$110)*parametros_manuales!$I$35*parametros_manuales!$J$35</f>
        <v>587.55</v>
      </c>
      <c r="D18" s="4">
        <f>(parametros_manuales!$D$35*(datos_base!$B$2+IF(parametros_manuales!$H$35="Todos",datos_base!$B$9,0))*parametros_manuales!$D$95+parametros_manuales!$E$35*(datos_base!$B$3+IF(parametros_manuales!$H$35="Todos",datos_base!$B$10,0))*parametros_manuales!$D$100+parametros_manuales!$F$35*(datos_base!$B$4+IF(parametros_manuales!$H$35="Todos",datos_base!$B$11,0))*parametros_manuales!$D$105+parametros_manuales!$G$35*(datos_base!$B$5+IF(parametros_manuales!$H$35="Todos",datos_base!$B$12,0))*parametros_manuales!$D$110)*parametros_manuales!$I$35*parametros_manuales!$J$35</f>
        <v>558.975</v>
      </c>
      <c r="E18" s="4">
        <f>(parametros_manuales!$D$35*(datos_base!$B$2+IF(parametros_manuales!$H$35="Todos",datos_base!$B$9,0))*parametros_manuales!$E$95+parametros_manuales!$E$35*(datos_base!$B$3+IF(parametros_manuales!$H$35="Todos",datos_base!$B$10,0))*parametros_manuales!$E$100+parametros_manuales!$F$35*(datos_base!$B$4+IF(parametros_manuales!$H$35="Todos",datos_base!$B$11,0))*parametros_manuales!$E$105+parametros_manuales!$G$35*(datos_base!$B$5+IF(parametros_manuales!$H$35="Todos",datos_base!$B$12,0))*parametros_manuales!$E$110)*parametros_manuales!$I$35*parametros_manuales!$J$35</f>
        <v>538.08</v>
      </c>
      <c r="F18" s="4">
        <f>(parametros_manuales!$D$35*(datos_base!$B$2+IF(parametros_manuales!$H$35="Todos",datos_base!$B$9,0))*parametros_manuales!$F$95+parametros_manuales!$E$35*(datos_base!$B$3+IF(parametros_manuales!$H$35="Todos",datos_base!$B$10,0))*parametros_manuales!$F$100+parametros_manuales!$F$35*(datos_base!$B$4+IF(parametros_manuales!$H$35="Todos",datos_base!$B$11,0))*parametros_manuales!$F$105+parametros_manuales!$G$35*(datos_base!$B$5+IF(parametros_manuales!$H$35="Todos",datos_base!$B$12,0))*parametros_manuales!$F$110)*parametros_manuales!$I$35*parametros_manuales!$J$35</f>
        <v>503.97</v>
      </c>
      <c r="G18" s="4">
        <f>(parametros_manuales!$D$35*(datos_base!$B$2+IF(parametros_manuales!$H$35="Todos",datos_base!$B$9,0))*parametros_manuales!$G$95+parametros_manuales!$E$35*(datos_base!$B$3+IF(parametros_manuales!$H$35="Todos",datos_base!$B$10,0))*parametros_manuales!$G$100+parametros_manuales!$F$35*(datos_base!$B$4+IF(parametros_manuales!$H$35="Todos",datos_base!$B$11,0))*parametros_manuales!$G$105+parametros_manuales!$G$35*(datos_base!$B$5+IF(parametros_manuales!$H$35="Todos",datos_base!$B$12,0))*parametros_manuales!$G$110)*parametros_manuales!$I$35*parametros_manuales!$J$35</f>
        <v>490.755</v>
      </c>
      <c r="H18" s="4">
        <f>(parametros_manuales!$D$35*(datos_base!$B$2+IF(parametros_manuales!$H$35="Todos",datos_base!$B$9,0))*parametros_manuales!$H$95+parametros_manuales!$E$35*(datos_base!$B$3+IF(parametros_manuales!$H$35="Todos",datos_base!$B$10,0))*parametros_manuales!$H$100+parametros_manuales!$F$35*(datos_base!$B$4+IF(parametros_manuales!$H$35="Todos",datos_base!$B$11,0))*parametros_manuales!$H$105+parametros_manuales!$G$35*(datos_base!$B$5+IF(parametros_manuales!$H$35="Todos",datos_base!$B$12,0))*parametros_manuales!$H$110)*parametros_manuales!$I$35*parametros_manuales!$J$35</f>
        <v>524.865</v>
      </c>
      <c r="I18" s="4">
        <f>(parametros_manuales!$D$35*(datos_base!$B$2+IF(parametros_manuales!$H$35="Todos",datos_base!$B$9,0))*parametros_manuales!$I$95+parametros_manuales!$E$35*(datos_base!$B$3+IF(parametros_manuales!$H$35="Todos",datos_base!$B$10,0))*parametros_manuales!$I$100+parametros_manuales!$F$35*(datos_base!$B$4+IF(parametros_manuales!$H$35="Todos",datos_base!$B$11,0))*parametros_manuales!$I$105+parametros_manuales!$G$35*(datos_base!$B$5+IF(parametros_manuales!$H$35="Todos",datos_base!$B$12,0))*parametros_manuales!$I$110)*parametros_manuales!$I$35*parametros_manuales!$J$35</f>
        <v>587.55</v>
      </c>
      <c r="J18" s="4">
        <f>(parametros_manuales!$D$35*(datos_base!$B$2+IF(parametros_manuales!$H$35="Todos",datos_base!$B$9,0))*parametros_manuales!$J$95+parametros_manuales!$E$35*(datos_base!$B$3+IF(parametros_manuales!$H$35="Todos",datos_base!$B$10,0))*parametros_manuales!$J$100+parametros_manuales!$F$35*(datos_base!$B$4+IF(parametros_manuales!$H$35="Todos",datos_base!$B$11,0))*parametros_manuales!$J$105+parametros_manuales!$G$35*(datos_base!$B$5+IF(parametros_manuales!$H$35="Todos",datos_base!$B$12,0))*parametros_manuales!$J$110)*parametros_manuales!$I$35*parametros_manuales!$J$35</f>
        <v>587.55</v>
      </c>
      <c r="K18" s="4">
        <f>(parametros_manuales!$D$35*(datos_base!$B$2+IF(parametros_manuales!$H$35="Todos",datos_base!$B$9,0))*parametros_manuales!$K$95+parametros_manuales!$E$35*(datos_base!$B$3+IF(parametros_manuales!$H$35="Todos",datos_base!$B$10,0))*parametros_manuales!$K$100+parametros_manuales!$F$35*(datos_base!$B$4+IF(parametros_manuales!$H$35="Todos",datos_base!$B$11,0))*parametros_manuales!$K$105+parametros_manuales!$G$35*(datos_base!$B$5+IF(parametros_manuales!$H$35="Todos",datos_base!$B$12,0))*parametros_manuales!$K$110)*parametros_manuales!$I$35*parametros_manuales!$J$35</f>
        <v>600.765</v>
      </c>
      <c r="L18" s="4">
        <f>(parametros_manuales!$D$35*(datos_base!$B$2+IF(parametros_manuales!$H$35="Todos",datos_base!$B$9,0))*parametros_manuales!$L$95+parametros_manuales!$E$35*(datos_base!$B$3+IF(parametros_manuales!$H$35="Todos",datos_base!$B$10,0))*parametros_manuales!$L$100+parametros_manuales!$F$35*(datos_base!$B$4+IF(parametros_manuales!$H$35="Todos",datos_base!$B$11,0))*parametros_manuales!$L$105+parametros_manuales!$G$35*(datos_base!$B$5+IF(parametros_manuales!$H$35="Todos",datos_base!$B$12,0))*parametros_manuales!$L$110)*parametros_manuales!$I$35*parametros_manuales!$J$35</f>
        <v>613.98</v>
      </c>
      <c r="M18" s="4">
        <f>(parametros_manuales!$D$35*(datos_base!$B$2+IF(parametros_manuales!$H$35="Todos",datos_base!$B$9,0))*parametros_manuales!$M$95+parametros_manuales!$E$35*(datos_base!$B$3+IF(parametros_manuales!$H$35="Todos",datos_base!$B$10,0))*parametros_manuales!$M$100+parametros_manuales!$F$35*(datos_base!$B$4+IF(parametros_manuales!$H$35="Todos",datos_base!$B$11,0))*parametros_manuales!$M$105+parametros_manuales!$G$35*(datos_base!$B$5+IF(parametros_manuales!$H$35="Todos",datos_base!$B$12,0))*parametros_manuales!$M$110)*parametros_manuales!$I$35*parametros_manuales!$J$35</f>
        <v>613.98</v>
      </c>
      <c r="N18" s="4">
        <f t="shared" si="1"/>
        <v>6822</v>
      </c>
      <c r="O18" s="4">
        <f t="shared" si="2"/>
        <v>613.98</v>
      </c>
      <c r="P18" s="27">
        <f>O18/(parametros_manuales!$B$7)</f>
        <v>4.0932</v>
      </c>
      <c r="Q18" s="3" t="str">
        <f t="shared" si="3"/>
        <v>Ene</v>
      </c>
    </row>
    <row r="19" ht="14.25" customHeight="1">
      <c r="A19" s="3" t="str">
        <f>parametros_manuales!$B$36</f>
        <v>Corrección de defectos</v>
      </c>
      <c r="B19" s="4">
        <f>(parametros_manuales!$D$36*(datos_base!$B$2+IF(parametros_manuales!$H$36="Todos",datos_base!$B$9,0))*parametros_manuales!$B$95+parametros_manuales!$E$36*(datos_base!$B$3+IF(parametros_manuales!$H$36="Todos",datos_base!$B$10,0))*parametros_manuales!$B$100+parametros_manuales!$F$36*(datos_base!$B$4+IF(parametros_manuales!$H$36="Todos",datos_base!$B$11,0))*parametros_manuales!$B$105+parametros_manuales!$G$36*(datos_base!$B$5+IF(parametros_manuales!$H$36="Todos",datos_base!$B$12,0))*parametros_manuales!$B$110)*parametros_manuales!$I$36*parametros_manuales!$J$36</f>
        <v>30.699</v>
      </c>
      <c r="C19" s="4">
        <f>(parametros_manuales!$D$36*(datos_base!$B$2+IF(parametros_manuales!$H$36="Todos",datos_base!$B$9,0))*parametros_manuales!$C$95+parametros_manuales!$E$36*(datos_base!$B$3+IF(parametros_manuales!$H$36="Todos",datos_base!$B$10,0))*parametros_manuales!$C$100+parametros_manuales!$F$36*(datos_base!$B$4+IF(parametros_manuales!$H$36="Todos",datos_base!$B$11,0))*parametros_manuales!$C$105+parametros_manuales!$G$36*(datos_base!$B$5+IF(parametros_manuales!$H$36="Todos",datos_base!$B$12,0))*parametros_manuales!$C$110)*parametros_manuales!$I$36*parametros_manuales!$J$36</f>
        <v>29.3775</v>
      </c>
      <c r="D19" s="4">
        <f>(parametros_manuales!$D$36*(datos_base!$B$2+IF(parametros_manuales!$H$36="Todos",datos_base!$B$9,0))*parametros_manuales!$D$95+parametros_manuales!$E$36*(datos_base!$B$3+IF(parametros_manuales!$H$36="Todos",datos_base!$B$10,0))*parametros_manuales!$D$100+parametros_manuales!$F$36*(datos_base!$B$4+IF(parametros_manuales!$H$36="Todos",datos_base!$B$11,0))*parametros_manuales!$D$105+parametros_manuales!$G$36*(datos_base!$B$5+IF(parametros_manuales!$H$36="Todos",datos_base!$B$12,0))*parametros_manuales!$D$110)*parametros_manuales!$I$36*parametros_manuales!$J$36</f>
        <v>27.94875</v>
      </c>
      <c r="E19" s="4">
        <f>(parametros_manuales!$D$36*(datos_base!$B$2+IF(parametros_manuales!$H$36="Todos",datos_base!$B$9,0))*parametros_manuales!$E$95+parametros_manuales!$E$36*(datos_base!$B$3+IF(parametros_manuales!$H$36="Todos",datos_base!$B$10,0))*parametros_manuales!$E$100+parametros_manuales!$F$36*(datos_base!$B$4+IF(parametros_manuales!$H$36="Todos",datos_base!$B$11,0))*parametros_manuales!$E$105+parametros_manuales!$G$36*(datos_base!$B$5+IF(parametros_manuales!$H$36="Todos",datos_base!$B$12,0))*parametros_manuales!$E$110)*parametros_manuales!$I$36*parametros_manuales!$J$36</f>
        <v>26.904</v>
      </c>
      <c r="F19" s="4">
        <f>(parametros_manuales!$D$36*(datos_base!$B$2+IF(parametros_manuales!$H$36="Todos",datos_base!$B$9,0))*parametros_manuales!$F$95+parametros_manuales!$E$36*(datos_base!$B$3+IF(parametros_manuales!$H$36="Todos",datos_base!$B$10,0))*parametros_manuales!$F$100+parametros_manuales!$F$36*(datos_base!$B$4+IF(parametros_manuales!$H$36="Todos",datos_base!$B$11,0))*parametros_manuales!$F$105+parametros_manuales!$G$36*(datos_base!$B$5+IF(parametros_manuales!$H$36="Todos",datos_base!$B$12,0))*parametros_manuales!$F$110)*parametros_manuales!$I$36*parametros_manuales!$J$36</f>
        <v>25.1985</v>
      </c>
      <c r="G19" s="4">
        <f>(parametros_manuales!$D$36*(datos_base!$B$2+IF(parametros_manuales!$H$36="Todos",datos_base!$B$9,0))*parametros_manuales!$G$95+parametros_manuales!$E$36*(datos_base!$B$3+IF(parametros_manuales!$H$36="Todos",datos_base!$B$10,0))*parametros_manuales!$G$100+parametros_manuales!$F$36*(datos_base!$B$4+IF(parametros_manuales!$H$36="Todos",datos_base!$B$11,0))*parametros_manuales!$G$105+parametros_manuales!$G$36*(datos_base!$B$5+IF(parametros_manuales!$H$36="Todos",datos_base!$B$12,0))*parametros_manuales!$G$110)*parametros_manuales!$I$36*parametros_manuales!$J$36</f>
        <v>24.53775</v>
      </c>
      <c r="H19" s="4">
        <f>(parametros_manuales!$D$36*(datos_base!$B$2+IF(parametros_manuales!$H$36="Todos",datos_base!$B$9,0))*parametros_manuales!$H$95+parametros_manuales!$E$36*(datos_base!$B$3+IF(parametros_manuales!$H$36="Todos",datos_base!$B$10,0))*parametros_manuales!$H$100+parametros_manuales!$F$36*(datos_base!$B$4+IF(parametros_manuales!$H$36="Todos",datos_base!$B$11,0))*parametros_manuales!$H$105+parametros_manuales!$G$36*(datos_base!$B$5+IF(parametros_manuales!$H$36="Todos",datos_base!$B$12,0))*parametros_manuales!$H$110)*parametros_manuales!$I$36*parametros_manuales!$J$36</f>
        <v>26.24325</v>
      </c>
      <c r="I19" s="4">
        <f>(parametros_manuales!$D$36*(datos_base!$B$2+IF(parametros_manuales!$H$36="Todos",datos_base!$B$9,0))*parametros_manuales!$I$95+parametros_manuales!$E$36*(datos_base!$B$3+IF(parametros_manuales!$H$36="Todos",datos_base!$B$10,0))*parametros_manuales!$I$100+parametros_manuales!$F$36*(datos_base!$B$4+IF(parametros_manuales!$H$36="Todos",datos_base!$B$11,0))*parametros_manuales!$I$105+parametros_manuales!$G$36*(datos_base!$B$5+IF(parametros_manuales!$H$36="Todos",datos_base!$B$12,0))*parametros_manuales!$I$110)*parametros_manuales!$I$36*parametros_manuales!$J$36</f>
        <v>29.3775</v>
      </c>
      <c r="J19" s="4">
        <f>(parametros_manuales!$D$36*(datos_base!$B$2+IF(parametros_manuales!$H$36="Todos",datos_base!$B$9,0))*parametros_manuales!$J$95+parametros_manuales!$E$36*(datos_base!$B$3+IF(parametros_manuales!$H$36="Todos",datos_base!$B$10,0))*parametros_manuales!$J$100+parametros_manuales!$F$36*(datos_base!$B$4+IF(parametros_manuales!$H$36="Todos",datos_base!$B$11,0))*parametros_manuales!$J$105+parametros_manuales!$G$36*(datos_base!$B$5+IF(parametros_manuales!$H$36="Todos",datos_base!$B$12,0))*parametros_manuales!$J$110)*parametros_manuales!$I$36*parametros_manuales!$J$36</f>
        <v>29.3775</v>
      </c>
      <c r="K19" s="4">
        <f>(parametros_manuales!$D$36*(datos_base!$B$2+IF(parametros_manuales!$H$36="Todos",datos_base!$B$9,0))*parametros_manuales!$K$95+parametros_manuales!$E$36*(datos_base!$B$3+IF(parametros_manuales!$H$36="Todos",datos_base!$B$10,0))*parametros_manuales!$K$100+parametros_manuales!$F$36*(datos_base!$B$4+IF(parametros_manuales!$H$36="Todos",datos_base!$B$11,0))*parametros_manuales!$K$105+parametros_manuales!$G$36*(datos_base!$B$5+IF(parametros_manuales!$H$36="Todos",datos_base!$B$12,0))*parametros_manuales!$K$110)*parametros_manuales!$I$36*parametros_manuales!$J$36</f>
        <v>30.03825</v>
      </c>
      <c r="L19" s="4">
        <f>(parametros_manuales!$D$36*(datos_base!$B$2+IF(parametros_manuales!$H$36="Todos",datos_base!$B$9,0))*parametros_manuales!$L$95+parametros_manuales!$E$36*(datos_base!$B$3+IF(parametros_manuales!$H$36="Todos",datos_base!$B$10,0))*parametros_manuales!$L$100+parametros_manuales!$F$36*(datos_base!$B$4+IF(parametros_manuales!$H$36="Todos",datos_base!$B$11,0))*parametros_manuales!$L$105+parametros_manuales!$G$36*(datos_base!$B$5+IF(parametros_manuales!$H$36="Todos",datos_base!$B$12,0))*parametros_manuales!$L$110)*parametros_manuales!$I$36*parametros_manuales!$J$36</f>
        <v>30.699</v>
      </c>
      <c r="M19" s="4">
        <f>(parametros_manuales!$D$36*(datos_base!$B$2+IF(parametros_manuales!$H$36="Todos",datos_base!$B$9,0))*parametros_manuales!$M$95+parametros_manuales!$E$36*(datos_base!$B$3+IF(parametros_manuales!$H$36="Todos",datos_base!$B$10,0))*parametros_manuales!$M$100+parametros_manuales!$F$36*(datos_base!$B$4+IF(parametros_manuales!$H$36="Todos",datos_base!$B$11,0))*parametros_manuales!$M$105+parametros_manuales!$G$36*(datos_base!$B$5+IF(parametros_manuales!$H$36="Todos",datos_base!$B$12,0))*parametros_manuales!$M$110)*parametros_manuales!$I$36*parametros_manuales!$J$36</f>
        <v>30.699</v>
      </c>
      <c r="N19" s="4">
        <f t="shared" si="1"/>
        <v>341.1</v>
      </c>
      <c r="O19" s="4">
        <f t="shared" si="2"/>
        <v>30.699</v>
      </c>
      <c r="P19" s="27">
        <f>O19/(parametros_manuales!$B$7)</f>
        <v>0.20466</v>
      </c>
      <c r="Q19" s="3" t="str">
        <f t="shared" si="3"/>
        <v>Ene</v>
      </c>
    </row>
    <row r="20" ht="14.25" customHeight="1">
      <c r="A20" s="3" t="str">
        <f>parametros_manuales!$B$37</f>
        <v>Pintura en polvo + horno</v>
      </c>
      <c r="B20" s="4">
        <f>(parametros_manuales!$D$37*(datos_base!$B$2+IF(parametros_manuales!$H$37="Todos",datos_base!$B$9,0))*parametros_manuales!$B$95+parametros_manuales!$E$37*(datos_base!$B$3+IF(parametros_manuales!$H$37="Todos",datos_base!$B$10,0))*parametros_manuales!$B$100+parametros_manuales!$F$37*(datos_base!$B$4+IF(parametros_manuales!$H$37="Todos",datos_base!$B$11,0))*parametros_manuales!$B$105+parametros_manuales!$G$37*(datos_base!$B$5+IF(parametros_manuales!$H$37="Todos",datos_base!$B$12,0))*parametros_manuales!$B$110)*parametros_manuales!$I$37*parametros_manuales!$J$37</f>
        <v>613.98</v>
      </c>
      <c r="C20" s="4">
        <f>(parametros_manuales!$D$37*(datos_base!$B$2+IF(parametros_manuales!$H$37="Todos",datos_base!$B$9,0))*parametros_manuales!$C$95+parametros_manuales!$E$37*(datos_base!$B$3+IF(parametros_manuales!$H$37="Todos",datos_base!$B$10,0))*parametros_manuales!$C$100+parametros_manuales!$F$37*(datos_base!$B$4+IF(parametros_manuales!$H$37="Todos",datos_base!$B$11,0))*parametros_manuales!$C$105+parametros_manuales!$G$37*(datos_base!$B$5+IF(parametros_manuales!$H$37="Todos",datos_base!$B$12,0))*parametros_manuales!$C$110)*parametros_manuales!$I$37*parametros_manuales!$J$37</f>
        <v>587.55</v>
      </c>
      <c r="D20" s="4">
        <f>(parametros_manuales!$D$37*(datos_base!$B$2+IF(parametros_manuales!$H$37="Todos",datos_base!$B$9,0))*parametros_manuales!$D$95+parametros_manuales!$E$37*(datos_base!$B$3+IF(parametros_manuales!$H$37="Todos",datos_base!$B$10,0))*parametros_manuales!$D$100+parametros_manuales!$F$37*(datos_base!$B$4+IF(parametros_manuales!$H$37="Todos",datos_base!$B$11,0))*parametros_manuales!$D$105+parametros_manuales!$G$37*(datos_base!$B$5+IF(parametros_manuales!$H$37="Todos",datos_base!$B$12,0))*parametros_manuales!$D$110)*parametros_manuales!$I$37*parametros_manuales!$J$37</f>
        <v>558.975</v>
      </c>
      <c r="E20" s="4">
        <f>(parametros_manuales!$D$37*(datos_base!$B$2+IF(parametros_manuales!$H$37="Todos",datos_base!$B$9,0))*parametros_manuales!$E$95+parametros_manuales!$E$37*(datos_base!$B$3+IF(parametros_manuales!$H$37="Todos",datos_base!$B$10,0))*parametros_manuales!$E$100+parametros_manuales!$F$37*(datos_base!$B$4+IF(parametros_manuales!$H$37="Todos",datos_base!$B$11,0))*parametros_manuales!$E$105+parametros_manuales!$G$37*(datos_base!$B$5+IF(parametros_manuales!$H$37="Todos",datos_base!$B$12,0))*parametros_manuales!$E$110)*parametros_manuales!$I$37*parametros_manuales!$J$37</f>
        <v>538.08</v>
      </c>
      <c r="F20" s="4">
        <f>(parametros_manuales!$D$37*(datos_base!$B$2+IF(parametros_manuales!$H$37="Todos",datos_base!$B$9,0))*parametros_manuales!$F$95+parametros_manuales!$E$37*(datos_base!$B$3+IF(parametros_manuales!$H$37="Todos",datos_base!$B$10,0))*parametros_manuales!$F$100+parametros_manuales!$F$37*(datos_base!$B$4+IF(parametros_manuales!$H$37="Todos",datos_base!$B$11,0))*parametros_manuales!$F$105+parametros_manuales!$G$37*(datos_base!$B$5+IF(parametros_manuales!$H$37="Todos",datos_base!$B$12,0))*parametros_manuales!$F$110)*parametros_manuales!$I$37*parametros_manuales!$J$37</f>
        <v>503.97</v>
      </c>
      <c r="G20" s="4">
        <f>(parametros_manuales!$D$37*(datos_base!$B$2+IF(parametros_manuales!$H$37="Todos",datos_base!$B$9,0))*parametros_manuales!$G$95+parametros_manuales!$E$37*(datos_base!$B$3+IF(parametros_manuales!$H$37="Todos",datos_base!$B$10,0))*parametros_manuales!$G$100+parametros_manuales!$F$37*(datos_base!$B$4+IF(parametros_manuales!$H$37="Todos",datos_base!$B$11,0))*parametros_manuales!$G$105+parametros_manuales!$G$37*(datos_base!$B$5+IF(parametros_manuales!$H$37="Todos",datos_base!$B$12,0))*parametros_manuales!$G$110)*parametros_manuales!$I$37*parametros_manuales!$J$37</f>
        <v>490.755</v>
      </c>
      <c r="H20" s="4">
        <f>(parametros_manuales!$D$37*(datos_base!$B$2+IF(parametros_manuales!$H$37="Todos",datos_base!$B$9,0))*parametros_manuales!$H$95+parametros_manuales!$E$37*(datos_base!$B$3+IF(parametros_manuales!$H$37="Todos",datos_base!$B$10,0))*parametros_manuales!$H$100+parametros_manuales!$F$37*(datos_base!$B$4+IF(parametros_manuales!$H$37="Todos",datos_base!$B$11,0))*parametros_manuales!$H$105+parametros_manuales!$G$37*(datos_base!$B$5+IF(parametros_manuales!$H$37="Todos",datos_base!$B$12,0))*parametros_manuales!$H$110)*parametros_manuales!$I$37*parametros_manuales!$J$37</f>
        <v>524.865</v>
      </c>
      <c r="I20" s="4">
        <f>(parametros_manuales!$D$37*(datos_base!$B$2+IF(parametros_manuales!$H$37="Todos",datos_base!$B$9,0))*parametros_manuales!$I$95+parametros_manuales!$E$37*(datos_base!$B$3+IF(parametros_manuales!$H$37="Todos",datos_base!$B$10,0))*parametros_manuales!$I$100+parametros_manuales!$F$37*(datos_base!$B$4+IF(parametros_manuales!$H$37="Todos",datos_base!$B$11,0))*parametros_manuales!$I$105+parametros_manuales!$G$37*(datos_base!$B$5+IF(parametros_manuales!$H$37="Todos",datos_base!$B$12,0))*parametros_manuales!$I$110)*parametros_manuales!$I$37*parametros_manuales!$J$37</f>
        <v>587.55</v>
      </c>
      <c r="J20" s="4">
        <f>(parametros_manuales!$D$37*(datos_base!$B$2+IF(parametros_manuales!$H$37="Todos",datos_base!$B$9,0))*parametros_manuales!$J$95+parametros_manuales!$E$37*(datos_base!$B$3+IF(parametros_manuales!$H$37="Todos",datos_base!$B$10,0))*parametros_manuales!$J$100+parametros_manuales!$F$37*(datos_base!$B$4+IF(parametros_manuales!$H$37="Todos",datos_base!$B$11,0))*parametros_manuales!$J$105+parametros_manuales!$G$37*(datos_base!$B$5+IF(parametros_manuales!$H$37="Todos",datos_base!$B$12,0))*parametros_manuales!$J$110)*parametros_manuales!$I$37*parametros_manuales!$J$37</f>
        <v>587.55</v>
      </c>
      <c r="K20" s="4">
        <f>(parametros_manuales!$D$37*(datos_base!$B$2+IF(parametros_manuales!$H$37="Todos",datos_base!$B$9,0))*parametros_manuales!$K$95+parametros_manuales!$E$37*(datos_base!$B$3+IF(parametros_manuales!$H$37="Todos",datos_base!$B$10,0))*parametros_manuales!$K$100+parametros_manuales!$F$37*(datos_base!$B$4+IF(parametros_manuales!$H$37="Todos",datos_base!$B$11,0))*parametros_manuales!$K$105+parametros_manuales!$G$37*(datos_base!$B$5+IF(parametros_manuales!$H$37="Todos",datos_base!$B$12,0))*parametros_manuales!$K$110)*parametros_manuales!$I$37*parametros_manuales!$J$37</f>
        <v>600.765</v>
      </c>
      <c r="L20" s="4">
        <f>(parametros_manuales!$D$37*(datos_base!$B$2+IF(parametros_manuales!$H$37="Todos",datos_base!$B$9,0))*parametros_manuales!$L$95+parametros_manuales!$E$37*(datos_base!$B$3+IF(parametros_manuales!$H$37="Todos",datos_base!$B$10,0))*parametros_manuales!$L$100+parametros_manuales!$F$37*(datos_base!$B$4+IF(parametros_manuales!$H$37="Todos",datos_base!$B$11,0))*parametros_manuales!$L$105+parametros_manuales!$G$37*(datos_base!$B$5+IF(parametros_manuales!$H$37="Todos",datos_base!$B$12,0))*parametros_manuales!$L$110)*parametros_manuales!$I$37*parametros_manuales!$J$37</f>
        <v>613.98</v>
      </c>
      <c r="M20" s="4">
        <f>(parametros_manuales!$D$37*(datos_base!$B$2+IF(parametros_manuales!$H$37="Todos",datos_base!$B$9,0))*parametros_manuales!$M$95+parametros_manuales!$E$37*(datos_base!$B$3+IF(parametros_manuales!$H$37="Todos",datos_base!$B$10,0))*parametros_manuales!$M$100+parametros_manuales!$F$37*(datos_base!$B$4+IF(parametros_manuales!$H$37="Todos",datos_base!$B$11,0))*parametros_manuales!$M$105+parametros_manuales!$G$37*(datos_base!$B$5+IF(parametros_manuales!$H$37="Todos",datos_base!$B$12,0))*parametros_manuales!$M$110)*parametros_manuales!$I$37*parametros_manuales!$J$37</f>
        <v>613.98</v>
      </c>
      <c r="N20" s="4">
        <f t="shared" si="1"/>
        <v>6822</v>
      </c>
      <c r="O20" s="4">
        <f t="shared" si="2"/>
        <v>613.98</v>
      </c>
      <c r="P20" s="27">
        <f>O20/(parametros_manuales!$B$7)</f>
        <v>4.0932</v>
      </c>
      <c r="Q20" s="3" t="str">
        <f t="shared" si="3"/>
        <v>Ene</v>
      </c>
    </row>
    <row r="21" ht="14.25" customHeight="1">
      <c r="A21" s="3" t="str">
        <f>parametros_manuales!$B$38</f>
        <v>Carga de polvo</v>
      </c>
      <c r="B21" s="4">
        <f>(parametros_manuales!$D$38*(datos_base!$B$2+IF(parametros_manuales!$H$38="Todos",datos_base!$B$9,0))*parametros_manuales!$B$95+parametros_manuales!$E$38*(datos_base!$B$3+IF(parametros_manuales!$H$38="Todos",datos_base!$B$10,0))*parametros_manuales!$B$100+parametros_manuales!$F$38*(datos_base!$B$4+IF(parametros_manuales!$H$38="Todos",datos_base!$B$11,0))*parametros_manuales!$B$105+parametros_manuales!$G$38*(datos_base!$B$5+IF(parametros_manuales!$H$38="Todos",datos_base!$B$12,0))*parametros_manuales!$B$110)*parametros_manuales!$I$38*parametros_manuales!$J$38</f>
        <v>613.98</v>
      </c>
      <c r="C21" s="4">
        <f>(parametros_manuales!$D$38*(datos_base!$B$2+IF(parametros_manuales!$H$38="Todos",datos_base!$B$9,0))*parametros_manuales!$C$95+parametros_manuales!$E$38*(datos_base!$B$3+IF(parametros_manuales!$H$38="Todos",datos_base!$B$10,0))*parametros_manuales!$C$100+parametros_manuales!$F$38*(datos_base!$B$4+IF(parametros_manuales!$H$38="Todos",datos_base!$B$11,0))*parametros_manuales!$C$105+parametros_manuales!$G$38*(datos_base!$B$5+IF(parametros_manuales!$H$38="Todos",datos_base!$B$12,0))*parametros_manuales!$C$110)*parametros_manuales!$I$38*parametros_manuales!$J$38</f>
        <v>587.55</v>
      </c>
      <c r="D21" s="4">
        <f>(parametros_manuales!$D$38*(datos_base!$B$2+IF(parametros_manuales!$H$38="Todos",datos_base!$B$9,0))*parametros_manuales!$D$95+parametros_manuales!$E$38*(datos_base!$B$3+IF(parametros_manuales!$H$38="Todos",datos_base!$B$10,0))*parametros_manuales!$D$100+parametros_manuales!$F$38*(datos_base!$B$4+IF(parametros_manuales!$H$38="Todos",datos_base!$B$11,0))*parametros_manuales!$D$105+parametros_manuales!$G$38*(datos_base!$B$5+IF(parametros_manuales!$H$38="Todos",datos_base!$B$12,0))*parametros_manuales!$D$110)*parametros_manuales!$I$38*parametros_manuales!$J$38</f>
        <v>558.975</v>
      </c>
      <c r="E21" s="4">
        <f>(parametros_manuales!$D$38*(datos_base!$B$2+IF(parametros_manuales!$H$38="Todos",datos_base!$B$9,0))*parametros_manuales!$E$95+parametros_manuales!$E$38*(datos_base!$B$3+IF(parametros_manuales!$H$38="Todos",datos_base!$B$10,0))*parametros_manuales!$E$100+parametros_manuales!$F$38*(datos_base!$B$4+IF(parametros_manuales!$H$38="Todos",datos_base!$B$11,0))*parametros_manuales!$E$105+parametros_manuales!$G$38*(datos_base!$B$5+IF(parametros_manuales!$H$38="Todos",datos_base!$B$12,0))*parametros_manuales!$E$110)*parametros_manuales!$I$38*parametros_manuales!$J$38</f>
        <v>538.08</v>
      </c>
      <c r="F21" s="4">
        <f>(parametros_manuales!$D$38*(datos_base!$B$2+IF(parametros_manuales!$H$38="Todos",datos_base!$B$9,0))*parametros_manuales!$F$95+parametros_manuales!$E$38*(datos_base!$B$3+IF(parametros_manuales!$H$38="Todos",datos_base!$B$10,0))*parametros_manuales!$F$100+parametros_manuales!$F$38*(datos_base!$B$4+IF(parametros_manuales!$H$38="Todos",datos_base!$B$11,0))*parametros_manuales!$F$105+parametros_manuales!$G$38*(datos_base!$B$5+IF(parametros_manuales!$H$38="Todos",datos_base!$B$12,0))*parametros_manuales!$F$110)*parametros_manuales!$I$38*parametros_manuales!$J$38</f>
        <v>503.97</v>
      </c>
      <c r="G21" s="4">
        <f>(parametros_manuales!$D$38*(datos_base!$B$2+IF(parametros_manuales!$H$38="Todos",datos_base!$B$9,0))*parametros_manuales!$G$95+parametros_manuales!$E$38*(datos_base!$B$3+IF(parametros_manuales!$H$38="Todos",datos_base!$B$10,0))*parametros_manuales!$G$100+parametros_manuales!$F$38*(datos_base!$B$4+IF(parametros_manuales!$H$38="Todos",datos_base!$B$11,0))*parametros_manuales!$G$105+parametros_manuales!$G$38*(datos_base!$B$5+IF(parametros_manuales!$H$38="Todos",datos_base!$B$12,0))*parametros_manuales!$G$110)*parametros_manuales!$I$38*parametros_manuales!$J$38</f>
        <v>490.755</v>
      </c>
      <c r="H21" s="4">
        <f>(parametros_manuales!$D$38*(datos_base!$B$2+IF(parametros_manuales!$H$38="Todos",datos_base!$B$9,0))*parametros_manuales!$H$95+parametros_manuales!$E$38*(datos_base!$B$3+IF(parametros_manuales!$H$38="Todos",datos_base!$B$10,0))*parametros_manuales!$H$100+parametros_manuales!$F$38*(datos_base!$B$4+IF(parametros_manuales!$H$38="Todos",datos_base!$B$11,0))*parametros_manuales!$H$105+parametros_manuales!$G$38*(datos_base!$B$5+IF(parametros_manuales!$H$38="Todos",datos_base!$B$12,0))*parametros_manuales!$H$110)*parametros_manuales!$I$38*parametros_manuales!$J$38</f>
        <v>524.865</v>
      </c>
      <c r="I21" s="4">
        <f>(parametros_manuales!$D$38*(datos_base!$B$2+IF(parametros_manuales!$H$38="Todos",datos_base!$B$9,0))*parametros_manuales!$I$95+parametros_manuales!$E$38*(datos_base!$B$3+IF(parametros_manuales!$H$38="Todos",datos_base!$B$10,0))*parametros_manuales!$I$100+parametros_manuales!$F$38*(datos_base!$B$4+IF(parametros_manuales!$H$38="Todos",datos_base!$B$11,0))*parametros_manuales!$I$105+parametros_manuales!$G$38*(datos_base!$B$5+IF(parametros_manuales!$H$38="Todos",datos_base!$B$12,0))*parametros_manuales!$I$110)*parametros_manuales!$I$38*parametros_manuales!$J$38</f>
        <v>587.55</v>
      </c>
      <c r="J21" s="4">
        <f>(parametros_manuales!$D$38*(datos_base!$B$2+IF(parametros_manuales!$H$38="Todos",datos_base!$B$9,0))*parametros_manuales!$J$95+parametros_manuales!$E$38*(datos_base!$B$3+IF(parametros_manuales!$H$38="Todos",datos_base!$B$10,0))*parametros_manuales!$J$100+parametros_manuales!$F$38*(datos_base!$B$4+IF(parametros_manuales!$H$38="Todos",datos_base!$B$11,0))*parametros_manuales!$J$105+parametros_manuales!$G$38*(datos_base!$B$5+IF(parametros_manuales!$H$38="Todos",datos_base!$B$12,0))*parametros_manuales!$J$110)*parametros_manuales!$I$38*parametros_manuales!$J$38</f>
        <v>587.55</v>
      </c>
      <c r="K21" s="4">
        <f>(parametros_manuales!$D$38*(datos_base!$B$2+IF(parametros_manuales!$H$38="Todos",datos_base!$B$9,0))*parametros_manuales!$K$95+parametros_manuales!$E$38*(datos_base!$B$3+IF(parametros_manuales!$H$38="Todos",datos_base!$B$10,0))*parametros_manuales!$K$100+parametros_manuales!$F$38*(datos_base!$B$4+IF(parametros_manuales!$H$38="Todos",datos_base!$B$11,0))*parametros_manuales!$K$105+parametros_manuales!$G$38*(datos_base!$B$5+IF(parametros_manuales!$H$38="Todos",datos_base!$B$12,0))*parametros_manuales!$K$110)*parametros_manuales!$I$38*parametros_manuales!$J$38</f>
        <v>600.765</v>
      </c>
      <c r="L21" s="4">
        <f>(parametros_manuales!$D$38*(datos_base!$B$2+IF(parametros_manuales!$H$38="Todos",datos_base!$B$9,0))*parametros_manuales!$L$95+parametros_manuales!$E$38*(datos_base!$B$3+IF(parametros_manuales!$H$38="Todos",datos_base!$B$10,0))*parametros_manuales!$L$100+parametros_manuales!$F$38*(datos_base!$B$4+IF(parametros_manuales!$H$38="Todos",datos_base!$B$11,0))*parametros_manuales!$L$105+parametros_manuales!$G$38*(datos_base!$B$5+IF(parametros_manuales!$H$38="Todos",datos_base!$B$12,0))*parametros_manuales!$L$110)*parametros_manuales!$I$38*parametros_manuales!$J$38</f>
        <v>613.98</v>
      </c>
      <c r="M21" s="4">
        <f>(parametros_manuales!$D$38*(datos_base!$B$2+IF(parametros_manuales!$H$38="Todos",datos_base!$B$9,0))*parametros_manuales!$M$95+parametros_manuales!$E$38*(datos_base!$B$3+IF(parametros_manuales!$H$38="Todos",datos_base!$B$10,0))*parametros_manuales!$M$100+parametros_manuales!$F$38*(datos_base!$B$4+IF(parametros_manuales!$H$38="Todos",datos_base!$B$11,0))*parametros_manuales!$M$105+parametros_manuales!$G$38*(datos_base!$B$5+IF(parametros_manuales!$H$38="Todos",datos_base!$B$12,0))*parametros_manuales!$M$110)*parametros_manuales!$I$38*parametros_manuales!$J$38</f>
        <v>613.98</v>
      </c>
      <c r="N21" s="4">
        <f t="shared" si="1"/>
        <v>6822</v>
      </c>
      <c r="O21" s="4">
        <f t="shared" si="2"/>
        <v>613.98</v>
      </c>
      <c r="P21" s="27">
        <f>O21/(parametros_manuales!$B$7)</f>
        <v>4.0932</v>
      </c>
      <c r="Q21" s="3" t="str">
        <f t="shared" si="3"/>
        <v>Ene</v>
      </c>
    </row>
    <row r="22" ht="14.25" customHeight="1">
      <c r="A22" s="3" t="str">
        <f>parametros_manuales!$B$39</f>
        <v>Ensamblaje</v>
      </c>
      <c r="B22" s="4">
        <f>(parametros_manuales!$D$39*(datos_base!$B$2+IF(parametros_manuales!$H$39="Todos",datos_base!$B$9,0))*parametros_manuales!$B$95+parametros_manuales!$E$39*(datos_base!$B$3+IF(parametros_manuales!$H$39="Todos",datos_base!$B$10,0))*parametros_manuales!$B$100+parametros_manuales!$F$39*(datos_base!$B$4+IF(parametros_manuales!$H$39="Todos",datos_base!$B$11,0))*parametros_manuales!$B$105+parametros_manuales!$G$39*(datos_base!$B$5+IF(parametros_manuales!$H$39="Todos",datos_base!$B$12,0))*parametros_manuales!$B$110)*parametros_manuales!$I$39*parametros_manuales!$J$39</f>
        <v>613.98</v>
      </c>
      <c r="C22" s="4">
        <f>(parametros_manuales!$D$39*(datos_base!$B$2+IF(parametros_manuales!$H$39="Todos",datos_base!$B$9,0))*parametros_manuales!$C$95+parametros_manuales!$E$39*(datos_base!$B$3+IF(parametros_manuales!$H$39="Todos",datos_base!$B$10,0))*parametros_manuales!$C$100+parametros_manuales!$F$39*(datos_base!$B$4+IF(parametros_manuales!$H$39="Todos",datos_base!$B$11,0))*parametros_manuales!$C$105+parametros_manuales!$G$39*(datos_base!$B$5+IF(parametros_manuales!$H$39="Todos",datos_base!$B$12,0))*parametros_manuales!$C$110)*parametros_manuales!$I$39*parametros_manuales!$J$39</f>
        <v>587.55</v>
      </c>
      <c r="D22" s="4">
        <f>(parametros_manuales!$D$39*(datos_base!$B$2+IF(parametros_manuales!$H$39="Todos",datos_base!$B$9,0))*parametros_manuales!$D$95+parametros_manuales!$E$39*(datos_base!$B$3+IF(parametros_manuales!$H$39="Todos",datos_base!$B$10,0))*parametros_manuales!$D$100+parametros_manuales!$F$39*(datos_base!$B$4+IF(parametros_manuales!$H$39="Todos",datos_base!$B$11,0))*parametros_manuales!$D$105+parametros_manuales!$G$39*(datos_base!$B$5+IF(parametros_manuales!$H$39="Todos",datos_base!$B$12,0))*parametros_manuales!$D$110)*parametros_manuales!$I$39*parametros_manuales!$J$39</f>
        <v>558.975</v>
      </c>
      <c r="E22" s="4">
        <f>(parametros_manuales!$D$39*(datos_base!$B$2+IF(parametros_manuales!$H$39="Todos",datos_base!$B$9,0))*parametros_manuales!$E$95+parametros_manuales!$E$39*(datos_base!$B$3+IF(parametros_manuales!$H$39="Todos",datos_base!$B$10,0))*parametros_manuales!$E$100+parametros_manuales!$F$39*(datos_base!$B$4+IF(parametros_manuales!$H$39="Todos",datos_base!$B$11,0))*parametros_manuales!$E$105+parametros_manuales!$G$39*(datos_base!$B$5+IF(parametros_manuales!$H$39="Todos",datos_base!$B$12,0))*parametros_manuales!$E$110)*parametros_manuales!$I$39*parametros_manuales!$J$39</f>
        <v>538.08</v>
      </c>
      <c r="F22" s="4">
        <f>(parametros_manuales!$D$39*(datos_base!$B$2+IF(parametros_manuales!$H$39="Todos",datos_base!$B$9,0))*parametros_manuales!$F$95+parametros_manuales!$E$39*(datos_base!$B$3+IF(parametros_manuales!$H$39="Todos",datos_base!$B$10,0))*parametros_manuales!$F$100+parametros_manuales!$F$39*(datos_base!$B$4+IF(parametros_manuales!$H$39="Todos",datos_base!$B$11,0))*parametros_manuales!$F$105+parametros_manuales!$G$39*(datos_base!$B$5+IF(parametros_manuales!$H$39="Todos",datos_base!$B$12,0))*parametros_manuales!$F$110)*parametros_manuales!$I$39*parametros_manuales!$J$39</f>
        <v>503.97</v>
      </c>
      <c r="G22" s="4">
        <f>(parametros_manuales!$D$39*(datos_base!$B$2+IF(parametros_manuales!$H$39="Todos",datos_base!$B$9,0))*parametros_manuales!$G$95+parametros_manuales!$E$39*(datos_base!$B$3+IF(parametros_manuales!$H$39="Todos",datos_base!$B$10,0))*parametros_manuales!$G$100+parametros_manuales!$F$39*(datos_base!$B$4+IF(parametros_manuales!$H$39="Todos",datos_base!$B$11,0))*parametros_manuales!$G$105+parametros_manuales!$G$39*(datos_base!$B$5+IF(parametros_manuales!$H$39="Todos",datos_base!$B$12,0))*parametros_manuales!$G$110)*parametros_manuales!$I$39*parametros_manuales!$J$39</f>
        <v>490.755</v>
      </c>
      <c r="H22" s="4">
        <f>(parametros_manuales!$D$39*(datos_base!$B$2+IF(parametros_manuales!$H$39="Todos",datos_base!$B$9,0))*parametros_manuales!$H$95+parametros_manuales!$E$39*(datos_base!$B$3+IF(parametros_manuales!$H$39="Todos",datos_base!$B$10,0))*parametros_manuales!$H$100+parametros_manuales!$F$39*(datos_base!$B$4+IF(parametros_manuales!$H$39="Todos",datos_base!$B$11,0))*parametros_manuales!$H$105+parametros_manuales!$G$39*(datos_base!$B$5+IF(parametros_manuales!$H$39="Todos",datos_base!$B$12,0))*parametros_manuales!$H$110)*parametros_manuales!$I$39*parametros_manuales!$J$39</f>
        <v>524.865</v>
      </c>
      <c r="I22" s="4">
        <f>(parametros_manuales!$D$39*(datos_base!$B$2+IF(parametros_manuales!$H$39="Todos",datos_base!$B$9,0))*parametros_manuales!$I$95+parametros_manuales!$E$39*(datos_base!$B$3+IF(parametros_manuales!$H$39="Todos",datos_base!$B$10,0))*parametros_manuales!$I$100+parametros_manuales!$F$39*(datos_base!$B$4+IF(parametros_manuales!$H$39="Todos",datos_base!$B$11,0))*parametros_manuales!$I$105+parametros_manuales!$G$39*(datos_base!$B$5+IF(parametros_manuales!$H$39="Todos",datos_base!$B$12,0))*parametros_manuales!$I$110)*parametros_manuales!$I$39*parametros_manuales!$J$39</f>
        <v>587.55</v>
      </c>
      <c r="J22" s="4">
        <f>(parametros_manuales!$D$39*(datos_base!$B$2+IF(parametros_manuales!$H$39="Todos",datos_base!$B$9,0))*parametros_manuales!$J$95+parametros_manuales!$E$39*(datos_base!$B$3+IF(parametros_manuales!$H$39="Todos",datos_base!$B$10,0))*parametros_manuales!$J$100+parametros_manuales!$F$39*(datos_base!$B$4+IF(parametros_manuales!$H$39="Todos",datos_base!$B$11,0))*parametros_manuales!$J$105+parametros_manuales!$G$39*(datos_base!$B$5+IF(parametros_manuales!$H$39="Todos",datos_base!$B$12,0))*parametros_manuales!$J$110)*parametros_manuales!$I$39*parametros_manuales!$J$39</f>
        <v>587.55</v>
      </c>
      <c r="K22" s="4">
        <f>(parametros_manuales!$D$39*(datos_base!$B$2+IF(parametros_manuales!$H$39="Todos",datos_base!$B$9,0))*parametros_manuales!$K$95+parametros_manuales!$E$39*(datos_base!$B$3+IF(parametros_manuales!$H$39="Todos",datos_base!$B$10,0))*parametros_manuales!$K$100+parametros_manuales!$F$39*(datos_base!$B$4+IF(parametros_manuales!$H$39="Todos",datos_base!$B$11,0))*parametros_manuales!$K$105+parametros_manuales!$G$39*(datos_base!$B$5+IF(parametros_manuales!$H$39="Todos",datos_base!$B$12,0))*parametros_manuales!$K$110)*parametros_manuales!$I$39*parametros_manuales!$J$39</f>
        <v>600.765</v>
      </c>
      <c r="L22" s="4">
        <f>(parametros_manuales!$D$39*(datos_base!$B$2+IF(parametros_manuales!$H$39="Todos",datos_base!$B$9,0))*parametros_manuales!$L$95+parametros_manuales!$E$39*(datos_base!$B$3+IF(parametros_manuales!$H$39="Todos",datos_base!$B$10,0))*parametros_manuales!$L$100+parametros_manuales!$F$39*(datos_base!$B$4+IF(parametros_manuales!$H$39="Todos",datos_base!$B$11,0))*parametros_manuales!$L$105+parametros_manuales!$G$39*(datos_base!$B$5+IF(parametros_manuales!$H$39="Todos",datos_base!$B$12,0))*parametros_manuales!$L$110)*parametros_manuales!$I$39*parametros_manuales!$J$39</f>
        <v>613.98</v>
      </c>
      <c r="M22" s="4">
        <f>(parametros_manuales!$D$39*(datos_base!$B$2+IF(parametros_manuales!$H$39="Todos",datos_base!$B$9,0))*parametros_manuales!$M$95+parametros_manuales!$E$39*(datos_base!$B$3+IF(parametros_manuales!$H$39="Todos",datos_base!$B$10,0))*parametros_manuales!$M$100+parametros_manuales!$F$39*(datos_base!$B$4+IF(parametros_manuales!$H$39="Todos",datos_base!$B$11,0))*parametros_manuales!$M$105+parametros_manuales!$G$39*(datos_base!$B$5+IF(parametros_manuales!$H$39="Todos",datos_base!$B$12,0))*parametros_manuales!$M$110)*parametros_manuales!$I$39*parametros_manuales!$J$39</f>
        <v>613.98</v>
      </c>
      <c r="N22" s="4">
        <f t="shared" si="1"/>
        <v>6822</v>
      </c>
      <c r="O22" s="4">
        <f t="shared" si="2"/>
        <v>613.98</v>
      </c>
      <c r="P22" s="27">
        <f>O22/(parametros_manuales!$B$7)</f>
        <v>4.0932</v>
      </c>
      <c r="Q22" s="3" t="str">
        <f t="shared" si="3"/>
        <v>Ene</v>
      </c>
    </row>
    <row r="23" ht="14.25" customHeight="1">
      <c r="A23" s="3" t="str">
        <f>parametros_manuales!$B$40</f>
        <v>Presurización</v>
      </c>
      <c r="B23" s="4">
        <f>(parametros_manuales!$D$40*(datos_base!$B$2+IF(parametros_manuales!$H$40="Todos",datos_base!$B$9,0))*parametros_manuales!$B$95+parametros_manuales!$E$40*(datos_base!$B$3+IF(parametros_manuales!$H$40="Todos",datos_base!$B$10,0))*parametros_manuales!$B$100+parametros_manuales!$F$40*(datos_base!$B$4+IF(parametros_manuales!$H$40="Todos",datos_base!$B$11,0))*parametros_manuales!$B$105+parametros_manuales!$G$40*(datos_base!$B$5+IF(parametros_manuales!$H$40="Todos",datos_base!$B$12,0))*parametros_manuales!$B$110)*parametros_manuales!$I$40*parametros_manuales!$J$40</f>
        <v>613.98</v>
      </c>
      <c r="C23" s="4">
        <f>(parametros_manuales!$D$40*(datos_base!$B$2+IF(parametros_manuales!$H$40="Todos",datos_base!$B$9,0))*parametros_manuales!$C$95+parametros_manuales!$E$40*(datos_base!$B$3+IF(parametros_manuales!$H$40="Todos",datos_base!$B$10,0))*parametros_manuales!$C$100+parametros_manuales!$F$40*(datos_base!$B$4+IF(parametros_manuales!$H$40="Todos",datos_base!$B$11,0))*parametros_manuales!$C$105+parametros_manuales!$G$40*(datos_base!$B$5+IF(parametros_manuales!$H$40="Todos",datos_base!$B$12,0))*parametros_manuales!$C$110)*parametros_manuales!$I$40*parametros_manuales!$J$40</f>
        <v>587.55</v>
      </c>
      <c r="D23" s="4">
        <f>(parametros_manuales!$D$40*(datos_base!$B$2+IF(parametros_manuales!$H$40="Todos",datos_base!$B$9,0))*parametros_manuales!$D$95+parametros_manuales!$E$40*(datos_base!$B$3+IF(parametros_manuales!$H$40="Todos",datos_base!$B$10,0))*parametros_manuales!$D$100+parametros_manuales!$F$40*(datos_base!$B$4+IF(parametros_manuales!$H$40="Todos",datos_base!$B$11,0))*parametros_manuales!$D$105+parametros_manuales!$G$40*(datos_base!$B$5+IF(parametros_manuales!$H$40="Todos",datos_base!$B$12,0))*parametros_manuales!$D$110)*parametros_manuales!$I$40*parametros_manuales!$J$40</f>
        <v>558.975</v>
      </c>
      <c r="E23" s="4">
        <f>(parametros_manuales!$D$40*(datos_base!$B$2+IF(parametros_manuales!$H$40="Todos",datos_base!$B$9,0))*parametros_manuales!$E$95+parametros_manuales!$E$40*(datos_base!$B$3+IF(parametros_manuales!$H$40="Todos",datos_base!$B$10,0))*parametros_manuales!$E$100+parametros_manuales!$F$40*(datos_base!$B$4+IF(parametros_manuales!$H$40="Todos",datos_base!$B$11,0))*parametros_manuales!$E$105+parametros_manuales!$G$40*(datos_base!$B$5+IF(parametros_manuales!$H$40="Todos",datos_base!$B$12,0))*parametros_manuales!$E$110)*parametros_manuales!$I$40*parametros_manuales!$J$40</f>
        <v>538.08</v>
      </c>
      <c r="F23" s="4">
        <f>(parametros_manuales!$D$40*(datos_base!$B$2+IF(parametros_manuales!$H$40="Todos",datos_base!$B$9,0))*parametros_manuales!$F$95+parametros_manuales!$E$40*(datos_base!$B$3+IF(parametros_manuales!$H$40="Todos",datos_base!$B$10,0))*parametros_manuales!$F$100+parametros_manuales!$F$40*(datos_base!$B$4+IF(parametros_manuales!$H$40="Todos",datos_base!$B$11,0))*parametros_manuales!$F$105+parametros_manuales!$G$40*(datos_base!$B$5+IF(parametros_manuales!$H$40="Todos",datos_base!$B$12,0))*parametros_manuales!$F$110)*parametros_manuales!$I$40*parametros_manuales!$J$40</f>
        <v>503.97</v>
      </c>
      <c r="G23" s="4">
        <f>(parametros_manuales!$D$40*(datos_base!$B$2+IF(parametros_manuales!$H$40="Todos",datos_base!$B$9,0))*parametros_manuales!$G$95+parametros_manuales!$E$40*(datos_base!$B$3+IF(parametros_manuales!$H$40="Todos",datos_base!$B$10,0))*parametros_manuales!$G$100+parametros_manuales!$F$40*(datos_base!$B$4+IF(parametros_manuales!$H$40="Todos",datos_base!$B$11,0))*parametros_manuales!$G$105+parametros_manuales!$G$40*(datos_base!$B$5+IF(parametros_manuales!$H$40="Todos",datos_base!$B$12,0))*parametros_manuales!$G$110)*parametros_manuales!$I$40*parametros_manuales!$J$40</f>
        <v>490.755</v>
      </c>
      <c r="H23" s="4">
        <f>(parametros_manuales!$D$40*(datos_base!$B$2+IF(parametros_manuales!$H$40="Todos",datos_base!$B$9,0))*parametros_manuales!$H$95+parametros_manuales!$E$40*(datos_base!$B$3+IF(parametros_manuales!$H$40="Todos",datos_base!$B$10,0))*parametros_manuales!$H$100+parametros_manuales!$F$40*(datos_base!$B$4+IF(parametros_manuales!$H$40="Todos",datos_base!$B$11,0))*parametros_manuales!$H$105+parametros_manuales!$G$40*(datos_base!$B$5+IF(parametros_manuales!$H$40="Todos",datos_base!$B$12,0))*parametros_manuales!$H$110)*parametros_manuales!$I$40*parametros_manuales!$J$40</f>
        <v>524.865</v>
      </c>
      <c r="I23" s="4">
        <f>(parametros_manuales!$D$40*(datos_base!$B$2+IF(parametros_manuales!$H$40="Todos",datos_base!$B$9,0))*parametros_manuales!$I$95+parametros_manuales!$E$40*(datos_base!$B$3+IF(parametros_manuales!$H$40="Todos",datos_base!$B$10,0))*parametros_manuales!$I$100+parametros_manuales!$F$40*(datos_base!$B$4+IF(parametros_manuales!$H$40="Todos",datos_base!$B$11,0))*parametros_manuales!$I$105+parametros_manuales!$G$40*(datos_base!$B$5+IF(parametros_manuales!$H$40="Todos",datos_base!$B$12,0))*parametros_manuales!$I$110)*parametros_manuales!$I$40*parametros_manuales!$J$40</f>
        <v>587.55</v>
      </c>
      <c r="J23" s="4">
        <f>(parametros_manuales!$D$40*(datos_base!$B$2+IF(parametros_manuales!$H$40="Todos",datos_base!$B$9,0))*parametros_manuales!$J$95+parametros_manuales!$E$40*(datos_base!$B$3+IF(parametros_manuales!$H$40="Todos",datos_base!$B$10,0))*parametros_manuales!$J$100+parametros_manuales!$F$40*(datos_base!$B$4+IF(parametros_manuales!$H$40="Todos",datos_base!$B$11,0))*parametros_manuales!$J$105+parametros_manuales!$G$40*(datos_base!$B$5+IF(parametros_manuales!$H$40="Todos",datos_base!$B$12,0))*parametros_manuales!$J$110)*parametros_manuales!$I$40*parametros_manuales!$J$40</f>
        <v>587.55</v>
      </c>
      <c r="K23" s="4">
        <f>(parametros_manuales!$D$40*(datos_base!$B$2+IF(parametros_manuales!$H$40="Todos",datos_base!$B$9,0))*parametros_manuales!$K$95+parametros_manuales!$E$40*(datos_base!$B$3+IF(parametros_manuales!$H$40="Todos",datos_base!$B$10,0))*parametros_manuales!$K$100+parametros_manuales!$F$40*(datos_base!$B$4+IF(parametros_manuales!$H$40="Todos",datos_base!$B$11,0))*parametros_manuales!$K$105+parametros_manuales!$G$40*(datos_base!$B$5+IF(parametros_manuales!$H$40="Todos",datos_base!$B$12,0))*parametros_manuales!$K$110)*parametros_manuales!$I$40*parametros_manuales!$J$40</f>
        <v>600.765</v>
      </c>
      <c r="L23" s="4">
        <f>(parametros_manuales!$D$40*(datos_base!$B$2+IF(parametros_manuales!$H$40="Todos",datos_base!$B$9,0))*parametros_manuales!$L$95+parametros_manuales!$E$40*(datos_base!$B$3+IF(parametros_manuales!$H$40="Todos",datos_base!$B$10,0))*parametros_manuales!$L$100+parametros_manuales!$F$40*(datos_base!$B$4+IF(parametros_manuales!$H$40="Todos",datos_base!$B$11,0))*parametros_manuales!$L$105+parametros_manuales!$G$40*(datos_base!$B$5+IF(parametros_manuales!$H$40="Todos",datos_base!$B$12,0))*parametros_manuales!$L$110)*parametros_manuales!$I$40*parametros_manuales!$J$40</f>
        <v>613.98</v>
      </c>
      <c r="M23" s="4">
        <f>(parametros_manuales!$D$40*(datos_base!$B$2+IF(parametros_manuales!$H$40="Todos",datos_base!$B$9,0))*parametros_manuales!$M$95+parametros_manuales!$E$40*(datos_base!$B$3+IF(parametros_manuales!$H$40="Todos",datos_base!$B$10,0))*parametros_manuales!$M$100+parametros_manuales!$F$40*(datos_base!$B$4+IF(parametros_manuales!$H$40="Todos",datos_base!$B$11,0))*parametros_manuales!$M$105+parametros_manuales!$G$40*(datos_base!$B$5+IF(parametros_manuales!$H$40="Todos",datos_base!$B$12,0))*parametros_manuales!$M$110)*parametros_manuales!$I$40*parametros_manuales!$J$40</f>
        <v>613.98</v>
      </c>
      <c r="N23" s="4">
        <f t="shared" si="1"/>
        <v>6822</v>
      </c>
      <c r="O23" s="4">
        <f t="shared" si="2"/>
        <v>613.98</v>
      </c>
      <c r="P23" s="27">
        <f>O23/(parametros_manuales!$B$7)</f>
        <v>4.0932</v>
      </c>
      <c r="Q23" s="3" t="str">
        <f t="shared" si="3"/>
        <v>Ene</v>
      </c>
    </row>
    <row r="24" ht="14.25" customHeight="1">
      <c r="A24" s="3" t="str">
        <f>parametros_manuales!$B$41</f>
        <v>Control de calidad — Ensayo de pérdidas</v>
      </c>
      <c r="B24" s="4">
        <f>(parametros_manuales!$D$41*(datos_base!$B$2+IF(parametros_manuales!$H$41="Todos",datos_base!$B$9,0))*parametros_manuales!$B$95+parametros_manuales!$E$41*(datos_base!$B$3+IF(parametros_manuales!$H$41="Todos",datos_base!$B$10,0))*parametros_manuales!$B$100+parametros_manuales!$F$41*(datos_base!$B$4+IF(parametros_manuales!$H$41="Todos",datos_base!$B$11,0))*parametros_manuales!$B$105+parametros_manuales!$G$41*(datos_base!$B$5+IF(parametros_manuales!$H$41="Todos",datos_base!$B$12,0))*parametros_manuales!$B$110)*parametros_manuales!$I$41*parametros_manuales!$J$41</f>
        <v>613.98</v>
      </c>
      <c r="C24" s="4">
        <f>(parametros_manuales!$D$41*(datos_base!$B$2+IF(parametros_manuales!$H$41="Todos",datos_base!$B$9,0))*parametros_manuales!$C$95+parametros_manuales!$E$41*(datos_base!$B$3+IF(parametros_manuales!$H$41="Todos",datos_base!$B$10,0))*parametros_manuales!$C$100+parametros_manuales!$F$41*(datos_base!$B$4+IF(parametros_manuales!$H$41="Todos",datos_base!$B$11,0))*parametros_manuales!$C$105+parametros_manuales!$G$41*(datos_base!$B$5+IF(parametros_manuales!$H$41="Todos",datos_base!$B$12,0))*parametros_manuales!$C$110)*parametros_manuales!$I$41*parametros_manuales!$J$41</f>
        <v>587.55</v>
      </c>
      <c r="D24" s="4">
        <f>(parametros_manuales!$D$41*(datos_base!$B$2+IF(parametros_manuales!$H$41="Todos",datos_base!$B$9,0))*parametros_manuales!$D$95+parametros_manuales!$E$41*(datos_base!$B$3+IF(parametros_manuales!$H$41="Todos",datos_base!$B$10,0))*parametros_manuales!$D$100+parametros_manuales!$F$41*(datos_base!$B$4+IF(parametros_manuales!$H$41="Todos",datos_base!$B$11,0))*parametros_manuales!$D$105+parametros_manuales!$G$41*(datos_base!$B$5+IF(parametros_manuales!$H$41="Todos",datos_base!$B$12,0))*parametros_manuales!$D$110)*parametros_manuales!$I$41*parametros_manuales!$J$41</f>
        <v>558.975</v>
      </c>
      <c r="E24" s="4">
        <f>(parametros_manuales!$D$41*(datos_base!$B$2+IF(parametros_manuales!$H$41="Todos",datos_base!$B$9,0))*parametros_manuales!$E$95+parametros_manuales!$E$41*(datos_base!$B$3+IF(parametros_manuales!$H$41="Todos",datos_base!$B$10,0))*parametros_manuales!$E$100+parametros_manuales!$F$41*(datos_base!$B$4+IF(parametros_manuales!$H$41="Todos",datos_base!$B$11,0))*parametros_manuales!$E$105+parametros_manuales!$G$41*(datos_base!$B$5+IF(parametros_manuales!$H$41="Todos",datos_base!$B$12,0))*parametros_manuales!$E$110)*parametros_manuales!$I$41*parametros_manuales!$J$41</f>
        <v>538.08</v>
      </c>
      <c r="F24" s="4">
        <f>(parametros_manuales!$D$41*(datos_base!$B$2+IF(parametros_manuales!$H$41="Todos",datos_base!$B$9,0))*parametros_manuales!$F$95+parametros_manuales!$E$41*(datos_base!$B$3+IF(parametros_manuales!$H$41="Todos",datos_base!$B$10,0))*parametros_manuales!$F$100+parametros_manuales!$F$41*(datos_base!$B$4+IF(parametros_manuales!$H$41="Todos",datos_base!$B$11,0))*parametros_manuales!$F$105+parametros_manuales!$G$41*(datos_base!$B$5+IF(parametros_manuales!$H$41="Todos",datos_base!$B$12,0))*parametros_manuales!$F$110)*parametros_manuales!$I$41*parametros_manuales!$J$41</f>
        <v>503.97</v>
      </c>
      <c r="G24" s="4">
        <f>(parametros_manuales!$D$41*(datos_base!$B$2+IF(parametros_manuales!$H$41="Todos",datos_base!$B$9,0))*parametros_manuales!$G$95+parametros_manuales!$E$41*(datos_base!$B$3+IF(parametros_manuales!$H$41="Todos",datos_base!$B$10,0))*parametros_manuales!$G$100+parametros_manuales!$F$41*(datos_base!$B$4+IF(parametros_manuales!$H$41="Todos",datos_base!$B$11,0))*parametros_manuales!$G$105+parametros_manuales!$G$41*(datos_base!$B$5+IF(parametros_manuales!$H$41="Todos",datos_base!$B$12,0))*parametros_manuales!$G$110)*parametros_manuales!$I$41*parametros_manuales!$J$41</f>
        <v>490.755</v>
      </c>
      <c r="H24" s="4">
        <f>(parametros_manuales!$D$41*(datos_base!$B$2+IF(parametros_manuales!$H$41="Todos",datos_base!$B$9,0))*parametros_manuales!$H$95+parametros_manuales!$E$41*(datos_base!$B$3+IF(parametros_manuales!$H$41="Todos",datos_base!$B$10,0))*parametros_manuales!$H$100+parametros_manuales!$F$41*(datos_base!$B$4+IF(parametros_manuales!$H$41="Todos",datos_base!$B$11,0))*parametros_manuales!$H$105+parametros_manuales!$G$41*(datos_base!$B$5+IF(parametros_manuales!$H$41="Todos",datos_base!$B$12,0))*parametros_manuales!$H$110)*parametros_manuales!$I$41*parametros_manuales!$J$41</f>
        <v>524.865</v>
      </c>
      <c r="I24" s="4">
        <f>(parametros_manuales!$D$41*(datos_base!$B$2+IF(parametros_manuales!$H$41="Todos",datos_base!$B$9,0))*parametros_manuales!$I$95+parametros_manuales!$E$41*(datos_base!$B$3+IF(parametros_manuales!$H$41="Todos",datos_base!$B$10,0))*parametros_manuales!$I$100+parametros_manuales!$F$41*(datos_base!$B$4+IF(parametros_manuales!$H$41="Todos",datos_base!$B$11,0))*parametros_manuales!$I$105+parametros_manuales!$G$41*(datos_base!$B$5+IF(parametros_manuales!$H$41="Todos",datos_base!$B$12,0))*parametros_manuales!$I$110)*parametros_manuales!$I$41*parametros_manuales!$J$41</f>
        <v>587.55</v>
      </c>
      <c r="J24" s="4">
        <f>(parametros_manuales!$D$41*(datos_base!$B$2+IF(parametros_manuales!$H$41="Todos",datos_base!$B$9,0))*parametros_manuales!$J$95+parametros_manuales!$E$41*(datos_base!$B$3+IF(parametros_manuales!$H$41="Todos",datos_base!$B$10,0))*parametros_manuales!$J$100+parametros_manuales!$F$41*(datos_base!$B$4+IF(parametros_manuales!$H$41="Todos",datos_base!$B$11,0))*parametros_manuales!$J$105+parametros_manuales!$G$41*(datos_base!$B$5+IF(parametros_manuales!$H$41="Todos",datos_base!$B$12,0))*parametros_manuales!$J$110)*parametros_manuales!$I$41*parametros_manuales!$J$41</f>
        <v>587.55</v>
      </c>
      <c r="K24" s="4">
        <f>(parametros_manuales!$D$41*(datos_base!$B$2+IF(parametros_manuales!$H$41="Todos",datos_base!$B$9,0))*parametros_manuales!$K$95+parametros_manuales!$E$41*(datos_base!$B$3+IF(parametros_manuales!$H$41="Todos",datos_base!$B$10,0))*parametros_manuales!$K$100+parametros_manuales!$F$41*(datos_base!$B$4+IF(parametros_manuales!$H$41="Todos",datos_base!$B$11,0))*parametros_manuales!$K$105+parametros_manuales!$G$41*(datos_base!$B$5+IF(parametros_manuales!$H$41="Todos",datos_base!$B$12,0))*parametros_manuales!$K$110)*parametros_manuales!$I$41*parametros_manuales!$J$41</f>
        <v>600.765</v>
      </c>
      <c r="L24" s="4">
        <f>(parametros_manuales!$D$41*(datos_base!$B$2+IF(parametros_manuales!$H$41="Todos",datos_base!$B$9,0))*parametros_manuales!$L$95+parametros_manuales!$E$41*(datos_base!$B$3+IF(parametros_manuales!$H$41="Todos",datos_base!$B$10,0))*parametros_manuales!$L$100+parametros_manuales!$F$41*(datos_base!$B$4+IF(parametros_manuales!$H$41="Todos",datos_base!$B$11,0))*parametros_manuales!$L$105+parametros_manuales!$G$41*(datos_base!$B$5+IF(parametros_manuales!$H$41="Todos",datos_base!$B$12,0))*parametros_manuales!$L$110)*parametros_manuales!$I$41*parametros_manuales!$J$41</f>
        <v>613.98</v>
      </c>
      <c r="M24" s="4">
        <f>(parametros_manuales!$D$41*(datos_base!$B$2+IF(parametros_manuales!$H$41="Todos",datos_base!$B$9,0))*parametros_manuales!$M$95+parametros_manuales!$E$41*(datos_base!$B$3+IF(parametros_manuales!$H$41="Todos",datos_base!$B$10,0))*parametros_manuales!$M$100+parametros_manuales!$F$41*(datos_base!$B$4+IF(parametros_manuales!$H$41="Todos",datos_base!$B$11,0))*parametros_manuales!$M$105+parametros_manuales!$G$41*(datos_base!$B$5+IF(parametros_manuales!$H$41="Todos",datos_base!$B$12,0))*parametros_manuales!$M$110)*parametros_manuales!$I$41*parametros_manuales!$J$41</f>
        <v>613.98</v>
      </c>
      <c r="N24" s="4">
        <f t="shared" si="1"/>
        <v>6822</v>
      </c>
      <c r="O24" s="4">
        <f t="shared" si="2"/>
        <v>613.98</v>
      </c>
      <c r="P24" s="27">
        <f>O24/(parametros_manuales!$B$7)</f>
        <v>4.0932</v>
      </c>
      <c r="Q24" s="3" t="str">
        <f t="shared" si="3"/>
        <v>Ene</v>
      </c>
    </row>
    <row r="25" ht="14.25" customHeight="1">
      <c r="A25" s="3" t="str">
        <f>parametros_manuales!$B$42</f>
        <v>Etiquetado</v>
      </c>
      <c r="B25" s="4">
        <f>(parametros_manuales!$D$42*(datos_base!$B$2+IF(parametros_manuales!$H$42="Todos",datos_base!$B$9,0))*parametros_manuales!$B$95+parametros_manuales!$E$42*(datos_base!$B$3+IF(parametros_manuales!$H$42="Todos",datos_base!$B$10,0))*parametros_manuales!$B$100+parametros_manuales!$F$42*(datos_base!$B$4+IF(parametros_manuales!$H$42="Todos",datos_base!$B$11,0))*parametros_manuales!$B$105+parametros_manuales!$G$42*(datos_base!$B$5+IF(parametros_manuales!$H$42="Todos",datos_base!$B$12,0))*parametros_manuales!$B$110)*parametros_manuales!$I$42*parametros_manuales!$J$42</f>
        <v>613.98</v>
      </c>
      <c r="C25" s="4">
        <f>(parametros_manuales!$D$42*(datos_base!$B$2+IF(parametros_manuales!$H$42="Todos",datos_base!$B$9,0))*parametros_manuales!$C$95+parametros_manuales!$E$42*(datos_base!$B$3+IF(parametros_manuales!$H$42="Todos",datos_base!$B$10,0))*parametros_manuales!$C$100+parametros_manuales!$F$42*(datos_base!$B$4+IF(parametros_manuales!$H$42="Todos",datos_base!$B$11,0))*parametros_manuales!$C$105+parametros_manuales!$G$42*(datos_base!$B$5+IF(parametros_manuales!$H$42="Todos",datos_base!$B$12,0))*parametros_manuales!$C$110)*parametros_manuales!$I$42*parametros_manuales!$J$42</f>
        <v>587.55</v>
      </c>
      <c r="D25" s="4">
        <f>(parametros_manuales!$D$42*(datos_base!$B$2+IF(parametros_manuales!$H$42="Todos",datos_base!$B$9,0))*parametros_manuales!$D$95+parametros_manuales!$E$42*(datos_base!$B$3+IF(parametros_manuales!$H$42="Todos",datos_base!$B$10,0))*parametros_manuales!$D$100+parametros_manuales!$F$42*(datos_base!$B$4+IF(parametros_manuales!$H$42="Todos",datos_base!$B$11,0))*parametros_manuales!$D$105+parametros_manuales!$G$42*(datos_base!$B$5+IF(parametros_manuales!$H$42="Todos",datos_base!$B$12,0))*parametros_manuales!$D$110)*parametros_manuales!$I$42*parametros_manuales!$J$42</f>
        <v>558.975</v>
      </c>
      <c r="E25" s="4">
        <f>(parametros_manuales!$D$42*(datos_base!$B$2+IF(parametros_manuales!$H$42="Todos",datos_base!$B$9,0))*parametros_manuales!$E$95+parametros_manuales!$E$42*(datos_base!$B$3+IF(parametros_manuales!$H$42="Todos",datos_base!$B$10,0))*parametros_manuales!$E$100+parametros_manuales!$F$42*(datos_base!$B$4+IF(parametros_manuales!$H$42="Todos",datos_base!$B$11,0))*parametros_manuales!$E$105+parametros_manuales!$G$42*(datos_base!$B$5+IF(parametros_manuales!$H$42="Todos",datos_base!$B$12,0))*parametros_manuales!$E$110)*parametros_manuales!$I$42*parametros_manuales!$J$42</f>
        <v>538.08</v>
      </c>
      <c r="F25" s="4">
        <f>(parametros_manuales!$D$42*(datos_base!$B$2+IF(parametros_manuales!$H$42="Todos",datos_base!$B$9,0))*parametros_manuales!$F$95+parametros_manuales!$E$42*(datos_base!$B$3+IF(parametros_manuales!$H$42="Todos",datos_base!$B$10,0))*parametros_manuales!$F$100+parametros_manuales!$F$42*(datos_base!$B$4+IF(parametros_manuales!$H$42="Todos",datos_base!$B$11,0))*parametros_manuales!$F$105+parametros_manuales!$G$42*(datos_base!$B$5+IF(parametros_manuales!$H$42="Todos",datos_base!$B$12,0))*parametros_manuales!$F$110)*parametros_manuales!$I$42*parametros_manuales!$J$42</f>
        <v>503.97</v>
      </c>
      <c r="G25" s="4">
        <f>(parametros_manuales!$D$42*(datos_base!$B$2+IF(parametros_manuales!$H$42="Todos",datos_base!$B$9,0))*parametros_manuales!$G$95+parametros_manuales!$E$42*(datos_base!$B$3+IF(parametros_manuales!$H$42="Todos",datos_base!$B$10,0))*parametros_manuales!$G$100+parametros_manuales!$F$42*(datos_base!$B$4+IF(parametros_manuales!$H$42="Todos",datos_base!$B$11,0))*parametros_manuales!$G$105+parametros_manuales!$G$42*(datos_base!$B$5+IF(parametros_manuales!$H$42="Todos",datos_base!$B$12,0))*parametros_manuales!$G$110)*parametros_manuales!$I$42*parametros_manuales!$J$42</f>
        <v>490.755</v>
      </c>
      <c r="H25" s="4">
        <f>(parametros_manuales!$D$42*(datos_base!$B$2+IF(parametros_manuales!$H$42="Todos",datos_base!$B$9,0))*parametros_manuales!$H$95+parametros_manuales!$E$42*(datos_base!$B$3+IF(parametros_manuales!$H$42="Todos",datos_base!$B$10,0))*parametros_manuales!$H$100+parametros_manuales!$F$42*(datos_base!$B$4+IF(parametros_manuales!$H$42="Todos",datos_base!$B$11,0))*parametros_manuales!$H$105+parametros_manuales!$G$42*(datos_base!$B$5+IF(parametros_manuales!$H$42="Todos",datos_base!$B$12,0))*parametros_manuales!$H$110)*parametros_manuales!$I$42*parametros_manuales!$J$42</f>
        <v>524.865</v>
      </c>
      <c r="I25" s="4">
        <f>(parametros_manuales!$D$42*(datos_base!$B$2+IF(parametros_manuales!$H$42="Todos",datos_base!$B$9,0))*parametros_manuales!$I$95+parametros_manuales!$E$42*(datos_base!$B$3+IF(parametros_manuales!$H$42="Todos",datos_base!$B$10,0))*parametros_manuales!$I$100+parametros_manuales!$F$42*(datos_base!$B$4+IF(parametros_manuales!$H$42="Todos",datos_base!$B$11,0))*parametros_manuales!$I$105+parametros_manuales!$G$42*(datos_base!$B$5+IF(parametros_manuales!$H$42="Todos",datos_base!$B$12,0))*parametros_manuales!$I$110)*parametros_manuales!$I$42*parametros_manuales!$J$42</f>
        <v>587.55</v>
      </c>
      <c r="J25" s="4">
        <f>(parametros_manuales!$D$42*(datos_base!$B$2+IF(parametros_manuales!$H$42="Todos",datos_base!$B$9,0))*parametros_manuales!$J$95+parametros_manuales!$E$42*(datos_base!$B$3+IF(parametros_manuales!$H$42="Todos",datos_base!$B$10,0))*parametros_manuales!$J$100+parametros_manuales!$F$42*(datos_base!$B$4+IF(parametros_manuales!$H$42="Todos",datos_base!$B$11,0))*parametros_manuales!$J$105+parametros_manuales!$G$42*(datos_base!$B$5+IF(parametros_manuales!$H$42="Todos",datos_base!$B$12,0))*parametros_manuales!$J$110)*parametros_manuales!$I$42*parametros_manuales!$J$42</f>
        <v>587.55</v>
      </c>
      <c r="K25" s="4">
        <f>(parametros_manuales!$D$42*(datos_base!$B$2+IF(parametros_manuales!$H$42="Todos",datos_base!$B$9,0))*parametros_manuales!$K$95+parametros_manuales!$E$42*(datos_base!$B$3+IF(parametros_manuales!$H$42="Todos",datos_base!$B$10,0))*parametros_manuales!$K$100+parametros_manuales!$F$42*(datos_base!$B$4+IF(parametros_manuales!$H$42="Todos",datos_base!$B$11,0))*parametros_manuales!$K$105+parametros_manuales!$G$42*(datos_base!$B$5+IF(parametros_manuales!$H$42="Todos",datos_base!$B$12,0))*parametros_manuales!$K$110)*parametros_manuales!$I$42*parametros_manuales!$J$42</f>
        <v>600.765</v>
      </c>
      <c r="L25" s="4">
        <f>(parametros_manuales!$D$42*(datos_base!$B$2+IF(parametros_manuales!$H$42="Todos",datos_base!$B$9,0))*parametros_manuales!$L$95+parametros_manuales!$E$42*(datos_base!$B$3+IF(parametros_manuales!$H$42="Todos",datos_base!$B$10,0))*parametros_manuales!$L$100+parametros_manuales!$F$42*(datos_base!$B$4+IF(parametros_manuales!$H$42="Todos",datos_base!$B$11,0))*parametros_manuales!$L$105+parametros_manuales!$G$42*(datos_base!$B$5+IF(parametros_manuales!$H$42="Todos",datos_base!$B$12,0))*parametros_manuales!$L$110)*parametros_manuales!$I$42*parametros_manuales!$J$42</f>
        <v>613.98</v>
      </c>
      <c r="M25" s="4">
        <f>(parametros_manuales!$D$42*(datos_base!$B$2+IF(parametros_manuales!$H$42="Todos",datos_base!$B$9,0))*parametros_manuales!$M$95+parametros_manuales!$E$42*(datos_base!$B$3+IF(parametros_manuales!$H$42="Todos",datos_base!$B$10,0))*parametros_manuales!$M$100+parametros_manuales!$F$42*(datos_base!$B$4+IF(parametros_manuales!$H$42="Todos",datos_base!$B$11,0))*parametros_manuales!$M$105+parametros_manuales!$G$42*(datos_base!$B$5+IF(parametros_manuales!$H$42="Todos",datos_base!$B$12,0))*parametros_manuales!$M$110)*parametros_manuales!$I$42*parametros_manuales!$J$42</f>
        <v>613.98</v>
      </c>
      <c r="N25" s="4">
        <f t="shared" si="1"/>
        <v>6822</v>
      </c>
      <c r="O25" s="4">
        <f t="shared" si="2"/>
        <v>613.98</v>
      </c>
      <c r="P25" s="27">
        <f>O25/(parametros_manuales!$B$7)</f>
        <v>4.0932</v>
      </c>
      <c r="Q25" s="3" t="str">
        <f t="shared" si="3"/>
        <v>Ene</v>
      </c>
    </row>
    <row r="26" ht="14.25" customHeight="1">
      <c r="A26" s="3" t="str">
        <f>parametros_manuales!$B$43</f>
        <v>Embalaje y paletizado</v>
      </c>
      <c r="B26" s="4">
        <f>(parametros_manuales!$D$43*(datos_base!$B$2+IF(parametros_manuales!$H$43="Todos",datos_base!$B$9,0))*parametros_manuales!$B$95+parametros_manuales!$E$43*(datos_base!$B$3+IF(parametros_manuales!$H$43="Todos",datos_base!$B$10,0))*parametros_manuales!$B$100+parametros_manuales!$F$43*(datos_base!$B$4+IF(parametros_manuales!$H$43="Todos",datos_base!$B$11,0))*parametros_manuales!$B$105+parametros_manuales!$G$43*(datos_base!$B$5+IF(parametros_manuales!$H$43="Todos",datos_base!$B$12,0))*parametros_manuales!$B$110)*parametros_manuales!$I$43*parametros_manuales!$J$43</f>
        <v>613.98</v>
      </c>
      <c r="C26" s="4">
        <f>(parametros_manuales!$D$43*(datos_base!$B$2+IF(parametros_manuales!$H$43="Todos",datos_base!$B$9,0))*parametros_manuales!$C$95+parametros_manuales!$E$43*(datos_base!$B$3+IF(parametros_manuales!$H$43="Todos",datos_base!$B$10,0))*parametros_manuales!$C$100+parametros_manuales!$F$43*(datos_base!$B$4+IF(parametros_manuales!$H$43="Todos",datos_base!$B$11,0))*parametros_manuales!$C$105+parametros_manuales!$G$43*(datos_base!$B$5+IF(parametros_manuales!$H$43="Todos",datos_base!$B$12,0))*parametros_manuales!$C$110)*parametros_manuales!$I$43*parametros_manuales!$J$43</f>
        <v>587.55</v>
      </c>
      <c r="D26" s="4">
        <f>(parametros_manuales!$D$43*(datos_base!$B$2+IF(parametros_manuales!$H$43="Todos",datos_base!$B$9,0))*parametros_manuales!$D$95+parametros_manuales!$E$43*(datos_base!$B$3+IF(parametros_manuales!$H$43="Todos",datos_base!$B$10,0))*parametros_manuales!$D$100+parametros_manuales!$F$43*(datos_base!$B$4+IF(parametros_manuales!$H$43="Todos",datos_base!$B$11,0))*parametros_manuales!$D$105+parametros_manuales!$G$43*(datos_base!$B$5+IF(parametros_manuales!$H$43="Todos",datos_base!$B$12,0))*parametros_manuales!$D$110)*parametros_manuales!$I$43*parametros_manuales!$J$43</f>
        <v>558.975</v>
      </c>
      <c r="E26" s="4">
        <f>(parametros_manuales!$D$43*(datos_base!$B$2+IF(parametros_manuales!$H$43="Todos",datos_base!$B$9,0))*parametros_manuales!$E$95+parametros_manuales!$E$43*(datos_base!$B$3+IF(parametros_manuales!$H$43="Todos",datos_base!$B$10,0))*parametros_manuales!$E$100+parametros_manuales!$F$43*(datos_base!$B$4+IF(parametros_manuales!$H$43="Todos",datos_base!$B$11,0))*parametros_manuales!$E$105+parametros_manuales!$G$43*(datos_base!$B$5+IF(parametros_manuales!$H$43="Todos",datos_base!$B$12,0))*parametros_manuales!$E$110)*parametros_manuales!$I$43*parametros_manuales!$J$43</f>
        <v>538.08</v>
      </c>
      <c r="F26" s="4">
        <f>(parametros_manuales!$D$43*(datos_base!$B$2+IF(parametros_manuales!$H$43="Todos",datos_base!$B$9,0))*parametros_manuales!$F$95+parametros_manuales!$E$43*(datos_base!$B$3+IF(parametros_manuales!$H$43="Todos",datos_base!$B$10,0))*parametros_manuales!$F$100+parametros_manuales!$F$43*(datos_base!$B$4+IF(parametros_manuales!$H$43="Todos",datos_base!$B$11,0))*parametros_manuales!$F$105+parametros_manuales!$G$43*(datos_base!$B$5+IF(parametros_manuales!$H$43="Todos",datos_base!$B$12,0))*parametros_manuales!$F$110)*parametros_manuales!$I$43*parametros_manuales!$J$43</f>
        <v>503.97</v>
      </c>
      <c r="G26" s="4">
        <f>(parametros_manuales!$D$43*(datos_base!$B$2+IF(parametros_manuales!$H$43="Todos",datos_base!$B$9,0))*parametros_manuales!$G$95+parametros_manuales!$E$43*(datos_base!$B$3+IF(parametros_manuales!$H$43="Todos",datos_base!$B$10,0))*parametros_manuales!$G$100+parametros_manuales!$F$43*(datos_base!$B$4+IF(parametros_manuales!$H$43="Todos",datos_base!$B$11,0))*parametros_manuales!$G$105+parametros_manuales!$G$43*(datos_base!$B$5+IF(parametros_manuales!$H$43="Todos",datos_base!$B$12,0))*parametros_manuales!$G$110)*parametros_manuales!$I$43*parametros_manuales!$J$43</f>
        <v>490.755</v>
      </c>
      <c r="H26" s="4">
        <f>(parametros_manuales!$D$43*(datos_base!$B$2+IF(parametros_manuales!$H$43="Todos",datos_base!$B$9,0))*parametros_manuales!$H$95+parametros_manuales!$E$43*(datos_base!$B$3+IF(parametros_manuales!$H$43="Todos",datos_base!$B$10,0))*parametros_manuales!$H$100+parametros_manuales!$F$43*(datos_base!$B$4+IF(parametros_manuales!$H$43="Todos",datos_base!$B$11,0))*parametros_manuales!$H$105+parametros_manuales!$G$43*(datos_base!$B$5+IF(parametros_manuales!$H$43="Todos",datos_base!$B$12,0))*parametros_manuales!$H$110)*parametros_manuales!$I$43*parametros_manuales!$J$43</f>
        <v>524.865</v>
      </c>
      <c r="I26" s="4">
        <f>(parametros_manuales!$D$43*(datos_base!$B$2+IF(parametros_manuales!$H$43="Todos",datos_base!$B$9,0))*parametros_manuales!$I$95+parametros_manuales!$E$43*(datos_base!$B$3+IF(parametros_manuales!$H$43="Todos",datos_base!$B$10,0))*parametros_manuales!$I$100+parametros_manuales!$F$43*(datos_base!$B$4+IF(parametros_manuales!$H$43="Todos",datos_base!$B$11,0))*parametros_manuales!$I$105+parametros_manuales!$G$43*(datos_base!$B$5+IF(parametros_manuales!$H$43="Todos",datos_base!$B$12,0))*parametros_manuales!$I$110)*parametros_manuales!$I$43*parametros_manuales!$J$43</f>
        <v>587.55</v>
      </c>
      <c r="J26" s="4">
        <f>(parametros_manuales!$D$43*(datos_base!$B$2+IF(parametros_manuales!$H$43="Todos",datos_base!$B$9,0))*parametros_manuales!$J$95+parametros_manuales!$E$43*(datos_base!$B$3+IF(parametros_manuales!$H$43="Todos",datos_base!$B$10,0))*parametros_manuales!$J$100+parametros_manuales!$F$43*(datos_base!$B$4+IF(parametros_manuales!$H$43="Todos",datos_base!$B$11,0))*parametros_manuales!$J$105+parametros_manuales!$G$43*(datos_base!$B$5+IF(parametros_manuales!$H$43="Todos",datos_base!$B$12,0))*parametros_manuales!$J$110)*parametros_manuales!$I$43*parametros_manuales!$J$43</f>
        <v>587.55</v>
      </c>
      <c r="K26" s="4">
        <f>(parametros_manuales!$D$43*(datos_base!$B$2+IF(parametros_manuales!$H$43="Todos",datos_base!$B$9,0))*parametros_manuales!$K$95+parametros_manuales!$E$43*(datos_base!$B$3+IF(parametros_manuales!$H$43="Todos",datos_base!$B$10,0))*parametros_manuales!$K$100+parametros_manuales!$F$43*(datos_base!$B$4+IF(parametros_manuales!$H$43="Todos",datos_base!$B$11,0))*parametros_manuales!$K$105+parametros_manuales!$G$43*(datos_base!$B$5+IF(parametros_manuales!$H$43="Todos",datos_base!$B$12,0))*parametros_manuales!$K$110)*parametros_manuales!$I$43*parametros_manuales!$J$43</f>
        <v>600.765</v>
      </c>
      <c r="L26" s="4">
        <f>(parametros_manuales!$D$43*(datos_base!$B$2+IF(parametros_manuales!$H$43="Todos",datos_base!$B$9,0))*parametros_manuales!$L$95+parametros_manuales!$E$43*(datos_base!$B$3+IF(parametros_manuales!$H$43="Todos",datos_base!$B$10,0))*parametros_manuales!$L$100+parametros_manuales!$F$43*(datos_base!$B$4+IF(parametros_manuales!$H$43="Todos",datos_base!$B$11,0))*parametros_manuales!$L$105+parametros_manuales!$G$43*(datos_base!$B$5+IF(parametros_manuales!$H$43="Todos",datos_base!$B$12,0))*parametros_manuales!$L$110)*parametros_manuales!$I$43*parametros_manuales!$J$43</f>
        <v>613.98</v>
      </c>
      <c r="M26" s="4">
        <f>(parametros_manuales!$D$43*(datos_base!$B$2+IF(parametros_manuales!$H$43="Todos",datos_base!$B$9,0))*parametros_manuales!$M$95+parametros_manuales!$E$43*(datos_base!$B$3+IF(parametros_manuales!$H$43="Todos",datos_base!$B$10,0))*parametros_manuales!$M$100+parametros_manuales!$F$43*(datos_base!$B$4+IF(parametros_manuales!$H$43="Todos",datos_base!$B$11,0))*parametros_manuales!$M$105+parametros_manuales!$G$43*(datos_base!$B$5+IF(parametros_manuales!$H$43="Todos",datos_base!$B$12,0))*parametros_manuales!$M$110)*parametros_manuales!$I$43*parametros_manuales!$J$43</f>
        <v>613.98</v>
      </c>
      <c r="N26" s="4">
        <f t="shared" si="1"/>
        <v>6822</v>
      </c>
      <c r="O26" s="4">
        <f t="shared" si="2"/>
        <v>613.98</v>
      </c>
      <c r="P26" s="27">
        <f>O26/(parametros_manuales!$B$7)</f>
        <v>4.0932</v>
      </c>
      <c r="Q26" s="3" t="str">
        <f t="shared" si="3"/>
        <v>Ene</v>
      </c>
    </row>
    <row r="27" ht="14.25" customHeight="1"/>
    <row r="28" ht="14.25" customHeight="1">
      <c r="A28" s="1" t="s">
        <v>178</v>
      </c>
      <c r="B28" s="1" t="s">
        <v>5</v>
      </c>
      <c r="C28" s="1" t="s">
        <v>7</v>
      </c>
      <c r="D28" s="1" t="s">
        <v>8</v>
      </c>
      <c r="E28" s="1" t="s">
        <v>9</v>
      </c>
      <c r="F28" s="1" t="s">
        <v>11</v>
      </c>
      <c r="G28" s="1" t="s">
        <v>12</v>
      </c>
      <c r="H28" s="1" t="s">
        <v>14</v>
      </c>
      <c r="I28" s="1" t="s">
        <v>15</v>
      </c>
      <c r="J28" s="1" t="s">
        <v>16</v>
      </c>
      <c r="K28" s="1" t="s">
        <v>18</v>
      </c>
      <c r="L28" s="1" t="s">
        <v>19</v>
      </c>
      <c r="M28" s="1" t="s">
        <v>20</v>
      </c>
      <c r="N28" s="1" t="s">
        <v>21</v>
      </c>
      <c r="O28" s="1" t="s">
        <v>22</v>
      </c>
      <c r="P28" s="1" t="s">
        <v>23</v>
      </c>
      <c r="Q28" s="1" t="s">
        <v>24</v>
      </c>
    </row>
    <row r="29" ht="14.25" customHeight="1">
      <c r="A29" s="3" t="str">
        <f>parametros_manuales!$B$19</f>
        <v>Recepción de materia prima</v>
      </c>
      <c r="B29" s="4">
        <f>(parametros_manuales!$D$19*(datos_base!$C$2+IF(parametros_manuales!$H$19="Todos",datos_base!$C$9,0))*parametros_manuales!$B$95+parametros_manuales!$E$19*(datos_base!$C$3+IF(parametros_manuales!$H$19="Todos",datos_base!$C$10,0))*parametros_manuales!$B$100+parametros_manuales!$F$19*(datos_base!$C$4+IF(parametros_manuales!$H$19="Todos",datos_base!$C$11,0))*parametros_manuales!$B$105+parametros_manuales!$G$19*(datos_base!$C$5+IF(parametros_manuales!$H$19="Todos",datos_base!$C$12,0))*parametros_manuales!$B$110)*parametros_manuales!$I$19*parametros_manuales!$J$19</f>
        <v>965.7</v>
      </c>
      <c r="C29" s="4">
        <f>(parametros_manuales!$D$19*(datos_base!$C$2+IF(parametros_manuales!$H$19="Todos",datos_base!$C$9,0))*parametros_manuales!$C$95+parametros_manuales!$E$19*(datos_base!$C$3+IF(parametros_manuales!$H$19="Todos",datos_base!$C$10,0))*parametros_manuales!$C$100+parametros_manuales!$F$19*(datos_base!$C$4+IF(parametros_manuales!$H$19="Todos",datos_base!$C$11,0))*parametros_manuales!$C$105+parametros_manuales!$G$19*(datos_base!$C$5+IF(parametros_manuales!$H$19="Todos",datos_base!$C$12,0))*parametros_manuales!$C$110)*parametros_manuales!$I$19*parametros_manuales!$J$19</f>
        <v>918.37</v>
      </c>
      <c r="D29" s="4">
        <f>(parametros_manuales!$D$19*(datos_base!$C$2+IF(parametros_manuales!$H$19="Todos",datos_base!$C$9,0))*parametros_manuales!$D$95+parametros_manuales!$E$19*(datos_base!$C$3+IF(parametros_manuales!$H$19="Todos",datos_base!$C$10,0))*parametros_manuales!$D$100+parametros_manuales!$F$19*(datos_base!$C$4+IF(parametros_manuales!$H$19="Todos",datos_base!$C$11,0))*parametros_manuales!$D$105+parametros_manuales!$G$19*(datos_base!$C$5+IF(parametros_manuales!$H$19="Todos",datos_base!$C$12,0))*parametros_manuales!$D$110)*parametros_manuales!$I$19*parametros_manuales!$J$19</f>
        <v>882.065</v>
      </c>
      <c r="E29" s="4">
        <f>(parametros_manuales!$D$19*(datos_base!$C$2+IF(parametros_manuales!$H$19="Todos",datos_base!$C$9,0))*parametros_manuales!$E$95+parametros_manuales!$E$19*(datos_base!$C$3+IF(parametros_manuales!$H$19="Todos",datos_base!$C$10,0))*parametros_manuales!$E$100+parametros_manuales!$F$19*(datos_base!$C$4+IF(parametros_manuales!$H$19="Todos",datos_base!$C$11,0))*parametros_manuales!$E$105+parametros_manuales!$G$19*(datos_base!$C$5+IF(parametros_manuales!$H$19="Todos",datos_base!$C$12,0))*parametros_manuales!$E$110)*parametros_manuales!$I$19*parametros_manuales!$J$19</f>
        <v>852.08</v>
      </c>
      <c r="F29" s="4">
        <f>(parametros_manuales!$D$19*(datos_base!$C$2+IF(parametros_manuales!$H$19="Todos",datos_base!$C$9,0))*parametros_manuales!$F$95+parametros_manuales!$E$19*(datos_base!$C$3+IF(parametros_manuales!$H$19="Todos",datos_base!$C$10,0))*parametros_manuales!$F$100+parametros_manuales!$F$19*(datos_base!$C$4+IF(parametros_manuales!$H$19="Todos",datos_base!$C$11,0))*parametros_manuales!$F$105+parametros_manuales!$G$19*(datos_base!$C$5+IF(parametros_manuales!$H$19="Todos",datos_base!$C$12,0))*parametros_manuales!$F$110)*parametros_manuales!$I$19*parametros_manuales!$J$19</f>
        <v>798.43</v>
      </c>
      <c r="G29" s="4">
        <f>(parametros_manuales!$D$19*(datos_base!$C$2+IF(parametros_manuales!$H$19="Todos",datos_base!$C$9,0))*parametros_manuales!$G$95+parametros_manuales!$E$19*(datos_base!$C$3+IF(parametros_manuales!$H$19="Todos",datos_base!$C$10,0))*parametros_manuales!$G$100+parametros_manuales!$F$19*(datos_base!$C$4+IF(parametros_manuales!$H$19="Todos",datos_base!$C$11,0))*parametros_manuales!$G$105+parametros_manuales!$G$19*(datos_base!$C$5+IF(parametros_manuales!$H$19="Todos",datos_base!$C$12,0))*parametros_manuales!$G$110)*parametros_manuales!$I$19*parametros_manuales!$J$19</f>
        <v>774.765</v>
      </c>
      <c r="H29" s="4">
        <f>(parametros_manuales!$D$19*(datos_base!$C$2+IF(parametros_manuales!$H$19="Todos",datos_base!$C$9,0))*parametros_manuales!$H$95+parametros_manuales!$E$19*(datos_base!$C$3+IF(parametros_manuales!$H$19="Todos",datos_base!$C$10,0))*parametros_manuales!$H$100+parametros_manuales!$F$19*(datos_base!$C$4+IF(parametros_manuales!$H$19="Todos",datos_base!$C$11,0))*parametros_manuales!$H$105+parametros_manuales!$G$19*(datos_base!$C$5+IF(parametros_manuales!$H$19="Todos",datos_base!$C$12,0))*parametros_manuales!$H$110)*parametros_manuales!$I$19*parametros_manuales!$J$19</f>
        <v>828.415</v>
      </c>
      <c r="I29" s="4">
        <f>(parametros_manuales!$D$19*(datos_base!$C$2+IF(parametros_manuales!$H$19="Todos",datos_base!$C$9,0))*parametros_manuales!$I$95+parametros_manuales!$E$19*(datos_base!$C$3+IF(parametros_manuales!$H$19="Todos",datos_base!$C$10,0))*parametros_manuales!$I$100+parametros_manuales!$F$19*(datos_base!$C$4+IF(parametros_manuales!$H$19="Todos",datos_base!$C$11,0))*parametros_manuales!$I$105+parametros_manuales!$G$19*(datos_base!$C$5+IF(parametros_manuales!$H$19="Todos",datos_base!$C$12,0))*parametros_manuales!$I$110)*parametros_manuales!$I$19*parametros_manuales!$J$19</f>
        <v>918.37</v>
      </c>
      <c r="J29" s="4">
        <f>(parametros_manuales!$D$19*(datos_base!$C$2+IF(parametros_manuales!$H$19="Todos",datos_base!$C$9,0))*parametros_manuales!$J$95+parametros_manuales!$E$19*(datos_base!$C$3+IF(parametros_manuales!$H$19="Todos",datos_base!$C$10,0))*parametros_manuales!$J$100+parametros_manuales!$F$19*(datos_base!$C$4+IF(parametros_manuales!$H$19="Todos",datos_base!$C$11,0))*parametros_manuales!$J$105+parametros_manuales!$G$19*(datos_base!$C$5+IF(parametros_manuales!$H$19="Todos",datos_base!$C$12,0))*parametros_manuales!$J$110)*parametros_manuales!$I$19*parametros_manuales!$J$19</f>
        <v>918.37</v>
      </c>
      <c r="K29" s="4">
        <f>(parametros_manuales!$D$19*(datos_base!$C$2+IF(parametros_manuales!$H$19="Todos",datos_base!$C$9,0))*parametros_manuales!$K$95+parametros_manuales!$E$19*(datos_base!$C$3+IF(parametros_manuales!$H$19="Todos",datos_base!$C$10,0))*parametros_manuales!$K$100+parametros_manuales!$F$19*(datos_base!$C$4+IF(parametros_manuales!$H$19="Todos",datos_base!$C$11,0))*parametros_manuales!$K$105+parametros_manuales!$G$19*(datos_base!$C$5+IF(parametros_manuales!$H$19="Todos",datos_base!$C$12,0))*parametros_manuales!$K$110)*parametros_manuales!$I$19*parametros_manuales!$J$19</f>
        <v>942.035</v>
      </c>
      <c r="L29" s="4">
        <f>(parametros_manuales!$D$19*(datos_base!$C$2+IF(parametros_manuales!$H$19="Todos",datos_base!$C$9,0))*parametros_manuales!$L$95+parametros_manuales!$E$19*(datos_base!$C$3+IF(parametros_manuales!$H$19="Todos",datos_base!$C$10,0))*parametros_manuales!$L$100+parametros_manuales!$F$19*(datos_base!$C$4+IF(parametros_manuales!$H$19="Todos",datos_base!$C$11,0))*parametros_manuales!$L$105+parametros_manuales!$G$19*(datos_base!$C$5+IF(parametros_manuales!$H$19="Todos",datos_base!$C$12,0))*parametros_manuales!$L$110)*parametros_manuales!$I$19*parametros_manuales!$J$19</f>
        <v>965.7</v>
      </c>
      <c r="M29" s="4">
        <f>(parametros_manuales!$D$19*(datos_base!$C$2+IF(parametros_manuales!$H$19="Todos",datos_base!$C$9,0))*parametros_manuales!$M$95+parametros_manuales!$E$19*(datos_base!$C$3+IF(parametros_manuales!$H$19="Todos",datos_base!$C$10,0))*parametros_manuales!$M$100+parametros_manuales!$F$19*(datos_base!$C$4+IF(parametros_manuales!$H$19="Todos",datos_base!$C$11,0))*parametros_manuales!$M$105+parametros_manuales!$G$19*(datos_base!$C$5+IF(parametros_manuales!$H$19="Todos",datos_base!$C$12,0))*parametros_manuales!$M$110)*parametros_manuales!$I$19*parametros_manuales!$J$19</f>
        <v>965.7</v>
      </c>
      <c r="N29" s="4">
        <f t="shared" ref="N29:N53" si="4">SUM(B29:M29)</f>
        <v>10730</v>
      </c>
      <c r="O29" s="4">
        <f t="shared" ref="O29:O53" si="5">MAX(B29:M29)</f>
        <v>965.7</v>
      </c>
      <c r="P29" s="27">
        <f>O29/(parametros_manuales!$B$7)</f>
        <v>6.438</v>
      </c>
      <c r="Q29" s="3" t="str">
        <f t="shared" ref="Q29:Q53" si="6">IF(O29=0,"-",INDEX($B$28:$M$28,MATCH(O29,B29:M29,0)))</f>
        <v>Ene</v>
      </c>
    </row>
    <row r="30" ht="14.25" customHeight="1">
      <c r="A30" s="3" t="str">
        <f>parametros_manuales!$B$20</f>
        <v>Corte de chapa (guillotina) — 2,5 a 10 kg</v>
      </c>
      <c r="B30" s="4">
        <f>(parametros_manuales!$D$20*(datos_base!$C$2+IF(parametros_manuales!$H$20="Todos",datos_base!$C$9,0))*parametros_manuales!$B$95+parametros_manuales!$E$20*(datos_base!$C$3+IF(parametros_manuales!$H$20="Todos",datos_base!$C$10,0))*parametros_manuales!$B$100+parametros_manuales!$F$20*(datos_base!$C$4+IF(parametros_manuales!$H$20="Todos",datos_base!$C$11,0))*parametros_manuales!$B$105+parametros_manuales!$G$20*(datos_base!$C$5+IF(parametros_manuales!$H$20="Todos",datos_base!$C$12,0))*parametros_manuales!$B$110)*parametros_manuales!$I$20*parametros_manuales!$J$20</f>
        <v>425.97</v>
      </c>
      <c r="C30" s="4">
        <f>(parametros_manuales!$D$20*(datos_base!$C$2+IF(parametros_manuales!$H$20="Todos",datos_base!$C$9,0))*parametros_manuales!$C$95+parametros_manuales!$E$20*(datos_base!$C$3+IF(parametros_manuales!$H$20="Todos",datos_base!$C$10,0))*parametros_manuales!$C$100+parametros_manuales!$F$20*(datos_base!$C$4+IF(parametros_manuales!$H$20="Todos",datos_base!$C$11,0))*parametros_manuales!$C$105+parametros_manuales!$G$20*(datos_base!$C$5+IF(parametros_manuales!$H$20="Todos",datos_base!$C$12,0))*parametros_manuales!$C$110)*parametros_manuales!$I$20*parametros_manuales!$J$20</f>
        <v>378.64</v>
      </c>
      <c r="D30" s="4">
        <f>(parametros_manuales!$D$20*(datos_base!$C$2+IF(parametros_manuales!$H$20="Todos",datos_base!$C$9,0))*parametros_manuales!$D$95+parametros_manuales!$E$20*(datos_base!$C$3+IF(parametros_manuales!$H$20="Todos",datos_base!$C$10,0))*parametros_manuales!$D$100+parametros_manuales!$F$20*(datos_base!$C$4+IF(parametros_manuales!$H$20="Todos",datos_base!$C$11,0))*parametros_manuales!$D$105+parametros_manuales!$G$20*(datos_base!$C$5+IF(parametros_manuales!$H$20="Todos",datos_base!$C$12,0))*parametros_manuales!$D$110)*parametros_manuales!$I$20*parametros_manuales!$J$20</f>
        <v>402.305</v>
      </c>
      <c r="E30" s="4">
        <f>(parametros_manuales!$D$20*(datos_base!$C$2+IF(parametros_manuales!$H$20="Todos",datos_base!$C$9,0))*parametros_manuales!$E$95+parametros_manuales!$E$20*(datos_base!$C$3+IF(parametros_manuales!$H$20="Todos",datos_base!$C$10,0))*parametros_manuales!$E$100+parametros_manuales!$F$20*(datos_base!$C$4+IF(parametros_manuales!$H$20="Todos",datos_base!$C$11,0))*parametros_manuales!$E$105+parametros_manuales!$G$20*(datos_base!$C$5+IF(parametros_manuales!$H$20="Todos",datos_base!$C$12,0))*parametros_manuales!$E$110)*parametros_manuales!$I$20*parametros_manuales!$J$20</f>
        <v>402.305</v>
      </c>
      <c r="F30" s="4">
        <f>(parametros_manuales!$D$20*(datos_base!$C$2+IF(parametros_manuales!$H$20="Todos",datos_base!$C$9,0))*parametros_manuales!$F$95+parametros_manuales!$E$20*(datos_base!$C$3+IF(parametros_manuales!$H$20="Todos",datos_base!$C$10,0))*parametros_manuales!$F$100+parametros_manuales!$F$20*(datos_base!$C$4+IF(parametros_manuales!$H$20="Todos",datos_base!$C$11,0))*parametros_manuales!$F$105+parametros_manuales!$G$20*(datos_base!$C$5+IF(parametros_manuales!$H$20="Todos",datos_base!$C$12,0))*parametros_manuales!$F$110)*parametros_manuales!$I$20*parametros_manuales!$J$20</f>
        <v>378.64</v>
      </c>
      <c r="G30" s="4">
        <f>(parametros_manuales!$D$20*(datos_base!$C$2+IF(parametros_manuales!$H$20="Todos",datos_base!$C$9,0))*parametros_manuales!$G$95+parametros_manuales!$E$20*(datos_base!$C$3+IF(parametros_manuales!$H$20="Todos",datos_base!$C$10,0))*parametros_manuales!$G$100+parametros_manuales!$F$20*(datos_base!$C$4+IF(parametros_manuales!$H$20="Todos",datos_base!$C$11,0))*parametros_manuales!$G$105+parametros_manuales!$G$20*(datos_base!$C$5+IF(parametros_manuales!$H$20="Todos",datos_base!$C$12,0))*parametros_manuales!$G$110)*parametros_manuales!$I$20*parametros_manuales!$J$20</f>
        <v>354.975</v>
      </c>
      <c r="H30" s="4">
        <f>(parametros_manuales!$D$20*(datos_base!$C$2+IF(parametros_manuales!$H$20="Todos",datos_base!$C$9,0))*parametros_manuales!$H$95+parametros_manuales!$E$20*(datos_base!$C$3+IF(parametros_manuales!$H$20="Todos",datos_base!$C$10,0))*parametros_manuales!$H$100+parametros_manuales!$F$20*(datos_base!$C$4+IF(parametros_manuales!$H$20="Todos",datos_base!$C$11,0))*parametros_manuales!$H$105+parametros_manuales!$G$20*(datos_base!$C$5+IF(parametros_manuales!$H$20="Todos",datos_base!$C$12,0))*parametros_manuales!$H$110)*parametros_manuales!$I$20*parametros_manuales!$J$20</f>
        <v>378.64</v>
      </c>
      <c r="I30" s="4">
        <f>(parametros_manuales!$D$20*(datos_base!$C$2+IF(parametros_manuales!$H$20="Todos",datos_base!$C$9,0))*parametros_manuales!$I$95+parametros_manuales!$E$20*(datos_base!$C$3+IF(parametros_manuales!$H$20="Todos",datos_base!$C$10,0))*parametros_manuales!$I$100+parametros_manuales!$F$20*(datos_base!$C$4+IF(parametros_manuales!$H$20="Todos",datos_base!$C$11,0))*parametros_manuales!$I$105+parametros_manuales!$G$20*(datos_base!$C$5+IF(parametros_manuales!$H$20="Todos",datos_base!$C$12,0))*parametros_manuales!$I$110)*parametros_manuales!$I$20*parametros_manuales!$J$20</f>
        <v>378.64</v>
      </c>
      <c r="J30" s="4">
        <f>(parametros_manuales!$D$20*(datos_base!$C$2+IF(parametros_manuales!$H$20="Todos",datos_base!$C$9,0))*parametros_manuales!$J$95+parametros_manuales!$E$20*(datos_base!$C$3+IF(parametros_manuales!$H$20="Todos",datos_base!$C$10,0))*parametros_manuales!$J$100+parametros_manuales!$F$20*(datos_base!$C$4+IF(parametros_manuales!$H$20="Todos",datos_base!$C$11,0))*parametros_manuales!$J$105+parametros_manuales!$G$20*(datos_base!$C$5+IF(parametros_manuales!$H$20="Todos",datos_base!$C$12,0))*parametros_manuales!$J$110)*parametros_manuales!$I$20*parametros_manuales!$J$20</f>
        <v>378.64</v>
      </c>
      <c r="K30" s="4">
        <f>(parametros_manuales!$D$20*(datos_base!$C$2+IF(parametros_manuales!$H$20="Todos",datos_base!$C$9,0))*parametros_manuales!$K$95+parametros_manuales!$E$20*(datos_base!$C$3+IF(parametros_manuales!$H$20="Todos",datos_base!$C$10,0))*parametros_manuales!$K$100+parametros_manuales!$F$20*(datos_base!$C$4+IF(parametros_manuales!$H$20="Todos",datos_base!$C$11,0))*parametros_manuales!$K$105+parametros_manuales!$G$20*(datos_base!$C$5+IF(parametros_manuales!$H$20="Todos",datos_base!$C$12,0))*parametros_manuales!$K$110)*parametros_manuales!$I$20*parametros_manuales!$J$20</f>
        <v>402.305</v>
      </c>
      <c r="L30" s="4">
        <f>(parametros_manuales!$D$20*(datos_base!$C$2+IF(parametros_manuales!$H$20="Todos",datos_base!$C$9,0))*parametros_manuales!$L$95+parametros_manuales!$E$20*(datos_base!$C$3+IF(parametros_manuales!$H$20="Todos",datos_base!$C$10,0))*parametros_manuales!$L$100+parametros_manuales!$F$20*(datos_base!$C$4+IF(parametros_manuales!$H$20="Todos",datos_base!$C$11,0))*parametros_manuales!$L$105+parametros_manuales!$G$20*(datos_base!$C$5+IF(parametros_manuales!$H$20="Todos",datos_base!$C$12,0))*parametros_manuales!$L$110)*parametros_manuales!$I$20*parametros_manuales!$J$20</f>
        <v>425.97</v>
      </c>
      <c r="M30" s="4">
        <f>(parametros_manuales!$D$20*(datos_base!$C$2+IF(parametros_manuales!$H$20="Todos",datos_base!$C$9,0))*parametros_manuales!$M$95+parametros_manuales!$E$20*(datos_base!$C$3+IF(parametros_manuales!$H$20="Todos",datos_base!$C$10,0))*parametros_manuales!$M$100+parametros_manuales!$F$20*(datos_base!$C$4+IF(parametros_manuales!$H$20="Todos",datos_base!$C$11,0))*parametros_manuales!$M$105+parametros_manuales!$G$20*(datos_base!$C$5+IF(parametros_manuales!$H$20="Todos",datos_base!$C$12,0))*parametros_manuales!$M$110)*parametros_manuales!$I$20*parametros_manuales!$J$20</f>
        <v>425.97</v>
      </c>
      <c r="N30" s="4">
        <f t="shared" si="4"/>
        <v>4733</v>
      </c>
      <c r="O30" s="4">
        <f t="shared" si="5"/>
        <v>425.97</v>
      </c>
      <c r="P30" s="27">
        <f>O30/(parametros_manuales!$B$7)</f>
        <v>2.8398</v>
      </c>
      <c r="Q30" s="3" t="str">
        <f t="shared" si="6"/>
        <v>Ene</v>
      </c>
    </row>
    <row r="31" ht="14.25" customHeight="1">
      <c r="A31" s="3" t="str">
        <f>parametros_manuales!$B$21</f>
        <v>Corte de tubo — 1 kg</v>
      </c>
      <c r="B31" s="4">
        <f>(parametros_manuales!$D$21*(datos_base!$C$2+IF(parametros_manuales!$H$21="Todos",datos_base!$C$9,0))*parametros_manuales!$B$95+parametros_manuales!$E$21*(datos_base!$C$3+IF(parametros_manuales!$H$21="Todos",datos_base!$C$10,0))*parametros_manuales!$B$100+parametros_manuales!$F$21*(datos_base!$C$4+IF(parametros_manuales!$H$21="Todos",datos_base!$C$11,0))*parametros_manuales!$B$105+parametros_manuales!$G$21*(datos_base!$C$5+IF(parametros_manuales!$H$21="Todos",datos_base!$C$12,0))*parametros_manuales!$B$110)*parametros_manuales!$I$21*parametros_manuales!$J$21</f>
        <v>539.73</v>
      </c>
      <c r="C31" s="4">
        <f>(parametros_manuales!$D$21*(datos_base!$C$2+IF(parametros_manuales!$H$21="Todos",datos_base!$C$9,0))*parametros_manuales!$C$95+parametros_manuales!$E$21*(datos_base!$C$3+IF(parametros_manuales!$H$21="Todos",datos_base!$C$10,0))*parametros_manuales!$C$100+parametros_manuales!$F$21*(datos_base!$C$4+IF(parametros_manuales!$H$21="Todos",datos_base!$C$11,0))*parametros_manuales!$C$105+parametros_manuales!$G$21*(datos_base!$C$5+IF(parametros_manuales!$H$21="Todos",datos_base!$C$12,0))*parametros_manuales!$C$110)*parametros_manuales!$I$21*parametros_manuales!$J$21</f>
        <v>539.73</v>
      </c>
      <c r="D31" s="4">
        <f>(parametros_manuales!$D$21*(datos_base!$C$2+IF(parametros_manuales!$H$21="Todos",datos_base!$C$9,0))*parametros_manuales!$D$95+parametros_manuales!$E$21*(datos_base!$C$3+IF(parametros_manuales!$H$21="Todos",datos_base!$C$10,0))*parametros_manuales!$D$100+parametros_manuales!$F$21*(datos_base!$C$4+IF(parametros_manuales!$H$21="Todos",datos_base!$C$11,0))*parametros_manuales!$D$105+parametros_manuales!$G$21*(datos_base!$C$5+IF(parametros_manuales!$H$21="Todos",datos_base!$C$12,0))*parametros_manuales!$D$110)*parametros_manuales!$I$21*parametros_manuales!$J$21</f>
        <v>479.76</v>
      </c>
      <c r="E31" s="4">
        <f>(parametros_manuales!$D$21*(datos_base!$C$2+IF(parametros_manuales!$H$21="Todos",datos_base!$C$9,0))*parametros_manuales!$E$95+parametros_manuales!$E$21*(datos_base!$C$3+IF(parametros_manuales!$H$21="Todos",datos_base!$C$10,0))*parametros_manuales!$E$100+parametros_manuales!$F$21*(datos_base!$C$4+IF(parametros_manuales!$H$21="Todos",datos_base!$C$11,0))*parametros_manuales!$E$105+parametros_manuales!$G$21*(datos_base!$C$5+IF(parametros_manuales!$H$21="Todos",datos_base!$C$12,0))*parametros_manuales!$E$110)*parametros_manuales!$I$21*parametros_manuales!$J$21</f>
        <v>449.775</v>
      </c>
      <c r="F31" s="4">
        <f>(parametros_manuales!$D$21*(datos_base!$C$2+IF(parametros_manuales!$H$21="Todos",datos_base!$C$9,0))*parametros_manuales!$F$95+parametros_manuales!$E$21*(datos_base!$C$3+IF(parametros_manuales!$H$21="Todos",datos_base!$C$10,0))*parametros_manuales!$F$100+parametros_manuales!$F$21*(datos_base!$C$4+IF(parametros_manuales!$H$21="Todos",datos_base!$C$11,0))*parametros_manuales!$F$105+parametros_manuales!$G$21*(datos_base!$C$5+IF(parametros_manuales!$H$21="Todos",datos_base!$C$12,0))*parametros_manuales!$F$110)*parametros_manuales!$I$21*parametros_manuales!$J$21</f>
        <v>419.79</v>
      </c>
      <c r="G31" s="4">
        <f>(parametros_manuales!$D$21*(datos_base!$C$2+IF(parametros_manuales!$H$21="Todos",datos_base!$C$9,0))*parametros_manuales!$G$95+parametros_manuales!$E$21*(datos_base!$C$3+IF(parametros_manuales!$H$21="Todos",datos_base!$C$10,0))*parametros_manuales!$G$100+parametros_manuales!$F$21*(datos_base!$C$4+IF(parametros_manuales!$H$21="Todos",datos_base!$C$11,0))*parametros_manuales!$G$105+parametros_manuales!$G$21*(datos_base!$C$5+IF(parametros_manuales!$H$21="Todos",datos_base!$C$12,0))*parametros_manuales!$G$110)*parametros_manuales!$I$21*parametros_manuales!$J$21</f>
        <v>419.79</v>
      </c>
      <c r="H31" s="4">
        <f>(parametros_manuales!$D$21*(datos_base!$C$2+IF(parametros_manuales!$H$21="Todos",datos_base!$C$9,0))*parametros_manuales!$H$95+parametros_manuales!$E$21*(datos_base!$C$3+IF(parametros_manuales!$H$21="Todos",datos_base!$C$10,0))*parametros_manuales!$H$100+parametros_manuales!$F$21*(datos_base!$C$4+IF(parametros_manuales!$H$21="Todos",datos_base!$C$11,0))*parametros_manuales!$H$105+parametros_manuales!$G$21*(datos_base!$C$5+IF(parametros_manuales!$H$21="Todos",datos_base!$C$12,0))*parametros_manuales!$H$110)*parametros_manuales!$I$21*parametros_manuales!$J$21</f>
        <v>449.775</v>
      </c>
      <c r="I31" s="4">
        <f>(parametros_manuales!$D$21*(datos_base!$C$2+IF(parametros_manuales!$H$21="Todos",datos_base!$C$9,0))*parametros_manuales!$I$95+parametros_manuales!$E$21*(datos_base!$C$3+IF(parametros_manuales!$H$21="Todos",datos_base!$C$10,0))*parametros_manuales!$I$100+parametros_manuales!$F$21*(datos_base!$C$4+IF(parametros_manuales!$H$21="Todos",datos_base!$C$11,0))*parametros_manuales!$I$105+parametros_manuales!$G$21*(datos_base!$C$5+IF(parametros_manuales!$H$21="Todos",datos_base!$C$12,0))*parametros_manuales!$I$110)*parametros_manuales!$I$21*parametros_manuales!$J$21</f>
        <v>539.73</v>
      </c>
      <c r="J31" s="4">
        <f>(parametros_manuales!$D$21*(datos_base!$C$2+IF(parametros_manuales!$H$21="Todos",datos_base!$C$9,0))*parametros_manuales!$J$95+parametros_manuales!$E$21*(datos_base!$C$3+IF(parametros_manuales!$H$21="Todos",datos_base!$C$10,0))*parametros_manuales!$J$100+parametros_manuales!$F$21*(datos_base!$C$4+IF(parametros_manuales!$H$21="Todos",datos_base!$C$11,0))*parametros_manuales!$J$105+parametros_manuales!$G$21*(datos_base!$C$5+IF(parametros_manuales!$H$21="Todos",datos_base!$C$12,0))*parametros_manuales!$J$110)*parametros_manuales!$I$21*parametros_manuales!$J$21</f>
        <v>539.73</v>
      </c>
      <c r="K31" s="4">
        <f>(parametros_manuales!$D$21*(datos_base!$C$2+IF(parametros_manuales!$H$21="Todos",datos_base!$C$9,0))*parametros_manuales!$K$95+parametros_manuales!$E$21*(datos_base!$C$3+IF(parametros_manuales!$H$21="Todos",datos_base!$C$10,0))*parametros_manuales!$K$100+parametros_manuales!$F$21*(datos_base!$C$4+IF(parametros_manuales!$H$21="Todos",datos_base!$C$11,0))*parametros_manuales!$K$105+parametros_manuales!$G$21*(datos_base!$C$5+IF(parametros_manuales!$H$21="Todos",datos_base!$C$12,0))*parametros_manuales!$K$110)*parametros_manuales!$I$21*parametros_manuales!$J$21</f>
        <v>539.73</v>
      </c>
      <c r="L31" s="4">
        <f>(parametros_manuales!$D$21*(datos_base!$C$2+IF(parametros_manuales!$H$21="Todos",datos_base!$C$9,0))*parametros_manuales!$L$95+parametros_manuales!$E$21*(datos_base!$C$3+IF(parametros_manuales!$H$21="Todos",datos_base!$C$10,0))*parametros_manuales!$L$100+parametros_manuales!$F$21*(datos_base!$C$4+IF(parametros_manuales!$H$21="Todos",datos_base!$C$11,0))*parametros_manuales!$L$105+parametros_manuales!$G$21*(datos_base!$C$5+IF(parametros_manuales!$H$21="Todos",datos_base!$C$12,0))*parametros_manuales!$L$110)*parametros_manuales!$I$21*parametros_manuales!$J$21</f>
        <v>539.73</v>
      </c>
      <c r="M31" s="4">
        <f>(parametros_manuales!$D$21*(datos_base!$C$2+IF(parametros_manuales!$H$21="Todos",datos_base!$C$9,0))*parametros_manuales!$M$95+parametros_manuales!$E$21*(datos_base!$C$3+IF(parametros_manuales!$H$21="Todos",datos_base!$C$10,0))*parametros_manuales!$M$100+parametros_manuales!$F$21*(datos_base!$C$4+IF(parametros_manuales!$H$21="Todos",datos_base!$C$11,0))*parametros_manuales!$M$105+parametros_manuales!$G$21*(datos_base!$C$5+IF(parametros_manuales!$H$21="Todos",datos_base!$C$12,0))*parametros_manuales!$M$110)*parametros_manuales!$I$21*parametros_manuales!$J$21</f>
        <v>539.73</v>
      </c>
      <c r="N31" s="4">
        <f t="shared" si="4"/>
        <v>5997</v>
      </c>
      <c r="O31" s="4">
        <f t="shared" si="5"/>
        <v>539.73</v>
      </c>
      <c r="P31" s="27">
        <f>O31/(parametros_manuales!$B$7)</f>
        <v>3.5982</v>
      </c>
      <c r="Q31" s="3" t="str">
        <f t="shared" si="6"/>
        <v>Ene</v>
      </c>
    </row>
    <row r="32" ht="14.25" customHeight="1">
      <c r="A32" s="3" t="str">
        <f>parametros_manuales!$B$22</f>
        <v>Corte de disco y embutido (cúpula y fondo)</v>
      </c>
      <c r="B32" s="4">
        <f>(parametros_manuales!$D$22*(datos_base!$C$2+IF(parametros_manuales!$H$22="Todos",datos_base!$C$9,0))*parametros_manuales!$B$95+parametros_manuales!$E$22*(datos_base!$C$3+IF(parametros_manuales!$H$22="Todos",datos_base!$C$10,0))*parametros_manuales!$B$100+parametros_manuales!$F$22*(datos_base!$C$4+IF(parametros_manuales!$H$22="Todos",datos_base!$C$11,0))*parametros_manuales!$B$105+parametros_manuales!$G$22*(datos_base!$C$5+IF(parametros_manuales!$H$22="Todos",datos_base!$C$12,0))*parametros_manuales!$B$110)*parametros_manuales!$I$22*parametros_manuales!$J$22</f>
        <v>1931.4</v>
      </c>
      <c r="C32" s="4">
        <f>(parametros_manuales!$D$22*(datos_base!$C$2+IF(parametros_manuales!$H$22="Todos",datos_base!$C$9,0))*parametros_manuales!$C$95+parametros_manuales!$E$22*(datos_base!$C$3+IF(parametros_manuales!$H$22="Todos",datos_base!$C$10,0))*parametros_manuales!$C$100+parametros_manuales!$F$22*(datos_base!$C$4+IF(parametros_manuales!$H$22="Todos",datos_base!$C$11,0))*parametros_manuales!$C$105+parametros_manuales!$G$22*(datos_base!$C$5+IF(parametros_manuales!$H$22="Todos",datos_base!$C$12,0))*parametros_manuales!$C$110)*parametros_manuales!$I$22*parametros_manuales!$J$22</f>
        <v>1836.74</v>
      </c>
      <c r="D32" s="4">
        <f>(parametros_manuales!$D$22*(datos_base!$C$2+IF(parametros_manuales!$H$22="Todos",datos_base!$C$9,0))*parametros_manuales!$D$95+parametros_manuales!$E$22*(datos_base!$C$3+IF(parametros_manuales!$H$22="Todos",datos_base!$C$10,0))*parametros_manuales!$D$100+parametros_manuales!$F$22*(datos_base!$C$4+IF(parametros_manuales!$H$22="Todos",datos_base!$C$11,0))*parametros_manuales!$D$105+parametros_manuales!$G$22*(datos_base!$C$5+IF(parametros_manuales!$H$22="Todos",datos_base!$C$12,0))*parametros_manuales!$D$110)*parametros_manuales!$I$22*parametros_manuales!$J$22</f>
        <v>1764.13</v>
      </c>
      <c r="E32" s="4">
        <f>(parametros_manuales!$D$22*(datos_base!$C$2+IF(parametros_manuales!$H$22="Todos",datos_base!$C$9,0))*parametros_manuales!$E$95+parametros_manuales!$E$22*(datos_base!$C$3+IF(parametros_manuales!$H$22="Todos",datos_base!$C$10,0))*parametros_manuales!$E$100+parametros_manuales!$F$22*(datos_base!$C$4+IF(parametros_manuales!$H$22="Todos",datos_base!$C$11,0))*parametros_manuales!$E$105+parametros_manuales!$G$22*(datos_base!$C$5+IF(parametros_manuales!$H$22="Todos",datos_base!$C$12,0))*parametros_manuales!$E$110)*parametros_manuales!$I$22*parametros_manuales!$J$22</f>
        <v>1704.16</v>
      </c>
      <c r="F32" s="4">
        <f>(parametros_manuales!$D$22*(datos_base!$C$2+IF(parametros_manuales!$H$22="Todos",datos_base!$C$9,0))*parametros_manuales!$F$95+parametros_manuales!$E$22*(datos_base!$C$3+IF(parametros_manuales!$H$22="Todos",datos_base!$C$10,0))*parametros_manuales!$F$100+parametros_manuales!$F$22*(datos_base!$C$4+IF(parametros_manuales!$H$22="Todos",datos_base!$C$11,0))*parametros_manuales!$F$105+parametros_manuales!$G$22*(datos_base!$C$5+IF(parametros_manuales!$H$22="Todos",datos_base!$C$12,0))*parametros_manuales!$F$110)*parametros_manuales!$I$22*parametros_manuales!$J$22</f>
        <v>1596.86</v>
      </c>
      <c r="G32" s="4">
        <f>(parametros_manuales!$D$22*(datos_base!$C$2+IF(parametros_manuales!$H$22="Todos",datos_base!$C$9,0))*parametros_manuales!$G$95+parametros_manuales!$E$22*(datos_base!$C$3+IF(parametros_manuales!$H$22="Todos",datos_base!$C$10,0))*parametros_manuales!$G$100+parametros_manuales!$F$22*(datos_base!$C$4+IF(parametros_manuales!$H$22="Todos",datos_base!$C$11,0))*parametros_manuales!$G$105+parametros_manuales!$G$22*(datos_base!$C$5+IF(parametros_manuales!$H$22="Todos",datos_base!$C$12,0))*parametros_manuales!$G$110)*parametros_manuales!$I$22*parametros_manuales!$J$22</f>
        <v>1549.53</v>
      </c>
      <c r="H32" s="4">
        <f>(parametros_manuales!$D$22*(datos_base!$C$2+IF(parametros_manuales!$H$22="Todos",datos_base!$C$9,0))*parametros_manuales!$H$95+parametros_manuales!$E$22*(datos_base!$C$3+IF(parametros_manuales!$H$22="Todos",datos_base!$C$10,0))*parametros_manuales!$H$100+parametros_manuales!$F$22*(datos_base!$C$4+IF(parametros_manuales!$H$22="Todos",datos_base!$C$11,0))*parametros_manuales!$H$105+parametros_manuales!$G$22*(datos_base!$C$5+IF(parametros_manuales!$H$22="Todos",datos_base!$C$12,0))*parametros_manuales!$H$110)*parametros_manuales!$I$22*parametros_manuales!$J$22</f>
        <v>1656.83</v>
      </c>
      <c r="I32" s="4">
        <f>(parametros_manuales!$D$22*(datos_base!$C$2+IF(parametros_manuales!$H$22="Todos",datos_base!$C$9,0))*parametros_manuales!$I$95+parametros_manuales!$E$22*(datos_base!$C$3+IF(parametros_manuales!$H$22="Todos",datos_base!$C$10,0))*parametros_manuales!$I$100+parametros_manuales!$F$22*(datos_base!$C$4+IF(parametros_manuales!$H$22="Todos",datos_base!$C$11,0))*parametros_manuales!$I$105+parametros_manuales!$G$22*(datos_base!$C$5+IF(parametros_manuales!$H$22="Todos",datos_base!$C$12,0))*parametros_manuales!$I$110)*parametros_manuales!$I$22*parametros_manuales!$J$22</f>
        <v>1836.74</v>
      </c>
      <c r="J32" s="4">
        <f>(parametros_manuales!$D$22*(datos_base!$C$2+IF(parametros_manuales!$H$22="Todos",datos_base!$C$9,0))*parametros_manuales!$J$95+parametros_manuales!$E$22*(datos_base!$C$3+IF(parametros_manuales!$H$22="Todos",datos_base!$C$10,0))*parametros_manuales!$J$100+parametros_manuales!$F$22*(datos_base!$C$4+IF(parametros_manuales!$H$22="Todos",datos_base!$C$11,0))*parametros_manuales!$J$105+parametros_manuales!$G$22*(datos_base!$C$5+IF(parametros_manuales!$H$22="Todos",datos_base!$C$12,0))*parametros_manuales!$J$110)*parametros_manuales!$I$22*parametros_manuales!$J$22</f>
        <v>1836.74</v>
      </c>
      <c r="K32" s="4">
        <f>(parametros_manuales!$D$22*(datos_base!$C$2+IF(parametros_manuales!$H$22="Todos",datos_base!$C$9,0))*parametros_manuales!$K$95+parametros_manuales!$E$22*(datos_base!$C$3+IF(parametros_manuales!$H$22="Todos",datos_base!$C$10,0))*parametros_manuales!$K$100+parametros_manuales!$F$22*(datos_base!$C$4+IF(parametros_manuales!$H$22="Todos",datos_base!$C$11,0))*parametros_manuales!$K$105+parametros_manuales!$G$22*(datos_base!$C$5+IF(parametros_manuales!$H$22="Todos",datos_base!$C$12,0))*parametros_manuales!$K$110)*parametros_manuales!$I$22*parametros_manuales!$J$22</f>
        <v>1884.07</v>
      </c>
      <c r="L32" s="4">
        <f>(parametros_manuales!$D$22*(datos_base!$C$2+IF(parametros_manuales!$H$22="Todos",datos_base!$C$9,0))*parametros_manuales!$L$95+parametros_manuales!$E$22*(datos_base!$C$3+IF(parametros_manuales!$H$22="Todos",datos_base!$C$10,0))*parametros_manuales!$L$100+parametros_manuales!$F$22*(datos_base!$C$4+IF(parametros_manuales!$H$22="Todos",datos_base!$C$11,0))*parametros_manuales!$L$105+parametros_manuales!$G$22*(datos_base!$C$5+IF(parametros_manuales!$H$22="Todos",datos_base!$C$12,0))*parametros_manuales!$L$110)*parametros_manuales!$I$22*parametros_manuales!$J$22</f>
        <v>1931.4</v>
      </c>
      <c r="M32" s="4">
        <f>(parametros_manuales!$D$22*(datos_base!$C$2+IF(parametros_manuales!$H$22="Todos",datos_base!$C$9,0))*parametros_manuales!$M$95+parametros_manuales!$E$22*(datos_base!$C$3+IF(parametros_manuales!$H$22="Todos",datos_base!$C$10,0))*parametros_manuales!$M$100+parametros_manuales!$F$22*(datos_base!$C$4+IF(parametros_manuales!$H$22="Todos",datos_base!$C$11,0))*parametros_manuales!$M$105+parametros_manuales!$G$22*(datos_base!$C$5+IF(parametros_manuales!$H$22="Todos",datos_base!$C$12,0))*parametros_manuales!$M$110)*parametros_manuales!$I$22*parametros_manuales!$J$22</f>
        <v>1931.4</v>
      </c>
      <c r="N32" s="4">
        <f t="shared" si="4"/>
        <v>21460</v>
      </c>
      <c r="O32" s="4">
        <f t="shared" si="5"/>
        <v>1931.4</v>
      </c>
      <c r="P32" s="27">
        <f>O32/(parametros_manuales!$B$7)</f>
        <v>12.876</v>
      </c>
      <c r="Q32" s="3" t="str">
        <f t="shared" si="6"/>
        <v>Ene</v>
      </c>
    </row>
    <row r="33" ht="14.25" customHeight="1">
      <c r="A33" s="3" t="str">
        <f>parametros_manuales!$B$23</f>
        <v>Preparación de cuello</v>
      </c>
      <c r="B33" s="4">
        <f>(parametros_manuales!$D$23*(datos_base!$C$2+IF(parametros_manuales!$H$23="Todos",datos_base!$C$9,0))*parametros_manuales!$B$95+parametros_manuales!$E$23*(datos_base!$C$3+IF(parametros_manuales!$H$23="Todos",datos_base!$C$10,0))*parametros_manuales!$B$100+parametros_manuales!$F$23*(datos_base!$C$4+IF(parametros_manuales!$H$23="Todos",datos_base!$C$11,0))*parametros_manuales!$B$105+parametros_manuales!$G$23*(datos_base!$C$5+IF(parametros_manuales!$H$23="Todos",datos_base!$C$12,0))*parametros_manuales!$B$110)*parametros_manuales!$I$23*parametros_manuales!$J$23</f>
        <v>965.7</v>
      </c>
      <c r="C33" s="4">
        <f>(parametros_manuales!$D$23*(datos_base!$C$2+IF(parametros_manuales!$H$23="Todos",datos_base!$C$9,0))*parametros_manuales!$C$95+parametros_manuales!$E$23*(datos_base!$C$3+IF(parametros_manuales!$H$23="Todos",datos_base!$C$10,0))*parametros_manuales!$C$100+parametros_manuales!$F$23*(datos_base!$C$4+IF(parametros_manuales!$H$23="Todos",datos_base!$C$11,0))*parametros_manuales!$C$105+parametros_manuales!$G$23*(datos_base!$C$5+IF(parametros_manuales!$H$23="Todos",datos_base!$C$12,0))*parametros_manuales!$C$110)*parametros_manuales!$I$23*parametros_manuales!$J$23</f>
        <v>918.37</v>
      </c>
      <c r="D33" s="4">
        <f>(parametros_manuales!$D$23*(datos_base!$C$2+IF(parametros_manuales!$H$23="Todos",datos_base!$C$9,0))*parametros_manuales!$D$95+parametros_manuales!$E$23*(datos_base!$C$3+IF(parametros_manuales!$H$23="Todos",datos_base!$C$10,0))*parametros_manuales!$D$100+parametros_manuales!$F$23*(datos_base!$C$4+IF(parametros_manuales!$H$23="Todos",datos_base!$C$11,0))*parametros_manuales!$D$105+parametros_manuales!$G$23*(datos_base!$C$5+IF(parametros_manuales!$H$23="Todos",datos_base!$C$12,0))*parametros_manuales!$D$110)*parametros_manuales!$I$23*parametros_manuales!$J$23</f>
        <v>882.065</v>
      </c>
      <c r="E33" s="4">
        <f>(parametros_manuales!$D$23*(datos_base!$C$2+IF(parametros_manuales!$H$23="Todos",datos_base!$C$9,0))*parametros_manuales!$E$95+parametros_manuales!$E$23*(datos_base!$C$3+IF(parametros_manuales!$H$23="Todos",datos_base!$C$10,0))*parametros_manuales!$E$100+parametros_manuales!$F$23*(datos_base!$C$4+IF(parametros_manuales!$H$23="Todos",datos_base!$C$11,0))*parametros_manuales!$E$105+parametros_manuales!$G$23*(datos_base!$C$5+IF(parametros_manuales!$H$23="Todos",datos_base!$C$12,0))*parametros_manuales!$E$110)*parametros_manuales!$I$23*parametros_manuales!$J$23</f>
        <v>852.08</v>
      </c>
      <c r="F33" s="4">
        <f>(parametros_manuales!$D$23*(datos_base!$C$2+IF(parametros_manuales!$H$23="Todos",datos_base!$C$9,0))*parametros_manuales!$F$95+parametros_manuales!$E$23*(datos_base!$C$3+IF(parametros_manuales!$H$23="Todos",datos_base!$C$10,0))*parametros_manuales!$F$100+parametros_manuales!$F$23*(datos_base!$C$4+IF(parametros_manuales!$H$23="Todos",datos_base!$C$11,0))*parametros_manuales!$F$105+parametros_manuales!$G$23*(datos_base!$C$5+IF(parametros_manuales!$H$23="Todos",datos_base!$C$12,0))*parametros_manuales!$F$110)*parametros_manuales!$I$23*parametros_manuales!$J$23</f>
        <v>798.43</v>
      </c>
      <c r="G33" s="4">
        <f>(parametros_manuales!$D$23*(datos_base!$C$2+IF(parametros_manuales!$H$23="Todos",datos_base!$C$9,0))*parametros_manuales!$G$95+parametros_manuales!$E$23*(datos_base!$C$3+IF(parametros_manuales!$H$23="Todos",datos_base!$C$10,0))*parametros_manuales!$G$100+parametros_manuales!$F$23*(datos_base!$C$4+IF(parametros_manuales!$H$23="Todos",datos_base!$C$11,0))*parametros_manuales!$G$105+parametros_manuales!$G$23*(datos_base!$C$5+IF(parametros_manuales!$H$23="Todos",datos_base!$C$12,0))*parametros_manuales!$G$110)*parametros_manuales!$I$23*parametros_manuales!$J$23</f>
        <v>774.765</v>
      </c>
      <c r="H33" s="4">
        <f>(parametros_manuales!$D$23*(datos_base!$C$2+IF(parametros_manuales!$H$23="Todos",datos_base!$C$9,0))*parametros_manuales!$H$95+parametros_manuales!$E$23*(datos_base!$C$3+IF(parametros_manuales!$H$23="Todos",datos_base!$C$10,0))*parametros_manuales!$H$100+parametros_manuales!$F$23*(datos_base!$C$4+IF(parametros_manuales!$H$23="Todos",datos_base!$C$11,0))*parametros_manuales!$H$105+parametros_manuales!$G$23*(datos_base!$C$5+IF(parametros_manuales!$H$23="Todos",datos_base!$C$12,0))*parametros_manuales!$H$110)*parametros_manuales!$I$23*parametros_manuales!$J$23</f>
        <v>828.415</v>
      </c>
      <c r="I33" s="4">
        <f>(parametros_manuales!$D$23*(datos_base!$C$2+IF(parametros_manuales!$H$23="Todos",datos_base!$C$9,0))*parametros_manuales!$I$95+parametros_manuales!$E$23*(datos_base!$C$3+IF(parametros_manuales!$H$23="Todos",datos_base!$C$10,0))*parametros_manuales!$I$100+parametros_manuales!$F$23*(datos_base!$C$4+IF(parametros_manuales!$H$23="Todos",datos_base!$C$11,0))*parametros_manuales!$I$105+parametros_manuales!$G$23*(datos_base!$C$5+IF(parametros_manuales!$H$23="Todos",datos_base!$C$12,0))*parametros_manuales!$I$110)*parametros_manuales!$I$23*parametros_manuales!$J$23</f>
        <v>918.37</v>
      </c>
      <c r="J33" s="4">
        <f>(parametros_manuales!$D$23*(datos_base!$C$2+IF(parametros_manuales!$H$23="Todos",datos_base!$C$9,0))*parametros_manuales!$J$95+parametros_manuales!$E$23*(datos_base!$C$3+IF(parametros_manuales!$H$23="Todos",datos_base!$C$10,0))*parametros_manuales!$J$100+parametros_manuales!$F$23*(datos_base!$C$4+IF(parametros_manuales!$H$23="Todos",datos_base!$C$11,0))*parametros_manuales!$J$105+parametros_manuales!$G$23*(datos_base!$C$5+IF(parametros_manuales!$H$23="Todos",datos_base!$C$12,0))*parametros_manuales!$J$110)*parametros_manuales!$I$23*parametros_manuales!$J$23</f>
        <v>918.37</v>
      </c>
      <c r="K33" s="4">
        <f>(parametros_manuales!$D$23*(datos_base!$C$2+IF(parametros_manuales!$H$23="Todos",datos_base!$C$9,0))*parametros_manuales!$K$95+parametros_manuales!$E$23*(datos_base!$C$3+IF(parametros_manuales!$H$23="Todos",datos_base!$C$10,0))*parametros_manuales!$K$100+parametros_manuales!$F$23*(datos_base!$C$4+IF(parametros_manuales!$H$23="Todos",datos_base!$C$11,0))*parametros_manuales!$K$105+parametros_manuales!$G$23*(datos_base!$C$5+IF(parametros_manuales!$H$23="Todos",datos_base!$C$12,0))*parametros_manuales!$K$110)*parametros_manuales!$I$23*parametros_manuales!$J$23</f>
        <v>942.035</v>
      </c>
      <c r="L33" s="4">
        <f>(parametros_manuales!$D$23*(datos_base!$C$2+IF(parametros_manuales!$H$23="Todos",datos_base!$C$9,0))*parametros_manuales!$L$95+parametros_manuales!$E$23*(datos_base!$C$3+IF(parametros_manuales!$H$23="Todos",datos_base!$C$10,0))*parametros_manuales!$L$100+parametros_manuales!$F$23*(datos_base!$C$4+IF(parametros_manuales!$H$23="Todos",datos_base!$C$11,0))*parametros_manuales!$L$105+parametros_manuales!$G$23*(datos_base!$C$5+IF(parametros_manuales!$H$23="Todos",datos_base!$C$12,0))*parametros_manuales!$L$110)*parametros_manuales!$I$23*parametros_manuales!$J$23</f>
        <v>965.7</v>
      </c>
      <c r="M33" s="4">
        <f>(parametros_manuales!$D$23*(datos_base!$C$2+IF(parametros_manuales!$H$23="Todos",datos_base!$C$9,0))*parametros_manuales!$M$95+parametros_manuales!$E$23*(datos_base!$C$3+IF(parametros_manuales!$H$23="Todos",datos_base!$C$10,0))*parametros_manuales!$M$100+parametros_manuales!$F$23*(datos_base!$C$4+IF(parametros_manuales!$H$23="Todos",datos_base!$C$11,0))*parametros_manuales!$M$105+parametros_manuales!$G$23*(datos_base!$C$5+IF(parametros_manuales!$H$23="Todos",datos_base!$C$12,0))*parametros_manuales!$M$110)*parametros_manuales!$I$23*parametros_manuales!$J$23</f>
        <v>965.7</v>
      </c>
      <c r="N33" s="4">
        <f t="shared" si="4"/>
        <v>10730</v>
      </c>
      <c r="O33" s="4">
        <f t="shared" si="5"/>
        <v>965.7</v>
      </c>
      <c r="P33" s="27">
        <f>O33/(parametros_manuales!$B$7)</f>
        <v>6.438</v>
      </c>
      <c r="Q33" s="3" t="str">
        <f t="shared" si="6"/>
        <v>Ene</v>
      </c>
    </row>
    <row r="34" ht="14.25" customHeight="1">
      <c r="A34" s="3" t="str">
        <f>parametros_manuales!$B$24</f>
        <v>Numerado de cúpula</v>
      </c>
      <c r="B34" s="4">
        <f>(parametros_manuales!$D$24*(datos_base!$C$2+IF(parametros_manuales!$H$24="Todos",datos_base!$C$9,0))*parametros_manuales!$B$95+parametros_manuales!$E$24*(datos_base!$C$3+IF(parametros_manuales!$H$24="Todos",datos_base!$C$10,0))*parametros_manuales!$B$100+parametros_manuales!$F$24*(datos_base!$C$4+IF(parametros_manuales!$H$24="Todos",datos_base!$C$11,0))*parametros_manuales!$B$105+parametros_manuales!$G$24*(datos_base!$C$5+IF(parametros_manuales!$H$24="Todos",datos_base!$C$12,0))*parametros_manuales!$B$110)*parametros_manuales!$I$24*parametros_manuales!$J$24</f>
        <v>965.7</v>
      </c>
      <c r="C34" s="4">
        <f>(parametros_manuales!$D$24*(datos_base!$C$2+IF(parametros_manuales!$H$24="Todos",datos_base!$C$9,0))*parametros_manuales!$C$95+parametros_manuales!$E$24*(datos_base!$C$3+IF(parametros_manuales!$H$24="Todos",datos_base!$C$10,0))*parametros_manuales!$C$100+parametros_manuales!$F$24*(datos_base!$C$4+IF(parametros_manuales!$H$24="Todos",datos_base!$C$11,0))*parametros_manuales!$C$105+parametros_manuales!$G$24*(datos_base!$C$5+IF(parametros_manuales!$H$24="Todos",datos_base!$C$12,0))*parametros_manuales!$C$110)*parametros_manuales!$I$24*parametros_manuales!$J$24</f>
        <v>918.37</v>
      </c>
      <c r="D34" s="4">
        <f>(parametros_manuales!$D$24*(datos_base!$C$2+IF(parametros_manuales!$H$24="Todos",datos_base!$C$9,0))*parametros_manuales!$D$95+parametros_manuales!$E$24*(datos_base!$C$3+IF(parametros_manuales!$H$24="Todos",datos_base!$C$10,0))*parametros_manuales!$D$100+parametros_manuales!$F$24*(datos_base!$C$4+IF(parametros_manuales!$H$24="Todos",datos_base!$C$11,0))*parametros_manuales!$D$105+parametros_manuales!$G$24*(datos_base!$C$5+IF(parametros_manuales!$H$24="Todos",datos_base!$C$12,0))*parametros_manuales!$D$110)*parametros_manuales!$I$24*parametros_manuales!$J$24</f>
        <v>882.065</v>
      </c>
      <c r="E34" s="4">
        <f>(parametros_manuales!$D$24*(datos_base!$C$2+IF(parametros_manuales!$H$24="Todos",datos_base!$C$9,0))*parametros_manuales!$E$95+parametros_manuales!$E$24*(datos_base!$C$3+IF(parametros_manuales!$H$24="Todos",datos_base!$C$10,0))*parametros_manuales!$E$100+parametros_manuales!$F$24*(datos_base!$C$4+IF(parametros_manuales!$H$24="Todos",datos_base!$C$11,0))*parametros_manuales!$E$105+parametros_manuales!$G$24*(datos_base!$C$5+IF(parametros_manuales!$H$24="Todos",datos_base!$C$12,0))*parametros_manuales!$E$110)*parametros_manuales!$I$24*parametros_manuales!$J$24</f>
        <v>852.08</v>
      </c>
      <c r="F34" s="4">
        <f>(parametros_manuales!$D$24*(datos_base!$C$2+IF(parametros_manuales!$H$24="Todos",datos_base!$C$9,0))*parametros_manuales!$F$95+parametros_manuales!$E$24*(datos_base!$C$3+IF(parametros_manuales!$H$24="Todos",datos_base!$C$10,0))*parametros_manuales!$F$100+parametros_manuales!$F$24*(datos_base!$C$4+IF(parametros_manuales!$H$24="Todos",datos_base!$C$11,0))*parametros_manuales!$F$105+parametros_manuales!$G$24*(datos_base!$C$5+IF(parametros_manuales!$H$24="Todos",datos_base!$C$12,0))*parametros_manuales!$F$110)*parametros_manuales!$I$24*parametros_manuales!$J$24</f>
        <v>798.43</v>
      </c>
      <c r="G34" s="4">
        <f>(parametros_manuales!$D$24*(datos_base!$C$2+IF(parametros_manuales!$H$24="Todos",datos_base!$C$9,0))*parametros_manuales!$G$95+parametros_manuales!$E$24*(datos_base!$C$3+IF(parametros_manuales!$H$24="Todos",datos_base!$C$10,0))*parametros_manuales!$G$100+parametros_manuales!$F$24*(datos_base!$C$4+IF(parametros_manuales!$H$24="Todos",datos_base!$C$11,0))*parametros_manuales!$G$105+parametros_manuales!$G$24*(datos_base!$C$5+IF(parametros_manuales!$H$24="Todos",datos_base!$C$12,0))*parametros_manuales!$G$110)*parametros_manuales!$I$24*parametros_manuales!$J$24</f>
        <v>774.765</v>
      </c>
      <c r="H34" s="4">
        <f>(parametros_manuales!$D$24*(datos_base!$C$2+IF(parametros_manuales!$H$24="Todos",datos_base!$C$9,0))*parametros_manuales!$H$95+parametros_manuales!$E$24*(datos_base!$C$3+IF(parametros_manuales!$H$24="Todos",datos_base!$C$10,0))*parametros_manuales!$H$100+parametros_manuales!$F$24*(datos_base!$C$4+IF(parametros_manuales!$H$24="Todos",datos_base!$C$11,0))*parametros_manuales!$H$105+parametros_manuales!$G$24*(datos_base!$C$5+IF(parametros_manuales!$H$24="Todos",datos_base!$C$12,0))*parametros_manuales!$H$110)*parametros_manuales!$I$24*parametros_manuales!$J$24</f>
        <v>828.415</v>
      </c>
      <c r="I34" s="4">
        <f>(parametros_manuales!$D$24*(datos_base!$C$2+IF(parametros_manuales!$H$24="Todos",datos_base!$C$9,0))*parametros_manuales!$I$95+parametros_manuales!$E$24*(datos_base!$C$3+IF(parametros_manuales!$H$24="Todos",datos_base!$C$10,0))*parametros_manuales!$I$100+parametros_manuales!$F$24*(datos_base!$C$4+IF(parametros_manuales!$H$24="Todos",datos_base!$C$11,0))*parametros_manuales!$I$105+parametros_manuales!$G$24*(datos_base!$C$5+IF(parametros_manuales!$H$24="Todos",datos_base!$C$12,0))*parametros_manuales!$I$110)*parametros_manuales!$I$24*parametros_manuales!$J$24</f>
        <v>918.37</v>
      </c>
      <c r="J34" s="4">
        <f>(parametros_manuales!$D$24*(datos_base!$C$2+IF(parametros_manuales!$H$24="Todos",datos_base!$C$9,0))*parametros_manuales!$J$95+parametros_manuales!$E$24*(datos_base!$C$3+IF(parametros_manuales!$H$24="Todos",datos_base!$C$10,0))*parametros_manuales!$J$100+parametros_manuales!$F$24*(datos_base!$C$4+IF(parametros_manuales!$H$24="Todos",datos_base!$C$11,0))*parametros_manuales!$J$105+parametros_manuales!$G$24*(datos_base!$C$5+IF(parametros_manuales!$H$24="Todos",datos_base!$C$12,0))*parametros_manuales!$J$110)*parametros_manuales!$I$24*parametros_manuales!$J$24</f>
        <v>918.37</v>
      </c>
      <c r="K34" s="4">
        <f>(parametros_manuales!$D$24*(datos_base!$C$2+IF(parametros_manuales!$H$24="Todos",datos_base!$C$9,0))*parametros_manuales!$K$95+parametros_manuales!$E$24*(datos_base!$C$3+IF(parametros_manuales!$H$24="Todos",datos_base!$C$10,0))*parametros_manuales!$K$100+parametros_manuales!$F$24*(datos_base!$C$4+IF(parametros_manuales!$H$24="Todos",datos_base!$C$11,0))*parametros_manuales!$K$105+parametros_manuales!$G$24*(datos_base!$C$5+IF(parametros_manuales!$H$24="Todos",datos_base!$C$12,0))*parametros_manuales!$K$110)*parametros_manuales!$I$24*parametros_manuales!$J$24</f>
        <v>942.035</v>
      </c>
      <c r="L34" s="4">
        <f>(parametros_manuales!$D$24*(datos_base!$C$2+IF(parametros_manuales!$H$24="Todos",datos_base!$C$9,0))*parametros_manuales!$L$95+parametros_manuales!$E$24*(datos_base!$C$3+IF(parametros_manuales!$H$24="Todos",datos_base!$C$10,0))*parametros_manuales!$L$100+parametros_manuales!$F$24*(datos_base!$C$4+IF(parametros_manuales!$H$24="Todos",datos_base!$C$11,0))*parametros_manuales!$L$105+parametros_manuales!$G$24*(datos_base!$C$5+IF(parametros_manuales!$H$24="Todos",datos_base!$C$12,0))*parametros_manuales!$L$110)*parametros_manuales!$I$24*parametros_manuales!$J$24</f>
        <v>965.7</v>
      </c>
      <c r="M34" s="4">
        <f>(parametros_manuales!$D$24*(datos_base!$C$2+IF(parametros_manuales!$H$24="Todos",datos_base!$C$9,0))*parametros_manuales!$M$95+parametros_manuales!$E$24*(datos_base!$C$3+IF(parametros_manuales!$H$24="Todos",datos_base!$C$10,0))*parametros_manuales!$M$100+parametros_manuales!$F$24*(datos_base!$C$4+IF(parametros_manuales!$H$24="Todos",datos_base!$C$11,0))*parametros_manuales!$M$105+parametros_manuales!$G$24*(datos_base!$C$5+IF(parametros_manuales!$H$24="Todos",datos_base!$C$12,0))*parametros_manuales!$M$110)*parametros_manuales!$I$24*parametros_manuales!$J$24</f>
        <v>965.7</v>
      </c>
      <c r="N34" s="4">
        <f t="shared" si="4"/>
        <v>10730</v>
      </c>
      <c r="O34" s="4">
        <f t="shared" si="5"/>
        <v>965.7</v>
      </c>
      <c r="P34" s="27">
        <f>O34/(parametros_manuales!$B$7)</f>
        <v>6.438</v>
      </c>
      <c r="Q34" s="3" t="str">
        <f t="shared" si="6"/>
        <v>Ene</v>
      </c>
    </row>
    <row r="35" ht="14.25" customHeight="1">
      <c r="A35" s="3" t="str">
        <f>parametros_manuales!$B$25</f>
        <v>Soldadura del cuello a la cúpula</v>
      </c>
      <c r="B35" s="4">
        <f>(parametros_manuales!$D$25*(datos_base!$C$2+IF(parametros_manuales!$H$25="Todos",datos_base!$C$9,0))*parametros_manuales!$B$95+parametros_manuales!$E$25*(datos_base!$C$3+IF(parametros_manuales!$H$25="Todos",datos_base!$C$10,0))*parametros_manuales!$B$100+parametros_manuales!$F$25*(datos_base!$C$4+IF(parametros_manuales!$H$25="Todos",datos_base!$C$11,0))*parametros_manuales!$B$105+parametros_manuales!$G$25*(datos_base!$C$5+IF(parametros_manuales!$H$25="Todos",datos_base!$C$12,0))*parametros_manuales!$B$110)*parametros_manuales!$I$25*parametros_manuales!$J$25</f>
        <v>965.7</v>
      </c>
      <c r="C35" s="4">
        <f>(parametros_manuales!$D$25*(datos_base!$C$2+IF(parametros_manuales!$H$25="Todos",datos_base!$C$9,0))*parametros_manuales!$C$95+parametros_manuales!$E$25*(datos_base!$C$3+IF(parametros_manuales!$H$25="Todos",datos_base!$C$10,0))*parametros_manuales!$C$100+parametros_manuales!$F$25*(datos_base!$C$4+IF(parametros_manuales!$H$25="Todos",datos_base!$C$11,0))*parametros_manuales!$C$105+parametros_manuales!$G$25*(datos_base!$C$5+IF(parametros_manuales!$H$25="Todos",datos_base!$C$12,0))*parametros_manuales!$C$110)*parametros_manuales!$I$25*parametros_manuales!$J$25</f>
        <v>918.37</v>
      </c>
      <c r="D35" s="4">
        <f>(parametros_manuales!$D$25*(datos_base!$C$2+IF(parametros_manuales!$H$25="Todos",datos_base!$C$9,0))*parametros_manuales!$D$95+parametros_manuales!$E$25*(datos_base!$C$3+IF(parametros_manuales!$H$25="Todos",datos_base!$C$10,0))*parametros_manuales!$D$100+parametros_manuales!$F$25*(datos_base!$C$4+IF(parametros_manuales!$H$25="Todos",datos_base!$C$11,0))*parametros_manuales!$D$105+parametros_manuales!$G$25*(datos_base!$C$5+IF(parametros_manuales!$H$25="Todos",datos_base!$C$12,0))*parametros_manuales!$D$110)*parametros_manuales!$I$25*parametros_manuales!$J$25</f>
        <v>882.065</v>
      </c>
      <c r="E35" s="4">
        <f>(parametros_manuales!$D$25*(datos_base!$C$2+IF(parametros_manuales!$H$25="Todos",datos_base!$C$9,0))*parametros_manuales!$E$95+parametros_manuales!$E$25*(datos_base!$C$3+IF(parametros_manuales!$H$25="Todos",datos_base!$C$10,0))*parametros_manuales!$E$100+parametros_manuales!$F$25*(datos_base!$C$4+IF(parametros_manuales!$H$25="Todos",datos_base!$C$11,0))*parametros_manuales!$E$105+parametros_manuales!$G$25*(datos_base!$C$5+IF(parametros_manuales!$H$25="Todos",datos_base!$C$12,0))*parametros_manuales!$E$110)*parametros_manuales!$I$25*parametros_manuales!$J$25</f>
        <v>852.08</v>
      </c>
      <c r="F35" s="4">
        <f>(parametros_manuales!$D$25*(datos_base!$C$2+IF(parametros_manuales!$H$25="Todos",datos_base!$C$9,0))*parametros_manuales!$F$95+parametros_manuales!$E$25*(datos_base!$C$3+IF(parametros_manuales!$H$25="Todos",datos_base!$C$10,0))*parametros_manuales!$F$100+parametros_manuales!$F$25*(datos_base!$C$4+IF(parametros_manuales!$H$25="Todos",datos_base!$C$11,0))*parametros_manuales!$F$105+parametros_manuales!$G$25*(datos_base!$C$5+IF(parametros_manuales!$H$25="Todos",datos_base!$C$12,0))*parametros_manuales!$F$110)*parametros_manuales!$I$25*parametros_manuales!$J$25</f>
        <v>798.43</v>
      </c>
      <c r="G35" s="4">
        <f>(parametros_manuales!$D$25*(datos_base!$C$2+IF(parametros_manuales!$H$25="Todos",datos_base!$C$9,0))*parametros_manuales!$G$95+parametros_manuales!$E$25*(datos_base!$C$3+IF(parametros_manuales!$H$25="Todos",datos_base!$C$10,0))*parametros_manuales!$G$100+parametros_manuales!$F$25*(datos_base!$C$4+IF(parametros_manuales!$H$25="Todos",datos_base!$C$11,0))*parametros_manuales!$G$105+parametros_manuales!$G$25*(datos_base!$C$5+IF(parametros_manuales!$H$25="Todos",datos_base!$C$12,0))*parametros_manuales!$G$110)*parametros_manuales!$I$25*parametros_manuales!$J$25</f>
        <v>774.765</v>
      </c>
      <c r="H35" s="4">
        <f>(parametros_manuales!$D$25*(datos_base!$C$2+IF(parametros_manuales!$H$25="Todos",datos_base!$C$9,0))*parametros_manuales!$H$95+parametros_manuales!$E$25*(datos_base!$C$3+IF(parametros_manuales!$H$25="Todos",datos_base!$C$10,0))*parametros_manuales!$H$100+parametros_manuales!$F$25*(datos_base!$C$4+IF(parametros_manuales!$H$25="Todos",datos_base!$C$11,0))*parametros_manuales!$H$105+parametros_manuales!$G$25*(datos_base!$C$5+IF(parametros_manuales!$H$25="Todos",datos_base!$C$12,0))*parametros_manuales!$H$110)*parametros_manuales!$I$25*parametros_manuales!$J$25</f>
        <v>828.415</v>
      </c>
      <c r="I35" s="4">
        <f>(parametros_manuales!$D$25*(datos_base!$C$2+IF(parametros_manuales!$H$25="Todos",datos_base!$C$9,0))*parametros_manuales!$I$95+parametros_manuales!$E$25*(datos_base!$C$3+IF(parametros_manuales!$H$25="Todos",datos_base!$C$10,0))*parametros_manuales!$I$100+parametros_manuales!$F$25*(datos_base!$C$4+IF(parametros_manuales!$H$25="Todos",datos_base!$C$11,0))*parametros_manuales!$I$105+parametros_manuales!$G$25*(datos_base!$C$5+IF(parametros_manuales!$H$25="Todos",datos_base!$C$12,0))*parametros_manuales!$I$110)*parametros_manuales!$I$25*parametros_manuales!$J$25</f>
        <v>918.37</v>
      </c>
      <c r="J35" s="4">
        <f>(parametros_manuales!$D$25*(datos_base!$C$2+IF(parametros_manuales!$H$25="Todos",datos_base!$C$9,0))*parametros_manuales!$J$95+parametros_manuales!$E$25*(datos_base!$C$3+IF(parametros_manuales!$H$25="Todos",datos_base!$C$10,0))*parametros_manuales!$J$100+parametros_manuales!$F$25*(datos_base!$C$4+IF(parametros_manuales!$H$25="Todos",datos_base!$C$11,0))*parametros_manuales!$J$105+parametros_manuales!$G$25*(datos_base!$C$5+IF(parametros_manuales!$H$25="Todos",datos_base!$C$12,0))*parametros_manuales!$J$110)*parametros_manuales!$I$25*parametros_manuales!$J$25</f>
        <v>918.37</v>
      </c>
      <c r="K35" s="4">
        <f>(parametros_manuales!$D$25*(datos_base!$C$2+IF(parametros_manuales!$H$25="Todos",datos_base!$C$9,0))*parametros_manuales!$K$95+parametros_manuales!$E$25*(datos_base!$C$3+IF(parametros_manuales!$H$25="Todos",datos_base!$C$10,0))*parametros_manuales!$K$100+parametros_manuales!$F$25*(datos_base!$C$4+IF(parametros_manuales!$H$25="Todos",datos_base!$C$11,0))*parametros_manuales!$K$105+parametros_manuales!$G$25*(datos_base!$C$5+IF(parametros_manuales!$H$25="Todos",datos_base!$C$12,0))*parametros_manuales!$K$110)*parametros_manuales!$I$25*parametros_manuales!$J$25</f>
        <v>942.035</v>
      </c>
      <c r="L35" s="4">
        <f>(parametros_manuales!$D$25*(datos_base!$C$2+IF(parametros_manuales!$H$25="Todos",datos_base!$C$9,0))*parametros_manuales!$L$95+parametros_manuales!$E$25*(datos_base!$C$3+IF(parametros_manuales!$H$25="Todos",datos_base!$C$10,0))*parametros_manuales!$L$100+parametros_manuales!$F$25*(datos_base!$C$4+IF(parametros_manuales!$H$25="Todos",datos_base!$C$11,0))*parametros_manuales!$L$105+parametros_manuales!$G$25*(datos_base!$C$5+IF(parametros_manuales!$H$25="Todos",datos_base!$C$12,0))*parametros_manuales!$L$110)*parametros_manuales!$I$25*parametros_manuales!$J$25</f>
        <v>965.7</v>
      </c>
      <c r="M35" s="4">
        <f>(parametros_manuales!$D$25*(datos_base!$C$2+IF(parametros_manuales!$H$25="Todos",datos_base!$C$9,0))*parametros_manuales!$M$95+parametros_manuales!$E$25*(datos_base!$C$3+IF(parametros_manuales!$H$25="Todos",datos_base!$C$10,0))*parametros_manuales!$M$100+parametros_manuales!$F$25*(datos_base!$C$4+IF(parametros_manuales!$H$25="Todos",datos_base!$C$11,0))*parametros_manuales!$M$105+parametros_manuales!$G$25*(datos_base!$C$5+IF(parametros_manuales!$H$25="Todos",datos_base!$C$12,0))*parametros_manuales!$M$110)*parametros_manuales!$I$25*parametros_manuales!$J$25</f>
        <v>965.7</v>
      </c>
      <c r="N35" s="4">
        <f t="shared" si="4"/>
        <v>10730</v>
      </c>
      <c r="O35" s="4">
        <f t="shared" si="5"/>
        <v>965.7</v>
      </c>
      <c r="P35" s="27">
        <f>O35/(parametros_manuales!$B$7)</f>
        <v>6.438</v>
      </c>
      <c r="Q35" s="3" t="str">
        <f t="shared" si="6"/>
        <v>Ene</v>
      </c>
    </row>
    <row r="36" ht="14.25" customHeight="1">
      <c r="A36" s="3" t="str">
        <f>parametros_manuales!$B$26</f>
        <v>Cilindrado</v>
      </c>
      <c r="B36" s="4">
        <f>(parametros_manuales!$D$26*(datos_base!$C$2+IF(parametros_manuales!$H$26="Todos",datos_base!$C$9,0))*parametros_manuales!$B$95+parametros_manuales!$E$26*(datos_base!$C$3+IF(parametros_manuales!$H$26="Todos",datos_base!$C$10,0))*parametros_manuales!$B$100+parametros_manuales!$F$26*(datos_base!$C$4+IF(parametros_manuales!$H$26="Todos",datos_base!$C$11,0))*parametros_manuales!$B$105+parametros_manuales!$G$26*(datos_base!$C$5+IF(parametros_manuales!$H$26="Todos",datos_base!$C$12,0))*parametros_manuales!$B$110)*parametros_manuales!$I$26*parametros_manuales!$J$26</f>
        <v>425.97</v>
      </c>
      <c r="C36" s="4">
        <f>(parametros_manuales!$D$26*(datos_base!$C$2+IF(parametros_manuales!$H$26="Todos",datos_base!$C$9,0))*parametros_manuales!$C$95+parametros_manuales!$E$26*(datos_base!$C$3+IF(parametros_manuales!$H$26="Todos",datos_base!$C$10,0))*parametros_manuales!$C$100+parametros_manuales!$F$26*(datos_base!$C$4+IF(parametros_manuales!$H$26="Todos",datos_base!$C$11,0))*parametros_manuales!$C$105+parametros_manuales!$G$26*(datos_base!$C$5+IF(parametros_manuales!$H$26="Todos",datos_base!$C$12,0))*parametros_manuales!$C$110)*parametros_manuales!$I$26*parametros_manuales!$J$26</f>
        <v>378.64</v>
      </c>
      <c r="D36" s="4">
        <f>(parametros_manuales!$D$26*(datos_base!$C$2+IF(parametros_manuales!$H$26="Todos",datos_base!$C$9,0))*parametros_manuales!$D$95+parametros_manuales!$E$26*(datos_base!$C$3+IF(parametros_manuales!$H$26="Todos",datos_base!$C$10,0))*parametros_manuales!$D$100+parametros_manuales!$F$26*(datos_base!$C$4+IF(parametros_manuales!$H$26="Todos",datos_base!$C$11,0))*parametros_manuales!$D$105+parametros_manuales!$G$26*(datos_base!$C$5+IF(parametros_manuales!$H$26="Todos",datos_base!$C$12,0))*parametros_manuales!$D$110)*parametros_manuales!$I$26*parametros_manuales!$J$26</f>
        <v>402.305</v>
      </c>
      <c r="E36" s="4">
        <f>(parametros_manuales!$D$26*(datos_base!$C$2+IF(parametros_manuales!$H$26="Todos",datos_base!$C$9,0))*parametros_manuales!$E$95+parametros_manuales!$E$26*(datos_base!$C$3+IF(parametros_manuales!$H$26="Todos",datos_base!$C$10,0))*parametros_manuales!$E$100+parametros_manuales!$F$26*(datos_base!$C$4+IF(parametros_manuales!$H$26="Todos",datos_base!$C$11,0))*parametros_manuales!$E$105+parametros_manuales!$G$26*(datos_base!$C$5+IF(parametros_manuales!$H$26="Todos",datos_base!$C$12,0))*parametros_manuales!$E$110)*parametros_manuales!$I$26*parametros_manuales!$J$26</f>
        <v>402.305</v>
      </c>
      <c r="F36" s="4">
        <f>(parametros_manuales!$D$26*(datos_base!$C$2+IF(parametros_manuales!$H$26="Todos",datos_base!$C$9,0))*parametros_manuales!$F$95+parametros_manuales!$E$26*(datos_base!$C$3+IF(parametros_manuales!$H$26="Todos",datos_base!$C$10,0))*parametros_manuales!$F$100+parametros_manuales!$F$26*(datos_base!$C$4+IF(parametros_manuales!$H$26="Todos",datos_base!$C$11,0))*parametros_manuales!$F$105+parametros_manuales!$G$26*(datos_base!$C$5+IF(parametros_manuales!$H$26="Todos",datos_base!$C$12,0))*parametros_manuales!$F$110)*parametros_manuales!$I$26*parametros_manuales!$J$26</f>
        <v>378.64</v>
      </c>
      <c r="G36" s="4">
        <f>(parametros_manuales!$D$26*(datos_base!$C$2+IF(parametros_manuales!$H$26="Todos",datos_base!$C$9,0))*parametros_manuales!$G$95+parametros_manuales!$E$26*(datos_base!$C$3+IF(parametros_manuales!$H$26="Todos",datos_base!$C$10,0))*parametros_manuales!$G$100+parametros_manuales!$F$26*(datos_base!$C$4+IF(parametros_manuales!$H$26="Todos",datos_base!$C$11,0))*parametros_manuales!$G$105+parametros_manuales!$G$26*(datos_base!$C$5+IF(parametros_manuales!$H$26="Todos",datos_base!$C$12,0))*parametros_manuales!$G$110)*parametros_manuales!$I$26*parametros_manuales!$J$26</f>
        <v>354.975</v>
      </c>
      <c r="H36" s="4">
        <f>(parametros_manuales!$D$26*(datos_base!$C$2+IF(parametros_manuales!$H$26="Todos",datos_base!$C$9,0))*parametros_manuales!$H$95+parametros_manuales!$E$26*(datos_base!$C$3+IF(parametros_manuales!$H$26="Todos",datos_base!$C$10,0))*parametros_manuales!$H$100+parametros_manuales!$F$26*(datos_base!$C$4+IF(parametros_manuales!$H$26="Todos",datos_base!$C$11,0))*parametros_manuales!$H$105+parametros_manuales!$G$26*(datos_base!$C$5+IF(parametros_manuales!$H$26="Todos",datos_base!$C$12,0))*parametros_manuales!$H$110)*parametros_manuales!$I$26*parametros_manuales!$J$26</f>
        <v>378.64</v>
      </c>
      <c r="I36" s="4">
        <f>(parametros_manuales!$D$26*(datos_base!$C$2+IF(parametros_manuales!$H$26="Todos",datos_base!$C$9,0))*parametros_manuales!$I$95+parametros_manuales!$E$26*(datos_base!$C$3+IF(parametros_manuales!$H$26="Todos",datos_base!$C$10,0))*parametros_manuales!$I$100+parametros_manuales!$F$26*(datos_base!$C$4+IF(parametros_manuales!$H$26="Todos",datos_base!$C$11,0))*parametros_manuales!$I$105+parametros_manuales!$G$26*(datos_base!$C$5+IF(parametros_manuales!$H$26="Todos",datos_base!$C$12,0))*parametros_manuales!$I$110)*parametros_manuales!$I$26*parametros_manuales!$J$26</f>
        <v>378.64</v>
      </c>
      <c r="J36" s="4">
        <f>(parametros_manuales!$D$26*(datos_base!$C$2+IF(parametros_manuales!$H$26="Todos",datos_base!$C$9,0))*parametros_manuales!$J$95+parametros_manuales!$E$26*(datos_base!$C$3+IF(parametros_manuales!$H$26="Todos",datos_base!$C$10,0))*parametros_manuales!$J$100+parametros_manuales!$F$26*(datos_base!$C$4+IF(parametros_manuales!$H$26="Todos",datos_base!$C$11,0))*parametros_manuales!$J$105+parametros_manuales!$G$26*(datos_base!$C$5+IF(parametros_manuales!$H$26="Todos",datos_base!$C$12,0))*parametros_manuales!$J$110)*parametros_manuales!$I$26*parametros_manuales!$J$26</f>
        <v>378.64</v>
      </c>
      <c r="K36" s="4">
        <f>(parametros_manuales!$D$26*(datos_base!$C$2+IF(parametros_manuales!$H$26="Todos",datos_base!$C$9,0))*parametros_manuales!$K$95+parametros_manuales!$E$26*(datos_base!$C$3+IF(parametros_manuales!$H$26="Todos",datos_base!$C$10,0))*parametros_manuales!$K$100+parametros_manuales!$F$26*(datos_base!$C$4+IF(parametros_manuales!$H$26="Todos",datos_base!$C$11,0))*parametros_manuales!$K$105+parametros_manuales!$G$26*(datos_base!$C$5+IF(parametros_manuales!$H$26="Todos",datos_base!$C$12,0))*parametros_manuales!$K$110)*parametros_manuales!$I$26*parametros_manuales!$J$26</f>
        <v>402.305</v>
      </c>
      <c r="L36" s="4">
        <f>(parametros_manuales!$D$26*(datos_base!$C$2+IF(parametros_manuales!$H$26="Todos",datos_base!$C$9,0))*parametros_manuales!$L$95+parametros_manuales!$E$26*(datos_base!$C$3+IF(parametros_manuales!$H$26="Todos",datos_base!$C$10,0))*parametros_manuales!$L$100+parametros_manuales!$F$26*(datos_base!$C$4+IF(parametros_manuales!$H$26="Todos",datos_base!$C$11,0))*parametros_manuales!$L$105+parametros_manuales!$G$26*(datos_base!$C$5+IF(parametros_manuales!$H$26="Todos",datos_base!$C$12,0))*parametros_manuales!$L$110)*parametros_manuales!$I$26*parametros_manuales!$J$26</f>
        <v>425.97</v>
      </c>
      <c r="M36" s="4">
        <f>(parametros_manuales!$D$26*(datos_base!$C$2+IF(parametros_manuales!$H$26="Todos",datos_base!$C$9,0))*parametros_manuales!$M$95+parametros_manuales!$E$26*(datos_base!$C$3+IF(parametros_manuales!$H$26="Todos",datos_base!$C$10,0))*parametros_manuales!$M$100+parametros_manuales!$F$26*(datos_base!$C$4+IF(parametros_manuales!$H$26="Todos",datos_base!$C$11,0))*parametros_manuales!$M$105+parametros_manuales!$G$26*(datos_base!$C$5+IF(parametros_manuales!$H$26="Todos",datos_base!$C$12,0))*parametros_manuales!$M$110)*parametros_manuales!$I$26*parametros_manuales!$J$26</f>
        <v>425.97</v>
      </c>
      <c r="N36" s="4">
        <f t="shared" si="4"/>
        <v>4733</v>
      </c>
      <c r="O36" s="4">
        <f t="shared" si="5"/>
        <v>425.97</v>
      </c>
      <c r="P36" s="27">
        <f>O36/(parametros_manuales!$B$7)</f>
        <v>2.8398</v>
      </c>
      <c r="Q36" s="3" t="str">
        <f t="shared" si="6"/>
        <v>Ene</v>
      </c>
    </row>
    <row r="37" ht="14.25" customHeight="1">
      <c r="A37" s="3" t="str">
        <f>parametros_manuales!$B$27</f>
        <v>Soldadura longitudinal</v>
      </c>
      <c r="B37" s="4">
        <f>(parametros_manuales!$D$27*(datos_base!$C$2+IF(parametros_manuales!$H$27="Todos",datos_base!$C$9,0))*parametros_manuales!$B$95+parametros_manuales!$E$27*(datos_base!$C$3+IF(parametros_manuales!$H$27="Todos",datos_base!$C$10,0))*parametros_manuales!$B$100+parametros_manuales!$F$27*(datos_base!$C$4+IF(parametros_manuales!$H$27="Todos",datos_base!$C$11,0))*parametros_manuales!$B$105+parametros_manuales!$G$27*(datos_base!$C$5+IF(parametros_manuales!$H$27="Todos",datos_base!$C$12,0))*parametros_manuales!$B$110)*parametros_manuales!$I$27*parametros_manuales!$J$27</f>
        <v>425.97</v>
      </c>
      <c r="C37" s="4">
        <f>(parametros_manuales!$D$27*(datos_base!$C$2+IF(parametros_manuales!$H$27="Todos",datos_base!$C$9,0))*parametros_manuales!$C$95+parametros_manuales!$E$27*(datos_base!$C$3+IF(parametros_manuales!$H$27="Todos",datos_base!$C$10,0))*parametros_manuales!$C$100+parametros_manuales!$F$27*(datos_base!$C$4+IF(parametros_manuales!$H$27="Todos",datos_base!$C$11,0))*parametros_manuales!$C$105+parametros_manuales!$G$27*(datos_base!$C$5+IF(parametros_manuales!$H$27="Todos",datos_base!$C$12,0))*parametros_manuales!$C$110)*parametros_manuales!$I$27*parametros_manuales!$J$27</f>
        <v>378.64</v>
      </c>
      <c r="D37" s="4">
        <f>(parametros_manuales!$D$27*(datos_base!$C$2+IF(parametros_manuales!$H$27="Todos",datos_base!$C$9,0))*parametros_manuales!$D$95+parametros_manuales!$E$27*(datos_base!$C$3+IF(parametros_manuales!$H$27="Todos",datos_base!$C$10,0))*parametros_manuales!$D$100+parametros_manuales!$F$27*(datos_base!$C$4+IF(parametros_manuales!$H$27="Todos",datos_base!$C$11,0))*parametros_manuales!$D$105+parametros_manuales!$G$27*(datos_base!$C$5+IF(parametros_manuales!$H$27="Todos",datos_base!$C$12,0))*parametros_manuales!$D$110)*parametros_manuales!$I$27*parametros_manuales!$J$27</f>
        <v>402.305</v>
      </c>
      <c r="E37" s="4">
        <f>(parametros_manuales!$D$27*(datos_base!$C$2+IF(parametros_manuales!$H$27="Todos",datos_base!$C$9,0))*parametros_manuales!$E$95+parametros_manuales!$E$27*(datos_base!$C$3+IF(parametros_manuales!$H$27="Todos",datos_base!$C$10,0))*parametros_manuales!$E$100+parametros_manuales!$F$27*(datos_base!$C$4+IF(parametros_manuales!$H$27="Todos",datos_base!$C$11,0))*parametros_manuales!$E$105+parametros_manuales!$G$27*(datos_base!$C$5+IF(parametros_manuales!$H$27="Todos",datos_base!$C$12,0))*parametros_manuales!$E$110)*parametros_manuales!$I$27*parametros_manuales!$J$27</f>
        <v>402.305</v>
      </c>
      <c r="F37" s="4">
        <f>(parametros_manuales!$D$27*(datos_base!$C$2+IF(parametros_manuales!$H$27="Todos",datos_base!$C$9,0))*parametros_manuales!$F$95+parametros_manuales!$E$27*(datos_base!$C$3+IF(parametros_manuales!$H$27="Todos",datos_base!$C$10,0))*parametros_manuales!$F$100+parametros_manuales!$F$27*(datos_base!$C$4+IF(parametros_manuales!$H$27="Todos",datos_base!$C$11,0))*parametros_manuales!$F$105+parametros_manuales!$G$27*(datos_base!$C$5+IF(parametros_manuales!$H$27="Todos",datos_base!$C$12,0))*parametros_manuales!$F$110)*parametros_manuales!$I$27*parametros_manuales!$J$27</f>
        <v>378.64</v>
      </c>
      <c r="G37" s="4">
        <f>(parametros_manuales!$D$27*(datos_base!$C$2+IF(parametros_manuales!$H$27="Todos",datos_base!$C$9,0))*parametros_manuales!$G$95+parametros_manuales!$E$27*(datos_base!$C$3+IF(parametros_manuales!$H$27="Todos",datos_base!$C$10,0))*parametros_manuales!$G$100+parametros_manuales!$F$27*(datos_base!$C$4+IF(parametros_manuales!$H$27="Todos",datos_base!$C$11,0))*parametros_manuales!$G$105+parametros_manuales!$G$27*(datos_base!$C$5+IF(parametros_manuales!$H$27="Todos",datos_base!$C$12,0))*parametros_manuales!$G$110)*parametros_manuales!$I$27*parametros_manuales!$J$27</f>
        <v>354.975</v>
      </c>
      <c r="H37" s="4">
        <f>(parametros_manuales!$D$27*(datos_base!$C$2+IF(parametros_manuales!$H$27="Todos",datos_base!$C$9,0))*parametros_manuales!$H$95+parametros_manuales!$E$27*(datos_base!$C$3+IF(parametros_manuales!$H$27="Todos",datos_base!$C$10,0))*parametros_manuales!$H$100+parametros_manuales!$F$27*(datos_base!$C$4+IF(parametros_manuales!$H$27="Todos",datos_base!$C$11,0))*parametros_manuales!$H$105+parametros_manuales!$G$27*(datos_base!$C$5+IF(parametros_manuales!$H$27="Todos",datos_base!$C$12,0))*parametros_manuales!$H$110)*parametros_manuales!$I$27*parametros_manuales!$J$27</f>
        <v>378.64</v>
      </c>
      <c r="I37" s="4">
        <f>(parametros_manuales!$D$27*(datos_base!$C$2+IF(parametros_manuales!$H$27="Todos",datos_base!$C$9,0))*parametros_manuales!$I$95+parametros_manuales!$E$27*(datos_base!$C$3+IF(parametros_manuales!$H$27="Todos",datos_base!$C$10,0))*parametros_manuales!$I$100+parametros_manuales!$F$27*(datos_base!$C$4+IF(parametros_manuales!$H$27="Todos",datos_base!$C$11,0))*parametros_manuales!$I$105+parametros_manuales!$G$27*(datos_base!$C$5+IF(parametros_manuales!$H$27="Todos",datos_base!$C$12,0))*parametros_manuales!$I$110)*parametros_manuales!$I$27*parametros_manuales!$J$27</f>
        <v>378.64</v>
      </c>
      <c r="J37" s="4">
        <f>(parametros_manuales!$D$27*(datos_base!$C$2+IF(parametros_manuales!$H$27="Todos",datos_base!$C$9,0))*parametros_manuales!$J$95+parametros_manuales!$E$27*(datos_base!$C$3+IF(parametros_manuales!$H$27="Todos",datos_base!$C$10,0))*parametros_manuales!$J$100+parametros_manuales!$F$27*(datos_base!$C$4+IF(parametros_manuales!$H$27="Todos",datos_base!$C$11,0))*parametros_manuales!$J$105+parametros_manuales!$G$27*(datos_base!$C$5+IF(parametros_manuales!$H$27="Todos",datos_base!$C$12,0))*parametros_manuales!$J$110)*parametros_manuales!$I$27*parametros_manuales!$J$27</f>
        <v>378.64</v>
      </c>
      <c r="K37" s="4">
        <f>(parametros_manuales!$D$27*(datos_base!$C$2+IF(parametros_manuales!$H$27="Todos",datos_base!$C$9,0))*parametros_manuales!$K$95+parametros_manuales!$E$27*(datos_base!$C$3+IF(parametros_manuales!$H$27="Todos",datos_base!$C$10,0))*parametros_manuales!$K$100+parametros_manuales!$F$27*(datos_base!$C$4+IF(parametros_manuales!$H$27="Todos",datos_base!$C$11,0))*parametros_manuales!$K$105+parametros_manuales!$G$27*(datos_base!$C$5+IF(parametros_manuales!$H$27="Todos",datos_base!$C$12,0))*parametros_manuales!$K$110)*parametros_manuales!$I$27*parametros_manuales!$J$27</f>
        <v>402.305</v>
      </c>
      <c r="L37" s="4">
        <f>(parametros_manuales!$D$27*(datos_base!$C$2+IF(parametros_manuales!$H$27="Todos",datos_base!$C$9,0))*parametros_manuales!$L$95+parametros_manuales!$E$27*(datos_base!$C$3+IF(parametros_manuales!$H$27="Todos",datos_base!$C$10,0))*parametros_manuales!$L$100+parametros_manuales!$F$27*(datos_base!$C$4+IF(parametros_manuales!$H$27="Todos",datos_base!$C$11,0))*parametros_manuales!$L$105+parametros_manuales!$G$27*(datos_base!$C$5+IF(parametros_manuales!$H$27="Todos",datos_base!$C$12,0))*parametros_manuales!$L$110)*parametros_manuales!$I$27*parametros_manuales!$J$27</f>
        <v>425.97</v>
      </c>
      <c r="M37" s="4">
        <f>(parametros_manuales!$D$27*(datos_base!$C$2+IF(parametros_manuales!$H$27="Todos",datos_base!$C$9,0))*parametros_manuales!$M$95+parametros_manuales!$E$27*(datos_base!$C$3+IF(parametros_manuales!$H$27="Todos",datos_base!$C$10,0))*parametros_manuales!$M$100+parametros_manuales!$F$27*(datos_base!$C$4+IF(parametros_manuales!$H$27="Todos",datos_base!$C$11,0))*parametros_manuales!$M$105+parametros_manuales!$G$27*(datos_base!$C$5+IF(parametros_manuales!$H$27="Todos",datos_base!$C$12,0))*parametros_manuales!$M$110)*parametros_manuales!$I$27*parametros_manuales!$J$27</f>
        <v>425.97</v>
      </c>
      <c r="N37" s="4">
        <f t="shared" si="4"/>
        <v>4733</v>
      </c>
      <c r="O37" s="4">
        <f t="shared" si="5"/>
        <v>425.97</v>
      </c>
      <c r="P37" s="27">
        <f>O37/(parametros_manuales!$B$7)</f>
        <v>2.8398</v>
      </c>
      <c r="Q37" s="3" t="str">
        <f t="shared" si="6"/>
        <v>Ene</v>
      </c>
    </row>
    <row r="38" ht="14.25" customHeight="1">
      <c r="A38" s="3" t="str">
        <f>parametros_manuales!$B$28</f>
        <v>Encastre de fondo</v>
      </c>
      <c r="B38" s="4">
        <f>(parametros_manuales!$D$28*(datos_base!$C$2+IF(parametros_manuales!$H$28="Todos",datos_base!$C$9,0))*parametros_manuales!$B$95+parametros_manuales!$E$28*(datos_base!$C$3+IF(parametros_manuales!$H$28="Todos",datos_base!$C$10,0))*parametros_manuales!$B$100+parametros_manuales!$F$28*(datos_base!$C$4+IF(parametros_manuales!$H$28="Todos",datos_base!$C$11,0))*parametros_manuales!$B$105+parametros_manuales!$G$28*(datos_base!$C$5+IF(parametros_manuales!$H$28="Todos",datos_base!$C$12,0))*parametros_manuales!$B$110)*parametros_manuales!$I$28*parametros_manuales!$J$28</f>
        <v>965.7</v>
      </c>
      <c r="C38" s="4">
        <f>(parametros_manuales!$D$28*(datos_base!$C$2+IF(parametros_manuales!$H$28="Todos",datos_base!$C$9,0))*parametros_manuales!$C$95+parametros_manuales!$E$28*(datos_base!$C$3+IF(parametros_manuales!$H$28="Todos",datos_base!$C$10,0))*parametros_manuales!$C$100+parametros_manuales!$F$28*(datos_base!$C$4+IF(parametros_manuales!$H$28="Todos",datos_base!$C$11,0))*parametros_manuales!$C$105+parametros_manuales!$G$28*(datos_base!$C$5+IF(parametros_manuales!$H$28="Todos",datos_base!$C$12,0))*parametros_manuales!$C$110)*parametros_manuales!$I$28*parametros_manuales!$J$28</f>
        <v>918.37</v>
      </c>
      <c r="D38" s="4">
        <f>(parametros_manuales!$D$28*(datos_base!$C$2+IF(parametros_manuales!$H$28="Todos",datos_base!$C$9,0))*parametros_manuales!$D$95+parametros_manuales!$E$28*(datos_base!$C$3+IF(parametros_manuales!$H$28="Todos",datos_base!$C$10,0))*parametros_manuales!$D$100+parametros_manuales!$F$28*(datos_base!$C$4+IF(parametros_manuales!$H$28="Todos",datos_base!$C$11,0))*parametros_manuales!$D$105+parametros_manuales!$G$28*(datos_base!$C$5+IF(parametros_manuales!$H$28="Todos",datos_base!$C$12,0))*parametros_manuales!$D$110)*parametros_manuales!$I$28*parametros_manuales!$J$28</f>
        <v>882.065</v>
      </c>
      <c r="E38" s="4">
        <f>(parametros_manuales!$D$28*(datos_base!$C$2+IF(parametros_manuales!$H$28="Todos",datos_base!$C$9,0))*parametros_manuales!$E$95+parametros_manuales!$E$28*(datos_base!$C$3+IF(parametros_manuales!$H$28="Todos",datos_base!$C$10,0))*parametros_manuales!$E$100+parametros_manuales!$F$28*(datos_base!$C$4+IF(parametros_manuales!$H$28="Todos",datos_base!$C$11,0))*parametros_manuales!$E$105+parametros_manuales!$G$28*(datos_base!$C$5+IF(parametros_manuales!$H$28="Todos",datos_base!$C$12,0))*parametros_manuales!$E$110)*parametros_manuales!$I$28*parametros_manuales!$J$28</f>
        <v>852.08</v>
      </c>
      <c r="F38" s="4">
        <f>(parametros_manuales!$D$28*(datos_base!$C$2+IF(parametros_manuales!$H$28="Todos",datos_base!$C$9,0))*parametros_manuales!$F$95+parametros_manuales!$E$28*(datos_base!$C$3+IF(parametros_manuales!$H$28="Todos",datos_base!$C$10,0))*parametros_manuales!$F$100+parametros_manuales!$F$28*(datos_base!$C$4+IF(parametros_manuales!$H$28="Todos",datos_base!$C$11,0))*parametros_manuales!$F$105+parametros_manuales!$G$28*(datos_base!$C$5+IF(parametros_manuales!$H$28="Todos",datos_base!$C$12,0))*parametros_manuales!$F$110)*parametros_manuales!$I$28*parametros_manuales!$J$28</f>
        <v>798.43</v>
      </c>
      <c r="G38" s="4">
        <f>(parametros_manuales!$D$28*(datos_base!$C$2+IF(parametros_manuales!$H$28="Todos",datos_base!$C$9,0))*parametros_manuales!$G$95+parametros_manuales!$E$28*(datos_base!$C$3+IF(parametros_manuales!$H$28="Todos",datos_base!$C$10,0))*parametros_manuales!$G$100+parametros_manuales!$F$28*(datos_base!$C$4+IF(parametros_manuales!$H$28="Todos",datos_base!$C$11,0))*parametros_manuales!$G$105+parametros_manuales!$G$28*(datos_base!$C$5+IF(parametros_manuales!$H$28="Todos",datos_base!$C$12,0))*parametros_manuales!$G$110)*parametros_manuales!$I$28*parametros_manuales!$J$28</f>
        <v>774.765</v>
      </c>
      <c r="H38" s="4">
        <f>(parametros_manuales!$D$28*(datos_base!$C$2+IF(parametros_manuales!$H$28="Todos",datos_base!$C$9,0))*parametros_manuales!$H$95+parametros_manuales!$E$28*(datos_base!$C$3+IF(parametros_manuales!$H$28="Todos",datos_base!$C$10,0))*parametros_manuales!$H$100+parametros_manuales!$F$28*(datos_base!$C$4+IF(parametros_manuales!$H$28="Todos",datos_base!$C$11,0))*parametros_manuales!$H$105+parametros_manuales!$G$28*(datos_base!$C$5+IF(parametros_manuales!$H$28="Todos",datos_base!$C$12,0))*parametros_manuales!$H$110)*parametros_manuales!$I$28*parametros_manuales!$J$28</f>
        <v>828.415</v>
      </c>
      <c r="I38" s="4">
        <f>(parametros_manuales!$D$28*(datos_base!$C$2+IF(parametros_manuales!$H$28="Todos",datos_base!$C$9,0))*parametros_manuales!$I$95+parametros_manuales!$E$28*(datos_base!$C$3+IF(parametros_manuales!$H$28="Todos",datos_base!$C$10,0))*parametros_manuales!$I$100+parametros_manuales!$F$28*(datos_base!$C$4+IF(parametros_manuales!$H$28="Todos",datos_base!$C$11,0))*parametros_manuales!$I$105+parametros_manuales!$G$28*(datos_base!$C$5+IF(parametros_manuales!$H$28="Todos",datos_base!$C$12,0))*parametros_manuales!$I$110)*parametros_manuales!$I$28*parametros_manuales!$J$28</f>
        <v>918.37</v>
      </c>
      <c r="J38" s="4">
        <f>(parametros_manuales!$D$28*(datos_base!$C$2+IF(parametros_manuales!$H$28="Todos",datos_base!$C$9,0))*parametros_manuales!$J$95+parametros_manuales!$E$28*(datos_base!$C$3+IF(parametros_manuales!$H$28="Todos",datos_base!$C$10,0))*parametros_manuales!$J$100+parametros_manuales!$F$28*(datos_base!$C$4+IF(parametros_manuales!$H$28="Todos",datos_base!$C$11,0))*parametros_manuales!$J$105+parametros_manuales!$G$28*(datos_base!$C$5+IF(parametros_manuales!$H$28="Todos",datos_base!$C$12,0))*parametros_manuales!$J$110)*parametros_manuales!$I$28*parametros_manuales!$J$28</f>
        <v>918.37</v>
      </c>
      <c r="K38" s="4">
        <f>(parametros_manuales!$D$28*(datos_base!$C$2+IF(parametros_manuales!$H$28="Todos",datos_base!$C$9,0))*parametros_manuales!$K$95+parametros_manuales!$E$28*(datos_base!$C$3+IF(parametros_manuales!$H$28="Todos",datos_base!$C$10,0))*parametros_manuales!$K$100+parametros_manuales!$F$28*(datos_base!$C$4+IF(parametros_manuales!$H$28="Todos",datos_base!$C$11,0))*parametros_manuales!$K$105+parametros_manuales!$G$28*(datos_base!$C$5+IF(parametros_manuales!$H$28="Todos",datos_base!$C$12,0))*parametros_manuales!$K$110)*parametros_manuales!$I$28*parametros_manuales!$J$28</f>
        <v>942.035</v>
      </c>
      <c r="L38" s="4">
        <f>(parametros_manuales!$D$28*(datos_base!$C$2+IF(parametros_manuales!$H$28="Todos",datos_base!$C$9,0))*parametros_manuales!$L$95+parametros_manuales!$E$28*(datos_base!$C$3+IF(parametros_manuales!$H$28="Todos",datos_base!$C$10,0))*parametros_manuales!$L$100+parametros_manuales!$F$28*(datos_base!$C$4+IF(parametros_manuales!$H$28="Todos",datos_base!$C$11,0))*parametros_manuales!$L$105+parametros_manuales!$G$28*(datos_base!$C$5+IF(parametros_manuales!$H$28="Todos",datos_base!$C$12,0))*parametros_manuales!$L$110)*parametros_manuales!$I$28*parametros_manuales!$J$28</f>
        <v>965.7</v>
      </c>
      <c r="M38" s="4">
        <f>(parametros_manuales!$D$28*(datos_base!$C$2+IF(parametros_manuales!$H$28="Todos",datos_base!$C$9,0))*parametros_manuales!$M$95+parametros_manuales!$E$28*(datos_base!$C$3+IF(parametros_manuales!$H$28="Todos",datos_base!$C$10,0))*parametros_manuales!$M$100+parametros_manuales!$F$28*(datos_base!$C$4+IF(parametros_manuales!$H$28="Todos",datos_base!$C$11,0))*parametros_manuales!$M$105+parametros_manuales!$G$28*(datos_base!$C$5+IF(parametros_manuales!$H$28="Todos",datos_base!$C$12,0))*parametros_manuales!$M$110)*parametros_manuales!$I$28*parametros_manuales!$J$28</f>
        <v>965.7</v>
      </c>
      <c r="N38" s="4">
        <f t="shared" si="4"/>
        <v>10730</v>
      </c>
      <c r="O38" s="4">
        <f t="shared" si="5"/>
        <v>965.7</v>
      </c>
      <c r="P38" s="27">
        <f>O38/(parametros_manuales!$B$7)</f>
        <v>6.438</v>
      </c>
      <c r="Q38" s="3" t="str">
        <f t="shared" si="6"/>
        <v>Ene</v>
      </c>
    </row>
    <row r="39" ht="14.25" customHeight="1">
      <c r="A39" s="3" t="str">
        <f>parametros_manuales!$B$29</f>
        <v>Bordoneado</v>
      </c>
      <c r="B39" s="4">
        <f>(parametros_manuales!$D$29*(datos_base!$C$2+IF(parametros_manuales!$H$29="Todos",datos_base!$C$9,0))*parametros_manuales!$B$95+parametros_manuales!$E$29*(datos_base!$C$3+IF(parametros_manuales!$H$29="Todos",datos_base!$C$10,0))*parametros_manuales!$B$100+parametros_manuales!$F$29*(datos_base!$C$4+IF(parametros_manuales!$H$29="Todos",datos_base!$C$11,0))*parametros_manuales!$B$105+parametros_manuales!$G$29*(datos_base!$C$5+IF(parametros_manuales!$H$29="Todos",datos_base!$C$12,0))*parametros_manuales!$B$110)*parametros_manuales!$I$29*parametros_manuales!$J$29</f>
        <v>965.7</v>
      </c>
      <c r="C39" s="4">
        <f>(parametros_manuales!$D$29*(datos_base!$C$2+IF(parametros_manuales!$H$29="Todos",datos_base!$C$9,0))*parametros_manuales!$C$95+parametros_manuales!$E$29*(datos_base!$C$3+IF(parametros_manuales!$H$29="Todos",datos_base!$C$10,0))*parametros_manuales!$C$100+parametros_manuales!$F$29*(datos_base!$C$4+IF(parametros_manuales!$H$29="Todos",datos_base!$C$11,0))*parametros_manuales!$C$105+parametros_manuales!$G$29*(datos_base!$C$5+IF(parametros_manuales!$H$29="Todos",datos_base!$C$12,0))*parametros_manuales!$C$110)*parametros_manuales!$I$29*parametros_manuales!$J$29</f>
        <v>918.37</v>
      </c>
      <c r="D39" s="4">
        <f>(parametros_manuales!$D$29*(datos_base!$C$2+IF(parametros_manuales!$H$29="Todos",datos_base!$C$9,0))*parametros_manuales!$D$95+parametros_manuales!$E$29*(datos_base!$C$3+IF(parametros_manuales!$H$29="Todos",datos_base!$C$10,0))*parametros_manuales!$D$100+parametros_manuales!$F$29*(datos_base!$C$4+IF(parametros_manuales!$H$29="Todos",datos_base!$C$11,0))*parametros_manuales!$D$105+parametros_manuales!$G$29*(datos_base!$C$5+IF(parametros_manuales!$H$29="Todos",datos_base!$C$12,0))*parametros_manuales!$D$110)*parametros_manuales!$I$29*parametros_manuales!$J$29</f>
        <v>882.065</v>
      </c>
      <c r="E39" s="4">
        <f>(parametros_manuales!$D$29*(datos_base!$C$2+IF(parametros_manuales!$H$29="Todos",datos_base!$C$9,0))*parametros_manuales!$E$95+parametros_manuales!$E$29*(datos_base!$C$3+IF(parametros_manuales!$H$29="Todos",datos_base!$C$10,0))*parametros_manuales!$E$100+parametros_manuales!$F$29*(datos_base!$C$4+IF(parametros_manuales!$H$29="Todos",datos_base!$C$11,0))*parametros_manuales!$E$105+parametros_manuales!$G$29*(datos_base!$C$5+IF(parametros_manuales!$H$29="Todos",datos_base!$C$12,0))*parametros_manuales!$E$110)*parametros_manuales!$I$29*parametros_manuales!$J$29</f>
        <v>852.08</v>
      </c>
      <c r="F39" s="4">
        <f>(parametros_manuales!$D$29*(datos_base!$C$2+IF(parametros_manuales!$H$29="Todos",datos_base!$C$9,0))*parametros_manuales!$F$95+parametros_manuales!$E$29*(datos_base!$C$3+IF(parametros_manuales!$H$29="Todos",datos_base!$C$10,0))*parametros_manuales!$F$100+parametros_manuales!$F$29*(datos_base!$C$4+IF(parametros_manuales!$H$29="Todos",datos_base!$C$11,0))*parametros_manuales!$F$105+parametros_manuales!$G$29*(datos_base!$C$5+IF(parametros_manuales!$H$29="Todos",datos_base!$C$12,0))*parametros_manuales!$F$110)*parametros_manuales!$I$29*parametros_manuales!$J$29</f>
        <v>798.43</v>
      </c>
      <c r="G39" s="4">
        <f>(parametros_manuales!$D$29*(datos_base!$C$2+IF(parametros_manuales!$H$29="Todos",datos_base!$C$9,0))*parametros_manuales!$G$95+parametros_manuales!$E$29*(datos_base!$C$3+IF(parametros_manuales!$H$29="Todos",datos_base!$C$10,0))*parametros_manuales!$G$100+parametros_manuales!$F$29*(datos_base!$C$4+IF(parametros_manuales!$H$29="Todos",datos_base!$C$11,0))*parametros_manuales!$G$105+parametros_manuales!$G$29*(datos_base!$C$5+IF(parametros_manuales!$H$29="Todos",datos_base!$C$12,0))*parametros_manuales!$G$110)*parametros_manuales!$I$29*parametros_manuales!$J$29</f>
        <v>774.765</v>
      </c>
      <c r="H39" s="4">
        <f>(parametros_manuales!$D$29*(datos_base!$C$2+IF(parametros_manuales!$H$29="Todos",datos_base!$C$9,0))*parametros_manuales!$H$95+parametros_manuales!$E$29*(datos_base!$C$3+IF(parametros_manuales!$H$29="Todos",datos_base!$C$10,0))*parametros_manuales!$H$100+parametros_manuales!$F$29*(datos_base!$C$4+IF(parametros_manuales!$H$29="Todos",datos_base!$C$11,0))*parametros_manuales!$H$105+parametros_manuales!$G$29*(datos_base!$C$5+IF(parametros_manuales!$H$29="Todos",datos_base!$C$12,0))*parametros_manuales!$H$110)*parametros_manuales!$I$29*parametros_manuales!$J$29</f>
        <v>828.415</v>
      </c>
      <c r="I39" s="4">
        <f>(parametros_manuales!$D$29*(datos_base!$C$2+IF(parametros_manuales!$H$29="Todos",datos_base!$C$9,0))*parametros_manuales!$I$95+parametros_manuales!$E$29*(datos_base!$C$3+IF(parametros_manuales!$H$29="Todos",datos_base!$C$10,0))*parametros_manuales!$I$100+parametros_manuales!$F$29*(datos_base!$C$4+IF(parametros_manuales!$H$29="Todos",datos_base!$C$11,0))*parametros_manuales!$I$105+parametros_manuales!$G$29*(datos_base!$C$5+IF(parametros_manuales!$H$29="Todos",datos_base!$C$12,0))*parametros_manuales!$I$110)*parametros_manuales!$I$29*parametros_manuales!$J$29</f>
        <v>918.37</v>
      </c>
      <c r="J39" s="4">
        <f>(parametros_manuales!$D$29*(datos_base!$C$2+IF(parametros_manuales!$H$29="Todos",datos_base!$C$9,0))*parametros_manuales!$J$95+parametros_manuales!$E$29*(datos_base!$C$3+IF(parametros_manuales!$H$29="Todos",datos_base!$C$10,0))*parametros_manuales!$J$100+parametros_manuales!$F$29*(datos_base!$C$4+IF(parametros_manuales!$H$29="Todos",datos_base!$C$11,0))*parametros_manuales!$J$105+parametros_manuales!$G$29*(datos_base!$C$5+IF(parametros_manuales!$H$29="Todos",datos_base!$C$12,0))*parametros_manuales!$J$110)*parametros_manuales!$I$29*parametros_manuales!$J$29</f>
        <v>918.37</v>
      </c>
      <c r="K39" s="4">
        <f>(parametros_manuales!$D$29*(datos_base!$C$2+IF(parametros_manuales!$H$29="Todos",datos_base!$C$9,0))*parametros_manuales!$K$95+parametros_manuales!$E$29*(datos_base!$C$3+IF(parametros_manuales!$H$29="Todos",datos_base!$C$10,0))*parametros_manuales!$K$100+parametros_manuales!$F$29*(datos_base!$C$4+IF(parametros_manuales!$H$29="Todos",datos_base!$C$11,0))*parametros_manuales!$K$105+parametros_manuales!$G$29*(datos_base!$C$5+IF(parametros_manuales!$H$29="Todos",datos_base!$C$12,0))*parametros_manuales!$K$110)*parametros_manuales!$I$29*parametros_manuales!$J$29</f>
        <v>942.035</v>
      </c>
      <c r="L39" s="4">
        <f>(parametros_manuales!$D$29*(datos_base!$C$2+IF(parametros_manuales!$H$29="Todos",datos_base!$C$9,0))*parametros_manuales!$L$95+parametros_manuales!$E$29*(datos_base!$C$3+IF(parametros_manuales!$H$29="Todos",datos_base!$C$10,0))*parametros_manuales!$L$100+parametros_manuales!$F$29*(datos_base!$C$4+IF(parametros_manuales!$H$29="Todos",datos_base!$C$11,0))*parametros_manuales!$L$105+parametros_manuales!$G$29*(datos_base!$C$5+IF(parametros_manuales!$H$29="Todos",datos_base!$C$12,0))*parametros_manuales!$L$110)*parametros_manuales!$I$29*parametros_manuales!$J$29</f>
        <v>965.7</v>
      </c>
      <c r="M39" s="4">
        <f>(parametros_manuales!$D$29*(datos_base!$C$2+IF(parametros_manuales!$H$29="Todos",datos_base!$C$9,0))*parametros_manuales!$M$95+parametros_manuales!$E$29*(datos_base!$C$3+IF(parametros_manuales!$H$29="Todos",datos_base!$C$10,0))*parametros_manuales!$M$100+parametros_manuales!$F$29*(datos_base!$C$4+IF(parametros_manuales!$H$29="Todos",datos_base!$C$11,0))*parametros_manuales!$M$105+parametros_manuales!$G$29*(datos_base!$C$5+IF(parametros_manuales!$H$29="Todos",datos_base!$C$12,0))*parametros_manuales!$M$110)*parametros_manuales!$I$29*parametros_manuales!$J$29</f>
        <v>965.7</v>
      </c>
      <c r="N39" s="4">
        <f t="shared" si="4"/>
        <v>10730</v>
      </c>
      <c r="O39" s="4">
        <f t="shared" si="5"/>
        <v>965.7</v>
      </c>
      <c r="P39" s="27">
        <f>O39/(parametros_manuales!$B$7)</f>
        <v>6.438</v>
      </c>
      <c r="Q39" s="3" t="str">
        <f t="shared" si="6"/>
        <v>Ene</v>
      </c>
    </row>
    <row r="40" ht="14.25" customHeight="1">
      <c r="A40" s="3" t="str">
        <f>parametros_manuales!$B$30</f>
        <v>Soldadura circunferencial de cúpula y fondo</v>
      </c>
      <c r="B40" s="4">
        <f>(parametros_manuales!$D$30*(datos_base!$C$2+IF(parametros_manuales!$H$30="Todos",datos_base!$C$9,0))*parametros_manuales!$B$95+parametros_manuales!$E$30*(datos_base!$C$3+IF(parametros_manuales!$H$30="Todos",datos_base!$C$10,0))*parametros_manuales!$B$100+parametros_manuales!$F$30*(datos_base!$C$4+IF(parametros_manuales!$H$30="Todos",datos_base!$C$11,0))*parametros_manuales!$B$105+parametros_manuales!$G$30*(datos_base!$C$5+IF(parametros_manuales!$H$30="Todos",datos_base!$C$12,0))*parametros_manuales!$B$110)*parametros_manuales!$I$30*parametros_manuales!$J$30</f>
        <v>965.7</v>
      </c>
      <c r="C40" s="4">
        <f>(parametros_manuales!$D$30*(datos_base!$C$2+IF(parametros_manuales!$H$30="Todos",datos_base!$C$9,0))*parametros_manuales!$C$95+parametros_manuales!$E$30*(datos_base!$C$3+IF(parametros_manuales!$H$30="Todos",datos_base!$C$10,0))*parametros_manuales!$C$100+parametros_manuales!$F$30*(datos_base!$C$4+IF(parametros_manuales!$H$30="Todos",datos_base!$C$11,0))*parametros_manuales!$C$105+parametros_manuales!$G$30*(datos_base!$C$5+IF(parametros_manuales!$H$30="Todos",datos_base!$C$12,0))*parametros_manuales!$C$110)*parametros_manuales!$I$30*parametros_manuales!$J$30</f>
        <v>918.37</v>
      </c>
      <c r="D40" s="4">
        <f>(parametros_manuales!$D$30*(datos_base!$C$2+IF(parametros_manuales!$H$30="Todos",datos_base!$C$9,0))*parametros_manuales!$D$95+parametros_manuales!$E$30*(datos_base!$C$3+IF(parametros_manuales!$H$30="Todos",datos_base!$C$10,0))*parametros_manuales!$D$100+parametros_manuales!$F$30*(datos_base!$C$4+IF(parametros_manuales!$H$30="Todos",datos_base!$C$11,0))*parametros_manuales!$D$105+parametros_manuales!$G$30*(datos_base!$C$5+IF(parametros_manuales!$H$30="Todos",datos_base!$C$12,0))*parametros_manuales!$D$110)*parametros_manuales!$I$30*parametros_manuales!$J$30</f>
        <v>882.065</v>
      </c>
      <c r="E40" s="4">
        <f>(parametros_manuales!$D$30*(datos_base!$C$2+IF(parametros_manuales!$H$30="Todos",datos_base!$C$9,0))*parametros_manuales!$E$95+parametros_manuales!$E$30*(datos_base!$C$3+IF(parametros_manuales!$H$30="Todos",datos_base!$C$10,0))*parametros_manuales!$E$100+parametros_manuales!$F$30*(datos_base!$C$4+IF(parametros_manuales!$H$30="Todos",datos_base!$C$11,0))*parametros_manuales!$E$105+parametros_manuales!$G$30*(datos_base!$C$5+IF(parametros_manuales!$H$30="Todos",datos_base!$C$12,0))*parametros_manuales!$E$110)*parametros_manuales!$I$30*parametros_manuales!$J$30</f>
        <v>852.08</v>
      </c>
      <c r="F40" s="4">
        <f>(parametros_manuales!$D$30*(datos_base!$C$2+IF(parametros_manuales!$H$30="Todos",datos_base!$C$9,0))*parametros_manuales!$F$95+parametros_manuales!$E$30*(datos_base!$C$3+IF(parametros_manuales!$H$30="Todos",datos_base!$C$10,0))*parametros_manuales!$F$100+parametros_manuales!$F$30*(datos_base!$C$4+IF(parametros_manuales!$H$30="Todos",datos_base!$C$11,0))*parametros_manuales!$F$105+parametros_manuales!$G$30*(datos_base!$C$5+IF(parametros_manuales!$H$30="Todos",datos_base!$C$12,0))*parametros_manuales!$F$110)*parametros_manuales!$I$30*parametros_manuales!$J$30</f>
        <v>798.43</v>
      </c>
      <c r="G40" s="4">
        <f>(parametros_manuales!$D$30*(datos_base!$C$2+IF(parametros_manuales!$H$30="Todos",datos_base!$C$9,0))*parametros_manuales!$G$95+parametros_manuales!$E$30*(datos_base!$C$3+IF(parametros_manuales!$H$30="Todos",datos_base!$C$10,0))*parametros_manuales!$G$100+parametros_manuales!$F$30*(datos_base!$C$4+IF(parametros_manuales!$H$30="Todos",datos_base!$C$11,0))*parametros_manuales!$G$105+parametros_manuales!$G$30*(datos_base!$C$5+IF(parametros_manuales!$H$30="Todos",datos_base!$C$12,0))*parametros_manuales!$G$110)*parametros_manuales!$I$30*parametros_manuales!$J$30</f>
        <v>774.765</v>
      </c>
      <c r="H40" s="4">
        <f>(parametros_manuales!$D$30*(datos_base!$C$2+IF(parametros_manuales!$H$30="Todos",datos_base!$C$9,0))*parametros_manuales!$H$95+parametros_manuales!$E$30*(datos_base!$C$3+IF(parametros_manuales!$H$30="Todos",datos_base!$C$10,0))*parametros_manuales!$H$100+parametros_manuales!$F$30*(datos_base!$C$4+IF(parametros_manuales!$H$30="Todos",datos_base!$C$11,0))*parametros_manuales!$H$105+parametros_manuales!$G$30*(datos_base!$C$5+IF(parametros_manuales!$H$30="Todos",datos_base!$C$12,0))*parametros_manuales!$H$110)*parametros_manuales!$I$30*parametros_manuales!$J$30</f>
        <v>828.415</v>
      </c>
      <c r="I40" s="4">
        <f>(parametros_manuales!$D$30*(datos_base!$C$2+IF(parametros_manuales!$H$30="Todos",datos_base!$C$9,0))*parametros_manuales!$I$95+parametros_manuales!$E$30*(datos_base!$C$3+IF(parametros_manuales!$H$30="Todos",datos_base!$C$10,0))*parametros_manuales!$I$100+parametros_manuales!$F$30*(datos_base!$C$4+IF(parametros_manuales!$H$30="Todos",datos_base!$C$11,0))*parametros_manuales!$I$105+parametros_manuales!$G$30*(datos_base!$C$5+IF(parametros_manuales!$H$30="Todos",datos_base!$C$12,0))*parametros_manuales!$I$110)*parametros_manuales!$I$30*parametros_manuales!$J$30</f>
        <v>918.37</v>
      </c>
      <c r="J40" s="4">
        <f>(parametros_manuales!$D$30*(datos_base!$C$2+IF(parametros_manuales!$H$30="Todos",datos_base!$C$9,0))*parametros_manuales!$J$95+parametros_manuales!$E$30*(datos_base!$C$3+IF(parametros_manuales!$H$30="Todos",datos_base!$C$10,0))*parametros_manuales!$J$100+parametros_manuales!$F$30*(datos_base!$C$4+IF(parametros_manuales!$H$30="Todos",datos_base!$C$11,0))*parametros_manuales!$J$105+parametros_manuales!$G$30*(datos_base!$C$5+IF(parametros_manuales!$H$30="Todos",datos_base!$C$12,0))*parametros_manuales!$J$110)*parametros_manuales!$I$30*parametros_manuales!$J$30</f>
        <v>918.37</v>
      </c>
      <c r="K40" s="4">
        <f>(parametros_manuales!$D$30*(datos_base!$C$2+IF(parametros_manuales!$H$30="Todos",datos_base!$C$9,0))*parametros_manuales!$K$95+parametros_manuales!$E$30*(datos_base!$C$3+IF(parametros_manuales!$H$30="Todos",datos_base!$C$10,0))*parametros_manuales!$K$100+parametros_manuales!$F$30*(datos_base!$C$4+IF(parametros_manuales!$H$30="Todos",datos_base!$C$11,0))*parametros_manuales!$K$105+parametros_manuales!$G$30*(datos_base!$C$5+IF(parametros_manuales!$H$30="Todos",datos_base!$C$12,0))*parametros_manuales!$K$110)*parametros_manuales!$I$30*parametros_manuales!$J$30</f>
        <v>942.035</v>
      </c>
      <c r="L40" s="4">
        <f>(parametros_manuales!$D$30*(datos_base!$C$2+IF(parametros_manuales!$H$30="Todos",datos_base!$C$9,0))*parametros_manuales!$L$95+parametros_manuales!$E$30*(datos_base!$C$3+IF(parametros_manuales!$H$30="Todos",datos_base!$C$10,0))*parametros_manuales!$L$100+parametros_manuales!$F$30*(datos_base!$C$4+IF(parametros_manuales!$H$30="Todos",datos_base!$C$11,0))*parametros_manuales!$L$105+parametros_manuales!$G$30*(datos_base!$C$5+IF(parametros_manuales!$H$30="Todos",datos_base!$C$12,0))*parametros_manuales!$L$110)*parametros_manuales!$I$30*parametros_manuales!$J$30</f>
        <v>965.7</v>
      </c>
      <c r="M40" s="4">
        <f>(parametros_manuales!$D$30*(datos_base!$C$2+IF(parametros_manuales!$H$30="Todos",datos_base!$C$9,0))*parametros_manuales!$M$95+parametros_manuales!$E$30*(datos_base!$C$3+IF(parametros_manuales!$H$30="Todos",datos_base!$C$10,0))*parametros_manuales!$M$100+parametros_manuales!$F$30*(datos_base!$C$4+IF(parametros_manuales!$H$30="Todos",datos_base!$C$11,0))*parametros_manuales!$M$105+parametros_manuales!$G$30*(datos_base!$C$5+IF(parametros_manuales!$H$30="Todos",datos_base!$C$12,0))*parametros_manuales!$M$110)*parametros_manuales!$I$30*parametros_manuales!$J$30</f>
        <v>965.7</v>
      </c>
      <c r="N40" s="4">
        <f t="shared" si="4"/>
        <v>10730</v>
      </c>
      <c r="O40" s="4">
        <f t="shared" si="5"/>
        <v>965.7</v>
      </c>
      <c r="P40" s="27">
        <f>O40/(parametros_manuales!$B$7)</f>
        <v>6.438</v>
      </c>
      <c r="Q40" s="3" t="str">
        <f t="shared" si="6"/>
        <v>Ene</v>
      </c>
    </row>
    <row r="41" ht="14.25" customHeight="1">
      <c r="A41" s="3" t="str">
        <f>parametros_manuales!$B$31</f>
        <v>Control de calidad — Espesor</v>
      </c>
      <c r="B41" s="4">
        <f>(parametros_manuales!$D$31*(datos_base!$C$2+IF(parametros_manuales!$H$31="Todos",datos_base!$C$9,0))*parametros_manuales!$B$95+parametros_manuales!$E$31*(datos_base!$C$3+IF(parametros_manuales!$H$31="Todos",datos_base!$C$10,0))*parametros_manuales!$B$100+parametros_manuales!$F$31*(datos_base!$C$4+IF(parametros_manuales!$H$31="Todos",datos_base!$C$11,0))*parametros_manuales!$B$105+parametros_manuales!$G$31*(datos_base!$C$5+IF(parametros_manuales!$H$31="Todos",datos_base!$C$12,0))*parametros_manuales!$B$110)*parametros_manuales!$I$31*parametros_manuales!$J$31</f>
        <v>19.314</v>
      </c>
      <c r="C41" s="4">
        <f>(parametros_manuales!$D$31*(datos_base!$C$2+IF(parametros_manuales!$H$31="Todos",datos_base!$C$9,0))*parametros_manuales!$C$95+parametros_manuales!$E$31*(datos_base!$C$3+IF(parametros_manuales!$H$31="Todos",datos_base!$C$10,0))*parametros_manuales!$C$100+parametros_manuales!$F$31*(datos_base!$C$4+IF(parametros_manuales!$H$31="Todos",datos_base!$C$11,0))*parametros_manuales!$C$105+parametros_manuales!$G$31*(datos_base!$C$5+IF(parametros_manuales!$H$31="Todos",datos_base!$C$12,0))*parametros_manuales!$C$110)*parametros_manuales!$I$31*parametros_manuales!$J$31</f>
        <v>18.3674</v>
      </c>
      <c r="D41" s="4">
        <f>(parametros_manuales!$D$31*(datos_base!$C$2+IF(parametros_manuales!$H$31="Todos",datos_base!$C$9,0))*parametros_manuales!$D$95+parametros_manuales!$E$31*(datos_base!$C$3+IF(parametros_manuales!$H$31="Todos",datos_base!$C$10,0))*parametros_manuales!$D$100+parametros_manuales!$F$31*(datos_base!$C$4+IF(parametros_manuales!$H$31="Todos",datos_base!$C$11,0))*parametros_manuales!$D$105+parametros_manuales!$G$31*(datos_base!$C$5+IF(parametros_manuales!$H$31="Todos",datos_base!$C$12,0))*parametros_manuales!$D$110)*parametros_manuales!$I$31*parametros_manuales!$J$31</f>
        <v>17.6413</v>
      </c>
      <c r="E41" s="4">
        <f>(parametros_manuales!$D$31*(datos_base!$C$2+IF(parametros_manuales!$H$31="Todos",datos_base!$C$9,0))*parametros_manuales!$E$95+parametros_manuales!$E$31*(datos_base!$C$3+IF(parametros_manuales!$H$31="Todos",datos_base!$C$10,0))*parametros_manuales!$E$100+parametros_manuales!$F$31*(datos_base!$C$4+IF(parametros_manuales!$H$31="Todos",datos_base!$C$11,0))*parametros_manuales!$E$105+parametros_manuales!$G$31*(datos_base!$C$5+IF(parametros_manuales!$H$31="Todos",datos_base!$C$12,0))*parametros_manuales!$E$110)*parametros_manuales!$I$31*parametros_manuales!$J$31</f>
        <v>17.0416</v>
      </c>
      <c r="F41" s="4">
        <f>(parametros_manuales!$D$31*(datos_base!$C$2+IF(parametros_manuales!$H$31="Todos",datos_base!$C$9,0))*parametros_manuales!$F$95+parametros_manuales!$E$31*(datos_base!$C$3+IF(parametros_manuales!$H$31="Todos",datos_base!$C$10,0))*parametros_manuales!$F$100+parametros_manuales!$F$31*(datos_base!$C$4+IF(parametros_manuales!$H$31="Todos",datos_base!$C$11,0))*parametros_manuales!$F$105+parametros_manuales!$G$31*(datos_base!$C$5+IF(parametros_manuales!$H$31="Todos",datos_base!$C$12,0))*parametros_manuales!$F$110)*parametros_manuales!$I$31*parametros_manuales!$J$31</f>
        <v>15.9686</v>
      </c>
      <c r="G41" s="4">
        <f>(parametros_manuales!$D$31*(datos_base!$C$2+IF(parametros_manuales!$H$31="Todos",datos_base!$C$9,0))*parametros_manuales!$G$95+parametros_manuales!$E$31*(datos_base!$C$3+IF(parametros_manuales!$H$31="Todos",datos_base!$C$10,0))*parametros_manuales!$G$100+parametros_manuales!$F$31*(datos_base!$C$4+IF(parametros_manuales!$H$31="Todos",datos_base!$C$11,0))*parametros_manuales!$G$105+parametros_manuales!$G$31*(datos_base!$C$5+IF(parametros_manuales!$H$31="Todos",datos_base!$C$12,0))*parametros_manuales!$G$110)*parametros_manuales!$I$31*parametros_manuales!$J$31</f>
        <v>15.4953</v>
      </c>
      <c r="H41" s="4">
        <f>(parametros_manuales!$D$31*(datos_base!$C$2+IF(parametros_manuales!$H$31="Todos",datos_base!$C$9,0))*parametros_manuales!$H$95+parametros_manuales!$E$31*(datos_base!$C$3+IF(parametros_manuales!$H$31="Todos",datos_base!$C$10,0))*parametros_manuales!$H$100+parametros_manuales!$F$31*(datos_base!$C$4+IF(parametros_manuales!$H$31="Todos",datos_base!$C$11,0))*parametros_manuales!$H$105+parametros_manuales!$G$31*(datos_base!$C$5+IF(parametros_manuales!$H$31="Todos",datos_base!$C$12,0))*parametros_manuales!$H$110)*parametros_manuales!$I$31*parametros_manuales!$J$31</f>
        <v>16.5683</v>
      </c>
      <c r="I41" s="4">
        <f>(parametros_manuales!$D$31*(datos_base!$C$2+IF(parametros_manuales!$H$31="Todos",datos_base!$C$9,0))*parametros_manuales!$I$95+parametros_manuales!$E$31*(datos_base!$C$3+IF(parametros_manuales!$H$31="Todos",datos_base!$C$10,0))*parametros_manuales!$I$100+parametros_manuales!$F$31*(datos_base!$C$4+IF(parametros_manuales!$H$31="Todos",datos_base!$C$11,0))*parametros_manuales!$I$105+parametros_manuales!$G$31*(datos_base!$C$5+IF(parametros_manuales!$H$31="Todos",datos_base!$C$12,0))*parametros_manuales!$I$110)*parametros_manuales!$I$31*parametros_manuales!$J$31</f>
        <v>18.3674</v>
      </c>
      <c r="J41" s="4">
        <f>(parametros_manuales!$D$31*(datos_base!$C$2+IF(parametros_manuales!$H$31="Todos",datos_base!$C$9,0))*parametros_manuales!$J$95+parametros_manuales!$E$31*(datos_base!$C$3+IF(parametros_manuales!$H$31="Todos",datos_base!$C$10,0))*parametros_manuales!$J$100+parametros_manuales!$F$31*(datos_base!$C$4+IF(parametros_manuales!$H$31="Todos",datos_base!$C$11,0))*parametros_manuales!$J$105+parametros_manuales!$G$31*(datos_base!$C$5+IF(parametros_manuales!$H$31="Todos",datos_base!$C$12,0))*parametros_manuales!$J$110)*parametros_manuales!$I$31*parametros_manuales!$J$31</f>
        <v>18.3674</v>
      </c>
      <c r="K41" s="4">
        <f>(parametros_manuales!$D$31*(datos_base!$C$2+IF(parametros_manuales!$H$31="Todos",datos_base!$C$9,0))*parametros_manuales!$K$95+parametros_manuales!$E$31*(datos_base!$C$3+IF(parametros_manuales!$H$31="Todos",datos_base!$C$10,0))*parametros_manuales!$K$100+parametros_manuales!$F$31*(datos_base!$C$4+IF(parametros_manuales!$H$31="Todos",datos_base!$C$11,0))*parametros_manuales!$K$105+parametros_manuales!$G$31*(datos_base!$C$5+IF(parametros_manuales!$H$31="Todos",datos_base!$C$12,0))*parametros_manuales!$K$110)*parametros_manuales!$I$31*parametros_manuales!$J$31</f>
        <v>18.8407</v>
      </c>
      <c r="L41" s="4">
        <f>(parametros_manuales!$D$31*(datos_base!$C$2+IF(parametros_manuales!$H$31="Todos",datos_base!$C$9,0))*parametros_manuales!$L$95+parametros_manuales!$E$31*(datos_base!$C$3+IF(parametros_manuales!$H$31="Todos",datos_base!$C$10,0))*parametros_manuales!$L$100+parametros_manuales!$F$31*(datos_base!$C$4+IF(parametros_manuales!$H$31="Todos",datos_base!$C$11,0))*parametros_manuales!$L$105+parametros_manuales!$G$31*(datos_base!$C$5+IF(parametros_manuales!$H$31="Todos",datos_base!$C$12,0))*parametros_manuales!$L$110)*parametros_manuales!$I$31*parametros_manuales!$J$31</f>
        <v>19.314</v>
      </c>
      <c r="M41" s="4">
        <f>(parametros_manuales!$D$31*(datos_base!$C$2+IF(parametros_manuales!$H$31="Todos",datos_base!$C$9,0))*parametros_manuales!$M$95+parametros_manuales!$E$31*(datos_base!$C$3+IF(parametros_manuales!$H$31="Todos",datos_base!$C$10,0))*parametros_manuales!$M$100+parametros_manuales!$F$31*(datos_base!$C$4+IF(parametros_manuales!$H$31="Todos",datos_base!$C$11,0))*parametros_manuales!$M$105+parametros_manuales!$G$31*(datos_base!$C$5+IF(parametros_manuales!$H$31="Todos",datos_base!$C$12,0))*parametros_manuales!$M$110)*parametros_manuales!$I$31*parametros_manuales!$J$31</f>
        <v>19.314</v>
      </c>
      <c r="N41" s="4">
        <f t="shared" si="4"/>
        <v>214.6</v>
      </c>
      <c r="O41" s="4">
        <f t="shared" si="5"/>
        <v>19.314</v>
      </c>
      <c r="P41" s="27">
        <f>O41/(parametros_manuales!$B$7)</f>
        <v>0.12876</v>
      </c>
      <c r="Q41" s="3" t="str">
        <f t="shared" si="6"/>
        <v>Ene</v>
      </c>
    </row>
    <row r="42" ht="14.25" customHeight="1">
      <c r="A42" s="3" t="str">
        <f>parametros_manuales!$B$32</f>
        <v>Prueba hidráulica</v>
      </c>
      <c r="B42" s="4">
        <f>(parametros_manuales!$D$32*(datos_base!$C$2+IF(parametros_manuales!$H$32="Todos",datos_base!$C$9,0))*parametros_manuales!$B$95+parametros_manuales!$E$32*(datos_base!$C$3+IF(parametros_manuales!$H$32="Todos",datos_base!$C$10,0))*parametros_manuales!$B$100+parametros_manuales!$F$32*(datos_base!$C$4+IF(parametros_manuales!$H$32="Todos",datos_base!$C$11,0))*parametros_manuales!$B$105+parametros_manuales!$G$32*(datos_base!$C$5+IF(parametros_manuales!$H$32="Todos",datos_base!$C$12,0))*parametros_manuales!$B$110)*parametros_manuales!$I$32*parametros_manuales!$J$32</f>
        <v>965.7</v>
      </c>
      <c r="C42" s="4">
        <f>(parametros_manuales!$D$32*(datos_base!$C$2+IF(parametros_manuales!$H$32="Todos",datos_base!$C$9,0))*parametros_manuales!$C$95+parametros_manuales!$E$32*(datos_base!$C$3+IF(parametros_manuales!$H$32="Todos",datos_base!$C$10,0))*parametros_manuales!$C$100+parametros_manuales!$F$32*(datos_base!$C$4+IF(parametros_manuales!$H$32="Todos",datos_base!$C$11,0))*parametros_manuales!$C$105+parametros_manuales!$G$32*(datos_base!$C$5+IF(parametros_manuales!$H$32="Todos",datos_base!$C$12,0))*parametros_manuales!$C$110)*parametros_manuales!$I$32*parametros_manuales!$J$32</f>
        <v>918.37</v>
      </c>
      <c r="D42" s="4">
        <f>(parametros_manuales!$D$32*(datos_base!$C$2+IF(parametros_manuales!$H$32="Todos",datos_base!$C$9,0))*parametros_manuales!$D$95+parametros_manuales!$E$32*(datos_base!$C$3+IF(parametros_manuales!$H$32="Todos",datos_base!$C$10,0))*parametros_manuales!$D$100+parametros_manuales!$F$32*(datos_base!$C$4+IF(parametros_manuales!$H$32="Todos",datos_base!$C$11,0))*parametros_manuales!$D$105+parametros_manuales!$G$32*(datos_base!$C$5+IF(parametros_manuales!$H$32="Todos",datos_base!$C$12,0))*parametros_manuales!$D$110)*parametros_manuales!$I$32*parametros_manuales!$J$32</f>
        <v>882.065</v>
      </c>
      <c r="E42" s="4">
        <f>(parametros_manuales!$D$32*(datos_base!$C$2+IF(parametros_manuales!$H$32="Todos",datos_base!$C$9,0))*parametros_manuales!$E$95+parametros_manuales!$E$32*(datos_base!$C$3+IF(parametros_manuales!$H$32="Todos",datos_base!$C$10,0))*parametros_manuales!$E$100+parametros_manuales!$F$32*(datos_base!$C$4+IF(parametros_manuales!$H$32="Todos",datos_base!$C$11,0))*parametros_manuales!$E$105+parametros_manuales!$G$32*(datos_base!$C$5+IF(parametros_manuales!$H$32="Todos",datos_base!$C$12,0))*parametros_manuales!$E$110)*parametros_manuales!$I$32*parametros_manuales!$J$32</f>
        <v>852.08</v>
      </c>
      <c r="F42" s="4">
        <f>(parametros_manuales!$D$32*(datos_base!$C$2+IF(parametros_manuales!$H$32="Todos",datos_base!$C$9,0))*parametros_manuales!$F$95+parametros_manuales!$E$32*(datos_base!$C$3+IF(parametros_manuales!$H$32="Todos",datos_base!$C$10,0))*parametros_manuales!$F$100+parametros_manuales!$F$32*(datos_base!$C$4+IF(parametros_manuales!$H$32="Todos",datos_base!$C$11,0))*parametros_manuales!$F$105+parametros_manuales!$G$32*(datos_base!$C$5+IF(parametros_manuales!$H$32="Todos",datos_base!$C$12,0))*parametros_manuales!$F$110)*parametros_manuales!$I$32*parametros_manuales!$J$32</f>
        <v>798.43</v>
      </c>
      <c r="G42" s="4">
        <f>(parametros_manuales!$D$32*(datos_base!$C$2+IF(parametros_manuales!$H$32="Todos",datos_base!$C$9,0))*parametros_manuales!$G$95+parametros_manuales!$E$32*(datos_base!$C$3+IF(parametros_manuales!$H$32="Todos",datos_base!$C$10,0))*parametros_manuales!$G$100+parametros_manuales!$F$32*(datos_base!$C$4+IF(parametros_manuales!$H$32="Todos",datos_base!$C$11,0))*parametros_manuales!$G$105+parametros_manuales!$G$32*(datos_base!$C$5+IF(parametros_manuales!$H$32="Todos",datos_base!$C$12,0))*parametros_manuales!$G$110)*parametros_manuales!$I$32*parametros_manuales!$J$32</f>
        <v>774.765</v>
      </c>
      <c r="H42" s="4">
        <f>(parametros_manuales!$D$32*(datos_base!$C$2+IF(parametros_manuales!$H$32="Todos",datos_base!$C$9,0))*parametros_manuales!$H$95+parametros_manuales!$E$32*(datos_base!$C$3+IF(parametros_manuales!$H$32="Todos",datos_base!$C$10,0))*parametros_manuales!$H$100+parametros_manuales!$F$32*(datos_base!$C$4+IF(parametros_manuales!$H$32="Todos",datos_base!$C$11,0))*parametros_manuales!$H$105+parametros_manuales!$G$32*(datos_base!$C$5+IF(parametros_manuales!$H$32="Todos",datos_base!$C$12,0))*parametros_manuales!$H$110)*parametros_manuales!$I$32*parametros_manuales!$J$32</f>
        <v>828.415</v>
      </c>
      <c r="I42" s="4">
        <f>(parametros_manuales!$D$32*(datos_base!$C$2+IF(parametros_manuales!$H$32="Todos",datos_base!$C$9,0))*parametros_manuales!$I$95+parametros_manuales!$E$32*(datos_base!$C$3+IF(parametros_manuales!$H$32="Todos",datos_base!$C$10,0))*parametros_manuales!$I$100+parametros_manuales!$F$32*(datos_base!$C$4+IF(parametros_manuales!$H$32="Todos",datos_base!$C$11,0))*parametros_manuales!$I$105+parametros_manuales!$G$32*(datos_base!$C$5+IF(parametros_manuales!$H$32="Todos",datos_base!$C$12,0))*parametros_manuales!$I$110)*parametros_manuales!$I$32*parametros_manuales!$J$32</f>
        <v>918.37</v>
      </c>
      <c r="J42" s="4">
        <f>(parametros_manuales!$D$32*(datos_base!$C$2+IF(parametros_manuales!$H$32="Todos",datos_base!$C$9,0))*parametros_manuales!$J$95+parametros_manuales!$E$32*(datos_base!$C$3+IF(parametros_manuales!$H$32="Todos",datos_base!$C$10,0))*parametros_manuales!$J$100+parametros_manuales!$F$32*(datos_base!$C$4+IF(parametros_manuales!$H$32="Todos",datos_base!$C$11,0))*parametros_manuales!$J$105+parametros_manuales!$G$32*(datos_base!$C$5+IF(parametros_manuales!$H$32="Todos",datos_base!$C$12,0))*parametros_manuales!$J$110)*parametros_manuales!$I$32*parametros_manuales!$J$32</f>
        <v>918.37</v>
      </c>
      <c r="K42" s="4">
        <f>(parametros_manuales!$D$32*(datos_base!$C$2+IF(parametros_manuales!$H$32="Todos",datos_base!$C$9,0))*parametros_manuales!$K$95+parametros_manuales!$E$32*(datos_base!$C$3+IF(parametros_manuales!$H$32="Todos",datos_base!$C$10,0))*parametros_manuales!$K$100+parametros_manuales!$F$32*(datos_base!$C$4+IF(parametros_manuales!$H$32="Todos",datos_base!$C$11,0))*parametros_manuales!$K$105+parametros_manuales!$G$32*(datos_base!$C$5+IF(parametros_manuales!$H$32="Todos",datos_base!$C$12,0))*parametros_manuales!$K$110)*parametros_manuales!$I$32*parametros_manuales!$J$32</f>
        <v>942.035</v>
      </c>
      <c r="L42" s="4">
        <f>(parametros_manuales!$D$32*(datos_base!$C$2+IF(parametros_manuales!$H$32="Todos",datos_base!$C$9,0))*parametros_manuales!$L$95+parametros_manuales!$E$32*(datos_base!$C$3+IF(parametros_manuales!$H$32="Todos",datos_base!$C$10,0))*parametros_manuales!$L$100+parametros_manuales!$F$32*(datos_base!$C$4+IF(parametros_manuales!$H$32="Todos",datos_base!$C$11,0))*parametros_manuales!$L$105+parametros_manuales!$G$32*(datos_base!$C$5+IF(parametros_manuales!$H$32="Todos",datos_base!$C$12,0))*parametros_manuales!$L$110)*parametros_manuales!$I$32*parametros_manuales!$J$32</f>
        <v>965.7</v>
      </c>
      <c r="M42" s="4">
        <f>(parametros_manuales!$D$32*(datos_base!$C$2+IF(parametros_manuales!$H$32="Todos",datos_base!$C$9,0))*parametros_manuales!$M$95+parametros_manuales!$E$32*(datos_base!$C$3+IF(parametros_manuales!$H$32="Todos",datos_base!$C$10,0))*parametros_manuales!$M$100+parametros_manuales!$F$32*(datos_base!$C$4+IF(parametros_manuales!$H$32="Todos",datos_base!$C$11,0))*parametros_manuales!$M$105+parametros_manuales!$G$32*(datos_base!$C$5+IF(parametros_manuales!$H$32="Todos",datos_base!$C$12,0))*parametros_manuales!$M$110)*parametros_manuales!$I$32*parametros_manuales!$J$32</f>
        <v>965.7</v>
      </c>
      <c r="N42" s="4">
        <f t="shared" si="4"/>
        <v>10730</v>
      </c>
      <c r="O42" s="4">
        <f t="shared" si="5"/>
        <v>965.7</v>
      </c>
      <c r="P42" s="27">
        <f>O42/(parametros_manuales!$B$7)</f>
        <v>6.438</v>
      </c>
      <c r="Q42" s="3" t="str">
        <f t="shared" si="6"/>
        <v>Ene</v>
      </c>
    </row>
    <row r="43" ht="14.25" customHeight="1">
      <c r="A43" s="3" t="str">
        <f>parametros_manuales!$B$33</f>
        <v>Secado</v>
      </c>
      <c r="B43" s="4">
        <f>(parametros_manuales!$D$33*(datos_base!$C$2+IF(parametros_manuales!$H$33="Todos",datos_base!$C$9,0))*parametros_manuales!$B$95+parametros_manuales!$E$33*(datos_base!$C$3+IF(parametros_manuales!$H$33="Todos",datos_base!$C$10,0))*parametros_manuales!$B$100+parametros_manuales!$F$33*(datos_base!$C$4+IF(parametros_manuales!$H$33="Todos",datos_base!$C$11,0))*parametros_manuales!$B$105+parametros_manuales!$G$33*(datos_base!$C$5+IF(parametros_manuales!$H$33="Todos",datos_base!$C$12,0))*parametros_manuales!$B$110)*parametros_manuales!$I$33*parametros_manuales!$J$33</f>
        <v>965.7</v>
      </c>
      <c r="C43" s="4">
        <f>(parametros_manuales!$D$33*(datos_base!$C$2+IF(parametros_manuales!$H$33="Todos",datos_base!$C$9,0))*parametros_manuales!$C$95+parametros_manuales!$E$33*(datos_base!$C$3+IF(parametros_manuales!$H$33="Todos",datos_base!$C$10,0))*parametros_manuales!$C$100+parametros_manuales!$F$33*(datos_base!$C$4+IF(parametros_manuales!$H$33="Todos",datos_base!$C$11,0))*parametros_manuales!$C$105+parametros_manuales!$G$33*(datos_base!$C$5+IF(parametros_manuales!$H$33="Todos",datos_base!$C$12,0))*parametros_manuales!$C$110)*parametros_manuales!$I$33*parametros_manuales!$J$33</f>
        <v>918.37</v>
      </c>
      <c r="D43" s="4">
        <f>(parametros_manuales!$D$33*(datos_base!$C$2+IF(parametros_manuales!$H$33="Todos",datos_base!$C$9,0))*parametros_manuales!$D$95+parametros_manuales!$E$33*(datos_base!$C$3+IF(parametros_manuales!$H$33="Todos",datos_base!$C$10,0))*parametros_manuales!$D$100+parametros_manuales!$F$33*(datos_base!$C$4+IF(parametros_manuales!$H$33="Todos",datos_base!$C$11,0))*parametros_manuales!$D$105+parametros_manuales!$G$33*(datos_base!$C$5+IF(parametros_manuales!$H$33="Todos",datos_base!$C$12,0))*parametros_manuales!$D$110)*parametros_manuales!$I$33*parametros_manuales!$J$33</f>
        <v>882.065</v>
      </c>
      <c r="E43" s="4">
        <f>(parametros_manuales!$D$33*(datos_base!$C$2+IF(parametros_manuales!$H$33="Todos",datos_base!$C$9,0))*parametros_manuales!$E$95+parametros_manuales!$E$33*(datos_base!$C$3+IF(parametros_manuales!$H$33="Todos",datos_base!$C$10,0))*parametros_manuales!$E$100+parametros_manuales!$F$33*(datos_base!$C$4+IF(parametros_manuales!$H$33="Todos",datos_base!$C$11,0))*parametros_manuales!$E$105+parametros_manuales!$G$33*(datos_base!$C$5+IF(parametros_manuales!$H$33="Todos",datos_base!$C$12,0))*parametros_manuales!$E$110)*parametros_manuales!$I$33*parametros_manuales!$J$33</f>
        <v>852.08</v>
      </c>
      <c r="F43" s="4">
        <f>(parametros_manuales!$D$33*(datos_base!$C$2+IF(parametros_manuales!$H$33="Todos",datos_base!$C$9,0))*parametros_manuales!$F$95+parametros_manuales!$E$33*(datos_base!$C$3+IF(parametros_manuales!$H$33="Todos",datos_base!$C$10,0))*parametros_manuales!$F$100+parametros_manuales!$F$33*(datos_base!$C$4+IF(parametros_manuales!$H$33="Todos",datos_base!$C$11,0))*parametros_manuales!$F$105+parametros_manuales!$G$33*(datos_base!$C$5+IF(parametros_manuales!$H$33="Todos",datos_base!$C$12,0))*parametros_manuales!$F$110)*parametros_manuales!$I$33*parametros_manuales!$J$33</f>
        <v>798.43</v>
      </c>
      <c r="G43" s="4">
        <f>(parametros_manuales!$D$33*(datos_base!$C$2+IF(parametros_manuales!$H$33="Todos",datos_base!$C$9,0))*parametros_manuales!$G$95+parametros_manuales!$E$33*(datos_base!$C$3+IF(parametros_manuales!$H$33="Todos",datos_base!$C$10,0))*parametros_manuales!$G$100+parametros_manuales!$F$33*(datos_base!$C$4+IF(parametros_manuales!$H$33="Todos",datos_base!$C$11,0))*parametros_manuales!$G$105+parametros_manuales!$G$33*(datos_base!$C$5+IF(parametros_manuales!$H$33="Todos",datos_base!$C$12,0))*parametros_manuales!$G$110)*parametros_manuales!$I$33*parametros_manuales!$J$33</f>
        <v>774.765</v>
      </c>
      <c r="H43" s="4">
        <f>(parametros_manuales!$D$33*(datos_base!$C$2+IF(parametros_manuales!$H$33="Todos",datos_base!$C$9,0))*parametros_manuales!$H$95+parametros_manuales!$E$33*(datos_base!$C$3+IF(parametros_manuales!$H$33="Todos",datos_base!$C$10,0))*parametros_manuales!$H$100+parametros_manuales!$F$33*(datos_base!$C$4+IF(parametros_manuales!$H$33="Todos",datos_base!$C$11,0))*parametros_manuales!$H$105+parametros_manuales!$G$33*(datos_base!$C$5+IF(parametros_manuales!$H$33="Todos",datos_base!$C$12,0))*parametros_manuales!$H$110)*parametros_manuales!$I$33*parametros_manuales!$J$33</f>
        <v>828.415</v>
      </c>
      <c r="I43" s="4">
        <f>(parametros_manuales!$D$33*(datos_base!$C$2+IF(parametros_manuales!$H$33="Todos",datos_base!$C$9,0))*parametros_manuales!$I$95+parametros_manuales!$E$33*(datos_base!$C$3+IF(parametros_manuales!$H$33="Todos",datos_base!$C$10,0))*parametros_manuales!$I$100+parametros_manuales!$F$33*(datos_base!$C$4+IF(parametros_manuales!$H$33="Todos",datos_base!$C$11,0))*parametros_manuales!$I$105+parametros_manuales!$G$33*(datos_base!$C$5+IF(parametros_manuales!$H$33="Todos",datos_base!$C$12,0))*parametros_manuales!$I$110)*parametros_manuales!$I$33*parametros_manuales!$J$33</f>
        <v>918.37</v>
      </c>
      <c r="J43" s="4">
        <f>(parametros_manuales!$D$33*(datos_base!$C$2+IF(parametros_manuales!$H$33="Todos",datos_base!$C$9,0))*parametros_manuales!$J$95+parametros_manuales!$E$33*(datos_base!$C$3+IF(parametros_manuales!$H$33="Todos",datos_base!$C$10,0))*parametros_manuales!$J$100+parametros_manuales!$F$33*(datos_base!$C$4+IF(parametros_manuales!$H$33="Todos",datos_base!$C$11,0))*parametros_manuales!$J$105+parametros_manuales!$G$33*(datos_base!$C$5+IF(parametros_manuales!$H$33="Todos",datos_base!$C$12,0))*parametros_manuales!$J$110)*parametros_manuales!$I$33*parametros_manuales!$J$33</f>
        <v>918.37</v>
      </c>
      <c r="K43" s="4">
        <f>(parametros_manuales!$D$33*(datos_base!$C$2+IF(parametros_manuales!$H$33="Todos",datos_base!$C$9,0))*parametros_manuales!$K$95+parametros_manuales!$E$33*(datos_base!$C$3+IF(parametros_manuales!$H$33="Todos",datos_base!$C$10,0))*parametros_manuales!$K$100+parametros_manuales!$F$33*(datos_base!$C$4+IF(parametros_manuales!$H$33="Todos",datos_base!$C$11,0))*parametros_manuales!$K$105+parametros_manuales!$G$33*(datos_base!$C$5+IF(parametros_manuales!$H$33="Todos",datos_base!$C$12,0))*parametros_manuales!$K$110)*parametros_manuales!$I$33*parametros_manuales!$J$33</f>
        <v>942.035</v>
      </c>
      <c r="L43" s="4">
        <f>(parametros_manuales!$D$33*(datos_base!$C$2+IF(parametros_manuales!$H$33="Todos",datos_base!$C$9,0))*parametros_manuales!$L$95+parametros_manuales!$E$33*(datos_base!$C$3+IF(parametros_manuales!$H$33="Todos",datos_base!$C$10,0))*parametros_manuales!$L$100+parametros_manuales!$F$33*(datos_base!$C$4+IF(parametros_manuales!$H$33="Todos",datos_base!$C$11,0))*parametros_manuales!$L$105+parametros_manuales!$G$33*(datos_base!$C$5+IF(parametros_manuales!$H$33="Todos",datos_base!$C$12,0))*parametros_manuales!$L$110)*parametros_manuales!$I$33*parametros_manuales!$J$33</f>
        <v>965.7</v>
      </c>
      <c r="M43" s="4">
        <f>(parametros_manuales!$D$33*(datos_base!$C$2+IF(parametros_manuales!$H$33="Todos",datos_base!$C$9,0))*parametros_manuales!$M$95+parametros_manuales!$E$33*(datos_base!$C$3+IF(parametros_manuales!$H$33="Todos",datos_base!$C$10,0))*parametros_manuales!$M$100+parametros_manuales!$F$33*(datos_base!$C$4+IF(parametros_manuales!$H$33="Todos",datos_base!$C$11,0))*parametros_manuales!$M$105+parametros_manuales!$G$33*(datos_base!$C$5+IF(parametros_manuales!$H$33="Todos",datos_base!$C$12,0))*parametros_manuales!$M$110)*parametros_manuales!$I$33*parametros_manuales!$J$33</f>
        <v>965.7</v>
      </c>
      <c r="N43" s="4">
        <f t="shared" si="4"/>
        <v>10730</v>
      </c>
      <c r="O43" s="4">
        <f t="shared" si="5"/>
        <v>965.7</v>
      </c>
      <c r="P43" s="27">
        <f>O43/(parametros_manuales!$B$7)</f>
        <v>6.438</v>
      </c>
      <c r="Q43" s="3" t="str">
        <f t="shared" si="6"/>
        <v>Ene</v>
      </c>
    </row>
    <row r="44" ht="14.25" customHeight="1">
      <c r="A44" s="3" t="str">
        <f>parametros_manuales!$B$34</f>
        <v>Granallado</v>
      </c>
      <c r="B44" s="4">
        <f>(parametros_manuales!$D$34*(datos_base!$C$2+IF(parametros_manuales!$H$34="Todos",datos_base!$C$9,0))*parametros_manuales!$B$95+parametros_manuales!$E$34*(datos_base!$C$3+IF(parametros_manuales!$H$34="Todos",datos_base!$C$10,0))*parametros_manuales!$B$100+parametros_manuales!$F$34*(datos_base!$C$4+IF(parametros_manuales!$H$34="Todos",datos_base!$C$11,0))*parametros_manuales!$B$105+parametros_manuales!$G$34*(datos_base!$C$5+IF(parametros_manuales!$H$34="Todos",datos_base!$C$12,0))*parametros_manuales!$B$110)*parametros_manuales!$I$34*parametros_manuales!$J$34</f>
        <v>965.7</v>
      </c>
      <c r="C44" s="4">
        <f>(parametros_manuales!$D$34*(datos_base!$C$2+IF(parametros_manuales!$H$34="Todos",datos_base!$C$9,0))*parametros_manuales!$C$95+parametros_manuales!$E$34*(datos_base!$C$3+IF(parametros_manuales!$H$34="Todos",datos_base!$C$10,0))*parametros_manuales!$C$100+parametros_manuales!$F$34*(datos_base!$C$4+IF(parametros_manuales!$H$34="Todos",datos_base!$C$11,0))*parametros_manuales!$C$105+parametros_manuales!$G$34*(datos_base!$C$5+IF(parametros_manuales!$H$34="Todos",datos_base!$C$12,0))*parametros_manuales!$C$110)*parametros_manuales!$I$34*parametros_manuales!$J$34</f>
        <v>918.37</v>
      </c>
      <c r="D44" s="4">
        <f>(parametros_manuales!$D$34*(datos_base!$C$2+IF(parametros_manuales!$H$34="Todos",datos_base!$C$9,0))*parametros_manuales!$D$95+parametros_manuales!$E$34*(datos_base!$C$3+IF(parametros_manuales!$H$34="Todos",datos_base!$C$10,0))*parametros_manuales!$D$100+parametros_manuales!$F$34*(datos_base!$C$4+IF(parametros_manuales!$H$34="Todos",datos_base!$C$11,0))*parametros_manuales!$D$105+parametros_manuales!$G$34*(datos_base!$C$5+IF(parametros_manuales!$H$34="Todos",datos_base!$C$12,0))*parametros_manuales!$D$110)*parametros_manuales!$I$34*parametros_manuales!$J$34</f>
        <v>882.065</v>
      </c>
      <c r="E44" s="4">
        <f>(parametros_manuales!$D$34*(datos_base!$C$2+IF(parametros_manuales!$H$34="Todos",datos_base!$C$9,0))*parametros_manuales!$E$95+parametros_manuales!$E$34*(datos_base!$C$3+IF(parametros_manuales!$H$34="Todos",datos_base!$C$10,0))*parametros_manuales!$E$100+parametros_manuales!$F$34*(datos_base!$C$4+IF(parametros_manuales!$H$34="Todos",datos_base!$C$11,0))*parametros_manuales!$E$105+parametros_manuales!$G$34*(datos_base!$C$5+IF(parametros_manuales!$H$34="Todos",datos_base!$C$12,0))*parametros_manuales!$E$110)*parametros_manuales!$I$34*parametros_manuales!$J$34</f>
        <v>852.08</v>
      </c>
      <c r="F44" s="4">
        <f>(parametros_manuales!$D$34*(datos_base!$C$2+IF(parametros_manuales!$H$34="Todos",datos_base!$C$9,0))*parametros_manuales!$F$95+parametros_manuales!$E$34*(datos_base!$C$3+IF(parametros_manuales!$H$34="Todos",datos_base!$C$10,0))*parametros_manuales!$F$100+parametros_manuales!$F$34*(datos_base!$C$4+IF(parametros_manuales!$H$34="Todos",datos_base!$C$11,0))*parametros_manuales!$F$105+parametros_manuales!$G$34*(datos_base!$C$5+IF(parametros_manuales!$H$34="Todos",datos_base!$C$12,0))*parametros_manuales!$F$110)*parametros_manuales!$I$34*parametros_manuales!$J$34</f>
        <v>798.43</v>
      </c>
      <c r="G44" s="4">
        <f>(parametros_manuales!$D$34*(datos_base!$C$2+IF(parametros_manuales!$H$34="Todos",datos_base!$C$9,0))*parametros_manuales!$G$95+parametros_manuales!$E$34*(datos_base!$C$3+IF(parametros_manuales!$H$34="Todos",datos_base!$C$10,0))*parametros_manuales!$G$100+parametros_manuales!$F$34*(datos_base!$C$4+IF(parametros_manuales!$H$34="Todos",datos_base!$C$11,0))*parametros_manuales!$G$105+parametros_manuales!$G$34*(datos_base!$C$5+IF(parametros_manuales!$H$34="Todos",datos_base!$C$12,0))*parametros_manuales!$G$110)*parametros_manuales!$I$34*parametros_manuales!$J$34</f>
        <v>774.765</v>
      </c>
      <c r="H44" s="4">
        <f>(parametros_manuales!$D$34*(datos_base!$C$2+IF(parametros_manuales!$H$34="Todos",datos_base!$C$9,0))*parametros_manuales!$H$95+parametros_manuales!$E$34*(datos_base!$C$3+IF(parametros_manuales!$H$34="Todos",datos_base!$C$10,0))*parametros_manuales!$H$100+parametros_manuales!$F$34*(datos_base!$C$4+IF(parametros_manuales!$H$34="Todos",datos_base!$C$11,0))*parametros_manuales!$H$105+parametros_manuales!$G$34*(datos_base!$C$5+IF(parametros_manuales!$H$34="Todos",datos_base!$C$12,0))*parametros_manuales!$H$110)*parametros_manuales!$I$34*parametros_manuales!$J$34</f>
        <v>828.415</v>
      </c>
      <c r="I44" s="4">
        <f>(parametros_manuales!$D$34*(datos_base!$C$2+IF(parametros_manuales!$H$34="Todos",datos_base!$C$9,0))*parametros_manuales!$I$95+parametros_manuales!$E$34*(datos_base!$C$3+IF(parametros_manuales!$H$34="Todos",datos_base!$C$10,0))*parametros_manuales!$I$100+parametros_manuales!$F$34*(datos_base!$C$4+IF(parametros_manuales!$H$34="Todos",datos_base!$C$11,0))*parametros_manuales!$I$105+parametros_manuales!$G$34*(datos_base!$C$5+IF(parametros_manuales!$H$34="Todos",datos_base!$C$12,0))*parametros_manuales!$I$110)*parametros_manuales!$I$34*parametros_manuales!$J$34</f>
        <v>918.37</v>
      </c>
      <c r="J44" s="4">
        <f>(parametros_manuales!$D$34*(datos_base!$C$2+IF(parametros_manuales!$H$34="Todos",datos_base!$C$9,0))*parametros_manuales!$J$95+parametros_manuales!$E$34*(datos_base!$C$3+IF(parametros_manuales!$H$34="Todos",datos_base!$C$10,0))*parametros_manuales!$J$100+parametros_manuales!$F$34*(datos_base!$C$4+IF(parametros_manuales!$H$34="Todos",datos_base!$C$11,0))*parametros_manuales!$J$105+parametros_manuales!$G$34*(datos_base!$C$5+IF(parametros_manuales!$H$34="Todos",datos_base!$C$12,0))*parametros_manuales!$J$110)*parametros_manuales!$I$34*parametros_manuales!$J$34</f>
        <v>918.37</v>
      </c>
      <c r="K44" s="4">
        <f>(parametros_manuales!$D$34*(datos_base!$C$2+IF(parametros_manuales!$H$34="Todos",datos_base!$C$9,0))*parametros_manuales!$K$95+parametros_manuales!$E$34*(datos_base!$C$3+IF(parametros_manuales!$H$34="Todos",datos_base!$C$10,0))*parametros_manuales!$K$100+parametros_manuales!$F$34*(datos_base!$C$4+IF(parametros_manuales!$H$34="Todos",datos_base!$C$11,0))*parametros_manuales!$K$105+parametros_manuales!$G$34*(datos_base!$C$5+IF(parametros_manuales!$H$34="Todos",datos_base!$C$12,0))*parametros_manuales!$K$110)*parametros_manuales!$I$34*parametros_manuales!$J$34</f>
        <v>942.035</v>
      </c>
      <c r="L44" s="4">
        <f>(parametros_manuales!$D$34*(datos_base!$C$2+IF(parametros_manuales!$H$34="Todos",datos_base!$C$9,0))*parametros_manuales!$L$95+parametros_manuales!$E$34*(datos_base!$C$3+IF(parametros_manuales!$H$34="Todos",datos_base!$C$10,0))*parametros_manuales!$L$100+parametros_manuales!$F$34*(datos_base!$C$4+IF(parametros_manuales!$H$34="Todos",datos_base!$C$11,0))*parametros_manuales!$L$105+parametros_manuales!$G$34*(datos_base!$C$5+IF(parametros_manuales!$H$34="Todos",datos_base!$C$12,0))*parametros_manuales!$L$110)*parametros_manuales!$I$34*parametros_manuales!$J$34</f>
        <v>965.7</v>
      </c>
      <c r="M44" s="4">
        <f>(parametros_manuales!$D$34*(datos_base!$C$2+IF(parametros_manuales!$H$34="Todos",datos_base!$C$9,0))*parametros_manuales!$M$95+parametros_manuales!$E$34*(datos_base!$C$3+IF(parametros_manuales!$H$34="Todos",datos_base!$C$10,0))*parametros_manuales!$M$100+parametros_manuales!$F$34*(datos_base!$C$4+IF(parametros_manuales!$H$34="Todos",datos_base!$C$11,0))*parametros_manuales!$M$105+parametros_manuales!$G$34*(datos_base!$C$5+IF(parametros_manuales!$H$34="Todos",datos_base!$C$12,0))*parametros_manuales!$M$110)*parametros_manuales!$I$34*parametros_manuales!$J$34</f>
        <v>965.7</v>
      </c>
      <c r="N44" s="4">
        <f t="shared" si="4"/>
        <v>10730</v>
      </c>
      <c r="O44" s="4">
        <f t="shared" si="5"/>
        <v>965.7</v>
      </c>
      <c r="P44" s="27">
        <f>O44/(parametros_manuales!$B$7)</f>
        <v>6.438</v>
      </c>
      <c r="Q44" s="3" t="str">
        <f t="shared" si="6"/>
        <v>Ene</v>
      </c>
    </row>
    <row r="45" ht="14.25" customHeight="1">
      <c r="A45" s="3" t="str">
        <f>parametros_manuales!$B$35</f>
        <v>Detección de defectos</v>
      </c>
      <c r="B45" s="4">
        <f>(parametros_manuales!$D$35*(datos_base!$C$2+IF(parametros_manuales!$H$35="Todos",datos_base!$C$9,0))*parametros_manuales!$B$95+parametros_manuales!$E$35*(datos_base!$C$3+IF(parametros_manuales!$H$35="Todos",datos_base!$C$10,0))*parametros_manuales!$B$100+parametros_manuales!$F$35*(datos_base!$C$4+IF(parametros_manuales!$H$35="Todos",datos_base!$C$11,0))*parametros_manuales!$B$105+parametros_manuales!$G$35*(datos_base!$C$5+IF(parametros_manuales!$H$35="Todos",datos_base!$C$12,0))*parametros_manuales!$B$110)*parametros_manuales!$I$35*parametros_manuales!$J$35</f>
        <v>965.7</v>
      </c>
      <c r="C45" s="4">
        <f>(parametros_manuales!$D$35*(datos_base!$C$2+IF(parametros_manuales!$H$35="Todos",datos_base!$C$9,0))*parametros_manuales!$C$95+parametros_manuales!$E$35*(datos_base!$C$3+IF(parametros_manuales!$H$35="Todos",datos_base!$C$10,0))*parametros_manuales!$C$100+parametros_manuales!$F$35*(datos_base!$C$4+IF(parametros_manuales!$H$35="Todos",datos_base!$C$11,0))*parametros_manuales!$C$105+parametros_manuales!$G$35*(datos_base!$C$5+IF(parametros_manuales!$H$35="Todos",datos_base!$C$12,0))*parametros_manuales!$C$110)*parametros_manuales!$I$35*parametros_manuales!$J$35</f>
        <v>918.37</v>
      </c>
      <c r="D45" s="4">
        <f>(parametros_manuales!$D$35*(datos_base!$C$2+IF(parametros_manuales!$H$35="Todos",datos_base!$C$9,0))*parametros_manuales!$D$95+parametros_manuales!$E$35*(datos_base!$C$3+IF(parametros_manuales!$H$35="Todos",datos_base!$C$10,0))*parametros_manuales!$D$100+parametros_manuales!$F$35*(datos_base!$C$4+IF(parametros_manuales!$H$35="Todos",datos_base!$C$11,0))*parametros_manuales!$D$105+parametros_manuales!$G$35*(datos_base!$C$5+IF(parametros_manuales!$H$35="Todos",datos_base!$C$12,0))*parametros_manuales!$D$110)*parametros_manuales!$I$35*parametros_manuales!$J$35</f>
        <v>882.065</v>
      </c>
      <c r="E45" s="4">
        <f>(parametros_manuales!$D$35*(datos_base!$C$2+IF(parametros_manuales!$H$35="Todos",datos_base!$C$9,0))*parametros_manuales!$E$95+parametros_manuales!$E$35*(datos_base!$C$3+IF(parametros_manuales!$H$35="Todos",datos_base!$C$10,0))*parametros_manuales!$E$100+parametros_manuales!$F$35*(datos_base!$C$4+IF(parametros_manuales!$H$35="Todos",datos_base!$C$11,0))*parametros_manuales!$E$105+parametros_manuales!$G$35*(datos_base!$C$5+IF(parametros_manuales!$H$35="Todos",datos_base!$C$12,0))*parametros_manuales!$E$110)*parametros_manuales!$I$35*parametros_manuales!$J$35</f>
        <v>852.08</v>
      </c>
      <c r="F45" s="4">
        <f>(parametros_manuales!$D$35*(datos_base!$C$2+IF(parametros_manuales!$H$35="Todos",datos_base!$C$9,0))*parametros_manuales!$F$95+parametros_manuales!$E$35*(datos_base!$C$3+IF(parametros_manuales!$H$35="Todos",datos_base!$C$10,0))*parametros_manuales!$F$100+parametros_manuales!$F$35*(datos_base!$C$4+IF(parametros_manuales!$H$35="Todos",datos_base!$C$11,0))*parametros_manuales!$F$105+parametros_manuales!$G$35*(datos_base!$C$5+IF(parametros_manuales!$H$35="Todos",datos_base!$C$12,0))*parametros_manuales!$F$110)*parametros_manuales!$I$35*parametros_manuales!$J$35</f>
        <v>798.43</v>
      </c>
      <c r="G45" s="4">
        <f>(parametros_manuales!$D$35*(datos_base!$C$2+IF(parametros_manuales!$H$35="Todos",datos_base!$C$9,0))*parametros_manuales!$G$95+parametros_manuales!$E$35*(datos_base!$C$3+IF(parametros_manuales!$H$35="Todos",datos_base!$C$10,0))*parametros_manuales!$G$100+parametros_manuales!$F$35*(datos_base!$C$4+IF(parametros_manuales!$H$35="Todos",datos_base!$C$11,0))*parametros_manuales!$G$105+parametros_manuales!$G$35*(datos_base!$C$5+IF(parametros_manuales!$H$35="Todos",datos_base!$C$12,0))*parametros_manuales!$G$110)*parametros_manuales!$I$35*parametros_manuales!$J$35</f>
        <v>774.765</v>
      </c>
      <c r="H45" s="4">
        <f>(parametros_manuales!$D$35*(datos_base!$C$2+IF(parametros_manuales!$H$35="Todos",datos_base!$C$9,0))*parametros_manuales!$H$95+parametros_manuales!$E$35*(datos_base!$C$3+IF(parametros_manuales!$H$35="Todos",datos_base!$C$10,0))*parametros_manuales!$H$100+parametros_manuales!$F$35*(datos_base!$C$4+IF(parametros_manuales!$H$35="Todos",datos_base!$C$11,0))*parametros_manuales!$H$105+parametros_manuales!$G$35*(datos_base!$C$5+IF(parametros_manuales!$H$35="Todos",datos_base!$C$12,0))*parametros_manuales!$H$110)*parametros_manuales!$I$35*parametros_manuales!$J$35</f>
        <v>828.415</v>
      </c>
      <c r="I45" s="4">
        <f>(parametros_manuales!$D$35*(datos_base!$C$2+IF(parametros_manuales!$H$35="Todos",datos_base!$C$9,0))*parametros_manuales!$I$95+parametros_manuales!$E$35*(datos_base!$C$3+IF(parametros_manuales!$H$35="Todos",datos_base!$C$10,0))*parametros_manuales!$I$100+parametros_manuales!$F$35*(datos_base!$C$4+IF(parametros_manuales!$H$35="Todos",datos_base!$C$11,0))*parametros_manuales!$I$105+parametros_manuales!$G$35*(datos_base!$C$5+IF(parametros_manuales!$H$35="Todos",datos_base!$C$12,0))*parametros_manuales!$I$110)*parametros_manuales!$I$35*parametros_manuales!$J$35</f>
        <v>918.37</v>
      </c>
      <c r="J45" s="4">
        <f>(parametros_manuales!$D$35*(datos_base!$C$2+IF(parametros_manuales!$H$35="Todos",datos_base!$C$9,0))*parametros_manuales!$J$95+parametros_manuales!$E$35*(datos_base!$C$3+IF(parametros_manuales!$H$35="Todos",datos_base!$C$10,0))*parametros_manuales!$J$100+parametros_manuales!$F$35*(datos_base!$C$4+IF(parametros_manuales!$H$35="Todos",datos_base!$C$11,0))*parametros_manuales!$J$105+parametros_manuales!$G$35*(datos_base!$C$5+IF(parametros_manuales!$H$35="Todos",datos_base!$C$12,0))*parametros_manuales!$J$110)*parametros_manuales!$I$35*parametros_manuales!$J$35</f>
        <v>918.37</v>
      </c>
      <c r="K45" s="4">
        <f>(parametros_manuales!$D$35*(datos_base!$C$2+IF(parametros_manuales!$H$35="Todos",datos_base!$C$9,0))*parametros_manuales!$K$95+parametros_manuales!$E$35*(datos_base!$C$3+IF(parametros_manuales!$H$35="Todos",datos_base!$C$10,0))*parametros_manuales!$K$100+parametros_manuales!$F$35*(datos_base!$C$4+IF(parametros_manuales!$H$35="Todos",datos_base!$C$11,0))*parametros_manuales!$K$105+parametros_manuales!$G$35*(datos_base!$C$5+IF(parametros_manuales!$H$35="Todos",datos_base!$C$12,0))*parametros_manuales!$K$110)*parametros_manuales!$I$35*parametros_manuales!$J$35</f>
        <v>942.035</v>
      </c>
      <c r="L45" s="4">
        <f>(parametros_manuales!$D$35*(datos_base!$C$2+IF(parametros_manuales!$H$35="Todos",datos_base!$C$9,0))*parametros_manuales!$L$95+parametros_manuales!$E$35*(datos_base!$C$3+IF(parametros_manuales!$H$35="Todos",datos_base!$C$10,0))*parametros_manuales!$L$100+parametros_manuales!$F$35*(datos_base!$C$4+IF(parametros_manuales!$H$35="Todos",datos_base!$C$11,0))*parametros_manuales!$L$105+parametros_manuales!$G$35*(datos_base!$C$5+IF(parametros_manuales!$H$35="Todos",datos_base!$C$12,0))*parametros_manuales!$L$110)*parametros_manuales!$I$35*parametros_manuales!$J$35</f>
        <v>965.7</v>
      </c>
      <c r="M45" s="4">
        <f>(parametros_manuales!$D$35*(datos_base!$C$2+IF(parametros_manuales!$H$35="Todos",datos_base!$C$9,0))*parametros_manuales!$M$95+parametros_manuales!$E$35*(datos_base!$C$3+IF(parametros_manuales!$H$35="Todos",datos_base!$C$10,0))*parametros_manuales!$M$100+parametros_manuales!$F$35*(datos_base!$C$4+IF(parametros_manuales!$H$35="Todos",datos_base!$C$11,0))*parametros_manuales!$M$105+parametros_manuales!$G$35*(datos_base!$C$5+IF(parametros_manuales!$H$35="Todos",datos_base!$C$12,0))*parametros_manuales!$M$110)*parametros_manuales!$I$35*parametros_manuales!$J$35</f>
        <v>965.7</v>
      </c>
      <c r="N45" s="4">
        <f t="shared" si="4"/>
        <v>10730</v>
      </c>
      <c r="O45" s="4">
        <f t="shared" si="5"/>
        <v>965.7</v>
      </c>
      <c r="P45" s="27">
        <f>O45/(parametros_manuales!$B$7)</f>
        <v>6.438</v>
      </c>
      <c r="Q45" s="3" t="str">
        <f t="shared" si="6"/>
        <v>Ene</v>
      </c>
    </row>
    <row r="46" ht="14.25" customHeight="1">
      <c r="A46" s="3" t="str">
        <f>parametros_manuales!$B$36</f>
        <v>Corrección de defectos</v>
      </c>
      <c r="B46" s="4">
        <f>(parametros_manuales!$D$36*(datos_base!$C$2+IF(parametros_manuales!$H$36="Todos",datos_base!$C$9,0))*parametros_manuales!$B$95+parametros_manuales!$E$36*(datos_base!$C$3+IF(parametros_manuales!$H$36="Todos",datos_base!$C$10,0))*parametros_manuales!$B$100+parametros_manuales!$F$36*(datos_base!$C$4+IF(parametros_manuales!$H$36="Todos",datos_base!$C$11,0))*parametros_manuales!$B$105+parametros_manuales!$G$36*(datos_base!$C$5+IF(parametros_manuales!$H$36="Todos",datos_base!$C$12,0))*parametros_manuales!$B$110)*parametros_manuales!$I$36*parametros_manuales!$J$36</f>
        <v>48.285</v>
      </c>
      <c r="C46" s="4">
        <f>(parametros_manuales!$D$36*(datos_base!$C$2+IF(parametros_manuales!$H$36="Todos",datos_base!$C$9,0))*parametros_manuales!$C$95+parametros_manuales!$E$36*(datos_base!$C$3+IF(parametros_manuales!$H$36="Todos",datos_base!$C$10,0))*parametros_manuales!$C$100+parametros_manuales!$F$36*(datos_base!$C$4+IF(parametros_manuales!$H$36="Todos",datos_base!$C$11,0))*parametros_manuales!$C$105+parametros_manuales!$G$36*(datos_base!$C$5+IF(parametros_manuales!$H$36="Todos",datos_base!$C$12,0))*parametros_manuales!$C$110)*parametros_manuales!$I$36*parametros_manuales!$J$36</f>
        <v>45.9185</v>
      </c>
      <c r="D46" s="4">
        <f>(parametros_manuales!$D$36*(datos_base!$C$2+IF(parametros_manuales!$H$36="Todos",datos_base!$C$9,0))*parametros_manuales!$D$95+parametros_manuales!$E$36*(datos_base!$C$3+IF(parametros_manuales!$H$36="Todos",datos_base!$C$10,0))*parametros_manuales!$D$100+parametros_manuales!$F$36*(datos_base!$C$4+IF(parametros_manuales!$H$36="Todos",datos_base!$C$11,0))*parametros_manuales!$D$105+parametros_manuales!$G$36*(datos_base!$C$5+IF(parametros_manuales!$H$36="Todos",datos_base!$C$12,0))*parametros_manuales!$D$110)*parametros_manuales!$I$36*parametros_manuales!$J$36</f>
        <v>44.10325</v>
      </c>
      <c r="E46" s="4">
        <f>(parametros_manuales!$D$36*(datos_base!$C$2+IF(parametros_manuales!$H$36="Todos",datos_base!$C$9,0))*parametros_manuales!$E$95+parametros_manuales!$E$36*(datos_base!$C$3+IF(parametros_manuales!$H$36="Todos",datos_base!$C$10,0))*parametros_manuales!$E$100+parametros_manuales!$F$36*(datos_base!$C$4+IF(parametros_manuales!$H$36="Todos",datos_base!$C$11,0))*parametros_manuales!$E$105+parametros_manuales!$G$36*(datos_base!$C$5+IF(parametros_manuales!$H$36="Todos",datos_base!$C$12,0))*parametros_manuales!$E$110)*parametros_manuales!$I$36*parametros_manuales!$J$36</f>
        <v>42.604</v>
      </c>
      <c r="F46" s="4">
        <f>(parametros_manuales!$D$36*(datos_base!$C$2+IF(parametros_manuales!$H$36="Todos",datos_base!$C$9,0))*parametros_manuales!$F$95+parametros_manuales!$E$36*(datos_base!$C$3+IF(parametros_manuales!$H$36="Todos",datos_base!$C$10,0))*parametros_manuales!$F$100+parametros_manuales!$F$36*(datos_base!$C$4+IF(parametros_manuales!$H$36="Todos",datos_base!$C$11,0))*parametros_manuales!$F$105+parametros_manuales!$G$36*(datos_base!$C$5+IF(parametros_manuales!$H$36="Todos",datos_base!$C$12,0))*parametros_manuales!$F$110)*parametros_manuales!$I$36*parametros_manuales!$J$36</f>
        <v>39.9215</v>
      </c>
      <c r="G46" s="4">
        <f>(parametros_manuales!$D$36*(datos_base!$C$2+IF(parametros_manuales!$H$36="Todos",datos_base!$C$9,0))*parametros_manuales!$G$95+parametros_manuales!$E$36*(datos_base!$C$3+IF(parametros_manuales!$H$36="Todos",datos_base!$C$10,0))*parametros_manuales!$G$100+parametros_manuales!$F$36*(datos_base!$C$4+IF(parametros_manuales!$H$36="Todos",datos_base!$C$11,0))*parametros_manuales!$G$105+parametros_manuales!$G$36*(datos_base!$C$5+IF(parametros_manuales!$H$36="Todos",datos_base!$C$12,0))*parametros_manuales!$G$110)*parametros_manuales!$I$36*parametros_manuales!$J$36</f>
        <v>38.73825</v>
      </c>
      <c r="H46" s="4">
        <f>(parametros_manuales!$D$36*(datos_base!$C$2+IF(parametros_manuales!$H$36="Todos",datos_base!$C$9,0))*parametros_manuales!$H$95+parametros_manuales!$E$36*(datos_base!$C$3+IF(parametros_manuales!$H$36="Todos",datos_base!$C$10,0))*parametros_manuales!$H$100+parametros_manuales!$F$36*(datos_base!$C$4+IF(parametros_manuales!$H$36="Todos",datos_base!$C$11,0))*parametros_manuales!$H$105+parametros_manuales!$G$36*(datos_base!$C$5+IF(parametros_manuales!$H$36="Todos",datos_base!$C$12,0))*parametros_manuales!$H$110)*parametros_manuales!$I$36*parametros_manuales!$J$36</f>
        <v>41.42075</v>
      </c>
      <c r="I46" s="4">
        <f>(parametros_manuales!$D$36*(datos_base!$C$2+IF(parametros_manuales!$H$36="Todos",datos_base!$C$9,0))*parametros_manuales!$I$95+parametros_manuales!$E$36*(datos_base!$C$3+IF(parametros_manuales!$H$36="Todos",datos_base!$C$10,0))*parametros_manuales!$I$100+parametros_manuales!$F$36*(datos_base!$C$4+IF(parametros_manuales!$H$36="Todos",datos_base!$C$11,0))*parametros_manuales!$I$105+parametros_manuales!$G$36*(datos_base!$C$5+IF(parametros_manuales!$H$36="Todos",datos_base!$C$12,0))*parametros_manuales!$I$110)*parametros_manuales!$I$36*parametros_manuales!$J$36</f>
        <v>45.9185</v>
      </c>
      <c r="J46" s="4">
        <f>(parametros_manuales!$D$36*(datos_base!$C$2+IF(parametros_manuales!$H$36="Todos",datos_base!$C$9,0))*parametros_manuales!$J$95+parametros_manuales!$E$36*(datos_base!$C$3+IF(parametros_manuales!$H$36="Todos",datos_base!$C$10,0))*parametros_manuales!$J$100+parametros_manuales!$F$36*(datos_base!$C$4+IF(parametros_manuales!$H$36="Todos",datos_base!$C$11,0))*parametros_manuales!$J$105+parametros_manuales!$G$36*(datos_base!$C$5+IF(parametros_manuales!$H$36="Todos",datos_base!$C$12,0))*parametros_manuales!$J$110)*parametros_manuales!$I$36*parametros_manuales!$J$36</f>
        <v>45.9185</v>
      </c>
      <c r="K46" s="4">
        <f>(parametros_manuales!$D$36*(datos_base!$C$2+IF(parametros_manuales!$H$36="Todos",datos_base!$C$9,0))*parametros_manuales!$K$95+parametros_manuales!$E$36*(datos_base!$C$3+IF(parametros_manuales!$H$36="Todos",datos_base!$C$10,0))*parametros_manuales!$K$100+parametros_manuales!$F$36*(datos_base!$C$4+IF(parametros_manuales!$H$36="Todos",datos_base!$C$11,0))*parametros_manuales!$K$105+parametros_manuales!$G$36*(datos_base!$C$5+IF(parametros_manuales!$H$36="Todos",datos_base!$C$12,0))*parametros_manuales!$K$110)*parametros_manuales!$I$36*parametros_manuales!$J$36</f>
        <v>47.10175</v>
      </c>
      <c r="L46" s="4">
        <f>(parametros_manuales!$D$36*(datos_base!$C$2+IF(parametros_manuales!$H$36="Todos",datos_base!$C$9,0))*parametros_manuales!$L$95+parametros_manuales!$E$36*(datos_base!$C$3+IF(parametros_manuales!$H$36="Todos",datos_base!$C$10,0))*parametros_manuales!$L$100+parametros_manuales!$F$36*(datos_base!$C$4+IF(parametros_manuales!$H$36="Todos",datos_base!$C$11,0))*parametros_manuales!$L$105+parametros_manuales!$G$36*(datos_base!$C$5+IF(parametros_manuales!$H$36="Todos",datos_base!$C$12,0))*parametros_manuales!$L$110)*parametros_manuales!$I$36*parametros_manuales!$J$36</f>
        <v>48.285</v>
      </c>
      <c r="M46" s="4">
        <f>(parametros_manuales!$D$36*(datos_base!$C$2+IF(parametros_manuales!$H$36="Todos",datos_base!$C$9,0))*parametros_manuales!$M$95+parametros_manuales!$E$36*(datos_base!$C$3+IF(parametros_manuales!$H$36="Todos",datos_base!$C$10,0))*parametros_manuales!$M$100+parametros_manuales!$F$36*(datos_base!$C$4+IF(parametros_manuales!$H$36="Todos",datos_base!$C$11,0))*parametros_manuales!$M$105+parametros_manuales!$G$36*(datos_base!$C$5+IF(parametros_manuales!$H$36="Todos",datos_base!$C$12,0))*parametros_manuales!$M$110)*parametros_manuales!$I$36*parametros_manuales!$J$36</f>
        <v>48.285</v>
      </c>
      <c r="N46" s="4">
        <f t="shared" si="4"/>
        <v>536.5</v>
      </c>
      <c r="O46" s="4">
        <f t="shared" si="5"/>
        <v>48.285</v>
      </c>
      <c r="P46" s="27">
        <f>O46/(parametros_manuales!$B$7)</f>
        <v>0.3219</v>
      </c>
      <c r="Q46" s="3" t="str">
        <f t="shared" si="6"/>
        <v>Ene</v>
      </c>
    </row>
    <row r="47" ht="14.25" customHeight="1">
      <c r="A47" s="3" t="str">
        <f>parametros_manuales!$B$37</f>
        <v>Pintura en polvo + horno</v>
      </c>
      <c r="B47" s="4">
        <f>(parametros_manuales!$D$37*(datos_base!$C$2+IF(parametros_manuales!$H$37="Todos",datos_base!$C$9,0))*parametros_manuales!$B$95+parametros_manuales!$E$37*(datos_base!$C$3+IF(parametros_manuales!$H$37="Todos",datos_base!$C$10,0))*parametros_manuales!$B$100+parametros_manuales!$F$37*(datos_base!$C$4+IF(parametros_manuales!$H$37="Todos",datos_base!$C$11,0))*parametros_manuales!$B$105+parametros_manuales!$G$37*(datos_base!$C$5+IF(parametros_manuales!$H$37="Todos",datos_base!$C$12,0))*parametros_manuales!$B$110)*parametros_manuales!$I$37*parametros_manuales!$J$37</f>
        <v>965.7</v>
      </c>
      <c r="C47" s="4">
        <f>(parametros_manuales!$D$37*(datos_base!$C$2+IF(parametros_manuales!$H$37="Todos",datos_base!$C$9,0))*parametros_manuales!$C$95+parametros_manuales!$E$37*(datos_base!$C$3+IF(parametros_manuales!$H$37="Todos",datos_base!$C$10,0))*parametros_manuales!$C$100+parametros_manuales!$F$37*(datos_base!$C$4+IF(parametros_manuales!$H$37="Todos",datos_base!$C$11,0))*parametros_manuales!$C$105+parametros_manuales!$G$37*(datos_base!$C$5+IF(parametros_manuales!$H$37="Todos",datos_base!$C$12,0))*parametros_manuales!$C$110)*parametros_manuales!$I$37*parametros_manuales!$J$37</f>
        <v>918.37</v>
      </c>
      <c r="D47" s="4">
        <f>(parametros_manuales!$D$37*(datos_base!$C$2+IF(parametros_manuales!$H$37="Todos",datos_base!$C$9,0))*parametros_manuales!$D$95+parametros_manuales!$E$37*(datos_base!$C$3+IF(parametros_manuales!$H$37="Todos",datos_base!$C$10,0))*parametros_manuales!$D$100+parametros_manuales!$F$37*(datos_base!$C$4+IF(parametros_manuales!$H$37="Todos",datos_base!$C$11,0))*parametros_manuales!$D$105+parametros_manuales!$G$37*(datos_base!$C$5+IF(parametros_manuales!$H$37="Todos",datos_base!$C$12,0))*parametros_manuales!$D$110)*parametros_manuales!$I$37*parametros_manuales!$J$37</f>
        <v>882.065</v>
      </c>
      <c r="E47" s="4">
        <f>(parametros_manuales!$D$37*(datos_base!$C$2+IF(parametros_manuales!$H$37="Todos",datos_base!$C$9,0))*parametros_manuales!$E$95+parametros_manuales!$E$37*(datos_base!$C$3+IF(parametros_manuales!$H$37="Todos",datos_base!$C$10,0))*parametros_manuales!$E$100+parametros_manuales!$F$37*(datos_base!$C$4+IF(parametros_manuales!$H$37="Todos",datos_base!$C$11,0))*parametros_manuales!$E$105+parametros_manuales!$G$37*(datos_base!$C$5+IF(parametros_manuales!$H$37="Todos",datos_base!$C$12,0))*parametros_manuales!$E$110)*parametros_manuales!$I$37*parametros_manuales!$J$37</f>
        <v>852.08</v>
      </c>
      <c r="F47" s="4">
        <f>(parametros_manuales!$D$37*(datos_base!$C$2+IF(parametros_manuales!$H$37="Todos",datos_base!$C$9,0))*parametros_manuales!$F$95+parametros_manuales!$E$37*(datos_base!$C$3+IF(parametros_manuales!$H$37="Todos",datos_base!$C$10,0))*parametros_manuales!$F$100+parametros_manuales!$F$37*(datos_base!$C$4+IF(parametros_manuales!$H$37="Todos",datos_base!$C$11,0))*parametros_manuales!$F$105+parametros_manuales!$G$37*(datos_base!$C$5+IF(parametros_manuales!$H$37="Todos",datos_base!$C$12,0))*parametros_manuales!$F$110)*parametros_manuales!$I$37*parametros_manuales!$J$37</f>
        <v>798.43</v>
      </c>
      <c r="G47" s="4">
        <f>(parametros_manuales!$D$37*(datos_base!$C$2+IF(parametros_manuales!$H$37="Todos",datos_base!$C$9,0))*parametros_manuales!$G$95+parametros_manuales!$E$37*(datos_base!$C$3+IF(parametros_manuales!$H$37="Todos",datos_base!$C$10,0))*parametros_manuales!$G$100+parametros_manuales!$F$37*(datos_base!$C$4+IF(parametros_manuales!$H$37="Todos",datos_base!$C$11,0))*parametros_manuales!$G$105+parametros_manuales!$G$37*(datos_base!$C$5+IF(parametros_manuales!$H$37="Todos",datos_base!$C$12,0))*parametros_manuales!$G$110)*parametros_manuales!$I$37*parametros_manuales!$J$37</f>
        <v>774.765</v>
      </c>
      <c r="H47" s="4">
        <f>(parametros_manuales!$D$37*(datos_base!$C$2+IF(parametros_manuales!$H$37="Todos",datos_base!$C$9,0))*parametros_manuales!$H$95+parametros_manuales!$E$37*(datos_base!$C$3+IF(parametros_manuales!$H$37="Todos",datos_base!$C$10,0))*parametros_manuales!$H$100+parametros_manuales!$F$37*(datos_base!$C$4+IF(parametros_manuales!$H$37="Todos",datos_base!$C$11,0))*parametros_manuales!$H$105+parametros_manuales!$G$37*(datos_base!$C$5+IF(parametros_manuales!$H$37="Todos",datos_base!$C$12,0))*parametros_manuales!$H$110)*parametros_manuales!$I$37*parametros_manuales!$J$37</f>
        <v>828.415</v>
      </c>
      <c r="I47" s="4">
        <f>(parametros_manuales!$D$37*(datos_base!$C$2+IF(parametros_manuales!$H$37="Todos",datos_base!$C$9,0))*parametros_manuales!$I$95+parametros_manuales!$E$37*(datos_base!$C$3+IF(parametros_manuales!$H$37="Todos",datos_base!$C$10,0))*parametros_manuales!$I$100+parametros_manuales!$F$37*(datos_base!$C$4+IF(parametros_manuales!$H$37="Todos",datos_base!$C$11,0))*parametros_manuales!$I$105+parametros_manuales!$G$37*(datos_base!$C$5+IF(parametros_manuales!$H$37="Todos",datos_base!$C$12,0))*parametros_manuales!$I$110)*parametros_manuales!$I$37*parametros_manuales!$J$37</f>
        <v>918.37</v>
      </c>
      <c r="J47" s="4">
        <f>(parametros_manuales!$D$37*(datos_base!$C$2+IF(parametros_manuales!$H$37="Todos",datos_base!$C$9,0))*parametros_manuales!$J$95+parametros_manuales!$E$37*(datos_base!$C$3+IF(parametros_manuales!$H$37="Todos",datos_base!$C$10,0))*parametros_manuales!$J$100+parametros_manuales!$F$37*(datos_base!$C$4+IF(parametros_manuales!$H$37="Todos",datos_base!$C$11,0))*parametros_manuales!$J$105+parametros_manuales!$G$37*(datos_base!$C$5+IF(parametros_manuales!$H$37="Todos",datos_base!$C$12,0))*parametros_manuales!$J$110)*parametros_manuales!$I$37*parametros_manuales!$J$37</f>
        <v>918.37</v>
      </c>
      <c r="K47" s="4">
        <f>(parametros_manuales!$D$37*(datos_base!$C$2+IF(parametros_manuales!$H$37="Todos",datos_base!$C$9,0))*parametros_manuales!$K$95+parametros_manuales!$E$37*(datos_base!$C$3+IF(parametros_manuales!$H$37="Todos",datos_base!$C$10,0))*parametros_manuales!$K$100+parametros_manuales!$F$37*(datos_base!$C$4+IF(parametros_manuales!$H$37="Todos",datos_base!$C$11,0))*parametros_manuales!$K$105+parametros_manuales!$G$37*(datos_base!$C$5+IF(parametros_manuales!$H$37="Todos",datos_base!$C$12,0))*parametros_manuales!$K$110)*parametros_manuales!$I$37*parametros_manuales!$J$37</f>
        <v>942.035</v>
      </c>
      <c r="L47" s="4">
        <f>(parametros_manuales!$D$37*(datos_base!$C$2+IF(parametros_manuales!$H$37="Todos",datos_base!$C$9,0))*parametros_manuales!$L$95+parametros_manuales!$E$37*(datos_base!$C$3+IF(parametros_manuales!$H$37="Todos",datos_base!$C$10,0))*parametros_manuales!$L$100+parametros_manuales!$F$37*(datos_base!$C$4+IF(parametros_manuales!$H$37="Todos",datos_base!$C$11,0))*parametros_manuales!$L$105+parametros_manuales!$G$37*(datos_base!$C$5+IF(parametros_manuales!$H$37="Todos",datos_base!$C$12,0))*parametros_manuales!$L$110)*parametros_manuales!$I$37*parametros_manuales!$J$37</f>
        <v>965.7</v>
      </c>
      <c r="M47" s="4">
        <f>(parametros_manuales!$D$37*(datos_base!$C$2+IF(parametros_manuales!$H$37="Todos",datos_base!$C$9,0))*parametros_manuales!$M$95+parametros_manuales!$E$37*(datos_base!$C$3+IF(parametros_manuales!$H$37="Todos",datos_base!$C$10,0))*parametros_manuales!$M$100+parametros_manuales!$F$37*(datos_base!$C$4+IF(parametros_manuales!$H$37="Todos",datos_base!$C$11,0))*parametros_manuales!$M$105+parametros_manuales!$G$37*(datos_base!$C$5+IF(parametros_manuales!$H$37="Todos",datos_base!$C$12,0))*parametros_manuales!$M$110)*parametros_manuales!$I$37*parametros_manuales!$J$37</f>
        <v>965.7</v>
      </c>
      <c r="N47" s="4">
        <f t="shared" si="4"/>
        <v>10730</v>
      </c>
      <c r="O47" s="4">
        <f t="shared" si="5"/>
        <v>965.7</v>
      </c>
      <c r="P47" s="27">
        <f>O47/(parametros_manuales!$B$7)</f>
        <v>6.438</v>
      </c>
      <c r="Q47" s="3" t="str">
        <f t="shared" si="6"/>
        <v>Ene</v>
      </c>
    </row>
    <row r="48" ht="14.25" customHeight="1">
      <c r="A48" s="3" t="str">
        <f>parametros_manuales!$B$38</f>
        <v>Carga de polvo</v>
      </c>
      <c r="B48" s="4">
        <f>(parametros_manuales!$D$38*(datos_base!$C$2+IF(parametros_manuales!$H$38="Todos",datos_base!$C$9,0))*parametros_manuales!$B$95+parametros_manuales!$E$38*(datos_base!$C$3+IF(parametros_manuales!$H$38="Todos",datos_base!$C$10,0))*parametros_manuales!$B$100+parametros_manuales!$F$38*(datos_base!$C$4+IF(parametros_manuales!$H$38="Todos",datos_base!$C$11,0))*parametros_manuales!$B$105+parametros_manuales!$G$38*(datos_base!$C$5+IF(parametros_manuales!$H$38="Todos",datos_base!$C$12,0))*parametros_manuales!$B$110)*parametros_manuales!$I$38*parametros_manuales!$J$38</f>
        <v>965.7</v>
      </c>
      <c r="C48" s="4">
        <f>(parametros_manuales!$D$38*(datos_base!$C$2+IF(parametros_manuales!$H$38="Todos",datos_base!$C$9,0))*parametros_manuales!$C$95+parametros_manuales!$E$38*(datos_base!$C$3+IF(parametros_manuales!$H$38="Todos",datos_base!$C$10,0))*parametros_manuales!$C$100+parametros_manuales!$F$38*(datos_base!$C$4+IF(parametros_manuales!$H$38="Todos",datos_base!$C$11,0))*parametros_manuales!$C$105+parametros_manuales!$G$38*(datos_base!$C$5+IF(parametros_manuales!$H$38="Todos",datos_base!$C$12,0))*parametros_manuales!$C$110)*parametros_manuales!$I$38*parametros_manuales!$J$38</f>
        <v>918.37</v>
      </c>
      <c r="D48" s="4">
        <f>(parametros_manuales!$D$38*(datos_base!$C$2+IF(parametros_manuales!$H$38="Todos",datos_base!$C$9,0))*parametros_manuales!$D$95+parametros_manuales!$E$38*(datos_base!$C$3+IF(parametros_manuales!$H$38="Todos",datos_base!$C$10,0))*parametros_manuales!$D$100+parametros_manuales!$F$38*(datos_base!$C$4+IF(parametros_manuales!$H$38="Todos",datos_base!$C$11,0))*parametros_manuales!$D$105+parametros_manuales!$G$38*(datos_base!$C$5+IF(parametros_manuales!$H$38="Todos",datos_base!$C$12,0))*parametros_manuales!$D$110)*parametros_manuales!$I$38*parametros_manuales!$J$38</f>
        <v>882.065</v>
      </c>
      <c r="E48" s="4">
        <f>(parametros_manuales!$D$38*(datos_base!$C$2+IF(parametros_manuales!$H$38="Todos",datos_base!$C$9,0))*parametros_manuales!$E$95+parametros_manuales!$E$38*(datos_base!$C$3+IF(parametros_manuales!$H$38="Todos",datos_base!$C$10,0))*parametros_manuales!$E$100+parametros_manuales!$F$38*(datos_base!$C$4+IF(parametros_manuales!$H$38="Todos",datos_base!$C$11,0))*parametros_manuales!$E$105+parametros_manuales!$G$38*(datos_base!$C$5+IF(parametros_manuales!$H$38="Todos",datos_base!$C$12,0))*parametros_manuales!$E$110)*parametros_manuales!$I$38*parametros_manuales!$J$38</f>
        <v>852.08</v>
      </c>
      <c r="F48" s="4">
        <f>(parametros_manuales!$D$38*(datos_base!$C$2+IF(parametros_manuales!$H$38="Todos",datos_base!$C$9,0))*parametros_manuales!$F$95+parametros_manuales!$E$38*(datos_base!$C$3+IF(parametros_manuales!$H$38="Todos",datos_base!$C$10,0))*parametros_manuales!$F$100+parametros_manuales!$F$38*(datos_base!$C$4+IF(parametros_manuales!$H$38="Todos",datos_base!$C$11,0))*parametros_manuales!$F$105+parametros_manuales!$G$38*(datos_base!$C$5+IF(parametros_manuales!$H$38="Todos",datos_base!$C$12,0))*parametros_manuales!$F$110)*parametros_manuales!$I$38*parametros_manuales!$J$38</f>
        <v>798.43</v>
      </c>
      <c r="G48" s="4">
        <f>(parametros_manuales!$D$38*(datos_base!$C$2+IF(parametros_manuales!$H$38="Todos",datos_base!$C$9,0))*parametros_manuales!$G$95+parametros_manuales!$E$38*(datos_base!$C$3+IF(parametros_manuales!$H$38="Todos",datos_base!$C$10,0))*parametros_manuales!$G$100+parametros_manuales!$F$38*(datos_base!$C$4+IF(parametros_manuales!$H$38="Todos",datos_base!$C$11,0))*parametros_manuales!$G$105+parametros_manuales!$G$38*(datos_base!$C$5+IF(parametros_manuales!$H$38="Todos",datos_base!$C$12,0))*parametros_manuales!$G$110)*parametros_manuales!$I$38*parametros_manuales!$J$38</f>
        <v>774.765</v>
      </c>
      <c r="H48" s="4">
        <f>(parametros_manuales!$D$38*(datos_base!$C$2+IF(parametros_manuales!$H$38="Todos",datos_base!$C$9,0))*parametros_manuales!$H$95+parametros_manuales!$E$38*(datos_base!$C$3+IF(parametros_manuales!$H$38="Todos",datos_base!$C$10,0))*parametros_manuales!$H$100+parametros_manuales!$F$38*(datos_base!$C$4+IF(parametros_manuales!$H$38="Todos",datos_base!$C$11,0))*parametros_manuales!$H$105+parametros_manuales!$G$38*(datos_base!$C$5+IF(parametros_manuales!$H$38="Todos",datos_base!$C$12,0))*parametros_manuales!$H$110)*parametros_manuales!$I$38*parametros_manuales!$J$38</f>
        <v>828.415</v>
      </c>
      <c r="I48" s="4">
        <f>(parametros_manuales!$D$38*(datos_base!$C$2+IF(parametros_manuales!$H$38="Todos",datos_base!$C$9,0))*parametros_manuales!$I$95+parametros_manuales!$E$38*(datos_base!$C$3+IF(parametros_manuales!$H$38="Todos",datos_base!$C$10,0))*parametros_manuales!$I$100+parametros_manuales!$F$38*(datos_base!$C$4+IF(parametros_manuales!$H$38="Todos",datos_base!$C$11,0))*parametros_manuales!$I$105+parametros_manuales!$G$38*(datos_base!$C$5+IF(parametros_manuales!$H$38="Todos",datos_base!$C$12,0))*parametros_manuales!$I$110)*parametros_manuales!$I$38*parametros_manuales!$J$38</f>
        <v>918.37</v>
      </c>
      <c r="J48" s="4">
        <f>(parametros_manuales!$D$38*(datos_base!$C$2+IF(parametros_manuales!$H$38="Todos",datos_base!$C$9,0))*parametros_manuales!$J$95+parametros_manuales!$E$38*(datos_base!$C$3+IF(parametros_manuales!$H$38="Todos",datos_base!$C$10,0))*parametros_manuales!$J$100+parametros_manuales!$F$38*(datos_base!$C$4+IF(parametros_manuales!$H$38="Todos",datos_base!$C$11,0))*parametros_manuales!$J$105+parametros_manuales!$G$38*(datos_base!$C$5+IF(parametros_manuales!$H$38="Todos",datos_base!$C$12,0))*parametros_manuales!$J$110)*parametros_manuales!$I$38*parametros_manuales!$J$38</f>
        <v>918.37</v>
      </c>
      <c r="K48" s="4">
        <f>(parametros_manuales!$D$38*(datos_base!$C$2+IF(parametros_manuales!$H$38="Todos",datos_base!$C$9,0))*parametros_manuales!$K$95+parametros_manuales!$E$38*(datos_base!$C$3+IF(parametros_manuales!$H$38="Todos",datos_base!$C$10,0))*parametros_manuales!$K$100+parametros_manuales!$F$38*(datos_base!$C$4+IF(parametros_manuales!$H$38="Todos",datos_base!$C$11,0))*parametros_manuales!$K$105+parametros_manuales!$G$38*(datos_base!$C$5+IF(parametros_manuales!$H$38="Todos",datos_base!$C$12,0))*parametros_manuales!$K$110)*parametros_manuales!$I$38*parametros_manuales!$J$38</f>
        <v>942.035</v>
      </c>
      <c r="L48" s="4">
        <f>(parametros_manuales!$D$38*(datos_base!$C$2+IF(parametros_manuales!$H$38="Todos",datos_base!$C$9,0))*parametros_manuales!$L$95+parametros_manuales!$E$38*(datos_base!$C$3+IF(parametros_manuales!$H$38="Todos",datos_base!$C$10,0))*parametros_manuales!$L$100+parametros_manuales!$F$38*(datos_base!$C$4+IF(parametros_manuales!$H$38="Todos",datos_base!$C$11,0))*parametros_manuales!$L$105+parametros_manuales!$G$38*(datos_base!$C$5+IF(parametros_manuales!$H$38="Todos",datos_base!$C$12,0))*parametros_manuales!$L$110)*parametros_manuales!$I$38*parametros_manuales!$J$38</f>
        <v>965.7</v>
      </c>
      <c r="M48" s="4">
        <f>(parametros_manuales!$D$38*(datos_base!$C$2+IF(parametros_manuales!$H$38="Todos",datos_base!$C$9,0))*parametros_manuales!$M$95+parametros_manuales!$E$38*(datos_base!$C$3+IF(parametros_manuales!$H$38="Todos",datos_base!$C$10,0))*parametros_manuales!$M$100+parametros_manuales!$F$38*(datos_base!$C$4+IF(parametros_manuales!$H$38="Todos",datos_base!$C$11,0))*parametros_manuales!$M$105+parametros_manuales!$G$38*(datos_base!$C$5+IF(parametros_manuales!$H$38="Todos",datos_base!$C$12,0))*parametros_manuales!$M$110)*parametros_manuales!$I$38*parametros_manuales!$J$38</f>
        <v>965.7</v>
      </c>
      <c r="N48" s="4">
        <f t="shared" si="4"/>
        <v>10730</v>
      </c>
      <c r="O48" s="4">
        <f t="shared" si="5"/>
        <v>965.7</v>
      </c>
      <c r="P48" s="27">
        <f>O48/(parametros_manuales!$B$7)</f>
        <v>6.438</v>
      </c>
      <c r="Q48" s="3" t="str">
        <f t="shared" si="6"/>
        <v>Ene</v>
      </c>
    </row>
    <row r="49" ht="14.25" customHeight="1">
      <c r="A49" s="3" t="str">
        <f>parametros_manuales!$B$39</f>
        <v>Ensamblaje</v>
      </c>
      <c r="B49" s="4">
        <f>(parametros_manuales!$D$39*(datos_base!$C$2+IF(parametros_manuales!$H$39="Todos",datos_base!$C$9,0))*parametros_manuales!$B$95+parametros_manuales!$E$39*(datos_base!$C$3+IF(parametros_manuales!$H$39="Todos",datos_base!$C$10,0))*parametros_manuales!$B$100+parametros_manuales!$F$39*(datos_base!$C$4+IF(parametros_manuales!$H$39="Todos",datos_base!$C$11,0))*parametros_manuales!$B$105+parametros_manuales!$G$39*(datos_base!$C$5+IF(parametros_manuales!$H$39="Todos",datos_base!$C$12,0))*parametros_manuales!$B$110)*parametros_manuales!$I$39*parametros_manuales!$J$39</f>
        <v>965.7</v>
      </c>
      <c r="C49" s="4">
        <f>(parametros_manuales!$D$39*(datos_base!$C$2+IF(parametros_manuales!$H$39="Todos",datos_base!$C$9,0))*parametros_manuales!$C$95+parametros_manuales!$E$39*(datos_base!$C$3+IF(parametros_manuales!$H$39="Todos",datos_base!$C$10,0))*parametros_manuales!$C$100+parametros_manuales!$F$39*(datos_base!$C$4+IF(parametros_manuales!$H$39="Todos",datos_base!$C$11,0))*parametros_manuales!$C$105+parametros_manuales!$G$39*(datos_base!$C$5+IF(parametros_manuales!$H$39="Todos",datos_base!$C$12,0))*parametros_manuales!$C$110)*parametros_manuales!$I$39*parametros_manuales!$J$39</f>
        <v>918.37</v>
      </c>
      <c r="D49" s="4">
        <f>(parametros_manuales!$D$39*(datos_base!$C$2+IF(parametros_manuales!$H$39="Todos",datos_base!$C$9,0))*parametros_manuales!$D$95+parametros_manuales!$E$39*(datos_base!$C$3+IF(parametros_manuales!$H$39="Todos",datos_base!$C$10,0))*parametros_manuales!$D$100+parametros_manuales!$F$39*(datos_base!$C$4+IF(parametros_manuales!$H$39="Todos",datos_base!$C$11,0))*parametros_manuales!$D$105+parametros_manuales!$G$39*(datos_base!$C$5+IF(parametros_manuales!$H$39="Todos",datos_base!$C$12,0))*parametros_manuales!$D$110)*parametros_manuales!$I$39*parametros_manuales!$J$39</f>
        <v>882.065</v>
      </c>
      <c r="E49" s="4">
        <f>(parametros_manuales!$D$39*(datos_base!$C$2+IF(parametros_manuales!$H$39="Todos",datos_base!$C$9,0))*parametros_manuales!$E$95+parametros_manuales!$E$39*(datos_base!$C$3+IF(parametros_manuales!$H$39="Todos",datos_base!$C$10,0))*parametros_manuales!$E$100+parametros_manuales!$F$39*(datos_base!$C$4+IF(parametros_manuales!$H$39="Todos",datos_base!$C$11,0))*parametros_manuales!$E$105+parametros_manuales!$G$39*(datos_base!$C$5+IF(parametros_manuales!$H$39="Todos",datos_base!$C$12,0))*parametros_manuales!$E$110)*parametros_manuales!$I$39*parametros_manuales!$J$39</f>
        <v>852.08</v>
      </c>
      <c r="F49" s="4">
        <f>(parametros_manuales!$D$39*(datos_base!$C$2+IF(parametros_manuales!$H$39="Todos",datos_base!$C$9,0))*parametros_manuales!$F$95+parametros_manuales!$E$39*(datos_base!$C$3+IF(parametros_manuales!$H$39="Todos",datos_base!$C$10,0))*parametros_manuales!$F$100+parametros_manuales!$F$39*(datos_base!$C$4+IF(parametros_manuales!$H$39="Todos",datos_base!$C$11,0))*parametros_manuales!$F$105+parametros_manuales!$G$39*(datos_base!$C$5+IF(parametros_manuales!$H$39="Todos",datos_base!$C$12,0))*parametros_manuales!$F$110)*parametros_manuales!$I$39*parametros_manuales!$J$39</f>
        <v>798.43</v>
      </c>
      <c r="G49" s="4">
        <f>(parametros_manuales!$D$39*(datos_base!$C$2+IF(parametros_manuales!$H$39="Todos",datos_base!$C$9,0))*parametros_manuales!$G$95+parametros_manuales!$E$39*(datos_base!$C$3+IF(parametros_manuales!$H$39="Todos",datos_base!$C$10,0))*parametros_manuales!$G$100+parametros_manuales!$F$39*(datos_base!$C$4+IF(parametros_manuales!$H$39="Todos",datos_base!$C$11,0))*parametros_manuales!$G$105+parametros_manuales!$G$39*(datos_base!$C$5+IF(parametros_manuales!$H$39="Todos",datos_base!$C$12,0))*parametros_manuales!$G$110)*parametros_manuales!$I$39*parametros_manuales!$J$39</f>
        <v>774.765</v>
      </c>
      <c r="H49" s="4">
        <f>(parametros_manuales!$D$39*(datos_base!$C$2+IF(parametros_manuales!$H$39="Todos",datos_base!$C$9,0))*parametros_manuales!$H$95+parametros_manuales!$E$39*(datos_base!$C$3+IF(parametros_manuales!$H$39="Todos",datos_base!$C$10,0))*parametros_manuales!$H$100+parametros_manuales!$F$39*(datos_base!$C$4+IF(parametros_manuales!$H$39="Todos",datos_base!$C$11,0))*parametros_manuales!$H$105+parametros_manuales!$G$39*(datos_base!$C$5+IF(parametros_manuales!$H$39="Todos",datos_base!$C$12,0))*parametros_manuales!$H$110)*parametros_manuales!$I$39*parametros_manuales!$J$39</f>
        <v>828.415</v>
      </c>
      <c r="I49" s="4">
        <f>(parametros_manuales!$D$39*(datos_base!$C$2+IF(parametros_manuales!$H$39="Todos",datos_base!$C$9,0))*parametros_manuales!$I$95+parametros_manuales!$E$39*(datos_base!$C$3+IF(parametros_manuales!$H$39="Todos",datos_base!$C$10,0))*parametros_manuales!$I$100+parametros_manuales!$F$39*(datos_base!$C$4+IF(parametros_manuales!$H$39="Todos",datos_base!$C$11,0))*parametros_manuales!$I$105+parametros_manuales!$G$39*(datos_base!$C$5+IF(parametros_manuales!$H$39="Todos",datos_base!$C$12,0))*parametros_manuales!$I$110)*parametros_manuales!$I$39*parametros_manuales!$J$39</f>
        <v>918.37</v>
      </c>
      <c r="J49" s="4">
        <f>(parametros_manuales!$D$39*(datos_base!$C$2+IF(parametros_manuales!$H$39="Todos",datos_base!$C$9,0))*parametros_manuales!$J$95+parametros_manuales!$E$39*(datos_base!$C$3+IF(parametros_manuales!$H$39="Todos",datos_base!$C$10,0))*parametros_manuales!$J$100+parametros_manuales!$F$39*(datos_base!$C$4+IF(parametros_manuales!$H$39="Todos",datos_base!$C$11,0))*parametros_manuales!$J$105+parametros_manuales!$G$39*(datos_base!$C$5+IF(parametros_manuales!$H$39="Todos",datos_base!$C$12,0))*parametros_manuales!$J$110)*parametros_manuales!$I$39*parametros_manuales!$J$39</f>
        <v>918.37</v>
      </c>
      <c r="K49" s="4">
        <f>(parametros_manuales!$D$39*(datos_base!$C$2+IF(parametros_manuales!$H$39="Todos",datos_base!$C$9,0))*parametros_manuales!$K$95+parametros_manuales!$E$39*(datos_base!$C$3+IF(parametros_manuales!$H$39="Todos",datos_base!$C$10,0))*parametros_manuales!$K$100+parametros_manuales!$F$39*(datos_base!$C$4+IF(parametros_manuales!$H$39="Todos",datos_base!$C$11,0))*parametros_manuales!$K$105+parametros_manuales!$G$39*(datos_base!$C$5+IF(parametros_manuales!$H$39="Todos",datos_base!$C$12,0))*parametros_manuales!$K$110)*parametros_manuales!$I$39*parametros_manuales!$J$39</f>
        <v>942.035</v>
      </c>
      <c r="L49" s="4">
        <f>(parametros_manuales!$D$39*(datos_base!$C$2+IF(parametros_manuales!$H$39="Todos",datos_base!$C$9,0))*parametros_manuales!$L$95+parametros_manuales!$E$39*(datos_base!$C$3+IF(parametros_manuales!$H$39="Todos",datos_base!$C$10,0))*parametros_manuales!$L$100+parametros_manuales!$F$39*(datos_base!$C$4+IF(parametros_manuales!$H$39="Todos",datos_base!$C$11,0))*parametros_manuales!$L$105+parametros_manuales!$G$39*(datos_base!$C$5+IF(parametros_manuales!$H$39="Todos",datos_base!$C$12,0))*parametros_manuales!$L$110)*parametros_manuales!$I$39*parametros_manuales!$J$39</f>
        <v>965.7</v>
      </c>
      <c r="M49" s="4">
        <f>(parametros_manuales!$D$39*(datos_base!$C$2+IF(parametros_manuales!$H$39="Todos",datos_base!$C$9,0))*parametros_manuales!$M$95+parametros_manuales!$E$39*(datos_base!$C$3+IF(parametros_manuales!$H$39="Todos",datos_base!$C$10,0))*parametros_manuales!$M$100+parametros_manuales!$F$39*(datos_base!$C$4+IF(parametros_manuales!$H$39="Todos",datos_base!$C$11,0))*parametros_manuales!$M$105+parametros_manuales!$G$39*(datos_base!$C$5+IF(parametros_manuales!$H$39="Todos",datos_base!$C$12,0))*parametros_manuales!$M$110)*parametros_manuales!$I$39*parametros_manuales!$J$39</f>
        <v>965.7</v>
      </c>
      <c r="N49" s="4">
        <f t="shared" si="4"/>
        <v>10730</v>
      </c>
      <c r="O49" s="4">
        <f t="shared" si="5"/>
        <v>965.7</v>
      </c>
      <c r="P49" s="27">
        <f>O49/(parametros_manuales!$B$7)</f>
        <v>6.438</v>
      </c>
      <c r="Q49" s="3" t="str">
        <f t="shared" si="6"/>
        <v>Ene</v>
      </c>
    </row>
    <row r="50" ht="14.25" customHeight="1">
      <c r="A50" s="3" t="str">
        <f>parametros_manuales!$B$40</f>
        <v>Presurización</v>
      </c>
      <c r="B50" s="4">
        <f>(parametros_manuales!$D$40*(datos_base!$C$2+IF(parametros_manuales!$H$40="Todos",datos_base!$C$9,0))*parametros_manuales!$B$95+parametros_manuales!$E$40*(datos_base!$C$3+IF(parametros_manuales!$H$40="Todos",datos_base!$C$10,0))*parametros_manuales!$B$100+parametros_manuales!$F$40*(datos_base!$C$4+IF(parametros_manuales!$H$40="Todos",datos_base!$C$11,0))*parametros_manuales!$B$105+parametros_manuales!$G$40*(datos_base!$C$5+IF(parametros_manuales!$H$40="Todos",datos_base!$C$12,0))*parametros_manuales!$B$110)*parametros_manuales!$I$40*parametros_manuales!$J$40</f>
        <v>965.7</v>
      </c>
      <c r="C50" s="4">
        <f>(parametros_manuales!$D$40*(datos_base!$C$2+IF(parametros_manuales!$H$40="Todos",datos_base!$C$9,0))*parametros_manuales!$C$95+parametros_manuales!$E$40*(datos_base!$C$3+IF(parametros_manuales!$H$40="Todos",datos_base!$C$10,0))*parametros_manuales!$C$100+parametros_manuales!$F$40*(datos_base!$C$4+IF(parametros_manuales!$H$40="Todos",datos_base!$C$11,0))*parametros_manuales!$C$105+parametros_manuales!$G$40*(datos_base!$C$5+IF(parametros_manuales!$H$40="Todos",datos_base!$C$12,0))*parametros_manuales!$C$110)*parametros_manuales!$I$40*parametros_manuales!$J$40</f>
        <v>918.37</v>
      </c>
      <c r="D50" s="4">
        <f>(parametros_manuales!$D$40*(datos_base!$C$2+IF(parametros_manuales!$H$40="Todos",datos_base!$C$9,0))*parametros_manuales!$D$95+parametros_manuales!$E$40*(datos_base!$C$3+IF(parametros_manuales!$H$40="Todos",datos_base!$C$10,0))*parametros_manuales!$D$100+parametros_manuales!$F$40*(datos_base!$C$4+IF(parametros_manuales!$H$40="Todos",datos_base!$C$11,0))*parametros_manuales!$D$105+parametros_manuales!$G$40*(datos_base!$C$5+IF(parametros_manuales!$H$40="Todos",datos_base!$C$12,0))*parametros_manuales!$D$110)*parametros_manuales!$I$40*parametros_manuales!$J$40</f>
        <v>882.065</v>
      </c>
      <c r="E50" s="4">
        <f>(parametros_manuales!$D$40*(datos_base!$C$2+IF(parametros_manuales!$H$40="Todos",datos_base!$C$9,0))*parametros_manuales!$E$95+parametros_manuales!$E$40*(datos_base!$C$3+IF(parametros_manuales!$H$40="Todos",datos_base!$C$10,0))*parametros_manuales!$E$100+parametros_manuales!$F$40*(datos_base!$C$4+IF(parametros_manuales!$H$40="Todos",datos_base!$C$11,0))*parametros_manuales!$E$105+parametros_manuales!$G$40*(datos_base!$C$5+IF(parametros_manuales!$H$40="Todos",datos_base!$C$12,0))*parametros_manuales!$E$110)*parametros_manuales!$I$40*parametros_manuales!$J$40</f>
        <v>852.08</v>
      </c>
      <c r="F50" s="4">
        <f>(parametros_manuales!$D$40*(datos_base!$C$2+IF(parametros_manuales!$H$40="Todos",datos_base!$C$9,0))*parametros_manuales!$F$95+parametros_manuales!$E$40*(datos_base!$C$3+IF(parametros_manuales!$H$40="Todos",datos_base!$C$10,0))*parametros_manuales!$F$100+parametros_manuales!$F$40*(datos_base!$C$4+IF(parametros_manuales!$H$40="Todos",datos_base!$C$11,0))*parametros_manuales!$F$105+parametros_manuales!$G$40*(datos_base!$C$5+IF(parametros_manuales!$H$40="Todos",datos_base!$C$12,0))*parametros_manuales!$F$110)*parametros_manuales!$I$40*parametros_manuales!$J$40</f>
        <v>798.43</v>
      </c>
      <c r="G50" s="4">
        <f>(parametros_manuales!$D$40*(datos_base!$C$2+IF(parametros_manuales!$H$40="Todos",datos_base!$C$9,0))*parametros_manuales!$G$95+parametros_manuales!$E$40*(datos_base!$C$3+IF(parametros_manuales!$H$40="Todos",datos_base!$C$10,0))*parametros_manuales!$G$100+parametros_manuales!$F$40*(datos_base!$C$4+IF(parametros_manuales!$H$40="Todos",datos_base!$C$11,0))*parametros_manuales!$G$105+parametros_manuales!$G$40*(datos_base!$C$5+IF(parametros_manuales!$H$40="Todos",datos_base!$C$12,0))*parametros_manuales!$G$110)*parametros_manuales!$I$40*parametros_manuales!$J$40</f>
        <v>774.765</v>
      </c>
      <c r="H50" s="4">
        <f>(parametros_manuales!$D$40*(datos_base!$C$2+IF(parametros_manuales!$H$40="Todos",datos_base!$C$9,0))*parametros_manuales!$H$95+parametros_manuales!$E$40*(datos_base!$C$3+IF(parametros_manuales!$H$40="Todos",datos_base!$C$10,0))*parametros_manuales!$H$100+parametros_manuales!$F$40*(datos_base!$C$4+IF(parametros_manuales!$H$40="Todos",datos_base!$C$11,0))*parametros_manuales!$H$105+parametros_manuales!$G$40*(datos_base!$C$5+IF(parametros_manuales!$H$40="Todos",datos_base!$C$12,0))*parametros_manuales!$H$110)*parametros_manuales!$I$40*parametros_manuales!$J$40</f>
        <v>828.415</v>
      </c>
      <c r="I50" s="4">
        <f>(parametros_manuales!$D$40*(datos_base!$C$2+IF(parametros_manuales!$H$40="Todos",datos_base!$C$9,0))*parametros_manuales!$I$95+parametros_manuales!$E$40*(datos_base!$C$3+IF(parametros_manuales!$H$40="Todos",datos_base!$C$10,0))*parametros_manuales!$I$100+parametros_manuales!$F$40*(datos_base!$C$4+IF(parametros_manuales!$H$40="Todos",datos_base!$C$11,0))*parametros_manuales!$I$105+parametros_manuales!$G$40*(datos_base!$C$5+IF(parametros_manuales!$H$40="Todos",datos_base!$C$12,0))*parametros_manuales!$I$110)*parametros_manuales!$I$40*parametros_manuales!$J$40</f>
        <v>918.37</v>
      </c>
      <c r="J50" s="4">
        <f>(parametros_manuales!$D$40*(datos_base!$C$2+IF(parametros_manuales!$H$40="Todos",datos_base!$C$9,0))*parametros_manuales!$J$95+parametros_manuales!$E$40*(datos_base!$C$3+IF(parametros_manuales!$H$40="Todos",datos_base!$C$10,0))*parametros_manuales!$J$100+parametros_manuales!$F$40*(datos_base!$C$4+IF(parametros_manuales!$H$40="Todos",datos_base!$C$11,0))*parametros_manuales!$J$105+parametros_manuales!$G$40*(datos_base!$C$5+IF(parametros_manuales!$H$40="Todos",datos_base!$C$12,0))*parametros_manuales!$J$110)*parametros_manuales!$I$40*parametros_manuales!$J$40</f>
        <v>918.37</v>
      </c>
      <c r="K50" s="4">
        <f>(parametros_manuales!$D$40*(datos_base!$C$2+IF(parametros_manuales!$H$40="Todos",datos_base!$C$9,0))*parametros_manuales!$K$95+parametros_manuales!$E$40*(datos_base!$C$3+IF(parametros_manuales!$H$40="Todos",datos_base!$C$10,0))*parametros_manuales!$K$100+parametros_manuales!$F$40*(datos_base!$C$4+IF(parametros_manuales!$H$40="Todos",datos_base!$C$11,0))*parametros_manuales!$K$105+parametros_manuales!$G$40*(datos_base!$C$5+IF(parametros_manuales!$H$40="Todos",datos_base!$C$12,0))*parametros_manuales!$K$110)*parametros_manuales!$I$40*parametros_manuales!$J$40</f>
        <v>942.035</v>
      </c>
      <c r="L50" s="4">
        <f>(parametros_manuales!$D$40*(datos_base!$C$2+IF(parametros_manuales!$H$40="Todos",datos_base!$C$9,0))*parametros_manuales!$L$95+parametros_manuales!$E$40*(datos_base!$C$3+IF(parametros_manuales!$H$40="Todos",datos_base!$C$10,0))*parametros_manuales!$L$100+parametros_manuales!$F$40*(datos_base!$C$4+IF(parametros_manuales!$H$40="Todos",datos_base!$C$11,0))*parametros_manuales!$L$105+parametros_manuales!$G$40*(datos_base!$C$5+IF(parametros_manuales!$H$40="Todos",datos_base!$C$12,0))*parametros_manuales!$L$110)*parametros_manuales!$I$40*parametros_manuales!$J$40</f>
        <v>965.7</v>
      </c>
      <c r="M50" s="4">
        <f>(parametros_manuales!$D$40*(datos_base!$C$2+IF(parametros_manuales!$H$40="Todos",datos_base!$C$9,0))*parametros_manuales!$M$95+parametros_manuales!$E$40*(datos_base!$C$3+IF(parametros_manuales!$H$40="Todos",datos_base!$C$10,0))*parametros_manuales!$M$100+parametros_manuales!$F$40*(datos_base!$C$4+IF(parametros_manuales!$H$40="Todos",datos_base!$C$11,0))*parametros_manuales!$M$105+parametros_manuales!$G$40*(datos_base!$C$5+IF(parametros_manuales!$H$40="Todos",datos_base!$C$12,0))*parametros_manuales!$M$110)*parametros_manuales!$I$40*parametros_manuales!$J$40</f>
        <v>965.7</v>
      </c>
      <c r="N50" s="4">
        <f t="shared" si="4"/>
        <v>10730</v>
      </c>
      <c r="O50" s="4">
        <f t="shared" si="5"/>
        <v>965.7</v>
      </c>
      <c r="P50" s="27">
        <f>O50/(parametros_manuales!$B$7)</f>
        <v>6.438</v>
      </c>
      <c r="Q50" s="3" t="str">
        <f t="shared" si="6"/>
        <v>Ene</v>
      </c>
    </row>
    <row r="51" ht="14.25" customHeight="1">
      <c r="A51" s="3" t="str">
        <f>parametros_manuales!$B$41</f>
        <v>Control de calidad — Ensayo de pérdidas</v>
      </c>
      <c r="B51" s="4">
        <f>(parametros_manuales!$D$41*(datos_base!$C$2+IF(parametros_manuales!$H$41="Todos",datos_base!$C$9,0))*parametros_manuales!$B$95+parametros_manuales!$E$41*(datos_base!$C$3+IF(parametros_manuales!$H$41="Todos",datos_base!$C$10,0))*parametros_manuales!$B$100+parametros_manuales!$F$41*(datos_base!$C$4+IF(parametros_manuales!$H$41="Todos",datos_base!$C$11,0))*parametros_manuales!$B$105+parametros_manuales!$G$41*(datos_base!$C$5+IF(parametros_manuales!$H$41="Todos",datos_base!$C$12,0))*parametros_manuales!$B$110)*parametros_manuales!$I$41*parametros_manuales!$J$41</f>
        <v>965.7</v>
      </c>
      <c r="C51" s="4">
        <f>(parametros_manuales!$D$41*(datos_base!$C$2+IF(parametros_manuales!$H$41="Todos",datos_base!$C$9,0))*parametros_manuales!$C$95+parametros_manuales!$E$41*(datos_base!$C$3+IF(parametros_manuales!$H$41="Todos",datos_base!$C$10,0))*parametros_manuales!$C$100+parametros_manuales!$F$41*(datos_base!$C$4+IF(parametros_manuales!$H$41="Todos",datos_base!$C$11,0))*parametros_manuales!$C$105+parametros_manuales!$G$41*(datos_base!$C$5+IF(parametros_manuales!$H$41="Todos",datos_base!$C$12,0))*parametros_manuales!$C$110)*parametros_manuales!$I$41*parametros_manuales!$J$41</f>
        <v>918.37</v>
      </c>
      <c r="D51" s="4">
        <f>(parametros_manuales!$D$41*(datos_base!$C$2+IF(parametros_manuales!$H$41="Todos",datos_base!$C$9,0))*parametros_manuales!$D$95+parametros_manuales!$E$41*(datos_base!$C$3+IF(parametros_manuales!$H$41="Todos",datos_base!$C$10,0))*parametros_manuales!$D$100+parametros_manuales!$F$41*(datos_base!$C$4+IF(parametros_manuales!$H$41="Todos",datos_base!$C$11,0))*parametros_manuales!$D$105+parametros_manuales!$G$41*(datos_base!$C$5+IF(parametros_manuales!$H$41="Todos",datos_base!$C$12,0))*parametros_manuales!$D$110)*parametros_manuales!$I$41*parametros_manuales!$J$41</f>
        <v>882.065</v>
      </c>
      <c r="E51" s="4">
        <f>(parametros_manuales!$D$41*(datos_base!$C$2+IF(parametros_manuales!$H$41="Todos",datos_base!$C$9,0))*parametros_manuales!$E$95+parametros_manuales!$E$41*(datos_base!$C$3+IF(parametros_manuales!$H$41="Todos",datos_base!$C$10,0))*parametros_manuales!$E$100+parametros_manuales!$F$41*(datos_base!$C$4+IF(parametros_manuales!$H$41="Todos",datos_base!$C$11,0))*parametros_manuales!$E$105+parametros_manuales!$G$41*(datos_base!$C$5+IF(parametros_manuales!$H$41="Todos",datos_base!$C$12,0))*parametros_manuales!$E$110)*parametros_manuales!$I$41*parametros_manuales!$J$41</f>
        <v>852.08</v>
      </c>
      <c r="F51" s="4">
        <f>(parametros_manuales!$D$41*(datos_base!$C$2+IF(parametros_manuales!$H$41="Todos",datos_base!$C$9,0))*parametros_manuales!$F$95+parametros_manuales!$E$41*(datos_base!$C$3+IF(parametros_manuales!$H$41="Todos",datos_base!$C$10,0))*parametros_manuales!$F$100+parametros_manuales!$F$41*(datos_base!$C$4+IF(parametros_manuales!$H$41="Todos",datos_base!$C$11,0))*parametros_manuales!$F$105+parametros_manuales!$G$41*(datos_base!$C$5+IF(parametros_manuales!$H$41="Todos",datos_base!$C$12,0))*parametros_manuales!$F$110)*parametros_manuales!$I$41*parametros_manuales!$J$41</f>
        <v>798.43</v>
      </c>
      <c r="G51" s="4">
        <f>(parametros_manuales!$D$41*(datos_base!$C$2+IF(parametros_manuales!$H$41="Todos",datos_base!$C$9,0))*parametros_manuales!$G$95+parametros_manuales!$E$41*(datos_base!$C$3+IF(parametros_manuales!$H$41="Todos",datos_base!$C$10,0))*parametros_manuales!$G$100+parametros_manuales!$F$41*(datos_base!$C$4+IF(parametros_manuales!$H$41="Todos",datos_base!$C$11,0))*parametros_manuales!$G$105+parametros_manuales!$G$41*(datos_base!$C$5+IF(parametros_manuales!$H$41="Todos",datos_base!$C$12,0))*parametros_manuales!$G$110)*parametros_manuales!$I$41*parametros_manuales!$J$41</f>
        <v>774.765</v>
      </c>
      <c r="H51" s="4">
        <f>(parametros_manuales!$D$41*(datos_base!$C$2+IF(parametros_manuales!$H$41="Todos",datos_base!$C$9,0))*parametros_manuales!$H$95+parametros_manuales!$E$41*(datos_base!$C$3+IF(parametros_manuales!$H$41="Todos",datos_base!$C$10,0))*parametros_manuales!$H$100+parametros_manuales!$F$41*(datos_base!$C$4+IF(parametros_manuales!$H$41="Todos",datos_base!$C$11,0))*parametros_manuales!$H$105+parametros_manuales!$G$41*(datos_base!$C$5+IF(parametros_manuales!$H$41="Todos",datos_base!$C$12,0))*parametros_manuales!$H$110)*parametros_manuales!$I$41*parametros_manuales!$J$41</f>
        <v>828.415</v>
      </c>
      <c r="I51" s="4">
        <f>(parametros_manuales!$D$41*(datos_base!$C$2+IF(parametros_manuales!$H$41="Todos",datos_base!$C$9,0))*parametros_manuales!$I$95+parametros_manuales!$E$41*(datos_base!$C$3+IF(parametros_manuales!$H$41="Todos",datos_base!$C$10,0))*parametros_manuales!$I$100+parametros_manuales!$F$41*(datos_base!$C$4+IF(parametros_manuales!$H$41="Todos",datos_base!$C$11,0))*parametros_manuales!$I$105+parametros_manuales!$G$41*(datos_base!$C$5+IF(parametros_manuales!$H$41="Todos",datos_base!$C$12,0))*parametros_manuales!$I$110)*parametros_manuales!$I$41*parametros_manuales!$J$41</f>
        <v>918.37</v>
      </c>
      <c r="J51" s="4">
        <f>(parametros_manuales!$D$41*(datos_base!$C$2+IF(parametros_manuales!$H$41="Todos",datos_base!$C$9,0))*parametros_manuales!$J$95+parametros_manuales!$E$41*(datos_base!$C$3+IF(parametros_manuales!$H$41="Todos",datos_base!$C$10,0))*parametros_manuales!$J$100+parametros_manuales!$F$41*(datos_base!$C$4+IF(parametros_manuales!$H$41="Todos",datos_base!$C$11,0))*parametros_manuales!$J$105+parametros_manuales!$G$41*(datos_base!$C$5+IF(parametros_manuales!$H$41="Todos",datos_base!$C$12,0))*parametros_manuales!$J$110)*parametros_manuales!$I$41*parametros_manuales!$J$41</f>
        <v>918.37</v>
      </c>
      <c r="K51" s="4">
        <f>(parametros_manuales!$D$41*(datos_base!$C$2+IF(parametros_manuales!$H$41="Todos",datos_base!$C$9,0))*parametros_manuales!$K$95+parametros_manuales!$E$41*(datos_base!$C$3+IF(parametros_manuales!$H$41="Todos",datos_base!$C$10,0))*parametros_manuales!$K$100+parametros_manuales!$F$41*(datos_base!$C$4+IF(parametros_manuales!$H$41="Todos",datos_base!$C$11,0))*parametros_manuales!$K$105+parametros_manuales!$G$41*(datos_base!$C$5+IF(parametros_manuales!$H$41="Todos",datos_base!$C$12,0))*parametros_manuales!$K$110)*parametros_manuales!$I$41*parametros_manuales!$J$41</f>
        <v>942.035</v>
      </c>
      <c r="L51" s="4">
        <f>(parametros_manuales!$D$41*(datos_base!$C$2+IF(parametros_manuales!$H$41="Todos",datos_base!$C$9,0))*parametros_manuales!$L$95+parametros_manuales!$E$41*(datos_base!$C$3+IF(parametros_manuales!$H$41="Todos",datos_base!$C$10,0))*parametros_manuales!$L$100+parametros_manuales!$F$41*(datos_base!$C$4+IF(parametros_manuales!$H$41="Todos",datos_base!$C$11,0))*parametros_manuales!$L$105+parametros_manuales!$G$41*(datos_base!$C$5+IF(parametros_manuales!$H$41="Todos",datos_base!$C$12,0))*parametros_manuales!$L$110)*parametros_manuales!$I$41*parametros_manuales!$J$41</f>
        <v>965.7</v>
      </c>
      <c r="M51" s="4">
        <f>(parametros_manuales!$D$41*(datos_base!$C$2+IF(parametros_manuales!$H$41="Todos",datos_base!$C$9,0))*parametros_manuales!$M$95+parametros_manuales!$E$41*(datos_base!$C$3+IF(parametros_manuales!$H$41="Todos",datos_base!$C$10,0))*parametros_manuales!$M$100+parametros_manuales!$F$41*(datos_base!$C$4+IF(parametros_manuales!$H$41="Todos",datos_base!$C$11,0))*parametros_manuales!$M$105+parametros_manuales!$G$41*(datos_base!$C$5+IF(parametros_manuales!$H$41="Todos",datos_base!$C$12,0))*parametros_manuales!$M$110)*parametros_manuales!$I$41*parametros_manuales!$J$41</f>
        <v>965.7</v>
      </c>
      <c r="N51" s="4">
        <f t="shared" si="4"/>
        <v>10730</v>
      </c>
      <c r="O51" s="4">
        <f t="shared" si="5"/>
        <v>965.7</v>
      </c>
      <c r="P51" s="27">
        <f>O51/(parametros_manuales!$B$7)</f>
        <v>6.438</v>
      </c>
      <c r="Q51" s="3" t="str">
        <f t="shared" si="6"/>
        <v>Ene</v>
      </c>
    </row>
    <row r="52" ht="14.25" customHeight="1">
      <c r="A52" s="3" t="str">
        <f>parametros_manuales!$B$42</f>
        <v>Etiquetado</v>
      </c>
      <c r="B52" s="4">
        <f>(parametros_manuales!$D$42*(datos_base!$C$2+IF(parametros_manuales!$H$42="Todos",datos_base!$C$9,0))*parametros_manuales!$B$95+parametros_manuales!$E$42*(datos_base!$C$3+IF(parametros_manuales!$H$42="Todos",datos_base!$C$10,0))*parametros_manuales!$B$100+parametros_manuales!$F$42*(datos_base!$C$4+IF(parametros_manuales!$H$42="Todos",datos_base!$C$11,0))*parametros_manuales!$B$105+parametros_manuales!$G$42*(datos_base!$C$5+IF(parametros_manuales!$H$42="Todos",datos_base!$C$12,0))*parametros_manuales!$B$110)*parametros_manuales!$I$42*parametros_manuales!$J$42</f>
        <v>965.7</v>
      </c>
      <c r="C52" s="4">
        <f>(parametros_manuales!$D$42*(datos_base!$C$2+IF(parametros_manuales!$H$42="Todos",datos_base!$C$9,0))*parametros_manuales!$C$95+parametros_manuales!$E$42*(datos_base!$C$3+IF(parametros_manuales!$H$42="Todos",datos_base!$C$10,0))*parametros_manuales!$C$100+parametros_manuales!$F$42*(datos_base!$C$4+IF(parametros_manuales!$H$42="Todos",datos_base!$C$11,0))*parametros_manuales!$C$105+parametros_manuales!$G$42*(datos_base!$C$5+IF(parametros_manuales!$H$42="Todos",datos_base!$C$12,0))*parametros_manuales!$C$110)*parametros_manuales!$I$42*parametros_manuales!$J$42</f>
        <v>918.37</v>
      </c>
      <c r="D52" s="4">
        <f>(parametros_manuales!$D$42*(datos_base!$C$2+IF(parametros_manuales!$H$42="Todos",datos_base!$C$9,0))*parametros_manuales!$D$95+parametros_manuales!$E$42*(datos_base!$C$3+IF(parametros_manuales!$H$42="Todos",datos_base!$C$10,0))*parametros_manuales!$D$100+parametros_manuales!$F$42*(datos_base!$C$4+IF(parametros_manuales!$H$42="Todos",datos_base!$C$11,0))*parametros_manuales!$D$105+parametros_manuales!$G$42*(datos_base!$C$5+IF(parametros_manuales!$H$42="Todos",datos_base!$C$12,0))*parametros_manuales!$D$110)*parametros_manuales!$I$42*parametros_manuales!$J$42</f>
        <v>882.065</v>
      </c>
      <c r="E52" s="4">
        <f>(parametros_manuales!$D$42*(datos_base!$C$2+IF(parametros_manuales!$H$42="Todos",datos_base!$C$9,0))*parametros_manuales!$E$95+parametros_manuales!$E$42*(datos_base!$C$3+IF(parametros_manuales!$H$42="Todos",datos_base!$C$10,0))*parametros_manuales!$E$100+parametros_manuales!$F$42*(datos_base!$C$4+IF(parametros_manuales!$H$42="Todos",datos_base!$C$11,0))*parametros_manuales!$E$105+parametros_manuales!$G$42*(datos_base!$C$5+IF(parametros_manuales!$H$42="Todos",datos_base!$C$12,0))*parametros_manuales!$E$110)*parametros_manuales!$I$42*parametros_manuales!$J$42</f>
        <v>852.08</v>
      </c>
      <c r="F52" s="4">
        <f>(parametros_manuales!$D$42*(datos_base!$C$2+IF(parametros_manuales!$H$42="Todos",datos_base!$C$9,0))*parametros_manuales!$F$95+parametros_manuales!$E$42*(datos_base!$C$3+IF(parametros_manuales!$H$42="Todos",datos_base!$C$10,0))*parametros_manuales!$F$100+parametros_manuales!$F$42*(datos_base!$C$4+IF(parametros_manuales!$H$42="Todos",datos_base!$C$11,0))*parametros_manuales!$F$105+parametros_manuales!$G$42*(datos_base!$C$5+IF(parametros_manuales!$H$42="Todos",datos_base!$C$12,0))*parametros_manuales!$F$110)*parametros_manuales!$I$42*parametros_manuales!$J$42</f>
        <v>798.43</v>
      </c>
      <c r="G52" s="4">
        <f>(parametros_manuales!$D$42*(datos_base!$C$2+IF(parametros_manuales!$H$42="Todos",datos_base!$C$9,0))*parametros_manuales!$G$95+parametros_manuales!$E$42*(datos_base!$C$3+IF(parametros_manuales!$H$42="Todos",datos_base!$C$10,0))*parametros_manuales!$G$100+parametros_manuales!$F$42*(datos_base!$C$4+IF(parametros_manuales!$H$42="Todos",datos_base!$C$11,0))*parametros_manuales!$G$105+parametros_manuales!$G$42*(datos_base!$C$5+IF(parametros_manuales!$H$42="Todos",datos_base!$C$12,0))*parametros_manuales!$G$110)*parametros_manuales!$I$42*parametros_manuales!$J$42</f>
        <v>774.765</v>
      </c>
      <c r="H52" s="4">
        <f>(parametros_manuales!$D$42*(datos_base!$C$2+IF(parametros_manuales!$H$42="Todos",datos_base!$C$9,0))*parametros_manuales!$H$95+parametros_manuales!$E$42*(datos_base!$C$3+IF(parametros_manuales!$H$42="Todos",datos_base!$C$10,0))*parametros_manuales!$H$100+parametros_manuales!$F$42*(datos_base!$C$4+IF(parametros_manuales!$H$42="Todos",datos_base!$C$11,0))*parametros_manuales!$H$105+parametros_manuales!$G$42*(datos_base!$C$5+IF(parametros_manuales!$H$42="Todos",datos_base!$C$12,0))*parametros_manuales!$H$110)*parametros_manuales!$I$42*parametros_manuales!$J$42</f>
        <v>828.415</v>
      </c>
      <c r="I52" s="4">
        <f>(parametros_manuales!$D$42*(datos_base!$C$2+IF(parametros_manuales!$H$42="Todos",datos_base!$C$9,0))*parametros_manuales!$I$95+parametros_manuales!$E$42*(datos_base!$C$3+IF(parametros_manuales!$H$42="Todos",datos_base!$C$10,0))*parametros_manuales!$I$100+parametros_manuales!$F$42*(datos_base!$C$4+IF(parametros_manuales!$H$42="Todos",datos_base!$C$11,0))*parametros_manuales!$I$105+parametros_manuales!$G$42*(datos_base!$C$5+IF(parametros_manuales!$H$42="Todos",datos_base!$C$12,0))*parametros_manuales!$I$110)*parametros_manuales!$I$42*parametros_manuales!$J$42</f>
        <v>918.37</v>
      </c>
      <c r="J52" s="4">
        <f>(parametros_manuales!$D$42*(datos_base!$C$2+IF(parametros_manuales!$H$42="Todos",datos_base!$C$9,0))*parametros_manuales!$J$95+parametros_manuales!$E$42*(datos_base!$C$3+IF(parametros_manuales!$H$42="Todos",datos_base!$C$10,0))*parametros_manuales!$J$100+parametros_manuales!$F$42*(datos_base!$C$4+IF(parametros_manuales!$H$42="Todos",datos_base!$C$11,0))*parametros_manuales!$J$105+parametros_manuales!$G$42*(datos_base!$C$5+IF(parametros_manuales!$H$42="Todos",datos_base!$C$12,0))*parametros_manuales!$J$110)*parametros_manuales!$I$42*parametros_manuales!$J$42</f>
        <v>918.37</v>
      </c>
      <c r="K52" s="4">
        <f>(parametros_manuales!$D$42*(datos_base!$C$2+IF(parametros_manuales!$H$42="Todos",datos_base!$C$9,0))*parametros_manuales!$K$95+parametros_manuales!$E$42*(datos_base!$C$3+IF(parametros_manuales!$H$42="Todos",datos_base!$C$10,0))*parametros_manuales!$K$100+parametros_manuales!$F$42*(datos_base!$C$4+IF(parametros_manuales!$H$42="Todos",datos_base!$C$11,0))*parametros_manuales!$K$105+parametros_manuales!$G$42*(datos_base!$C$5+IF(parametros_manuales!$H$42="Todos",datos_base!$C$12,0))*parametros_manuales!$K$110)*parametros_manuales!$I$42*parametros_manuales!$J$42</f>
        <v>942.035</v>
      </c>
      <c r="L52" s="4">
        <f>(parametros_manuales!$D$42*(datos_base!$C$2+IF(parametros_manuales!$H$42="Todos",datos_base!$C$9,0))*parametros_manuales!$L$95+parametros_manuales!$E$42*(datos_base!$C$3+IF(parametros_manuales!$H$42="Todos",datos_base!$C$10,0))*parametros_manuales!$L$100+parametros_manuales!$F$42*(datos_base!$C$4+IF(parametros_manuales!$H$42="Todos",datos_base!$C$11,0))*parametros_manuales!$L$105+parametros_manuales!$G$42*(datos_base!$C$5+IF(parametros_manuales!$H$42="Todos",datos_base!$C$12,0))*parametros_manuales!$L$110)*parametros_manuales!$I$42*parametros_manuales!$J$42</f>
        <v>965.7</v>
      </c>
      <c r="M52" s="4">
        <f>(parametros_manuales!$D$42*(datos_base!$C$2+IF(parametros_manuales!$H$42="Todos",datos_base!$C$9,0))*parametros_manuales!$M$95+parametros_manuales!$E$42*(datos_base!$C$3+IF(parametros_manuales!$H$42="Todos",datos_base!$C$10,0))*parametros_manuales!$M$100+parametros_manuales!$F$42*(datos_base!$C$4+IF(parametros_manuales!$H$42="Todos",datos_base!$C$11,0))*parametros_manuales!$M$105+parametros_manuales!$G$42*(datos_base!$C$5+IF(parametros_manuales!$H$42="Todos",datos_base!$C$12,0))*parametros_manuales!$M$110)*parametros_manuales!$I$42*parametros_manuales!$J$42</f>
        <v>965.7</v>
      </c>
      <c r="N52" s="4">
        <f t="shared" si="4"/>
        <v>10730</v>
      </c>
      <c r="O52" s="4">
        <f t="shared" si="5"/>
        <v>965.7</v>
      </c>
      <c r="P52" s="27">
        <f>O52/(parametros_manuales!$B$7)</f>
        <v>6.438</v>
      </c>
      <c r="Q52" s="3" t="str">
        <f t="shared" si="6"/>
        <v>Ene</v>
      </c>
    </row>
    <row r="53" ht="14.25" customHeight="1">
      <c r="A53" s="3" t="str">
        <f>parametros_manuales!$B$43</f>
        <v>Embalaje y paletizado</v>
      </c>
      <c r="B53" s="4">
        <f>(parametros_manuales!$D$43*(datos_base!$C$2+IF(parametros_manuales!$H$43="Todos",datos_base!$C$9,0))*parametros_manuales!$B$95+parametros_manuales!$E$43*(datos_base!$C$3+IF(parametros_manuales!$H$43="Todos",datos_base!$C$10,0))*parametros_manuales!$B$100+parametros_manuales!$F$43*(datos_base!$C$4+IF(parametros_manuales!$H$43="Todos",datos_base!$C$11,0))*parametros_manuales!$B$105+parametros_manuales!$G$43*(datos_base!$C$5+IF(parametros_manuales!$H$43="Todos",datos_base!$C$12,0))*parametros_manuales!$B$110)*parametros_manuales!$I$43*parametros_manuales!$J$43</f>
        <v>965.7</v>
      </c>
      <c r="C53" s="4">
        <f>(parametros_manuales!$D$43*(datos_base!$C$2+IF(parametros_manuales!$H$43="Todos",datos_base!$C$9,0))*parametros_manuales!$C$95+parametros_manuales!$E$43*(datos_base!$C$3+IF(parametros_manuales!$H$43="Todos",datos_base!$C$10,0))*parametros_manuales!$C$100+parametros_manuales!$F$43*(datos_base!$C$4+IF(parametros_manuales!$H$43="Todos",datos_base!$C$11,0))*parametros_manuales!$C$105+parametros_manuales!$G$43*(datos_base!$C$5+IF(parametros_manuales!$H$43="Todos",datos_base!$C$12,0))*parametros_manuales!$C$110)*parametros_manuales!$I$43*parametros_manuales!$J$43</f>
        <v>918.37</v>
      </c>
      <c r="D53" s="4">
        <f>(parametros_manuales!$D$43*(datos_base!$C$2+IF(parametros_manuales!$H$43="Todos",datos_base!$C$9,0))*parametros_manuales!$D$95+parametros_manuales!$E$43*(datos_base!$C$3+IF(parametros_manuales!$H$43="Todos",datos_base!$C$10,0))*parametros_manuales!$D$100+parametros_manuales!$F$43*(datos_base!$C$4+IF(parametros_manuales!$H$43="Todos",datos_base!$C$11,0))*parametros_manuales!$D$105+parametros_manuales!$G$43*(datos_base!$C$5+IF(parametros_manuales!$H$43="Todos",datos_base!$C$12,0))*parametros_manuales!$D$110)*parametros_manuales!$I$43*parametros_manuales!$J$43</f>
        <v>882.065</v>
      </c>
      <c r="E53" s="4">
        <f>(parametros_manuales!$D$43*(datos_base!$C$2+IF(parametros_manuales!$H$43="Todos",datos_base!$C$9,0))*parametros_manuales!$E$95+parametros_manuales!$E$43*(datos_base!$C$3+IF(parametros_manuales!$H$43="Todos",datos_base!$C$10,0))*parametros_manuales!$E$100+parametros_manuales!$F$43*(datos_base!$C$4+IF(parametros_manuales!$H$43="Todos",datos_base!$C$11,0))*parametros_manuales!$E$105+parametros_manuales!$G$43*(datos_base!$C$5+IF(parametros_manuales!$H$43="Todos",datos_base!$C$12,0))*parametros_manuales!$E$110)*parametros_manuales!$I$43*parametros_manuales!$J$43</f>
        <v>852.08</v>
      </c>
      <c r="F53" s="4">
        <f>(parametros_manuales!$D$43*(datos_base!$C$2+IF(parametros_manuales!$H$43="Todos",datos_base!$C$9,0))*parametros_manuales!$F$95+parametros_manuales!$E$43*(datos_base!$C$3+IF(parametros_manuales!$H$43="Todos",datos_base!$C$10,0))*parametros_manuales!$F$100+parametros_manuales!$F$43*(datos_base!$C$4+IF(parametros_manuales!$H$43="Todos",datos_base!$C$11,0))*parametros_manuales!$F$105+parametros_manuales!$G$43*(datos_base!$C$5+IF(parametros_manuales!$H$43="Todos",datos_base!$C$12,0))*parametros_manuales!$F$110)*parametros_manuales!$I$43*parametros_manuales!$J$43</f>
        <v>798.43</v>
      </c>
      <c r="G53" s="4">
        <f>(parametros_manuales!$D$43*(datos_base!$C$2+IF(parametros_manuales!$H$43="Todos",datos_base!$C$9,0))*parametros_manuales!$G$95+parametros_manuales!$E$43*(datos_base!$C$3+IF(parametros_manuales!$H$43="Todos",datos_base!$C$10,0))*parametros_manuales!$G$100+parametros_manuales!$F$43*(datos_base!$C$4+IF(parametros_manuales!$H$43="Todos",datos_base!$C$11,0))*parametros_manuales!$G$105+parametros_manuales!$G$43*(datos_base!$C$5+IF(parametros_manuales!$H$43="Todos",datos_base!$C$12,0))*parametros_manuales!$G$110)*parametros_manuales!$I$43*parametros_manuales!$J$43</f>
        <v>774.765</v>
      </c>
      <c r="H53" s="4">
        <f>(parametros_manuales!$D$43*(datos_base!$C$2+IF(parametros_manuales!$H$43="Todos",datos_base!$C$9,0))*parametros_manuales!$H$95+parametros_manuales!$E$43*(datos_base!$C$3+IF(parametros_manuales!$H$43="Todos",datos_base!$C$10,0))*parametros_manuales!$H$100+parametros_manuales!$F$43*(datos_base!$C$4+IF(parametros_manuales!$H$43="Todos",datos_base!$C$11,0))*parametros_manuales!$H$105+parametros_manuales!$G$43*(datos_base!$C$5+IF(parametros_manuales!$H$43="Todos",datos_base!$C$12,0))*parametros_manuales!$H$110)*parametros_manuales!$I$43*parametros_manuales!$J$43</f>
        <v>828.415</v>
      </c>
      <c r="I53" s="4">
        <f>(parametros_manuales!$D$43*(datos_base!$C$2+IF(parametros_manuales!$H$43="Todos",datos_base!$C$9,0))*parametros_manuales!$I$95+parametros_manuales!$E$43*(datos_base!$C$3+IF(parametros_manuales!$H$43="Todos",datos_base!$C$10,0))*parametros_manuales!$I$100+parametros_manuales!$F$43*(datos_base!$C$4+IF(parametros_manuales!$H$43="Todos",datos_base!$C$11,0))*parametros_manuales!$I$105+parametros_manuales!$G$43*(datos_base!$C$5+IF(parametros_manuales!$H$43="Todos",datos_base!$C$12,0))*parametros_manuales!$I$110)*parametros_manuales!$I$43*parametros_manuales!$J$43</f>
        <v>918.37</v>
      </c>
      <c r="J53" s="4">
        <f>(parametros_manuales!$D$43*(datos_base!$C$2+IF(parametros_manuales!$H$43="Todos",datos_base!$C$9,0))*parametros_manuales!$J$95+parametros_manuales!$E$43*(datos_base!$C$3+IF(parametros_manuales!$H$43="Todos",datos_base!$C$10,0))*parametros_manuales!$J$100+parametros_manuales!$F$43*(datos_base!$C$4+IF(parametros_manuales!$H$43="Todos",datos_base!$C$11,0))*parametros_manuales!$J$105+parametros_manuales!$G$43*(datos_base!$C$5+IF(parametros_manuales!$H$43="Todos",datos_base!$C$12,0))*parametros_manuales!$J$110)*parametros_manuales!$I$43*parametros_manuales!$J$43</f>
        <v>918.37</v>
      </c>
      <c r="K53" s="4">
        <f>(parametros_manuales!$D$43*(datos_base!$C$2+IF(parametros_manuales!$H$43="Todos",datos_base!$C$9,0))*parametros_manuales!$K$95+parametros_manuales!$E$43*(datos_base!$C$3+IF(parametros_manuales!$H$43="Todos",datos_base!$C$10,0))*parametros_manuales!$K$100+parametros_manuales!$F$43*(datos_base!$C$4+IF(parametros_manuales!$H$43="Todos",datos_base!$C$11,0))*parametros_manuales!$K$105+parametros_manuales!$G$43*(datos_base!$C$5+IF(parametros_manuales!$H$43="Todos",datos_base!$C$12,0))*parametros_manuales!$K$110)*parametros_manuales!$I$43*parametros_manuales!$J$43</f>
        <v>942.035</v>
      </c>
      <c r="L53" s="4">
        <f>(parametros_manuales!$D$43*(datos_base!$C$2+IF(parametros_manuales!$H$43="Todos",datos_base!$C$9,0))*parametros_manuales!$L$95+parametros_manuales!$E$43*(datos_base!$C$3+IF(parametros_manuales!$H$43="Todos",datos_base!$C$10,0))*parametros_manuales!$L$100+parametros_manuales!$F$43*(datos_base!$C$4+IF(parametros_manuales!$H$43="Todos",datos_base!$C$11,0))*parametros_manuales!$L$105+parametros_manuales!$G$43*(datos_base!$C$5+IF(parametros_manuales!$H$43="Todos",datos_base!$C$12,0))*parametros_manuales!$L$110)*parametros_manuales!$I$43*parametros_manuales!$J$43</f>
        <v>965.7</v>
      </c>
      <c r="M53" s="4">
        <f>(parametros_manuales!$D$43*(datos_base!$C$2+IF(parametros_manuales!$H$43="Todos",datos_base!$C$9,0))*parametros_manuales!$M$95+parametros_manuales!$E$43*(datos_base!$C$3+IF(parametros_manuales!$H$43="Todos",datos_base!$C$10,0))*parametros_manuales!$M$100+parametros_manuales!$F$43*(datos_base!$C$4+IF(parametros_manuales!$H$43="Todos",datos_base!$C$11,0))*parametros_manuales!$M$105+parametros_manuales!$G$43*(datos_base!$C$5+IF(parametros_manuales!$H$43="Todos",datos_base!$C$12,0))*parametros_manuales!$M$110)*parametros_manuales!$I$43*parametros_manuales!$J$43</f>
        <v>965.7</v>
      </c>
      <c r="N53" s="4">
        <f t="shared" si="4"/>
        <v>10730</v>
      </c>
      <c r="O53" s="4">
        <f t="shared" si="5"/>
        <v>965.7</v>
      </c>
      <c r="P53" s="27">
        <f>O53/(parametros_manuales!$B$7)</f>
        <v>6.438</v>
      </c>
      <c r="Q53" s="3" t="str">
        <f t="shared" si="6"/>
        <v>Ene</v>
      </c>
    </row>
    <row r="54" ht="14.25" customHeight="1"/>
    <row r="55" ht="14.25" customHeight="1">
      <c r="A55" s="1" t="s">
        <v>179</v>
      </c>
      <c r="B55" s="1" t="s">
        <v>5</v>
      </c>
      <c r="C55" s="1" t="s">
        <v>7</v>
      </c>
      <c r="D55" s="1" t="s">
        <v>8</v>
      </c>
      <c r="E55" s="1" t="s">
        <v>9</v>
      </c>
      <c r="F55" s="1" t="s">
        <v>11</v>
      </c>
      <c r="G55" s="1" t="s">
        <v>12</v>
      </c>
      <c r="H55" s="1" t="s">
        <v>14</v>
      </c>
      <c r="I55" s="1" t="s">
        <v>15</v>
      </c>
      <c r="J55" s="1" t="s">
        <v>16</v>
      </c>
      <c r="K55" s="1" t="s">
        <v>18</v>
      </c>
      <c r="L55" s="1" t="s">
        <v>19</v>
      </c>
      <c r="M55" s="1" t="s">
        <v>20</v>
      </c>
      <c r="N55" s="1" t="s">
        <v>21</v>
      </c>
      <c r="O55" s="1" t="s">
        <v>22</v>
      </c>
      <c r="P55" s="1" t="s">
        <v>23</v>
      </c>
      <c r="Q55" s="1" t="s">
        <v>24</v>
      </c>
    </row>
    <row r="56" ht="14.25" customHeight="1">
      <c r="A56" s="3" t="str">
        <f>parametros_manuales!$B$19</f>
        <v>Recepción de materia prima</v>
      </c>
      <c r="B56" s="4">
        <f>(parametros_manuales!$D$19*(datos_base!$D$2+IF(parametros_manuales!$H$19="Todos",datos_base!$D$9,0))*parametros_manuales!$B$95+parametros_manuales!$E$19*(datos_base!$D$3+IF(parametros_manuales!$H$19="Todos",datos_base!$D$10,0))*parametros_manuales!$B$100+parametros_manuales!$F$19*(datos_base!$D$4+IF(parametros_manuales!$H$19="Todos",datos_base!$D$11,0))*parametros_manuales!$B$105+parametros_manuales!$G$19*(datos_base!$D$5+IF(parametros_manuales!$H$19="Todos",datos_base!$D$12,0))*parametros_manuales!$B$110)*parametros_manuales!$I$19*parametros_manuales!$J$19</f>
        <v>2044.53</v>
      </c>
      <c r="C56" s="4">
        <f>(parametros_manuales!$D$19*(datos_base!$D$2+IF(parametros_manuales!$H$19="Todos",datos_base!$D$9,0))*parametros_manuales!$C$95+parametros_manuales!$E$19*(datos_base!$D$3+IF(parametros_manuales!$H$19="Todos",datos_base!$D$10,0))*parametros_manuales!$C$100+parametros_manuales!$F$19*(datos_base!$D$4+IF(parametros_manuales!$H$19="Todos",datos_base!$D$11,0))*parametros_manuales!$C$105+parametros_manuales!$G$19*(datos_base!$D$5+IF(parametros_manuales!$H$19="Todos",datos_base!$D$12,0))*parametros_manuales!$C$110)*parametros_manuales!$I$19*parametros_manuales!$J$19</f>
        <v>1962.5</v>
      </c>
      <c r="D56" s="4">
        <f>(parametros_manuales!$D$19*(datos_base!$D$2+IF(parametros_manuales!$H$19="Todos",datos_base!$D$9,0))*parametros_manuales!$D$95+parametros_manuales!$E$19*(datos_base!$D$3+IF(parametros_manuales!$H$19="Todos",datos_base!$D$10,0))*parametros_manuales!$D$100+parametros_manuales!$F$19*(datos_base!$D$4+IF(parametros_manuales!$H$19="Todos",datos_base!$D$11,0))*parametros_manuales!$D$105+parametros_manuales!$G$19*(datos_base!$D$5+IF(parametros_manuales!$H$19="Todos",datos_base!$D$12,0))*parametros_manuales!$D$110)*parametros_manuales!$I$19*parametros_manuales!$J$19</f>
        <v>1858.375</v>
      </c>
      <c r="E56" s="4">
        <f>(parametros_manuales!$D$19*(datos_base!$D$2+IF(parametros_manuales!$H$19="Todos",datos_base!$D$9,0))*parametros_manuales!$E$95+parametros_manuales!$E$19*(datos_base!$D$3+IF(parametros_manuales!$H$19="Todos",datos_base!$D$10,0))*parametros_manuales!$E$100+parametros_manuales!$F$19*(datos_base!$D$4+IF(parametros_manuales!$H$19="Todos",datos_base!$D$11,0))*parametros_manuales!$E$105+parametros_manuales!$G$19*(datos_base!$D$5+IF(parametros_manuales!$H$19="Todos",datos_base!$D$12,0))*parametros_manuales!$E$110)*parametros_manuales!$I$19*parametros_manuales!$J$19</f>
        <v>1785.805</v>
      </c>
      <c r="F56" s="4">
        <f>(parametros_manuales!$D$19*(datos_base!$D$2+IF(parametros_manuales!$H$19="Todos",datos_base!$D$9,0))*parametros_manuales!$F$95+parametros_manuales!$E$19*(datos_base!$D$3+IF(parametros_manuales!$H$19="Todos",datos_base!$D$10,0))*parametros_manuales!$F$100+parametros_manuales!$F$19*(datos_base!$D$4+IF(parametros_manuales!$H$19="Todos",datos_base!$D$11,0))*parametros_manuales!$F$105+parametros_manuales!$G$19*(datos_base!$D$5+IF(parametros_manuales!$H$19="Todos",datos_base!$D$12,0))*parametros_manuales!$F$110)*parametros_manuales!$I$19*parametros_manuales!$J$19</f>
        <v>1672.22</v>
      </c>
      <c r="G56" s="4">
        <f>(parametros_manuales!$D$19*(datos_base!$D$2+IF(parametros_manuales!$H$19="Todos",datos_base!$D$9,0))*parametros_manuales!$G$95+parametros_manuales!$E$19*(datos_base!$D$3+IF(parametros_manuales!$H$19="Todos",datos_base!$D$10,0))*parametros_manuales!$G$100+parametros_manuales!$F$19*(datos_base!$D$4+IF(parametros_manuales!$H$19="Todos",datos_base!$D$11,0))*parametros_manuales!$G$105+parametros_manuales!$G$19*(datos_base!$D$5+IF(parametros_manuales!$H$19="Todos",datos_base!$D$12,0))*parametros_manuales!$G$110)*parametros_manuales!$I$19*parametros_manuales!$J$19</f>
        <v>1631.205</v>
      </c>
      <c r="H56" s="4">
        <f>(parametros_manuales!$D$19*(datos_base!$D$2+IF(parametros_manuales!$H$19="Todos",datos_base!$D$9,0))*parametros_manuales!$H$95+parametros_manuales!$E$19*(datos_base!$D$3+IF(parametros_manuales!$H$19="Todos",datos_base!$D$10,0))*parametros_manuales!$H$100+parametros_manuales!$F$19*(datos_base!$D$4+IF(parametros_manuales!$H$19="Todos",datos_base!$D$11,0))*parametros_manuales!$H$105+parametros_manuales!$G$19*(datos_base!$D$5+IF(parametros_manuales!$H$19="Todos",datos_base!$D$12,0))*parametros_manuales!$H$110)*parametros_manuales!$I$19*parametros_manuales!$J$19</f>
        <v>1744.79</v>
      </c>
      <c r="I56" s="4">
        <f>(parametros_manuales!$D$19*(datos_base!$D$2+IF(parametros_manuales!$H$19="Todos",datos_base!$D$9,0))*parametros_manuales!$I$95+parametros_manuales!$E$19*(datos_base!$D$3+IF(parametros_manuales!$H$19="Todos",datos_base!$D$10,0))*parametros_manuales!$I$100+parametros_manuales!$F$19*(datos_base!$D$4+IF(parametros_manuales!$H$19="Todos",datos_base!$D$11,0))*parametros_manuales!$I$105+parametros_manuales!$G$19*(datos_base!$D$5+IF(parametros_manuales!$H$19="Todos",datos_base!$D$12,0))*parametros_manuales!$I$110)*parametros_manuales!$I$19*parametros_manuales!$J$19</f>
        <v>1962.5</v>
      </c>
      <c r="J56" s="4">
        <f>(parametros_manuales!$D$19*(datos_base!$D$2+IF(parametros_manuales!$H$19="Todos",datos_base!$D$9,0))*parametros_manuales!$J$95+parametros_manuales!$E$19*(datos_base!$D$3+IF(parametros_manuales!$H$19="Todos",datos_base!$D$10,0))*parametros_manuales!$J$100+parametros_manuales!$F$19*(datos_base!$D$4+IF(parametros_manuales!$H$19="Todos",datos_base!$D$11,0))*parametros_manuales!$J$105+parametros_manuales!$G$19*(datos_base!$D$5+IF(parametros_manuales!$H$19="Todos",datos_base!$D$12,0))*parametros_manuales!$J$110)*parametros_manuales!$I$19*parametros_manuales!$J$19</f>
        <v>1962.5</v>
      </c>
      <c r="K56" s="4">
        <f>(parametros_manuales!$D$19*(datos_base!$D$2+IF(parametros_manuales!$H$19="Todos",datos_base!$D$9,0))*parametros_manuales!$K$95+parametros_manuales!$E$19*(datos_base!$D$3+IF(parametros_manuales!$H$19="Todos",datos_base!$D$10,0))*parametros_manuales!$K$100+parametros_manuales!$F$19*(datos_base!$D$4+IF(parametros_manuales!$H$19="Todos",datos_base!$D$11,0))*parametros_manuales!$K$105+parametros_manuales!$G$19*(datos_base!$D$5+IF(parametros_manuales!$H$19="Todos",datos_base!$D$12,0))*parametros_manuales!$K$110)*parametros_manuales!$I$19*parametros_manuales!$J$19</f>
        <v>2003.515</v>
      </c>
      <c r="L56" s="4">
        <f>(parametros_manuales!$D$19*(datos_base!$D$2+IF(parametros_manuales!$H$19="Todos",datos_base!$D$9,0))*parametros_manuales!$L$95+parametros_manuales!$E$19*(datos_base!$D$3+IF(parametros_manuales!$H$19="Todos",datos_base!$D$10,0))*parametros_manuales!$L$100+parametros_manuales!$F$19*(datos_base!$D$4+IF(parametros_manuales!$H$19="Todos",datos_base!$D$11,0))*parametros_manuales!$L$105+parametros_manuales!$G$19*(datos_base!$D$5+IF(parametros_manuales!$H$19="Todos",datos_base!$D$12,0))*parametros_manuales!$L$110)*parametros_manuales!$I$19*parametros_manuales!$J$19</f>
        <v>2044.53</v>
      </c>
      <c r="M56" s="4">
        <f>(parametros_manuales!$D$19*(datos_base!$D$2+IF(parametros_manuales!$H$19="Todos",datos_base!$D$9,0))*parametros_manuales!$M$95+parametros_manuales!$E$19*(datos_base!$D$3+IF(parametros_manuales!$H$19="Todos",datos_base!$D$10,0))*parametros_manuales!$M$100+parametros_manuales!$F$19*(datos_base!$D$4+IF(parametros_manuales!$H$19="Todos",datos_base!$D$11,0))*parametros_manuales!$M$105+parametros_manuales!$G$19*(datos_base!$D$5+IF(parametros_manuales!$H$19="Todos",datos_base!$D$12,0))*parametros_manuales!$M$110)*parametros_manuales!$I$19*parametros_manuales!$J$19</f>
        <v>2044.53</v>
      </c>
      <c r="N56" s="4">
        <f t="shared" ref="N56:N80" si="7">SUM(B56:M56)</f>
        <v>22717</v>
      </c>
      <c r="O56" s="4">
        <f t="shared" ref="O56:O80" si="8">MAX(B56:M56)</f>
        <v>2044.53</v>
      </c>
      <c r="P56" s="27">
        <f>O56/(parametros_manuales!$B$7)</f>
        <v>13.6302</v>
      </c>
      <c r="Q56" s="3" t="str">
        <f t="shared" ref="Q56:Q80" si="9">IF(O56=0,"-",INDEX($B$55:$M$55,MATCH(O56,B56:M56,0)))</f>
        <v>Ene</v>
      </c>
    </row>
    <row r="57" ht="14.25" customHeight="1">
      <c r="A57" s="3" t="str">
        <f>parametros_manuales!$B$20</f>
        <v>Corte de chapa (guillotina) — 2,5 a 10 kg</v>
      </c>
      <c r="B57" s="4">
        <f>(parametros_manuales!$D$20*(datos_base!$D$2+IF(parametros_manuales!$H$20="Todos",datos_base!$D$9,0))*parametros_manuales!$B$95+parametros_manuales!$E$20*(datos_base!$D$3+IF(parametros_manuales!$H$20="Todos",datos_base!$D$10,0))*parametros_manuales!$B$100+parametros_manuales!$F$20*(datos_base!$D$4+IF(parametros_manuales!$H$20="Todos",datos_base!$D$11,0))*parametros_manuales!$B$105+parametros_manuales!$G$20*(datos_base!$D$5+IF(parametros_manuales!$H$20="Todos",datos_base!$D$12,0))*parametros_manuales!$B$110)*parametros_manuales!$I$20*parametros_manuales!$J$20</f>
        <v>738.27</v>
      </c>
      <c r="C57" s="4">
        <f>(parametros_manuales!$D$20*(datos_base!$D$2+IF(parametros_manuales!$H$20="Todos",datos_base!$D$9,0))*parametros_manuales!$C$95+parametros_manuales!$E$20*(datos_base!$D$3+IF(parametros_manuales!$H$20="Todos",datos_base!$D$10,0))*parametros_manuales!$C$100+parametros_manuales!$F$20*(datos_base!$D$4+IF(parametros_manuales!$H$20="Todos",datos_base!$D$11,0))*parametros_manuales!$C$105+parametros_manuales!$G$20*(datos_base!$D$5+IF(parametros_manuales!$H$20="Todos",datos_base!$D$12,0))*parametros_manuales!$C$110)*parametros_manuales!$I$20*parametros_manuales!$J$20</f>
        <v>656.24</v>
      </c>
      <c r="D57" s="4">
        <f>(parametros_manuales!$D$20*(datos_base!$D$2+IF(parametros_manuales!$H$20="Todos",datos_base!$D$9,0))*parametros_manuales!$D$95+parametros_manuales!$E$20*(datos_base!$D$3+IF(parametros_manuales!$H$20="Todos",datos_base!$D$10,0))*parametros_manuales!$D$100+parametros_manuales!$F$20*(datos_base!$D$4+IF(parametros_manuales!$H$20="Todos",datos_base!$D$11,0))*parametros_manuales!$D$105+parametros_manuales!$G$20*(datos_base!$D$5+IF(parametros_manuales!$H$20="Todos",datos_base!$D$12,0))*parametros_manuales!$D$110)*parametros_manuales!$I$20*parametros_manuales!$J$20</f>
        <v>697.255</v>
      </c>
      <c r="E57" s="4">
        <f>(parametros_manuales!$D$20*(datos_base!$D$2+IF(parametros_manuales!$H$20="Todos",datos_base!$D$9,0))*parametros_manuales!$E$95+parametros_manuales!$E$20*(datos_base!$D$3+IF(parametros_manuales!$H$20="Todos",datos_base!$D$10,0))*parametros_manuales!$E$100+parametros_manuales!$F$20*(datos_base!$D$4+IF(parametros_manuales!$H$20="Todos",datos_base!$D$11,0))*parametros_manuales!$E$105+parametros_manuales!$G$20*(datos_base!$D$5+IF(parametros_manuales!$H$20="Todos",datos_base!$D$12,0))*parametros_manuales!$E$110)*parametros_manuales!$I$20*parametros_manuales!$J$20</f>
        <v>697.255</v>
      </c>
      <c r="F57" s="4">
        <f>(parametros_manuales!$D$20*(datos_base!$D$2+IF(parametros_manuales!$H$20="Todos",datos_base!$D$9,0))*parametros_manuales!$F$95+parametros_manuales!$E$20*(datos_base!$D$3+IF(parametros_manuales!$H$20="Todos",datos_base!$D$10,0))*parametros_manuales!$F$100+parametros_manuales!$F$20*(datos_base!$D$4+IF(parametros_manuales!$H$20="Todos",datos_base!$D$11,0))*parametros_manuales!$F$105+parametros_manuales!$G$20*(datos_base!$D$5+IF(parametros_manuales!$H$20="Todos",datos_base!$D$12,0))*parametros_manuales!$F$110)*parametros_manuales!$I$20*parametros_manuales!$J$20</f>
        <v>656.24</v>
      </c>
      <c r="G57" s="4">
        <f>(parametros_manuales!$D$20*(datos_base!$D$2+IF(parametros_manuales!$H$20="Todos",datos_base!$D$9,0))*parametros_manuales!$G$95+parametros_manuales!$E$20*(datos_base!$D$3+IF(parametros_manuales!$H$20="Todos",datos_base!$D$10,0))*parametros_manuales!$G$100+parametros_manuales!$F$20*(datos_base!$D$4+IF(parametros_manuales!$H$20="Todos",datos_base!$D$11,0))*parametros_manuales!$G$105+parametros_manuales!$G$20*(datos_base!$D$5+IF(parametros_manuales!$H$20="Todos",datos_base!$D$12,0))*parametros_manuales!$G$110)*parametros_manuales!$I$20*parametros_manuales!$J$20</f>
        <v>615.225</v>
      </c>
      <c r="H57" s="4">
        <f>(parametros_manuales!$D$20*(datos_base!$D$2+IF(parametros_manuales!$H$20="Todos",datos_base!$D$9,0))*parametros_manuales!$H$95+parametros_manuales!$E$20*(datos_base!$D$3+IF(parametros_manuales!$H$20="Todos",datos_base!$D$10,0))*parametros_manuales!$H$100+parametros_manuales!$F$20*(datos_base!$D$4+IF(parametros_manuales!$H$20="Todos",datos_base!$D$11,0))*parametros_manuales!$H$105+parametros_manuales!$G$20*(datos_base!$D$5+IF(parametros_manuales!$H$20="Todos",datos_base!$D$12,0))*parametros_manuales!$H$110)*parametros_manuales!$I$20*parametros_manuales!$J$20</f>
        <v>656.24</v>
      </c>
      <c r="I57" s="4">
        <f>(parametros_manuales!$D$20*(datos_base!$D$2+IF(parametros_manuales!$H$20="Todos",datos_base!$D$9,0))*parametros_manuales!$I$95+parametros_manuales!$E$20*(datos_base!$D$3+IF(parametros_manuales!$H$20="Todos",datos_base!$D$10,0))*parametros_manuales!$I$100+parametros_manuales!$F$20*(datos_base!$D$4+IF(parametros_manuales!$H$20="Todos",datos_base!$D$11,0))*parametros_manuales!$I$105+parametros_manuales!$G$20*(datos_base!$D$5+IF(parametros_manuales!$H$20="Todos",datos_base!$D$12,0))*parametros_manuales!$I$110)*parametros_manuales!$I$20*parametros_manuales!$J$20</f>
        <v>656.24</v>
      </c>
      <c r="J57" s="4">
        <f>(parametros_manuales!$D$20*(datos_base!$D$2+IF(parametros_manuales!$H$20="Todos",datos_base!$D$9,0))*parametros_manuales!$J$95+parametros_manuales!$E$20*(datos_base!$D$3+IF(parametros_manuales!$H$20="Todos",datos_base!$D$10,0))*parametros_manuales!$J$100+parametros_manuales!$F$20*(datos_base!$D$4+IF(parametros_manuales!$H$20="Todos",datos_base!$D$11,0))*parametros_manuales!$J$105+parametros_manuales!$G$20*(datos_base!$D$5+IF(parametros_manuales!$H$20="Todos",datos_base!$D$12,0))*parametros_manuales!$J$110)*parametros_manuales!$I$20*parametros_manuales!$J$20</f>
        <v>656.24</v>
      </c>
      <c r="K57" s="4">
        <f>(parametros_manuales!$D$20*(datos_base!$D$2+IF(parametros_manuales!$H$20="Todos",datos_base!$D$9,0))*parametros_manuales!$K$95+parametros_manuales!$E$20*(datos_base!$D$3+IF(parametros_manuales!$H$20="Todos",datos_base!$D$10,0))*parametros_manuales!$K$100+parametros_manuales!$F$20*(datos_base!$D$4+IF(parametros_manuales!$H$20="Todos",datos_base!$D$11,0))*parametros_manuales!$K$105+parametros_manuales!$G$20*(datos_base!$D$5+IF(parametros_manuales!$H$20="Todos",datos_base!$D$12,0))*parametros_manuales!$K$110)*parametros_manuales!$I$20*parametros_manuales!$J$20</f>
        <v>697.255</v>
      </c>
      <c r="L57" s="4">
        <f>(parametros_manuales!$D$20*(datos_base!$D$2+IF(parametros_manuales!$H$20="Todos",datos_base!$D$9,0))*parametros_manuales!$L$95+parametros_manuales!$E$20*(datos_base!$D$3+IF(parametros_manuales!$H$20="Todos",datos_base!$D$10,0))*parametros_manuales!$L$100+parametros_manuales!$F$20*(datos_base!$D$4+IF(parametros_manuales!$H$20="Todos",datos_base!$D$11,0))*parametros_manuales!$L$105+parametros_manuales!$G$20*(datos_base!$D$5+IF(parametros_manuales!$H$20="Todos",datos_base!$D$12,0))*parametros_manuales!$L$110)*parametros_manuales!$I$20*parametros_manuales!$J$20</f>
        <v>738.27</v>
      </c>
      <c r="M57" s="4">
        <f>(parametros_manuales!$D$20*(datos_base!$D$2+IF(parametros_manuales!$H$20="Todos",datos_base!$D$9,0))*parametros_manuales!$M$95+parametros_manuales!$E$20*(datos_base!$D$3+IF(parametros_manuales!$H$20="Todos",datos_base!$D$10,0))*parametros_manuales!$M$100+parametros_manuales!$F$20*(datos_base!$D$4+IF(parametros_manuales!$H$20="Todos",datos_base!$D$11,0))*parametros_manuales!$M$105+parametros_manuales!$G$20*(datos_base!$D$5+IF(parametros_manuales!$H$20="Todos",datos_base!$D$12,0))*parametros_manuales!$M$110)*parametros_manuales!$I$20*parametros_manuales!$J$20</f>
        <v>738.27</v>
      </c>
      <c r="N57" s="4">
        <f t="shared" si="7"/>
        <v>8203</v>
      </c>
      <c r="O57" s="4">
        <f t="shared" si="8"/>
        <v>738.27</v>
      </c>
      <c r="P57" s="27">
        <f>O57/(parametros_manuales!$B$7)</f>
        <v>4.9218</v>
      </c>
      <c r="Q57" s="3" t="str">
        <f t="shared" si="9"/>
        <v>Ene</v>
      </c>
    </row>
    <row r="58" ht="14.25" customHeight="1">
      <c r="A58" s="3" t="str">
        <f>parametros_manuales!$B$21</f>
        <v>Corte de tubo — 1 kg</v>
      </c>
      <c r="B58" s="4">
        <f>(parametros_manuales!$D$21*(datos_base!$D$2+IF(parametros_manuales!$H$21="Todos",datos_base!$D$9,0))*parametros_manuales!$B$95+parametros_manuales!$E$21*(datos_base!$D$3+IF(parametros_manuales!$H$21="Todos",datos_base!$D$10,0))*parametros_manuales!$B$100+parametros_manuales!$F$21*(datos_base!$D$4+IF(parametros_manuales!$H$21="Todos",datos_base!$D$11,0))*parametros_manuales!$B$105+parametros_manuales!$G$21*(datos_base!$D$5+IF(parametros_manuales!$H$21="Todos",datos_base!$D$12,0))*parametros_manuales!$B$110)*parametros_manuales!$I$21*parametros_manuales!$J$21</f>
        <v>1306.26</v>
      </c>
      <c r="C58" s="4">
        <f>(parametros_manuales!$D$21*(datos_base!$D$2+IF(parametros_manuales!$H$21="Todos",datos_base!$D$9,0))*parametros_manuales!$C$95+parametros_manuales!$E$21*(datos_base!$D$3+IF(parametros_manuales!$H$21="Todos",datos_base!$D$10,0))*parametros_manuales!$C$100+parametros_manuales!$F$21*(datos_base!$D$4+IF(parametros_manuales!$H$21="Todos",datos_base!$D$11,0))*parametros_manuales!$C$105+parametros_manuales!$G$21*(datos_base!$D$5+IF(parametros_manuales!$H$21="Todos",datos_base!$D$12,0))*parametros_manuales!$C$110)*parametros_manuales!$I$21*parametros_manuales!$J$21</f>
        <v>1306.26</v>
      </c>
      <c r="D58" s="4">
        <f>(parametros_manuales!$D$21*(datos_base!$D$2+IF(parametros_manuales!$H$21="Todos",datos_base!$D$9,0))*parametros_manuales!$D$95+parametros_manuales!$E$21*(datos_base!$D$3+IF(parametros_manuales!$H$21="Todos",datos_base!$D$10,0))*parametros_manuales!$D$100+parametros_manuales!$F$21*(datos_base!$D$4+IF(parametros_manuales!$H$21="Todos",datos_base!$D$11,0))*parametros_manuales!$D$105+parametros_manuales!$G$21*(datos_base!$D$5+IF(parametros_manuales!$H$21="Todos",datos_base!$D$12,0))*parametros_manuales!$D$110)*parametros_manuales!$I$21*parametros_manuales!$J$21</f>
        <v>1161.12</v>
      </c>
      <c r="E58" s="4">
        <f>(parametros_manuales!$D$21*(datos_base!$D$2+IF(parametros_manuales!$H$21="Todos",datos_base!$D$9,0))*parametros_manuales!$E$95+parametros_manuales!$E$21*(datos_base!$D$3+IF(parametros_manuales!$H$21="Todos",datos_base!$D$10,0))*parametros_manuales!$E$100+parametros_manuales!$F$21*(datos_base!$D$4+IF(parametros_manuales!$H$21="Todos",datos_base!$D$11,0))*parametros_manuales!$E$105+parametros_manuales!$G$21*(datos_base!$D$5+IF(parametros_manuales!$H$21="Todos",datos_base!$D$12,0))*parametros_manuales!$E$110)*parametros_manuales!$I$21*parametros_manuales!$J$21</f>
        <v>1088.55</v>
      </c>
      <c r="F58" s="4">
        <f>(parametros_manuales!$D$21*(datos_base!$D$2+IF(parametros_manuales!$H$21="Todos",datos_base!$D$9,0))*parametros_manuales!$F$95+parametros_manuales!$E$21*(datos_base!$D$3+IF(parametros_manuales!$H$21="Todos",datos_base!$D$10,0))*parametros_manuales!$F$100+parametros_manuales!$F$21*(datos_base!$D$4+IF(parametros_manuales!$H$21="Todos",datos_base!$D$11,0))*parametros_manuales!$F$105+parametros_manuales!$G$21*(datos_base!$D$5+IF(parametros_manuales!$H$21="Todos",datos_base!$D$12,0))*parametros_manuales!$F$110)*parametros_manuales!$I$21*parametros_manuales!$J$21</f>
        <v>1015.98</v>
      </c>
      <c r="G58" s="4">
        <f>(parametros_manuales!$D$21*(datos_base!$D$2+IF(parametros_manuales!$H$21="Todos",datos_base!$D$9,0))*parametros_manuales!$G$95+parametros_manuales!$E$21*(datos_base!$D$3+IF(parametros_manuales!$H$21="Todos",datos_base!$D$10,0))*parametros_manuales!$G$100+parametros_manuales!$F$21*(datos_base!$D$4+IF(parametros_manuales!$H$21="Todos",datos_base!$D$11,0))*parametros_manuales!$G$105+parametros_manuales!$G$21*(datos_base!$D$5+IF(parametros_manuales!$H$21="Todos",datos_base!$D$12,0))*parametros_manuales!$G$110)*parametros_manuales!$I$21*parametros_manuales!$J$21</f>
        <v>1015.98</v>
      </c>
      <c r="H58" s="4">
        <f>(parametros_manuales!$D$21*(datos_base!$D$2+IF(parametros_manuales!$H$21="Todos",datos_base!$D$9,0))*parametros_manuales!$H$95+parametros_manuales!$E$21*(datos_base!$D$3+IF(parametros_manuales!$H$21="Todos",datos_base!$D$10,0))*parametros_manuales!$H$100+parametros_manuales!$F$21*(datos_base!$D$4+IF(parametros_manuales!$H$21="Todos",datos_base!$D$11,0))*parametros_manuales!$H$105+parametros_manuales!$G$21*(datos_base!$D$5+IF(parametros_manuales!$H$21="Todos",datos_base!$D$12,0))*parametros_manuales!$H$110)*parametros_manuales!$I$21*parametros_manuales!$J$21</f>
        <v>1088.55</v>
      </c>
      <c r="I58" s="4">
        <f>(parametros_manuales!$D$21*(datos_base!$D$2+IF(parametros_manuales!$H$21="Todos",datos_base!$D$9,0))*parametros_manuales!$I$95+parametros_manuales!$E$21*(datos_base!$D$3+IF(parametros_manuales!$H$21="Todos",datos_base!$D$10,0))*parametros_manuales!$I$100+parametros_manuales!$F$21*(datos_base!$D$4+IF(parametros_manuales!$H$21="Todos",datos_base!$D$11,0))*parametros_manuales!$I$105+parametros_manuales!$G$21*(datos_base!$D$5+IF(parametros_manuales!$H$21="Todos",datos_base!$D$12,0))*parametros_manuales!$I$110)*parametros_manuales!$I$21*parametros_manuales!$J$21</f>
        <v>1306.26</v>
      </c>
      <c r="J58" s="4">
        <f>(parametros_manuales!$D$21*(datos_base!$D$2+IF(parametros_manuales!$H$21="Todos",datos_base!$D$9,0))*parametros_manuales!$J$95+parametros_manuales!$E$21*(datos_base!$D$3+IF(parametros_manuales!$H$21="Todos",datos_base!$D$10,0))*parametros_manuales!$J$100+parametros_manuales!$F$21*(datos_base!$D$4+IF(parametros_manuales!$H$21="Todos",datos_base!$D$11,0))*parametros_manuales!$J$105+parametros_manuales!$G$21*(datos_base!$D$5+IF(parametros_manuales!$H$21="Todos",datos_base!$D$12,0))*parametros_manuales!$J$110)*parametros_manuales!$I$21*parametros_manuales!$J$21</f>
        <v>1306.26</v>
      </c>
      <c r="K58" s="4">
        <f>(parametros_manuales!$D$21*(datos_base!$D$2+IF(parametros_manuales!$H$21="Todos",datos_base!$D$9,0))*parametros_manuales!$K$95+parametros_manuales!$E$21*(datos_base!$D$3+IF(parametros_manuales!$H$21="Todos",datos_base!$D$10,0))*parametros_manuales!$K$100+parametros_manuales!$F$21*(datos_base!$D$4+IF(parametros_manuales!$H$21="Todos",datos_base!$D$11,0))*parametros_manuales!$K$105+parametros_manuales!$G$21*(datos_base!$D$5+IF(parametros_manuales!$H$21="Todos",datos_base!$D$12,0))*parametros_manuales!$K$110)*parametros_manuales!$I$21*parametros_manuales!$J$21</f>
        <v>1306.26</v>
      </c>
      <c r="L58" s="4">
        <f>(parametros_manuales!$D$21*(datos_base!$D$2+IF(parametros_manuales!$H$21="Todos",datos_base!$D$9,0))*parametros_manuales!$L$95+parametros_manuales!$E$21*(datos_base!$D$3+IF(parametros_manuales!$H$21="Todos",datos_base!$D$10,0))*parametros_manuales!$L$100+parametros_manuales!$F$21*(datos_base!$D$4+IF(parametros_manuales!$H$21="Todos",datos_base!$D$11,0))*parametros_manuales!$L$105+parametros_manuales!$G$21*(datos_base!$D$5+IF(parametros_manuales!$H$21="Todos",datos_base!$D$12,0))*parametros_manuales!$L$110)*parametros_manuales!$I$21*parametros_manuales!$J$21</f>
        <v>1306.26</v>
      </c>
      <c r="M58" s="4">
        <f>(parametros_manuales!$D$21*(datos_base!$D$2+IF(parametros_manuales!$H$21="Todos",datos_base!$D$9,0))*parametros_manuales!$M$95+parametros_manuales!$E$21*(datos_base!$D$3+IF(parametros_manuales!$H$21="Todos",datos_base!$D$10,0))*parametros_manuales!$M$100+parametros_manuales!$F$21*(datos_base!$D$4+IF(parametros_manuales!$H$21="Todos",datos_base!$D$11,0))*parametros_manuales!$M$105+parametros_manuales!$G$21*(datos_base!$D$5+IF(parametros_manuales!$H$21="Todos",datos_base!$D$12,0))*parametros_manuales!$M$110)*parametros_manuales!$I$21*parametros_manuales!$J$21</f>
        <v>1306.26</v>
      </c>
      <c r="N58" s="4">
        <f t="shared" si="7"/>
        <v>14514</v>
      </c>
      <c r="O58" s="4">
        <f t="shared" si="8"/>
        <v>1306.26</v>
      </c>
      <c r="P58" s="27">
        <f>O58/(parametros_manuales!$B$7)</f>
        <v>8.7084</v>
      </c>
      <c r="Q58" s="3" t="str">
        <f t="shared" si="9"/>
        <v>Ene</v>
      </c>
    </row>
    <row r="59" ht="14.25" customHeight="1">
      <c r="A59" s="3" t="str">
        <f>parametros_manuales!$B$22</f>
        <v>Corte de disco y embutido (cúpula y fondo)</v>
      </c>
      <c r="B59" s="4">
        <f>(parametros_manuales!$D$22*(datos_base!$D$2+IF(parametros_manuales!$H$22="Todos",datos_base!$D$9,0))*parametros_manuales!$B$95+parametros_manuales!$E$22*(datos_base!$D$3+IF(parametros_manuales!$H$22="Todos",datos_base!$D$10,0))*parametros_manuales!$B$100+parametros_manuales!$F$22*(datos_base!$D$4+IF(parametros_manuales!$H$22="Todos",datos_base!$D$11,0))*parametros_manuales!$B$105+parametros_manuales!$G$22*(datos_base!$D$5+IF(parametros_manuales!$H$22="Todos",datos_base!$D$12,0))*parametros_manuales!$B$110)*parametros_manuales!$I$22*parametros_manuales!$J$22</f>
        <v>4089.06</v>
      </c>
      <c r="C59" s="4">
        <f>(parametros_manuales!$D$22*(datos_base!$D$2+IF(parametros_manuales!$H$22="Todos",datos_base!$D$9,0))*parametros_manuales!$C$95+parametros_manuales!$E$22*(datos_base!$D$3+IF(parametros_manuales!$H$22="Todos",datos_base!$D$10,0))*parametros_manuales!$C$100+parametros_manuales!$F$22*(datos_base!$D$4+IF(parametros_manuales!$H$22="Todos",datos_base!$D$11,0))*parametros_manuales!$C$105+parametros_manuales!$G$22*(datos_base!$D$5+IF(parametros_manuales!$H$22="Todos",datos_base!$D$12,0))*parametros_manuales!$C$110)*parametros_manuales!$I$22*parametros_manuales!$J$22</f>
        <v>3925</v>
      </c>
      <c r="D59" s="4">
        <f>(parametros_manuales!$D$22*(datos_base!$D$2+IF(parametros_manuales!$H$22="Todos",datos_base!$D$9,0))*parametros_manuales!$D$95+parametros_manuales!$E$22*(datos_base!$D$3+IF(parametros_manuales!$H$22="Todos",datos_base!$D$10,0))*parametros_manuales!$D$100+parametros_manuales!$F$22*(datos_base!$D$4+IF(parametros_manuales!$H$22="Todos",datos_base!$D$11,0))*parametros_manuales!$D$105+parametros_manuales!$G$22*(datos_base!$D$5+IF(parametros_manuales!$H$22="Todos",datos_base!$D$12,0))*parametros_manuales!$D$110)*parametros_manuales!$I$22*parametros_manuales!$J$22</f>
        <v>3716.75</v>
      </c>
      <c r="E59" s="4">
        <f>(parametros_manuales!$D$22*(datos_base!$D$2+IF(parametros_manuales!$H$22="Todos",datos_base!$D$9,0))*parametros_manuales!$E$95+parametros_manuales!$E$22*(datos_base!$D$3+IF(parametros_manuales!$H$22="Todos",datos_base!$D$10,0))*parametros_manuales!$E$100+parametros_manuales!$F$22*(datos_base!$D$4+IF(parametros_manuales!$H$22="Todos",datos_base!$D$11,0))*parametros_manuales!$E$105+parametros_manuales!$G$22*(datos_base!$D$5+IF(parametros_manuales!$H$22="Todos",datos_base!$D$12,0))*parametros_manuales!$E$110)*parametros_manuales!$I$22*parametros_manuales!$J$22</f>
        <v>3571.61</v>
      </c>
      <c r="F59" s="4">
        <f>(parametros_manuales!$D$22*(datos_base!$D$2+IF(parametros_manuales!$H$22="Todos",datos_base!$D$9,0))*parametros_manuales!$F$95+parametros_manuales!$E$22*(datos_base!$D$3+IF(parametros_manuales!$H$22="Todos",datos_base!$D$10,0))*parametros_manuales!$F$100+parametros_manuales!$F$22*(datos_base!$D$4+IF(parametros_manuales!$H$22="Todos",datos_base!$D$11,0))*parametros_manuales!$F$105+parametros_manuales!$G$22*(datos_base!$D$5+IF(parametros_manuales!$H$22="Todos",datos_base!$D$12,0))*parametros_manuales!$F$110)*parametros_manuales!$I$22*parametros_manuales!$J$22</f>
        <v>3344.44</v>
      </c>
      <c r="G59" s="4">
        <f>(parametros_manuales!$D$22*(datos_base!$D$2+IF(parametros_manuales!$H$22="Todos",datos_base!$D$9,0))*parametros_manuales!$G$95+parametros_manuales!$E$22*(datos_base!$D$3+IF(parametros_manuales!$H$22="Todos",datos_base!$D$10,0))*parametros_manuales!$G$100+parametros_manuales!$F$22*(datos_base!$D$4+IF(parametros_manuales!$H$22="Todos",datos_base!$D$11,0))*parametros_manuales!$G$105+parametros_manuales!$G$22*(datos_base!$D$5+IF(parametros_manuales!$H$22="Todos",datos_base!$D$12,0))*parametros_manuales!$G$110)*parametros_manuales!$I$22*parametros_manuales!$J$22</f>
        <v>3262.41</v>
      </c>
      <c r="H59" s="4">
        <f>(parametros_manuales!$D$22*(datos_base!$D$2+IF(parametros_manuales!$H$22="Todos",datos_base!$D$9,0))*parametros_manuales!$H$95+parametros_manuales!$E$22*(datos_base!$D$3+IF(parametros_manuales!$H$22="Todos",datos_base!$D$10,0))*parametros_manuales!$H$100+parametros_manuales!$F$22*(datos_base!$D$4+IF(parametros_manuales!$H$22="Todos",datos_base!$D$11,0))*parametros_manuales!$H$105+parametros_manuales!$G$22*(datos_base!$D$5+IF(parametros_manuales!$H$22="Todos",datos_base!$D$12,0))*parametros_manuales!$H$110)*parametros_manuales!$I$22*parametros_manuales!$J$22</f>
        <v>3489.58</v>
      </c>
      <c r="I59" s="4">
        <f>(parametros_manuales!$D$22*(datos_base!$D$2+IF(parametros_manuales!$H$22="Todos",datos_base!$D$9,0))*parametros_manuales!$I$95+parametros_manuales!$E$22*(datos_base!$D$3+IF(parametros_manuales!$H$22="Todos",datos_base!$D$10,0))*parametros_manuales!$I$100+parametros_manuales!$F$22*(datos_base!$D$4+IF(parametros_manuales!$H$22="Todos",datos_base!$D$11,0))*parametros_manuales!$I$105+parametros_manuales!$G$22*(datos_base!$D$5+IF(parametros_manuales!$H$22="Todos",datos_base!$D$12,0))*parametros_manuales!$I$110)*parametros_manuales!$I$22*parametros_manuales!$J$22</f>
        <v>3925</v>
      </c>
      <c r="J59" s="4">
        <f>(parametros_manuales!$D$22*(datos_base!$D$2+IF(parametros_manuales!$H$22="Todos",datos_base!$D$9,0))*parametros_manuales!$J$95+parametros_manuales!$E$22*(datos_base!$D$3+IF(parametros_manuales!$H$22="Todos",datos_base!$D$10,0))*parametros_manuales!$J$100+parametros_manuales!$F$22*(datos_base!$D$4+IF(parametros_manuales!$H$22="Todos",datos_base!$D$11,0))*parametros_manuales!$J$105+parametros_manuales!$G$22*(datos_base!$D$5+IF(parametros_manuales!$H$22="Todos",datos_base!$D$12,0))*parametros_manuales!$J$110)*parametros_manuales!$I$22*parametros_manuales!$J$22</f>
        <v>3925</v>
      </c>
      <c r="K59" s="4">
        <f>(parametros_manuales!$D$22*(datos_base!$D$2+IF(parametros_manuales!$H$22="Todos",datos_base!$D$9,0))*parametros_manuales!$K$95+parametros_manuales!$E$22*(datos_base!$D$3+IF(parametros_manuales!$H$22="Todos",datos_base!$D$10,0))*parametros_manuales!$K$100+parametros_manuales!$F$22*(datos_base!$D$4+IF(parametros_manuales!$H$22="Todos",datos_base!$D$11,0))*parametros_manuales!$K$105+parametros_manuales!$G$22*(datos_base!$D$5+IF(parametros_manuales!$H$22="Todos",datos_base!$D$12,0))*parametros_manuales!$K$110)*parametros_manuales!$I$22*parametros_manuales!$J$22</f>
        <v>4007.03</v>
      </c>
      <c r="L59" s="4">
        <f>(parametros_manuales!$D$22*(datos_base!$D$2+IF(parametros_manuales!$H$22="Todos",datos_base!$D$9,0))*parametros_manuales!$L$95+parametros_manuales!$E$22*(datos_base!$D$3+IF(parametros_manuales!$H$22="Todos",datos_base!$D$10,0))*parametros_manuales!$L$100+parametros_manuales!$F$22*(datos_base!$D$4+IF(parametros_manuales!$H$22="Todos",datos_base!$D$11,0))*parametros_manuales!$L$105+parametros_manuales!$G$22*(datos_base!$D$5+IF(parametros_manuales!$H$22="Todos",datos_base!$D$12,0))*parametros_manuales!$L$110)*parametros_manuales!$I$22*parametros_manuales!$J$22</f>
        <v>4089.06</v>
      </c>
      <c r="M59" s="4">
        <f>(parametros_manuales!$D$22*(datos_base!$D$2+IF(parametros_manuales!$H$22="Todos",datos_base!$D$9,0))*parametros_manuales!$M$95+parametros_manuales!$E$22*(datos_base!$D$3+IF(parametros_manuales!$H$22="Todos",datos_base!$D$10,0))*parametros_manuales!$M$100+parametros_manuales!$F$22*(datos_base!$D$4+IF(parametros_manuales!$H$22="Todos",datos_base!$D$11,0))*parametros_manuales!$M$105+parametros_manuales!$G$22*(datos_base!$D$5+IF(parametros_manuales!$H$22="Todos",datos_base!$D$12,0))*parametros_manuales!$M$110)*parametros_manuales!$I$22*parametros_manuales!$J$22</f>
        <v>4089.06</v>
      </c>
      <c r="N59" s="4">
        <f t="shared" si="7"/>
        <v>45434</v>
      </c>
      <c r="O59" s="4">
        <f t="shared" si="8"/>
        <v>4089.06</v>
      </c>
      <c r="P59" s="27">
        <f>O59/(parametros_manuales!$B$7)</f>
        <v>27.2604</v>
      </c>
      <c r="Q59" s="3" t="str">
        <f t="shared" si="9"/>
        <v>Ene</v>
      </c>
    </row>
    <row r="60" ht="14.25" customHeight="1">
      <c r="A60" s="3" t="str">
        <f>parametros_manuales!$B$23</f>
        <v>Preparación de cuello</v>
      </c>
      <c r="B60" s="4">
        <f>(parametros_manuales!$D$23*(datos_base!$D$2+IF(parametros_manuales!$H$23="Todos",datos_base!$D$9,0))*parametros_manuales!$B$95+parametros_manuales!$E$23*(datos_base!$D$3+IF(parametros_manuales!$H$23="Todos",datos_base!$D$10,0))*parametros_manuales!$B$100+parametros_manuales!$F$23*(datos_base!$D$4+IF(parametros_manuales!$H$23="Todos",datos_base!$D$11,0))*parametros_manuales!$B$105+parametros_manuales!$G$23*(datos_base!$D$5+IF(parametros_manuales!$H$23="Todos",datos_base!$D$12,0))*parametros_manuales!$B$110)*parametros_manuales!$I$23*parametros_manuales!$J$23</f>
        <v>2044.53</v>
      </c>
      <c r="C60" s="4">
        <f>(parametros_manuales!$D$23*(datos_base!$D$2+IF(parametros_manuales!$H$23="Todos",datos_base!$D$9,0))*parametros_manuales!$C$95+parametros_manuales!$E$23*(datos_base!$D$3+IF(parametros_manuales!$H$23="Todos",datos_base!$D$10,0))*parametros_manuales!$C$100+parametros_manuales!$F$23*(datos_base!$D$4+IF(parametros_manuales!$H$23="Todos",datos_base!$D$11,0))*parametros_manuales!$C$105+parametros_manuales!$G$23*(datos_base!$D$5+IF(parametros_manuales!$H$23="Todos",datos_base!$D$12,0))*parametros_manuales!$C$110)*parametros_manuales!$I$23*parametros_manuales!$J$23</f>
        <v>1962.5</v>
      </c>
      <c r="D60" s="4">
        <f>(parametros_manuales!$D$23*(datos_base!$D$2+IF(parametros_manuales!$H$23="Todos",datos_base!$D$9,0))*parametros_manuales!$D$95+parametros_manuales!$E$23*(datos_base!$D$3+IF(parametros_manuales!$H$23="Todos",datos_base!$D$10,0))*parametros_manuales!$D$100+parametros_manuales!$F$23*(datos_base!$D$4+IF(parametros_manuales!$H$23="Todos",datos_base!$D$11,0))*parametros_manuales!$D$105+parametros_manuales!$G$23*(datos_base!$D$5+IF(parametros_manuales!$H$23="Todos",datos_base!$D$12,0))*parametros_manuales!$D$110)*parametros_manuales!$I$23*parametros_manuales!$J$23</f>
        <v>1858.375</v>
      </c>
      <c r="E60" s="4">
        <f>(parametros_manuales!$D$23*(datos_base!$D$2+IF(parametros_manuales!$H$23="Todos",datos_base!$D$9,0))*parametros_manuales!$E$95+parametros_manuales!$E$23*(datos_base!$D$3+IF(parametros_manuales!$H$23="Todos",datos_base!$D$10,0))*parametros_manuales!$E$100+parametros_manuales!$F$23*(datos_base!$D$4+IF(parametros_manuales!$H$23="Todos",datos_base!$D$11,0))*parametros_manuales!$E$105+parametros_manuales!$G$23*(datos_base!$D$5+IF(parametros_manuales!$H$23="Todos",datos_base!$D$12,0))*parametros_manuales!$E$110)*parametros_manuales!$I$23*parametros_manuales!$J$23</f>
        <v>1785.805</v>
      </c>
      <c r="F60" s="4">
        <f>(parametros_manuales!$D$23*(datos_base!$D$2+IF(parametros_manuales!$H$23="Todos",datos_base!$D$9,0))*parametros_manuales!$F$95+parametros_manuales!$E$23*(datos_base!$D$3+IF(parametros_manuales!$H$23="Todos",datos_base!$D$10,0))*parametros_manuales!$F$100+parametros_manuales!$F$23*(datos_base!$D$4+IF(parametros_manuales!$H$23="Todos",datos_base!$D$11,0))*parametros_manuales!$F$105+parametros_manuales!$G$23*(datos_base!$D$5+IF(parametros_manuales!$H$23="Todos",datos_base!$D$12,0))*parametros_manuales!$F$110)*parametros_manuales!$I$23*parametros_manuales!$J$23</f>
        <v>1672.22</v>
      </c>
      <c r="G60" s="4">
        <f>(parametros_manuales!$D$23*(datos_base!$D$2+IF(parametros_manuales!$H$23="Todos",datos_base!$D$9,0))*parametros_manuales!$G$95+parametros_manuales!$E$23*(datos_base!$D$3+IF(parametros_manuales!$H$23="Todos",datos_base!$D$10,0))*parametros_manuales!$G$100+parametros_manuales!$F$23*(datos_base!$D$4+IF(parametros_manuales!$H$23="Todos",datos_base!$D$11,0))*parametros_manuales!$G$105+parametros_manuales!$G$23*(datos_base!$D$5+IF(parametros_manuales!$H$23="Todos",datos_base!$D$12,0))*parametros_manuales!$G$110)*parametros_manuales!$I$23*parametros_manuales!$J$23</f>
        <v>1631.205</v>
      </c>
      <c r="H60" s="4">
        <f>(parametros_manuales!$D$23*(datos_base!$D$2+IF(parametros_manuales!$H$23="Todos",datos_base!$D$9,0))*parametros_manuales!$H$95+parametros_manuales!$E$23*(datos_base!$D$3+IF(parametros_manuales!$H$23="Todos",datos_base!$D$10,0))*parametros_manuales!$H$100+parametros_manuales!$F$23*(datos_base!$D$4+IF(parametros_manuales!$H$23="Todos",datos_base!$D$11,0))*parametros_manuales!$H$105+parametros_manuales!$G$23*(datos_base!$D$5+IF(parametros_manuales!$H$23="Todos",datos_base!$D$12,0))*parametros_manuales!$H$110)*parametros_manuales!$I$23*parametros_manuales!$J$23</f>
        <v>1744.79</v>
      </c>
      <c r="I60" s="4">
        <f>(parametros_manuales!$D$23*(datos_base!$D$2+IF(parametros_manuales!$H$23="Todos",datos_base!$D$9,0))*parametros_manuales!$I$95+parametros_manuales!$E$23*(datos_base!$D$3+IF(parametros_manuales!$H$23="Todos",datos_base!$D$10,0))*parametros_manuales!$I$100+parametros_manuales!$F$23*(datos_base!$D$4+IF(parametros_manuales!$H$23="Todos",datos_base!$D$11,0))*parametros_manuales!$I$105+parametros_manuales!$G$23*(datos_base!$D$5+IF(parametros_manuales!$H$23="Todos",datos_base!$D$12,0))*parametros_manuales!$I$110)*parametros_manuales!$I$23*parametros_manuales!$J$23</f>
        <v>1962.5</v>
      </c>
      <c r="J60" s="4">
        <f>(parametros_manuales!$D$23*(datos_base!$D$2+IF(parametros_manuales!$H$23="Todos",datos_base!$D$9,0))*parametros_manuales!$J$95+parametros_manuales!$E$23*(datos_base!$D$3+IF(parametros_manuales!$H$23="Todos",datos_base!$D$10,0))*parametros_manuales!$J$100+parametros_manuales!$F$23*(datos_base!$D$4+IF(parametros_manuales!$H$23="Todos",datos_base!$D$11,0))*parametros_manuales!$J$105+parametros_manuales!$G$23*(datos_base!$D$5+IF(parametros_manuales!$H$23="Todos",datos_base!$D$12,0))*parametros_manuales!$J$110)*parametros_manuales!$I$23*parametros_manuales!$J$23</f>
        <v>1962.5</v>
      </c>
      <c r="K60" s="4">
        <f>(parametros_manuales!$D$23*(datos_base!$D$2+IF(parametros_manuales!$H$23="Todos",datos_base!$D$9,0))*parametros_manuales!$K$95+parametros_manuales!$E$23*(datos_base!$D$3+IF(parametros_manuales!$H$23="Todos",datos_base!$D$10,0))*parametros_manuales!$K$100+parametros_manuales!$F$23*(datos_base!$D$4+IF(parametros_manuales!$H$23="Todos",datos_base!$D$11,0))*parametros_manuales!$K$105+parametros_manuales!$G$23*(datos_base!$D$5+IF(parametros_manuales!$H$23="Todos",datos_base!$D$12,0))*parametros_manuales!$K$110)*parametros_manuales!$I$23*parametros_manuales!$J$23</f>
        <v>2003.515</v>
      </c>
      <c r="L60" s="4">
        <f>(parametros_manuales!$D$23*(datos_base!$D$2+IF(parametros_manuales!$H$23="Todos",datos_base!$D$9,0))*parametros_manuales!$L$95+parametros_manuales!$E$23*(datos_base!$D$3+IF(parametros_manuales!$H$23="Todos",datos_base!$D$10,0))*parametros_manuales!$L$100+parametros_manuales!$F$23*(datos_base!$D$4+IF(parametros_manuales!$H$23="Todos",datos_base!$D$11,0))*parametros_manuales!$L$105+parametros_manuales!$G$23*(datos_base!$D$5+IF(parametros_manuales!$H$23="Todos",datos_base!$D$12,0))*parametros_manuales!$L$110)*parametros_manuales!$I$23*parametros_manuales!$J$23</f>
        <v>2044.53</v>
      </c>
      <c r="M60" s="4">
        <f>(parametros_manuales!$D$23*(datos_base!$D$2+IF(parametros_manuales!$H$23="Todos",datos_base!$D$9,0))*parametros_manuales!$M$95+parametros_manuales!$E$23*(datos_base!$D$3+IF(parametros_manuales!$H$23="Todos",datos_base!$D$10,0))*parametros_manuales!$M$100+parametros_manuales!$F$23*(datos_base!$D$4+IF(parametros_manuales!$H$23="Todos",datos_base!$D$11,0))*parametros_manuales!$M$105+parametros_manuales!$G$23*(datos_base!$D$5+IF(parametros_manuales!$H$23="Todos",datos_base!$D$12,0))*parametros_manuales!$M$110)*parametros_manuales!$I$23*parametros_manuales!$J$23</f>
        <v>2044.53</v>
      </c>
      <c r="N60" s="4">
        <f t="shared" si="7"/>
        <v>22717</v>
      </c>
      <c r="O60" s="4">
        <f t="shared" si="8"/>
        <v>2044.53</v>
      </c>
      <c r="P60" s="27">
        <f>O60/(parametros_manuales!$B$7)</f>
        <v>13.6302</v>
      </c>
      <c r="Q60" s="3" t="str">
        <f t="shared" si="9"/>
        <v>Ene</v>
      </c>
    </row>
    <row r="61" ht="14.25" customHeight="1">
      <c r="A61" s="3" t="str">
        <f>parametros_manuales!$B$24</f>
        <v>Numerado de cúpula</v>
      </c>
      <c r="B61" s="4">
        <f>(parametros_manuales!$D$24*(datos_base!$D$2+IF(parametros_manuales!$H$24="Todos",datos_base!$D$9,0))*parametros_manuales!$B$95+parametros_manuales!$E$24*(datos_base!$D$3+IF(parametros_manuales!$H$24="Todos",datos_base!$D$10,0))*parametros_manuales!$B$100+parametros_manuales!$F$24*(datos_base!$D$4+IF(parametros_manuales!$H$24="Todos",datos_base!$D$11,0))*parametros_manuales!$B$105+parametros_manuales!$G$24*(datos_base!$D$5+IF(parametros_manuales!$H$24="Todos",datos_base!$D$12,0))*parametros_manuales!$B$110)*parametros_manuales!$I$24*parametros_manuales!$J$24</f>
        <v>2044.53</v>
      </c>
      <c r="C61" s="4">
        <f>(parametros_manuales!$D$24*(datos_base!$D$2+IF(parametros_manuales!$H$24="Todos",datos_base!$D$9,0))*parametros_manuales!$C$95+parametros_manuales!$E$24*(datos_base!$D$3+IF(parametros_manuales!$H$24="Todos",datos_base!$D$10,0))*parametros_manuales!$C$100+parametros_manuales!$F$24*(datos_base!$D$4+IF(parametros_manuales!$H$24="Todos",datos_base!$D$11,0))*parametros_manuales!$C$105+parametros_manuales!$G$24*(datos_base!$D$5+IF(parametros_manuales!$H$24="Todos",datos_base!$D$12,0))*parametros_manuales!$C$110)*parametros_manuales!$I$24*parametros_manuales!$J$24</f>
        <v>1962.5</v>
      </c>
      <c r="D61" s="4">
        <f>(parametros_manuales!$D$24*(datos_base!$D$2+IF(parametros_manuales!$H$24="Todos",datos_base!$D$9,0))*parametros_manuales!$D$95+parametros_manuales!$E$24*(datos_base!$D$3+IF(parametros_manuales!$H$24="Todos",datos_base!$D$10,0))*parametros_manuales!$D$100+parametros_manuales!$F$24*(datos_base!$D$4+IF(parametros_manuales!$H$24="Todos",datos_base!$D$11,0))*parametros_manuales!$D$105+parametros_manuales!$G$24*(datos_base!$D$5+IF(parametros_manuales!$H$24="Todos",datos_base!$D$12,0))*parametros_manuales!$D$110)*parametros_manuales!$I$24*parametros_manuales!$J$24</f>
        <v>1858.375</v>
      </c>
      <c r="E61" s="4">
        <f>(parametros_manuales!$D$24*(datos_base!$D$2+IF(parametros_manuales!$H$24="Todos",datos_base!$D$9,0))*parametros_manuales!$E$95+parametros_manuales!$E$24*(datos_base!$D$3+IF(parametros_manuales!$H$24="Todos",datos_base!$D$10,0))*parametros_manuales!$E$100+parametros_manuales!$F$24*(datos_base!$D$4+IF(parametros_manuales!$H$24="Todos",datos_base!$D$11,0))*parametros_manuales!$E$105+parametros_manuales!$G$24*(datos_base!$D$5+IF(parametros_manuales!$H$24="Todos",datos_base!$D$12,0))*parametros_manuales!$E$110)*parametros_manuales!$I$24*parametros_manuales!$J$24</f>
        <v>1785.805</v>
      </c>
      <c r="F61" s="4">
        <f>(parametros_manuales!$D$24*(datos_base!$D$2+IF(parametros_manuales!$H$24="Todos",datos_base!$D$9,0))*parametros_manuales!$F$95+parametros_manuales!$E$24*(datos_base!$D$3+IF(parametros_manuales!$H$24="Todos",datos_base!$D$10,0))*parametros_manuales!$F$100+parametros_manuales!$F$24*(datos_base!$D$4+IF(parametros_manuales!$H$24="Todos",datos_base!$D$11,0))*parametros_manuales!$F$105+parametros_manuales!$G$24*(datos_base!$D$5+IF(parametros_manuales!$H$24="Todos",datos_base!$D$12,0))*parametros_manuales!$F$110)*parametros_manuales!$I$24*parametros_manuales!$J$24</f>
        <v>1672.22</v>
      </c>
      <c r="G61" s="4">
        <f>(parametros_manuales!$D$24*(datos_base!$D$2+IF(parametros_manuales!$H$24="Todos",datos_base!$D$9,0))*parametros_manuales!$G$95+parametros_manuales!$E$24*(datos_base!$D$3+IF(parametros_manuales!$H$24="Todos",datos_base!$D$10,0))*parametros_manuales!$G$100+parametros_manuales!$F$24*(datos_base!$D$4+IF(parametros_manuales!$H$24="Todos",datos_base!$D$11,0))*parametros_manuales!$G$105+parametros_manuales!$G$24*(datos_base!$D$5+IF(parametros_manuales!$H$24="Todos",datos_base!$D$12,0))*parametros_manuales!$G$110)*parametros_manuales!$I$24*parametros_manuales!$J$24</f>
        <v>1631.205</v>
      </c>
      <c r="H61" s="4">
        <f>(parametros_manuales!$D$24*(datos_base!$D$2+IF(parametros_manuales!$H$24="Todos",datos_base!$D$9,0))*parametros_manuales!$H$95+parametros_manuales!$E$24*(datos_base!$D$3+IF(parametros_manuales!$H$24="Todos",datos_base!$D$10,0))*parametros_manuales!$H$100+parametros_manuales!$F$24*(datos_base!$D$4+IF(parametros_manuales!$H$24="Todos",datos_base!$D$11,0))*parametros_manuales!$H$105+parametros_manuales!$G$24*(datos_base!$D$5+IF(parametros_manuales!$H$24="Todos",datos_base!$D$12,0))*parametros_manuales!$H$110)*parametros_manuales!$I$24*parametros_manuales!$J$24</f>
        <v>1744.79</v>
      </c>
      <c r="I61" s="4">
        <f>(parametros_manuales!$D$24*(datos_base!$D$2+IF(parametros_manuales!$H$24="Todos",datos_base!$D$9,0))*parametros_manuales!$I$95+parametros_manuales!$E$24*(datos_base!$D$3+IF(parametros_manuales!$H$24="Todos",datos_base!$D$10,0))*parametros_manuales!$I$100+parametros_manuales!$F$24*(datos_base!$D$4+IF(parametros_manuales!$H$24="Todos",datos_base!$D$11,0))*parametros_manuales!$I$105+parametros_manuales!$G$24*(datos_base!$D$5+IF(parametros_manuales!$H$24="Todos",datos_base!$D$12,0))*parametros_manuales!$I$110)*parametros_manuales!$I$24*parametros_manuales!$J$24</f>
        <v>1962.5</v>
      </c>
      <c r="J61" s="4">
        <f>(parametros_manuales!$D$24*(datos_base!$D$2+IF(parametros_manuales!$H$24="Todos",datos_base!$D$9,0))*parametros_manuales!$J$95+parametros_manuales!$E$24*(datos_base!$D$3+IF(parametros_manuales!$H$24="Todos",datos_base!$D$10,0))*parametros_manuales!$J$100+parametros_manuales!$F$24*(datos_base!$D$4+IF(parametros_manuales!$H$24="Todos",datos_base!$D$11,0))*parametros_manuales!$J$105+parametros_manuales!$G$24*(datos_base!$D$5+IF(parametros_manuales!$H$24="Todos",datos_base!$D$12,0))*parametros_manuales!$J$110)*parametros_manuales!$I$24*parametros_manuales!$J$24</f>
        <v>1962.5</v>
      </c>
      <c r="K61" s="4">
        <f>(parametros_manuales!$D$24*(datos_base!$D$2+IF(parametros_manuales!$H$24="Todos",datos_base!$D$9,0))*parametros_manuales!$K$95+parametros_manuales!$E$24*(datos_base!$D$3+IF(parametros_manuales!$H$24="Todos",datos_base!$D$10,0))*parametros_manuales!$K$100+parametros_manuales!$F$24*(datos_base!$D$4+IF(parametros_manuales!$H$24="Todos",datos_base!$D$11,0))*parametros_manuales!$K$105+parametros_manuales!$G$24*(datos_base!$D$5+IF(parametros_manuales!$H$24="Todos",datos_base!$D$12,0))*parametros_manuales!$K$110)*parametros_manuales!$I$24*parametros_manuales!$J$24</f>
        <v>2003.515</v>
      </c>
      <c r="L61" s="4">
        <f>(parametros_manuales!$D$24*(datos_base!$D$2+IF(parametros_manuales!$H$24="Todos",datos_base!$D$9,0))*parametros_manuales!$L$95+parametros_manuales!$E$24*(datos_base!$D$3+IF(parametros_manuales!$H$24="Todos",datos_base!$D$10,0))*parametros_manuales!$L$100+parametros_manuales!$F$24*(datos_base!$D$4+IF(parametros_manuales!$H$24="Todos",datos_base!$D$11,0))*parametros_manuales!$L$105+parametros_manuales!$G$24*(datos_base!$D$5+IF(parametros_manuales!$H$24="Todos",datos_base!$D$12,0))*parametros_manuales!$L$110)*parametros_manuales!$I$24*parametros_manuales!$J$24</f>
        <v>2044.53</v>
      </c>
      <c r="M61" s="4">
        <f>(parametros_manuales!$D$24*(datos_base!$D$2+IF(parametros_manuales!$H$24="Todos",datos_base!$D$9,0))*parametros_manuales!$M$95+parametros_manuales!$E$24*(datos_base!$D$3+IF(parametros_manuales!$H$24="Todos",datos_base!$D$10,0))*parametros_manuales!$M$100+parametros_manuales!$F$24*(datos_base!$D$4+IF(parametros_manuales!$H$24="Todos",datos_base!$D$11,0))*parametros_manuales!$M$105+parametros_manuales!$G$24*(datos_base!$D$5+IF(parametros_manuales!$H$24="Todos",datos_base!$D$12,0))*parametros_manuales!$M$110)*parametros_manuales!$I$24*parametros_manuales!$J$24</f>
        <v>2044.53</v>
      </c>
      <c r="N61" s="4">
        <f t="shared" si="7"/>
        <v>22717</v>
      </c>
      <c r="O61" s="4">
        <f t="shared" si="8"/>
        <v>2044.53</v>
      </c>
      <c r="P61" s="27">
        <f>O61/(parametros_manuales!$B$7)</f>
        <v>13.6302</v>
      </c>
      <c r="Q61" s="3" t="str">
        <f t="shared" si="9"/>
        <v>Ene</v>
      </c>
    </row>
    <row r="62" ht="14.25" customHeight="1">
      <c r="A62" s="3" t="str">
        <f>parametros_manuales!$B$25</f>
        <v>Soldadura del cuello a la cúpula</v>
      </c>
      <c r="B62" s="4">
        <f>(parametros_manuales!$D$25*(datos_base!$D$2+IF(parametros_manuales!$H$25="Todos",datos_base!$D$9,0))*parametros_manuales!$B$95+parametros_manuales!$E$25*(datos_base!$D$3+IF(parametros_manuales!$H$25="Todos",datos_base!$D$10,0))*parametros_manuales!$B$100+parametros_manuales!$F$25*(datos_base!$D$4+IF(parametros_manuales!$H$25="Todos",datos_base!$D$11,0))*parametros_manuales!$B$105+parametros_manuales!$G$25*(datos_base!$D$5+IF(parametros_manuales!$H$25="Todos",datos_base!$D$12,0))*parametros_manuales!$B$110)*parametros_manuales!$I$25*parametros_manuales!$J$25</f>
        <v>2044.53</v>
      </c>
      <c r="C62" s="4">
        <f>(parametros_manuales!$D$25*(datos_base!$D$2+IF(parametros_manuales!$H$25="Todos",datos_base!$D$9,0))*parametros_manuales!$C$95+parametros_manuales!$E$25*(datos_base!$D$3+IF(parametros_manuales!$H$25="Todos",datos_base!$D$10,0))*parametros_manuales!$C$100+parametros_manuales!$F$25*(datos_base!$D$4+IF(parametros_manuales!$H$25="Todos",datos_base!$D$11,0))*parametros_manuales!$C$105+parametros_manuales!$G$25*(datos_base!$D$5+IF(parametros_manuales!$H$25="Todos",datos_base!$D$12,0))*parametros_manuales!$C$110)*parametros_manuales!$I$25*parametros_manuales!$J$25</f>
        <v>1962.5</v>
      </c>
      <c r="D62" s="4">
        <f>(parametros_manuales!$D$25*(datos_base!$D$2+IF(parametros_manuales!$H$25="Todos",datos_base!$D$9,0))*parametros_manuales!$D$95+parametros_manuales!$E$25*(datos_base!$D$3+IF(parametros_manuales!$H$25="Todos",datos_base!$D$10,0))*parametros_manuales!$D$100+parametros_manuales!$F$25*(datos_base!$D$4+IF(parametros_manuales!$H$25="Todos",datos_base!$D$11,0))*parametros_manuales!$D$105+parametros_manuales!$G$25*(datos_base!$D$5+IF(parametros_manuales!$H$25="Todos",datos_base!$D$12,0))*parametros_manuales!$D$110)*parametros_manuales!$I$25*parametros_manuales!$J$25</f>
        <v>1858.375</v>
      </c>
      <c r="E62" s="4">
        <f>(parametros_manuales!$D$25*(datos_base!$D$2+IF(parametros_manuales!$H$25="Todos",datos_base!$D$9,0))*parametros_manuales!$E$95+parametros_manuales!$E$25*(datos_base!$D$3+IF(parametros_manuales!$H$25="Todos",datos_base!$D$10,0))*parametros_manuales!$E$100+parametros_manuales!$F$25*(datos_base!$D$4+IF(parametros_manuales!$H$25="Todos",datos_base!$D$11,0))*parametros_manuales!$E$105+parametros_manuales!$G$25*(datos_base!$D$5+IF(parametros_manuales!$H$25="Todos",datos_base!$D$12,0))*parametros_manuales!$E$110)*parametros_manuales!$I$25*parametros_manuales!$J$25</f>
        <v>1785.805</v>
      </c>
      <c r="F62" s="4">
        <f>(parametros_manuales!$D$25*(datos_base!$D$2+IF(parametros_manuales!$H$25="Todos",datos_base!$D$9,0))*parametros_manuales!$F$95+parametros_manuales!$E$25*(datos_base!$D$3+IF(parametros_manuales!$H$25="Todos",datos_base!$D$10,0))*parametros_manuales!$F$100+parametros_manuales!$F$25*(datos_base!$D$4+IF(parametros_manuales!$H$25="Todos",datos_base!$D$11,0))*parametros_manuales!$F$105+parametros_manuales!$G$25*(datos_base!$D$5+IF(parametros_manuales!$H$25="Todos",datos_base!$D$12,0))*parametros_manuales!$F$110)*parametros_manuales!$I$25*parametros_manuales!$J$25</f>
        <v>1672.22</v>
      </c>
      <c r="G62" s="4">
        <f>(parametros_manuales!$D$25*(datos_base!$D$2+IF(parametros_manuales!$H$25="Todos",datos_base!$D$9,0))*parametros_manuales!$G$95+parametros_manuales!$E$25*(datos_base!$D$3+IF(parametros_manuales!$H$25="Todos",datos_base!$D$10,0))*parametros_manuales!$G$100+parametros_manuales!$F$25*(datos_base!$D$4+IF(parametros_manuales!$H$25="Todos",datos_base!$D$11,0))*parametros_manuales!$G$105+parametros_manuales!$G$25*(datos_base!$D$5+IF(parametros_manuales!$H$25="Todos",datos_base!$D$12,0))*parametros_manuales!$G$110)*parametros_manuales!$I$25*parametros_manuales!$J$25</f>
        <v>1631.205</v>
      </c>
      <c r="H62" s="4">
        <f>(parametros_manuales!$D$25*(datos_base!$D$2+IF(parametros_manuales!$H$25="Todos",datos_base!$D$9,0))*parametros_manuales!$H$95+parametros_manuales!$E$25*(datos_base!$D$3+IF(parametros_manuales!$H$25="Todos",datos_base!$D$10,0))*parametros_manuales!$H$100+parametros_manuales!$F$25*(datos_base!$D$4+IF(parametros_manuales!$H$25="Todos",datos_base!$D$11,0))*parametros_manuales!$H$105+parametros_manuales!$G$25*(datos_base!$D$5+IF(parametros_manuales!$H$25="Todos",datos_base!$D$12,0))*parametros_manuales!$H$110)*parametros_manuales!$I$25*parametros_manuales!$J$25</f>
        <v>1744.79</v>
      </c>
      <c r="I62" s="4">
        <f>(parametros_manuales!$D$25*(datos_base!$D$2+IF(parametros_manuales!$H$25="Todos",datos_base!$D$9,0))*parametros_manuales!$I$95+parametros_manuales!$E$25*(datos_base!$D$3+IF(parametros_manuales!$H$25="Todos",datos_base!$D$10,0))*parametros_manuales!$I$100+parametros_manuales!$F$25*(datos_base!$D$4+IF(parametros_manuales!$H$25="Todos",datos_base!$D$11,0))*parametros_manuales!$I$105+parametros_manuales!$G$25*(datos_base!$D$5+IF(parametros_manuales!$H$25="Todos",datos_base!$D$12,0))*parametros_manuales!$I$110)*parametros_manuales!$I$25*parametros_manuales!$J$25</f>
        <v>1962.5</v>
      </c>
      <c r="J62" s="4">
        <f>(parametros_manuales!$D$25*(datos_base!$D$2+IF(parametros_manuales!$H$25="Todos",datos_base!$D$9,0))*parametros_manuales!$J$95+parametros_manuales!$E$25*(datos_base!$D$3+IF(parametros_manuales!$H$25="Todos",datos_base!$D$10,0))*parametros_manuales!$J$100+parametros_manuales!$F$25*(datos_base!$D$4+IF(parametros_manuales!$H$25="Todos",datos_base!$D$11,0))*parametros_manuales!$J$105+parametros_manuales!$G$25*(datos_base!$D$5+IF(parametros_manuales!$H$25="Todos",datos_base!$D$12,0))*parametros_manuales!$J$110)*parametros_manuales!$I$25*parametros_manuales!$J$25</f>
        <v>1962.5</v>
      </c>
      <c r="K62" s="4">
        <f>(parametros_manuales!$D$25*(datos_base!$D$2+IF(parametros_manuales!$H$25="Todos",datos_base!$D$9,0))*parametros_manuales!$K$95+parametros_manuales!$E$25*(datos_base!$D$3+IF(parametros_manuales!$H$25="Todos",datos_base!$D$10,0))*parametros_manuales!$K$100+parametros_manuales!$F$25*(datos_base!$D$4+IF(parametros_manuales!$H$25="Todos",datos_base!$D$11,0))*parametros_manuales!$K$105+parametros_manuales!$G$25*(datos_base!$D$5+IF(parametros_manuales!$H$25="Todos",datos_base!$D$12,0))*parametros_manuales!$K$110)*parametros_manuales!$I$25*parametros_manuales!$J$25</f>
        <v>2003.515</v>
      </c>
      <c r="L62" s="4">
        <f>(parametros_manuales!$D$25*(datos_base!$D$2+IF(parametros_manuales!$H$25="Todos",datos_base!$D$9,0))*parametros_manuales!$L$95+parametros_manuales!$E$25*(datos_base!$D$3+IF(parametros_manuales!$H$25="Todos",datos_base!$D$10,0))*parametros_manuales!$L$100+parametros_manuales!$F$25*(datos_base!$D$4+IF(parametros_manuales!$H$25="Todos",datos_base!$D$11,0))*parametros_manuales!$L$105+parametros_manuales!$G$25*(datos_base!$D$5+IF(parametros_manuales!$H$25="Todos",datos_base!$D$12,0))*parametros_manuales!$L$110)*parametros_manuales!$I$25*parametros_manuales!$J$25</f>
        <v>2044.53</v>
      </c>
      <c r="M62" s="4">
        <f>(parametros_manuales!$D$25*(datos_base!$D$2+IF(parametros_manuales!$H$25="Todos",datos_base!$D$9,0))*parametros_manuales!$M$95+parametros_manuales!$E$25*(datos_base!$D$3+IF(parametros_manuales!$H$25="Todos",datos_base!$D$10,0))*parametros_manuales!$M$100+parametros_manuales!$F$25*(datos_base!$D$4+IF(parametros_manuales!$H$25="Todos",datos_base!$D$11,0))*parametros_manuales!$M$105+parametros_manuales!$G$25*(datos_base!$D$5+IF(parametros_manuales!$H$25="Todos",datos_base!$D$12,0))*parametros_manuales!$M$110)*parametros_manuales!$I$25*parametros_manuales!$J$25</f>
        <v>2044.53</v>
      </c>
      <c r="N62" s="4">
        <f t="shared" si="7"/>
        <v>22717</v>
      </c>
      <c r="O62" s="4">
        <f t="shared" si="8"/>
        <v>2044.53</v>
      </c>
      <c r="P62" s="27">
        <f>O62/(parametros_manuales!$B$7)</f>
        <v>13.6302</v>
      </c>
      <c r="Q62" s="3" t="str">
        <f t="shared" si="9"/>
        <v>Ene</v>
      </c>
    </row>
    <row r="63" ht="14.25" customHeight="1">
      <c r="A63" s="3" t="str">
        <f>parametros_manuales!$B$26</f>
        <v>Cilindrado</v>
      </c>
      <c r="B63" s="4">
        <f>(parametros_manuales!$D$26*(datos_base!$D$2+IF(parametros_manuales!$H$26="Todos",datos_base!$D$9,0))*parametros_manuales!$B$95+parametros_manuales!$E$26*(datos_base!$D$3+IF(parametros_manuales!$H$26="Todos",datos_base!$D$10,0))*parametros_manuales!$B$100+parametros_manuales!$F$26*(datos_base!$D$4+IF(parametros_manuales!$H$26="Todos",datos_base!$D$11,0))*parametros_manuales!$B$105+parametros_manuales!$G$26*(datos_base!$D$5+IF(parametros_manuales!$H$26="Todos",datos_base!$D$12,0))*parametros_manuales!$B$110)*parametros_manuales!$I$26*parametros_manuales!$J$26</f>
        <v>738.27</v>
      </c>
      <c r="C63" s="4">
        <f>(parametros_manuales!$D$26*(datos_base!$D$2+IF(parametros_manuales!$H$26="Todos",datos_base!$D$9,0))*parametros_manuales!$C$95+parametros_manuales!$E$26*(datos_base!$D$3+IF(parametros_manuales!$H$26="Todos",datos_base!$D$10,0))*parametros_manuales!$C$100+parametros_manuales!$F$26*(datos_base!$D$4+IF(parametros_manuales!$H$26="Todos",datos_base!$D$11,0))*parametros_manuales!$C$105+parametros_manuales!$G$26*(datos_base!$D$5+IF(parametros_manuales!$H$26="Todos",datos_base!$D$12,0))*parametros_manuales!$C$110)*parametros_manuales!$I$26*parametros_manuales!$J$26</f>
        <v>656.24</v>
      </c>
      <c r="D63" s="4">
        <f>(parametros_manuales!$D$26*(datos_base!$D$2+IF(parametros_manuales!$H$26="Todos",datos_base!$D$9,0))*parametros_manuales!$D$95+parametros_manuales!$E$26*(datos_base!$D$3+IF(parametros_manuales!$H$26="Todos",datos_base!$D$10,0))*parametros_manuales!$D$100+parametros_manuales!$F$26*(datos_base!$D$4+IF(parametros_manuales!$H$26="Todos",datos_base!$D$11,0))*parametros_manuales!$D$105+parametros_manuales!$G$26*(datos_base!$D$5+IF(parametros_manuales!$H$26="Todos",datos_base!$D$12,0))*parametros_manuales!$D$110)*parametros_manuales!$I$26*parametros_manuales!$J$26</f>
        <v>697.255</v>
      </c>
      <c r="E63" s="4">
        <f>(parametros_manuales!$D$26*(datos_base!$D$2+IF(parametros_manuales!$H$26="Todos",datos_base!$D$9,0))*parametros_manuales!$E$95+parametros_manuales!$E$26*(datos_base!$D$3+IF(parametros_manuales!$H$26="Todos",datos_base!$D$10,0))*parametros_manuales!$E$100+parametros_manuales!$F$26*(datos_base!$D$4+IF(parametros_manuales!$H$26="Todos",datos_base!$D$11,0))*parametros_manuales!$E$105+parametros_manuales!$G$26*(datos_base!$D$5+IF(parametros_manuales!$H$26="Todos",datos_base!$D$12,0))*parametros_manuales!$E$110)*parametros_manuales!$I$26*parametros_manuales!$J$26</f>
        <v>697.255</v>
      </c>
      <c r="F63" s="4">
        <f>(parametros_manuales!$D$26*(datos_base!$D$2+IF(parametros_manuales!$H$26="Todos",datos_base!$D$9,0))*parametros_manuales!$F$95+parametros_manuales!$E$26*(datos_base!$D$3+IF(parametros_manuales!$H$26="Todos",datos_base!$D$10,0))*parametros_manuales!$F$100+parametros_manuales!$F$26*(datos_base!$D$4+IF(parametros_manuales!$H$26="Todos",datos_base!$D$11,0))*parametros_manuales!$F$105+parametros_manuales!$G$26*(datos_base!$D$5+IF(parametros_manuales!$H$26="Todos",datos_base!$D$12,0))*parametros_manuales!$F$110)*parametros_manuales!$I$26*parametros_manuales!$J$26</f>
        <v>656.24</v>
      </c>
      <c r="G63" s="4">
        <f>(parametros_manuales!$D$26*(datos_base!$D$2+IF(parametros_manuales!$H$26="Todos",datos_base!$D$9,0))*parametros_manuales!$G$95+parametros_manuales!$E$26*(datos_base!$D$3+IF(parametros_manuales!$H$26="Todos",datos_base!$D$10,0))*parametros_manuales!$G$100+parametros_manuales!$F$26*(datos_base!$D$4+IF(parametros_manuales!$H$26="Todos",datos_base!$D$11,0))*parametros_manuales!$G$105+parametros_manuales!$G$26*(datos_base!$D$5+IF(parametros_manuales!$H$26="Todos",datos_base!$D$12,0))*parametros_manuales!$G$110)*parametros_manuales!$I$26*parametros_manuales!$J$26</f>
        <v>615.225</v>
      </c>
      <c r="H63" s="4">
        <f>(parametros_manuales!$D$26*(datos_base!$D$2+IF(parametros_manuales!$H$26="Todos",datos_base!$D$9,0))*parametros_manuales!$H$95+parametros_manuales!$E$26*(datos_base!$D$3+IF(parametros_manuales!$H$26="Todos",datos_base!$D$10,0))*parametros_manuales!$H$100+parametros_manuales!$F$26*(datos_base!$D$4+IF(parametros_manuales!$H$26="Todos",datos_base!$D$11,0))*parametros_manuales!$H$105+parametros_manuales!$G$26*(datos_base!$D$5+IF(parametros_manuales!$H$26="Todos",datos_base!$D$12,0))*parametros_manuales!$H$110)*parametros_manuales!$I$26*parametros_manuales!$J$26</f>
        <v>656.24</v>
      </c>
      <c r="I63" s="4">
        <f>(parametros_manuales!$D$26*(datos_base!$D$2+IF(parametros_manuales!$H$26="Todos",datos_base!$D$9,0))*parametros_manuales!$I$95+parametros_manuales!$E$26*(datos_base!$D$3+IF(parametros_manuales!$H$26="Todos",datos_base!$D$10,0))*parametros_manuales!$I$100+parametros_manuales!$F$26*(datos_base!$D$4+IF(parametros_manuales!$H$26="Todos",datos_base!$D$11,0))*parametros_manuales!$I$105+parametros_manuales!$G$26*(datos_base!$D$5+IF(parametros_manuales!$H$26="Todos",datos_base!$D$12,0))*parametros_manuales!$I$110)*parametros_manuales!$I$26*parametros_manuales!$J$26</f>
        <v>656.24</v>
      </c>
      <c r="J63" s="4">
        <f>(parametros_manuales!$D$26*(datos_base!$D$2+IF(parametros_manuales!$H$26="Todos",datos_base!$D$9,0))*parametros_manuales!$J$95+parametros_manuales!$E$26*(datos_base!$D$3+IF(parametros_manuales!$H$26="Todos",datos_base!$D$10,0))*parametros_manuales!$J$100+parametros_manuales!$F$26*(datos_base!$D$4+IF(parametros_manuales!$H$26="Todos",datos_base!$D$11,0))*parametros_manuales!$J$105+parametros_manuales!$G$26*(datos_base!$D$5+IF(parametros_manuales!$H$26="Todos",datos_base!$D$12,0))*parametros_manuales!$J$110)*parametros_manuales!$I$26*parametros_manuales!$J$26</f>
        <v>656.24</v>
      </c>
      <c r="K63" s="4">
        <f>(parametros_manuales!$D$26*(datos_base!$D$2+IF(parametros_manuales!$H$26="Todos",datos_base!$D$9,0))*parametros_manuales!$K$95+parametros_manuales!$E$26*(datos_base!$D$3+IF(parametros_manuales!$H$26="Todos",datos_base!$D$10,0))*parametros_manuales!$K$100+parametros_manuales!$F$26*(datos_base!$D$4+IF(parametros_manuales!$H$26="Todos",datos_base!$D$11,0))*parametros_manuales!$K$105+parametros_manuales!$G$26*(datos_base!$D$5+IF(parametros_manuales!$H$26="Todos",datos_base!$D$12,0))*parametros_manuales!$K$110)*parametros_manuales!$I$26*parametros_manuales!$J$26</f>
        <v>697.255</v>
      </c>
      <c r="L63" s="4">
        <f>(parametros_manuales!$D$26*(datos_base!$D$2+IF(parametros_manuales!$H$26="Todos",datos_base!$D$9,0))*parametros_manuales!$L$95+parametros_manuales!$E$26*(datos_base!$D$3+IF(parametros_manuales!$H$26="Todos",datos_base!$D$10,0))*parametros_manuales!$L$100+parametros_manuales!$F$26*(datos_base!$D$4+IF(parametros_manuales!$H$26="Todos",datos_base!$D$11,0))*parametros_manuales!$L$105+parametros_manuales!$G$26*(datos_base!$D$5+IF(parametros_manuales!$H$26="Todos",datos_base!$D$12,0))*parametros_manuales!$L$110)*parametros_manuales!$I$26*parametros_manuales!$J$26</f>
        <v>738.27</v>
      </c>
      <c r="M63" s="4">
        <f>(parametros_manuales!$D$26*(datos_base!$D$2+IF(parametros_manuales!$H$26="Todos",datos_base!$D$9,0))*parametros_manuales!$M$95+parametros_manuales!$E$26*(datos_base!$D$3+IF(parametros_manuales!$H$26="Todos",datos_base!$D$10,0))*parametros_manuales!$M$100+parametros_manuales!$F$26*(datos_base!$D$4+IF(parametros_manuales!$H$26="Todos",datos_base!$D$11,0))*parametros_manuales!$M$105+parametros_manuales!$G$26*(datos_base!$D$5+IF(parametros_manuales!$H$26="Todos",datos_base!$D$12,0))*parametros_manuales!$M$110)*parametros_manuales!$I$26*parametros_manuales!$J$26</f>
        <v>738.27</v>
      </c>
      <c r="N63" s="4">
        <f t="shared" si="7"/>
        <v>8203</v>
      </c>
      <c r="O63" s="4">
        <f t="shared" si="8"/>
        <v>738.27</v>
      </c>
      <c r="P63" s="27">
        <f>O63/(parametros_manuales!$B$7)</f>
        <v>4.9218</v>
      </c>
      <c r="Q63" s="3" t="str">
        <f t="shared" si="9"/>
        <v>Ene</v>
      </c>
    </row>
    <row r="64" ht="14.25" customHeight="1">
      <c r="A64" s="3" t="str">
        <f>parametros_manuales!$B$27</f>
        <v>Soldadura longitudinal</v>
      </c>
      <c r="B64" s="4">
        <f>(parametros_manuales!$D$27*(datos_base!$D$2+IF(parametros_manuales!$H$27="Todos",datos_base!$D$9,0))*parametros_manuales!$B$95+parametros_manuales!$E$27*(datos_base!$D$3+IF(parametros_manuales!$H$27="Todos",datos_base!$D$10,0))*parametros_manuales!$B$100+parametros_manuales!$F$27*(datos_base!$D$4+IF(parametros_manuales!$H$27="Todos",datos_base!$D$11,0))*parametros_manuales!$B$105+parametros_manuales!$G$27*(datos_base!$D$5+IF(parametros_manuales!$H$27="Todos",datos_base!$D$12,0))*parametros_manuales!$B$110)*parametros_manuales!$I$27*parametros_manuales!$J$27</f>
        <v>738.27</v>
      </c>
      <c r="C64" s="4">
        <f>(parametros_manuales!$D$27*(datos_base!$D$2+IF(parametros_manuales!$H$27="Todos",datos_base!$D$9,0))*parametros_manuales!$C$95+parametros_manuales!$E$27*(datos_base!$D$3+IF(parametros_manuales!$H$27="Todos",datos_base!$D$10,0))*parametros_manuales!$C$100+parametros_manuales!$F$27*(datos_base!$D$4+IF(parametros_manuales!$H$27="Todos",datos_base!$D$11,0))*parametros_manuales!$C$105+parametros_manuales!$G$27*(datos_base!$D$5+IF(parametros_manuales!$H$27="Todos",datos_base!$D$12,0))*parametros_manuales!$C$110)*parametros_manuales!$I$27*parametros_manuales!$J$27</f>
        <v>656.24</v>
      </c>
      <c r="D64" s="4">
        <f>(parametros_manuales!$D$27*(datos_base!$D$2+IF(parametros_manuales!$H$27="Todos",datos_base!$D$9,0))*parametros_manuales!$D$95+parametros_manuales!$E$27*(datos_base!$D$3+IF(parametros_manuales!$H$27="Todos",datos_base!$D$10,0))*parametros_manuales!$D$100+parametros_manuales!$F$27*(datos_base!$D$4+IF(parametros_manuales!$H$27="Todos",datos_base!$D$11,0))*parametros_manuales!$D$105+parametros_manuales!$G$27*(datos_base!$D$5+IF(parametros_manuales!$H$27="Todos",datos_base!$D$12,0))*parametros_manuales!$D$110)*parametros_manuales!$I$27*parametros_manuales!$J$27</f>
        <v>697.255</v>
      </c>
      <c r="E64" s="4">
        <f>(parametros_manuales!$D$27*(datos_base!$D$2+IF(parametros_manuales!$H$27="Todos",datos_base!$D$9,0))*parametros_manuales!$E$95+parametros_manuales!$E$27*(datos_base!$D$3+IF(parametros_manuales!$H$27="Todos",datos_base!$D$10,0))*parametros_manuales!$E$100+parametros_manuales!$F$27*(datos_base!$D$4+IF(parametros_manuales!$H$27="Todos",datos_base!$D$11,0))*parametros_manuales!$E$105+parametros_manuales!$G$27*(datos_base!$D$5+IF(parametros_manuales!$H$27="Todos",datos_base!$D$12,0))*parametros_manuales!$E$110)*parametros_manuales!$I$27*parametros_manuales!$J$27</f>
        <v>697.255</v>
      </c>
      <c r="F64" s="4">
        <f>(parametros_manuales!$D$27*(datos_base!$D$2+IF(parametros_manuales!$H$27="Todos",datos_base!$D$9,0))*parametros_manuales!$F$95+parametros_manuales!$E$27*(datos_base!$D$3+IF(parametros_manuales!$H$27="Todos",datos_base!$D$10,0))*parametros_manuales!$F$100+parametros_manuales!$F$27*(datos_base!$D$4+IF(parametros_manuales!$H$27="Todos",datos_base!$D$11,0))*parametros_manuales!$F$105+parametros_manuales!$G$27*(datos_base!$D$5+IF(parametros_manuales!$H$27="Todos",datos_base!$D$12,0))*parametros_manuales!$F$110)*parametros_manuales!$I$27*parametros_manuales!$J$27</f>
        <v>656.24</v>
      </c>
      <c r="G64" s="4">
        <f>(parametros_manuales!$D$27*(datos_base!$D$2+IF(parametros_manuales!$H$27="Todos",datos_base!$D$9,0))*parametros_manuales!$G$95+parametros_manuales!$E$27*(datos_base!$D$3+IF(parametros_manuales!$H$27="Todos",datos_base!$D$10,0))*parametros_manuales!$G$100+parametros_manuales!$F$27*(datos_base!$D$4+IF(parametros_manuales!$H$27="Todos",datos_base!$D$11,0))*parametros_manuales!$G$105+parametros_manuales!$G$27*(datos_base!$D$5+IF(parametros_manuales!$H$27="Todos",datos_base!$D$12,0))*parametros_manuales!$G$110)*parametros_manuales!$I$27*parametros_manuales!$J$27</f>
        <v>615.225</v>
      </c>
      <c r="H64" s="4">
        <f>(parametros_manuales!$D$27*(datos_base!$D$2+IF(parametros_manuales!$H$27="Todos",datos_base!$D$9,0))*parametros_manuales!$H$95+parametros_manuales!$E$27*(datos_base!$D$3+IF(parametros_manuales!$H$27="Todos",datos_base!$D$10,0))*parametros_manuales!$H$100+parametros_manuales!$F$27*(datos_base!$D$4+IF(parametros_manuales!$H$27="Todos",datos_base!$D$11,0))*parametros_manuales!$H$105+parametros_manuales!$G$27*(datos_base!$D$5+IF(parametros_manuales!$H$27="Todos",datos_base!$D$12,0))*parametros_manuales!$H$110)*parametros_manuales!$I$27*parametros_manuales!$J$27</f>
        <v>656.24</v>
      </c>
      <c r="I64" s="4">
        <f>(parametros_manuales!$D$27*(datos_base!$D$2+IF(parametros_manuales!$H$27="Todos",datos_base!$D$9,0))*parametros_manuales!$I$95+parametros_manuales!$E$27*(datos_base!$D$3+IF(parametros_manuales!$H$27="Todos",datos_base!$D$10,0))*parametros_manuales!$I$100+parametros_manuales!$F$27*(datos_base!$D$4+IF(parametros_manuales!$H$27="Todos",datos_base!$D$11,0))*parametros_manuales!$I$105+parametros_manuales!$G$27*(datos_base!$D$5+IF(parametros_manuales!$H$27="Todos",datos_base!$D$12,0))*parametros_manuales!$I$110)*parametros_manuales!$I$27*parametros_manuales!$J$27</f>
        <v>656.24</v>
      </c>
      <c r="J64" s="4">
        <f>(parametros_manuales!$D$27*(datos_base!$D$2+IF(parametros_manuales!$H$27="Todos",datos_base!$D$9,0))*parametros_manuales!$J$95+parametros_manuales!$E$27*(datos_base!$D$3+IF(parametros_manuales!$H$27="Todos",datos_base!$D$10,0))*parametros_manuales!$J$100+parametros_manuales!$F$27*(datos_base!$D$4+IF(parametros_manuales!$H$27="Todos",datos_base!$D$11,0))*parametros_manuales!$J$105+parametros_manuales!$G$27*(datos_base!$D$5+IF(parametros_manuales!$H$27="Todos",datos_base!$D$12,0))*parametros_manuales!$J$110)*parametros_manuales!$I$27*parametros_manuales!$J$27</f>
        <v>656.24</v>
      </c>
      <c r="K64" s="4">
        <f>(parametros_manuales!$D$27*(datos_base!$D$2+IF(parametros_manuales!$H$27="Todos",datos_base!$D$9,0))*parametros_manuales!$K$95+parametros_manuales!$E$27*(datos_base!$D$3+IF(parametros_manuales!$H$27="Todos",datos_base!$D$10,0))*parametros_manuales!$K$100+parametros_manuales!$F$27*(datos_base!$D$4+IF(parametros_manuales!$H$27="Todos",datos_base!$D$11,0))*parametros_manuales!$K$105+parametros_manuales!$G$27*(datos_base!$D$5+IF(parametros_manuales!$H$27="Todos",datos_base!$D$12,0))*parametros_manuales!$K$110)*parametros_manuales!$I$27*parametros_manuales!$J$27</f>
        <v>697.255</v>
      </c>
      <c r="L64" s="4">
        <f>(parametros_manuales!$D$27*(datos_base!$D$2+IF(parametros_manuales!$H$27="Todos",datos_base!$D$9,0))*parametros_manuales!$L$95+parametros_manuales!$E$27*(datos_base!$D$3+IF(parametros_manuales!$H$27="Todos",datos_base!$D$10,0))*parametros_manuales!$L$100+parametros_manuales!$F$27*(datos_base!$D$4+IF(parametros_manuales!$H$27="Todos",datos_base!$D$11,0))*parametros_manuales!$L$105+parametros_manuales!$G$27*(datos_base!$D$5+IF(parametros_manuales!$H$27="Todos",datos_base!$D$12,0))*parametros_manuales!$L$110)*parametros_manuales!$I$27*parametros_manuales!$J$27</f>
        <v>738.27</v>
      </c>
      <c r="M64" s="4">
        <f>(parametros_manuales!$D$27*(datos_base!$D$2+IF(parametros_manuales!$H$27="Todos",datos_base!$D$9,0))*parametros_manuales!$M$95+parametros_manuales!$E$27*(datos_base!$D$3+IF(parametros_manuales!$H$27="Todos",datos_base!$D$10,0))*parametros_manuales!$M$100+parametros_manuales!$F$27*(datos_base!$D$4+IF(parametros_manuales!$H$27="Todos",datos_base!$D$11,0))*parametros_manuales!$M$105+parametros_manuales!$G$27*(datos_base!$D$5+IF(parametros_manuales!$H$27="Todos",datos_base!$D$12,0))*parametros_manuales!$M$110)*parametros_manuales!$I$27*parametros_manuales!$J$27</f>
        <v>738.27</v>
      </c>
      <c r="N64" s="4">
        <f t="shared" si="7"/>
        <v>8203</v>
      </c>
      <c r="O64" s="4">
        <f t="shared" si="8"/>
        <v>738.27</v>
      </c>
      <c r="P64" s="27">
        <f>O64/(parametros_manuales!$B$7)</f>
        <v>4.9218</v>
      </c>
      <c r="Q64" s="3" t="str">
        <f t="shared" si="9"/>
        <v>Ene</v>
      </c>
    </row>
    <row r="65" ht="14.25" customHeight="1">
      <c r="A65" s="3" t="str">
        <f>parametros_manuales!$B$28</f>
        <v>Encastre de fondo</v>
      </c>
      <c r="B65" s="4">
        <f>(parametros_manuales!$D$28*(datos_base!$D$2+IF(parametros_manuales!$H$28="Todos",datos_base!$D$9,0))*parametros_manuales!$B$95+parametros_manuales!$E$28*(datos_base!$D$3+IF(parametros_manuales!$H$28="Todos",datos_base!$D$10,0))*parametros_manuales!$B$100+parametros_manuales!$F$28*(datos_base!$D$4+IF(parametros_manuales!$H$28="Todos",datos_base!$D$11,0))*parametros_manuales!$B$105+parametros_manuales!$G$28*(datos_base!$D$5+IF(parametros_manuales!$H$28="Todos",datos_base!$D$12,0))*parametros_manuales!$B$110)*parametros_manuales!$I$28*parametros_manuales!$J$28</f>
        <v>2044.53</v>
      </c>
      <c r="C65" s="4">
        <f>(parametros_manuales!$D$28*(datos_base!$D$2+IF(parametros_manuales!$H$28="Todos",datos_base!$D$9,0))*parametros_manuales!$C$95+parametros_manuales!$E$28*(datos_base!$D$3+IF(parametros_manuales!$H$28="Todos",datos_base!$D$10,0))*parametros_manuales!$C$100+parametros_manuales!$F$28*(datos_base!$D$4+IF(parametros_manuales!$H$28="Todos",datos_base!$D$11,0))*parametros_manuales!$C$105+parametros_manuales!$G$28*(datos_base!$D$5+IF(parametros_manuales!$H$28="Todos",datos_base!$D$12,0))*parametros_manuales!$C$110)*parametros_manuales!$I$28*parametros_manuales!$J$28</f>
        <v>1962.5</v>
      </c>
      <c r="D65" s="4">
        <f>(parametros_manuales!$D$28*(datos_base!$D$2+IF(parametros_manuales!$H$28="Todos",datos_base!$D$9,0))*parametros_manuales!$D$95+parametros_manuales!$E$28*(datos_base!$D$3+IF(parametros_manuales!$H$28="Todos",datos_base!$D$10,0))*parametros_manuales!$D$100+parametros_manuales!$F$28*(datos_base!$D$4+IF(parametros_manuales!$H$28="Todos",datos_base!$D$11,0))*parametros_manuales!$D$105+parametros_manuales!$G$28*(datos_base!$D$5+IF(parametros_manuales!$H$28="Todos",datos_base!$D$12,0))*parametros_manuales!$D$110)*parametros_manuales!$I$28*parametros_manuales!$J$28</f>
        <v>1858.375</v>
      </c>
      <c r="E65" s="4">
        <f>(parametros_manuales!$D$28*(datos_base!$D$2+IF(parametros_manuales!$H$28="Todos",datos_base!$D$9,0))*parametros_manuales!$E$95+parametros_manuales!$E$28*(datos_base!$D$3+IF(parametros_manuales!$H$28="Todos",datos_base!$D$10,0))*parametros_manuales!$E$100+parametros_manuales!$F$28*(datos_base!$D$4+IF(parametros_manuales!$H$28="Todos",datos_base!$D$11,0))*parametros_manuales!$E$105+parametros_manuales!$G$28*(datos_base!$D$5+IF(parametros_manuales!$H$28="Todos",datos_base!$D$12,0))*parametros_manuales!$E$110)*parametros_manuales!$I$28*parametros_manuales!$J$28</f>
        <v>1785.805</v>
      </c>
      <c r="F65" s="4">
        <f>(parametros_manuales!$D$28*(datos_base!$D$2+IF(parametros_manuales!$H$28="Todos",datos_base!$D$9,0))*parametros_manuales!$F$95+parametros_manuales!$E$28*(datos_base!$D$3+IF(parametros_manuales!$H$28="Todos",datos_base!$D$10,0))*parametros_manuales!$F$100+parametros_manuales!$F$28*(datos_base!$D$4+IF(parametros_manuales!$H$28="Todos",datos_base!$D$11,0))*parametros_manuales!$F$105+parametros_manuales!$G$28*(datos_base!$D$5+IF(parametros_manuales!$H$28="Todos",datos_base!$D$12,0))*parametros_manuales!$F$110)*parametros_manuales!$I$28*parametros_manuales!$J$28</f>
        <v>1672.22</v>
      </c>
      <c r="G65" s="4">
        <f>(parametros_manuales!$D$28*(datos_base!$D$2+IF(parametros_manuales!$H$28="Todos",datos_base!$D$9,0))*parametros_manuales!$G$95+parametros_manuales!$E$28*(datos_base!$D$3+IF(parametros_manuales!$H$28="Todos",datos_base!$D$10,0))*parametros_manuales!$G$100+parametros_manuales!$F$28*(datos_base!$D$4+IF(parametros_manuales!$H$28="Todos",datos_base!$D$11,0))*parametros_manuales!$G$105+parametros_manuales!$G$28*(datos_base!$D$5+IF(parametros_manuales!$H$28="Todos",datos_base!$D$12,0))*parametros_manuales!$G$110)*parametros_manuales!$I$28*parametros_manuales!$J$28</f>
        <v>1631.205</v>
      </c>
      <c r="H65" s="4">
        <f>(parametros_manuales!$D$28*(datos_base!$D$2+IF(parametros_manuales!$H$28="Todos",datos_base!$D$9,0))*parametros_manuales!$H$95+parametros_manuales!$E$28*(datos_base!$D$3+IF(parametros_manuales!$H$28="Todos",datos_base!$D$10,0))*parametros_manuales!$H$100+parametros_manuales!$F$28*(datos_base!$D$4+IF(parametros_manuales!$H$28="Todos",datos_base!$D$11,0))*parametros_manuales!$H$105+parametros_manuales!$G$28*(datos_base!$D$5+IF(parametros_manuales!$H$28="Todos",datos_base!$D$12,0))*parametros_manuales!$H$110)*parametros_manuales!$I$28*parametros_manuales!$J$28</f>
        <v>1744.79</v>
      </c>
      <c r="I65" s="4">
        <f>(parametros_manuales!$D$28*(datos_base!$D$2+IF(parametros_manuales!$H$28="Todos",datos_base!$D$9,0))*parametros_manuales!$I$95+parametros_manuales!$E$28*(datos_base!$D$3+IF(parametros_manuales!$H$28="Todos",datos_base!$D$10,0))*parametros_manuales!$I$100+parametros_manuales!$F$28*(datos_base!$D$4+IF(parametros_manuales!$H$28="Todos",datos_base!$D$11,0))*parametros_manuales!$I$105+parametros_manuales!$G$28*(datos_base!$D$5+IF(parametros_manuales!$H$28="Todos",datos_base!$D$12,0))*parametros_manuales!$I$110)*parametros_manuales!$I$28*parametros_manuales!$J$28</f>
        <v>1962.5</v>
      </c>
      <c r="J65" s="4">
        <f>(parametros_manuales!$D$28*(datos_base!$D$2+IF(parametros_manuales!$H$28="Todos",datos_base!$D$9,0))*parametros_manuales!$J$95+parametros_manuales!$E$28*(datos_base!$D$3+IF(parametros_manuales!$H$28="Todos",datos_base!$D$10,0))*parametros_manuales!$J$100+parametros_manuales!$F$28*(datos_base!$D$4+IF(parametros_manuales!$H$28="Todos",datos_base!$D$11,0))*parametros_manuales!$J$105+parametros_manuales!$G$28*(datos_base!$D$5+IF(parametros_manuales!$H$28="Todos",datos_base!$D$12,0))*parametros_manuales!$J$110)*parametros_manuales!$I$28*parametros_manuales!$J$28</f>
        <v>1962.5</v>
      </c>
      <c r="K65" s="4">
        <f>(parametros_manuales!$D$28*(datos_base!$D$2+IF(parametros_manuales!$H$28="Todos",datos_base!$D$9,0))*parametros_manuales!$K$95+parametros_manuales!$E$28*(datos_base!$D$3+IF(parametros_manuales!$H$28="Todos",datos_base!$D$10,0))*parametros_manuales!$K$100+parametros_manuales!$F$28*(datos_base!$D$4+IF(parametros_manuales!$H$28="Todos",datos_base!$D$11,0))*parametros_manuales!$K$105+parametros_manuales!$G$28*(datos_base!$D$5+IF(parametros_manuales!$H$28="Todos",datos_base!$D$12,0))*parametros_manuales!$K$110)*parametros_manuales!$I$28*parametros_manuales!$J$28</f>
        <v>2003.515</v>
      </c>
      <c r="L65" s="4">
        <f>(parametros_manuales!$D$28*(datos_base!$D$2+IF(parametros_manuales!$H$28="Todos",datos_base!$D$9,0))*parametros_manuales!$L$95+parametros_manuales!$E$28*(datos_base!$D$3+IF(parametros_manuales!$H$28="Todos",datos_base!$D$10,0))*parametros_manuales!$L$100+parametros_manuales!$F$28*(datos_base!$D$4+IF(parametros_manuales!$H$28="Todos",datos_base!$D$11,0))*parametros_manuales!$L$105+parametros_manuales!$G$28*(datos_base!$D$5+IF(parametros_manuales!$H$28="Todos",datos_base!$D$12,0))*parametros_manuales!$L$110)*parametros_manuales!$I$28*parametros_manuales!$J$28</f>
        <v>2044.53</v>
      </c>
      <c r="M65" s="4">
        <f>(parametros_manuales!$D$28*(datos_base!$D$2+IF(parametros_manuales!$H$28="Todos",datos_base!$D$9,0))*parametros_manuales!$M$95+parametros_manuales!$E$28*(datos_base!$D$3+IF(parametros_manuales!$H$28="Todos",datos_base!$D$10,0))*parametros_manuales!$M$100+parametros_manuales!$F$28*(datos_base!$D$4+IF(parametros_manuales!$H$28="Todos",datos_base!$D$11,0))*parametros_manuales!$M$105+parametros_manuales!$G$28*(datos_base!$D$5+IF(parametros_manuales!$H$28="Todos",datos_base!$D$12,0))*parametros_manuales!$M$110)*parametros_manuales!$I$28*parametros_manuales!$J$28</f>
        <v>2044.53</v>
      </c>
      <c r="N65" s="4">
        <f t="shared" si="7"/>
        <v>22717</v>
      </c>
      <c r="O65" s="4">
        <f t="shared" si="8"/>
        <v>2044.53</v>
      </c>
      <c r="P65" s="27">
        <f>O65/(parametros_manuales!$B$7)</f>
        <v>13.6302</v>
      </c>
      <c r="Q65" s="3" t="str">
        <f t="shared" si="9"/>
        <v>Ene</v>
      </c>
    </row>
    <row r="66" ht="14.25" customHeight="1">
      <c r="A66" s="3" t="str">
        <f>parametros_manuales!$B$29</f>
        <v>Bordoneado</v>
      </c>
      <c r="B66" s="4">
        <f>(parametros_manuales!$D$29*(datos_base!$D$2+IF(parametros_manuales!$H$29="Todos",datos_base!$D$9,0))*parametros_manuales!$B$95+parametros_manuales!$E$29*(datos_base!$D$3+IF(parametros_manuales!$H$29="Todos",datos_base!$D$10,0))*parametros_manuales!$B$100+parametros_manuales!$F$29*(datos_base!$D$4+IF(parametros_manuales!$H$29="Todos",datos_base!$D$11,0))*parametros_manuales!$B$105+parametros_manuales!$G$29*(datos_base!$D$5+IF(parametros_manuales!$H$29="Todos",datos_base!$D$12,0))*parametros_manuales!$B$110)*parametros_manuales!$I$29*parametros_manuales!$J$29</f>
        <v>2044.53</v>
      </c>
      <c r="C66" s="4">
        <f>(parametros_manuales!$D$29*(datos_base!$D$2+IF(parametros_manuales!$H$29="Todos",datos_base!$D$9,0))*parametros_manuales!$C$95+parametros_manuales!$E$29*(datos_base!$D$3+IF(parametros_manuales!$H$29="Todos",datos_base!$D$10,0))*parametros_manuales!$C$100+parametros_manuales!$F$29*(datos_base!$D$4+IF(parametros_manuales!$H$29="Todos",datos_base!$D$11,0))*parametros_manuales!$C$105+parametros_manuales!$G$29*(datos_base!$D$5+IF(parametros_manuales!$H$29="Todos",datos_base!$D$12,0))*parametros_manuales!$C$110)*parametros_manuales!$I$29*parametros_manuales!$J$29</f>
        <v>1962.5</v>
      </c>
      <c r="D66" s="4">
        <f>(parametros_manuales!$D$29*(datos_base!$D$2+IF(parametros_manuales!$H$29="Todos",datos_base!$D$9,0))*parametros_manuales!$D$95+parametros_manuales!$E$29*(datos_base!$D$3+IF(parametros_manuales!$H$29="Todos",datos_base!$D$10,0))*parametros_manuales!$D$100+parametros_manuales!$F$29*(datos_base!$D$4+IF(parametros_manuales!$H$29="Todos",datos_base!$D$11,0))*parametros_manuales!$D$105+parametros_manuales!$G$29*(datos_base!$D$5+IF(parametros_manuales!$H$29="Todos",datos_base!$D$12,0))*parametros_manuales!$D$110)*parametros_manuales!$I$29*parametros_manuales!$J$29</f>
        <v>1858.375</v>
      </c>
      <c r="E66" s="4">
        <f>(parametros_manuales!$D$29*(datos_base!$D$2+IF(parametros_manuales!$H$29="Todos",datos_base!$D$9,0))*parametros_manuales!$E$95+parametros_manuales!$E$29*(datos_base!$D$3+IF(parametros_manuales!$H$29="Todos",datos_base!$D$10,0))*parametros_manuales!$E$100+parametros_manuales!$F$29*(datos_base!$D$4+IF(parametros_manuales!$H$29="Todos",datos_base!$D$11,0))*parametros_manuales!$E$105+parametros_manuales!$G$29*(datos_base!$D$5+IF(parametros_manuales!$H$29="Todos",datos_base!$D$12,0))*parametros_manuales!$E$110)*parametros_manuales!$I$29*parametros_manuales!$J$29</f>
        <v>1785.805</v>
      </c>
      <c r="F66" s="4">
        <f>(parametros_manuales!$D$29*(datos_base!$D$2+IF(parametros_manuales!$H$29="Todos",datos_base!$D$9,0))*parametros_manuales!$F$95+parametros_manuales!$E$29*(datos_base!$D$3+IF(parametros_manuales!$H$29="Todos",datos_base!$D$10,0))*parametros_manuales!$F$100+parametros_manuales!$F$29*(datos_base!$D$4+IF(parametros_manuales!$H$29="Todos",datos_base!$D$11,0))*parametros_manuales!$F$105+parametros_manuales!$G$29*(datos_base!$D$5+IF(parametros_manuales!$H$29="Todos",datos_base!$D$12,0))*parametros_manuales!$F$110)*parametros_manuales!$I$29*parametros_manuales!$J$29</f>
        <v>1672.22</v>
      </c>
      <c r="G66" s="4">
        <f>(parametros_manuales!$D$29*(datos_base!$D$2+IF(parametros_manuales!$H$29="Todos",datos_base!$D$9,0))*parametros_manuales!$G$95+parametros_manuales!$E$29*(datos_base!$D$3+IF(parametros_manuales!$H$29="Todos",datos_base!$D$10,0))*parametros_manuales!$G$100+parametros_manuales!$F$29*(datos_base!$D$4+IF(parametros_manuales!$H$29="Todos",datos_base!$D$11,0))*parametros_manuales!$G$105+parametros_manuales!$G$29*(datos_base!$D$5+IF(parametros_manuales!$H$29="Todos",datos_base!$D$12,0))*parametros_manuales!$G$110)*parametros_manuales!$I$29*parametros_manuales!$J$29</f>
        <v>1631.205</v>
      </c>
      <c r="H66" s="4">
        <f>(parametros_manuales!$D$29*(datos_base!$D$2+IF(parametros_manuales!$H$29="Todos",datos_base!$D$9,0))*parametros_manuales!$H$95+parametros_manuales!$E$29*(datos_base!$D$3+IF(parametros_manuales!$H$29="Todos",datos_base!$D$10,0))*parametros_manuales!$H$100+parametros_manuales!$F$29*(datos_base!$D$4+IF(parametros_manuales!$H$29="Todos",datos_base!$D$11,0))*parametros_manuales!$H$105+parametros_manuales!$G$29*(datos_base!$D$5+IF(parametros_manuales!$H$29="Todos",datos_base!$D$12,0))*parametros_manuales!$H$110)*parametros_manuales!$I$29*parametros_manuales!$J$29</f>
        <v>1744.79</v>
      </c>
      <c r="I66" s="4">
        <f>(parametros_manuales!$D$29*(datos_base!$D$2+IF(parametros_manuales!$H$29="Todos",datos_base!$D$9,0))*parametros_manuales!$I$95+parametros_manuales!$E$29*(datos_base!$D$3+IF(parametros_manuales!$H$29="Todos",datos_base!$D$10,0))*parametros_manuales!$I$100+parametros_manuales!$F$29*(datos_base!$D$4+IF(parametros_manuales!$H$29="Todos",datos_base!$D$11,0))*parametros_manuales!$I$105+parametros_manuales!$G$29*(datos_base!$D$5+IF(parametros_manuales!$H$29="Todos",datos_base!$D$12,0))*parametros_manuales!$I$110)*parametros_manuales!$I$29*parametros_manuales!$J$29</f>
        <v>1962.5</v>
      </c>
      <c r="J66" s="4">
        <f>(parametros_manuales!$D$29*(datos_base!$D$2+IF(parametros_manuales!$H$29="Todos",datos_base!$D$9,0))*parametros_manuales!$J$95+parametros_manuales!$E$29*(datos_base!$D$3+IF(parametros_manuales!$H$29="Todos",datos_base!$D$10,0))*parametros_manuales!$J$100+parametros_manuales!$F$29*(datos_base!$D$4+IF(parametros_manuales!$H$29="Todos",datos_base!$D$11,0))*parametros_manuales!$J$105+parametros_manuales!$G$29*(datos_base!$D$5+IF(parametros_manuales!$H$29="Todos",datos_base!$D$12,0))*parametros_manuales!$J$110)*parametros_manuales!$I$29*parametros_manuales!$J$29</f>
        <v>1962.5</v>
      </c>
      <c r="K66" s="4">
        <f>(parametros_manuales!$D$29*(datos_base!$D$2+IF(parametros_manuales!$H$29="Todos",datos_base!$D$9,0))*parametros_manuales!$K$95+parametros_manuales!$E$29*(datos_base!$D$3+IF(parametros_manuales!$H$29="Todos",datos_base!$D$10,0))*parametros_manuales!$K$100+parametros_manuales!$F$29*(datos_base!$D$4+IF(parametros_manuales!$H$29="Todos",datos_base!$D$11,0))*parametros_manuales!$K$105+parametros_manuales!$G$29*(datos_base!$D$5+IF(parametros_manuales!$H$29="Todos",datos_base!$D$12,0))*parametros_manuales!$K$110)*parametros_manuales!$I$29*parametros_manuales!$J$29</f>
        <v>2003.515</v>
      </c>
      <c r="L66" s="4">
        <f>(parametros_manuales!$D$29*(datos_base!$D$2+IF(parametros_manuales!$H$29="Todos",datos_base!$D$9,0))*parametros_manuales!$L$95+parametros_manuales!$E$29*(datos_base!$D$3+IF(parametros_manuales!$H$29="Todos",datos_base!$D$10,0))*parametros_manuales!$L$100+parametros_manuales!$F$29*(datos_base!$D$4+IF(parametros_manuales!$H$29="Todos",datos_base!$D$11,0))*parametros_manuales!$L$105+parametros_manuales!$G$29*(datos_base!$D$5+IF(parametros_manuales!$H$29="Todos",datos_base!$D$12,0))*parametros_manuales!$L$110)*parametros_manuales!$I$29*parametros_manuales!$J$29</f>
        <v>2044.53</v>
      </c>
      <c r="M66" s="4">
        <f>(parametros_manuales!$D$29*(datos_base!$D$2+IF(parametros_manuales!$H$29="Todos",datos_base!$D$9,0))*parametros_manuales!$M$95+parametros_manuales!$E$29*(datos_base!$D$3+IF(parametros_manuales!$H$29="Todos",datos_base!$D$10,0))*parametros_manuales!$M$100+parametros_manuales!$F$29*(datos_base!$D$4+IF(parametros_manuales!$H$29="Todos",datos_base!$D$11,0))*parametros_manuales!$M$105+parametros_manuales!$G$29*(datos_base!$D$5+IF(parametros_manuales!$H$29="Todos",datos_base!$D$12,0))*parametros_manuales!$M$110)*parametros_manuales!$I$29*parametros_manuales!$J$29</f>
        <v>2044.53</v>
      </c>
      <c r="N66" s="4">
        <f t="shared" si="7"/>
        <v>22717</v>
      </c>
      <c r="O66" s="4">
        <f t="shared" si="8"/>
        <v>2044.53</v>
      </c>
      <c r="P66" s="27">
        <f>O66/(parametros_manuales!$B$7)</f>
        <v>13.6302</v>
      </c>
      <c r="Q66" s="3" t="str">
        <f t="shared" si="9"/>
        <v>Ene</v>
      </c>
    </row>
    <row r="67" ht="14.25" customHeight="1">
      <c r="A67" s="3" t="str">
        <f>parametros_manuales!$B$30</f>
        <v>Soldadura circunferencial de cúpula y fondo</v>
      </c>
      <c r="B67" s="4">
        <f>(parametros_manuales!$D$30*(datos_base!$D$2+IF(parametros_manuales!$H$30="Todos",datos_base!$D$9,0))*parametros_manuales!$B$95+parametros_manuales!$E$30*(datos_base!$D$3+IF(parametros_manuales!$H$30="Todos",datos_base!$D$10,0))*parametros_manuales!$B$100+parametros_manuales!$F$30*(datos_base!$D$4+IF(parametros_manuales!$H$30="Todos",datos_base!$D$11,0))*parametros_manuales!$B$105+parametros_manuales!$G$30*(datos_base!$D$5+IF(parametros_manuales!$H$30="Todos",datos_base!$D$12,0))*parametros_manuales!$B$110)*parametros_manuales!$I$30*parametros_manuales!$J$30</f>
        <v>2044.53</v>
      </c>
      <c r="C67" s="4">
        <f>(parametros_manuales!$D$30*(datos_base!$D$2+IF(parametros_manuales!$H$30="Todos",datos_base!$D$9,0))*parametros_manuales!$C$95+parametros_manuales!$E$30*(datos_base!$D$3+IF(parametros_manuales!$H$30="Todos",datos_base!$D$10,0))*parametros_manuales!$C$100+parametros_manuales!$F$30*(datos_base!$D$4+IF(parametros_manuales!$H$30="Todos",datos_base!$D$11,0))*parametros_manuales!$C$105+parametros_manuales!$G$30*(datos_base!$D$5+IF(parametros_manuales!$H$30="Todos",datos_base!$D$12,0))*parametros_manuales!$C$110)*parametros_manuales!$I$30*parametros_manuales!$J$30</f>
        <v>1962.5</v>
      </c>
      <c r="D67" s="4">
        <f>(parametros_manuales!$D$30*(datos_base!$D$2+IF(parametros_manuales!$H$30="Todos",datos_base!$D$9,0))*parametros_manuales!$D$95+parametros_manuales!$E$30*(datos_base!$D$3+IF(parametros_manuales!$H$30="Todos",datos_base!$D$10,0))*parametros_manuales!$D$100+parametros_manuales!$F$30*(datos_base!$D$4+IF(parametros_manuales!$H$30="Todos",datos_base!$D$11,0))*parametros_manuales!$D$105+parametros_manuales!$G$30*(datos_base!$D$5+IF(parametros_manuales!$H$30="Todos",datos_base!$D$12,0))*parametros_manuales!$D$110)*parametros_manuales!$I$30*parametros_manuales!$J$30</f>
        <v>1858.375</v>
      </c>
      <c r="E67" s="4">
        <f>(parametros_manuales!$D$30*(datos_base!$D$2+IF(parametros_manuales!$H$30="Todos",datos_base!$D$9,0))*parametros_manuales!$E$95+parametros_manuales!$E$30*(datos_base!$D$3+IF(parametros_manuales!$H$30="Todos",datos_base!$D$10,0))*parametros_manuales!$E$100+parametros_manuales!$F$30*(datos_base!$D$4+IF(parametros_manuales!$H$30="Todos",datos_base!$D$11,0))*parametros_manuales!$E$105+parametros_manuales!$G$30*(datos_base!$D$5+IF(parametros_manuales!$H$30="Todos",datos_base!$D$12,0))*parametros_manuales!$E$110)*parametros_manuales!$I$30*parametros_manuales!$J$30</f>
        <v>1785.805</v>
      </c>
      <c r="F67" s="4">
        <f>(parametros_manuales!$D$30*(datos_base!$D$2+IF(parametros_manuales!$H$30="Todos",datos_base!$D$9,0))*parametros_manuales!$F$95+parametros_manuales!$E$30*(datos_base!$D$3+IF(parametros_manuales!$H$30="Todos",datos_base!$D$10,0))*parametros_manuales!$F$100+parametros_manuales!$F$30*(datos_base!$D$4+IF(parametros_manuales!$H$30="Todos",datos_base!$D$11,0))*parametros_manuales!$F$105+parametros_manuales!$G$30*(datos_base!$D$5+IF(parametros_manuales!$H$30="Todos",datos_base!$D$12,0))*parametros_manuales!$F$110)*parametros_manuales!$I$30*parametros_manuales!$J$30</f>
        <v>1672.22</v>
      </c>
      <c r="G67" s="4">
        <f>(parametros_manuales!$D$30*(datos_base!$D$2+IF(parametros_manuales!$H$30="Todos",datos_base!$D$9,0))*parametros_manuales!$G$95+parametros_manuales!$E$30*(datos_base!$D$3+IF(parametros_manuales!$H$30="Todos",datos_base!$D$10,0))*parametros_manuales!$G$100+parametros_manuales!$F$30*(datos_base!$D$4+IF(parametros_manuales!$H$30="Todos",datos_base!$D$11,0))*parametros_manuales!$G$105+parametros_manuales!$G$30*(datos_base!$D$5+IF(parametros_manuales!$H$30="Todos",datos_base!$D$12,0))*parametros_manuales!$G$110)*parametros_manuales!$I$30*parametros_manuales!$J$30</f>
        <v>1631.205</v>
      </c>
      <c r="H67" s="4">
        <f>(parametros_manuales!$D$30*(datos_base!$D$2+IF(parametros_manuales!$H$30="Todos",datos_base!$D$9,0))*parametros_manuales!$H$95+parametros_manuales!$E$30*(datos_base!$D$3+IF(parametros_manuales!$H$30="Todos",datos_base!$D$10,0))*parametros_manuales!$H$100+parametros_manuales!$F$30*(datos_base!$D$4+IF(parametros_manuales!$H$30="Todos",datos_base!$D$11,0))*parametros_manuales!$H$105+parametros_manuales!$G$30*(datos_base!$D$5+IF(parametros_manuales!$H$30="Todos",datos_base!$D$12,0))*parametros_manuales!$H$110)*parametros_manuales!$I$30*parametros_manuales!$J$30</f>
        <v>1744.79</v>
      </c>
      <c r="I67" s="4">
        <f>(parametros_manuales!$D$30*(datos_base!$D$2+IF(parametros_manuales!$H$30="Todos",datos_base!$D$9,0))*parametros_manuales!$I$95+parametros_manuales!$E$30*(datos_base!$D$3+IF(parametros_manuales!$H$30="Todos",datos_base!$D$10,0))*parametros_manuales!$I$100+parametros_manuales!$F$30*(datos_base!$D$4+IF(parametros_manuales!$H$30="Todos",datos_base!$D$11,0))*parametros_manuales!$I$105+parametros_manuales!$G$30*(datos_base!$D$5+IF(parametros_manuales!$H$30="Todos",datos_base!$D$12,0))*parametros_manuales!$I$110)*parametros_manuales!$I$30*parametros_manuales!$J$30</f>
        <v>1962.5</v>
      </c>
      <c r="J67" s="4">
        <f>(parametros_manuales!$D$30*(datos_base!$D$2+IF(parametros_manuales!$H$30="Todos",datos_base!$D$9,0))*parametros_manuales!$J$95+parametros_manuales!$E$30*(datos_base!$D$3+IF(parametros_manuales!$H$30="Todos",datos_base!$D$10,0))*parametros_manuales!$J$100+parametros_manuales!$F$30*(datos_base!$D$4+IF(parametros_manuales!$H$30="Todos",datos_base!$D$11,0))*parametros_manuales!$J$105+parametros_manuales!$G$30*(datos_base!$D$5+IF(parametros_manuales!$H$30="Todos",datos_base!$D$12,0))*parametros_manuales!$J$110)*parametros_manuales!$I$30*parametros_manuales!$J$30</f>
        <v>1962.5</v>
      </c>
      <c r="K67" s="4">
        <f>(parametros_manuales!$D$30*(datos_base!$D$2+IF(parametros_manuales!$H$30="Todos",datos_base!$D$9,0))*parametros_manuales!$K$95+parametros_manuales!$E$30*(datos_base!$D$3+IF(parametros_manuales!$H$30="Todos",datos_base!$D$10,0))*parametros_manuales!$K$100+parametros_manuales!$F$30*(datos_base!$D$4+IF(parametros_manuales!$H$30="Todos",datos_base!$D$11,0))*parametros_manuales!$K$105+parametros_manuales!$G$30*(datos_base!$D$5+IF(parametros_manuales!$H$30="Todos",datos_base!$D$12,0))*parametros_manuales!$K$110)*parametros_manuales!$I$30*parametros_manuales!$J$30</f>
        <v>2003.515</v>
      </c>
      <c r="L67" s="4">
        <f>(parametros_manuales!$D$30*(datos_base!$D$2+IF(parametros_manuales!$H$30="Todos",datos_base!$D$9,0))*parametros_manuales!$L$95+parametros_manuales!$E$30*(datos_base!$D$3+IF(parametros_manuales!$H$30="Todos",datos_base!$D$10,0))*parametros_manuales!$L$100+parametros_manuales!$F$30*(datos_base!$D$4+IF(parametros_manuales!$H$30="Todos",datos_base!$D$11,0))*parametros_manuales!$L$105+parametros_manuales!$G$30*(datos_base!$D$5+IF(parametros_manuales!$H$30="Todos",datos_base!$D$12,0))*parametros_manuales!$L$110)*parametros_manuales!$I$30*parametros_manuales!$J$30</f>
        <v>2044.53</v>
      </c>
      <c r="M67" s="4">
        <f>(parametros_manuales!$D$30*(datos_base!$D$2+IF(parametros_manuales!$H$30="Todos",datos_base!$D$9,0))*parametros_manuales!$M$95+parametros_manuales!$E$30*(datos_base!$D$3+IF(parametros_manuales!$H$30="Todos",datos_base!$D$10,0))*parametros_manuales!$M$100+parametros_manuales!$F$30*(datos_base!$D$4+IF(parametros_manuales!$H$30="Todos",datos_base!$D$11,0))*parametros_manuales!$M$105+parametros_manuales!$G$30*(datos_base!$D$5+IF(parametros_manuales!$H$30="Todos",datos_base!$D$12,0))*parametros_manuales!$M$110)*parametros_manuales!$I$30*parametros_manuales!$J$30</f>
        <v>2044.53</v>
      </c>
      <c r="N67" s="4">
        <f t="shared" si="7"/>
        <v>22717</v>
      </c>
      <c r="O67" s="4">
        <f t="shared" si="8"/>
        <v>2044.53</v>
      </c>
      <c r="P67" s="27">
        <f>O67/(parametros_manuales!$B$7)</f>
        <v>13.6302</v>
      </c>
      <c r="Q67" s="3" t="str">
        <f t="shared" si="9"/>
        <v>Ene</v>
      </c>
    </row>
    <row r="68" ht="14.25" customHeight="1">
      <c r="A68" s="3" t="str">
        <f>parametros_manuales!$B$31</f>
        <v>Control de calidad — Espesor</v>
      </c>
      <c r="B68" s="4">
        <f>(parametros_manuales!$D$31*(datos_base!$D$2+IF(parametros_manuales!$H$31="Todos",datos_base!$D$9,0))*parametros_manuales!$B$95+parametros_manuales!$E$31*(datos_base!$D$3+IF(parametros_manuales!$H$31="Todos",datos_base!$D$10,0))*parametros_manuales!$B$100+parametros_manuales!$F$31*(datos_base!$D$4+IF(parametros_manuales!$H$31="Todos",datos_base!$D$11,0))*parametros_manuales!$B$105+parametros_manuales!$G$31*(datos_base!$D$5+IF(parametros_manuales!$H$31="Todos",datos_base!$D$12,0))*parametros_manuales!$B$110)*parametros_manuales!$I$31*parametros_manuales!$J$31</f>
        <v>40.8906</v>
      </c>
      <c r="C68" s="4">
        <f>(parametros_manuales!$D$31*(datos_base!$D$2+IF(parametros_manuales!$H$31="Todos",datos_base!$D$9,0))*parametros_manuales!$C$95+parametros_manuales!$E$31*(datos_base!$D$3+IF(parametros_manuales!$H$31="Todos",datos_base!$D$10,0))*parametros_manuales!$C$100+parametros_manuales!$F$31*(datos_base!$D$4+IF(parametros_manuales!$H$31="Todos",datos_base!$D$11,0))*parametros_manuales!$C$105+parametros_manuales!$G$31*(datos_base!$D$5+IF(parametros_manuales!$H$31="Todos",datos_base!$D$12,0))*parametros_manuales!$C$110)*parametros_manuales!$I$31*parametros_manuales!$J$31</f>
        <v>39.25</v>
      </c>
      <c r="D68" s="4">
        <f>(parametros_manuales!$D$31*(datos_base!$D$2+IF(parametros_manuales!$H$31="Todos",datos_base!$D$9,0))*parametros_manuales!$D$95+parametros_manuales!$E$31*(datos_base!$D$3+IF(parametros_manuales!$H$31="Todos",datos_base!$D$10,0))*parametros_manuales!$D$100+parametros_manuales!$F$31*(datos_base!$D$4+IF(parametros_manuales!$H$31="Todos",datos_base!$D$11,0))*parametros_manuales!$D$105+parametros_manuales!$G$31*(datos_base!$D$5+IF(parametros_manuales!$H$31="Todos",datos_base!$D$12,0))*parametros_manuales!$D$110)*parametros_manuales!$I$31*parametros_manuales!$J$31</f>
        <v>37.1675</v>
      </c>
      <c r="E68" s="4">
        <f>(parametros_manuales!$D$31*(datos_base!$D$2+IF(parametros_manuales!$H$31="Todos",datos_base!$D$9,0))*parametros_manuales!$E$95+parametros_manuales!$E$31*(datos_base!$D$3+IF(parametros_manuales!$H$31="Todos",datos_base!$D$10,0))*parametros_manuales!$E$100+parametros_manuales!$F$31*(datos_base!$D$4+IF(parametros_manuales!$H$31="Todos",datos_base!$D$11,0))*parametros_manuales!$E$105+parametros_manuales!$G$31*(datos_base!$D$5+IF(parametros_manuales!$H$31="Todos",datos_base!$D$12,0))*parametros_manuales!$E$110)*parametros_manuales!$I$31*parametros_manuales!$J$31</f>
        <v>35.7161</v>
      </c>
      <c r="F68" s="4">
        <f>(parametros_manuales!$D$31*(datos_base!$D$2+IF(parametros_manuales!$H$31="Todos",datos_base!$D$9,0))*parametros_manuales!$F$95+parametros_manuales!$E$31*(datos_base!$D$3+IF(parametros_manuales!$H$31="Todos",datos_base!$D$10,0))*parametros_manuales!$F$100+parametros_manuales!$F$31*(datos_base!$D$4+IF(parametros_manuales!$H$31="Todos",datos_base!$D$11,0))*parametros_manuales!$F$105+parametros_manuales!$G$31*(datos_base!$D$5+IF(parametros_manuales!$H$31="Todos",datos_base!$D$12,0))*parametros_manuales!$F$110)*parametros_manuales!$I$31*parametros_manuales!$J$31</f>
        <v>33.4444</v>
      </c>
      <c r="G68" s="4">
        <f>(parametros_manuales!$D$31*(datos_base!$D$2+IF(parametros_manuales!$H$31="Todos",datos_base!$D$9,0))*parametros_manuales!$G$95+parametros_manuales!$E$31*(datos_base!$D$3+IF(parametros_manuales!$H$31="Todos",datos_base!$D$10,0))*parametros_manuales!$G$100+parametros_manuales!$F$31*(datos_base!$D$4+IF(parametros_manuales!$H$31="Todos",datos_base!$D$11,0))*parametros_manuales!$G$105+parametros_manuales!$G$31*(datos_base!$D$5+IF(parametros_manuales!$H$31="Todos",datos_base!$D$12,0))*parametros_manuales!$G$110)*parametros_manuales!$I$31*parametros_manuales!$J$31</f>
        <v>32.6241</v>
      </c>
      <c r="H68" s="4">
        <f>(parametros_manuales!$D$31*(datos_base!$D$2+IF(parametros_manuales!$H$31="Todos",datos_base!$D$9,0))*parametros_manuales!$H$95+parametros_manuales!$E$31*(datos_base!$D$3+IF(parametros_manuales!$H$31="Todos",datos_base!$D$10,0))*parametros_manuales!$H$100+parametros_manuales!$F$31*(datos_base!$D$4+IF(parametros_manuales!$H$31="Todos",datos_base!$D$11,0))*parametros_manuales!$H$105+parametros_manuales!$G$31*(datos_base!$D$5+IF(parametros_manuales!$H$31="Todos",datos_base!$D$12,0))*parametros_manuales!$H$110)*parametros_manuales!$I$31*parametros_manuales!$J$31</f>
        <v>34.8958</v>
      </c>
      <c r="I68" s="4">
        <f>(parametros_manuales!$D$31*(datos_base!$D$2+IF(parametros_manuales!$H$31="Todos",datos_base!$D$9,0))*parametros_manuales!$I$95+parametros_manuales!$E$31*(datos_base!$D$3+IF(parametros_manuales!$H$31="Todos",datos_base!$D$10,0))*parametros_manuales!$I$100+parametros_manuales!$F$31*(datos_base!$D$4+IF(parametros_manuales!$H$31="Todos",datos_base!$D$11,0))*parametros_manuales!$I$105+parametros_manuales!$G$31*(datos_base!$D$5+IF(parametros_manuales!$H$31="Todos",datos_base!$D$12,0))*parametros_manuales!$I$110)*parametros_manuales!$I$31*parametros_manuales!$J$31</f>
        <v>39.25</v>
      </c>
      <c r="J68" s="4">
        <f>(parametros_manuales!$D$31*(datos_base!$D$2+IF(parametros_manuales!$H$31="Todos",datos_base!$D$9,0))*parametros_manuales!$J$95+parametros_manuales!$E$31*(datos_base!$D$3+IF(parametros_manuales!$H$31="Todos",datos_base!$D$10,0))*parametros_manuales!$J$100+parametros_manuales!$F$31*(datos_base!$D$4+IF(parametros_manuales!$H$31="Todos",datos_base!$D$11,0))*parametros_manuales!$J$105+parametros_manuales!$G$31*(datos_base!$D$5+IF(parametros_manuales!$H$31="Todos",datos_base!$D$12,0))*parametros_manuales!$J$110)*parametros_manuales!$I$31*parametros_manuales!$J$31</f>
        <v>39.25</v>
      </c>
      <c r="K68" s="4">
        <f>(parametros_manuales!$D$31*(datos_base!$D$2+IF(parametros_manuales!$H$31="Todos",datos_base!$D$9,0))*parametros_manuales!$K$95+parametros_manuales!$E$31*(datos_base!$D$3+IF(parametros_manuales!$H$31="Todos",datos_base!$D$10,0))*parametros_manuales!$K$100+parametros_manuales!$F$31*(datos_base!$D$4+IF(parametros_manuales!$H$31="Todos",datos_base!$D$11,0))*parametros_manuales!$K$105+parametros_manuales!$G$31*(datos_base!$D$5+IF(parametros_manuales!$H$31="Todos",datos_base!$D$12,0))*parametros_manuales!$K$110)*parametros_manuales!$I$31*parametros_manuales!$J$31</f>
        <v>40.0703</v>
      </c>
      <c r="L68" s="4">
        <f>(parametros_manuales!$D$31*(datos_base!$D$2+IF(parametros_manuales!$H$31="Todos",datos_base!$D$9,0))*parametros_manuales!$L$95+parametros_manuales!$E$31*(datos_base!$D$3+IF(parametros_manuales!$H$31="Todos",datos_base!$D$10,0))*parametros_manuales!$L$100+parametros_manuales!$F$31*(datos_base!$D$4+IF(parametros_manuales!$H$31="Todos",datos_base!$D$11,0))*parametros_manuales!$L$105+parametros_manuales!$G$31*(datos_base!$D$5+IF(parametros_manuales!$H$31="Todos",datos_base!$D$12,0))*parametros_manuales!$L$110)*parametros_manuales!$I$31*parametros_manuales!$J$31</f>
        <v>40.8906</v>
      </c>
      <c r="M68" s="4">
        <f>(parametros_manuales!$D$31*(datos_base!$D$2+IF(parametros_manuales!$H$31="Todos",datos_base!$D$9,0))*parametros_manuales!$M$95+parametros_manuales!$E$31*(datos_base!$D$3+IF(parametros_manuales!$H$31="Todos",datos_base!$D$10,0))*parametros_manuales!$M$100+parametros_manuales!$F$31*(datos_base!$D$4+IF(parametros_manuales!$H$31="Todos",datos_base!$D$11,0))*parametros_manuales!$M$105+parametros_manuales!$G$31*(datos_base!$D$5+IF(parametros_manuales!$H$31="Todos",datos_base!$D$12,0))*parametros_manuales!$M$110)*parametros_manuales!$I$31*parametros_manuales!$J$31</f>
        <v>40.8906</v>
      </c>
      <c r="N68" s="4">
        <f t="shared" si="7"/>
        <v>454.34</v>
      </c>
      <c r="O68" s="4">
        <f t="shared" si="8"/>
        <v>40.8906</v>
      </c>
      <c r="P68" s="27">
        <f>O68/(parametros_manuales!$B$7)</f>
        <v>0.272604</v>
      </c>
      <c r="Q68" s="3" t="str">
        <f t="shared" si="9"/>
        <v>Ene</v>
      </c>
    </row>
    <row r="69" ht="14.25" customHeight="1">
      <c r="A69" s="3" t="str">
        <f>parametros_manuales!$B$32</f>
        <v>Prueba hidráulica</v>
      </c>
      <c r="B69" s="4">
        <f>(parametros_manuales!$D$32*(datos_base!$D$2+IF(parametros_manuales!$H$32="Todos",datos_base!$D$9,0))*parametros_manuales!$B$95+parametros_manuales!$E$32*(datos_base!$D$3+IF(parametros_manuales!$H$32="Todos",datos_base!$D$10,0))*parametros_manuales!$B$100+parametros_manuales!$F$32*(datos_base!$D$4+IF(parametros_manuales!$H$32="Todos",datos_base!$D$11,0))*parametros_manuales!$B$105+parametros_manuales!$G$32*(datos_base!$D$5+IF(parametros_manuales!$H$32="Todos",datos_base!$D$12,0))*parametros_manuales!$B$110)*parametros_manuales!$I$32*parametros_manuales!$J$32</f>
        <v>2044.53</v>
      </c>
      <c r="C69" s="4">
        <f>(parametros_manuales!$D$32*(datos_base!$D$2+IF(parametros_manuales!$H$32="Todos",datos_base!$D$9,0))*parametros_manuales!$C$95+parametros_manuales!$E$32*(datos_base!$D$3+IF(parametros_manuales!$H$32="Todos",datos_base!$D$10,0))*parametros_manuales!$C$100+parametros_manuales!$F$32*(datos_base!$D$4+IF(parametros_manuales!$H$32="Todos",datos_base!$D$11,0))*parametros_manuales!$C$105+parametros_manuales!$G$32*(datos_base!$D$5+IF(parametros_manuales!$H$32="Todos",datos_base!$D$12,0))*parametros_manuales!$C$110)*parametros_manuales!$I$32*parametros_manuales!$J$32</f>
        <v>1962.5</v>
      </c>
      <c r="D69" s="4">
        <f>(parametros_manuales!$D$32*(datos_base!$D$2+IF(parametros_manuales!$H$32="Todos",datos_base!$D$9,0))*parametros_manuales!$D$95+parametros_manuales!$E$32*(datos_base!$D$3+IF(parametros_manuales!$H$32="Todos",datos_base!$D$10,0))*parametros_manuales!$D$100+parametros_manuales!$F$32*(datos_base!$D$4+IF(parametros_manuales!$H$32="Todos",datos_base!$D$11,0))*parametros_manuales!$D$105+parametros_manuales!$G$32*(datos_base!$D$5+IF(parametros_manuales!$H$32="Todos",datos_base!$D$12,0))*parametros_manuales!$D$110)*parametros_manuales!$I$32*parametros_manuales!$J$32</f>
        <v>1858.375</v>
      </c>
      <c r="E69" s="4">
        <f>(parametros_manuales!$D$32*(datos_base!$D$2+IF(parametros_manuales!$H$32="Todos",datos_base!$D$9,0))*parametros_manuales!$E$95+parametros_manuales!$E$32*(datos_base!$D$3+IF(parametros_manuales!$H$32="Todos",datos_base!$D$10,0))*parametros_manuales!$E$100+parametros_manuales!$F$32*(datos_base!$D$4+IF(parametros_manuales!$H$32="Todos",datos_base!$D$11,0))*parametros_manuales!$E$105+parametros_manuales!$G$32*(datos_base!$D$5+IF(parametros_manuales!$H$32="Todos",datos_base!$D$12,0))*parametros_manuales!$E$110)*parametros_manuales!$I$32*parametros_manuales!$J$32</f>
        <v>1785.805</v>
      </c>
      <c r="F69" s="4">
        <f>(parametros_manuales!$D$32*(datos_base!$D$2+IF(parametros_manuales!$H$32="Todos",datos_base!$D$9,0))*parametros_manuales!$F$95+parametros_manuales!$E$32*(datos_base!$D$3+IF(parametros_manuales!$H$32="Todos",datos_base!$D$10,0))*parametros_manuales!$F$100+parametros_manuales!$F$32*(datos_base!$D$4+IF(parametros_manuales!$H$32="Todos",datos_base!$D$11,0))*parametros_manuales!$F$105+parametros_manuales!$G$32*(datos_base!$D$5+IF(parametros_manuales!$H$32="Todos",datos_base!$D$12,0))*parametros_manuales!$F$110)*parametros_manuales!$I$32*parametros_manuales!$J$32</f>
        <v>1672.22</v>
      </c>
      <c r="G69" s="4">
        <f>(parametros_manuales!$D$32*(datos_base!$D$2+IF(parametros_manuales!$H$32="Todos",datos_base!$D$9,0))*parametros_manuales!$G$95+parametros_manuales!$E$32*(datos_base!$D$3+IF(parametros_manuales!$H$32="Todos",datos_base!$D$10,0))*parametros_manuales!$G$100+parametros_manuales!$F$32*(datos_base!$D$4+IF(parametros_manuales!$H$32="Todos",datos_base!$D$11,0))*parametros_manuales!$G$105+parametros_manuales!$G$32*(datos_base!$D$5+IF(parametros_manuales!$H$32="Todos",datos_base!$D$12,0))*parametros_manuales!$G$110)*parametros_manuales!$I$32*parametros_manuales!$J$32</f>
        <v>1631.205</v>
      </c>
      <c r="H69" s="4">
        <f>(parametros_manuales!$D$32*(datos_base!$D$2+IF(parametros_manuales!$H$32="Todos",datos_base!$D$9,0))*parametros_manuales!$H$95+parametros_manuales!$E$32*(datos_base!$D$3+IF(parametros_manuales!$H$32="Todos",datos_base!$D$10,0))*parametros_manuales!$H$100+parametros_manuales!$F$32*(datos_base!$D$4+IF(parametros_manuales!$H$32="Todos",datos_base!$D$11,0))*parametros_manuales!$H$105+parametros_manuales!$G$32*(datos_base!$D$5+IF(parametros_manuales!$H$32="Todos",datos_base!$D$12,0))*parametros_manuales!$H$110)*parametros_manuales!$I$32*parametros_manuales!$J$32</f>
        <v>1744.79</v>
      </c>
      <c r="I69" s="4">
        <f>(parametros_manuales!$D$32*(datos_base!$D$2+IF(parametros_manuales!$H$32="Todos",datos_base!$D$9,0))*parametros_manuales!$I$95+parametros_manuales!$E$32*(datos_base!$D$3+IF(parametros_manuales!$H$32="Todos",datos_base!$D$10,0))*parametros_manuales!$I$100+parametros_manuales!$F$32*(datos_base!$D$4+IF(parametros_manuales!$H$32="Todos",datos_base!$D$11,0))*parametros_manuales!$I$105+parametros_manuales!$G$32*(datos_base!$D$5+IF(parametros_manuales!$H$32="Todos",datos_base!$D$12,0))*parametros_manuales!$I$110)*parametros_manuales!$I$32*parametros_manuales!$J$32</f>
        <v>1962.5</v>
      </c>
      <c r="J69" s="4">
        <f>(parametros_manuales!$D$32*(datos_base!$D$2+IF(parametros_manuales!$H$32="Todos",datos_base!$D$9,0))*parametros_manuales!$J$95+parametros_manuales!$E$32*(datos_base!$D$3+IF(parametros_manuales!$H$32="Todos",datos_base!$D$10,0))*parametros_manuales!$J$100+parametros_manuales!$F$32*(datos_base!$D$4+IF(parametros_manuales!$H$32="Todos",datos_base!$D$11,0))*parametros_manuales!$J$105+parametros_manuales!$G$32*(datos_base!$D$5+IF(parametros_manuales!$H$32="Todos",datos_base!$D$12,0))*parametros_manuales!$J$110)*parametros_manuales!$I$32*parametros_manuales!$J$32</f>
        <v>1962.5</v>
      </c>
      <c r="K69" s="4">
        <f>(parametros_manuales!$D$32*(datos_base!$D$2+IF(parametros_manuales!$H$32="Todos",datos_base!$D$9,0))*parametros_manuales!$K$95+parametros_manuales!$E$32*(datos_base!$D$3+IF(parametros_manuales!$H$32="Todos",datos_base!$D$10,0))*parametros_manuales!$K$100+parametros_manuales!$F$32*(datos_base!$D$4+IF(parametros_manuales!$H$32="Todos",datos_base!$D$11,0))*parametros_manuales!$K$105+parametros_manuales!$G$32*(datos_base!$D$5+IF(parametros_manuales!$H$32="Todos",datos_base!$D$12,0))*parametros_manuales!$K$110)*parametros_manuales!$I$32*parametros_manuales!$J$32</f>
        <v>2003.515</v>
      </c>
      <c r="L69" s="4">
        <f>(parametros_manuales!$D$32*(datos_base!$D$2+IF(parametros_manuales!$H$32="Todos",datos_base!$D$9,0))*parametros_manuales!$L$95+parametros_manuales!$E$32*(datos_base!$D$3+IF(parametros_manuales!$H$32="Todos",datos_base!$D$10,0))*parametros_manuales!$L$100+parametros_manuales!$F$32*(datos_base!$D$4+IF(parametros_manuales!$H$32="Todos",datos_base!$D$11,0))*parametros_manuales!$L$105+parametros_manuales!$G$32*(datos_base!$D$5+IF(parametros_manuales!$H$32="Todos",datos_base!$D$12,0))*parametros_manuales!$L$110)*parametros_manuales!$I$32*parametros_manuales!$J$32</f>
        <v>2044.53</v>
      </c>
      <c r="M69" s="4">
        <f>(parametros_manuales!$D$32*(datos_base!$D$2+IF(parametros_manuales!$H$32="Todos",datos_base!$D$9,0))*parametros_manuales!$M$95+parametros_manuales!$E$32*(datos_base!$D$3+IF(parametros_manuales!$H$32="Todos",datos_base!$D$10,0))*parametros_manuales!$M$100+parametros_manuales!$F$32*(datos_base!$D$4+IF(parametros_manuales!$H$32="Todos",datos_base!$D$11,0))*parametros_manuales!$M$105+parametros_manuales!$G$32*(datos_base!$D$5+IF(parametros_manuales!$H$32="Todos",datos_base!$D$12,0))*parametros_manuales!$M$110)*parametros_manuales!$I$32*parametros_manuales!$J$32</f>
        <v>2044.53</v>
      </c>
      <c r="N69" s="4">
        <f t="shared" si="7"/>
        <v>22717</v>
      </c>
      <c r="O69" s="4">
        <f t="shared" si="8"/>
        <v>2044.53</v>
      </c>
      <c r="P69" s="27">
        <f>O69/(parametros_manuales!$B$7)</f>
        <v>13.6302</v>
      </c>
      <c r="Q69" s="3" t="str">
        <f t="shared" si="9"/>
        <v>Ene</v>
      </c>
    </row>
    <row r="70" ht="14.25" customHeight="1">
      <c r="A70" s="3" t="str">
        <f>parametros_manuales!$B$33</f>
        <v>Secado</v>
      </c>
      <c r="B70" s="4">
        <f>(parametros_manuales!$D$33*(datos_base!$D$2+IF(parametros_manuales!$H$33="Todos",datos_base!$D$9,0))*parametros_manuales!$B$95+parametros_manuales!$E$33*(datos_base!$D$3+IF(parametros_manuales!$H$33="Todos",datos_base!$D$10,0))*parametros_manuales!$B$100+parametros_manuales!$F$33*(datos_base!$D$4+IF(parametros_manuales!$H$33="Todos",datos_base!$D$11,0))*parametros_manuales!$B$105+parametros_manuales!$G$33*(datos_base!$D$5+IF(parametros_manuales!$H$33="Todos",datos_base!$D$12,0))*parametros_manuales!$B$110)*parametros_manuales!$I$33*parametros_manuales!$J$33</f>
        <v>2044.53</v>
      </c>
      <c r="C70" s="4">
        <f>(parametros_manuales!$D$33*(datos_base!$D$2+IF(parametros_manuales!$H$33="Todos",datos_base!$D$9,0))*parametros_manuales!$C$95+parametros_manuales!$E$33*(datos_base!$D$3+IF(parametros_manuales!$H$33="Todos",datos_base!$D$10,0))*parametros_manuales!$C$100+parametros_manuales!$F$33*(datos_base!$D$4+IF(parametros_manuales!$H$33="Todos",datos_base!$D$11,0))*parametros_manuales!$C$105+parametros_manuales!$G$33*(datos_base!$D$5+IF(parametros_manuales!$H$33="Todos",datos_base!$D$12,0))*parametros_manuales!$C$110)*parametros_manuales!$I$33*parametros_manuales!$J$33</f>
        <v>1962.5</v>
      </c>
      <c r="D70" s="4">
        <f>(parametros_manuales!$D$33*(datos_base!$D$2+IF(parametros_manuales!$H$33="Todos",datos_base!$D$9,0))*parametros_manuales!$D$95+parametros_manuales!$E$33*(datos_base!$D$3+IF(parametros_manuales!$H$33="Todos",datos_base!$D$10,0))*parametros_manuales!$D$100+parametros_manuales!$F$33*(datos_base!$D$4+IF(parametros_manuales!$H$33="Todos",datos_base!$D$11,0))*parametros_manuales!$D$105+parametros_manuales!$G$33*(datos_base!$D$5+IF(parametros_manuales!$H$33="Todos",datos_base!$D$12,0))*parametros_manuales!$D$110)*parametros_manuales!$I$33*parametros_manuales!$J$33</f>
        <v>1858.375</v>
      </c>
      <c r="E70" s="4">
        <f>(parametros_manuales!$D$33*(datos_base!$D$2+IF(parametros_manuales!$H$33="Todos",datos_base!$D$9,0))*parametros_manuales!$E$95+parametros_manuales!$E$33*(datos_base!$D$3+IF(parametros_manuales!$H$33="Todos",datos_base!$D$10,0))*parametros_manuales!$E$100+parametros_manuales!$F$33*(datos_base!$D$4+IF(parametros_manuales!$H$33="Todos",datos_base!$D$11,0))*parametros_manuales!$E$105+parametros_manuales!$G$33*(datos_base!$D$5+IF(parametros_manuales!$H$33="Todos",datos_base!$D$12,0))*parametros_manuales!$E$110)*parametros_manuales!$I$33*parametros_manuales!$J$33</f>
        <v>1785.805</v>
      </c>
      <c r="F70" s="4">
        <f>(parametros_manuales!$D$33*(datos_base!$D$2+IF(parametros_manuales!$H$33="Todos",datos_base!$D$9,0))*parametros_manuales!$F$95+parametros_manuales!$E$33*(datos_base!$D$3+IF(parametros_manuales!$H$33="Todos",datos_base!$D$10,0))*parametros_manuales!$F$100+parametros_manuales!$F$33*(datos_base!$D$4+IF(parametros_manuales!$H$33="Todos",datos_base!$D$11,0))*parametros_manuales!$F$105+parametros_manuales!$G$33*(datos_base!$D$5+IF(parametros_manuales!$H$33="Todos",datos_base!$D$12,0))*parametros_manuales!$F$110)*parametros_manuales!$I$33*parametros_manuales!$J$33</f>
        <v>1672.22</v>
      </c>
      <c r="G70" s="4">
        <f>(parametros_manuales!$D$33*(datos_base!$D$2+IF(parametros_manuales!$H$33="Todos",datos_base!$D$9,0))*parametros_manuales!$G$95+parametros_manuales!$E$33*(datos_base!$D$3+IF(parametros_manuales!$H$33="Todos",datos_base!$D$10,0))*parametros_manuales!$G$100+parametros_manuales!$F$33*(datos_base!$D$4+IF(parametros_manuales!$H$33="Todos",datos_base!$D$11,0))*parametros_manuales!$G$105+parametros_manuales!$G$33*(datos_base!$D$5+IF(parametros_manuales!$H$33="Todos",datos_base!$D$12,0))*parametros_manuales!$G$110)*parametros_manuales!$I$33*parametros_manuales!$J$33</f>
        <v>1631.205</v>
      </c>
      <c r="H70" s="4">
        <f>(parametros_manuales!$D$33*(datos_base!$D$2+IF(parametros_manuales!$H$33="Todos",datos_base!$D$9,0))*parametros_manuales!$H$95+parametros_manuales!$E$33*(datos_base!$D$3+IF(parametros_manuales!$H$33="Todos",datos_base!$D$10,0))*parametros_manuales!$H$100+parametros_manuales!$F$33*(datos_base!$D$4+IF(parametros_manuales!$H$33="Todos",datos_base!$D$11,0))*parametros_manuales!$H$105+parametros_manuales!$G$33*(datos_base!$D$5+IF(parametros_manuales!$H$33="Todos",datos_base!$D$12,0))*parametros_manuales!$H$110)*parametros_manuales!$I$33*parametros_manuales!$J$33</f>
        <v>1744.79</v>
      </c>
      <c r="I70" s="4">
        <f>(parametros_manuales!$D$33*(datos_base!$D$2+IF(parametros_manuales!$H$33="Todos",datos_base!$D$9,0))*parametros_manuales!$I$95+parametros_manuales!$E$33*(datos_base!$D$3+IF(parametros_manuales!$H$33="Todos",datos_base!$D$10,0))*parametros_manuales!$I$100+parametros_manuales!$F$33*(datos_base!$D$4+IF(parametros_manuales!$H$33="Todos",datos_base!$D$11,0))*parametros_manuales!$I$105+parametros_manuales!$G$33*(datos_base!$D$5+IF(parametros_manuales!$H$33="Todos",datos_base!$D$12,0))*parametros_manuales!$I$110)*parametros_manuales!$I$33*parametros_manuales!$J$33</f>
        <v>1962.5</v>
      </c>
      <c r="J70" s="4">
        <f>(parametros_manuales!$D$33*(datos_base!$D$2+IF(parametros_manuales!$H$33="Todos",datos_base!$D$9,0))*parametros_manuales!$J$95+parametros_manuales!$E$33*(datos_base!$D$3+IF(parametros_manuales!$H$33="Todos",datos_base!$D$10,0))*parametros_manuales!$J$100+parametros_manuales!$F$33*(datos_base!$D$4+IF(parametros_manuales!$H$33="Todos",datos_base!$D$11,0))*parametros_manuales!$J$105+parametros_manuales!$G$33*(datos_base!$D$5+IF(parametros_manuales!$H$33="Todos",datos_base!$D$12,0))*parametros_manuales!$J$110)*parametros_manuales!$I$33*parametros_manuales!$J$33</f>
        <v>1962.5</v>
      </c>
      <c r="K70" s="4">
        <f>(parametros_manuales!$D$33*(datos_base!$D$2+IF(parametros_manuales!$H$33="Todos",datos_base!$D$9,0))*parametros_manuales!$K$95+parametros_manuales!$E$33*(datos_base!$D$3+IF(parametros_manuales!$H$33="Todos",datos_base!$D$10,0))*parametros_manuales!$K$100+parametros_manuales!$F$33*(datos_base!$D$4+IF(parametros_manuales!$H$33="Todos",datos_base!$D$11,0))*parametros_manuales!$K$105+parametros_manuales!$G$33*(datos_base!$D$5+IF(parametros_manuales!$H$33="Todos",datos_base!$D$12,0))*parametros_manuales!$K$110)*parametros_manuales!$I$33*parametros_manuales!$J$33</f>
        <v>2003.515</v>
      </c>
      <c r="L70" s="4">
        <f>(parametros_manuales!$D$33*(datos_base!$D$2+IF(parametros_manuales!$H$33="Todos",datos_base!$D$9,0))*parametros_manuales!$L$95+parametros_manuales!$E$33*(datos_base!$D$3+IF(parametros_manuales!$H$33="Todos",datos_base!$D$10,0))*parametros_manuales!$L$100+parametros_manuales!$F$33*(datos_base!$D$4+IF(parametros_manuales!$H$33="Todos",datos_base!$D$11,0))*parametros_manuales!$L$105+parametros_manuales!$G$33*(datos_base!$D$5+IF(parametros_manuales!$H$33="Todos",datos_base!$D$12,0))*parametros_manuales!$L$110)*parametros_manuales!$I$33*parametros_manuales!$J$33</f>
        <v>2044.53</v>
      </c>
      <c r="M70" s="4">
        <f>(parametros_manuales!$D$33*(datos_base!$D$2+IF(parametros_manuales!$H$33="Todos",datos_base!$D$9,0))*parametros_manuales!$M$95+parametros_manuales!$E$33*(datos_base!$D$3+IF(parametros_manuales!$H$33="Todos",datos_base!$D$10,0))*parametros_manuales!$M$100+parametros_manuales!$F$33*(datos_base!$D$4+IF(parametros_manuales!$H$33="Todos",datos_base!$D$11,0))*parametros_manuales!$M$105+parametros_manuales!$G$33*(datos_base!$D$5+IF(parametros_manuales!$H$33="Todos",datos_base!$D$12,0))*parametros_manuales!$M$110)*parametros_manuales!$I$33*parametros_manuales!$J$33</f>
        <v>2044.53</v>
      </c>
      <c r="N70" s="4">
        <f t="shared" si="7"/>
        <v>22717</v>
      </c>
      <c r="O70" s="4">
        <f t="shared" si="8"/>
        <v>2044.53</v>
      </c>
      <c r="P70" s="27">
        <f>O70/(parametros_manuales!$B$7)</f>
        <v>13.6302</v>
      </c>
      <c r="Q70" s="3" t="str">
        <f t="shared" si="9"/>
        <v>Ene</v>
      </c>
    </row>
    <row r="71" ht="14.25" customHeight="1">
      <c r="A71" s="3" t="str">
        <f>parametros_manuales!$B$34</f>
        <v>Granallado</v>
      </c>
      <c r="B71" s="4">
        <f>(parametros_manuales!$D$34*(datos_base!$D$2+IF(parametros_manuales!$H$34="Todos",datos_base!$D$9,0))*parametros_manuales!$B$95+parametros_manuales!$E$34*(datos_base!$D$3+IF(parametros_manuales!$H$34="Todos",datos_base!$D$10,0))*parametros_manuales!$B$100+parametros_manuales!$F$34*(datos_base!$D$4+IF(parametros_manuales!$H$34="Todos",datos_base!$D$11,0))*parametros_manuales!$B$105+parametros_manuales!$G$34*(datos_base!$D$5+IF(parametros_manuales!$H$34="Todos",datos_base!$D$12,0))*parametros_manuales!$B$110)*parametros_manuales!$I$34*parametros_manuales!$J$34</f>
        <v>2044.53</v>
      </c>
      <c r="C71" s="4">
        <f>(parametros_manuales!$D$34*(datos_base!$D$2+IF(parametros_manuales!$H$34="Todos",datos_base!$D$9,0))*parametros_manuales!$C$95+parametros_manuales!$E$34*(datos_base!$D$3+IF(parametros_manuales!$H$34="Todos",datos_base!$D$10,0))*parametros_manuales!$C$100+parametros_manuales!$F$34*(datos_base!$D$4+IF(parametros_manuales!$H$34="Todos",datos_base!$D$11,0))*parametros_manuales!$C$105+parametros_manuales!$G$34*(datos_base!$D$5+IF(parametros_manuales!$H$34="Todos",datos_base!$D$12,0))*parametros_manuales!$C$110)*parametros_manuales!$I$34*parametros_manuales!$J$34</f>
        <v>1962.5</v>
      </c>
      <c r="D71" s="4">
        <f>(parametros_manuales!$D$34*(datos_base!$D$2+IF(parametros_manuales!$H$34="Todos",datos_base!$D$9,0))*parametros_manuales!$D$95+parametros_manuales!$E$34*(datos_base!$D$3+IF(parametros_manuales!$H$34="Todos",datos_base!$D$10,0))*parametros_manuales!$D$100+parametros_manuales!$F$34*(datos_base!$D$4+IF(parametros_manuales!$H$34="Todos",datos_base!$D$11,0))*parametros_manuales!$D$105+parametros_manuales!$G$34*(datos_base!$D$5+IF(parametros_manuales!$H$34="Todos",datos_base!$D$12,0))*parametros_manuales!$D$110)*parametros_manuales!$I$34*parametros_manuales!$J$34</f>
        <v>1858.375</v>
      </c>
      <c r="E71" s="4">
        <f>(parametros_manuales!$D$34*(datos_base!$D$2+IF(parametros_manuales!$H$34="Todos",datos_base!$D$9,0))*parametros_manuales!$E$95+parametros_manuales!$E$34*(datos_base!$D$3+IF(parametros_manuales!$H$34="Todos",datos_base!$D$10,0))*parametros_manuales!$E$100+parametros_manuales!$F$34*(datos_base!$D$4+IF(parametros_manuales!$H$34="Todos",datos_base!$D$11,0))*parametros_manuales!$E$105+parametros_manuales!$G$34*(datos_base!$D$5+IF(parametros_manuales!$H$34="Todos",datos_base!$D$12,0))*parametros_manuales!$E$110)*parametros_manuales!$I$34*parametros_manuales!$J$34</f>
        <v>1785.805</v>
      </c>
      <c r="F71" s="4">
        <f>(parametros_manuales!$D$34*(datos_base!$D$2+IF(parametros_manuales!$H$34="Todos",datos_base!$D$9,0))*parametros_manuales!$F$95+parametros_manuales!$E$34*(datos_base!$D$3+IF(parametros_manuales!$H$34="Todos",datos_base!$D$10,0))*parametros_manuales!$F$100+parametros_manuales!$F$34*(datos_base!$D$4+IF(parametros_manuales!$H$34="Todos",datos_base!$D$11,0))*parametros_manuales!$F$105+parametros_manuales!$G$34*(datos_base!$D$5+IF(parametros_manuales!$H$34="Todos",datos_base!$D$12,0))*parametros_manuales!$F$110)*parametros_manuales!$I$34*parametros_manuales!$J$34</f>
        <v>1672.22</v>
      </c>
      <c r="G71" s="4">
        <f>(parametros_manuales!$D$34*(datos_base!$D$2+IF(parametros_manuales!$H$34="Todos",datos_base!$D$9,0))*parametros_manuales!$G$95+parametros_manuales!$E$34*(datos_base!$D$3+IF(parametros_manuales!$H$34="Todos",datos_base!$D$10,0))*parametros_manuales!$G$100+parametros_manuales!$F$34*(datos_base!$D$4+IF(parametros_manuales!$H$34="Todos",datos_base!$D$11,0))*parametros_manuales!$G$105+parametros_manuales!$G$34*(datos_base!$D$5+IF(parametros_manuales!$H$34="Todos",datos_base!$D$12,0))*parametros_manuales!$G$110)*parametros_manuales!$I$34*parametros_manuales!$J$34</f>
        <v>1631.205</v>
      </c>
      <c r="H71" s="4">
        <f>(parametros_manuales!$D$34*(datos_base!$D$2+IF(parametros_manuales!$H$34="Todos",datos_base!$D$9,0))*parametros_manuales!$H$95+parametros_manuales!$E$34*(datos_base!$D$3+IF(parametros_manuales!$H$34="Todos",datos_base!$D$10,0))*parametros_manuales!$H$100+parametros_manuales!$F$34*(datos_base!$D$4+IF(parametros_manuales!$H$34="Todos",datos_base!$D$11,0))*parametros_manuales!$H$105+parametros_manuales!$G$34*(datos_base!$D$5+IF(parametros_manuales!$H$34="Todos",datos_base!$D$12,0))*parametros_manuales!$H$110)*parametros_manuales!$I$34*parametros_manuales!$J$34</f>
        <v>1744.79</v>
      </c>
      <c r="I71" s="4">
        <f>(parametros_manuales!$D$34*(datos_base!$D$2+IF(parametros_manuales!$H$34="Todos",datos_base!$D$9,0))*parametros_manuales!$I$95+parametros_manuales!$E$34*(datos_base!$D$3+IF(parametros_manuales!$H$34="Todos",datos_base!$D$10,0))*parametros_manuales!$I$100+parametros_manuales!$F$34*(datos_base!$D$4+IF(parametros_manuales!$H$34="Todos",datos_base!$D$11,0))*parametros_manuales!$I$105+parametros_manuales!$G$34*(datos_base!$D$5+IF(parametros_manuales!$H$34="Todos",datos_base!$D$12,0))*parametros_manuales!$I$110)*parametros_manuales!$I$34*parametros_manuales!$J$34</f>
        <v>1962.5</v>
      </c>
      <c r="J71" s="4">
        <f>(parametros_manuales!$D$34*(datos_base!$D$2+IF(parametros_manuales!$H$34="Todos",datos_base!$D$9,0))*parametros_manuales!$J$95+parametros_manuales!$E$34*(datos_base!$D$3+IF(parametros_manuales!$H$34="Todos",datos_base!$D$10,0))*parametros_manuales!$J$100+parametros_manuales!$F$34*(datos_base!$D$4+IF(parametros_manuales!$H$34="Todos",datos_base!$D$11,0))*parametros_manuales!$J$105+parametros_manuales!$G$34*(datos_base!$D$5+IF(parametros_manuales!$H$34="Todos",datos_base!$D$12,0))*parametros_manuales!$J$110)*parametros_manuales!$I$34*parametros_manuales!$J$34</f>
        <v>1962.5</v>
      </c>
      <c r="K71" s="4">
        <f>(parametros_manuales!$D$34*(datos_base!$D$2+IF(parametros_manuales!$H$34="Todos",datos_base!$D$9,0))*parametros_manuales!$K$95+parametros_manuales!$E$34*(datos_base!$D$3+IF(parametros_manuales!$H$34="Todos",datos_base!$D$10,0))*parametros_manuales!$K$100+parametros_manuales!$F$34*(datos_base!$D$4+IF(parametros_manuales!$H$34="Todos",datos_base!$D$11,0))*parametros_manuales!$K$105+parametros_manuales!$G$34*(datos_base!$D$5+IF(parametros_manuales!$H$34="Todos",datos_base!$D$12,0))*parametros_manuales!$K$110)*parametros_manuales!$I$34*parametros_manuales!$J$34</f>
        <v>2003.515</v>
      </c>
      <c r="L71" s="4">
        <f>(parametros_manuales!$D$34*(datos_base!$D$2+IF(parametros_manuales!$H$34="Todos",datos_base!$D$9,0))*parametros_manuales!$L$95+parametros_manuales!$E$34*(datos_base!$D$3+IF(parametros_manuales!$H$34="Todos",datos_base!$D$10,0))*parametros_manuales!$L$100+parametros_manuales!$F$34*(datos_base!$D$4+IF(parametros_manuales!$H$34="Todos",datos_base!$D$11,0))*parametros_manuales!$L$105+parametros_manuales!$G$34*(datos_base!$D$5+IF(parametros_manuales!$H$34="Todos",datos_base!$D$12,0))*parametros_manuales!$L$110)*parametros_manuales!$I$34*parametros_manuales!$J$34</f>
        <v>2044.53</v>
      </c>
      <c r="M71" s="4">
        <f>(parametros_manuales!$D$34*(datos_base!$D$2+IF(parametros_manuales!$H$34="Todos",datos_base!$D$9,0))*parametros_manuales!$M$95+parametros_manuales!$E$34*(datos_base!$D$3+IF(parametros_manuales!$H$34="Todos",datos_base!$D$10,0))*parametros_manuales!$M$100+parametros_manuales!$F$34*(datos_base!$D$4+IF(parametros_manuales!$H$34="Todos",datos_base!$D$11,0))*parametros_manuales!$M$105+parametros_manuales!$G$34*(datos_base!$D$5+IF(parametros_manuales!$H$34="Todos",datos_base!$D$12,0))*parametros_manuales!$M$110)*parametros_manuales!$I$34*parametros_manuales!$J$34</f>
        <v>2044.53</v>
      </c>
      <c r="N71" s="4">
        <f t="shared" si="7"/>
        <v>22717</v>
      </c>
      <c r="O71" s="4">
        <f t="shared" si="8"/>
        <v>2044.53</v>
      </c>
      <c r="P71" s="27">
        <f>O71/(parametros_manuales!$B$7)</f>
        <v>13.6302</v>
      </c>
      <c r="Q71" s="3" t="str">
        <f t="shared" si="9"/>
        <v>Ene</v>
      </c>
    </row>
    <row r="72" ht="14.25" customHeight="1">
      <c r="A72" s="3" t="str">
        <f>parametros_manuales!$B$35</f>
        <v>Detección de defectos</v>
      </c>
      <c r="B72" s="4">
        <f>(parametros_manuales!$D$35*(datos_base!$D$2+IF(parametros_manuales!$H$35="Todos",datos_base!$D$9,0))*parametros_manuales!$B$95+parametros_manuales!$E$35*(datos_base!$D$3+IF(parametros_manuales!$H$35="Todos",datos_base!$D$10,0))*parametros_manuales!$B$100+parametros_manuales!$F$35*(datos_base!$D$4+IF(parametros_manuales!$H$35="Todos",datos_base!$D$11,0))*parametros_manuales!$B$105+parametros_manuales!$G$35*(datos_base!$D$5+IF(parametros_manuales!$H$35="Todos",datos_base!$D$12,0))*parametros_manuales!$B$110)*parametros_manuales!$I$35*parametros_manuales!$J$35</f>
        <v>2044.53</v>
      </c>
      <c r="C72" s="4">
        <f>(parametros_manuales!$D$35*(datos_base!$D$2+IF(parametros_manuales!$H$35="Todos",datos_base!$D$9,0))*parametros_manuales!$C$95+parametros_manuales!$E$35*(datos_base!$D$3+IF(parametros_manuales!$H$35="Todos",datos_base!$D$10,0))*parametros_manuales!$C$100+parametros_manuales!$F$35*(datos_base!$D$4+IF(parametros_manuales!$H$35="Todos",datos_base!$D$11,0))*parametros_manuales!$C$105+parametros_manuales!$G$35*(datos_base!$D$5+IF(parametros_manuales!$H$35="Todos",datos_base!$D$12,0))*parametros_manuales!$C$110)*parametros_manuales!$I$35*parametros_manuales!$J$35</f>
        <v>1962.5</v>
      </c>
      <c r="D72" s="4">
        <f>(parametros_manuales!$D$35*(datos_base!$D$2+IF(parametros_manuales!$H$35="Todos",datos_base!$D$9,0))*parametros_manuales!$D$95+parametros_manuales!$E$35*(datos_base!$D$3+IF(parametros_manuales!$H$35="Todos",datos_base!$D$10,0))*parametros_manuales!$D$100+parametros_manuales!$F$35*(datos_base!$D$4+IF(parametros_manuales!$H$35="Todos",datos_base!$D$11,0))*parametros_manuales!$D$105+parametros_manuales!$G$35*(datos_base!$D$5+IF(parametros_manuales!$H$35="Todos",datos_base!$D$12,0))*parametros_manuales!$D$110)*parametros_manuales!$I$35*parametros_manuales!$J$35</f>
        <v>1858.375</v>
      </c>
      <c r="E72" s="4">
        <f>(parametros_manuales!$D$35*(datos_base!$D$2+IF(parametros_manuales!$H$35="Todos",datos_base!$D$9,0))*parametros_manuales!$E$95+parametros_manuales!$E$35*(datos_base!$D$3+IF(parametros_manuales!$H$35="Todos",datos_base!$D$10,0))*parametros_manuales!$E$100+parametros_manuales!$F$35*(datos_base!$D$4+IF(parametros_manuales!$H$35="Todos",datos_base!$D$11,0))*parametros_manuales!$E$105+parametros_manuales!$G$35*(datos_base!$D$5+IF(parametros_manuales!$H$35="Todos",datos_base!$D$12,0))*parametros_manuales!$E$110)*parametros_manuales!$I$35*parametros_manuales!$J$35</f>
        <v>1785.805</v>
      </c>
      <c r="F72" s="4">
        <f>(parametros_manuales!$D$35*(datos_base!$D$2+IF(parametros_manuales!$H$35="Todos",datos_base!$D$9,0))*parametros_manuales!$F$95+parametros_manuales!$E$35*(datos_base!$D$3+IF(parametros_manuales!$H$35="Todos",datos_base!$D$10,0))*parametros_manuales!$F$100+parametros_manuales!$F$35*(datos_base!$D$4+IF(parametros_manuales!$H$35="Todos",datos_base!$D$11,0))*parametros_manuales!$F$105+parametros_manuales!$G$35*(datos_base!$D$5+IF(parametros_manuales!$H$35="Todos",datos_base!$D$12,0))*parametros_manuales!$F$110)*parametros_manuales!$I$35*parametros_manuales!$J$35</f>
        <v>1672.22</v>
      </c>
      <c r="G72" s="4">
        <f>(parametros_manuales!$D$35*(datos_base!$D$2+IF(parametros_manuales!$H$35="Todos",datos_base!$D$9,0))*parametros_manuales!$G$95+parametros_manuales!$E$35*(datos_base!$D$3+IF(parametros_manuales!$H$35="Todos",datos_base!$D$10,0))*parametros_manuales!$G$100+parametros_manuales!$F$35*(datos_base!$D$4+IF(parametros_manuales!$H$35="Todos",datos_base!$D$11,0))*parametros_manuales!$G$105+parametros_manuales!$G$35*(datos_base!$D$5+IF(parametros_manuales!$H$35="Todos",datos_base!$D$12,0))*parametros_manuales!$G$110)*parametros_manuales!$I$35*parametros_manuales!$J$35</f>
        <v>1631.205</v>
      </c>
      <c r="H72" s="4">
        <f>(parametros_manuales!$D$35*(datos_base!$D$2+IF(parametros_manuales!$H$35="Todos",datos_base!$D$9,0))*parametros_manuales!$H$95+parametros_manuales!$E$35*(datos_base!$D$3+IF(parametros_manuales!$H$35="Todos",datos_base!$D$10,0))*parametros_manuales!$H$100+parametros_manuales!$F$35*(datos_base!$D$4+IF(parametros_manuales!$H$35="Todos",datos_base!$D$11,0))*parametros_manuales!$H$105+parametros_manuales!$G$35*(datos_base!$D$5+IF(parametros_manuales!$H$35="Todos",datos_base!$D$12,0))*parametros_manuales!$H$110)*parametros_manuales!$I$35*parametros_manuales!$J$35</f>
        <v>1744.79</v>
      </c>
      <c r="I72" s="4">
        <f>(parametros_manuales!$D$35*(datos_base!$D$2+IF(parametros_manuales!$H$35="Todos",datos_base!$D$9,0))*parametros_manuales!$I$95+parametros_manuales!$E$35*(datos_base!$D$3+IF(parametros_manuales!$H$35="Todos",datos_base!$D$10,0))*parametros_manuales!$I$100+parametros_manuales!$F$35*(datos_base!$D$4+IF(parametros_manuales!$H$35="Todos",datos_base!$D$11,0))*parametros_manuales!$I$105+parametros_manuales!$G$35*(datos_base!$D$5+IF(parametros_manuales!$H$35="Todos",datos_base!$D$12,0))*parametros_manuales!$I$110)*parametros_manuales!$I$35*parametros_manuales!$J$35</f>
        <v>1962.5</v>
      </c>
      <c r="J72" s="4">
        <f>(parametros_manuales!$D$35*(datos_base!$D$2+IF(parametros_manuales!$H$35="Todos",datos_base!$D$9,0))*parametros_manuales!$J$95+parametros_manuales!$E$35*(datos_base!$D$3+IF(parametros_manuales!$H$35="Todos",datos_base!$D$10,0))*parametros_manuales!$J$100+parametros_manuales!$F$35*(datos_base!$D$4+IF(parametros_manuales!$H$35="Todos",datos_base!$D$11,0))*parametros_manuales!$J$105+parametros_manuales!$G$35*(datos_base!$D$5+IF(parametros_manuales!$H$35="Todos",datos_base!$D$12,0))*parametros_manuales!$J$110)*parametros_manuales!$I$35*parametros_manuales!$J$35</f>
        <v>1962.5</v>
      </c>
      <c r="K72" s="4">
        <f>(parametros_manuales!$D$35*(datos_base!$D$2+IF(parametros_manuales!$H$35="Todos",datos_base!$D$9,0))*parametros_manuales!$K$95+parametros_manuales!$E$35*(datos_base!$D$3+IF(parametros_manuales!$H$35="Todos",datos_base!$D$10,0))*parametros_manuales!$K$100+parametros_manuales!$F$35*(datos_base!$D$4+IF(parametros_manuales!$H$35="Todos",datos_base!$D$11,0))*parametros_manuales!$K$105+parametros_manuales!$G$35*(datos_base!$D$5+IF(parametros_manuales!$H$35="Todos",datos_base!$D$12,0))*parametros_manuales!$K$110)*parametros_manuales!$I$35*parametros_manuales!$J$35</f>
        <v>2003.515</v>
      </c>
      <c r="L72" s="4">
        <f>(parametros_manuales!$D$35*(datos_base!$D$2+IF(parametros_manuales!$H$35="Todos",datos_base!$D$9,0))*parametros_manuales!$L$95+parametros_manuales!$E$35*(datos_base!$D$3+IF(parametros_manuales!$H$35="Todos",datos_base!$D$10,0))*parametros_manuales!$L$100+parametros_manuales!$F$35*(datos_base!$D$4+IF(parametros_manuales!$H$35="Todos",datos_base!$D$11,0))*parametros_manuales!$L$105+parametros_manuales!$G$35*(datos_base!$D$5+IF(parametros_manuales!$H$35="Todos",datos_base!$D$12,0))*parametros_manuales!$L$110)*parametros_manuales!$I$35*parametros_manuales!$J$35</f>
        <v>2044.53</v>
      </c>
      <c r="M72" s="4">
        <f>(parametros_manuales!$D$35*(datos_base!$D$2+IF(parametros_manuales!$H$35="Todos",datos_base!$D$9,0))*parametros_manuales!$M$95+parametros_manuales!$E$35*(datos_base!$D$3+IF(parametros_manuales!$H$35="Todos",datos_base!$D$10,0))*parametros_manuales!$M$100+parametros_manuales!$F$35*(datos_base!$D$4+IF(parametros_manuales!$H$35="Todos",datos_base!$D$11,0))*parametros_manuales!$M$105+parametros_manuales!$G$35*(datos_base!$D$5+IF(parametros_manuales!$H$35="Todos",datos_base!$D$12,0))*parametros_manuales!$M$110)*parametros_manuales!$I$35*parametros_manuales!$J$35</f>
        <v>2044.53</v>
      </c>
      <c r="N72" s="4">
        <f t="shared" si="7"/>
        <v>22717</v>
      </c>
      <c r="O72" s="4">
        <f t="shared" si="8"/>
        <v>2044.53</v>
      </c>
      <c r="P72" s="27">
        <f>O72/(parametros_manuales!$B$7)</f>
        <v>13.6302</v>
      </c>
      <c r="Q72" s="3" t="str">
        <f t="shared" si="9"/>
        <v>Ene</v>
      </c>
    </row>
    <row r="73" ht="14.25" customHeight="1">
      <c r="A73" s="3" t="str">
        <f>parametros_manuales!$B$36</f>
        <v>Corrección de defectos</v>
      </c>
      <c r="B73" s="4">
        <f>(parametros_manuales!$D$36*(datos_base!$D$2+IF(parametros_manuales!$H$36="Todos",datos_base!$D$9,0))*parametros_manuales!$B$95+parametros_manuales!$E$36*(datos_base!$D$3+IF(parametros_manuales!$H$36="Todos",datos_base!$D$10,0))*parametros_manuales!$B$100+parametros_manuales!$F$36*(datos_base!$D$4+IF(parametros_manuales!$H$36="Todos",datos_base!$D$11,0))*parametros_manuales!$B$105+parametros_manuales!$G$36*(datos_base!$D$5+IF(parametros_manuales!$H$36="Todos",datos_base!$D$12,0))*parametros_manuales!$B$110)*parametros_manuales!$I$36*parametros_manuales!$J$36</f>
        <v>102.2265</v>
      </c>
      <c r="C73" s="4">
        <f>(parametros_manuales!$D$36*(datos_base!$D$2+IF(parametros_manuales!$H$36="Todos",datos_base!$D$9,0))*parametros_manuales!$C$95+parametros_manuales!$E$36*(datos_base!$D$3+IF(parametros_manuales!$H$36="Todos",datos_base!$D$10,0))*parametros_manuales!$C$100+parametros_manuales!$F$36*(datos_base!$D$4+IF(parametros_manuales!$H$36="Todos",datos_base!$D$11,0))*parametros_manuales!$C$105+parametros_manuales!$G$36*(datos_base!$D$5+IF(parametros_manuales!$H$36="Todos",datos_base!$D$12,0))*parametros_manuales!$C$110)*parametros_manuales!$I$36*parametros_manuales!$J$36</f>
        <v>98.125</v>
      </c>
      <c r="D73" s="4">
        <f>(parametros_manuales!$D$36*(datos_base!$D$2+IF(parametros_manuales!$H$36="Todos",datos_base!$D$9,0))*parametros_manuales!$D$95+parametros_manuales!$E$36*(datos_base!$D$3+IF(parametros_manuales!$H$36="Todos",datos_base!$D$10,0))*parametros_manuales!$D$100+parametros_manuales!$F$36*(datos_base!$D$4+IF(parametros_manuales!$H$36="Todos",datos_base!$D$11,0))*parametros_manuales!$D$105+parametros_manuales!$G$36*(datos_base!$D$5+IF(parametros_manuales!$H$36="Todos",datos_base!$D$12,0))*parametros_manuales!$D$110)*parametros_manuales!$I$36*parametros_manuales!$J$36</f>
        <v>92.91875</v>
      </c>
      <c r="E73" s="4">
        <f>(parametros_manuales!$D$36*(datos_base!$D$2+IF(parametros_manuales!$H$36="Todos",datos_base!$D$9,0))*parametros_manuales!$E$95+parametros_manuales!$E$36*(datos_base!$D$3+IF(parametros_manuales!$H$36="Todos",datos_base!$D$10,0))*parametros_manuales!$E$100+parametros_manuales!$F$36*(datos_base!$D$4+IF(parametros_manuales!$H$36="Todos",datos_base!$D$11,0))*parametros_manuales!$E$105+parametros_manuales!$G$36*(datos_base!$D$5+IF(parametros_manuales!$H$36="Todos",datos_base!$D$12,0))*parametros_manuales!$E$110)*parametros_manuales!$I$36*parametros_manuales!$J$36</f>
        <v>89.29025</v>
      </c>
      <c r="F73" s="4">
        <f>(parametros_manuales!$D$36*(datos_base!$D$2+IF(parametros_manuales!$H$36="Todos",datos_base!$D$9,0))*parametros_manuales!$F$95+parametros_manuales!$E$36*(datos_base!$D$3+IF(parametros_manuales!$H$36="Todos",datos_base!$D$10,0))*parametros_manuales!$F$100+parametros_manuales!$F$36*(datos_base!$D$4+IF(parametros_manuales!$H$36="Todos",datos_base!$D$11,0))*parametros_manuales!$F$105+parametros_manuales!$G$36*(datos_base!$D$5+IF(parametros_manuales!$H$36="Todos",datos_base!$D$12,0))*parametros_manuales!$F$110)*parametros_manuales!$I$36*parametros_manuales!$J$36</f>
        <v>83.611</v>
      </c>
      <c r="G73" s="4">
        <f>(parametros_manuales!$D$36*(datos_base!$D$2+IF(parametros_manuales!$H$36="Todos",datos_base!$D$9,0))*parametros_manuales!$G$95+parametros_manuales!$E$36*(datos_base!$D$3+IF(parametros_manuales!$H$36="Todos",datos_base!$D$10,0))*parametros_manuales!$G$100+parametros_manuales!$F$36*(datos_base!$D$4+IF(parametros_manuales!$H$36="Todos",datos_base!$D$11,0))*parametros_manuales!$G$105+parametros_manuales!$G$36*(datos_base!$D$5+IF(parametros_manuales!$H$36="Todos",datos_base!$D$12,0))*parametros_manuales!$G$110)*parametros_manuales!$I$36*parametros_manuales!$J$36</f>
        <v>81.56025</v>
      </c>
      <c r="H73" s="4">
        <f>(parametros_manuales!$D$36*(datos_base!$D$2+IF(parametros_manuales!$H$36="Todos",datos_base!$D$9,0))*parametros_manuales!$H$95+parametros_manuales!$E$36*(datos_base!$D$3+IF(parametros_manuales!$H$36="Todos",datos_base!$D$10,0))*parametros_manuales!$H$100+parametros_manuales!$F$36*(datos_base!$D$4+IF(parametros_manuales!$H$36="Todos",datos_base!$D$11,0))*parametros_manuales!$H$105+parametros_manuales!$G$36*(datos_base!$D$5+IF(parametros_manuales!$H$36="Todos",datos_base!$D$12,0))*parametros_manuales!$H$110)*parametros_manuales!$I$36*parametros_manuales!$J$36</f>
        <v>87.2395</v>
      </c>
      <c r="I73" s="4">
        <f>(parametros_manuales!$D$36*(datos_base!$D$2+IF(parametros_manuales!$H$36="Todos",datos_base!$D$9,0))*parametros_manuales!$I$95+parametros_manuales!$E$36*(datos_base!$D$3+IF(parametros_manuales!$H$36="Todos",datos_base!$D$10,0))*parametros_manuales!$I$100+parametros_manuales!$F$36*(datos_base!$D$4+IF(parametros_manuales!$H$36="Todos",datos_base!$D$11,0))*parametros_manuales!$I$105+parametros_manuales!$G$36*(datos_base!$D$5+IF(parametros_manuales!$H$36="Todos",datos_base!$D$12,0))*parametros_manuales!$I$110)*parametros_manuales!$I$36*parametros_manuales!$J$36</f>
        <v>98.125</v>
      </c>
      <c r="J73" s="4">
        <f>(parametros_manuales!$D$36*(datos_base!$D$2+IF(parametros_manuales!$H$36="Todos",datos_base!$D$9,0))*parametros_manuales!$J$95+parametros_manuales!$E$36*(datos_base!$D$3+IF(parametros_manuales!$H$36="Todos",datos_base!$D$10,0))*parametros_manuales!$J$100+parametros_manuales!$F$36*(datos_base!$D$4+IF(parametros_manuales!$H$36="Todos",datos_base!$D$11,0))*parametros_manuales!$J$105+parametros_manuales!$G$36*(datos_base!$D$5+IF(parametros_manuales!$H$36="Todos",datos_base!$D$12,0))*parametros_manuales!$J$110)*parametros_manuales!$I$36*parametros_manuales!$J$36</f>
        <v>98.125</v>
      </c>
      <c r="K73" s="4">
        <f>(parametros_manuales!$D$36*(datos_base!$D$2+IF(parametros_manuales!$H$36="Todos",datos_base!$D$9,0))*parametros_manuales!$K$95+parametros_manuales!$E$36*(datos_base!$D$3+IF(parametros_manuales!$H$36="Todos",datos_base!$D$10,0))*parametros_manuales!$K$100+parametros_manuales!$F$36*(datos_base!$D$4+IF(parametros_manuales!$H$36="Todos",datos_base!$D$11,0))*parametros_manuales!$K$105+parametros_manuales!$G$36*(datos_base!$D$5+IF(parametros_manuales!$H$36="Todos",datos_base!$D$12,0))*parametros_manuales!$K$110)*parametros_manuales!$I$36*parametros_manuales!$J$36</f>
        <v>100.17575</v>
      </c>
      <c r="L73" s="4">
        <f>(parametros_manuales!$D$36*(datos_base!$D$2+IF(parametros_manuales!$H$36="Todos",datos_base!$D$9,0))*parametros_manuales!$L$95+parametros_manuales!$E$36*(datos_base!$D$3+IF(parametros_manuales!$H$36="Todos",datos_base!$D$10,0))*parametros_manuales!$L$100+parametros_manuales!$F$36*(datos_base!$D$4+IF(parametros_manuales!$H$36="Todos",datos_base!$D$11,0))*parametros_manuales!$L$105+parametros_manuales!$G$36*(datos_base!$D$5+IF(parametros_manuales!$H$36="Todos",datos_base!$D$12,0))*parametros_manuales!$L$110)*parametros_manuales!$I$36*parametros_manuales!$J$36</f>
        <v>102.2265</v>
      </c>
      <c r="M73" s="4">
        <f>(parametros_manuales!$D$36*(datos_base!$D$2+IF(parametros_manuales!$H$36="Todos",datos_base!$D$9,0))*parametros_manuales!$M$95+parametros_manuales!$E$36*(datos_base!$D$3+IF(parametros_manuales!$H$36="Todos",datos_base!$D$10,0))*parametros_manuales!$M$100+parametros_manuales!$F$36*(datos_base!$D$4+IF(parametros_manuales!$H$36="Todos",datos_base!$D$11,0))*parametros_manuales!$M$105+parametros_manuales!$G$36*(datos_base!$D$5+IF(parametros_manuales!$H$36="Todos",datos_base!$D$12,0))*parametros_manuales!$M$110)*parametros_manuales!$I$36*parametros_manuales!$J$36</f>
        <v>102.2265</v>
      </c>
      <c r="N73" s="4">
        <f t="shared" si="7"/>
        <v>1135.85</v>
      </c>
      <c r="O73" s="4">
        <f t="shared" si="8"/>
        <v>102.2265</v>
      </c>
      <c r="P73" s="27">
        <f>O73/(parametros_manuales!$B$7)</f>
        <v>0.68151</v>
      </c>
      <c r="Q73" s="3" t="str">
        <f t="shared" si="9"/>
        <v>Ene</v>
      </c>
    </row>
    <row r="74" ht="14.25" customHeight="1">
      <c r="A74" s="3" t="str">
        <f>parametros_manuales!$B$37</f>
        <v>Pintura en polvo + horno</v>
      </c>
      <c r="B74" s="4">
        <f>(parametros_manuales!$D$37*(datos_base!$D$2+IF(parametros_manuales!$H$37="Todos",datos_base!$D$9,0))*parametros_manuales!$B$95+parametros_manuales!$E$37*(datos_base!$D$3+IF(parametros_manuales!$H$37="Todos",datos_base!$D$10,0))*parametros_manuales!$B$100+parametros_manuales!$F$37*(datos_base!$D$4+IF(parametros_manuales!$H$37="Todos",datos_base!$D$11,0))*parametros_manuales!$B$105+parametros_manuales!$G$37*(datos_base!$D$5+IF(parametros_manuales!$H$37="Todos",datos_base!$D$12,0))*parametros_manuales!$B$110)*parametros_manuales!$I$37*parametros_manuales!$J$37</f>
        <v>2044.53</v>
      </c>
      <c r="C74" s="4">
        <f>(parametros_manuales!$D$37*(datos_base!$D$2+IF(parametros_manuales!$H$37="Todos",datos_base!$D$9,0))*parametros_manuales!$C$95+parametros_manuales!$E$37*(datos_base!$D$3+IF(parametros_manuales!$H$37="Todos",datos_base!$D$10,0))*parametros_manuales!$C$100+parametros_manuales!$F$37*(datos_base!$D$4+IF(parametros_manuales!$H$37="Todos",datos_base!$D$11,0))*parametros_manuales!$C$105+parametros_manuales!$G$37*(datos_base!$D$5+IF(parametros_manuales!$H$37="Todos",datos_base!$D$12,0))*parametros_manuales!$C$110)*parametros_manuales!$I$37*parametros_manuales!$J$37</f>
        <v>1962.5</v>
      </c>
      <c r="D74" s="4">
        <f>(parametros_manuales!$D$37*(datos_base!$D$2+IF(parametros_manuales!$H$37="Todos",datos_base!$D$9,0))*parametros_manuales!$D$95+parametros_manuales!$E$37*(datos_base!$D$3+IF(parametros_manuales!$H$37="Todos",datos_base!$D$10,0))*parametros_manuales!$D$100+parametros_manuales!$F$37*(datos_base!$D$4+IF(parametros_manuales!$H$37="Todos",datos_base!$D$11,0))*parametros_manuales!$D$105+parametros_manuales!$G$37*(datos_base!$D$5+IF(parametros_manuales!$H$37="Todos",datos_base!$D$12,0))*parametros_manuales!$D$110)*parametros_manuales!$I$37*parametros_manuales!$J$37</f>
        <v>1858.375</v>
      </c>
      <c r="E74" s="4">
        <f>(parametros_manuales!$D$37*(datos_base!$D$2+IF(parametros_manuales!$H$37="Todos",datos_base!$D$9,0))*parametros_manuales!$E$95+parametros_manuales!$E$37*(datos_base!$D$3+IF(parametros_manuales!$H$37="Todos",datos_base!$D$10,0))*parametros_manuales!$E$100+parametros_manuales!$F$37*(datos_base!$D$4+IF(parametros_manuales!$H$37="Todos",datos_base!$D$11,0))*parametros_manuales!$E$105+parametros_manuales!$G$37*(datos_base!$D$5+IF(parametros_manuales!$H$37="Todos",datos_base!$D$12,0))*parametros_manuales!$E$110)*parametros_manuales!$I$37*parametros_manuales!$J$37</f>
        <v>1785.805</v>
      </c>
      <c r="F74" s="4">
        <f>(parametros_manuales!$D$37*(datos_base!$D$2+IF(parametros_manuales!$H$37="Todos",datos_base!$D$9,0))*parametros_manuales!$F$95+parametros_manuales!$E$37*(datos_base!$D$3+IF(parametros_manuales!$H$37="Todos",datos_base!$D$10,0))*parametros_manuales!$F$100+parametros_manuales!$F$37*(datos_base!$D$4+IF(parametros_manuales!$H$37="Todos",datos_base!$D$11,0))*parametros_manuales!$F$105+parametros_manuales!$G$37*(datos_base!$D$5+IF(parametros_manuales!$H$37="Todos",datos_base!$D$12,0))*parametros_manuales!$F$110)*parametros_manuales!$I$37*parametros_manuales!$J$37</f>
        <v>1672.22</v>
      </c>
      <c r="G74" s="4">
        <f>(parametros_manuales!$D$37*(datos_base!$D$2+IF(parametros_manuales!$H$37="Todos",datos_base!$D$9,0))*parametros_manuales!$G$95+parametros_manuales!$E$37*(datos_base!$D$3+IF(parametros_manuales!$H$37="Todos",datos_base!$D$10,0))*parametros_manuales!$G$100+parametros_manuales!$F$37*(datos_base!$D$4+IF(parametros_manuales!$H$37="Todos",datos_base!$D$11,0))*parametros_manuales!$G$105+parametros_manuales!$G$37*(datos_base!$D$5+IF(parametros_manuales!$H$37="Todos",datos_base!$D$12,0))*parametros_manuales!$G$110)*parametros_manuales!$I$37*parametros_manuales!$J$37</f>
        <v>1631.205</v>
      </c>
      <c r="H74" s="4">
        <f>(parametros_manuales!$D$37*(datos_base!$D$2+IF(parametros_manuales!$H$37="Todos",datos_base!$D$9,0))*parametros_manuales!$H$95+parametros_manuales!$E$37*(datos_base!$D$3+IF(parametros_manuales!$H$37="Todos",datos_base!$D$10,0))*parametros_manuales!$H$100+parametros_manuales!$F$37*(datos_base!$D$4+IF(parametros_manuales!$H$37="Todos",datos_base!$D$11,0))*parametros_manuales!$H$105+parametros_manuales!$G$37*(datos_base!$D$5+IF(parametros_manuales!$H$37="Todos",datos_base!$D$12,0))*parametros_manuales!$H$110)*parametros_manuales!$I$37*parametros_manuales!$J$37</f>
        <v>1744.79</v>
      </c>
      <c r="I74" s="4">
        <f>(parametros_manuales!$D$37*(datos_base!$D$2+IF(parametros_manuales!$H$37="Todos",datos_base!$D$9,0))*parametros_manuales!$I$95+parametros_manuales!$E$37*(datos_base!$D$3+IF(parametros_manuales!$H$37="Todos",datos_base!$D$10,0))*parametros_manuales!$I$100+parametros_manuales!$F$37*(datos_base!$D$4+IF(parametros_manuales!$H$37="Todos",datos_base!$D$11,0))*parametros_manuales!$I$105+parametros_manuales!$G$37*(datos_base!$D$5+IF(parametros_manuales!$H$37="Todos",datos_base!$D$12,0))*parametros_manuales!$I$110)*parametros_manuales!$I$37*parametros_manuales!$J$37</f>
        <v>1962.5</v>
      </c>
      <c r="J74" s="4">
        <f>(parametros_manuales!$D$37*(datos_base!$D$2+IF(parametros_manuales!$H$37="Todos",datos_base!$D$9,0))*parametros_manuales!$J$95+parametros_manuales!$E$37*(datos_base!$D$3+IF(parametros_manuales!$H$37="Todos",datos_base!$D$10,0))*parametros_manuales!$J$100+parametros_manuales!$F$37*(datos_base!$D$4+IF(parametros_manuales!$H$37="Todos",datos_base!$D$11,0))*parametros_manuales!$J$105+parametros_manuales!$G$37*(datos_base!$D$5+IF(parametros_manuales!$H$37="Todos",datos_base!$D$12,0))*parametros_manuales!$J$110)*parametros_manuales!$I$37*parametros_manuales!$J$37</f>
        <v>1962.5</v>
      </c>
      <c r="K74" s="4">
        <f>(parametros_manuales!$D$37*(datos_base!$D$2+IF(parametros_manuales!$H$37="Todos",datos_base!$D$9,0))*parametros_manuales!$K$95+parametros_manuales!$E$37*(datos_base!$D$3+IF(parametros_manuales!$H$37="Todos",datos_base!$D$10,0))*parametros_manuales!$K$100+parametros_manuales!$F$37*(datos_base!$D$4+IF(parametros_manuales!$H$37="Todos",datos_base!$D$11,0))*parametros_manuales!$K$105+parametros_manuales!$G$37*(datos_base!$D$5+IF(parametros_manuales!$H$37="Todos",datos_base!$D$12,0))*parametros_manuales!$K$110)*parametros_manuales!$I$37*parametros_manuales!$J$37</f>
        <v>2003.515</v>
      </c>
      <c r="L74" s="4">
        <f>(parametros_manuales!$D$37*(datos_base!$D$2+IF(parametros_manuales!$H$37="Todos",datos_base!$D$9,0))*parametros_manuales!$L$95+parametros_manuales!$E$37*(datos_base!$D$3+IF(parametros_manuales!$H$37="Todos",datos_base!$D$10,0))*parametros_manuales!$L$100+parametros_manuales!$F$37*(datos_base!$D$4+IF(parametros_manuales!$H$37="Todos",datos_base!$D$11,0))*parametros_manuales!$L$105+parametros_manuales!$G$37*(datos_base!$D$5+IF(parametros_manuales!$H$37="Todos",datos_base!$D$12,0))*parametros_manuales!$L$110)*parametros_manuales!$I$37*parametros_manuales!$J$37</f>
        <v>2044.53</v>
      </c>
      <c r="M74" s="4">
        <f>(parametros_manuales!$D$37*(datos_base!$D$2+IF(parametros_manuales!$H$37="Todos",datos_base!$D$9,0))*parametros_manuales!$M$95+parametros_manuales!$E$37*(datos_base!$D$3+IF(parametros_manuales!$H$37="Todos",datos_base!$D$10,0))*parametros_manuales!$M$100+parametros_manuales!$F$37*(datos_base!$D$4+IF(parametros_manuales!$H$37="Todos",datos_base!$D$11,0))*parametros_manuales!$M$105+parametros_manuales!$G$37*(datos_base!$D$5+IF(parametros_manuales!$H$37="Todos",datos_base!$D$12,0))*parametros_manuales!$M$110)*parametros_manuales!$I$37*parametros_manuales!$J$37</f>
        <v>2044.53</v>
      </c>
      <c r="N74" s="4">
        <f t="shared" si="7"/>
        <v>22717</v>
      </c>
      <c r="O74" s="4">
        <f t="shared" si="8"/>
        <v>2044.53</v>
      </c>
      <c r="P74" s="27">
        <f>O74/(parametros_manuales!$B$7)</f>
        <v>13.6302</v>
      </c>
      <c r="Q74" s="3" t="str">
        <f t="shared" si="9"/>
        <v>Ene</v>
      </c>
    </row>
    <row r="75" ht="14.25" customHeight="1">
      <c r="A75" s="3" t="str">
        <f>parametros_manuales!$B$38</f>
        <v>Carga de polvo</v>
      </c>
      <c r="B75" s="4">
        <f>(parametros_manuales!$D$38*(datos_base!$D$2+IF(parametros_manuales!$H$38="Todos",datos_base!$D$9,0))*parametros_manuales!$B$95+parametros_manuales!$E$38*(datos_base!$D$3+IF(parametros_manuales!$H$38="Todos",datos_base!$D$10,0))*parametros_manuales!$B$100+parametros_manuales!$F$38*(datos_base!$D$4+IF(parametros_manuales!$H$38="Todos",datos_base!$D$11,0))*parametros_manuales!$B$105+parametros_manuales!$G$38*(datos_base!$D$5+IF(parametros_manuales!$H$38="Todos",datos_base!$D$12,0))*parametros_manuales!$B$110)*parametros_manuales!$I$38*parametros_manuales!$J$38</f>
        <v>1186.74</v>
      </c>
      <c r="C75" s="4">
        <f>(parametros_manuales!$D$38*(datos_base!$D$2+IF(parametros_manuales!$H$38="Todos",datos_base!$D$9,0))*parametros_manuales!$C$95+parametros_manuales!$E$38*(datos_base!$D$3+IF(parametros_manuales!$H$38="Todos",datos_base!$D$10,0))*parametros_manuales!$C$100+parametros_manuales!$F$38*(datos_base!$D$4+IF(parametros_manuales!$H$38="Todos",datos_base!$D$11,0))*parametros_manuales!$C$105+parametros_manuales!$G$38*(datos_base!$D$5+IF(parametros_manuales!$H$38="Todos",datos_base!$D$12,0))*parametros_manuales!$C$110)*parametros_manuales!$I$38*parametros_manuales!$J$38</f>
        <v>1123.4</v>
      </c>
      <c r="D75" s="4">
        <f>(parametros_manuales!$D$38*(datos_base!$D$2+IF(parametros_manuales!$H$38="Todos",datos_base!$D$9,0))*parametros_manuales!$D$95+parametros_manuales!$E$38*(datos_base!$D$3+IF(parametros_manuales!$H$38="Todos",datos_base!$D$10,0))*parametros_manuales!$D$100+parametros_manuales!$F$38*(datos_base!$D$4+IF(parametros_manuales!$H$38="Todos",datos_base!$D$11,0))*parametros_manuales!$D$105+parametros_manuales!$G$38*(datos_base!$D$5+IF(parametros_manuales!$H$38="Todos",datos_base!$D$12,0))*parametros_manuales!$D$110)*parametros_manuales!$I$38*parametros_manuales!$J$38</f>
        <v>1086.55</v>
      </c>
      <c r="E75" s="4">
        <f>(parametros_manuales!$D$38*(datos_base!$D$2+IF(parametros_manuales!$H$38="Todos",datos_base!$D$9,0))*parametros_manuales!$E$95+parametros_manuales!$E$38*(datos_base!$D$3+IF(parametros_manuales!$H$38="Todos",datos_base!$D$10,0))*parametros_manuales!$E$100+parametros_manuales!$F$38*(datos_base!$D$4+IF(parametros_manuales!$H$38="Todos",datos_base!$D$11,0))*parametros_manuales!$E$105+parametros_manuales!$G$38*(datos_base!$D$5+IF(parametros_manuales!$H$38="Todos",datos_base!$D$12,0))*parametros_manuales!$E$110)*parametros_manuales!$I$38*parametros_manuales!$J$38</f>
        <v>1052.29</v>
      </c>
      <c r="F75" s="4">
        <f>(parametros_manuales!$D$38*(datos_base!$D$2+IF(parametros_manuales!$H$38="Todos",datos_base!$D$9,0))*parametros_manuales!$F$95+parametros_manuales!$E$38*(datos_base!$D$3+IF(parametros_manuales!$H$38="Todos",datos_base!$D$10,0))*parametros_manuales!$F$100+parametros_manuales!$F$38*(datos_base!$D$4+IF(parametros_manuales!$H$38="Todos",datos_base!$D$11,0))*parametros_manuales!$F$105+parametros_manuales!$G$38*(datos_base!$D$5+IF(parametros_manuales!$H$38="Todos",datos_base!$D$12,0))*parametros_manuales!$F$110)*parametros_manuales!$I$38*parametros_manuales!$J$38</f>
        <v>986.36</v>
      </c>
      <c r="G75" s="4">
        <f>(parametros_manuales!$D$38*(datos_base!$D$2+IF(parametros_manuales!$H$38="Todos",datos_base!$D$9,0))*parametros_manuales!$G$95+parametros_manuales!$E$38*(datos_base!$D$3+IF(parametros_manuales!$H$38="Todos",datos_base!$D$10,0))*parametros_manuales!$G$100+parametros_manuales!$F$38*(datos_base!$D$4+IF(parametros_manuales!$H$38="Todos",datos_base!$D$11,0))*parametros_manuales!$G$105+parametros_manuales!$G$38*(datos_base!$D$5+IF(parametros_manuales!$H$38="Todos",datos_base!$D$12,0))*parametros_manuales!$G$110)*parametros_manuales!$I$38*parametros_manuales!$J$38</f>
        <v>954.69</v>
      </c>
      <c r="H75" s="4">
        <f>(parametros_manuales!$D$38*(datos_base!$D$2+IF(parametros_manuales!$H$38="Todos",datos_base!$D$9,0))*parametros_manuales!$H$95+parametros_manuales!$E$38*(datos_base!$D$3+IF(parametros_manuales!$H$38="Todos",datos_base!$D$10,0))*parametros_manuales!$H$100+parametros_manuales!$F$38*(datos_base!$D$4+IF(parametros_manuales!$H$38="Todos",datos_base!$D$11,0))*parametros_manuales!$H$105+parametros_manuales!$G$38*(datos_base!$D$5+IF(parametros_manuales!$H$38="Todos",datos_base!$D$12,0))*parametros_manuales!$H$110)*parametros_manuales!$I$38*parametros_manuales!$J$38</f>
        <v>1020.62</v>
      </c>
      <c r="I75" s="4">
        <f>(parametros_manuales!$D$38*(datos_base!$D$2+IF(parametros_manuales!$H$38="Todos",datos_base!$D$9,0))*parametros_manuales!$I$95+parametros_manuales!$E$38*(datos_base!$D$3+IF(parametros_manuales!$H$38="Todos",datos_base!$D$10,0))*parametros_manuales!$I$100+parametros_manuales!$F$38*(datos_base!$D$4+IF(parametros_manuales!$H$38="Todos",datos_base!$D$11,0))*parametros_manuales!$I$105+parametros_manuales!$G$38*(datos_base!$D$5+IF(parametros_manuales!$H$38="Todos",datos_base!$D$12,0))*parametros_manuales!$I$110)*parametros_manuales!$I$38*parametros_manuales!$J$38</f>
        <v>1123.4</v>
      </c>
      <c r="J75" s="4">
        <f>(parametros_manuales!$D$38*(datos_base!$D$2+IF(parametros_manuales!$H$38="Todos",datos_base!$D$9,0))*parametros_manuales!$J$95+parametros_manuales!$E$38*(datos_base!$D$3+IF(parametros_manuales!$H$38="Todos",datos_base!$D$10,0))*parametros_manuales!$J$100+parametros_manuales!$F$38*(datos_base!$D$4+IF(parametros_manuales!$H$38="Todos",datos_base!$D$11,0))*parametros_manuales!$J$105+parametros_manuales!$G$38*(datos_base!$D$5+IF(parametros_manuales!$H$38="Todos",datos_base!$D$12,0))*parametros_manuales!$J$110)*parametros_manuales!$I$38*parametros_manuales!$J$38</f>
        <v>1123.4</v>
      </c>
      <c r="K75" s="4">
        <f>(parametros_manuales!$D$38*(datos_base!$D$2+IF(parametros_manuales!$H$38="Todos",datos_base!$D$9,0))*parametros_manuales!$K$95+parametros_manuales!$E$38*(datos_base!$D$3+IF(parametros_manuales!$H$38="Todos",datos_base!$D$10,0))*parametros_manuales!$K$100+parametros_manuales!$F$38*(datos_base!$D$4+IF(parametros_manuales!$H$38="Todos",datos_base!$D$11,0))*parametros_manuales!$K$105+parametros_manuales!$G$38*(datos_base!$D$5+IF(parametros_manuales!$H$38="Todos",datos_base!$D$12,0))*parametros_manuales!$K$110)*parametros_manuales!$I$38*parametros_manuales!$J$38</f>
        <v>1155.07</v>
      </c>
      <c r="L75" s="4">
        <f>(parametros_manuales!$D$38*(datos_base!$D$2+IF(parametros_manuales!$H$38="Todos",datos_base!$D$9,0))*parametros_manuales!$L$95+parametros_manuales!$E$38*(datos_base!$D$3+IF(parametros_manuales!$H$38="Todos",datos_base!$D$10,0))*parametros_manuales!$L$100+parametros_manuales!$F$38*(datos_base!$D$4+IF(parametros_manuales!$H$38="Todos",datos_base!$D$11,0))*parametros_manuales!$L$105+parametros_manuales!$G$38*(datos_base!$D$5+IF(parametros_manuales!$H$38="Todos",datos_base!$D$12,0))*parametros_manuales!$L$110)*parametros_manuales!$I$38*parametros_manuales!$J$38</f>
        <v>1186.74</v>
      </c>
      <c r="M75" s="4">
        <f>(parametros_manuales!$D$38*(datos_base!$D$2+IF(parametros_manuales!$H$38="Todos",datos_base!$D$9,0))*parametros_manuales!$M$95+parametros_manuales!$E$38*(datos_base!$D$3+IF(parametros_manuales!$H$38="Todos",datos_base!$D$10,0))*parametros_manuales!$M$100+parametros_manuales!$F$38*(datos_base!$D$4+IF(parametros_manuales!$H$38="Todos",datos_base!$D$11,0))*parametros_manuales!$M$105+parametros_manuales!$G$38*(datos_base!$D$5+IF(parametros_manuales!$H$38="Todos",datos_base!$D$12,0))*parametros_manuales!$M$110)*parametros_manuales!$I$38*parametros_manuales!$J$38</f>
        <v>1186.74</v>
      </c>
      <c r="N75" s="4">
        <f t="shared" si="7"/>
        <v>13186</v>
      </c>
      <c r="O75" s="4">
        <f t="shared" si="8"/>
        <v>1186.74</v>
      </c>
      <c r="P75" s="27">
        <f>O75/(parametros_manuales!$B$7)</f>
        <v>7.9116</v>
      </c>
      <c r="Q75" s="3" t="str">
        <f t="shared" si="9"/>
        <v>Ene</v>
      </c>
    </row>
    <row r="76" ht="14.25" customHeight="1">
      <c r="A76" s="3" t="str">
        <f>parametros_manuales!$B$39</f>
        <v>Ensamblaje</v>
      </c>
      <c r="B76" s="4">
        <f>(parametros_manuales!$D$39*(datos_base!$D$2+IF(parametros_manuales!$H$39="Todos",datos_base!$D$9,0))*parametros_manuales!$B$95+parametros_manuales!$E$39*(datos_base!$D$3+IF(parametros_manuales!$H$39="Todos",datos_base!$D$10,0))*parametros_manuales!$B$100+parametros_manuales!$F$39*(datos_base!$D$4+IF(parametros_manuales!$H$39="Todos",datos_base!$D$11,0))*parametros_manuales!$B$105+parametros_manuales!$G$39*(datos_base!$D$5+IF(parametros_manuales!$H$39="Todos",datos_base!$D$12,0))*parametros_manuales!$B$110)*parametros_manuales!$I$39*parametros_manuales!$J$39</f>
        <v>1186.74</v>
      </c>
      <c r="C76" s="4">
        <f>(parametros_manuales!$D$39*(datos_base!$D$2+IF(parametros_manuales!$H$39="Todos",datos_base!$D$9,0))*parametros_manuales!$C$95+parametros_manuales!$E$39*(datos_base!$D$3+IF(parametros_manuales!$H$39="Todos",datos_base!$D$10,0))*parametros_manuales!$C$100+parametros_manuales!$F$39*(datos_base!$D$4+IF(parametros_manuales!$H$39="Todos",datos_base!$D$11,0))*parametros_manuales!$C$105+parametros_manuales!$G$39*(datos_base!$D$5+IF(parametros_manuales!$H$39="Todos",datos_base!$D$12,0))*parametros_manuales!$C$110)*parametros_manuales!$I$39*parametros_manuales!$J$39</f>
        <v>1123.4</v>
      </c>
      <c r="D76" s="4">
        <f>(parametros_manuales!$D$39*(datos_base!$D$2+IF(parametros_manuales!$H$39="Todos",datos_base!$D$9,0))*parametros_manuales!$D$95+parametros_manuales!$E$39*(datos_base!$D$3+IF(parametros_manuales!$H$39="Todos",datos_base!$D$10,0))*parametros_manuales!$D$100+parametros_manuales!$F$39*(datos_base!$D$4+IF(parametros_manuales!$H$39="Todos",datos_base!$D$11,0))*parametros_manuales!$D$105+parametros_manuales!$G$39*(datos_base!$D$5+IF(parametros_manuales!$H$39="Todos",datos_base!$D$12,0))*parametros_manuales!$D$110)*parametros_manuales!$I$39*parametros_manuales!$J$39</f>
        <v>1086.55</v>
      </c>
      <c r="E76" s="4">
        <f>(parametros_manuales!$D$39*(datos_base!$D$2+IF(parametros_manuales!$H$39="Todos",datos_base!$D$9,0))*parametros_manuales!$E$95+parametros_manuales!$E$39*(datos_base!$D$3+IF(parametros_manuales!$H$39="Todos",datos_base!$D$10,0))*parametros_manuales!$E$100+parametros_manuales!$F$39*(datos_base!$D$4+IF(parametros_manuales!$H$39="Todos",datos_base!$D$11,0))*parametros_manuales!$E$105+parametros_manuales!$G$39*(datos_base!$D$5+IF(parametros_manuales!$H$39="Todos",datos_base!$D$12,0))*parametros_manuales!$E$110)*parametros_manuales!$I$39*parametros_manuales!$J$39</f>
        <v>1052.29</v>
      </c>
      <c r="F76" s="4">
        <f>(parametros_manuales!$D$39*(datos_base!$D$2+IF(parametros_manuales!$H$39="Todos",datos_base!$D$9,0))*parametros_manuales!$F$95+parametros_manuales!$E$39*(datos_base!$D$3+IF(parametros_manuales!$H$39="Todos",datos_base!$D$10,0))*parametros_manuales!$F$100+parametros_manuales!$F$39*(datos_base!$D$4+IF(parametros_manuales!$H$39="Todos",datos_base!$D$11,0))*parametros_manuales!$F$105+parametros_manuales!$G$39*(datos_base!$D$5+IF(parametros_manuales!$H$39="Todos",datos_base!$D$12,0))*parametros_manuales!$F$110)*parametros_manuales!$I$39*parametros_manuales!$J$39</f>
        <v>986.36</v>
      </c>
      <c r="G76" s="4">
        <f>(parametros_manuales!$D$39*(datos_base!$D$2+IF(parametros_manuales!$H$39="Todos",datos_base!$D$9,0))*parametros_manuales!$G$95+parametros_manuales!$E$39*(datos_base!$D$3+IF(parametros_manuales!$H$39="Todos",datos_base!$D$10,0))*parametros_manuales!$G$100+parametros_manuales!$F$39*(datos_base!$D$4+IF(parametros_manuales!$H$39="Todos",datos_base!$D$11,0))*parametros_manuales!$G$105+parametros_manuales!$G$39*(datos_base!$D$5+IF(parametros_manuales!$H$39="Todos",datos_base!$D$12,0))*parametros_manuales!$G$110)*parametros_manuales!$I$39*parametros_manuales!$J$39</f>
        <v>954.69</v>
      </c>
      <c r="H76" s="4">
        <f>(parametros_manuales!$D$39*(datos_base!$D$2+IF(parametros_manuales!$H$39="Todos",datos_base!$D$9,0))*parametros_manuales!$H$95+parametros_manuales!$E$39*(datos_base!$D$3+IF(parametros_manuales!$H$39="Todos",datos_base!$D$10,0))*parametros_manuales!$H$100+parametros_manuales!$F$39*(datos_base!$D$4+IF(parametros_manuales!$H$39="Todos",datos_base!$D$11,0))*parametros_manuales!$H$105+parametros_manuales!$G$39*(datos_base!$D$5+IF(parametros_manuales!$H$39="Todos",datos_base!$D$12,0))*parametros_manuales!$H$110)*parametros_manuales!$I$39*parametros_manuales!$J$39</f>
        <v>1020.62</v>
      </c>
      <c r="I76" s="4">
        <f>(parametros_manuales!$D$39*(datos_base!$D$2+IF(parametros_manuales!$H$39="Todos",datos_base!$D$9,0))*parametros_manuales!$I$95+parametros_manuales!$E$39*(datos_base!$D$3+IF(parametros_manuales!$H$39="Todos",datos_base!$D$10,0))*parametros_manuales!$I$100+parametros_manuales!$F$39*(datos_base!$D$4+IF(parametros_manuales!$H$39="Todos",datos_base!$D$11,0))*parametros_manuales!$I$105+parametros_manuales!$G$39*(datos_base!$D$5+IF(parametros_manuales!$H$39="Todos",datos_base!$D$12,0))*parametros_manuales!$I$110)*parametros_manuales!$I$39*parametros_manuales!$J$39</f>
        <v>1123.4</v>
      </c>
      <c r="J76" s="4">
        <f>(parametros_manuales!$D$39*(datos_base!$D$2+IF(parametros_manuales!$H$39="Todos",datos_base!$D$9,0))*parametros_manuales!$J$95+parametros_manuales!$E$39*(datos_base!$D$3+IF(parametros_manuales!$H$39="Todos",datos_base!$D$10,0))*parametros_manuales!$J$100+parametros_manuales!$F$39*(datos_base!$D$4+IF(parametros_manuales!$H$39="Todos",datos_base!$D$11,0))*parametros_manuales!$J$105+parametros_manuales!$G$39*(datos_base!$D$5+IF(parametros_manuales!$H$39="Todos",datos_base!$D$12,0))*parametros_manuales!$J$110)*parametros_manuales!$I$39*parametros_manuales!$J$39</f>
        <v>1123.4</v>
      </c>
      <c r="K76" s="4">
        <f>(parametros_manuales!$D$39*(datos_base!$D$2+IF(parametros_manuales!$H$39="Todos",datos_base!$D$9,0))*parametros_manuales!$K$95+parametros_manuales!$E$39*(datos_base!$D$3+IF(parametros_manuales!$H$39="Todos",datos_base!$D$10,0))*parametros_manuales!$K$100+parametros_manuales!$F$39*(datos_base!$D$4+IF(parametros_manuales!$H$39="Todos",datos_base!$D$11,0))*parametros_manuales!$K$105+parametros_manuales!$G$39*(datos_base!$D$5+IF(parametros_manuales!$H$39="Todos",datos_base!$D$12,0))*parametros_manuales!$K$110)*parametros_manuales!$I$39*parametros_manuales!$J$39</f>
        <v>1155.07</v>
      </c>
      <c r="L76" s="4">
        <f>(parametros_manuales!$D$39*(datos_base!$D$2+IF(parametros_manuales!$H$39="Todos",datos_base!$D$9,0))*parametros_manuales!$L$95+parametros_manuales!$E$39*(datos_base!$D$3+IF(parametros_manuales!$H$39="Todos",datos_base!$D$10,0))*parametros_manuales!$L$100+parametros_manuales!$F$39*(datos_base!$D$4+IF(parametros_manuales!$H$39="Todos",datos_base!$D$11,0))*parametros_manuales!$L$105+parametros_manuales!$G$39*(datos_base!$D$5+IF(parametros_manuales!$H$39="Todos",datos_base!$D$12,0))*parametros_manuales!$L$110)*parametros_manuales!$I$39*parametros_manuales!$J$39</f>
        <v>1186.74</v>
      </c>
      <c r="M76" s="4">
        <f>(parametros_manuales!$D$39*(datos_base!$D$2+IF(parametros_manuales!$H$39="Todos",datos_base!$D$9,0))*parametros_manuales!$M$95+parametros_manuales!$E$39*(datos_base!$D$3+IF(parametros_manuales!$H$39="Todos",datos_base!$D$10,0))*parametros_manuales!$M$100+parametros_manuales!$F$39*(datos_base!$D$4+IF(parametros_manuales!$H$39="Todos",datos_base!$D$11,0))*parametros_manuales!$M$105+parametros_manuales!$G$39*(datos_base!$D$5+IF(parametros_manuales!$H$39="Todos",datos_base!$D$12,0))*parametros_manuales!$M$110)*parametros_manuales!$I$39*parametros_manuales!$J$39</f>
        <v>1186.74</v>
      </c>
      <c r="N76" s="4">
        <f t="shared" si="7"/>
        <v>13186</v>
      </c>
      <c r="O76" s="4">
        <f t="shared" si="8"/>
        <v>1186.74</v>
      </c>
      <c r="P76" s="27">
        <f>O76/(parametros_manuales!$B$7)</f>
        <v>7.9116</v>
      </c>
      <c r="Q76" s="3" t="str">
        <f t="shared" si="9"/>
        <v>Ene</v>
      </c>
    </row>
    <row r="77" ht="14.25" customHeight="1">
      <c r="A77" s="3" t="str">
        <f>parametros_manuales!$B$40</f>
        <v>Presurización</v>
      </c>
      <c r="B77" s="4">
        <f>(parametros_manuales!$D$40*(datos_base!$D$2+IF(parametros_manuales!$H$40="Todos",datos_base!$D$9,0))*parametros_manuales!$B$95+parametros_manuales!$E$40*(datos_base!$D$3+IF(parametros_manuales!$H$40="Todos",datos_base!$D$10,0))*parametros_manuales!$B$100+parametros_manuales!$F$40*(datos_base!$D$4+IF(parametros_manuales!$H$40="Todos",datos_base!$D$11,0))*parametros_manuales!$B$105+parametros_manuales!$G$40*(datos_base!$D$5+IF(parametros_manuales!$H$40="Todos",datos_base!$D$12,0))*parametros_manuales!$B$110)*parametros_manuales!$I$40*parametros_manuales!$J$40</f>
        <v>1186.74</v>
      </c>
      <c r="C77" s="4">
        <f>(parametros_manuales!$D$40*(datos_base!$D$2+IF(parametros_manuales!$H$40="Todos",datos_base!$D$9,0))*parametros_manuales!$C$95+parametros_manuales!$E$40*(datos_base!$D$3+IF(parametros_manuales!$H$40="Todos",datos_base!$D$10,0))*parametros_manuales!$C$100+parametros_manuales!$F$40*(datos_base!$D$4+IF(parametros_manuales!$H$40="Todos",datos_base!$D$11,0))*parametros_manuales!$C$105+parametros_manuales!$G$40*(datos_base!$D$5+IF(parametros_manuales!$H$40="Todos",datos_base!$D$12,0))*parametros_manuales!$C$110)*parametros_manuales!$I$40*parametros_manuales!$J$40</f>
        <v>1123.4</v>
      </c>
      <c r="D77" s="4">
        <f>(parametros_manuales!$D$40*(datos_base!$D$2+IF(parametros_manuales!$H$40="Todos",datos_base!$D$9,0))*parametros_manuales!$D$95+parametros_manuales!$E$40*(datos_base!$D$3+IF(parametros_manuales!$H$40="Todos",datos_base!$D$10,0))*parametros_manuales!$D$100+parametros_manuales!$F$40*(datos_base!$D$4+IF(parametros_manuales!$H$40="Todos",datos_base!$D$11,0))*parametros_manuales!$D$105+parametros_manuales!$G$40*(datos_base!$D$5+IF(parametros_manuales!$H$40="Todos",datos_base!$D$12,0))*parametros_manuales!$D$110)*parametros_manuales!$I$40*parametros_manuales!$J$40</f>
        <v>1086.55</v>
      </c>
      <c r="E77" s="4">
        <f>(parametros_manuales!$D$40*(datos_base!$D$2+IF(parametros_manuales!$H$40="Todos",datos_base!$D$9,0))*parametros_manuales!$E$95+parametros_manuales!$E$40*(datos_base!$D$3+IF(parametros_manuales!$H$40="Todos",datos_base!$D$10,0))*parametros_manuales!$E$100+parametros_manuales!$F$40*(datos_base!$D$4+IF(parametros_manuales!$H$40="Todos",datos_base!$D$11,0))*parametros_manuales!$E$105+parametros_manuales!$G$40*(datos_base!$D$5+IF(parametros_manuales!$H$40="Todos",datos_base!$D$12,0))*parametros_manuales!$E$110)*parametros_manuales!$I$40*parametros_manuales!$J$40</f>
        <v>1052.29</v>
      </c>
      <c r="F77" s="4">
        <f>(parametros_manuales!$D$40*(datos_base!$D$2+IF(parametros_manuales!$H$40="Todos",datos_base!$D$9,0))*parametros_manuales!$F$95+parametros_manuales!$E$40*(datos_base!$D$3+IF(parametros_manuales!$H$40="Todos",datos_base!$D$10,0))*parametros_manuales!$F$100+parametros_manuales!$F$40*(datos_base!$D$4+IF(parametros_manuales!$H$40="Todos",datos_base!$D$11,0))*parametros_manuales!$F$105+parametros_manuales!$G$40*(datos_base!$D$5+IF(parametros_manuales!$H$40="Todos",datos_base!$D$12,0))*parametros_manuales!$F$110)*parametros_manuales!$I$40*parametros_manuales!$J$40</f>
        <v>986.36</v>
      </c>
      <c r="G77" s="4">
        <f>(parametros_manuales!$D$40*(datos_base!$D$2+IF(parametros_manuales!$H$40="Todos",datos_base!$D$9,0))*parametros_manuales!$G$95+parametros_manuales!$E$40*(datos_base!$D$3+IF(parametros_manuales!$H$40="Todos",datos_base!$D$10,0))*parametros_manuales!$G$100+parametros_manuales!$F$40*(datos_base!$D$4+IF(parametros_manuales!$H$40="Todos",datos_base!$D$11,0))*parametros_manuales!$G$105+parametros_manuales!$G$40*(datos_base!$D$5+IF(parametros_manuales!$H$40="Todos",datos_base!$D$12,0))*parametros_manuales!$G$110)*parametros_manuales!$I$40*parametros_manuales!$J$40</f>
        <v>954.69</v>
      </c>
      <c r="H77" s="4">
        <f>(parametros_manuales!$D$40*(datos_base!$D$2+IF(parametros_manuales!$H$40="Todos",datos_base!$D$9,0))*parametros_manuales!$H$95+parametros_manuales!$E$40*(datos_base!$D$3+IF(parametros_manuales!$H$40="Todos",datos_base!$D$10,0))*parametros_manuales!$H$100+parametros_manuales!$F$40*(datos_base!$D$4+IF(parametros_manuales!$H$40="Todos",datos_base!$D$11,0))*parametros_manuales!$H$105+parametros_manuales!$G$40*(datos_base!$D$5+IF(parametros_manuales!$H$40="Todos",datos_base!$D$12,0))*parametros_manuales!$H$110)*parametros_manuales!$I$40*parametros_manuales!$J$40</f>
        <v>1020.62</v>
      </c>
      <c r="I77" s="4">
        <f>(parametros_manuales!$D$40*(datos_base!$D$2+IF(parametros_manuales!$H$40="Todos",datos_base!$D$9,0))*parametros_manuales!$I$95+parametros_manuales!$E$40*(datos_base!$D$3+IF(parametros_manuales!$H$40="Todos",datos_base!$D$10,0))*parametros_manuales!$I$100+parametros_manuales!$F$40*(datos_base!$D$4+IF(parametros_manuales!$H$40="Todos",datos_base!$D$11,0))*parametros_manuales!$I$105+parametros_manuales!$G$40*(datos_base!$D$5+IF(parametros_manuales!$H$40="Todos",datos_base!$D$12,0))*parametros_manuales!$I$110)*parametros_manuales!$I$40*parametros_manuales!$J$40</f>
        <v>1123.4</v>
      </c>
      <c r="J77" s="4">
        <f>(parametros_manuales!$D$40*(datos_base!$D$2+IF(parametros_manuales!$H$40="Todos",datos_base!$D$9,0))*parametros_manuales!$J$95+parametros_manuales!$E$40*(datos_base!$D$3+IF(parametros_manuales!$H$40="Todos",datos_base!$D$10,0))*parametros_manuales!$J$100+parametros_manuales!$F$40*(datos_base!$D$4+IF(parametros_manuales!$H$40="Todos",datos_base!$D$11,0))*parametros_manuales!$J$105+parametros_manuales!$G$40*(datos_base!$D$5+IF(parametros_manuales!$H$40="Todos",datos_base!$D$12,0))*parametros_manuales!$J$110)*parametros_manuales!$I$40*parametros_manuales!$J$40</f>
        <v>1123.4</v>
      </c>
      <c r="K77" s="4">
        <f>(parametros_manuales!$D$40*(datos_base!$D$2+IF(parametros_manuales!$H$40="Todos",datos_base!$D$9,0))*parametros_manuales!$K$95+parametros_manuales!$E$40*(datos_base!$D$3+IF(parametros_manuales!$H$40="Todos",datos_base!$D$10,0))*parametros_manuales!$K$100+parametros_manuales!$F$40*(datos_base!$D$4+IF(parametros_manuales!$H$40="Todos",datos_base!$D$11,0))*parametros_manuales!$K$105+parametros_manuales!$G$40*(datos_base!$D$5+IF(parametros_manuales!$H$40="Todos",datos_base!$D$12,0))*parametros_manuales!$K$110)*parametros_manuales!$I$40*parametros_manuales!$J$40</f>
        <v>1155.07</v>
      </c>
      <c r="L77" s="4">
        <f>(parametros_manuales!$D$40*(datos_base!$D$2+IF(parametros_manuales!$H$40="Todos",datos_base!$D$9,0))*parametros_manuales!$L$95+parametros_manuales!$E$40*(datos_base!$D$3+IF(parametros_manuales!$H$40="Todos",datos_base!$D$10,0))*parametros_manuales!$L$100+parametros_manuales!$F$40*(datos_base!$D$4+IF(parametros_manuales!$H$40="Todos",datos_base!$D$11,0))*parametros_manuales!$L$105+parametros_manuales!$G$40*(datos_base!$D$5+IF(parametros_manuales!$H$40="Todos",datos_base!$D$12,0))*parametros_manuales!$L$110)*parametros_manuales!$I$40*parametros_manuales!$J$40</f>
        <v>1186.74</v>
      </c>
      <c r="M77" s="4">
        <f>(parametros_manuales!$D$40*(datos_base!$D$2+IF(parametros_manuales!$H$40="Todos",datos_base!$D$9,0))*parametros_manuales!$M$95+parametros_manuales!$E$40*(datos_base!$D$3+IF(parametros_manuales!$H$40="Todos",datos_base!$D$10,0))*parametros_manuales!$M$100+parametros_manuales!$F$40*(datos_base!$D$4+IF(parametros_manuales!$H$40="Todos",datos_base!$D$11,0))*parametros_manuales!$M$105+parametros_manuales!$G$40*(datos_base!$D$5+IF(parametros_manuales!$H$40="Todos",datos_base!$D$12,0))*parametros_manuales!$M$110)*parametros_manuales!$I$40*parametros_manuales!$J$40</f>
        <v>1186.74</v>
      </c>
      <c r="N77" s="4">
        <f t="shared" si="7"/>
        <v>13186</v>
      </c>
      <c r="O77" s="4">
        <f t="shared" si="8"/>
        <v>1186.74</v>
      </c>
      <c r="P77" s="27">
        <f>O77/(parametros_manuales!$B$7)</f>
        <v>7.9116</v>
      </c>
      <c r="Q77" s="3" t="str">
        <f t="shared" si="9"/>
        <v>Ene</v>
      </c>
    </row>
    <row r="78" ht="14.25" customHeight="1">
      <c r="A78" s="3" t="str">
        <f>parametros_manuales!$B$41</f>
        <v>Control de calidad — Ensayo de pérdidas</v>
      </c>
      <c r="B78" s="4">
        <f>(parametros_manuales!$D$41*(datos_base!$D$2+IF(parametros_manuales!$H$41="Todos",datos_base!$D$9,0))*parametros_manuales!$B$95+parametros_manuales!$E$41*(datos_base!$D$3+IF(parametros_manuales!$H$41="Todos",datos_base!$D$10,0))*parametros_manuales!$B$100+parametros_manuales!$F$41*(datos_base!$D$4+IF(parametros_manuales!$H$41="Todos",datos_base!$D$11,0))*parametros_manuales!$B$105+parametros_manuales!$G$41*(datos_base!$D$5+IF(parametros_manuales!$H$41="Todos",datos_base!$D$12,0))*parametros_manuales!$B$110)*parametros_manuales!$I$41*parametros_manuales!$J$41</f>
        <v>1186.74</v>
      </c>
      <c r="C78" s="4">
        <f>(parametros_manuales!$D$41*(datos_base!$D$2+IF(parametros_manuales!$H$41="Todos",datos_base!$D$9,0))*parametros_manuales!$C$95+parametros_manuales!$E$41*(datos_base!$D$3+IF(parametros_manuales!$H$41="Todos",datos_base!$D$10,0))*parametros_manuales!$C$100+parametros_manuales!$F$41*(datos_base!$D$4+IF(parametros_manuales!$H$41="Todos",datos_base!$D$11,0))*parametros_manuales!$C$105+parametros_manuales!$G$41*(datos_base!$D$5+IF(parametros_manuales!$H$41="Todos",datos_base!$D$12,0))*parametros_manuales!$C$110)*parametros_manuales!$I$41*parametros_manuales!$J$41</f>
        <v>1123.4</v>
      </c>
      <c r="D78" s="4">
        <f>(parametros_manuales!$D$41*(datos_base!$D$2+IF(parametros_manuales!$H$41="Todos",datos_base!$D$9,0))*parametros_manuales!$D$95+parametros_manuales!$E$41*(datos_base!$D$3+IF(parametros_manuales!$H$41="Todos",datos_base!$D$10,0))*parametros_manuales!$D$100+parametros_manuales!$F$41*(datos_base!$D$4+IF(parametros_manuales!$H$41="Todos",datos_base!$D$11,0))*parametros_manuales!$D$105+parametros_manuales!$G$41*(datos_base!$D$5+IF(parametros_manuales!$H$41="Todos",datos_base!$D$12,0))*parametros_manuales!$D$110)*parametros_manuales!$I$41*parametros_manuales!$J$41</f>
        <v>1086.55</v>
      </c>
      <c r="E78" s="4">
        <f>(parametros_manuales!$D$41*(datos_base!$D$2+IF(parametros_manuales!$H$41="Todos",datos_base!$D$9,0))*parametros_manuales!$E$95+parametros_manuales!$E$41*(datos_base!$D$3+IF(parametros_manuales!$H$41="Todos",datos_base!$D$10,0))*parametros_manuales!$E$100+parametros_manuales!$F$41*(datos_base!$D$4+IF(parametros_manuales!$H$41="Todos",datos_base!$D$11,0))*parametros_manuales!$E$105+parametros_manuales!$G$41*(datos_base!$D$5+IF(parametros_manuales!$H$41="Todos",datos_base!$D$12,0))*parametros_manuales!$E$110)*parametros_manuales!$I$41*parametros_manuales!$J$41</f>
        <v>1052.29</v>
      </c>
      <c r="F78" s="4">
        <f>(parametros_manuales!$D$41*(datos_base!$D$2+IF(parametros_manuales!$H$41="Todos",datos_base!$D$9,0))*parametros_manuales!$F$95+parametros_manuales!$E$41*(datos_base!$D$3+IF(parametros_manuales!$H$41="Todos",datos_base!$D$10,0))*parametros_manuales!$F$100+parametros_manuales!$F$41*(datos_base!$D$4+IF(parametros_manuales!$H$41="Todos",datos_base!$D$11,0))*parametros_manuales!$F$105+parametros_manuales!$G$41*(datos_base!$D$5+IF(parametros_manuales!$H$41="Todos",datos_base!$D$12,0))*parametros_manuales!$F$110)*parametros_manuales!$I$41*parametros_manuales!$J$41</f>
        <v>986.36</v>
      </c>
      <c r="G78" s="4">
        <f>(parametros_manuales!$D$41*(datos_base!$D$2+IF(parametros_manuales!$H$41="Todos",datos_base!$D$9,0))*parametros_manuales!$G$95+parametros_manuales!$E$41*(datos_base!$D$3+IF(parametros_manuales!$H$41="Todos",datos_base!$D$10,0))*parametros_manuales!$G$100+parametros_manuales!$F$41*(datos_base!$D$4+IF(parametros_manuales!$H$41="Todos",datos_base!$D$11,0))*parametros_manuales!$G$105+parametros_manuales!$G$41*(datos_base!$D$5+IF(parametros_manuales!$H$41="Todos",datos_base!$D$12,0))*parametros_manuales!$G$110)*parametros_manuales!$I$41*parametros_manuales!$J$41</f>
        <v>954.69</v>
      </c>
      <c r="H78" s="4">
        <f>(parametros_manuales!$D$41*(datos_base!$D$2+IF(parametros_manuales!$H$41="Todos",datos_base!$D$9,0))*parametros_manuales!$H$95+parametros_manuales!$E$41*(datos_base!$D$3+IF(parametros_manuales!$H$41="Todos",datos_base!$D$10,0))*parametros_manuales!$H$100+parametros_manuales!$F$41*(datos_base!$D$4+IF(parametros_manuales!$H$41="Todos",datos_base!$D$11,0))*parametros_manuales!$H$105+parametros_manuales!$G$41*(datos_base!$D$5+IF(parametros_manuales!$H$41="Todos",datos_base!$D$12,0))*parametros_manuales!$H$110)*parametros_manuales!$I$41*parametros_manuales!$J$41</f>
        <v>1020.62</v>
      </c>
      <c r="I78" s="4">
        <f>(parametros_manuales!$D$41*(datos_base!$D$2+IF(parametros_manuales!$H$41="Todos",datos_base!$D$9,0))*parametros_manuales!$I$95+parametros_manuales!$E$41*(datos_base!$D$3+IF(parametros_manuales!$H$41="Todos",datos_base!$D$10,0))*parametros_manuales!$I$100+parametros_manuales!$F$41*(datos_base!$D$4+IF(parametros_manuales!$H$41="Todos",datos_base!$D$11,0))*parametros_manuales!$I$105+parametros_manuales!$G$41*(datos_base!$D$5+IF(parametros_manuales!$H$41="Todos",datos_base!$D$12,0))*parametros_manuales!$I$110)*parametros_manuales!$I$41*parametros_manuales!$J$41</f>
        <v>1123.4</v>
      </c>
      <c r="J78" s="4">
        <f>(parametros_manuales!$D$41*(datos_base!$D$2+IF(parametros_manuales!$H$41="Todos",datos_base!$D$9,0))*parametros_manuales!$J$95+parametros_manuales!$E$41*(datos_base!$D$3+IF(parametros_manuales!$H$41="Todos",datos_base!$D$10,0))*parametros_manuales!$J$100+parametros_manuales!$F$41*(datos_base!$D$4+IF(parametros_manuales!$H$41="Todos",datos_base!$D$11,0))*parametros_manuales!$J$105+parametros_manuales!$G$41*(datos_base!$D$5+IF(parametros_manuales!$H$41="Todos",datos_base!$D$12,0))*parametros_manuales!$J$110)*parametros_manuales!$I$41*parametros_manuales!$J$41</f>
        <v>1123.4</v>
      </c>
      <c r="K78" s="4">
        <f>(parametros_manuales!$D$41*(datos_base!$D$2+IF(parametros_manuales!$H$41="Todos",datos_base!$D$9,0))*parametros_manuales!$K$95+parametros_manuales!$E$41*(datos_base!$D$3+IF(parametros_manuales!$H$41="Todos",datos_base!$D$10,0))*parametros_manuales!$K$100+parametros_manuales!$F$41*(datos_base!$D$4+IF(parametros_manuales!$H$41="Todos",datos_base!$D$11,0))*parametros_manuales!$K$105+parametros_manuales!$G$41*(datos_base!$D$5+IF(parametros_manuales!$H$41="Todos",datos_base!$D$12,0))*parametros_manuales!$K$110)*parametros_manuales!$I$41*parametros_manuales!$J$41</f>
        <v>1155.07</v>
      </c>
      <c r="L78" s="4">
        <f>(parametros_manuales!$D$41*(datos_base!$D$2+IF(parametros_manuales!$H$41="Todos",datos_base!$D$9,0))*parametros_manuales!$L$95+parametros_manuales!$E$41*(datos_base!$D$3+IF(parametros_manuales!$H$41="Todos",datos_base!$D$10,0))*parametros_manuales!$L$100+parametros_manuales!$F$41*(datos_base!$D$4+IF(parametros_manuales!$H$41="Todos",datos_base!$D$11,0))*parametros_manuales!$L$105+parametros_manuales!$G$41*(datos_base!$D$5+IF(parametros_manuales!$H$41="Todos",datos_base!$D$12,0))*parametros_manuales!$L$110)*parametros_manuales!$I$41*parametros_manuales!$J$41</f>
        <v>1186.74</v>
      </c>
      <c r="M78" s="4">
        <f>(parametros_manuales!$D$41*(datos_base!$D$2+IF(parametros_manuales!$H$41="Todos",datos_base!$D$9,0))*parametros_manuales!$M$95+parametros_manuales!$E$41*(datos_base!$D$3+IF(parametros_manuales!$H$41="Todos",datos_base!$D$10,0))*parametros_manuales!$M$100+parametros_manuales!$F$41*(datos_base!$D$4+IF(parametros_manuales!$H$41="Todos",datos_base!$D$11,0))*parametros_manuales!$M$105+parametros_manuales!$G$41*(datos_base!$D$5+IF(parametros_manuales!$H$41="Todos",datos_base!$D$12,0))*parametros_manuales!$M$110)*parametros_manuales!$I$41*parametros_manuales!$J$41</f>
        <v>1186.74</v>
      </c>
      <c r="N78" s="4">
        <f t="shared" si="7"/>
        <v>13186</v>
      </c>
      <c r="O78" s="4">
        <f t="shared" si="8"/>
        <v>1186.74</v>
      </c>
      <c r="P78" s="27">
        <f>O78/(parametros_manuales!$B$7)</f>
        <v>7.9116</v>
      </c>
      <c r="Q78" s="3" t="str">
        <f t="shared" si="9"/>
        <v>Ene</v>
      </c>
    </row>
    <row r="79" ht="14.25" customHeight="1">
      <c r="A79" s="3" t="str">
        <f>parametros_manuales!$B$42</f>
        <v>Etiquetado</v>
      </c>
      <c r="B79" s="4">
        <f>(parametros_manuales!$D$42*(datos_base!$D$2+IF(parametros_manuales!$H$42="Todos",datos_base!$D$9,0))*parametros_manuales!$B$95+parametros_manuales!$E$42*(datos_base!$D$3+IF(parametros_manuales!$H$42="Todos",datos_base!$D$10,0))*parametros_manuales!$B$100+parametros_manuales!$F$42*(datos_base!$D$4+IF(parametros_manuales!$H$42="Todos",datos_base!$D$11,0))*parametros_manuales!$B$105+parametros_manuales!$G$42*(datos_base!$D$5+IF(parametros_manuales!$H$42="Todos",datos_base!$D$12,0))*parametros_manuales!$B$110)*parametros_manuales!$I$42*parametros_manuales!$J$42</f>
        <v>1186.74</v>
      </c>
      <c r="C79" s="4">
        <f>(parametros_manuales!$D$42*(datos_base!$D$2+IF(parametros_manuales!$H$42="Todos",datos_base!$D$9,0))*parametros_manuales!$C$95+parametros_manuales!$E$42*(datos_base!$D$3+IF(parametros_manuales!$H$42="Todos",datos_base!$D$10,0))*parametros_manuales!$C$100+parametros_manuales!$F$42*(datos_base!$D$4+IF(parametros_manuales!$H$42="Todos",datos_base!$D$11,0))*parametros_manuales!$C$105+parametros_manuales!$G$42*(datos_base!$D$5+IF(parametros_manuales!$H$42="Todos",datos_base!$D$12,0))*parametros_manuales!$C$110)*parametros_manuales!$I$42*parametros_manuales!$J$42</f>
        <v>1123.4</v>
      </c>
      <c r="D79" s="4">
        <f>(parametros_manuales!$D$42*(datos_base!$D$2+IF(parametros_manuales!$H$42="Todos",datos_base!$D$9,0))*parametros_manuales!$D$95+parametros_manuales!$E$42*(datos_base!$D$3+IF(parametros_manuales!$H$42="Todos",datos_base!$D$10,0))*parametros_manuales!$D$100+parametros_manuales!$F$42*(datos_base!$D$4+IF(parametros_manuales!$H$42="Todos",datos_base!$D$11,0))*parametros_manuales!$D$105+parametros_manuales!$G$42*(datos_base!$D$5+IF(parametros_manuales!$H$42="Todos",datos_base!$D$12,0))*parametros_manuales!$D$110)*parametros_manuales!$I$42*parametros_manuales!$J$42</f>
        <v>1086.55</v>
      </c>
      <c r="E79" s="4">
        <f>(parametros_manuales!$D$42*(datos_base!$D$2+IF(parametros_manuales!$H$42="Todos",datos_base!$D$9,0))*parametros_manuales!$E$95+parametros_manuales!$E$42*(datos_base!$D$3+IF(parametros_manuales!$H$42="Todos",datos_base!$D$10,0))*parametros_manuales!$E$100+parametros_manuales!$F$42*(datos_base!$D$4+IF(parametros_manuales!$H$42="Todos",datos_base!$D$11,0))*parametros_manuales!$E$105+parametros_manuales!$G$42*(datos_base!$D$5+IF(parametros_manuales!$H$42="Todos",datos_base!$D$12,0))*parametros_manuales!$E$110)*parametros_manuales!$I$42*parametros_manuales!$J$42</f>
        <v>1052.29</v>
      </c>
      <c r="F79" s="4">
        <f>(parametros_manuales!$D$42*(datos_base!$D$2+IF(parametros_manuales!$H$42="Todos",datos_base!$D$9,0))*parametros_manuales!$F$95+parametros_manuales!$E$42*(datos_base!$D$3+IF(parametros_manuales!$H$42="Todos",datos_base!$D$10,0))*parametros_manuales!$F$100+parametros_manuales!$F$42*(datos_base!$D$4+IF(parametros_manuales!$H$42="Todos",datos_base!$D$11,0))*parametros_manuales!$F$105+parametros_manuales!$G$42*(datos_base!$D$5+IF(parametros_manuales!$H$42="Todos",datos_base!$D$12,0))*parametros_manuales!$F$110)*parametros_manuales!$I$42*parametros_manuales!$J$42</f>
        <v>986.36</v>
      </c>
      <c r="G79" s="4">
        <f>(parametros_manuales!$D$42*(datos_base!$D$2+IF(parametros_manuales!$H$42="Todos",datos_base!$D$9,0))*parametros_manuales!$G$95+parametros_manuales!$E$42*(datos_base!$D$3+IF(parametros_manuales!$H$42="Todos",datos_base!$D$10,0))*parametros_manuales!$G$100+parametros_manuales!$F$42*(datos_base!$D$4+IF(parametros_manuales!$H$42="Todos",datos_base!$D$11,0))*parametros_manuales!$G$105+parametros_manuales!$G$42*(datos_base!$D$5+IF(parametros_manuales!$H$42="Todos",datos_base!$D$12,0))*parametros_manuales!$G$110)*parametros_manuales!$I$42*parametros_manuales!$J$42</f>
        <v>954.69</v>
      </c>
      <c r="H79" s="4">
        <f>(parametros_manuales!$D$42*(datos_base!$D$2+IF(parametros_manuales!$H$42="Todos",datos_base!$D$9,0))*parametros_manuales!$H$95+parametros_manuales!$E$42*(datos_base!$D$3+IF(parametros_manuales!$H$42="Todos",datos_base!$D$10,0))*parametros_manuales!$H$100+parametros_manuales!$F$42*(datos_base!$D$4+IF(parametros_manuales!$H$42="Todos",datos_base!$D$11,0))*parametros_manuales!$H$105+parametros_manuales!$G$42*(datos_base!$D$5+IF(parametros_manuales!$H$42="Todos",datos_base!$D$12,0))*parametros_manuales!$H$110)*parametros_manuales!$I$42*parametros_manuales!$J$42</f>
        <v>1020.62</v>
      </c>
      <c r="I79" s="4">
        <f>(parametros_manuales!$D$42*(datos_base!$D$2+IF(parametros_manuales!$H$42="Todos",datos_base!$D$9,0))*parametros_manuales!$I$95+parametros_manuales!$E$42*(datos_base!$D$3+IF(parametros_manuales!$H$42="Todos",datos_base!$D$10,0))*parametros_manuales!$I$100+parametros_manuales!$F$42*(datos_base!$D$4+IF(parametros_manuales!$H$42="Todos",datos_base!$D$11,0))*parametros_manuales!$I$105+parametros_manuales!$G$42*(datos_base!$D$5+IF(parametros_manuales!$H$42="Todos",datos_base!$D$12,0))*parametros_manuales!$I$110)*parametros_manuales!$I$42*parametros_manuales!$J$42</f>
        <v>1123.4</v>
      </c>
      <c r="J79" s="4">
        <f>(parametros_manuales!$D$42*(datos_base!$D$2+IF(parametros_manuales!$H$42="Todos",datos_base!$D$9,0))*parametros_manuales!$J$95+parametros_manuales!$E$42*(datos_base!$D$3+IF(parametros_manuales!$H$42="Todos",datos_base!$D$10,0))*parametros_manuales!$J$100+parametros_manuales!$F$42*(datos_base!$D$4+IF(parametros_manuales!$H$42="Todos",datos_base!$D$11,0))*parametros_manuales!$J$105+parametros_manuales!$G$42*(datos_base!$D$5+IF(parametros_manuales!$H$42="Todos",datos_base!$D$12,0))*parametros_manuales!$J$110)*parametros_manuales!$I$42*parametros_manuales!$J$42</f>
        <v>1123.4</v>
      </c>
      <c r="K79" s="4">
        <f>(parametros_manuales!$D$42*(datos_base!$D$2+IF(parametros_manuales!$H$42="Todos",datos_base!$D$9,0))*parametros_manuales!$K$95+parametros_manuales!$E$42*(datos_base!$D$3+IF(parametros_manuales!$H$42="Todos",datos_base!$D$10,0))*parametros_manuales!$K$100+parametros_manuales!$F$42*(datos_base!$D$4+IF(parametros_manuales!$H$42="Todos",datos_base!$D$11,0))*parametros_manuales!$K$105+parametros_manuales!$G$42*(datos_base!$D$5+IF(parametros_manuales!$H$42="Todos",datos_base!$D$12,0))*parametros_manuales!$K$110)*parametros_manuales!$I$42*parametros_manuales!$J$42</f>
        <v>1155.07</v>
      </c>
      <c r="L79" s="4">
        <f>(parametros_manuales!$D$42*(datos_base!$D$2+IF(parametros_manuales!$H$42="Todos",datos_base!$D$9,0))*parametros_manuales!$L$95+parametros_manuales!$E$42*(datos_base!$D$3+IF(parametros_manuales!$H$42="Todos",datos_base!$D$10,0))*parametros_manuales!$L$100+parametros_manuales!$F$42*(datos_base!$D$4+IF(parametros_manuales!$H$42="Todos",datos_base!$D$11,0))*parametros_manuales!$L$105+parametros_manuales!$G$42*(datos_base!$D$5+IF(parametros_manuales!$H$42="Todos",datos_base!$D$12,0))*parametros_manuales!$L$110)*parametros_manuales!$I$42*parametros_manuales!$J$42</f>
        <v>1186.74</v>
      </c>
      <c r="M79" s="4">
        <f>(parametros_manuales!$D$42*(datos_base!$D$2+IF(parametros_manuales!$H$42="Todos",datos_base!$D$9,0))*parametros_manuales!$M$95+parametros_manuales!$E$42*(datos_base!$D$3+IF(parametros_manuales!$H$42="Todos",datos_base!$D$10,0))*parametros_manuales!$M$100+parametros_manuales!$F$42*(datos_base!$D$4+IF(parametros_manuales!$H$42="Todos",datos_base!$D$11,0))*parametros_manuales!$M$105+parametros_manuales!$G$42*(datos_base!$D$5+IF(parametros_manuales!$H$42="Todos",datos_base!$D$12,0))*parametros_manuales!$M$110)*parametros_manuales!$I$42*parametros_manuales!$J$42</f>
        <v>1186.74</v>
      </c>
      <c r="N79" s="4">
        <f t="shared" si="7"/>
        <v>13186</v>
      </c>
      <c r="O79" s="4">
        <f t="shared" si="8"/>
        <v>1186.74</v>
      </c>
      <c r="P79" s="27">
        <f>O79/(parametros_manuales!$B$7)</f>
        <v>7.9116</v>
      </c>
      <c r="Q79" s="3" t="str">
        <f t="shared" si="9"/>
        <v>Ene</v>
      </c>
    </row>
    <row r="80" ht="14.25" customHeight="1">
      <c r="A80" s="3" t="str">
        <f>parametros_manuales!$B$43</f>
        <v>Embalaje y paletizado</v>
      </c>
      <c r="B80" s="4">
        <f>(parametros_manuales!$D$43*(datos_base!$D$2+IF(parametros_manuales!$H$43="Todos",datos_base!$D$9,0))*parametros_manuales!$B$95+parametros_manuales!$E$43*(datos_base!$D$3+IF(parametros_manuales!$H$43="Todos",datos_base!$D$10,0))*parametros_manuales!$B$100+parametros_manuales!$F$43*(datos_base!$D$4+IF(parametros_manuales!$H$43="Todos",datos_base!$D$11,0))*parametros_manuales!$B$105+parametros_manuales!$G$43*(datos_base!$D$5+IF(parametros_manuales!$H$43="Todos",datos_base!$D$12,0))*parametros_manuales!$B$110)*parametros_manuales!$I$43*parametros_manuales!$J$43</f>
        <v>2044.53</v>
      </c>
      <c r="C80" s="4">
        <f>(parametros_manuales!$D$43*(datos_base!$D$2+IF(parametros_manuales!$H$43="Todos",datos_base!$D$9,0))*parametros_manuales!$C$95+parametros_manuales!$E$43*(datos_base!$D$3+IF(parametros_manuales!$H$43="Todos",datos_base!$D$10,0))*parametros_manuales!$C$100+parametros_manuales!$F$43*(datos_base!$D$4+IF(parametros_manuales!$H$43="Todos",datos_base!$D$11,0))*parametros_manuales!$C$105+parametros_manuales!$G$43*(datos_base!$D$5+IF(parametros_manuales!$H$43="Todos",datos_base!$D$12,0))*parametros_manuales!$C$110)*parametros_manuales!$I$43*parametros_manuales!$J$43</f>
        <v>1962.5</v>
      </c>
      <c r="D80" s="4">
        <f>(parametros_manuales!$D$43*(datos_base!$D$2+IF(parametros_manuales!$H$43="Todos",datos_base!$D$9,0))*parametros_manuales!$D$95+parametros_manuales!$E$43*(datos_base!$D$3+IF(parametros_manuales!$H$43="Todos",datos_base!$D$10,0))*parametros_manuales!$D$100+parametros_manuales!$F$43*(datos_base!$D$4+IF(parametros_manuales!$H$43="Todos",datos_base!$D$11,0))*parametros_manuales!$D$105+parametros_manuales!$G$43*(datos_base!$D$5+IF(parametros_manuales!$H$43="Todos",datos_base!$D$12,0))*parametros_manuales!$D$110)*parametros_manuales!$I$43*parametros_manuales!$J$43</f>
        <v>1858.375</v>
      </c>
      <c r="E80" s="4">
        <f>(parametros_manuales!$D$43*(datos_base!$D$2+IF(parametros_manuales!$H$43="Todos",datos_base!$D$9,0))*parametros_manuales!$E$95+parametros_manuales!$E$43*(datos_base!$D$3+IF(parametros_manuales!$H$43="Todos",datos_base!$D$10,0))*parametros_manuales!$E$100+parametros_manuales!$F$43*(datos_base!$D$4+IF(parametros_manuales!$H$43="Todos",datos_base!$D$11,0))*parametros_manuales!$E$105+parametros_manuales!$G$43*(datos_base!$D$5+IF(parametros_manuales!$H$43="Todos",datos_base!$D$12,0))*parametros_manuales!$E$110)*parametros_manuales!$I$43*parametros_manuales!$J$43</f>
        <v>1785.805</v>
      </c>
      <c r="F80" s="4">
        <f>(parametros_manuales!$D$43*(datos_base!$D$2+IF(parametros_manuales!$H$43="Todos",datos_base!$D$9,0))*parametros_manuales!$F$95+parametros_manuales!$E$43*(datos_base!$D$3+IF(parametros_manuales!$H$43="Todos",datos_base!$D$10,0))*parametros_manuales!$F$100+parametros_manuales!$F$43*(datos_base!$D$4+IF(parametros_manuales!$H$43="Todos",datos_base!$D$11,0))*parametros_manuales!$F$105+parametros_manuales!$G$43*(datos_base!$D$5+IF(parametros_manuales!$H$43="Todos",datos_base!$D$12,0))*parametros_manuales!$F$110)*parametros_manuales!$I$43*parametros_manuales!$J$43</f>
        <v>1672.22</v>
      </c>
      <c r="G80" s="4">
        <f>(parametros_manuales!$D$43*(datos_base!$D$2+IF(parametros_manuales!$H$43="Todos",datos_base!$D$9,0))*parametros_manuales!$G$95+parametros_manuales!$E$43*(datos_base!$D$3+IF(parametros_manuales!$H$43="Todos",datos_base!$D$10,0))*parametros_manuales!$G$100+parametros_manuales!$F$43*(datos_base!$D$4+IF(parametros_manuales!$H$43="Todos",datos_base!$D$11,0))*parametros_manuales!$G$105+parametros_manuales!$G$43*(datos_base!$D$5+IF(parametros_manuales!$H$43="Todos",datos_base!$D$12,0))*parametros_manuales!$G$110)*parametros_manuales!$I$43*parametros_manuales!$J$43</f>
        <v>1631.205</v>
      </c>
      <c r="H80" s="4">
        <f>(parametros_manuales!$D$43*(datos_base!$D$2+IF(parametros_manuales!$H$43="Todos",datos_base!$D$9,0))*parametros_manuales!$H$95+parametros_manuales!$E$43*(datos_base!$D$3+IF(parametros_manuales!$H$43="Todos",datos_base!$D$10,0))*parametros_manuales!$H$100+parametros_manuales!$F$43*(datos_base!$D$4+IF(parametros_manuales!$H$43="Todos",datos_base!$D$11,0))*parametros_manuales!$H$105+parametros_manuales!$G$43*(datos_base!$D$5+IF(parametros_manuales!$H$43="Todos",datos_base!$D$12,0))*parametros_manuales!$H$110)*parametros_manuales!$I$43*parametros_manuales!$J$43</f>
        <v>1744.79</v>
      </c>
      <c r="I80" s="4">
        <f>(parametros_manuales!$D$43*(datos_base!$D$2+IF(parametros_manuales!$H$43="Todos",datos_base!$D$9,0))*parametros_manuales!$I$95+parametros_manuales!$E$43*(datos_base!$D$3+IF(parametros_manuales!$H$43="Todos",datos_base!$D$10,0))*parametros_manuales!$I$100+parametros_manuales!$F$43*(datos_base!$D$4+IF(parametros_manuales!$H$43="Todos",datos_base!$D$11,0))*parametros_manuales!$I$105+parametros_manuales!$G$43*(datos_base!$D$5+IF(parametros_manuales!$H$43="Todos",datos_base!$D$12,0))*parametros_manuales!$I$110)*parametros_manuales!$I$43*parametros_manuales!$J$43</f>
        <v>1962.5</v>
      </c>
      <c r="J80" s="4">
        <f>(parametros_manuales!$D$43*(datos_base!$D$2+IF(parametros_manuales!$H$43="Todos",datos_base!$D$9,0))*parametros_manuales!$J$95+parametros_manuales!$E$43*(datos_base!$D$3+IF(parametros_manuales!$H$43="Todos",datos_base!$D$10,0))*parametros_manuales!$J$100+parametros_manuales!$F$43*(datos_base!$D$4+IF(parametros_manuales!$H$43="Todos",datos_base!$D$11,0))*parametros_manuales!$J$105+parametros_manuales!$G$43*(datos_base!$D$5+IF(parametros_manuales!$H$43="Todos",datos_base!$D$12,0))*parametros_manuales!$J$110)*parametros_manuales!$I$43*parametros_manuales!$J$43</f>
        <v>1962.5</v>
      </c>
      <c r="K80" s="4">
        <f>(parametros_manuales!$D$43*(datos_base!$D$2+IF(parametros_manuales!$H$43="Todos",datos_base!$D$9,0))*parametros_manuales!$K$95+parametros_manuales!$E$43*(datos_base!$D$3+IF(parametros_manuales!$H$43="Todos",datos_base!$D$10,0))*parametros_manuales!$K$100+parametros_manuales!$F$43*(datos_base!$D$4+IF(parametros_manuales!$H$43="Todos",datos_base!$D$11,0))*parametros_manuales!$K$105+parametros_manuales!$G$43*(datos_base!$D$5+IF(parametros_manuales!$H$43="Todos",datos_base!$D$12,0))*parametros_manuales!$K$110)*parametros_manuales!$I$43*parametros_manuales!$J$43</f>
        <v>2003.515</v>
      </c>
      <c r="L80" s="4">
        <f>(parametros_manuales!$D$43*(datos_base!$D$2+IF(parametros_manuales!$H$43="Todos",datos_base!$D$9,0))*parametros_manuales!$L$95+parametros_manuales!$E$43*(datos_base!$D$3+IF(parametros_manuales!$H$43="Todos",datos_base!$D$10,0))*parametros_manuales!$L$100+parametros_manuales!$F$43*(datos_base!$D$4+IF(parametros_manuales!$H$43="Todos",datos_base!$D$11,0))*parametros_manuales!$L$105+parametros_manuales!$G$43*(datos_base!$D$5+IF(parametros_manuales!$H$43="Todos",datos_base!$D$12,0))*parametros_manuales!$L$110)*parametros_manuales!$I$43*parametros_manuales!$J$43</f>
        <v>2044.53</v>
      </c>
      <c r="M80" s="4">
        <f>(parametros_manuales!$D$43*(datos_base!$D$2+IF(parametros_manuales!$H$43="Todos",datos_base!$D$9,0))*parametros_manuales!$M$95+parametros_manuales!$E$43*(datos_base!$D$3+IF(parametros_manuales!$H$43="Todos",datos_base!$D$10,0))*parametros_manuales!$M$100+parametros_manuales!$F$43*(datos_base!$D$4+IF(parametros_manuales!$H$43="Todos",datos_base!$D$11,0))*parametros_manuales!$M$105+parametros_manuales!$G$43*(datos_base!$D$5+IF(parametros_manuales!$H$43="Todos",datos_base!$D$12,0))*parametros_manuales!$M$110)*parametros_manuales!$I$43*parametros_manuales!$J$43</f>
        <v>2044.53</v>
      </c>
      <c r="N80" s="4">
        <f t="shared" si="7"/>
        <v>22717</v>
      </c>
      <c r="O80" s="4">
        <f t="shared" si="8"/>
        <v>2044.53</v>
      </c>
      <c r="P80" s="27">
        <f>O80/(parametros_manuales!$B$7)</f>
        <v>13.6302</v>
      </c>
      <c r="Q80" s="3" t="str">
        <f t="shared" si="9"/>
        <v>Ene</v>
      </c>
    </row>
    <row r="81" ht="14.25" customHeight="1"/>
    <row r="82" ht="14.25" customHeight="1">
      <c r="A82" s="1" t="s">
        <v>180</v>
      </c>
      <c r="B82" s="1" t="s">
        <v>5</v>
      </c>
      <c r="C82" s="1" t="s">
        <v>7</v>
      </c>
      <c r="D82" s="1" t="s">
        <v>8</v>
      </c>
      <c r="E82" s="1" t="s">
        <v>9</v>
      </c>
      <c r="F82" s="1" t="s">
        <v>11</v>
      </c>
      <c r="G82" s="1" t="s">
        <v>12</v>
      </c>
      <c r="H82" s="1" t="s">
        <v>14</v>
      </c>
      <c r="I82" s="1" t="s">
        <v>15</v>
      </c>
      <c r="J82" s="1" t="s">
        <v>16</v>
      </c>
      <c r="K82" s="1" t="s">
        <v>18</v>
      </c>
      <c r="L82" s="1" t="s">
        <v>19</v>
      </c>
      <c r="M82" s="1" t="s">
        <v>20</v>
      </c>
      <c r="N82" s="1" t="s">
        <v>21</v>
      </c>
      <c r="O82" s="1" t="s">
        <v>22</v>
      </c>
      <c r="P82" s="1" t="s">
        <v>23</v>
      </c>
      <c r="Q82" s="1" t="s">
        <v>24</v>
      </c>
    </row>
    <row r="83" ht="14.25" customHeight="1">
      <c r="A83" s="3" t="str">
        <f>parametros_manuales!$B$19</f>
        <v>Recepción de materia prima</v>
      </c>
      <c r="B83" s="4">
        <f>(parametros_manuales!$D$19*(datos_base!$E$2+IF(parametros_manuales!$H$19="Todos",datos_base!$E$9,0))*parametros_manuales!$B$95+parametros_manuales!$E$19*(datos_base!$E$3+IF(parametros_manuales!$H$19="Todos",datos_base!$E$10,0))*parametros_manuales!$B$100+parametros_manuales!$F$19*(datos_base!$E$4+IF(parametros_manuales!$H$19="Todos",datos_base!$E$11,0))*parametros_manuales!$B$105+parametros_manuales!$G$19*(datos_base!$E$5+IF(parametros_manuales!$H$19="Todos",datos_base!$E$12,0))*parametros_manuales!$B$110)*parametros_manuales!$I$19*parametros_manuales!$J$19</f>
        <v>4531.95</v>
      </c>
      <c r="C83" s="4">
        <f>(parametros_manuales!$D$19*(datos_base!$E$2+IF(parametros_manuales!$H$19="Todos",datos_base!$E$9,0))*parametros_manuales!$C$95+parametros_manuales!$E$19*(datos_base!$E$3+IF(parametros_manuales!$H$19="Todos",datos_base!$E$10,0))*parametros_manuales!$C$100+parametros_manuales!$F$19*(datos_base!$E$4+IF(parametros_manuales!$H$19="Todos",datos_base!$E$11,0))*parametros_manuales!$C$105+parametros_manuales!$G$19*(datos_base!$E$5+IF(parametros_manuales!$H$19="Todos",datos_base!$E$12,0))*parametros_manuales!$C$110)*parametros_manuales!$I$19*parametros_manuales!$J$19</f>
        <v>4380.02</v>
      </c>
      <c r="D83" s="4">
        <f>(parametros_manuales!$D$19*(datos_base!$E$2+IF(parametros_manuales!$H$19="Todos",datos_base!$E$9,0))*parametros_manuales!$D$95+parametros_manuales!$E$19*(datos_base!$E$3+IF(parametros_manuales!$H$19="Todos",datos_base!$E$10,0))*parametros_manuales!$D$100+parametros_manuales!$F$19*(datos_base!$E$4+IF(parametros_manuales!$H$19="Todos",datos_base!$E$11,0))*parametros_manuales!$D$105+parametros_manuales!$G$19*(datos_base!$E$5+IF(parametros_manuales!$H$19="Todos",datos_base!$E$12,0))*parametros_manuales!$D$110)*parametros_manuales!$I$19*parametros_manuales!$J$19</f>
        <v>4104.365</v>
      </c>
      <c r="E83" s="4">
        <f>(parametros_manuales!$D$19*(datos_base!$E$2+IF(parametros_manuales!$H$19="Todos",datos_base!$E$9,0))*parametros_manuales!$E$95+parametros_manuales!$E$19*(datos_base!$E$3+IF(parametros_manuales!$H$19="Todos",datos_base!$E$10,0))*parametros_manuales!$E$100+parametros_manuales!$F$19*(datos_base!$E$4+IF(parametros_manuales!$H$19="Todos",datos_base!$E$11,0))*parametros_manuales!$E$105+parametros_manuales!$G$19*(datos_base!$E$5+IF(parametros_manuales!$H$19="Todos",datos_base!$E$12,0))*parametros_manuales!$E$110)*parametros_manuales!$I$19*parametros_manuales!$J$19</f>
        <v>3928.555</v>
      </c>
      <c r="F83" s="4">
        <f>(parametros_manuales!$D$19*(datos_base!$E$2+IF(parametros_manuales!$H$19="Todos",datos_base!$E$9,0))*parametros_manuales!$F$95+parametros_manuales!$E$19*(datos_base!$E$3+IF(parametros_manuales!$H$19="Todos",datos_base!$E$10,0))*parametros_manuales!$F$100+parametros_manuales!$F$19*(datos_base!$E$4+IF(parametros_manuales!$H$19="Todos",datos_base!$E$11,0))*parametros_manuales!$F$105+parametros_manuales!$G$19*(datos_base!$E$5+IF(parametros_manuales!$H$19="Todos",datos_base!$E$12,0))*parametros_manuales!$F$110)*parametros_manuales!$I$19*parametros_manuales!$J$19</f>
        <v>3676.78</v>
      </c>
      <c r="G83" s="4">
        <f>(parametros_manuales!$D$19*(datos_base!$E$2+IF(parametros_manuales!$H$19="Todos",datos_base!$E$9,0))*parametros_manuales!$G$95+parametros_manuales!$E$19*(datos_base!$E$3+IF(parametros_manuales!$H$19="Todos",datos_base!$E$10,0))*parametros_manuales!$G$100+parametros_manuales!$F$19*(datos_base!$E$4+IF(parametros_manuales!$H$19="Todos",datos_base!$E$11,0))*parametros_manuales!$G$105+parametros_manuales!$G$19*(datos_base!$E$5+IF(parametros_manuales!$H$19="Todos",datos_base!$E$12,0))*parametros_manuales!$G$110)*parametros_manuales!$I$19*parametros_manuales!$J$19</f>
        <v>3600.815</v>
      </c>
      <c r="H83" s="4">
        <f>(parametros_manuales!$D$19*(datos_base!$E$2+IF(parametros_manuales!$H$19="Todos",datos_base!$E$9,0))*parametros_manuales!$H$95+parametros_manuales!$E$19*(datos_base!$E$3+IF(parametros_manuales!$H$19="Todos",datos_base!$E$10,0))*parametros_manuales!$H$100+parametros_manuales!$F$19*(datos_base!$E$4+IF(parametros_manuales!$H$19="Todos",datos_base!$E$11,0))*parametros_manuales!$H$105+parametros_manuales!$G$19*(datos_base!$E$5+IF(parametros_manuales!$H$19="Todos",datos_base!$E$12,0))*parametros_manuales!$H$110)*parametros_manuales!$I$19*parametros_manuales!$J$19</f>
        <v>3852.59</v>
      </c>
      <c r="I83" s="4">
        <f>(parametros_manuales!$D$19*(datos_base!$E$2+IF(parametros_manuales!$H$19="Todos",datos_base!$E$9,0))*parametros_manuales!$I$95+parametros_manuales!$E$19*(datos_base!$E$3+IF(parametros_manuales!$H$19="Todos",datos_base!$E$10,0))*parametros_manuales!$I$100+parametros_manuales!$F$19*(datos_base!$E$4+IF(parametros_manuales!$H$19="Todos",datos_base!$E$11,0))*parametros_manuales!$I$105+parametros_manuales!$G$19*(datos_base!$E$5+IF(parametros_manuales!$H$19="Todos",datos_base!$E$12,0))*parametros_manuales!$I$110)*parametros_manuales!$I$19*parametros_manuales!$J$19</f>
        <v>4380.02</v>
      </c>
      <c r="J83" s="4">
        <f>(parametros_manuales!$D$19*(datos_base!$E$2+IF(parametros_manuales!$H$19="Todos",datos_base!$E$9,0))*parametros_manuales!$J$95+parametros_manuales!$E$19*(datos_base!$E$3+IF(parametros_manuales!$H$19="Todos",datos_base!$E$10,0))*parametros_manuales!$J$100+parametros_manuales!$F$19*(datos_base!$E$4+IF(parametros_manuales!$H$19="Todos",datos_base!$E$11,0))*parametros_manuales!$J$105+parametros_manuales!$G$19*(datos_base!$E$5+IF(parametros_manuales!$H$19="Todos",datos_base!$E$12,0))*parametros_manuales!$J$110)*parametros_manuales!$I$19*parametros_manuales!$J$19</f>
        <v>4380.02</v>
      </c>
      <c r="K83" s="4">
        <f>(parametros_manuales!$D$19*(datos_base!$E$2+IF(parametros_manuales!$H$19="Todos",datos_base!$E$9,0))*parametros_manuales!$K$95+parametros_manuales!$E$19*(datos_base!$E$3+IF(parametros_manuales!$H$19="Todos",datos_base!$E$10,0))*parametros_manuales!$K$100+parametros_manuales!$F$19*(datos_base!$E$4+IF(parametros_manuales!$H$19="Todos",datos_base!$E$11,0))*parametros_manuales!$K$105+parametros_manuales!$G$19*(datos_base!$E$5+IF(parametros_manuales!$H$19="Todos",datos_base!$E$12,0))*parametros_manuales!$K$110)*parametros_manuales!$I$19*parametros_manuales!$J$19</f>
        <v>4455.985</v>
      </c>
      <c r="L83" s="4">
        <f>(parametros_manuales!$D$19*(datos_base!$E$2+IF(parametros_manuales!$H$19="Todos",datos_base!$E$9,0))*parametros_manuales!$L$95+parametros_manuales!$E$19*(datos_base!$E$3+IF(parametros_manuales!$H$19="Todos",datos_base!$E$10,0))*parametros_manuales!$L$100+parametros_manuales!$F$19*(datos_base!$E$4+IF(parametros_manuales!$H$19="Todos",datos_base!$E$11,0))*parametros_manuales!$L$105+parametros_manuales!$G$19*(datos_base!$E$5+IF(parametros_manuales!$H$19="Todos",datos_base!$E$12,0))*parametros_manuales!$L$110)*parametros_manuales!$I$19*parametros_manuales!$J$19</f>
        <v>4531.95</v>
      </c>
      <c r="M83" s="4">
        <f>(parametros_manuales!$D$19*(datos_base!$E$2+IF(parametros_manuales!$H$19="Todos",datos_base!$E$9,0))*parametros_manuales!$M$95+parametros_manuales!$E$19*(datos_base!$E$3+IF(parametros_manuales!$H$19="Todos",datos_base!$E$10,0))*parametros_manuales!$M$100+parametros_manuales!$F$19*(datos_base!$E$4+IF(parametros_manuales!$H$19="Todos",datos_base!$E$11,0))*parametros_manuales!$M$105+parametros_manuales!$G$19*(datos_base!$E$5+IF(parametros_manuales!$H$19="Todos",datos_base!$E$12,0))*parametros_manuales!$M$110)*parametros_manuales!$I$19*parametros_manuales!$J$19</f>
        <v>4531.95</v>
      </c>
      <c r="N83" s="4">
        <f t="shared" ref="N83:N107" si="10">SUM(B83:M83)</f>
        <v>50355</v>
      </c>
      <c r="O83" s="4">
        <f t="shared" ref="O83:O107" si="11">MAX(B83:M83)</f>
        <v>4531.95</v>
      </c>
      <c r="P83" s="27">
        <f>O83/(parametros_manuales!$B$7)</f>
        <v>30.213</v>
      </c>
      <c r="Q83" s="3" t="str">
        <f t="shared" ref="Q83:Q107" si="12">IF(O83=0,"-",INDEX($B$82:$M$82,MATCH(O83,B83:M83,0)))</f>
        <v>Ene</v>
      </c>
    </row>
    <row r="84" ht="14.25" customHeight="1">
      <c r="A84" s="3" t="str">
        <f>parametros_manuales!$B$20</f>
        <v>Corte de chapa (guillotina) — 2,5 a 10 kg</v>
      </c>
      <c r="B84" s="4">
        <f>(parametros_manuales!$D$20*(datos_base!$E$2+IF(parametros_manuales!$H$20="Todos",datos_base!$E$9,0))*parametros_manuales!$B$95+parametros_manuales!$E$20*(datos_base!$E$3+IF(parametros_manuales!$H$20="Todos",datos_base!$E$10,0))*parametros_manuales!$B$100+parametros_manuales!$F$20*(datos_base!$E$4+IF(parametros_manuales!$H$20="Todos",datos_base!$E$11,0))*parametros_manuales!$B$105+parametros_manuales!$G$20*(datos_base!$E$5+IF(parametros_manuales!$H$20="Todos",datos_base!$E$12,0))*parametros_manuales!$B$110)*parametros_manuales!$I$20*parametros_manuales!$J$20</f>
        <v>1367.37</v>
      </c>
      <c r="C84" s="4">
        <f>(parametros_manuales!$D$20*(datos_base!$E$2+IF(parametros_manuales!$H$20="Todos",datos_base!$E$9,0))*parametros_manuales!$C$95+parametros_manuales!$E$20*(datos_base!$E$3+IF(parametros_manuales!$H$20="Todos",datos_base!$E$10,0))*parametros_manuales!$C$100+parametros_manuales!$F$20*(datos_base!$E$4+IF(parametros_manuales!$H$20="Todos",datos_base!$E$11,0))*parametros_manuales!$C$105+parametros_manuales!$G$20*(datos_base!$E$5+IF(parametros_manuales!$H$20="Todos",datos_base!$E$12,0))*parametros_manuales!$C$110)*parametros_manuales!$I$20*parametros_manuales!$J$20</f>
        <v>1215.44</v>
      </c>
      <c r="D84" s="4">
        <f>(parametros_manuales!$D$20*(datos_base!$E$2+IF(parametros_manuales!$H$20="Todos",datos_base!$E$9,0))*parametros_manuales!$D$95+parametros_manuales!$E$20*(datos_base!$E$3+IF(parametros_manuales!$H$20="Todos",datos_base!$E$10,0))*parametros_manuales!$D$100+parametros_manuales!$F$20*(datos_base!$E$4+IF(parametros_manuales!$H$20="Todos",datos_base!$E$11,0))*parametros_manuales!$D$105+parametros_manuales!$G$20*(datos_base!$E$5+IF(parametros_manuales!$H$20="Todos",datos_base!$E$12,0))*parametros_manuales!$D$110)*parametros_manuales!$I$20*parametros_manuales!$J$20</f>
        <v>1291.405</v>
      </c>
      <c r="E84" s="4">
        <f>(parametros_manuales!$D$20*(datos_base!$E$2+IF(parametros_manuales!$H$20="Todos",datos_base!$E$9,0))*parametros_manuales!$E$95+parametros_manuales!$E$20*(datos_base!$E$3+IF(parametros_manuales!$H$20="Todos",datos_base!$E$10,0))*parametros_manuales!$E$100+parametros_manuales!$F$20*(datos_base!$E$4+IF(parametros_manuales!$H$20="Todos",datos_base!$E$11,0))*parametros_manuales!$E$105+parametros_manuales!$G$20*(datos_base!$E$5+IF(parametros_manuales!$H$20="Todos",datos_base!$E$12,0))*parametros_manuales!$E$110)*parametros_manuales!$I$20*parametros_manuales!$J$20</f>
        <v>1291.405</v>
      </c>
      <c r="F84" s="4">
        <f>(parametros_manuales!$D$20*(datos_base!$E$2+IF(parametros_manuales!$H$20="Todos",datos_base!$E$9,0))*parametros_manuales!$F$95+parametros_manuales!$E$20*(datos_base!$E$3+IF(parametros_manuales!$H$20="Todos",datos_base!$E$10,0))*parametros_manuales!$F$100+parametros_manuales!$F$20*(datos_base!$E$4+IF(parametros_manuales!$H$20="Todos",datos_base!$E$11,0))*parametros_manuales!$F$105+parametros_manuales!$G$20*(datos_base!$E$5+IF(parametros_manuales!$H$20="Todos",datos_base!$E$12,0))*parametros_manuales!$F$110)*parametros_manuales!$I$20*parametros_manuales!$J$20</f>
        <v>1215.44</v>
      </c>
      <c r="G84" s="4">
        <f>(parametros_manuales!$D$20*(datos_base!$E$2+IF(parametros_manuales!$H$20="Todos",datos_base!$E$9,0))*parametros_manuales!$G$95+parametros_manuales!$E$20*(datos_base!$E$3+IF(parametros_manuales!$H$20="Todos",datos_base!$E$10,0))*parametros_manuales!$G$100+parametros_manuales!$F$20*(datos_base!$E$4+IF(parametros_manuales!$H$20="Todos",datos_base!$E$11,0))*parametros_manuales!$G$105+parametros_manuales!$G$20*(datos_base!$E$5+IF(parametros_manuales!$H$20="Todos",datos_base!$E$12,0))*parametros_manuales!$G$110)*parametros_manuales!$I$20*parametros_manuales!$J$20</f>
        <v>1139.475</v>
      </c>
      <c r="H84" s="4">
        <f>(parametros_manuales!$D$20*(datos_base!$E$2+IF(parametros_manuales!$H$20="Todos",datos_base!$E$9,0))*parametros_manuales!$H$95+parametros_manuales!$E$20*(datos_base!$E$3+IF(parametros_manuales!$H$20="Todos",datos_base!$E$10,0))*parametros_manuales!$H$100+parametros_manuales!$F$20*(datos_base!$E$4+IF(parametros_manuales!$H$20="Todos",datos_base!$E$11,0))*parametros_manuales!$H$105+parametros_manuales!$G$20*(datos_base!$E$5+IF(parametros_manuales!$H$20="Todos",datos_base!$E$12,0))*parametros_manuales!$H$110)*parametros_manuales!$I$20*parametros_manuales!$J$20</f>
        <v>1215.44</v>
      </c>
      <c r="I84" s="4">
        <f>(parametros_manuales!$D$20*(datos_base!$E$2+IF(parametros_manuales!$H$20="Todos",datos_base!$E$9,0))*parametros_manuales!$I$95+parametros_manuales!$E$20*(datos_base!$E$3+IF(parametros_manuales!$H$20="Todos",datos_base!$E$10,0))*parametros_manuales!$I$100+parametros_manuales!$F$20*(datos_base!$E$4+IF(parametros_manuales!$H$20="Todos",datos_base!$E$11,0))*parametros_manuales!$I$105+parametros_manuales!$G$20*(datos_base!$E$5+IF(parametros_manuales!$H$20="Todos",datos_base!$E$12,0))*parametros_manuales!$I$110)*parametros_manuales!$I$20*parametros_manuales!$J$20</f>
        <v>1215.44</v>
      </c>
      <c r="J84" s="4">
        <f>(parametros_manuales!$D$20*(datos_base!$E$2+IF(parametros_manuales!$H$20="Todos",datos_base!$E$9,0))*parametros_manuales!$J$95+parametros_manuales!$E$20*(datos_base!$E$3+IF(parametros_manuales!$H$20="Todos",datos_base!$E$10,0))*parametros_manuales!$J$100+parametros_manuales!$F$20*(datos_base!$E$4+IF(parametros_manuales!$H$20="Todos",datos_base!$E$11,0))*parametros_manuales!$J$105+parametros_manuales!$G$20*(datos_base!$E$5+IF(parametros_manuales!$H$20="Todos",datos_base!$E$12,0))*parametros_manuales!$J$110)*parametros_manuales!$I$20*parametros_manuales!$J$20</f>
        <v>1215.44</v>
      </c>
      <c r="K84" s="4">
        <f>(parametros_manuales!$D$20*(datos_base!$E$2+IF(parametros_manuales!$H$20="Todos",datos_base!$E$9,0))*parametros_manuales!$K$95+parametros_manuales!$E$20*(datos_base!$E$3+IF(parametros_manuales!$H$20="Todos",datos_base!$E$10,0))*parametros_manuales!$K$100+parametros_manuales!$F$20*(datos_base!$E$4+IF(parametros_manuales!$H$20="Todos",datos_base!$E$11,0))*parametros_manuales!$K$105+parametros_manuales!$G$20*(datos_base!$E$5+IF(parametros_manuales!$H$20="Todos",datos_base!$E$12,0))*parametros_manuales!$K$110)*parametros_manuales!$I$20*parametros_manuales!$J$20</f>
        <v>1291.405</v>
      </c>
      <c r="L84" s="4">
        <f>(parametros_manuales!$D$20*(datos_base!$E$2+IF(parametros_manuales!$H$20="Todos",datos_base!$E$9,0))*parametros_manuales!$L$95+parametros_manuales!$E$20*(datos_base!$E$3+IF(parametros_manuales!$H$20="Todos",datos_base!$E$10,0))*parametros_manuales!$L$100+parametros_manuales!$F$20*(datos_base!$E$4+IF(parametros_manuales!$H$20="Todos",datos_base!$E$11,0))*parametros_manuales!$L$105+parametros_manuales!$G$20*(datos_base!$E$5+IF(parametros_manuales!$H$20="Todos",datos_base!$E$12,0))*parametros_manuales!$L$110)*parametros_manuales!$I$20*parametros_manuales!$J$20</f>
        <v>1367.37</v>
      </c>
      <c r="M84" s="4">
        <f>(parametros_manuales!$D$20*(datos_base!$E$2+IF(parametros_manuales!$H$20="Todos",datos_base!$E$9,0))*parametros_manuales!$M$95+parametros_manuales!$E$20*(datos_base!$E$3+IF(parametros_manuales!$H$20="Todos",datos_base!$E$10,0))*parametros_manuales!$M$100+parametros_manuales!$F$20*(datos_base!$E$4+IF(parametros_manuales!$H$20="Todos",datos_base!$E$11,0))*parametros_manuales!$M$105+parametros_manuales!$G$20*(datos_base!$E$5+IF(parametros_manuales!$H$20="Todos",datos_base!$E$12,0))*parametros_manuales!$M$110)*parametros_manuales!$I$20*parametros_manuales!$J$20</f>
        <v>1367.37</v>
      </c>
      <c r="N84" s="4">
        <f t="shared" si="10"/>
        <v>15193</v>
      </c>
      <c r="O84" s="4">
        <f t="shared" si="11"/>
        <v>1367.37</v>
      </c>
      <c r="P84" s="27">
        <f>O84/(parametros_manuales!$B$7)</f>
        <v>9.1158</v>
      </c>
      <c r="Q84" s="3" t="str">
        <f t="shared" si="12"/>
        <v>Ene</v>
      </c>
    </row>
    <row r="85" ht="14.25" customHeight="1">
      <c r="A85" s="3" t="str">
        <f>parametros_manuales!$B$21</f>
        <v>Corte de tubo — 1 kg</v>
      </c>
      <c r="B85" s="4">
        <f>(parametros_manuales!$D$21*(datos_base!$E$2+IF(parametros_manuales!$H$21="Todos",datos_base!$E$9,0))*parametros_manuales!$B$95+parametros_manuales!$E$21*(datos_base!$E$3+IF(parametros_manuales!$H$21="Todos",datos_base!$E$10,0))*parametros_manuales!$B$100+parametros_manuales!$F$21*(datos_base!$E$4+IF(parametros_manuales!$H$21="Todos",datos_base!$E$11,0))*parametros_manuales!$B$105+parametros_manuales!$G$21*(datos_base!$E$5+IF(parametros_manuales!$H$21="Todos",datos_base!$E$12,0))*parametros_manuales!$B$110)*parametros_manuales!$I$21*parametros_manuales!$J$21</f>
        <v>3164.58</v>
      </c>
      <c r="C85" s="4">
        <f>(parametros_manuales!$D$21*(datos_base!$E$2+IF(parametros_manuales!$H$21="Todos",datos_base!$E$9,0))*parametros_manuales!$C$95+parametros_manuales!$E$21*(datos_base!$E$3+IF(parametros_manuales!$H$21="Todos",datos_base!$E$10,0))*parametros_manuales!$C$100+parametros_manuales!$F$21*(datos_base!$E$4+IF(parametros_manuales!$H$21="Todos",datos_base!$E$11,0))*parametros_manuales!$C$105+parametros_manuales!$G$21*(datos_base!$E$5+IF(parametros_manuales!$H$21="Todos",datos_base!$E$12,0))*parametros_manuales!$C$110)*parametros_manuales!$I$21*parametros_manuales!$J$21</f>
        <v>3164.58</v>
      </c>
      <c r="D85" s="4">
        <f>(parametros_manuales!$D$21*(datos_base!$E$2+IF(parametros_manuales!$H$21="Todos",datos_base!$E$9,0))*parametros_manuales!$D$95+parametros_manuales!$E$21*(datos_base!$E$3+IF(parametros_manuales!$H$21="Todos",datos_base!$E$10,0))*parametros_manuales!$D$100+parametros_manuales!$F$21*(datos_base!$E$4+IF(parametros_manuales!$H$21="Todos",datos_base!$E$11,0))*parametros_manuales!$D$105+parametros_manuales!$G$21*(datos_base!$E$5+IF(parametros_manuales!$H$21="Todos",datos_base!$E$12,0))*parametros_manuales!$D$110)*parametros_manuales!$I$21*parametros_manuales!$J$21</f>
        <v>2812.96</v>
      </c>
      <c r="E85" s="4">
        <f>(parametros_manuales!$D$21*(datos_base!$E$2+IF(parametros_manuales!$H$21="Todos",datos_base!$E$9,0))*parametros_manuales!$E$95+parametros_manuales!$E$21*(datos_base!$E$3+IF(parametros_manuales!$H$21="Todos",datos_base!$E$10,0))*parametros_manuales!$E$100+parametros_manuales!$F$21*(datos_base!$E$4+IF(parametros_manuales!$H$21="Todos",datos_base!$E$11,0))*parametros_manuales!$E$105+parametros_manuales!$G$21*(datos_base!$E$5+IF(parametros_manuales!$H$21="Todos",datos_base!$E$12,0))*parametros_manuales!$E$110)*parametros_manuales!$I$21*parametros_manuales!$J$21</f>
        <v>2637.15</v>
      </c>
      <c r="F85" s="4">
        <f>(parametros_manuales!$D$21*(datos_base!$E$2+IF(parametros_manuales!$H$21="Todos",datos_base!$E$9,0))*parametros_manuales!$F$95+parametros_manuales!$E$21*(datos_base!$E$3+IF(parametros_manuales!$H$21="Todos",datos_base!$E$10,0))*parametros_manuales!$F$100+parametros_manuales!$F$21*(datos_base!$E$4+IF(parametros_manuales!$H$21="Todos",datos_base!$E$11,0))*parametros_manuales!$F$105+parametros_manuales!$G$21*(datos_base!$E$5+IF(parametros_manuales!$H$21="Todos",datos_base!$E$12,0))*parametros_manuales!$F$110)*parametros_manuales!$I$21*parametros_manuales!$J$21</f>
        <v>2461.34</v>
      </c>
      <c r="G85" s="4">
        <f>(parametros_manuales!$D$21*(datos_base!$E$2+IF(parametros_manuales!$H$21="Todos",datos_base!$E$9,0))*parametros_manuales!$G$95+parametros_manuales!$E$21*(datos_base!$E$3+IF(parametros_manuales!$H$21="Todos",datos_base!$E$10,0))*parametros_manuales!$G$100+parametros_manuales!$F$21*(datos_base!$E$4+IF(parametros_manuales!$H$21="Todos",datos_base!$E$11,0))*parametros_manuales!$G$105+parametros_manuales!$G$21*(datos_base!$E$5+IF(parametros_manuales!$H$21="Todos",datos_base!$E$12,0))*parametros_manuales!$G$110)*parametros_manuales!$I$21*parametros_manuales!$J$21</f>
        <v>2461.34</v>
      </c>
      <c r="H85" s="4">
        <f>(parametros_manuales!$D$21*(datos_base!$E$2+IF(parametros_manuales!$H$21="Todos",datos_base!$E$9,0))*parametros_manuales!$H$95+parametros_manuales!$E$21*(datos_base!$E$3+IF(parametros_manuales!$H$21="Todos",datos_base!$E$10,0))*parametros_manuales!$H$100+parametros_manuales!$F$21*(datos_base!$E$4+IF(parametros_manuales!$H$21="Todos",datos_base!$E$11,0))*parametros_manuales!$H$105+parametros_manuales!$G$21*(datos_base!$E$5+IF(parametros_manuales!$H$21="Todos",datos_base!$E$12,0))*parametros_manuales!$H$110)*parametros_manuales!$I$21*parametros_manuales!$J$21</f>
        <v>2637.15</v>
      </c>
      <c r="I85" s="4">
        <f>(parametros_manuales!$D$21*(datos_base!$E$2+IF(parametros_manuales!$H$21="Todos",datos_base!$E$9,0))*parametros_manuales!$I$95+parametros_manuales!$E$21*(datos_base!$E$3+IF(parametros_manuales!$H$21="Todos",datos_base!$E$10,0))*parametros_manuales!$I$100+parametros_manuales!$F$21*(datos_base!$E$4+IF(parametros_manuales!$H$21="Todos",datos_base!$E$11,0))*parametros_manuales!$I$105+parametros_manuales!$G$21*(datos_base!$E$5+IF(parametros_manuales!$H$21="Todos",datos_base!$E$12,0))*parametros_manuales!$I$110)*parametros_manuales!$I$21*parametros_manuales!$J$21</f>
        <v>3164.58</v>
      </c>
      <c r="J85" s="4">
        <f>(parametros_manuales!$D$21*(datos_base!$E$2+IF(parametros_manuales!$H$21="Todos",datos_base!$E$9,0))*parametros_manuales!$J$95+parametros_manuales!$E$21*(datos_base!$E$3+IF(parametros_manuales!$H$21="Todos",datos_base!$E$10,0))*parametros_manuales!$J$100+parametros_manuales!$F$21*(datos_base!$E$4+IF(parametros_manuales!$H$21="Todos",datos_base!$E$11,0))*parametros_manuales!$J$105+parametros_manuales!$G$21*(datos_base!$E$5+IF(parametros_manuales!$H$21="Todos",datos_base!$E$12,0))*parametros_manuales!$J$110)*parametros_manuales!$I$21*parametros_manuales!$J$21</f>
        <v>3164.58</v>
      </c>
      <c r="K85" s="4">
        <f>(parametros_manuales!$D$21*(datos_base!$E$2+IF(parametros_manuales!$H$21="Todos",datos_base!$E$9,0))*parametros_manuales!$K$95+parametros_manuales!$E$21*(datos_base!$E$3+IF(parametros_manuales!$H$21="Todos",datos_base!$E$10,0))*parametros_manuales!$K$100+parametros_manuales!$F$21*(datos_base!$E$4+IF(parametros_manuales!$H$21="Todos",datos_base!$E$11,0))*parametros_manuales!$K$105+parametros_manuales!$G$21*(datos_base!$E$5+IF(parametros_manuales!$H$21="Todos",datos_base!$E$12,0))*parametros_manuales!$K$110)*parametros_manuales!$I$21*parametros_manuales!$J$21</f>
        <v>3164.58</v>
      </c>
      <c r="L85" s="4">
        <f>(parametros_manuales!$D$21*(datos_base!$E$2+IF(parametros_manuales!$H$21="Todos",datos_base!$E$9,0))*parametros_manuales!$L$95+parametros_manuales!$E$21*(datos_base!$E$3+IF(parametros_manuales!$H$21="Todos",datos_base!$E$10,0))*parametros_manuales!$L$100+parametros_manuales!$F$21*(datos_base!$E$4+IF(parametros_manuales!$H$21="Todos",datos_base!$E$11,0))*parametros_manuales!$L$105+parametros_manuales!$G$21*(datos_base!$E$5+IF(parametros_manuales!$H$21="Todos",datos_base!$E$12,0))*parametros_manuales!$L$110)*parametros_manuales!$I$21*parametros_manuales!$J$21</f>
        <v>3164.58</v>
      </c>
      <c r="M85" s="4">
        <f>(parametros_manuales!$D$21*(datos_base!$E$2+IF(parametros_manuales!$H$21="Todos",datos_base!$E$9,0))*parametros_manuales!$M$95+parametros_manuales!$E$21*(datos_base!$E$3+IF(parametros_manuales!$H$21="Todos",datos_base!$E$10,0))*parametros_manuales!$M$100+parametros_manuales!$F$21*(datos_base!$E$4+IF(parametros_manuales!$H$21="Todos",datos_base!$E$11,0))*parametros_manuales!$M$105+parametros_manuales!$G$21*(datos_base!$E$5+IF(parametros_manuales!$H$21="Todos",datos_base!$E$12,0))*parametros_manuales!$M$110)*parametros_manuales!$I$21*parametros_manuales!$J$21</f>
        <v>3164.58</v>
      </c>
      <c r="N85" s="4">
        <f t="shared" si="10"/>
        <v>35162</v>
      </c>
      <c r="O85" s="4">
        <f t="shared" si="11"/>
        <v>3164.58</v>
      </c>
      <c r="P85" s="27">
        <f>O85/(parametros_manuales!$B$7)</f>
        <v>21.0972</v>
      </c>
      <c r="Q85" s="3" t="str">
        <f t="shared" si="12"/>
        <v>Ene</v>
      </c>
    </row>
    <row r="86" ht="14.25" customHeight="1">
      <c r="A86" s="3" t="str">
        <f>parametros_manuales!$B$22</f>
        <v>Corte de disco y embutido (cúpula y fondo)</v>
      </c>
      <c r="B86" s="4">
        <f>(parametros_manuales!$D$22*(datos_base!$E$2+IF(parametros_manuales!$H$22="Todos",datos_base!$E$9,0))*parametros_manuales!$B$95+parametros_manuales!$E$22*(datos_base!$E$3+IF(parametros_manuales!$H$22="Todos",datos_base!$E$10,0))*parametros_manuales!$B$100+parametros_manuales!$F$22*(datos_base!$E$4+IF(parametros_manuales!$H$22="Todos",datos_base!$E$11,0))*parametros_manuales!$B$105+parametros_manuales!$G$22*(datos_base!$E$5+IF(parametros_manuales!$H$22="Todos",datos_base!$E$12,0))*parametros_manuales!$B$110)*parametros_manuales!$I$22*parametros_manuales!$J$22</f>
        <v>9063.9</v>
      </c>
      <c r="C86" s="4">
        <f>(parametros_manuales!$D$22*(datos_base!$E$2+IF(parametros_manuales!$H$22="Todos",datos_base!$E$9,0))*parametros_manuales!$C$95+parametros_manuales!$E$22*(datos_base!$E$3+IF(parametros_manuales!$H$22="Todos",datos_base!$E$10,0))*parametros_manuales!$C$100+parametros_manuales!$F$22*(datos_base!$E$4+IF(parametros_manuales!$H$22="Todos",datos_base!$E$11,0))*parametros_manuales!$C$105+parametros_manuales!$G$22*(datos_base!$E$5+IF(parametros_manuales!$H$22="Todos",datos_base!$E$12,0))*parametros_manuales!$C$110)*parametros_manuales!$I$22*parametros_manuales!$J$22</f>
        <v>8760.04</v>
      </c>
      <c r="D86" s="4">
        <f>(parametros_manuales!$D$22*(datos_base!$E$2+IF(parametros_manuales!$H$22="Todos",datos_base!$E$9,0))*parametros_manuales!$D$95+parametros_manuales!$E$22*(datos_base!$E$3+IF(parametros_manuales!$H$22="Todos",datos_base!$E$10,0))*parametros_manuales!$D$100+parametros_manuales!$F$22*(datos_base!$E$4+IF(parametros_manuales!$H$22="Todos",datos_base!$E$11,0))*parametros_manuales!$D$105+parametros_manuales!$G$22*(datos_base!$E$5+IF(parametros_manuales!$H$22="Todos",datos_base!$E$12,0))*parametros_manuales!$D$110)*parametros_manuales!$I$22*parametros_manuales!$J$22</f>
        <v>8208.73</v>
      </c>
      <c r="E86" s="4">
        <f>(parametros_manuales!$D$22*(datos_base!$E$2+IF(parametros_manuales!$H$22="Todos",datos_base!$E$9,0))*parametros_manuales!$E$95+parametros_manuales!$E$22*(datos_base!$E$3+IF(parametros_manuales!$H$22="Todos",datos_base!$E$10,0))*parametros_manuales!$E$100+parametros_manuales!$F$22*(datos_base!$E$4+IF(parametros_manuales!$H$22="Todos",datos_base!$E$11,0))*parametros_manuales!$E$105+parametros_manuales!$G$22*(datos_base!$E$5+IF(parametros_manuales!$H$22="Todos",datos_base!$E$12,0))*parametros_manuales!$E$110)*parametros_manuales!$I$22*parametros_manuales!$J$22</f>
        <v>7857.11</v>
      </c>
      <c r="F86" s="4">
        <f>(parametros_manuales!$D$22*(datos_base!$E$2+IF(parametros_manuales!$H$22="Todos",datos_base!$E$9,0))*parametros_manuales!$F$95+parametros_manuales!$E$22*(datos_base!$E$3+IF(parametros_manuales!$H$22="Todos",datos_base!$E$10,0))*parametros_manuales!$F$100+parametros_manuales!$F$22*(datos_base!$E$4+IF(parametros_manuales!$H$22="Todos",datos_base!$E$11,0))*parametros_manuales!$F$105+parametros_manuales!$G$22*(datos_base!$E$5+IF(parametros_manuales!$H$22="Todos",datos_base!$E$12,0))*parametros_manuales!$F$110)*parametros_manuales!$I$22*parametros_manuales!$J$22</f>
        <v>7353.56</v>
      </c>
      <c r="G86" s="4">
        <f>(parametros_manuales!$D$22*(datos_base!$E$2+IF(parametros_manuales!$H$22="Todos",datos_base!$E$9,0))*parametros_manuales!$G$95+parametros_manuales!$E$22*(datos_base!$E$3+IF(parametros_manuales!$H$22="Todos",datos_base!$E$10,0))*parametros_manuales!$G$100+parametros_manuales!$F$22*(datos_base!$E$4+IF(parametros_manuales!$H$22="Todos",datos_base!$E$11,0))*parametros_manuales!$G$105+parametros_manuales!$G$22*(datos_base!$E$5+IF(parametros_manuales!$H$22="Todos",datos_base!$E$12,0))*parametros_manuales!$G$110)*parametros_manuales!$I$22*parametros_manuales!$J$22</f>
        <v>7201.63</v>
      </c>
      <c r="H86" s="4">
        <f>(parametros_manuales!$D$22*(datos_base!$E$2+IF(parametros_manuales!$H$22="Todos",datos_base!$E$9,0))*parametros_manuales!$H$95+parametros_manuales!$E$22*(datos_base!$E$3+IF(parametros_manuales!$H$22="Todos",datos_base!$E$10,0))*parametros_manuales!$H$100+parametros_manuales!$F$22*(datos_base!$E$4+IF(parametros_manuales!$H$22="Todos",datos_base!$E$11,0))*parametros_manuales!$H$105+parametros_manuales!$G$22*(datos_base!$E$5+IF(parametros_manuales!$H$22="Todos",datos_base!$E$12,0))*parametros_manuales!$H$110)*parametros_manuales!$I$22*parametros_manuales!$J$22</f>
        <v>7705.18</v>
      </c>
      <c r="I86" s="4">
        <f>(parametros_manuales!$D$22*(datos_base!$E$2+IF(parametros_manuales!$H$22="Todos",datos_base!$E$9,0))*parametros_manuales!$I$95+parametros_manuales!$E$22*(datos_base!$E$3+IF(parametros_manuales!$H$22="Todos",datos_base!$E$10,0))*parametros_manuales!$I$100+parametros_manuales!$F$22*(datos_base!$E$4+IF(parametros_manuales!$H$22="Todos",datos_base!$E$11,0))*parametros_manuales!$I$105+parametros_manuales!$G$22*(datos_base!$E$5+IF(parametros_manuales!$H$22="Todos",datos_base!$E$12,0))*parametros_manuales!$I$110)*parametros_manuales!$I$22*parametros_manuales!$J$22</f>
        <v>8760.04</v>
      </c>
      <c r="J86" s="4">
        <f>(parametros_manuales!$D$22*(datos_base!$E$2+IF(parametros_manuales!$H$22="Todos",datos_base!$E$9,0))*parametros_manuales!$J$95+parametros_manuales!$E$22*(datos_base!$E$3+IF(parametros_manuales!$H$22="Todos",datos_base!$E$10,0))*parametros_manuales!$J$100+parametros_manuales!$F$22*(datos_base!$E$4+IF(parametros_manuales!$H$22="Todos",datos_base!$E$11,0))*parametros_manuales!$J$105+parametros_manuales!$G$22*(datos_base!$E$5+IF(parametros_manuales!$H$22="Todos",datos_base!$E$12,0))*parametros_manuales!$J$110)*parametros_manuales!$I$22*parametros_manuales!$J$22</f>
        <v>8760.04</v>
      </c>
      <c r="K86" s="4">
        <f>(parametros_manuales!$D$22*(datos_base!$E$2+IF(parametros_manuales!$H$22="Todos",datos_base!$E$9,0))*parametros_manuales!$K$95+parametros_manuales!$E$22*(datos_base!$E$3+IF(parametros_manuales!$H$22="Todos",datos_base!$E$10,0))*parametros_manuales!$K$100+parametros_manuales!$F$22*(datos_base!$E$4+IF(parametros_manuales!$H$22="Todos",datos_base!$E$11,0))*parametros_manuales!$K$105+parametros_manuales!$G$22*(datos_base!$E$5+IF(parametros_manuales!$H$22="Todos",datos_base!$E$12,0))*parametros_manuales!$K$110)*parametros_manuales!$I$22*parametros_manuales!$J$22</f>
        <v>8911.97</v>
      </c>
      <c r="L86" s="4">
        <f>(parametros_manuales!$D$22*(datos_base!$E$2+IF(parametros_manuales!$H$22="Todos",datos_base!$E$9,0))*parametros_manuales!$L$95+parametros_manuales!$E$22*(datos_base!$E$3+IF(parametros_manuales!$H$22="Todos",datos_base!$E$10,0))*parametros_manuales!$L$100+parametros_manuales!$F$22*(datos_base!$E$4+IF(parametros_manuales!$H$22="Todos",datos_base!$E$11,0))*parametros_manuales!$L$105+parametros_manuales!$G$22*(datos_base!$E$5+IF(parametros_manuales!$H$22="Todos",datos_base!$E$12,0))*parametros_manuales!$L$110)*parametros_manuales!$I$22*parametros_manuales!$J$22</f>
        <v>9063.9</v>
      </c>
      <c r="M86" s="4">
        <f>(parametros_manuales!$D$22*(datos_base!$E$2+IF(parametros_manuales!$H$22="Todos",datos_base!$E$9,0))*parametros_manuales!$M$95+parametros_manuales!$E$22*(datos_base!$E$3+IF(parametros_manuales!$H$22="Todos",datos_base!$E$10,0))*parametros_manuales!$M$100+parametros_manuales!$F$22*(datos_base!$E$4+IF(parametros_manuales!$H$22="Todos",datos_base!$E$11,0))*parametros_manuales!$M$105+parametros_manuales!$G$22*(datos_base!$E$5+IF(parametros_manuales!$H$22="Todos",datos_base!$E$12,0))*parametros_manuales!$M$110)*parametros_manuales!$I$22*parametros_manuales!$J$22</f>
        <v>9063.9</v>
      </c>
      <c r="N86" s="4">
        <f t="shared" si="10"/>
        <v>100710</v>
      </c>
      <c r="O86" s="4">
        <f t="shared" si="11"/>
        <v>9063.9</v>
      </c>
      <c r="P86" s="27">
        <f>O86/(parametros_manuales!$B$7)</f>
        <v>60.426</v>
      </c>
      <c r="Q86" s="3" t="str">
        <f t="shared" si="12"/>
        <v>Ene</v>
      </c>
    </row>
    <row r="87" ht="14.25" customHeight="1">
      <c r="A87" s="3" t="str">
        <f>parametros_manuales!$B$23</f>
        <v>Preparación de cuello</v>
      </c>
      <c r="B87" s="4">
        <f>(parametros_manuales!$D$23*(datos_base!$E$2+IF(parametros_manuales!$H$23="Todos",datos_base!$E$9,0))*parametros_manuales!$B$95+parametros_manuales!$E$23*(datos_base!$E$3+IF(parametros_manuales!$H$23="Todos",datos_base!$E$10,0))*parametros_manuales!$B$100+parametros_manuales!$F$23*(datos_base!$E$4+IF(parametros_manuales!$H$23="Todos",datos_base!$E$11,0))*parametros_manuales!$B$105+parametros_manuales!$G$23*(datos_base!$E$5+IF(parametros_manuales!$H$23="Todos",datos_base!$E$12,0))*parametros_manuales!$B$110)*parametros_manuales!$I$23*parametros_manuales!$J$23</f>
        <v>4531.95</v>
      </c>
      <c r="C87" s="4">
        <f>(parametros_manuales!$D$23*(datos_base!$E$2+IF(parametros_manuales!$H$23="Todos",datos_base!$E$9,0))*parametros_manuales!$C$95+parametros_manuales!$E$23*(datos_base!$E$3+IF(parametros_manuales!$H$23="Todos",datos_base!$E$10,0))*parametros_manuales!$C$100+parametros_manuales!$F$23*(datos_base!$E$4+IF(parametros_manuales!$H$23="Todos",datos_base!$E$11,0))*parametros_manuales!$C$105+parametros_manuales!$G$23*(datos_base!$E$5+IF(parametros_manuales!$H$23="Todos",datos_base!$E$12,0))*parametros_manuales!$C$110)*parametros_manuales!$I$23*parametros_manuales!$J$23</f>
        <v>4380.02</v>
      </c>
      <c r="D87" s="4">
        <f>(parametros_manuales!$D$23*(datos_base!$E$2+IF(parametros_manuales!$H$23="Todos",datos_base!$E$9,0))*parametros_manuales!$D$95+parametros_manuales!$E$23*(datos_base!$E$3+IF(parametros_manuales!$H$23="Todos",datos_base!$E$10,0))*parametros_manuales!$D$100+parametros_manuales!$F$23*(datos_base!$E$4+IF(parametros_manuales!$H$23="Todos",datos_base!$E$11,0))*parametros_manuales!$D$105+parametros_manuales!$G$23*(datos_base!$E$5+IF(parametros_manuales!$H$23="Todos",datos_base!$E$12,0))*parametros_manuales!$D$110)*parametros_manuales!$I$23*parametros_manuales!$J$23</f>
        <v>4104.365</v>
      </c>
      <c r="E87" s="4">
        <f>(parametros_manuales!$D$23*(datos_base!$E$2+IF(parametros_manuales!$H$23="Todos",datos_base!$E$9,0))*parametros_manuales!$E$95+parametros_manuales!$E$23*(datos_base!$E$3+IF(parametros_manuales!$H$23="Todos",datos_base!$E$10,0))*parametros_manuales!$E$100+parametros_manuales!$F$23*(datos_base!$E$4+IF(parametros_manuales!$H$23="Todos",datos_base!$E$11,0))*parametros_manuales!$E$105+parametros_manuales!$G$23*(datos_base!$E$5+IF(parametros_manuales!$H$23="Todos",datos_base!$E$12,0))*parametros_manuales!$E$110)*parametros_manuales!$I$23*parametros_manuales!$J$23</f>
        <v>3928.555</v>
      </c>
      <c r="F87" s="4">
        <f>(parametros_manuales!$D$23*(datos_base!$E$2+IF(parametros_manuales!$H$23="Todos",datos_base!$E$9,0))*parametros_manuales!$F$95+parametros_manuales!$E$23*(datos_base!$E$3+IF(parametros_manuales!$H$23="Todos",datos_base!$E$10,0))*parametros_manuales!$F$100+parametros_manuales!$F$23*(datos_base!$E$4+IF(parametros_manuales!$H$23="Todos",datos_base!$E$11,0))*parametros_manuales!$F$105+parametros_manuales!$G$23*(datos_base!$E$5+IF(parametros_manuales!$H$23="Todos",datos_base!$E$12,0))*parametros_manuales!$F$110)*parametros_manuales!$I$23*parametros_manuales!$J$23</f>
        <v>3676.78</v>
      </c>
      <c r="G87" s="4">
        <f>(parametros_manuales!$D$23*(datos_base!$E$2+IF(parametros_manuales!$H$23="Todos",datos_base!$E$9,0))*parametros_manuales!$G$95+parametros_manuales!$E$23*(datos_base!$E$3+IF(parametros_manuales!$H$23="Todos",datos_base!$E$10,0))*parametros_manuales!$G$100+parametros_manuales!$F$23*(datos_base!$E$4+IF(parametros_manuales!$H$23="Todos",datos_base!$E$11,0))*parametros_manuales!$G$105+parametros_manuales!$G$23*(datos_base!$E$5+IF(parametros_manuales!$H$23="Todos",datos_base!$E$12,0))*parametros_manuales!$G$110)*parametros_manuales!$I$23*parametros_manuales!$J$23</f>
        <v>3600.815</v>
      </c>
      <c r="H87" s="4">
        <f>(parametros_manuales!$D$23*(datos_base!$E$2+IF(parametros_manuales!$H$23="Todos",datos_base!$E$9,0))*parametros_manuales!$H$95+parametros_manuales!$E$23*(datos_base!$E$3+IF(parametros_manuales!$H$23="Todos",datos_base!$E$10,0))*parametros_manuales!$H$100+parametros_manuales!$F$23*(datos_base!$E$4+IF(parametros_manuales!$H$23="Todos",datos_base!$E$11,0))*parametros_manuales!$H$105+parametros_manuales!$G$23*(datos_base!$E$5+IF(parametros_manuales!$H$23="Todos",datos_base!$E$12,0))*parametros_manuales!$H$110)*parametros_manuales!$I$23*parametros_manuales!$J$23</f>
        <v>3852.59</v>
      </c>
      <c r="I87" s="4">
        <f>(parametros_manuales!$D$23*(datos_base!$E$2+IF(parametros_manuales!$H$23="Todos",datos_base!$E$9,0))*parametros_manuales!$I$95+parametros_manuales!$E$23*(datos_base!$E$3+IF(parametros_manuales!$H$23="Todos",datos_base!$E$10,0))*parametros_manuales!$I$100+parametros_manuales!$F$23*(datos_base!$E$4+IF(parametros_manuales!$H$23="Todos",datos_base!$E$11,0))*parametros_manuales!$I$105+parametros_manuales!$G$23*(datos_base!$E$5+IF(parametros_manuales!$H$23="Todos",datos_base!$E$12,0))*parametros_manuales!$I$110)*parametros_manuales!$I$23*parametros_manuales!$J$23</f>
        <v>4380.02</v>
      </c>
      <c r="J87" s="4">
        <f>(parametros_manuales!$D$23*(datos_base!$E$2+IF(parametros_manuales!$H$23="Todos",datos_base!$E$9,0))*parametros_manuales!$J$95+parametros_manuales!$E$23*(datos_base!$E$3+IF(parametros_manuales!$H$23="Todos",datos_base!$E$10,0))*parametros_manuales!$J$100+parametros_manuales!$F$23*(datos_base!$E$4+IF(parametros_manuales!$H$23="Todos",datos_base!$E$11,0))*parametros_manuales!$J$105+parametros_manuales!$G$23*(datos_base!$E$5+IF(parametros_manuales!$H$23="Todos",datos_base!$E$12,0))*parametros_manuales!$J$110)*parametros_manuales!$I$23*parametros_manuales!$J$23</f>
        <v>4380.02</v>
      </c>
      <c r="K87" s="4">
        <f>(parametros_manuales!$D$23*(datos_base!$E$2+IF(parametros_manuales!$H$23="Todos",datos_base!$E$9,0))*parametros_manuales!$K$95+parametros_manuales!$E$23*(datos_base!$E$3+IF(parametros_manuales!$H$23="Todos",datos_base!$E$10,0))*parametros_manuales!$K$100+parametros_manuales!$F$23*(datos_base!$E$4+IF(parametros_manuales!$H$23="Todos",datos_base!$E$11,0))*parametros_manuales!$K$105+parametros_manuales!$G$23*(datos_base!$E$5+IF(parametros_manuales!$H$23="Todos",datos_base!$E$12,0))*parametros_manuales!$K$110)*parametros_manuales!$I$23*parametros_manuales!$J$23</f>
        <v>4455.985</v>
      </c>
      <c r="L87" s="4">
        <f>(parametros_manuales!$D$23*(datos_base!$E$2+IF(parametros_manuales!$H$23="Todos",datos_base!$E$9,0))*parametros_manuales!$L$95+parametros_manuales!$E$23*(datos_base!$E$3+IF(parametros_manuales!$H$23="Todos",datos_base!$E$10,0))*parametros_manuales!$L$100+parametros_manuales!$F$23*(datos_base!$E$4+IF(parametros_manuales!$H$23="Todos",datos_base!$E$11,0))*parametros_manuales!$L$105+parametros_manuales!$G$23*(datos_base!$E$5+IF(parametros_manuales!$H$23="Todos",datos_base!$E$12,0))*parametros_manuales!$L$110)*parametros_manuales!$I$23*parametros_manuales!$J$23</f>
        <v>4531.95</v>
      </c>
      <c r="M87" s="4">
        <f>(parametros_manuales!$D$23*(datos_base!$E$2+IF(parametros_manuales!$H$23="Todos",datos_base!$E$9,0))*parametros_manuales!$M$95+parametros_manuales!$E$23*(datos_base!$E$3+IF(parametros_manuales!$H$23="Todos",datos_base!$E$10,0))*parametros_manuales!$M$100+parametros_manuales!$F$23*(datos_base!$E$4+IF(parametros_manuales!$H$23="Todos",datos_base!$E$11,0))*parametros_manuales!$M$105+parametros_manuales!$G$23*(datos_base!$E$5+IF(parametros_manuales!$H$23="Todos",datos_base!$E$12,0))*parametros_manuales!$M$110)*parametros_manuales!$I$23*parametros_manuales!$J$23</f>
        <v>4531.95</v>
      </c>
      <c r="N87" s="4">
        <f t="shared" si="10"/>
        <v>50355</v>
      </c>
      <c r="O87" s="4">
        <f t="shared" si="11"/>
        <v>4531.95</v>
      </c>
      <c r="P87" s="27">
        <f>O87/(parametros_manuales!$B$7)</f>
        <v>30.213</v>
      </c>
      <c r="Q87" s="3" t="str">
        <f t="shared" si="12"/>
        <v>Ene</v>
      </c>
    </row>
    <row r="88" ht="14.25" customHeight="1">
      <c r="A88" s="3" t="str">
        <f>parametros_manuales!$B$24</f>
        <v>Numerado de cúpula</v>
      </c>
      <c r="B88" s="4">
        <f>(parametros_manuales!$D$24*(datos_base!$E$2+IF(parametros_manuales!$H$24="Todos",datos_base!$E$9,0))*parametros_manuales!$B$95+parametros_manuales!$E$24*(datos_base!$E$3+IF(parametros_manuales!$H$24="Todos",datos_base!$E$10,0))*parametros_manuales!$B$100+parametros_manuales!$F$24*(datos_base!$E$4+IF(parametros_manuales!$H$24="Todos",datos_base!$E$11,0))*parametros_manuales!$B$105+parametros_manuales!$G$24*(datos_base!$E$5+IF(parametros_manuales!$H$24="Todos",datos_base!$E$12,0))*parametros_manuales!$B$110)*parametros_manuales!$I$24*parametros_manuales!$J$24</f>
        <v>4531.95</v>
      </c>
      <c r="C88" s="4">
        <f>(parametros_manuales!$D$24*(datos_base!$E$2+IF(parametros_manuales!$H$24="Todos",datos_base!$E$9,0))*parametros_manuales!$C$95+parametros_manuales!$E$24*(datos_base!$E$3+IF(parametros_manuales!$H$24="Todos",datos_base!$E$10,0))*parametros_manuales!$C$100+parametros_manuales!$F$24*(datos_base!$E$4+IF(parametros_manuales!$H$24="Todos",datos_base!$E$11,0))*parametros_manuales!$C$105+parametros_manuales!$G$24*(datos_base!$E$5+IF(parametros_manuales!$H$24="Todos",datos_base!$E$12,0))*parametros_manuales!$C$110)*parametros_manuales!$I$24*parametros_manuales!$J$24</f>
        <v>4380.02</v>
      </c>
      <c r="D88" s="4">
        <f>(parametros_manuales!$D$24*(datos_base!$E$2+IF(parametros_manuales!$H$24="Todos",datos_base!$E$9,0))*parametros_manuales!$D$95+parametros_manuales!$E$24*(datos_base!$E$3+IF(parametros_manuales!$H$24="Todos",datos_base!$E$10,0))*parametros_manuales!$D$100+parametros_manuales!$F$24*(datos_base!$E$4+IF(parametros_manuales!$H$24="Todos",datos_base!$E$11,0))*parametros_manuales!$D$105+parametros_manuales!$G$24*(datos_base!$E$5+IF(parametros_manuales!$H$24="Todos",datos_base!$E$12,0))*parametros_manuales!$D$110)*parametros_manuales!$I$24*parametros_manuales!$J$24</f>
        <v>4104.365</v>
      </c>
      <c r="E88" s="4">
        <f>(parametros_manuales!$D$24*(datos_base!$E$2+IF(parametros_manuales!$H$24="Todos",datos_base!$E$9,0))*parametros_manuales!$E$95+parametros_manuales!$E$24*(datos_base!$E$3+IF(parametros_manuales!$H$24="Todos",datos_base!$E$10,0))*parametros_manuales!$E$100+parametros_manuales!$F$24*(datos_base!$E$4+IF(parametros_manuales!$H$24="Todos",datos_base!$E$11,0))*parametros_manuales!$E$105+parametros_manuales!$G$24*(datos_base!$E$5+IF(parametros_manuales!$H$24="Todos",datos_base!$E$12,0))*parametros_manuales!$E$110)*parametros_manuales!$I$24*parametros_manuales!$J$24</f>
        <v>3928.555</v>
      </c>
      <c r="F88" s="4">
        <f>(parametros_manuales!$D$24*(datos_base!$E$2+IF(parametros_manuales!$H$24="Todos",datos_base!$E$9,0))*parametros_manuales!$F$95+parametros_manuales!$E$24*(datos_base!$E$3+IF(parametros_manuales!$H$24="Todos",datos_base!$E$10,0))*parametros_manuales!$F$100+parametros_manuales!$F$24*(datos_base!$E$4+IF(parametros_manuales!$H$24="Todos",datos_base!$E$11,0))*parametros_manuales!$F$105+parametros_manuales!$G$24*(datos_base!$E$5+IF(parametros_manuales!$H$24="Todos",datos_base!$E$12,0))*parametros_manuales!$F$110)*parametros_manuales!$I$24*parametros_manuales!$J$24</f>
        <v>3676.78</v>
      </c>
      <c r="G88" s="4">
        <f>(parametros_manuales!$D$24*(datos_base!$E$2+IF(parametros_manuales!$H$24="Todos",datos_base!$E$9,0))*parametros_manuales!$G$95+parametros_manuales!$E$24*(datos_base!$E$3+IF(parametros_manuales!$H$24="Todos",datos_base!$E$10,0))*parametros_manuales!$G$100+parametros_manuales!$F$24*(datos_base!$E$4+IF(parametros_manuales!$H$24="Todos",datos_base!$E$11,0))*parametros_manuales!$G$105+parametros_manuales!$G$24*(datos_base!$E$5+IF(parametros_manuales!$H$24="Todos",datos_base!$E$12,0))*parametros_manuales!$G$110)*parametros_manuales!$I$24*parametros_manuales!$J$24</f>
        <v>3600.815</v>
      </c>
      <c r="H88" s="4">
        <f>(parametros_manuales!$D$24*(datos_base!$E$2+IF(parametros_manuales!$H$24="Todos",datos_base!$E$9,0))*parametros_manuales!$H$95+parametros_manuales!$E$24*(datos_base!$E$3+IF(parametros_manuales!$H$24="Todos",datos_base!$E$10,0))*parametros_manuales!$H$100+parametros_manuales!$F$24*(datos_base!$E$4+IF(parametros_manuales!$H$24="Todos",datos_base!$E$11,0))*parametros_manuales!$H$105+parametros_manuales!$G$24*(datos_base!$E$5+IF(parametros_manuales!$H$24="Todos",datos_base!$E$12,0))*parametros_manuales!$H$110)*parametros_manuales!$I$24*parametros_manuales!$J$24</f>
        <v>3852.59</v>
      </c>
      <c r="I88" s="4">
        <f>(parametros_manuales!$D$24*(datos_base!$E$2+IF(parametros_manuales!$H$24="Todos",datos_base!$E$9,0))*parametros_manuales!$I$95+parametros_manuales!$E$24*(datos_base!$E$3+IF(parametros_manuales!$H$24="Todos",datos_base!$E$10,0))*parametros_manuales!$I$100+parametros_manuales!$F$24*(datos_base!$E$4+IF(parametros_manuales!$H$24="Todos",datos_base!$E$11,0))*parametros_manuales!$I$105+parametros_manuales!$G$24*(datos_base!$E$5+IF(parametros_manuales!$H$24="Todos",datos_base!$E$12,0))*parametros_manuales!$I$110)*parametros_manuales!$I$24*parametros_manuales!$J$24</f>
        <v>4380.02</v>
      </c>
      <c r="J88" s="4">
        <f>(parametros_manuales!$D$24*(datos_base!$E$2+IF(parametros_manuales!$H$24="Todos",datos_base!$E$9,0))*parametros_manuales!$J$95+parametros_manuales!$E$24*(datos_base!$E$3+IF(parametros_manuales!$H$24="Todos",datos_base!$E$10,0))*parametros_manuales!$J$100+parametros_manuales!$F$24*(datos_base!$E$4+IF(parametros_manuales!$H$24="Todos",datos_base!$E$11,0))*parametros_manuales!$J$105+parametros_manuales!$G$24*(datos_base!$E$5+IF(parametros_manuales!$H$24="Todos",datos_base!$E$12,0))*parametros_manuales!$J$110)*parametros_manuales!$I$24*parametros_manuales!$J$24</f>
        <v>4380.02</v>
      </c>
      <c r="K88" s="4">
        <f>(parametros_manuales!$D$24*(datos_base!$E$2+IF(parametros_manuales!$H$24="Todos",datos_base!$E$9,0))*parametros_manuales!$K$95+parametros_manuales!$E$24*(datos_base!$E$3+IF(parametros_manuales!$H$24="Todos",datos_base!$E$10,0))*parametros_manuales!$K$100+parametros_manuales!$F$24*(datos_base!$E$4+IF(parametros_manuales!$H$24="Todos",datos_base!$E$11,0))*parametros_manuales!$K$105+parametros_manuales!$G$24*(datos_base!$E$5+IF(parametros_manuales!$H$24="Todos",datos_base!$E$12,0))*parametros_manuales!$K$110)*parametros_manuales!$I$24*parametros_manuales!$J$24</f>
        <v>4455.985</v>
      </c>
      <c r="L88" s="4">
        <f>(parametros_manuales!$D$24*(datos_base!$E$2+IF(parametros_manuales!$H$24="Todos",datos_base!$E$9,0))*parametros_manuales!$L$95+parametros_manuales!$E$24*(datos_base!$E$3+IF(parametros_manuales!$H$24="Todos",datos_base!$E$10,0))*parametros_manuales!$L$100+parametros_manuales!$F$24*(datos_base!$E$4+IF(parametros_manuales!$H$24="Todos",datos_base!$E$11,0))*parametros_manuales!$L$105+parametros_manuales!$G$24*(datos_base!$E$5+IF(parametros_manuales!$H$24="Todos",datos_base!$E$12,0))*parametros_manuales!$L$110)*parametros_manuales!$I$24*parametros_manuales!$J$24</f>
        <v>4531.95</v>
      </c>
      <c r="M88" s="4">
        <f>(parametros_manuales!$D$24*(datos_base!$E$2+IF(parametros_manuales!$H$24="Todos",datos_base!$E$9,0))*parametros_manuales!$M$95+parametros_manuales!$E$24*(datos_base!$E$3+IF(parametros_manuales!$H$24="Todos",datos_base!$E$10,0))*parametros_manuales!$M$100+parametros_manuales!$F$24*(datos_base!$E$4+IF(parametros_manuales!$H$24="Todos",datos_base!$E$11,0))*parametros_manuales!$M$105+parametros_manuales!$G$24*(datos_base!$E$5+IF(parametros_manuales!$H$24="Todos",datos_base!$E$12,0))*parametros_manuales!$M$110)*parametros_manuales!$I$24*parametros_manuales!$J$24</f>
        <v>4531.95</v>
      </c>
      <c r="N88" s="4">
        <f t="shared" si="10"/>
        <v>50355</v>
      </c>
      <c r="O88" s="4">
        <f t="shared" si="11"/>
        <v>4531.95</v>
      </c>
      <c r="P88" s="27">
        <f>O88/(parametros_manuales!$B$7)</f>
        <v>30.213</v>
      </c>
      <c r="Q88" s="3" t="str">
        <f t="shared" si="12"/>
        <v>Ene</v>
      </c>
    </row>
    <row r="89" ht="14.25" customHeight="1">
      <c r="A89" s="3" t="str">
        <f>parametros_manuales!$B$25</f>
        <v>Soldadura del cuello a la cúpula</v>
      </c>
      <c r="B89" s="4">
        <f>(parametros_manuales!$D$25*(datos_base!$E$2+IF(parametros_manuales!$H$25="Todos",datos_base!$E$9,0))*parametros_manuales!$B$95+parametros_manuales!$E$25*(datos_base!$E$3+IF(parametros_manuales!$H$25="Todos",datos_base!$E$10,0))*parametros_manuales!$B$100+parametros_manuales!$F$25*(datos_base!$E$4+IF(parametros_manuales!$H$25="Todos",datos_base!$E$11,0))*parametros_manuales!$B$105+parametros_manuales!$G$25*(datos_base!$E$5+IF(parametros_manuales!$H$25="Todos",datos_base!$E$12,0))*parametros_manuales!$B$110)*parametros_manuales!$I$25*parametros_manuales!$J$25</f>
        <v>4531.95</v>
      </c>
      <c r="C89" s="4">
        <f>(parametros_manuales!$D$25*(datos_base!$E$2+IF(parametros_manuales!$H$25="Todos",datos_base!$E$9,0))*parametros_manuales!$C$95+parametros_manuales!$E$25*(datos_base!$E$3+IF(parametros_manuales!$H$25="Todos",datos_base!$E$10,0))*parametros_manuales!$C$100+parametros_manuales!$F$25*(datos_base!$E$4+IF(parametros_manuales!$H$25="Todos",datos_base!$E$11,0))*parametros_manuales!$C$105+parametros_manuales!$G$25*(datos_base!$E$5+IF(parametros_manuales!$H$25="Todos",datos_base!$E$12,0))*parametros_manuales!$C$110)*parametros_manuales!$I$25*parametros_manuales!$J$25</f>
        <v>4380.02</v>
      </c>
      <c r="D89" s="4">
        <f>(parametros_manuales!$D$25*(datos_base!$E$2+IF(parametros_manuales!$H$25="Todos",datos_base!$E$9,0))*parametros_manuales!$D$95+parametros_manuales!$E$25*(datos_base!$E$3+IF(parametros_manuales!$H$25="Todos",datos_base!$E$10,0))*parametros_manuales!$D$100+parametros_manuales!$F$25*(datos_base!$E$4+IF(parametros_manuales!$H$25="Todos",datos_base!$E$11,0))*parametros_manuales!$D$105+parametros_manuales!$G$25*(datos_base!$E$5+IF(parametros_manuales!$H$25="Todos",datos_base!$E$12,0))*parametros_manuales!$D$110)*parametros_manuales!$I$25*parametros_manuales!$J$25</f>
        <v>4104.365</v>
      </c>
      <c r="E89" s="4">
        <f>(parametros_manuales!$D$25*(datos_base!$E$2+IF(parametros_manuales!$H$25="Todos",datos_base!$E$9,0))*parametros_manuales!$E$95+parametros_manuales!$E$25*(datos_base!$E$3+IF(parametros_manuales!$H$25="Todos",datos_base!$E$10,0))*parametros_manuales!$E$100+parametros_manuales!$F$25*(datos_base!$E$4+IF(parametros_manuales!$H$25="Todos",datos_base!$E$11,0))*parametros_manuales!$E$105+parametros_manuales!$G$25*(datos_base!$E$5+IF(parametros_manuales!$H$25="Todos",datos_base!$E$12,0))*parametros_manuales!$E$110)*parametros_manuales!$I$25*parametros_manuales!$J$25</f>
        <v>3928.555</v>
      </c>
      <c r="F89" s="4">
        <f>(parametros_manuales!$D$25*(datos_base!$E$2+IF(parametros_manuales!$H$25="Todos",datos_base!$E$9,0))*parametros_manuales!$F$95+parametros_manuales!$E$25*(datos_base!$E$3+IF(parametros_manuales!$H$25="Todos",datos_base!$E$10,0))*parametros_manuales!$F$100+parametros_manuales!$F$25*(datos_base!$E$4+IF(parametros_manuales!$H$25="Todos",datos_base!$E$11,0))*parametros_manuales!$F$105+parametros_manuales!$G$25*(datos_base!$E$5+IF(parametros_manuales!$H$25="Todos",datos_base!$E$12,0))*parametros_manuales!$F$110)*parametros_manuales!$I$25*parametros_manuales!$J$25</f>
        <v>3676.78</v>
      </c>
      <c r="G89" s="4">
        <f>(parametros_manuales!$D$25*(datos_base!$E$2+IF(parametros_manuales!$H$25="Todos",datos_base!$E$9,0))*parametros_manuales!$G$95+parametros_manuales!$E$25*(datos_base!$E$3+IF(parametros_manuales!$H$25="Todos",datos_base!$E$10,0))*parametros_manuales!$G$100+parametros_manuales!$F$25*(datos_base!$E$4+IF(parametros_manuales!$H$25="Todos",datos_base!$E$11,0))*parametros_manuales!$G$105+parametros_manuales!$G$25*(datos_base!$E$5+IF(parametros_manuales!$H$25="Todos",datos_base!$E$12,0))*parametros_manuales!$G$110)*parametros_manuales!$I$25*parametros_manuales!$J$25</f>
        <v>3600.815</v>
      </c>
      <c r="H89" s="4">
        <f>(parametros_manuales!$D$25*(datos_base!$E$2+IF(parametros_manuales!$H$25="Todos",datos_base!$E$9,0))*parametros_manuales!$H$95+parametros_manuales!$E$25*(datos_base!$E$3+IF(parametros_manuales!$H$25="Todos",datos_base!$E$10,0))*parametros_manuales!$H$100+parametros_manuales!$F$25*(datos_base!$E$4+IF(parametros_manuales!$H$25="Todos",datos_base!$E$11,0))*parametros_manuales!$H$105+parametros_manuales!$G$25*(datos_base!$E$5+IF(parametros_manuales!$H$25="Todos",datos_base!$E$12,0))*parametros_manuales!$H$110)*parametros_manuales!$I$25*parametros_manuales!$J$25</f>
        <v>3852.59</v>
      </c>
      <c r="I89" s="4">
        <f>(parametros_manuales!$D$25*(datos_base!$E$2+IF(parametros_manuales!$H$25="Todos",datos_base!$E$9,0))*parametros_manuales!$I$95+parametros_manuales!$E$25*(datos_base!$E$3+IF(parametros_manuales!$H$25="Todos",datos_base!$E$10,0))*parametros_manuales!$I$100+parametros_manuales!$F$25*(datos_base!$E$4+IF(parametros_manuales!$H$25="Todos",datos_base!$E$11,0))*parametros_manuales!$I$105+parametros_manuales!$G$25*(datos_base!$E$5+IF(parametros_manuales!$H$25="Todos",datos_base!$E$12,0))*parametros_manuales!$I$110)*parametros_manuales!$I$25*parametros_manuales!$J$25</f>
        <v>4380.02</v>
      </c>
      <c r="J89" s="4">
        <f>(parametros_manuales!$D$25*(datos_base!$E$2+IF(parametros_manuales!$H$25="Todos",datos_base!$E$9,0))*parametros_manuales!$J$95+parametros_manuales!$E$25*(datos_base!$E$3+IF(parametros_manuales!$H$25="Todos",datos_base!$E$10,0))*parametros_manuales!$J$100+parametros_manuales!$F$25*(datos_base!$E$4+IF(parametros_manuales!$H$25="Todos",datos_base!$E$11,0))*parametros_manuales!$J$105+parametros_manuales!$G$25*(datos_base!$E$5+IF(parametros_manuales!$H$25="Todos",datos_base!$E$12,0))*parametros_manuales!$J$110)*parametros_manuales!$I$25*parametros_manuales!$J$25</f>
        <v>4380.02</v>
      </c>
      <c r="K89" s="4">
        <f>(parametros_manuales!$D$25*(datos_base!$E$2+IF(parametros_manuales!$H$25="Todos",datos_base!$E$9,0))*parametros_manuales!$K$95+parametros_manuales!$E$25*(datos_base!$E$3+IF(parametros_manuales!$H$25="Todos",datos_base!$E$10,0))*parametros_manuales!$K$100+parametros_manuales!$F$25*(datos_base!$E$4+IF(parametros_manuales!$H$25="Todos",datos_base!$E$11,0))*parametros_manuales!$K$105+parametros_manuales!$G$25*(datos_base!$E$5+IF(parametros_manuales!$H$25="Todos",datos_base!$E$12,0))*parametros_manuales!$K$110)*parametros_manuales!$I$25*parametros_manuales!$J$25</f>
        <v>4455.985</v>
      </c>
      <c r="L89" s="4">
        <f>(parametros_manuales!$D$25*(datos_base!$E$2+IF(parametros_manuales!$H$25="Todos",datos_base!$E$9,0))*parametros_manuales!$L$95+parametros_manuales!$E$25*(datos_base!$E$3+IF(parametros_manuales!$H$25="Todos",datos_base!$E$10,0))*parametros_manuales!$L$100+parametros_manuales!$F$25*(datos_base!$E$4+IF(parametros_manuales!$H$25="Todos",datos_base!$E$11,0))*parametros_manuales!$L$105+parametros_manuales!$G$25*(datos_base!$E$5+IF(parametros_manuales!$H$25="Todos",datos_base!$E$12,0))*parametros_manuales!$L$110)*parametros_manuales!$I$25*parametros_manuales!$J$25</f>
        <v>4531.95</v>
      </c>
      <c r="M89" s="4">
        <f>(parametros_manuales!$D$25*(datos_base!$E$2+IF(parametros_manuales!$H$25="Todos",datos_base!$E$9,0))*parametros_manuales!$M$95+parametros_manuales!$E$25*(datos_base!$E$3+IF(parametros_manuales!$H$25="Todos",datos_base!$E$10,0))*parametros_manuales!$M$100+parametros_manuales!$F$25*(datos_base!$E$4+IF(parametros_manuales!$H$25="Todos",datos_base!$E$11,0))*parametros_manuales!$M$105+parametros_manuales!$G$25*(datos_base!$E$5+IF(parametros_manuales!$H$25="Todos",datos_base!$E$12,0))*parametros_manuales!$M$110)*parametros_manuales!$I$25*parametros_manuales!$J$25</f>
        <v>4531.95</v>
      </c>
      <c r="N89" s="4">
        <f t="shared" si="10"/>
        <v>50355</v>
      </c>
      <c r="O89" s="4">
        <f t="shared" si="11"/>
        <v>4531.95</v>
      </c>
      <c r="P89" s="27">
        <f>O89/(parametros_manuales!$B$7)</f>
        <v>30.213</v>
      </c>
      <c r="Q89" s="3" t="str">
        <f t="shared" si="12"/>
        <v>Ene</v>
      </c>
    </row>
    <row r="90" ht="14.25" customHeight="1">
      <c r="A90" s="3" t="str">
        <f>parametros_manuales!$B$26</f>
        <v>Cilindrado</v>
      </c>
      <c r="B90" s="4">
        <f>(parametros_manuales!$D$26*(datos_base!$E$2+IF(parametros_manuales!$H$26="Todos",datos_base!$E$9,0))*parametros_manuales!$B$95+parametros_manuales!$E$26*(datos_base!$E$3+IF(parametros_manuales!$H$26="Todos",datos_base!$E$10,0))*parametros_manuales!$B$100+parametros_manuales!$F$26*(datos_base!$E$4+IF(parametros_manuales!$H$26="Todos",datos_base!$E$11,0))*parametros_manuales!$B$105+parametros_manuales!$G$26*(datos_base!$E$5+IF(parametros_manuales!$H$26="Todos",datos_base!$E$12,0))*parametros_manuales!$B$110)*parametros_manuales!$I$26*parametros_manuales!$J$26</f>
        <v>1367.37</v>
      </c>
      <c r="C90" s="4">
        <f>(parametros_manuales!$D$26*(datos_base!$E$2+IF(parametros_manuales!$H$26="Todos",datos_base!$E$9,0))*parametros_manuales!$C$95+parametros_manuales!$E$26*(datos_base!$E$3+IF(parametros_manuales!$H$26="Todos",datos_base!$E$10,0))*parametros_manuales!$C$100+parametros_manuales!$F$26*(datos_base!$E$4+IF(parametros_manuales!$H$26="Todos",datos_base!$E$11,0))*parametros_manuales!$C$105+parametros_manuales!$G$26*(datos_base!$E$5+IF(parametros_manuales!$H$26="Todos",datos_base!$E$12,0))*parametros_manuales!$C$110)*parametros_manuales!$I$26*parametros_manuales!$J$26</f>
        <v>1215.44</v>
      </c>
      <c r="D90" s="4">
        <f>(parametros_manuales!$D$26*(datos_base!$E$2+IF(parametros_manuales!$H$26="Todos",datos_base!$E$9,0))*parametros_manuales!$D$95+parametros_manuales!$E$26*(datos_base!$E$3+IF(parametros_manuales!$H$26="Todos",datos_base!$E$10,0))*parametros_manuales!$D$100+parametros_manuales!$F$26*(datos_base!$E$4+IF(parametros_manuales!$H$26="Todos",datos_base!$E$11,0))*parametros_manuales!$D$105+parametros_manuales!$G$26*(datos_base!$E$5+IF(parametros_manuales!$H$26="Todos",datos_base!$E$12,0))*parametros_manuales!$D$110)*parametros_manuales!$I$26*parametros_manuales!$J$26</f>
        <v>1291.405</v>
      </c>
      <c r="E90" s="4">
        <f>(parametros_manuales!$D$26*(datos_base!$E$2+IF(parametros_manuales!$H$26="Todos",datos_base!$E$9,0))*parametros_manuales!$E$95+parametros_manuales!$E$26*(datos_base!$E$3+IF(parametros_manuales!$H$26="Todos",datos_base!$E$10,0))*parametros_manuales!$E$100+parametros_manuales!$F$26*(datos_base!$E$4+IF(parametros_manuales!$H$26="Todos",datos_base!$E$11,0))*parametros_manuales!$E$105+parametros_manuales!$G$26*(datos_base!$E$5+IF(parametros_manuales!$H$26="Todos",datos_base!$E$12,0))*parametros_manuales!$E$110)*parametros_manuales!$I$26*parametros_manuales!$J$26</f>
        <v>1291.405</v>
      </c>
      <c r="F90" s="4">
        <f>(parametros_manuales!$D$26*(datos_base!$E$2+IF(parametros_manuales!$H$26="Todos",datos_base!$E$9,0))*parametros_manuales!$F$95+parametros_manuales!$E$26*(datos_base!$E$3+IF(parametros_manuales!$H$26="Todos",datos_base!$E$10,0))*parametros_manuales!$F$100+parametros_manuales!$F$26*(datos_base!$E$4+IF(parametros_manuales!$H$26="Todos",datos_base!$E$11,0))*parametros_manuales!$F$105+parametros_manuales!$G$26*(datos_base!$E$5+IF(parametros_manuales!$H$26="Todos",datos_base!$E$12,0))*parametros_manuales!$F$110)*parametros_manuales!$I$26*parametros_manuales!$J$26</f>
        <v>1215.44</v>
      </c>
      <c r="G90" s="4">
        <f>(parametros_manuales!$D$26*(datos_base!$E$2+IF(parametros_manuales!$H$26="Todos",datos_base!$E$9,0))*parametros_manuales!$G$95+parametros_manuales!$E$26*(datos_base!$E$3+IF(parametros_manuales!$H$26="Todos",datos_base!$E$10,0))*parametros_manuales!$G$100+parametros_manuales!$F$26*(datos_base!$E$4+IF(parametros_manuales!$H$26="Todos",datos_base!$E$11,0))*parametros_manuales!$G$105+parametros_manuales!$G$26*(datos_base!$E$5+IF(parametros_manuales!$H$26="Todos",datos_base!$E$12,0))*parametros_manuales!$G$110)*parametros_manuales!$I$26*parametros_manuales!$J$26</f>
        <v>1139.475</v>
      </c>
      <c r="H90" s="4">
        <f>(parametros_manuales!$D$26*(datos_base!$E$2+IF(parametros_manuales!$H$26="Todos",datos_base!$E$9,0))*parametros_manuales!$H$95+parametros_manuales!$E$26*(datos_base!$E$3+IF(parametros_manuales!$H$26="Todos",datos_base!$E$10,0))*parametros_manuales!$H$100+parametros_manuales!$F$26*(datos_base!$E$4+IF(parametros_manuales!$H$26="Todos",datos_base!$E$11,0))*parametros_manuales!$H$105+parametros_manuales!$G$26*(datos_base!$E$5+IF(parametros_manuales!$H$26="Todos",datos_base!$E$12,0))*parametros_manuales!$H$110)*parametros_manuales!$I$26*parametros_manuales!$J$26</f>
        <v>1215.44</v>
      </c>
      <c r="I90" s="4">
        <f>(parametros_manuales!$D$26*(datos_base!$E$2+IF(parametros_manuales!$H$26="Todos",datos_base!$E$9,0))*parametros_manuales!$I$95+parametros_manuales!$E$26*(datos_base!$E$3+IF(parametros_manuales!$H$26="Todos",datos_base!$E$10,0))*parametros_manuales!$I$100+parametros_manuales!$F$26*(datos_base!$E$4+IF(parametros_manuales!$H$26="Todos",datos_base!$E$11,0))*parametros_manuales!$I$105+parametros_manuales!$G$26*(datos_base!$E$5+IF(parametros_manuales!$H$26="Todos",datos_base!$E$12,0))*parametros_manuales!$I$110)*parametros_manuales!$I$26*parametros_manuales!$J$26</f>
        <v>1215.44</v>
      </c>
      <c r="J90" s="4">
        <f>(parametros_manuales!$D$26*(datos_base!$E$2+IF(parametros_manuales!$H$26="Todos",datos_base!$E$9,0))*parametros_manuales!$J$95+parametros_manuales!$E$26*(datos_base!$E$3+IF(parametros_manuales!$H$26="Todos",datos_base!$E$10,0))*parametros_manuales!$J$100+parametros_manuales!$F$26*(datos_base!$E$4+IF(parametros_manuales!$H$26="Todos",datos_base!$E$11,0))*parametros_manuales!$J$105+parametros_manuales!$G$26*(datos_base!$E$5+IF(parametros_manuales!$H$26="Todos",datos_base!$E$12,0))*parametros_manuales!$J$110)*parametros_manuales!$I$26*parametros_manuales!$J$26</f>
        <v>1215.44</v>
      </c>
      <c r="K90" s="4">
        <f>(parametros_manuales!$D$26*(datos_base!$E$2+IF(parametros_manuales!$H$26="Todos",datos_base!$E$9,0))*parametros_manuales!$K$95+parametros_manuales!$E$26*(datos_base!$E$3+IF(parametros_manuales!$H$26="Todos",datos_base!$E$10,0))*parametros_manuales!$K$100+parametros_manuales!$F$26*(datos_base!$E$4+IF(parametros_manuales!$H$26="Todos",datos_base!$E$11,0))*parametros_manuales!$K$105+parametros_manuales!$G$26*(datos_base!$E$5+IF(parametros_manuales!$H$26="Todos",datos_base!$E$12,0))*parametros_manuales!$K$110)*parametros_manuales!$I$26*parametros_manuales!$J$26</f>
        <v>1291.405</v>
      </c>
      <c r="L90" s="4">
        <f>(parametros_manuales!$D$26*(datos_base!$E$2+IF(parametros_manuales!$H$26="Todos",datos_base!$E$9,0))*parametros_manuales!$L$95+parametros_manuales!$E$26*(datos_base!$E$3+IF(parametros_manuales!$H$26="Todos",datos_base!$E$10,0))*parametros_manuales!$L$100+parametros_manuales!$F$26*(datos_base!$E$4+IF(parametros_manuales!$H$26="Todos",datos_base!$E$11,0))*parametros_manuales!$L$105+parametros_manuales!$G$26*(datos_base!$E$5+IF(parametros_manuales!$H$26="Todos",datos_base!$E$12,0))*parametros_manuales!$L$110)*parametros_manuales!$I$26*parametros_manuales!$J$26</f>
        <v>1367.37</v>
      </c>
      <c r="M90" s="4">
        <f>(parametros_manuales!$D$26*(datos_base!$E$2+IF(parametros_manuales!$H$26="Todos",datos_base!$E$9,0))*parametros_manuales!$M$95+parametros_manuales!$E$26*(datos_base!$E$3+IF(parametros_manuales!$H$26="Todos",datos_base!$E$10,0))*parametros_manuales!$M$100+parametros_manuales!$F$26*(datos_base!$E$4+IF(parametros_manuales!$H$26="Todos",datos_base!$E$11,0))*parametros_manuales!$M$105+parametros_manuales!$G$26*(datos_base!$E$5+IF(parametros_manuales!$H$26="Todos",datos_base!$E$12,0))*parametros_manuales!$M$110)*parametros_manuales!$I$26*parametros_manuales!$J$26</f>
        <v>1367.37</v>
      </c>
      <c r="N90" s="4">
        <f t="shared" si="10"/>
        <v>15193</v>
      </c>
      <c r="O90" s="4">
        <f t="shared" si="11"/>
        <v>1367.37</v>
      </c>
      <c r="P90" s="27">
        <f>O90/(parametros_manuales!$B$7)</f>
        <v>9.1158</v>
      </c>
      <c r="Q90" s="3" t="str">
        <f t="shared" si="12"/>
        <v>Ene</v>
      </c>
    </row>
    <row r="91" ht="14.25" customHeight="1">
      <c r="A91" s="3" t="str">
        <f>parametros_manuales!$B$27</f>
        <v>Soldadura longitudinal</v>
      </c>
      <c r="B91" s="4">
        <f>(parametros_manuales!$D$27*(datos_base!$E$2+IF(parametros_manuales!$H$27="Todos",datos_base!$E$9,0))*parametros_manuales!$B$95+parametros_manuales!$E$27*(datos_base!$E$3+IF(parametros_manuales!$H$27="Todos",datos_base!$E$10,0))*parametros_manuales!$B$100+parametros_manuales!$F$27*(datos_base!$E$4+IF(parametros_manuales!$H$27="Todos",datos_base!$E$11,0))*parametros_manuales!$B$105+parametros_manuales!$G$27*(datos_base!$E$5+IF(parametros_manuales!$H$27="Todos",datos_base!$E$12,0))*parametros_manuales!$B$110)*parametros_manuales!$I$27*parametros_manuales!$J$27</f>
        <v>1367.37</v>
      </c>
      <c r="C91" s="4">
        <f>(parametros_manuales!$D$27*(datos_base!$E$2+IF(parametros_manuales!$H$27="Todos",datos_base!$E$9,0))*parametros_manuales!$C$95+parametros_manuales!$E$27*(datos_base!$E$3+IF(parametros_manuales!$H$27="Todos",datos_base!$E$10,0))*parametros_manuales!$C$100+parametros_manuales!$F$27*(datos_base!$E$4+IF(parametros_manuales!$H$27="Todos",datos_base!$E$11,0))*parametros_manuales!$C$105+parametros_manuales!$G$27*(datos_base!$E$5+IF(parametros_manuales!$H$27="Todos",datos_base!$E$12,0))*parametros_manuales!$C$110)*parametros_manuales!$I$27*parametros_manuales!$J$27</f>
        <v>1215.44</v>
      </c>
      <c r="D91" s="4">
        <f>(parametros_manuales!$D$27*(datos_base!$E$2+IF(parametros_manuales!$H$27="Todos",datos_base!$E$9,0))*parametros_manuales!$D$95+parametros_manuales!$E$27*(datos_base!$E$3+IF(parametros_manuales!$H$27="Todos",datos_base!$E$10,0))*parametros_manuales!$D$100+parametros_manuales!$F$27*(datos_base!$E$4+IF(parametros_manuales!$H$27="Todos",datos_base!$E$11,0))*parametros_manuales!$D$105+parametros_manuales!$G$27*(datos_base!$E$5+IF(parametros_manuales!$H$27="Todos",datos_base!$E$12,0))*parametros_manuales!$D$110)*parametros_manuales!$I$27*parametros_manuales!$J$27</f>
        <v>1291.405</v>
      </c>
      <c r="E91" s="4">
        <f>(parametros_manuales!$D$27*(datos_base!$E$2+IF(parametros_manuales!$H$27="Todos",datos_base!$E$9,0))*parametros_manuales!$E$95+parametros_manuales!$E$27*(datos_base!$E$3+IF(parametros_manuales!$H$27="Todos",datos_base!$E$10,0))*parametros_manuales!$E$100+parametros_manuales!$F$27*(datos_base!$E$4+IF(parametros_manuales!$H$27="Todos",datos_base!$E$11,0))*parametros_manuales!$E$105+parametros_manuales!$G$27*(datos_base!$E$5+IF(parametros_manuales!$H$27="Todos",datos_base!$E$12,0))*parametros_manuales!$E$110)*parametros_manuales!$I$27*parametros_manuales!$J$27</f>
        <v>1291.405</v>
      </c>
      <c r="F91" s="4">
        <f>(parametros_manuales!$D$27*(datos_base!$E$2+IF(parametros_manuales!$H$27="Todos",datos_base!$E$9,0))*parametros_manuales!$F$95+parametros_manuales!$E$27*(datos_base!$E$3+IF(parametros_manuales!$H$27="Todos",datos_base!$E$10,0))*parametros_manuales!$F$100+parametros_manuales!$F$27*(datos_base!$E$4+IF(parametros_manuales!$H$27="Todos",datos_base!$E$11,0))*parametros_manuales!$F$105+parametros_manuales!$G$27*(datos_base!$E$5+IF(parametros_manuales!$H$27="Todos",datos_base!$E$12,0))*parametros_manuales!$F$110)*parametros_manuales!$I$27*parametros_manuales!$J$27</f>
        <v>1215.44</v>
      </c>
      <c r="G91" s="4">
        <f>(parametros_manuales!$D$27*(datos_base!$E$2+IF(parametros_manuales!$H$27="Todos",datos_base!$E$9,0))*parametros_manuales!$G$95+parametros_manuales!$E$27*(datos_base!$E$3+IF(parametros_manuales!$H$27="Todos",datos_base!$E$10,0))*parametros_manuales!$G$100+parametros_manuales!$F$27*(datos_base!$E$4+IF(parametros_manuales!$H$27="Todos",datos_base!$E$11,0))*parametros_manuales!$G$105+parametros_manuales!$G$27*(datos_base!$E$5+IF(parametros_manuales!$H$27="Todos",datos_base!$E$12,0))*parametros_manuales!$G$110)*parametros_manuales!$I$27*parametros_manuales!$J$27</f>
        <v>1139.475</v>
      </c>
      <c r="H91" s="4">
        <f>(parametros_manuales!$D$27*(datos_base!$E$2+IF(parametros_manuales!$H$27="Todos",datos_base!$E$9,0))*parametros_manuales!$H$95+parametros_manuales!$E$27*(datos_base!$E$3+IF(parametros_manuales!$H$27="Todos",datos_base!$E$10,0))*parametros_manuales!$H$100+parametros_manuales!$F$27*(datos_base!$E$4+IF(parametros_manuales!$H$27="Todos",datos_base!$E$11,0))*parametros_manuales!$H$105+parametros_manuales!$G$27*(datos_base!$E$5+IF(parametros_manuales!$H$27="Todos",datos_base!$E$12,0))*parametros_manuales!$H$110)*parametros_manuales!$I$27*parametros_manuales!$J$27</f>
        <v>1215.44</v>
      </c>
      <c r="I91" s="4">
        <f>(parametros_manuales!$D$27*(datos_base!$E$2+IF(parametros_manuales!$H$27="Todos",datos_base!$E$9,0))*parametros_manuales!$I$95+parametros_manuales!$E$27*(datos_base!$E$3+IF(parametros_manuales!$H$27="Todos",datos_base!$E$10,0))*parametros_manuales!$I$100+parametros_manuales!$F$27*(datos_base!$E$4+IF(parametros_manuales!$H$27="Todos",datos_base!$E$11,0))*parametros_manuales!$I$105+parametros_manuales!$G$27*(datos_base!$E$5+IF(parametros_manuales!$H$27="Todos",datos_base!$E$12,0))*parametros_manuales!$I$110)*parametros_manuales!$I$27*parametros_manuales!$J$27</f>
        <v>1215.44</v>
      </c>
      <c r="J91" s="4">
        <f>(parametros_manuales!$D$27*(datos_base!$E$2+IF(parametros_manuales!$H$27="Todos",datos_base!$E$9,0))*parametros_manuales!$J$95+parametros_manuales!$E$27*(datos_base!$E$3+IF(parametros_manuales!$H$27="Todos",datos_base!$E$10,0))*parametros_manuales!$J$100+parametros_manuales!$F$27*(datos_base!$E$4+IF(parametros_manuales!$H$27="Todos",datos_base!$E$11,0))*parametros_manuales!$J$105+parametros_manuales!$G$27*(datos_base!$E$5+IF(parametros_manuales!$H$27="Todos",datos_base!$E$12,0))*parametros_manuales!$J$110)*parametros_manuales!$I$27*parametros_manuales!$J$27</f>
        <v>1215.44</v>
      </c>
      <c r="K91" s="4">
        <f>(parametros_manuales!$D$27*(datos_base!$E$2+IF(parametros_manuales!$H$27="Todos",datos_base!$E$9,0))*parametros_manuales!$K$95+parametros_manuales!$E$27*(datos_base!$E$3+IF(parametros_manuales!$H$27="Todos",datos_base!$E$10,0))*parametros_manuales!$K$100+parametros_manuales!$F$27*(datos_base!$E$4+IF(parametros_manuales!$H$27="Todos",datos_base!$E$11,0))*parametros_manuales!$K$105+parametros_manuales!$G$27*(datos_base!$E$5+IF(parametros_manuales!$H$27="Todos",datos_base!$E$12,0))*parametros_manuales!$K$110)*parametros_manuales!$I$27*parametros_manuales!$J$27</f>
        <v>1291.405</v>
      </c>
      <c r="L91" s="4">
        <f>(parametros_manuales!$D$27*(datos_base!$E$2+IF(parametros_manuales!$H$27="Todos",datos_base!$E$9,0))*parametros_manuales!$L$95+parametros_manuales!$E$27*(datos_base!$E$3+IF(parametros_manuales!$H$27="Todos",datos_base!$E$10,0))*parametros_manuales!$L$100+parametros_manuales!$F$27*(datos_base!$E$4+IF(parametros_manuales!$H$27="Todos",datos_base!$E$11,0))*parametros_manuales!$L$105+parametros_manuales!$G$27*(datos_base!$E$5+IF(parametros_manuales!$H$27="Todos",datos_base!$E$12,0))*parametros_manuales!$L$110)*parametros_manuales!$I$27*parametros_manuales!$J$27</f>
        <v>1367.37</v>
      </c>
      <c r="M91" s="4">
        <f>(parametros_manuales!$D$27*(datos_base!$E$2+IF(parametros_manuales!$H$27="Todos",datos_base!$E$9,0))*parametros_manuales!$M$95+parametros_manuales!$E$27*(datos_base!$E$3+IF(parametros_manuales!$H$27="Todos",datos_base!$E$10,0))*parametros_manuales!$M$100+parametros_manuales!$F$27*(datos_base!$E$4+IF(parametros_manuales!$H$27="Todos",datos_base!$E$11,0))*parametros_manuales!$M$105+parametros_manuales!$G$27*(datos_base!$E$5+IF(parametros_manuales!$H$27="Todos",datos_base!$E$12,0))*parametros_manuales!$M$110)*parametros_manuales!$I$27*parametros_manuales!$J$27</f>
        <v>1367.37</v>
      </c>
      <c r="N91" s="4">
        <f t="shared" si="10"/>
        <v>15193</v>
      </c>
      <c r="O91" s="4">
        <f t="shared" si="11"/>
        <v>1367.37</v>
      </c>
      <c r="P91" s="27">
        <f>O91/(parametros_manuales!$B$7)</f>
        <v>9.1158</v>
      </c>
      <c r="Q91" s="3" t="str">
        <f t="shared" si="12"/>
        <v>Ene</v>
      </c>
    </row>
    <row r="92" ht="14.25" customHeight="1">
      <c r="A92" s="3" t="str">
        <f>parametros_manuales!$B$28</f>
        <v>Encastre de fondo</v>
      </c>
      <c r="B92" s="4">
        <f>(parametros_manuales!$D$28*(datos_base!$E$2+IF(parametros_manuales!$H$28="Todos",datos_base!$E$9,0))*parametros_manuales!$B$95+parametros_manuales!$E$28*(datos_base!$E$3+IF(parametros_manuales!$H$28="Todos",datos_base!$E$10,0))*parametros_manuales!$B$100+parametros_manuales!$F$28*(datos_base!$E$4+IF(parametros_manuales!$H$28="Todos",datos_base!$E$11,0))*parametros_manuales!$B$105+parametros_manuales!$G$28*(datos_base!$E$5+IF(parametros_manuales!$H$28="Todos",datos_base!$E$12,0))*parametros_manuales!$B$110)*parametros_manuales!$I$28*parametros_manuales!$J$28</f>
        <v>4531.95</v>
      </c>
      <c r="C92" s="4">
        <f>(parametros_manuales!$D$28*(datos_base!$E$2+IF(parametros_manuales!$H$28="Todos",datos_base!$E$9,0))*parametros_manuales!$C$95+parametros_manuales!$E$28*(datos_base!$E$3+IF(parametros_manuales!$H$28="Todos",datos_base!$E$10,0))*parametros_manuales!$C$100+parametros_manuales!$F$28*(datos_base!$E$4+IF(parametros_manuales!$H$28="Todos",datos_base!$E$11,0))*parametros_manuales!$C$105+parametros_manuales!$G$28*(datos_base!$E$5+IF(parametros_manuales!$H$28="Todos",datos_base!$E$12,0))*parametros_manuales!$C$110)*parametros_manuales!$I$28*parametros_manuales!$J$28</f>
        <v>4380.02</v>
      </c>
      <c r="D92" s="4">
        <f>(parametros_manuales!$D$28*(datos_base!$E$2+IF(parametros_manuales!$H$28="Todos",datos_base!$E$9,0))*parametros_manuales!$D$95+parametros_manuales!$E$28*(datos_base!$E$3+IF(parametros_manuales!$H$28="Todos",datos_base!$E$10,0))*parametros_manuales!$D$100+parametros_manuales!$F$28*(datos_base!$E$4+IF(parametros_manuales!$H$28="Todos",datos_base!$E$11,0))*parametros_manuales!$D$105+parametros_manuales!$G$28*(datos_base!$E$5+IF(parametros_manuales!$H$28="Todos",datos_base!$E$12,0))*parametros_manuales!$D$110)*parametros_manuales!$I$28*parametros_manuales!$J$28</f>
        <v>4104.365</v>
      </c>
      <c r="E92" s="4">
        <f>(parametros_manuales!$D$28*(datos_base!$E$2+IF(parametros_manuales!$H$28="Todos",datos_base!$E$9,0))*parametros_manuales!$E$95+parametros_manuales!$E$28*(datos_base!$E$3+IF(parametros_manuales!$H$28="Todos",datos_base!$E$10,0))*parametros_manuales!$E$100+parametros_manuales!$F$28*(datos_base!$E$4+IF(parametros_manuales!$H$28="Todos",datos_base!$E$11,0))*parametros_manuales!$E$105+parametros_manuales!$G$28*(datos_base!$E$5+IF(parametros_manuales!$H$28="Todos",datos_base!$E$12,0))*parametros_manuales!$E$110)*parametros_manuales!$I$28*parametros_manuales!$J$28</f>
        <v>3928.555</v>
      </c>
      <c r="F92" s="4">
        <f>(parametros_manuales!$D$28*(datos_base!$E$2+IF(parametros_manuales!$H$28="Todos",datos_base!$E$9,0))*parametros_manuales!$F$95+parametros_manuales!$E$28*(datos_base!$E$3+IF(parametros_manuales!$H$28="Todos",datos_base!$E$10,0))*parametros_manuales!$F$100+parametros_manuales!$F$28*(datos_base!$E$4+IF(parametros_manuales!$H$28="Todos",datos_base!$E$11,0))*parametros_manuales!$F$105+parametros_manuales!$G$28*(datos_base!$E$5+IF(parametros_manuales!$H$28="Todos",datos_base!$E$12,0))*parametros_manuales!$F$110)*parametros_manuales!$I$28*parametros_manuales!$J$28</f>
        <v>3676.78</v>
      </c>
      <c r="G92" s="4">
        <f>(parametros_manuales!$D$28*(datos_base!$E$2+IF(parametros_manuales!$H$28="Todos",datos_base!$E$9,0))*parametros_manuales!$G$95+parametros_manuales!$E$28*(datos_base!$E$3+IF(parametros_manuales!$H$28="Todos",datos_base!$E$10,0))*parametros_manuales!$G$100+parametros_manuales!$F$28*(datos_base!$E$4+IF(parametros_manuales!$H$28="Todos",datos_base!$E$11,0))*parametros_manuales!$G$105+parametros_manuales!$G$28*(datos_base!$E$5+IF(parametros_manuales!$H$28="Todos",datos_base!$E$12,0))*parametros_manuales!$G$110)*parametros_manuales!$I$28*parametros_manuales!$J$28</f>
        <v>3600.815</v>
      </c>
      <c r="H92" s="4">
        <f>(parametros_manuales!$D$28*(datos_base!$E$2+IF(parametros_manuales!$H$28="Todos",datos_base!$E$9,0))*parametros_manuales!$H$95+parametros_manuales!$E$28*(datos_base!$E$3+IF(parametros_manuales!$H$28="Todos",datos_base!$E$10,0))*parametros_manuales!$H$100+parametros_manuales!$F$28*(datos_base!$E$4+IF(parametros_manuales!$H$28="Todos",datos_base!$E$11,0))*parametros_manuales!$H$105+parametros_manuales!$G$28*(datos_base!$E$5+IF(parametros_manuales!$H$28="Todos",datos_base!$E$12,0))*parametros_manuales!$H$110)*parametros_manuales!$I$28*parametros_manuales!$J$28</f>
        <v>3852.59</v>
      </c>
      <c r="I92" s="4">
        <f>(parametros_manuales!$D$28*(datos_base!$E$2+IF(parametros_manuales!$H$28="Todos",datos_base!$E$9,0))*parametros_manuales!$I$95+parametros_manuales!$E$28*(datos_base!$E$3+IF(parametros_manuales!$H$28="Todos",datos_base!$E$10,0))*parametros_manuales!$I$100+parametros_manuales!$F$28*(datos_base!$E$4+IF(parametros_manuales!$H$28="Todos",datos_base!$E$11,0))*parametros_manuales!$I$105+parametros_manuales!$G$28*(datos_base!$E$5+IF(parametros_manuales!$H$28="Todos",datos_base!$E$12,0))*parametros_manuales!$I$110)*parametros_manuales!$I$28*parametros_manuales!$J$28</f>
        <v>4380.02</v>
      </c>
      <c r="J92" s="4">
        <f>(parametros_manuales!$D$28*(datos_base!$E$2+IF(parametros_manuales!$H$28="Todos",datos_base!$E$9,0))*parametros_manuales!$J$95+parametros_manuales!$E$28*(datos_base!$E$3+IF(parametros_manuales!$H$28="Todos",datos_base!$E$10,0))*parametros_manuales!$J$100+parametros_manuales!$F$28*(datos_base!$E$4+IF(parametros_manuales!$H$28="Todos",datos_base!$E$11,0))*parametros_manuales!$J$105+parametros_manuales!$G$28*(datos_base!$E$5+IF(parametros_manuales!$H$28="Todos",datos_base!$E$12,0))*parametros_manuales!$J$110)*parametros_manuales!$I$28*parametros_manuales!$J$28</f>
        <v>4380.02</v>
      </c>
      <c r="K92" s="4">
        <f>(parametros_manuales!$D$28*(datos_base!$E$2+IF(parametros_manuales!$H$28="Todos",datos_base!$E$9,0))*parametros_manuales!$K$95+parametros_manuales!$E$28*(datos_base!$E$3+IF(parametros_manuales!$H$28="Todos",datos_base!$E$10,0))*parametros_manuales!$K$100+parametros_manuales!$F$28*(datos_base!$E$4+IF(parametros_manuales!$H$28="Todos",datos_base!$E$11,0))*parametros_manuales!$K$105+parametros_manuales!$G$28*(datos_base!$E$5+IF(parametros_manuales!$H$28="Todos",datos_base!$E$12,0))*parametros_manuales!$K$110)*parametros_manuales!$I$28*parametros_manuales!$J$28</f>
        <v>4455.985</v>
      </c>
      <c r="L92" s="4">
        <f>(parametros_manuales!$D$28*(datos_base!$E$2+IF(parametros_manuales!$H$28="Todos",datos_base!$E$9,0))*parametros_manuales!$L$95+parametros_manuales!$E$28*(datos_base!$E$3+IF(parametros_manuales!$H$28="Todos",datos_base!$E$10,0))*parametros_manuales!$L$100+parametros_manuales!$F$28*(datos_base!$E$4+IF(parametros_manuales!$H$28="Todos",datos_base!$E$11,0))*parametros_manuales!$L$105+parametros_manuales!$G$28*(datos_base!$E$5+IF(parametros_manuales!$H$28="Todos",datos_base!$E$12,0))*parametros_manuales!$L$110)*parametros_manuales!$I$28*parametros_manuales!$J$28</f>
        <v>4531.95</v>
      </c>
      <c r="M92" s="4">
        <f>(parametros_manuales!$D$28*(datos_base!$E$2+IF(parametros_manuales!$H$28="Todos",datos_base!$E$9,0))*parametros_manuales!$M$95+parametros_manuales!$E$28*(datos_base!$E$3+IF(parametros_manuales!$H$28="Todos",datos_base!$E$10,0))*parametros_manuales!$M$100+parametros_manuales!$F$28*(datos_base!$E$4+IF(parametros_manuales!$H$28="Todos",datos_base!$E$11,0))*parametros_manuales!$M$105+parametros_manuales!$G$28*(datos_base!$E$5+IF(parametros_manuales!$H$28="Todos",datos_base!$E$12,0))*parametros_manuales!$M$110)*parametros_manuales!$I$28*parametros_manuales!$J$28</f>
        <v>4531.95</v>
      </c>
      <c r="N92" s="4">
        <f t="shared" si="10"/>
        <v>50355</v>
      </c>
      <c r="O92" s="4">
        <f t="shared" si="11"/>
        <v>4531.95</v>
      </c>
      <c r="P92" s="27">
        <f>O92/(parametros_manuales!$B$7)</f>
        <v>30.213</v>
      </c>
      <c r="Q92" s="3" t="str">
        <f t="shared" si="12"/>
        <v>Ene</v>
      </c>
    </row>
    <row r="93" ht="14.25" customHeight="1">
      <c r="A93" s="3" t="str">
        <f>parametros_manuales!$B$29</f>
        <v>Bordoneado</v>
      </c>
      <c r="B93" s="4">
        <f>(parametros_manuales!$D$29*(datos_base!$E$2+IF(parametros_manuales!$H$29="Todos",datos_base!$E$9,0))*parametros_manuales!$B$95+parametros_manuales!$E$29*(datos_base!$E$3+IF(parametros_manuales!$H$29="Todos",datos_base!$E$10,0))*parametros_manuales!$B$100+parametros_manuales!$F$29*(datos_base!$E$4+IF(parametros_manuales!$H$29="Todos",datos_base!$E$11,0))*parametros_manuales!$B$105+parametros_manuales!$G$29*(datos_base!$E$5+IF(parametros_manuales!$H$29="Todos",datos_base!$E$12,0))*parametros_manuales!$B$110)*parametros_manuales!$I$29*parametros_manuales!$J$29</f>
        <v>4531.95</v>
      </c>
      <c r="C93" s="4">
        <f>(parametros_manuales!$D$29*(datos_base!$E$2+IF(parametros_manuales!$H$29="Todos",datos_base!$E$9,0))*parametros_manuales!$C$95+parametros_manuales!$E$29*(datos_base!$E$3+IF(parametros_manuales!$H$29="Todos",datos_base!$E$10,0))*parametros_manuales!$C$100+parametros_manuales!$F$29*(datos_base!$E$4+IF(parametros_manuales!$H$29="Todos",datos_base!$E$11,0))*parametros_manuales!$C$105+parametros_manuales!$G$29*(datos_base!$E$5+IF(parametros_manuales!$H$29="Todos",datos_base!$E$12,0))*parametros_manuales!$C$110)*parametros_manuales!$I$29*parametros_manuales!$J$29</f>
        <v>4380.02</v>
      </c>
      <c r="D93" s="4">
        <f>(parametros_manuales!$D$29*(datos_base!$E$2+IF(parametros_manuales!$H$29="Todos",datos_base!$E$9,0))*parametros_manuales!$D$95+parametros_manuales!$E$29*(datos_base!$E$3+IF(parametros_manuales!$H$29="Todos",datos_base!$E$10,0))*parametros_manuales!$D$100+parametros_manuales!$F$29*(datos_base!$E$4+IF(parametros_manuales!$H$29="Todos",datos_base!$E$11,0))*parametros_manuales!$D$105+parametros_manuales!$G$29*(datos_base!$E$5+IF(parametros_manuales!$H$29="Todos",datos_base!$E$12,0))*parametros_manuales!$D$110)*parametros_manuales!$I$29*parametros_manuales!$J$29</f>
        <v>4104.365</v>
      </c>
      <c r="E93" s="4">
        <f>(parametros_manuales!$D$29*(datos_base!$E$2+IF(parametros_manuales!$H$29="Todos",datos_base!$E$9,0))*parametros_manuales!$E$95+parametros_manuales!$E$29*(datos_base!$E$3+IF(parametros_manuales!$H$29="Todos",datos_base!$E$10,0))*parametros_manuales!$E$100+parametros_manuales!$F$29*(datos_base!$E$4+IF(parametros_manuales!$H$29="Todos",datos_base!$E$11,0))*parametros_manuales!$E$105+parametros_manuales!$G$29*(datos_base!$E$5+IF(parametros_manuales!$H$29="Todos",datos_base!$E$12,0))*parametros_manuales!$E$110)*parametros_manuales!$I$29*parametros_manuales!$J$29</f>
        <v>3928.555</v>
      </c>
      <c r="F93" s="4">
        <f>(parametros_manuales!$D$29*(datos_base!$E$2+IF(parametros_manuales!$H$29="Todos",datos_base!$E$9,0))*parametros_manuales!$F$95+parametros_manuales!$E$29*(datos_base!$E$3+IF(parametros_manuales!$H$29="Todos",datos_base!$E$10,0))*parametros_manuales!$F$100+parametros_manuales!$F$29*(datos_base!$E$4+IF(parametros_manuales!$H$29="Todos",datos_base!$E$11,0))*parametros_manuales!$F$105+parametros_manuales!$G$29*(datos_base!$E$5+IF(parametros_manuales!$H$29="Todos",datos_base!$E$12,0))*parametros_manuales!$F$110)*parametros_manuales!$I$29*parametros_manuales!$J$29</f>
        <v>3676.78</v>
      </c>
      <c r="G93" s="4">
        <f>(parametros_manuales!$D$29*(datos_base!$E$2+IF(parametros_manuales!$H$29="Todos",datos_base!$E$9,0))*parametros_manuales!$G$95+parametros_manuales!$E$29*(datos_base!$E$3+IF(parametros_manuales!$H$29="Todos",datos_base!$E$10,0))*parametros_manuales!$G$100+parametros_manuales!$F$29*(datos_base!$E$4+IF(parametros_manuales!$H$29="Todos",datos_base!$E$11,0))*parametros_manuales!$G$105+parametros_manuales!$G$29*(datos_base!$E$5+IF(parametros_manuales!$H$29="Todos",datos_base!$E$12,0))*parametros_manuales!$G$110)*parametros_manuales!$I$29*parametros_manuales!$J$29</f>
        <v>3600.815</v>
      </c>
      <c r="H93" s="4">
        <f>(parametros_manuales!$D$29*(datos_base!$E$2+IF(parametros_manuales!$H$29="Todos",datos_base!$E$9,0))*parametros_manuales!$H$95+parametros_manuales!$E$29*(datos_base!$E$3+IF(parametros_manuales!$H$29="Todos",datos_base!$E$10,0))*parametros_manuales!$H$100+parametros_manuales!$F$29*(datos_base!$E$4+IF(parametros_manuales!$H$29="Todos",datos_base!$E$11,0))*parametros_manuales!$H$105+parametros_manuales!$G$29*(datos_base!$E$5+IF(parametros_manuales!$H$29="Todos",datos_base!$E$12,0))*parametros_manuales!$H$110)*parametros_manuales!$I$29*parametros_manuales!$J$29</f>
        <v>3852.59</v>
      </c>
      <c r="I93" s="4">
        <f>(parametros_manuales!$D$29*(datos_base!$E$2+IF(parametros_manuales!$H$29="Todos",datos_base!$E$9,0))*parametros_manuales!$I$95+parametros_manuales!$E$29*(datos_base!$E$3+IF(parametros_manuales!$H$29="Todos",datos_base!$E$10,0))*parametros_manuales!$I$100+parametros_manuales!$F$29*(datos_base!$E$4+IF(parametros_manuales!$H$29="Todos",datos_base!$E$11,0))*parametros_manuales!$I$105+parametros_manuales!$G$29*(datos_base!$E$5+IF(parametros_manuales!$H$29="Todos",datos_base!$E$12,0))*parametros_manuales!$I$110)*parametros_manuales!$I$29*parametros_manuales!$J$29</f>
        <v>4380.02</v>
      </c>
      <c r="J93" s="4">
        <f>(parametros_manuales!$D$29*(datos_base!$E$2+IF(parametros_manuales!$H$29="Todos",datos_base!$E$9,0))*parametros_manuales!$J$95+parametros_manuales!$E$29*(datos_base!$E$3+IF(parametros_manuales!$H$29="Todos",datos_base!$E$10,0))*parametros_manuales!$J$100+parametros_manuales!$F$29*(datos_base!$E$4+IF(parametros_manuales!$H$29="Todos",datos_base!$E$11,0))*parametros_manuales!$J$105+parametros_manuales!$G$29*(datos_base!$E$5+IF(parametros_manuales!$H$29="Todos",datos_base!$E$12,0))*parametros_manuales!$J$110)*parametros_manuales!$I$29*parametros_manuales!$J$29</f>
        <v>4380.02</v>
      </c>
      <c r="K93" s="4">
        <f>(parametros_manuales!$D$29*(datos_base!$E$2+IF(parametros_manuales!$H$29="Todos",datos_base!$E$9,0))*parametros_manuales!$K$95+parametros_manuales!$E$29*(datos_base!$E$3+IF(parametros_manuales!$H$29="Todos",datos_base!$E$10,0))*parametros_manuales!$K$100+parametros_manuales!$F$29*(datos_base!$E$4+IF(parametros_manuales!$H$29="Todos",datos_base!$E$11,0))*parametros_manuales!$K$105+parametros_manuales!$G$29*(datos_base!$E$5+IF(parametros_manuales!$H$29="Todos",datos_base!$E$12,0))*parametros_manuales!$K$110)*parametros_manuales!$I$29*parametros_manuales!$J$29</f>
        <v>4455.985</v>
      </c>
      <c r="L93" s="4">
        <f>(parametros_manuales!$D$29*(datos_base!$E$2+IF(parametros_manuales!$H$29="Todos",datos_base!$E$9,0))*parametros_manuales!$L$95+parametros_manuales!$E$29*(datos_base!$E$3+IF(parametros_manuales!$H$29="Todos",datos_base!$E$10,0))*parametros_manuales!$L$100+parametros_manuales!$F$29*(datos_base!$E$4+IF(parametros_manuales!$H$29="Todos",datos_base!$E$11,0))*parametros_manuales!$L$105+parametros_manuales!$G$29*(datos_base!$E$5+IF(parametros_manuales!$H$29="Todos",datos_base!$E$12,0))*parametros_manuales!$L$110)*parametros_manuales!$I$29*parametros_manuales!$J$29</f>
        <v>4531.95</v>
      </c>
      <c r="M93" s="4">
        <f>(parametros_manuales!$D$29*(datos_base!$E$2+IF(parametros_manuales!$H$29="Todos",datos_base!$E$9,0))*parametros_manuales!$M$95+parametros_manuales!$E$29*(datos_base!$E$3+IF(parametros_manuales!$H$29="Todos",datos_base!$E$10,0))*parametros_manuales!$M$100+parametros_manuales!$F$29*(datos_base!$E$4+IF(parametros_manuales!$H$29="Todos",datos_base!$E$11,0))*parametros_manuales!$M$105+parametros_manuales!$G$29*(datos_base!$E$5+IF(parametros_manuales!$H$29="Todos",datos_base!$E$12,0))*parametros_manuales!$M$110)*parametros_manuales!$I$29*parametros_manuales!$J$29</f>
        <v>4531.95</v>
      </c>
      <c r="N93" s="4">
        <f t="shared" si="10"/>
        <v>50355</v>
      </c>
      <c r="O93" s="4">
        <f t="shared" si="11"/>
        <v>4531.95</v>
      </c>
      <c r="P93" s="27">
        <f>O93/(parametros_manuales!$B$7)</f>
        <v>30.213</v>
      </c>
      <c r="Q93" s="3" t="str">
        <f t="shared" si="12"/>
        <v>Ene</v>
      </c>
    </row>
    <row r="94" ht="14.25" customHeight="1">
      <c r="A94" s="3" t="str">
        <f>parametros_manuales!$B$30</f>
        <v>Soldadura circunferencial de cúpula y fondo</v>
      </c>
      <c r="B94" s="4">
        <f>(parametros_manuales!$D$30*(datos_base!$E$2+IF(parametros_manuales!$H$30="Todos",datos_base!$E$9,0))*parametros_manuales!$B$95+parametros_manuales!$E$30*(datos_base!$E$3+IF(parametros_manuales!$H$30="Todos",datos_base!$E$10,0))*parametros_manuales!$B$100+parametros_manuales!$F$30*(datos_base!$E$4+IF(parametros_manuales!$H$30="Todos",datos_base!$E$11,0))*parametros_manuales!$B$105+parametros_manuales!$G$30*(datos_base!$E$5+IF(parametros_manuales!$H$30="Todos",datos_base!$E$12,0))*parametros_manuales!$B$110)*parametros_manuales!$I$30*parametros_manuales!$J$30</f>
        <v>4531.95</v>
      </c>
      <c r="C94" s="4">
        <f>(parametros_manuales!$D$30*(datos_base!$E$2+IF(parametros_manuales!$H$30="Todos",datos_base!$E$9,0))*parametros_manuales!$C$95+parametros_manuales!$E$30*(datos_base!$E$3+IF(parametros_manuales!$H$30="Todos",datos_base!$E$10,0))*parametros_manuales!$C$100+parametros_manuales!$F$30*(datos_base!$E$4+IF(parametros_manuales!$H$30="Todos",datos_base!$E$11,0))*parametros_manuales!$C$105+parametros_manuales!$G$30*(datos_base!$E$5+IF(parametros_manuales!$H$30="Todos",datos_base!$E$12,0))*parametros_manuales!$C$110)*parametros_manuales!$I$30*parametros_manuales!$J$30</f>
        <v>4380.02</v>
      </c>
      <c r="D94" s="4">
        <f>(parametros_manuales!$D$30*(datos_base!$E$2+IF(parametros_manuales!$H$30="Todos",datos_base!$E$9,0))*parametros_manuales!$D$95+parametros_manuales!$E$30*(datos_base!$E$3+IF(parametros_manuales!$H$30="Todos",datos_base!$E$10,0))*parametros_manuales!$D$100+parametros_manuales!$F$30*(datos_base!$E$4+IF(parametros_manuales!$H$30="Todos",datos_base!$E$11,0))*parametros_manuales!$D$105+parametros_manuales!$G$30*(datos_base!$E$5+IF(parametros_manuales!$H$30="Todos",datos_base!$E$12,0))*parametros_manuales!$D$110)*parametros_manuales!$I$30*parametros_manuales!$J$30</f>
        <v>4104.365</v>
      </c>
      <c r="E94" s="4">
        <f>(parametros_manuales!$D$30*(datos_base!$E$2+IF(parametros_manuales!$H$30="Todos",datos_base!$E$9,0))*parametros_manuales!$E$95+parametros_manuales!$E$30*(datos_base!$E$3+IF(parametros_manuales!$H$30="Todos",datos_base!$E$10,0))*parametros_manuales!$E$100+parametros_manuales!$F$30*(datos_base!$E$4+IF(parametros_manuales!$H$30="Todos",datos_base!$E$11,0))*parametros_manuales!$E$105+parametros_manuales!$G$30*(datos_base!$E$5+IF(parametros_manuales!$H$30="Todos",datos_base!$E$12,0))*parametros_manuales!$E$110)*parametros_manuales!$I$30*parametros_manuales!$J$30</f>
        <v>3928.555</v>
      </c>
      <c r="F94" s="4">
        <f>(parametros_manuales!$D$30*(datos_base!$E$2+IF(parametros_manuales!$H$30="Todos",datos_base!$E$9,0))*parametros_manuales!$F$95+parametros_manuales!$E$30*(datos_base!$E$3+IF(parametros_manuales!$H$30="Todos",datos_base!$E$10,0))*parametros_manuales!$F$100+parametros_manuales!$F$30*(datos_base!$E$4+IF(parametros_manuales!$H$30="Todos",datos_base!$E$11,0))*parametros_manuales!$F$105+parametros_manuales!$G$30*(datos_base!$E$5+IF(parametros_manuales!$H$30="Todos",datos_base!$E$12,0))*parametros_manuales!$F$110)*parametros_manuales!$I$30*parametros_manuales!$J$30</f>
        <v>3676.78</v>
      </c>
      <c r="G94" s="4">
        <f>(parametros_manuales!$D$30*(datos_base!$E$2+IF(parametros_manuales!$H$30="Todos",datos_base!$E$9,0))*parametros_manuales!$G$95+parametros_manuales!$E$30*(datos_base!$E$3+IF(parametros_manuales!$H$30="Todos",datos_base!$E$10,0))*parametros_manuales!$G$100+parametros_manuales!$F$30*(datos_base!$E$4+IF(parametros_manuales!$H$30="Todos",datos_base!$E$11,0))*parametros_manuales!$G$105+parametros_manuales!$G$30*(datos_base!$E$5+IF(parametros_manuales!$H$30="Todos",datos_base!$E$12,0))*parametros_manuales!$G$110)*parametros_manuales!$I$30*parametros_manuales!$J$30</f>
        <v>3600.815</v>
      </c>
      <c r="H94" s="4">
        <f>(parametros_manuales!$D$30*(datos_base!$E$2+IF(parametros_manuales!$H$30="Todos",datos_base!$E$9,0))*parametros_manuales!$H$95+parametros_manuales!$E$30*(datos_base!$E$3+IF(parametros_manuales!$H$30="Todos",datos_base!$E$10,0))*parametros_manuales!$H$100+parametros_manuales!$F$30*(datos_base!$E$4+IF(parametros_manuales!$H$30="Todos",datos_base!$E$11,0))*parametros_manuales!$H$105+parametros_manuales!$G$30*(datos_base!$E$5+IF(parametros_manuales!$H$30="Todos",datos_base!$E$12,0))*parametros_manuales!$H$110)*parametros_manuales!$I$30*parametros_manuales!$J$30</f>
        <v>3852.59</v>
      </c>
      <c r="I94" s="4">
        <f>(parametros_manuales!$D$30*(datos_base!$E$2+IF(parametros_manuales!$H$30="Todos",datos_base!$E$9,0))*parametros_manuales!$I$95+parametros_manuales!$E$30*(datos_base!$E$3+IF(parametros_manuales!$H$30="Todos",datos_base!$E$10,0))*parametros_manuales!$I$100+parametros_manuales!$F$30*(datos_base!$E$4+IF(parametros_manuales!$H$30="Todos",datos_base!$E$11,0))*parametros_manuales!$I$105+parametros_manuales!$G$30*(datos_base!$E$5+IF(parametros_manuales!$H$30="Todos",datos_base!$E$12,0))*parametros_manuales!$I$110)*parametros_manuales!$I$30*parametros_manuales!$J$30</f>
        <v>4380.02</v>
      </c>
      <c r="J94" s="4">
        <f>(parametros_manuales!$D$30*(datos_base!$E$2+IF(parametros_manuales!$H$30="Todos",datos_base!$E$9,0))*parametros_manuales!$J$95+parametros_manuales!$E$30*(datos_base!$E$3+IF(parametros_manuales!$H$30="Todos",datos_base!$E$10,0))*parametros_manuales!$J$100+parametros_manuales!$F$30*(datos_base!$E$4+IF(parametros_manuales!$H$30="Todos",datos_base!$E$11,0))*parametros_manuales!$J$105+parametros_manuales!$G$30*(datos_base!$E$5+IF(parametros_manuales!$H$30="Todos",datos_base!$E$12,0))*parametros_manuales!$J$110)*parametros_manuales!$I$30*parametros_manuales!$J$30</f>
        <v>4380.02</v>
      </c>
      <c r="K94" s="4">
        <f>(parametros_manuales!$D$30*(datos_base!$E$2+IF(parametros_manuales!$H$30="Todos",datos_base!$E$9,0))*parametros_manuales!$K$95+parametros_manuales!$E$30*(datos_base!$E$3+IF(parametros_manuales!$H$30="Todos",datos_base!$E$10,0))*parametros_manuales!$K$100+parametros_manuales!$F$30*(datos_base!$E$4+IF(parametros_manuales!$H$30="Todos",datos_base!$E$11,0))*parametros_manuales!$K$105+parametros_manuales!$G$30*(datos_base!$E$5+IF(parametros_manuales!$H$30="Todos",datos_base!$E$12,0))*parametros_manuales!$K$110)*parametros_manuales!$I$30*parametros_manuales!$J$30</f>
        <v>4455.985</v>
      </c>
      <c r="L94" s="4">
        <f>(parametros_manuales!$D$30*(datos_base!$E$2+IF(parametros_manuales!$H$30="Todos",datos_base!$E$9,0))*parametros_manuales!$L$95+parametros_manuales!$E$30*(datos_base!$E$3+IF(parametros_manuales!$H$30="Todos",datos_base!$E$10,0))*parametros_manuales!$L$100+parametros_manuales!$F$30*(datos_base!$E$4+IF(parametros_manuales!$H$30="Todos",datos_base!$E$11,0))*parametros_manuales!$L$105+parametros_manuales!$G$30*(datos_base!$E$5+IF(parametros_manuales!$H$30="Todos",datos_base!$E$12,0))*parametros_manuales!$L$110)*parametros_manuales!$I$30*parametros_manuales!$J$30</f>
        <v>4531.95</v>
      </c>
      <c r="M94" s="4">
        <f>(parametros_manuales!$D$30*(datos_base!$E$2+IF(parametros_manuales!$H$30="Todos",datos_base!$E$9,0))*parametros_manuales!$M$95+parametros_manuales!$E$30*(datos_base!$E$3+IF(parametros_manuales!$H$30="Todos",datos_base!$E$10,0))*parametros_manuales!$M$100+parametros_manuales!$F$30*(datos_base!$E$4+IF(parametros_manuales!$H$30="Todos",datos_base!$E$11,0))*parametros_manuales!$M$105+parametros_manuales!$G$30*(datos_base!$E$5+IF(parametros_manuales!$H$30="Todos",datos_base!$E$12,0))*parametros_manuales!$M$110)*parametros_manuales!$I$30*parametros_manuales!$J$30</f>
        <v>4531.95</v>
      </c>
      <c r="N94" s="4">
        <f t="shared" si="10"/>
        <v>50355</v>
      </c>
      <c r="O94" s="4">
        <f t="shared" si="11"/>
        <v>4531.95</v>
      </c>
      <c r="P94" s="27">
        <f>O94/(parametros_manuales!$B$7)</f>
        <v>30.213</v>
      </c>
      <c r="Q94" s="3" t="str">
        <f t="shared" si="12"/>
        <v>Ene</v>
      </c>
    </row>
    <row r="95" ht="14.25" customHeight="1">
      <c r="A95" s="3" t="str">
        <f>parametros_manuales!$B$31</f>
        <v>Control de calidad — Espesor</v>
      </c>
      <c r="B95" s="4">
        <f>(parametros_manuales!$D$31*(datos_base!$E$2+IF(parametros_manuales!$H$31="Todos",datos_base!$E$9,0))*parametros_manuales!$B$95+parametros_manuales!$E$31*(datos_base!$E$3+IF(parametros_manuales!$H$31="Todos",datos_base!$E$10,0))*parametros_manuales!$B$100+parametros_manuales!$F$31*(datos_base!$E$4+IF(parametros_manuales!$H$31="Todos",datos_base!$E$11,0))*parametros_manuales!$B$105+parametros_manuales!$G$31*(datos_base!$E$5+IF(parametros_manuales!$H$31="Todos",datos_base!$E$12,0))*parametros_manuales!$B$110)*parametros_manuales!$I$31*parametros_manuales!$J$31</f>
        <v>90.639</v>
      </c>
      <c r="C95" s="4">
        <f>(parametros_manuales!$D$31*(datos_base!$E$2+IF(parametros_manuales!$H$31="Todos",datos_base!$E$9,0))*parametros_manuales!$C$95+parametros_manuales!$E$31*(datos_base!$E$3+IF(parametros_manuales!$H$31="Todos",datos_base!$E$10,0))*parametros_manuales!$C$100+parametros_manuales!$F$31*(datos_base!$E$4+IF(parametros_manuales!$H$31="Todos",datos_base!$E$11,0))*parametros_manuales!$C$105+parametros_manuales!$G$31*(datos_base!$E$5+IF(parametros_manuales!$H$31="Todos",datos_base!$E$12,0))*parametros_manuales!$C$110)*parametros_manuales!$I$31*parametros_manuales!$J$31</f>
        <v>87.6004</v>
      </c>
      <c r="D95" s="4">
        <f>(parametros_manuales!$D$31*(datos_base!$E$2+IF(parametros_manuales!$H$31="Todos",datos_base!$E$9,0))*parametros_manuales!$D$95+parametros_manuales!$E$31*(datos_base!$E$3+IF(parametros_manuales!$H$31="Todos",datos_base!$E$10,0))*parametros_manuales!$D$100+parametros_manuales!$F$31*(datos_base!$E$4+IF(parametros_manuales!$H$31="Todos",datos_base!$E$11,0))*parametros_manuales!$D$105+parametros_manuales!$G$31*(datos_base!$E$5+IF(parametros_manuales!$H$31="Todos",datos_base!$E$12,0))*parametros_manuales!$D$110)*parametros_manuales!$I$31*parametros_manuales!$J$31</f>
        <v>82.0873</v>
      </c>
      <c r="E95" s="4">
        <f>(parametros_manuales!$D$31*(datos_base!$E$2+IF(parametros_manuales!$H$31="Todos",datos_base!$E$9,0))*parametros_manuales!$E$95+parametros_manuales!$E$31*(datos_base!$E$3+IF(parametros_manuales!$H$31="Todos",datos_base!$E$10,0))*parametros_manuales!$E$100+parametros_manuales!$F$31*(datos_base!$E$4+IF(parametros_manuales!$H$31="Todos",datos_base!$E$11,0))*parametros_manuales!$E$105+parametros_manuales!$G$31*(datos_base!$E$5+IF(parametros_manuales!$H$31="Todos",datos_base!$E$12,0))*parametros_manuales!$E$110)*parametros_manuales!$I$31*parametros_manuales!$J$31</f>
        <v>78.5711</v>
      </c>
      <c r="F95" s="4">
        <f>(parametros_manuales!$D$31*(datos_base!$E$2+IF(parametros_manuales!$H$31="Todos",datos_base!$E$9,0))*parametros_manuales!$F$95+parametros_manuales!$E$31*(datos_base!$E$3+IF(parametros_manuales!$H$31="Todos",datos_base!$E$10,0))*parametros_manuales!$F$100+parametros_manuales!$F$31*(datos_base!$E$4+IF(parametros_manuales!$H$31="Todos",datos_base!$E$11,0))*parametros_manuales!$F$105+parametros_manuales!$G$31*(datos_base!$E$5+IF(parametros_manuales!$H$31="Todos",datos_base!$E$12,0))*parametros_manuales!$F$110)*parametros_manuales!$I$31*parametros_manuales!$J$31</f>
        <v>73.5356</v>
      </c>
      <c r="G95" s="4">
        <f>(parametros_manuales!$D$31*(datos_base!$E$2+IF(parametros_manuales!$H$31="Todos",datos_base!$E$9,0))*parametros_manuales!$G$95+parametros_manuales!$E$31*(datos_base!$E$3+IF(parametros_manuales!$H$31="Todos",datos_base!$E$10,0))*parametros_manuales!$G$100+parametros_manuales!$F$31*(datos_base!$E$4+IF(parametros_manuales!$H$31="Todos",datos_base!$E$11,0))*parametros_manuales!$G$105+parametros_manuales!$G$31*(datos_base!$E$5+IF(parametros_manuales!$H$31="Todos",datos_base!$E$12,0))*parametros_manuales!$G$110)*parametros_manuales!$I$31*parametros_manuales!$J$31</f>
        <v>72.0163</v>
      </c>
      <c r="H95" s="4">
        <f>(parametros_manuales!$D$31*(datos_base!$E$2+IF(parametros_manuales!$H$31="Todos",datos_base!$E$9,0))*parametros_manuales!$H$95+parametros_manuales!$E$31*(datos_base!$E$3+IF(parametros_manuales!$H$31="Todos",datos_base!$E$10,0))*parametros_manuales!$H$100+parametros_manuales!$F$31*(datos_base!$E$4+IF(parametros_manuales!$H$31="Todos",datos_base!$E$11,0))*parametros_manuales!$H$105+parametros_manuales!$G$31*(datos_base!$E$5+IF(parametros_manuales!$H$31="Todos",datos_base!$E$12,0))*parametros_manuales!$H$110)*parametros_manuales!$I$31*parametros_manuales!$J$31</f>
        <v>77.0518</v>
      </c>
      <c r="I95" s="4">
        <f>(parametros_manuales!$D$31*(datos_base!$E$2+IF(parametros_manuales!$H$31="Todos",datos_base!$E$9,0))*parametros_manuales!$I$95+parametros_manuales!$E$31*(datos_base!$E$3+IF(parametros_manuales!$H$31="Todos",datos_base!$E$10,0))*parametros_manuales!$I$100+parametros_manuales!$F$31*(datos_base!$E$4+IF(parametros_manuales!$H$31="Todos",datos_base!$E$11,0))*parametros_manuales!$I$105+parametros_manuales!$G$31*(datos_base!$E$5+IF(parametros_manuales!$H$31="Todos",datos_base!$E$12,0))*parametros_manuales!$I$110)*parametros_manuales!$I$31*parametros_manuales!$J$31</f>
        <v>87.6004</v>
      </c>
      <c r="J95" s="4">
        <f>(parametros_manuales!$D$31*(datos_base!$E$2+IF(parametros_manuales!$H$31="Todos",datos_base!$E$9,0))*parametros_manuales!$J$95+parametros_manuales!$E$31*(datos_base!$E$3+IF(parametros_manuales!$H$31="Todos",datos_base!$E$10,0))*parametros_manuales!$J$100+parametros_manuales!$F$31*(datos_base!$E$4+IF(parametros_manuales!$H$31="Todos",datos_base!$E$11,0))*parametros_manuales!$J$105+parametros_manuales!$G$31*(datos_base!$E$5+IF(parametros_manuales!$H$31="Todos",datos_base!$E$12,0))*parametros_manuales!$J$110)*parametros_manuales!$I$31*parametros_manuales!$J$31</f>
        <v>87.6004</v>
      </c>
      <c r="K95" s="4">
        <f>(parametros_manuales!$D$31*(datos_base!$E$2+IF(parametros_manuales!$H$31="Todos",datos_base!$E$9,0))*parametros_manuales!$K$95+parametros_manuales!$E$31*(datos_base!$E$3+IF(parametros_manuales!$H$31="Todos",datos_base!$E$10,0))*parametros_manuales!$K$100+parametros_manuales!$F$31*(datos_base!$E$4+IF(parametros_manuales!$H$31="Todos",datos_base!$E$11,0))*parametros_manuales!$K$105+parametros_manuales!$G$31*(datos_base!$E$5+IF(parametros_manuales!$H$31="Todos",datos_base!$E$12,0))*parametros_manuales!$K$110)*parametros_manuales!$I$31*parametros_manuales!$J$31</f>
        <v>89.1197</v>
      </c>
      <c r="L95" s="4">
        <f>(parametros_manuales!$D$31*(datos_base!$E$2+IF(parametros_manuales!$H$31="Todos",datos_base!$E$9,0))*parametros_manuales!$L$95+parametros_manuales!$E$31*(datos_base!$E$3+IF(parametros_manuales!$H$31="Todos",datos_base!$E$10,0))*parametros_manuales!$L$100+parametros_manuales!$F$31*(datos_base!$E$4+IF(parametros_manuales!$H$31="Todos",datos_base!$E$11,0))*parametros_manuales!$L$105+parametros_manuales!$G$31*(datos_base!$E$5+IF(parametros_manuales!$H$31="Todos",datos_base!$E$12,0))*parametros_manuales!$L$110)*parametros_manuales!$I$31*parametros_manuales!$J$31</f>
        <v>90.639</v>
      </c>
      <c r="M95" s="4">
        <f>(parametros_manuales!$D$31*(datos_base!$E$2+IF(parametros_manuales!$H$31="Todos",datos_base!$E$9,0))*parametros_manuales!$M$95+parametros_manuales!$E$31*(datos_base!$E$3+IF(parametros_manuales!$H$31="Todos",datos_base!$E$10,0))*parametros_manuales!$M$100+parametros_manuales!$F$31*(datos_base!$E$4+IF(parametros_manuales!$H$31="Todos",datos_base!$E$11,0))*parametros_manuales!$M$105+parametros_manuales!$G$31*(datos_base!$E$5+IF(parametros_manuales!$H$31="Todos",datos_base!$E$12,0))*parametros_manuales!$M$110)*parametros_manuales!$I$31*parametros_manuales!$J$31</f>
        <v>90.639</v>
      </c>
      <c r="N95" s="4">
        <f t="shared" si="10"/>
        <v>1007.1</v>
      </c>
      <c r="O95" s="4">
        <f t="shared" si="11"/>
        <v>90.639</v>
      </c>
      <c r="P95" s="27">
        <f>O95/(parametros_manuales!$B$7)</f>
        <v>0.60426</v>
      </c>
      <c r="Q95" s="3" t="str">
        <f t="shared" si="12"/>
        <v>Ene</v>
      </c>
    </row>
    <row r="96" ht="14.25" customHeight="1">
      <c r="A96" s="3" t="str">
        <f>parametros_manuales!$B$32</f>
        <v>Prueba hidráulica</v>
      </c>
      <c r="B96" s="4">
        <f>(parametros_manuales!$D$32*(datos_base!$E$2+IF(parametros_manuales!$H$32="Todos",datos_base!$E$9,0))*parametros_manuales!$B$95+parametros_manuales!$E$32*(datos_base!$E$3+IF(parametros_manuales!$H$32="Todos",datos_base!$E$10,0))*parametros_manuales!$B$100+parametros_manuales!$F$32*(datos_base!$E$4+IF(parametros_manuales!$H$32="Todos",datos_base!$E$11,0))*parametros_manuales!$B$105+parametros_manuales!$G$32*(datos_base!$E$5+IF(parametros_manuales!$H$32="Todos",datos_base!$E$12,0))*parametros_manuales!$B$110)*parametros_manuales!$I$32*parametros_manuales!$J$32</f>
        <v>4531.95</v>
      </c>
      <c r="C96" s="4">
        <f>(parametros_manuales!$D$32*(datos_base!$E$2+IF(parametros_manuales!$H$32="Todos",datos_base!$E$9,0))*parametros_manuales!$C$95+parametros_manuales!$E$32*(datos_base!$E$3+IF(parametros_manuales!$H$32="Todos",datos_base!$E$10,0))*parametros_manuales!$C$100+parametros_manuales!$F$32*(datos_base!$E$4+IF(parametros_manuales!$H$32="Todos",datos_base!$E$11,0))*parametros_manuales!$C$105+parametros_manuales!$G$32*(datos_base!$E$5+IF(parametros_manuales!$H$32="Todos",datos_base!$E$12,0))*parametros_manuales!$C$110)*parametros_manuales!$I$32*parametros_manuales!$J$32</f>
        <v>4380.02</v>
      </c>
      <c r="D96" s="4">
        <f>(parametros_manuales!$D$32*(datos_base!$E$2+IF(parametros_manuales!$H$32="Todos",datos_base!$E$9,0))*parametros_manuales!$D$95+parametros_manuales!$E$32*(datos_base!$E$3+IF(parametros_manuales!$H$32="Todos",datos_base!$E$10,0))*parametros_manuales!$D$100+parametros_manuales!$F$32*(datos_base!$E$4+IF(parametros_manuales!$H$32="Todos",datos_base!$E$11,0))*parametros_manuales!$D$105+parametros_manuales!$G$32*(datos_base!$E$5+IF(parametros_manuales!$H$32="Todos",datos_base!$E$12,0))*parametros_manuales!$D$110)*parametros_manuales!$I$32*parametros_manuales!$J$32</f>
        <v>4104.365</v>
      </c>
      <c r="E96" s="4">
        <f>(parametros_manuales!$D$32*(datos_base!$E$2+IF(parametros_manuales!$H$32="Todos",datos_base!$E$9,0))*parametros_manuales!$E$95+parametros_manuales!$E$32*(datos_base!$E$3+IF(parametros_manuales!$H$32="Todos",datos_base!$E$10,0))*parametros_manuales!$E$100+parametros_manuales!$F$32*(datos_base!$E$4+IF(parametros_manuales!$H$32="Todos",datos_base!$E$11,0))*parametros_manuales!$E$105+parametros_manuales!$G$32*(datos_base!$E$5+IF(parametros_manuales!$H$32="Todos",datos_base!$E$12,0))*parametros_manuales!$E$110)*parametros_manuales!$I$32*parametros_manuales!$J$32</f>
        <v>3928.555</v>
      </c>
      <c r="F96" s="4">
        <f>(parametros_manuales!$D$32*(datos_base!$E$2+IF(parametros_manuales!$H$32="Todos",datos_base!$E$9,0))*parametros_manuales!$F$95+parametros_manuales!$E$32*(datos_base!$E$3+IF(parametros_manuales!$H$32="Todos",datos_base!$E$10,0))*parametros_manuales!$F$100+parametros_manuales!$F$32*(datos_base!$E$4+IF(parametros_manuales!$H$32="Todos",datos_base!$E$11,0))*parametros_manuales!$F$105+parametros_manuales!$G$32*(datos_base!$E$5+IF(parametros_manuales!$H$32="Todos",datos_base!$E$12,0))*parametros_manuales!$F$110)*parametros_manuales!$I$32*parametros_manuales!$J$32</f>
        <v>3676.78</v>
      </c>
      <c r="G96" s="4">
        <f>(parametros_manuales!$D$32*(datos_base!$E$2+IF(parametros_manuales!$H$32="Todos",datos_base!$E$9,0))*parametros_manuales!$G$95+parametros_manuales!$E$32*(datos_base!$E$3+IF(parametros_manuales!$H$32="Todos",datos_base!$E$10,0))*parametros_manuales!$G$100+parametros_manuales!$F$32*(datos_base!$E$4+IF(parametros_manuales!$H$32="Todos",datos_base!$E$11,0))*parametros_manuales!$G$105+parametros_manuales!$G$32*(datos_base!$E$5+IF(parametros_manuales!$H$32="Todos",datos_base!$E$12,0))*parametros_manuales!$G$110)*parametros_manuales!$I$32*parametros_manuales!$J$32</f>
        <v>3600.815</v>
      </c>
      <c r="H96" s="4">
        <f>(parametros_manuales!$D$32*(datos_base!$E$2+IF(parametros_manuales!$H$32="Todos",datos_base!$E$9,0))*parametros_manuales!$H$95+parametros_manuales!$E$32*(datos_base!$E$3+IF(parametros_manuales!$H$32="Todos",datos_base!$E$10,0))*parametros_manuales!$H$100+parametros_manuales!$F$32*(datos_base!$E$4+IF(parametros_manuales!$H$32="Todos",datos_base!$E$11,0))*parametros_manuales!$H$105+parametros_manuales!$G$32*(datos_base!$E$5+IF(parametros_manuales!$H$32="Todos",datos_base!$E$12,0))*parametros_manuales!$H$110)*parametros_manuales!$I$32*parametros_manuales!$J$32</f>
        <v>3852.59</v>
      </c>
      <c r="I96" s="4">
        <f>(parametros_manuales!$D$32*(datos_base!$E$2+IF(parametros_manuales!$H$32="Todos",datos_base!$E$9,0))*parametros_manuales!$I$95+parametros_manuales!$E$32*(datos_base!$E$3+IF(parametros_manuales!$H$32="Todos",datos_base!$E$10,0))*parametros_manuales!$I$100+parametros_manuales!$F$32*(datos_base!$E$4+IF(parametros_manuales!$H$32="Todos",datos_base!$E$11,0))*parametros_manuales!$I$105+parametros_manuales!$G$32*(datos_base!$E$5+IF(parametros_manuales!$H$32="Todos",datos_base!$E$12,0))*parametros_manuales!$I$110)*parametros_manuales!$I$32*parametros_manuales!$J$32</f>
        <v>4380.02</v>
      </c>
      <c r="J96" s="4">
        <f>(parametros_manuales!$D$32*(datos_base!$E$2+IF(parametros_manuales!$H$32="Todos",datos_base!$E$9,0))*parametros_manuales!$J$95+parametros_manuales!$E$32*(datos_base!$E$3+IF(parametros_manuales!$H$32="Todos",datos_base!$E$10,0))*parametros_manuales!$J$100+parametros_manuales!$F$32*(datos_base!$E$4+IF(parametros_manuales!$H$32="Todos",datos_base!$E$11,0))*parametros_manuales!$J$105+parametros_manuales!$G$32*(datos_base!$E$5+IF(parametros_manuales!$H$32="Todos",datos_base!$E$12,0))*parametros_manuales!$J$110)*parametros_manuales!$I$32*parametros_manuales!$J$32</f>
        <v>4380.02</v>
      </c>
      <c r="K96" s="4">
        <f>(parametros_manuales!$D$32*(datos_base!$E$2+IF(parametros_manuales!$H$32="Todos",datos_base!$E$9,0))*parametros_manuales!$K$95+parametros_manuales!$E$32*(datos_base!$E$3+IF(parametros_manuales!$H$32="Todos",datos_base!$E$10,0))*parametros_manuales!$K$100+parametros_manuales!$F$32*(datos_base!$E$4+IF(parametros_manuales!$H$32="Todos",datos_base!$E$11,0))*parametros_manuales!$K$105+parametros_manuales!$G$32*(datos_base!$E$5+IF(parametros_manuales!$H$32="Todos",datos_base!$E$12,0))*parametros_manuales!$K$110)*parametros_manuales!$I$32*parametros_manuales!$J$32</f>
        <v>4455.985</v>
      </c>
      <c r="L96" s="4">
        <f>(parametros_manuales!$D$32*(datos_base!$E$2+IF(parametros_manuales!$H$32="Todos",datos_base!$E$9,0))*parametros_manuales!$L$95+parametros_manuales!$E$32*(datos_base!$E$3+IF(parametros_manuales!$H$32="Todos",datos_base!$E$10,0))*parametros_manuales!$L$100+parametros_manuales!$F$32*(datos_base!$E$4+IF(parametros_manuales!$H$32="Todos",datos_base!$E$11,0))*parametros_manuales!$L$105+parametros_manuales!$G$32*(datos_base!$E$5+IF(parametros_manuales!$H$32="Todos",datos_base!$E$12,0))*parametros_manuales!$L$110)*parametros_manuales!$I$32*parametros_manuales!$J$32</f>
        <v>4531.95</v>
      </c>
      <c r="M96" s="4">
        <f>(parametros_manuales!$D$32*(datos_base!$E$2+IF(parametros_manuales!$H$32="Todos",datos_base!$E$9,0))*parametros_manuales!$M$95+parametros_manuales!$E$32*(datos_base!$E$3+IF(parametros_manuales!$H$32="Todos",datos_base!$E$10,0))*parametros_manuales!$M$100+parametros_manuales!$F$32*(datos_base!$E$4+IF(parametros_manuales!$H$32="Todos",datos_base!$E$11,0))*parametros_manuales!$M$105+parametros_manuales!$G$32*(datos_base!$E$5+IF(parametros_manuales!$H$32="Todos",datos_base!$E$12,0))*parametros_manuales!$M$110)*parametros_manuales!$I$32*parametros_manuales!$J$32</f>
        <v>4531.95</v>
      </c>
      <c r="N96" s="4">
        <f t="shared" si="10"/>
        <v>50355</v>
      </c>
      <c r="O96" s="4">
        <f t="shared" si="11"/>
        <v>4531.95</v>
      </c>
      <c r="P96" s="27">
        <f>O96/(parametros_manuales!$B$7)</f>
        <v>30.213</v>
      </c>
      <c r="Q96" s="3" t="str">
        <f t="shared" si="12"/>
        <v>Ene</v>
      </c>
    </row>
    <row r="97" ht="14.25" customHeight="1">
      <c r="A97" s="3" t="str">
        <f>parametros_manuales!$B$33</f>
        <v>Secado</v>
      </c>
      <c r="B97" s="4">
        <f>(parametros_manuales!$D$33*(datos_base!$E$2+IF(parametros_manuales!$H$33="Todos",datos_base!$E$9,0))*parametros_manuales!$B$95+parametros_manuales!$E$33*(datos_base!$E$3+IF(parametros_manuales!$H$33="Todos",datos_base!$E$10,0))*parametros_manuales!$B$100+parametros_manuales!$F$33*(datos_base!$E$4+IF(parametros_manuales!$H$33="Todos",datos_base!$E$11,0))*parametros_manuales!$B$105+parametros_manuales!$G$33*(datos_base!$E$5+IF(parametros_manuales!$H$33="Todos",datos_base!$E$12,0))*parametros_manuales!$B$110)*parametros_manuales!$I$33*parametros_manuales!$J$33</f>
        <v>4531.95</v>
      </c>
      <c r="C97" s="4">
        <f>(parametros_manuales!$D$33*(datos_base!$E$2+IF(parametros_manuales!$H$33="Todos",datos_base!$E$9,0))*parametros_manuales!$C$95+parametros_manuales!$E$33*(datos_base!$E$3+IF(parametros_manuales!$H$33="Todos",datos_base!$E$10,0))*parametros_manuales!$C$100+parametros_manuales!$F$33*(datos_base!$E$4+IF(parametros_manuales!$H$33="Todos",datos_base!$E$11,0))*parametros_manuales!$C$105+parametros_manuales!$G$33*(datos_base!$E$5+IF(parametros_manuales!$H$33="Todos",datos_base!$E$12,0))*parametros_manuales!$C$110)*parametros_manuales!$I$33*parametros_manuales!$J$33</f>
        <v>4380.02</v>
      </c>
      <c r="D97" s="4">
        <f>(parametros_manuales!$D$33*(datos_base!$E$2+IF(parametros_manuales!$H$33="Todos",datos_base!$E$9,0))*parametros_manuales!$D$95+parametros_manuales!$E$33*(datos_base!$E$3+IF(parametros_manuales!$H$33="Todos",datos_base!$E$10,0))*parametros_manuales!$D$100+parametros_manuales!$F$33*(datos_base!$E$4+IF(parametros_manuales!$H$33="Todos",datos_base!$E$11,0))*parametros_manuales!$D$105+parametros_manuales!$G$33*(datos_base!$E$5+IF(parametros_manuales!$H$33="Todos",datos_base!$E$12,0))*parametros_manuales!$D$110)*parametros_manuales!$I$33*parametros_manuales!$J$33</f>
        <v>4104.365</v>
      </c>
      <c r="E97" s="4">
        <f>(parametros_manuales!$D$33*(datos_base!$E$2+IF(parametros_manuales!$H$33="Todos",datos_base!$E$9,0))*parametros_manuales!$E$95+parametros_manuales!$E$33*(datos_base!$E$3+IF(parametros_manuales!$H$33="Todos",datos_base!$E$10,0))*parametros_manuales!$E$100+parametros_manuales!$F$33*(datos_base!$E$4+IF(parametros_manuales!$H$33="Todos",datos_base!$E$11,0))*parametros_manuales!$E$105+parametros_manuales!$G$33*(datos_base!$E$5+IF(parametros_manuales!$H$33="Todos",datos_base!$E$12,0))*parametros_manuales!$E$110)*parametros_manuales!$I$33*parametros_manuales!$J$33</f>
        <v>3928.555</v>
      </c>
      <c r="F97" s="4">
        <f>(parametros_manuales!$D$33*(datos_base!$E$2+IF(parametros_manuales!$H$33="Todos",datos_base!$E$9,0))*parametros_manuales!$F$95+parametros_manuales!$E$33*(datos_base!$E$3+IF(parametros_manuales!$H$33="Todos",datos_base!$E$10,0))*parametros_manuales!$F$100+parametros_manuales!$F$33*(datos_base!$E$4+IF(parametros_manuales!$H$33="Todos",datos_base!$E$11,0))*parametros_manuales!$F$105+parametros_manuales!$G$33*(datos_base!$E$5+IF(parametros_manuales!$H$33="Todos",datos_base!$E$12,0))*parametros_manuales!$F$110)*parametros_manuales!$I$33*parametros_manuales!$J$33</f>
        <v>3676.78</v>
      </c>
      <c r="G97" s="4">
        <f>(parametros_manuales!$D$33*(datos_base!$E$2+IF(parametros_manuales!$H$33="Todos",datos_base!$E$9,0))*parametros_manuales!$G$95+parametros_manuales!$E$33*(datos_base!$E$3+IF(parametros_manuales!$H$33="Todos",datos_base!$E$10,0))*parametros_manuales!$G$100+parametros_manuales!$F$33*(datos_base!$E$4+IF(parametros_manuales!$H$33="Todos",datos_base!$E$11,0))*parametros_manuales!$G$105+parametros_manuales!$G$33*(datos_base!$E$5+IF(parametros_manuales!$H$33="Todos",datos_base!$E$12,0))*parametros_manuales!$G$110)*parametros_manuales!$I$33*parametros_manuales!$J$33</f>
        <v>3600.815</v>
      </c>
      <c r="H97" s="4">
        <f>(parametros_manuales!$D$33*(datos_base!$E$2+IF(parametros_manuales!$H$33="Todos",datos_base!$E$9,0))*parametros_manuales!$H$95+parametros_manuales!$E$33*(datos_base!$E$3+IF(parametros_manuales!$H$33="Todos",datos_base!$E$10,0))*parametros_manuales!$H$100+parametros_manuales!$F$33*(datos_base!$E$4+IF(parametros_manuales!$H$33="Todos",datos_base!$E$11,0))*parametros_manuales!$H$105+parametros_manuales!$G$33*(datos_base!$E$5+IF(parametros_manuales!$H$33="Todos",datos_base!$E$12,0))*parametros_manuales!$H$110)*parametros_manuales!$I$33*parametros_manuales!$J$33</f>
        <v>3852.59</v>
      </c>
      <c r="I97" s="4">
        <f>(parametros_manuales!$D$33*(datos_base!$E$2+IF(parametros_manuales!$H$33="Todos",datos_base!$E$9,0))*parametros_manuales!$I$95+parametros_manuales!$E$33*(datos_base!$E$3+IF(parametros_manuales!$H$33="Todos",datos_base!$E$10,0))*parametros_manuales!$I$100+parametros_manuales!$F$33*(datos_base!$E$4+IF(parametros_manuales!$H$33="Todos",datos_base!$E$11,0))*parametros_manuales!$I$105+parametros_manuales!$G$33*(datos_base!$E$5+IF(parametros_manuales!$H$33="Todos",datos_base!$E$12,0))*parametros_manuales!$I$110)*parametros_manuales!$I$33*parametros_manuales!$J$33</f>
        <v>4380.02</v>
      </c>
      <c r="J97" s="4">
        <f>(parametros_manuales!$D$33*(datos_base!$E$2+IF(parametros_manuales!$H$33="Todos",datos_base!$E$9,0))*parametros_manuales!$J$95+parametros_manuales!$E$33*(datos_base!$E$3+IF(parametros_manuales!$H$33="Todos",datos_base!$E$10,0))*parametros_manuales!$J$100+parametros_manuales!$F$33*(datos_base!$E$4+IF(parametros_manuales!$H$33="Todos",datos_base!$E$11,0))*parametros_manuales!$J$105+parametros_manuales!$G$33*(datos_base!$E$5+IF(parametros_manuales!$H$33="Todos",datos_base!$E$12,0))*parametros_manuales!$J$110)*parametros_manuales!$I$33*parametros_manuales!$J$33</f>
        <v>4380.02</v>
      </c>
      <c r="K97" s="4">
        <f>(parametros_manuales!$D$33*(datos_base!$E$2+IF(parametros_manuales!$H$33="Todos",datos_base!$E$9,0))*parametros_manuales!$K$95+parametros_manuales!$E$33*(datos_base!$E$3+IF(parametros_manuales!$H$33="Todos",datos_base!$E$10,0))*parametros_manuales!$K$100+parametros_manuales!$F$33*(datos_base!$E$4+IF(parametros_manuales!$H$33="Todos",datos_base!$E$11,0))*parametros_manuales!$K$105+parametros_manuales!$G$33*(datos_base!$E$5+IF(parametros_manuales!$H$33="Todos",datos_base!$E$12,0))*parametros_manuales!$K$110)*parametros_manuales!$I$33*parametros_manuales!$J$33</f>
        <v>4455.985</v>
      </c>
      <c r="L97" s="4">
        <f>(parametros_manuales!$D$33*(datos_base!$E$2+IF(parametros_manuales!$H$33="Todos",datos_base!$E$9,0))*parametros_manuales!$L$95+parametros_manuales!$E$33*(datos_base!$E$3+IF(parametros_manuales!$H$33="Todos",datos_base!$E$10,0))*parametros_manuales!$L$100+parametros_manuales!$F$33*(datos_base!$E$4+IF(parametros_manuales!$H$33="Todos",datos_base!$E$11,0))*parametros_manuales!$L$105+parametros_manuales!$G$33*(datos_base!$E$5+IF(parametros_manuales!$H$33="Todos",datos_base!$E$12,0))*parametros_manuales!$L$110)*parametros_manuales!$I$33*parametros_manuales!$J$33</f>
        <v>4531.95</v>
      </c>
      <c r="M97" s="4">
        <f>(parametros_manuales!$D$33*(datos_base!$E$2+IF(parametros_manuales!$H$33="Todos",datos_base!$E$9,0))*parametros_manuales!$M$95+parametros_manuales!$E$33*(datos_base!$E$3+IF(parametros_manuales!$H$33="Todos",datos_base!$E$10,0))*parametros_manuales!$M$100+parametros_manuales!$F$33*(datos_base!$E$4+IF(parametros_manuales!$H$33="Todos",datos_base!$E$11,0))*parametros_manuales!$M$105+parametros_manuales!$G$33*(datos_base!$E$5+IF(parametros_manuales!$H$33="Todos",datos_base!$E$12,0))*parametros_manuales!$M$110)*parametros_manuales!$I$33*parametros_manuales!$J$33</f>
        <v>4531.95</v>
      </c>
      <c r="N97" s="4">
        <f t="shared" si="10"/>
        <v>50355</v>
      </c>
      <c r="O97" s="4">
        <f t="shared" si="11"/>
        <v>4531.95</v>
      </c>
      <c r="P97" s="27">
        <f>O97/(parametros_manuales!$B$7)</f>
        <v>30.213</v>
      </c>
      <c r="Q97" s="3" t="str">
        <f t="shared" si="12"/>
        <v>Ene</v>
      </c>
    </row>
    <row r="98" ht="14.25" customHeight="1">
      <c r="A98" s="3" t="str">
        <f>parametros_manuales!$B$34</f>
        <v>Granallado</v>
      </c>
      <c r="B98" s="4">
        <f>(parametros_manuales!$D$34*(datos_base!$E$2+IF(parametros_manuales!$H$34="Todos",datos_base!$E$9,0))*parametros_manuales!$B$95+parametros_manuales!$E$34*(datos_base!$E$3+IF(parametros_manuales!$H$34="Todos",datos_base!$E$10,0))*parametros_manuales!$B$100+parametros_manuales!$F$34*(datos_base!$E$4+IF(parametros_manuales!$H$34="Todos",datos_base!$E$11,0))*parametros_manuales!$B$105+parametros_manuales!$G$34*(datos_base!$E$5+IF(parametros_manuales!$H$34="Todos",datos_base!$E$12,0))*parametros_manuales!$B$110)*parametros_manuales!$I$34*parametros_manuales!$J$34</f>
        <v>4531.95</v>
      </c>
      <c r="C98" s="4">
        <f>(parametros_manuales!$D$34*(datos_base!$E$2+IF(parametros_manuales!$H$34="Todos",datos_base!$E$9,0))*parametros_manuales!$C$95+parametros_manuales!$E$34*(datos_base!$E$3+IF(parametros_manuales!$H$34="Todos",datos_base!$E$10,0))*parametros_manuales!$C$100+parametros_manuales!$F$34*(datos_base!$E$4+IF(parametros_manuales!$H$34="Todos",datos_base!$E$11,0))*parametros_manuales!$C$105+parametros_manuales!$G$34*(datos_base!$E$5+IF(parametros_manuales!$H$34="Todos",datos_base!$E$12,0))*parametros_manuales!$C$110)*parametros_manuales!$I$34*parametros_manuales!$J$34</f>
        <v>4380.02</v>
      </c>
      <c r="D98" s="4">
        <f>(parametros_manuales!$D$34*(datos_base!$E$2+IF(parametros_manuales!$H$34="Todos",datos_base!$E$9,0))*parametros_manuales!$D$95+parametros_manuales!$E$34*(datos_base!$E$3+IF(parametros_manuales!$H$34="Todos",datos_base!$E$10,0))*parametros_manuales!$D$100+parametros_manuales!$F$34*(datos_base!$E$4+IF(parametros_manuales!$H$34="Todos",datos_base!$E$11,0))*parametros_manuales!$D$105+parametros_manuales!$G$34*(datos_base!$E$5+IF(parametros_manuales!$H$34="Todos",datos_base!$E$12,0))*parametros_manuales!$D$110)*parametros_manuales!$I$34*parametros_manuales!$J$34</f>
        <v>4104.365</v>
      </c>
      <c r="E98" s="4">
        <f>(parametros_manuales!$D$34*(datos_base!$E$2+IF(parametros_manuales!$H$34="Todos",datos_base!$E$9,0))*parametros_manuales!$E$95+parametros_manuales!$E$34*(datos_base!$E$3+IF(parametros_manuales!$H$34="Todos",datos_base!$E$10,0))*parametros_manuales!$E$100+parametros_manuales!$F$34*(datos_base!$E$4+IF(parametros_manuales!$H$34="Todos",datos_base!$E$11,0))*parametros_manuales!$E$105+parametros_manuales!$G$34*(datos_base!$E$5+IF(parametros_manuales!$H$34="Todos",datos_base!$E$12,0))*parametros_manuales!$E$110)*parametros_manuales!$I$34*parametros_manuales!$J$34</f>
        <v>3928.555</v>
      </c>
      <c r="F98" s="4">
        <f>(parametros_manuales!$D$34*(datos_base!$E$2+IF(parametros_manuales!$H$34="Todos",datos_base!$E$9,0))*parametros_manuales!$F$95+parametros_manuales!$E$34*(datos_base!$E$3+IF(parametros_manuales!$H$34="Todos",datos_base!$E$10,0))*parametros_manuales!$F$100+parametros_manuales!$F$34*(datos_base!$E$4+IF(parametros_manuales!$H$34="Todos",datos_base!$E$11,0))*parametros_manuales!$F$105+parametros_manuales!$G$34*(datos_base!$E$5+IF(parametros_manuales!$H$34="Todos",datos_base!$E$12,0))*parametros_manuales!$F$110)*parametros_manuales!$I$34*parametros_manuales!$J$34</f>
        <v>3676.78</v>
      </c>
      <c r="G98" s="4">
        <f>(parametros_manuales!$D$34*(datos_base!$E$2+IF(parametros_manuales!$H$34="Todos",datos_base!$E$9,0))*parametros_manuales!$G$95+parametros_manuales!$E$34*(datos_base!$E$3+IF(parametros_manuales!$H$34="Todos",datos_base!$E$10,0))*parametros_manuales!$G$100+parametros_manuales!$F$34*(datos_base!$E$4+IF(parametros_manuales!$H$34="Todos",datos_base!$E$11,0))*parametros_manuales!$G$105+parametros_manuales!$G$34*(datos_base!$E$5+IF(parametros_manuales!$H$34="Todos",datos_base!$E$12,0))*parametros_manuales!$G$110)*parametros_manuales!$I$34*parametros_manuales!$J$34</f>
        <v>3600.815</v>
      </c>
      <c r="H98" s="4">
        <f>(parametros_manuales!$D$34*(datos_base!$E$2+IF(parametros_manuales!$H$34="Todos",datos_base!$E$9,0))*parametros_manuales!$H$95+parametros_manuales!$E$34*(datos_base!$E$3+IF(parametros_manuales!$H$34="Todos",datos_base!$E$10,0))*parametros_manuales!$H$100+parametros_manuales!$F$34*(datos_base!$E$4+IF(parametros_manuales!$H$34="Todos",datos_base!$E$11,0))*parametros_manuales!$H$105+parametros_manuales!$G$34*(datos_base!$E$5+IF(parametros_manuales!$H$34="Todos",datos_base!$E$12,0))*parametros_manuales!$H$110)*parametros_manuales!$I$34*parametros_manuales!$J$34</f>
        <v>3852.59</v>
      </c>
      <c r="I98" s="4">
        <f>(parametros_manuales!$D$34*(datos_base!$E$2+IF(parametros_manuales!$H$34="Todos",datos_base!$E$9,0))*parametros_manuales!$I$95+parametros_manuales!$E$34*(datos_base!$E$3+IF(parametros_manuales!$H$34="Todos",datos_base!$E$10,0))*parametros_manuales!$I$100+parametros_manuales!$F$34*(datos_base!$E$4+IF(parametros_manuales!$H$34="Todos",datos_base!$E$11,0))*parametros_manuales!$I$105+parametros_manuales!$G$34*(datos_base!$E$5+IF(parametros_manuales!$H$34="Todos",datos_base!$E$12,0))*parametros_manuales!$I$110)*parametros_manuales!$I$34*parametros_manuales!$J$34</f>
        <v>4380.02</v>
      </c>
      <c r="J98" s="4">
        <f>(parametros_manuales!$D$34*(datos_base!$E$2+IF(parametros_manuales!$H$34="Todos",datos_base!$E$9,0))*parametros_manuales!$J$95+parametros_manuales!$E$34*(datos_base!$E$3+IF(parametros_manuales!$H$34="Todos",datos_base!$E$10,0))*parametros_manuales!$J$100+parametros_manuales!$F$34*(datos_base!$E$4+IF(parametros_manuales!$H$34="Todos",datos_base!$E$11,0))*parametros_manuales!$J$105+parametros_manuales!$G$34*(datos_base!$E$5+IF(parametros_manuales!$H$34="Todos",datos_base!$E$12,0))*parametros_manuales!$J$110)*parametros_manuales!$I$34*parametros_manuales!$J$34</f>
        <v>4380.02</v>
      </c>
      <c r="K98" s="4">
        <f>(parametros_manuales!$D$34*(datos_base!$E$2+IF(parametros_manuales!$H$34="Todos",datos_base!$E$9,0))*parametros_manuales!$K$95+parametros_manuales!$E$34*(datos_base!$E$3+IF(parametros_manuales!$H$34="Todos",datos_base!$E$10,0))*parametros_manuales!$K$100+parametros_manuales!$F$34*(datos_base!$E$4+IF(parametros_manuales!$H$34="Todos",datos_base!$E$11,0))*parametros_manuales!$K$105+parametros_manuales!$G$34*(datos_base!$E$5+IF(parametros_manuales!$H$34="Todos",datos_base!$E$12,0))*parametros_manuales!$K$110)*parametros_manuales!$I$34*parametros_manuales!$J$34</f>
        <v>4455.985</v>
      </c>
      <c r="L98" s="4">
        <f>(parametros_manuales!$D$34*(datos_base!$E$2+IF(parametros_manuales!$H$34="Todos",datos_base!$E$9,0))*parametros_manuales!$L$95+parametros_manuales!$E$34*(datos_base!$E$3+IF(parametros_manuales!$H$34="Todos",datos_base!$E$10,0))*parametros_manuales!$L$100+parametros_manuales!$F$34*(datos_base!$E$4+IF(parametros_manuales!$H$34="Todos",datos_base!$E$11,0))*parametros_manuales!$L$105+parametros_manuales!$G$34*(datos_base!$E$5+IF(parametros_manuales!$H$34="Todos",datos_base!$E$12,0))*parametros_manuales!$L$110)*parametros_manuales!$I$34*parametros_manuales!$J$34</f>
        <v>4531.95</v>
      </c>
      <c r="M98" s="4">
        <f>(parametros_manuales!$D$34*(datos_base!$E$2+IF(parametros_manuales!$H$34="Todos",datos_base!$E$9,0))*parametros_manuales!$M$95+parametros_manuales!$E$34*(datos_base!$E$3+IF(parametros_manuales!$H$34="Todos",datos_base!$E$10,0))*parametros_manuales!$M$100+parametros_manuales!$F$34*(datos_base!$E$4+IF(parametros_manuales!$H$34="Todos",datos_base!$E$11,0))*parametros_manuales!$M$105+parametros_manuales!$G$34*(datos_base!$E$5+IF(parametros_manuales!$H$34="Todos",datos_base!$E$12,0))*parametros_manuales!$M$110)*parametros_manuales!$I$34*parametros_manuales!$J$34</f>
        <v>4531.95</v>
      </c>
      <c r="N98" s="4">
        <f t="shared" si="10"/>
        <v>50355</v>
      </c>
      <c r="O98" s="4">
        <f t="shared" si="11"/>
        <v>4531.95</v>
      </c>
      <c r="P98" s="27">
        <f>O98/(parametros_manuales!$B$7)</f>
        <v>30.213</v>
      </c>
      <c r="Q98" s="3" t="str">
        <f t="shared" si="12"/>
        <v>Ene</v>
      </c>
    </row>
    <row r="99" ht="14.25" customHeight="1">
      <c r="A99" s="3" t="str">
        <f>parametros_manuales!$B$35</f>
        <v>Detección de defectos</v>
      </c>
      <c r="B99" s="4">
        <f>(parametros_manuales!$D$35*(datos_base!$E$2+IF(parametros_manuales!$H$35="Todos",datos_base!$E$9,0))*parametros_manuales!$B$95+parametros_manuales!$E$35*(datos_base!$E$3+IF(parametros_manuales!$H$35="Todos",datos_base!$E$10,0))*parametros_manuales!$B$100+parametros_manuales!$F$35*(datos_base!$E$4+IF(parametros_manuales!$H$35="Todos",datos_base!$E$11,0))*parametros_manuales!$B$105+parametros_manuales!$G$35*(datos_base!$E$5+IF(parametros_manuales!$H$35="Todos",datos_base!$E$12,0))*parametros_manuales!$B$110)*parametros_manuales!$I$35*parametros_manuales!$J$35</f>
        <v>4531.95</v>
      </c>
      <c r="C99" s="4">
        <f>(parametros_manuales!$D$35*(datos_base!$E$2+IF(parametros_manuales!$H$35="Todos",datos_base!$E$9,0))*parametros_manuales!$C$95+parametros_manuales!$E$35*(datos_base!$E$3+IF(parametros_manuales!$H$35="Todos",datos_base!$E$10,0))*parametros_manuales!$C$100+parametros_manuales!$F$35*(datos_base!$E$4+IF(parametros_manuales!$H$35="Todos",datos_base!$E$11,0))*parametros_manuales!$C$105+parametros_manuales!$G$35*(datos_base!$E$5+IF(parametros_manuales!$H$35="Todos",datos_base!$E$12,0))*parametros_manuales!$C$110)*parametros_manuales!$I$35*parametros_manuales!$J$35</f>
        <v>4380.02</v>
      </c>
      <c r="D99" s="4">
        <f>(parametros_manuales!$D$35*(datos_base!$E$2+IF(parametros_manuales!$H$35="Todos",datos_base!$E$9,0))*parametros_manuales!$D$95+parametros_manuales!$E$35*(datos_base!$E$3+IF(parametros_manuales!$H$35="Todos",datos_base!$E$10,0))*parametros_manuales!$D$100+parametros_manuales!$F$35*(datos_base!$E$4+IF(parametros_manuales!$H$35="Todos",datos_base!$E$11,0))*parametros_manuales!$D$105+parametros_manuales!$G$35*(datos_base!$E$5+IF(parametros_manuales!$H$35="Todos",datos_base!$E$12,0))*parametros_manuales!$D$110)*parametros_manuales!$I$35*parametros_manuales!$J$35</f>
        <v>4104.365</v>
      </c>
      <c r="E99" s="4">
        <f>(parametros_manuales!$D$35*(datos_base!$E$2+IF(parametros_manuales!$H$35="Todos",datos_base!$E$9,0))*parametros_manuales!$E$95+parametros_manuales!$E$35*(datos_base!$E$3+IF(parametros_manuales!$H$35="Todos",datos_base!$E$10,0))*parametros_manuales!$E$100+parametros_manuales!$F$35*(datos_base!$E$4+IF(parametros_manuales!$H$35="Todos",datos_base!$E$11,0))*parametros_manuales!$E$105+parametros_manuales!$G$35*(datos_base!$E$5+IF(parametros_manuales!$H$35="Todos",datos_base!$E$12,0))*parametros_manuales!$E$110)*parametros_manuales!$I$35*parametros_manuales!$J$35</f>
        <v>3928.555</v>
      </c>
      <c r="F99" s="4">
        <f>(parametros_manuales!$D$35*(datos_base!$E$2+IF(parametros_manuales!$H$35="Todos",datos_base!$E$9,0))*parametros_manuales!$F$95+parametros_manuales!$E$35*(datos_base!$E$3+IF(parametros_manuales!$H$35="Todos",datos_base!$E$10,0))*parametros_manuales!$F$100+parametros_manuales!$F$35*(datos_base!$E$4+IF(parametros_manuales!$H$35="Todos",datos_base!$E$11,0))*parametros_manuales!$F$105+parametros_manuales!$G$35*(datos_base!$E$5+IF(parametros_manuales!$H$35="Todos",datos_base!$E$12,0))*parametros_manuales!$F$110)*parametros_manuales!$I$35*parametros_manuales!$J$35</f>
        <v>3676.78</v>
      </c>
      <c r="G99" s="4">
        <f>(parametros_manuales!$D$35*(datos_base!$E$2+IF(parametros_manuales!$H$35="Todos",datos_base!$E$9,0))*parametros_manuales!$G$95+parametros_manuales!$E$35*(datos_base!$E$3+IF(parametros_manuales!$H$35="Todos",datos_base!$E$10,0))*parametros_manuales!$G$100+parametros_manuales!$F$35*(datos_base!$E$4+IF(parametros_manuales!$H$35="Todos",datos_base!$E$11,0))*parametros_manuales!$G$105+parametros_manuales!$G$35*(datos_base!$E$5+IF(parametros_manuales!$H$35="Todos",datos_base!$E$12,0))*parametros_manuales!$G$110)*parametros_manuales!$I$35*parametros_manuales!$J$35</f>
        <v>3600.815</v>
      </c>
      <c r="H99" s="4">
        <f>(parametros_manuales!$D$35*(datos_base!$E$2+IF(parametros_manuales!$H$35="Todos",datos_base!$E$9,0))*parametros_manuales!$H$95+parametros_manuales!$E$35*(datos_base!$E$3+IF(parametros_manuales!$H$35="Todos",datos_base!$E$10,0))*parametros_manuales!$H$100+parametros_manuales!$F$35*(datos_base!$E$4+IF(parametros_manuales!$H$35="Todos",datos_base!$E$11,0))*parametros_manuales!$H$105+parametros_manuales!$G$35*(datos_base!$E$5+IF(parametros_manuales!$H$35="Todos",datos_base!$E$12,0))*parametros_manuales!$H$110)*parametros_manuales!$I$35*parametros_manuales!$J$35</f>
        <v>3852.59</v>
      </c>
      <c r="I99" s="4">
        <f>(parametros_manuales!$D$35*(datos_base!$E$2+IF(parametros_manuales!$H$35="Todos",datos_base!$E$9,0))*parametros_manuales!$I$95+parametros_manuales!$E$35*(datos_base!$E$3+IF(parametros_manuales!$H$35="Todos",datos_base!$E$10,0))*parametros_manuales!$I$100+parametros_manuales!$F$35*(datos_base!$E$4+IF(parametros_manuales!$H$35="Todos",datos_base!$E$11,0))*parametros_manuales!$I$105+parametros_manuales!$G$35*(datos_base!$E$5+IF(parametros_manuales!$H$35="Todos",datos_base!$E$12,0))*parametros_manuales!$I$110)*parametros_manuales!$I$35*parametros_manuales!$J$35</f>
        <v>4380.02</v>
      </c>
      <c r="J99" s="4">
        <f>(parametros_manuales!$D$35*(datos_base!$E$2+IF(parametros_manuales!$H$35="Todos",datos_base!$E$9,0))*parametros_manuales!$J$95+parametros_manuales!$E$35*(datos_base!$E$3+IF(parametros_manuales!$H$35="Todos",datos_base!$E$10,0))*parametros_manuales!$J$100+parametros_manuales!$F$35*(datos_base!$E$4+IF(parametros_manuales!$H$35="Todos",datos_base!$E$11,0))*parametros_manuales!$J$105+parametros_manuales!$G$35*(datos_base!$E$5+IF(parametros_manuales!$H$35="Todos",datos_base!$E$12,0))*parametros_manuales!$J$110)*parametros_manuales!$I$35*parametros_manuales!$J$35</f>
        <v>4380.02</v>
      </c>
      <c r="K99" s="4">
        <f>(parametros_manuales!$D$35*(datos_base!$E$2+IF(parametros_manuales!$H$35="Todos",datos_base!$E$9,0))*parametros_manuales!$K$95+parametros_manuales!$E$35*(datos_base!$E$3+IF(parametros_manuales!$H$35="Todos",datos_base!$E$10,0))*parametros_manuales!$K$100+parametros_manuales!$F$35*(datos_base!$E$4+IF(parametros_manuales!$H$35="Todos",datos_base!$E$11,0))*parametros_manuales!$K$105+parametros_manuales!$G$35*(datos_base!$E$5+IF(parametros_manuales!$H$35="Todos",datos_base!$E$12,0))*parametros_manuales!$K$110)*parametros_manuales!$I$35*parametros_manuales!$J$35</f>
        <v>4455.985</v>
      </c>
      <c r="L99" s="4">
        <f>(parametros_manuales!$D$35*(datos_base!$E$2+IF(parametros_manuales!$H$35="Todos",datos_base!$E$9,0))*parametros_manuales!$L$95+parametros_manuales!$E$35*(datos_base!$E$3+IF(parametros_manuales!$H$35="Todos",datos_base!$E$10,0))*parametros_manuales!$L$100+parametros_manuales!$F$35*(datos_base!$E$4+IF(parametros_manuales!$H$35="Todos",datos_base!$E$11,0))*parametros_manuales!$L$105+parametros_manuales!$G$35*(datos_base!$E$5+IF(parametros_manuales!$H$35="Todos",datos_base!$E$12,0))*parametros_manuales!$L$110)*parametros_manuales!$I$35*parametros_manuales!$J$35</f>
        <v>4531.95</v>
      </c>
      <c r="M99" s="4">
        <f>(parametros_manuales!$D$35*(datos_base!$E$2+IF(parametros_manuales!$H$35="Todos",datos_base!$E$9,0))*parametros_manuales!$M$95+parametros_manuales!$E$35*(datos_base!$E$3+IF(parametros_manuales!$H$35="Todos",datos_base!$E$10,0))*parametros_manuales!$M$100+parametros_manuales!$F$35*(datos_base!$E$4+IF(parametros_manuales!$H$35="Todos",datos_base!$E$11,0))*parametros_manuales!$M$105+parametros_manuales!$G$35*(datos_base!$E$5+IF(parametros_manuales!$H$35="Todos",datos_base!$E$12,0))*parametros_manuales!$M$110)*parametros_manuales!$I$35*parametros_manuales!$J$35</f>
        <v>4531.95</v>
      </c>
      <c r="N99" s="4">
        <f t="shared" si="10"/>
        <v>50355</v>
      </c>
      <c r="O99" s="4">
        <f t="shared" si="11"/>
        <v>4531.95</v>
      </c>
      <c r="P99" s="27">
        <f>O99/(parametros_manuales!$B$7)</f>
        <v>30.213</v>
      </c>
      <c r="Q99" s="3" t="str">
        <f t="shared" si="12"/>
        <v>Ene</v>
      </c>
    </row>
    <row r="100" ht="14.25" customHeight="1">
      <c r="A100" s="3" t="str">
        <f>parametros_manuales!$B$36</f>
        <v>Corrección de defectos</v>
      </c>
      <c r="B100" s="4">
        <f>(parametros_manuales!$D$36*(datos_base!$E$2+IF(parametros_manuales!$H$36="Todos",datos_base!$E$9,0))*parametros_manuales!$B$95+parametros_manuales!$E$36*(datos_base!$E$3+IF(parametros_manuales!$H$36="Todos",datos_base!$E$10,0))*parametros_manuales!$B$100+parametros_manuales!$F$36*(datos_base!$E$4+IF(parametros_manuales!$H$36="Todos",datos_base!$E$11,0))*parametros_manuales!$B$105+parametros_manuales!$G$36*(datos_base!$E$5+IF(parametros_manuales!$H$36="Todos",datos_base!$E$12,0))*parametros_manuales!$B$110)*parametros_manuales!$I$36*parametros_manuales!$J$36</f>
        <v>226.5975</v>
      </c>
      <c r="C100" s="4">
        <f>(parametros_manuales!$D$36*(datos_base!$E$2+IF(parametros_manuales!$H$36="Todos",datos_base!$E$9,0))*parametros_manuales!$C$95+parametros_manuales!$E$36*(datos_base!$E$3+IF(parametros_manuales!$H$36="Todos",datos_base!$E$10,0))*parametros_manuales!$C$100+parametros_manuales!$F$36*(datos_base!$E$4+IF(parametros_manuales!$H$36="Todos",datos_base!$E$11,0))*parametros_manuales!$C$105+parametros_manuales!$G$36*(datos_base!$E$5+IF(parametros_manuales!$H$36="Todos",datos_base!$E$12,0))*parametros_manuales!$C$110)*parametros_manuales!$I$36*parametros_manuales!$J$36</f>
        <v>219.001</v>
      </c>
      <c r="D100" s="4">
        <f>(parametros_manuales!$D$36*(datos_base!$E$2+IF(parametros_manuales!$H$36="Todos",datos_base!$E$9,0))*parametros_manuales!$D$95+parametros_manuales!$E$36*(datos_base!$E$3+IF(parametros_manuales!$H$36="Todos",datos_base!$E$10,0))*parametros_manuales!$D$100+parametros_manuales!$F$36*(datos_base!$E$4+IF(parametros_manuales!$H$36="Todos",datos_base!$E$11,0))*parametros_manuales!$D$105+parametros_manuales!$G$36*(datos_base!$E$5+IF(parametros_manuales!$H$36="Todos",datos_base!$E$12,0))*parametros_manuales!$D$110)*parametros_manuales!$I$36*parametros_manuales!$J$36</f>
        <v>205.21825</v>
      </c>
      <c r="E100" s="4">
        <f>(parametros_manuales!$D$36*(datos_base!$E$2+IF(parametros_manuales!$H$36="Todos",datos_base!$E$9,0))*parametros_manuales!$E$95+parametros_manuales!$E$36*(datos_base!$E$3+IF(parametros_manuales!$H$36="Todos",datos_base!$E$10,0))*parametros_manuales!$E$100+parametros_manuales!$F$36*(datos_base!$E$4+IF(parametros_manuales!$H$36="Todos",datos_base!$E$11,0))*parametros_manuales!$E$105+parametros_manuales!$G$36*(datos_base!$E$5+IF(parametros_manuales!$H$36="Todos",datos_base!$E$12,0))*parametros_manuales!$E$110)*parametros_manuales!$I$36*parametros_manuales!$J$36</f>
        <v>196.42775</v>
      </c>
      <c r="F100" s="4">
        <f>(parametros_manuales!$D$36*(datos_base!$E$2+IF(parametros_manuales!$H$36="Todos",datos_base!$E$9,0))*parametros_manuales!$F$95+parametros_manuales!$E$36*(datos_base!$E$3+IF(parametros_manuales!$H$36="Todos",datos_base!$E$10,0))*parametros_manuales!$F$100+parametros_manuales!$F$36*(datos_base!$E$4+IF(parametros_manuales!$H$36="Todos",datos_base!$E$11,0))*parametros_manuales!$F$105+parametros_manuales!$G$36*(datos_base!$E$5+IF(parametros_manuales!$H$36="Todos",datos_base!$E$12,0))*parametros_manuales!$F$110)*parametros_manuales!$I$36*parametros_manuales!$J$36</f>
        <v>183.839</v>
      </c>
      <c r="G100" s="4">
        <f>(parametros_manuales!$D$36*(datos_base!$E$2+IF(parametros_manuales!$H$36="Todos",datos_base!$E$9,0))*parametros_manuales!$G$95+parametros_manuales!$E$36*(datos_base!$E$3+IF(parametros_manuales!$H$36="Todos",datos_base!$E$10,0))*parametros_manuales!$G$100+parametros_manuales!$F$36*(datos_base!$E$4+IF(parametros_manuales!$H$36="Todos",datos_base!$E$11,0))*parametros_manuales!$G$105+parametros_manuales!$G$36*(datos_base!$E$5+IF(parametros_manuales!$H$36="Todos",datos_base!$E$12,0))*parametros_manuales!$G$110)*parametros_manuales!$I$36*parametros_manuales!$J$36</f>
        <v>180.04075</v>
      </c>
      <c r="H100" s="4">
        <f>(parametros_manuales!$D$36*(datos_base!$E$2+IF(parametros_manuales!$H$36="Todos",datos_base!$E$9,0))*parametros_manuales!$H$95+parametros_manuales!$E$36*(datos_base!$E$3+IF(parametros_manuales!$H$36="Todos",datos_base!$E$10,0))*parametros_manuales!$H$100+parametros_manuales!$F$36*(datos_base!$E$4+IF(parametros_manuales!$H$36="Todos",datos_base!$E$11,0))*parametros_manuales!$H$105+parametros_manuales!$G$36*(datos_base!$E$5+IF(parametros_manuales!$H$36="Todos",datos_base!$E$12,0))*parametros_manuales!$H$110)*parametros_manuales!$I$36*parametros_manuales!$J$36</f>
        <v>192.6295</v>
      </c>
      <c r="I100" s="4">
        <f>(parametros_manuales!$D$36*(datos_base!$E$2+IF(parametros_manuales!$H$36="Todos",datos_base!$E$9,0))*parametros_manuales!$I$95+parametros_manuales!$E$36*(datos_base!$E$3+IF(parametros_manuales!$H$36="Todos",datos_base!$E$10,0))*parametros_manuales!$I$100+parametros_manuales!$F$36*(datos_base!$E$4+IF(parametros_manuales!$H$36="Todos",datos_base!$E$11,0))*parametros_manuales!$I$105+parametros_manuales!$G$36*(datos_base!$E$5+IF(parametros_manuales!$H$36="Todos",datos_base!$E$12,0))*parametros_manuales!$I$110)*parametros_manuales!$I$36*parametros_manuales!$J$36</f>
        <v>219.001</v>
      </c>
      <c r="J100" s="4">
        <f>(parametros_manuales!$D$36*(datos_base!$E$2+IF(parametros_manuales!$H$36="Todos",datos_base!$E$9,0))*parametros_manuales!$J$95+parametros_manuales!$E$36*(datos_base!$E$3+IF(parametros_manuales!$H$36="Todos",datos_base!$E$10,0))*parametros_manuales!$J$100+parametros_manuales!$F$36*(datos_base!$E$4+IF(parametros_manuales!$H$36="Todos",datos_base!$E$11,0))*parametros_manuales!$J$105+parametros_manuales!$G$36*(datos_base!$E$5+IF(parametros_manuales!$H$36="Todos",datos_base!$E$12,0))*parametros_manuales!$J$110)*parametros_manuales!$I$36*parametros_manuales!$J$36</f>
        <v>219.001</v>
      </c>
      <c r="K100" s="4">
        <f>(parametros_manuales!$D$36*(datos_base!$E$2+IF(parametros_manuales!$H$36="Todos",datos_base!$E$9,0))*parametros_manuales!$K$95+parametros_manuales!$E$36*(datos_base!$E$3+IF(parametros_manuales!$H$36="Todos",datos_base!$E$10,0))*parametros_manuales!$K$100+parametros_manuales!$F$36*(datos_base!$E$4+IF(parametros_manuales!$H$36="Todos",datos_base!$E$11,0))*parametros_manuales!$K$105+parametros_manuales!$G$36*(datos_base!$E$5+IF(parametros_manuales!$H$36="Todos",datos_base!$E$12,0))*parametros_manuales!$K$110)*parametros_manuales!$I$36*parametros_manuales!$J$36</f>
        <v>222.79925</v>
      </c>
      <c r="L100" s="4">
        <f>(parametros_manuales!$D$36*(datos_base!$E$2+IF(parametros_manuales!$H$36="Todos",datos_base!$E$9,0))*parametros_manuales!$L$95+parametros_manuales!$E$36*(datos_base!$E$3+IF(parametros_manuales!$H$36="Todos",datos_base!$E$10,0))*parametros_manuales!$L$100+parametros_manuales!$F$36*(datos_base!$E$4+IF(parametros_manuales!$H$36="Todos",datos_base!$E$11,0))*parametros_manuales!$L$105+parametros_manuales!$G$36*(datos_base!$E$5+IF(parametros_manuales!$H$36="Todos",datos_base!$E$12,0))*parametros_manuales!$L$110)*parametros_manuales!$I$36*parametros_manuales!$J$36</f>
        <v>226.5975</v>
      </c>
      <c r="M100" s="4">
        <f>(parametros_manuales!$D$36*(datos_base!$E$2+IF(parametros_manuales!$H$36="Todos",datos_base!$E$9,0))*parametros_manuales!$M$95+parametros_manuales!$E$36*(datos_base!$E$3+IF(parametros_manuales!$H$36="Todos",datos_base!$E$10,0))*parametros_manuales!$M$100+parametros_manuales!$F$36*(datos_base!$E$4+IF(parametros_manuales!$H$36="Todos",datos_base!$E$11,0))*parametros_manuales!$M$105+parametros_manuales!$G$36*(datos_base!$E$5+IF(parametros_manuales!$H$36="Todos",datos_base!$E$12,0))*parametros_manuales!$M$110)*parametros_manuales!$I$36*parametros_manuales!$J$36</f>
        <v>226.5975</v>
      </c>
      <c r="N100" s="4">
        <f t="shared" si="10"/>
        <v>2517.75</v>
      </c>
      <c r="O100" s="4">
        <f t="shared" si="11"/>
        <v>226.5975</v>
      </c>
      <c r="P100" s="27">
        <f>O100/(parametros_manuales!$B$7)</f>
        <v>1.51065</v>
      </c>
      <c r="Q100" s="3" t="str">
        <f t="shared" si="12"/>
        <v>Ene</v>
      </c>
    </row>
    <row r="101" ht="14.25" customHeight="1">
      <c r="A101" s="3" t="str">
        <f>parametros_manuales!$B$37</f>
        <v>Pintura en polvo + horno</v>
      </c>
      <c r="B101" s="4">
        <f>(parametros_manuales!$D$37*(datos_base!$E$2+IF(parametros_manuales!$H$37="Todos",datos_base!$E$9,0))*parametros_manuales!$B$95+parametros_manuales!$E$37*(datos_base!$E$3+IF(parametros_manuales!$H$37="Todos",datos_base!$E$10,0))*parametros_manuales!$B$100+parametros_manuales!$F$37*(datos_base!$E$4+IF(parametros_manuales!$H$37="Todos",datos_base!$E$11,0))*parametros_manuales!$B$105+parametros_manuales!$G$37*(datos_base!$E$5+IF(parametros_manuales!$H$37="Todos",datos_base!$E$12,0))*parametros_manuales!$B$110)*parametros_manuales!$I$37*parametros_manuales!$J$37</f>
        <v>4531.95</v>
      </c>
      <c r="C101" s="4">
        <f>(parametros_manuales!$D$37*(datos_base!$E$2+IF(parametros_manuales!$H$37="Todos",datos_base!$E$9,0))*parametros_manuales!$C$95+parametros_manuales!$E$37*(datos_base!$E$3+IF(parametros_manuales!$H$37="Todos",datos_base!$E$10,0))*parametros_manuales!$C$100+parametros_manuales!$F$37*(datos_base!$E$4+IF(parametros_manuales!$H$37="Todos",datos_base!$E$11,0))*parametros_manuales!$C$105+parametros_manuales!$G$37*(datos_base!$E$5+IF(parametros_manuales!$H$37="Todos",datos_base!$E$12,0))*parametros_manuales!$C$110)*parametros_manuales!$I$37*parametros_manuales!$J$37</f>
        <v>4380.02</v>
      </c>
      <c r="D101" s="4">
        <f>(parametros_manuales!$D$37*(datos_base!$E$2+IF(parametros_manuales!$H$37="Todos",datos_base!$E$9,0))*parametros_manuales!$D$95+parametros_manuales!$E$37*(datos_base!$E$3+IF(parametros_manuales!$H$37="Todos",datos_base!$E$10,0))*parametros_manuales!$D$100+parametros_manuales!$F$37*(datos_base!$E$4+IF(parametros_manuales!$H$37="Todos",datos_base!$E$11,0))*parametros_manuales!$D$105+parametros_manuales!$G$37*(datos_base!$E$5+IF(parametros_manuales!$H$37="Todos",datos_base!$E$12,0))*parametros_manuales!$D$110)*parametros_manuales!$I$37*parametros_manuales!$J$37</f>
        <v>4104.365</v>
      </c>
      <c r="E101" s="4">
        <f>(parametros_manuales!$D$37*(datos_base!$E$2+IF(parametros_manuales!$H$37="Todos",datos_base!$E$9,0))*parametros_manuales!$E$95+parametros_manuales!$E$37*(datos_base!$E$3+IF(parametros_manuales!$H$37="Todos",datos_base!$E$10,0))*parametros_manuales!$E$100+parametros_manuales!$F$37*(datos_base!$E$4+IF(parametros_manuales!$H$37="Todos",datos_base!$E$11,0))*parametros_manuales!$E$105+parametros_manuales!$G$37*(datos_base!$E$5+IF(parametros_manuales!$H$37="Todos",datos_base!$E$12,0))*parametros_manuales!$E$110)*parametros_manuales!$I$37*parametros_manuales!$J$37</f>
        <v>3928.555</v>
      </c>
      <c r="F101" s="4">
        <f>(parametros_manuales!$D$37*(datos_base!$E$2+IF(parametros_manuales!$H$37="Todos",datos_base!$E$9,0))*parametros_manuales!$F$95+parametros_manuales!$E$37*(datos_base!$E$3+IF(parametros_manuales!$H$37="Todos",datos_base!$E$10,0))*parametros_manuales!$F$100+parametros_manuales!$F$37*(datos_base!$E$4+IF(parametros_manuales!$H$37="Todos",datos_base!$E$11,0))*parametros_manuales!$F$105+parametros_manuales!$G$37*(datos_base!$E$5+IF(parametros_manuales!$H$37="Todos",datos_base!$E$12,0))*parametros_manuales!$F$110)*parametros_manuales!$I$37*parametros_manuales!$J$37</f>
        <v>3676.78</v>
      </c>
      <c r="G101" s="4">
        <f>(parametros_manuales!$D$37*(datos_base!$E$2+IF(parametros_manuales!$H$37="Todos",datos_base!$E$9,0))*parametros_manuales!$G$95+parametros_manuales!$E$37*(datos_base!$E$3+IF(parametros_manuales!$H$37="Todos",datos_base!$E$10,0))*parametros_manuales!$G$100+parametros_manuales!$F$37*(datos_base!$E$4+IF(parametros_manuales!$H$37="Todos",datos_base!$E$11,0))*parametros_manuales!$G$105+parametros_manuales!$G$37*(datos_base!$E$5+IF(parametros_manuales!$H$37="Todos",datos_base!$E$12,0))*parametros_manuales!$G$110)*parametros_manuales!$I$37*parametros_manuales!$J$37</f>
        <v>3600.815</v>
      </c>
      <c r="H101" s="4">
        <f>(parametros_manuales!$D$37*(datos_base!$E$2+IF(parametros_manuales!$H$37="Todos",datos_base!$E$9,0))*parametros_manuales!$H$95+parametros_manuales!$E$37*(datos_base!$E$3+IF(parametros_manuales!$H$37="Todos",datos_base!$E$10,0))*parametros_manuales!$H$100+parametros_manuales!$F$37*(datos_base!$E$4+IF(parametros_manuales!$H$37="Todos",datos_base!$E$11,0))*parametros_manuales!$H$105+parametros_manuales!$G$37*(datos_base!$E$5+IF(parametros_manuales!$H$37="Todos",datos_base!$E$12,0))*parametros_manuales!$H$110)*parametros_manuales!$I$37*parametros_manuales!$J$37</f>
        <v>3852.59</v>
      </c>
      <c r="I101" s="4">
        <f>(parametros_manuales!$D$37*(datos_base!$E$2+IF(parametros_manuales!$H$37="Todos",datos_base!$E$9,0))*parametros_manuales!$I$95+parametros_manuales!$E$37*(datos_base!$E$3+IF(parametros_manuales!$H$37="Todos",datos_base!$E$10,0))*parametros_manuales!$I$100+parametros_manuales!$F$37*(datos_base!$E$4+IF(parametros_manuales!$H$37="Todos",datos_base!$E$11,0))*parametros_manuales!$I$105+parametros_manuales!$G$37*(datos_base!$E$5+IF(parametros_manuales!$H$37="Todos",datos_base!$E$12,0))*parametros_manuales!$I$110)*parametros_manuales!$I$37*parametros_manuales!$J$37</f>
        <v>4380.02</v>
      </c>
      <c r="J101" s="4">
        <f>(parametros_manuales!$D$37*(datos_base!$E$2+IF(parametros_manuales!$H$37="Todos",datos_base!$E$9,0))*parametros_manuales!$J$95+parametros_manuales!$E$37*(datos_base!$E$3+IF(parametros_manuales!$H$37="Todos",datos_base!$E$10,0))*parametros_manuales!$J$100+parametros_manuales!$F$37*(datos_base!$E$4+IF(parametros_manuales!$H$37="Todos",datos_base!$E$11,0))*parametros_manuales!$J$105+parametros_manuales!$G$37*(datos_base!$E$5+IF(parametros_manuales!$H$37="Todos",datos_base!$E$12,0))*parametros_manuales!$J$110)*parametros_manuales!$I$37*parametros_manuales!$J$37</f>
        <v>4380.02</v>
      </c>
      <c r="K101" s="4">
        <f>(parametros_manuales!$D$37*(datos_base!$E$2+IF(parametros_manuales!$H$37="Todos",datos_base!$E$9,0))*parametros_manuales!$K$95+parametros_manuales!$E$37*(datos_base!$E$3+IF(parametros_manuales!$H$37="Todos",datos_base!$E$10,0))*parametros_manuales!$K$100+parametros_manuales!$F$37*(datos_base!$E$4+IF(parametros_manuales!$H$37="Todos",datos_base!$E$11,0))*parametros_manuales!$K$105+parametros_manuales!$G$37*(datos_base!$E$5+IF(parametros_manuales!$H$37="Todos",datos_base!$E$12,0))*parametros_manuales!$K$110)*parametros_manuales!$I$37*parametros_manuales!$J$37</f>
        <v>4455.985</v>
      </c>
      <c r="L101" s="4">
        <f>(parametros_manuales!$D$37*(datos_base!$E$2+IF(parametros_manuales!$H$37="Todos",datos_base!$E$9,0))*parametros_manuales!$L$95+parametros_manuales!$E$37*(datos_base!$E$3+IF(parametros_manuales!$H$37="Todos",datos_base!$E$10,0))*parametros_manuales!$L$100+parametros_manuales!$F$37*(datos_base!$E$4+IF(parametros_manuales!$H$37="Todos",datos_base!$E$11,0))*parametros_manuales!$L$105+parametros_manuales!$G$37*(datos_base!$E$5+IF(parametros_manuales!$H$37="Todos",datos_base!$E$12,0))*parametros_manuales!$L$110)*parametros_manuales!$I$37*parametros_manuales!$J$37</f>
        <v>4531.95</v>
      </c>
      <c r="M101" s="4">
        <f>(parametros_manuales!$D$37*(datos_base!$E$2+IF(parametros_manuales!$H$37="Todos",datos_base!$E$9,0))*parametros_manuales!$M$95+parametros_manuales!$E$37*(datos_base!$E$3+IF(parametros_manuales!$H$37="Todos",datos_base!$E$10,0))*parametros_manuales!$M$100+parametros_manuales!$F$37*(datos_base!$E$4+IF(parametros_manuales!$H$37="Todos",datos_base!$E$11,0))*parametros_manuales!$M$105+parametros_manuales!$G$37*(datos_base!$E$5+IF(parametros_manuales!$H$37="Todos",datos_base!$E$12,0))*parametros_manuales!$M$110)*parametros_manuales!$I$37*parametros_manuales!$J$37</f>
        <v>4531.95</v>
      </c>
      <c r="N101" s="4">
        <f t="shared" si="10"/>
        <v>50355</v>
      </c>
      <c r="O101" s="4">
        <f t="shared" si="11"/>
        <v>4531.95</v>
      </c>
      <c r="P101" s="27">
        <f>O101/(parametros_manuales!$B$7)</f>
        <v>30.213</v>
      </c>
      <c r="Q101" s="3" t="str">
        <f t="shared" si="12"/>
        <v>Ene</v>
      </c>
    </row>
    <row r="102" ht="14.25" customHeight="1">
      <c r="A102" s="3" t="str">
        <f>parametros_manuales!$B$38</f>
        <v>Carga de polvo</v>
      </c>
      <c r="B102" s="4">
        <f>(parametros_manuales!$D$38*(datos_base!$E$2+IF(parametros_manuales!$H$38="Todos",datos_base!$E$9,0))*parametros_manuales!$B$95+parametros_manuales!$E$38*(datos_base!$E$3+IF(parametros_manuales!$H$38="Todos",datos_base!$E$10,0))*parametros_manuales!$B$100+parametros_manuales!$F$38*(datos_base!$E$4+IF(parametros_manuales!$H$38="Todos",datos_base!$E$11,0))*parametros_manuales!$B$105+parametros_manuales!$G$38*(datos_base!$E$5+IF(parametros_manuales!$H$38="Todos",datos_base!$E$12,0))*parametros_manuales!$B$110)*parametros_manuales!$I$38*parametros_manuales!$J$38</f>
        <v>1543.41</v>
      </c>
      <c r="C102" s="4">
        <f>(parametros_manuales!$D$38*(datos_base!$E$2+IF(parametros_manuales!$H$38="Todos",datos_base!$E$9,0))*parametros_manuales!$C$95+parametros_manuales!$E$38*(datos_base!$E$3+IF(parametros_manuales!$H$38="Todos",datos_base!$E$10,0))*parametros_manuales!$C$100+parametros_manuales!$F$38*(datos_base!$E$4+IF(parametros_manuales!$H$38="Todos",datos_base!$E$11,0))*parametros_manuales!$C$105+parametros_manuales!$G$38*(datos_base!$E$5+IF(parametros_manuales!$H$38="Todos",datos_base!$E$12,0))*parametros_manuales!$C$110)*parametros_manuales!$I$38*parametros_manuales!$J$38</f>
        <v>1456.59</v>
      </c>
      <c r="D102" s="4">
        <f>(parametros_manuales!$D$38*(datos_base!$E$2+IF(parametros_manuales!$H$38="Todos",datos_base!$E$9,0))*parametros_manuales!$D$95+parametros_manuales!$E$38*(datos_base!$E$3+IF(parametros_manuales!$H$38="Todos",datos_base!$E$10,0))*parametros_manuales!$D$100+parametros_manuales!$F$38*(datos_base!$E$4+IF(parametros_manuales!$H$38="Todos",datos_base!$E$11,0))*parametros_manuales!$D$105+parametros_manuales!$G$38*(datos_base!$E$5+IF(parametros_manuales!$H$38="Todos",datos_base!$E$12,0))*parametros_manuales!$D$110)*parametros_manuales!$I$38*parametros_manuales!$J$38</f>
        <v>1415.33</v>
      </c>
      <c r="E102" s="4">
        <f>(parametros_manuales!$D$38*(datos_base!$E$2+IF(parametros_manuales!$H$38="Todos",datos_base!$E$9,0))*parametros_manuales!$E$95+parametros_manuales!$E$38*(datos_base!$E$3+IF(parametros_manuales!$H$38="Todos",datos_base!$E$10,0))*parametros_manuales!$E$100+parametros_manuales!$F$38*(datos_base!$E$4+IF(parametros_manuales!$H$38="Todos",datos_base!$E$11,0))*parametros_manuales!$E$105+parametros_manuales!$G$38*(datos_base!$E$5+IF(parametros_manuales!$H$38="Todos",datos_base!$E$12,0))*parametros_manuales!$E$110)*parametros_manuales!$I$38*parametros_manuales!$J$38</f>
        <v>1372.995</v>
      </c>
      <c r="F102" s="4">
        <f>(parametros_manuales!$D$38*(datos_base!$E$2+IF(parametros_manuales!$H$38="Todos",datos_base!$E$9,0))*parametros_manuales!$F$95+parametros_manuales!$E$38*(datos_base!$E$3+IF(parametros_manuales!$H$38="Todos",datos_base!$E$10,0))*parametros_manuales!$F$100+parametros_manuales!$F$38*(datos_base!$E$4+IF(parametros_manuales!$H$38="Todos",datos_base!$E$11,0))*parametros_manuales!$F$105+parametros_manuales!$G$38*(datos_base!$E$5+IF(parametros_manuales!$H$38="Todos",datos_base!$E$12,0))*parametros_manuales!$F$110)*parametros_manuales!$I$38*parametros_manuales!$J$38</f>
        <v>1287.25</v>
      </c>
      <c r="G102" s="4">
        <f>(parametros_manuales!$D$38*(datos_base!$E$2+IF(parametros_manuales!$H$38="Todos",datos_base!$E$9,0))*parametros_manuales!$G$95+parametros_manuales!$E$38*(datos_base!$E$3+IF(parametros_manuales!$H$38="Todos",datos_base!$E$10,0))*parametros_manuales!$G$100+parametros_manuales!$F$38*(datos_base!$E$4+IF(parametros_manuales!$H$38="Todos",datos_base!$E$11,0))*parametros_manuales!$G$105+parametros_manuales!$G$38*(datos_base!$E$5+IF(parametros_manuales!$H$38="Todos",datos_base!$E$12,0))*parametros_manuales!$G$110)*parametros_manuales!$I$38*parametros_manuales!$J$38</f>
        <v>1243.84</v>
      </c>
      <c r="H102" s="4">
        <f>(parametros_manuales!$D$38*(datos_base!$E$2+IF(parametros_manuales!$H$38="Todos",datos_base!$E$9,0))*parametros_manuales!$H$95+parametros_manuales!$E$38*(datos_base!$E$3+IF(parametros_manuales!$H$38="Todos",datos_base!$E$10,0))*parametros_manuales!$H$100+parametros_manuales!$F$38*(datos_base!$E$4+IF(parametros_manuales!$H$38="Todos",datos_base!$E$11,0))*parametros_manuales!$H$105+parametros_manuales!$G$38*(datos_base!$E$5+IF(parametros_manuales!$H$38="Todos",datos_base!$E$12,0))*parametros_manuales!$H$110)*parametros_manuales!$I$38*parametros_manuales!$J$38</f>
        <v>1329.585</v>
      </c>
      <c r="I102" s="4">
        <f>(parametros_manuales!$D$38*(datos_base!$E$2+IF(parametros_manuales!$H$38="Todos",datos_base!$E$9,0))*parametros_manuales!$I$95+parametros_manuales!$E$38*(datos_base!$E$3+IF(parametros_manuales!$H$38="Todos",datos_base!$E$10,0))*parametros_manuales!$I$100+parametros_manuales!$F$38*(datos_base!$E$4+IF(parametros_manuales!$H$38="Todos",datos_base!$E$11,0))*parametros_manuales!$I$105+parametros_manuales!$G$38*(datos_base!$E$5+IF(parametros_manuales!$H$38="Todos",datos_base!$E$12,0))*parametros_manuales!$I$110)*parametros_manuales!$I$38*parametros_manuales!$J$38</f>
        <v>1456.59</v>
      </c>
      <c r="J102" s="4">
        <f>(parametros_manuales!$D$38*(datos_base!$E$2+IF(parametros_manuales!$H$38="Todos",datos_base!$E$9,0))*parametros_manuales!$J$95+parametros_manuales!$E$38*(datos_base!$E$3+IF(parametros_manuales!$H$38="Todos",datos_base!$E$10,0))*parametros_manuales!$J$100+parametros_manuales!$F$38*(datos_base!$E$4+IF(parametros_manuales!$H$38="Todos",datos_base!$E$11,0))*parametros_manuales!$J$105+parametros_manuales!$G$38*(datos_base!$E$5+IF(parametros_manuales!$H$38="Todos",datos_base!$E$12,0))*parametros_manuales!$J$110)*parametros_manuales!$I$38*parametros_manuales!$J$38</f>
        <v>1456.59</v>
      </c>
      <c r="K102" s="4">
        <f>(parametros_manuales!$D$38*(datos_base!$E$2+IF(parametros_manuales!$H$38="Todos",datos_base!$E$9,0))*parametros_manuales!$K$95+parametros_manuales!$E$38*(datos_base!$E$3+IF(parametros_manuales!$H$38="Todos",datos_base!$E$10,0))*parametros_manuales!$K$100+parametros_manuales!$F$38*(datos_base!$E$4+IF(parametros_manuales!$H$38="Todos",datos_base!$E$11,0))*parametros_manuales!$K$105+parametros_manuales!$G$38*(datos_base!$E$5+IF(parametros_manuales!$H$38="Todos",datos_base!$E$12,0))*parametros_manuales!$K$110)*parametros_manuales!$I$38*parametros_manuales!$J$38</f>
        <v>1500</v>
      </c>
      <c r="L102" s="4">
        <f>(parametros_manuales!$D$38*(datos_base!$E$2+IF(parametros_manuales!$H$38="Todos",datos_base!$E$9,0))*parametros_manuales!$L$95+parametros_manuales!$E$38*(datos_base!$E$3+IF(parametros_manuales!$H$38="Todos",datos_base!$E$10,0))*parametros_manuales!$L$100+parametros_manuales!$F$38*(datos_base!$E$4+IF(parametros_manuales!$H$38="Todos",datos_base!$E$11,0))*parametros_manuales!$L$105+parametros_manuales!$G$38*(datos_base!$E$5+IF(parametros_manuales!$H$38="Todos",datos_base!$E$12,0))*parametros_manuales!$L$110)*parametros_manuales!$I$38*parametros_manuales!$J$38</f>
        <v>1543.41</v>
      </c>
      <c r="M102" s="4">
        <f>(parametros_manuales!$D$38*(datos_base!$E$2+IF(parametros_manuales!$H$38="Todos",datos_base!$E$9,0))*parametros_manuales!$M$95+parametros_manuales!$E$38*(datos_base!$E$3+IF(parametros_manuales!$H$38="Todos",datos_base!$E$10,0))*parametros_manuales!$M$100+parametros_manuales!$F$38*(datos_base!$E$4+IF(parametros_manuales!$H$38="Todos",datos_base!$E$11,0))*parametros_manuales!$M$105+parametros_manuales!$G$38*(datos_base!$E$5+IF(parametros_manuales!$H$38="Todos",datos_base!$E$12,0))*parametros_manuales!$M$110)*parametros_manuales!$I$38*parametros_manuales!$J$38</f>
        <v>1543.41</v>
      </c>
      <c r="N102" s="4">
        <f t="shared" si="10"/>
        <v>17149</v>
      </c>
      <c r="O102" s="4">
        <f t="shared" si="11"/>
        <v>1543.41</v>
      </c>
      <c r="P102" s="27">
        <f>O102/(parametros_manuales!$B$7)</f>
        <v>10.2894</v>
      </c>
      <c r="Q102" s="3" t="str">
        <f t="shared" si="12"/>
        <v>Ene</v>
      </c>
    </row>
    <row r="103" ht="14.25" customHeight="1">
      <c r="A103" s="3" t="str">
        <f>parametros_manuales!$B$39</f>
        <v>Ensamblaje</v>
      </c>
      <c r="B103" s="4">
        <f>(parametros_manuales!$D$39*(datos_base!$E$2+IF(parametros_manuales!$H$39="Todos",datos_base!$E$9,0))*parametros_manuales!$B$95+parametros_manuales!$E$39*(datos_base!$E$3+IF(parametros_manuales!$H$39="Todos",datos_base!$E$10,0))*parametros_manuales!$B$100+parametros_manuales!$F$39*(datos_base!$E$4+IF(parametros_manuales!$H$39="Todos",datos_base!$E$11,0))*parametros_manuales!$B$105+parametros_manuales!$G$39*(datos_base!$E$5+IF(parametros_manuales!$H$39="Todos",datos_base!$E$12,0))*parametros_manuales!$B$110)*parametros_manuales!$I$39*parametros_manuales!$J$39</f>
        <v>1543.41</v>
      </c>
      <c r="C103" s="4">
        <f>(parametros_manuales!$D$39*(datos_base!$E$2+IF(parametros_manuales!$H$39="Todos",datos_base!$E$9,0))*parametros_manuales!$C$95+parametros_manuales!$E$39*(datos_base!$E$3+IF(parametros_manuales!$H$39="Todos",datos_base!$E$10,0))*parametros_manuales!$C$100+parametros_manuales!$F$39*(datos_base!$E$4+IF(parametros_manuales!$H$39="Todos",datos_base!$E$11,0))*parametros_manuales!$C$105+parametros_manuales!$G$39*(datos_base!$E$5+IF(parametros_manuales!$H$39="Todos",datos_base!$E$12,0))*parametros_manuales!$C$110)*parametros_manuales!$I$39*parametros_manuales!$J$39</f>
        <v>1456.59</v>
      </c>
      <c r="D103" s="4">
        <f>(parametros_manuales!$D$39*(datos_base!$E$2+IF(parametros_manuales!$H$39="Todos",datos_base!$E$9,0))*parametros_manuales!$D$95+parametros_manuales!$E$39*(datos_base!$E$3+IF(parametros_manuales!$H$39="Todos",datos_base!$E$10,0))*parametros_manuales!$D$100+parametros_manuales!$F$39*(datos_base!$E$4+IF(parametros_manuales!$H$39="Todos",datos_base!$E$11,0))*parametros_manuales!$D$105+parametros_manuales!$G$39*(datos_base!$E$5+IF(parametros_manuales!$H$39="Todos",datos_base!$E$12,0))*parametros_manuales!$D$110)*parametros_manuales!$I$39*parametros_manuales!$J$39</f>
        <v>1415.33</v>
      </c>
      <c r="E103" s="4">
        <f>(parametros_manuales!$D$39*(datos_base!$E$2+IF(parametros_manuales!$H$39="Todos",datos_base!$E$9,0))*parametros_manuales!$E$95+parametros_manuales!$E$39*(datos_base!$E$3+IF(parametros_manuales!$H$39="Todos",datos_base!$E$10,0))*parametros_manuales!$E$100+parametros_manuales!$F$39*(datos_base!$E$4+IF(parametros_manuales!$H$39="Todos",datos_base!$E$11,0))*parametros_manuales!$E$105+parametros_manuales!$G$39*(datos_base!$E$5+IF(parametros_manuales!$H$39="Todos",datos_base!$E$12,0))*parametros_manuales!$E$110)*parametros_manuales!$I$39*parametros_manuales!$J$39</f>
        <v>1372.995</v>
      </c>
      <c r="F103" s="4">
        <f>(parametros_manuales!$D$39*(datos_base!$E$2+IF(parametros_manuales!$H$39="Todos",datos_base!$E$9,0))*parametros_manuales!$F$95+parametros_manuales!$E$39*(datos_base!$E$3+IF(parametros_manuales!$H$39="Todos",datos_base!$E$10,0))*parametros_manuales!$F$100+parametros_manuales!$F$39*(datos_base!$E$4+IF(parametros_manuales!$H$39="Todos",datos_base!$E$11,0))*parametros_manuales!$F$105+parametros_manuales!$G$39*(datos_base!$E$5+IF(parametros_manuales!$H$39="Todos",datos_base!$E$12,0))*parametros_manuales!$F$110)*parametros_manuales!$I$39*parametros_manuales!$J$39</f>
        <v>1287.25</v>
      </c>
      <c r="G103" s="4">
        <f>(parametros_manuales!$D$39*(datos_base!$E$2+IF(parametros_manuales!$H$39="Todos",datos_base!$E$9,0))*parametros_manuales!$G$95+parametros_manuales!$E$39*(datos_base!$E$3+IF(parametros_manuales!$H$39="Todos",datos_base!$E$10,0))*parametros_manuales!$G$100+parametros_manuales!$F$39*(datos_base!$E$4+IF(parametros_manuales!$H$39="Todos",datos_base!$E$11,0))*parametros_manuales!$G$105+parametros_manuales!$G$39*(datos_base!$E$5+IF(parametros_manuales!$H$39="Todos",datos_base!$E$12,0))*parametros_manuales!$G$110)*parametros_manuales!$I$39*parametros_manuales!$J$39</f>
        <v>1243.84</v>
      </c>
      <c r="H103" s="4">
        <f>(parametros_manuales!$D$39*(datos_base!$E$2+IF(parametros_manuales!$H$39="Todos",datos_base!$E$9,0))*parametros_manuales!$H$95+parametros_manuales!$E$39*(datos_base!$E$3+IF(parametros_manuales!$H$39="Todos",datos_base!$E$10,0))*parametros_manuales!$H$100+parametros_manuales!$F$39*(datos_base!$E$4+IF(parametros_manuales!$H$39="Todos",datos_base!$E$11,0))*parametros_manuales!$H$105+parametros_manuales!$G$39*(datos_base!$E$5+IF(parametros_manuales!$H$39="Todos",datos_base!$E$12,0))*parametros_manuales!$H$110)*parametros_manuales!$I$39*parametros_manuales!$J$39</f>
        <v>1329.585</v>
      </c>
      <c r="I103" s="4">
        <f>(parametros_manuales!$D$39*(datos_base!$E$2+IF(parametros_manuales!$H$39="Todos",datos_base!$E$9,0))*parametros_manuales!$I$95+parametros_manuales!$E$39*(datos_base!$E$3+IF(parametros_manuales!$H$39="Todos",datos_base!$E$10,0))*parametros_manuales!$I$100+parametros_manuales!$F$39*(datos_base!$E$4+IF(parametros_manuales!$H$39="Todos",datos_base!$E$11,0))*parametros_manuales!$I$105+parametros_manuales!$G$39*(datos_base!$E$5+IF(parametros_manuales!$H$39="Todos",datos_base!$E$12,0))*parametros_manuales!$I$110)*parametros_manuales!$I$39*parametros_manuales!$J$39</f>
        <v>1456.59</v>
      </c>
      <c r="J103" s="4">
        <f>(parametros_manuales!$D$39*(datos_base!$E$2+IF(parametros_manuales!$H$39="Todos",datos_base!$E$9,0))*parametros_manuales!$J$95+parametros_manuales!$E$39*(datos_base!$E$3+IF(parametros_manuales!$H$39="Todos",datos_base!$E$10,0))*parametros_manuales!$J$100+parametros_manuales!$F$39*(datos_base!$E$4+IF(parametros_manuales!$H$39="Todos",datos_base!$E$11,0))*parametros_manuales!$J$105+parametros_manuales!$G$39*(datos_base!$E$5+IF(parametros_manuales!$H$39="Todos",datos_base!$E$12,0))*parametros_manuales!$J$110)*parametros_manuales!$I$39*parametros_manuales!$J$39</f>
        <v>1456.59</v>
      </c>
      <c r="K103" s="4">
        <f>(parametros_manuales!$D$39*(datos_base!$E$2+IF(parametros_manuales!$H$39="Todos",datos_base!$E$9,0))*parametros_manuales!$K$95+parametros_manuales!$E$39*(datos_base!$E$3+IF(parametros_manuales!$H$39="Todos",datos_base!$E$10,0))*parametros_manuales!$K$100+parametros_manuales!$F$39*(datos_base!$E$4+IF(parametros_manuales!$H$39="Todos",datos_base!$E$11,0))*parametros_manuales!$K$105+parametros_manuales!$G$39*(datos_base!$E$5+IF(parametros_manuales!$H$39="Todos",datos_base!$E$12,0))*parametros_manuales!$K$110)*parametros_manuales!$I$39*parametros_manuales!$J$39</f>
        <v>1500</v>
      </c>
      <c r="L103" s="4">
        <f>(parametros_manuales!$D$39*(datos_base!$E$2+IF(parametros_manuales!$H$39="Todos",datos_base!$E$9,0))*parametros_manuales!$L$95+parametros_manuales!$E$39*(datos_base!$E$3+IF(parametros_manuales!$H$39="Todos",datos_base!$E$10,0))*parametros_manuales!$L$100+parametros_manuales!$F$39*(datos_base!$E$4+IF(parametros_manuales!$H$39="Todos",datos_base!$E$11,0))*parametros_manuales!$L$105+parametros_manuales!$G$39*(datos_base!$E$5+IF(parametros_manuales!$H$39="Todos",datos_base!$E$12,0))*parametros_manuales!$L$110)*parametros_manuales!$I$39*parametros_manuales!$J$39</f>
        <v>1543.41</v>
      </c>
      <c r="M103" s="4">
        <f>(parametros_manuales!$D$39*(datos_base!$E$2+IF(parametros_manuales!$H$39="Todos",datos_base!$E$9,0))*parametros_manuales!$M$95+parametros_manuales!$E$39*(datos_base!$E$3+IF(parametros_manuales!$H$39="Todos",datos_base!$E$10,0))*parametros_manuales!$M$100+parametros_manuales!$F$39*(datos_base!$E$4+IF(parametros_manuales!$H$39="Todos",datos_base!$E$11,0))*parametros_manuales!$M$105+parametros_manuales!$G$39*(datos_base!$E$5+IF(parametros_manuales!$H$39="Todos",datos_base!$E$12,0))*parametros_manuales!$M$110)*parametros_manuales!$I$39*parametros_manuales!$J$39</f>
        <v>1543.41</v>
      </c>
      <c r="N103" s="4">
        <f t="shared" si="10"/>
        <v>17149</v>
      </c>
      <c r="O103" s="4">
        <f t="shared" si="11"/>
        <v>1543.41</v>
      </c>
      <c r="P103" s="27">
        <f>O103/(parametros_manuales!$B$7)</f>
        <v>10.2894</v>
      </c>
      <c r="Q103" s="3" t="str">
        <f t="shared" si="12"/>
        <v>Ene</v>
      </c>
    </row>
    <row r="104" ht="14.25" customHeight="1">
      <c r="A104" s="3" t="str">
        <f>parametros_manuales!$B$40</f>
        <v>Presurización</v>
      </c>
      <c r="B104" s="4">
        <f>(parametros_manuales!$D$40*(datos_base!$E$2+IF(parametros_manuales!$H$40="Todos",datos_base!$E$9,0))*parametros_manuales!$B$95+parametros_manuales!$E$40*(datos_base!$E$3+IF(parametros_manuales!$H$40="Todos",datos_base!$E$10,0))*parametros_manuales!$B$100+parametros_manuales!$F$40*(datos_base!$E$4+IF(parametros_manuales!$H$40="Todos",datos_base!$E$11,0))*parametros_manuales!$B$105+parametros_manuales!$G$40*(datos_base!$E$5+IF(parametros_manuales!$H$40="Todos",datos_base!$E$12,0))*parametros_manuales!$B$110)*parametros_manuales!$I$40*parametros_manuales!$J$40</f>
        <v>1543.41</v>
      </c>
      <c r="C104" s="4">
        <f>(parametros_manuales!$D$40*(datos_base!$E$2+IF(parametros_manuales!$H$40="Todos",datos_base!$E$9,0))*parametros_manuales!$C$95+parametros_manuales!$E$40*(datos_base!$E$3+IF(parametros_manuales!$H$40="Todos",datos_base!$E$10,0))*parametros_manuales!$C$100+parametros_manuales!$F$40*(datos_base!$E$4+IF(parametros_manuales!$H$40="Todos",datos_base!$E$11,0))*parametros_manuales!$C$105+parametros_manuales!$G$40*(datos_base!$E$5+IF(parametros_manuales!$H$40="Todos",datos_base!$E$12,0))*parametros_manuales!$C$110)*parametros_manuales!$I$40*parametros_manuales!$J$40</f>
        <v>1456.59</v>
      </c>
      <c r="D104" s="4">
        <f>(parametros_manuales!$D$40*(datos_base!$E$2+IF(parametros_manuales!$H$40="Todos",datos_base!$E$9,0))*parametros_manuales!$D$95+parametros_manuales!$E$40*(datos_base!$E$3+IF(parametros_manuales!$H$40="Todos",datos_base!$E$10,0))*parametros_manuales!$D$100+parametros_manuales!$F$40*(datos_base!$E$4+IF(parametros_manuales!$H$40="Todos",datos_base!$E$11,0))*parametros_manuales!$D$105+parametros_manuales!$G$40*(datos_base!$E$5+IF(parametros_manuales!$H$40="Todos",datos_base!$E$12,0))*parametros_manuales!$D$110)*parametros_manuales!$I$40*parametros_manuales!$J$40</f>
        <v>1415.33</v>
      </c>
      <c r="E104" s="4">
        <f>(parametros_manuales!$D$40*(datos_base!$E$2+IF(parametros_manuales!$H$40="Todos",datos_base!$E$9,0))*parametros_manuales!$E$95+parametros_manuales!$E$40*(datos_base!$E$3+IF(parametros_manuales!$H$40="Todos",datos_base!$E$10,0))*parametros_manuales!$E$100+parametros_manuales!$F$40*(datos_base!$E$4+IF(parametros_manuales!$H$40="Todos",datos_base!$E$11,0))*parametros_manuales!$E$105+parametros_manuales!$G$40*(datos_base!$E$5+IF(parametros_manuales!$H$40="Todos",datos_base!$E$12,0))*parametros_manuales!$E$110)*parametros_manuales!$I$40*parametros_manuales!$J$40</f>
        <v>1372.995</v>
      </c>
      <c r="F104" s="4">
        <f>(parametros_manuales!$D$40*(datos_base!$E$2+IF(parametros_manuales!$H$40="Todos",datos_base!$E$9,0))*parametros_manuales!$F$95+parametros_manuales!$E$40*(datos_base!$E$3+IF(parametros_manuales!$H$40="Todos",datos_base!$E$10,0))*parametros_manuales!$F$100+parametros_manuales!$F$40*(datos_base!$E$4+IF(parametros_manuales!$H$40="Todos",datos_base!$E$11,0))*parametros_manuales!$F$105+parametros_manuales!$G$40*(datos_base!$E$5+IF(parametros_manuales!$H$40="Todos",datos_base!$E$12,0))*parametros_manuales!$F$110)*parametros_manuales!$I$40*parametros_manuales!$J$40</f>
        <v>1287.25</v>
      </c>
      <c r="G104" s="4">
        <f>(parametros_manuales!$D$40*(datos_base!$E$2+IF(parametros_manuales!$H$40="Todos",datos_base!$E$9,0))*parametros_manuales!$G$95+parametros_manuales!$E$40*(datos_base!$E$3+IF(parametros_manuales!$H$40="Todos",datos_base!$E$10,0))*parametros_manuales!$G$100+parametros_manuales!$F$40*(datos_base!$E$4+IF(parametros_manuales!$H$40="Todos",datos_base!$E$11,0))*parametros_manuales!$G$105+parametros_manuales!$G$40*(datos_base!$E$5+IF(parametros_manuales!$H$40="Todos",datos_base!$E$12,0))*parametros_manuales!$G$110)*parametros_manuales!$I$40*parametros_manuales!$J$40</f>
        <v>1243.84</v>
      </c>
      <c r="H104" s="4">
        <f>(parametros_manuales!$D$40*(datos_base!$E$2+IF(parametros_manuales!$H$40="Todos",datos_base!$E$9,0))*parametros_manuales!$H$95+parametros_manuales!$E$40*(datos_base!$E$3+IF(parametros_manuales!$H$40="Todos",datos_base!$E$10,0))*parametros_manuales!$H$100+parametros_manuales!$F$40*(datos_base!$E$4+IF(parametros_manuales!$H$40="Todos",datos_base!$E$11,0))*parametros_manuales!$H$105+parametros_manuales!$G$40*(datos_base!$E$5+IF(parametros_manuales!$H$40="Todos",datos_base!$E$12,0))*parametros_manuales!$H$110)*parametros_manuales!$I$40*parametros_manuales!$J$40</f>
        <v>1329.585</v>
      </c>
      <c r="I104" s="4">
        <f>(parametros_manuales!$D$40*(datos_base!$E$2+IF(parametros_manuales!$H$40="Todos",datos_base!$E$9,0))*parametros_manuales!$I$95+parametros_manuales!$E$40*(datos_base!$E$3+IF(parametros_manuales!$H$40="Todos",datos_base!$E$10,0))*parametros_manuales!$I$100+parametros_manuales!$F$40*(datos_base!$E$4+IF(parametros_manuales!$H$40="Todos",datos_base!$E$11,0))*parametros_manuales!$I$105+parametros_manuales!$G$40*(datos_base!$E$5+IF(parametros_manuales!$H$40="Todos",datos_base!$E$12,0))*parametros_manuales!$I$110)*parametros_manuales!$I$40*parametros_manuales!$J$40</f>
        <v>1456.59</v>
      </c>
      <c r="J104" s="4">
        <f>(parametros_manuales!$D$40*(datos_base!$E$2+IF(parametros_manuales!$H$40="Todos",datos_base!$E$9,0))*parametros_manuales!$J$95+parametros_manuales!$E$40*(datos_base!$E$3+IF(parametros_manuales!$H$40="Todos",datos_base!$E$10,0))*parametros_manuales!$J$100+parametros_manuales!$F$40*(datos_base!$E$4+IF(parametros_manuales!$H$40="Todos",datos_base!$E$11,0))*parametros_manuales!$J$105+parametros_manuales!$G$40*(datos_base!$E$5+IF(parametros_manuales!$H$40="Todos",datos_base!$E$12,0))*parametros_manuales!$J$110)*parametros_manuales!$I$40*parametros_manuales!$J$40</f>
        <v>1456.59</v>
      </c>
      <c r="K104" s="4">
        <f>(parametros_manuales!$D$40*(datos_base!$E$2+IF(parametros_manuales!$H$40="Todos",datos_base!$E$9,0))*parametros_manuales!$K$95+parametros_manuales!$E$40*(datos_base!$E$3+IF(parametros_manuales!$H$40="Todos",datos_base!$E$10,0))*parametros_manuales!$K$100+parametros_manuales!$F$40*(datos_base!$E$4+IF(parametros_manuales!$H$40="Todos",datos_base!$E$11,0))*parametros_manuales!$K$105+parametros_manuales!$G$40*(datos_base!$E$5+IF(parametros_manuales!$H$40="Todos",datos_base!$E$12,0))*parametros_manuales!$K$110)*parametros_manuales!$I$40*parametros_manuales!$J$40</f>
        <v>1500</v>
      </c>
      <c r="L104" s="4">
        <f>(parametros_manuales!$D$40*(datos_base!$E$2+IF(parametros_manuales!$H$40="Todos",datos_base!$E$9,0))*parametros_manuales!$L$95+parametros_manuales!$E$40*(datos_base!$E$3+IF(parametros_manuales!$H$40="Todos",datos_base!$E$10,0))*parametros_manuales!$L$100+parametros_manuales!$F$40*(datos_base!$E$4+IF(parametros_manuales!$H$40="Todos",datos_base!$E$11,0))*parametros_manuales!$L$105+parametros_manuales!$G$40*(datos_base!$E$5+IF(parametros_manuales!$H$40="Todos",datos_base!$E$12,0))*parametros_manuales!$L$110)*parametros_manuales!$I$40*parametros_manuales!$J$40</f>
        <v>1543.41</v>
      </c>
      <c r="M104" s="4">
        <f>(parametros_manuales!$D$40*(datos_base!$E$2+IF(parametros_manuales!$H$40="Todos",datos_base!$E$9,0))*parametros_manuales!$M$95+parametros_manuales!$E$40*(datos_base!$E$3+IF(parametros_manuales!$H$40="Todos",datos_base!$E$10,0))*parametros_manuales!$M$100+parametros_manuales!$F$40*(datos_base!$E$4+IF(parametros_manuales!$H$40="Todos",datos_base!$E$11,0))*parametros_manuales!$M$105+parametros_manuales!$G$40*(datos_base!$E$5+IF(parametros_manuales!$H$40="Todos",datos_base!$E$12,0))*parametros_manuales!$M$110)*parametros_manuales!$I$40*parametros_manuales!$J$40</f>
        <v>1543.41</v>
      </c>
      <c r="N104" s="4">
        <f t="shared" si="10"/>
        <v>17149</v>
      </c>
      <c r="O104" s="4">
        <f t="shared" si="11"/>
        <v>1543.41</v>
      </c>
      <c r="P104" s="27">
        <f>O104/(parametros_manuales!$B$7)</f>
        <v>10.2894</v>
      </c>
      <c r="Q104" s="3" t="str">
        <f t="shared" si="12"/>
        <v>Ene</v>
      </c>
    </row>
    <row r="105" ht="14.25" customHeight="1">
      <c r="A105" s="3" t="str">
        <f>parametros_manuales!$B$41</f>
        <v>Control de calidad — Ensayo de pérdidas</v>
      </c>
      <c r="B105" s="4">
        <f>(parametros_manuales!$D$41*(datos_base!$E$2+IF(parametros_manuales!$H$41="Todos",datos_base!$E$9,0))*parametros_manuales!$B$95+parametros_manuales!$E$41*(datos_base!$E$3+IF(parametros_manuales!$H$41="Todos",datos_base!$E$10,0))*parametros_manuales!$B$100+parametros_manuales!$F$41*(datos_base!$E$4+IF(parametros_manuales!$H$41="Todos",datos_base!$E$11,0))*parametros_manuales!$B$105+parametros_manuales!$G$41*(datos_base!$E$5+IF(parametros_manuales!$H$41="Todos",datos_base!$E$12,0))*parametros_manuales!$B$110)*parametros_manuales!$I$41*parametros_manuales!$J$41</f>
        <v>1543.41</v>
      </c>
      <c r="C105" s="4">
        <f>(parametros_manuales!$D$41*(datos_base!$E$2+IF(parametros_manuales!$H$41="Todos",datos_base!$E$9,0))*parametros_manuales!$C$95+parametros_manuales!$E$41*(datos_base!$E$3+IF(parametros_manuales!$H$41="Todos",datos_base!$E$10,0))*parametros_manuales!$C$100+parametros_manuales!$F$41*(datos_base!$E$4+IF(parametros_manuales!$H$41="Todos",datos_base!$E$11,0))*parametros_manuales!$C$105+parametros_manuales!$G$41*(datos_base!$E$5+IF(parametros_manuales!$H$41="Todos",datos_base!$E$12,0))*parametros_manuales!$C$110)*parametros_manuales!$I$41*parametros_manuales!$J$41</f>
        <v>1456.59</v>
      </c>
      <c r="D105" s="4">
        <f>(parametros_manuales!$D$41*(datos_base!$E$2+IF(parametros_manuales!$H$41="Todos",datos_base!$E$9,0))*parametros_manuales!$D$95+parametros_manuales!$E$41*(datos_base!$E$3+IF(parametros_manuales!$H$41="Todos",datos_base!$E$10,0))*parametros_manuales!$D$100+parametros_manuales!$F$41*(datos_base!$E$4+IF(parametros_manuales!$H$41="Todos",datos_base!$E$11,0))*parametros_manuales!$D$105+parametros_manuales!$G$41*(datos_base!$E$5+IF(parametros_manuales!$H$41="Todos",datos_base!$E$12,0))*parametros_manuales!$D$110)*parametros_manuales!$I$41*parametros_manuales!$J$41</f>
        <v>1415.33</v>
      </c>
      <c r="E105" s="4">
        <f>(parametros_manuales!$D$41*(datos_base!$E$2+IF(parametros_manuales!$H$41="Todos",datos_base!$E$9,0))*parametros_manuales!$E$95+parametros_manuales!$E$41*(datos_base!$E$3+IF(parametros_manuales!$H$41="Todos",datos_base!$E$10,0))*parametros_manuales!$E$100+parametros_manuales!$F$41*(datos_base!$E$4+IF(parametros_manuales!$H$41="Todos",datos_base!$E$11,0))*parametros_manuales!$E$105+parametros_manuales!$G$41*(datos_base!$E$5+IF(parametros_manuales!$H$41="Todos",datos_base!$E$12,0))*parametros_manuales!$E$110)*parametros_manuales!$I$41*parametros_manuales!$J$41</f>
        <v>1372.995</v>
      </c>
      <c r="F105" s="4">
        <f>(parametros_manuales!$D$41*(datos_base!$E$2+IF(parametros_manuales!$H$41="Todos",datos_base!$E$9,0))*parametros_manuales!$F$95+parametros_manuales!$E$41*(datos_base!$E$3+IF(parametros_manuales!$H$41="Todos",datos_base!$E$10,0))*parametros_manuales!$F$100+parametros_manuales!$F$41*(datos_base!$E$4+IF(parametros_manuales!$H$41="Todos",datos_base!$E$11,0))*parametros_manuales!$F$105+parametros_manuales!$G$41*(datos_base!$E$5+IF(parametros_manuales!$H$41="Todos",datos_base!$E$12,0))*parametros_manuales!$F$110)*parametros_manuales!$I$41*parametros_manuales!$J$41</f>
        <v>1287.25</v>
      </c>
      <c r="G105" s="4">
        <f>(parametros_manuales!$D$41*(datos_base!$E$2+IF(parametros_manuales!$H$41="Todos",datos_base!$E$9,0))*parametros_manuales!$G$95+parametros_manuales!$E$41*(datos_base!$E$3+IF(parametros_manuales!$H$41="Todos",datos_base!$E$10,0))*parametros_manuales!$G$100+parametros_manuales!$F$41*(datos_base!$E$4+IF(parametros_manuales!$H$41="Todos",datos_base!$E$11,0))*parametros_manuales!$G$105+parametros_manuales!$G$41*(datos_base!$E$5+IF(parametros_manuales!$H$41="Todos",datos_base!$E$12,0))*parametros_manuales!$G$110)*parametros_manuales!$I$41*parametros_manuales!$J$41</f>
        <v>1243.84</v>
      </c>
      <c r="H105" s="4">
        <f>(parametros_manuales!$D$41*(datos_base!$E$2+IF(parametros_manuales!$H$41="Todos",datos_base!$E$9,0))*parametros_manuales!$H$95+parametros_manuales!$E$41*(datos_base!$E$3+IF(parametros_manuales!$H$41="Todos",datos_base!$E$10,0))*parametros_manuales!$H$100+parametros_manuales!$F$41*(datos_base!$E$4+IF(parametros_manuales!$H$41="Todos",datos_base!$E$11,0))*parametros_manuales!$H$105+parametros_manuales!$G$41*(datos_base!$E$5+IF(parametros_manuales!$H$41="Todos",datos_base!$E$12,0))*parametros_manuales!$H$110)*parametros_manuales!$I$41*parametros_manuales!$J$41</f>
        <v>1329.585</v>
      </c>
      <c r="I105" s="4">
        <f>(parametros_manuales!$D$41*(datos_base!$E$2+IF(parametros_manuales!$H$41="Todos",datos_base!$E$9,0))*parametros_manuales!$I$95+parametros_manuales!$E$41*(datos_base!$E$3+IF(parametros_manuales!$H$41="Todos",datos_base!$E$10,0))*parametros_manuales!$I$100+parametros_manuales!$F$41*(datos_base!$E$4+IF(parametros_manuales!$H$41="Todos",datos_base!$E$11,0))*parametros_manuales!$I$105+parametros_manuales!$G$41*(datos_base!$E$5+IF(parametros_manuales!$H$41="Todos",datos_base!$E$12,0))*parametros_manuales!$I$110)*parametros_manuales!$I$41*parametros_manuales!$J$41</f>
        <v>1456.59</v>
      </c>
      <c r="J105" s="4">
        <f>(parametros_manuales!$D$41*(datos_base!$E$2+IF(parametros_manuales!$H$41="Todos",datos_base!$E$9,0))*parametros_manuales!$J$95+parametros_manuales!$E$41*(datos_base!$E$3+IF(parametros_manuales!$H$41="Todos",datos_base!$E$10,0))*parametros_manuales!$J$100+parametros_manuales!$F$41*(datos_base!$E$4+IF(parametros_manuales!$H$41="Todos",datos_base!$E$11,0))*parametros_manuales!$J$105+parametros_manuales!$G$41*(datos_base!$E$5+IF(parametros_manuales!$H$41="Todos",datos_base!$E$12,0))*parametros_manuales!$J$110)*parametros_manuales!$I$41*parametros_manuales!$J$41</f>
        <v>1456.59</v>
      </c>
      <c r="K105" s="4">
        <f>(parametros_manuales!$D$41*(datos_base!$E$2+IF(parametros_manuales!$H$41="Todos",datos_base!$E$9,0))*parametros_manuales!$K$95+parametros_manuales!$E$41*(datos_base!$E$3+IF(parametros_manuales!$H$41="Todos",datos_base!$E$10,0))*parametros_manuales!$K$100+parametros_manuales!$F$41*(datos_base!$E$4+IF(parametros_manuales!$H$41="Todos",datos_base!$E$11,0))*parametros_manuales!$K$105+parametros_manuales!$G$41*(datos_base!$E$5+IF(parametros_manuales!$H$41="Todos",datos_base!$E$12,0))*parametros_manuales!$K$110)*parametros_manuales!$I$41*parametros_manuales!$J$41</f>
        <v>1500</v>
      </c>
      <c r="L105" s="4">
        <f>(parametros_manuales!$D$41*(datos_base!$E$2+IF(parametros_manuales!$H$41="Todos",datos_base!$E$9,0))*parametros_manuales!$L$95+parametros_manuales!$E$41*(datos_base!$E$3+IF(parametros_manuales!$H$41="Todos",datos_base!$E$10,0))*parametros_manuales!$L$100+parametros_manuales!$F$41*(datos_base!$E$4+IF(parametros_manuales!$H$41="Todos",datos_base!$E$11,0))*parametros_manuales!$L$105+parametros_manuales!$G$41*(datos_base!$E$5+IF(parametros_manuales!$H$41="Todos",datos_base!$E$12,0))*parametros_manuales!$L$110)*parametros_manuales!$I$41*parametros_manuales!$J$41</f>
        <v>1543.41</v>
      </c>
      <c r="M105" s="4">
        <f>(parametros_manuales!$D$41*(datos_base!$E$2+IF(parametros_manuales!$H$41="Todos",datos_base!$E$9,0))*parametros_manuales!$M$95+parametros_manuales!$E$41*(datos_base!$E$3+IF(parametros_manuales!$H$41="Todos",datos_base!$E$10,0))*parametros_manuales!$M$100+parametros_manuales!$F$41*(datos_base!$E$4+IF(parametros_manuales!$H$41="Todos",datos_base!$E$11,0))*parametros_manuales!$M$105+parametros_manuales!$G$41*(datos_base!$E$5+IF(parametros_manuales!$H$41="Todos",datos_base!$E$12,0))*parametros_manuales!$M$110)*parametros_manuales!$I$41*parametros_manuales!$J$41</f>
        <v>1543.41</v>
      </c>
      <c r="N105" s="4">
        <f t="shared" si="10"/>
        <v>17149</v>
      </c>
      <c r="O105" s="4">
        <f t="shared" si="11"/>
        <v>1543.41</v>
      </c>
      <c r="P105" s="27">
        <f>O105/(parametros_manuales!$B$7)</f>
        <v>10.2894</v>
      </c>
      <c r="Q105" s="3" t="str">
        <f t="shared" si="12"/>
        <v>Ene</v>
      </c>
    </row>
    <row r="106" ht="14.25" customHeight="1">
      <c r="A106" s="3" t="str">
        <f>parametros_manuales!$B$42</f>
        <v>Etiquetado</v>
      </c>
      <c r="B106" s="4">
        <f>(parametros_manuales!$D$42*(datos_base!$E$2+IF(parametros_manuales!$H$42="Todos",datos_base!$E$9,0))*parametros_manuales!$B$95+parametros_manuales!$E$42*(datos_base!$E$3+IF(parametros_manuales!$H$42="Todos",datos_base!$E$10,0))*parametros_manuales!$B$100+parametros_manuales!$F$42*(datos_base!$E$4+IF(parametros_manuales!$H$42="Todos",datos_base!$E$11,0))*parametros_manuales!$B$105+parametros_manuales!$G$42*(datos_base!$E$5+IF(parametros_manuales!$H$42="Todos",datos_base!$E$12,0))*parametros_manuales!$B$110)*parametros_manuales!$I$42*parametros_manuales!$J$42</f>
        <v>1543.41</v>
      </c>
      <c r="C106" s="4">
        <f>(parametros_manuales!$D$42*(datos_base!$E$2+IF(parametros_manuales!$H$42="Todos",datos_base!$E$9,0))*parametros_manuales!$C$95+parametros_manuales!$E$42*(datos_base!$E$3+IF(parametros_manuales!$H$42="Todos",datos_base!$E$10,0))*parametros_manuales!$C$100+parametros_manuales!$F$42*(datos_base!$E$4+IF(parametros_manuales!$H$42="Todos",datos_base!$E$11,0))*parametros_manuales!$C$105+parametros_manuales!$G$42*(datos_base!$E$5+IF(parametros_manuales!$H$42="Todos",datos_base!$E$12,0))*parametros_manuales!$C$110)*parametros_manuales!$I$42*parametros_manuales!$J$42</f>
        <v>1456.59</v>
      </c>
      <c r="D106" s="4">
        <f>(parametros_manuales!$D$42*(datos_base!$E$2+IF(parametros_manuales!$H$42="Todos",datos_base!$E$9,0))*parametros_manuales!$D$95+parametros_manuales!$E$42*(datos_base!$E$3+IF(parametros_manuales!$H$42="Todos",datos_base!$E$10,0))*parametros_manuales!$D$100+parametros_manuales!$F$42*(datos_base!$E$4+IF(parametros_manuales!$H$42="Todos",datos_base!$E$11,0))*parametros_manuales!$D$105+parametros_manuales!$G$42*(datos_base!$E$5+IF(parametros_manuales!$H$42="Todos",datos_base!$E$12,0))*parametros_manuales!$D$110)*parametros_manuales!$I$42*parametros_manuales!$J$42</f>
        <v>1415.33</v>
      </c>
      <c r="E106" s="4">
        <f>(parametros_manuales!$D$42*(datos_base!$E$2+IF(parametros_manuales!$H$42="Todos",datos_base!$E$9,0))*parametros_manuales!$E$95+parametros_manuales!$E$42*(datos_base!$E$3+IF(parametros_manuales!$H$42="Todos",datos_base!$E$10,0))*parametros_manuales!$E$100+parametros_manuales!$F$42*(datos_base!$E$4+IF(parametros_manuales!$H$42="Todos",datos_base!$E$11,0))*parametros_manuales!$E$105+parametros_manuales!$G$42*(datos_base!$E$5+IF(parametros_manuales!$H$42="Todos",datos_base!$E$12,0))*parametros_manuales!$E$110)*parametros_manuales!$I$42*parametros_manuales!$J$42</f>
        <v>1372.995</v>
      </c>
      <c r="F106" s="4">
        <f>(parametros_manuales!$D$42*(datos_base!$E$2+IF(parametros_manuales!$H$42="Todos",datos_base!$E$9,0))*parametros_manuales!$F$95+parametros_manuales!$E$42*(datos_base!$E$3+IF(parametros_manuales!$H$42="Todos",datos_base!$E$10,0))*parametros_manuales!$F$100+parametros_manuales!$F$42*(datos_base!$E$4+IF(parametros_manuales!$H$42="Todos",datos_base!$E$11,0))*parametros_manuales!$F$105+parametros_manuales!$G$42*(datos_base!$E$5+IF(parametros_manuales!$H$42="Todos",datos_base!$E$12,0))*parametros_manuales!$F$110)*parametros_manuales!$I$42*parametros_manuales!$J$42</f>
        <v>1287.25</v>
      </c>
      <c r="G106" s="4">
        <f>(parametros_manuales!$D$42*(datos_base!$E$2+IF(parametros_manuales!$H$42="Todos",datos_base!$E$9,0))*parametros_manuales!$G$95+parametros_manuales!$E$42*(datos_base!$E$3+IF(parametros_manuales!$H$42="Todos",datos_base!$E$10,0))*parametros_manuales!$G$100+parametros_manuales!$F$42*(datos_base!$E$4+IF(parametros_manuales!$H$42="Todos",datos_base!$E$11,0))*parametros_manuales!$G$105+parametros_manuales!$G$42*(datos_base!$E$5+IF(parametros_manuales!$H$42="Todos",datos_base!$E$12,0))*parametros_manuales!$G$110)*parametros_manuales!$I$42*parametros_manuales!$J$42</f>
        <v>1243.84</v>
      </c>
      <c r="H106" s="4">
        <f>(parametros_manuales!$D$42*(datos_base!$E$2+IF(parametros_manuales!$H$42="Todos",datos_base!$E$9,0))*parametros_manuales!$H$95+parametros_manuales!$E$42*(datos_base!$E$3+IF(parametros_manuales!$H$42="Todos",datos_base!$E$10,0))*parametros_manuales!$H$100+parametros_manuales!$F$42*(datos_base!$E$4+IF(parametros_manuales!$H$42="Todos",datos_base!$E$11,0))*parametros_manuales!$H$105+parametros_manuales!$G$42*(datos_base!$E$5+IF(parametros_manuales!$H$42="Todos",datos_base!$E$12,0))*parametros_manuales!$H$110)*parametros_manuales!$I$42*parametros_manuales!$J$42</f>
        <v>1329.585</v>
      </c>
      <c r="I106" s="4">
        <f>(parametros_manuales!$D$42*(datos_base!$E$2+IF(parametros_manuales!$H$42="Todos",datos_base!$E$9,0))*parametros_manuales!$I$95+parametros_manuales!$E$42*(datos_base!$E$3+IF(parametros_manuales!$H$42="Todos",datos_base!$E$10,0))*parametros_manuales!$I$100+parametros_manuales!$F$42*(datos_base!$E$4+IF(parametros_manuales!$H$42="Todos",datos_base!$E$11,0))*parametros_manuales!$I$105+parametros_manuales!$G$42*(datos_base!$E$5+IF(parametros_manuales!$H$42="Todos",datos_base!$E$12,0))*parametros_manuales!$I$110)*parametros_manuales!$I$42*parametros_manuales!$J$42</f>
        <v>1456.59</v>
      </c>
      <c r="J106" s="4">
        <f>(parametros_manuales!$D$42*(datos_base!$E$2+IF(parametros_manuales!$H$42="Todos",datos_base!$E$9,0))*parametros_manuales!$J$95+parametros_manuales!$E$42*(datos_base!$E$3+IF(parametros_manuales!$H$42="Todos",datos_base!$E$10,0))*parametros_manuales!$J$100+parametros_manuales!$F$42*(datos_base!$E$4+IF(parametros_manuales!$H$42="Todos",datos_base!$E$11,0))*parametros_manuales!$J$105+parametros_manuales!$G$42*(datos_base!$E$5+IF(parametros_manuales!$H$42="Todos",datos_base!$E$12,0))*parametros_manuales!$J$110)*parametros_manuales!$I$42*parametros_manuales!$J$42</f>
        <v>1456.59</v>
      </c>
      <c r="K106" s="4">
        <f>(parametros_manuales!$D$42*(datos_base!$E$2+IF(parametros_manuales!$H$42="Todos",datos_base!$E$9,0))*parametros_manuales!$K$95+parametros_manuales!$E$42*(datos_base!$E$3+IF(parametros_manuales!$H$42="Todos",datos_base!$E$10,0))*parametros_manuales!$K$100+parametros_manuales!$F$42*(datos_base!$E$4+IF(parametros_manuales!$H$42="Todos",datos_base!$E$11,0))*parametros_manuales!$K$105+parametros_manuales!$G$42*(datos_base!$E$5+IF(parametros_manuales!$H$42="Todos",datos_base!$E$12,0))*parametros_manuales!$K$110)*parametros_manuales!$I$42*parametros_manuales!$J$42</f>
        <v>1500</v>
      </c>
      <c r="L106" s="4">
        <f>(parametros_manuales!$D$42*(datos_base!$E$2+IF(parametros_manuales!$H$42="Todos",datos_base!$E$9,0))*parametros_manuales!$L$95+parametros_manuales!$E$42*(datos_base!$E$3+IF(parametros_manuales!$H$42="Todos",datos_base!$E$10,0))*parametros_manuales!$L$100+parametros_manuales!$F$42*(datos_base!$E$4+IF(parametros_manuales!$H$42="Todos",datos_base!$E$11,0))*parametros_manuales!$L$105+parametros_manuales!$G$42*(datos_base!$E$5+IF(parametros_manuales!$H$42="Todos",datos_base!$E$12,0))*parametros_manuales!$L$110)*parametros_manuales!$I$42*parametros_manuales!$J$42</f>
        <v>1543.41</v>
      </c>
      <c r="M106" s="4">
        <f>(parametros_manuales!$D$42*(datos_base!$E$2+IF(parametros_manuales!$H$42="Todos",datos_base!$E$9,0))*parametros_manuales!$M$95+parametros_manuales!$E$42*(datos_base!$E$3+IF(parametros_manuales!$H$42="Todos",datos_base!$E$10,0))*parametros_manuales!$M$100+parametros_manuales!$F$42*(datos_base!$E$4+IF(parametros_manuales!$H$42="Todos",datos_base!$E$11,0))*parametros_manuales!$M$105+parametros_manuales!$G$42*(datos_base!$E$5+IF(parametros_manuales!$H$42="Todos",datos_base!$E$12,0))*parametros_manuales!$M$110)*parametros_manuales!$I$42*parametros_manuales!$J$42</f>
        <v>1543.41</v>
      </c>
      <c r="N106" s="4">
        <f t="shared" si="10"/>
        <v>17149</v>
      </c>
      <c r="O106" s="4">
        <f t="shared" si="11"/>
        <v>1543.41</v>
      </c>
      <c r="P106" s="27">
        <f>O106/(parametros_manuales!$B$7)</f>
        <v>10.2894</v>
      </c>
      <c r="Q106" s="3" t="str">
        <f t="shared" si="12"/>
        <v>Ene</v>
      </c>
    </row>
    <row r="107" ht="14.25" customHeight="1">
      <c r="A107" s="3" t="str">
        <f>parametros_manuales!$B$43</f>
        <v>Embalaje y paletizado</v>
      </c>
      <c r="B107" s="4">
        <f>(parametros_manuales!$D$43*(datos_base!$E$2+IF(parametros_manuales!$H$43="Todos",datos_base!$E$9,0))*parametros_manuales!$B$95+parametros_manuales!$E$43*(datos_base!$E$3+IF(parametros_manuales!$H$43="Todos",datos_base!$E$10,0))*parametros_manuales!$B$100+parametros_manuales!$F$43*(datos_base!$E$4+IF(parametros_manuales!$H$43="Todos",datos_base!$E$11,0))*parametros_manuales!$B$105+parametros_manuales!$G$43*(datos_base!$E$5+IF(parametros_manuales!$H$43="Todos",datos_base!$E$12,0))*parametros_manuales!$B$110)*parametros_manuales!$I$43*parametros_manuales!$J$43</f>
        <v>4531.95</v>
      </c>
      <c r="C107" s="4">
        <f>(parametros_manuales!$D$43*(datos_base!$E$2+IF(parametros_manuales!$H$43="Todos",datos_base!$E$9,0))*parametros_manuales!$C$95+parametros_manuales!$E$43*(datos_base!$E$3+IF(parametros_manuales!$H$43="Todos",datos_base!$E$10,0))*parametros_manuales!$C$100+parametros_manuales!$F$43*(datos_base!$E$4+IF(parametros_manuales!$H$43="Todos",datos_base!$E$11,0))*parametros_manuales!$C$105+parametros_manuales!$G$43*(datos_base!$E$5+IF(parametros_manuales!$H$43="Todos",datos_base!$E$12,0))*parametros_manuales!$C$110)*parametros_manuales!$I$43*parametros_manuales!$J$43</f>
        <v>4380.02</v>
      </c>
      <c r="D107" s="4">
        <f>(parametros_manuales!$D$43*(datos_base!$E$2+IF(parametros_manuales!$H$43="Todos",datos_base!$E$9,0))*parametros_manuales!$D$95+parametros_manuales!$E$43*(datos_base!$E$3+IF(parametros_manuales!$H$43="Todos",datos_base!$E$10,0))*parametros_manuales!$D$100+parametros_manuales!$F$43*(datos_base!$E$4+IF(parametros_manuales!$H$43="Todos",datos_base!$E$11,0))*parametros_manuales!$D$105+parametros_manuales!$G$43*(datos_base!$E$5+IF(parametros_manuales!$H$43="Todos",datos_base!$E$12,0))*parametros_manuales!$D$110)*parametros_manuales!$I$43*parametros_manuales!$J$43</f>
        <v>4104.365</v>
      </c>
      <c r="E107" s="4">
        <f>(parametros_manuales!$D$43*(datos_base!$E$2+IF(parametros_manuales!$H$43="Todos",datos_base!$E$9,0))*parametros_manuales!$E$95+parametros_manuales!$E$43*(datos_base!$E$3+IF(parametros_manuales!$H$43="Todos",datos_base!$E$10,0))*parametros_manuales!$E$100+parametros_manuales!$F$43*(datos_base!$E$4+IF(parametros_manuales!$H$43="Todos",datos_base!$E$11,0))*parametros_manuales!$E$105+parametros_manuales!$G$43*(datos_base!$E$5+IF(parametros_manuales!$H$43="Todos",datos_base!$E$12,0))*parametros_manuales!$E$110)*parametros_manuales!$I$43*parametros_manuales!$J$43</f>
        <v>3928.555</v>
      </c>
      <c r="F107" s="4">
        <f>(parametros_manuales!$D$43*(datos_base!$E$2+IF(parametros_manuales!$H$43="Todos",datos_base!$E$9,0))*parametros_manuales!$F$95+parametros_manuales!$E$43*(datos_base!$E$3+IF(parametros_manuales!$H$43="Todos",datos_base!$E$10,0))*parametros_manuales!$F$100+parametros_manuales!$F$43*(datos_base!$E$4+IF(parametros_manuales!$H$43="Todos",datos_base!$E$11,0))*parametros_manuales!$F$105+parametros_manuales!$G$43*(datos_base!$E$5+IF(parametros_manuales!$H$43="Todos",datos_base!$E$12,0))*parametros_manuales!$F$110)*parametros_manuales!$I$43*parametros_manuales!$J$43</f>
        <v>3676.78</v>
      </c>
      <c r="G107" s="4">
        <f>(parametros_manuales!$D$43*(datos_base!$E$2+IF(parametros_manuales!$H$43="Todos",datos_base!$E$9,0))*parametros_manuales!$G$95+parametros_manuales!$E$43*(datos_base!$E$3+IF(parametros_manuales!$H$43="Todos",datos_base!$E$10,0))*parametros_manuales!$G$100+parametros_manuales!$F$43*(datos_base!$E$4+IF(parametros_manuales!$H$43="Todos",datos_base!$E$11,0))*parametros_manuales!$G$105+parametros_manuales!$G$43*(datos_base!$E$5+IF(parametros_manuales!$H$43="Todos",datos_base!$E$12,0))*parametros_manuales!$G$110)*parametros_manuales!$I$43*parametros_manuales!$J$43</f>
        <v>3600.815</v>
      </c>
      <c r="H107" s="4">
        <f>(parametros_manuales!$D$43*(datos_base!$E$2+IF(parametros_manuales!$H$43="Todos",datos_base!$E$9,0))*parametros_manuales!$H$95+parametros_manuales!$E$43*(datos_base!$E$3+IF(parametros_manuales!$H$43="Todos",datos_base!$E$10,0))*parametros_manuales!$H$100+parametros_manuales!$F$43*(datos_base!$E$4+IF(parametros_manuales!$H$43="Todos",datos_base!$E$11,0))*parametros_manuales!$H$105+parametros_manuales!$G$43*(datos_base!$E$5+IF(parametros_manuales!$H$43="Todos",datos_base!$E$12,0))*parametros_manuales!$H$110)*parametros_manuales!$I$43*parametros_manuales!$J$43</f>
        <v>3852.59</v>
      </c>
      <c r="I107" s="4">
        <f>(parametros_manuales!$D$43*(datos_base!$E$2+IF(parametros_manuales!$H$43="Todos",datos_base!$E$9,0))*parametros_manuales!$I$95+parametros_manuales!$E$43*(datos_base!$E$3+IF(parametros_manuales!$H$43="Todos",datos_base!$E$10,0))*parametros_manuales!$I$100+parametros_manuales!$F$43*(datos_base!$E$4+IF(parametros_manuales!$H$43="Todos",datos_base!$E$11,0))*parametros_manuales!$I$105+parametros_manuales!$G$43*(datos_base!$E$5+IF(parametros_manuales!$H$43="Todos",datos_base!$E$12,0))*parametros_manuales!$I$110)*parametros_manuales!$I$43*parametros_manuales!$J$43</f>
        <v>4380.02</v>
      </c>
      <c r="J107" s="4">
        <f>(parametros_manuales!$D$43*(datos_base!$E$2+IF(parametros_manuales!$H$43="Todos",datos_base!$E$9,0))*parametros_manuales!$J$95+parametros_manuales!$E$43*(datos_base!$E$3+IF(parametros_manuales!$H$43="Todos",datos_base!$E$10,0))*parametros_manuales!$J$100+parametros_manuales!$F$43*(datos_base!$E$4+IF(parametros_manuales!$H$43="Todos",datos_base!$E$11,0))*parametros_manuales!$J$105+parametros_manuales!$G$43*(datos_base!$E$5+IF(parametros_manuales!$H$43="Todos",datos_base!$E$12,0))*parametros_manuales!$J$110)*parametros_manuales!$I$43*parametros_manuales!$J$43</f>
        <v>4380.02</v>
      </c>
      <c r="K107" s="4">
        <f>(parametros_manuales!$D$43*(datos_base!$E$2+IF(parametros_manuales!$H$43="Todos",datos_base!$E$9,0))*parametros_manuales!$K$95+parametros_manuales!$E$43*(datos_base!$E$3+IF(parametros_manuales!$H$43="Todos",datos_base!$E$10,0))*parametros_manuales!$K$100+parametros_manuales!$F$43*(datos_base!$E$4+IF(parametros_manuales!$H$43="Todos",datos_base!$E$11,0))*parametros_manuales!$K$105+parametros_manuales!$G$43*(datos_base!$E$5+IF(parametros_manuales!$H$43="Todos",datos_base!$E$12,0))*parametros_manuales!$K$110)*parametros_manuales!$I$43*parametros_manuales!$J$43</f>
        <v>4455.985</v>
      </c>
      <c r="L107" s="4">
        <f>(parametros_manuales!$D$43*(datos_base!$E$2+IF(parametros_manuales!$H$43="Todos",datos_base!$E$9,0))*parametros_manuales!$L$95+parametros_manuales!$E$43*(datos_base!$E$3+IF(parametros_manuales!$H$43="Todos",datos_base!$E$10,0))*parametros_manuales!$L$100+parametros_manuales!$F$43*(datos_base!$E$4+IF(parametros_manuales!$H$43="Todos",datos_base!$E$11,0))*parametros_manuales!$L$105+parametros_manuales!$G$43*(datos_base!$E$5+IF(parametros_manuales!$H$43="Todos",datos_base!$E$12,0))*parametros_manuales!$L$110)*parametros_manuales!$I$43*parametros_manuales!$J$43</f>
        <v>4531.95</v>
      </c>
      <c r="M107" s="4">
        <f>(parametros_manuales!$D$43*(datos_base!$E$2+IF(parametros_manuales!$H$43="Todos",datos_base!$E$9,0))*parametros_manuales!$M$95+parametros_manuales!$E$43*(datos_base!$E$3+IF(parametros_manuales!$H$43="Todos",datos_base!$E$10,0))*parametros_manuales!$M$100+parametros_manuales!$F$43*(datos_base!$E$4+IF(parametros_manuales!$H$43="Todos",datos_base!$E$11,0))*parametros_manuales!$M$105+parametros_manuales!$G$43*(datos_base!$E$5+IF(parametros_manuales!$H$43="Todos",datos_base!$E$12,0))*parametros_manuales!$M$110)*parametros_manuales!$I$43*parametros_manuales!$J$43</f>
        <v>4531.95</v>
      </c>
      <c r="N107" s="4">
        <f t="shared" si="10"/>
        <v>50355</v>
      </c>
      <c r="O107" s="4">
        <f t="shared" si="11"/>
        <v>4531.95</v>
      </c>
      <c r="P107" s="27">
        <f>O107/(parametros_manuales!$B$7)</f>
        <v>30.213</v>
      </c>
      <c r="Q107" s="3" t="str">
        <f t="shared" si="12"/>
        <v>Ene</v>
      </c>
    </row>
    <row r="108" ht="14.25" customHeight="1"/>
    <row r="109" ht="14.25" customHeight="1">
      <c r="A109" s="1" t="s">
        <v>181</v>
      </c>
      <c r="B109" s="1" t="s">
        <v>5</v>
      </c>
      <c r="C109" s="1" t="s">
        <v>7</v>
      </c>
      <c r="D109" s="1" t="s">
        <v>8</v>
      </c>
      <c r="E109" s="1" t="s">
        <v>9</v>
      </c>
      <c r="F109" s="1" t="s">
        <v>11</v>
      </c>
      <c r="G109" s="1" t="s">
        <v>12</v>
      </c>
      <c r="H109" s="1" t="s">
        <v>14</v>
      </c>
      <c r="I109" s="1" t="s">
        <v>15</v>
      </c>
      <c r="J109" s="1" t="s">
        <v>16</v>
      </c>
      <c r="K109" s="1" t="s">
        <v>18</v>
      </c>
      <c r="L109" s="1" t="s">
        <v>19</v>
      </c>
      <c r="M109" s="1" t="s">
        <v>20</v>
      </c>
      <c r="N109" s="1" t="s">
        <v>21</v>
      </c>
      <c r="O109" s="1" t="s">
        <v>22</v>
      </c>
      <c r="P109" s="1" t="s">
        <v>23</v>
      </c>
      <c r="Q109" s="1" t="s">
        <v>24</v>
      </c>
    </row>
    <row r="110" ht="14.25" customHeight="1">
      <c r="A110" s="3" t="str">
        <f>parametros_manuales!$B$19</f>
        <v>Recepción de materia prima</v>
      </c>
      <c r="B110" s="4">
        <f>(parametros_manuales!$D$19*(datos_base!$F$2+IF(parametros_manuales!$H$19="Todos",datos_base!$F$9,0))*parametros_manuales!$B$95+parametros_manuales!$E$19*(datos_base!$F$3+IF(parametros_manuales!$H$19="Todos",datos_base!$F$10,0))*parametros_manuales!$B$100+parametros_manuales!$F$19*(datos_base!$F$4+IF(parametros_manuales!$H$19="Todos",datos_base!$F$11,0))*parametros_manuales!$B$105+parametros_manuales!$G$19*(datos_base!$F$5+IF(parametros_manuales!$H$19="Todos",datos_base!$F$12,0))*parametros_manuales!$B$110)*parametros_manuales!$I$19*parametros_manuales!$J$19</f>
        <v>7911.63</v>
      </c>
      <c r="C110" s="4">
        <f>(parametros_manuales!$D$19*(datos_base!$F$2+IF(parametros_manuales!$H$19="Todos",datos_base!$F$9,0))*parametros_manuales!$C$95+parametros_manuales!$E$19*(datos_base!$F$3+IF(parametros_manuales!$H$19="Todos",datos_base!$F$10,0))*parametros_manuales!$C$100+parametros_manuales!$F$19*(datos_base!$F$4+IF(parametros_manuales!$H$19="Todos",datos_base!$F$11,0))*parametros_manuales!$C$105+parametros_manuales!$G$19*(datos_base!$F$5+IF(parametros_manuales!$H$19="Todos",datos_base!$F$12,0))*parametros_manuales!$C$110)*parametros_manuales!$I$19*parametros_manuales!$J$19</f>
        <v>7653.72</v>
      </c>
      <c r="D110" s="4">
        <f>(parametros_manuales!$D$19*(datos_base!$F$2+IF(parametros_manuales!$H$19="Todos",datos_base!$F$9,0))*parametros_manuales!$D$95+parametros_manuales!$E$19*(datos_base!$F$3+IF(parametros_manuales!$H$19="Todos",datos_base!$F$10,0))*parametros_manuales!$D$100+parametros_manuales!$F$19*(datos_base!$F$4+IF(parametros_manuales!$H$19="Todos",datos_base!$F$11,0))*parametros_manuales!$D$105+parametros_manuales!$G$19*(datos_base!$F$5+IF(parametros_manuales!$H$19="Todos",datos_base!$F$12,0))*parametros_manuales!$D$110)*parametros_manuales!$I$19*parametros_manuales!$J$19</f>
        <v>7161.515</v>
      </c>
      <c r="E110" s="4">
        <f>(parametros_manuales!$D$19*(datos_base!$F$2+IF(parametros_manuales!$H$19="Todos",datos_base!$F$9,0))*parametros_manuales!$E$95+parametros_manuales!$E$19*(datos_base!$F$3+IF(parametros_manuales!$H$19="Todos",datos_base!$F$10,0))*parametros_manuales!$E$100+parametros_manuales!$F$19*(datos_base!$F$4+IF(parametros_manuales!$H$19="Todos",datos_base!$F$11,0))*parametros_manuales!$E$105+parametros_manuales!$G$19*(datos_base!$F$5+IF(parametros_manuales!$H$19="Todos",datos_base!$F$12,0))*parametros_manuales!$E$110)*parametros_manuales!$I$19*parametros_manuales!$J$19</f>
        <v>6850.935</v>
      </c>
      <c r="F110" s="4">
        <f>(parametros_manuales!$D$19*(datos_base!$F$2+IF(parametros_manuales!$H$19="Todos",datos_base!$F$9,0))*parametros_manuales!$F$95+parametros_manuales!$E$19*(datos_base!$F$3+IF(parametros_manuales!$H$19="Todos",datos_base!$F$10,0))*parametros_manuales!$F$100+parametros_manuales!$F$19*(datos_base!$F$4+IF(parametros_manuales!$H$19="Todos",datos_base!$F$11,0))*parametros_manuales!$F$105+parametros_manuales!$G$19*(datos_base!$F$5+IF(parametros_manuales!$H$19="Todos",datos_base!$F$12,0))*parametros_manuales!$F$110)*parametros_manuales!$I$19*parametros_manuales!$J$19</f>
        <v>6411.4</v>
      </c>
      <c r="G110" s="4">
        <f>(parametros_manuales!$D$19*(datos_base!$F$2+IF(parametros_manuales!$H$19="Todos",datos_base!$F$9,0))*parametros_manuales!$G$95+parametros_manuales!$E$19*(datos_base!$F$3+IF(parametros_manuales!$H$19="Todos",datos_base!$F$10,0))*parametros_manuales!$G$100+parametros_manuales!$F$19*(datos_base!$F$4+IF(parametros_manuales!$H$19="Todos",datos_base!$F$11,0))*parametros_manuales!$G$105+parametros_manuales!$G$19*(datos_base!$F$5+IF(parametros_manuales!$H$19="Todos",datos_base!$F$12,0))*parametros_manuales!$G$110)*parametros_manuales!$I$19*parametros_manuales!$J$19</f>
        <v>6282.445</v>
      </c>
      <c r="H110" s="4">
        <f>(parametros_manuales!$D$19*(datos_base!$F$2+IF(parametros_manuales!$H$19="Todos",datos_base!$F$9,0))*parametros_manuales!$H$95+parametros_manuales!$E$19*(datos_base!$F$3+IF(parametros_manuales!$H$19="Todos",datos_base!$F$10,0))*parametros_manuales!$H$100+parametros_manuales!$F$19*(datos_base!$F$4+IF(parametros_manuales!$H$19="Todos",datos_base!$F$11,0))*parametros_manuales!$H$105+parametros_manuales!$G$19*(datos_base!$F$5+IF(parametros_manuales!$H$19="Todos",datos_base!$F$12,0))*parametros_manuales!$H$110)*parametros_manuales!$I$19*parametros_manuales!$J$19</f>
        <v>6721.98</v>
      </c>
      <c r="I110" s="4">
        <f>(parametros_manuales!$D$19*(datos_base!$F$2+IF(parametros_manuales!$H$19="Todos",datos_base!$F$9,0))*parametros_manuales!$I$95+parametros_manuales!$E$19*(datos_base!$F$3+IF(parametros_manuales!$H$19="Todos",datos_base!$F$10,0))*parametros_manuales!$I$100+parametros_manuales!$F$19*(datos_base!$F$4+IF(parametros_manuales!$H$19="Todos",datos_base!$F$11,0))*parametros_manuales!$I$105+parametros_manuales!$G$19*(datos_base!$F$5+IF(parametros_manuales!$H$19="Todos",datos_base!$F$12,0))*parametros_manuales!$I$110)*parametros_manuales!$I$19*parametros_manuales!$J$19</f>
        <v>7653.72</v>
      </c>
      <c r="J110" s="4">
        <f>(parametros_manuales!$D$19*(datos_base!$F$2+IF(parametros_manuales!$H$19="Todos",datos_base!$F$9,0))*parametros_manuales!$J$95+parametros_manuales!$E$19*(datos_base!$F$3+IF(parametros_manuales!$H$19="Todos",datos_base!$F$10,0))*parametros_manuales!$J$100+parametros_manuales!$F$19*(datos_base!$F$4+IF(parametros_manuales!$H$19="Todos",datos_base!$F$11,0))*parametros_manuales!$J$105+parametros_manuales!$G$19*(datos_base!$F$5+IF(parametros_manuales!$H$19="Todos",datos_base!$F$12,0))*parametros_manuales!$J$110)*parametros_manuales!$I$19*parametros_manuales!$J$19</f>
        <v>7653.72</v>
      </c>
      <c r="K110" s="4">
        <f>(parametros_manuales!$D$19*(datos_base!$F$2+IF(parametros_manuales!$H$19="Todos",datos_base!$F$9,0))*parametros_manuales!$K$95+parametros_manuales!$E$19*(datos_base!$F$3+IF(parametros_manuales!$H$19="Todos",datos_base!$F$10,0))*parametros_manuales!$K$100+parametros_manuales!$F$19*(datos_base!$F$4+IF(parametros_manuales!$H$19="Todos",datos_base!$F$11,0))*parametros_manuales!$K$105+parametros_manuales!$G$19*(datos_base!$F$5+IF(parametros_manuales!$H$19="Todos",datos_base!$F$12,0))*parametros_manuales!$K$110)*parametros_manuales!$I$19*parametros_manuales!$J$19</f>
        <v>7782.675</v>
      </c>
      <c r="L110" s="4">
        <f>(parametros_manuales!$D$19*(datos_base!$F$2+IF(parametros_manuales!$H$19="Todos",datos_base!$F$9,0))*parametros_manuales!$L$95+parametros_manuales!$E$19*(datos_base!$F$3+IF(parametros_manuales!$H$19="Todos",datos_base!$F$10,0))*parametros_manuales!$L$100+parametros_manuales!$F$19*(datos_base!$F$4+IF(parametros_manuales!$H$19="Todos",datos_base!$F$11,0))*parametros_manuales!$L$105+parametros_manuales!$G$19*(datos_base!$F$5+IF(parametros_manuales!$H$19="Todos",datos_base!$F$12,0))*parametros_manuales!$L$110)*parametros_manuales!$I$19*parametros_manuales!$J$19</f>
        <v>7911.63</v>
      </c>
      <c r="M110" s="4">
        <f>(parametros_manuales!$D$19*(datos_base!$F$2+IF(parametros_manuales!$H$19="Todos",datos_base!$F$9,0))*parametros_manuales!$M$95+parametros_manuales!$E$19*(datos_base!$F$3+IF(parametros_manuales!$H$19="Todos",datos_base!$F$10,0))*parametros_manuales!$M$100+parametros_manuales!$F$19*(datos_base!$F$4+IF(parametros_manuales!$H$19="Todos",datos_base!$F$11,0))*parametros_manuales!$M$105+parametros_manuales!$G$19*(datos_base!$F$5+IF(parametros_manuales!$H$19="Todos",datos_base!$F$12,0))*parametros_manuales!$M$110)*parametros_manuales!$I$19*parametros_manuales!$J$19</f>
        <v>7911.63</v>
      </c>
      <c r="N110" s="4">
        <f t="shared" ref="N110:N134" si="13">SUM(B110:M110)</f>
        <v>87907</v>
      </c>
      <c r="O110" s="4">
        <f t="shared" ref="O110:O134" si="14">MAX(B110:M110)</f>
        <v>7911.63</v>
      </c>
      <c r="P110" s="27">
        <f>O110/(parametros_manuales!$B$7)</f>
        <v>52.7442</v>
      </c>
      <c r="Q110" s="3" t="str">
        <f t="shared" ref="Q110:Q134" si="15">IF(O110=0,"-",INDEX($B$109:$M$109,MATCH(O110,B110:M110,0)))</f>
        <v>Ene</v>
      </c>
    </row>
    <row r="111" ht="14.25" customHeight="1">
      <c r="A111" s="3" t="str">
        <f>parametros_manuales!$B$20</f>
        <v>Corte de chapa (guillotina) — 2,5 a 10 kg</v>
      </c>
      <c r="B111" s="4">
        <f>(parametros_manuales!$D$20*(datos_base!$F$2+IF(parametros_manuales!$H$20="Todos",datos_base!$F$9,0))*parametros_manuales!$B$95+parametros_manuales!$E$20*(datos_base!$F$3+IF(parametros_manuales!$H$20="Todos",datos_base!$F$10,0))*parametros_manuales!$B$100+parametros_manuales!$F$20*(datos_base!$F$4+IF(parametros_manuales!$H$20="Todos",datos_base!$F$11,0))*parametros_manuales!$B$105+parametros_manuales!$G$20*(datos_base!$F$5+IF(parametros_manuales!$H$20="Todos",datos_base!$F$12,0))*parametros_manuales!$B$110)*parametros_manuales!$I$20*parametros_manuales!$J$20</f>
        <v>2321.19</v>
      </c>
      <c r="C111" s="4">
        <f>(parametros_manuales!$D$20*(datos_base!$F$2+IF(parametros_manuales!$H$20="Todos",datos_base!$F$9,0))*parametros_manuales!$C$95+parametros_manuales!$E$20*(datos_base!$F$3+IF(parametros_manuales!$H$20="Todos",datos_base!$F$10,0))*parametros_manuales!$C$100+parametros_manuales!$F$20*(datos_base!$F$4+IF(parametros_manuales!$H$20="Todos",datos_base!$F$11,0))*parametros_manuales!$C$105+parametros_manuales!$G$20*(datos_base!$F$5+IF(parametros_manuales!$H$20="Todos",datos_base!$F$12,0))*parametros_manuales!$C$110)*parametros_manuales!$I$20*parametros_manuales!$J$20</f>
        <v>2063.28</v>
      </c>
      <c r="D111" s="4">
        <f>(parametros_manuales!$D$20*(datos_base!$F$2+IF(parametros_manuales!$H$20="Todos",datos_base!$F$9,0))*parametros_manuales!$D$95+parametros_manuales!$E$20*(datos_base!$F$3+IF(parametros_manuales!$H$20="Todos",datos_base!$F$10,0))*parametros_manuales!$D$100+parametros_manuales!$F$20*(datos_base!$F$4+IF(parametros_manuales!$H$20="Todos",datos_base!$F$11,0))*parametros_manuales!$D$105+parametros_manuales!$G$20*(datos_base!$F$5+IF(parametros_manuales!$H$20="Todos",datos_base!$F$12,0))*parametros_manuales!$D$110)*parametros_manuales!$I$20*parametros_manuales!$J$20</f>
        <v>2192.235</v>
      </c>
      <c r="E111" s="4">
        <f>(parametros_manuales!$D$20*(datos_base!$F$2+IF(parametros_manuales!$H$20="Todos",datos_base!$F$9,0))*parametros_manuales!$E$95+parametros_manuales!$E$20*(datos_base!$F$3+IF(parametros_manuales!$H$20="Todos",datos_base!$F$10,0))*parametros_manuales!$E$100+parametros_manuales!$F$20*(datos_base!$F$4+IF(parametros_manuales!$H$20="Todos",datos_base!$F$11,0))*parametros_manuales!$E$105+parametros_manuales!$G$20*(datos_base!$F$5+IF(parametros_manuales!$H$20="Todos",datos_base!$F$12,0))*parametros_manuales!$E$110)*parametros_manuales!$I$20*parametros_manuales!$J$20</f>
        <v>2192.235</v>
      </c>
      <c r="F111" s="4">
        <f>(parametros_manuales!$D$20*(datos_base!$F$2+IF(parametros_manuales!$H$20="Todos",datos_base!$F$9,0))*parametros_manuales!$F$95+parametros_manuales!$E$20*(datos_base!$F$3+IF(parametros_manuales!$H$20="Todos",datos_base!$F$10,0))*parametros_manuales!$F$100+parametros_manuales!$F$20*(datos_base!$F$4+IF(parametros_manuales!$H$20="Todos",datos_base!$F$11,0))*parametros_manuales!$F$105+parametros_manuales!$G$20*(datos_base!$F$5+IF(parametros_manuales!$H$20="Todos",datos_base!$F$12,0))*parametros_manuales!$F$110)*parametros_manuales!$I$20*parametros_manuales!$J$20</f>
        <v>2063.28</v>
      </c>
      <c r="G111" s="4">
        <f>(parametros_manuales!$D$20*(datos_base!$F$2+IF(parametros_manuales!$H$20="Todos",datos_base!$F$9,0))*parametros_manuales!$G$95+parametros_manuales!$E$20*(datos_base!$F$3+IF(parametros_manuales!$H$20="Todos",datos_base!$F$10,0))*parametros_manuales!$G$100+parametros_manuales!$F$20*(datos_base!$F$4+IF(parametros_manuales!$H$20="Todos",datos_base!$F$11,0))*parametros_manuales!$G$105+parametros_manuales!$G$20*(datos_base!$F$5+IF(parametros_manuales!$H$20="Todos",datos_base!$F$12,0))*parametros_manuales!$G$110)*parametros_manuales!$I$20*parametros_manuales!$J$20</f>
        <v>1934.325</v>
      </c>
      <c r="H111" s="4">
        <f>(parametros_manuales!$D$20*(datos_base!$F$2+IF(parametros_manuales!$H$20="Todos",datos_base!$F$9,0))*parametros_manuales!$H$95+parametros_manuales!$E$20*(datos_base!$F$3+IF(parametros_manuales!$H$20="Todos",datos_base!$F$10,0))*parametros_manuales!$H$100+parametros_manuales!$F$20*(datos_base!$F$4+IF(parametros_manuales!$H$20="Todos",datos_base!$F$11,0))*parametros_manuales!$H$105+parametros_manuales!$G$20*(datos_base!$F$5+IF(parametros_manuales!$H$20="Todos",datos_base!$F$12,0))*parametros_manuales!$H$110)*parametros_manuales!$I$20*parametros_manuales!$J$20</f>
        <v>2063.28</v>
      </c>
      <c r="I111" s="4">
        <f>(parametros_manuales!$D$20*(datos_base!$F$2+IF(parametros_manuales!$H$20="Todos",datos_base!$F$9,0))*parametros_manuales!$I$95+parametros_manuales!$E$20*(datos_base!$F$3+IF(parametros_manuales!$H$20="Todos",datos_base!$F$10,0))*parametros_manuales!$I$100+parametros_manuales!$F$20*(datos_base!$F$4+IF(parametros_manuales!$H$20="Todos",datos_base!$F$11,0))*parametros_manuales!$I$105+parametros_manuales!$G$20*(datos_base!$F$5+IF(parametros_manuales!$H$20="Todos",datos_base!$F$12,0))*parametros_manuales!$I$110)*parametros_manuales!$I$20*parametros_manuales!$J$20</f>
        <v>2063.28</v>
      </c>
      <c r="J111" s="4">
        <f>(parametros_manuales!$D$20*(datos_base!$F$2+IF(parametros_manuales!$H$20="Todos",datos_base!$F$9,0))*parametros_manuales!$J$95+parametros_manuales!$E$20*(datos_base!$F$3+IF(parametros_manuales!$H$20="Todos",datos_base!$F$10,0))*parametros_manuales!$J$100+parametros_manuales!$F$20*(datos_base!$F$4+IF(parametros_manuales!$H$20="Todos",datos_base!$F$11,0))*parametros_manuales!$J$105+parametros_manuales!$G$20*(datos_base!$F$5+IF(parametros_manuales!$H$20="Todos",datos_base!$F$12,0))*parametros_manuales!$J$110)*parametros_manuales!$I$20*parametros_manuales!$J$20</f>
        <v>2063.28</v>
      </c>
      <c r="K111" s="4">
        <f>(parametros_manuales!$D$20*(datos_base!$F$2+IF(parametros_manuales!$H$20="Todos",datos_base!$F$9,0))*parametros_manuales!$K$95+parametros_manuales!$E$20*(datos_base!$F$3+IF(parametros_manuales!$H$20="Todos",datos_base!$F$10,0))*parametros_manuales!$K$100+parametros_manuales!$F$20*(datos_base!$F$4+IF(parametros_manuales!$H$20="Todos",datos_base!$F$11,0))*parametros_manuales!$K$105+parametros_manuales!$G$20*(datos_base!$F$5+IF(parametros_manuales!$H$20="Todos",datos_base!$F$12,0))*parametros_manuales!$K$110)*parametros_manuales!$I$20*parametros_manuales!$J$20</f>
        <v>2192.235</v>
      </c>
      <c r="L111" s="4">
        <f>(parametros_manuales!$D$20*(datos_base!$F$2+IF(parametros_manuales!$H$20="Todos",datos_base!$F$9,0))*parametros_manuales!$L$95+parametros_manuales!$E$20*(datos_base!$F$3+IF(parametros_manuales!$H$20="Todos",datos_base!$F$10,0))*parametros_manuales!$L$100+parametros_manuales!$F$20*(datos_base!$F$4+IF(parametros_manuales!$H$20="Todos",datos_base!$F$11,0))*parametros_manuales!$L$105+parametros_manuales!$G$20*(datos_base!$F$5+IF(parametros_manuales!$H$20="Todos",datos_base!$F$12,0))*parametros_manuales!$L$110)*parametros_manuales!$I$20*parametros_manuales!$J$20</f>
        <v>2321.19</v>
      </c>
      <c r="M111" s="4">
        <f>(parametros_manuales!$D$20*(datos_base!$F$2+IF(parametros_manuales!$H$20="Todos",datos_base!$F$9,0))*parametros_manuales!$M$95+parametros_manuales!$E$20*(datos_base!$F$3+IF(parametros_manuales!$H$20="Todos",datos_base!$F$10,0))*parametros_manuales!$M$100+parametros_manuales!$F$20*(datos_base!$F$4+IF(parametros_manuales!$H$20="Todos",datos_base!$F$11,0))*parametros_manuales!$M$105+parametros_manuales!$G$20*(datos_base!$F$5+IF(parametros_manuales!$H$20="Todos",datos_base!$F$12,0))*parametros_manuales!$M$110)*parametros_manuales!$I$20*parametros_manuales!$J$20</f>
        <v>2321.19</v>
      </c>
      <c r="N111" s="4">
        <f t="shared" si="13"/>
        <v>25791</v>
      </c>
      <c r="O111" s="4">
        <f t="shared" si="14"/>
        <v>2321.19</v>
      </c>
      <c r="P111" s="27">
        <f>O111/(parametros_manuales!$B$7)</f>
        <v>15.4746</v>
      </c>
      <c r="Q111" s="3" t="str">
        <f t="shared" si="15"/>
        <v>Ene</v>
      </c>
    </row>
    <row r="112" ht="14.25" customHeight="1">
      <c r="A112" s="3" t="str">
        <f>parametros_manuales!$B$21</f>
        <v>Corte de tubo — 1 kg</v>
      </c>
      <c r="B112" s="4">
        <f>(parametros_manuales!$D$21*(datos_base!$F$2+IF(parametros_manuales!$H$21="Todos",datos_base!$F$9,0))*parametros_manuales!$B$95+parametros_manuales!$E$21*(datos_base!$F$3+IF(parametros_manuales!$H$21="Todos",datos_base!$F$10,0))*parametros_manuales!$B$100+parametros_manuales!$F$21*(datos_base!$F$4+IF(parametros_manuales!$H$21="Todos",datos_base!$F$11,0))*parametros_manuales!$B$105+parametros_manuales!$G$21*(datos_base!$F$5+IF(parametros_manuales!$H$21="Todos",datos_base!$F$12,0))*parametros_manuales!$B$110)*parametros_manuales!$I$21*parametros_manuales!$J$21</f>
        <v>5590.44</v>
      </c>
      <c r="C112" s="4">
        <f>(parametros_manuales!$D$21*(datos_base!$F$2+IF(parametros_manuales!$H$21="Todos",datos_base!$F$9,0))*parametros_manuales!$C$95+parametros_manuales!$E$21*(datos_base!$F$3+IF(parametros_manuales!$H$21="Todos",datos_base!$F$10,0))*parametros_manuales!$C$100+parametros_manuales!$F$21*(datos_base!$F$4+IF(parametros_manuales!$H$21="Todos",datos_base!$F$11,0))*parametros_manuales!$C$105+parametros_manuales!$G$21*(datos_base!$F$5+IF(parametros_manuales!$H$21="Todos",datos_base!$F$12,0))*parametros_manuales!$C$110)*parametros_manuales!$I$21*parametros_manuales!$J$21</f>
        <v>5590.44</v>
      </c>
      <c r="D112" s="4">
        <f>(parametros_manuales!$D$21*(datos_base!$F$2+IF(parametros_manuales!$H$21="Todos",datos_base!$F$9,0))*parametros_manuales!$D$95+parametros_manuales!$E$21*(datos_base!$F$3+IF(parametros_manuales!$H$21="Todos",datos_base!$F$10,0))*parametros_manuales!$D$100+parametros_manuales!$F$21*(datos_base!$F$4+IF(parametros_manuales!$H$21="Todos",datos_base!$F$11,0))*parametros_manuales!$D$105+parametros_manuales!$G$21*(datos_base!$F$5+IF(parametros_manuales!$H$21="Todos",datos_base!$F$12,0))*parametros_manuales!$D$110)*parametros_manuales!$I$21*parametros_manuales!$J$21</f>
        <v>4969.28</v>
      </c>
      <c r="E112" s="4">
        <f>(parametros_manuales!$D$21*(datos_base!$F$2+IF(parametros_manuales!$H$21="Todos",datos_base!$F$9,0))*parametros_manuales!$E$95+parametros_manuales!$E$21*(datos_base!$F$3+IF(parametros_manuales!$H$21="Todos",datos_base!$F$10,0))*parametros_manuales!$E$100+parametros_manuales!$F$21*(datos_base!$F$4+IF(parametros_manuales!$H$21="Todos",datos_base!$F$11,0))*parametros_manuales!$E$105+parametros_manuales!$G$21*(datos_base!$F$5+IF(parametros_manuales!$H$21="Todos",datos_base!$F$12,0))*parametros_manuales!$E$110)*parametros_manuales!$I$21*parametros_manuales!$J$21</f>
        <v>4658.7</v>
      </c>
      <c r="F112" s="4">
        <f>(parametros_manuales!$D$21*(datos_base!$F$2+IF(parametros_manuales!$H$21="Todos",datos_base!$F$9,0))*parametros_manuales!$F$95+parametros_manuales!$E$21*(datos_base!$F$3+IF(parametros_manuales!$H$21="Todos",datos_base!$F$10,0))*parametros_manuales!$F$100+parametros_manuales!$F$21*(datos_base!$F$4+IF(parametros_manuales!$H$21="Todos",datos_base!$F$11,0))*parametros_manuales!$F$105+parametros_manuales!$G$21*(datos_base!$F$5+IF(parametros_manuales!$H$21="Todos",datos_base!$F$12,0))*parametros_manuales!$F$110)*parametros_manuales!$I$21*parametros_manuales!$J$21</f>
        <v>4348.12</v>
      </c>
      <c r="G112" s="4">
        <f>(parametros_manuales!$D$21*(datos_base!$F$2+IF(parametros_manuales!$H$21="Todos",datos_base!$F$9,0))*parametros_manuales!$G$95+parametros_manuales!$E$21*(datos_base!$F$3+IF(parametros_manuales!$H$21="Todos",datos_base!$F$10,0))*parametros_manuales!$G$100+parametros_manuales!$F$21*(datos_base!$F$4+IF(parametros_manuales!$H$21="Todos",datos_base!$F$11,0))*parametros_manuales!$G$105+parametros_manuales!$G$21*(datos_base!$F$5+IF(parametros_manuales!$H$21="Todos",datos_base!$F$12,0))*parametros_manuales!$G$110)*parametros_manuales!$I$21*parametros_manuales!$J$21</f>
        <v>4348.12</v>
      </c>
      <c r="H112" s="4">
        <f>(parametros_manuales!$D$21*(datos_base!$F$2+IF(parametros_manuales!$H$21="Todos",datos_base!$F$9,0))*parametros_manuales!$H$95+parametros_manuales!$E$21*(datos_base!$F$3+IF(parametros_manuales!$H$21="Todos",datos_base!$F$10,0))*parametros_manuales!$H$100+parametros_manuales!$F$21*(datos_base!$F$4+IF(parametros_manuales!$H$21="Todos",datos_base!$F$11,0))*parametros_manuales!$H$105+parametros_manuales!$G$21*(datos_base!$F$5+IF(parametros_manuales!$H$21="Todos",datos_base!$F$12,0))*parametros_manuales!$H$110)*parametros_manuales!$I$21*parametros_manuales!$J$21</f>
        <v>4658.7</v>
      </c>
      <c r="I112" s="4">
        <f>(parametros_manuales!$D$21*(datos_base!$F$2+IF(parametros_manuales!$H$21="Todos",datos_base!$F$9,0))*parametros_manuales!$I$95+parametros_manuales!$E$21*(datos_base!$F$3+IF(parametros_manuales!$H$21="Todos",datos_base!$F$10,0))*parametros_manuales!$I$100+parametros_manuales!$F$21*(datos_base!$F$4+IF(parametros_manuales!$H$21="Todos",datos_base!$F$11,0))*parametros_manuales!$I$105+parametros_manuales!$G$21*(datos_base!$F$5+IF(parametros_manuales!$H$21="Todos",datos_base!$F$12,0))*parametros_manuales!$I$110)*parametros_manuales!$I$21*parametros_manuales!$J$21</f>
        <v>5590.44</v>
      </c>
      <c r="J112" s="4">
        <f>(parametros_manuales!$D$21*(datos_base!$F$2+IF(parametros_manuales!$H$21="Todos",datos_base!$F$9,0))*parametros_manuales!$J$95+parametros_manuales!$E$21*(datos_base!$F$3+IF(parametros_manuales!$H$21="Todos",datos_base!$F$10,0))*parametros_manuales!$J$100+parametros_manuales!$F$21*(datos_base!$F$4+IF(parametros_manuales!$H$21="Todos",datos_base!$F$11,0))*parametros_manuales!$J$105+parametros_manuales!$G$21*(datos_base!$F$5+IF(parametros_manuales!$H$21="Todos",datos_base!$F$12,0))*parametros_manuales!$J$110)*parametros_manuales!$I$21*parametros_manuales!$J$21</f>
        <v>5590.44</v>
      </c>
      <c r="K112" s="4">
        <f>(parametros_manuales!$D$21*(datos_base!$F$2+IF(parametros_manuales!$H$21="Todos",datos_base!$F$9,0))*parametros_manuales!$K$95+parametros_manuales!$E$21*(datos_base!$F$3+IF(parametros_manuales!$H$21="Todos",datos_base!$F$10,0))*parametros_manuales!$K$100+parametros_manuales!$F$21*(datos_base!$F$4+IF(parametros_manuales!$H$21="Todos",datos_base!$F$11,0))*parametros_manuales!$K$105+parametros_manuales!$G$21*(datos_base!$F$5+IF(parametros_manuales!$H$21="Todos",datos_base!$F$12,0))*parametros_manuales!$K$110)*parametros_manuales!$I$21*parametros_manuales!$J$21</f>
        <v>5590.44</v>
      </c>
      <c r="L112" s="4">
        <f>(parametros_manuales!$D$21*(datos_base!$F$2+IF(parametros_manuales!$H$21="Todos",datos_base!$F$9,0))*parametros_manuales!$L$95+parametros_manuales!$E$21*(datos_base!$F$3+IF(parametros_manuales!$H$21="Todos",datos_base!$F$10,0))*parametros_manuales!$L$100+parametros_manuales!$F$21*(datos_base!$F$4+IF(parametros_manuales!$H$21="Todos",datos_base!$F$11,0))*parametros_manuales!$L$105+parametros_manuales!$G$21*(datos_base!$F$5+IF(parametros_manuales!$H$21="Todos",datos_base!$F$12,0))*parametros_manuales!$L$110)*parametros_manuales!$I$21*parametros_manuales!$J$21</f>
        <v>5590.44</v>
      </c>
      <c r="M112" s="4">
        <f>(parametros_manuales!$D$21*(datos_base!$F$2+IF(parametros_manuales!$H$21="Todos",datos_base!$F$9,0))*parametros_manuales!$M$95+parametros_manuales!$E$21*(datos_base!$F$3+IF(parametros_manuales!$H$21="Todos",datos_base!$F$10,0))*parametros_manuales!$M$100+parametros_manuales!$F$21*(datos_base!$F$4+IF(parametros_manuales!$H$21="Todos",datos_base!$F$11,0))*parametros_manuales!$M$105+parametros_manuales!$G$21*(datos_base!$F$5+IF(parametros_manuales!$H$21="Todos",datos_base!$F$12,0))*parametros_manuales!$M$110)*parametros_manuales!$I$21*parametros_manuales!$J$21</f>
        <v>5590.44</v>
      </c>
      <c r="N112" s="4">
        <f t="shared" si="13"/>
        <v>62116</v>
      </c>
      <c r="O112" s="4">
        <f t="shared" si="14"/>
        <v>5590.44</v>
      </c>
      <c r="P112" s="27">
        <f>O112/(parametros_manuales!$B$7)</f>
        <v>37.2696</v>
      </c>
      <c r="Q112" s="3" t="str">
        <f t="shared" si="15"/>
        <v>Ene</v>
      </c>
    </row>
    <row r="113" ht="14.25" customHeight="1">
      <c r="A113" s="3" t="str">
        <f>parametros_manuales!$B$22</f>
        <v>Corte de disco y embutido (cúpula y fondo)</v>
      </c>
      <c r="B113" s="4">
        <f>(parametros_manuales!$D$22*(datos_base!$F$2+IF(parametros_manuales!$H$22="Todos",datos_base!$F$9,0))*parametros_manuales!$B$95+parametros_manuales!$E$22*(datos_base!$F$3+IF(parametros_manuales!$H$22="Todos",datos_base!$F$10,0))*parametros_manuales!$B$100+parametros_manuales!$F$22*(datos_base!$F$4+IF(parametros_manuales!$H$22="Todos",datos_base!$F$11,0))*parametros_manuales!$B$105+parametros_manuales!$G$22*(datos_base!$F$5+IF(parametros_manuales!$H$22="Todos",datos_base!$F$12,0))*parametros_manuales!$B$110)*parametros_manuales!$I$22*parametros_manuales!$J$22</f>
        <v>15823.26</v>
      </c>
      <c r="C113" s="4">
        <f>(parametros_manuales!$D$22*(datos_base!$F$2+IF(parametros_manuales!$H$22="Todos",datos_base!$F$9,0))*parametros_manuales!$C$95+parametros_manuales!$E$22*(datos_base!$F$3+IF(parametros_manuales!$H$22="Todos",datos_base!$F$10,0))*parametros_manuales!$C$100+parametros_manuales!$F$22*(datos_base!$F$4+IF(parametros_manuales!$H$22="Todos",datos_base!$F$11,0))*parametros_manuales!$C$105+parametros_manuales!$G$22*(datos_base!$F$5+IF(parametros_manuales!$H$22="Todos",datos_base!$F$12,0))*parametros_manuales!$C$110)*parametros_manuales!$I$22*parametros_manuales!$J$22</f>
        <v>15307.44</v>
      </c>
      <c r="D113" s="4">
        <f>(parametros_manuales!$D$22*(datos_base!$F$2+IF(parametros_manuales!$H$22="Todos",datos_base!$F$9,0))*parametros_manuales!$D$95+parametros_manuales!$E$22*(datos_base!$F$3+IF(parametros_manuales!$H$22="Todos",datos_base!$F$10,0))*parametros_manuales!$D$100+parametros_manuales!$F$22*(datos_base!$F$4+IF(parametros_manuales!$H$22="Todos",datos_base!$F$11,0))*parametros_manuales!$D$105+parametros_manuales!$G$22*(datos_base!$F$5+IF(parametros_manuales!$H$22="Todos",datos_base!$F$12,0))*parametros_manuales!$D$110)*parametros_manuales!$I$22*parametros_manuales!$J$22</f>
        <v>14323.03</v>
      </c>
      <c r="E113" s="4">
        <f>(parametros_manuales!$D$22*(datos_base!$F$2+IF(parametros_manuales!$H$22="Todos",datos_base!$F$9,0))*parametros_manuales!$E$95+parametros_manuales!$E$22*(datos_base!$F$3+IF(parametros_manuales!$H$22="Todos",datos_base!$F$10,0))*parametros_manuales!$E$100+parametros_manuales!$F$22*(datos_base!$F$4+IF(parametros_manuales!$H$22="Todos",datos_base!$F$11,0))*parametros_manuales!$E$105+parametros_manuales!$G$22*(datos_base!$F$5+IF(parametros_manuales!$H$22="Todos",datos_base!$F$12,0))*parametros_manuales!$E$110)*parametros_manuales!$I$22*parametros_manuales!$J$22</f>
        <v>13701.87</v>
      </c>
      <c r="F113" s="4">
        <f>(parametros_manuales!$D$22*(datos_base!$F$2+IF(parametros_manuales!$H$22="Todos",datos_base!$F$9,0))*parametros_manuales!$F$95+parametros_manuales!$E$22*(datos_base!$F$3+IF(parametros_manuales!$H$22="Todos",datos_base!$F$10,0))*parametros_manuales!$F$100+parametros_manuales!$F$22*(datos_base!$F$4+IF(parametros_manuales!$H$22="Todos",datos_base!$F$11,0))*parametros_manuales!$F$105+parametros_manuales!$G$22*(datos_base!$F$5+IF(parametros_manuales!$H$22="Todos",datos_base!$F$12,0))*parametros_manuales!$F$110)*parametros_manuales!$I$22*parametros_manuales!$J$22</f>
        <v>12822.8</v>
      </c>
      <c r="G113" s="4">
        <f>(parametros_manuales!$D$22*(datos_base!$F$2+IF(parametros_manuales!$H$22="Todos",datos_base!$F$9,0))*parametros_manuales!$G$95+parametros_manuales!$E$22*(datos_base!$F$3+IF(parametros_manuales!$H$22="Todos",datos_base!$F$10,0))*parametros_manuales!$G$100+parametros_manuales!$F$22*(datos_base!$F$4+IF(parametros_manuales!$H$22="Todos",datos_base!$F$11,0))*parametros_manuales!$G$105+parametros_manuales!$G$22*(datos_base!$F$5+IF(parametros_manuales!$H$22="Todos",datos_base!$F$12,0))*parametros_manuales!$G$110)*parametros_manuales!$I$22*parametros_manuales!$J$22</f>
        <v>12564.89</v>
      </c>
      <c r="H113" s="4">
        <f>(parametros_manuales!$D$22*(datos_base!$F$2+IF(parametros_manuales!$H$22="Todos",datos_base!$F$9,0))*parametros_manuales!$H$95+parametros_manuales!$E$22*(datos_base!$F$3+IF(parametros_manuales!$H$22="Todos",datos_base!$F$10,0))*parametros_manuales!$H$100+parametros_manuales!$F$22*(datos_base!$F$4+IF(parametros_manuales!$H$22="Todos",datos_base!$F$11,0))*parametros_manuales!$H$105+parametros_manuales!$G$22*(datos_base!$F$5+IF(parametros_manuales!$H$22="Todos",datos_base!$F$12,0))*parametros_manuales!$H$110)*parametros_manuales!$I$22*parametros_manuales!$J$22</f>
        <v>13443.96</v>
      </c>
      <c r="I113" s="4">
        <f>(parametros_manuales!$D$22*(datos_base!$F$2+IF(parametros_manuales!$H$22="Todos",datos_base!$F$9,0))*parametros_manuales!$I$95+parametros_manuales!$E$22*(datos_base!$F$3+IF(parametros_manuales!$H$22="Todos",datos_base!$F$10,0))*parametros_manuales!$I$100+parametros_manuales!$F$22*(datos_base!$F$4+IF(parametros_manuales!$H$22="Todos",datos_base!$F$11,0))*parametros_manuales!$I$105+parametros_manuales!$G$22*(datos_base!$F$5+IF(parametros_manuales!$H$22="Todos",datos_base!$F$12,0))*parametros_manuales!$I$110)*parametros_manuales!$I$22*parametros_manuales!$J$22</f>
        <v>15307.44</v>
      </c>
      <c r="J113" s="4">
        <f>(parametros_manuales!$D$22*(datos_base!$F$2+IF(parametros_manuales!$H$22="Todos",datos_base!$F$9,0))*parametros_manuales!$J$95+parametros_manuales!$E$22*(datos_base!$F$3+IF(parametros_manuales!$H$22="Todos",datos_base!$F$10,0))*parametros_manuales!$J$100+parametros_manuales!$F$22*(datos_base!$F$4+IF(parametros_manuales!$H$22="Todos",datos_base!$F$11,0))*parametros_manuales!$J$105+parametros_manuales!$G$22*(datos_base!$F$5+IF(parametros_manuales!$H$22="Todos",datos_base!$F$12,0))*parametros_manuales!$J$110)*parametros_manuales!$I$22*parametros_manuales!$J$22</f>
        <v>15307.44</v>
      </c>
      <c r="K113" s="4">
        <f>(parametros_manuales!$D$22*(datos_base!$F$2+IF(parametros_manuales!$H$22="Todos",datos_base!$F$9,0))*parametros_manuales!$K$95+parametros_manuales!$E$22*(datos_base!$F$3+IF(parametros_manuales!$H$22="Todos",datos_base!$F$10,0))*parametros_manuales!$K$100+parametros_manuales!$F$22*(datos_base!$F$4+IF(parametros_manuales!$H$22="Todos",datos_base!$F$11,0))*parametros_manuales!$K$105+parametros_manuales!$G$22*(datos_base!$F$5+IF(parametros_manuales!$H$22="Todos",datos_base!$F$12,0))*parametros_manuales!$K$110)*parametros_manuales!$I$22*parametros_manuales!$J$22</f>
        <v>15565.35</v>
      </c>
      <c r="L113" s="4">
        <f>(parametros_manuales!$D$22*(datos_base!$F$2+IF(parametros_manuales!$H$22="Todos",datos_base!$F$9,0))*parametros_manuales!$L$95+parametros_manuales!$E$22*(datos_base!$F$3+IF(parametros_manuales!$H$22="Todos",datos_base!$F$10,0))*parametros_manuales!$L$100+parametros_manuales!$F$22*(datos_base!$F$4+IF(parametros_manuales!$H$22="Todos",datos_base!$F$11,0))*parametros_manuales!$L$105+parametros_manuales!$G$22*(datos_base!$F$5+IF(parametros_manuales!$H$22="Todos",datos_base!$F$12,0))*parametros_manuales!$L$110)*parametros_manuales!$I$22*parametros_manuales!$J$22</f>
        <v>15823.26</v>
      </c>
      <c r="M113" s="4">
        <f>(parametros_manuales!$D$22*(datos_base!$F$2+IF(parametros_manuales!$H$22="Todos",datos_base!$F$9,0))*parametros_manuales!$M$95+parametros_manuales!$E$22*(datos_base!$F$3+IF(parametros_manuales!$H$22="Todos",datos_base!$F$10,0))*parametros_manuales!$M$100+parametros_manuales!$F$22*(datos_base!$F$4+IF(parametros_manuales!$H$22="Todos",datos_base!$F$11,0))*parametros_manuales!$M$105+parametros_manuales!$G$22*(datos_base!$F$5+IF(parametros_manuales!$H$22="Todos",datos_base!$F$12,0))*parametros_manuales!$M$110)*parametros_manuales!$I$22*parametros_manuales!$J$22</f>
        <v>15823.26</v>
      </c>
      <c r="N113" s="4">
        <f t="shared" si="13"/>
        <v>175814</v>
      </c>
      <c r="O113" s="4">
        <f t="shared" si="14"/>
        <v>15823.26</v>
      </c>
      <c r="P113" s="27">
        <f>O113/(parametros_manuales!$B$7)</f>
        <v>105.4884</v>
      </c>
      <c r="Q113" s="3" t="str">
        <f t="shared" si="15"/>
        <v>Ene</v>
      </c>
    </row>
    <row r="114" ht="14.25" customHeight="1">
      <c r="A114" s="3" t="str">
        <f>parametros_manuales!$B$23</f>
        <v>Preparación de cuello</v>
      </c>
      <c r="B114" s="4">
        <f>(parametros_manuales!$D$23*(datos_base!$F$2+IF(parametros_manuales!$H$23="Todos",datos_base!$F$9,0))*parametros_manuales!$B$95+parametros_manuales!$E$23*(datos_base!$F$3+IF(parametros_manuales!$H$23="Todos",datos_base!$F$10,0))*parametros_manuales!$B$100+parametros_manuales!$F$23*(datos_base!$F$4+IF(parametros_manuales!$H$23="Todos",datos_base!$F$11,0))*parametros_manuales!$B$105+parametros_manuales!$G$23*(datos_base!$F$5+IF(parametros_manuales!$H$23="Todos",datos_base!$F$12,0))*parametros_manuales!$B$110)*parametros_manuales!$I$23*parametros_manuales!$J$23</f>
        <v>7911.63</v>
      </c>
      <c r="C114" s="4">
        <f>(parametros_manuales!$D$23*(datos_base!$F$2+IF(parametros_manuales!$H$23="Todos",datos_base!$F$9,0))*parametros_manuales!$C$95+parametros_manuales!$E$23*(datos_base!$F$3+IF(parametros_manuales!$H$23="Todos",datos_base!$F$10,0))*parametros_manuales!$C$100+parametros_manuales!$F$23*(datos_base!$F$4+IF(parametros_manuales!$H$23="Todos",datos_base!$F$11,0))*parametros_manuales!$C$105+parametros_manuales!$G$23*(datos_base!$F$5+IF(parametros_manuales!$H$23="Todos",datos_base!$F$12,0))*parametros_manuales!$C$110)*parametros_manuales!$I$23*parametros_manuales!$J$23</f>
        <v>7653.72</v>
      </c>
      <c r="D114" s="4">
        <f>(parametros_manuales!$D$23*(datos_base!$F$2+IF(parametros_manuales!$H$23="Todos",datos_base!$F$9,0))*parametros_manuales!$D$95+parametros_manuales!$E$23*(datos_base!$F$3+IF(parametros_manuales!$H$23="Todos",datos_base!$F$10,0))*parametros_manuales!$D$100+parametros_manuales!$F$23*(datos_base!$F$4+IF(parametros_manuales!$H$23="Todos",datos_base!$F$11,0))*parametros_manuales!$D$105+parametros_manuales!$G$23*(datos_base!$F$5+IF(parametros_manuales!$H$23="Todos",datos_base!$F$12,0))*parametros_manuales!$D$110)*parametros_manuales!$I$23*parametros_manuales!$J$23</f>
        <v>7161.515</v>
      </c>
      <c r="E114" s="4">
        <f>(parametros_manuales!$D$23*(datos_base!$F$2+IF(parametros_manuales!$H$23="Todos",datos_base!$F$9,0))*parametros_manuales!$E$95+parametros_manuales!$E$23*(datos_base!$F$3+IF(parametros_manuales!$H$23="Todos",datos_base!$F$10,0))*parametros_manuales!$E$100+parametros_manuales!$F$23*(datos_base!$F$4+IF(parametros_manuales!$H$23="Todos",datos_base!$F$11,0))*parametros_manuales!$E$105+parametros_manuales!$G$23*(datos_base!$F$5+IF(parametros_manuales!$H$23="Todos",datos_base!$F$12,0))*parametros_manuales!$E$110)*parametros_manuales!$I$23*parametros_manuales!$J$23</f>
        <v>6850.935</v>
      </c>
      <c r="F114" s="4">
        <f>(parametros_manuales!$D$23*(datos_base!$F$2+IF(parametros_manuales!$H$23="Todos",datos_base!$F$9,0))*parametros_manuales!$F$95+parametros_manuales!$E$23*(datos_base!$F$3+IF(parametros_manuales!$H$23="Todos",datos_base!$F$10,0))*parametros_manuales!$F$100+parametros_manuales!$F$23*(datos_base!$F$4+IF(parametros_manuales!$H$23="Todos",datos_base!$F$11,0))*parametros_manuales!$F$105+parametros_manuales!$G$23*(datos_base!$F$5+IF(parametros_manuales!$H$23="Todos",datos_base!$F$12,0))*parametros_manuales!$F$110)*parametros_manuales!$I$23*parametros_manuales!$J$23</f>
        <v>6411.4</v>
      </c>
      <c r="G114" s="4">
        <f>(parametros_manuales!$D$23*(datos_base!$F$2+IF(parametros_manuales!$H$23="Todos",datos_base!$F$9,0))*parametros_manuales!$G$95+parametros_manuales!$E$23*(datos_base!$F$3+IF(parametros_manuales!$H$23="Todos",datos_base!$F$10,0))*parametros_manuales!$G$100+parametros_manuales!$F$23*(datos_base!$F$4+IF(parametros_manuales!$H$23="Todos",datos_base!$F$11,0))*parametros_manuales!$G$105+parametros_manuales!$G$23*(datos_base!$F$5+IF(parametros_manuales!$H$23="Todos",datos_base!$F$12,0))*parametros_manuales!$G$110)*parametros_manuales!$I$23*parametros_manuales!$J$23</f>
        <v>6282.445</v>
      </c>
      <c r="H114" s="4">
        <f>(parametros_manuales!$D$23*(datos_base!$F$2+IF(parametros_manuales!$H$23="Todos",datos_base!$F$9,0))*parametros_manuales!$H$95+parametros_manuales!$E$23*(datos_base!$F$3+IF(parametros_manuales!$H$23="Todos",datos_base!$F$10,0))*parametros_manuales!$H$100+parametros_manuales!$F$23*(datos_base!$F$4+IF(parametros_manuales!$H$23="Todos",datos_base!$F$11,0))*parametros_manuales!$H$105+parametros_manuales!$G$23*(datos_base!$F$5+IF(parametros_manuales!$H$23="Todos",datos_base!$F$12,0))*parametros_manuales!$H$110)*parametros_manuales!$I$23*parametros_manuales!$J$23</f>
        <v>6721.98</v>
      </c>
      <c r="I114" s="4">
        <f>(parametros_manuales!$D$23*(datos_base!$F$2+IF(parametros_manuales!$H$23="Todos",datos_base!$F$9,0))*parametros_manuales!$I$95+parametros_manuales!$E$23*(datos_base!$F$3+IF(parametros_manuales!$H$23="Todos",datos_base!$F$10,0))*parametros_manuales!$I$100+parametros_manuales!$F$23*(datos_base!$F$4+IF(parametros_manuales!$H$23="Todos",datos_base!$F$11,0))*parametros_manuales!$I$105+parametros_manuales!$G$23*(datos_base!$F$5+IF(parametros_manuales!$H$23="Todos",datos_base!$F$12,0))*parametros_manuales!$I$110)*parametros_manuales!$I$23*parametros_manuales!$J$23</f>
        <v>7653.72</v>
      </c>
      <c r="J114" s="4">
        <f>(parametros_manuales!$D$23*(datos_base!$F$2+IF(parametros_manuales!$H$23="Todos",datos_base!$F$9,0))*parametros_manuales!$J$95+parametros_manuales!$E$23*(datos_base!$F$3+IF(parametros_manuales!$H$23="Todos",datos_base!$F$10,0))*parametros_manuales!$J$100+parametros_manuales!$F$23*(datos_base!$F$4+IF(parametros_manuales!$H$23="Todos",datos_base!$F$11,0))*parametros_manuales!$J$105+parametros_manuales!$G$23*(datos_base!$F$5+IF(parametros_manuales!$H$23="Todos",datos_base!$F$12,0))*parametros_manuales!$J$110)*parametros_manuales!$I$23*parametros_manuales!$J$23</f>
        <v>7653.72</v>
      </c>
      <c r="K114" s="4">
        <f>(parametros_manuales!$D$23*(datos_base!$F$2+IF(parametros_manuales!$H$23="Todos",datos_base!$F$9,0))*parametros_manuales!$K$95+parametros_manuales!$E$23*(datos_base!$F$3+IF(parametros_manuales!$H$23="Todos",datos_base!$F$10,0))*parametros_manuales!$K$100+parametros_manuales!$F$23*(datos_base!$F$4+IF(parametros_manuales!$H$23="Todos",datos_base!$F$11,0))*parametros_manuales!$K$105+parametros_manuales!$G$23*(datos_base!$F$5+IF(parametros_manuales!$H$23="Todos",datos_base!$F$12,0))*parametros_manuales!$K$110)*parametros_manuales!$I$23*parametros_manuales!$J$23</f>
        <v>7782.675</v>
      </c>
      <c r="L114" s="4">
        <f>(parametros_manuales!$D$23*(datos_base!$F$2+IF(parametros_manuales!$H$23="Todos",datos_base!$F$9,0))*parametros_manuales!$L$95+parametros_manuales!$E$23*(datos_base!$F$3+IF(parametros_manuales!$H$23="Todos",datos_base!$F$10,0))*parametros_manuales!$L$100+parametros_manuales!$F$23*(datos_base!$F$4+IF(parametros_manuales!$H$23="Todos",datos_base!$F$11,0))*parametros_manuales!$L$105+parametros_manuales!$G$23*(datos_base!$F$5+IF(parametros_manuales!$H$23="Todos",datos_base!$F$12,0))*parametros_manuales!$L$110)*parametros_manuales!$I$23*parametros_manuales!$J$23</f>
        <v>7911.63</v>
      </c>
      <c r="M114" s="4">
        <f>(parametros_manuales!$D$23*(datos_base!$F$2+IF(parametros_manuales!$H$23="Todos",datos_base!$F$9,0))*parametros_manuales!$M$95+parametros_manuales!$E$23*(datos_base!$F$3+IF(parametros_manuales!$H$23="Todos",datos_base!$F$10,0))*parametros_manuales!$M$100+parametros_manuales!$F$23*(datos_base!$F$4+IF(parametros_manuales!$H$23="Todos",datos_base!$F$11,0))*parametros_manuales!$M$105+parametros_manuales!$G$23*(datos_base!$F$5+IF(parametros_manuales!$H$23="Todos",datos_base!$F$12,0))*parametros_manuales!$M$110)*parametros_manuales!$I$23*parametros_manuales!$J$23</f>
        <v>7911.63</v>
      </c>
      <c r="N114" s="4">
        <f t="shared" si="13"/>
        <v>87907</v>
      </c>
      <c r="O114" s="4">
        <f t="shared" si="14"/>
        <v>7911.63</v>
      </c>
      <c r="P114" s="27">
        <f>O114/(parametros_manuales!$B$7)</f>
        <v>52.7442</v>
      </c>
      <c r="Q114" s="3" t="str">
        <f t="shared" si="15"/>
        <v>Ene</v>
      </c>
    </row>
    <row r="115" ht="14.25" customHeight="1">
      <c r="A115" s="3" t="str">
        <f>parametros_manuales!$B$24</f>
        <v>Numerado de cúpula</v>
      </c>
      <c r="B115" s="4">
        <f>(parametros_manuales!$D$24*(datos_base!$F$2+IF(parametros_manuales!$H$24="Todos",datos_base!$F$9,0))*parametros_manuales!$B$95+parametros_manuales!$E$24*(datos_base!$F$3+IF(parametros_manuales!$H$24="Todos",datos_base!$F$10,0))*parametros_manuales!$B$100+parametros_manuales!$F$24*(datos_base!$F$4+IF(parametros_manuales!$H$24="Todos",datos_base!$F$11,0))*parametros_manuales!$B$105+parametros_manuales!$G$24*(datos_base!$F$5+IF(parametros_manuales!$H$24="Todos",datos_base!$F$12,0))*parametros_manuales!$B$110)*parametros_manuales!$I$24*parametros_manuales!$J$24</f>
        <v>7911.63</v>
      </c>
      <c r="C115" s="4">
        <f>(parametros_manuales!$D$24*(datos_base!$F$2+IF(parametros_manuales!$H$24="Todos",datos_base!$F$9,0))*parametros_manuales!$C$95+parametros_manuales!$E$24*(datos_base!$F$3+IF(parametros_manuales!$H$24="Todos",datos_base!$F$10,0))*parametros_manuales!$C$100+parametros_manuales!$F$24*(datos_base!$F$4+IF(parametros_manuales!$H$24="Todos",datos_base!$F$11,0))*parametros_manuales!$C$105+parametros_manuales!$G$24*(datos_base!$F$5+IF(parametros_manuales!$H$24="Todos",datos_base!$F$12,0))*parametros_manuales!$C$110)*parametros_manuales!$I$24*parametros_manuales!$J$24</f>
        <v>7653.72</v>
      </c>
      <c r="D115" s="4">
        <f>(parametros_manuales!$D$24*(datos_base!$F$2+IF(parametros_manuales!$H$24="Todos",datos_base!$F$9,0))*parametros_manuales!$D$95+parametros_manuales!$E$24*(datos_base!$F$3+IF(parametros_manuales!$H$24="Todos",datos_base!$F$10,0))*parametros_manuales!$D$100+parametros_manuales!$F$24*(datos_base!$F$4+IF(parametros_manuales!$H$24="Todos",datos_base!$F$11,0))*parametros_manuales!$D$105+parametros_manuales!$G$24*(datos_base!$F$5+IF(parametros_manuales!$H$24="Todos",datos_base!$F$12,0))*parametros_manuales!$D$110)*parametros_manuales!$I$24*parametros_manuales!$J$24</f>
        <v>7161.515</v>
      </c>
      <c r="E115" s="4">
        <f>(parametros_manuales!$D$24*(datos_base!$F$2+IF(parametros_manuales!$H$24="Todos",datos_base!$F$9,0))*parametros_manuales!$E$95+parametros_manuales!$E$24*(datos_base!$F$3+IF(parametros_manuales!$H$24="Todos",datos_base!$F$10,0))*parametros_manuales!$E$100+parametros_manuales!$F$24*(datos_base!$F$4+IF(parametros_manuales!$H$24="Todos",datos_base!$F$11,0))*parametros_manuales!$E$105+parametros_manuales!$G$24*(datos_base!$F$5+IF(parametros_manuales!$H$24="Todos",datos_base!$F$12,0))*parametros_manuales!$E$110)*parametros_manuales!$I$24*parametros_manuales!$J$24</f>
        <v>6850.935</v>
      </c>
      <c r="F115" s="4">
        <f>(parametros_manuales!$D$24*(datos_base!$F$2+IF(parametros_manuales!$H$24="Todos",datos_base!$F$9,0))*parametros_manuales!$F$95+parametros_manuales!$E$24*(datos_base!$F$3+IF(parametros_manuales!$H$24="Todos",datos_base!$F$10,0))*parametros_manuales!$F$100+parametros_manuales!$F$24*(datos_base!$F$4+IF(parametros_manuales!$H$24="Todos",datos_base!$F$11,0))*parametros_manuales!$F$105+parametros_manuales!$G$24*(datos_base!$F$5+IF(parametros_manuales!$H$24="Todos",datos_base!$F$12,0))*parametros_manuales!$F$110)*parametros_manuales!$I$24*parametros_manuales!$J$24</f>
        <v>6411.4</v>
      </c>
      <c r="G115" s="4">
        <f>(parametros_manuales!$D$24*(datos_base!$F$2+IF(parametros_manuales!$H$24="Todos",datos_base!$F$9,0))*parametros_manuales!$G$95+parametros_manuales!$E$24*(datos_base!$F$3+IF(parametros_manuales!$H$24="Todos",datos_base!$F$10,0))*parametros_manuales!$G$100+parametros_manuales!$F$24*(datos_base!$F$4+IF(parametros_manuales!$H$24="Todos",datos_base!$F$11,0))*parametros_manuales!$G$105+parametros_manuales!$G$24*(datos_base!$F$5+IF(parametros_manuales!$H$24="Todos",datos_base!$F$12,0))*parametros_manuales!$G$110)*parametros_manuales!$I$24*parametros_manuales!$J$24</f>
        <v>6282.445</v>
      </c>
      <c r="H115" s="4">
        <f>(parametros_manuales!$D$24*(datos_base!$F$2+IF(parametros_manuales!$H$24="Todos",datos_base!$F$9,0))*parametros_manuales!$H$95+parametros_manuales!$E$24*(datos_base!$F$3+IF(parametros_manuales!$H$24="Todos",datos_base!$F$10,0))*parametros_manuales!$H$100+parametros_manuales!$F$24*(datos_base!$F$4+IF(parametros_manuales!$H$24="Todos",datos_base!$F$11,0))*parametros_manuales!$H$105+parametros_manuales!$G$24*(datos_base!$F$5+IF(parametros_manuales!$H$24="Todos",datos_base!$F$12,0))*parametros_manuales!$H$110)*parametros_manuales!$I$24*parametros_manuales!$J$24</f>
        <v>6721.98</v>
      </c>
      <c r="I115" s="4">
        <f>(parametros_manuales!$D$24*(datos_base!$F$2+IF(parametros_manuales!$H$24="Todos",datos_base!$F$9,0))*parametros_manuales!$I$95+parametros_manuales!$E$24*(datos_base!$F$3+IF(parametros_manuales!$H$24="Todos",datos_base!$F$10,0))*parametros_manuales!$I$100+parametros_manuales!$F$24*(datos_base!$F$4+IF(parametros_manuales!$H$24="Todos",datos_base!$F$11,0))*parametros_manuales!$I$105+parametros_manuales!$G$24*(datos_base!$F$5+IF(parametros_manuales!$H$24="Todos",datos_base!$F$12,0))*parametros_manuales!$I$110)*parametros_manuales!$I$24*parametros_manuales!$J$24</f>
        <v>7653.72</v>
      </c>
      <c r="J115" s="4">
        <f>(parametros_manuales!$D$24*(datos_base!$F$2+IF(parametros_manuales!$H$24="Todos",datos_base!$F$9,0))*parametros_manuales!$J$95+parametros_manuales!$E$24*(datos_base!$F$3+IF(parametros_manuales!$H$24="Todos",datos_base!$F$10,0))*parametros_manuales!$J$100+parametros_manuales!$F$24*(datos_base!$F$4+IF(parametros_manuales!$H$24="Todos",datos_base!$F$11,0))*parametros_manuales!$J$105+parametros_manuales!$G$24*(datos_base!$F$5+IF(parametros_manuales!$H$24="Todos",datos_base!$F$12,0))*parametros_manuales!$J$110)*parametros_manuales!$I$24*parametros_manuales!$J$24</f>
        <v>7653.72</v>
      </c>
      <c r="K115" s="4">
        <f>(parametros_manuales!$D$24*(datos_base!$F$2+IF(parametros_manuales!$H$24="Todos",datos_base!$F$9,0))*parametros_manuales!$K$95+parametros_manuales!$E$24*(datos_base!$F$3+IF(parametros_manuales!$H$24="Todos",datos_base!$F$10,0))*parametros_manuales!$K$100+parametros_manuales!$F$24*(datos_base!$F$4+IF(parametros_manuales!$H$24="Todos",datos_base!$F$11,0))*parametros_manuales!$K$105+parametros_manuales!$G$24*(datos_base!$F$5+IF(parametros_manuales!$H$24="Todos",datos_base!$F$12,0))*parametros_manuales!$K$110)*parametros_manuales!$I$24*parametros_manuales!$J$24</f>
        <v>7782.675</v>
      </c>
      <c r="L115" s="4">
        <f>(parametros_manuales!$D$24*(datos_base!$F$2+IF(parametros_manuales!$H$24="Todos",datos_base!$F$9,0))*parametros_manuales!$L$95+parametros_manuales!$E$24*(datos_base!$F$3+IF(parametros_manuales!$H$24="Todos",datos_base!$F$10,0))*parametros_manuales!$L$100+parametros_manuales!$F$24*(datos_base!$F$4+IF(parametros_manuales!$H$24="Todos",datos_base!$F$11,0))*parametros_manuales!$L$105+parametros_manuales!$G$24*(datos_base!$F$5+IF(parametros_manuales!$H$24="Todos",datos_base!$F$12,0))*parametros_manuales!$L$110)*parametros_manuales!$I$24*parametros_manuales!$J$24</f>
        <v>7911.63</v>
      </c>
      <c r="M115" s="4">
        <f>(parametros_manuales!$D$24*(datos_base!$F$2+IF(parametros_manuales!$H$24="Todos",datos_base!$F$9,0))*parametros_manuales!$M$95+parametros_manuales!$E$24*(datos_base!$F$3+IF(parametros_manuales!$H$24="Todos",datos_base!$F$10,0))*parametros_manuales!$M$100+parametros_manuales!$F$24*(datos_base!$F$4+IF(parametros_manuales!$H$24="Todos",datos_base!$F$11,0))*parametros_manuales!$M$105+parametros_manuales!$G$24*(datos_base!$F$5+IF(parametros_manuales!$H$24="Todos",datos_base!$F$12,0))*parametros_manuales!$M$110)*parametros_manuales!$I$24*parametros_manuales!$J$24</f>
        <v>7911.63</v>
      </c>
      <c r="N115" s="4">
        <f t="shared" si="13"/>
        <v>87907</v>
      </c>
      <c r="O115" s="4">
        <f t="shared" si="14"/>
        <v>7911.63</v>
      </c>
      <c r="P115" s="27">
        <f>O115/(parametros_manuales!$B$7)</f>
        <v>52.7442</v>
      </c>
      <c r="Q115" s="3" t="str">
        <f t="shared" si="15"/>
        <v>Ene</v>
      </c>
    </row>
    <row r="116" ht="14.25" customHeight="1">
      <c r="A116" s="3" t="str">
        <f>parametros_manuales!$B$25</f>
        <v>Soldadura del cuello a la cúpula</v>
      </c>
      <c r="B116" s="4">
        <f>(parametros_manuales!$D$25*(datos_base!$F$2+IF(parametros_manuales!$H$25="Todos",datos_base!$F$9,0))*parametros_manuales!$B$95+parametros_manuales!$E$25*(datos_base!$F$3+IF(parametros_manuales!$H$25="Todos",datos_base!$F$10,0))*parametros_manuales!$B$100+parametros_manuales!$F$25*(datos_base!$F$4+IF(parametros_manuales!$H$25="Todos",datos_base!$F$11,0))*parametros_manuales!$B$105+parametros_manuales!$G$25*(datos_base!$F$5+IF(parametros_manuales!$H$25="Todos",datos_base!$F$12,0))*parametros_manuales!$B$110)*parametros_manuales!$I$25*parametros_manuales!$J$25</f>
        <v>7911.63</v>
      </c>
      <c r="C116" s="4">
        <f>(parametros_manuales!$D$25*(datos_base!$F$2+IF(parametros_manuales!$H$25="Todos",datos_base!$F$9,0))*parametros_manuales!$C$95+parametros_manuales!$E$25*(datos_base!$F$3+IF(parametros_manuales!$H$25="Todos",datos_base!$F$10,0))*parametros_manuales!$C$100+parametros_manuales!$F$25*(datos_base!$F$4+IF(parametros_manuales!$H$25="Todos",datos_base!$F$11,0))*parametros_manuales!$C$105+parametros_manuales!$G$25*(datos_base!$F$5+IF(parametros_manuales!$H$25="Todos",datos_base!$F$12,0))*parametros_manuales!$C$110)*parametros_manuales!$I$25*parametros_manuales!$J$25</f>
        <v>7653.72</v>
      </c>
      <c r="D116" s="4">
        <f>(parametros_manuales!$D$25*(datos_base!$F$2+IF(parametros_manuales!$H$25="Todos",datos_base!$F$9,0))*parametros_manuales!$D$95+parametros_manuales!$E$25*(datos_base!$F$3+IF(parametros_manuales!$H$25="Todos",datos_base!$F$10,0))*parametros_manuales!$D$100+parametros_manuales!$F$25*(datos_base!$F$4+IF(parametros_manuales!$H$25="Todos",datos_base!$F$11,0))*parametros_manuales!$D$105+parametros_manuales!$G$25*(datos_base!$F$5+IF(parametros_manuales!$H$25="Todos",datos_base!$F$12,0))*parametros_manuales!$D$110)*parametros_manuales!$I$25*parametros_manuales!$J$25</f>
        <v>7161.515</v>
      </c>
      <c r="E116" s="4">
        <f>(parametros_manuales!$D$25*(datos_base!$F$2+IF(parametros_manuales!$H$25="Todos",datos_base!$F$9,0))*parametros_manuales!$E$95+parametros_manuales!$E$25*(datos_base!$F$3+IF(parametros_manuales!$H$25="Todos",datos_base!$F$10,0))*parametros_manuales!$E$100+parametros_manuales!$F$25*(datos_base!$F$4+IF(parametros_manuales!$H$25="Todos",datos_base!$F$11,0))*parametros_manuales!$E$105+parametros_manuales!$G$25*(datos_base!$F$5+IF(parametros_manuales!$H$25="Todos",datos_base!$F$12,0))*parametros_manuales!$E$110)*parametros_manuales!$I$25*parametros_manuales!$J$25</f>
        <v>6850.935</v>
      </c>
      <c r="F116" s="4">
        <f>(parametros_manuales!$D$25*(datos_base!$F$2+IF(parametros_manuales!$H$25="Todos",datos_base!$F$9,0))*parametros_manuales!$F$95+parametros_manuales!$E$25*(datos_base!$F$3+IF(parametros_manuales!$H$25="Todos",datos_base!$F$10,0))*parametros_manuales!$F$100+parametros_manuales!$F$25*(datos_base!$F$4+IF(parametros_manuales!$H$25="Todos",datos_base!$F$11,0))*parametros_manuales!$F$105+parametros_manuales!$G$25*(datos_base!$F$5+IF(parametros_manuales!$H$25="Todos",datos_base!$F$12,0))*parametros_manuales!$F$110)*parametros_manuales!$I$25*parametros_manuales!$J$25</f>
        <v>6411.4</v>
      </c>
      <c r="G116" s="4">
        <f>(parametros_manuales!$D$25*(datos_base!$F$2+IF(parametros_manuales!$H$25="Todos",datos_base!$F$9,0))*parametros_manuales!$G$95+parametros_manuales!$E$25*(datos_base!$F$3+IF(parametros_manuales!$H$25="Todos",datos_base!$F$10,0))*parametros_manuales!$G$100+parametros_manuales!$F$25*(datos_base!$F$4+IF(parametros_manuales!$H$25="Todos",datos_base!$F$11,0))*parametros_manuales!$G$105+parametros_manuales!$G$25*(datos_base!$F$5+IF(parametros_manuales!$H$25="Todos",datos_base!$F$12,0))*parametros_manuales!$G$110)*parametros_manuales!$I$25*parametros_manuales!$J$25</f>
        <v>6282.445</v>
      </c>
      <c r="H116" s="4">
        <f>(parametros_manuales!$D$25*(datos_base!$F$2+IF(parametros_manuales!$H$25="Todos",datos_base!$F$9,0))*parametros_manuales!$H$95+parametros_manuales!$E$25*(datos_base!$F$3+IF(parametros_manuales!$H$25="Todos",datos_base!$F$10,0))*parametros_manuales!$H$100+parametros_manuales!$F$25*(datos_base!$F$4+IF(parametros_manuales!$H$25="Todos",datos_base!$F$11,0))*parametros_manuales!$H$105+parametros_manuales!$G$25*(datos_base!$F$5+IF(parametros_manuales!$H$25="Todos",datos_base!$F$12,0))*parametros_manuales!$H$110)*parametros_manuales!$I$25*parametros_manuales!$J$25</f>
        <v>6721.98</v>
      </c>
      <c r="I116" s="4">
        <f>(parametros_manuales!$D$25*(datos_base!$F$2+IF(parametros_manuales!$H$25="Todos",datos_base!$F$9,0))*parametros_manuales!$I$95+parametros_manuales!$E$25*(datos_base!$F$3+IF(parametros_manuales!$H$25="Todos",datos_base!$F$10,0))*parametros_manuales!$I$100+parametros_manuales!$F$25*(datos_base!$F$4+IF(parametros_manuales!$H$25="Todos",datos_base!$F$11,0))*parametros_manuales!$I$105+parametros_manuales!$G$25*(datos_base!$F$5+IF(parametros_manuales!$H$25="Todos",datos_base!$F$12,0))*parametros_manuales!$I$110)*parametros_manuales!$I$25*parametros_manuales!$J$25</f>
        <v>7653.72</v>
      </c>
      <c r="J116" s="4">
        <f>(parametros_manuales!$D$25*(datos_base!$F$2+IF(parametros_manuales!$H$25="Todos",datos_base!$F$9,0))*parametros_manuales!$J$95+parametros_manuales!$E$25*(datos_base!$F$3+IF(parametros_manuales!$H$25="Todos",datos_base!$F$10,0))*parametros_manuales!$J$100+parametros_manuales!$F$25*(datos_base!$F$4+IF(parametros_manuales!$H$25="Todos",datos_base!$F$11,0))*parametros_manuales!$J$105+parametros_manuales!$G$25*(datos_base!$F$5+IF(parametros_manuales!$H$25="Todos",datos_base!$F$12,0))*parametros_manuales!$J$110)*parametros_manuales!$I$25*parametros_manuales!$J$25</f>
        <v>7653.72</v>
      </c>
      <c r="K116" s="4">
        <f>(parametros_manuales!$D$25*(datos_base!$F$2+IF(parametros_manuales!$H$25="Todos",datos_base!$F$9,0))*parametros_manuales!$K$95+parametros_manuales!$E$25*(datos_base!$F$3+IF(parametros_manuales!$H$25="Todos",datos_base!$F$10,0))*parametros_manuales!$K$100+parametros_manuales!$F$25*(datos_base!$F$4+IF(parametros_manuales!$H$25="Todos",datos_base!$F$11,0))*parametros_manuales!$K$105+parametros_manuales!$G$25*(datos_base!$F$5+IF(parametros_manuales!$H$25="Todos",datos_base!$F$12,0))*parametros_manuales!$K$110)*parametros_manuales!$I$25*parametros_manuales!$J$25</f>
        <v>7782.675</v>
      </c>
      <c r="L116" s="4">
        <f>(parametros_manuales!$D$25*(datos_base!$F$2+IF(parametros_manuales!$H$25="Todos",datos_base!$F$9,0))*parametros_manuales!$L$95+parametros_manuales!$E$25*(datos_base!$F$3+IF(parametros_manuales!$H$25="Todos",datos_base!$F$10,0))*parametros_manuales!$L$100+parametros_manuales!$F$25*(datos_base!$F$4+IF(parametros_manuales!$H$25="Todos",datos_base!$F$11,0))*parametros_manuales!$L$105+parametros_manuales!$G$25*(datos_base!$F$5+IF(parametros_manuales!$H$25="Todos",datos_base!$F$12,0))*parametros_manuales!$L$110)*parametros_manuales!$I$25*parametros_manuales!$J$25</f>
        <v>7911.63</v>
      </c>
      <c r="M116" s="4">
        <f>(parametros_manuales!$D$25*(datos_base!$F$2+IF(parametros_manuales!$H$25="Todos",datos_base!$F$9,0))*parametros_manuales!$M$95+parametros_manuales!$E$25*(datos_base!$F$3+IF(parametros_manuales!$H$25="Todos",datos_base!$F$10,0))*parametros_manuales!$M$100+parametros_manuales!$F$25*(datos_base!$F$4+IF(parametros_manuales!$H$25="Todos",datos_base!$F$11,0))*parametros_manuales!$M$105+parametros_manuales!$G$25*(datos_base!$F$5+IF(parametros_manuales!$H$25="Todos",datos_base!$F$12,0))*parametros_manuales!$M$110)*parametros_manuales!$I$25*parametros_manuales!$J$25</f>
        <v>7911.63</v>
      </c>
      <c r="N116" s="4">
        <f t="shared" si="13"/>
        <v>87907</v>
      </c>
      <c r="O116" s="4">
        <f t="shared" si="14"/>
        <v>7911.63</v>
      </c>
      <c r="P116" s="27">
        <f>O116/(parametros_manuales!$B$7)</f>
        <v>52.7442</v>
      </c>
      <c r="Q116" s="3" t="str">
        <f t="shared" si="15"/>
        <v>Ene</v>
      </c>
    </row>
    <row r="117" ht="14.25" customHeight="1">
      <c r="A117" s="3" t="str">
        <f>parametros_manuales!$B$26</f>
        <v>Cilindrado</v>
      </c>
      <c r="B117" s="4">
        <f>(parametros_manuales!$D$26*(datos_base!$F$2+IF(parametros_manuales!$H$26="Todos",datos_base!$F$9,0))*parametros_manuales!$B$95+parametros_manuales!$E$26*(datos_base!$F$3+IF(parametros_manuales!$H$26="Todos",datos_base!$F$10,0))*parametros_manuales!$B$100+parametros_manuales!$F$26*(datos_base!$F$4+IF(parametros_manuales!$H$26="Todos",datos_base!$F$11,0))*parametros_manuales!$B$105+parametros_manuales!$G$26*(datos_base!$F$5+IF(parametros_manuales!$H$26="Todos",datos_base!$F$12,0))*parametros_manuales!$B$110)*parametros_manuales!$I$26*parametros_manuales!$J$26</f>
        <v>2321.19</v>
      </c>
      <c r="C117" s="4">
        <f>(parametros_manuales!$D$26*(datos_base!$F$2+IF(parametros_manuales!$H$26="Todos",datos_base!$F$9,0))*parametros_manuales!$C$95+parametros_manuales!$E$26*(datos_base!$F$3+IF(parametros_manuales!$H$26="Todos",datos_base!$F$10,0))*parametros_manuales!$C$100+parametros_manuales!$F$26*(datos_base!$F$4+IF(parametros_manuales!$H$26="Todos",datos_base!$F$11,0))*parametros_manuales!$C$105+parametros_manuales!$G$26*(datos_base!$F$5+IF(parametros_manuales!$H$26="Todos",datos_base!$F$12,0))*parametros_manuales!$C$110)*parametros_manuales!$I$26*parametros_manuales!$J$26</f>
        <v>2063.28</v>
      </c>
      <c r="D117" s="4">
        <f>(parametros_manuales!$D$26*(datos_base!$F$2+IF(parametros_manuales!$H$26="Todos",datos_base!$F$9,0))*parametros_manuales!$D$95+parametros_manuales!$E$26*(datos_base!$F$3+IF(parametros_manuales!$H$26="Todos",datos_base!$F$10,0))*parametros_manuales!$D$100+parametros_manuales!$F$26*(datos_base!$F$4+IF(parametros_manuales!$H$26="Todos",datos_base!$F$11,0))*parametros_manuales!$D$105+parametros_manuales!$G$26*(datos_base!$F$5+IF(parametros_manuales!$H$26="Todos",datos_base!$F$12,0))*parametros_manuales!$D$110)*parametros_manuales!$I$26*parametros_manuales!$J$26</f>
        <v>2192.235</v>
      </c>
      <c r="E117" s="4">
        <f>(parametros_manuales!$D$26*(datos_base!$F$2+IF(parametros_manuales!$H$26="Todos",datos_base!$F$9,0))*parametros_manuales!$E$95+parametros_manuales!$E$26*(datos_base!$F$3+IF(parametros_manuales!$H$26="Todos",datos_base!$F$10,0))*parametros_manuales!$E$100+parametros_manuales!$F$26*(datos_base!$F$4+IF(parametros_manuales!$H$26="Todos",datos_base!$F$11,0))*parametros_manuales!$E$105+parametros_manuales!$G$26*(datos_base!$F$5+IF(parametros_manuales!$H$26="Todos",datos_base!$F$12,0))*parametros_manuales!$E$110)*parametros_manuales!$I$26*parametros_manuales!$J$26</f>
        <v>2192.235</v>
      </c>
      <c r="F117" s="4">
        <f>(parametros_manuales!$D$26*(datos_base!$F$2+IF(parametros_manuales!$H$26="Todos",datos_base!$F$9,0))*parametros_manuales!$F$95+parametros_manuales!$E$26*(datos_base!$F$3+IF(parametros_manuales!$H$26="Todos",datos_base!$F$10,0))*parametros_manuales!$F$100+parametros_manuales!$F$26*(datos_base!$F$4+IF(parametros_manuales!$H$26="Todos",datos_base!$F$11,0))*parametros_manuales!$F$105+parametros_manuales!$G$26*(datos_base!$F$5+IF(parametros_manuales!$H$26="Todos",datos_base!$F$12,0))*parametros_manuales!$F$110)*parametros_manuales!$I$26*parametros_manuales!$J$26</f>
        <v>2063.28</v>
      </c>
      <c r="G117" s="4">
        <f>(parametros_manuales!$D$26*(datos_base!$F$2+IF(parametros_manuales!$H$26="Todos",datos_base!$F$9,0))*parametros_manuales!$G$95+parametros_manuales!$E$26*(datos_base!$F$3+IF(parametros_manuales!$H$26="Todos",datos_base!$F$10,0))*parametros_manuales!$G$100+parametros_manuales!$F$26*(datos_base!$F$4+IF(parametros_manuales!$H$26="Todos",datos_base!$F$11,0))*parametros_manuales!$G$105+parametros_manuales!$G$26*(datos_base!$F$5+IF(parametros_manuales!$H$26="Todos",datos_base!$F$12,0))*parametros_manuales!$G$110)*parametros_manuales!$I$26*parametros_manuales!$J$26</f>
        <v>1934.325</v>
      </c>
      <c r="H117" s="4">
        <f>(parametros_manuales!$D$26*(datos_base!$F$2+IF(parametros_manuales!$H$26="Todos",datos_base!$F$9,0))*parametros_manuales!$H$95+parametros_manuales!$E$26*(datos_base!$F$3+IF(parametros_manuales!$H$26="Todos",datos_base!$F$10,0))*parametros_manuales!$H$100+parametros_manuales!$F$26*(datos_base!$F$4+IF(parametros_manuales!$H$26="Todos",datos_base!$F$11,0))*parametros_manuales!$H$105+parametros_manuales!$G$26*(datos_base!$F$5+IF(parametros_manuales!$H$26="Todos",datos_base!$F$12,0))*parametros_manuales!$H$110)*parametros_manuales!$I$26*parametros_manuales!$J$26</f>
        <v>2063.28</v>
      </c>
      <c r="I117" s="4">
        <f>(parametros_manuales!$D$26*(datos_base!$F$2+IF(parametros_manuales!$H$26="Todos",datos_base!$F$9,0))*parametros_manuales!$I$95+parametros_manuales!$E$26*(datos_base!$F$3+IF(parametros_manuales!$H$26="Todos",datos_base!$F$10,0))*parametros_manuales!$I$100+parametros_manuales!$F$26*(datos_base!$F$4+IF(parametros_manuales!$H$26="Todos",datos_base!$F$11,0))*parametros_manuales!$I$105+parametros_manuales!$G$26*(datos_base!$F$5+IF(parametros_manuales!$H$26="Todos",datos_base!$F$12,0))*parametros_manuales!$I$110)*parametros_manuales!$I$26*parametros_manuales!$J$26</f>
        <v>2063.28</v>
      </c>
      <c r="J117" s="4">
        <f>(parametros_manuales!$D$26*(datos_base!$F$2+IF(parametros_manuales!$H$26="Todos",datos_base!$F$9,0))*parametros_manuales!$J$95+parametros_manuales!$E$26*(datos_base!$F$3+IF(parametros_manuales!$H$26="Todos",datos_base!$F$10,0))*parametros_manuales!$J$100+parametros_manuales!$F$26*(datos_base!$F$4+IF(parametros_manuales!$H$26="Todos",datos_base!$F$11,0))*parametros_manuales!$J$105+parametros_manuales!$G$26*(datos_base!$F$5+IF(parametros_manuales!$H$26="Todos",datos_base!$F$12,0))*parametros_manuales!$J$110)*parametros_manuales!$I$26*parametros_manuales!$J$26</f>
        <v>2063.28</v>
      </c>
      <c r="K117" s="4">
        <f>(parametros_manuales!$D$26*(datos_base!$F$2+IF(parametros_manuales!$H$26="Todos",datos_base!$F$9,0))*parametros_manuales!$K$95+parametros_manuales!$E$26*(datos_base!$F$3+IF(parametros_manuales!$H$26="Todos",datos_base!$F$10,0))*parametros_manuales!$K$100+parametros_manuales!$F$26*(datos_base!$F$4+IF(parametros_manuales!$H$26="Todos",datos_base!$F$11,0))*parametros_manuales!$K$105+parametros_manuales!$G$26*(datos_base!$F$5+IF(parametros_manuales!$H$26="Todos",datos_base!$F$12,0))*parametros_manuales!$K$110)*parametros_manuales!$I$26*parametros_manuales!$J$26</f>
        <v>2192.235</v>
      </c>
      <c r="L117" s="4">
        <f>(parametros_manuales!$D$26*(datos_base!$F$2+IF(parametros_manuales!$H$26="Todos",datos_base!$F$9,0))*parametros_manuales!$L$95+parametros_manuales!$E$26*(datos_base!$F$3+IF(parametros_manuales!$H$26="Todos",datos_base!$F$10,0))*parametros_manuales!$L$100+parametros_manuales!$F$26*(datos_base!$F$4+IF(parametros_manuales!$H$26="Todos",datos_base!$F$11,0))*parametros_manuales!$L$105+parametros_manuales!$G$26*(datos_base!$F$5+IF(parametros_manuales!$H$26="Todos",datos_base!$F$12,0))*parametros_manuales!$L$110)*parametros_manuales!$I$26*parametros_manuales!$J$26</f>
        <v>2321.19</v>
      </c>
      <c r="M117" s="4">
        <f>(parametros_manuales!$D$26*(datos_base!$F$2+IF(parametros_manuales!$H$26="Todos",datos_base!$F$9,0))*parametros_manuales!$M$95+parametros_manuales!$E$26*(datos_base!$F$3+IF(parametros_manuales!$H$26="Todos",datos_base!$F$10,0))*parametros_manuales!$M$100+parametros_manuales!$F$26*(datos_base!$F$4+IF(parametros_manuales!$H$26="Todos",datos_base!$F$11,0))*parametros_manuales!$M$105+parametros_manuales!$G$26*(datos_base!$F$5+IF(parametros_manuales!$H$26="Todos",datos_base!$F$12,0))*parametros_manuales!$M$110)*parametros_manuales!$I$26*parametros_manuales!$J$26</f>
        <v>2321.19</v>
      </c>
      <c r="N117" s="4">
        <f t="shared" si="13"/>
        <v>25791</v>
      </c>
      <c r="O117" s="4">
        <f t="shared" si="14"/>
        <v>2321.19</v>
      </c>
      <c r="P117" s="27">
        <f>O117/(parametros_manuales!$B$7)</f>
        <v>15.4746</v>
      </c>
      <c r="Q117" s="3" t="str">
        <f t="shared" si="15"/>
        <v>Ene</v>
      </c>
    </row>
    <row r="118" ht="14.25" customHeight="1">
      <c r="A118" s="3" t="str">
        <f>parametros_manuales!$B$27</f>
        <v>Soldadura longitudinal</v>
      </c>
      <c r="B118" s="4">
        <f>(parametros_manuales!$D$27*(datos_base!$F$2+IF(parametros_manuales!$H$27="Todos",datos_base!$F$9,0))*parametros_manuales!$B$95+parametros_manuales!$E$27*(datos_base!$F$3+IF(parametros_manuales!$H$27="Todos",datos_base!$F$10,0))*parametros_manuales!$B$100+parametros_manuales!$F$27*(datos_base!$F$4+IF(parametros_manuales!$H$27="Todos",datos_base!$F$11,0))*parametros_manuales!$B$105+parametros_manuales!$G$27*(datos_base!$F$5+IF(parametros_manuales!$H$27="Todos",datos_base!$F$12,0))*parametros_manuales!$B$110)*parametros_manuales!$I$27*parametros_manuales!$J$27</f>
        <v>2321.19</v>
      </c>
      <c r="C118" s="4">
        <f>(parametros_manuales!$D$27*(datos_base!$F$2+IF(parametros_manuales!$H$27="Todos",datos_base!$F$9,0))*parametros_manuales!$C$95+parametros_manuales!$E$27*(datos_base!$F$3+IF(parametros_manuales!$H$27="Todos",datos_base!$F$10,0))*parametros_manuales!$C$100+parametros_manuales!$F$27*(datos_base!$F$4+IF(parametros_manuales!$H$27="Todos",datos_base!$F$11,0))*parametros_manuales!$C$105+parametros_manuales!$G$27*(datos_base!$F$5+IF(parametros_manuales!$H$27="Todos",datos_base!$F$12,0))*parametros_manuales!$C$110)*parametros_manuales!$I$27*parametros_manuales!$J$27</f>
        <v>2063.28</v>
      </c>
      <c r="D118" s="4">
        <f>(parametros_manuales!$D$27*(datos_base!$F$2+IF(parametros_manuales!$H$27="Todos",datos_base!$F$9,0))*parametros_manuales!$D$95+parametros_manuales!$E$27*(datos_base!$F$3+IF(parametros_manuales!$H$27="Todos",datos_base!$F$10,0))*parametros_manuales!$D$100+parametros_manuales!$F$27*(datos_base!$F$4+IF(parametros_manuales!$H$27="Todos",datos_base!$F$11,0))*parametros_manuales!$D$105+parametros_manuales!$G$27*(datos_base!$F$5+IF(parametros_manuales!$H$27="Todos",datos_base!$F$12,0))*parametros_manuales!$D$110)*parametros_manuales!$I$27*parametros_manuales!$J$27</f>
        <v>2192.235</v>
      </c>
      <c r="E118" s="4">
        <f>(parametros_manuales!$D$27*(datos_base!$F$2+IF(parametros_manuales!$H$27="Todos",datos_base!$F$9,0))*parametros_manuales!$E$95+parametros_manuales!$E$27*(datos_base!$F$3+IF(parametros_manuales!$H$27="Todos",datos_base!$F$10,0))*parametros_manuales!$E$100+parametros_manuales!$F$27*(datos_base!$F$4+IF(parametros_manuales!$H$27="Todos",datos_base!$F$11,0))*parametros_manuales!$E$105+parametros_manuales!$G$27*(datos_base!$F$5+IF(parametros_manuales!$H$27="Todos",datos_base!$F$12,0))*parametros_manuales!$E$110)*parametros_manuales!$I$27*parametros_manuales!$J$27</f>
        <v>2192.235</v>
      </c>
      <c r="F118" s="4">
        <f>(parametros_manuales!$D$27*(datos_base!$F$2+IF(parametros_manuales!$H$27="Todos",datos_base!$F$9,0))*parametros_manuales!$F$95+parametros_manuales!$E$27*(datos_base!$F$3+IF(parametros_manuales!$H$27="Todos",datos_base!$F$10,0))*parametros_manuales!$F$100+parametros_manuales!$F$27*(datos_base!$F$4+IF(parametros_manuales!$H$27="Todos",datos_base!$F$11,0))*parametros_manuales!$F$105+parametros_manuales!$G$27*(datos_base!$F$5+IF(parametros_manuales!$H$27="Todos",datos_base!$F$12,0))*parametros_manuales!$F$110)*parametros_manuales!$I$27*parametros_manuales!$J$27</f>
        <v>2063.28</v>
      </c>
      <c r="G118" s="4">
        <f>(parametros_manuales!$D$27*(datos_base!$F$2+IF(parametros_manuales!$H$27="Todos",datos_base!$F$9,0))*parametros_manuales!$G$95+parametros_manuales!$E$27*(datos_base!$F$3+IF(parametros_manuales!$H$27="Todos",datos_base!$F$10,0))*parametros_manuales!$G$100+parametros_manuales!$F$27*(datos_base!$F$4+IF(parametros_manuales!$H$27="Todos",datos_base!$F$11,0))*parametros_manuales!$G$105+parametros_manuales!$G$27*(datos_base!$F$5+IF(parametros_manuales!$H$27="Todos",datos_base!$F$12,0))*parametros_manuales!$G$110)*parametros_manuales!$I$27*parametros_manuales!$J$27</f>
        <v>1934.325</v>
      </c>
      <c r="H118" s="4">
        <f>(parametros_manuales!$D$27*(datos_base!$F$2+IF(parametros_manuales!$H$27="Todos",datos_base!$F$9,0))*parametros_manuales!$H$95+parametros_manuales!$E$27*(datos_base!$F$3+IF(parametros_manuales!$H$27="Todos",datos_base!$F$10,0))*parametros_manuales!$H$100+parametros_manuales!$F$27*(datos_base!$F$4+IF(parametros_manuales!$H$27="Todos",datos_base!$F$11,0))*parametros_manuales!$H$105+parametros_manuales!$G$27*(datos_base!$F$5+IF(parametros_manuales!$H$27="Todos",datos_base!$F$12,0))*parametros_manuales!$H$110)*parametros_manuales!$I$27*parametros_manuales!$J$27</f>
        <v>2063.28</v>
      </c>
      <c r="I118" s="4">
        <f>(parametros_manuales!$D$27*(datos_base!$F$2+IF(parametros_manuales!$H$27="Todos",datos_base!$F$9,0))*parametros_manuales!$I$95+parametros_manuales!$E$27*(datos_base!$F$3+IF(parametros_manuales!$H$27="Todos",datos_base!$F$10,0))*parametros_manuales!$I$100+parametros_manuales!$F$27*(datos_base!$F$4+IF(parametros_manuales!$H$27="Todos",datos_base!$F$11,0))*parametros_manuales!$I$105+parametros_manuales!$G$27*(datos_base!$F$5+IF(parametros_manuales!$H$27="Todos",datos_base!$F$12,0))*parametros_manuales!$I$110)*parametros_manuales!$I$27*parametros_manuales!$J$27</f>
        <v>2063.28</v>
      </c>
      <c r="J118" s="4">
        <f>(parametros_manuales!$D$27*(datos_base!$F$2+IF(parametros_manuales!$H$27="Todos",datos_base!$F$9,0))*parametros_manuales!$J$95+parametros_manuales!$E$27*(datos_base!$F$3+IF(parametros_manuales!$H$27="Todos",datos_base!$F$10,0))*parametros_manuales!$J$100+parametros_manuales!$F$27*(datos_base!$F$4+IF(parametros_manuales!$H$27="Todos",datos_base!$F$11,0))*parametros_manuales!$J$105+parametros_manuales!$G$27*(datos_base!$F$5+IF(parametros_manuales!$H$27="Todos",datos_base!$F$12,0))*parametros_manuales!$J$110)*parametros_manuales!$I$27*parametros_manuales!$J$27</f>
        <v>2063.28</v>
      </c>
      <c r="K118" s="4">
        <f>(parametros_manuales!$D$27*(datos_base!$F$2+IF(parametros_manuales!$H$27="Todos",datos_base!$F$9,0))*parametros_manuales!$K$95+parametros_manuales!$E$27*(datos_base!$F$3+IF(parametros_manuales!$H$27="Todos",datos_base!$F$10,0))*parametros_manuales!$K$100+parametros_manuales!$F$27*(datos_base!$F$4+IF(parametros_manuales!$H$27="Todos",datos_base!$F$11,0))*parametros_manuales!$K$105+parametros_manuales!$G$27*(datos_base!$F$5+IF(parametros_manuales!$H$27="Todos",datos_base!$F$12,0))*parametros_manuales!$K$110)*parametros_manuales!$I$27*parametros_manuales!$J$27</f>
        <v>2192.235</v>
      </c>
      <c r="L118" s="4">
        <f>(parametros_manuales!$D$27*(datos_base!$F$2+IF(parametros_manuales!$H$27="Todos",datos_base!$F$9,0))*parametros_manuales!$L$95+parametros_manuales!$E$27*(datos_base!$F$3+IF(parametros_manuales!$H$27="Todos",datos_base!$F$10,0))*parametros_manuales!$L$100+parametros_manuales!$F$27*(datos_base!$F$4+IF(parametros_manuales!$H$27="Todos",datos_base!$F$11,0))*parametros_manuales!$L$105+parametros_manuales!$G$27*(datos_base!$F$5+IF(parametros_manuales!$H$27="Todos",datos_base!$F$12,0))*parametros_manuales!$L$110)*parametros_manuales!$I$27*parametros_manuales!$J$27</f>
        <v>2321.19</v>
      </c>
      <c r="M118" s="4">
        <f>(parametros_manuales!$D$27*(datos_base!$F$2+IF(parametros_manuales!$H$27="Todos",datos_base!$F$9,0))*parametros_manuales!$M$95+parametros_manuales!$E$27*(datos_base!$F$3+IF(parametros_manuales!$H$27="Todos",datos_base!$F$10,0))*parametros_manuales!$M$100+parametros_manuales!$F$27*(datos_base!$F$4+IF(parametros_manuales!$H$27="Todos",datos_base!$F$11,0))*parametros_manuales!$M$105+parametros_manuales!$G$27*(datos_base!$F$5+IF(parametros_manuales!$H$27="Todos",datos_base!$F$12,0))*parametros_manuales!$M$110)*parametros_manuales!$I$27*parametros_manuales!$J$27</f>
        <v>2321.19</v>
      </c>
      <c r="N118" s="4">
        <f t="shared" si="13"/>
        <v>25791</v>
      </c>
      <c r="O118" s="4">
        <f t="shared" si="14"/>
        <v>2321.19</v>
      </c>
      <c r="P118" s="27">
        <f>O118/(parametros_manuales!$B$7)</f>
        <v>15.4746</v>
      </c>
      <c r="Q118" s="3" t="str">
        <f t="shared" si="15"/>
        <v>Ene</v>
      </c>
    </row>
    <row r="119" ht="14.25" customHeight="1">
      <c r="A119" s="3" t="str">
        <f>parametros_manuales!$B$28</f>
        <v>Encastre de fondo</v>
      </c>
      <c r="B119" s="4">
        <f>(parametros_manuales!$D$28*(datos_base!$F$2+IF(parametros_manuales!$H$28="Todos",datos_base!$F$9,0))*parametros_manuales!$B$95+parametros_manuales!$E$28*(datos_base!$F$3+IF(parametros_manuales!$H$28="Todos",datos_base!$F$10,0))*parametros_manuales!$B$100+parametros_manuales!$F$28*(datos_base!$F$4+IF(parametros_manuales!$H$28="Todos",datos_base!$F$11,0))*parametros_manuales!$B$105+parametros_manuales!$G$28*(datos_base!$F$5+IF(parametros_manuales!$H$28="Todos",datos_base!$F$12,0))*parametros_manuales!$B$110)*parametros_manuales!$I$28*parametros_manuales!$J$28</f>
        <v>7911.63</v>
      </c>
      <c r="C119" s="4">
        <f>(parametros_manuales!$D$28*(datos_base!$F$2+IF(parametros_manuales!$H$28="Todos",datos_base!$F$9,0))*parametros_manuales!$C$95+parametros_manuales!$E$28*(datos_base!$F$3+IF(parametros_manuales!$H$28="Todos",datos_base!$F$10,0))*parametros_manuales!$C$100+parametros_manuales!$F$28*(datos_base!$F$4+IF(parametros_manuales!$H$28="Todos",datos_base!$F$11,0))*parametros_manuales!$C$105+parametros_manuales!$G$28*(datos_base!$F$5+IF(parametros_manuales!$H$28="Todos",datos_base!$F$12,0))*parametros_manuales!$C$110)*parametros_manuales!$I$28*parametros_manuales!$J$28</f>
        <v>7653.72</v>
      </c>
      <c r="D119" s="4">
        <f>(parametros_manuales!$D$28*(datos_base!$F$2+IF(parametros_manuales!$H$28="Todos",datos_base!$F$9,0))*parametros_manuales!$D$95+parametros_manuales!$E$28*(datos_base!$F$3+IF(parametros_manuales!$H$28="Todos",datos_base!$F$10,0))*parametros_manuales!$D$100+parametros_manuales!$F$28*(datos_base!$F$4+IF(parametros_manuales!$H$28="Todos",datos_base!$F$11,0))*parametros_manuales!$D$105+parametros_manuales!$G$28*(datos_base!$F$5+IF(parametros_manuales!$H$28="Todos",datos_base!$F$12,0))*parametros_manuales!$D$110)*parametros_manuales!$I$28*parametros_manuales!$J$28</f>
        <v>7161.515</v>
      </c>
      <c r="E119" s="4">
        <f>(parametros_manuales!$D$28*(datos_base!$F$2+IF(parametros_manuales!$H$28="Todos",datos_base!$F$9,0))*parametros_manuales!$E$95+parametros_manuales!$E$28*(datos_base!$F$3+IF(parametros_manuales!$H$28="Todos",datos_base!$F$10,0))*parametros_manuales!$E$100+parametros_manuales!$F$28*(datos_base!$F$4+IF(parametros_manuales!$H$28="Todos",datos_base!$F$11,0))*parametros_manuales!$E$105+parametros_manuales!$G$28*(datos_base!$F$5+IF(parametros_manuales!$H$28="Todos",datos_base!$F$12,0))*parametros_manuales!$E$110)*parametros_manuales!$I$28*parametros_manuales!$J$28</f>
        <v>6850.935</v>
      </c>
      <c r="F119" s="4">
        <f>(parametros_manuales!$D$28*(datos_base!$F$2+IF(parametros_manuales!$H$28="Todos",datos_base!$F$9,0))*parametros_manuales!$F$95+parametros_manuales!$E$28*(datos_base!$F$3+IF(parametros_manuales!$H$28="Todos",datos_base!$F$10,0))*parametros_manuales!$F$100+parametros_manuales!$F$28*(datos_base!$F$4+IF(parametros_manuales!$H$28="Todos",datos_base!$F$11,0))*parametros_manuales!$F$105+parametros_manuales!$G$28*(datos_base!$F$5+IF(parametros_manuales!$H$28="Todos",datos_base!$F$12,0))*parametros_manuales!$F$110)*parametros_manuales!$I$28*parametros_manuales!$J$28</f>
        <v>6411.4</v>
      </c>
      <c r="G119" s="4">
        <f>(parametros_manuales!$D$28*(datos_base!$F$2+IF(parametros_manuales!$H$28="Todos",datos_base!$F$9,0))*parametros_manuales!$G$95+parametros_manuales!$E$28*(datos_base!$F$3+IF(parametros_manuales!$H$28="Todos",datos_base!$F$10,0))*parametros_manuales!$G$100+parametros_manuales!$F$28*(datos_base!$F$4+IF(parametros_manuales!$H$28="Todos",datos_base!$F$11,0))*parametros_manuales!$G$105+parametros_manuales!$G$28*(datos_base!$F$5+IF(parametros_manuales!$H$28="Todos",datos_base!$F$12,0))*parametros_manuales!$G$110)*parametros_manuales!$I$28*parametros_manuales!$J$28</f>
        <v>6282.445</v>
      </c>
      <c r="H119" s="4">
        <f>(parametros_manuales!$D$28*(datos_base!$F$2+IF(parametros_manuales!$H$28="Todos",datos_base!$F$9,0))*parametros_manuales!$H$95+parametros_manuales!$E$28*(datos_base!$F$3+IF(parametros_manuales!$H$28="Todos",datos_base!$F$10,0))*parametros_manuales!$H$100+parametros_manuales!$F$28*(datos_base!$F$4+IF(parametros_manuales!$H$28="Todos",datos_base!$F$11,0))*parametros_manuales!$H$105+parametros_manuales!$G$28*(datos_base!$F$5+IF(parametros_manuales!$H$28="Todos",datos_base!$F$12,0))*parametros_manuales!$H$110)*parametros_manuales!$I$28*parametros_manuales!$J$28</f>
        <v>6721.98</v>
      </c>
      <c r="I119" s="4">
        <f>(parametros_manuales!$D$28*(datos_base!$F$2+IF(parametros_manuales!$H$28="Todos",datos_base!$F$9,0))*parametros_manuales!$I$95+parametros_manuales!$E$28*(datos_base!$F$3+IF(parametros_manuales!$H$28="Todos",datos_base!$F$10,0))*parametros_manuales!$I$100+parametros_manuales!$F$28*(datos_base!$F$4+IF(parametros_manuales!$H$28="Todos",datos_base!$F$11,0))*parametros_manuales!$I$105+parametros_manuales!$G$28*(datos_base!$F$5+IF(parametros_manuales!$H$28="Todos",datos_base!$F$12,0))*parametros_manuales!$I$110)*parametros_manuales!$I$28*parametros_manuales!$J$28</f>
        <v>7653.72</v>
      </c>
      <c r="J119" s="4">
        <f>(parametros_manuales!$D$28*(datos_base!$F$2+IF(parametros_manuales!$H$28="Todos",datos_base!$F$9,0))*parametros_manuales!$J$95+parametros_manuales!$E$28*(datos_base!$F$3+IF(parametros_manuales!$H$28="Todos",datos_base!$F$10,0))*parametros_manuales!$J$100+parametros_manuales!$F$28*(datos_base!$F$4+IF(parametros_manuales!$H$28="Todos",datos_base!$F$11,0))*parametros_manuales!$J$105+parametros_manuales!$G$28*(datos_base!$F$5+IF(parametros_manuales!$H$28="Todos",datos_base!$F$12,0))*parametros_manuales!$J$110)*parametros_manuales!$I$28*parametros_manuales!$J$28</f>
        <v>7653.72</v>
      </c>
      <c r="K119" s="4">
        <f>(parametros_manuales!$D$28*(datos_base!$F$2+IF(parametros_manuales!$H$28="Todos",datos_base!$F$9,0))*parametros_manuales!$K$95+parametros_manuales!$E$28*(datos_base!$F$3+IF(parametros_manuales!$H$28="Todos",datos_base!$F$10,0))*parametros_manuales!$K$100+parametros_manuales!$F$28*(datos_base!$F$4+IF(parametros_manuales!$H$28="Todos",datos_base!$F$11,0))*parametros_manuales!$K$105+parametros_manuales!$G$28*(datos_base!$F$5+IF(parametros_manuales!$H$28="Todos",datos_base!$F$12,0))*parametros_manuales!$K$110)*parametros_manuales!$I$28*parametros_manuales!$J$28</f>
        <v>7782.675</v>
      </c>
      <c r="L119" s="4">
        <f>(parametros_manuales!$D$28*(datos_base!$F$2+IF(parametros_manuales!$H$28="Todos",datos_base!$F$9,0))*parametros_manuales!$L$95+parametros_manuales!$E$28*(datos_base!$F$3+IF(parametros_manuales!$H$28="Todos",datos_base!$F$10,0))*parametros_manuales!$L$100+parametros_manuales!$F$28*(datos_base!$F$4+IF(parametros_manuales!$H$28="Todos",datos_base!$F$11,0))*parametros_manuales!$L$105+parametros_manuales!$G$28*(datos_base!$F$5+IF(parametros_manuales!$H$28="Todos",datos_base!$F$12,0))*parametros_manuales!$L$110)*parametros_manuales!$I$28*parametros_manuales!$J$28</f>
        <v>7911.63</v>
      </c>
      <c r="M119" s="4">
        <f>(parametros_manuales!$D$28*(datos_base!$F$2+IF(parametros_manuales!$H$28="Todos",datos_base!$F$9,0))*parametros_manuales!$M$95+parametros_manuales!$E$28*(datos_base!$F$3+IF(parametros_manuales!$H$28="Todos",datos_base!$F$10,0))*parametros_manuales!$M$100+parametros_manuales!$F$28*(datos_base!$F$4+IF(parametros_manuales!$H$28="Todos",datos_base!$F$11,0))*parametros_manuales!$M$105+parametros_manuales!$G$28*(datos_base!$F$5+IF(parametros_manuales!$H$28="Todos",datos_base!$F$12,0))*parametros_manuales!$M$110)*parametros_manuales!$I$28*parametros_manuales!$J$28</f>
        <v>7911.63</v>
      </c>
      <c r="N119" s="4">
        <f t="shared" si="13"/>
        <v>87907</v>
      </c>
      <c r="O119" s="4">
        <f t="shared" si="14"/>
        <v>7911.63</v>
      </c>
      <c r="P119" s="27">
        <f>O119/(parametros_manuales!$B$7)</f>
        <v>52.7442</v>
      </c>
      <c r="Q119" s="3" t="str">
        <f t="shared" si="15"/>
        <v>Ene</v>
      </c>
    </row>
    <row r="120" ht="14.25" customHeight="1">
      <c r="A120" s="3" t="str">
        <f>parametros_manuales!$B$29</f>
        <v>Bordoneado</v>
      </c>
      <c r="B120" s="4">
        <f>(parametros_manuales!$D$29*(datos_base!$F$2+IF(parametros_manuales!$H$29="Todos",datos_base!$F$9,0))*parametros_manuales!$B$95+parametros_manuales!$E$29*(datos_base!$F$3+IF(parametros_manuales!$H$29="Todos",datos_base!$F$10,0))*parametros_manuales!$B$100+parametros_manuales!$F$29*(datos_base!$F$4+IF(parametros_manuales!$H$29="Todos",datos_base!$F$11,0))*parametros_manuales!$B$105+parametros_manuales!$G$29*(datos_base!$F$5+IF(parametros_manuales!$H$29="Todos",datos_base!$F$12,0))*parametros_manuales!$B$110)*parametros_manuales!$I$29*parametros_manuales!$J$29</f>
        <v>7911.63</v>
      </c>
      <c r="C120" s="4">
        <f>(parametros_manuales!$D$29*(datos_base!$F$2+IF(parametros_manuales!$H$29="Todos",datos_base!$F$9,0))*parametros_manuales!$C$95+parametros_manuales!$E$29*(datos_base!$F$3+IF(parametros_manuales!$H$29="Todos",datos_base!$F$10,0))*parametros_manuales!$C$100+parametros_manuales!$F$29*(datos_base!$F$4+IF(parametros_manuales!$H$29="Todos",datos_base!$F$11,0))*parametros_manuales!$C$105+parametros_manuales!$G$29*(datos_base!$F$5+IF(parametros_manuales!$H$29="Todos",datos_base!$F$12,0))*parametros_manuales!$C$110)*parametros_manuales!$I$29*parametros_manuales!$J$29</f>
        <v>7653.72</v>
      </c>
      <c r="D120" s="4">
        <f>(parametros_manuales!$D$29*(datos_base!$F$2+IF(parametros_manuales!$H$29="Todos",datos_base!$F$9,0))*parametros_manuales!$D$95+parametros_manuales!$E$29*(datos_base!$F$3+IF(parametros_manuales!$H$29="Todos",datos_base!$F$10,0))*parametros_manuales!$D$100+parametros_manuales!$F$29*(datos_base!$F$4+IF(parametros_manuales!$H$29="Todos",datos_base!$F$11,0))*parametros_manuales!$D$105+parametros_manuales!$G$29*(datos_base!$F$5+IF(parametros_manuales!$H$29="Todos",datos_base!$F$12,0))*parametros_manuales!$D$110)*parametros_manuales!$I$29*parametros_manuales!$J$29</f>
        <v>7161.515</v>
      </c>
      <c r="E120" s="4">
        <f>(parametros_manuales!$D$29*(datos_base!$F$2+IF(parametros_manuales!$H$29="Todos",datos_base!$F$9,0))*parametros_manuales!$E$95+parametros_manuales!$E$29*(datos_base!$F$3+IF(parametros_manuales!$H$29="Todos",datos_base!$F$10,0))*parametros_manuales!$E$100+parametros_manuales!$F$29*(datos_base!$F$4+IF(parametros_manuales!$H$29="Todos",datos_base!$F$11,0))*parametros_manuales!$E$105+parametros_manuales!$G$29*(datos_base!$F$5+IF(parametros_manuales!$H$29="Todos",datos_base!$F$12,0))*parametros_manuales!$E$110)*parametros_manuales!$I$29*parametros_manuales!$J$29</f>
        <v>6850.935</v>
      </c>
      <c r="F120" s="4">
        <f>(parametros_manuales!$D$29*(datos_base!$F$2+IF(parametros_manuales!$H$29="Todos",datos_base!$F$9,0))*parametros_manuales!$F$95+parametros_manuales!$E$29*(datos_base!$F$3+IF(parametros_manuales!$H$29="Todos",datos_base!$F$10,0))*parametros_manuales!$F$100+parametros_manuales!$F$29*(datos_base!$F$4+IF(parametros_manuales!$H$29="Todos",datos_base!$F$11,0))*parametros_manuales!$F$105+parametros_manuales!$G$29*(datos_base!$F$5+IF(parametros_manuales!$H$29="Todos",datos_base!$F$12,0))*parametros_manuales!$F$110)*parametros_manuales!$I$29*parametros_manuales!$J$29</f>
        <v>6411.4</v>
      </c>
      <c r="G120" s="4">
        <f>(parametros_manuales!$D$29*(datos_base!$F$2+IF(parametros_manuales!$H$29="Todos",datos_base!$F$9,0))*parametros_manuales!$G$95+parametros_manuales!$E$29*(datos_base!$F$3+IF(parametros_manuales!$H$29="Todos",datos_base!$F$10,0))*parametros_manuales!$G$100+parametros_manuales!$F$29*(datos_base!$F$4+IF(parametros_manuales!$H$29="Todos",datos_base!$F$11,0))*parametros_manuales!$G$105+parametros_manuales!$G$29*(datos_base!$F$5+IF(parametros_manuales!$H$29="Todos",datos_base!$F$12,0))*parametros_manuales!$G$110)*parametros_manuales!$I$29*parametros_manuales!$J$29</f>
        <v>6282.445</v>
      </c>
      <c r="H120" s="4">
        <f>(parametros_manuales!$D$29*(datos_base!$F$2+IF(parametros_manuales!$H$29="Todos",datos_base!$F$9,0))*parametros_manuales!$H$95+parametros_manuales!$E$29*(datos_base!$F$3+IF(parametros_manuales!$H$29="Todos",datos_base!$F$10,0))*parametros_manuales!$H$100+parametros_manuales!$F$29*(datos_base!$F$4+IF(parametros_manuales!$H$29="Todos",datos_base!$F$11,0))*parametros_manuales!$H$105+parametros_manuales!$G$29*(datos_base!$F$5+IF(parametros_manuales!$H$29="Todos",datos_base!$F$12,0))*parametros_manuales!$H$110)*parametros_manuales!$I$29*parametros_manuales!$J$29</f>
        <v>6721.98</v>
      </c>
      <c r="I120" s="4">
        <f>(parametros_manuales!$D$29*(datos_base!$F$2+IF(parametros_manuales!$H$29="Todos",datos_base!$F$9,0))*parametros_manuales!$I$95+parametros_manuales!$E$29*(datos_base!$F$3+IF(parametros_manuales!$H$29="Todos",datos_base!$F$10,0))*parametros_manuales!$I$100+parametros_manuales!$F$29*(datos_base!$F$4+IF(parametros_manuales!$H$29="Todos",datos_base!$F$11,0))*parametros_manuales!$I$105+parametros_manuales!$G$29*(datos_base!$F$5+IF(parametros_manuales!$H$29="Todos",datos_base!$F$12,0))*parametros_manuales!$I$110)*parametros_manuales!$I$29*parametros_manuales!$J$29</f>
        <v>7653.72</v>
      </c>
      <c r="J120" s="4">
        <f>(parametros_manuales!$D$29*(datos_base!$F$2+IF(parametros_manuales!$H$29="Todos",datos_base!$F$9,0))*parametros_manuales!$J$95+parametros_manuales!$E$29*(datos_base!$F$3+IF(parametros_manuales!$H$29="Todos",datos_base!$F$10,0))*parametros_manuales!$J$100+parametros_manuales!$F$29*(datos_base!$F$4+IF(parametros_manuales!$H$29="Todos",datos_base!$F$11,0))*parametros_manuales!$J$105+parametros_manuales!$G$29*(datos_base!$F$5+IF(parametros_manuales!$H$29="Todos",datos_base!$F$12,0))*parametros_manuales!$J$110)*parametros_manuales!$I$29*parametros_manuales!$J$29</f>
        <v>7653.72</v>
      </c>
      <c r="K120" s="4">
        <f>(parametros_manuales!$D$29*(datos_base!$F$2+IF(parametros_manuales!$H$29="Todos",datos_base!$F$9,0))*parametros_manuales!$K$95+parametros_manuales!$E$29*(datos_base!$F$3+IF(parametros_manuales!$H$29="Todos",datos_base!$F$10,0))*parametros_manuales!$K$100+parametros_manuales!$F$29*(datos_base!$F$4+IF(parametros_manuales!$H$29="Todos",datos_base!$F$11,0))*parametros_manuales!$K$105+parametros_manuales!$G$29*(datos_base!$F$5+IF(parametros_manuales!$H$29="Todos",datos_base!$F$12,0))*parametros_manuales!$K$110)*parametros_manuales!$I$29*parametros_manuales!$J$29</f>
        <v>7782.675</v>
      </c>
      <c r="L120" s="4">
        <f>(parametros_manuales!$D$29*(datos_base!$F$2+IF(parametros_manuales!$H$29="Todos",datos_base!$F$9,0))*parametros_manuales!$L$95+parametros_manuales!$E$29*(datos_base!$F$3+IF(parametros_manuales!$H$29="Todos",datos_base!$F$10,0))*parametros_manuales!$L$100+parametros_manuales!$F$29*(datos_base!$F$4+IF(parametros_manuales!$H$29="Todos",datos_base!$F$11,0))*parametros_manuales!$L$105+parametros_manuales!$G$29*(datos_base!$F$5+IF(parametros_manuales!$H$29="Todos",datos_base!$F$12,0))*parametros_manuales!$L$110)*parametros_manuales!$I$29*parametros_manuales!$J$29</f>
        <v>7911.63</v>
      </c>
      <c r="M120" s="4">
        <f>(parametros_manuales!$D$29*(datos_base!$F$2+IF(parametros_manuales!$H$29="Todos",datos_base!$F$9,0))*parametros_manuales!$M$95+parametros_manuales!$E$29*(datos_base!$F$3+IF(parametros_manuales!$H$29="Todos",datos_base!$F$10,0))*parametros_manuales!$M$100+parametros_manuales!$F$29*(datos_base!$F$4+IF(parametros_manuales!$H$29="Todos",datos_base!$F$11,0))*parametros_manuales!$M$105+parametros_manuales!$G$29*(datos_base!$F$5+IF(parametros_manuales!$H$29="Todos",datos_base!$F$12,0))*parametros_manuales!$M$110)*parametros_manuales!$I$29*parametros_manuales!$J$29</f>
        <v>7911.63</v>
      </c>
      <c r="N120" s="4">
        <f t="shared" si="13"/>
        <v>87907</v>
      </c>
      <c r="O120" s="4">
        <f t="shared" si="14"/>
        <v>7911.63</v>
      </c>
      <c r="P120" s="27">
        <f>O120/(parametros_manuales!$B$7)</f>
        <v>52.7442</v>
      </c>
      <c r="Q120" s="3" t="str">
        <f t="shared" si="15"/>
        <v>Ene</v>
      </c>
    </row>
    <row r="121" ht="14.25" customHeight="1">
      <c r="A121" s="3" t="str">
        <f>parametros_manuales!$B$30</f>
        <v>Soldadura circunferencial de cúpula y fondo</v>
      </c>
      <c r="B121" s="4">
        <f>(parametros_manuales!$D$30*(datos_base!$F$2+IF(parametros_manuales!$H$30="Todos",datos_base!$F$9,0))*parametros_manuales!$B$95+parametros_manuales!$E$30*(datos_base!$F$3+IF(parametros_manuales!$H$30="Todos",datos_base!$F$10,0))*parametros_manuales!$B$100+parametros_manuales!$F$30*(datos_base!$F$4+IF(parametros_manuales!$H$30="Todos",datos_base!$F$11,0))*parametros_manuales!$B$105+parametros_manuales!$G$30*(datos_base!$F$5+IF(parametros_manuales!$H$30="Todos",datos_base!$F$12,0))*parametros_manuales!$B$110)*parametros_manuales!$I$30*parametros_manuales!$J$30</f>
        <v>7911.63</v>
      </c>
      <c r="C121" s="4">
        <f>(parametros_manuales!$D$30*(datos_base!$F$2+IF(parametros_manuales!$H$30="Todos",datos_base!$F$9,0))*parametros_manuales!$C$95+parametros_manuales!$E$30*(datos_base!$F$3+IF(parametros_manuales!$H$30="Todos",datos_base!$F$10,0))*parametros_manuales!$C$100+parametros_manuales!$F$30*(datos_base!$F$4+IF(parametros_manuales!$H$30="Todos",datos_base!$F$11,0))*parametros_manuales!$C$105+parametros_manuales!$G$30*(datos_base!$F$5+IF(parametros_manuales!$H$30="Todos",datos_base!$F$12,0))*parametros_manuales!$C$110)*parametros_manuales!$I$30*parametros_manuales!$J$30</f>
        <v>7653.72</v>
      </c>
      <c r="D121" s="4">
        <f>(parametros_manuales!$D$30*(datos_base!$F$2+IF(parametros_manuales!$H$30="Todos",datos_base!$F$9,0))*parametros_manuales!$D$95+parametros_manuales!$E$30*(datos_base!$F$3+IF(parametros_manuales!$H$30="Todos",datos_base!$F$10,0))*parametros_manuales!$D$100+parametros_manuales!$F$30*(datos_base!$F$4+IF(parametros_manuales!$H$30="Todos",datos_base!$F$11,0))*parametros_manuales!$D$105+parametros_manuales!$G$30*(datos_base!$F$5+IF(parametros_manuales!$H$30="Todos",datos_base!$F$12,0))*parametros_manuales!$D$110)*parametros_manuales!$I$30*parametros_manuales!$J$30</f>
        <v>7161.515</v>
      </c>
      <c r="E121" s="4">
        <f>(parametros_manuales!$D$30*(datos_base!$F$2+IF(parametros_manuales!$H$30="Todos",datos_base!$F$9,0))*parametros_manuales!$E$95+parametros_manuales!$E$30*(datos_base!$F$3+IF(parametros_manuales!$H$30="Todos",datos_base!$F$10,0))*parametros_manuales!$E$100+parametros_manuales!$F$30*(datos_base!$F$4+IF(parametros_manuales!$H$30="Todos",datos_base!$F$11,0))*parametros_manuales!$E$105+parametros_manuales!$G$30*(datos_base!$F$5+IF(parametros_manuales!$H$30="Todos",datos_base!$F$12,0))*parametros_manuales!$E$110)*parametros_manuales!$I$30*parametros_manuales!$J$30</f>
        <v>6850.935</v>
      </c>
      <c r="F121" s="4">
        <f>(parametros_manuales!$D$30*(datos_base!$F$2+IF(parametros_manuales!$H$30="Todos",datos_base!$F$9,0))*parametros_manuales!$F$95+parametros_manuales!$E$30*(datos_base!$F$3+IF(parametros_manuales!$H$30="Todos",datos_base!$F$10,0))*parametros_manuales!$F$100+parametros_manuales!$F$30*(datos_base!$F$4+IF(parametros_manuales!$H$30="Todos",datos_base!$F$11,0))*parametros_manuales!$F$105+parametros_manuales!$G$30*(datos_base!$F$5+IF(parametros_manuales!$H$30="Todos",datos_base!$F$12,0))*parametros_manuales!$F$110)*parametros_manuales!$I$30*parametros_manuales!$J$30</f>
        <v>6411.4</v>
      </c>
      <c r="G121" s="4">
        <f>(parametros_manuales!$D$30*(datos_base!$F$2+IF(parametros_manuales!$H$30="Todos",datos_base!$F$9,0))*parametros_manuales!$G$95+parametros_manuales!$E$30*(datos_base!$F$3+IF(parametros_manuales!$H$30="Todos",datos_base!$F$10,0))*parametros_manuales!$G$100+parametros_manuales!$F$30*(datos_base!$F$4+IF(parametros_manuales!$H$30="Todos",datos_base!$F$11,0))*parametros_manuales!$G$105+parametros_manuales!$G$30*(datos_base!$F$5+IF(parametros_manuales!$H$30="Todos",datos_base!$F$12,0))*parametros_manuales!$G$110)*parametros_manuales!$I$30*parametros_manuales!$J$30</f>
        <v>6282.445</v>
      </c>
      <c r="H121" s="4">
        <f>(parametros_manuales!$D$30*(datos_base!$F$2+IF(parametros_manuales!$H$30="Todos",datos_base!$F$9,0))*parametros_manuales!$H$95+parametros_manuales!$E$30*(datos_base!$F$3+IF(parametros_manuales!$H$30="Todos",datos_base!$F$10,0))*parametros_manuales!$H$100+parametros_manuales!$F$30*(datos_base!$F$4+IF(parametros_manuales!$H$30="Todos",datos_base!$F$11,0))*parametros_manuales!$H$105+parametros_manuales!$G$30*(datos_base!$F$5+IF(parametros_manuales!$H$30="Todos",datos_base!$F$12,0))*parametros_manuales!$H$110)*parametros_manuales!$I$30*parametros_manuales!$J$30</f>
        <v>6721.98</v>
      </c>
      <c r="I121" s="4">
        <f>(parametros_manuales!$D$30*(datos_base!$F$2+IF(parametros_manuales!$H$30="Todos",datos_base!$F$9,0))*parametros_manuales!$I$95+parametros_manuales!$E$30*(datos_base!$F$3+IF(parametros_manuales!$H$30="Todos",datos_base!$F$10,0))*parametros_manuales!$I$100+parametros_manuales!$F$30*(datos_base!$F$4+IF(parametros_manuales!$H$30="Todos",datos_base!$F$11,0))*parametros_manuales!$I$105+parametros_manuales!$G$30*(datos_base!$F$5+IF(parametros_manuales!$H$30="Todos",datos_base!$F$12,0))*parametros_manuales!$I$110)*parametros_manuales!$I$30*parametros_manuales!$J$30</f>
        <v>7653.72</v>
      </c>
      <c r="J121" s="4">
        <f>(parametros_manuales!$D$30*(datos_base!$F$2+IF(parametros_manuales!$H$30="Todos",datos_base!$F$9,0))*parametros_manuales!$J$95+parametros_manuales!$E$30*(datos_base!$F$3+IF(parametros_manuales!$H$30="Todos",datos_base!$F$10,0))*parametros_manuales!$J$100+parametros_manuales!$F$30*(datos_base!$F$4+IF(parametros_manuales!$H$30="Todos",datos_base!$F$11,0))*parametros_manuales!$J$105+parametros_manuales!$G$30*(datos_base!$F$5+IF(parametros_manuales!$H$30="Todos",datos_base!$F$12,0))*parametros_manuales!$J$110)*parametros_manuales!$I$30*parametros_manuales!$J$30</f>
        <v>7653.72</v>
      </c>
      <c r="K121" s="4">
        <f>(parametros_manuales!$D$30*(datos_base!$F$2+IF(parametros_manuales!$H$30="Todos",datos_base!$F$9,0))*parametros_manuales!$K$95+parametros_manuales!$E$30*(datos_base!$F$3+IF(parametros_manuales!$H$30="Todos",datos_base!$F$10,0))*parametros_manuales!$K$100+parametros_manuales!$F$30*(datos_base!$F$4+IF(parametros_manuales!$H$30="Todos",datos_base!$F$11,0))*parametros_manuales!$K$105+parametros_manuales!$G$30*(datos_base!$F$5+IF(parametros_manuales!$H$30="Todos",datos_base!$F$12,0))*parametros_manuales!$K$110)*parametros_manuales!$I$30*parametros_manuales!$J$30</f>
        <v>7782.675</v>
      </c>
      <c r="L121" s="4">
        <f>(parametros_manuales!$D$30*(datos_base!$F$2+IF(parametros_manuales!$H$30="Todos",datos_base!$F$9,0))*parametros_manuales!$L$95+parametros_manuales!$E$30*(datos_base!$F$3+IF(parametros_manuales!$H$30="Todos",datos_base!$F$10,0))*parametros_manuales!$L$100+parametros_manuales!$F$30*(datos_base!$F$4+IF(parametros_manuales!$H$30="Todos",datos_base!$F$11,0))*parametros_manuales!$L$105+parametros_manuales!$G$30*(datos_base!$F$5+IF(parametros_manuales!$H$30="Todos",datos_base!$F$12,0))*parametros_manuales!$L$110)*parametros_manuales!$I$30*parametros_manuales!$J$30</f>
        <v>7911.63</v>
      </c>
      <c r="M121" s="4">
        <f>(parametros_manuales!$D$30*(datos_base!$F$2+IF(parametros_manuales!$H$30="Todos",datos_base!$F$9,0))*parametros_manuales!$M$95+parametros_manuales!$E$30*(datos_base!$F$3+IF(parametros_manuales!$H$30="Todos",datos_base!$F$10,0))*parametros_manuales!$M$100+parametros_manuales!$F$30*(datos_base!$F$4+IF(parametros_manuales!$H$30="Todos",datos_base!$F$11,0))*parametros_manuales!$M$105+parametros_manuales!$G$30*(datos_base!$F$5+IF(parametros_manuales!$H$30="Todos",datos_base!$F$12,0))*parametros_manuales!$M$110)*parametros_manuales!$I$30*parametros_manuales!$J$30</f>
        <v>7911.63</v>
      </c>
      <c r="N121" s="4">
        <f t="shared" si="13"/>
        <v>87907</v>
      </c>
      <c r="O121" s="4">
        <f t="shared" si="14"/>
        <v>7911.63</v>
      </c>
      <c r="P121" s="27">
        <f>O121/(parametros_manuales!$B$7)</f>
        <v>52.7442</v>
      </c>
      <c r="Q121" s="3" t="str">
        <f t="shared" si="15"/>
        <v>Ene</v>
      </c>
    </row>
    <row r="122" ht="14.25" customHeight="1">
      <c r="A122" s="3" t="str">
        <f>parametros_manuales!$B$31</f>
        <v>Control de calidad — Espesor</v>
      </c>
      <c r="B122" s="4">
        <f>(parametros_manuales!$D$31*(datos_base!$F$2+IF(parametros_manuales!$H$31="Todos",datos_base!$F$9,0))*parametros_manuales!$B$95+parametros_manuales!$E$31*(datos_base!$F$3+IF(parametros_manuales!$H$31="Todos",datos_base!$F$10,0))*parametros_manuales!$B$100+parametros_manuales!$F$31*(datos_base!$F$4+IF(parametros_manuales!$H$31="Todos",datos_base!$F$11,0))*parametros_manuales!$B$105+parametros_manuales!$G$31*(datos_base!$F$5+IF(parametros_manuales!$H$31="Todos",datos_base!$F$12,0))*parametros_manuales!$B$110)*parametros_manuales!$I$31*parametros_manuales!$J$31</f>
        <v>158.2326</v>
      </c>
      <c r="C122" s="4">
        <f>(parametros_manuales!$D$31*(datos_base!$F$2+IF(parametros_manuales!$H$31="Todos",datos_base!$F$9,0))*parametros_manuales!$C$95+parametros_manuales!$E$31*(datos_base!$F$3+IF(parametros_manuales!$H$31="Todos",datos_base!$F$10,0))*parametros_manuales!$C$100+parametros_manuales!$F$31*(datos_base!$F$4+IF(parametros_manuales!$H$31="Todos",datos_base!$F$11,0))*parametros_manuales!$C$105+parametros_manuales!$G$31*(datos_base!$F$5+IF(parametros_manuales!$H$31="Todos",datos_base!$F$12,0))*parametros_manuales!$C$110)*parametros_manuales!$I$31*parametros_manuales!$J$31</f>
        <v>153.0744</v>
      </c>
      <c r="D122" s="4">
        <f>(parametros_manuales!$D$31*(datos_base!$F$2+IF(parametros_manuales!$H$31="Todos",datos_base!$F$9,0))*parametros_manuales!$D$95+parametros_manuales!$E$31*(datos_base!$F$3+IF(parametros_manuales!$H$31="Todos",datos_base!$F$10,0))*parametros_manuales!$D$100+parametros_manuales!$F$31*(datos_base!$F$4+IF(parametros_manuales!$H$31="Todos",datos_base!$F$11,0))*parametros_manuales!$D$105+parametros_manuales!$G$31*(datos_base!$F$5+IF(parametros_manuales!$H$31="Todos",datos_base!$F$12,0))*parametros_manuales!$D$110)*parametros_manuales!$I$31*parametros_manuales!$J$31</f>
        <v>143.2303</v>
      </c>
      <c r="E122" s="4">
        <f>(parametros_manuales!$D$31*(datos_base!$F$2+IF(parametros_manuales!$H$31="Todos",datos_base!$F$9,0))*parametros_manuales!$E$95+parametros_manuales!$E$31*(datos_base!$F$3+IF(parametros_manuales!$H$31="Todos",datos_base!$F$10,0))*parametros_manuales!$E$100+parametros_manuales!$F$31*(datos_base!$F$4+IF(parametros_manuales!$H$31="Todos",datos_base!$F$11,0))*parametros_manuales!$E$105+parametros_manuales!$G$31*(datos_base!$F$5+IF(parametros_manuales!$H$31="Todos",datos_base!$F$12,0))*parametros_manuales!$E$110)*parametros_manuales!$I$31*parametros_manuales!$J$31</f>
        <v>137.0187</v>
      </c>
      <c r="F122" s="4">
        <f>(parametros_manuales!$D$31*(datos_base!$F$2+IF(parametros_manuales!$H$31="Todos",datos_base!$F$9,0))*parametros_manuales!$F$95+parametros_manuales!$E$31*(datos_base!$F$3+IF(parametros_manuales!$H$31="Todos",datos_base!$F$10,0))*parametros_manuales!$F$100+parametros_manuales!$F$31*(datos_base!$F$4+IF(parametros_manuales!$H$31="Todos",datos_base!$F$11,0))*parametros_manuales!$F$105+parametros_manuales!$G$31*(datos_base!$F$5+IF(parametros_manuales!$H$31="Todos",datos_base!$F$12,0))*parametros_manuales!$F$110)*parametros_manuales!$I$31*parametros_manuales!$J$31</f>
        <v>128.228</v>
      </c>
      <c r="G122" s="4">
        <f>(parametros_manuales!$D$31*(datos_base!$F$2+IF(parametros_manuales!$H$31="Todos",datos_base!$F$9,0))*parametros_manuales!$G$95+parametros_manuales!$E$31*(datos_base!$F$3+IF(parametros_manuales!$H$31="Todos",datos_base!$F$10,0))*parametros_manuales!$G$100+parametros_manuales!$F$31*(datos_base!$F$4+IF(parametros_manuales!$H$31="Todos",datos_base!$F$11,0))*parametros_manuales!$G$105+parametros_manuales!$G$31*(datos_base!$F$5+IF(parametros_manuales!$H$31="Todos",datos_base!$F$12,0))*parametros_manuales!$G$110)*parametros_manuales!$I$31*parametros_manuales!$J$31</f>
        <v>125.6489</v>
      </c>
      <c r="H122" s="4">
        <f>(parametros_manuales!$D$31*(datos_base!$F$2+IF(parametros_manuales!$H$31="Todos",datos_base!$F$9,0))*parametros_manuales!$H$95+parametros_manuales!$E$31*(datos_base!$F$3+IF(parametros_manuales!$H$31="Todos",datos_base!$F$10,0))*parametros_manuales!$H$100+parametros_manuales!$F$31*(datos_base!$F$4+IF(parametros_manuales!$H$31="Todos",datos_base!$F$11,0))*parametros_manuales!$H$105+parametros_manuales!$G$31*(datos_base!$F$5+IF(parametros_manuales!$H$31="Todos",datos_base!$F$12,0))*parametros_manuales!$H$110)*parametros_manuales!$I$31*parametros_manuales!$J$31</f>
        <v>134.4396</v>
      </c>
      <c r="I122" s="4">
        <f>(parametros_manuales!$D$31*(datos_base!$F$2+IF(parametros_manuales!$H$31="Todos",datos_base!$F$9,0))*parametros_manuales!$I$95+parametros_manuales!$E$31*(datos_base!$F$3+IF(parametros_manuales!$H$31="Todos",datos_base!$F$10,0))*parametros_manuales!$I$100+parametros_manuales!$F$31*(datos_base!$F$4+IF(parametros_manuales!$H$31="Todos",datos_base!$F$11,0))*parametros_manuales!$I$105+parametros_manuales!$G$31*(datos_base!$F$5+IF(parametros_manuales!$H$31="Todos",datos_base!$F$12,0))*parametros_manuales!$I$110)*parametros_manuales!$I$31*parametros_manuales!$J$31</f>
        <v>153.0744</v>
      </c>
      <c r="J122" s="4">
        <f>(parametros_manuales!$D$31*(datos_base!$F$2+IF(parametros_manuales!$H$31="Todos",datos_base!$F$9,0))*parametros_manuales!$J$95+parametros_manuales!$E$31*(datos_base!$F$3+IF(parametros_manuales!$H$31="Todos",datos_base!$F$10,0))*parametros_manuales!$J$100+parametros_manuales!$F$31*(datos_base!$F$4+IF(parametros_manuales!$H$31="Todos",datos_base!$F$11,0))*parametros_manuales!$J$105+parametros_manuales!$G$31*(datos_base!$F$5+IF(parametros_manuales!$H$31="Todos",datos_base!$F$12,0))*parametros_manuales!$J$110)*parametros_manuales!$I$31*parametros_manuales!$J$31</f>
        <v>153.0744</v>
      </c>
      <c r="K122" s="4">
        <f>(parametros_manuales!$D$31*(datos_base!$F$2+IF(parametros_manuales!$H$31="Todos",datos_base!$F$9,0))*parametros_manuales!$K$95+parametros_manuales!$E$31*(datos_base!$F$3+IF(parametros_manuales!$H$31="Todos",datos_base!$F$10,0))*parametros_manuales!$K$100+parametros_manuales!$F$31*(datos_base!$F$4+IF(parametros_manuales!$H$31="Todos",datos_base!$F$11,0))*parametros_manuales!$K$105+parametros_manuales!$G$31*(datos_base!$F$5+IF(parametros_manuales!$H$31="Todos",datos_base!$F$12,0))*parametros_manuales!$K$110)*parametros_manuales!$I$31*parametros_manuales!$J$31</f>
        <v>155.6535</v>
      </c>
      <c r="L122" s="4">
        <f>(parametros_manuales!$D$31*(datos_base!$F$2+IF(parametros_manuales!$H$31="Todos",datos_base!$F$9,0))*parametros_manuales!$L$95+parametros_manuales!$E$31*(datos_base!$F$3+IF(parametros_manuales!$H$31="Todos",datos_base!$F$10,0))*parametros_manuales!$L$100+parametros_manuales!$F$31*(datos_base!$F$4+IF(parametros_manuales!$H$31="Todos",datos_base!$F$11,0))*parametros_manuales!$L$105+parametros_manuales!$G$31*(datos_base!$F$5+IF(parametros_manuales!$H$31="Todos",datos_base!$F$12,0))*parametros_manuales!$L$110)*parametros_manuales!$I$31*parametros_manuales!$J$31</f>
        <v>158.2326</v>
      </c>
      <c r="M122" s="4">
        <f>(parametros_manuales!$D$31*(datos_base!$F$2+IF(parametros_manuales!$H$31="Todos",datos_base!$F$9,0))*parametros_manuales!$M$95+parametros_manuales!$E$31*(datos_base!$F$3+IF(parametros_manuales!$H$31="Todos",datos_base!$F$10,0))*parametros_manuales!$M$100+parametros_manuales!$F$31*(datos_base!$F$4+IF(parametros_manuales!$H$31="Todos",datos_base!$F$11,0))*parametros_manuales!$M$105+parametros_manuales!$G$31*(datos_base!$F$5+IF(parametros_manuales!$H$31="Todos",datos_base!$F$12,0))*parametros_manuales!$M$110)*parametros_manuales!$I$31*parametros_manuales!$J$31</f>
        <v>158.2326</v>
      </c>
      <c r="N122" s="4">
        <f t="shared" si="13"/>
        <v>1758.14</v>
      </c>
      <c r="O122" s="4">
        <f t="shared" si="14"/>
        <v>158.2326</v>
      </c>
      <c r="P122" s="27">
        <f>O122/(parametros_manuales!$B$7)</f>
        <v>1.054884</v>
      </c>
      <c r="Q122" s="3" t="str">
        <f t="shared" si="15"/>
        <v>Ene</v>
      </c>
    </row>
    <row r="123" ht="14.25" customHeight="1">
      <c r="A123" s="3" t="str">
        <f>parametros_manuales!$B$32</f>
        <v>Prueba hidráulica</v>
      </c>
      <c r="B123" s="4">
        <f>(parametros_manuales!$D$32*(datos_base!$F$2+IF(parametros_manuales!$H$32="Todos",datos_base!$F$9,0))*parametros_manuales!$B$95+parametros_manuales!$E$32*(datos_base!$F$3+IF(parametros_manuales!$H$32="Todos",datos_base!$F$10,0))*parametros_manuales!$B$100+parametros_manuales!$F$32*(datos_base!$F$4+IF(parametros_manuales!$H$32="Todos",datos_base!$F$11,0))*parametros_manuales!$B$105+parametros_manuales!$G$32*(datos_base!$F$5+IF(parametros_manuales!$H$32="Todos",datos_base!$F$12,0))*parametros_manuales!$B$110)*parametros_manuales!$I$32*parametros_manuales!$J$32</f>
        <v>7911.63</v>
      </c>
      <c r="C123" s="4">
        <f>(parametros_manuales!$D$32*(datos_base!$F$2+IF(parametros_manuales!$H$32="Todos",datos_base!$F$9,0))*parametros_manuales!$C$95+parametros_manuales!$E$32*(datos_base!$F$3+IF(parametros_manuales!$H$32="Todos",datos_base!$F$10,0))*parametros_manuales!$C$100+parametros_manuales!$F$32*(datos_base!$F$4+IF(parametros_manuales!$H$32="Todos",datos_base!$F$11,0))*parametros_manuales!$C$105+parametros_manuales!$G$32*(datos_base!$F$5+IF(parametros_manuales!$H$32="Todos",datos_base!$F$12,0))*parametros_manuales!$C$110)*parametros_manuales!$I$32*parametros_manuales!$J$32</f>
        <v>7653.72</v>
      </c>
      <c r="D123" s="4">
        <f>(parametros_manuales!$D$32*(datos_base!$F$2+IF(parametros_manuales!$H$32="Todos",datos_base!$F$9,0))*parametros_manuales!$D$95+parametros_manuales!$E$32*(datos_base!$F$3+IF(parametros_manuales!$H$32="Todos",datos_base!$F$10,0))*parametros_manuales!$D$100+parametros_manuales!$F$32*(datos_base!$F$4+IF(parametros_manuales!$H$32="Todos",datos_base!$F$11,0))*parametros_manuales!$D$105+parametros_manuales!$G$32*(datos_base!$F$5+IF(parametros_manuales!$H$32="Todos",datos_base!$F$12,0))*parametros_manuales!$D$110)*parametros_manuales!$I$32*parametros_manuales!$J$32</f>
        <v>7161.515</v>
      </c>
      <c r="E123" s="4">
        <f>(parametros_manuales!$D$32*(datos_base!$F$2+IF(parametros_manuales!$H$32="Todos",datos_base!$F$9,0))*parametros_manuales!$E$95+parametros_manuales!$E$32*(datos_base!$F$3+IF(parametros_manuales!$H$32="Todos",datos_base!$F$10,0))*parametros_manuales!$E$100+parametros_manuales!$F$32*(datos_base!$F$4+IF(parametros_manuales!$H$32="Todos",datos_base!$F$11,0))*parametros_manuales!$E$105+parametros_manuales!$G$32*(datos_base!$F$5+IF(parametros_manuales!$H$32="Todos",datos_base!$F$12,0))*parametros_manuales!$E$110)*parametros_manuales!$I$32*parametros_manuales!$J$32</f>
        <v>6850.935</v>
      </c>
      <c r="F123" s="4">
        <f>(parametros_manuales!$D$32*(datos_base!$F$2+IF(parametros_manuales!$H$32="Todos",datos_base!$F$9,0))*parametros_manuales!$F$95+parametros_manuales!$E$32*(datos_base!$F$3+IF(parametros_manuales!$H$32="Todos",datos_base!$F$10,0))*parametros_manuales!$F$100+parametros_manuales!$F$32*(datos_base!$F$4+IF(parametros_manuales!$H$32="Todos",datos_base!$F$11,0))*parametros_manuales!$F$105+parametros_manuales!$G$32*(datos_base!$F$5+IF(parametros_manuales!$H$32="Todos",datos_base!$F$12,0))*parametros_manuales!$F$110)*parametros_manuales!$I$32*parametros_manuales!$J$32</f>
        <v>6411.4</v>
      </c>
      <c r="G123" s="4">
        <f>(parametros_manuales!$D$32*(datos_base!$F$2+IF(parametros_manuales!$H$32="Todos",datos_base!$F$9,0))*parametros_manuales!$G$95+parametros_manuales!$E$32*(datos_base!$F$3+IF(parametros_manuales!$H$32="Todos",datos_base!$F$10,0))*parametros_manuales!$G$100+parametros_manuales!$F$32*(datos_base!$F$4+IF(parametros_manuales!$H$32="Todos",datos_base!$F$11,0))*parametros_manuales!$G$105+parametros_manuales!$G$32*(datos_base!$F$5+IF(parametros_manuales!$H$32="Todos",datos_base!$F$12,0))*parametros_manuales!$G$110)*parametros_manuales!$I$32*parametros_manuales!$J$32</f>
        <v>6282.445</v>
      </c>
      <c r="H123" s="4">
        <f>(parametros_manuales!$D$32*(datos_base!$F$2+IF(parametros_manuales!$H$32="Todos",datos_base!$F$9,0))*parametros_manuales!$H$95+parametros_manuales!$E$32*(datos_base!$F$3+IF(parametros_manuales!$H$32="Todos",datos_base!$F$10,0))*parametros_manuales!$H$100+parametros_manuales!$F$32*(datos_base!$F$4+IF(parametros_manuales!$H$32="Todos",datos_base!$F$11,0))*parametros_manuales!$H$105+parametros_manuales!$G$32*(datos_base!$F$5+IF(parametros_manuales!$H$32="Todos",datos_base!$F$12,0))*parametros_manuales!$H$110)*parametros_manuales!$I$32*parametros_manuales!$J$32</f>
        <v>6721.98</v>
      </c>
      <c r="I123" s="4">
        <f>(parametros_manuales!$D$32*(datos_base!$F$2+IF(parametros_manuales!$H$32="Todos",datos_base!$F$9,0))*parametros_manuales!$I$95+parametros_manuales!$E$32*(datos_base!$F$3+IF(parametros_manuales!$H$32="Todos",datos_base!$F$10,0))*parametros_manuales!$I$100+parametros_manuales!$F$32*(datos_base!$F$4+IF(parametros_manuales!$H$32="Todos",datos_base!$F$11,0))*parametros_manuales!$I$105+parametros_manuales!$G$32*(datos_base!$F$5+IF(parametros_manuales!$H$32="Todos",datos_base!$F$12,0))*parametros_manuales!$I$110)*parametros_manuales!$I$32*parametros_manuales!$J$32</f>
        <v>7653.72</v>
      </c>
      <c r="J123" s="4">
        <f>(parametros_manuales!$D$32*(datos_base!$F$2+IF(parametros_manuales!$H$32="Todos",datos_base!$F$9,0))*parametros_manuales!$J$95+parametros_manuales!$E$32*(datos_base!$F$3+IF(parametros_manuales!$H$32="Todos",datos_base!$F$10,0))*parametros_manuales!$J$100+parametros_manuales!$F$32*(datos_base!$F$4+IF(parametros_manuales!$H$32="Todos",datos_base!$F$11,0))*parametros_manuales!$J$105+parametros_manuales!$G$32*(datos_base!$F$5+IF(parametros_manuales!$H$32="Todos",datos_base!$F$12,0))*parametros_manuales!$J$110)*parametros_manuales!$I$32*parametros_manuales!$J$32</f>
        <v>7653.72</v>
      </c>
      <c r="K123" s="4">
        <f>(parametros_manuales!$D$32*(datos_base!$F$2+IF(parametros_manuales!$H$32="Todos",datos_base!$F$9,0))*parametros_manuales!$K$95+parametros_manuales!$E$32*(datos_base!$F$3+IF(parametros_manuales!$H$32="Todos",datos_base!$F$10,0))*parametros_manuales!$K$100+parametros_manuales!$F$32*(datos_base!$F$4+IF(parametros_manuales!$H$32="Todos",datos_base!$F$11,0))*parametros_manuales!$K$105+parametros_manuales!$G$32*(datos_base!$F$5+IF(parametros_manuales!$H$32="Todos",datos_base!$F$12,0))*parametros_manuales!$K$110)*parametros_manuales!$I$32*parametros_manuales!$J$32</f>
        <v>7782.675</v>
      </c>
      <c r="L123" s="4">
        <f>(parametros_manuales!$D$32*(datos_base!$F$2+IF(parametros_manuales!$H$32="Todos",datos_base!$F$9,0))*parametros_manuales!$L$95+parametros_manuales!$E$32*(datos_base!$F$3+IF(parametros_manuales!$H$32="Todos",datos_base!$F$10,0))*parametros_manuales!$L$100+parametros_manuales!$F$32*(datos_base!$F$4+IF(parametros_manuales!$H$32="Todos",datos_base!$F$11,0))*parametros_manuales!$L$105+parametros_manuales!$G$32*(datos_base!$F$5+IF(parametros_manuales!$H$32="Todos",datos_base!$F$12,0))*parametros_manuales!$L$110)*parametros_manuales!$I$32*parametros_manuales!$J$32</f>
        <v>7911.63</v>
      </c>
      <c r="M123" s="4">
        <f>(parametros_manuales!$D$32*(datos_base!$F$2+IF(parametros_manuales!$H$32="Todos",datos_base!$F$9,0))*parametros_manuales!$M$95+parametros_manuales!$E$32*(datos_base!$F$3+IF(parametros_manuales!$H$32="Todos",datos_base!$F$10,0))*parametros_manuales!$M$100+parametros_manuales!$F$32*(datos_base!$F$4+IF(parametros_manuales!$H$32="Todos",datos_base!$F$11,0))*parametros_manuales!$M$105+parametros_manuales!$G$32*(datos_base!$F$5+IF(parametros_manuales!$H$32="Todos",datos_base!$F$12,0))*parametros_manuales!$M$110)*parametros_manuales!$I$32*parametros_manuales!$J$32</f>
        <v>7911.63</v>
      </c>
      <c r="N123" s="4">
        <f t="shared" si="13"/>
        <v>87907</v>
      </c>
      <c r="O123" s="4">
        <f t="shared" si="14"/>
        <v>7911.63</v>
      </c>
      <c r="P123" s="27">
        <f>O123/(parametros_manuales!$B$7)</f>
        <v>52.7442</v>
      </c>
      <c r="Q123" s="3" t="str">
        <f t="shared" si="15"/>
        <v>Ene</v>
      </c>
    </row>
    <row r="124" ht="14.25" customHeight="1">
      <c r="A124" s="3" t="str">
        <f>parametros_manuales!$B$33</f>
        <v>Secado</v>
      </c>
      <c r="B124" s="4">
        <f>(parametros_manuales!$D$33*(datos_base!$F$2+IF(parametros_manuales!$H$33="Todos",datos_base!$F$9,0))*parametros_manuales!$B$95+parametros_manuales!$E$33*(datos_base!$F$3+IF(parametros_manuales!$H$33="Todos",datos_base!$F$10,0))*parametros_manuales!$B$100+parametros_manuales!$F$33*(datos_base!$F$4+IF(parametros_manuales!$H$33="Todos",datos_base!$F$11,0))*parametros_manuales!$B$105+parametros_manuales!$G$33*(datos_base!$F$5+IF(parametros_manuales!$H$33="Todos",datos_base!$F$12,0))*parametros_manuales!$B$110)*parametros_manuales!$I$33*parametros_manuales!$J$33</f>
        <v>7911.63</v>
      </c>
      <c r="C124" s="4">
        <f>(parametros_manuales!$D$33*(datos_base!$F$2+IF(parametros_manuales!$H$33="Todos",datos_base!$F$9,0))*parametros_manuales!$C$95+parametros_manuales!$E$33*(datos_base!$F$3+IF(parametros_manuales!$H$33="Todos",datos_base!$F$10,0))*parametros_manuales!$C$100+parametros_manuales!$F$33*(datos_base!$F$4+IF(parametros_manuales!$H$33="Todos",datos_base!$F$11,0))*parametros_manuales!$C$105+parametros_manuales!$G$33*(datos_base!$F$5+IF(parametros_manuales!$H$33="Todos",datos_base!$F$12,0))*parametros_manuales!$C$110)*parametros_manuales!$I$33*parametros_manuales!$J$33</f>
        <v>7653.72</v>
      </c>
      <c r="D124" s="4">
        <f>(parametros_manuales!$D$33*(datos_base!$F$2+IF(parametros_manuales!$H$33="Todos",datos_base!$F$9,0))*parametros_manuales!$D$95+parametros_manuales!$E$33*(datos_base!$F$3+IF(parametros_manuales!$H$33="Todos",datos_base!$F$10,0))*parametros_manuales!$D$100+parametros_manuales!$F$33*(datos_base!$F$4+IF(parametros_manuales!$H$33="Todos",datos_base!$F$11,0))*parametros_manuales!$D$105+parametros_manuales!$G$33*(datos_base!$F$5+IF(parametros_manuales!$H$33="Todos",datos_base!$F$12,0))*parametros_manuales!$D$110)*parametros_manuales!$I$33*parametros_manuales!$J$33</f>
        <v>7161.515</v>
      </c>
      <c r="E124" s="4">
        <f>(parametros_manuales!$D$33*(datos_base!$F$2+IF(parametros_manuales!$H$33="Todos",datos_base!$F$9,0))*parametros_manuales!$E$95+parametros_manuales!$E$33*(datos_base!$F$3+IF(parametros_manuales!$H$33="Todos",datos_base!$F$10,0))*parametros_manuales!$E$100+parametros_manuales!$F$33*(datos_base!$F$4+IF(parametros_manuales!$H$33="Todos",datos_base!$F$11,0))*parametros_manuales!$E$105+parametros_manuales!$G$33*(datos_base!$F$5+IF(parametros_manuales!$H$33="Todos",datos_base!$F$12,0))*parametros_manuales!$E$110)*parametros_manuales!$I$33*parametros_manuales!$J$33</f>
        <v>6850.935</v>
      </c>
      <c r="F124" s="4">
        <f>(parametros_manuales!$D$33*(datos_base!$F$2+IF(parametros_manuales!$H$33="Todos",datos_base!$F$9,0))*parametros_manuales!$F$95+parametros_manuales!$E$33*(datos_base!$F$3+IF(parametros_manuales!$H$33="Todos",datos_base!$F$10,0))*parametros_manuales!$F$100+parametros_manuales!$F$33*(datos_base!$F$4+IF(parametros_manuales!$H$33="Todos",datos_base!$F$11,0))*parametros_manuales!$F$105+parametros_manuales!$G$33*(datos_base!$F$5+IF(parametros_manuales!$H$33="Todos",datos_base!$F$12,0))*parametros_manuales!$F$110)*parametros_manuales!$I$33*parametros_manuales!$J$33</f>
        <v>6411.4</v>
      </c>
      <c r="G124" s="4">
        <f>(parametros_manuales!$D$33*(datos_base!$F$2+IF(parametros_manuales!$H$33="Todos",datos_base!$F$9,0))*parametros_manuales!$G$95+parametros_manuales!$E$33*(datos_base!$F$3+IF(parametros_manuales!$H$33="Todos",datos_base!$F$10,0))*parametros_manuales!$G$100+parametros_manuales!$F$33*(datos_base!$F$4+IF(parametros_manuales!$H$33="Todos",datos_base!$F$11,0))*parametros_manuales!$G$105+parametros_manuales!$G$33*(datos_base!$F$5+IF(parametros_manuales!$H$33="Todos",datos_base!$F$12,0))*parametros_manuales!$G$110)*parametros_manuales!$I$33*parametros_manuales!$J$33</f>
        <v>6282.445</v>
      </c>
      <c r="H124" s="4">
        <f>(parametros_manuales!$D$33*(datos_base!$F$2+IF(parametros_manuales!$H$33="Todos",datos_base!$F$9,0))*parametros_manuales!$H$95+parametros_manuales!$E$33*(datos_base!$F$3+IF(parametros_manuales!$H$33="Todos",datos_base!$F$10,0))*parametros_manuales!$H$100+parametros_manuales!$F$33*(datos_base!$F$4+IF(parametros_manuales!$H$33="Todos",datos_base!$F$11,0))*parametros_manuales!$H$105+parametros_manuales!$G$33*(datos_base!$F$5+IF(parametros_manuales!$H$33="Todos",datos_base!$F$12,0))*parametros_manuales!$H$110)*parametros_manuales!$I$33*parametros_manuales!$J$33</f>
        <v>6721.98</v>
      </c>
      <c r="I124" s="4">
        <f>(parametros_manuales!$D$33*(datos_base!$F$2+IF(parametros_manuales!$H$33="Todos",datos_base!$F$9,0))*parametros_manuales!$I$95+parametros_manuales!$E$33*(datos_base!$F$3+IF(parametros_manuales!$H$33="Todos",datos_base!$F$10,0))*parametros_manuales!$I$100+parametros_manuales!$F$33*(datos_base!$F$4+IF(parametros_manuales!$H$33="Todos",datos_base!$F$11,0))*parametros_manuales!$I$105+parametros_manuales!$G$33*(datos_base!$F$5+IF(parametros_manuales!$H$33="Todos",datos_base!$F$12,0))*parametros_manuales!$I$110)*parametros_manuales!$I$33*parametros_manuales!$J$33</f>
        <v>7653.72</v>
      </c>
      <c r="J124" s="4">
        <f>(parametros_manuales!$D$33*(datos_base!$F$2+IF(parametros_manuales!$H$33="Todos",datos_base!$F$9,0))*parametros_manuales!$J$95+parametros_manuales!$E$33*(datos_base!$F$3+IF(parametros_manuales!$H$33="Todos",datos_base!$F$10,0))*parametros_manuales!$J$100+parametros_manuales!$F$33*(datos_base!$F$4+IF(parametros_manuales!$H$33="Todos",datos_base!$F$11,0))*parametros_manuales!$J$105+parametros_manuales!$G$33*(datos_base!$F$5+IF(parametros_manuales!$H$33="Todos",datos_base!$F$12,0))*parametros_manuales!$J$110)*parametros_manuales!$I$33*parametros_manuales!$J$33</f>
        <v>7653.72</v>
      </c>
      <c r="K124" s="4">
        <f>(parametros_manuales!$D$33*(datos_base!$F$2+IF(parametros_manuales!$H$33="Todos",datos_base!$F$9,0))*parametros_manuales!$K$95+parametros_manuales!$E$33*(datos_base!$F$3+IF(parametros_manuales!$H$33="Todos",datos_base!$F$10,0))*parametros_manuales!$K$100+parametros_manuales!$F$33*(datos_base!$F$4+IF(parametros_manuales!$H$33="Todos",datos_base!$F$11,0))*parametros_manuales!$K$105+parametros_manuales!$G$33*(datos_base!$F$5+IF(parametros_manuales!$H$33="Todos",datos_base!$F$12,0))*parametros_manuales!$K$110)*parametros_manuales!$I$33*parametros_manuales!$J$33</f>
        <v>7782.675</v>
      </c>
      <c r="L124" s="4">
        <f>(parametros_manuales!$D$33*(datos_base!$F$2+IF(parametros_manuales!$H$33="Todos",datos_base!$F$9,0))*parametros_manuales!$L$95+parametros_manuales!$E$33*(datos_base!$F$3+IF(parametros_manuales!$H$33="Todos",datos_base!$F$10,0))*parametros_manuales!$L$100+parametros_manuales!$F$33*(datos_base!$F$4+IF(parametros_manuales!$H$33="Todos",datos_base!$F$11,0))*parametros_manuales!$L$105+parametros_manuales!$G$33*(datos_base!$F$5+IF(parametros_manuales!$H$33="Todos",datos_base!$F$12,0))*parametros_manuales!$L$110)*parametros_manuales!$I$33*parametros_manuales!$J$33</f>
        <v>7911.63</v>
      </c>
      <c r="M124" s="4">
        <f>(parametros_manuales!$D$33*(datos_base!$F$2+IF(parametros_manuales!$H$33="Todos",datos_base!$F$9,0))*parametros_manuales!$M$95+parametros_manuales!$E$33*(datos_base!$F$3+IF(parametros_manuales!$H$33="Todos",datos_base!$F$10,0))*parametros_manuales!$M$100+parametros_manuales!$F$33*(datos_base!$F$4+IF(parametros_manuales!$H$33="Todos",datos_base!$F$11,0))*parametros_manuales!$M$105+parametros_manuales!$G$33*(datos_base!$F$5+IF(parametros_manuales!$H$33="Todos",datos_base!$F$12,0))*parametros_manuales!$M$110)*parametros_manuales!$I$33*parametros_manuales!$J$33</f>
        <v>7911.63</v>
      </c>
      <c r="N124" s="4">
        <f t="shared" si="13"/>
        <v>87907</v>
      </c>
      <c r="O124" s="4">
        <f t="shared" si="14"/>
        <v>7911.63</v>
      </c>
      <c r="P124" s="27">
        <f>O124/(parametros_manuales!$B$7)</f>
        <v>52.7442</v>
      </c>
      <c r="Q124" s="3" t="str">
        <f t="shared" si="15"/>
        <v>Ene</v>
      </c>
    </row>
    <row r="125" ht="14.25" customHeight="1">
      <c r="A125" s="3" t="str">
        <f>parametros_manuales!$B$34</f>
        <v>Granallado</v>
      </c>
      <c r="B125" s="4">
        <f>(parametros_manuales!$D$34*(datos_base!$F$2+IF(parametros_manuales!$H$34="Todos",datos_base!$F$9,0))*parametros_manuales!$B$95+parametros_manuales!$E$34*(datos_base!$F$3+IF(parametros_manuales!$H$34="Todos",datos_base!$F$10,0))*parametros_manuales!$B$100+parametros_manuales!$F$34*(datos_base!$F$4+IF(parametros_manuales!$H$34="Todos",datos_base!$F$11,0))*parametros_manuales!$B$105+parametros_manuales!$G$34*(datos_base!$F$5+IF(parametros_manuales!$H$34="Todos",datos_base!$F$12,0))*parametros_manuales!$B$110)*parametros_manuales!$I$34*parametros_manuales!$J$34</f>
        <v>7911.63</v>
      </c>
      <c r="C125" s="4">
        <f>(parametros_manuales!$D$34*(datos_base!$F$2+IF(parametros_manuales!$H$34="Todos",datos_base!$F$9,0))*parametros_manuales!$C$95+parametros_manuales!$E$34*(datos_base!$F$3+IF(parametros_manuales!$H$34="Todos",datos_base!$F$10,0))*parametros_manuales!$C$100+parametros_manuales!$F$34*(datos_base!$F$4+IF(parametros_manuales!$H$34="Todos",datos_base!$F$11,0))*parametros_manuales!$C$105+parametros_manuales!$G$34*(datos_base!$F$5+IF(parametros_manuales!$H$34="Todos",datos_base!$F$12,0))*parametros_manuales!$C$110)*parametros_manuales!$I$34*parametros_manuales!$J$34</f>
        <v>7653.72</v>
      </c>
      <c r="D125" s="4">
        <f>(parametros_manuales!$D$34*(datos_base!$F$2+IF(parametros_manuales!$H$34="Todos",datos_base!$F$9,0))*parametros_manuales!$D$95+parametros_manuales!$E$34*(datos_base!$F$3+IF(parametros_manuales!$H$34="Todos",datos_base!$F$10,0))*parametros_manuales!$D$100+parametros_manuales!$F$34*(datos_base!$F$4+IF(parametros_manuales!$H$34="Todos",datos_base!$F$11,0))*parametros_manuales!$D$105+parametros_manuales!$G$34*(datos_base!$F$5+IF(parametros_manuales!$H$34="Todos",datos_base!$F$12,0))*parametros_manuales!$D$110)*parametros_manuales!$I$34*parametros_manuales!$J$34</f>
        <v>7161.515</v>
      </c>
      <c r="E125" s="4">
        <f>(parametros_manuales!$D$34*(datos_base!$F$2+IF(parametros_manuales!$H$34="Todos",datos_base!$F$9,0))*parametros_manuales!$E$95+parametros_manuales!$E$34*(datos_base!$F$3+IF(parametros_manuales!$H$34="Todos",datos_base!$F$10,0))*parametros_manuales!$E$100+parametros_manuales!$F$34*(datos_base!$F$4+IF(parametros_manuales!$H$34="Todos",datos_base!$F$11,0))*parametros_manuales!$E$105+parametros_manuales!$G$34*(datos_base!$F$5+IF(parametros_manuales!$H$34="Todos",datos_base!$F$12,0))*parametros_manuales!$E$110)*parametros_manuales!$I$34*parametros_manuales!$J$34</f>
        <v>6850.935</v>
      </c>
      <c r="F125" s="4">
        <f>(parametros_manuales!$D$34*(datos_base!$F$2+IF(parametros_manuales!$H$34="Todos",datos_base!$F$9,0))*parametros_manuales!$F$95+parametros_manuales!$E$34*(datos_base!$F$3+IF(parametros_manuales!$H$34="Todos",datos_base!$F$10,0))*parametros_manuales!$F$100+parametros_manuales!$F$34*(datos_base!$F$4+IF(parametros_manuales!$H$34="Todos",datos_base!$F$11,0))*parametros_manuales!$F$105+parametros_manuales!$G$34*(datos_base!$F$5+IF(parametros_manuales!$H$34="Todos",datos_base!$F$12,0))*parametros_manuales!$F$110)*parametros_manuales!$I$34*parametros_manuales!$J$34</f>
        <v>6411.4</v>
      </c>
      <c r="G125" s="4">
        <f>(parametros_manuales!$D$34*(datos_base!$F$2+IF(parametros_manuales!$H$34="Todos",datos_base!$F$9,0))*parametros_manuales!$G$95+parametros_manuales!$E$34*(datos_base!$F$3+IF(parametros_manuales!$H$34="Todos",datos_base!$F$10,0))*parametros_manuales!$G$100+parametros_manuales!$F$34*(datos_base!$F$4+IF(parametros_manuales!$H$34="Todos",datos_base!$F$11,0))*parametros_manuales!$G$105+parametros_manuales!$G$34*(datos_base!$F$5+IF(parametros_manuales!$H$34="Todos",datos_base!$F$12,0))*parametros_manuales!$G$110)*parametros_manuales!$I$34*parametros_manuales!$J$34</f>
        <v>6282.445</v>
      </c>
      <c r="H125" s="4">
        <f>(parametros_manuales!$D$34*(datos_base!$F$2+IF(parametros_manuales!$H$34="Todos",datos_base!$F$9,0))*parametros_manuales!$H$95+parametros_manuales!$E$34*(datos_base!$F$3+IF(parametros_manuales!$H$34="Todos",datos_base!$F$10,0))*parametros_manuales!$H$100+parametros_manuales!$F$34*(datos_base!$F$4+IF(parametros_manuales!$H$34="Todos",datos_base!$F$11,0))*parametros_manuales!$H$105+parametros_manuales!$G$34*(datos_base!$F$5+IF(parametros_manuales!$H$34="Todos",datos_base!$F$12,0))*parametros_manuales!$H$110)*parametros_manuales!$I$34*parametros_manuales!$J$34</f>
        <v>6721.98</v>
      </c>
      <c r="I125" s="4">
        <f>(parametros_manuales!$D$34*(datos_base!$F$2+IF(parametros_manuales!$H$34="Todos",datos_base!$F$9,0))*parametros_manuales!$I$95+parametros_manuales!$E$34*(datos_base!$F$3+IF(parametros_manuales!$H$34="Todos",datos_base!$F$10,0))*parametros_manuales!$I$100+parametros_manuales!$F$34*(datos_base!$F$4+IF(parametros_manuales!$H$34="Todos",datos_base!$F$11,0))*parametros_manuales!$I$105+parametros_manuales!$G$34*(datos_base!$F$5+IF(parametros_manuales!$H$34="Todos",datos_base!$F$12,0))*parametros_manuales!$I$110)*parametros_manuales!$I$34*parametros_manuales!$J$34</f>
        <v>7653.72</v>
      </c>
      <c r="J125" s="4">
        <f>(parametros_manuales!$D$34*(datos_base!$F$2+IF(parametros_manuales!$H$34="Todos",datos_base!$F$9,0))*parametros_manuales!$J$95+parametros_manuales!$E$34*(datos_base!$F$3+IF(parametros_manuales!$H$34="Todos",datos_base!$F$10,0))*parametros_manuales!$J$100+parametros_manuales!$F$34*(datos_base!$F$4+IF(parametros_manuales!$H$34="Todos",datos_base!$F$11,0))*parametros_manuales!$J$105+parametros_manuales!$G$34*(datos_base!$F$5+IF(parametros_manuales!$H$34="Todos",datos_base!$F$12,0))*parametros_manuales!$J$110)*parametros_manuales!$I$34*parametros_manuales!$J$34</f>
        <v>7653.72</v>
      </c>
      <c r="K125" s="4">
        <f>(parametros_manuales!$D$34*(datos_base!$F$2+IF(parametros_manuales!$H$34="Todos",datos_base!$F$9,0))*parametros_manuales!$K$95+parametros_manuales!$E$34*(datos_base!$F$3+IF(parametros_manuales!$H$34="Todos",datos_base!$F$10,0))*parametros_manuales!$K$100+parametros_manuales!$F$34*(datos_base!$F$4+IF(parametros_manuales!$H$34="Todos",datos_base!$F$11,0))*parametros_manuales!$K$105+parametros_manuales!$G$34*(datos_base!$F$5+IF(parametros_manuales!$H$34="Todos",datos_base!$F$12,0))*parametros_manuales!$K$110)*parametros_manuales!$I$34*parametros_manuales!$J$34</f>
        <v>7782.675</v>
      </c>
      <c r="L125" s="4">
        <f>(parametros_manuales!$D$34*(datos_base!$F$2+IF(parametros_manuales!$H$34="Todos",datos_base!$F$9,0))*parametros_manuales!$L$95+parametros_manuales!$E$34*(datos_base!$F$3+IF(parametros_manuales!$H$34="Todos",datos_base!$F$10,0))*parametros_manuales!$L$100+parametros_manuales!$F$34*(datos_base!$F$4+IF(parametros_manuales!$H$34="Todos",datos_base!$F$11,0))*parametros_manuales!$L$105+parametros_manuales!$G$34*(datos_base!$F$5+IF(parametros_manuales!$H$34="Todos",datos_base!$F$12,0))*parametros_manuales!$L$110)*parametros_manuales!$I$34*parametros_manuales!$J$34</f>
        <v>7911.63</v>
      </c>
      <c r="M125" s="4">
        <f>(parametros_manuales!$D$34*(datos_base!$F$2+IF(parametros_manuales!$H$34="Todos",datos_base!$F$9,0))*parametros_manuales!$M$95+parametros_manuales!$E$34*(datos_base!$F$3+IF(parametros_manuales!$H$34="Todos",datos_base!$F$10,0))*parametros_manuales!$M$100+parametros_manuales!$F$34*(datos_base!$F$4+IF(parametros_manuales!$H$34="Todos",datos_base!$F$11,0))*parametros_manuales!$M$105+parametros_manuales!$G$34*(datos_base!$F$5+IF(parametros_manuales!$H$34="Todos",datos_base!$F$12,0))*parametros_manuales!$M$110)*parametros_manuales!$I$34*parametros_manuales!$J$34</f>
        <v>7911.63</v>
      </c>
      <c r="N125" s="4">
        <f t="shared" si="13"/>
        <v>87907</v>
      </c>
      <c r="O125" s="4">
        <f t="shared" si="14"/>
        <v>7911.63</v>
      </c>
      <c r="P125" s="27">
        <f>O125/(parametros_manuales!$B$7)</f>
        <v>52.7442</v>
      </c>
      <c r="Q125" s="3" t="str">
        <f t="shared" si="15"/>
        <v>Ene</v>
      </c>
    </row>
    <row r="126" ht="14.25" customHeight="1">
      <c r="A126" s="3" t="str">
        <f>parametros_manuales!$B$35</f>
        <v>Detección de defectos</v>
      </c>
      <c r="B126" s="4">
        <f>(parametros_manuales!$D$35*(datos_base!$F$2+IF(parametros_manuales!$H$35="Todos",datos_base!$F$9,0))*parametros_manuales!$B$95+parametros_manuales!$E$35*(datos_base!$F$3+IF(parametros_manuales!$H$35="Todos",datos_base!$F$10,0))*parametros_manuales!$B$100+parametros_manuales!$F$35*(datos_base!$F$4+IF(parametros_manuales!$H$35="Todos",datos_base!$F$11,0))*parametros_manuales!$B$105+parametros_manuales!$G$35*(datos_base!$F$5+IF(parametros_manuales!$H$35="Todos",datos_base!$F$12,0))*parametros_manuales!$B$110)*parametros_manuales!$I$35*parametros_manuales!$J$35</f>
        <v>7911.63</v>
      </c>
      <c r="C126" s="4">
        <f>(parametros_manuales!$D$35*(datos_base!$F$2+IF(parametros_manuales!$H$35="Todos",datos_base!$F$9,0))*parametros_manuales!$C$95+parametros_manuales!$E$35*(datos_base!$F$3+IF(parametros_manuales!$H$35="Todos",datos_base!$F$10,0))*parametros_manuales!$C$100+parametros_manuales!$F$35*(datos_base!$F$4+IF(parametros_manuales!$H$35="Todos",datos_base!$F$11,0))*parametros_manuales!$C$105+parametros_manuales!$G$35*(datos_base!$F$5+IF(parametros_manuales!$H$35="Todos",datos_base!$F$12,0))*parametros_manuales!$C$110)*parametros_manuales!$I$35*parametros_manuales!$J$35</f>
        <v>7653.72</v>
      </c>
      <c r="D126" s="4">
        <f>(parametros_manuales!$D$35*(datos_base!$F$2+IF(parametros_manuales!$H$35="Todos",datos_base!$F$9,0))*parametros_manuales!$D$95+parametros_manuales!$E$35*(datos_base!$F$3+IF(parametros_manuales!$H$35="Todos",datos_base!$F$10,0))*parametros_manuales!$D$100+parametros_manuales!$F$35*(datos_base!$F$4+IF(parametros_manuales!$H$35="Todos",datos_base!$F$11,0))*parametros_manuales!$D$105+parametros_manuales!$G$35*(datos_base!$F$5+IF(parametros_manuales!$H$35="Todos",datos_base!$F$12,0))*parametros_manuales!$D$110)*parametros_manuales!$I$35*parametros_manuales!$J$35</f>
        <v>7161.515</v>
      </c>
      <c r="E126" s="4">
        <f>(parametros_manuales!$D$35*(datos_base!$F$2+IF(parametros_manuales!$H$35="Todos",datos_base!$F$9,0))*parametros_manuales!$E$95+parametros_manuales!$E$35*(datos_base!$F$3+IF(parametros_manuales!$H$35="Todos",datos_base!$F$10,0))*parametros_manuales!$E$100+parametros_manuales!$F$35*(datos_base!$F$4+IF(parametros_manuales!$H$35="Todos",datos_base!$F$11,0))*parametros_manuales!$E$105+parametros_manuales!$G$35*(datos_base!$F$5+IF(parametros_manuales!$H$35="Todos",datos_base!$F$12,0))*parametros_manuales!$E$110)*parametros_manuales!$I$35*parametros_manuales!$J$35</f>
        <v>6850.935</v>
      </c>
      <c r="F126" s="4">
        <f>(parametros_manuales!$D$35*(datos_base!$F$2+IF(parametros_manuales!$H$35="Todos",datos_base!$F$9,0))*parametros_manuales!$F$95+parametros_manuales!$E$35*(datos_base!$F$3+IF(parametros_manuales!$H$35="Todos",datos_base!$F$10,0))*parametros_manuales!$F$100+parametros_manuales!$F$35*(datos_base!$F$4+IF(parametros_manuales!$H$35="Todos",datos_base!$F$11,0))*parametros_manuales!$F$105+parametros_manuales!$G$35*(datos_base!$F$5+IF(parametros_manuales!$H$35="Todos",datos_base!$F$12,0))*parametros_manuales!$F$110)*parametros_manuales!$I$35*parametros_manuales!$J$35</f>
        <v>6411.4</v>
      </c>
      <c r="G126" s="4">
        <f>(parametros_manuales!$D$35*(datos_base!$F$2+IF(parametros_manuales!$H$35="Todos",datos_base!$F$9,0))*parametros_manuales!$G$95+parametros_manuales!$E$35*(datos_base!$F$3+IF(parametros_manuales!$H$35="Todos",datos_base!$F$10,0))*parametros_manuales!$G$100+parametros_manuales!$F$35*(datos_base!$F$4+IF(parametros_manuales!$H$35="Todos",datos_base!$F$11,0))*parametros_manuales!$G$105+parametros_manuales!$G$35*(datos_base!$F$5+IF(parametros_manuales!$H$35="Todos",datos_base!$F$12,0))*parametros_manuales!$G$110)*parametros_manuales!$I$35*parametros_manuales!$J$35</f>
        <v>6282.445</v>
      </c>
      <c r="H126" s="4">
        <f>(parametros_manuales!$D$35*(datos_base!$F$2+IF(parametros_manuales!$H$35="Todos",datos_base!$F$9,0))*parametros_manuales!$H$95+parametros_manuales!$E$35*(datos_base!$F$3+IF(parametros_manuales!$H$35="Todos",datos_base!$F$10,0))*parametros_manuales!$H$100+parametros_manuales!$F$35*(datos_base!$F$4+IF(parametros_manuales!$H$35="Todos",datos_base!$F$11,0))*parametros_manuales!$H$105+parametros_manuales!$G$35*(datos_base!$F$5+IF(parametros_manuales!$H$35="Todos",datos_base!$F$12,0))*parametros_manuales!$H$110)*parametros_manuales!$I$35*parametros_manuales!$J$35</f>
        <v>6721.98</v>
      </c>
      <c r="I126" s="4">
        <f>(parametros_manuales!$D$35*(datos_base!$F$2+IF(parametros_manuales!$H$35="Todos",datos_base!$F$9,0))*parametros_manuales!$I$95+parametros_manuales!$E$35*(datos_base!$F$3+IF(parametros_manuales!$H$35="Todos",datos_base!$F$10,0))*parametros_manuales!$I$100+parametros_manuales!$F$35*(datos_base!$F$4+IF(parametros_manuales!$H$35="Todos",datos_base!$F$11,0))*parametros_manuales!$I$105+parametros_manuales!$G$35*(datos_base!$F$5+IF(parametros_manuales!$H$35="Todos",datos_base!$F$12,0))*parametros_manuales!$I$110)*parametros_manuales!$I$35*parametros_manuales!$J$35</f>
        <v>7653.72</v>
      </c>
      <c r="J126" s="4">
        <f>(parametros_manuales!$D$35*(datos_base!$F$2+IF(parametros_manuales!$H$35="Todos",datos_base!$F$9,0))*parametros_manuales!$J$95+parametros_manuales!$E$35*(datos_base!$F$3+IF(parametros_manuales!$H$35="Todos",datos_base!$F$10,0))*parametros_manuales!$J$100+parametros_manuales!$F$35*(datos_base!$F$4+IF(parametros_manuales!$H$35="Todos",datos_base!$F$11,0))*parametros_manuales!$J$105+parametros_manuales!$G$35*(datos_base!$F$5+IF(parametros_manuales!$H$35="Todos",datos_base!$F$12,0))*parametros_manuales!$J$110)*parametros_manuales!$I$35*parametros_manuales!$J$35</f>
        <v>7653.72</v>
      </c>
      <c r="K126" s="4">
        <f>(parametros_manuales!$D$35*(datos_base!$F$2+IF(parametros_manuales!$H$35="Todos",datos_base!$F$9,0))*parametros_manuales!$K$95+parametros_manuales!$E$35*(datos_base!$F$3+IF(parametros_manuales!$H$35="Todos",datos_base!$F$10,0))*parametros_manuales!$K$100+parametros_manuales!$F$35*(datos_base!$F$4+IF(parametros_manuales!$H$35="Todos",datos_base!$F$11,0))*parametros_manuales!$K$105+parametros_manuales!$G$35*(datos_base!$F$5+IF(parametros_manuales!$H$35="Todos",datos_base!$F$12,0))*parametros_manuales!$K$110)*parametros_manuales!$I$35*parametros_manuales!$J$35</f>
        <v>7782.675</v>
      </c>
      <c r="L126" s="4">
        <f>(parametros_manuales!$D$35*(datos_base!$F$2+IF(parametros_manuales!$H$35="Todos",datos_base!$F$9,0))*parametros_manuales!$L$95+parametros_manuales!$E$35*(datos_base!$F$3+IF(parametros_manuales!$H$35="Todos",datos_base!$F$10,0))*parametros_manuales!$L$100+parametros_manuales!$F$35*(datos_base!$F$4+IF(parametros_manuales!$H$35="Todos",datos_base!$F$11,0))*parametros_manuales!$L$105+parametros_manuales!$G$35*(datos_base!$F$5+IF(parametros_manuales!$H$35="Todos",datos_base!$F$12,0))*parametros_manuales!$L$110)*parametros_manuales!$I$35*parametros_manuales!$J$35</f>
        <v>7911.63</v>
      </c>
      <c r="M126" s="4">
        <f>(parametros_manuales!$D$35*(datos_base!$F$2+IF(parametros_manuales!$H$35="Todos",datos_base!$F$9,0))*parametros_manuales!$M$95+parametros_manuales!$E$35*(datos_base!$F$3+IF(parametros_manuales!$H$35="Todos",datos_base!$F$10,0))*parametros_manuales!$M$100+parametros_manuales!$F$35*(datos_base!$F$4+IF(parametros_manuales!$H$35="Todos",datos_base!$F$11,0))*parametros_manuales!$M$105+parametros_manuales!$G$35*(datos_base!$F$5+IF(parametros_manuales!$H$35="Todos",datos_base!$F$12,0))*parametros_manuales!$M$110)*parametros_manuales!$I$35*parametros_manuales!$J$35</f>
        <v>7911.63</v>
      </c>
      <c r="N126" s="4">
        <f t="shared" si="13"/>
        <v>87907</v>
      </c>
      <c r="O126" s="4">
        <f t="shared" si="14"/>
        <v>7911.63</v>
      </c>
      <c r="P126" s="27">
        <f>O126/(parametros_manuales!$B$7)</f>
        <v>52.7442</v>
      </c>
      <c r="Q126" s="3" t="str">
        <f t="shared" si="15"/>
        <v>Ene</v>
      </c>
    </row>
    <row r="127" ht="14.25" customHeight="1">
      <c r="A127" s="3" t="str">
        <f>parametros_manuales!$B$36</f>
        <v>Corrección de defectos</v>
      </c>
      <c r="B127" s="4">
        <f>(parametros_manuales!$D$36*(datos_base!$F$2+IF(parametros_manuales!$H$36="Todos",datos_base!$F$9,0))*parametros_manuales!$B$95+parametros_manuales!$E$36*(datos_base!$F$3+IF(parametros_manuales!$H$36="Todos",datos_base!$F$10,0))*parametros_manuales!$B$100+parametros_manuales!$F$36*(datos_base!$F$4+IF(parametros_manuales!$H$36="Todos",datos_base!$F$11,0))*parametros_manuales!$B$105+parametros_manuales!$G$36*(datos_base!$F$5+IF(parametros_manuales!$H$36="Todos",datos_base!$F$12,0))*parametros_manuales!$B$110)*parametros_manuales!$I$36*parametros_manuales!$J$36</f>
        <v>395.5815</v>
      </c>
      <c r="C127" s="4">
        <f>(parametros_manuales!$D$36*(datos_base!$F$2+IF(parametros_manuales!$H$36="Todos",datos_base!$F$9,0))*parametros_manuales!$C$95+parametros_manuales!$E$36*(datos_base!$F$3+IF(parametros_manuales!$H$36="Todos",datos_base!$F$10,0))*parametros_manuales!$C$100+parametros_manuales!$F$36*(datos_base!$F$4+IF(parametros_manuales!$H$36="Todos",datos_base!$F$11,0))*parametros_manuales!$C$105+parametros_manuales!$G$36*(datos_base!$F$5+IF(parametros_manuales!$H$36="Todos",datos_base!$F$12,0))*parametros_manuales!$C$110)*parametros_manuales!$I$36*parametros_manuales!$J$36</f>
        <v>382.686</v>
      </c>
      <c r="D127" s="4">
        <f>(parametros_manuales!$D$36*(datos_base!$F$2+IF(parametros_manuales!$H$36="Todos",datos_base!$F$9,0))*parametros_manuales!$D$95+parametros_manuales!$E$36*(datos_base!$F$3+IF(parametros_manuales!$H$36="Todos",datos_base!$F$10,0))*parametros_manuales!$D$100+parametros_manuales!$F$36*(datos_base!$F$4+IF(parametros_manuales!$H$36="Todos",datos_base!$F$11,0))*parametros_manuales!$D$105+parametros_manuales!$G$36*(datos_base!$F$5+IF(parametros_manuales!$H$36="Todos",datos_base!$F$12,0))*parametros_manuales!$D$110)*parametros_manuales!$I$36*parametros_manuales!$J$36</f>
        <v>358.07575</v>
      </c>
      <c r="E127" s="4">
        <f>(parametros_manuales!$D$36*(datos_base!$F$2+IF(parametros_manuales!$H$36="Todos",datos_base!$F$9,0))*parametros_manuales!$E$95+parametros_manuales!$E$36*(datos_base!$F$3+IF(parametros_manuales!$H$36="Todos",datos_base!$F$10,0))*parametros_manuales!$E$100+parametros_manuales!$F$36*(datos_base!$F$4+IF(parametros_manuales!$H$36="Todos",datos_base!$F$11,0))*parametros_manuales!$E$105+parametros_manuales!$G$36*(datos_base!$F$5+IF(parametros_manuales!$H$36="Todos",datos_base!$F$12,0))*parametros_manuales!$E$110)*parametros_manuales!$I$36*parametros_manuales!$J$36</f>
        <v>342.54675</v>
      </c>
      <c r="F127" s="4">
        <f>(parametros_manuales!$D$36*(datos_base!$F$2+IF(parametros_manuales!$H$36="Todos",datos_base!$F$9,0))*parametros_manuales!$F$95+parametros_manuales!$E$36*(datos_base!$F$3+IF(parametros_manuales!$H$36="Todos",datos_base!$F$10,0))*parametros_manuales!$F$100+parametros_manuales!$F$36*(datos_base!$F$4+IF(parametros_manuales!$H$36="Todos",datos_base!$F$11,0))*parametros_manuales!$F$105+parametros_manuales!$G$36*(datos_base!$F$5+IF(parametros_manuales!$H$36="Todos",datos_base!$F$12,0))*parametros_manuales!$F$110)*parametros_manuales!$I$36*parametros_manuales!$J$36</f>
        <v>320.57</v>
      </c>
      <c r="G127" s="4">
        <f>(parametros_manuales!$D$36*(datos_base!$F$2+IF(parametros_manuales!$H$36="Todos",datos_base!$F$9,0))*parametros_manuales!$G$95+parametros_manuales!$E$36*(datos_base!$F$3+IF(parametros_manuales!$H$36="Todos",datos_base!$F$10,0))*parametros_manuales!$G$100+parametros_manuales!$F$36*(datos_base!$F$4+IF(parametros_manuales!$H$36="Todos",datos_base!$F$11,0))*parametros_manuales!$G$105+parametros_manuales!$G$36*(datos_base!$F$5+IF(parametros_manuales!$H$36="Todos",datos_base!$F$12,0))*parametros_manuales!$G$110)*parametros_manuales!$I$36*parametros_manuales!$J$36</f>
        <v>314.12225</v>
      </c>
      <c r="H127" s="4">
        <f>(parametros_manuales!$D$36*(datos_base!$F$2+IF(parametros_manuales!$H$36="Todos",datos_base!$F$9,0))*parametros_manuales!$H$95+parametros_manuales!$E$36*(datos_base!$F$3+IF(parametros_manuales!$H$36="Todos",datos_base!$F$10,0))*parametros_manuales!$H$100+parametros_manuales!$F$36*(datos_base!$F$4+IF(parametros_manuales!$H$36="Todos",datos_base!$F$11,0))*parametros_manuales!$H$105+parametros_manuales!$G$36*(datos_base!$F$5+IF(parametros_manuales!$H$36="Todos",datos_base!$F$12,0))*parametros_manuales!$H$110)*parametros_manuales!$I$36*parametros_manuales!$J$36</f>
        <v>336.099</v>
      </c>
      <c r="I127" s="4">
        <f>(parametros_manuales!$D$36*(datos_base!$F$2+IF(parametros_manuales!$H$36="Todos",datos_base!$F$9,0))*parametros_manuales!$I$95+parametros_manuales!$E$36*(datos_base!$F$3+IF(parametros_manuales!$H$36="Todos",datos_base!$F$10,0))*parametros_manuales!$I$100+parametros_manuales!$F$36*(datos_base!$F$4+IF(parametros_manuales!$H$36="Todos",datos_base!$F$11,0))*parametros_manuales!$I$105+parametros_manuales!$G$36*(datos_base!$F$5+IF(parametros_manuales!$H$36="Todos",datos_base!$F$12,0))*parametros_manuales!$I$110)*parametros_manuales!$I$36*parametros_manuales!$J$36</f>
        <v>382.686</v>
      </c>
      <c r="J127" s="4">
        <f>(parametros_manuales!$D$36*(datos_base!$F$2+IF(parametros_manuales!$H$36="Todos",datos_base!$F$9,0))*parametros_manuales!$J$95+parametros_manuales!$E$36*(datos_base!$F$3+IF(parametros_manuales!$H$36="Todos",datos_base!$F$10,0))*parametros_manuales!$J$100+parametros_manuales!$F$36*(datos_base!$F$4+IF(parametros_manuales!$H$36="Todos",datos_base!$F$11,0))*parametros_manuales!$J$105+parametros_manuales!$G$36*(datos_base!$F$5+IF(parametros_manuales!$H$36="Todos",datos_base!$F$12,0))*parametros_manuales!$J$110)*parametros_manuales!$I$36*parametros_manuales!$J$36</f>
        <v>382.686</v>
      </c>
      <c r="K127" s="4">
        <f>(parametros_manuales!$D$36*(datos_base!$F$2+IF(parametros_manuales!$H$36="Todos",datos_base!$F$9,0))*parametros_manuales!$K$95+parametros_manuales!$E$36*(datos_base!$F$3+IF(parametros_manuales!$H$36="Todos",datos_base!$F$10,0))*parametros_manuales!$K$100+parametros_manuales!$F$36*(datos_base!$F$4+IF(parametros_manuales!$H$36="Todos",datos_base!$F$11,0))*parametros_manuales!$K$105+parametros_manuales!$G$36*(datos_base!$F$5+IF(parametros_manuales!$H$36="Todos",datos_base!$F$12,0))*parametros_manuales!$K$110)*parametros_manuales!$I$36*parametros_manuales!$J$36</f>
        <v>389.13375</v>
      </c>
      <c r="L127" s="4">
        <f>(parametros_manuales!$D$36*(datos_base!$F$2+IF(parametros_manuales!$H$36="Todos",datos_base!$F$9,0))*parametros_manuales!$L$95+parametros_manuales!$E$36*(datos_base!$F$3+IF(parametros_manuales!$H$36="Todos",datos_base!$F$10,0))*parametros_manuales!$L$100+parametros_manuales!$F$36*(datos_base!$F$4+IF(parametros_manuales!$H$36="Todos",datos_base!$F$11,0))*parametros_manuales!$L$105+parametros_manuales!$G$36*(datos_base!$F$5+IF(parametros_manuales!$H$36="Todos",datos_base!$F$12,0))*parametros_manuales!$L$110)*parametros_manuales!$I$36*parametros_manuales!$J$36</f>
        <v>395.5815</v>
      </c>
      <c r="M127" s="4">
        <f>(parametros_manuales!$D$36*(datos_base!$F$2+IF(parametros_manuales!$H$36="Todos",datos_base!$F$9,0))*parametros_manuales!$M$95+parametros_manuales!$E$36*(datos_base!$F$3+IF(parametros_manuales!$H$36="Todos",datos_base!$F$10,0))*parametros_manuales!$M$100+parametros_manuales!$F$36*(datos_base!$F$4+IF(parametros_manuales!$H$36="Todos",datos_base!$F$11,0))*parametros_manuales!$M$105+parametros_manuales!$G$36*(datos_base!$F$5+IF(parametros_manuales!$H$36="Todos",datos_base!$F$12,0))*parametros_manuales!$M$110)*parametros_manuales!$I$36*parametros_manuales!$J$36</f>
        <v>395.5815</v>
      </c>
      <c r="N127" s="4">
        <f t="shared" si="13"/>
        <v>4395.35</v>
      </c>
      <c r="O127" s="4">
        <f t="shared" si="14"/>
        <v>395.5815</v>
      </c>
      <c r="P127" s="27">
        <f>O127/(parametros_manuales!$B$7)</f>
        <v>2.63721</v>
      </c>
      <c r="Q127" s="3" t="str">
        <f t="shared" si="15"/>
        <v>Ene</v>
      </c>
    </row>
    <row r="128" ht="14.25" customHeight="1">
      <c r="A128" s="3" t="str">
        <f>parametros_manuales!$B$37</f>
        <v>Pintura en polvo + horno</v>
      </c>
      <c r="B128" s="4">
        <f>(parametros_manuales!$D$37*(datos_base!$F$2+IF(parametros_manuales!$H$37="Todos",datos_base!$F$9,0))*parametros_manuales!$B$95+parametros_manuales!$E$37*(datos_base!$F$3+IF(parametros_manuales!$H$37="Todos",datos_base!$F$10,0))*parametros_manuales!$B$100+parametros_manuales!$F$37*(datos_base!$F$4+IF(parametros_manuales!$H$37="Todos",datos_base!$F$11,0))*parametros_manuales!$B$105+parametros_manuales!$G$37*(datos_base!$F$5+IF(parametros_manuales!$H$37="Todos",datos_base!$F$12,0))*parametros_manuales!$B$110)*parametros_manuales!$I$37*parametros_manuales!$J$37</f>
        <v>7911.63</v>
      </c>
      <c r="C128" s="4">
        <f>(parametros_manuales!$D$37*(datos_base!$F$2+IF(parametros_manuales!$H$37="Todos",datos_base!$F$9,0))*parametros_manuales!$C$95+parametros_manuales!$E$37*(datos_base!$F$3+IF(parametros_manuales!$H$37="Todos",datos_base!$F$10,0))*parametros_manuales!$C$100+parametros_manuales!$F$37*(datos_base!$F$4+IF(parametros_manuales!$H$37="Todos",datos_base!$F$11,0))*parametros_manuales!$C$105+parametros_manuales!$G$37*(datos_base!$F$5+IF(parametros_manuales!$H$37="Todos",datos_base!$F$12,0))*parametros_manuales!$C$110)*parametros_manuales!$I$37*parametros_manuales!$J$37</f>
        <v>7653.72</v>
      </c>
      <c r="D128" s="4">
        <f>(parametros_manuales!$D$37*(datos_base!$F$2+IF(parametros_manuales!$H$37="Todos",datos_base!$F$9,0))*parametros_manuales!$D$95+parametros_manuales!$E$37*(datos_base!$F$3+IF(parametros_manuales!$H$37="Todos",datos_base!$F$10,0))*parametros_manuales!$D$100+parametros_manuales!$F$37*(datos_base!$F$4+IF(parametros_manuales!$H$37="Todos",datos_base!$F$11,0))*parametros_manuales!$D$105+parametros_manuales!$G$37*(datos_base!$F$5+IF(parametros_manuales!$H$37="Todos",datos_base!$F$12,0))*parametros_manuales!$D$110)*parametros_manuales!$I$37*parametros_manuales!$J$37</f>
        <v>7161.515</v>
      </c>
      <c r="E128" s="4">
        <f>(parametros_manuales!$D$37*(datos_base!$F$2+IF(parametros_manuales!$H$37="Todos",datos_base!$F$9,0))*parametros_manuales!$E$95+parametros_manuales!$E$37*(datos_base!$F$3+IF(parametros_manuales!$H$37="Todos",datos_base!$F$10,0))*parametros_manuales!$E$100+parametros_manuales!$F$37*(datos_base!$F$4+IF(parametros_manuales!$H$37="Todos",datos_base!$F$11,0))*parametros_manuales!$E$105+parametros_manuales!$G$37*(datos_base!$F$5+IF(parametros_manuales!$H$37="Todos",datos_base!$F$12,0))*parametros_manuales!$E$110)*parametros_manuales!$I$37*parametros_manuales!$J$37</f>
        <v>6850.935</v>
      </c>
      <c r="F128" s="4">
        <f>(parametros_manuales!$D$37*(datos_base!$F$2+IF(parametros_manuales!$H$37="Todos",datos_base!$F$9,0))*parametros_manuales!$F$95+parametros_manuales!$E$37*(datos_base!$F$3+IF(parametros_manuales!$H$37="Todos",datos_base!$F$10,0))*parametros_manuales!$F$100+parametros_manuales!$F$37*(datos_base!$F$4+IF(parametros_manuales!$H$37="Todos",datos_base!$F$11,0))*parametros_manuales!$F$105+parametros_manuales!$G$37*(datos_base!$F$5+IF(parametros_manuales!$H$37="Todos",datos_base!$F$12,0))*parametros_manuales!$F$110)*parametros_manuales!$I$37*parametros_manuales!$J$37</f>
        <v>6411.4</v>
      </c>
      <c r="G128" s="4">
        <f>(parametros_manuales!$D$37*(datos_base!$F$2+IF(parametros_manuales!$H$37="Todos",datos_base!$F$9,0))*parametros_manuales!$G$95+parametros_manuales!$E$37*(datos_base!$F$3+IF(parametros_manuales!$H$37="Todos",datos_base!$F$10,0))*parametros_manuales!$G$100+parametros_manuales!$F$37*(datos_base!$F$4+IF(parametros_manuales!$H$37="Todos",datos_base!$F$11,0))*parametros_manuales!$G$105+parametros_manuales!$G$37*(datos_base!$F$5+IF(parametros_manuales!$H$37="Todos",datos_base!$F$12,0))*parametros_manuales!$G$110)*parametros_manuales!$I$37*parametros_manuales!$J$37</f>
        <v>6282.445</v>
      </c>
      <c r="H128" s="4">
        <f>(parametros_manuales!$D$37*(datos_base!$F$2+IF(parametros_manuales!$H$37="Todos",datos_base!$F$9,0))*parametros_manuales!$H$95+parametros_manuales!$E$37*(datos_base!$F$3+IF(parametros_manuales!$H$37="Todos",datos_base!$F$10,0))*parametros_manuales!$H$100+parametros_manuales!$F$37*(datos_base!$F$4+IF(parametros_manuales!$H$37="Todos",datos_base!$F$11,0))*parametros_manuales!$H$105+parametros_manuales!$G$37*(datos_base!$F$5+IF(parametros_manuales!$H$37="Todos",datos_base!$F$12,0))*parametros_manuales!$H$110)*parametros_manuales!$I$37*parametros_manuales!$J$37</f>
        <v>6721.98</v>
      </c>
      <c r="I128" s="4">
        <f>(parametros_manuales!$D$37*(datos_base!$F$2+IF(parametros_manuales!$H$37="Todos",datos_base!$F$9,0))*parametros_manuales!$I$95+parametros_manuales!$E$37*(datos_base!$F$3+IF(parametros_manuales!$H$37="Todos",datos_base!$F$10,0))*parametros_manuales!$I$100+parametros_manuales!$F$37*(datos_base!$F$4+IF(parametros_manuales!$H$37="Todos",datos_base!$F$11,0))*parametros_manuales!$I$105+parametros_manuales!$G$37*(datos_base!$F$5+IF(parametros_manuales!$H$37="Todos",datos_base!$F$12,0))*parametros_manuales!$I$110)*parametros_manuales!$I$37*parametros_manuales!$J$37</f>
        <v>7653.72</v>
      </c>
      <c r="J128" s="4">
        <f>(parametros_manuales!$D$37*(datos_base!$F$2+IF(parametros_manuales!$H$37="Todos",datos_base!$F$9,0))*parametros_manuales!$J$95+parametros_manuales!$E$37*(datos_base!$F$3+IF(parametros_manuales!$H$37="Todos",datos_base!$F$10,0))*parametros_manuales!$J$100+parametros_manuales!$F$37*(datos_base!$F$4+IF(parametros_manuales!$H$37="Todos",datos_base!$F$11,0))*parametros_manuales!$J$105+parametros_manuales!$G$37*(datos_base!$F$5+IF(parametros_manuales!$H$37="Todos",datos_base!$F$12,0))*parametros_manuales!$J$110)*parametros_manuales!$I$37*parametros_manuales!$J$37</f>
        <v>7653.72</v>
      </c>
      <c r="K128" s="4">
        <f>(parametros_manuales!$D$37*(datos_base!$F$2+IF(parametros_manuales!$H$37="Todos",datos_base!$F$9,0))*parametros_manuales!$K$95+parametros_manuales!$E$37*(datos_base!$F$3+IF(parametros_manuales!$H$37="Todos",datos_base!$F$10,0))*parametros_manuales!$K$100+parametros_manuales!$F$37*(datos_base!$F$4+IF(parametros_manuales!$H$37="Todos",datos_base!$F$11,0))*parametros_manuales!$K$105+parametros_manuales!$G$37*(datos_base!$F$5+IF(parametros_manuales!$H$37="Todos",datos_base!$F$12,0))*parametros_manuales!$K$110)*parametros_manuales!$I$37*parametros_manuales!$J$37</f>
        <v>7782.675</v>
      </c>
      <c r="L128" s="4">
        <f>(parametros_manuales!$D$37*(datos_base!$F$2+IF(parametros_manuales!$H$37="Todos",datos_base!$F$9,0))*parametros_manuales!$L$95+parametros_manuales!$E$37*(datos_base!$F$3+IF(parametros_manuales!$H$37="Todos",datos_base!$F$10,0))*parametros_manuales!$L$100+parametros_manuales!$F$37*(datos_base!$F$4+IF(parametros_manuales!$H$37="Todos",datos_base!$F$11,0))*parametros_manuales!$L$105+parametros_manuales!$G$37*(datos_base!$F$5+IF(parametros_manuales!$H$37="Todos",datos_base!$F$12,0))*parametros_manuales!$L$110)*parametros_manuales!$I$37*parametros_manuales!$J$37</f>
        <v>7911.63</v>
      </c>
      <c r="M128" s="4">
        <f>(parametros_manuales!$D$37*(datos_base!$F$2+IF(parametros_manuales!$H$37="Todos",datos_base!$F$9,0))*parametros_manuales!$M$95+parametros_manuales!$E$37*(datos_base!$F$3+IF(parametros_manuales!$H$37="Todos",datos_base!$F$10,0))*parametros_manuales!$M$100+parametros_manuales!$F$37*(datos_base!$F$4+IF(parametros_manuales!$H$37="Todos",datos_base!$F$11,0))*parametros_manuales!$M$105+parametros_manuales!$G$37*(datos_base!$F$5+IF(parametros_manuales!$H$37="Todos",datos_base!$F$12,0))*parametros_manuales!$M$110)*parametros_manuales!$I$37*parametros_manuales!$J$37</f>
        <v>7911.63</v>
      </c>
      <c r="N128" s="4">
        <f t="shared" si="13"/>
        <v>87907</v>
      </c>
      <c r="O128" s="4">
        <f t="shared" si="14"/>
        <v>7911.63</v>
      </c>
      <c r="P128" s="27">
        <f>O128/(parametros_manuales!$B$7)</f>
        <v>52.7442</v>
      </c>
      <c r="Q128" s="3" t="str">
        <f t="shared" si="15"/>
        <v>Ene</v>
      </c>
    </row>
    <row r="129" ht="14.25" customHeight="1">
      <c r="A129" s="3" t="str">
        <f>parametros_manuales!$B$38</f>
        <v>Carga de polvo</v>
      </c>
      <c r="B129" s="4">
        <f>(parametros_manuales!$D$38*(datos_base!$F$2+IF(parametros_manuales!$H$38="Todos",datos_base!$F$9,0))*parametros_manuales!$B$95+parametros_manuales!$E$38*(datos_base!$F$3+IF(parametros_manuales!$H$38="Todos",datos_base!$F$10,0))*parametros_manuales!$B$100+parametros_manuales!$F$38*(datos_base!$F$4+IF(parametros_manuales!$H$38="Todos",datos_base!$F$11,0))*parametros_manuales!$B$105+parametros_manuales!$G$38*(datos_base!$F$5+IF(parametros_manuales!$H$38="Todos",datos_base!$F$12,0))*parametros_manuales!$B$110)*parametros_manuales!$I$38*parametros_manuales!$J$38</f>
        <v>2377.35</v>
      </c>
      <c r="C129" s="4">
        <f>(parametros_manuales!$D$38*(datos_base!$F$2+IF(parametros_manuales!$H$38="Todos",datos_base!$F$9,0))*parametros_manuales!$C$95+parametros_manuales!$E$38*(datos_base!$F$3+IF(parametros_manuales!$H$38="Todos",datos_base!$F$10,0))*parametros_manuales!$C$100+parametros_manuales!$F$38*(datos_base!$F$4+IF(parametros_manuales!$H$38="Todos",datos_base!$F$11,0))*parametros_manuales!$C$105+parametros_manuales!$G$38*(datos_base!$F$5+IF(parametros_manuales!$H$38="Todos",datos_base!$F$12,0))*parametros_manuales!$C$110)*parametros_manuales!$I$38*parametros_manuales!$J$38</f>
        <v>2240.01</v>
      </c>
      <c r="D129" s="4">
        <f>(parametros_manuales!$D$38*(datos_base!$F$2+IF(parametros_manuales!$H$38="Todos",datos_base!$F$9,0))*parametros_manuales!$D$95+parametros_manuales!$E$38*(datos_base!$F$3+IF(parametros_manuales!$H$38="Todos",datos_base!$F$10,0))*parametros_manuales!$D$100+parametros_manuales!$F$38*(datos_base!$F$4+IF(parametros_manuales!$H$38="Todos",datos_base!$F$11,0))*parametros_manuales!$D$105+parametros_manuales!$G$38*(datos_base!$F$5+IF(parametros_manuales!$H$38="Todos",datos_base!$F$12,0))*parametros_manuales!$D$110)*parametros_manuales!$I$38*parametros_manuales!$J$38</f>
        <v>2181.87</v>
      </c>
      <c r="E129" s="4">
        <f>(parametros_manuales!$D$38*(datos_base!$F$2+IF(parametros_manuales!$H$38="Todos",datos_base!$F$9,0))*parametros_manuales!$E$95+parametros_manuales!$E$38*(datos_base!$F$3+IF(parametros_manuales!$H$38="Todos",datos_base!$F$10,0))*parametros_manuales!$E$100+parametros_manuales!$F$38*(datos_base!$F$4+IF(parametros_manuales!$H$38="Todos",datos_base!$F$11,0))*parametros_manuales!$E$105+parametros_manuales!$G$38*(datos_base!$F$5+IF(parametros_manuales!$H$38="Todos",datos_base!$F$12,0))*parametros_manuales!$E$110)*parametros_manuales!$I$38*parametros_manuales!$J$38</f>
        <v>2118.465</v>
      </c>
      <c r="F129" s="4">
        <f>(parametros_manuales!$D$38*(datos_base!$F$2+IF(parametros_manuales!$H$38="Todos",datos_base!$F$9,0))*parametros_manuales!$F$95+parametros_manuales!$E$38*(datos_base!$F$3+IF(parametros_manuales!$H$38="Todos",datos_base!$F$10,0))*parametros_manuales!$F$100+parametros_manuales!$F$38*(datos_base!$F$4+IF(parametros_manuales!$H$38="Todos",datos_base!$F$11,0))*parametros_manuales!$F$105+parametros_manuales!$G$38*(datos_base!$F$5+IF(parametros_manuales!$H$38="Todos",datos_base!$F$12,0))*parametros_manuales!$F$110)*parametros_manuales!$I$38*parametros_manuales!$J$38</f>
        <v>1986.39</v>
      </c>
      <c r="G129" s="4">
        <f>(parametros_manuales!$D$38*(datos_base!$F$2+IF(parametros_manuales!$H$38="Todos",datos_base!$F$9,0))*parametros_manuales!$G$95+parametros_manuales!$E$38*(datos_base!$F$3+IF(parametros_manuales!$H$38="Todos",datos_base!$F$10,0))*parametros_manuales!$G$100+parametros_manuales!$F$38*(datos_base!$F$4+IF(parametros_manuales!$H$38="Todos",datos_base!$F$11,0))*parametros_manuales!$G$105+parametros_manuales!$G$38*(datos_base!$F$5+IF(parametros_manuales!$H$38="Todos",datos_base!$F$12,0))*parametros_manuales!$G$110)*parametros_manuales!$I$38*parametros_manuales!$J$38</f>
        <v>1917.72</v>
      </c>
      <c r="H129" s="4">
        <f>(parametros_manuales!$D$38*(datos_base!$F$2+IF(parametros_manuales!$H$38="Todos",datos_base!$F$9,0))*parametros_manuales!$H$95+parametros_manuales!$E$38*(datos_base!$F$3+IF(parametros_manuales!$H$38="Todos",datos_base!$F$10,0))*parametros_manuales!$H$100+parametros_manuales!$F$38*(datos_base!$F$4+IF(parametros_manuales!$H$38="Todos",datos_base!$F$11,0))*parametros_manuales!$H$105+parametros_manuales!$G$38*(datos_base!$F$5+IF(parametros_manuales!$H$38="Todos",datos_base!$F$12,0))*parametros_manuales!$H$110)*parametros_manuales!$I$38*parametros_manuales!$J$38</f>
        <v>2049.795</v>
      </c>
      <c r="I129" s="4">
        <f>(parametros_manuales!$D$38*(datos_base!$F$2+IF(parametros_manuales!$H$38="Todos",datos_base!$F$9,0))*parametros_manuales!$I$95+parametros_manuales!$E$38*(datos_base!$F$3+IF(parametros_manuales!$H$38="Todos",datos_base!$F$10,0))*parametros_manuales!$I$100+parametros_manuales!$F$38*(datos_base!$F$4+IF(parametros_manuales!$H$38="Todos",datos_base!$F$11,0))*parametros_manuales!$I$105+parametros_manuales!$G$38*(datos_base!$F$5+IF(parametros_manuales!$H$38="Todos",datos_base!$F$12,0))*parametros_manuales!$I$110)*parametros_manuales!$I$38*parametros_manuales!$J$38</f>
        <v>2240.01</v>
      </c>
      <c r="J129" s="4">
        <f>(parametros_manuales!$D$38*(datos_base!$F$2+IF(parametros_manuales!$H$38="Todos",datos_base!$F$9,0))*parametros_manuales!$J$95+parametros_manuales!$E$38*(datos_base!$F$3+IF(parametros_manuales!$H$38="Todos",datos_base!$F$10,0))*parametros_manuales!$J$100+parametros_manuales!$F$38*(datos_base!$F$4+IF(parametros_manuales!$H$38="Todos",datos_base!$F$11,0))*parametros_manuales!$J$105+parametros_manuales!$G$38*(datos_base!$F$5+IF(parametros_manuales!$H$38="Todos",datos_base!$F$12,0))*parametros_manuales!$J$110)*parametros_manuales!$I$38*parametros_manuales!$J$38</f>
        <v>2240.01</v>
      </c>
      <c r="K129" s="4">
        <f>(parametros_manuales!$D$38*(datos_base!$F$2+IF(parametros_manuales!$H$38="Todos",datos_base!$F$9,0))*parametros_manuales!$K$95+parametros_manuales!$E$38*(datos_base!$F$3+IF(parametros_manuales!$H$38="Todos",datos_base!$F$10,0))*parametros_manuales!$K$100+parametros_manuales!$F$38*(datos_base!$F$4+IF(parametros_manuales!$H$38="Todos",datos_base!$F$11,0))*parametros_manuales!$K$105+parametros_manuales!$G$38*(datos_base!$F$5+IF(parametros_manuales!$H$38="Todos",datos_base!$F$12,0))*parametros_manuales!$K$110)*parametros_manuales!$I$38*parametros_manuales!$J$38</f>
        <v>2308.68</v>
      </c>
      <c r="L129" s="4">
        <f>(parametros_manuales!$D$38*(datos_base!$F$2+IF(parametros_manuales!$H$38="Todos",datos_base!$F$9,0))*parametros_manuales!$L$95+parametros_manuales!$E$38*(datos_base!$F$3+IF(parametros_manuales!$H$38="Todos",datos_base!$F$10,0))*parametros_manuales!$L$100+parametros_manuales!$F$38*(datos_base!$F$4+IF(parametros_manuales!$H$38="Todos",datos_base!$F$11,0))*parametros_manuales!$L$105+parametros_manuales!$G$38*(datos_base!$F$5+IF(parametros_manuales!$H$38="Todos",datos_base!$F$12,0))*parametros_manuales!$L$110)*parametros_manuales!$I$38*parametros_manuales!$J$38</f>
        <v>2377.35</v>
      </c>
      <c r="M129" s="4">
        <f>(parametros_manuales!$D$38*(datos_base!$F$2+IF(parametros_manuales!$H$38="Todos",datos_base!$F$9,0))*parametros_manuales!$M$95+parametros_manuales!$E$38*(datos_base!$F$3+IF(parametros_manuales!$H$38="Todos",datos_base!$F$10,0))*parametros_manuales!$M$100+parametros_manuales!$F$38*(datos_base!$F$4+IF(parametros_manuales!$H$38="Todos",datos_base!$F$11,0))*parametros_manuales!$M$105+parametros_manuales!$G$38*(datos_base!$F$5+IF(parametros_manuales!$H$38="Todos",datos_base!$F$12,0))*parametros_manuales!$M$110)*parametros_manuales!$I$38*parametros_manuales!$J$38</f>
        <v>2377.35</v>
      </c>
      <c r="N129" s="4">
        <f t="shared" si="13"/>
        <v>26415</v>
      </c>
      <c r="O129" s="4">
        <f t="shared" si="14"/>
        <v>2377.35</v>
      </c>
      <c r="P129" s="27">
        <f>O129/(parametros_manuales!$B$7)</f>
        <v>15.849</v>
      </c>
      <c r="Q129" s="3" t="str">
        <f t="shared" si="15"/>
        <v>Ene</v>
      </c>
    </row>
    <row r="130" ht="14.25" customHeight="1">
      <c r="A130" s="3" t="str">
        <f>parametros_manuales!$B$39</f>
        <v>Ensamblaje</v>
      </c>
      <c r="B130" s="4">
        <f>(parametros_manuales!$D$39*(datos_base!$F$2+IF(parametros_manuales!$H$39="Todos",datos_base!$F$9,0))*parametros_manuales!$B$95+parametros_manuales!$E$39*(datos_base!$F$3+IF(parametros_manuales!$H$39="Todos",datos_base!$F$10,0))*parametros_manuales!$B$100+parametros_manuales!$F$39*(datos_base!$F$4+IF(parametros_manuales!$H$39="Todos",datos_base!$F$11,0))*parametros_manuales!$B$105+parametros_manuales!$G$39*(datos_base!$F$5+IF(parametros_manuales!$H$39="Todos",datos_base!$F$12,0))*parametros_manuales!$B$110)*parametros_manuales!$I$39*parametros_manuales!$J$39</f>
        <v>2377.35</v>
      </c>
      <c r="C130" s="4">
        <f>(parametros_manuales!$D$39*(datos_base!$F$2+IF(parametros_manuales!$H$39="Todos",datos_base!$F$9,0))*parametros_manuales!$C$95+parametros_manuales!$E$39*(datos_base!$F$3+IF(parametros_manuales!$H$39="Todos",datos_base!$F$10,0))*parametros_manuales!$C$100+parametros_manuales!$F$39*(datos_base!$F$4+IF(parametros_manuales!$H$39="Todos",datos_base!$F$11,0))*parametros_manuales!$C$105+parametros_manuales!$G$39*(datos_base!$F$5+IF(parametros_manuales!$H$39="Todos",datos_base!$F$12,0))*parametros_manuales!$C$110)*parametros_manuales!$I$39*parametros_manuales!$J$39</f>
        <v>2240.01</v>
      </c>
      <c r="D130" s="4">
        <f>(parametros_manuales!$D$39*(datos_base!$F$2+IF(parametros_manuales!$H$39="Todos",datos_base!$F$9,0))*parametros_manuales!$D$95+parametros_manuales!$E$39*(datos_base!$F$3+IF(parametros_manuales!$H$39="Todos",datos_base!$F$10,0))*parametros_manuales!$D$100+parametros_manuales!$F$39*(datos_base!$F$4+IF(parametros_manuales!$H$39="Todos",datos_base!$F$11,0))*parametros_manuales!$D$105+parametros_manuales!$G$39*(datos_base!$F$5+IF(parametros_manuales!$H$39="Todos",datos_base!$F$12,0))*parametros_manuales!$D$110)*parametros_manuales!$I$39*parametros_manuales!$J$39</f>
        <v>2181.87</v>
      </c>
      <c r="E130" s="4">
        <f>(parametros_manuales!$D$39*(datos_base!$F$2+IF(parametros_manuales!$H$39="Todos",datos_base!$F$9,0))*parametros_manuales!$E$95+parametros_manuales!$E$39*(datos_base!$F$3+IF(parametros_manuales!$H$39="Todos",datos_base!$F$10,0))*parametros_manuales!$E$100+parametros_manuales!$F$39*(datos_base!$F$4+IF(parametros_manuales!$H$39="Todos",datos_base!$F$11,0))*parametros_manuales!$E$105+parametros_manuales!$G$39*(datos_base!$F$5+IF(parametros_manuales!$H$39="Todos",datos_base!$F$12,0))*parametros_manuales!$E$110)*parametros_manuales!$I$39*parametros_manuales!$J$39</f>
        <v>2118.465</v>
      </c>
      <c r="F130" s="4">
        <f>(parametros_manuales!$D$39*(datos_base!$F$2+IF(parametros_manuales!$H$39="Todos",datos_base!$F$9,0))*parametros_manuales!$F$95+parametros_manuales!$E$39*(datos_base!$F$3+IF(parametros_manuales!$H$39="Todos",datos_base!$F$10,0))*parametros_manuales!$F$100+parametros_manuales!$F$39*(datos_base!$F$4+IF(parametros_manuales!$H$39="Todos",datos_base!$F$11,0))*parametros_manuales!$F$105+parametros_manuales!$G$39*(datos_base!$F$5+IF(parametros_manuales!$H$39="Todos",datos_base!$F$12,0))*parametros_manuales!$F$110)*parametros_manuales!$I$39*parametros_manuales!$J$39</f>
        <v>1986.39</v>
      </c>
      <c r="G130" s="4">
        <f>(parametros_manuales!$D$39*(datos_base!$F$2+IF(parametros_manuales!$H$39="Todos",datos_base!$F$9,0))*parametros_manuales!$G$95+parametros_manuales!$E$39*(datos_base!$F$3+IF(parametros_manuales!$H$39="Todos",datos_base!$F$10,0))*parametros_manuales!$G$100+parametros_manuales!$F$39*(datos_base!$F$4+IF(parametros_manuales!$H$39="Todos",datos_base!$F$11,0))*parametros_manuales!$G$105+parametros_manuales!$G$39*(datos_base!$F$5+IF(parametros_manuales!$H$39="Todos",datos_base!$F$12,0))*parametros_manuales!$G$110)*parametros_manuales!$I$39*parametros_manuales!$J$39</f>
        <v>1917.72</v>
      </c>
      <c r="H130" s="4">
        <f>(parametros_manuales!$D$39*(datos_base!$F$2+IF(parametros_manuales!$H$39="Todos",datos_base!$F$9,0))*parametros_manuales!$H$95+parametros_manuales!$E$39*(datos_base!$F$3+IF(parametros_manuales!$H$39="Todos",datos_base!$F$10,0))*parametros_manuales!$H$100+parametros_manuales!$F$39*(datos_base!$F$4+IF(parametros_manuales!$H$39="Todos",datos_base!$F$11,0))*parametros_manuales!$H$105+parametros_manuales!$G$39*(datos_base!$F$5+IF(parametros_manuales!$H$39="Todos",datos_base!$F$12,0))*parametros_manuales!$H$110)*parametros_manuales!$I$39*parametros_manuales!$J$39</f>
        <v>2049.795</v>
      </c>
      <c r="I130" s="4">
        <f>(parametros_manuales!$D$39*(datos_base!$F$2+IF(parametros_manuales!$H$39="Todos",datos_base!$F$9,0))*parametros_manuales!$I$95+parametros_manuales!$E$39*(datos_base!$F$3+IF(parametros_manuales!$H$39="Todos",datos_base!$F$10,0))*parametros_manuales!$I$100+parametros_manuales!$F$39*(datos_base!$F$4+IF(parametros_manuales!$H$39="Todos",datos_base!$F$11,0))*parametros_manuales!$I$105+parametros_manuales!$G$39*(datos_base!$F$5+IF(parametros_manuales!$H$39="Todos",datos_base!$F$12,0))*parametros_manuales!$I$110)*parametros_manuales!$I$39*parametros_manuales!$J$39</f>
        <v>2240.01</v>
      </c>
      <c r="J130" s="4">
        <f>(parametros_manuales!$D$39*(datos_base!$F$2+IF(parametros_manuales!$H$39="Todos",datos_base!$F$9,0))*parametros_manuales!$J$95+parametros_manuales!$E$39*(datos_base!$F$3+IF(parametros_manuales!$H$39="Todos",datos_base!$F$10,0))*parametros_manuales!$J$100+parametros_manuales!$F$39*(datos_base!$F$4+IF(parametros_manuales!$H$39="Todos",datos_base!$F$11,0))*parametros_manuales!$J$105+parametros_manuales!$G$39*(datos_base!$F$5+IF(parametros_manuales!$H$39="Todos",datos_base!$F$12,0))*parametros_manuales!$J$110)*parametros_manuales!$I$39*parametros_manuales!$J$39</f>
        <v>2240.01</v>
      </c>
      <c r="K130" s="4">
        <f>(parametros_manuales!$D$39*(datos_base!$F$2+IF(parametros_manuales!$H$39="Todos",datos_base!$F$9,0))*parametros_manuales!$K$95+parametros_manuales!$E$39*(datos_base!$F$3+IF(parametros_manuales!$H$39="Todos",datos_base!$F$10,0))*parametros_manuales!$K$100+parametros_manuales!$F$39*(datos_base!$F$4+IF(parametros_manuales!$H$39="Todos",datos_base!$F$11,0))*parametros_manuales!$K$105+parametros_manuales!$G$39*(datos_base!$F$5+IF(parametros_manuales!$H$39="Todos",datos_base!$F$12,0))*parametros_manuales!$K$110)*parametros_manuales!$I$39*parametros_manuales!$J$39</f>
        <v>2308.68</v>
      </c>
      <c r="L130" s="4">
        <f>(parametros_manuales!$D$39*(datos_base!$F$2+IF(parametros_manuales!$H$39="Todos",datos_base!$F$9,0))*parametros_manuales!$L$95+parametros_manuales!$E$39*(datos_base!$F$3+IF(parametros_manuales!$H$39="Todos",datos_base!$F$10,0))*parametros_manuales!$L$100+parametros_manuales!$F$39*(datos_base!$F$4+IF(parametros_manuales!$H$39="Todos",datos_base!$F$11,0))*parametros_manuales!$L$105+parametros_manuales!$G$39*(datos_base!$F$5+IF(parametros_manuales!$H$39="Todos",datos_base!$F$12,0))*parametros_manuales!$L$110)*parametros_manuales!$I$39*parametros_manuales!$J$39</f>
        <v>2377.35</v>
      </c>
      <c r="M130" s="4">
        <f>(parametros_manuales!$D$39*(datos_base!$F$2+IF(parametros_manuales!$H$39="Todos",datos_base!$F$9,0))*parametros_manuales!$M$95+parametros_manuales!$E$39*(datos_base!$F$3+IF(parametros_manuales!$H$39="Todos",datos_base!$F$10,0))*parametros_manuales!$M$100+parametros_manuales!$F$39*(datos_base!$F$4+IF(parametros_manuales!$H$39="Todos",datos_base!$F$11,0))*parametros_manuales!$M$105+parametros_manuales!$G$39*(datos_base!$F$5+IF(parametros_manuales!$H$39="Todos",datos_base!$F$12,0))*parametros_manuales!$M$110)*parametros_manuales!$I$39*parametros_manuales!$J$39</f>
        <v>2377.35</v>
      </c>
      <c r="N130" s="4">
        <f t="shared" si="13"/>
        <v>26415</v>
      </c>
      <c r="O130" s="4">
        <f t="shared" si="14"/>
        <v>2377.35</v>
      </c>
      <c r="P130" s="27">
        <f>O130/(parametros_manuales!$B$7)</f>
        <v>15.849</v>
      </c>
      <c r="Q130" s="3" t="str">
        <f t="shared" si="15"/>
        <v>Ene</v>
      </c>
    </row>
    <row r="131" ht="14.25" customHeight="1">
      <c r="A131" s="3" t="str">
        <f>parametros_manuales!$B$40</f>
        <v>Presurización</v>
      </c>
      <c r="B131" s="4">
        <f>(parametros_manuales!$D$40*(datos_base!$F$2+IF(parametros_manuales!$H$40="Todos",datos_base!$F$9,0))*parametros_manuales!$B$95+parametros_manuales!$E$40*(datos_base!$F$3+IF(parametros_manuales!$H$40="Todos",datos_base!$F$10,0))*parametros_manuales!$B$100+parametros_manuales!$F$40*(datos_base!$F$4+IF(parametros_manuales!$H$40="Todos",datos_base!$F$11,0))*parametros_manuales!$B$105+parametros_manuales!$G$40*(datos_base!$F$5+IF(parametros_manuales!$H$40="Todos",datos_base!$F$12,0))*parametros_manuales!$B$110)*parametros_manuales!$I$40*parametros_manuales!$J$40</f>
        <v>2377.35</v>
      </c>
      <c r="C131" s="4">
        <f>(parametros_manuales!$D$40*(datos_base!$F$2+IF(parametros_manuales!$H$40="Todos",datos_base!$F$9,0))*parametros_manuales!$C$95+parametros_manuales!$E$40*(datos_base!$F$3+IF(parametros_manuales!$H$40="Todos",datos_base!$F$10,0))*parametros_manuales!$C$100+parametros_manuales!$F$40*(datos_base!$F$4+IF(parametros_manuales!$H$40="Todos",datos_base!$F$11,0))*parametros_manuales!$C$105+parametros_manuales!$G$40*(datos_base!$F$5+IF(parametros_manuales!$H$40="Todos",datos_base!$F$12,0))*parametros_manuales!$C$110)*parametros_manuales!$I$40*parametros_manuales!$J$40</f>
        <v>2240.01</v>
      </c>
      <c r="D131" s="4">
        <f>(parametros_manuales!$D$40*(datos_base!$F$2+IF(parametros_manuales!$H$40="Todos",datos_base!$F$9,0))*parametros_manuales!$D$95+parametros_manuales!$E$40*(datos_base!$F$3+IF(parametros_manuales!$H$40="Todos",datos_base!$F$10,0))*parametros_manuales!$D$100+parametros_manuales!$F$40*(datos_base!$F$4+IF(parametros_manuales!$H$40="Todos",datos_base!$F$11,0))*parametros_manuales!$D$105+parametros_manuales!$G$40*(datos_base!$F$5+IF(parametros_manuales!$H$40="Todos",datos_base!$F$12,0))*parametros_manuales!$D$110)*parametros_manuales!$I$40*parametros_manuales!$J$40</f>
        <v>2181.87</v>
      </c>
      <c r="E131" s="4">
        <f>(parametros_manuales!$D$40*(datos_base!$F$2+IF(parametros_manuales!$H$40="Todos",datos_base!$F$9,0))*parametros_manuales!$E$95+parametros_manuales!$E$40*(datos_base!$F$3+IF(parametros_manuales!$H$40="Todos",datos_base!$F$10,0))*parametros_manuales!$E$100+parametros_manuales!$F$40*(datos_base!$F$4+IF(parametros_manuales!$H$40="Todos",datos_base!$F$11,0))*parametros_manuales!$E$105+parametros_manuales!$G$40*(datos_base!$F$5+IF(parametros_manuales!$H$40="Todos",datos_base!$F$12,0))*parametros_manuales!$E$110)*parametros_manuales!$I$40*parametros_manuales!$J$40</f>
        <v>2118.465</v>
      </c>
      <c r="F131" s="4">
        <f>(parametros_manuales!$D$40*(datos_base!$F$2+IF(parametros_manuales!$H$40="Todos",datos_base!$F$9,0))*parametros_manuales!$F$95+parametros_manuales!$E$40*(datos_base!$F$3+IF(parametros_manuales!$H$40="Todos",datos_base!$F$10,0))*parametros_manuales!$F$100+parametros_manuales!$F$40*(datos_base!$F$4+IF(parametros_manuales!$H$40="Todos",datos_base!$F$11,0))*parametros_manuales!$F$105+parametros_manuales!$G$40*(datos_base!$F$5+IF(parametros_manuales!$H$40="Todos",datos_base!$F$12,0))*parametros_manuales!$F$110)*parametros_manuales!$I$40*parametros_manuales!$J$40</f>
        <v>1986.39</v>
      </c>
      <c r="G131" s="4">
        <f>(parametros_manuales!$D$40*(datos_base!$F$2+IF(parametros_manuales!$H$40="Todos",datos_base!$F$9,0))*parametros_manuales!$G$95+parametros_manuales!$E$40*(datos_base!$F$3+IF(parametros_manuales!$H$40="Todos",datos_base!$F$10,0))*parametros_manuales!$G$100+parametros_manuales!$F$40*(datos_base!$F$4+IF(parametros_manuales!$H$40="Todos",datos_base!$F$11,0))*parametros_manuales!$G$105+parametros_manuales!$G$40*(datos_base!$F$5+IF(parametros_manuales!$H$40="Todos",datos_base!$F$12,0))*parametros_manuales!$G$110)*parametros_manuales!$I$40*parametros_manuales!$J$40</f>
        <v>1917.72</v>
      </c>
      <c r="H131" s="4">
        <f>(parametros_manuales!$D$40*(datos_base!$F$2+IF(parametros_manuales!$H$40="Todos",datos_base!$F$9,0))*parametros_manuales!$H$95+parametros_manuales!$E$40*(datos_base!$F$3+IF(parametros_manuales!$H$40="Todos",datos_base!$F$10,0))*parametros_manuales!$H$100+parametros_manuales!$F$40*(datos_base!$F$4+IF(parametros_manuales!$H$40="Todos",datos_base!$F$11,0))*parametros_manuales!$H$105+parametros_manuales!$G$40*(datos_base!$F$5+IF(parametros_manuales!$H$40="Todos",datos_base!$F$12,0))*parametros_manuales!$H$110)*parametros_manuales!$I$40*parametros_manuales!$J$40</f>
        <v>2049.795</v>
      </c>
      <c r="I131" s="4">
        <f>(parametros_manuales!$D$40*(datos_base!$F$2+IF(parametros_manuales!$H$40="Todos",datos_base!$F$9,0))*parametros_manuales!$I$95+parametros_manuales!$E$40*(datos_base!$F$3+IF(parametros_manuales!$H$40="Todos",datos_base!$F$10,0))*parametros_manuales!$I$100+parametros_manuales!$F$40*(datos_base!$F$4+IF(parametros_manuales!$H$40="Todos",datos_base!$F$11,0))*parametros_manuales!$I$105+parametros_manuales!$G$40*(datos_base!$F$5+IF(parametros_manuales!$H$40="Todos",datos_base!$F$12,0))*parametros_manuales!$I$110)*parametros_manuales!$I$40*parametros_manuales!$J$40</f>
        <v>2240.01</v>
      </c>
      <c r="J131" s="4">
        <f>(parametros_manuales!$D$40*(datos_base!$F$2+IF(parametros_manuales!$H$40="Todos",datos_base!$F$9,0))*parametros_manuales!$J$95+parametros_manuales!$E$40*(datos_base!$F$3+IF(parametros_manuales!$H$40="Todos",datos_base!$F$10,0))*parametros_manuales!$J$100+parametros_manuales!$F$40*(datos_base!$F$4+IF(parametros_manuales!$H$40="Todos",datos_base!$F$11,0))*parametros_manuales!$J$105+parametros_manuales!$G$40*(datos_base!$F$5+IF(parametros_manuales!$H$40="Todos",datos_base!$F$12,0))*parametros_manuales!$J$110)*parametros_manuales!$I$40*parametros_manuales!$J$40</f>
        <v>2240.01</v>
      </c>
      <c r="K131" s="4">
        <f>(parametros_manuales!$D$40*(datos_base!$F$2+IF(parametros_manuales!$H$40="Todos",datos_base!$F$9,0))*parametros_manuales!$K$95+parametros_manuales!$E$40*(datos_base!$F$3+IF(parametros_manuales!$H$40="Todos",datos_base!$F$10,0))*parametros_manuales!$K$100+parametros_manuales!$F$40*(datos_base!$F$4+IF(parametros_manuales!$H$40="Todos",datos_base!$F$11,0))*parametros_manuales!$K$105+parametros_manuales!$G$40*(datos_base!$F$5+IF(parametros_manuales!$H$40="Todos",datos_base!$F$12,0))*parametros_manuales!$K$110)*parametros_manuales!$I$40*parametros_manuales!$J$40</f>
        <v>2308.68</v>
      </c>
      <c r="L131" s="4">
        <f>(parametros_manuales!$D$40*(datos_base!$F$2+IF(parametros_manuales!$H$40="Todos",datos_base!$F$9,0))*parametros_manuales!$L$95+parametros_manuales!$E$40*(datos_base!$F$3+IF(parametros_manuales!$H$40="Todos",datos_base!$F$10,0))*parametros_manuales!$L$100+parametros_manuales!$F$40*(datos_base!$F$4+IF(parametros_manuales!$H$40="Todos",datos_base!$F$11,0))*parametros_manuales!$L$105+parametros_manuales!$G$40*(datos_base!$F$5+IF(parametros_manuales!$H$40="Todos",datos_base!$F$12,0))*parametros_manuales!$L$110)*parametros_manuales!$I$40*parametros_manuales!$J$40</f>
        <v>2377.35</v>
      </c>
      <c r="M131" s="4">
        <f>(parametros_manuales!$D$40*(datos_base!$F$2+IF(parametros_manuales!$H$40="Todos",datos_base!$F$9,0))*parametros_manuales!$M$95+parametros_manuales!$E$40*(datos_base!$F$3+IF(parametros_manuales!$H$40="Todos",datos_base!$F$10,0))*parametros_manuales!$M$100+parametros_manuales!$F$40*(datos_base!$F$4+IF(parametros_manuales!$H$40="Todos",datos_base!$F$11,0))*parametros_manuales!$M$105+parametros_manuales!$G$40*(datos_base!$F$5+IF(parametros_manuales!$H$40="Todos",datos_base!$F$12,0))*parametros_manuales!$M$110)*parametros_manuales!$I$40*parametros_manuales!$J$40</f>
        <v>2377.35</v>
      </c>
      <c r="N131" s="4">
        <f t="shared" si="13"/>
        <v>26415</v>
      </c>
      <c r="O131" s="4">
        <f t="shared" si="14"/>
        <v>2377.35</v>
      </c>
      <c r="P131" s="27">
        <f>O131/(parametros_manuales!$B$7)</f>
        <v>15.849</v>
      </c>
      <c r="Q131" s="3" t="str">
        <f t="shared" si="15"/>
        <v>Ene</v>
      </c>
    </row>
    <row r="132" ht="14.25" customHeight="1">
      <c r="A132" s="3" t="str">
        <f>parametros_manuales!$B$41</f>
        <v>Control de calidad — Ensayo de pérdidas</v>
      </c>
      <c r="B132" s="4">
        <f>(parametros_manuales!$D$41*(datos_base!$F$2+IF(parametros_manuales!$H$41="Todos",datos_base!$F$9,0))*parametros_manuales!$B$95+parametros_manuales!$E$41*(datos_base!$F$3+IF(parametros_manuales!$H$41="Todos",datos_base!$F$10,0))*parametros_manuales!$B$100+parametros_manuales!$F$41*(datos_base!$F$4+IF(parametros_manuales!$H$41="Todos",datos_base!$F$11,0))*parametros_manuales!$B$105+parametros_manuales!$G$41*(datos_base!$F$5+IF(parametros_manuales!$H$41="Todos",datos_base!$F$12,0))*parametros_manuales!$B$110)*parametros_manuales!$I$41*parametros_manuales!$J$41</f>
        <v>2377.35</v>
      </c>
      <c r="C132" s="4">
        <f>(parametros_manuales!$D$41*(datos_base!$F$2+IF(parametros_manuales!$H$41="Todos",datos_base!$F$9,0))*parametros_manuales!$C$95+parametros_manuales!$E$41*(datos_base!$F$3+IF(parametros_manuales!$H$41="Todos",datos_base!$F$10,0))*parametros_manuales!$C$100+parametros_manuales!$F$41*(datos_base!$F$4+IF(parametros_manuales!$H$41="Todos",datos_base!$F$11,0))*parametros_manuales!$C$105+parametros_manuales!$G$41*(datos_base!$F$5+IF(parametros_manuales!$H$41="Todos",datos_base!$F$12,0))*parametros_manuales!$C$110)*parametros_manuales!$I$41*parametros_manuales!$J$41</f>
        <v>2240.01</v>
      </c>
      <c r="D132" s="4">
        <f>(parametros_manuales!$D$41*(datos_base!$F$2+IF(parametros_manuales!$H$41="Todos",datos_base!$F$9,0))*parametros_manuales!$D$95+parametros_manuales!$E$41*(datos_base!$F$3+IF(parametros_manuales!$H$41="Todos",datos_base!$F$10,0))*parametros_manuales!$D$100+parametros_manuales!$F$41*(datos_base!$F$4+IF(parametros_manuales!$H$41="Todos",datos_base!$F$11,0))*parametros_manuales!$D$105+parametros_manuales!$G$41*(datos_base!$F$5+IF(parametros_manuales!$H$41="Todos",datos_base!$F$12,0))*parametros_manuales!$D$110)*parametros_manuales!$I$41*parametros_manuales!$J$41</f>
        <v>2181.87</v>
      </c>
      <c r="E132" s="4">
        <f>(parametros_manuales!$D$41*(datos_base!$F$2+IF(parametros_manuales!$H$41="Todos",datos_base!$F$9,0))*parametros_manuales!$E$95+parametros_manuales!$E$41*(datos_base!$F$3+IF(parametros_manuales!$H$41="Todos",datos_base!$F$10,0))*parametros_manuales!$E$100+parametros_manuales!$F$41*(datos_base!$F$4+IF(parametros_manuales!$H$41="Todos",datos_base!$F$11,0))*parametros_manuales!$E$105+parametros_manuales!$G$41*(datos_base!$F$5+IF(parametros_manuales!$H$41="Todos",datos_base!$F$12,0))*parametros_manuales!$E$110)*parametros_manuales!$I$41*parametros_manuales!$J$41</f>
        <v>2118.465</v>
      </c>
      <c r="F132" s="4">
        <f>(parametros_manuales!$D$41*(datos_base!$F$2+IF(parametros_manuales!$H$41="Todos",datos_base!$F$9,0))*parametros_manuales!$F$95+parametros_manuales!$E$41*(datos_base!$F$3+IF(parametros_manuales!$H$41="Todos",datos_base!$F$10,0))*parametros_manuales!$F$100+parametros_manuales!$F$41*(datos_base!$F$4+IF(parametros_manuales!$H$41="Todos",datos_base!$F$11,0))*parametros_manuales!$F$105+parametros_manuales!$G$41*(datos_base!$F$5+IF(parametros_manuales!$H$41="Todos",datos_base!$F$12,0))*parametros_manuales!$F$110)*parametros_manuales!$I$41*parametros_manuales!$J$41</f>
        <v>1986.39</v>
      </c>
      <c r="G132" s="4">
        <f>(parametros_manuales!$D$41*(datos_base!$F$2+IF(parametros_manuales!$H$41="Todos",datos_base!$F$9,0))*parametros_manuales!$G$95+parametros_manuales!$E$41*(datos_base!$F$3+IF(parametros_manuales!$H$41="Todos",datos_base!$F$10,0))*parametros_manuales!$G$100+parametros_manuales!$F$41*(datos_base!$F$4+IF(parametros_manuales!$H$41="Todos",datos_base!$F$11,0))*parametros_manuales!$G$105+parametros_manuales!$G$41*(datos_base!$F$5+IF(parametros_manuales!$H$41="Todos",datos_base!$F$12,0))*parametros_manuales!$G$110)*parametros_manuales!$I$41*parametros_manuales!$J$41</f>
        <v>1917.72</v>
      </c>
      <c r="H132" s="4">
        <f>(parametros_manuales!$D$41*(datos_base!$F$2+IF(parametros_manuales!$H$41="Todos",datos_base!$F$9,0))*parametros_manuales!$H$95+parametros_manuales!$E$41*(datos_base!$F$3+IF(parametros_manuales!$H$41="Todos",datos_base!$F$10,0))*parametros_manuales!$H$100+parametros_manuales!$F$41*(datos_base!$F$4+IF(parametros_manuales!$H$41="Todos",datos_base!$F$11,0))*parametros_manuales!$H$105+parametros_manuales!$G$41*(datos_base!$F$5+IF(parametros_manuales!$H$41="Todos",datos_base!$F$12,0))*parametros_manuales!$H$110)*parametros_manuales!$I$41*parametros_manuales!$J$41</f>
        <v>2049.795</v>
      </c>
      <c r="I132" s="4">
        <f>(parametros_manuales!$D$41*(datos_base!$F$2+IF(parametros_manuales!$H$41="Todos",datos_base!$F$9,0))*parametros_manuales!$I$95+parametros_manuales!$E$41*(datos_base!$F$3+IF(parametros_manuales!$H$41="Todos",datos_base!$F$10,0))*parametros_manuales!$I$100+parametros_manuales!$F$41*(datos_base!$F$4+IF(parametros_manuales!$H$41="Todos",datos_base!$F$11,0))*parametros_manuales!$I$105+parametros_manuales!$G$41*(datos_base!$F$5+IF(parametros_manuales!$H$41="Todos",datos_base!$F$12,0))*parametros_manuales!$I$110)*parametros_manuales!$I$41*parametros_manuales!$J$41</f>
        <v>2240.01</v>
      </c>
      <c r="J132" s="4">
        <f>(parametros_manuales!$D$41*(datos_base!$F$2+IF(parametros_manuales!$H$41="Todos",datos_base!$F$9,0))*parametros_manuales!$J$95+parametros_manuales!$E$41*(datos_base!$F$3+IF(parametros_manuales!$H$41="Todos",datos_base!$F$10,0))*parametros_manuales!$J$100+parametros_manuales!$F$41*(datos_base!$F$4+IF(parametros_manuales!$H$41="Todos",datos_base!$F$11,0))*parametros_manuales!$J$105+parametros_manuales!$G$41*(datos_base!$F$5+IF(parametros_manuales!$H$41="Todos",datos_base!$F$12,0))*parametros_manuales!$J$110)*parametros_manuales!$I$41*parametros_manuales!$J$41</f>
        <v>2240.01</v>
      </c>
      <c r="K132" s="4">
        <f>(parametros_manuales!$D$41*(datos_base!$F$2+IF(parametros_manuales!$H$41="Todos",datos_base!$F$9,0))*parametros_manuales!$K$95+parametros_manuales!$E$41*(datos_base!$F$3+IF(parametros_manuales!$H$41="Todos",datos_base!$F$10,0))*parametros_manuales!$K$100+parametros_manuales!$F$41*(datos_base!$F$4+IF(parametros_manuales!$H$41="Todos",datos_base!$F$11,0))*parametros_manuales!$K$105+parametros_manuales!$G$41*(datos_base!$F$5+IF(parametros_manuales!$H$41="Todos",datos_base!$F$12,0))*parametros_manuales!$K$110)*parametros_manuales!$I$41*parametros_manuales!$J$41</f>
        <v>2308.68</v>
      </c>
      <c r="L132" s="4">
        <f>(parametros_manuales!$D$41*(datos_base!$F$2+IF(parametros_manuales!$H$41="Todos",datos_base!$F$9,0))*parametros_manuales!$L$95+parametros_manuales!$E$41*(datos_base!$F$3+IF(parametros_manuales!$H$41="Todos",datos_base!$F$10,0))*parametros_manuales!$L$100+parametros_manuales!$F$41*(datos_base!$F$4+IF(parametros_manuales!$H$41="Todos",datos_base!$F$11,0))*parametros_manuales!$L$105+parametros_manuales!$G$41*(datos_base!$F$5+IF(parametros_manuales!$H$41="Todos",datos_base!$F$12,0))*parametros_manuales!$L$110)*parametros_manuales!$I$41*parametros_manuales!$J$41</f>
        <v>2377.35</v>
      </c>
      <c r="M132" s="4">
        <f>(parametros_manuales!$D$41*(datos_base!$F$2+IF(parametros_manuales!$H$41="Todos",datos_base!$F$9,0))*parametros_manuales!$M$95+parametros_manuales!$E$41*(datos_base!$F$3+IF(parametros_manuales!$H$41="Todos",datos_base!$F$10,0))*parametros_manuales!$M$100+parametros_manuales!$F$41*(datos_base!$F$4+IF(parametros_manuales!$H$41="Todos",datos_base!$F$11,0))*parametros_manuales!$M$105+parametros_manuales!$G$41*(datos_base!$F$5+IF(parametros_manuales!$H$41="Todos",datos_base!$F$12,0))*parametros_manuales!$M$110)*parametros_manuales!$I$41*parametros_manuales!$J$41</f>
        <v>2377.35</v>
      </c>
      <c r="N132" s="4">
        <f t="shared" si="13"/>
        <v>26415</v>
      </c>
      <c r="O132" s="4">
        <f t="shared" si="14"/>
        <v>2377.35</v>
      </c>
      <c r="P132" s="27">
        <f>O132/(parametros_manuales!$B$7)</f>
        <v>15.849</v>
      </c>
      <c r="Q132" s="3" t="str">
        <f t="shared" si="15"/>
        <v>Ene</v>
      </c>
    </row>
    <row r="133" ht="14.25" customHeight="1">
      <c r="A133" s="3" t="str">
        <f>parametros_manuales!$B$42</f>
        <v>Etiquetado</v>
      </c>
      <c r="B133" s="4">
        <f>(parametros_manuales!$D$42*(datos_base!$F$2+IF(parametros_manuales!$H$42="Todos",datos_base!$F$9,0))*parametros_manuales!$B$95+parametros_manuales!$E$42*(datos_base!$F$3+IF(parametros_manuales!$H$42="Todos",datos_base!$F$10,0))*parametros_manuales!$B$100+parametros_manuales!$F$42*(datos_base!$F$4+IF(parametros_manuales!$H$42="Todos",datos_base!$F$11,0))*parametros_manuales!$B$105+parametros_manuales!$G$42*(datos_base!$F$5+IF(parametros_manuales!$H$42="Todos",datos_base!$F$12,0))*parametros_manuales!$B$110)*parametros_manuales!$I$42*parametros_manuales!$J$42</f>
        <v>2377.35</v>
      </c>
      <c r="C133" s="4">
        <f>(parametros_manuales!$D$42*(datos_base!$F$2+IF(parametros_manuales!$H$42="Todos",datos_base!$F$9,0))*parametros_manuales!$C$95+parametros_manuales!$E$42*(datos_base!$F$3+IF(parametros_manuales!$H$42="Todos",datos_base!$F$10,0))*parametros_manuales!$C$100+parametros_manuales!$F$42*(datos_base!$F$4+IF(parametros_manuales!$H$42="Todos",datos_base!$F$11,0))*parametros_manuales!$C$105+parametros_manuales!$G$42*(datos_base!$F$5+IF(parametros_manuales!$H$42="Todos",datos_base!$F$12,0))*parametros_manuales!$C$110)*parametros_manuales!$I$42*parametros_manuales!$J$42</f>
        <v>2240.01</v>
      </c>
      <c r="D133" s="4">
        <f>(parametros_manuales!$D$42*(datos_base!$F$2+IF(parametros_manuales!$H$42="Todos",datos_base!$F$9,0))*parametros_manuales!$D$95+parametros_manuales!$E$42*(datos_base!$F$3+IF(parametros_manuales!$H$42="Todos",datos_base!$F$10,0))*parametros_manuales!$D$100+parametros_manuales!$F$42*(datos_base!$F$4+IF(parametros_manuales!$H$42="Todos",datos_base!$F$11,0))*parametros_manuales!$D$105+parametros_manuales!$G$42*(datos_base!$F$5+IF(parametros_manuales!$H$42="Todos",datos_base!$F$12,0))*parametros_manuales!$D$110)*parametros_manuales!$I$42*parametros_manuales!$J$42</f>
        <v>2181.87</v>
      </c>
      <c r="E133" s="4">
        <f>(parametros_manuales!$D$42*(datos_base!$F$2+IF(parametros_manuales!$H$42="Todos",datos_base!$F$9,0))*parametros_manuales!$E$95+parametros_manuales!$E$42*(datos_base!$F$3+IF(parametros_manuales!$H$42="Todos",datos_base!$F$10,0))*parametros_manuales!$E$100+parametros_manuales!$F$42*(datos_base!$F$4+IF(parametros_manuales!$H$42="Todos",datos_base!$F$11,0))*parametros_manuales!$E$105+parametros_manuales!$G$42*(datos_base!$F$5+IF(parametros_manuales!$H$42="Todos",datos_base!$F$12,0))*parametros_manuales!$E$110)*parametros_manuales!$I$42*parametros_manuales!$J$42</f>
        <v>2118.465</v>
      </c>
      <c r="F133" s="4">
        <f>(parametros_manuales!$D$42*(datos_base!$F$2+IF(parametros_manuales!$H$42="Todos",datos_base!$F$9,0))*parametros_manuales!$F$95+parametros_manuales!$E$42*(datos_base!$F$3+IF(parametros_manuales!$H$42="Todos",datos_base!$F$10,0))*parametros_manuales!$F$100+parametros_manuales!$F$42*(datos_base!$F$4+IF(parametros_manuales!$H$42="Todos",datos_base!$F$11,0))*parametros_manuales!$F$105+parametros_manuales!$G$42*(datos_base!$F$5+IF(parametros_manuales!$H$42="Todos",datos_base!$F$12,0))*parametros_manuales!$F$110)*parametros_manuales!$I$42*parametros_manuales!$J$42</f>
        <v>1986.39</v>
      </c>
      <c r="G133" s="4">
        <f>(parametros_manuales!$D$42*(datos_base!$F$2+IF(parametros_manuales!$H$42="Todos",datos_base!$F$9,0))*parametros_manuales!$G$95+parametros_manuales!$E$42*(datos_base!$F$3+IF(parametros_manuales!$H$42="Todos",datos_base!$F$10,0))*parametros_manuales!$G$100+parametros_manuales!$F$42*(datos_base!$F$4+IF(parametros_manuales!$H$42="Todos",datos_base!$F$11,0))*parametros_manuales!$G$105+parametros_manuales!$G$42*(datos_base!$F$5+IF(parametros_manuales!$H$42="Todos",datos_base!$F$12,0))*parametros_manuales!$G$110)*parametros_manuales!$I$42*parametros_manuales!$J$42</f>
        <v>1917.72</v>
      </c>
      <c r="H133" s="4">
        <f>(parametros_manuales!$D$42*(datos_base!$F$2+IF(parametros_manuales!$H$42="Todos",datos_base!$F$9,0))*parametros_manuales!$H$95+parametros_manuales!$E$42*(datos_base!$F$3+IF(parametros_manuales!$H$42="Todos",datos_base!$F$10,0))*parametros_manuales!$H$100+parametros_manuales!$F$42*(datos_base!$F$4+IF(parametros_manuales!$H$42="Todos",datos_base!$F$11,0))*parametros_manuales!$H$105+parametros_manuales!$G$42*(datos_base!$F$5+IF(parametros_manuales!$H$42="Todos",datos_base!$F$12,0))*parametros_manuales!$H$110)*parametros_manuales!$I$42*parametros_manuales!$J$42</f>
        <v>2049.795</v>
      </c>
      <c r="I133" s="4">
        <f>(parametros_manuales!$D$42*(datos_base!$F$2+IF(parametros_manuales!$H$42="Todos",datos_base!$F$9,0))*parametros_manuales!$I$95+parametros_manuales!$E$42*(datos_base!$F$3+IF(parametros_manuales!$H$42="Todos",datos_base!$F$10,0))*parametros_manuales!$I$100+parametros_manuales!$F$42*(datos_base!$F$4+IF(parametros_manuales!$H$42="Todos",datos_base!$F$11,0))*parametros_manuales!$I$105+parametros_manuales!$G$42*(datos_base!$F$5+IF(parametros_manuales!$H$42="Todos",datos_base!$F$12,0))*parametros_manuales!$I$110)*parametros_manuales!$I$42*parametros_manuales!$J$42</f>
        <v>2240.01</v>
      </c>
      <c r="J133" s="4">
        <f>(parametros_manuales!$D$42*(datos_base!$F$2+IF(parametros_manuales!$H$42="Todos",datos_base!$F$9,0))*parametros_manuales!$J$95+parametros_manuales!$E$42*(datos_base!$F$3+IF(parametros_manuales!$H$42="Todos",datos_base!$F$10,0))*parametros_manuales!$J$100+parametros_manuales!$F$42*(datos_base!$F$4+IF(parametros_manuales!$H$42="Todos",datos_base!$F$11,0))*parametros_manuales!$J$105+parametros_manuales!$G$42*(datos_base!$F$5+IF(parametros_manuales!$H$42="Todos",datos_base!$F$12,0))*parametros_manuales!$J$110)*parametros_manuales!$I$42*parametros_manuales!$J$42</f>
        <v>2240.01</v>
      </c>
      <c r="K133" s="4">
        <f>(parametros_manuales!$D$42*(datos_base!$F$2+IF(parametros_manuales!$H$42="Todos",datos_base!$F$9,0))*parametros_manuales!$K$95+parametros_manuales!$E$42*(datos_base!$F$3+IF(parametros_manuales!$H$42="Todos",datos_base!$F$10,0))*parametros_manuales!$K$100+parametros_manuales!$F$42*(datos_base!$F$4+IF(parametros_manuales!$H$42="Todos",datos_base!$F$11,0))*parametros_manuales!$K$105+parametros_manuales!$G$42*(datos_base!$F$5+IF(parametros_manuales!$H$42="Todos",datos_base!$F$12,0))*parametros_manuales!$K$110)*parametros_manuales!$I$42*parametros_manuales!$J$42</f>
        <v>2308.68</v>
      </c>
      <c r="L133" s="4">
        <f>(parametros_manuales!$D$42*(datos_base!$F$2+IF(parametros_manuales!$H$42="Todos",datos_base!$F$9,0))*parametros_manuales!$L$95+parametros_manuales!$E$42*(datos_base!$F$3+IF(parametros_manuales!$H$42="Todos",datos_base!$F$10,0))*parametros_manuales!$L$100+parametros_manuales!$F$42*(datos_base!$F$4+IF(parametros_manuales!$H$42="Todos",datos_base!$F$11,0))*parametros_manuales!$L$105+parametros_manuales!$G$42*(datos_base!$F$5+IF(parametros_manuales!$H$42="Todos",datos_base!$F$12,0))*parametros_manuales!$L$110)*parametros_manuales!$I$42*parametros_manuales!$J$42</f>
        <v>2377.35</v>
      </c>
      <c r="M133" s="4">
        <f>(parametros_manuales!$D$42*(datos_base!$F$2+IF(parametros_manuales!$H$42="Todos",datos_base!$F$9,0))*parametros_manuales!$M$95+parametros_manuales!$E$42*(datos_base!$F$3+IF(parametros_manuales!$H$42="Todos",datos_base!$F$10,0))*parametros_manuales!$M$100+parametros_manuales!$F$42*(datos_base!$F$4+IF(parametros_manuales!$H$42="Todos",datos_base!$F$11,0))*parametros_manuales!$M$105+parametros_manuales!$G$42*(datos_base!$F$5+IF(parametros_manuales!$H$42="Todos",datos_base!$F$12,0))*parametros_manuales!$M$110)*parametros_manuales!$I$42*parametros_manuales!$J$42</f>
        <v>2377.35</v>
      </c>
      <c r="N133" s="4">
        <f t="shared" si="13"/>
        <v>26415</v>
      </c>
      <c r="O133" s="4">
        <f t="shared" si="14"/>
        <v>2377.35</v>
      </c>
      <c r="P133" s="27">
        <f>O133/(parametros_manuales!$B$7)</f>
        <v>15.849</v>
      </c>
      <c r="Q133" s="3" t="str">
        <f t="shared" si="15"/>
        <v>Ene</v>
      </c>
    </row>
    <row r="134" ht="14.25" customHeight="1">
      <c r="A134" s="3" t="str">
        <f>parametros_manuales!$B$43</f>
        <v>Embalaje y paletizado</v>
      </c>
      <c r="B134" s="4">
        <f>(parametros_manuales!$D$43*(datos_base!$F$2+IF(parametros_manuales!$H$43="Todos",datos_base!$F$9,0))*parametros_manuales!$B$95+parametros_manuales!$E$43*(datos_base!$F$3+IF(parametros_manuales!$H$43="Todos",datos_base!$F$10,0))*parametros_manuales!$B$100+parametros_manuales!$F$43*(datos_base!$F$4+IF(parametros_manuales!$H$43="Todos",datos_base!$F$11,0))*parametros_manuales!$B$105+parametros_manuales!$G$43*(datos_base!$F$5+IF(parametros_manuales!$H$43="Todos",datos_base!$F$12,0))*parametros_manuales!$B$110)*parametros_manuales!$I$43*parametros_manuales!$J$43</f>
        <v>7911.63</v>
      </c>
      <c r="C134" s="4">
        <f>(parametros_manuales!$D$43*(datos_base!$F$2+IF(parametros_manuales!$H$43="Todos",datos_base!$F$9,0))*parametros_manuales!$C$95+parametros_manuales!$E$43*(datos_base!$F$3+IF(parametros_manuales!$H$43="Todos",datos_base!$F$10,0))*parametros_manuales!$C$100+parametros_manuales!$F$43*(datos_base!$F$4+IF(parametros_manuales!$H$43="Todos",datos_base!$F$11,0))*parametros_manuales!$C$105+parametros_manuales!$G$43*(datos_base!$F$5+IF(parametros_manuales!$H$43="Todos",datos_base!$F$12,0))*parametros_manuales!$C$110)*parametros_manuales!$I$43*parametros_manuales!$J$43</f>
        <v>7653.72</v>
      </c>
      <c r="D134" s="4">
        <f>(parametros_manuales!$D$43*(datos_base!$F$2+IF(parametros_manuales!$H$43="Todos",datos_base!$F$9,0))*parametros_manuales!$D$95+parametros_manuales!$E$43*(datos_base!$F$3+IF(parametros_manuales!$H$43="Todos",datos_base!$F$10,0))*parametros_manuales!$D$100+parametros_manuales!$F$43*(datos_base!$F$4+IF(parametros_manuales!$H$43="Todos",datos_base!$F$11,0))*parametros_manuales!$D$105+parametros_manuales!$G$43*(datos_base!$F$5+IF(parametros_manuales!$H$43="Todos",datos_base!$F$12,0))*parametros_manuales!$D$110)*parametros_manuales!$I$43*parametros_manuales!$J$43</f>
        <v>7161.515</v>
      </c>
      <c r="E134" s="4">
        <f>(parametros_manuales!$D$43*(datos_base!$F$2+IF(parametros_manuales!$H$43="Todos",datos_base!$F$9,0))*parametros_manuales!$E$95+parametros_manuales!$E$43*(datos_base!$F$3+IF(parametros_manuales!$H$43="Todos",datos_base!$F$10,0))*parametros_manuales!$E$100+parametros_manuales!$F$43*(datos_base!$F$4+IF(parametros_manuales!$H$43="Todos",datos_base!$F$11,0))*parametros_manuales!$E$105+parametros_manuales!$G$43*(datos_base!$F$5+IF(parametros_manuales!$H$43="Todos",datos_base!$F$12,0))*parametros_manuales!$E$110)*parametros_manuales!$I$43*parametros_manuales!$J$43</f>
        <v>6850.935</v>
      </c>
      <c r="F134" s="4">
        <f>(parametros_manuales!$D$43*(datos_base!$F$2+IF(parametros_manuales!$H$43="Todos",datos_base!$F$9,0))*parametros_manuales!$F$95+parametros_manuales!$E$43*(datos_base!$F$3+IF(parametros_manuales!$H$43="Todos",datos_base!$F$10,0))*parametros_manuales!$F$100+parametros_manuales!$F$43*(datos_base!$F$4+IF(parametros_manuales!$H$43="Todos",datos_base!$F$11,0))*parametros_manuales!$F$105+parametros_manuales!$G$43*(datos_base!$F$5+IF(parametros_manuales!$H$43="Todos",datos_base!$F$12,0))*parametros_manuales!$F$110)*parametros_manuales!$I$43*parametros_manuales!$J$43</f>
        <v>6411.4</v>
      </c>
      <c r="G134" s="4">
        <f>(parametros_manuales!$D$43*(datos_base!$F$2+IF(parametros_manuales!$H$43="Todos",datos_base!$F$9,0))*parametros_manuales!$G$95+parametros_manuales!$E$43*(datos_base!$F$3+IF(parametros_manuales!$H$43="Todos",datos_base!$F$10,0))*parametros_manuales!$G$100+parametros_manuales!$F$43*(datos_base!$F$4+IF(parametros_manuales!$H$43="Todos",datos_base!$F$11,0))*parametros_manuales!$G$105+parametros_manuales!$G$43*(datos_base!$F$5+IF(parametros_manuales!$H$43="Todos",datos_base!$F$12,0))*parametros_manuales!$G$110)*parametros_manuales!$I$43*parametros_manuales!$J$43</f>
        <v>6282.445</v>
      </c>
      <c r="H134" s="4">
        <f>(parametros_manuales!$D$43*(datos_base!$F$2+IF(parametros_manuales!$H$43="Todos",datos_base!$F$9,0))*parametros_manuales!$H$95+parametros_manuales!$E$43*(datos_base!$F$3+IF(parametros_manuales!$H$43="Todos",datos_base!$F$10,0))*parametros_manuales!$H$100+parametros_manuales!$F$43*(datos_base!$F$4+IF(parametros_manuales!$H$43="Todos",datos_base!$F$11,0))*parametros_manuales!$H$105+parametros_manuales!$G$43*(datos_base!$F$5+IF(parametros_manuales!$H$43="Todos",datos_base!$F$12,0))*parametros_manuales!$H$110)*parametros_manuales!$I$43*parametros_manuales!$J$43</f>
        <v>6721.98</v>
      </c>
      <c r="I134" s="4">
        <f>(parametros_manuales!$D$43*(datos_base!$F$2+IF(parametros_manuales!$H$43="Todos",datos_base!$F$9,0))*parametros_manuales!$I$95+parametros_manuales!$E$43*(datos_base!$F$3+IF(parametros_manuales!$H$43="Todos",datos_base!$F$10,0))*parametros_manuales!$I$100+parametros_manuales!$F$43*(datos_base!$F$4+IF(parametros_manuales!$H$43="Todos",datos_base!$F$11,0))*parametros_manuales!$I$105+parametros_manuales!$G$43*(datos_base!$F$5+IF(parametros_manuales!$H$43="Todos",datos_base!$F$12,0))*parametros_manuales!$I$110)*parametros_manuales!$I$43*parametros_manuales!$J$43</f>
        <v>7653.72</v>
      </c>
      <c r="J134" s="4">
        <f>(parametros_manuales!$D$43*(datos_base!$F$2+IF(parametros_manuales!$H$43="Todos",datos_base!$F$9,0))*parametros_manuales!$J$95+parametros_manuales!$E$43*(datos_base!$F$3+IF(parametros_manuales!$H$43="Todos",datos_base!$F$10,0))*parametros_manuales!$J$100+parametros_manuales!$F$43*(datos_base!$F$4+IF(parametros_manuales!$H$43="Todos",datos_base!$F$11,0))*parametros_manuales!$J$105+parametros_manuales!$G$43*(datos_base!$F$5+IF(parametros_manuales!$H$43="Todos",datos_base!$F$12,0))*parametros_manuales!$J$110)*parametros_manuales!$I$43*parametros_manuales!$J$43</f>
        <v>7653.72</v>
      </c>
      <c r="K134" s="4">
        <f>(parametros_manuales!$D$43*(datos_base!$F$2+IF(parametros_manuales!$H$43="Todos",datos_base!$F$9,0))*parametros_manuales!$K$95+parametros_manuales!$E$43*(datos_base!$F$3+IF(parametros_manuales!$H$43="Todos",datos_base!$F$10,0))*parametros_manuales!$K$100+parametros_manuales!$F$43*(datos_base!$F$4+IF(parametros_manuales!$H$43="Todos",datos_base!$F$11,0))*parametros_manuales!$K$105+parametros_manuales!$G$43*(datos_base!$F$5+IF(parametros_manuales!$H$43="Todos",datos_base!$F$12,0))*parametros_manuales!$K$110)*parametros_manuales!$I$43*parametros_manuales!$J$43</f>
        <v>7782.675</v>
      </c>
      <c r="L134" s="4">
        <f>(parametros_manuales!$D$43*(datos_base!$F$2+IF(parametros_manuales!$H$43="Todos",datos_base!$F$9,0))*parametros_manuales!$L$95+parametros_manuales!$E$43*(datos_base!$F$3+IF(parametros_manuales!$H$43="Todos",datos_base!$F$10,0))*parametros_manuales!$L$100+parametros_manuales!$F$43*(datos_base!$F$4+IF(parametros_manuales!$H$43="Todos",datos_base!$F$11,0))*parametros_manuales!$L$105+parametros_manuales!$G$43*(datos_base!$F$5+IF(parametros_manuales!$H$43="Todos",datos_base!$F$12,0))*parametros_manuales!$L$110)*parametros_manuales!$I$43*parametros_manuales!$J$43</f>
        <v>7911.63</v>
      </c>
      <c r="M134" s="4">
        <f>(parametros_manuales!$D$43*(datos_base!$F$2+IF(parametros_manuales!$H$43="Todos",datos_base!$F$9,0))*parametros_manuales!$M$95+parametros_manuales!$E$43*(datos_base!$F$3+IF(parametros_manuales!$H$43="Todos",datos_base!$F$10,0))*parametros_manuales!$M$100+parametros_manuales!$F$43*(datos_base!$F$4+IF(parametros_manuales!$H$43="Todos",datos_base!$F$11,0))*parametros_manuales!$M$105+parametros_manuales!$G$43*(datos_base!$F$5+IF(parametros_manuales!$H$43="Todos",datos_base!$F$12,0))*parametros_manuales!$M$110)*parametros_manuales!$I$43*parametros_manuales!$J$43</f>
        <v>7911.63</v>
      </c>
      <c r="N134" s="4">
        <f t="shared" si="13"/>
        <v>87907</v>
      </c>
      <c r="O134" s="4">
        <f t="shared" si="14"/>
        <v>7911.63</v>
      </c>
      <c r="P134" s="27">
        <f>O134/(parametros_manuales!$B$7)</f>
        <v>52.7442</v>
      </c>
      <c r="Q134" s="3" t="str">
        <f t="shared" si="15"/>
        <v>Ene</v>
      </c>
    </row>
    <row r="135" ht="14.25" customHeight="1"/>
    <row r="136" ht="14.25" customHeight="1">
      <c r="A136" s="1" t="s">
        <v>182</v>
      </c>
      <c r="B136" s="1" t="s">
        <v>5</v>
      </c>
      <c r="C136" s="1" t="s">
        <v>7</v>
      </c>
      <c r="D136" s="1" t="s">
        <v>8</v>
      </c>
      <c r="E136" s="1" t="s">
        <v>9</v>
      </c>
      <c r="F136" s="1" t="s">
        <v>11</v>
      </c>
      <c r="G136" s="1" t="s">
        <v>12</v>
      </c>
      <c r="H136" s="1" t="s">
        <v>14</v>
      </c>
      <c r="I136" s="1" t="s">
        <v>15</v>
      </c>
      <c r="J136" s="1" t="s">
        <v>16</v>
      </c>
      <c r="K136" s="1" t="s">
        <v>18</v>
      </c>
      <c r="L136" s="1" t="s">
        <v>19</v>
      </c>
      <c r="M136" s="1" t="s">
        <v>20</v>
      </c>
      <c r="N136" s="1" t="s">
        <v>21</v>
      </c>
      <c r="O136" s="1" t="s">
        <v>22</v>
      </c>
      <c r="P136" s="1" t="s">
        <v>23</v>
      </c>
      <c r="Q136" s="1" t="s">
        <v>24</v>
      </c>
    </row>
    <row r="137" ht="14.25" customHeight="1">
      <c r="A137" s="3" t="str">
        <f>parametros_manuales!$B$19</f>
        <v>Recepción de materia prima</v>
      </c>
      <c r="B137" s="4">
        <f>(parametros_manuales!$D$19*(datos_base!$G$2+IF(parametros_manuales!$H$19="Todos",datos_base!$G$9,0))*parametros_manuales!$B$95+parametros_manuales!$E$19*(datos_base!$G$3+IF(parametros_manuales!$H$19="Todos",datos_base!$G$10,0))*parametros_manuales!$B$100+parametros_manuales!$F$19*(datos_base!$G$4+IF(parametros_manuales!$H$19="Todos",datos_base!$G$11,0))*parametros_manuales!$B$105+parametros_manuales!$G$19*(datos_base!$G$5+IF(parametros_manuales!$H$19="Todos",datos_base!$G$12,0))*parametros_manuales!$B$110)*parametros_manuales!$I$19*parametros_manuales!$J$19</f>
        <v>11116.17</v>
      </c>
      <c r="C137" s="4">
        <f>(parametros_manuales!$D$19*(datos_base!$G$2+IF(parametros_manuales!$H$19="Todos",datos_base!$G$9,0))*parametros_manuales!$C$95+parametros_manuales!$E$19*(datos_base!$G$3+IF(parametros_manuales!$H$19="Todos",datos_base!$G$10,0))*parametros_manuales!$C$100+parametros_manuales!$F$19*(datos_base!$G$4+IF(parametros_manuales!$H$19="Todos",datos_base!$G$11,0))*parametros_manuales!$C$105+parametros_manuales!$G$19*(datos_base!$G$5+IF(parametros_manuales!$H$19="Todos",datos_base!$G$12,0))*parametros_manuales!$C$110)*parametros_manuales!$I$19*parametros_manuales!$J$19</f>
        <v>10754.04</v>
      </c>
      <c r="D137" s="4">
        <f>(parametros_manuales!$D$19*(datos_base!$G$2+IF(parametros_manuales!$H$19="Todos",datos_base!$G$9,0))*parametros_manuales!$D$95+parametros_manuales!$E$19*(datos_base!$G$3+IF(parametros_manuales!$H$19="Todos",datos_base!$G$10,0))*parametros_manuales!$D$100+parametros_manuales!$F$19*(datos_base!$G$4+IF(parametros_manuales!$H$19="Todos",datos_base!$G$11,0))*parametros_manuales!$D$105+parametros_manuales!$G$19*(datos_base!$G$5+IF(parametros_manuales!$H$19="Todos",datos_base!$G$12,0))*parametros_manuales!$D$110)*parametros_manuales!$I$19*parametros_manuales!$J$19</f>
        <v>10062.105</v>
      </c>
      <c r="E137" s="4">
        <f>(parametros_manuales!$D$19*(datos_base!$G$2+IF(parametros_manuales!$H$19="Todos",datos_base!$G$9,0))*parametros_manuales!$E$95+parametros_manuales!$E$19*(datos_base!$G$3+IF(parametros_manuales!$H$19="Todos",datos_base!$G$10,0))*parametros_manuales!$E$100+parametros_manuales!$F$19*(datos_base!$G$4+IF(parametros_manuales!$H$19="Todos",datos_base!$G$11,0))*parametros_manuales!$E$105+parametros_manuales!$G$19*(datos_base!$G$5+IF(parametros_manuales!$H$19="Todos",datos_base!$G$12,0))*parametros_manuales!$E$110)*parametros_manuales!$I$19*parametros_manuales!$J$19</f>
        <v>9625.605</v>
      </c>
      <c r="F137" s="4">
        <f>(parametros_manuales!$D$19*(datos_base!$G$2+IF(parametros_manuales!$H$19="Todos",datos_base!$G$9,0))*parametros_manuales!$F$95+parametros_manuales!$E$19*(datos_base!$G$3+IF(parametros_manuales!$H$19="Todos",datos_base!$G$10,0))*parametros_manuales!$F$100+parametros_manuales!$F$19*(datos_base!$G$4+IF(parametros_manuales!$H$19="Todos",datos_base!$G$11,0))*parametros_manuales!$F$105+parametros_manuales!$G$19*(datos_base!$G$5+IF(parametros_manuales!$H$19="Todos",datos_base!$G$12,0))*parametros_manuales!$F$110)*parametros_manuales!$I$19*parametros_manuales!$J$19</f>
        <v>9008.04</v>
      </c>
      <c r="G137" s="4">
        <f>(parametros_manuales!$D$19*(datos_base!$G$2+IF(parametros_manuales!$H$19="Todos",datos_base!$G$9,0))*parametros_manuales!$G$95+parametros_manuales!$E$19*(datos_base!$G$3+IF(parametros_manuales!$H$19="Todos",datos_base!$G$10,0))*parametros_manuales!$G$100+parametros_manuales!$F$19*(datos_base!$G$4+IF(parametros_manuales!$H$19="Todos",datos_base!$G$11,0))*parametros_manuales!$G$105+parametros_manuales!$G$19*(datos_base!$G$5+IF(parametros_manuales!$H$19="Todos",datos_base!$G$12,0))*parametros_manuales!$G$110)*parametros_manuales!$I$19*parametros_manuales!$J$19</f>
        <v>8826.975</v>
      </c>
      <c r="H137" s="4">
        <f>(parametros_manuales!$D$19*(datos_base!$G$2+IF(parametros_manuales!$H$19="Todos",datos_base!$G$9,0))*parametros_manuales!$H$95+parametros_manuales!$E$19*(datos_base!$G$3+IF(parametros_manuales!$H$19="Todos",datos_base!$G$10,0))*parametros_manuales!$H$100+parametros_manuales!$F$19*(datos_base!$G$4+IF(parametros_manuales!$H$19="Todos",datos_base!$G$11,0))*parametros_manuales!$H$105+parametros_manuales!$G$19*(datos_base!$G$5+IF(parametros_manuales!$H$19="Todos",datos_base!$G$12,0))*parametros_manuales!$H$110)*parametros_manuales!$I$19*parametros_manuales!$J$19</f>
        <v>9444.54</v>
      </c>
      <c r="I137" s="4">
        <f>(parametros_manuales!$D$19*(datos_base!$G$2+IF(parametros_manuales!$H$19="Todos",datos_base!$G$9,0))*parametros_manuales!$I$95+parametros_manuales!$E$19*(datos_base!$G$3+IF(parametros_manuales!$H$19="Todos",datos_base!$G$10,0))*parametros_manuales!$I$100+parametros_manuales!$F$19*(datos_base!$G$4+IF(parametros_manuales!$H$19="Todos",datos_base!$G$11,0))*parametros_manuales!$I$105+parametros_manuales!$G$19*(datos_base!$G$5+IF(parametros_manuales!$H$19="Todos",datos_base!$G$12,0))*parametros_manuales!$I$110)*parametros_manuales!$I$19*parametros_manuales!$J$19</f>
        <v>10754.04</v>
      </c>
      <c r="J137" s="4">
        <f>(parametros_manuales!$D$19*(datos_base!$G$2+IF(parametros_manuales!$H$19="Todos",datos_base!$G$9,0))*parametros_manuales!$J$95+parametros_manuales!$E$19*(datos_base!$G$3+IF(parametros_manuales!$H$19="Todos",datos_base!$G$10,0))*parametros_manuales!$J$100+parametros_manuales!$F$19*(datos_base!$G$4+IF(parametros_manuales!$H$19="Todos",datos_base!$G$11,0))*parametros_manuales!$J$105+parametros_manuales!$G$19*(datos_base!$G$5+IF(parametros_manuales!$H$19="Todos",datos_base!$G$12,0))*parametros_manuales!$J$110)*parametros_manuales!$I$19*parametros_manuales!$J$19</f>
        <v>10754.04</v>
      </c>
      <c r="K137" s="4">
        <f>(parametros_manuales!$D$19*(datos_base!$G$2+IF(parametros_manuales!$H$19="Todos",datos_base!$G$9,0))*parametros_manuales!$K$95+parametros_manuales!$E$19*(datos_base!$G$3+IF(parametros_manuales!$H$19="Todos",datos_base!$G$10,0))*parametros_manuales!$K$100+parametros_manuales!$F$19*(datos_base!$G$4+IF(parametros_manuales!$H$19="Todos",datos_base!$G$11,0))*parametros_manuales!$K$105+parametros_manuales!$G$19*(datos_base!$G$5+IF(parametros_manuales!$H$19="Todos",datos_base!$G$12,0))*parametros_manuales!$K$110)*parametros_manuales!$I$19*parametros_manuales!$J$19</f>
        <v>10935.105</v>
      </c>
      <c r="L137" s="4">
        <f>(parametros_manuales!$D$19*(datos_base!$G$2+IF(parametros_manuales!$H$19="Todos",datos_base!$G$9,0))*parametros_manuales!$L$95+parametros_manuales!$E$19*(datos_base!$G$3+IF(parametros_manuales!$H$19="Todos",datos_base!$G$10,0))*parametros_manuales!$L$100+parametros_manuales!$F$19*(datos_base!$G$4+IF(parametros_manuales!$H$19="Todos",datos_base!$G$11,0))*parametros_manuales!$L$105+parametros_manuales!$G$19*(datos_base!$G$5+IF(parametros_manuales!$H$19="Todos",datos_base!$G$12,0))*parametros_manuales!$L$110)*parametros_manuales!$I$19*parametros_manuales!$J$19</f>
        <v>11116.17</v>
      </c>
      <c r="M137" s="4">
        <f>(parametros_manuales!$D$19*(datos_base!$G$2+IF(parametros_manuales!$H$19="Todos",datos_base!$G$9,0))*parametros_manuales!$M$95+parametros_manuales!$E$19*(datos_base!$G$3+IF(parametros_manuales!$H$19="Todos",datos_base!$G$10,0))*parametros_manuales!$M$100+parametros_manuales!$F$19*(datos_base!$G$4+IF(parametros_manuales!$H$19="Todos",datos_base!$G$11,0))*parametros_manuales!$M$105+parametros_manuales!$G$19*(datos_base!$G$5+IF(parametros_manuales!$H$19="Todos",datos_base!$G$12,0))*parametros_manuales!$M$110)*parametros_manuales!$I$19*parametros_manuales!$J$19</f>
        <v>11116.17</v>
      </c>
      <c r="N137" s="4">
        <f t="shared" ref="N137:N161" si="16">SUM(B137:M137)</f>
        <v>123513</v>
      </c>
      <c r="O137" s="4">
        <f t="shared" ref="O137:O161" si="17">MAX(B137:M137)</f>
        <v>11116.17</v>
      </c>
      <c r="P137" s="27">
        <f>O137/(parametros_manuales!$B$7)</f>
        <v>74.1078</v>
      </c>
      <c r="Q137" s="3" t="str">
        <f t="shared" ref="Q137:Q161" si="18">IF(O137=0,"-",INDEX($B$136:$M$136,MATCH(O137,B137:M137,0)))</f>
        <v>Ene</v>
      </c>
    </row>
    <row r="138" ht="14.25" customHeight="1">
      <c r="A138" s="3" t="str">
        <f>parametros_manuales!$B$20</f>
        <v>Corte de chapa (guillotina) — 2,5 a 10 kg</v>
      </c>
      <c r="B138" s="4">
        <f>(parametros_manuales!$D$20*(datos_base!$G$2+IF(parametros_manuales!$H$20="Todos",datos_base!$G$9,0))*parametros_manuales!$B$95+parametros_manuales!$E$20*(datos_base!$G$3+IF(parametros_manuales!$H$20="Todos",datos_base!$G$10,0))*parametros_manuales!$B$100+parametros_manuales!$F$20*(datos_base!$G$4+IF(parametros_manuales!$H$20="Todos",datos_base!$G$11,0))*parametros_manuales!$B$105+parametros_manuales!$G$20*(datos_base!$G$5+IF(parametros_manuales!$H$20="Todos",datos_base!$G$12,0))*parametros_manuales!$B$110)*parametros_manuales!$I$20*parametros_manuales!$J$20</f>
        <v>3259.17</v>
      </c>
      <c r="C138" s="4">
        <f>(parametros_manuales!$D$20*(datos_base!$G$2+IF(parametros_manuales!$H$20="Todos",datos_base!$G$9,0))*parametros_manuales!$C$95+parametros_manuales!$E$20*(datos_base!$G$3+IF(parametros_manuales!$H$20="Todos",datos_base!$G$10,0))*parametros_manuales!$C$100+parametros_manuales!$F$20*(datos_base!$G$4+IF(parametros_manuales!$H$20="Todos",datos_base!$G$11,0))*parametros_manuales!$C$105+parametros_manuales!$G$20*(datos_base!$G$5+IF(parametros_manuales!$H$20="Todos",datos_base!$G$12,0))*parametros_manuales!$C$110)*parametros_manuales!$I$20*parametros_manuales!$J$20</f>
        <v>2897.04</v>
      </c>
      <c r="D138" s="4">
        <f>(parametros_manuales!$D$20*(datos_base!$G$2+IF(parametros_manuales!$H$20="Todos",datos_base!$G$9,0))*parametros_manuales!$D$95+parametros_manuales!$E$20*(datos_base!$G$3+IF(parametros_manuales!$H$20="Todos",datos_base!$G$10,0))*parametros_manuales!$D$100+parametros_manuales!$F$20*(datos_base!$G$4+IF(parametros_manuales!$H$20="Todos",datos_base!$G$11,0))*parametros_manuales!$D$105+parametros_manuales!$G$20*(datos_base!$G$5+IF(parametros_manuales!$H$20="Todos",datos_base!$G$12,0))*parametros_manuales!$D$110)*parametros_manuales!$I$20*parametros_manuales!$J$20</f>
        <v>3078.105</v>
      </c>
      <c r="E138" s="4">
        <f>(parametros_manuales!$D$20*(datos_base!$G$2+IF(parametros_manuales!$H$20="Todos",datos_base!$G$9,0))*parametros_manuales!$E$95+parametros_manuales!$E$20*(datos_base!$G$3+IF(parametros_manuales!$H$20="Todos",datos_base!$G$10,0))*parametros_manuales!$E$100+parametros_manuales!$F$20*(datos_base!$G$4+IF(parametros_manuales!$H$20="Todos",datos_base!$G$11,0))*parametros_manuales!$E$105+parametros_manuales!$G$20*(datos_base!$G$5+IF(parametros_manuales!$H$20="Todos",datos_base!$G$12,0))*parametros_manuales!$E$110)*parametros_manuales!$I$20*parametros_manuales!$J$20</f>
        <v>3078.105</v>
      </c>
      <c r="F138" s="4">
        <f>(parametros_manuales!$D$20*(datos_base!$G$2+IF(parametros_manuales!$H$20="Todos",datos_base!$G$9,0))*parametros_manuales!$F$95+parametros_manuales!$E$20*(datos_base!$G$3+IF(parametros_manuales!$H$20="Todos",datos_base!$G$10,0))*parametros_manuales!$F$100+parametros_manuales!$F$20*(datos_base!$G$4+IF(parametros_manuales!$H$20="Todos",datos_base!$G$11,0))*parametros_manuales!$F$105+parametros_manuales!$G$20*(datos_base!$G$5+IF(parametros_manuales!$H$20="Todos",datos_base!$G$12,0))*parametros_manuales!$F$110)*parametros_manuales!$I$20*parametros_manuales!$J$20</f>
        <v>2897.04</v>
      </c>
      <c r="G138" s="4">
        <f>(parametros_manuales!$D$20*(datos_base!$G$2+IF(parametros_manuales!$H$20="Todos",datos_base!$G$9,0))*parametros_manuales!$G$95+parametros_manuales!$E$20*(datos_base!$G$3+IF(parametros_manuales!$H$20="Todos",datos_base!$G$10,0))*parametros_manuales!$G$100+parametros_manuales!$F$20*(datos_base!$G$4+IF(parametros_manuales!$H$20="Todos",datos_base!$G$11,0))*parametros_manuales!$G$105+parametros_manuales!$G$20*(datos_base!$G$5+IF(parametros_manuales!$H$20="Todos",datos_base!$G$12,0))*parametros_manuales!$G$110)*parametros_manuales!$I$20*parametros_manuales!$J$20</f>
        <v>2715.975</v>
      </c>
      <c r="H138" s="4">
        <f>(parametros_manuales!$D$20*(datos_base!$G$2+IF(parametros_manuales!$H$20="Todos",datos_base!$G$9,0))*parametros_manuales!$H$95+parametros_manuales!$E$20*(datos_base!$G$3+IF(parametros_manuales!$H$20="Todos",datos_base!$G$10,0))*parametros_manuales!$H$100+parametros_manuales!$F$20*(datos_base!$G$4+IF(parametros_manuales!$H$20="Todos",datos_base!$G$11,0))*parametros_manuales!$H$105+parametros_manuales!$G$20*(datos_base!$G$5+IF(parametros_manuales!$H$20="Todos",datos_base!$G$12,0))*parametros_manuales!$H$110)*parametros_manuales!$I$20*parametros_manuales!$J$20</f>
        <v>2897.04</v>
      </c>
      <c r="I138" s="4">
        <f>(parametros_manuales!$D$20*(datos_base!$G$2+IF(parametros_manuales!$H$20="Todos",datos_base!$G$9,0))*parametros_manuales!$I$95+parametros_manuales!$E$20*(datos_base!$G$3+IF(parametros_manuales!$H$20="Todos",datos_base!$G$10,0))*parametros_manuales!$I$100+parametros_manuales!$F$20*(datos_base!$G$4+IF(parametros_manuales!$H$20="Todos",datos_base!$G$11,0))*parametros_manuales!$I$105+parametros_manuales!$G$20*(datos_base!$G$5+IF(parametros_manuales!$H$20="Todos",datos_base!$G$12,0))*parametros_manuales!$I$110)*parametros_manuales!$I$20*parametros_manuales!$J$20</f>
        <v>2897.04</v>
      </c>
      <c r="J138" s="4">
        <f>(parametros_manuales!$D$20*(datos_base!$G$2+IF(parametros_manuales!$H$20="Todos",datos_base!$G$9,0))*parametros_manuales!$J$95+parametros_manuales!$E$20*(datos_base!$G$3+IF(parametros_manuales!$H$20="Todos",datos_base!$G$10,0))*parametros_manuales!$J$100+parametros_manuales!$F$20*(datos_base!$G$4+IF(parametros_manuales!$H$20="Todos",datos_base!$G$11,0))*parametros_manuales!$J$105+parametros_manuales!$G$20*(datos_base!$G$5+IF(parametros_manuales!$H$20="Todos",datos_base!$G$12,0))*parametros_manuales!$J$110)*parametros_manuales!$I$20*parametros_manuales!$J$20</f>
        <v>2897.04</v>
      </c>
      <c r="K138" s="4">
        <f>(parametros_manuales!$D$20*(datos_base!$G$2+IF(parametros_manuales!$H$20="Todos",datos_base!$G$9,0))*parametros_manuales!$K$95+parametros_manuales!$E$20*(datos_base!$G$3+IF(parametros_manuales!$H$20="Todos",datos_base!$G$10,0))*parametros_manuales!$K$100+parametros_manuales!$F$20*(datos_base!$G$4+IF(parametros_manuales!$H$20="Todos",datos_base!$G$11,0))*parametros_manuales!$K$105+parametros_manuales!$G$20*(datos_base!$G$5+IF(parametros_manuales!$H$20="Todos",datos_base!$G$12,0))*parametros_manuales!$K$110)*parametros_manuales!$I$20*parametros_manuales!$J$20</f>
        <v>3078.105</v>
      </c>
      <c r="L138" s="4">
        <f>(parametros_manuales!$D$20*(datos_base!$G$2+IF(parametros_manuales!$H$20="Todos",datos_base!$G$9,0))*parametros_manuales!$L$95+parametros_manuales!$E$20*(datos_base!$G$3+IF(parametros_manuales!$H$20="Todos",datos_base!$G$10,0))*parametros_manuales!$L$100+parametros_manuales!$F$20*(datos_base!$G$4+IF(parametros_manuales!$H$20="Todos",datos_base!$G$11,0))*parametros_manuales!$L$105+parametros_manuales!$G$20*(datos_base!$G$5+IF(parametros_manuales!$H$20="Todos",datos_base!$G$12,0))*parametros_manuales!$L$110)*parametros_manuales!$I$20*parametros_manuales!$J$20</f>
        <v>3259.17</v>
      </c>
      <c r="M138" s="4">
        <f>(parametros_manuales!$D$20*(datos_base!$G$2+IF(parametros_manuales!$H$20="Todos",datos_base!$G$9,0))*parametros_manuales!$M$95+parametros_manuales!$E$20*(datos_base!$G$3+IF(parametros_manuales!$H$20="Todos",datos_base!$G$10,0))*parametros_manuales!$M$100+parametros_manuales!$F$20*(datos_base!$G$4+IF(parametros_manuales!$H$20="Todos",datos_base!$G$11,0))*parametros_manuales!$M$105+parametros_manuales!$G$20*(datos_base!$G$5+IF(parametros_manuales!$H$20="Todos",datos_base!$G$12,0))*parametros_manuales!$M$110)*parametros_manuales!$I$20*parametros_manuales!$J$20</f>
        <v>3259.17</v>
      </c>
      <c r="N138" s="4">
        <f t="shared" si="16"/>
        <v>36213</v>
      </c>
      <c r="O138" s="4">
        <f t="shared" si="17"/>
        <v>3259.17</v>
      </c>
      <c r="P138" s="27">
        <f>O138/(parametros_manuales!$B$7)</f>
        <v>21.7278</v>
      </c>
      <c r="Q138" s="3" t="str">
        <f t="shared" si="18"/>
        <v>Ene</v>
      </c>
    </row>
    <row r="139" ht="14.25" customHeight="1">
      <c r="A139" s="3" t="str">
        <f>parametros_manuales!$B$21</f>
        <v>Corte de tubo — 1 kg</v>
      </c>
      <c r="B139" s="4">
        <f>(parametros_manuales!$D$21*(datos_base!$G$2+IF(parametros_manuales!$H$21="Todos",datos_base!$G$9,0))*parametros_manuales!$B$95+parametros_manuales!$E$21*(datos_base!$G$3+IF(parametros_manuales!$H$21="Todos",datos_base!$G$10,0))*parametros_manuales!$B$100+parametros_manuales!$F$21*(datos_base!$G$4+IF(parametros_manuales!$H$21="Todos",datos_base!$G$11,0))*parametros_manuales!$B$105+parametros_manuales!$G$21*(datos_base!$G$5+IF(parametros_manuales!$H$21="Todos",datos_base!$G$12,0))*parametros_manuales!$B$110)*parametros_manuales!$I$21*parametros_manuales!$J$21</f>
        <v>7857</v>
      </c>
      <c r="C139" s="4">
        <f>(parametros_manuales!$D$21*(datos_base!$G$2+IF(parametros_manuales!$H$21="Todos",datos_base!$G$9,0))*parametros_manuales!$C$95+parametros_manuales!$E$21*(datos_base!$G$3+IF(parametros_manuales!$H$21="Todos",datos_base!$G$10,0))*parametros_manuales!$C$100+parametros_manuales!$F$21*(datos_base!$G$4+IF(parametros_manuales!$H$21="Todos",datos_base!$G$11,0))*parametros_manuales!$C$105+parametros_manuales!$G$21*(datos_base!$G$5+IF(parametros_manuales!$H$21="Todos",datos_base!$G$12,0))*parametros_manuales!$C$110)*parametros_manuales!$I$21*parametros_manuales!$J$21</f>
        <v>7857</v>
      </c>
      <c r="D139" s="4">
        <f>(parametros_manuales!$D$21*(datos_base!$G$2+IF(parametros_manuales!$H$21="Todos",datos_base!$G$9,0))*parametros_manuales!$D$95+parametros_manuales!$E$21*(datos_base!$G$3+IF(parametros_manuales!$H$21="Todos",datos_base!$G$10,0))*parametros_manuales!$D$100+parametros_manuales!$F$21*(datos_base!$G$4+IF(parametros_manuales!$H$21="Todos",datos_base!$G$11,0))*parametros_manuales!$D$105+parametros_manuales!$G$21*(datos_base!$G$5+IF(parametros_manuales!$H$21="Todos",datos_base!$G$12,0))*parametros_manuales!$D$110)*parametros_manuales!$I$21*parametros_manuales!$J$21</f>
        <v>6984</v>
      </c>
      <c r="E139" s="4">
        <f>(parametros_manuales!$D$21*(datos_base!$G$2+IF(parametros_manuales!$H$21="Todos",datos_base!$G$9,0))*parametros_manuales!$E$95+parametros_manuales!$E$21*(datos_base!$G$3+IF(parametros_manuales!$H$21="Todos",datos_base!$G$10,0))*parametros_manuales!$E$100+parametros_manuales!$F$21*(datos_base!$G$4+IF(parametros_manuales!$H$21="Todos",datos_base!$G$11,0))*parametros_manuales!$E$105+parametros_manuales!$G$21*(datos_base!$G$5+IF(parametros_manuales!$H$21="Todos",datos_base!$G$12,0))*parametros_manuales!$E$110)*parametros_manuales!$I$21*parametros_manuales!$J$21</f>
        <v>6547.5</v>
      </c>
      <c r="F139" s="4">
        <f>(parametros_manuales!$D$21*(datos_base!$G$2+IF(parametros_manuales!$H$21="Todos",datos_base!$G$9,0))*parametros_manuales!$F$95+parametros_manuales!$E$21*(datos_base!$G$3+IF(parametros_manuales!$H$21="Todos",datos_base!$G$10,0))*parametros_manuales!$F$100+parametros_manuales!$F$21*(datos_base!$G$4+IF(parametros_manuales!$H$21="Todos",datos_base!$G$11,0))*parametros_manuales!$F$105+parametros_manuales!$G$21*(datos_base!$G$5+IF(parametros_manuales!$H$21="Todos",datos_base!$G$12,0))*parametros_manuales!$F$110)*parametros_manuales!$I$21*parametros_manuales!$J$21</f>
        <v>6111</v>
      </c>
      <c r="G139" s="4">
        <f>(parametros_manuales!$D$21*(datos_base!$G$2+IF(parametros_manuales!$H$21="Todos",datos_base!$G$9,0))*parametros_manuales!$G$95+parametros_manuales!$E$21*(datos_base!$G$3+IF(parametros_manuales!$H$21="Todos",datos_base!$G$10,0))*parametros_manuales!$G$100+parametros_manuales!$F$21*(datos_base!$G$4+IF(parametros_manuales!$H$21="Todos",datos_base!$G$11,0))*parametros_manuales!$G$105+parametros_manuales!$G$21*(datos_base!$G$5+IF(parametros_manuales!$H$21="Todos",datos_base!$G$12,0))*parametros_manuales!$G$110)*parametros_manuales!$I$21*parametros_manuales!$J$21</f>
        <v>6111</v>
      </c>
      <c r="H139" s="4">
        <f>(parametros_manuales!$D$21*(datos_base!$G$2+IF(parametros_manuales!$H$21="Todos",datos_base!$G$9,0))*parametros_manuales!$H$95+parametros_manuales!$E$21*(datos_base!$G$3+IF(parametros_manuales!$H$21="Todos",datos_base!$G$10,0))*parametros_manuales!$H$100+parametros_manuales!$F$21*(datos_base!$G$4+IF(parametros_manuales!$H$21="Todos",datos_base!$G$11,0))*parametros_manuales!$H$105+parametros_manuales!$G$21*(datos_base!$G$5+IF(parametros_manuales!$H$21="Todos",datos_base!$G$12,0))*parametros_manuales!$H$110)*parametros_manuales!$I$21*parametros_manuales!$J$21</f>
        <v>6547.5</v>
      </c>
      <c r="I139" s="4">
        <f>(parametros_manuales!$D$21*(datos_base!$G$2+IF(parametros_manuales!$H$21="Todos",datos_base!$G$9,0))*parametros_manuales!$I$95+parametros_manuales!$E$21*(datos_base!$G$3+IF(parametros_manuales!$H$21="Todos",datos_base!$G$10,0))*parametros_manuales!$I$100+parametros_manuales!$F$21*(datos_base!$G$4+IF(parametros_manuales!$H$21="Todos",datos_base!$G$11,0))*parametros_manuales!$I$105+parametros_manuales!$G$21*(datos_base!$G$5+IF(parametros_manuales!$H$21="Todos",datos_base!$G$12,0))*parametros_manuales!$I$110)*parametros_manuales!$I$21*parametros_manuales!$J$21</f>
        <v>7857</v>
      </c>
      <c r="J139" s="4">
        <f>(parametros_manuales!$D$21*(datos_base!$G$2+IF(parametros_manuales!$H$21="Todos",datos_base!$G$9,0))*parametros_manuales!$J$95+parametros_manuales!$E$21*(datos_base!$G$3+IF(parametros_manuales!$H$21="Todos",datos_base!$G$10,0))*parametros_manuales!$J$100+parametros_manuales!$F$21*(datos_base!$G$4+IF(parametros_manuales!$H$21="Todos",datos_base!$G$11,0))*parametros_manuales!$J$105+parametros_manuales!$G$21*(datos_base!$G$5+IF(parametros_manuales!$H$21="Todos",datos_base!$G$12,0))*parametros_manuales!$J$110)*parametros_manuales!$I$21*parametros_manuales!$J$21</f>
        <v>7857</v>
      </c>
      <c r="K139" s="4">
        <f>(parametros_manuales!$D$21*(datos_base!$G$2+IF(parametros_manuales!$H$21="Todos",datos_base!$G$9,0))*parametros_manuales!$K$95+parametros_manuales!$E$21*(datos_base!$G$3+IF(parametros_manuales!$H$21="Todos",datos_base!$G$10,0))*parametros_manuales!$K$100+parametros_manuales!$F$21*(datos_base!$G$4+IF(parametros_manuales!$H$21="Todos",datos_base!$G$11,0))*parametros_manuales!$K$105+parametros_manuales!$G$21*(datos_base!$G$5+IF(parametros_manuales!$H$21="Todos",datos_base!$G$12,0))*parametros_manuales!$K$110)*parametros_manuales!$I$21*parametros_manuales!$J$21</f>
        <v>7857</v>
      </c>
      <c r="L139" s="4">
        <f>(parametros_manuales!$D$21*(datos_base!$G$2+IF(parametros_manuales!$H$21="Todos",datos_base!$G$9,0))*parametros_manuales!$L$95+parametros_manuales!$E$21*(datos_base!$G$3+IF(parametros_manuales!$H$21="Todos",datos_base!$G$10,0))*parametros_manuales!$L$100+parametros_manuales!$F$21*(datos_base!$G$4+IF(parametros_manuales!$H$21="Todos",datos_base!$G$11,0))*parametros_manuales!$L$105+parametros_manuales!$G$21*(datos_base!$G$5+IF(parametros_manuales!$H$21="Todos",datos_base!$G$12,0))*parametros_manuales!$L$110)*parametros_manuales!$I$21*parametros_manuales!$J$21</f>
        <v>7857</v>
      </c>
      <c r="M139" s="4">
        <f>(parametros_manuales!$D$21*(datos_base!$G$2+IF(parametros_manuales!$H$21="Todos",datos_base!$G$9,0))*parametros_manuales!$M$95+parametros_manuales!$E$21*(datos_base!$G$3+IF(parametros_manuales!$H$21="Todos",datos_base!$G$10,0))*parametros_manuales!$M$100+parametros_manuales!$F$21*(datos_base!$G$4+IF(parametros_manuales!$H$21="Todos",datos_base!$G$11,0))*parametros_manuales!$M$105+parametros_manuales!$G$21*(datos_base!$G$5+IF(parametros_manuales!$H$21="Todos",datos_base!$G$12,0))*parametros_manuales!$M$110)*parametros_manuales!$I$21*parametros_manuales!$J$21</f>
        <v>7857</v>
      </c>
      <c r="N139" s="4">
        <f t="shared" si="16"/>
        <v>87300</v>
      </c>
      <c r="O139" s="4">
        <f t="shared" si="17"/>
        <v>7857</v>
      </c>
      <c r="P139" s="27">
        <f>O139/(parametros_manuales!$B$7)</f>
        <v>52.38</v>
      </c>
      <c r="Q139" s="3" t="str">
        <f t="shared" si="18"/>
        <v>Ene</v>
      </c>
    </row>
    <row r="140" ht="14.25" customHeight="1">
      <c r="A140" s="3" t="str">
        <f>parametros_manuales!$B$22</f>
        <v>Corte de disco y embutido (cúpula y fondo)</v>
      </c>
      <c r="B140" s="4">
        <f>(parametros_manuales!$D$22*(datos_base!$G$2+IF(parametros_manuales!$H$22="Todos",datos_base!$G$9,0))*parametros_manuales!$B$95+parametros_manuales!$E$22*(datos_base!$G$3+IF(parametros_manuales!$H$22="Todos",datos_base!$G$10,0))*parametros_manuales!$B$100+parametros_manuales!$F$22*(datos_base!$G$4+IF(parametros_manuales!$H$22="Todos",datos_base!$G$11,0))*parametros_manuales!$B$105+parametros_manuales!$G$22*(datos_base!$G$5+IF(parametros_manuales!$H$22="Todos",datos_base!$G$12,0))*parametros_manuales!$B$110)*parametros_manuales!$I$22*parametros_manuales!$J$22</f>
        <v>22232.34</v>
      </c>
      <c r="C140" s="4">
        <f>(parametros_manuales!$D$22*(datos_base!$G$2+IF(parametros_manuales!$H$22="Todos",datos_base!$G$9,0))*parametros_manuales!$C$95+parametros_manuales!$E$22*(datos_base!$G$3+IF(parametros_manuales!$H$22="Todos",datos_base!$G$10,0))*parametros_manuales!$C$100+parametros_manuales!$F$22*(datos_base!$G$4+IF(parametros_manuales!$H$22="Todos",datos_base!$G$11,0))*parametros_manuales!$C$105+parametros_manuales!$G$22*(datos_base!$G$5+IF(parametros_manuales!$H$22="Todos",datos_base!$G$12,0))*parametros_manuales!$C$110)*parametros_manuales!$I$22*parametros_manuales!$J$22</f>
        <v>21508.08</v>
      </c>
      <c r="D140" s="4">
        <f>(parametros_manuales!$D$22*(datos_base!$G$2+IF(parametros_manuales!$H$22="Todos",datos_base!$G$9,0))*parametros_manuales!$D$95+parametros_manuales!$E$22*(datos_base!$G$3+IF(parametros_manuales!$H$22="Todos",datos_base!$G$10,0))*parametros_manuales!$D$100+parametros_manuales!$F$22*(datos_base!$G$4+IF(parametros_manuales!$H$22="Todos",datos_base!$G$11,0))*parametros_manuales!$D$105+parametros_manuales!$G$22*(datos_base!$G$5+IF(parametros_manuales!$H$22="Todos",datos_base!$G$12,0))*parametros_manuales!$D$110)*parametros_manuales!$I$22*parametros_manuales!$J$22</f>
        <v>20124.21</v>
      </c>
      <c r="E140" s="4">
        <f>(parametros_manuales!$D$22*(datos_base!$G$2+IF(parametros_manuales!$H$22="Todos",datos_base!$G$9,0))*parametros_manuales!$E$95+parametros_manuales!$E$22*(datos_base!$G$3+IF(parametros_manuales!$H$22="Todos",datos_base!$G$10,0))*parametros_manuales!$E$100+parametros_manuales!$F$22*(datos_base!$G$4+IF(parametros_manuales!$H$22="Todos",datos_base!$G$11,0))*parametros_manuales!$E$105+parametros_manuales!$G$22*(datos_base!$G$5+IF(parametros_manuales!$H$22="Todos",datos_base!$G$12,0))*parametros_manuales!$E$110)*parametros_manuales!$I$22*parametros_manuales!$J$22</f>
        <v>19251.21</v>
      </c>
      <c r="F140" s="4">
        <f>(parametros_manuales!$D$22*(datos_base!$G$2+IF(parametros_manuales!$H$22="Todos",datos_base!$G$9,0))*parametros_manuales!$F$95+parametros_manuales!$E$22*(datos_base!$G$3+IF(parametros_manuales!$H$22="Todos",datos_base!$G$10,0))*parametros_manuales!$F$100+parametros_manuales!$F$22*(datos_base!$G$4+IF(parametros_manuales!$H$22="Todos",datos_base!$G$11,0))*parametros_manuales!$F$105+parametros_manuales!$G$22*(datos_base!$G$5+IF(parametros_manuales!$H$22="Todos",datos_base!$G$12,0))*parametros_manuales!$F$110)*parametros_manuales!$I$22*parametros_manuales!$J$22</f>
        <v>18016.08</v>
      </c>
      <c r="G140" s="4">
        <f>(parametros_manuales!$D$22*(datos_base!$G$2+IF(parametros_manuales!$H$22="Todos",datos_base!$G$9,0))*parametros_manuales!$G$95+parametros_manuales!$E$22*(datos_base!$G$3+IF(parametros_manuales!$H$22="Todos",datos_base!$G$10,0))*parametros_manuales!$G$100+parametros_manuales!$F$22*(datos_base!$G$4+IF(parametros_manuales!$H$22="Todos",datos_base!$G$11,0))*parametros_manuales!$G$105+parametros_manuales!$G$22*(datos_base!$G$5+IF(parametros_manuales!$H$22="Todos",datos_base!$G$12,0))*parametros_manuales!$G$110)*parametros_manuales!$I$22*parametros_manuales!$J$22</f>
        <v>17653.95</v>
      </c>
      <c r="H140" s="4">
        <f>(parametros_manuales!$D$22*(datos_base!$G$2+IF(parametros_manuales!$H$22="Todos",datos_base!$G$9,0))*parametros_manuales!$H$95+parametros_manuales!$E$22*(datos_base!$G$3+IF(parametros_manuales!$H$22="Todos",datos_base!$G$10,0))*parametros_manuales!$H$100+parametros_manuales!$F$22*(datos_base!$G$4+IF(parametros_manuales!$H$22="Todos",datos_base!$G$11,0))*parametros_manuales!$H$105+parametros_manuales!$G$22*(datos_base!$G$5+IF(parametros_manuales!$H$22="Todos",datos_base!$G$12,0))*parametros_manuales!$H$110)*parametros_manuales!$I$22*parametros_manuales!$J$22</f>
        <v>18889.08</v>
      </c>
      <c r="I140" s="4">
        <f>(parametros_manuales!$D$22*(datos_base!$G$2+IF(parametros_manuales!$H$22="Todos",datos_base!$G$9,0))*parametros_manuales!$I$95+parametros_manuales!$E$22*(datos_base!$G$3+IF(parametros_manuales!$H$22="Todos",datos_base!$G$10,0))*parametros_manuales!$I$100+parametros_manuales!$F$22*(datos_base!$G$4+IF(parametros_manuales!$H$22="Todos",datos_base!$G$11,0))*parametros_manuales!$I$105+parametros_manuales!$G$22*(datos_base!$G$5+IF(parametros_manuales!$H$22="Todos",datos_base!$G$12,0))*parametros_manuales!$I$110)*parametros_manuales!$I$22*parametros_manuales!$J$22</f>
        <v>21508.08</v>
      </c>
      <c r="J140" s="4">
        <f>(parametros_manuales!$D$22*(datos_base!$G$2+IF(parametros_manuales!$H$22="Todos",datos_base!$G$9,0))*parametros_manuales!$J$95+parametros_manuales!$E$22*(datos_base!$G$3+IF(parametros_manuales!$H$22="Todos",datos_base!$G$10,0))*parametros_manuales!$J$100+parametros_manuales!$F$22*(datos_base!$G$4+IF(parametros_manuales!$H$22="Todos",datos_base!$G$11,0))*parametros_manuales!$J$105+parametros_manuales!$G$22*(datos_base!$G$5+IF(parametros_manuales!$H$22="Todos",datos_base!$G$12,0))*parametros_manuales!$J$110)*parametros_manuales!$I$22*parametros_manuales!$J$22</f>
        <v>21508.08</v>
      </c>
      <c r="K140" s="4">
        <f>(parametros_manuales!$D$22*(datos_base!$G$2+IF(parametros_manuales!$H$22="Todos",datos_base!$G$9,0))*parametros_manuales!$K$95+parametros_manuales!$E$22*(datos_base!$G$3+IF(parametros_manuales!$H$22="Todos",datos_base!$G$10,0))*parametros_manuales!$K$100+parametros_manuales!$F$22*(datos_base!$G$4+IF(parametros_manuales!$H$22="Todos",datos_base!$G$11,0))*parametros_manuales!$K$105+parametros_manuales!$G$22*(datos_base!$G$5+IF(parametros_manuales!$H$22="Todos",datos_base!$G$12,0))*parametros_manuales!$K$110)*parametros_manuales!$I$22*parametros_manuales!$J$22</f>
        <v>21870.21</v>
      </c>
      <c r="L140" s="4">
        <f>(parametros_manuales!$D$22*(datos_base!$G$2+IF(parametros_manuales!$H$22="Todos",datos_base!$G$9,0))*parametros_manuales!$L$95+parametros_manuales!$E$22*(datos_base!$G$3+IF(parametros_manuales!$H$22="Todos",datos_base!$G$10,0))*parametros_manuales!$L$100+parametros_manuales!$F$22*(datos_base!$G$4+IF(parametros_manuales!$H$22="Todos",datos_base!$G$11,0))*parametros_manuales!$L$105+parametros_manuales!$G$22*(datos_base!$G$5+IF(parametros_manuales!$H$22="Todos",datos_base!$G$12,0))*parametros_manuales!$L$110)*parametros_manuales!$I$22*parametros_manuales!$J$22</f>
        <v>22232.34</v>
      </c>
      <c r="M140" s="4">
        <f>(parametros_manuales!$D$22*(datos_base!$G$2+IF(parametros_manuales!$H$22="Todos",datos_base!$G$9,0))*parametros_manuales!$M$95+parametros_manuales!$E$22*(datos_base!$G$3+IF(parametros_manuales!$H$22="Todos",datos_base!$G$10,0))*parametros_manuales!$M$100+parametros_manuales!$F$22*(datos_base!$G$4+IF(parametros_manuales!$H$22="Todos",datos_base!$G$11,0))*parametros_manuales!$M$105+parametros_manuales!$G$22*(datos_base!$G$5+IF(parametros_manuales!$H$22="Todos",datos_base!$G$12,0))*parametros_manuales!$M$110)*parametros_manuales!$I$22*parametros_manuales!$J$22</f>
        <v>22232.34</v>
      </c>
      <c r="N140" s="4">
        <f t="shared" si="16"/>
        <v>247026</v>
      </c>
      <c r="O140" s="4">
        <f t="shared" si="17"/>
        <v>22232.34</v>
      </c>
      <c r="P140" s="27">
        <f>O140/(parametros_manuales!$B$7)</f>
        <v>148.2156</v>
      </c>
      <c r="Q140" s="3" t="str">
        <f t="shared" si="18"/>
        <v>Ene</v>
      </c>
    </row>
    <row r="141" ht="14.25" customHeight="1">
      <c r="A141" s="3" t="str">
        <f>parametros_manuales!$B$23</f>
        <v>Preparación de cuello</v>
      </c>
      <c r="B141" s="4">
        <f>(parametros_manuales!$D$23*(datos_base!$G$2+IF(parametros_manuales!$H$23="Todos",datos_base!$G$9,0))*parametros_manuales!$B$95+parametros_manuales!$E$23*(datos_base!$G$3+IF(parametros_manuales!$H$23="Todos",datos_base!$G$10,0))*parametros_manuales!$B$100+parametros_manuales!$F$23*(datos_base!$G$4+IF(parametros_manuales!$H$23="Todos",datos_base!$G$11,0))*parametros_manuales!$B$105+parametros_manuales!$G$23*(datos_base!$G$5+IF(parametros_manuales!$H$23="Todos",datos_base!$G$12,0))*parametros_manuales!$B$110)*parametros_manuales!$I$23*parametros_manuales!$J$23</f>
        <v>11116.17</v>
      </c>
      <c r="C141" s="4">
        <f>(parametros_manuales!$D$23*(datos_base!$G$2+IF(parametros_manuales!$H$23="Todos",datos_base!$G$9,0))*parametros_manuales!$C$95+parametros_manuales!$E$23*(datos_base!$G$3+IF(parametros_manuales!$H$23="Todos",datos_base!$G$10,0))*parametros_manuales!$C$100+parametros_manuales!$F$23*(datos_base!$G$4+IF(parametros_manuales!$H$23="Todos",datos_base!$G$11,0))*parametros_manuales!$C$105+parametros_manuales!$G$23*(datos_base!$G$5+IF(parametros_manuales!$H$23="Todos",datos_base!$G$12,0))*parametros_manuales!$C$110)*parametros_manuales!$I$23*parametros_manuales!$J$23</f>
        <v>10754.04</v>
      </c>
      <c r="D141" s="4">
        <f>(parametros_manuales!$D$23*(datos_base!$G$2+IF(parametros_manuales!$H$23="Todos",datos_base!$G$9,0))*parametros_manuales!$D$95+parametros_manuales!$E$23*(datos_base!$G$3+IF(parametros_manuales!$H$23="Todos",datos_base!$G$10,0))*parametros_manuales!$D$100+parametros_manuales!$F$23*(datos_base!$G$4+IF(parametros_manuales!$H$23="Todos",datos_base!$G$11,0))*parametros_manuales!$D$105+parametros_manuales!$G$23*(datos_base!$G$5+IF(parametros_manuales!$H$23="Todos",datos_base!$G$12,0))*parametros_manuales!$D$110)*parametros_manuales!$I$23*parametros_manuales!$J$23</f>
        <v>10062.105</v>
      </c>
      <c r="E141" s="4">
        <f>(parametros_manuales!$D$23*(datos_base!$G$2+IF(parametros_manuales!$H$23="Todos",datos_base!$G$9,0))*parametros_manuales!$E$95+parametros_manuales!$E$23*(datos_base!$G$3+IF(parametros_manuales!$H$23="Todos",datos_base!$G$10,0))*parametros_manuales!$E$100+parametros_manuales!$F$23*(datos_base!$G$4+IF(parametros_manuales!$H$23="Todos",datos_base!$G$11,0))*parametros_manuales!$E$105+parametros_manuales!$G$23*(datos_base!$G$5+IF(parametros_manuales!$H$23="Todos",datos_base!$G$12,0))*parametros_manuales!$E$110)*parametros_manuales!$I$23*parametros_manuales!$J$23</f>
        <v>9625.605</v>
      </c>
      <c r="F141" s="4">
        <f>(parametros_manuales!$D$23*(datos_base!$G$2+IF(parametros_manuales!$H$23="Todos",datos_base!$G$9,0))*parametros_manuales!$F$95+parametros_manuales!$E$23*(datos_base!$G$3+IF(parametros_manuales!$H$23="Todos",datos_base!$G$10,0))*parametros_manuales!$F$100+parametros_manuales!$F$23*(datos_base!$G$4+IF(parametros_manuales!$H$23="Todos",datos_base!$G$11,0))*parametros_manuales!$F$105+parametros_manuales!$G$23*(datos_base!$G$5+IF(parametros_manuales!$H$23="Todos",datos_base!$G$12,0))*parametros_manuales!$F$110)*parametros_manuales!$I$23*parametros_manuales!$J$23</f>
        <v>9008.04</v>
      </c>
      <c r="G141" s="4">
        <f>(parametros_manuales!$D$23*(datos_base!$G$2+IF(parametros_manuales!$H$23="Todos",datos_base!$G$9,0))*parametros_manuales!$G$95+parametros_manuales!$E$23*(datos_base!$G$3+IF(parametros_manuales!$H$23="Todos",datos_base!$G$10,0))*parametros_manuales!$G$100+parametros_manuales!$F$23*(datos_base!$G$4+IF(parametros_manuales!$H$23="Todos",datos_base!$G$11,0))*parametros_manuales!$G$105+parametros_manuales!$G$23*(datos_base!$G$5+IF(parametros_manuales!$H$23="Todos",datos_base!$G$12,0))*parametros_manuales!$G$110)*parametros_manuales!$I$23*parametros_manuales!$J$23</f>
        <v>8826.975</v>
      </c>
      <c r="H141" s="4">
        <f>(parametros_manuales!$D$23*(datos_base!$G$2+IF(parametros_manuales!$H$23="Todos",datos_base!$G$9,0))*parametros_manuales!$H$95+parametros_manuales!$E$23*(datos_base!$G$3+IF(parametros_manuales!$H$23="Todos",datos_base!$G$10,0))*parametros_manuales!$H$100+parametros_manuales!$F$23*(datos_base!$G$4+IF(parametros_manuales!$H$23="Todos",datos_base!$G$11,0))*parametros_manuales!$H$105+parametros_manuales!$G$23*(datos_base!$G$5+IF(parametros_manuales!$H$23="Todos",datos_base!$G$12,0))*parametros_manuales!$H$110)*parametros_manuales!$I$23*parametros_manuales!$J$23</f>
        <v>9444.54</v>
      </c>
      <c r="I141" s="4">
        <f>(parametros_manuales!$D$23*(datos_base!$G$2+IF(parametros_manuales!$H$23="Todos",datos_base!$G$9,0))*parametros_manuales!$I$95+parametros_manuales!$E$23*(datos_base!$G$3+IF(parametros_manuales!$H$23="Todos",datos_base!$G$10,0))*parametros_manuales!$I$100+parametros_manuales!$F$23*(datos_base!$G$4+IF(parametros_manuales!$H$23="Todos",datos_base!$G$11,0))*parametros_manuales!$I$105+parametros_manuales!$G$23*(datos_base!$G$5+IF(parametros_manuales!$H$23="Todos",datos_base!$G$12,0))*parametros_manuales!$I$110)*parametros_manuales!$I$23*parametros_manuales!$J$23</f>
        <v>10754.04</v>
      </c>
      <c r="J141" s="4">
        <f>(parametros_manuales!$D$23*(datos_base!$G$2+IF(parametros_manuales!$H$23="Todos",datos_base!$G$9,0))*parametros_manuales!$J$95+parametros_manuales!$E$23*(datos_base!$G$3+IF(parametros_manuales!$H$23="Todos",datos_base!$G$10,0))*parametros_manuales!$J$100+parametros_manuales!$F$23*(datos_base!$G$4+IF(parametros_manuales!$H$23="Todos",datos_base!$G$11,0))*parametros_manuales!$J$105+parametros_manuales!$G$23*(datos_base!$G$5+IF(parametros_manuales!$H$23="Todos",datos_base!$G$12,0))*parametros_manuales!$J$110)*parametros_manuales!$I$23*parametros_manuales!$J$23</f>
        <v>10754.04</v>
      </c>
      <c r="K141" s="4">
        <f>(parametros_manuales!$D$23*(datos_base!$G$2+IF(parametros_manuales!$H$23="Todos",datos_base!$G$9,0))*parametros_manuales!$K$95+parametros_manuales!$E$23*(datos_base!$G$3+IF(parametros_manuales!$H$23="Todos",datos_base!$G$10,0))*parametros_manuales!$K$100+parametros_manuales!$F$23*(datos_base!$G$4+IF(parametros_manuales!$H$23="Todos",datos_base!$G$11,0))*parametros_manuales!$K$105+parametros_manuales!$G$23*(datos_base!$G$5+IF(parametros_manuales!$H$23="Todos",datos_base!$G$12,0))*parametros_manuales!$K$110)*parametros_manuales!$I$23*parametros_manuales!$J$23</f>
        <v>10935.105</v>
      </c>
      <c r="L141" s="4">
        <f>(parametros_manuales!$D$23*(datos_base!$G$2+IF(parametros_manuales!$H$23="Todos",datos_base!$G$9,0))*parametros_manuales!$L$95+parametros_manuales!$E$23*(datos_base!$G$3+IF(parametros_manuales!$H$23="Todos",datos_base!$G$10,0))*parametros_manuales!$L$100+parametros_manuales!$F$23*(datos_base!$G$4+IF(parametros_manuales!$H$23="Todos",datos_base!$G$11,0))*parametros_manuales!$L$105+parametros_manuales!$G$23*(datos_base!$G$5+IF(parametros_manuales!$H$23="Todos",datos_base!$G$12,0))*parametros_manuales!$L$110)*parametros_manuales!$I$23*parametros_manuales!$J$23</f>
        <v>11116.17</v>
      </c>
      <c r="M141" s="4">
        <f>(parametros_manuales!$D$23*(datos_base!$G$2+IF(parametros_manuales!$H$23="Todos",datos_base!$G$9,0))*parametros_manuales!$M$95+parametros_manuales!$E$23*(datos_base!$G$3+IF(parametros_manuales!$H$23="Todos",datos_base!$G$10,0))*parametros_manuales!$M$100+parametros_manuales!$F$23*(datos_base!$G$4+IF(parametros_manuales!$H$23="Todos",datos_base!$G$11,0))*parametros_manuales!$M$105+parametros_manuales!$G$23*(datos_base!$G$5+IF(parametros_manuales!$H$23="Todos",datos_base!$G$12,0))*parametros_manuales!$M$110)*parametros_manuales!$I$23*parametros_manuales!$J$23</f>
        <v>11116.17</v>
      </c>
      <c r="N141" s="4">
        <f t="shared" si="16"/>
        <v>123513</v>
      </c>
      <c r="O141" s="4">
        <f t="shared" si="17"/>
        <v>11116.17</v>
      </c>
      <c r="P141" s="27">
        <f>O141/(parametros_manuales!$B$7)</f>
        <v>74.1078</v>
      </c>
      <c r="Q141" s="3" t="str">
        <f t="shared" si="18"/>
        <v>Ene</v>
      </c>
    </row>
    <row r="142" ht="14.25" customHeight="1">
      <c r="A142" s="3" t="str">
        <f>parametros_manuales!$B$24</f>
        <v>Numerado de cúpula</v>
      </c>
      <c r="B142" s="4">
        <f>(parametros_manuales!$D$24*(datos_base!$G$2+IF(parametros_manuales!$H$24="Todos",datos_base!$G$9,0))*parametros_manuales!$B$95+parametros_manuales!$E$24*(datos_base!$G$3+IF(parametros_manuales!$H$24="Todos",datos_base!$G$10,0))*parametros_manuales!$B$100+parametros_manuales!$F$24*(datos_base!$G$4+IF(parametros_manuales!$H$24="Todos",datos_base!$G$11,0))*parametros_manuales!$B$105+parametros_manuales!$G$24*(datos_base!$G$5+IF(parametros_manuales!$H$24="Todos",datos_base!$G$12,0))*parametros_manuales!$B$110)*parametros_manuales!$I$24*parametros_manuales!$J$24</f>
        <v>11116.17</v>
      </c>
      <c r="C142" s="4">
        <f>(parametros_manuales!$D$24*(datos_base!$G$2+IF(parametros_manuales!$H$24="Todos",datos_base!$G$9,0))*parametros_manuales!$C$95+parametros_manuales!$E$24*(datos_base!$G$3+IF(parametros_manuales!$H$24="Todos",datos_base!$G$10,0))*parametros_manuales!$C$100+parametros_manuales!$F$24*(datos_base!$G$4+IF(parametros_manuales!$H$24="Todos",datos_base!$G$11,0))*parametros_manuales!$C$105+parametros_manuales!$G$24*(datos_base!$G$5+IF(parametros_manuales!$H$24="Todos",datos_base!$G$12,0))*parametros_manuales!$C$110)*parametros_manuales!$I$24*parametros_manuales!$J$24</f>
        <v>10754.04</v>
      </c>
      <c r="D142" s="4">
        <f>(parametros_manuales!$D$24*(datos_base!$G$2+IF(parametros_manuales!$H$24="Todos",datos_base!$G$9,0))*parametros_manuales!$D$95+parametros_manuales!$E$24*(datos_base!$G$3+IF(parametros_manuales!$H$24="Todos",datos_base!$G$10,0))*parametros_manuales!$D$100+parametros_manuales!$F$24*(datos_base!$G$4+IF(parametros_manuales!$H$24="Todos",datos_base!$G$11,0))*parametros_manuales!$D$105+parametros_manuales!$G$24*(datos_base!$G$5+IF(parametros_manuales!$H$24="Todos",datos_base!$G$12,0))*parametros_manuales!$D$110)*parametros_manuales!$I$24*parametros_manuales!$J$24</f>
        <v>10062.105</v>
      </c>
      <c r="E142" s="4">
        <f>(parametros_manuales!$D$24*(datos_base!$G$2+IF(parametros_manuales!$H$24="Todos",datos_base!$G$9,0))*parametros_manuales!$E$95+parametros_manuales!$E$24*(datos_base!$G$3+IF(parametros_manuales!$H$24="Todos",datos_base!$G$10,0))*parametros_manuales!$E$100+parametros_manuales!$F$24*(datos_base!$G$4+IF(parametros_manuales!$H$24="Todos",datos_base!$G$11,0))*parametros_manuales!$E$105+parametros_manuales!$G$24*(datos_base!$G$5+IF(parametros_manuales!$H$24="Todos",datos_base!$G$12,0))*parametros_manuales!$E$110)*parametros_manuales!$I$24*parametros_manuales!$J$24</f>
        <v>9625.605</v>
      </c>
      <c r="F142" s="4">
        <f>(parametros_manuales!$D$24*(datos_base!$G$2+IF(parametros_manuales!$H$24="Todos",datos_base!$G$9,0))*parametros_manuales!$F$95+parametros_manuales!$E$24*(datos_base!$G$3+IF(parametros_manuales!$H$24="Todos",datos_base!$G$10,0))*parametros_manuales!$F$100+parametros_manuales!$F$24*(datos_base!$G$4+IF(parametros_manuales!$H$24="Todos",datos_base!$G$11,0))*parametros_manuales!$F$105+parametros_manuales!$G$24*(datos_base!$G$5+IF(parametros_manuales!$H$24="Todos",datos_base!$G$12,0))*parametros_manuales!$F$110)*parametros_manuales!$I$24*parametros_manuales!$J$24</f>
        <v>9008.04</v>
      </c>
      <c r="G142" s="4">
        <f>(parametros_manuales!$D$24*(datos_base!$G$2+IF(parametros_manuales!$H$24="Todos",datos_base!$G$9,0))*parametros_manuales!$G$95+parametros_manuales!$E$24*(datos_base!$G$3+IF(parametros_manuales!$H$24="Todos",datos_base!$G$10,0))*parametros_manuales!$G$100+parametros_manuales!$F$24*(datos_base!$G$4+IF(parametros_manuales!$H$24="Todos",datos_base!$G$11,0))*parametros_manuales!$G$105+parametros_manuales!$G$24*(datos_base!$G$5+IF(parametros_manuales!$H$24="Todos",datos_base!$G$12,0))*parametros_manuales!$G$110)*parametros_manuales!$I$24*parametros_manuales!$J$24</f>
        <v>8826.975</v>
      </c>
      <c r="H142" s="4">
        <f>(parametros_manuales!$D$24*(datos_base!$G$2+IF(parametros_manuales!$H$24="Todos",datos_base!$G$9,0))*parametros_manuales!$H$95+parametros_manuales!$E$24*(datos_base!$G$3+IF(parametros_manuales!$H$24="Todos",datos_base!$G$10,0))*parametros_manuales!$H$100+parametros_manuales!$F$24*(datos_base!$G$4+IF(parametros_manuales!$H$24="Todos",datos_base!$G$11,0))*parametros_manuales!$H$105+parametros_manuales!$G$24*(datos_base!$G$5+IF(parametros_manuales!$H$24="Todos",datos_base!$G$12,0))*parametros_manuales!$H$110)*parametros_manuales!$I$24*parametros_manuales!$J$24</f>
        <v>9444.54</v>
      </c>
      <c r="I142" s="4">
        <f>(parametros_manuales!$D$24*(datos_base!$G$2+IF(parametros_manuales!$H$24="Todos",datos_base!$G$9,0))*parametros_manuales!$I$95+parametros_manuales!$E$24*(datos_base!$G$3+IF(parametros_manuales!$H$24="Todos",datos_base!$G$10,0))*parametros_manuales!$I$100+parametros_manuales!$F$24*(datos_base!$G$4+IF(parametros_manuales!$H$24="Todos",datos_base!$G$11,0))*parametros_manuales!$I$105+parametros_manuales!$G$24*(datos_base!$G$5+IF(parametros_manuales!$H$24="Todos",datos_base!$G$12,0))*parametros_manuales!$I$110)*parametros_manuales!$I$24*parametros_manuales!$J$24</f>
        <v>10754.04</v>
      </c>
      <c r="J142" s="4">
        <f>(parametros_manuales!$D$24*(datos_base!$G$2+IF(parametros_manuales!$H$24="Todos",datos_base!$G$9,0))*parametros_manuales!$J$95+parametros_manuales!$E$24*(datos_base!$G$3+IF(parametros_manuales!$H$24="Todos",datos_base!$G$10,0))*parametros_manuales!$J$100+parametros_manuales!$F$24*(datos_base!$G$4+IF(parametros_manuales!$H$24="Todos",datos_base!$G$11,0))*parametros_manuales!$J$105+parametros_manuales!$G$24*(datos_base!$G$5+IF(parametros_manuales!$H$24="Todos",datos_base!$G$12,0))*parametros_manuales!$J$110)*parametros_manuales!$I$24*parametros_manuales!$J$24</f>
        <v>10754.04</v>
      </c>
      <c r="K142" s="4">
        <f>(parametros_manuales!$D$24*(datos_base!$G$2+IF(parametros_manuales!$H$24="Todos",datos_base!$G$9,0))*parametros_manuales!$K$95+parametros_manuales!$E$24*(datos_base!$G$3+IF(parametros_manuales!$H$24="Todos",datos_base!$G$10,0))*parametros_manuales!$K$100+parametros_manuales!$F$24*(datos_base!$G$4+IF(parametros_manuales!$H$24="Todos",datos_base!$G$11,0))*parametros_manuales!$K$105+parametros_manuales!$G$24*(datos_base!$G$5+IF(parametros_manuales!$H$24="Todos",datos_base!$G$12,0))*parametros_manuales!$K$110)*parametros_manuales!$I$24*parametros_manuales!$J$24</f>
        <v>10935.105</v>
      </c>
      <c r="L142" s="4">
        <f>(parametros_manuales!$D$24*(datos_base!$G$2+IF(parametros_manuales!$H$24="Todos",datos_base!$G$9,0))*parametros_manuales!$L$95+parametros_manuales!$E$24*(datos_base!$G$3+IF(parametros_manuales!$H$24="Todos",datos_base!$G$10,0))*parametros_manuales!$L$100+parametros_manuales!$F$24*(datos_base!$G$4+IF(parametros_manuales!$H$24="Todos",datos_base!$G$11,0))*parametros_manuales!$L$105+parametros_manuales!$G$24*(datos_base!$G$5+IF(parametros_manuales!$H$24="Todos",datos_base!$G$12,0))*parametros_manuales!$L$110)*parametros_manuales!$I$24*parametros_manuales!$J$24</f>
        <v>11116.17</v>
      </c>
      <c r="M142" s="4">
        <f>(parametros_manuales!$D$24*(datos_base!$G$2+IF(parametros_manuales!$H$24="Todos",datos_base!$G$9,0))*parametros_manuales!$M$95+parametros_manuales!$E$24*(datos_base!$G$3+IF(parametros_manuales!$H$24="Todos",datos_base!$G$10,0))*parametros_manuales!$M$100+parametros_manuales!$F$24*(datos_base!$G$4+IF(parametros_manuales!$H$24="Todos",datos_base!$G$11,0))*parametros_manuales!$M$105+parametros_manuales!$G$24*(datos_base!$G$5+IF(parametros_manuales!$H$24="Todos",datos_base!$G$12,0))*parametros_manuales!$M$110)*parametros_manuales!$I$24*parametros_manuales!$J$24</f>
        <v>11116.17</v>
      </c>
      <c r="N142" s="4">
        <f t="shared" si="16"/>
        <v>123513</v>
      </c>
      <c r="O142" s="4">
        <f t="shared" si="17"/>
        <v>11116.17</v>
      </c>
      <c r="P142" s="27">
        <f>O142/(parametros_manuales!$B$7)</f>
        <v>74.1078</v>
      </c>
      <c r="Q142" s="3" t="str">
        <f t="shared" si="18"/>
        <v>Ene</v>
      </c>
    </row>
    <row r="143" ht="14.25" customHeight="1">
      <c r="A143" s="3" t="str">
        <f>parametros_manuales!$B$25</f>
        <v>Soldadura del cuello a la cúpula</v>
      </c>
      <c r="B143" s="4">
        <f>(parametros_manuales!$D$25*(datos_base!$G$2+IF(parametros_manuales!$H$25="Todos",datos_base!$G$9,0))*parametros_manuales!$B$95+parametros_manuales!$E$25*(datos_base!$G$3+IF(parametros_manuales!$H$25="Todos",datos_base!$G$10,0))*parametros_manuales!$B$100+parametros_manuales!$F$25*(datos_base!$G$4+IF(parametros_manuales!$H$25="Todos",datos_base!$G$11,0))*parametros_manuales!$B$105+parametros_manuales!$G$25*(datos_base!$G$5+IF(parametros_manuales!$H$25="Todos",datos_base!$G$12,0))*parametros_manuales!$B$110)*parametros_manuales!$I$25*parametros_manuales!$J$25</f>
        <v>11116.17</v>
      </c>
      <c r="C143" s="4">
        <f>(parametros_manuales!$D$25*(datos_base!$G$2+IF(parametros_manuales!$H$25="Todos",datos_base!$G$9,0))*parametros_manuales!$C$95+parametros_manuales!$E$25*(datos_base!$G$3+IF(parametros_manuales!$H$25="Todos",datos_base!$G$10,0))*parametros_manuales!$C$100+parametros_manuales!$F$25*(datos_base!$G$4+IF(parametros_manuales!$H$25="Todos",datos_base!$G$11,0))*parametros_manuales!$C$105+parametros_manuales!$G$25*(datos_base!$G$5+IF(parametros_manuales!$H$25="Todos",datos_base!$G$12,0))*parametros_manuales!$C$110)*parametros_manuales!$I$25*parametros_manuales!$J$25</f>
        <v>10754.04</v>
      </c>
      <c r="D143" s="4">
        <f>(parametros_manuales!$D$25*(datos_base!$G$2+IF(parametros_manuales!$H$25="Todos",datos_base!$G$9,0))*parametros_manuales!$D$95+parametros_manuales!$E$25*(datos_base!$G$3+IF(parametros_manuales!$H$25="Todos",datos_base!$G$10,0))*parametros_manuales!$D$100+parametros_manuales!$F$25*(datos_base!$G$4+IF(parametros_manuales!$H$25="Todos",datos_base!$G$11,0))*parametros_manuales!$D$105+parametros_manuales!$G$25*(datos_base!$G$5+IF(parametros_manuales!$H$25="Todos",datos_base!$G$12,0))*parametros_manuales!$D$110)*parametros_manuales!$I$25*parametros_manuales!$J$25</f>
        <v>10062.105</v>
      </c>
      <c r="E143" s="4">
        <f>(parametros_manuales!$D$25*(datos_base!$G$2+IF(parametros_manuales!$H$25="Todos",datos_base!$G$9,0))*parametros_manuales!$E$95+parametros_manuales!$E$25*(datos_base!$G$3+IF(parametros_manuales!$H$25="Todos",datos_base!$G$10,0))*parametros_manuales!$E$100+parametros_manuales!$F$25*(datos_base!$G$4+IF(parametros_manuales!$H$25="Todos",datos_base!$G$11,0))*parametros_manuales!$E$105+parametros_manuales!$G$25*(datos_base!$G$5+IF(parametros_manuales!$H$25="Todos",datos_base!$G$12,0))*parametros_manuales!$E$110)*parametros_manuales!$I$25*parametros_manuales!$J$25</f>
        <v>9625.605</v>
      </c>
      <c r="F143" s="4">
        <f>(parametros_manuales!$D$25*(datos_base!$G$2+IF(parametros_manuales!$H$25="Todos",datos_base!$G$9,0))*parametros_manuales!$F$95+parametros_manuales!$E$25*(datos_base!$G$3+IF(parametros_manuales!$H$25="Todos",datos_base!$G$10,0))*parametros_manuales!$F$100+parametros_manuales!$F$25*(datos_base!$G$4+IF(parametros_manuales!$H$25="Todos",datos_base!$G$11,0))*parametros_manuales!$F$105+parametros_manuales!$G$25*(datos_base!$G$5+IF(parametros_manuales!$H$25="Todos",datos_base!$G$12,0))*parametros_manuales!$F$110)*parametros_manuales!$I$25*parametros_manuales!$J$25</f>
        <v>9008.04</v>
      </c>
      <c r="G143" s="4">
        <f>(parametros_manuales!$D$25*(datos_base!$G$2+IF(parametros_manuales!$H$25="Todos",datos_base!$G$9,0))*parametros_manuales!$G$95+parametros_manuales!$E$25*(datos_base!$G$3+IF(parametros_manuales!$H$25="Todos",datos_base!$G$10,0))*parametros_manuales!$G$100+parametros_manuales!$F$25*(datos_base!$G$4+IF(parametros_manuales!$H$25="Todos",datos_base!$G$11,0))*parametros_manuales!$G$105+parametros_manuales!$G$25*(datos_base!$G$5+IF(parametros_manuales!$H$25="Todos",datos_base!$G$12,0))*parametros_manuales!$G$110)*parametros_manuales!$I$25*parametros_manuales!$J$25</f>
        <v>8826.975</v>
      </c>
      <c r="H143" s="4">
        <f>(parametros_manuales!$D$25*(datos_base!$G$2+IF(parametros_manuales!$H$25="Todos",datos_base!$G$9,0))*parametros_manuales!$H$95+parametros_manuales!$E$25*(datos_base!$G$3+IF(parametros_manuales!$H$25="Todos",datos_base!$G$10,0))*parametros_manuales!$H$100+parametros_manuales!$F$25*(datos_base!$G$4+IF(parametros_manuales!$H$25="Todos",datos_base!$G$11,0))*parametros_manuales!$H$105+parametros_manuales!$G$25*(datos_base!$G$5+IF(parametros_manuales!$H$25="Todos",datos_base!$G$12,0))*parametros_manuales!$H$110)*parametros_manuales!$I$25*parametros_manuales!$J$25</f>
        <v>9444.54</v>
      </c>
      <c r="I143" s="4">
        <f>(parametros_manuales!$D$25*(datos_base!$G$2+IF(parametros_manuales!$H$25="Todos",datos_base!$G$9,0))*parametros_manuales!$I$95+parametros_manuales!$E$25*(datos_base!$G$3+IF(parametros_manuales!$H$25="Todos",datos_base!$G$10,0))*parametros_manuales!$I$100+parametros_manuales!$F$25*(datos_base!$G$4+IF(parametros_manuales!$H$25="Todos",datos_base!$G$11,0))*parametros_manuales!$I$105+parametros_manuales!$G$25*(datos_base!$G$5+IF(parametros_manuales!$H$25="Todos",datos_base!$G$12,0))*parametros_manuales!$I$110)*parametros_manuales!$I$25*parametros_manuales!$J$25</f>
        <v>10754.04</v>
      </c>
      <c r="J143" s="4">
        <f>(parametros_manuales!$D$25*(datos_base!$G$2+IF(parametros_manuales!$H$25="Todos",datos_base!$G$9,0))*parametros_manuales!$J$95+parametros_manuales!$E$25*(datos_base!$G$3+IF(parametros_manuales!$H$25="Todos",datos_base!$G$10,0))*parametros_manuales!$J$100+parametros_manuales!$F$25*(datos_base!$G$4+IF(parametros_manuales!$H$25="Todos",datos_base!$G$11,0))*parametros_manuales!$J$105+parametros_manuales!$G$25*(datos_base!$G$5+IF(parametros_manuales!$H$25="Todos",datos_base!$G$12,0))*parametros_manuales!$J$110)*parametros_manuales!$I$25*parametros_manuales!$J$25</f>
        <v>10754.04</v>
      </c>
      <c r="K143" s="4">
        <f>(parametros_manuales!$D$25*(datos_base!$G$2+IF(parametros_manuales!$H$25="Todos",datos_base!$G$9,0))*parametros_manuales!$K$95+parametros_manuales!$E$25*(datos_base!$G$3+IF(parametros_manuales!$H$25="Todos",datos_base!$G$10,0))*parametros_manuales!$K$100+parametros_manuales!$F$25*(datos_base!$G$4+IF(parametros_manuales!$H$25="Todos",datos_base!$G$11,0))*parametros_manuales!$K$105+parametros_manuales!$G$25*(datos_base!$G$5+IF(parametros_manuales!$H$25="Todos",datos_base!$G$12,0))*parametros_manuales!$K$110)*parametros_manuales!$I$25*parametros_manuales!$J$25</f>
        <v>10935.105</v>
      </c>
      <c r="L143" s="4">
        <f>(parametros_manuales!$D$25*(datos_base!$G$2+IF(parametros_manuales!$H$25="Todos",datos_base!$G$9,0))*parametros_manuales!$L$95+parametros_manuales!$E$25*(datos_base!$G$3+IF(parametros_manuales!$H$25="Todos",datos_base!$G$10,0))*parametros_manuales!$L$100+parametros_manuales!$F$25*(datos_base!$G$4+IF(parametros_manuales!$H$25="Todos",datos_base!$G$11,0))*parametros_manuales!$L$105+parametros_manuales!$G$25*(datos_base!$G$5+IF(parametros_manuales!$H$25="Todos",datos_base!$G$12,0))*parametros_manuales!$L$110)*parametros_manuales!$I$25*parametros_manuales!$J$25</f>
        <v>11116.17</v>
      </c>
      <c r="M143" s="4">
        <f>(parametros_manuales!$D$25*(datos_base!$G$2+IF(parametros_manuales!$H$25="Todos",datos_base!$G$9,0))*parametros_manuales!$M$95+parametros_manuales!$E$25*(datos_base!$G$3+IF(parametros_manuales!$H$25="Todos",datos_base!$G$10,0))*parametros_manuales!$M$100+parametros_manuales!$F$25*(datos_base!$G$4+IF(parametros_manuales!$H$25="Todos",datos_base!$G$11,0))*parametros_manuales!$M$105+parametros_manuales!$G$25*(datos_base!$G$5+IF(parametros_manuales!$H$25="Todos",datos_base!$G$12,0))*parametros_manuales!$M$110)*parametros_manuales!$I$25*parametros_manuales!$J$25</f>
        <v>11116.17</v>
      </c>
      <c r="N143" s="4">
        <f t="shared" si="16"/>
        <v>123513</v>
      </c>
      <c r="O143" s="4">
        <f t="shared" si="17"/>
        <v>11116.17</v>
      </c>
      <c r="P143" s="27">
        <f>O143/(parametros_manuales!$B$7)</f>
        <v>74.1078</v>
      </c>
      <c r="Q143" s="3" t="str">
        <f t="shared" si="18"/>
        <v>Ene</v>
      </c>
    </row>
    <row r="144" ht="14.25" customHeight="1">
      <c r="A144" s="3" t="str">
        <f>parametros_manuales!$B$26</f>
        <v>Cilindrado</v>
      </c>
      <c r="B144" s="4">
        <f>(parametros_manuales!$D$26*(datos_base!$G$2+IF(parametros_manuales!$H$26="Todos",datos_base!$G$9,0))*parametros_manuales!$B$95+parametros_manuales!$E$26*(datos_base!$G$3+IF(parametros_manuales!$H$26="Todos",datos_base!$G$10,0))*parametros_manuales!$B$100+parametros_manuales!$F$26*(datos_base!$G$4+IF(parametros_manuales!$H$26="Todos",datos_base!$G$11,0))*parametros_manuales!$B$105+parametros_manuales!$G$26*(datos_base!$G$5+IF(parametros_manuales!$H$26="Todos",datos_base!$G$12,0))*parametros_manuales!$B$110)*parametros_manuales!$I$26*parametros_manuales!$J$26</f>
        <v>3259.17</v>
      </c>
      <c r="C144" s="4">
        <f>(parametros_manuales!$D$26*(datos_base!$G$2+IF(parametros_manuales!$H$26="Todos",datos_base!$G$9,0))*parametros_manuales!$C$95+parametros_manuales!$E$26*(datos_base!$G$3+IF(parametros_manuales!$H$26="Todos",datos_base!$G$10,0))*parametros_manuales!$C$100+parametros_manuales!$F$26*(datos_base!$G$4+IF(parametros_manuales!$H$26="Todos",datos_base!$G$11,0))*parametros_manuales!$C$105+parametros_manuales!$G$26*(datos_base!$G$5+IF(parametros_manuales!$H$26="Todos",datos_base!$G$12,0))*parametros_manuales!$C$110)*parametros_manuales!$I$26*parametros_manuales!$J$26</f>
        <v>2897.04</v>
      </c>
      <c r="D144" s="4">
        <f>(parametros_manuales!$D$26*(datos_base!$G$2+IF(parametros_manuales!$H$26="Todos",datos_base!$G$9,0))*parametros_manuales!$D$95+parametros_manuales!$E$26*(datos_base!$G$3+IF(parametros_manuales!$H$26="Todos",datos_base!$G$10,0))*parametros_manuales!$D$100+parametros_manuales!$F$26*(datos_base!$G$4+IF(parametros_manuales!$H$26="Todos",datos_base!$G$11,0))*parametros_manuales!$D$105+parametros_manuales!$G$26*(datos_base!$G$5+IF(parametros_manuales!$H$26="Todos",datos_base!$G$12,0))*parametros_manuales!$D$110)*parametros_manuales!$I$26*parametros_manuales!$J$26</f>
        <v>3078.105</v>
      </c>
      <c r="E144" s="4">
        <f>(parametros_manuales!$D$26*(datos_base!$G$2+IF(parametros_manuales!$H$26="Todos",datos_base!$G$9,0))*parametros_manuales!$E$95+parametros_manuales!$E$26*(datos_base!$G$3+IF(parametros_manuales!$H$26="Todos",datos_base!$G$10,0))*parametros_manuales!$E$100+parametros_manuales!$F$26*(datos_base!$G$4+IF(parametros_manuales!$H$26="Todos",datos_base!$G$11,0))*parametros_manuales!$E$105+parametros_manuales!$G$26*(datos_base!$G$5+IF(parametros_manuales!$H$26="Todos",datos_base!$G$12,0))*parametros_manuales!$E$110)*parametros_manuales!$I$26*parametros_manuales!$J$26</f>
        <v>3078.105</v>
      </c>
      <c r="F144" s="4">
        <f>(parametros_manuales!$D$26*(datos_base!$G$2+IF(parametros_manuales!$H$26="Todos",datos_base!$G$9,0))*parametros_manuales!$F$95+parametros_manuales!$E$26*(datos_base!$G$3+IF(parametros_manuales!$H$26="Todos",datos_base!$G$10,0))*parametros_manuales!$F$100+parametros_manuales!$F$26*(datos_base!$G$4+IF(parametros_manuales!$H$26="Todos",datos_base!$G$11,0))*parametros_manuales!$F$105+parametros_manuales!$G$26*(datos_base!$G$5+IF(parametros_manuales!$H$26="Todos",datos_base!$G$12,0))*parametros_manuales!$F$110)*parametros_manuales!$I$26*parametros_manuales!$J$26</f>
        <v>2897.04</v>
      </c>
      <c r="G144" s="4">
        <f>(parametros_manuales!$D$26*(datos_base!$G$2+IF(parametros_manuales!$H$26="Todos",datos_base!$G$9,0))*parametros_manuales!$G$95+parametros_manuales!$E$26*(datos_base!$G$3+IF(parametros_manuales!$H$26="Todos",datos_base!$G$10,0))*parametros_manuales!$G$100+parametros_manuales!$F$26*(datos_base!$G$4+IF(parametros_manuales!$H$26="Todos",datos_base!$G$11,0))*parametros_manuales!$G$105+parametros_manuales!$G$26*(datos_base!$G$5+IF(parametros_manuales!$H$26="Todos",datos_base!$G$12,0))*parametros_manuales!$G$110)*parametros_manuales!$I$26*parametros_manuales!$J$26</f>
        <v>2715.975</v>
      </c>
      <c r="H144" s="4">
        <f>(parametros_manuales!$D$26*(datos_base!$G$2+IF(parametros_manuales!$H$26="Todos",datos_base!$G$9,0))*parametros_manuales!$H$95+parametros_manuales!$E$26*(datos_base!$G$3+IF(parametros_manuales!$H$26="Todos",datos_base!$G$10,0))*parametros_manuales!$H$100+parametros_manuales!$F$26*(datos_base!$G$4+IF(parametros_manuales!$H$26="Todos",datos_base!$G$11,0))*parametros_manuales!$H$105+parametros_manuales!$G$26*(datos_base!$G$5+IF(parametros_manuales!$H$26="Todos",datos_base!$G$12,0))*parametros_manuales!$H$110)*parametros_manuales!$I$26*parametros_manuales!$J$26</f>
        <v>2897.04</v>
      </c>
      <c r="I144" s="4">
        <f>(parametros_manuales!$D$26*(datos_base!$G$2+IF(parametros_manuales!$H$26="Todos",datos_base!$G$9,0))*parametros_manuales!$I$95+parametros_manuales!$E$26*(datos_base!$G$3+IF(parametros_manuales!$H$26="Todos",datos_base!$G$10,0))*parametros_manuales!$I$100+parametros_manuales!$F$26*(datos_base!$G$4+IF(parametros_manuales!$H$26="Todos",datos_base!$G$11,0))*parametros_manuales!$I$105+parametros_manuales!$G$26*(datos_base!$G$5+IF(parametros_manuales!$H$26="Todos",datos_base!$G$12,0))*parametros_manuales!$I$110)*parametros_manuales!$I$26*parametros_manuales!$J$26</f>
        <v>2897.04</v>
      </c>
      <c r="J144" s="4">
        <f>(parametros_manuales!$D$26*(datos_base!$G$2+IF(parametros_manuales!$H$26="Todos",datos_base!$G$9,0))*parametros_manuales!$J$95+parametros_manuales!$E$26*(datos_base!$G$3+IF(parametros_manuales!$H$26="Todos",datos_base!$G$10,0))*parametros_manuales!$J$100+parametros_manuales!$F$26*(datos_base!$G$4+IF(parametros_manuales!$H$26="Todos",datos_base!$G$11,0))*parametros_manuales!$J$105+parametros_manuales!$G$26*(datos_base!$G$5+IF(parametros_manuales!$H$26="Todos",datos_base!$G$12,0))*parametros_manuales!$J$110)*parametros_manuales!$I$26*parametros_manuales!$J$26</f>
        <v>2897.04</v>
      </c>
      <c r="K144" s="4">
        <f>(parametros_manuales!$D$26*(datos_base!$G$2+IF(parametros_manuales!$H$26="Todos",datos_base!$G$9,0))*parametros_manuales!$K$95+parametros_manuales!$E$26*(datos_base!$G$3+IF(parametros_manuales!$H$26="Todos",datos_base!$G$10,0))*parametros_manuales!$K$100+parametros_manuales!$F$26*(datos_base!$G$4+IF(parametros_manuales!$H$26="Todos",datos_base!$G$11,0))*parametros_manuales!$K$105+parametros_manuales!$G$26*(datos_base!$G$5+IF(parametros_manuales!$H$26="Todos",datos_base!$G$12,0))*parametros_manuales!$K$110)*parametros_manuales!$I$26*parametros_manuales!$J$26</f>
        <v>3078.105</v>
      </c>
      <c r="L144" s="4">
        <f>(parametros_manuales!$D$26*(datos_base!$G$2+IF(parametros_manuales!$H$26="Todos",datos_base!$G$9,0))*parametros_manuales!$L$95+parametros_manuales!$E$26*(datos_base!$G$3+IF(parametros_manuales!$H$26="Todos",datos_base!$G$10,0))*parametros_manuales!$L$100+parametros_manuales!$F$26*(datos_base!$G$4+IF(parametros_manuales!$H$26="Todos",datos_base!$G$11,0))*parametros_manuales!$L$105+parametros_manuales!$G$26*(datos_base!$G$5+IF(parametros_manuales!$H$26="Todos",datos_base!$G$12,0))*parametros_manuales!$L$110)*parametros_manuales!$I$26*parametros_manuales!$J$26</f>
        <v>3259.17</v>
      </c>
      <c r="M144" s="4">
        <f>(parametros_manuales!$D$26*(datos_base!$G$2+IF(parametros_manuales!$H$26="Todos",datos_base!$G$9,0))*parametros_manuales!$M$95+parametros_manuales!$E$26*(datos_base!$G$3+IF(parametros_manuales!$H$26="Todos",datos_base!$G$10,0))*parametros_manuales!$M$100+parametros_manuales!$F$26*(datos_base!$G$4+IF(parametros_manuales!$H$26="Todos",datos_base!$G$11,0))*parametros_manuales!$M$105+parametros_manuales!$G$26*(datos_base!$G$5+IF(parametros_manuales!$H$26="Todos",datos_base!$G$12,0))*parametros_manuales!$M$110)*parametros_manuales!$I$26*parametros_manuales!$J$26</f>
        <v>3259.17</v>
      </c>
      <c r="N144" s="4">
        <f t="shared" si="16"/>
        <v>36213</v>
      </c>
      <c r="O144" s="4">
        <f t="shared" si="17"/>
        <v>3259.17</v>
      </c>
      <c r="P144" s="27">
        <f>O144/(parametros_manuales!$B$7)</f>
        <v>21.7278</v>
      </c>
      <c r="Q144" s="3" t="str">
        <f t="shared" si="18"/>
        <v>Ene</v>
      </c>
    </row>
    <row r="145" ht="14.25" customHeight="1">
      <c r="A145" s="3" t="str">
        <f>parametros_manuales!$B$27</f>
        <v>Soldadura longitudinal</v>
      </c>
      <c r="B145" s="4">
        <f>(parametros_manuales!$D$27*(datos_base!$G$2+IF(parametros_manuales!$H$27="Todos",datos_base!$G$9,0))*parametros_manuales!$B$95+parametros_manuales!$E$27*(datos_base!$G$3+IF(parametros_manuales!$H$27="Todos",datos_base!$G$10,0))*parametros_manuales!$B$100+parametros_manuales!$F$27*(datos_base!$G$4+IF(parametros_manuales!$H$27="Todos",datos_base!$G$11,0))*parametros_manuales!$B$105+parametros_manuales!$G$27*(datos_base!$G$5+IF(parametros_manuales!$H$27="Todos",datos_base!$G$12,0))*parametros_manuales!$B$110)*parametros_manuales!$I$27*parametros_manuales!$J$27</f>
        <v>3259.17</v>
      </c>
      <c r="C145" s="4">
        <f>(parametros_manuales!$D$27*(datos_base!$G$2+IF(parametros_manuales!$H$27="Todos",datos_base!$G$9,0))*parametros_manuales!$C$95+parametros_manuales!$E$27*(datos_base!$G$3+IF(parametros_manuales!$H$27="Todos",datos_base!$G$10,0))*parametros_manuales!$C$100+parametros_manuales!$F$27*(datos_base!$G$4+IF(parametros_manuales!$H$27="Todos",datos_base!$G$11,0))*parametros_manuales!$C$105+parametros_manuales!$G$27*(datos_base!$G$5+IF(parametros_manuales!$H$27="Todos",datos_base!$G$12,0))*parametros_manuales!$C$110)*parametros_manuales!$I$27*parametros_manuales!$J$27</f>
        <v>2897.04</v>
      </c>
      <c r="D145" s="4">
        <f>(parametros_manuales!$D$27*(datos_base!$G$2+IF(parametros_manuales!$H$27="Todos",datos_base!$G$9,0))*parametros_manuales!$D$95+parametros_manuales!$E$27*(datos_base!$G$3+IF(parametros_manuales!$H$27="Todos",datos_base!$G$10,0))*parametros_manuales!$D$100+parametros_manuales!$F$27*(datos_base!$G$4+IF(parametros_manuales!$H$27="Todos",datos_base!$G$11,0))*parametros_manuales!$D$105+parametros_manuales!$G$27*(datos_base!$G$5+IF(parametros_manuales!$H$27="Todos",datos_base!$G$12,0))*parametros_manuales!$D$110)*parametros_manuales!$I$27*parametros_manuales!$J$27</f>
        <v>3078.105</v>
      </c>
      <c r="E145" s="4">
        <f>(parametros_manuales!$D$27*(datos_base!$G$2+IF(parametros_manuales!$H$27="Todos",datos_base!$G$9,0))*parametros_manuales!$E$95+parametros_manuales!$E$27*(datos_base!$G$3+IF(parametros_manuales!$H$27="Todos",datos_base!$G$10,0))*parametros_manuales!$E$100+parametros_manuales!$F$27*(datos_base!$G$4+IF(parametros_manuales!$H$27="Todos",datos_base!$G$11,0))*parametros_manuales!$E$105+parametros_manuales!$G$27*(datos_base!$G$5+IF(parametros_manuales!$H$27="Todos",datos_base!$G$12,0))*parametros_manuales!$E$110)*parametros_manuales!$I$27*parametros_manuales!$J$27</f>
        <v>3078.105</v>
      </c>
      <c r="F145" s="4">
        <f>(parametros_manuales!$D$27*(datos_base!$G$2+IF(parametros_manuales!$H$27="Todos",datos_base!$G$9,0))*parametros_manuales!$F$95+parametros_manuales!$E$27*(datos_base!$G$3+IF(parametros_manuales!$H$27="Todos",datos_base!$G$10,0))*parametros_manuales!$F$100+parametros_manuales!$F$27*(datos_base!$G$4+IF(parametros_manuales!$H$27="Todos",datos_base!$G$11,0))*parametros_manuales!$F$105+parametros_manuales!$G$27*(datos_base!$G$5+IF(parametros_manuales!$H$27="Todos",datos_base!$G$12,0))*parametros_manuales!$F$110)*parametros_manuales!$I$27*parametros_manuales!$J$27</f>
        <v>2897.04</v>
      </c>
      <c r="G145" s="4">
        <f>(parametros_manuales!$D$27*(datos_base!$G$2+IF(parametros_manuales!$H$27="Todos",datos_base!$G$9,0))*parametros_manuales!$G$95+parametros_manuales!$E$27*(datos_base!$G$3+IF(parametros_manuales!$H$27="Todos",datos_base!$G$10,0))*parametros_manuales!$G$100+parametros_manuales!$F$27*(datos_base!$G$4+IF(parametros_manuales!$H$27="Todos",datos_base!$G$11,0))*parametros_manuales!$G$105+parametros_manuales!$G$27*(datos_base!$G$5+IF(parametros_manuales!$H$27="Todos",datos_base!$G$12,0))*parametros_manuales!$G$110)*parametros_manuales!$I$27*parametros_manuales!$J$27</f>
        <v>2715.975</v>
      </c>
      <c r="H145" s="4">
        <f>(parametros_manuales!$D$27*(datos_base!$G$2+IF(parametros_manuales!$H$27="Todos",datos_base!$G$9,0))*parametros_manuales!$H$95+parametros_manuales!$E$27*(datos_base!$G$3+IF(parametros_manuales!$H$27="Todos",datos_base!$G$10,0))*parametros_manuales!$H$100+parametros_manuales!$F$27*(datos_base!$G$4+IF(parametros_manuales!$H$27="Todos",datos_base!$G$11,0))*parametros_manuales!$H$105+parametros_manuales!$G$27*(datos_base!$G$5+IF(parametros_manuales!$H$27="Todos",datos_base!$G$12,0))*parametros_manuales!$H$110)*parametros_manuales!$I$27*parametros_manuales!$J$27</f>
        <v>2897.04</v>
      </c>
      <c r="I145" s="4">
        <f>(parametros_manuales!$D$27*(datos_base!$G$2+IF(parametros_manuales!$H$27="Todos",datos_base!$G$9,0))*parametros_manuales!$I$95+parametros_manuales!$E$27*(datos_base!$G$3+IF(parametros_manuales!$H$27="Todos",datos_base!$G$10,0))*parametros_manuales!$I$100+parametros_manuales!$F$27*(datos_base!$G$4+IF(parametros_manuales!$H$27="Todos",datos_base!$G$11,0))*parametros_manuales!$I$105+parametros_manuales!$G$27*(datos_base!$G$5+IF(parametros_manuales!$H$27="Todos",datos_base!$G$12,0))*parametros_manuales!$I$110)*parametros_manuales!$I$27*parametros_manuales!$J$27</f>
        <v>2897.04</v>
      </c>
      <c r="J145" s="4">
        <f>(parametros_manuales!$D$27*(datos_base!$G$2+IF(parametros_manuales!$H$27="Todos",datos_base!$G$9,0))*parametros_manuales!$J$95+parametros_manuales!$E$27*(datos_base!$G$3+IF(parametros_manuales!$H$27="Todos",datos_base!$G$10,0))*parametros_manuales!$J$100+parametros_manuales!$F$27*(datos_base!$G$4+IF(parametros_manuales!$H$27="Todos",datos_base!$G$11,0))*parametros_manuales!$J$105+parametros_manuales!$G$27*(datos_base!$G$5+IF(parametros_manuales!$H$27="Todos",datos_base!$G$12,0))*parametros_manuales!$J$110)*parametros_manuales!$I$27*parametros_manuales!$J$27</f>
        <v>2897.04</v>
      </c>
      <c r="K145" s="4">
        <f>(parametros_manuales!$D$27*(datos_base!$G$2+IF(parametros_manuales!$H$27="Todos",datos_base!$G$9,0))*parametros_manuales!$K$95+parametros_manuales!$E$27*(datos_base!$G$3+IF(parametros_manuales!$H$27="Todos",datos_base!$G$10,0))*parametros_manuales!$K$100+parametros_manuales!$F$27*(datos_base!$G$4+IF(parametros_manuales!$H$27="Todos",datos_base!$G$11,0))*parametros_manuales!$K$105+parametros_manuales!$G$27*(datos_base!$G$5+IF(parametros_manuales!$H$27="Todos",datos_base!$G$12,0))*parametros_manuales!$K$110)*parametros_manuales!$I$27*parametros_manuales!$J$27</f>
        <v>3078.105</v>
      </c>
      <c r="L145" s="4">
        <f>(parametros_manuales!$D$27*(datos_base!$G$2+IF(parametros_manuales!$H$27="Todos",datos_base!$G$9,0))*parametros_manuales!$L$95+parametros_manuales!$E$27*(datos_base!$G$3+IF(parametros_manuales!$H$27="Todos",datos_base!$G$10,0))*parametros_manuales!$L$100+parametros_manuales!$F$27*(datos_base!$G$4+IF(parametros_manuales!$H$27="Todos",datos_base!$G$11,0))*parametros_manuales!$L$105+parametros_manuales!$G$27*(datos_base!$G$5+IF(parametros_manuales!$H$27="Todos",datos_base!$G$12,0))*parametros_manuales!$L$110)*parametros_manuales!$I$27*parametros_manuales!$J$27</f>
        <v>3259.17</v>
      </c>
      <c r="M145" s="4">
        <f>(parametros_manuales!$D$27*(datos_base!$G$2+IF(parametros_manuales!$H$27="Todos",datos_base!$G$9,0))*parametros_manuales!$M$95+parametros_manuales!$E$27*(datos_base!$G$3+IF(parametros_manuales!$H$27="Todos",datos_base!$G$10,0))*parametros_manuales!$M$100+parametros_manuales!$F$27*(datos_base!$G$4+IF(parametros_manuales!$H$27="Todos",datos_base!$G$11,0))*parametros_manuales!$M$105+parametros_manuales!$G$27*(datos_base!$G$5+IF(parametros_manuales!$H$27="Todos",datos_base!$G$12,0))*parametros_manuales!$M$110)*parametros_manuales!$I$27*parametros_manuales!$J$27</f>
        <v>3259.17</v>
      </c>
      <c r="N145" s="4">
        <f t="shared" si="16"/>
        <v>36213</v>
      </c>
      <c r="O145" s="4">
        <f t="shared" si="17"/>
        <v>3259.17</v>
      </c>
      <c r="P145" s="27">
        <f>O145/(parametros_manuales!$B$7)</f>
        <v>21.7278</v>
      </c>
      <c r="Q145" s="3" t="str">
        <f t="shared" si="18"/>
        <v>Ene</v>
      </c>
    </row>
    <row r="146" ht="14.25" customHeight="1">
      <c r="A146" s="3" t="str">
        <f>parametros_manuales!$B$28</f>
        <v>Encastre de fondo</v>
      </c>
      <c r="B146" s="4">
        <f>(parametros_manuales!$D$28*(datos_base!$G$2+IF(parametros_manuales!$H$28="Todos",datos_base!$G$9,0))*parametros_manuales!$B$95+parametros_manuales!$E$28*(datos_base!$G$3+IF(parametros_manuales!$H$28="Todos",datos_base!$G$10,0))*parametros_manuales!$B$100+parametros_manuales!$F$28*(datos_base!$G$4+IF(parametros_manuales!$H$28="Todos",datos_base!$G$11,0))*parametros_manuales!$B$105+parametros_manuales!$G$28*(datos_base!$G$5+IF(parametros_manuales!$H$28="Todos",datos_base!$G$12,0))*parametros_manuales!$B$110)*parametros_manuales!$I$28*parametros_manuales!$J$28</f>
        <v>11116.17</v>
      </c>
      <c r="C146" s="4">
        <f>(parametros_manuales!$D$28*(datos_base!$G$2+IF(parametros_manuales!$H$28="Todos",datos_base!$G$9,0))*parametros_manuales!$C$95+parametros_manuales!$E$28*(datos_base!$G$3+IF(parametros_manuales!$H$28="Todos",datos_base!$G$10,0))*parametros_manuales!$C$100+parametros_manuales!$F$28*(datos_base!$G$4+IF(parametros_manuales!$H$28="Todos",datos_base!$G$11,0))*parametros_manuales!$C$105+parametros_manuales!$G$28*(datos_base!$G$5+IF(parametros_manuales!$H$28="Todos",datos_base!$G$12,0))*parametros_manuales!$C$110)*parametros_manuales!$I$28*parametros_manuales!$J$28</f>
        <v>10754.04</v>
      </c>
      <c r="D146" s="4">
        <f>(parametros_manuales!$D$28*(datos_base!$G$2+IF(parametros_manuales!$H$28="Todos",datos_base!$G$9,0))*parametros_manuales!$D$95+parametros_manuales!$E$28*(datos_base!$G$3+IF(parametros_manuales!$H$28="Todos",datos_base!$G$10,0))*parametros_manuales!$D$100+parametros_manuales!$F$28*(datos_base!$G$4+IF(parametros_manuales!$H$28="Todos",datos_base!$G$11,0))*parametros_manuales!$D$105+parametros_manuales!$G$28*(datos_base!$G$5+IF(parametros_manuales!$H$28="Todos",datos_base!$G$12,0))*parametros_manuales!$D$110)*parametros_manuales!$I$28*parametros_manuales!$J$28</f>
        <v>10062.105</v>
      </c>
      <c r="E146" s="4">
        <f>(parametros_manuales!$D$28*(datos_base!$G$2+IF(parametros_manuales!$H$28="Todos",datos_base!$G$9,0))*parametros_manuales!$E$95+parametros_manuales!$E$28*(datos_base!$G$3+IF(parametros_manuales!$H$28="Todos",datos_base!$G$10,0))*parametros_manuales!$E$100+parametros_manuales!$F$28*(datos_base!$G$4+IF(parametros_manuales!$H$28="Todos",datos_base!$G$11,0))*parametros_manuales!$E$105+parametros_manuales!$G$28*(datos_base!$G$5+IF(parametros_manuales!$H$28="Todos",datos_base!$G$12,0))*parametros_manuales!$E$110)*parametros_manuales!$I$28*parametros_manuales!$J$28</f>
        <v>9625.605</v>
      </c>
      <c r="F146" s="4">
        <f>(parametros_manuales!$D$28*(datos_base!$G$2+IF(parametros_manuales!$H$28="Todos",datos_base!$G$9,0))*parametros_manuales!$F$95+parametros_manuales!$E$28*(datos_base!$G$3+IF(parametros_manuales!$H$28="Todos",datos_base!$G$10,0))*parametros_manuales!$F$100+parametros_manuales!$F$28*(datos_base!$G$4+IF(parametros_manuales!$H$28="Todos",datos_base!$G$11,0))*parametros_manuales!$F$105+parametros_manuales!$G$28*(datos_base!$G$5+IF(parametros_manuales!$H$28="Todos",datos_base!$G$12,0))*parametros_manuales!$F$110)*parametros_manuales!$I$28*parametros_manuales!$J$28</f>
        <v>9008.04</v>
      </c>
      <c r="G146" s="4">
        <f>(parametros_manuales!$D$28*(datos_base!$G$2+IF(parametros_manuales!$H$28="Todos",datos_base!$G$9,0))*parametros_manuales!$G$95+parametros_manuales!$E$28*(datos_base!$G$3+IF(parametros_manuales!$H$28="Todos",datos_base!$G$10,0))*parametros_manuales!$G$100+parametros_manuales!$F$28*(datos_base!$G$4+IF(parametros_manuales!$H$28="Todos",datos_base!$G$11,0))*parametros_manuales!$G$105+parametros_manuales!$G$28*(datos_base!$G$5+IF(parametros_manuales!$H$28="Todos",datos_base!$G$12,0))*parametros_manuales!$G$110)*parametros_manuales!$I$28*parametros_manuales!$J$28</f>
        <v>8826.975</v>
      </c>
      <c r="H146" s="4">
        <f>(parametros_manuales!$D$28*(datos_base!$G$2+IF(parametros_manuales!$H$28="Todos",datos_base!$G$9,0))*parametros_manuales!$H$95+parametros_manuales!$E$28*(datos_base!$G$3+IF(parametros_manuales!$H$28="Todos",datos_base!$G$10,0))*parametros_manuales!$H$100+parametros_manuales!$F$28*(datos_base!$G$4+IF(parametros_manuales!$H$28="Todos",datos_base!$G$11,0))*parametros_manuales!$H$105+parametros_manuales!$G$28*(datos_base!$G$5+IF(parametros_manuales!$H$28="Todos",datos_base!$G$12,0))*parametros_manuales!$H$110)*parametros_manuales!$I$28*parametros_manuales!$J$28</f>
        <v>9444.54</v>
      </c>
      <c r="I146" s="4">
        <f>(parametros_manuales!$D$28*(datos_base!$G$2+IF(parametros_manuales!$H$28="Todos",datos_base!$G$9,0))*parametros_manuales!$I$95+parametros_manuales!$E$28*(datos_base!$G$3+IF(parametros_manuales!$H$28="Todos",datos_base!$G$10,0))*parametros_manuales!$I$100+parametros_manuales!$F$28*(datos_base!$G$4+IF(parametros_manuales!$H$28="Todos",datos_base!$G$11,0))*parametros_manuales!$I$105+parametros_manuales!$G$28*(datos_base!$G$5+IF(parametros_manuales!$H$28="Todos",datos_base!$G$12,0))*parametros_manuales!$I$110)*parametros_manuales!$I$28*parametros_manuales!$J$28</f>
        <v>10754.04</v>
      </c>
      <c r="J146" s="4">
        <f>(parametros_manuales!$D$28*(datos_base!$G$2+IF(parametros_manuales!$H$28="Todos",datos_base!$G$9,0))*parametros_manuales!$J$95+parametros_manuales!$E$28*(datos_base!$G$3+IF(parametros_manuales!$H$28="Todos",datos_base!$G$10,0))*parametros_manuales!$J$100+parametros_manuales!$F$28*(datos_base!$G$4+IF(parametros_manuales!$H$28="Todos",datos_base!$G$11,0))*parametros_manuales!$J$105+parametros_manuales!$G$28*(datos_base!$G$5+IF(parametros_manuales!$H$28="Todos",datos_base!$G$12,0))*parametros_manuales!$J$110)*parametros_manuales!$I$28*parametros_manuales!$J$28</f>
        <v>10754.04</v>
      </c>
      <c r="K146" s="4">
        <f>(parametros_manuales!$D$28*(datos_base!$G$2+IF(parametros_manuales!$H$28="Todos",datos_base!$G$9,0))*parametros_manuales!$K$95+parametros_manuales!$E$28*(datos_base!$G$3+IF(parametros_manuales!$H$28="Todos",datos_base!$G$10,0))*parametros_manuales!$K$100+parametros_manuales!$F$28*(datos_base!$G$4+IF(parametros_manuales!$H$28="Todos",datos_base!$G$11,0))*parametros_manuales!$K$105+parametros_manuales!$G$28*(datos_base!$G$5+IF(parametros_manuales!$H$28="Todos",datos_base!$G$12,0))*parametros_manuales!$K$110)*parametros_manuales!$I$28*parametros_manuales!$J$28</f>
        <v>10935.105</v>
      </c>
      <c r="L146" s="4">
        <f>(parametros_manuales!$D$28*(datos_base!$G$2+IF(parametros_manuales!$H$28="Todos",datos_base!$G$9,0))*parametros_manuales!$L$95+parametros_manuales!$E$28*(datos_base!$G$3+IF(parametros_manuales!$H$28="Todos",datos_base!$G$10,0))*parametros_manuales!$L$100+parametros_manuales!$F$28*(datos_base!$G$4+IF(parametros_manuales!$H$28="Todos",datos_base!$G$11,0))*parametros_manuales!$L$105+parametros_manuales!$G$28*(datos_base!$G$5+IF(parametros_manuales!$H$28="Todos",datos_base!$G$12,0))*parametros_manuales!$L$110)*parametros_manuales!$I$28*parametros_manuales!$J$28</f>
        <v>11116.17</v>
      </c>
      <c r="M146" s="4">
        <f>(parametros_manuales!$D$28*(datos_base!$G$2+IF(parametros_manuales!$H$28="Todos",datos_base!$G$9,0))*parametros_manuales!$M$95+parametros_manuales!$E$28*(datos_base!$G$3+IF(parametros_manuales!$H$28="Todos",datos_base!$G$10,0))*parametros_manuales!$M$100+parametros_manuales!$F$28*(datos_base!$G$4+IF(parametros_manuales!$H$28="Todos",datos_base!$G$11,0))*parametros_manuales!$M$105+parametros_manuales!$G$28*(datos_base!$G$5+IF(parametros_manuales!$H$28="Todos",datos_base!$G$12,0))*parametros_manuales!$M$110)*parametros_manuales!$I$28*parametros_manuales!$J$28</f>
        <v>11116.17</v>
      </c>
      <c r="N146" s="4">
        <f t="shared" si="16"/>
        <v>123513</v>
      </c>
      <c r="O146" s="4">
        <f t="shared" si="17"/>
        <v>11116.17</v>
      </c>
      <c r="P146" s="27">
        <f>O146/(parametros_manuales!$B$7)</f>
        <v>74.1078</v>
      </c>
      <c r="Q146" s="3" t="str">
        <f t="shared" si="18"/>
        <v>Ene</v>
      </c>
    </row>
    <row r="147" ht="14.25" customHeight="1">
      <c r="A147" s="3" t="str">
        <f>parametros_manuales!$B$29</f>
        <v>Bordoneado</v>
      </c>
      <c r="B147" s="4">
        <f>(parametros_manuales!$D$29*(datos_base!$G$2+IF(parametros_manuales!$H$29="Todos",datos_base!$G$9,0))*parametros_manuales!$B$95+parametros_manuales!$E$29*(datos_base!$G$3+IF(parametros_manuales!$H$29="Todos",datos_base!$G$10,0))*parametros_manuales!$B$100+parametros_manuales!$F$29*(datos_base!$G$4+IF(parametros_manuales!$H$29="Todos",datos_base!$G$11,0))*parametros_manuales!$B$105+parametros_manuales!$G$29*(datos_base!$G$5+IF(parametros_manuales!$H$29="Todos",datos_base!$G$12,0))*parametros_manuales!$B$110)*parametros_manuales!$I$29*parametros_manuales!$J$29</f>
        <v>11116.17</v>
      </c>
      <c r="C147" s="4">
        <f>(parametros_manuales!$D$29*(datos_base!$G$2+IF(parametros_manuales!$H$29="Todos",datos_base!$G$9,0))*parametros_manuales!$C$95+parametros_manuales!$E$29*(datos_base!$G$3+IF(parametros_manuales!$H$29="Todos",datos_base!$G$10,0))*parametros_manuales!$C$100+parametros_manuales!$F$29*(datos_base!$G$4+IF(parametros_manuales!$H$29="Todos",datos_base!$G$11,0))*parametros_manuales!$C$105+parametros_manuales!$G$29*(datos_base!$G$5+IF(parametros_manuales!$H$29="Todos",datos_base!$G$12,0))*parametros_manuales!$C$110)*parametros_manuales!$I$29*parametros_manuales!$J$29</f>
        <v>10754.04</v>
      </c>
      <c r="D147" s="4">
        <f>(parametros_manuales!$D$29*(datos_base!$G$2+IF(parametros_manuales!$H$29="Todos",datos_base!$G$9,0))*parametros_manuales!$D$95+parametros_manuales!$E$29*(datos_base!$G$3+IF(parametros_manuales!$H$29="Todos",datos_base!$G$10,0))*parametros_manuales!$D$100+parametros_manuales!$F$29*(datos_base!$G$4+IF(parametros_manuales!$H$29="Todos",datos_base!$G$11,0))*parametros_manuales!$D$105+parametros_manuales!$G$29*(datos_base!$G$5+IF(parametros_manuales!$H$29="Todos",datos_base!$G$12,0))*parametros_manuales!$D$110)*parametros_manuales!$I$29*parametros_manuales!$J$29</f>
        <v>10062.105</v>
      </c>
      <c r="E147" s="4">
        <f>(parametros_manuales!$D$29*(datos_base!$G$2+IF(parametros_manuales!$H$29="Todos",datos_base!$G$9,0))*parametros_manuales!$E$95+parametros_manuales!$E$29*(datos_base!$G$3+IF(parametros_manuales!$H$29="Todos",datos_base!$G$10,0))*parametros_manuales!$E$100+parametros_manuales!$F$29*(datos_base!$G$4+IF(parametros_manuales!$H$29="Todos",datos_base!$G$11,0))*parametros_manuales!$E$105+parametros_manuales!$G$29*(datos_base!$G$5+IF(parametros_manuales!$H$29="Todos",datos_base!$G$12,0))*parametros_manuales!$E$110)*parametros_manuales!$I$29*parametros_manuales!$J$29</f>
        <v>9625.605</v>
      </c>
      <c r="F147" s="4">
        <f>(parametros_manuales!$D$29*(datos_base!$G$2+IF(parametros_manuales!$H$29="Todos",datos_base!$G$9,0))*parametros_manuales!$F$95+parametros_manuales!$E$29*(datos_base!$G$3+IF(parametros_manuales!$H$29="Todos",datos_base!$G$10,0))*parametros_manuales!$F$100+parametros_manuales!$F$29*(datos_base!$G$4+IF(parametros_manuales!$H$29="Todos",datos_base!$G$11,0))*parametros_manuales!$F$105+parametros_manuales!$G$29*(datos_base!$G$5+IF(parametros_manuales!$H$29="Todos",datos_base!$G$12,0))*parametros_manuales!$F$110)*parametros_manuales!$I$29*parametros_manuales!$J$29</f>
        <v>9008.04</v>
      </c>
      <c r="G147" s="4">
        <f>(parametros_manuales!$D$29*(datos_base!$G$2+IF(parametros_manuales!$H$29="Todos",datos_base!$G$9,0))*parametros_manuales!$G$95+parametros_manuales!$E$29*(datos_base!$G$3+IF(parametros_manuales!$H$29="Todos",datos_base!$G$10,0))*parametros_manuales!$G$100+parametros_manuales!$F$29*(datos_base!$G$4+IF(parametros_manuales!$H$29="Todos",datos_base!$G$11,0))*parametros_manuales!$G$105+parametros_manuales!$G$29*(datos_base!$G$5+IF(parametros_manuales!$H$29="Todos",datos_base!$G$12,0))*parametros_manuales!$G$110)*parametros_manuales!$I$29*parametros_manuales!$J$29</f>
        <v>8826.975</v>
      </c>
      <c r="H147" s="4">
        <f>(parametros_manuales!$D$29*(datos_base!$G$2+IF(parametros_manuales!$H$29="Todos",datos_base!$G$9,0))*parametros_manuales!$H$95+parametros_manuales!$E$29*(datos_base!$G$3+IF(parametros_manuales!$H$29="Todos",datos_base!$G$10,0))*parametros_manuales!$H$100+parametros_manuales!$F$29*(datos_base!$G$4+IF(parametros_manuales!$H$29="Todos",datos_base!$G$11,0))*parametros_manuales!$H$105+parametros_manuales!$G$29*(datos_base!$G$5+IF(parametros_manuales!$H$29="Todos",datos_base!$G$12,0))*parametros_manuales!$H$110)*parametros_manuales!$I$29*parametros_manuales!$J$29</f>
        <v>9444.54</v>
      </c>
      <c r="I147" s="4">
        <f>(parametros_manuales!$D$29*(datos_base!$G$2+IF(parametros_manuales!$H$29="Todos",datos_base!$G$9,0))*parametros_manuales!$I$95+parametros_manuales!$E$29*(datos_base!$G$3+IF(parametros_manuales!$H$29="Todos",datos_base!$G$10,0))*parametros_manuales!$I$100+parametros_manuales!$F$29*(datos_base!$G$4+IF(parametros_manuales!$H$29="Todos",datos_base!$G$11,0))*parametros_manuales!$I$105+parametros_manuales!$G$29*(datos_base!$G$5+IF(parametros_manuales!$H$29="Todos",datos_base!$G$12,0))*parametros_manuales!$I$110)*parametros_manuales!$I$29*parametros_manuales!$J$29</f>
        <v>10754.04</v>
      </c>
      <c r="J147" s="4">
        <f>(parametros_manuales!$D$29*(datos_base!$G$2+IF(parametros_manuales!$H$29="Todos",datos_base!$G$9,0))*parametros_manuales!$J$95+parametros_manuales!$E$29*(datos_base!$G$3+IF(parametros_manuales!$H$29="Todos",datos_base!$G$10,0))*parametros_manuales!$J$100+parametros_manuales!$F$29*(datos_base!$G$4+IF(parametros_manuales!$H$29="Todos",datos_base!$G$11,0))*parametros_manuales!$J$105+parametros_manuales!$G$29*(datos_base!$G$5+IF(parametros_manuales!$H$29="Todos",datos_base!$G$12,0))*parametros_manuales!$J$110)*parametros_manuales!$I$29*parametros_manuales!$J$29</f>
        <v>10754.04</v>
      </c>
      <c r="K147" s="4">
        <f>(parametros_manuales!$D$29*(datos_base!$G$2+IF(parametros_manuales!$H$29="Todos",datos_base!$G$9,0))*parametros_manuales!$K$95+parametros_manuales!$E$29*(datos_base!$G$3+IF(parametros_manuales!$H$29="Todos",datos_base!$G$10,0))*parametros_manuales!$K$100+parametros_manuales!$F$29*(datos_base!$G$4+IF(parametros_manuales!$H$29="Todos",datos_base!$G$11,0))*parametros_manuales!$K$105+parametros_manuales!$G$29*(datos_base!$G$5+IF(parametros_manuales!$H$29="Todos",datos_base!$G$12,0))*parametros_manuales!$K$110)*parametros_manuales!$I$29*parametros_manuales!$J$29</f>
        <v>10935.105</v>
      </c>
      <c r="L147" s="4">
        <f>(parametros_manuales!$D$29*(datos_base!$G$2+IF(parametros_manuales!$H$29="Todos",datos_base!$G$9,0))*parametros_manuales!$L$95+parametros_manuales!$E$29*(datos_base!$G$3+IF(parametros_manuales!$H$29="Todos",datos_base!$G$10,0))*parametros_manuales!$L$100+parametros_manuales!$F$29*(datos_base!$G$4+IF(parametros_manuales!$H$29="Todos",datos_base!$G$11,0))*parametros_manuales!$L$105+parametros_manuales!$G$29*(datos_base!$G$5+IF(parametros_manuales!$H$29="Todos",datos_base!$G$12,0))*parametros_manuales!$L$110)*parametros_manuales!$I$29*parametros_manuales!$J$29</f>
        <v>11116.17</v>
      </c>
      <c r="M147" s="4">
        <f>(parametros_manuales!$D$29*(datos_base!$G$2+IF(parametros_manuales!$H$29="Todos",datos_base!$G$9,0))*parametros_manuales!$M$95+parametros_manuales!$E$29*(datos_base!$G$3+IF(parametros_manuales!$H$29="Todos",datos_base!$G$10,0))*parametros_manuales!$M$100+parametros_manuales!$F$29*(datos_base!$G$4+IF(parametros_manuales!$H$29="Todos",datos_base!$G$11,0))*parametros_manuales!$M$105+parametros_manuales!$G$29*(datos_base!$G$5+IF(parametros_manuales!$H$29="Todos",datos_base!$G$12,0))*parametros_manuales!$M$110)*parametros_manuales!$I$29*parametros_manuales!$J$29</f>
        <v>11116.17</v>
      </c>
      <c r="N147" s="4">
        <f t="shared" si="16"/>
        <v>123513</v>
      </c>
      <c r="O147" s="4">
        <f t="shared" si="17"/>
        <v>11116.17</v>
      </c>
      <c r="P147" s="27">
        <f>O147/(parametros_manuales!$B$7)</f>
        <v>74.1078</v>
      </c>
      <c r="Q147" s="3" t="str">
        <f t="shared" si="18"/>
        <v>Ene</v>
      </c>
    </row>
    <row r="148" ht="14.25" customHeight="1">
      <c r="A148" s="3" t="str">
        <f>parametros_manuales!$B$30</f>
        <v>Soldadura circunferencial de cúpula y fondo</v>
      </c>
      <c r="B148" s="4">
        <f>(parametros_manuales!$D$30*(datos_base!$G$2+IF(parametros_manuales!$H$30="Todos",datos_base!$G$9,0))*parametros_manuales!$B$95+parametros_manuales!$E$30*(datos_base!$G$3+IF(parametros_manuales!$H$30="Todos",datos_base!$G$10,0))*parametros_manuales!$B$100+parametros_manuales!$F$30*(datos_base!$G$4+IF(parametros_manuales!$H$30="Todos",datos_base!$G$11,0))*parametros_manuales!$B$105+parametros_manuales!$G$30*(datos_base!$G$5+IF(parametros_manuales!$H$30="Todos",datos_base!$G$12,0))*parametros_manuales!$B$110)*parametros_manuales!$I$30*parametros_manuales!$J$30</f>
        <v>11116.17</v>
      </c>
      <c r="C148" s="4">
        <f>(parametros_manuales!$D$30*(datos_base!$G$2+IF(parametros_manuales!$H$30="Todos",datos_base!$G$9,0))*parametros_manuales!$C$95+parametros_manuales!$E$30*(datos_base!$G$3+IF(parametros_manuales!$H$30="Todos",datos_base!$G$10,0))*parametros_manuales!$C$100+parametros_manuales!$F$30*(datos_base!$G$4+IF(parametros_manuales!$H$30="Todos",datos_base!$G$11,0))*parametros_manuales!$C$105+parametros_manuales!$G$30*(datos_base!$G$5+IF(parametros_manuales!$H$30="Todos",datos_base!$G$12,0))*parametros_manuales!$C$110)*parametros_manuales!$I$30*parametros_manuales!$J$30</f>
        <v>10754.04</v>
      </c>
      <c r="D148" s="4">
        <f>(parametros_manuales!$D$30*(datos_base!$G$2+IF(parametros_manuales!$H$30="Todos",datos_base!$G$9,0))*parametros_manuales!$D$95+parametros_manuales!$E$30*(datos_base!$G$3+IF(parametros_manuales!$H$30="Todos",datos_base!$G$10,0))*parametros_manuales!$D$100+parametros_manuales!$F$30*(datos_base!$G$4+IF(parametros_manuales!$H$30="Todos",datos_base!$G$11,0))*parametros_manuales!$D$105+parametros_manuales!$G$30*(datos_base!$G$5+IF(parametros_manuales!$H$30="Todos",datos_base!$G$12,0))*parametros_manuales!$D$110)*parametros_manuales!$I$30*parametros_manuales!$J$30</f>
        <v>10062.105</v>
      </c>
      <c r="E148" s="4">
        <f>(parametros_manuales!$D$30*(datos_base!$G$2+IF(parametros_manuales!$H$30="Todos",datos_base!$G$9,0))*parametros_manuales!$E$95+parametros_manuales!$E$30*(datos_base!$G$3+IF(parametros_manuales!$H$30="Todos",datos_base!$G$10,0))*parametros_manuales!$E$100+parametros_manuales!$F$30*(datos_base!$G$4+IF(parametros_manuales!$H$30="Todos",datos_base!$G$11,0))*parametros_manuales!$E$105+parametros_manuales!$G$30*(datos_base!$G$5+IF(parametros_manuales!$H$30="Todos",datos_base!$G$12,0))*parametros_manuales!$E$110)*parametros_manuales!$I$30*parametros_manuales!$J$30</f>
        <v>9625.605</v>
      </c>
      <c r="F148" s="4">
        <f>(parametros_manuales!$D$30*(datos_base!$G$2+IF(parametros_manuales!$H$30="Todos",datos_base!$G$9,0))*parametros_manuales!$F$95+parametros_manuales!$E$30*(datos_base!$G$3+IF(parametros_manuales!$H$30="Todos",datos_base!$G$10,0))*parametros_manuales!$F$100+parametros_manuales!$F$30*(datos_base!$G$4+IF(parametros_manuales!$H$30="Todos",datos_base!$G$11,0))*parametros_manuales!$F$105+parametros_manuales!$G$30*(datos_base!$G$5+IF(parametros_manuales!$H$30="Todos",datos_base!$G$12,0))*parametros_manuales!$F$110)*parametros_manuales!$I$30*parametros_manuales!$J$30</f>
        <v>9008.04</v>
      </c>
      <c r="G148" s="4">
        <f>(parametros_manuales!$D$30*(datos_base!$G$2+IF(parametros_manuales!$H$30="Todos",datos_base!$G$9,0))*parametros_manuales!$G$95+parametros_manuales!$E$30*(datos_base!$G$3+IF(parametros_manuales!$H$30="Todos",datos_base!$G$10,0))*parametros_manuales!$G$100+parametros_manuales!$F$30*(datos_base!$G$4+IF(parametros_manuales!$H$30="Todos",datos_base!$G$11,0))*parametros_manuales!$G$105+parametros_manuales!$G$30*(datos_base!$G$5+IF(parametros_manuales!$H$30="Todos",datos_base!$G$12,0))*parametros_manuales!$G$110)*parametros_manuales!$I$30*parametros_manuales!$J$30</f>
        <v>8826.975</v>
      </c>
      <c r="H148" s="4">
        <f>(parametros_manuales!$D$30*(datos_base!$G$2+IF(parametros_manuales!$H$30="Todos",datos_base!$G$9,0))*parametros_manuales!$H$95+parametros_manuales!$E$30*(datos_base!$G$3+IF(parametros_manuales!$H$30="Todos",datos_base!$G$10,0))*parametros_manuales!$H$100+parametros_manuales!$F$30*(datos_base!$G$4+IF(parametros_manuales!$H$30="Todos",datos_base!$G$11,0))*parametros_manuales!$H$105+parametros_manuales!$G$30*(datos_base!$G$5+IF(parametros_manuales!$H$30="Todos",datos_base!$G$12,0))*parametros_manuales!$H$110)*parametros_manuales!$I$30*parametros_manuales!$J$30</f>
        <v>9444.54</v>
      </c>
      <c r="I148" s="4">
        <f>(parametros_manuales!$D$30*(datos_base!$G$2+IF(parametros_manuales!$H$30="Todos",datos_base!$G$9,0))*parametros_manuales!$I$95+parametros_manuales!$E$30*(datos_base!$G$3+IF(parametros_manuales!$H$30="Todos",datos_base!$G$10,0))*parametros_manuales!$I$100+parametros_manuales!$F$30*(datos_base!$G$4+IF(parametros_manuales!$H$30="Todos",datos_base!$G$11,0))*parametros_manuales!$I$105+parametros_manuales!$G$30*(datos_base!$G$5+IF(parametros_manuales!$H$30="Todos",datos_base!$G$12,0))*parametros_manuales!$I$110)*parametros_manuales!$I$30*parametros_manuales!$J$30</f>
        <v>10754.04</v>
      </c>
      <c r="J148" s="4">
        <f>(parametros_manuales!$D$30*(datos_base!$G$2+IF(parametros_manuales!$H$30="Todos",datos_base!$G$9,0))*parametros_manuales!$J$95+parametros_manuales!$E$30*(datos_base!$G$3+IF(parametros_manuales!$H$30="Todos",datos_base!$G$10,0))*parametros_manuales!$J$100+parametros_manuales!$F$30*(datos_base!$G$4+IF(parametros_manuales!$H$30="Todos",datos_base!$G$11,0))*parametros_manuales!$J$105+parametros_manuales!$G$30*(datos_base!$G$5+IF(parametros_manuales!$H$30="Todos",datos_base!$G$12,0))*parametros_manuales!$J$110)*parametros_manuales!$I$30*parametros_manuales!$J$30</f>
        <v>10754.04</v>
      </c>
      <c r="K148" s="4">
        <f>(parametros_manuales!$D$30*(datos_base!$G$2+IF(parametros_manuales!$H$30="Todos",datos_base!$G$9,0))*parametros_manuales!$K$95+parametros_manuales!$E$30*(datos_base!$G$3+IF(parametros_manuales!$H$30="Todos",datos_base!$G$10,0))*parametros_manuales!$K$100+parametros_manuales!$F$30*(datos_base!$G$4+IF(parametros_manuales!$H$30="Todos",datos_base!$G$11,0))*parametros_manuales!$K$105+parametros_manuales!$G$30*(datos_base!$G$5+IF(parametros_manuales!$H$30="Todos",datos_base!$G$12,0))*parametros_manuales!$K$110)*parametros_manuales!$I$30*parametros_manuales!$J$30</f>
        <v>10935.105</v>
      </c>
      <c r="L148" s="4">
        <f>(parametros_manuales!$D$30*(datos_base!$G$2+IF(parametros_manuales!$H$30="Todos",datos_base!$G$9,0))*parametros_manuales!$L$95+parametros_manuales!$E$30*(datos_base!$G$3+IF(parametros_manuales!$H$30="Todos",datos_base!$G$10,0))*parametros_manuales!$L$100+parametros_manuales!$F$30*(datos_base!$G$4+IF(parametros_manuales!$H$30="Todos",datos_base!$G$11,0))*parametros_manuales!$L$105+parametros_manuales!$G$30*(datos_base!$G$5+IF(parametros_manuales!$H$30="Todos",datos_base!$G$12,0))*parametros_manuales!$L$110)*parametros_manuales!$I$30*parametros_manuales!$J$30</f>
        <v>11116.17</v>
      </c>
      <c r="M148" s="4">
        <f>(parametros_manuales!$D$30*(datos_base!$G$2+IF(parametros_manuales!$H$30="Todos",datos_base!$G$9,0))*parametros_manuales!$M$95+parametros_manuales!$E$30*(datos_base!$G$3+IF(parametros_manuales!$H$30="Todos",datos_base!$G$10,0))*parametros_manuales!$M$100+parametros_manuales!$F$30*(datos_base!$G$4+IF(parametros_manuales!$H$30="Todos",datos_base!$G$11,0))*parametros_manuales!$M$105+parametros_manuales!$G$30*(datos_base!$G$5+IF(parametros_manuales!$H$30="Todos",datos_base!$G$12,0))*parametros_manuales!$M$110)*parametros_manuales!$I$30*parametros_manuales!$J$30</f>
        <v>11116.17</v>
      </c>
      <c r="N148" s="4">
        <f t="shared" si="16"/>
        <v>123513</v>
      </c>
      <c r="O148" s="4">
        <f t="shared" si="17"/>
        <v>11116.17</v>
      </c>
      <c r="P148" s="27">
        <f>O148/(parametros_manuales!$B$7)</f>
        <v>74.1078</v>
      </c>
      <c r="Q148" s="3" t="str">
        <f t="shared" si="18"/>
        <v>Ene</v>
      </c>
    </row>
    <row r="149" ht="14.25" customHeight="1">
      <c r="A149" s="3" t="str">
        <f>parametros_manuales!$B$31</f>
        <v>Control de calidad — Espesor</v>
      </c>
      <c r="B149" s="4">
        <f>(parametros_manuales!$D$31*(datos_base!$G$2+IF(parametros_manuales!$H$31="Todos",datos_base!$G$9,0))*parametros_manuales!$B$95+parametros_manuales!$E$31*(datos_base!$G$3+IF(parametros_manuales!$H$31="Todos",datos_base!$G$10,0))*parametros_manuales!$B$100+parametros_manuales!$F$31*(datos_base!$G$4+IF(parametros_manuales!$H$31="Todos",datos_base!$G$11,0))*parametros_manuales!$B$105+parametros_manuales!$G$31*(datos_base!$G$5+IF(parametros_manuales!$H$31="Todos",datos_base!$G$12,0))*parametros_manuales!$B$110)*parametros_manuales!$I$31*parametros_manuales!$J$31</f>
        <v>222.3234</v>
      </c>
      <c r="C149" s="4">
        <f>(parametros_manuales!$D$31*(datos_base!$G$2+IF(parametros_manuales!$H$31="Todos",datos_base!$G$9,0))*parametros_manuales!$C$95+parametros_manuales!$E$31*(datos_base!$G$3+IF(parametros_manuales!$H$31="Todos",datos_base!$G$10,0))*parametros_manuales!$C$100+parametros_manuales!$F$31*(datos_base!$G$4+IF(parametros_manuales!$H$31="Todos",datos_base!$G$11,0))*parametros_manuales!$C$105+parametros_manuales!$G$31*(datos_base!$G$5+IF(parametros_manuales!$H$31="Todos",datos_base!$G$12,0))*parametros_manuales!$C$110)*parametros_manuales!$I$31*parametros_manuales!$J$31</f>
        <v>215.0808</v>
      </c>
      <c r="D149" s="4">
        <f>(parametros_manuales!$D$31*(datos_base!$G$2+IF(parametros_manuales!$H$31="Todos",datos_base!$G$9,0))*parametros_manuales!$D$95+parametros_manuales!$E$31*(datos_base!$G$3+IF(parametros_manuales!$H$31="Todos",datos_base!$G$10,0))*parametros_manuales!$D$100+parametros_manuales!$F$31*(datos_base!$G$4+IF(parametros_manuales!$H$31="Todos",datos_base!$G$11,0))*parametros_manuales!$D$105+parametros_manuales!$G$31*(datos_base!$G$5+IF(parametros_manuales!$H$31="Todos",datos_base!$G$12,0))*parametros_manuales!$D$110)*parametros_manuales!$I$31*parametros_manuales!$J$31</f>
        <v>201.2421</v>
      </c>
      <c r="E149" s="4">
        <f>(parametros_manuales!$D$31*(datos_base!$G$2+IF(parametros_manuales!$H$31="Todos",datos_base!$G$9,0))*parametros_manuales!$E$95+parametros_manuales!$E$31*(datos_base!$G$3+IF(parametros_manuales!$H$31="Todos",datos_base!$G$10,0))*parametros_manuales!$E$100+parametros_manuales!$F$31*(datos_base!$G$4+IF(parametros_manuales!$H$31="Todos",datos_base!$G$11,0))*parametros_manuales!$E$105+parametros_manuales!$G$31*(datos_base!$G$5+IF(parametros_manuales!$H$31="Todos",datos_base!$G$12,0))*parametros_manuales!$E$110)*parametros_manuales!$I$31*parametros_manuales!$J$31</f>
        <v>192.5121</v>
      </c>
      <c r="F149" s="4">
        <f>(parametros_manuales!$D$31*(datos_base!$G$2+IF(parametros_manuales!$H$31="Todos",datos_base!$G$9,0))*parametros_manuales!$F$95+parametros_manuales!$E$31*(datos_base!$G$3+IF(parametros_manuales!$H$31="Todos",datos_base!$G$10,0))*parametros_manuales!$F$100+parametros_manuales!$F$31*(datos_base!$G$4+IF(parametros_manuales!$H$31="Todos",datos_base!$G$11,0))*parametros_manuales!$F$105+parametros_manuales!$G$31*(datos_base!$G$5+IF(parametros_manuales!$H$31="Todos",datos_base!$G$12,0))*parametros_manuales!$F$110)*parametros_manuales!$I$31*parametros_manuales!$J$31</f>
        <v>180.1608</v>
      </c>
      <c r="G149" s="4">
        <f>(parametros_manuales!$D$31*(datos_base!$G$2+IF(parametros_manuales!$H$31="Todos",datos_base!$G$9,0))*parametros_manuales!$G$95+parametros_manuales!$E$31*(datos_base!$G$3+IF(parametros_manuales!$H$31="Todos",datos_base!$G$10,0))*parametros_manuales!$G$100+parametros_manuales!$F$31*(datos_base!$G$4+IF(parametros_manuales!$H$31="Todos",datos_base!$G$11,0))*parametros_manuales!$G$105+parametros_manuales!$G$31*(datos_base!$G$5+IF(parametros_manuales!$H$31="Todos",datos_base!$G$12,0))*parametros_manuales!$G$110)*parametros_manuales!$I$31*parametros_manuales!$J$31</f>
        <v>176.5395</v>
      </c>
      <c r="H149" s="4">
        <f>(parametros_manuales!$D$31*(datos_base!$G$2+IF(parametros_manuales!$H$31="Todos",datos_base!$G$9,0))*parametros_manuales!$H$95+parametros_manuales!$E$31*(datos_base!$G$3+IF(parametros_manuales!$H$31="Todos",datos_base!$G$10,0))*parametros_manuales!$H$100+parametros_manuales!$F$31*(datos_base!$G$4+IF(parametros_manuales!$H$31="Todos",datos_base!$G$11,0))*parametros_manuales!$H$105+parametros_manuales!$G$31*(datos_base!$G$5+IF(parametros_manuales!$H$31="Todos",datos_base!$G$12,0))*parametros_manuales!$H$110)*parametros_manuales!$I$31*parametros_manuales!$J$31</f>
        <v>188.8908</v>
      </c>
      <c r="I149" s="4">
        <f>(parametros_manuales!$D$31*(datos_base!$G$2+IF(parametros_manuales!$H$31="Todos",datos_base!$G$9,0))*parametros_manuales!$I$95+parametros_manuales!$E$31*(datos_base!$G$3+IF(parametros_manuales!$H$31="Todos",datos_base!$G$10,0))*parametros_manuales!$I$100+parametros_manuales!$F$31*(datos_base!$G$4+IF(parametros_manuales!$H$31="Todos",datos_base!$G$11,0))*parametros_manuales!$I$105+parametros_manuales!$G$31*(datos_base!$G$5+IF(parametros_manuales!$H$31="Todos",datos_base!$G$12,0))*parametros_manuales!$I$110)*parametros_manuales!$I$31*parametros_manuales!$J$31</f>
        <v>215.0808</v>
      </c>
      <c r="J149" s="4">
        <f>(parametros_manuales!$D$31*(datos_base!$G$2+IF(parametros_manuales!$H$31="Todos",datos_base!$G$9,0))*parametros_manuales!$J$95+parametros_manuales!$E$31*(datos_base!$G$3+IF(parametros_manuales!$H$31="Todos",datos_base!$G$10,0))*parametros_manuales!$J$100+parametros_manuales!$F$31*(datos_base!$G$4+IF(parametros_manuales!$H$31="Todos",datos_base!$G$11,0))*parametros_manuales!$J$105+parametros_manuales!$G$31*(datos_base!$G$5+IF(parametros_manuales!$H$31="Todos",datos_base!$G$12,0))*parametros_manuales!$J$110)*parametros_manuales!$I$31*parametros_manuales!$J$31</f>
        <v>215.0808</v>
      </c>
      <c r="K149" s="4">
        <f>(parametros_manuales!$D$31*(datos_base!$G$2+IF(parametros_manuales!$H$31="Todos",datos_base!$G$9,0))*parametros_manuales!$K$95+parametros_manuales!$E$31*(datos_base!$G$3+IF(parametros_manuales!$H$31="Todos",datos_base!$G$10,0))*parametros_manuales!$K$100+parametros_manuales!$F$31*(datos_base!$G$4+IF(parametros_manuales!$H$31="Todos",datos_base!$G$11,0))*parametros_manuales!$K$105+parametros_manuales!$G$31*(datos_base!$G$5+IF(parametros_manuales!$H$31="Todos",datos_base!$G$12,0))*parametros_manuales!$K$110)*parametros_manuales!$I$31*parametros_manuales!$J$31</f>
        <v>218.7021</v>
      </c>
      <c r="L149" s="4">
        <f>(parametros_manuales!$D$31*(datos_base!$G$2+IF(parametros_manuales!$H$31="Todos",datos_base!$G$9,0))*parametros_manuales!$L$95+parametros_manuales!$E$31*(datos_base!$G$3+IF(parametros_manuales!$H$31="Todos",datos_base!$G$10,0))*parametros_manuales!$L$100+parametros_manuales!$F$31*(datos_base!$G$4+IF(parametros_manuales!$H$31="Todos",datos_base!$G$11,0))*parametros_manuales!$L$105+parametros_manuales!$G$31*(datos_base!$G$5+IF(parametros_manuales!$H$31="Todos",datos_base!$G$12,0))*parametros_manuales!$L$110)*parametros_manuales!$I$31*parametros_manuales!$J$31</f>
        <v>222.3234</v>
      </c>
      <c r="M149" s="4">
        <f>(parametros_manuales!$D$31*(datos_base!$G$2+IF(parametros_manuales!$H$31="Todos",datos_base!$G$9,0))*parametros_manuales!$M$95+parametros_manuales!$E$31*(datos_base!$G$3+IF(parametros_manuales!$H$31="Todos",datos_base!$G$10,0))*parametros_manuales!$M$100+parametros_manuales!$F$31*(datos_base!$G$4+IF(parametros_manuales!$H$31="Todos",datos_base!$G$11,0))*parametros_manuales!$M$105+parametros_manuales!$G$31*(datos_base!$G$5+IF(parametros_manuales!$H$31="Todos",datos_base!$G$12,0))*parametros_manuales!$M$110)*parametros_manuales!$I$31*parametros_manuales!$J$31</f>
        <v>222.3234</v>
      </c>
      <c r="N149" s="4">
        <f t="shared" si="16"/>
        <v>2470.26</v>
      </c>
      <c r="O149" s="4">
        <f t="shared" si="17"/>
        <v>222.3234</v>
      </c>
      <c r="P149" s="27">
        <f>O149/(parametros_manuales!$B$7)</f>
        <v>1.482156</v>
      </c>
      <c r="Q149" s="3" t="str">
        <f t="shared" si="18"/>
        <v>Ene</v>
      </c>
    </row>
    <row r="150" ht="14.25" customHeight="1">
      <c r="A150" s="3" t="str">
        <f>parametros_manuales!$B$32</f>
        <v>Prueba hidráulica</v>
      </c>
      <c r="B150" s="4">
        <f>(parametros_manuales!$D$32*(datos_base!$G$2+IF(parametros_manuales!$H$32="Todos",datos_base!$G$9,0))*parametros_manuales!$B$95+parametros_manuales!$E$32*(datos_base!$G$3+IF(parametros_manuales!$H$32="Todos",datos_base!$G$10,0))*parametros_manuales!$B$100+parametros_manuales!$F$32*(datos_base!$G$4+IF(parametros_manuales!$H$32="Todos",datos_base!$G$11,0))*parametros_manuales!$B$105+parametros_manuales!$G$32*(datos_base!$G$5+IF(parametros_manuales!$H$32="Todos",datos_base!$G$12,0))*parametros_manuales!$B$110)*parametros_manuales!$I$32*parametros_manuales!$J$32</f>
        <v>11116.17</v>
      </c>
      <c r="C150" s="4">
        <f>(parametros_manuales!$D$32*(datos_base!$G$2+IF(parametros_manuales!$H$32="Todos",datos_base!$G$9,0))*parametros_manuales!$C$95+parametros_manuales!$E$32*(datos_base!$G$3+IF(parametros_manuales!$H$32="Todos",datos_base!$G$10,0))*parametros_manuales!$C$100+parametros_manuales!$F$32*(datos_base!$G$4+IF(parametros_manuales!$H$32="Todos",datos_base!$G$11,0))*parametros_manuales!$C$105+parametros_manuales!$G$32*(datos_base!$G$5+IF(parametros_manuales!$H$32="Todos",datos_base!$G$12,0))*parametros_manuales!$C$110)*parametros_manuales!$I$32*parametros_manuales!$J$32</f>
        <v>10754.04</v>
      </c>
      <c r="D150" s="4">
        <f>(parametros_manuales!$D$32*(datos_base!$G$2+IF(parametros_manuales!$H$32="Todos",datos_base!$G$9,0))*parametros_manuales!$D$95+parametros_manuales!$E$32*(datos_base!$G$3+IF(parametros_manuales!$H$32="Todos",datos_base!$G$10,0))*parametros_manuales!$D$100+parametros_manuales!$F$32*(datos_base!$G$4+IF(parametros_manuales!$H$32="Todos",datos_base!$G$11,0))*parametros_manuales!$D$105+parametros_manuales!$G$32*(datos_base!$G$5+IF(parametros_manuales!$H$32="Todos",datos_base!$G$12,0))*parametros_manuales!$D$110)*parametros_manuales!$I$32*parametros_manuales!$J$32</f>
        <v>10062.105</v>
      </c>
      <c r="E150" s="4">
        <f>(parametros_manuales!$D$32*(datos_base!$G$2+IF(parametros_manuales!$H$32="Todos",datos_base!$G$9,0))*parametros_manuales!$E$95+parametros_manuales!$E$32*(datos_base!$G$3+IF(parametros_manuales!$H$32="Todos",datos_base!$G$10,0))*parametros_manuales!$E$100+parametros_manuales!$F$32*(datos_base!$G$4+IF(parametros_manuales!$H$32="Todos",datos_base!$G$11,0))*parametros_manuales!$E$105+parametros_manuales!$G$32*(datos_base!$G$5+IF(parametros_manuales!$H$32="Todos",datos_base!$G$12,0))*parametros_manuales!$E$110)*parametros_manuales!$I$32*parametros_manuales!$J$32</f>
        <v>9625.605</v>
      </c>
      <c r="F150" s="4">
        <f>(parametros_manuales!$D$32*(datos_base!$G$2+IF(parametros_manuales!$H$32="Todos",datos_base!$G$9,0))*parametros_manuales!$F$95+parametros_manuales!$E$32*(datos_base!$G$3+IF(parametros_manuales!$H$32="Todos",datos_base!$G$10,0))*parametros_manuales!$F$100+parametros_manuales!$F$32*(datos_base!$G$4+IF(parametros_manuales!$H$32="Todos",datos_base!$G$11,0))*parametros_manuales!$F$105+parametros_manuales!$G$32*(datos_base!$G$5+IF(parametros_manuales!$H$32="Todos",datos_base!$G$12,0))*parametros_manuales!$F$110)*parametros_manuales!$I$32*parametros_manuales!$J$32</f>
        <v>9008.04</v>
      </c>
      <c r="G150" s="4">
        <f>(parametros_manuales!$D$32*(datos_base!$G$2+IF(parametros_manuales!$H$32="Todos",datos_base!$G$9,0))*parametros_manuales!$G$95+parametros_manuales!$E$32*(datos_base!$G$3+IF(parametros_manuales!$H$32="Todos",datos_base!$G$10,0))*parametros_manuales!$G$100+parametros_manuales!$F$32*(datos_base!$G$4+IF(parametros_manuales!$H$32="Todos",datos_base!$G$11,0))*parametros_manuales!$G$105+parametros_manuales!$G$32*(datos_base!$G$5+IF(parametros_manuales!$H$32="Todos",datos_base!$G$12,0))*parametros_manuales!$G$110)*parametros_manuales!$I$32*parametros_manuales!$J$32</f>
        <v>8826.975</v>
      </c>
      <c r="H150" s="4">
        <f>(parametros_manuales!$D$32*(datos_base!$G$2+IF(parametros_manuales!$H$32="Todos",datos_base!$G$9,0))*parametros_manuales!$H$95+parametros_manuales!$E$32*(datos_base!$G$3+IF(parametros_manuales!$H$32="Todos",datos_base!$G$10,0))*parametros_manuales!$H$100+parametros_manuales!$F$32*(datos_base!$G$4+IF(parametros_manuales!$H$32="Todos",datos_base!$G$11,0))*parametros_manuales!$H$105+parametros_manuales!$G$32*(datos_base!$G$5+IF(parametros_manuales!$H$32="Todos",datos_base!$G$12,0))*parametros_manuales!$H$110)*parametros_manuales!$I$32*parametros_manuales!$J$32</f>
        <v>9444.54</v>
      </c>
      <c r="I150" s="4">
        <f>(parametros_manuales!$D$32*(datos_base!$G$2+IF(parametros_manuales!$H$32="Todos",datos_base!$G$9,0))*parametros_manuales!$I$95+parametros_manuales!$E$32*(datos_base!$G$3+IF(parametros_manuales!$H$32="Todos",datos_base!$G$10,0))*parametros_manuales!$I$100+parametros_manuales!$F$32*(datos_base!$G$4+IF(parametros_manuales!$H$32="Todos",datos_base!$G$11,0))*parametros_manuales!$I$105+parametros_manuales!$G$32*(datos_base!$G$5+IF(parametros_manuales!$H$32="Todos",datos_base!$G$12,0))*parametros_manuales!$I$110)*parametros_manuales!$I$32*parametros_manuales!$J$32</f>
        <v>10754.04</v>
      </c>
      <c r="J150" s="4">
        <f>(parametros_manuales!$D$32*(datos_base!$G$2+IF(parametros_manuales!$H$32="Todos",datos_base!$G$9,0))*parametros_manuales!$J$95+parametros_manuales!$E$32*(datos_base!$G$3+IF(parametros_manuales!$H$32="Todos",datos_base!$G$10,0))*parametros_manuales!$J$100+parametros_manuales!$F$32*(datos_base!$G$4+IF(parametros_manuales!$H$32="Todos",datos_base!$G$11,0))*parametros_manuales!$J$105+parametros_manuales!$G$32*(datos_base!$G$5+IF(parametros_manuales!$H$32="Todos",datos_base!$G$12,0))*parametros_manuales!$J$110)*parametros_manuales!$I$32*parametros_manuales!$J$32</f>
        <v>10754.04</v>
      </c>
      <c r="K150" s="4">
        <f>(parametros_manuales!$D$32*(datos_base!$G$2+IF(parametros_manuales!$H$32="Todos",datos_base!$G$9,0))*parametros_manuales!$K$95+parametros_manuales!$E$32*(datos_base!$G$3+IF(parametros_manuales!$H$32="Todos",datos_base!$G$10,0))*parametros_manuales!$K$100+parametros_manuales!$F$32*(datos_base!$G$4+IF(parametros_manuales!$H$32="Todos",datos_base!$G$11,0))*parametros_manuales!$K$105+parametros_manuales!$G$32*(datos_base!$G$5+IF(parametros_manuales!$H$32="Todos",datos_base!$G$12,0))*parametros_manuales!$K$110)*parametros_manuales!$I$32*parametros_manuales!$J$32</f>
        <v>10935.105</v>
      </c>
      <c r="L150" s="4">
        <f>(parametros_manuales!$D$32*(datos_base!$G$2+IF(parametros_manuales!$H$32="Todos",datos_base!$G$9,0))*parametros_manuales!$L$95+parametros_manuales!$E$32*(datos_base!$G$3+IF(parametros_manuales!$H$32="Todos",datos_base!$G$10,0))*parametros_manuales!$L$100+parametros_manuales!$F$32*(datos_base!$G$4+IF(parametros_manuales!$H$32="Todos",datos_base!$G$11,0))*parametros_manuales!$L$105+parametros_manuales!$G$32*(datos_base!$G$5+IF(parametros_manuales!$H$32="Todos",datos_base!$G$12,0))*parametros_manuales!$L$110)*parametros_manuales!$I$32*parametros_manuales!$J$32</f>
        <v>11116.17</v>
      </c>
      <c r="M150" s="4">
        <f>(parametros_manuales!$D$32*(datos_base!$G$2+IF(parametros_manuales!$H$32="Todos",datos_base!$G$9,0))*parametros_manuales!$M$95+parametros_manuales!$E$32*(datos_base!$G$3+IF(parametros_manuales!$H$32="Todos",datos_base!$G$10,0))*parametros_manuales!$M$100+parametros_manuales!$F$32*(datos_base!$G$4+IF(parametros_manuales!$H$32="Todos",datos_base!$G$11,0))*parametros_manuales!$M$105+parametros_manuales!$G$32*(datos_base!$G$5+IF(parametros_manuales!$H$32="Todos",datos_base!$G$12,0))*parametros_manuales!$M$110)*parametros_manuales!$I$32*parametros_manuales!$J$32</f>
        <v>11116.17</v>
      </c>
      <c r="N150" s="4">
        <f t="shared" si="16"/>
        <v>123513</v>
      </c>
      <c r="O150" s="4">
        <f t="shared" si="17"/>
        <v>11116.17</v>
      </c>
      <c r="P150" s="27">
        <f>O150/(parametros_manuales!$B$7)</f>
        <v>74.1078</v>
      </c>
      <c r="Q150" s="3" t="str">
        <f t="shared" si="18"/>
        <v>Ene</v>
      </c>
    </row>
    <row r="151" ht="14.25" customHeight="1">
      <c r="A151" s="3" t="str">
        <f>parametros_manuales!$B$33</f>
        <v>Secado</v>
      </c>
      <c r="B151" s="4">
        <f>(parametros_manuales!$D$33*(datos_base!$G$2+IF(parametros_manuales!$H$33="Todos",datos_base!$G$9,0))*parametros_manuales!$B$95+parametros_manuales!$E$33*(datos_base!$G$3+IF(parametros_manuales!$H$33="Todos",datos_base!$G$10,0))*parametros_manuales!$B$100+parametros_manuales!$F$33*(datos_base!$G$4+IF(parametros_manuales!$H$33="Todos",datos_base!$G$11,0))*parametros_manuales!$B$105+parametros_manuales!$G$33*(datos_base!$G$5+IF(parametros_manuales!$H$33="Todos",datos_base!$G$12,0))*parametros_manuales!$B$110)*parametros_manuales!$I$33*parametros_manuales!$J$33</f>
        <v>11116.17</v>
      </c>
      <c r="C151" s="4">
        <f>(parametros_manuales!$D$33*(datos_base!$G$2+IF(parametros_manuales!$H$33="Todos",datos_base!$G$9,0))*parametros_manuales!$C$95+parametros_manuales!$E$33*(datos_base!$G$3+IF(parametros_manuales!$H$33="Todos",datos_base!$G$10,0))*parametros_manuales!$C$100+parametros_manuales!$F$33*(datos_base!$G$4+IF(parametros_manuales!$H$33="Todos",datos_base!$G$11,0))*parametros_manuales!$C$105+parametros_manuales!$G$33*(datos_base!$G$5+IF(parametros_manuales!$H$33="Todos",datos_base!$G$12,0))*parametros_manuales!$C$110)*parametros_manuales!$I$33*parametros_manuales!$J$33</f>
        <v>10754.04</v>
      </c>
      <c r="D151" s="4">
        <f>(parametros_manuales!$D$33*(datos_base!$G$2+IF(parametros_manuales!$H$33="Todos",datos_base!$G$9,0))*parametros_manuales!$D$95+parametros_manuales!$E$33*(datos_base!$G$3+IF(parametros_manuales!$H$33="Todos",datos_base!$G$10,0))*parametros_manuales!$D$100+parametros_manuales!$F$33*(datos_base!$G$4+IF(parametros_manuales!$H$33="Todos",datos_base!$G$11,0))*parametros_manuales!$D$105+parametros_manuales!$G$33*(datos_base!$G$5+IF(parametros_manuales!$H$33="Todos",datos_base!$G$12,0))*parametros_manuales!$D$110)*parametros_manuales!$I$33*parametros_manuales!$J$33</f>
        <v>10062.105</v>
      </c>
      <c r="E151" s="4">
        <f>(parametros_manuales!$D$33*(datos_base!$G$2+IF(parametros_manuales!$H$33="Todos",datos_base!$G$9,0))*parametros_manuales!$E$95+parametros_manuales!$E$33*(datos_base!$G$3+IF(parametros_manuales!$H$33="Todos",datos_base!$G$10,0))*parametros_manuales!$E$100+parametros_manuales!$F$33*(datos_base!$G$4+IF(parametros_manuales!$H$33="Todos",datos_base!$G$11,0))*parametros_manuales!$E$105+parametros_manuales!$G$33*(datos_base!$G$5+IF(parametros_manuales!$H$33="Todos",datos_base!$G$12,0))*parametros_manuales!$E$110)*parametros_manuales!$I$33*parametros_manuales!$J$33</f>
        <v>9625.605</v>
      </c>
      <c r="F151" s="4">
        <f>(parametros_manuales!$D$33*(datos_base!$G$2+IF(parametros_manuales!$H$33="Todos",datos_base!$G$9,0))*parametros_manuales!$F$95+parametros_manuales!$E$33*(datos_base!$G$3+IF(parametros_manuales!$H$33="Todos",datos_base!$G$10,0))*parametros_manuales!$F$100+parametros_manuales!$F$33*(datos_base!$G$4+IF(parametros_manuales!$H$33="Todos",datos_base!$G$11,0))*parametros_manuales!$F$105+parametros_manuales!$G$33*(datos_base!$G$5+IF(parametros_manuales!$H$33="Todos",datos_base!$G$12,0))*parametros_manuales!$F$110)*parametros_manuales!$I$33*parametros_manuales!$J$33</f>
        <v>9008.04</v>
      </c>
      <c r="G151" s="4">
        <f>(parametros_manuales!$D$33*(datos_base!$G$2+IF(parametros_manuales!$H$33="Todos",datos_base!$G$9,0))*parametros_manuales!$G$95+parametros_manuales!$E$33*(datos_base!$G$3+IF(parametros_manuales!$H$33="Todos",datos_base!$G$10,0))*parametros_manuales!$G$100+parametros_manuales!$F$33*(datos_base!$G$4+IF(parametros_manuales!$H$33="Todos",datos_base!$G$11,0))*parametros_manuales!$G$105+parametros_manuales!$G$33*(datos_base!$G$5+IF(parametros_manuales!$H$33="Todos",datos_base!$G$12,0))*parametros_manuales!$G$110)*parametros_manuales!$I$33*parametros_manuales!$J$33</f>
        <v>8826.975</v>
      </c>
      <c r="H151" s="4">
        <f>(parametros_manuales!$D$33*(datos_base!$G$2+IF(parametros_manuales!$H$33="Todos",datos_base!$G$9,0))*parametros_manuales!$H$95+parametros_manuales!$E$33*(datos_base!$G$3+IF(parametros_manuales!$H$33="Todos",datos_base!$G$10,0))*parametros_manuales!$H$100+parametros_manuales!$F$33*(datos_base!$G$4+IF(parametros_manuales!$H$33="Todos",datos_base!$G$11,0))*parametros_manuales!$H$105+parametros_manuales!$G$33*(datos_base!$G$5+IF(parametros_manuales!$H$33="Todos",datos_base!$G$12,0))*parametros_manuales!$H$110)*parametros_manuales!$I$33*parametros_manuales!$J$33</f>
        <v>9444.54</v>
      </c>
      <c r="I151" s="4">
        <f>(parametros_manuales!$D$33*(datos_base!$G$2+IF(parametros_manuales!$H$33="Todos",datos_base!$G$9,0))*parametros_manuales!$I$95+parametros_manuales!$E$33*(datos_base!$G$3+IF(parametros_manuales!$H$33="Todos",datos_base!$G$10,0))*parametros_manuales!$I$100+parametros_manuales!$F$33*(datos_base!$G$4+IF(parametros_manuales!$H$33="Todos",datos_base!$G$11,0))*parametros_manuales!$I$105+parametros_manuales!$G$33*(datos_base!$G$5+IF(parametros_manuales!$H$33="Todos",datos_base!$G$12,0))*parametros_manuales!$I$110)*parametros_manuales!$I$33*parametros_manuales!$J$33</f>
        <v>10754.04</v>
      </c>
      <c r="J151" s="4">
        <f>(parametros_manuales!$D$33*(datos_base!$G$2+IF(parametros_manuales!$H$33="Todos",datos_base!$G$9,0))*parametros_manuales!$J$95+parametros_manuales!$E$33*(datos_base!$G$3+IF(parametros_manuales!$H$33="Todos",datos_base!$G$10,0))*parametros_manuales!$J$100+parametros_manuales!$F$33*(datos_base!$G$4+IF(parametros_manuales!$H$33="Todos",datos_base!$G$11,0))*parametros_manuales!$J$105+parametros_manuales!$G$33*(datos_base!$G$5+IF(parametros_manuales!$H$33="Todos",datos_base!$G$12,0))*parametros_manuales!$J$110)*parametros_manuales!$I$33*parametros_manuales!$J$33</f>
        <v>10754.04</v>
      </c>
      <c r="K151" s="4">
        <f>(parametros_manuales!$D$33*(datos_base!$G$2+IF(parametros_manuales!$H$33="Todos",datos_base!$G$9,0))*parametros_manuales!$K$95+parametros_manuales!$E$33*(datos_base!$G$3+IF(parametros_manuales!$H$33="Todos",datos_base!$G$10,0))*parametros_manuales!$K$100+parametros_manuales!$F$33*(datos_base!$G$4+IF(parametros_manuales!$H$33="Todos",datos_base!$G$11,0))*parametros_manuales!$K$105+parametros_manuales!$G$33*(datos_base!$G$5+IF(parametros_manuales!$H$33="Todos",datos_base!$G$12,0))*parametros_manuales!$K$110)*parametros_manuales!$I$33*parametros_manuales!$J$33</f>
        <v>10935.105</v>
      </c>
      <c r="L151" s="4">
        <f>(parametros_manuales!$D$33*(datos_base!$G$2+IF(parametros_manuales!$H$33="Todos",datos_base!$G$9,0))*parametros_manuales!$L$95+parametros_manuales!$E$33*(datos_base!$G$3+IF(parametros_manuales!$H$33="Todos",datos_base!$G$10,0))*parametros_manuales!$L$100+parametros_manuales!$F$33*(datos_base!$G$4+IF(parametros_manuales!$H$33="Todos",datos_base!$G$11,0))*parametros_manuales!$L$105+parametros_manuales!$G$33*(datos_base!$G$5+IF(parametros_manuales!$H$33="Todos",datos_base!$G$12,0))*parametros_manuales!$L$110)*parametros_manuales!$I$33*parametros_manuales!$J$33</f>
        <v>11116.17</v>
      </c>
      <c r="M151" s="4">
        <f>(parametros_manuales!$D$33*(datos_base!$G$2+IF(parametros_manuales!$H$33="Todos",datos_base!$G$9,0))*parametros_manuales!$M$95+parametros_manuales!$E$33*(datos_base!$G$3+IF(parametros_manuales!$H$33="Todos",datos_base!$G$10,0))*parametros_manuales!$M$100+parametros_manuales!$F$33*(datos_base!$G$4+IF(parametros_manuales!$H$33="Todos",datos_base!$G$11,0))*parametros_manuales!$M$105+parametros_manuales!$G$33*(datos_base!$G$5+IF(parametros_manuales!$H$33="Todos",datos_base!$G$12,0))*parametros_manuales!$M$110)*parametros_manuales!$I$33*parametros_manuales!$J$33</f>
        <v>11116.17</v>
      </c>
      <c r="N151" s="4">
        <f t="shared" si="16"/>
        <v>123513</v>
      </c>
      <c r="O151" s="4">
        <f t="shared" si="17"/>
        <v>11116.17</v>
      </c>
      <c r="P151" s="27">
        <f>O151/(parametros_manuales!$B$7)</f>
        <v>74.1078</v>
      </c>
      <c r="Q151" s="3" t="str">
        <f t="shared" si="18"/>
        <v>Ene</v>
      </c>
    </row>
    <row r="152" ht="14.25" customHeight="1">
      <c r="A152" s="3" t="str">
        <f>parametros_manuales!$B$34</f>
        <v>Granallado</v>
      </c>
      <c r="B152" s="4">
        <f>(parametros_manuales!$D$34*(datos_base!$G$2+IF(parametros_manuales!$H$34="Todos",datos_base!$G$9,0))*parametros_manuales!$B$95+parametros_manuales!$E$34*(datos_base!$G$3+IF(parametros_manuales!$H$34="Todos",datos_base!$G$10,0))*parametros_manuales!$B$100+parametros_manuales!$F$34*(datos_base!$G$4+IF(parametros_manuales!$H$34="Todos",datos_base!$G$11,0))*parametros_manuales!$B$105+parametros_manuales!$G$34*(datos_base!$G$5+IF(parametros_manuales!$H$34="Todos",datos_base!$G$12,0))*parametros_manuales!$B$110)*parametros_manuales!$I$34*parametros_manuales!$J$34</f>
        <v>11116.17</v>
      </c>
      <c r="C152" s="4">
        <f>(parametros_manuales!$D$34*(datos_base!$G$2+IF(parametros_manuales!$H$34="Todos",datos_base!$G$9,0))*parametros_manuales!$C$95+parametros_manuales!$E$34*(datos_base!$G$3+IF(parametros_manuales!$H$34="Todos",datos_base!$G$10,0))*parametros_manuales!$C$100+parametros_manuales!$F$34*(datos_base!$G$4+IF(parametros_manuales!$H$34="Todos",datos_base!$G$11,0))*parametros_manuales!$C$105+parametros_manuales!$G$34*(datos_base!$G$5+IF(parametros_manuales!$H$34="Todos",datos_base!$G$12,0))*parametros_manuales!$C$110)*parametros_manuales!$I$34*parametros_manuales!$J$34</f>
        <v>10754.04</v>
      </c>
      <c r="D152" s="4">
        <f>(parametros_manuales!$D$34*(datos_base!$G$2+IF(parametros_manuales!$H$34="Todos",datos_base!$G$9,0))*parametros_manuales!$D$95+parametros_manuales!$E$34*(datos_base!$G$3+IF(parametros_manuales!$H$34="Todos",datos_base!$G$10,0))*parametros_manuales!$D$100+parametros_manuales!$F$34*(datos_base!$G$4+IF(parametros_manuales!$H$34="Todos",datos_base!$G$11,0))*parametros_manuales!$D$105+parametros_manuales!$G$34*(datos_base!$G$5+IF(parametros_manuales!$H$34="Todos",datos_base!$G$12,0))*parametros_manuales!$D$110)*parametros_manuales!$I$34*parametros_manuales!$J$34</f>
        <v>10062.105</v>
      </c>
      <c r="E152" s="4">
        <f>(parametros_manuales!$D$34*(datos_base!$G$2+IF(parametros_manuales!$H$34="Todos",datos_base!$G$9,0))*parametros_manuales!$E$95+parametros_manuales!$E$34*(datos_base!$G$3+IF(parametros_manuales!$H$34="Todos",datos_base!$G$10,0))*parametros_manuales!$E$100+parametros_manuales!$F$34*(datos_base!$G$4+IF(parametros_manuales!$H$34="Todos",datos_base!$G$11,0))*parametros_manuales!$E$105+parametros_manuales!$G$34*(datos_base!$G$5+IF(parametros_manuales!$H$34="Todos",datos_base!$G$12,0))*parametros_manuales!$E$110)*parametros_manuales!$I$34*parametros_manuales!$J$34</f>
        <v>9625.605</v>
      </c>
      <c r="F152" s="4">
        <f>(parametros_manuales!$D$34*(datos_base!$G$2+IF(parametros_manuales!$H$34="Todos",datos_base!$G$9,0))*parametros_manuales!$F$95+parametros_manuales!$E$34*(datos_base!$G$3+IF(parametros_manuales!$H$34="Todos",datos_base!$G$10,0))*parametros_manuales!$F$100+parametros_manuales!$F$34*(datos_base!$G$4+IF(parametros_manuales!$H$34="Todos",datos_base!$G$11,0))*parametros_manuales!$F$105+parametros_manuales!$G$34*(datos_base!$G$5+IF(parametros_manuales!$H$34="Todos",datos_base!$G$12,0))*parametros_manuales!$F$110)*parametros_manuales!$I$34*parametros_manuales!$J$34</f>
        <v>9008.04</v>
      </c>
      <c r="G152" s="4">
        <f>(parametros_manuales!$D$34*(datos_base!$G$2+IF(parametros_manuales!$H$34="Todos",datos_base!$G$9,0))*parametros_manuales!$G$95+parametros_manuales!$E$34*(datos_base!$G$3+IF(parametros_manuales!$H$34="Todos",datos_base!$G$10,0))*parametros_manuales!$G$100+parametros_manuales!$F$34*(datos_base!$G$4+IF(parametros_manuales!$H$34="Todos",datos_base!$G$11,0))*parametros_manuales!$G$105+parametros_manuales!$G$34*(datos_base!$G$5+IF(parametros_manuales!$H$34="Todos",datos_base!$G$12,0))*parametros_manuales!$G$110)*parametros_manuales!$I$34*parametros_manuales!$J$34</f>
        <v>8826.975</v>
      </c>
      <c r="H152" s="4">
        <f>(parametros_manuales!$D$34*(datos_base!$G$2+IF(parametros_manuales!$H$34="Todos",datos_base!$G$9,0))*parametros_manuales!$H$95+parametros_manuales!$E$34*(datos_base!$G$3+IF(parametros_manuales!$H$34="Todos",datos_base!$G$10,0))*parametros_manuales!$H$100+parametros_manuales!$F$34*(datos_base!$G$4+IF(parametros_manuales!$H$34="Todos",datos_base!$G$11,0))*parametros_manuales!$H$105+parametros_manuales!$G$34*(datos_base!$G$5+IF(parametros_manuales!$H$34="Todos",datos_base!$G$12,0))*parametros_manuales!$H$110)*parametros_manuales!$I$34*parametros_manuales!$J$34</f>
        <v>9444.54</v>
      </c>
      <c r="I152" s="4">
        <f>(parametros_manuales!$D$34*(datos_base!$G$2+IF(parametros_manuales!$H$34="Todos",datos_base!$G$9,0))*parametros_manuales!$I$95+parametros_manuales!$E$34*(datos_base!$G$3+IF(parametros_manuales!$H$34="Todos",datos_base!$G$10,0))*parametros_manuales!$I$100+parametros_manuales!$F$34*(datos_base!$G$4+IF(parametros_manuales!$H$34="Todos",datos_base!$G$11,0))*parametros_manuales!$I$105+parametros_manuales!$G$34*(datos_base!$G$5+IF(parametros_manuales!$H$34="Todos",datos_base!$G$12,0))*parametros_manuales!$I$110)*parametros_manuales!$I$34*parametros_manuales!$J$34</f>
        <v>10754.04</v>
      </c>
      <c r="J152" s="4">
        <f>(parametros_manuales!$D$34*(datos_base!$G$2+IF(parametros_manuales!$H$34="Todos",datos_base!$G$9,0))*parametros_manuales!$J$95+parametros_manuales!$E$34*(datos_base!$G$3+IF(parametros_manuales!$H$34="Todos",datos_base!$G$10,0))*parametros_manuales!$J$100+parametros_manuales!$F$34*(datos_base!$G$4+IF(parametros_manuales!$H$34="Todos",datos_base!$G$11,0))*parametros_manuales!$J$105+parametros_manuales!$G$34*(datos_base!$G$5+IF(parametros_manuales!$H$34="Todos",datos_base!$G$12,0))*parametros_manuales!$J$110)*parametros_manuales!$I$34*parametros_manuales!$J$34</f>
        <v>10754.04</v>
      </c>
      <c r="K152" s="4">
        <f>(parametros_manuales!$D$34*(datos_base!$G$2+IF(parametros_manuales!$H$34="Todos",datos_base!$G$9,0))*parametros_manuales!$K$95+parametros_manuales!$E$34*(datos_base!$G$3+IF(parametros_manuales!$H$34="Todos",datos_base!$G$10,0))*parametros_manuales!$K$100+parametros_manuales!$F$34*(datos_base!$G$4+IF(parametros_manuales!$H$34="Todos",datos_base!$G$11,0))*parametros_manuales!$K$105+parametros_manuales!$G$34*(datos_base!$G$5+IF(parametros_manuales!$H$34="Todos",datos_base!$G$12,0))*parametros_manuales!$K$110)*parametros_manuales!$I$34*parametros_manuales!$J$34</f>
        <v>10935.105</v>
      </c>
      <c r="L152" s="4">
        <f>(parametros_manuales!$D$34*(datos_base!$G$2+IF(parametros_manuales!$H$34="Todos",datos_base!$G$9,0))*parametros_manuales!$L$95+parametros_manuales!$E$34*(datos_base!$G$3+IF(parametros_manuales!$H$34="Todos",datos_base!$G$10,0))*parametros_manuales!$L$100+parametros_manuales!$F$34*(datos_base!$G$4+IF(parametros_manuales!$H$34="Todos",datos_base!$G$11,0))*parametros_manuales!$L$105+parametros_manuales!$G$34*(datos_base!$G$5+IF(parametros_manuales!$H$34="Todos",datos_base!$G$12,0))*parametros_manuales!$L$110)*parametros_manuales!$I$34*parametros_manuales!$J$34</f>
        <v>11116.17</v>
      </c>
      <c r="M152" s="4">
        <f>(parametros_manuales!$D$34*(datos_base!$G$2+IF(parametros_manuales!$H$34="Todos",datos_base!$G$9,0))*parametros_manuales!$M$95+parametros_manuales!$E$34*(datos_base!$G$3+IF(parametros_manuales!$H$34="Todos",datos_base!$G$10,0))*parametros_manuales!$M$100+parametros_manuales!$F$34*(datos_base!$G$4+IF(parametros_manuales!$H$34="Todos",datos_base!$G$11,0))*parametros_manuales!$M$105+parametros_manuales!$G$34*(datos_base!$G$5+IF(parametros_manuales!$H$34="Todos",datos_base!$G$12,0))*parametros_manuales!$M$110)*parametros_manuales!$I$34*parametros_manuales!$J$34</f>
        <v>11116.17</v>
      </c>
      <c r="N152" s="4">
        <f t="shared" si="16"/>
        <v>123513</v>
      </c>
      <c r="O152" s="4">
        <f t="shared" si="17"/>
        <v>11116.17</v>
      </c>
      <c r="P152" s="27">
        <f>O152/(parametros_manuales!$B$7)</f>
        <v>74.1078</v>
      </c>
      <c r="Q152" s="3" t="str">
        <f t="shared" si="18"/>
        <v>Ene</v>
      </c>
    </row>
    <row r="153" ht="14.25" customHeight="1">
      <c r="A153" s="3" t="str">
        <f>parametros_manuales!$B$35</f>
        <v>Detección de defectos</v>
      </c>
      <c r="B153" s="4">
        <f>(parametros_manuales!$D$35*(datos_base!$G$2+IF(parametros_manuales!$H$35="Todos",datos_base!$G$9,0))*parametros_manuales!$B$95+parametros_manuales!$E$35*(datos_base!$G$3+IF(parametros_manuales!$H$35="Todos",datos_base!$G$10,0))*parametros_manuales!$B$100+parametros_manuales!$F$35*(datos_base!$G$4+IF(parametros_manuales!$H$35="Todos",datos_base!$G$11,0))*parametros_manuales!$B$105+parametros_manuales!$G$35*(datos_base!$G$5+IF(parametros_manuales!$H$35="Todos",datos_base!$G$12,0))*parametros_manuales!$B$110)*parametros_manuales!$I$35*parametros_manuales!$J$35</f>
        <v>11116.17</v>
      </c>
      <c r="C153" s="4">
        <f>(parametros_manuales!$D$35*(datos_base!$G$2+IF(parametros_manuales!$H$35="Todos",datos_base!$G$9,0))*parametros_manuales!$C$95+parametros_manuales!$E$35*(datos_base!$G$3+IF(parametros_manuales!$H$35="Todos",datos_base!$G$10,0))*parametros_manuales!$C$100+parametros_manuales!$F$35*(datos_base!$G$4+IF(parametros_manuales!$H$35="Todos",datos_base!$G$11,0))*parametros_manuales!$C$105+parametros_manuales!$G$35*(datos_base!$G$5+IF(parametros_manuales!$H$35="Todos",datos_base!$G$12,0))*parametros_manuales!$C$110)*parametros_manuales!$I$35*parametros_manuales!$J$35</f>
        <v>10754.04</v>
      </c>
      <c r="D153" s="4">
        <f>(parametros_manuales!$D$35*(datos_base!$G$2+IF(parametros_manuales!$H$35="Todos",datos_base!$G$9,0))*parametros_manuales!$D$95+parametros_manuales!$E$35*(datos_base!$G$3+IF(parametros_manuales!$H$35="Todos",datos_base!$G$10,0))*parametros_manuales!$D$100+parametros_manuales!$F$35*(datos_base!$G$4+IF(parametros_manuales!$H$35="Todos",datos_base!$G$11,0))*parametros_manuales!$D$105+parametros_manuales!$G$35*(datos_base!$G$5+IF(parametros_manuales!$H$35="Todos",datos_base!$G$12,0))*parametros_manuales!$D$110)*parametros_manuales!$I$35*parametros_manuales!$J$35</f>
        <v>10062.105</v>
      </c>
      <c r="E153" s="4">
        <f>(parametros_manuales!$D$35*(datos_base!$G$2+IF(parametros_manuales!$H$35="Todos",datos_base!$G$9,0))*parametros_manuales!$E$95+parametros_manuales!$E$35*(datos_base!$G$3+IF(parametros_manuales!$H$35="Todos",datos_base!$G$10,0))*parametros_manuales!$E$100+parametros_manuales!$F$35*(datos_base!$G$4+IF(parametros_manuales!$H$35="Todos",datos_base!$G$11,0))*parametros_manuales!$E$105+parametros_manuales!$G$35*(datos_base!$G$5+IF(parametros_manuales!$H$35="Todos",datos_base!$G$12,0))*parametros_manuales!$E$110)*parametros_manuales!$I$35*parametros_manuales!$J$35</f>
        <v>9625.605</v>
      </c>
      <c r="F153" s="4">
        <f>(parametros_manuales!$D$35*(datos_base!$G$2+IF(parametros_manuales!$H$35="Todos",datos_base!$G$9,0))*parametros_manuales!$F$95+parametros_manuales!$E$35*(datos_base!$G$3+IF(parametros_manuales!$H$35="Todos",datos_base!$G$10,0))*parametros_manuales!$F$100+parametros_manuales!$F$35*(datos_base!$G$4+IF(parametros_manuales!$H$35="Todos",datos_base!$G$11,0))*parametros_manuales!$F$105+parametros_manuales!$G$35*(datos_base!$G$5+IF(parametros_manuales!$H$35="Todos",datos_base!$G$12,0))*parametros_manuales!$F$110)*parametros_manuales!$I$35*parametros_manuales!$J$35</f>
        <v>9008.04</v>
      </c>
      <c r="G153" s="4">
        <f>(parametros_manuales!$D$35*(datos_base!$G$2+IF(parametros_manuales!$H$35="Todos",datos_base!$G$9,0))*parametros_manuales!$G$95+parametros_manuales!$E$35*(datos_base!$G$3+IF(parametros_manuales!$H$35="Todos",datos_base!$G$10,0))*parametros_manuales!$G$100+parametros_manuales!$F$35*(datos_base!$G$4+IF(parametros_manuales!$H$35="Todos",datos_base!$G$11,0))*parametros_manuales!$G$105+parametros_manuales!$G$35*(datos_base!$G$5+IF(parametros_manuales!$H$35="Todos",datos_base!$G$12,0))*parametros_manuales!$G$110)*parametros_manuales!$I$35*parametros_manuales!$J$35</f>
        <v>8826.975</v>
      </c>
      <c r="H153" s="4">
        <f>(parametros_manuales!$D$35*(datos_base!$G$2+IF(parametros_manuales!$H$35="Todos",datos_base!$G$9,0))*parametros_manuales!$H$95+parametros_manuales!$E$35*(datos_base!$G$3+IF(parametros_manuales!$H$35="Todos",datos_base!$G$10,0))*parametros_manuales!$H$100+parametros_manuales!$F$35*(datos_base!$G$4+IF(parametros_manuales!$H$35="Todos",datos_base!$G$11,0))*parametros_manuales!$H$105+parametros_manuales!$G$35*(datos_base!$G$5+IF(parametros_manuales!$H$35="Todos",datos_base!$G$12,0))*parametros_manuales!$H$110)*parametros_manuales!$I$35*parametros_manuales!$J$35</f>
        <v>9444.54</v>
      </c>
      <c r="I153" s="4">
        <f>(parametros_manuales!$D$35*(datos_base!$G$2+IF(parametros_manuales!$H$35="Todos",datos_base!$G$9,0))*parametros_manuales!$I$95+parametros_manuales!$E$35*(datos_base!$G$3+IF(parametros_manuales!$H$35="Todos",datos_base!$G$10,0))*parametros_manuales!$I$100+parametros_manuales!$F$35*(datos_base!$G$4+IF(parametros_manuales!$H$35="Todos",datos_base!$G$11,0))*parametros_manuales!$I$105+parametros_manuales!$G$35*(datos_base!$G$5+IF(parametros_manuales!$H$35="Todos",datos_base!$G$12,0))*parametros_manuales!$I$110)*parametros_manuales!$I$35*parametros_manuales!$J$35</f>
        <v>10754.04</v>
      </c>
      <c r="J153" s="4">
        <f>(parametros_manuales!$D$35*(datos_base!$G$2+IF(parametros_manuales!$H$35="Todos",datos_base!$G$9,0))*parametros_manuales!$J$95+parametros_manuales!$E$35*(datos_base!$G$3+IF(parametros_manuales!$H$35="Todos",datos_base!$G$10,0))*parametros_manuales!$J$100+parametros_manuales!$F$35*(datos_base!$G$4+IF(parametros_manuales!$H$35="Todos",datos_base!$G$11,0))*parametros_manuales!$J$105+parametros_manuales!$G$35*(datos_base!$G$5+IF(parametros_manuales!$H$35="Todos",datos_base!$G$12,0))*parametros_manuales!$J$110)*parametros_manuales!$I$35*parametros_manuales!$J$35</f>
        <v>10754.04</v>
      </c>
      <c r="K153" s="4">
        <f>(parametros_manuales!$D$35*(datos_base!$G$2+IF(parametros_manuales!$H$35="Todos",datos_base!$G$9,0))*parametros_manuales!$K$95+parametros_manuales!$E$35*(datos_base!$G$3+IF(parametros_manuales!$H$35="Todos",datos_base!$G$10,0))*parametros_manuales!$K$100+parametros_manuales!$F$35*(datos_base!$G$4+IF(parametros_manuales!$H$35="Todos",datos_base!$G$11,0))*parametros_manuales!$K$105+parametros_manuales!$G$35*(datos_base!$G$5+IF(parametros_manuales!$H$35="Todos",datos_base!$G$12,0))*parametros_manuales!$K$110)*parametros_manuales!$I$35*parametros_manuales!$J$35</f>
        <v>10935.105</v>
      </c>
      <c r="L153" s="4">
        <f>(parametros_manuales!$D$35*(datos_base!$G$2+IF(parametros_manuales!$H$35="Todos",datos_base!$G$9,0))*parametros_manuales!$L$95+parametros_manuales!$E$35*(datos_base!$G$3+IF(parametros_manuales!$H$35="Todos",datos_base!$G$10,0))*parametros_manuales!$L$100+parametros_manuales!$F$35*(datos_base!$G$4+IF(parametros_manuales!$H$35="Todos",datos_base!$G$11,0))*parametros_manuales!$L$105+parametros_manuales!$G$35*(datos_base!$G$5+IF(parametros_manuales!$H$35="Todos",datos_base!$G$12,0))*parametros_manuales!$L$110)*parametros_manuales!$I$35*parametros_manuales!$J$35</f>
        <v>11116.17</v>
      </c>
      <c r="M153" s="4">
        <f>(parametros_manuales!$D$35*(datos_base!$G$2+IF(parametros_manuales!$H$35="Todos",datos_base!$G$9,0))*parametros_manuales!$M$95+parametros_manuales!$E$35*(datos_base!$G$3+IF(parametros_manuales!$H$35="Todos",datos_base!$G$10,0))*parametros_manuales!$M$100+parametros_manuales!$F$35*(datos_base!$G$4+IF(parametros_manuales!$H$35="Todos",datos_base!$G$11,0))*parametros_manuales!$M$105+parametros_manuales!$G$35*(datos_base!$G$5+IF(parametros_manuales!$H$35="Todos",datos_base!$G$12,0))*parametros_manuales!$M$110)*parametros_manuales!$I$35*parametros_manuales!$J$35</f>
        <v>11116.17</v>
      </c>
      <c r="N153" s="4">
        <f t="shared" si="16"/>
        <v>123513</v>
      </c>
      <c r="O153" s="4">
        <f t="shared" si="17"/>
        <v>11116.17</v>
      </c>
      <c r="P153" s="27">
        <f>O153/(parametros_manuales!$B$7)</f>
        <v>74.1078</v>
      </c>
      <c r="Q153" s="3" t="str">
        <f t="shared" si="18"/>
        <v>Ene</v>
      </c>
    </row>
    <row r="154" ht="14.25" customHeight="1">
      <c r="A154" s="3" t="str">
        <f>parametros_manuales!$B$36</f>
        <v>Corrección de defectos</v>
      </c>
      <c r="B154" s="4">
        <f>(parametros_manuales!$D$36*(datos_base!$G$2+IF(parametros_manuales!$H$36="Todos",datos_base!$G$9,0))*parametros_manuales!$B$95+parametros_manuales!$E$36*(datos_base!$G$3+IF(parametros_manuales!$H$36="Todos",datos_base!$G$10,0))*parametros_manuales!$B$100+parametros_manuales!$F$36*(datos_base!$G$4+IF(parametros_manuales!$H$36="Todos",datos_base!$G$11,0))*parametros_manuales!$B$105+parametros_manuales!$G$36*(datos_base!$G$5+IF(parametros_manuales!$H$36="Todos",datos_base!$G$12,0))*parametros_manuales!$B$110)*parametros_manuales!$I$36*parametros_manuales!$J$36</f>
        <v>555.8085</v>
      </c>
      <c r="C154" s="4">
        <f>(parametros_manuales!$D$36*(datos_base!$G$2+IF(parametros_manuales!$H$36="Todos",datos_base!$G$9,0))*parametros_manuales!$C$95+parametros_manuales!$E$36*(datos_base!$G$3+IF(parametros_manuales!$H$36="Todos",datos_base!$G$10,0))*parametros_manuales!$C$100+parametros_manuales!$F$36*(datos_base!$G$4+IF(parametros_manuales!$H$36="Todos",datos_base!$G$11,0))*parametros_manuales!$C$105+parametros_manuales!$G$36*(datos_base!$G$5+IF(parametros_manuales!$H$36="Todos",datos_base!$G$12,0))*parametros_manuales!$C$110)*parametros_manuales!$I$36*parametros_manuales!$J$36</f>
        <v>537.702</v>
      </c>
      <c r="D154" s="4">
        <f>(parametros_manuales!$D$36*(datos_base!$G$2+IF(parametros_manuales!$H$36="Todos",datos_base!$G$9,0))*parametros_manuales!$D$95+parametros_manuales!$E$36*(datos_base!$G$3+IF(parametros_manuales!$H$36="Todos",datos_base!$G$10,0))*parametros_manuales!$D$100+parametros_manuales!$F$36*(datos_base!$G$4+IF(parametros_manuales!$H$36="Todos",datos_base!$G$11,0))*parametros_manuales!$D$105+parametros_manuales!$G$36*(datos_base!$G$5+IF(parametros_manuales!$H$36="Todos",datos_base!$G$12,0))*parametros_manuales!$D$110)*parametros_manuales!$I$36*parametros_manuales!$J$36</f>
        <v>503.10525</v>
      </c>
      <c r="E154" s="4">
        <f>(parametros_manuales!$D$36*(datos_base!$G$2+IF(parametros_manuales!$H$36="Todos",datos_base!$G$9,0))*parametros_manuales!$E$95+parametros_manuales!$E$36*(datos_base!$G$3+IF(parametros_manuales!$H$36="Todos",datos_base!$G$10,0))*parametros_manuales!$E$100+parametros_manuales!$F$36*(datos_base!$G$4+IF(parametros_manuales!$H$36="Todos",datos_base!$G$11,0))*parametros_manuales!$E$105+parametros_manuales!$G$36*(datos_base!$G$5+IF(parametros_manuales!$H$36="Todos",datos_base!$G$12,0))*parametros_manuales!$E$110)*parametros_manuales!$I$36*parametros_manuales!$J$36</f>
        <v>481.28025</v>
      </c>
      <c r="F154" s="4">
        <f>(parametros_manuales!$D$36*(datos_base!$G$2+IF(parametros_manuales!$H$36="Todos",datos_base!$G$9,0))*parametros_manuales!$F$95+parametros_manuales!$E$36*(datos_base!$G$3+IF(parametros_manuales!$H$36="Todos",datos_base!$G$10,0))*parametros_manuales!$F$100+parametros_manuales!$F$36*(datos_base!$G$4+IF(parametros_manuales!$H$36="Todos",datos_base!$G$11,0))*parametros_manuales!$F$105+parametros_manuales!$G$36*(datos_base!$G$5+IF(parametros_manuales!$H$36="Todos",datos_base!$G$12,0))*parametros_manuales!$F$110)*parametros_manuales!$I$36*parametros_manuales!$J$36</f>
        <v>450.402</v>
      </c>
      <c r="G154" s="4">
        <f>(parametros_manuales!$D$36*(datos_base!$G$2+IF(parametros_manuales!$H$36="Todos",datos_base!$G$9,0))*parametros_manuales!$G$95+parametros_manuales!$E$36*(datos_base!$G$3+IF(parametros_manuales!$H$36="Todos",datos_base!$G$10,0))*parametros_manuales!$G$100+parametros_manuales!$F$36*(datos_base!$G$4+IF(parametros_manuales!$H$36="Todos",datos_base!$G$11,0))*parametros_manuales!$G$105+parametros_manuales!$G$36*(datos_base!$G$5+IF(parametros_manuales!$H$36="Todos",datos_base!$G$12,0))*parametros_manuales!$G$110)*parametros_manuales!$I$36*parametros_manuales!$J$36</f>
        <v>441.34875</v>
      </c>
      <c r="H154" s="4">
        <f>(parametros_manuales!$D$36*(datos_base!$G$2+IF(parametros_manuales!$H$36="Todos",datos_base!$G$9,0))*parametros_manuales!$H$95+parametros_manuales!$E$36*(datos_base!$G$3+IF(parametros_manuales!$H$36="Todos",datos_base!$G$10,0))*parametros_manuales!$H$100+parametros_manuales!$F$36*(datos_base!$G$4+IF(parametros_manuales!$H$36="Todos",datos_base!$G$11,0))*parametros_manuales!$H$105+parametros_manuales!$G$36*(datos_base!$G$5+IF(parametros_manuales!$H$36="Todos",datos_base!$G$12,0))*parametros_manuales!$H$110)*parametros_manuales!$I$36*parametros_manuales!$J$36</f>
        <v>472.227</v>
      </c>
      <c r="I154" s="4">
        <f>(parametros_manuales!$D$36*(datos_base!$G$2+IF(parametros_manuales!$H$36="Todos",datos_base!$G$9,0))*parametros_manuales!$I$95+parametros_manuales!$E$36*(datos_base!$G$3+IF(parametros_manuales!$H$36="Todos",datos_base!$G$10,0))*parametros_manuales!$I$100+parametros_manuales!$F$36*(datos_base!$G$4+IF(parametros_manuales!$H$36="Todos",datos_base!$G$11,0))*parametros_manuales!$I$105+parametros_manuales!$G$36*(datos_base!$G$5+IF(parametros_manuales!$H$36="Todos",datos_base!$G$12,0))*parametros_manuales!$I$110)*parametros_manuales!$I$36*parametros_manuales!$J$36</f>
        <v>537.702</v>
      </c>
      <c r="J154" s="4">
        <f>(parametros_manuales!$D$36*(datos_base!$G$2+IF(parametros_manuales!$H$36="Todos",datos_base!$G$9,0))*parametros_manuales!$J$95+parametros_manuales!$E$36*(datos_base!$G$3+IF(parametros_manuales!$H$36="Todos",datos_base!$G$10,0))*parametros_manuales!$J$100+parametros_manuales!$F$36*(datos_base!$G$4+IF(parametros_manuales!$H$36="Todos",datos_base!$G$11,0))*parametros_manuales!$J$105+parametros_manuales!$G$36*(datos_base!$G$5+IF(parametros_manuales!$H$36="Todos",datos_base!$G$12,0))*parametros_manuales!$J$110)*parametros_manuales!$I$36*parametros_manuales!$J$36</f>
        <v>537.702</v>
      </c>
      <c r="K154" s="4">
        <f>(parametros_manuales!$D$36*(datos_base!$G$2+IF(parametros_manuales!$H$36="Todos",datos_base!$G$9,0))*parametros_manuales!$K$95+parametros_manuales!$E$36*(datos_base!$G$3+IF(parametros_manuales!$H$36="Todos",datos_base!$G$10,0))*parametros_manuales!$K$100+parametros_manuales!$F$36*(datos_base!$G$4+IF(parametros_manuales!$H$36="Todos",datos_base!$G$11,0))*parametros_manuales!$K$105+parametros_manuales!$G$36*(datos_base!$G$5+IF(parametros_manuales!$H$36="Todos",datos_base!$G$12,0))*parametros_manuales!$K$110)*parametros_manuales!$I$36*parametros_manuales!$J$36</f>
        <v>546.75525</v>
      </c>
      <c r="L154" s="4">
        <f>(parametros_manuales!$D$36*(datos_base!$G$2+IF(parametros_manuales!$H$36="Todos",datos_base!$G$9,0))*parametros_manuales!$L$95+parametros_manuales!$E$36*(datos_base!$G$3+IF(parametros_manuales!$H$36="Todos",datos_base!$G$10,0))*parametros_manuales!$L$100+parametros_manuales!$F$36*(datos_base!$G$4+IF(parametros_manuales!$H$36="Todos",datos_base!$G$11,0))*parametros_manuales!$L$105+parametros_manuales!$G$36*(datos_base!$G$5+IF(parametros_manuales!$H$36="Todos",datos_base!$G$12,0))*parametros_manuales!$L$110)*parametros_manuales!$I$36*parametros_manuales!$J$36</f>
        <v>555.8085</v>
      </c>
      <c r="M154" s="4">
        <f>(parametros_manuales!$D$36*(datos_base!$G$2+IF(parametros_manuales!$H$36="Todos",datos_base!$G$9,0))*parametros_manuales!$M$95+parametros_manuales!$E$36*(datos_base!$G$3+IF(parametros_manuales!$H$36="Todos",datos_base!$G$10,0))*parametros_manuales!$M$100+parametros_manuales!$F$36*(datos_base!$G$4+IF(parametros_manuales!$H$36="Todos",datos_base!$G$11,0))*parametros_manuales!$M$105+parametros_manuales!$G$36*(datos_base!$G$5+IF(parametros_manuales!$H$36="Todos",datos_base!$G$12,0))*parametros_manuales!$M$110)*parametros_manuales!$I$36*parametros_manuales!$J$36</f>
        <v>555.8085</v>
      </c>
      <c r="N154" s="4">
        <f t="shared" si="16"/>
        <v>6175.65</v>
      </c>
      <c r="O154" s="4">
        <f t="shared" si="17"/>
        <v>555.8085</v>
      </c>
      <c r="P154" s="27">
        <f>O154/(parametros_manuales!$B$7)</f>
        <v>3.70539</v>
      </c>
      <c r="Q154" s="3" t="str">
        <f t="shared" si="18"/>
        <v>Ene</v>
      </c>
    </row>
    <row r="155" ht="14.25" customHeight="1">
      <c r="A155" s="3" t="str">
        <f>parametros_manuales!$B$37</f>
        <v>Pintura en polvo + horno</v>
      </c>
      <c r="B155" s="4">
        <f>(parametros_manuales!$D$37*(datos_base!$G$2+IF(parametros_manuales!$H$37="Todos",datos_base!$G$9,0))*parametros_manuales!$B$95+parametros_manuales!$E$37*(datos_base!$G$3+IF(parametros_manuales!$H$37="Todos",datos_base!$G$10,0))*parametros_manuales!$B$100+parametros_manuales!$F$37*(datos_base!$G$4+IF(parametros_manuales!$H$37="Todos",datos_base!$G$11,0))*parametros_manuales!$B$105+parametros_manuales!$G$37*(datos_base!$G$5+IF(parametros_manuales!$H$37="Todos",datos_base!$G$12,0))*parametros_manuales!$B$110)*parametros_manuales!$I$37*parametros_manuales!$J$37</f>
        <v>11116.17</v>
      </c>
      <c r="C155" s="4">
        <f>(parametros_manuales!$D$37*(datos_base!$G$2+IF(parametros_manuales!$H$37="Todos",datos_base!$G$9,0))*parametros_manuales!$C$95+parametros_manuales!$E$37*(datos_base!$G$3+IF(parametros_manuales!$H$37="Todos",datos_base!$G$10,0))*parametros_manuales!$C$100+parametros_manuales!$F$37*(datos_base!$G$4+IF(parametros_manuales!$H$37="Todos",datos_base!$G$11,0))*parametros_manuales!$C$105+parametros_manuales!$G$37*(datos_base!$G$5+IF(parametros_manuales!$H$37="Todos",datos_base!$G$12,0))*parametros_manuales!$C$110)*parametros_manuales!$I$37*parametros_manuales!$J$37</f>
        <v>10754.04</v>
      </c>
      <c r="D155" s="4">
        <f>(parametros_manuales!$D$37*(datos_base!$G$2+IF(parametros_manuales!$H$37="Todos",datos_base!$G$9,0))*parametros_manuales!$D$95+parametros_manuales!$E$37*(datos_base!$G$3+IF(parametros_manuales!$H$37="Todos",datos_base!$G$10,0))*parametros_manuales!$D$100+parametros_manuales!$F$37*(datos_base!$G$4+IF(parametros_manuales!$H$37="Todos",datos_base!$G$11,0))*parametros_manuales!$D$105+parametros_manuales!$G$37*(datos_base!$G$5+IF(parametros_manuales!$H$37="Todos",datos_base!$G$12,0))*parametros_manuales!$D$110)*parametros_manuales!$I$37*parametros_manuales!$J$37</f>
        <v>10062.105</v>
      </c>
      <c r="E155" s="4">
        <f>(parametros_manuales!$D$37*(datos_base!$G$2+IF(parametros_manuales!$H$37="Todos",datos_base!$G$9,0))*parametros_manuales!$E$95+parametros_manuales!$E$37*(datos_base!$G$3+IF(parametros_manuales!$H$37="Todos",datos_base!$G$10,0))*parametros_manuales!$E$100+parametros_manuales!$F$37*(datos_base!$G$4+IF(parametros_manuales!$H$37="Todos",datos_base!$G$11,0))*parametros_manuales!$E$105+parametros_manuales!$G$37*(datos_base!$G$5+IF(parametros_manuales!$H$37="Todos",datos_base!$G$12,0))*parametros_manuales!$E$110)*parametros_manuales!$I$37*parametros_manuales!$J$37</f>
        <v>9625.605</v>
      </c>
      <c r="F155" s="4">
        <f>(parametros_manuales!$D$37*(datos_base!$G$2+IF(parametros_manuales!$H$37="Todos",datos_base!$G$9,0))*parametros_manuales!$F$95+parametros_manuales!$E$37*(datos_base!$G$3+IF(parametros_manuales!$H$37="Todos",datos_base!$G$10,0))*parametros_manuales!$F$100+parametros_manuales!$F$37*(datos_base!$G$4+IF(parametros_manuales!$H$37="Todos",datos_base!$G$11,0))*parametros_manuales!$F$105+parametros_manuales!$G$37*(datos_base!$G$5+IF(parametros_manuales!$H$37="Todos",datos_base!$G$12,0))*parametros_manuales!$F$110)*parametros_manuales!$I$37*parametros_manuales!$J$37</f>
        <v>9008.04</v>
      </c>
      <c r="G155" s="4">
        <f>(parametros_manuales!$D$37*(datos_base!$G$2+IF(parametros_manuales!$H$37="Todos",datos_base!$G$9,0))*parametros_manuales!$G$95+parametros_manuales!$E$37*(datos_base!$G$3+IF(parametros_manuales!$H$37="Todos",datos_base!$G$10,0))*parametros_manuales!$G$100+parametros_manuales!$F$37*(datos_base!$G$4+IF(parametros_manuales!$H$37="Todos",datos_base!$G$11,0))*parametros_manuales!$G$105+parametros_manuales!$G$37*(datos_base!$G$5+IF(parametros_manuales!$H$37="Todos",datos_base!$G$12,0))*parametros_manuales!$G$110)*parametros_manuales!$I$37*parametros_manuales!$J$37</f>
        <v>8826.975</v>
      </c>
      <c r="H155" s="4">
        <f>(parametros_manuales!$D$37*(datos_base!$G$2+IF(parametros_manuales!$H$37="Todos",datos_base!$G$9,0))*parametros_manuales!$H$95+parametros_manuales!$E$37*(datos_base!$G$3+IF(parametros_manuales!$H$37="Todos",datos_base!$G$10,0))*parametros_manuales!$H$100+parametros_manuales!$F$37*(datos_base!$G$4+IF(parametros_manuales!$H$37="Todos",datos_base!$G$11,0))*parametros_manuales!$H$105+parametros_manuales!$G$37*(datos_base!$G$5+IF(parametros_manuales!$H$37="Todos",datos_base!$G$12,0))*parametros_manuales!$H$110)*parametros_manuales!$I$37*parametros_manuales!$J$37</f>
        <v>9444.54</v>
      </c>
      <c r="I155" s="4">
        <f>(parametros_manuales!$D$37*(datos_base!$G$2+IF(parametros_manuales!$H$37="Todos",datos_base!$G$9,0))*parametros_manuales!$I$95+parametros_manuales!$E$37*(datos_base!$G$3+IF(parametros_manuales!$H$37="Todos",datos_base!$G$10,0))*parametros_manuales!$I$100+parametros_manuales!$F$37*(datos_base!$G$4+IF(parametros_manuales!$H$37="Todos",datos_base!$G$11,0))*parametros_manuales!$I$105+parametros_manuales!$G$37*(datos_base!$G$5+IF(parametros_manuales!$H$37="Todos",datos_base!$G$12,0))*parametros_manuales!$I$110)*parametros_manuales!$I$37*parametros_manuales!$J$37</f>
        <v>10754.04</v>
      </c>
      <c r="J155" s="4">
        <f>(parametros_manuales!$D$37*(datos_base!$G$2+IF(parametros_manuales!$H$37="Todos",datos_base!$G$9,0))*parametros_manuales!$J$95+parametros_manuales!$E$37*(datos_base!$G$3+IF(parametros_manuales!$H$37="Todos",datos_base!$G$10,0))*parametros_manuales!$J$100+parametros_manuales!$F$37*(datos_base!$G$4+IF(parametros_manuales!$H$37="Todos",datos_base!$G$11,0))*parametros_manuales!$J$105+parametros_manuales!$G$37*(datos_base!$G$5+IF(parametros_manuales!$H$37="Todos",datos_base!$G$12,0))*parametros_manuales!$J$110)*parametros_manuales!$I$37*parametros_manuales!$J$37</f>
        <v>10754.04</v>
      </c>
      <c r="K155" s="4">
        <f>(parametros_manuales!$D$37*(datos_base!$G$2+IF(parametros_manuales!$H$37="Todos",datos_base!$G$9,0))*parametros_manuales!$K$95+parametros_manuales!$E$37*(datos_base!$G$3+IF(parametros_manuales!$H$37="Todos",datos_base!$G$10,0))*parametros_manuales!$K$100+parametros_manuales!$F$37*(datos_base!$G$4+IF(parametros_manuales!$H$37="Todos",datos_base!$G$11,0))*parametros_manuales!$K$105+parametros_manuales!$G$37*(datos_base!$G$5+IF(parametros_manuales!$H$37="Todos",datos_base!$G$12,0))*parametros_manuales!$K$110)*parametros_manuales!$I$37*parametros_manuales!$J$37</f>
        <v>10935.105</v>
      </c>
      <c r="L155" s="4">
        <f>(parametros_manuales!$D$37*(datos_base!$G$2+IF(parametros_manuales!$H$37="Todos",datos_base!$G$9,0))*parametros_manuales!$L$95+parametros_manuales!$E$37*(datos_base!$G$3+IF(parametros_manuales!$H$37="Todos",datos_base!$G$10,0))*parametros_manuales!$L$100+parametros_manuales!$F$37*(datos_base!$G$4+IF(parametros_manuales!$H$37="Todos",datos_base!$G$11,0))*parametros_manuales!$L$105+parametros_manuales!$G$37*(datos_base!$G$5+IF(parametros_manuales!$H$37="Todos",datos_base!$G$12,0))*parametros_manuales!$L$110)*parametros_manuales!$I$37*parametros_manuales!$J$37</f>
        <v>11116.17</v>
      </c>
      <c r="M155" s="4">
        <f>(parametros_manuales!$D$37*(datos_base!$G$2+IF(parametros_manuales!$H$37="Todos",datos_base!$G$9,0))*parametros_manuales!$M$95+parametros_manuales!$E$37*(datos_base!$G$3+IF(parametros_manuales!$H$37="Todos",datos_base!$G$10,0))*parametros_manuales!$M$100+parametros_manuales!$F$37*(datos_base!$G$4+IF(parametros_manuales!$H$37="Todos",datos_base!$G$11,0))*parametros_manuales!$M$105+parametros_manuales!$G$37*(datos_base!$G$5+IF(parametros_manuales!$H$37="Todos",datos_base!$G$12,0))*parametros_manuales!$M$110)*parametros_manuales!$I$37*parametros_manuales!$J$37</f>
        <v>11116.17</v>
      </c>
      <c r="N155" s="4">
        <f t="shared" si="16"/>
        <v>123513</v>
      </c>
      <c r="O155" s="4">
        <f t="shared" si="17"/>
        <v>11116.17</v>
      </c>
      <c r="P155" s="27">
        <f>O155/(parametros_manuales!$B$7)</f>
        <v>74.1078</v>
      </c>
      <c r="Q155" s="3" t="str">
        <f t="shared" si="18"/>
        <v>Ene</v>
      </c>
    </row>
    <row r="156" ht="14.25" customHeight="1">
      <c r="A156" s="3" t="str">
        <f>parametros_manuales!$B$38</f>
        <v>Carga de polvo</v>
      </c>
      <c r="B156" s="4">
        <f>(parametros_manuales!$D$38*(datos_base!$G$2+IF(parametros_manuales!$H$38="Todos",datos_base!$G$9,0))*parametros_manuales!$B$95+parametros_manuales!$E$38*(datos_base!$G$3+IF(parametros_manuales!$H$38="Todos",datos_base!$G$10,0))*parametros_manuales!$B$100+parametros_manuales!$F$38*(datos_base!$G$4+IF(parametros_manuales!$H$38="Todos",datos_base!$G$11,0))*parametros_manuales!$B$105+parametros_manuales!$G$38*(datos_base!$G$5+IF(parametros_manuales!$H$38="Todos",datos_base!$G$12,0))*parametros_manuales!$B$110)*parametros_manuales!$I$38*parametros_manuales!$J$38</f>
        <v>3091.5</v>
      </c>
      <c r="C156" s="4">
        <f>(parametros_manuales!$D$38*(datos_base!$G$2+IF(parametros_manuales!$H$38="Todos",datos_base!$G$9,0))*parametros_manuales!$C$95+parametros_manuales!$E$38*(datos_base!$G$3+IF(parametros_manuales!$H$38="Todos",datos_base!$G$10,0))*parametros_manuales!$C$100+parametros_manuales!$F$38*(datos_base!$G$4+IF(parametros_manuales!$H$38="Todos",datos_base!$G$11,0))*parametros_manuales!$C$105+parametros_manuales!$G$38*(datos_base!$G$5+IF(parametros_manuales!$H$38="Todos",datos_base!$G$12,0))*parametros_manuales!$C$110)*parametros_manuales!$I$38*parametros_manuales!$J$38</f>
        <v>2904.2</v>
      </c>
      <c r="D156" s="4">
        <f>(parametros_manuales!$D$38*(datos_base!$G$2+IF(parametros_manuales!$H$38="Todos",datos_base!$G$9,0))*parametros_manuales!$D$95+parametros_manuales!$E$38*(datos_base!$G$3+IF(parametros_manuales!$H$38="Todos",datos_base!$G$10,0))*parametros_manuales!$D$100+parametros_manuales!$F$38*(datos_base!$G$4+IF(parametros_manuales!$H$38="Todos",datos_base!$G$11,0))*parametros_manuales!$D$105+parametros_manuales!$G$38*(datos_base!$G$5+IF(parametros_manuales!$H$38="Todos",datos_base!$G$12,0))*parametros_manuales!$D$110)*parametros_manuales!$I$38*parametros_manuales!$J$38</f>
        <v>2841.65</v>
      </c>
      <c r="E156" s="4">
        <f>(parametros_manuales!$D$38*(datos_base!$G$2+IF(parametros_manuales!$H$38="Todos",datos_base!$G$9,0))*parametros_manuales!$E$95+parametros_manuales!$E$38*(datos_base!$G$3+IF(parametros_manuales!$H$38="Todos",datos_base!$G$10,0))*parametros_manuales!$E$100+parametros_manuales!$F$38*(datos_base!$G$4+IF(parametros_manuales!$H$38="Todos",datos_base!$G$11,0))*parametros_manuales!$E$105+parametros_manuales!$G$38*(datos_base!$G$5+IF(parametros_manuales!$H$38="Todos",datos_base!$G$12,0))*parametros_manuales!$E$110)*parametros_manuales!$I$38*parametros_manuales!$J$38</f>
        <v>2763.55</v>
      </c>
      <c r="F156" s="4">
        <f>(parametros_manuales!$D$38*(datos_base!$G$2+IF(parametros_manuales!$H$38="Todos",datos_base!$G$9,0))*parametros_manuales!$F$95+parametros_manuales!$E$38*(datos_base!$G$3+IF(parametros_manuales!$H$38="Todos",datos_base!$G$10,0))*parametros_manuales!$F$100+parametros_manuales!$F$38*(datos_base!$G$4+IF(parametros_manuales!$H$38="Todos",datos_base!$G$11,0))*parametros_manuales!$F$105+parametros_manuales!$G$38*(datos_base!$G$5+IF(parametros_manuales!$H$38="Todos",datos_base!$G$12,0))*parametros_manuales!$F$110)*parametros_manuales!$I$38*parametros_manuales!$J$38</f>
        <v>2591.8</v>
      </c>
      <c r="G156" s="4">
        <f>(parametros_manuales!$D$38*(datos_base!$G$2+IF(parametros_manuales!$H$38="Todos",datos_base!$G$9,0))*parametros_manuales!$G$95+parametros_manuales!$E$38*(datos_base!$G$3+IF(parametros_manuales!$H$38="Todos",datos_base!$G$10,0))*parametros_manuales!$G$100+parametros_manuales!$F$38*(datos_base!$G$4+IF(parametros_manuales!$H$38="Todos",datos_base!$G$11,0))*parametros_manuales!$G$105+parametros_manuales!$G$38*(datos_base!$G$5+IF(parametros_manuales!$H$38="Todos",datos_base!$G$12,0))*parametros_manuales!$G$110)*parametros_manuales!$I$38*parametros_manuales!$J$38</f>
        <v>2498.15</v>
      </c>
      <c r="H156" s="4">
        <f>(parametros_manuales!$D$38*(datos_base!$G$2+IF(parametros_manuales!$H$38="Todos",datos_base!$G$9,0))*parametros_manuales!$H$95+parametros_manuales!$E$38*(datos_base!$G$3+IF(parametros_manuales!$H$38="Todos",datos_base!$G$10,0))*parametros_manuales!$H$100+parametros_manuales!$F$38*(datos_base!$G$4+IF(parametros_manuales!$H$38="Todos",datos_base!$G$11,0))*parametros_manuales!$H$105+parametros_manuales!$G$38*(datos_base!$G$5+IF(parametros_manuales!$H$38="Todos",datos_base!$G$12,0))*parametros_manuales!$H$110)*parametros_manuales!$I$38*parametros_manuales!$J$38</f>
        <v>2669.9</v>
      </c>
      <c r="I156" s="4">
        <f>(parametros_manuales!$D$38*(datos_base!$G$2+IF(parametros_manuales!$H$38="Todos",datos_base!$G$9,0))*parametros_manuales!$I$95+parametros_manuales!$E$38*(datos_base!$G$3+IF(parametros_manuales!$H$38="Todos",datos_base!$G$10,0))*parametros_manuales!$I$100+parametros_manuales!$F$38*(datos_base!$G$4+IF(parametros_manuales!$H$38="Todos",datos_base!$G$11,0))*parametros_manuales!$I$105+parametros_manuales!$G$38*(datos_base!$G$5+IF(parametros_manuales!$H$38="Todos",datos_base!$G$12,0))*parametros_manuales!$I$110)*parametros_manuales!$I$38*parametros_manuales!$J$38</f>
        <v>2904.2</v>
      </c>
      <c r="J156" s="4">
        <f>(parametros_manuales!$D$38*(datos_base!$G$2+IF(parametros_manuales!$H$38="Todos",datos_base!$G$9,0))*parametros_manuales!$J$95+parametros_manuales!$E$38*(datos_base!$G$3+IF(parametros_manuales!$H$38="Todos",datos_base!$G$10,0))*parametros_manuales!$J$100+parametros_manuales!$F$38*(datos_base!$G$4+IF(parametros_manuales!$H$38="Todos",datos_base!$G$11,0))*parametros_manuales!$J$105+parametros_manuales!$G$38*(datos_base!$G$5+IF(parametros_manuales!$H$38="Todos",datos_base!$G$12,0))*parametros_manuales!$J$110)*parametros_manuales!$I$38*parametros_manuales!$J$38</f>
        <v>2904.2</v>
      </c>
      <c r="K156" s="4">
        <f>(parametros_manuales!$D$38*(datos_base!$G$2+IF(parametros_manuales!$H$38="Todos",datos_base!$G$9,0))*parametros_manuales!$K$95+parametros_manuales!$E$38*(datos_base!$G$3+IF(parametros_manuales!$H$38="Todos",datos_base!$G$10,0))*parametros_manuales!$K$100+parametros_manuales!$F$38*(datos_base!$G$4+IF(parametros_manuales!$H$38="Todos",datos_base!$G$11,0))*parametros_manuales!$K$105+parametros_manuales!$G$38*(datos_base!$G$5+IF(parametros_manuales!$H$38="Todos",datos_base!$G$12,0))*parametros_manuales!$K$110)*parametros_manuales!$I$38*parametros_manuales!$J$38</f>
        <v>2997.85</v>
      </c>
      <c r="L156" s="4">
        <f>(parametros_manuales!$D$38*(datos_base!$G$2+IF(parametros_manuales!$H$38="Todos",datos_base!$G$9,0))*parametros_manuales!$L$95+parametros_manuales!$E$38*(datos_base!$G$3+IF(parametros_manuales!$H$38="Todos",datos_base!$G$10,0))*parametros_manuales!$L$100+parametros_manuales!$F$38*(datos_base!$G$4+IF(parametros_manuales!$H$38="Todos",datos_base!$G$11,0))*parametros_manuales!$L$105+parametros_manuales!$G$38*(datos_base!$G$5+IF(parametros_manuales!$H$38="Todos",datos_base!$G$12,0))*parametros_manuales!$L$110)*parametros_manuales!$I$38*parametros_manuales!$J$38</f>
        <v>3091.5</v>
      </c>
      <c r="M156" s="4">
        <f>(parametros_manuales!$D$38*(datos_base!$G$2+IF(parametros_manuales!$H$38="Todos",datos_base!$G$9,0))*parametros_manuales!$M$95+parametros_manuales!$E$38*(datos_base!$G$3+IF(parametros_manuales!$H$38="Todos",datos_base!$G$10,0))*parametros_manuales!$M$100+parametros_manuales!$F$38*(datos_base!$G$4+IF(parametros_manuales!$H$38="Todos",datos_base!$G$11,0))*parametros_manuales!$M$105+parametros_manuales!$G$38*(datos_base!$G$5+IF(parametros_manuales!$H$38="Todos",datos_base!$G$12,0))*parametros_manuales!$M$110)*parametros_manuales!$I$38*parametros_manuales!$J$38</f>
        <v>3091.5</v>
      </c>
      <c r="N156" s="4">
        <f t="shared" si="16"/>
        <v>34350</v>
      </c>
      <c r="O156" s="4">
        <f t="shared" si="17"/>
        <v>3091.5</v>
      </c>
      <c r="P156" s="27">
        <f>O156/(parametros_manuales!$B$7)</f>
        <v>20.61</v>
      </c>
      <c r="Q156" s="3" t="str">
        <f t="shared" si="18"/>
        <v>Ene</v>
      </c>
    </row>
    <row r="157" ht="14.25" customHeight="1">
      <c r="A157" s="3" t="str">
        <f>parametros_manuales!$B$39</f>
        <v>Ensamblaje</v>
      </c>
      <c r="B157" s="4">
        <f>(parametros_manuales!$D$39*(datos_base!$G$2+IF(parametros_manuales!$H$39="Todos",datos_base!$G$9,0))*parametros_manuales!$B$95+parametros_manuales!$E$39*(datos_base!$G$3+IF(parametros_manuales!$H$39="Todos",datos_base!$G$10,0))*parametros_manuales!$B$100+parametros_manuales!$F$39*(datos_base!$G$4+IF(parametros_manuales!$H$39="Todos",datos_base!$G$11,0))*parametros_manuales!$B$105+parametros_manuales!$G$39*(datos_base!$G$5+IF(parametros_manuales!$H$39="Todos",datos_base!$G$12,0))*parametros_manuales!$B$110)*parametros_manuales!$I$39*parametros_manuales!$J$39</f>
        <v>3091.5</v>
      </c>
      <c r="C157" s="4">
        <f>(parametros_manuales!$D$39*(datos_base!$G$2+IF(parametros_manuales!$H$39="Todos",datos_base!$G$9,0))*parametros_manuales!$C$95+parametros_manuales!$E$39*(datos_base!$G$3+IF(parametros_manuales!$H$39="Todos",datos_base!$G$10,0))*parametros_manuales!$C$100+parametros_manuales!$F$39*(datos_base!$G$4+IF(parametros_manuales!$H$39="Todos",datos_base!$G$11,0))*parametros_manuales!$C$105+parametros_manuales!$G$39*(datos_base!$G$5+IF(parametros_manuales!$H$39="Todos",datos_base!$G$12,0))*parametros_manuales!$C$110)*parametros_manuales!$I$39*parametros_manuales!$J$39</f>
        <v>2904.2</v>
      </c>
      <c r="D157" s="4">
        <f>(parametros_manuales!$D$39*(datos_base!$G$2+IF(parametros_manuales!$H$39="Todos",datos_base!$G$9,0))*parametros_manuales!$D$95+parametros_manuales!$E$39*(datos_base!$G$3+IF(parametros_manuales!$H$39="Todos",datos_base!$G$10,0))*parametros_manuales!$D$100+parametros_manuales!$F$39*(datos_base!$G$4+IF(parametros_manuales!$H$39="Todos",datos_base!$G$11,0))*parametros_manuales!$D$105+parametros_manuales!$G$39*(datos_base!$G$5+IF(parametros_manuales!$H$39="Todos",datos_base!$G$12,0))*parametros_manuales!$D$110)*parametros_manuales!$I$39*parametros_manuales!$J$39</f>
        <v>2841.65</v>
      </c>
      <c r="E157" s="4">
        <f>(parametros_manuales!$D$39*(datos_base!$G$2+IF(parametros_manuales!$H$39="Todos",datos_base!$G$9,0))*parametros_manuales!$E$95+parametros_manuales!$E$39*(datos_base!$G$3+IF(parametros_manuales!$H$39="Todos",datos_base!$G$10,0))*parametros_manuales!$E$100+parametros_manuales!$F$39*(datos_base!$G$4+IF(parametros_manuales!$H$39="Todos",datos_base!$G$11,0))*parametros_manuales!$E$105+parametros_manuales!$G$39*(datos_base!$G$5+IF(parametros_manuales!$H$39="Todos",datos_base!$G$12,0))*parametros_manuales!$E$110)*parametros_manuales!$I$39*parametros_manuales!$J$39</f>
        <v>2763.55</v>
      </c>
      <c r="F157" s="4">
        <f>(parametros_manuales!$D$39*(datos_base!$G$2+IF(parametros_manuales!$H$39="Todos",datos_base!$G$9,0))*parametros_manuales!$F$95+parametros_manuales!$E$39*(datos_base!$G$3+IF(parametros_manuales!$H$39="Todos",datos_base!$G$10,0))*parametros_manuales!$F$100+parametros_manuales!$F$39*(datos_base!$G$4+IF(parametros_manuales!$H$39="Todos",datos_base!$G$11,0))*parametros_manuales!$F$105+parametros_manuales!$G$39*(datos_base!$G$5+IF(parametros_manuales!$H$39="Todos",datos_base!$G$12,0))*parametros_manuales!$F$110)*parametros_manuales!$I$39*parametros_manuales!$J$39</f>
        <v>2591.8</v>
      </c>
      <c r="G157" s="4">
        <f>(parametros_manuales!$D$39*(datos_base!$G$2+IF(parametros_manuales!$H$39="Todos",datos_base!$G$9,0))*parametros_manuales!$G$95+parametros_manuales!$E$39*(datos_base!$G$3+IF(parametros_manuales!$H$39="Todos",datos_base!$G$10,0))*parametros_manuales!$G$100+parametros_manuales!$F$39*(datos_base!$G$4+IF(parametros_manuales!$H$39="Todos",datos_base!$G$11,0))*parametros_manuales!$G$105+parametros_manuales!$G$39*(datos_base!$G$5+IF(parametros_manuales!$H$39="Todos",datos_base!$G$12,0))*parametros_manuales!$G$110)*parametros_manuales!$I$39*parametros_manuales!$J$39</f>
        <v>2498.15</v>
      </c>
      <c r="H157" s="4">
        <f>(parametros_manuales!$D$39*(datos_base!$G$2+IF(parametros_manuales!$H$39="Todos",datos_base!$G$9,0))*parametros_manuales!$H$95+parametros_manuales!$E$39*(datos_base!$G$3+IF(parametros_manuales!$H$39="Todos",datos_base!$G$10,0))*parametros_manuales!$H$100+parametros_manuales!$F$39*(datos_base!$G$4+IF(parametros_manuales!$H$39="Todos",datos_base!$G$11,0))*parametros_manuales!$H$105+parametros_manuales!$G$39*(datos_base!$G$5+IF(parametros_manuales!$H$39="Todos",datos_base!$G$12,0))*parametros_manuales!$H$110)*parametros_manuales!$I$39*parametros_manuales!$J$39</f>
        <v>2669.9</v>
      </c>
      <c r="I157" s="4">
        <f>(parametros_manuales!$D$39*(datos_base!$G$2+IF(parametros_manuales!$H$39="Todos",datos_base!$G$9,0))*parametros_manuales!$I$95+parametros_manuales!$E$39*(datos_base!$G$3+IF(parametros_manuales!$H$39="Todos",datos_base!$G$10,0))*parametros_manuales!$I$100+parametros_manuales!$F$39*(datos_base!$G$4+IF(parametros_manuales!$H$39="Todos",datos_base!$G$11,0))*parametros_manuales!$I$105+parametros_manuales!$G$39*(datos_base!$G$5+IF(parametros_manuales!$H$39="Todos",datos_base!$G$12,0))*parametros_manuales!$I$110)*parametros_manuales!$I$39*parametros_manuales!$J$39</f>
        <v>2904.2</v>
      </c>
      <c r="J157" s="4">
        <f>(parametros_manuales!$D$39*(datos_base!$G$2+IF(parametros_manuales!$H$39="Todos",datos_base!$G$9,0))*parametros_manuales!$J$95+parametros_manuales!$E$39*(datos_base!$G$3+IF(parametros_manuales!$H$39="Todos",datos_base!$G$10,0))*parametros_manuales!$J$100+parametros_manuales!$F$39*(datos_base!$G$4+IF(parametros_manuales!$H$39="Todos",datos_base!$G$11,0))*parametros_manuales!$J$105+parametros_manuales!$G$39*(datos_base!$G$5+IF(parametros_manuales!$H$39="Todos",datos_base!$G$12,0))*parametros_manuales!$J$110)*parametros_manuales!$I$39*parametros_manuales!$J$39</f>
        <v>2904.2</v>
      </c>
      <c r="K157" s="4">
        <f>(parametros_manuales!$D$39*(datos_base!$G$2+IF(parametros_manuales!$H$39="Todos",datos_base!$G$9,0))*parametros_manuales!$K$95+parametros_manuales!$E$39*(datos_base!$G$3+IF(parametros_manuales!$H$39="Todos",datos_base!$G$10,0))*parametros_manuales!$K$100+parametros_manuales!$F$39*(datos_base!$G$4+IF(parametros_manuales!$H$39="Todos",datos_base!$G$11,0))*parametros_manuales!$K$105+parametros_manuales!$G$39*(datos_base!$G$5+IF(parametros_manuales!$H$39="Todos",datos_base!$G$12,0))*parametros_manuales!$K$110)*parametros_manuales!$I$39*parametros_manuales!$J$39</f>
        <v>2997.85</v>
      </c>
      <c r="L157" s="4">
        <f>(parametros_manuales!$D$39*(datos_base!$G$2+IF(parametros_manuales!$H$39="Todos",datos_base!$G$9,0))*parametros_manuales!$L$95+parametros_manuales!$E$39*(datos_base!$G$3+IF(parametros_manuales!$H$39="Todos",datos_base!$G$10,0))*parametros_manuales!$L$100+parametros_manuales!$F$39*(datos_base!$G$4+IF(parametros_manuales!$H$39="Todos",datos_base!$G$11,0))*parametros_manuales!$L$105+parametros_manuales!$G$39*(datos_base!$G$5+IF(parametros_manuales!$H$39="Todos",datos_base!$G$12,0))*parametros_manuales!$L$110)*parametros_manuales!$I$39*parametros_manuales!$J$39</f>
        <v>3091.5</v>
      </c>
      <c r="M157" s="4">
        <f>(parametros_manuales!$D$39*(datos_base!$G$2+IF(parametros_manuales!$H$39="Todos",datos_base!$G$9,0))*parametros_manuales!$M$95+parametros_manuales!$E$39*(datos_base!$G$3+IF(parametros_manuales!$H$39="Todos",datos_base!$G$10,0))*parametros_manuales!$M$100+parametros_manuales!$F$39*(datos_base!$G$4+IF(parametros_manuales!$H$39="Todos",datos_base!$G$11,0))*parametros_manuales!$M$105+parametros_manuales!$G$39*(datos_base!$G$5+IF(parametros_manuales!$H$39="Todos",datos_base!$G$12,0))*parametros_manuales!$M$110)*parametros_manuales!$I$39*parametros_manuales!$J$39</f>
        <v>3091.5</v>
      </c>
      <c r="N157" s="4">
        <f t="shared" si="16"/>
        <v>34350</v>
      </c>
      <c r="O157" s="4">
        <f t="shared" si="17"/>
        <v>3091.5</v>
      </c>
      <c r="P157" s="27">
        <f>O157/(parametros_manuales!$B$7)</f>
        <v>20.61</v>
      </c>
      <c r="Q157" s="3" t="str">
        <f t="shared" si="18"/>
        <v>Ene</v>
      </c>
    </row>
    <row r="158" ht="14.25" customHeight="1">
      <c r="A158" s="3" t="str">
        <f>parametros_manuales!$B$40</f>
        <v>Presurización</v>
      </c>
      <c r="B158" s="4">
        <f>(parametros_manuales!$D$40*(datos_base!$G$2+IF(parametros_manuales!$H$40="Todos",datos_base!$G$9,0))*parametros_manuales!$B$95+parametros_manuales!$E$40*(datos_base!$G$3+IF(parametros_manuales!$H$40="Todos",datos_base!$G$10,0))*parametros_manuales!$B$100+parametros_manuales!$F$40*(datos_base!$G$4+IF(parametros_manuales!$H$40="Todos",datos_base!$G$11,0))*parametros_manuales!$B$105+parametros_manuales!$G$40*(datos_base!$G$5+IF(parametros_manuales!$H$40="Todos",datos_base!$G$12,0))*parametros_manuales!$B$110)*parametros_manuales!$I$40*parametros_manuales!$J$40</f>
        <v>3091.5</v>
      </c>
      <c r="C158" s="4">
        <f>(parametros_manuales!$D$40*(datos_base!$G$2+IF(parametros_manuales!$H$40="Todos",datos_base!$G$9,0))*parametros_manuales!$C$95+parametros_manuales!$E$40*(datos_base!$G$3+IF(parametros_manuales!$H$40="Todos",datos_base!$G$10,0))*parametros_manuales!$C$100+parametros_manuales!$F$40*(datos_base!$G$4+IF(parametros_manuales!$H$40="Todos",datos_base!$G$11,0))*parametros_manuales!$C$105+parametros_manuales!$G$40*(datos_base!$G$5+IF(parametros_manuales!$H$40="Todos",datos_base!$G$12,0))*parametros_manuales!$C$110)*parametros_manuales!$I$40*parametros_manuales!$J$40</f>
        <v>2904.2</v>
      </c>
      <c r="D158" s="4">
        <f>(parametros_manuales!$D$40*(datos_base!$G$2+IF(parametros_manuales!$H$40="Todos",datos_base!$G$9,0))*parametros_manuales!$D$95+parametros_manuales!$E$40*(datos_base!$G$3+IF(parametros_manuales!$H$40="Todos",datos_base!$G$10,0))*parametros_manuales!$D$100+parametros_manuales!$F$40*(datos_base!$G$4+IF(parametros_manuales!$H$40="Todos",datos_base!$G$11,0))*parametros_manuales!$D$105+parametros_manuales!$G$40*(datos_base!$G$5+IF(parametros_manuales!$H$40="Todos",datos_base!$G$12,0))*parametros_manuales!$D$110)*parametros_manuales!$I$40*parametros_manuales!$J$40</f>
        <v>2841.65</v>
      </c>
      <c r="E158" s="4">
        <f>(parametros_manuales!$D$40*(datos_base!$G$2+IF(parametros_manuales!$H$40="Todos",datos_base!$G$9,0))*parametros_manuales!$E$95+parametros_manuales!$E$40*(datos_base!$G$3+IF(parametros_manuales!$H$40="Todos",datos_base!$G$10,0))*parametros_manuales!$E$100+parametros_manuales!$F$40*(datos_base!$G$4+IF(parametros_manuales!$H$40="Todos",datos_base!$G$11,0))*parametros_manuales!$E$105+parametros_manuales!$G$40*(datos_base!$G$5+IF(parametros_manuales!$H$40="Todos",datos_base!$G$12,0))*parametros_manuales!$E$110)*parametros_manuales!$I$40*parametros_manuales!$J$40</f>
        <v>2763.55</v>
      </c>
      <c r="F158" s="4">
        <f>(parametros_manuales!$D$40*(datos_base!$G$2+IF(parametros_manuales!$H$40="Todos",datos_base!$G$9,0))*parametros_manuales!$F$95+parametros_manuales!$E$40*(datos_base!$G$3+IF(parametros_manuales!$H$40="Todos",datos_base!$G$10,0))*parametros_manuales!$F$100+parametros_manuales!$F$40*(datos_base!$G$4+IF(parametros_manuales!$H$40="Todos",datos_base!$G$11,0))*parametros_manuales!$F$105+parametros_manuales!$G$40*(datos_base!$G$5+IF(parametros_manuales!$H$40="Todos",datos_base!$G$12,0))*parametros_manuales!$F$110)*parametros_manuales!$I$40*parametros_manuales!$J$40</f>
        <v>2591.8</v>
      </c>
      <c r="G158" s="4">
        <f>(parametros_manuales!$D$40*(datos_base!$G$2+IF(parametros_manuales!$H$40="Todos",datos_base!$G$9,0))*parametros_manuales!$G$95+parametros_manuales!$E$40*(datos_base!$G$3+IF(parametros_manuales!$H$40="Todos",datos_base!$G$10,0))*parametros_manuales!$G$100+parametros_manuales!$F$40*(datos_base!$G$4+IF(parametros_manuales!$H$40="Todos",datos_base!$G$11,0))*parametros_manuales!$G$105+parametros_manuales!$G$40*(datos_base!$G$5+IF(parametros_manuales!$H$40="Todos",datos_base!$G$12,0))*parametros_manuales!$G$110)*parametros_manuales!$I$40*parametros_manuales!$J$40</f>
        <v>2498.15</v>
      </c>
      <c r="H158" s="4">
        <f>(parametros_manuales!$D$40*(datos_base!$G$2+IF(parametros_manuales!$H$40="Todos",datos_base!$G$9,0))*parametros_manuales!$H$95+parametros_manuales!$E$40*(datos_base!$G$3+IF(parametros_manuales!$H$40="Todos",datos_base!$G$10,0))*parametros_manuales!$H$100+parametros_manuales!$F$40*(datos_base!$G$4+IF(parametros_manuales!$H$40="Todos",datos_base!$G$11,0))*parametros_manuales!$H$105+parametros_manuales!$G$40*(datos_base!$G$5+IF(parametros_manuales!$H$40="Todos",datos_base!$G$12,0))*parametros_manuales!$H$110)*parametros_manuales!$I$40*parametros_manuales!$J$40</f>
        <v>2669.9</v>
      </c>
      <c r="I158" s="4">
        <f>(parametros_manuales!$D$40*(datos_base!$G$2+IF(parametros_manuales!$H$40="Todos",datos_base!$G$9,0))*parametros_manuales!$I$95+parametros_manuales!$E$40*(datos_base!$G$3+IF(parametros_manuales!$H$40="Todos",datos_base!$G$10,0))*parametros_manuales!$I$100+parametros_manuales!$F$40*(datos_base!$G$4+IF(parametros_manuales!$H$40="Todos",datos_base!$G$11,0))*parametros_manuales!$I$105+parametros_manuales!$G$40*(datos_base!$G$5+IF(parametros_manuales!$H$40="Todos",datos_base!$G$12,0))*parametros_manuales!$I$110)*parametros_manuales!$I$40*parametros_manuales!$J$40</f>
        <v>2904.2</v>
      </c>
      <c r="J158" s="4">
        <f>(parametros_manuales!$D$40*(datos_base!$G$2+IF(parametros_manuales!$H$40="Todos",datos_base!$G$9,0))*parametros_manuales!$J$95+parametros_manuales!$E$40*(datos_base!$G$3+IF(parametros_manuales!$H$40="Todos",datos_base!$G$10,0))*parametros_manuales!$J$100+parametros_manuales!$F$40*(datos_base!$G$4+IF(parametros_manuales!$H$40="Todos",datos_base!$G$11,0))*parametros_manuales!$J$105+parametros_manuales!$G$40*(datos_base!$G$5+IF(parametros_manuales!$H$40="Todos",datos_base!$G$12,0))*parametros_manuales!$J$110)*parametros_manuales!$I$40*parametros_manuales!$J$40</f>
        <v>2904.2</v>
      </c>
      <c r="K158" s="4">
        <f>(parametros_manuales!$D$40*(datos_base!$G$2+IF(parametros_manuales!$H$40="Todos",datos_base!$G$9,0))*parametros_manuales!$K$95+parametros_manuales!$E$40*(datos_base!$G$3+IF(parametros_manuales!$H$40="Todos",datos_base!$G$10,0))*parametros_manuales!$K$100+parametros_manuales!$F$40*(datos_base!$G$4+IF(parametros_manuales!$H$40="Todos",datos_base!$G$11,0))*parametros_manuales!$K$105+parametros_manuales!$G$40*(datos_base!$G$5+IF(parametros_manuales!$H$40="Todos",datos_base!$G$12,0))*parametros_manuales!$K$110)*parametros_manuales!$I$40*parametros_manuales!$J$40</f>
        <v>2997.85</v>
      </c>
      <c r="L158" s="4">
        <f>(parametros_manuales!$D$40*(datos_base!$G$2+IF(parametros_manuales!$H$40="Todos",datos_base!$G$9,0))*parametros_manuales!$L$95+parametros_manuales!$E$40*(datos_base!$G$3+IF(parametros_manuales!$H$40="Todos",datos_base!$G$10,0))*parametros_manuales!$L$100+parametros_manuales!$F$40*(datos_base!$G$4+IF(parametros_manuales!$H$40="Todos",datos_base!$G$11,0))*parametros_manuales!$L$105+parametros_manuales!$G$40*(datos_base!$G$5+IF(parametros_manuales!$H$40="Todos",datos_base!$G$12,0))*parametros_manuales!$L$110)*parametros_manuales!$I$40*parametros_manuales!$J$40</f>
        <v>3091.5</v>
      </c>
      <c r="M158" s="4">
        <f>(parametros_manuales!$D$40*(datos_base!$G$2+IF(parametros_manuales!$H$40="Todos",datos_base!$G$9,0))*parametros_manuales!$M$95+parametros_manuales!$E$40*(datos_base!$G$3+IF(parametros_manuales!$H$40="Todos",datos_base!$G$10,0))*parametros_manuales!$M$100+parametros_manuales!$F$40*(datos_base!$G$4+IF(parametros_manuales!$H$40="Todos",datos_base!$G$11,0))*parametros_manuales!$M$105+parametros_manuales!$G$40*(datos_base!$G$5+IF(parametros_manuales!$H$40="Todos",datos_base!$G$12,0))*parametros_manuales!$M$110)*parametros_manuales!$I$40*parametros_manuales!$J$40</f>
        <v>3091.5</v>
      </c>
      <c r="N158" s="4">
        <f t="shared" si="16"/>
        <v>34350</v>
      </c>
      <c r="O158" s="4">
        <f t="shared" si="17"/>
        <v>3091.5</v>
      </c>
      <c r="P158" s="27">
        <f>O158/(parametros_manuales!$B$7)</f>
        <v>20.61</v>
      </c>
      <c r="Q158" s="3" t="str">
        <f t="shared" si="18"/>
        <v>Ene</v>
      </c>
    </row>
    <row r="159" ht="14.25" customHeight="1">
      <c r="A159" s="3" t="str">
        <f>parametros_manuales!$B$41</f>
        <v>Control de calidad — Ensayo de pérdidas</v>
      </c>
      <c r="B159" s="4">
        <f>(parametros_manuales!$D$41*(datos_base!$G$2+IF(parametros_manuales!$H$41="Todos",datos_base!$G$9,0))*parametros_manuales!$B$95+parametros_manuales!$E$41*(datos_base!$G$3+IF(parametros_manuales!$H$41="Todos",datos_base!$G$10,0))*parametros_manuales!$B$100+parametros_manuales!$F$41*(datos_base!$G$4+IF(parametros_manuales!$H$41="Todos",datos_base!$G$11,0))*parametros_manuales!$B$105+parametros_manuales!$G$41*(datos_base!$G$5+IF(parametros_manuales!$H$41="Todos",datos_base!$G$12,0))*parametros_manuales!$B$110)*parametros_manuales!$I$41*parametros_manuales!$J$41</f>
        <v>3091.5</v>
      </c>
      <c r="C159" s="4">
        <f>(parametros_manuales!$D$41*(datos_base!$G$2+IF(parametros_manuales!$H$41="Todos",datos_base!$G$9,0))*parametros_manuales!$C$95+parametros_manuales!$E$41*(datos_base!$G$3+IF(parametros_manuales!$H$41="Todos",datos_base!$G$10,0))*parametros_manuales!$C$100+parametros_manuales!$F$41*(datos_base!$G$4+IF(parametros_manuales!$H$41="Todos",datos_base!$G$11,0))*parametros_manuales!$C$105+parametros_manuales!$G$41*(datos_base!$G$5+IF(parametros_manuales!$H$41="Todos",datos_base!$G$12,0))*parametros_manuales!$C$110)*parametros_manuales!$I$41*parametros_manuales!$J$41</f>
        <v>2904.2</v>
      </c>
      <c r="D159" s="4">
        <f>(parametros_manuales!$D$41*(datos_base!$G$2+IF(parametros_manuales!$H$41="Todos",datos_base!$G$9,0))*parametros_manuales!$D$95+parametros_manuales!$E$41*(datos_base!$G$3+IF(parametros_manuales!$H$41="Todos",datos_base!$G$10,0))*parametros_manuales!$D$100+parametros_manuales!$F$41*(datos_base!$G$4+IF(parametros_manuales!$H$41="Todos",datos_base!$G$11,0))*parametros_manuales!$D$105+parametros_manuales!$G$41*(datos_base!$G$5+IF(parametros_manuales!$H$41="Todos",datos_base!$G$12,0))*parametros_manuales!$D$110)*parametros_manuales!$I$41*parametros_manuales!$J$41</f>
        <v>2841.65</v>
      </c>
      <c r="E159" s="4">
        <f>(parametros_manuales!$D$41*(datos_base!$G$2+IF(parametros_manuales!$H$41="Todos",datos_base!$G$9,0))*parametros_manuales!$E$95+parametros_manuales!$E$41*(datos_base!$G$3+IF(parametros_manuales!$H$41="Todos",datos_base!$G$10,0))*parametros_manuales!$E$100+parametros_manuales!$F$41*(datos_base!$G$4+IF(parametros_manuales!$H$41="Todos",datos_base!$G$11,0))*parametros_manuales!$E$105+parametros_manuales!$G$41*(datos_base!$G$5+IF(parametros_manuales!$H$41="Todos",datos_base!$G$12,0))*parametros_manuales!$E$110)*parametros_manuales!$I$41*parametros_manuales!$J$41</f>
        <v>2763.55</v>
      </c>
      <c r="F159" s="4">
        <f>(parametros_manuales!$D$41*(datos_base!$G$2+IF(parametros_manuales!$H$41="Todos",datos_base!$G$9,0))*parametros_manuales!$F$95+parametros_manuales!$E$41*(datos_base!$G$3+IF(parametros_manuales!$H$41="Todos",datos_base!$G$10,0))*parametros_manuales!$F$100+parametros_manuales!$F$41*(datos_base!$G$4+IF(parametros_manuales!$H$41="Todos",datos_base!$G$11,0))*parametros_manuales!$F$105+parametros_manuales!$G$41*(datos_base!$G$5+IF(parametros_manuales!$H$41="Todos",datos_base!$G$12,0))*parametros_manuales!$F$110)*parametros_manuales!$I$41*parametros_manuales!$J$41</f>
        <v>2591.8</v>
      </c>
      <c r="G159" s="4">
        <f>(parametros_manuales!$D$41*(datos_base!$G$2+IF(parametros_manuales!$H$41="Todos",datos_base!$G$9,0))*parametros_manuales!$G$95+parametros_manuales!$E$41*(datos_base!$G$3+IF(parametros_manuales!$H$41="Todos",datos_base!$G$10,0))*parametros_manuales!$G$100+parametros_manuales!$F$41*(datos_base!$G$4+IF(parametros_manuales!$H$41="Todos",datos_base!$G$11,0))*parametros_manuales!$G$105+parametros_manuales!$G$41*(datos_base!$G$5+IF(parametros_manuales!$H$41="Todos",datos_base!$G$12,0))*parametros_manuales!$G$110)*parametros_manuales!$I$41*parametros_manuales!$J$41</f>
        <v>2498.15</v>
      </c>
      <c r="H159" s="4">
        <f>(parametros_manuales!$D$41*(datos_base!$G$2+IF(parametros_manuales!$H$41="Todos",datos_base!$G$9,0))*parametros_manuales!$H$95+parametros_manuales!$E$41*(datos_base!$G$3+IF(parametros_manuales!$H$41="Todos",datos_base!$G$10,0))*parametros_manuales!$H$100+parametros_manuales!$F$41*(datos_base!$G$4+IF(parametros_manuales!$H$41="Todos",datos_base!$G$11,0))*parametros_manuales!$H$105+parametros_manuales!$G$41*(datos_base!$G$5+IF(parametros_manuales!$H$41="Todos",datos_base!$G$12,0))*parametros_manuales!$H$110)*parametros_manuales!$I$41*parametros_manuales!$J$41</f>
        <v>2669.9</v>
      </c>
      <c r="I159" s="4">
        <f>(parametros_manuales!$D$41*(datos_base!$G$2+IF(parametros_manuales!$H$41="Todos",datos_base!$G$9,0))*parametros_manuales!$I$95+parametros_manuales!$E$41*(datos_base!$G$3+IF(parametros_manuales!$H$41="Todos",datos_base!$G$10,0))*parametros_manuales!$I$100+parametros_manuales!$F$41*(datos_base!$G$4+IF(parametros_manuales!$H$41="Todos",datos_base!$G$11,0))*parametros_manuales!$I$105+parametros_manuales!$G$41*(datos_base!$G$5+IF(parametros_manuales!$H$41="Todos",datos_base!$G$12,0))*parametros_manuales!$I$110)*parametros_manuales!$I$41*parametros_manuales!$J$41</f>
        <v>2904.2</v>
      </c>
      <c r="J159" s="4">
        <f>(parametros_manuales!$D$41*(datos_base!$G$2+IF(parametros_manuales!$H$41="Todos",datos_base!$G$9,0))*parametros_manuales!$J$95+parametros_manuales!$E$41*(datos_base!$G$3+IF(parametros_manuales!$H$41="Todos",datos_base!$G$10,0))*parametros_manuales!$J$100+parametros_manuales!$F$41*(datos_base!$G$4+IF(parametros_manuales!$H$41="Todos",datos_base!$G$11,0))*parametros_manuales!$J$105+parametros_manuales!$G$41*(datos_base!$G$5+IF(parametros_manuales!$H$41="Todos",datos_base!$G$12,0))*parametros_manuales!$J$110)*parametros_manuales!$I$41*parametros_manuales!$J$41</f>
        <v>2904.2</v>
      </c>
      <c r="K159" s="4">
        <f>(parametros_manuales!$D$41*(datos_base!$G$2+IF(parametros_manuales!$H$41="Todos",datos_base!$G$9,0))*parametros_manuales!$K$95+parametros_manuales!$E$41*(datos_base!$G$3+IF(parametros_manuales!$H$41="Todos",datos_base!$G$10,0))*parametros_manuales!$K$100+parametros_manuales!$F$41*(datos_base!$G$4+IF(parametros_manuales!$H$41="Todos",datos_base!$G$11,0))*parametros_manuales!$K$105+parametros_manuales!$G$41*(datos_base!$G$5+IF(parametros_manuales!$H$41="Todos",datos_base!$G$12,0))*parametros_manuales!$K$110)*parametros_manuales!$I$41*parametros_manuales!$J$41</f>
        <v>2997.85</v>
      </c>
      <c r="L159" s="4">
        <f>(parametros_manuales!$D$41*(datos_base!$G$2+IF(parametros_manuales!$H$41="Todos",datos_base!$G$9,0))*parametros_manuales!$L$95+parametros_manuales!$E$41*(datos_base!$G$3+IF(parametros_manuales!$H$41="Todos",datos_base!$G$10,0))*parametros_manuales!$L$100+parametros_manuales!$F$41*(datos_base!$G$4+IF(parametros_manuales!$H$41="Todos",datos_base!$G$11,0))*parametros_manuales!$L$105+parametros_manuales!$G$41*(datos_base!$G$5+IF(parametros_manuales!$H$41="Todos",datos_base!$G$12,0))*parametros_manuales!$L$110)*parametros_manuales!$I$41*parametros_manuales!$J$41</f>
        <v>3091.5</v>
      </c>
      <c r="M159" s="4">
        <f>(parametros_manuales!$D$41*(datos_base!$G$2+IF(parametros_manuales!$H$41="Todos",datos_base!$G$9,0))*parametros_manuales!$M$95+parametros_manuales!$E$41*(datos_base!$G$3+IF(parametros_manuales!$H$41="Todos",datos_base!$G$10,0))*parametros_manuales!$M$100+parametros_manuales!$F$41*(datos_base!$G$4+IF(parametros_manuales!$H$41="Todos",datos_base!$G$11,0))*parametros_manuales!$M$105+parametros_manuales!$G$41*(datos_base!$G$5+IF(parametros_manuales!$H$41="Todos",datos_base!$G$12,0))*parametros_manuales!$M$110)*parametros_manuales!$I$41*parametros_manuales!$J$41</f>
        <v>3091.5</v>
      </c>
      <c r="N159" s="4">
        <f t="shared" si="16"/>
        <v>34350</v>
      </c>
      <c r="O159" s="4">
        <f t="shared" si="17"/>
        <v>3091.5</v>
      </c>
      <c r="P159" s="27">
        <f>O159/(parametros_manuales!$B$7)</f>
        <v>20.61</v>
      </c>
      <c r="Q159" s="3" t="str">
        <f t="shared" si="18"/>
        <v>Ene</v>
      </c>
    </row>
    <row r="160" ht="14.25" customHeight="1">
      <c r="A160" s="3" t="str">
        <f>parametros_manuales!$B$42</f>
        <v>Etiquetado</v>
      </c>
      <c r="B160" s="4">
        <f>(parametros_manuales!$D$42*(datos_base!$G$2+IF(parametros_manuales!$H$42="Todos",datos_base!$G$9,0))*parametros_manuales!$B$95+parametros_manuales!$E$42*(datos_base!$G$3+IF(parametros_manuales!$H$42="Todos",datos_base!$G$10,0))*parametros_manuales!$B$100+parametros_manuales!$F$42*(datos_base!$G$4+IF(parametros_manuales!$H$42="Todos",datos_base!$G$11,0))*parametros_manuales!$B$105+parametros_manuales!$G$42*(datos_base!$G$5+IF(parametros_manuales!$H$42="Todos",datos_base!$G$12,0))*parametros_manuales!$B$110)*parametros_manuales!$I$42*parametros_manuales!$J$42</f>
        <v>3091.5</v>
      </c>
      <c r="C160" s="4">
        <f>(parametros_manuales!$D$42*(datos_base!$G$2+IF(parametros_manuales!$H$42="Todos",datos_base!$G$9,0))*parametros_manuales!$C$95+parametros_manuales!$E$42*(datos_base!$G$3+IF(parametros_manuales!$H$42="Todos",datos_base!$G$10,0))*parametros_manuales!$C$100+parametros_manuales!$F$42*(datos_base!$G$4+IF(parametros_manuales!$H$42="Todos",datos_base!$G$11,0))*parametros_manuales!$C$105+parametros_manuales!$G$42*(datos_base!$G$5+IF(parametros_manuales!$H$42="Todos",datos_base!$G$12,0))*parametros_manuales!$C$110)*parametros_manuales!$I$42*parametros_manuales!$J$42</f>
        <v>2904.2</v>
      </c>
      <c r="D160" s="4">
        <f>(parametros_manuales!$D$42*(datos_base!$G$2+IF(parametros_manuales!$H$42="Todos",datos_base!$G$9,0))*parametros_manuales!$D$95+parametros_manuales!$E$42*(datos_base!$G$3+IF(parametros_manuales!$H$42="Todos",datos_base!$G$10,0))*parametros_manuales!$D$100+parametros_manuales!$F$42*(datos_base!$G$4+IF(parametros_manuales!$H$42="Todos",datos_base!$G$11,0))*parametros_manuales!$D$105+parametros_manuales!$G$42*(datos_base!$G$5+IF(parametros_manuales!$H$42="Todos",datos_base!$G$12,0))*parametros_manuales!$D$110)*parametros_manuales!$I$42*parametros_manuales!$J$42</f>
        <v>2841.65</v>
      </c>
      <c r="E160" s="4">
        <f>(parametros_manuales!$D$42*(datos_base!$G$2+IF(parametros_manuales!$H$42="Todos",datos_base!$G$9,0))*parametros_manuales!$E$95+parametros_manuales!$E$42*(datos_base!$G$3+IF(parametros_manuales!$H$42="Todos",datos_base!$G$10,0))*parametros_manuales!$E$100+parametros_manuales!$F$42*(datos_base!$G$4+IF(parametros_manuales!$H$42="Todos",datos_base!$G$11,0))*parametros_manuales!$E$105+parametros_manuales!$G$42*(datos_base!$G$5+IF(parametros_manuales!$H$42="Todos",datos_base!$G$12,0))*parametros_manuales!$E$110)*parametros_manuales!$I$42*parametros_manuales!$J$42</f>
        <v>2763.55</v>
      </c>
      <c r="F160" s="4">
        <f>(parametros_manuales!$D$42*(datos_base!$G$2+IF(parametros_manuales!$H$42="Todos",datos_base!$G$9,0))*parametros_manuales!$F$95+parametros_manuales!$E$42*(datos_base!$G$3+IF(parametros_manuales!$H$42="Todos",datos_base!$G$10,0))*parametros_manuales!$F$100+parametros_manuales!$F$42*(datos_base!$G$4+IF(parametros_manuales!$H$42="Todos",datos_base!$G$11,0))*parametros_manuales!$F$105+parametros_manuales!$G$42*(datos_base!$G$5+IF(parametros_manuales!$H$42="Todos",datos_base!$G$12,0))*parametros_manuales!$F$110)*parametros_manuales!$I$42*parametros_manuales!$J$42</f>
        <v>2591.8</v>
      </c>
      <c r="G160" s="4">
        <f>(parametros_manuales!$D$42*(datos_base!$G$2+IF(parametros_manuales!$H$42="Todos",datos_base!$G$9,0))*parametros_manuales!$G$95+parametros_manuales!$E$42*(datos_base!$G$3+IF(parametros_manuales!$H$42="Todos",datos_base!$G$10,0))*parametros_manuales!$G$100+parametros_manuales!$F$42*(datos_base!$G$4+IF(parametros_manuales!$H$42="Todos",datos_base!$G$11,0))*parametros_manuales!$G$105+parametros_manuales!$G$42*(datos_base!$G$5+IF(parametros_manuales!$H$42="Todos",datos_base!$G$12,0))*parametros_manuales!$G$110)*parametros_manuales!$I$42*parametros_manuales!$J$42</f>
        <v>2498.15</v>
      </c>
      <c r="H160" s="4">
        <f>(parametros_manuales!$D$42*(datos_base!$G$2+IF(parametros_manuales!$H$42="Todos",datos_base!$G$9,0))*parametros_manuales!$H$95+parametros_manuales!$E$42*(datos_base!$G$3+IF(parametros_manuales!$H$42="Todos",datos_base!$G$10,0))*parametros_manuales!$H$100+parametros_manuales!$F$42*(datos_base!$G$4+IF(parametros_manuales!$H$42="Todos",datos_base!$G$11,0))*parametros_manuales!$H$105+parametros_manuales!$G$42*(datos_base!$G$5+IF(parametros_manuales!$H$42="Todos",datos_base!$G$12,0))*parametros_manuales!$H$110)*parametros_manuales!$I$42*parametros_manuales!$J$42</f>
        <v>2669.9</v>
      </c>
      <c r="I160" s="4">
        <f>(parametros_manuales!$D$42*(datos_base!$G$2+IF(parametros_manuales!$H$42="Todos",datos_base!$G$9,0))*parametros_manuales!$I$95+parametros_manuales!$E$42*(datos_base!$G$3+IF(parametros_manuales!$H$42="Todos",datos_base!$G$10,0))*parametros_manuales!$I$100+parametros_manuales!$F$42*(datos_base!$G$4+IF(parametros_manuales!$H$42="Todos",datos_base!$G$11,0))*parametros_manuales!$I$105+parametros_manuales!$G$42*(datos_base!$G$5+IF(parametros_manuales!$H$42="Todos",datos_base!$G$12,0))*parametros_manuales!$I$110)*parametros_manuales!$I$42*parametros_manuales!$J$42</f>
        <v>2904.2</v>
      </c>
      <c r="J160" s="4">
        <f>(parametros_manuales!$D$42*(datos_base!$G$2+IF(parametros_manuales!$H$42="Todos",datos_base!$G$9,0))*parametros_manuales!$J$95+parametros_manuales!$E$42*(datos_base!$G$3+IF(parametros_manuales!$H$42="Todos",datos_base!$G$10,0))*parametros_manuales!$J$100+parametros_manuales!$F$42*(datos_base!$G$4+IF(parametros_manuales!$H$42="Todos",datos_base!$G$11,0))*parametros_manuales!$J$105+parametros_manuales!$G$42*(datos_base!$G$5+IF(parametros_manuales!$H$42="Todos",datos_base!$G$12,0))*parametros_manuales!$J$110)*parametros_manuales!$I$42*parametros_manuales!$J$42</f>
        <v>2904.2</v>
      </c>
      <c r="K160" s="4">
        <f>(parametros_manuales!$D$42*(datos_base!$G$2+IF(parametros_manuales!$H$42="Todos",datos_base!$G$9,0))*parametros_manuales!$K$95+parametros_manuales!$E$42*(datos_base!$G$3+IF(parametros_manuales!$H$42="Todos",datos_base!$G$10,0))*parametros_manuales!$K$100+parametros_manuales!$F$42*(datos_base!$G$4+IF(parametros_manuales!$H$42="Todos",datos_base!$G$11,0))*parametros_manuales!$K$105+parametros_manuales!$G$42*(datos_base!$G$5+IF(parametros_manuales!$H$42="Todos",datos_base!$G$12,0))*parametros_manuales!$K$110)*parametros_manuales!$I$42*parametros_manuales!$J$42</f>
        <v>2997.85</v>
      </c>
      <c r="L160" s="4">
        <f>(parametros_manuales!$D$42*(datos_base!$G$2+IF(parametros_manuales!$H$42="Todos",datos_base!$G$9,0))*parametros_manuales!$L$95+parametros_manuales!$E$42*(datos_base!$G$3+IF(parametros_manuales!$H$42="Todos",datos_base!$G$10,0))*parametros_manuales!$L$100+parametros_manuales!$F$42*(datos_base!$G$4+IF(parametros_manuales!$H$42="Todos",datos_base!$G$11,0))*parametros_manuales!$L$105+parametros_manuales!$G$42*(datos_base!$G$5+IF(parametros_manuales!$H$42="Todos",datos_base!$G$12,0))*parametros_manuales!$L$110)*parametros_manuales!$I$42*parametros_manuales!$J$42</f>
        <v>3091.5</v>
      </c>
      <c r="M160" s="4">
        <f>(parametros_manuales!$D$42*(datos_base!$G$2+IF(parametros_manuales!$H$42="Todos",datos_base!$G$9,0))*parametros_manuales!$M$95+parametros_manuales!$E$42*(datos_base!$G$3+IF(parametros_manuales!$H$42="Todos",datos_base!$G$10,0))*parametros_manuales!$M$100+parametros_manuales!$F$42*(datos_base!$G$4+IF(parametros_manuales!$H$42="Todos",datos_base!$G$11,0))*parametros_manuales!$M$105+parametros_manuales!$G$42*(datos_base!$G$5+IF(parametros_manuales!$H$42="Todos",datos_base!$G$12,0))*parametros_manuales!$M$110)*parametros_manuales!$I$42*parametros_manuales!$J$42</f>
        <v>3091.5</v>
      </c>
      <c r="N160" s="4">
        <f t="shared" si="16"/>
        <v>34350</v>
      </c>
      <c r="O160" s="4">
        <f t="shared" si="17"/>
        <v>3091.5</v>
      </c>
      <c r="P160" s="27">
        <f>O160/(parametros_manuales!$B$7)</f>
        <v>20.61</v>
      </c>
      <c r="Q160" s="3" t="str">
        <f t="shared" si="18"/>
        <v>Ene</v>
      </c>
    </row>
    <row r="161" ht="14.25" customHeight="1">
      <c r="A161" s="3" t="str">
        <f>parametros_manuales!$B$43</f>
        <v>Embalaje y paletizado</v>
      </c>
      <c r="B161" s="4">
        <f>(parametros_manuales!$D$43*(datos_base!$G$2+IF(parametros_manuales!$H$43="Todos",datos_base!$G$9,0))*parametros_manuales!$B$95+parametros_manuales!$E$43*(datos_base!$G$3+IF(parametros_manuales!$H$43="Todos",datos_base!$G$10,0))*parametros_manuales!$B$100+parametros_manuales!$F$43*(datos_base!$G$4+IF(parametros_manuales!$H$43="Todos",datos_base!$G$11,0))*parametros_manuales!$B$105+parametros_manuales!$G$43*(datos_base!$G$5+IF(parametros_manuales!$H$43="Todos",datos_base!$G$12,0))*parametros_manuales!$B$110)*parametros_manuales!$I$43*parametros_manuales!$J$43</f>
        <v>11116.17</v>
      </c>
      <c r="C161" s="4">
        <f>(parametros_manuales!$D$43*(datos_base!$G$2+IF(parametros_manuales!$H$43="Todos",datos_base!$G$9,0))*parametros_manuales!$C$95+parametros_manuales!$E$43*(datos_base!$G$3+IF(parametros_manuales!$H$43="Todos",datos_base!$G$10,0))*parametros_manuales!$C$100+parametros_manuales!$F$43*(datos_base!$G$4+IF(parametros_manuales!$H$43="Todos",datos_base!$G$11,0))*parametros_manuales!$C$105+parametros_manuales!$G$43*(datos_base!$G$5+IF(parametros_manuales!$H$43="Todos",datos_base!$G$12,0))*parametros_manuales!$C$110)*parametros_manuales!$I$43*parametros_manuales!$J$43</f>
        <v>10754.04</v>
      </c>
      <c r="D161" s="4">
        <f>(parametros_manuales!$D$43*(datos_base!$G$2+IF(parametros_manuales!$H$43="Todos",datos_base!$G$9,0))*parametros_manuales!$D$95+parametros_manuales!$E$43*(datos_base!$G$3+IF(parametros_manuales!$H$43="Todos",datos_base!$G$10,0))*parametros_manuales!$D$100+parametros_manuales!$F$43*(datos_base!$G$4+IF(parametros_manuales!$H$43="Todos",datos_base!$G$11,0))*parametros_manuales!$D$105+parametros_manuales!$G$43*(datos_base!$G$5+IF(parametros_manuales!$H$43="Todos",datos_base!$G$12,0))*parametros_manuales!$D$110)*parametros_manuales!$I$43*parametros_manuales!$J$43</f>
        <v>10062.105</v>
      </c>
      <c r="E161" s="4">
        <f>(parametros_manuales!$D$43*(datos_base!$G$2+IF(parametros_manuales!$H$43="Todos",datos_base!$G$9,0))*parametros_manuales!$E$95+parametros_manuales!$E$43*(datos_base!$G$3+IF(parametros_manuales!$H$43="Todos",datos_base!$G$10,0))*parametros_manuales!$E$100+parametros_manuales!$F$43*(datos_base!$G$4+IF(parametros_manuales!$H$43="Todos",datos_base!$G$11,0))*parametros_manuales!$E$105+parametros_manuales!$G$43*(datos_base!$G$5+IF(parametros_manuales!$H$43="Todos",datos_base!$G$12,0))*parametros_manuales!$E$110)*parametros_manuales!$I$43*parametros_manuales!$J$43</f>
        <v>9625.605</v>
      </c>
      <c r="F161" s="4">
        <f>(parametros_manuales!$D$43*(datos_base!$G$2+IF(parametros_manuales!$H$43="Todos",datos_base!$G$9,0))*parametros_manuales!$F$95+parametros_manuales!$E$43*(datos_base!$G$3+IF(parametros_manuales!$H$43="Todos",datos_base!$G$10,0))*parametros_manuales!$F$100+parametros_manuales!$F$43*(datos_base!$G$4+IF(parametros_manuales!$H$43="Todos",datos_base!$G$11,0))*parametros_manuales!$F$105+parametros_manuales!$G$43*(datos_base!$G$5+IF(parametros_manuales!$H$43="Todos",datos_base!$G$12,0))*parametros_manuales!$F$110)*parametros_manuales!$I$43*parametros_manuales!$J$43</f>
        <v>9008.04</v>
      </c>
      <c r="G161" s="4">
        <f>(parametros_manuales!$D$43*(datos_base!$G$2+IF(parametros_manuales!$H$43="Todos",datos_base!$G$9,0))*parametros_manuales!$G$95+parametros_manuales!$E$43*(datos_base!$G$3+IF(parametros_manuales!$H$43="Todos",datos_base!$G$10,0))*parametros_manuales!$G$100+parametros_manuales!$F$43*(datos_base!$G$4+IF(parametros_manuales!$H$43="Todos",datos_base!$G$11,0))*parametros_manuales!$G$105+parametros_manuales!$G$43*(datos_base!$G$5+IF(parametros_manuales!$H$43="Todos",datos_base!$G$12,0))*parametros_manuales!$G$110)*parametros_manuales!$I$43*parametros_manuales!$J$43</f>
        <v>8826.975</v>
      </c>
      <c r="H161" s="4">
        <f>(parametros_manuales!$D$43*(datos_base!$G$2+IF(parametros_manuales!$H$43="Todos",datos_base!$G$9,0))*parametros_manuales!$H$95+parametros_manuales!$E$43*(datos_base!$G$3+IF(parametros_manuales!$H$43="Todos",datos_base!$G$10,0))*parametros_manuales!$H$100+parametros_manuales!$F$43*(datos_base!$G$4+IF(parametros_manuales!$H$43="Todos",datos_base!$G$11,0))*parametros_manuales!$H$105+parametros_manuales!$G$43*(datos_base!$G$5+IF(parametros_manuales!$H$43="Todos",datos_base!$G$12,0))*parametros_manuales!$H$110)*parametros_manuales!$I$43*parametros_manuales!$J$43</f>
        <v>9444.54</v>
      </c>
      <c r="I161" s="4">
        <f>(parametros_manuales!$D$43*(datos_base!$G$2+IF(parametros_manuales!$H$43="Todos",datos_base!$G$9,0))*parametros_manuales!$I$95+parametros_manuales!$E$43*(datos_base!$G$3+IF(parametros_manuales!$H$43="Todos",datos_base!$G$10,0))*parametros_manuales!$I$100+parametros_manuales!$F$43*(datos_base!$G$4+IF(parametros_manuales!$H$43="Todos",datos_base!$G$11,0))*parametros_manuales!$I$105+parametros_manuales!$G$43*(datos_base!$G$5+IF(parametros_manuales!$H$43="Todos",datos_base!$G$12,0))*parametros_manuales!$I$110)*parametros_manuales!$I$43*parametros_manuales!$J$43</f>
        <v>10754.04</v>
      </c>
      <c r="J161" s="4">
        <f>(parametros_manuales!$D$43*(datos_base!$G$2+IF(parametros_manuales!$H$43="Todos",datos_base!$G$9,0))*parametros_manuales!$J$95+parametros_manuales!$E$43*(datos_base!$G$3+IF(parametros_manuales!$H$43="Todos",datos_base!$G$10,0))*parametros_manuales!$J$100+parametros_manuales!$F$43*(datos_base!$G$4+IF(parametros_manuales!$H$43="Todos",datos_base!$G$11,0))*parametros_manuales!$J$105+parametros_manuales!$G$43*(datos_base!$G$5+IF(parametros_manuales!$H$43="Todos",datos_base!$G$12,0))*parametros_manuales!$J$110)*parametros_manuales!$I$43*parametros_manuales!$J$43</f>
        <v>10754.04</v>
      </c>
      <c r="K161" s="4">
        <f>(parametros_manuales!$D$43*(datos_base!$G$2+IF(parametros_manuales!$H$43="Todos",datos_base!$G$9,0))*parametros_manuales!$K$95+parametros_manuales!$E$43*(datos_base!$G$3+IF(parametros_manuales!$H$43="Todos",datos_base!$G$10,0))*parametros_manuales!$K$100+parametros_manuales!$F$43*(datos_base!$G$4+IF(parametros_manuales!$H$43="Todos",datos_base!$G$11,0))*parametros_manuales!$K$105+parametros_manuales!$G$43*(datos_base!$G$5+IF(parametros_manuales!$H$43="Todos",datos_base!$G$12,0))*parametros_manuales!$K$110)*parametros_manuales!$I$43*parametros_manuales!$J$43</f>
        <v>10935.105</v>
      </c>
      <c r="L161" s="4">
        <f>(parametros_manuales!$D$43*(datos_base!$G$2+IF(parametros_manuales!$H$43="Todos",datos_base!$G$9,0))*parametros_manuales!$L$95+parametros_manuales!$E$43*(datos_base!$G$3+IF(parametros_manuales!$H$43="Todos",datos_base!$G$10,0))*parametros_manuales!$L$100+parametros_manuales!$F$43*(datos_base!$G$4+IF(parametros_manuales!$H$43="Todos",datos_base!$G$11,0))*parametros_manuales!$L$105+parametros_manuales!$G$43*(datos_base!$G$5+IF(parametros_manuales!$H$43="Todos",datos_base!$G$12,0))*parametros_manuales!$L$110)*parametros_manuales!$I$43*parametros_manuales!$J$43</f>
        <v>11116.17</v>
      </c>
      <c r="M161" s="4">
        <f>(parametros_manuales!$D$43*(datos_base!$G$2+IF(parametros_manuales!$H$43="Todos",datos_base!$G$9,0))*parametros_manuales!$M$95+parametros_manuales!$E$43*(datos_base!$G$3+IF(parametros_manuales!$H$43="Todos",datos_base!$G$10,0))*parametros_manuales!$M$100+parametros_manuales!$F$43*(datos_base!$G$4+IF(parametros_manuales!$H$43="Todos",datos_base!$G$11,0))*parametros_manuales!$M$105+parametros_manuales!$G$43*(datos_base!$G$5+IF(parametros_manuales!$H$43="Todos",datos_base!$G$12,0))*parametros_manuales!$M$110)*parametros_manuales!$I$43*parametros_manuales!$J$43</f>
        <v>11116.17</v>
      </c>
      <c r="N161" s="4">
        <f t="shared" si="16"/>
        <v>123513</v>
      </c>
      <c r="O161" s="4">
        <f t="shared" si="17"/>
        <v>11116.17</v>
      </c>
      <c r="P161" s="27">
        <f>O161/(parametros_manuales!$B$7)</f>
        <v>74.1078</v>
      </c>
      <c r="Q161" s="3" t="str">
        <f t="shared" si="18"/>
        <v>Ene</v>
      </c>
    </row>
    <row r="162" ht="14.25" customHeight="1"/>
    <row r="163" ht="14.25" customHeight="1">
      <c r="A163" s="1" t="s">
        <v>183</v>
      </c>
      <c r="B163" s="1" t="s">
        <v>5</v>
      </c>
      <c r="C163" s="1" t="s">
        <v>7</v>
      </c>
      <c r="D163" s="1" t="s">
        <v>8</v>
      </c>
      <c r="E163" s="1" t="s">
        <v>9</v>
      </c>
      <c r="F163" s="1" t="s">
        <v>11</v>
      </c>
      <c r="G163" s="1" t="s">
        <v>12</v>
      </c>
      <c r="H163" s="1" t="s">
        <v>14</v>
      </c>
      <c r="I163" s="1" t="s">
        <v>15</v>
      </c>
      <c r="J163" s="1" t="s">
        <v>16</v>
      </c>
      <c r="K163" s="1" t="s">
        <v>18</v>
      </c>
      <c r="L163" s="1" t="s">
        <v>19</v>
      </c>
      <c r="M163" s="1" t="s">
        <v>20</v>
      </c>
      <c r="N163" s="1" t="s">
        <v>21</v>
      </c>
      <c r="O163" s="1" t="s">
        <v>22</v>
      </c>
      <c r="P163" s="1" t="s">
        <v>23</v>
      </c>
      <c r="Q163" s="1" t="s">
        <v>24</v>
      </c>
    </row>
    <row r="164" ht="14.25" customHeight="1">
      <c r="A164" s="3" t="str">
        <f>parametros_manuales!$B$19</f>
        <v>Recepción de materia prima</v>
      </c>
      <c r="B164" s="4">
        <f>(parametros_manuales!$D$19*(datos_base!$H$2+IF(parametros_manuales!$H$19="Todos",datos_base!$H$9,0))*parametros_manuales!$B$95+parametros_manuales!$E$19*(datos_base!$H$3+IF(parametros_manuales!$H$19="Todos",datos_base!$H$10,0))*parametros_manuales!$B$100+parametros_manuales!$F$19*(datos_base!$H$4+IF(parametros_manuales!$H$19="Todos",datos_base!$H$11,0))*parametros_manuales!$B$105+parametros_manuales!$G$19*(datos_base!$H$5+IF(parametros_manuales!$H$19="Todos",datos_base!$H$12,0))*parametros_manuales!$B$110)*parametros_manuales!$I$19*parametros_manuales!$J$19</f>
        <v>15344.91</v>
      </c>
      <c r="C164" s="4">
        <f>(parametros_manuales!$D$19*(datos_base!$H$2+IF(parametros_manuales!$H$19="Todos",datos_base!$H$9,0))*parametros_manuales!$C$95+parametros_manuales!$E$19*(datos_base!$H$3+IF(parametros_manuales!$H$19="Todos",datos_base!$H$10,0))*parametros_manuales!$C$100+parametros_manuales!$F$19*(datos_base!$H$4+IF(parametros_manuales!$H$19="Todos",datos_base!$H$11,0))*parametros_manuales!$C$105+parametros_manuales!$G$19*(datos_base!$H$5+IF(parametros_manuales!$H$19="Todos",datos_base!$H$12,0))*parametros_manuales!$C$110)*parametros_manuales!$I$19*parametros_manuales!$J$19</f>
        <v>14856.66</v>
      </c>
      <c r="D164" s="4">
        <f>(parametros_manuales!$D$19*(datos_base!$H$2+IF(parametros_manuales!$H$19="Todos",datos_base!$H$9,0))*parametros_manuales!$D$95+parametros_manuales!$E$19*(datos_base!$H$3+IF(parametros_manuales!$H$19="Todos",datos_base!$H$10,0))*parametros_manuales!$D$100+parametros_manuales!$F$19*(datos_base!$H$4+IF(parametros_manuales!$H$19="Todos",datos_base!$H$11,0))*parametros_manuales!$D$105+parametros_manuales!$G$19*(datos_base!$H$5+IF(parametros_manuales!$H$19="Todos",datos_base!$H$12,0))*parametros_manuales!$D$110)*parametros_manuales!$I$19*parametros_manuales!$J$19</f>
        <v>13884.045</v>
      </c>
      <c r="E164" s="4">
        <f>(parametros_manuales!$D$19*(datos_base!$H$2+IF(parametros_manuales!$H$19="Todos",datos_base!$H$9,0))*parametros_manuales!$E$95+parametros_manuales!$E$19*(datos_base!$H$3+IF(parametros_manuales!$H$19="Todos",datos_base!$H$10,0))*parametros_manuales!$E$100+parametros_manuales!$F$19*(datos_base!$H$4+IF(parametros_manuales!$H$19="Todos",datos_base!$H$11,0))*parametros_manuales!$E$105+parametros_manuales!$G$19*(datos_base!$H$5+IF(parametros_manuales!$H$19="Todos",datos_base!$H$12,0))*parametros_manuales!$E$110)*parametros_manuales!$I$19*parametros_manuales!$J$19</f>
        <v>13275.675</v>
      </c>
      <c r="F164" s="4">
        <f>(parametros_manuales!$D$19*(datos_base!$H$2+IF(parametros_manuales!$H$19="Todos",datos_base!$H$9,0))*parametros_manuales!$F$95+parametros_manuales!$E$19*(datos_base!$H$3+IF(parametros_manuales!$H$19="Todos",datos_base!$H$10,0))*parametros_manuales!$F$100+parametros_manuales!$F$19*(datos_base!$H$4+IF(parametros_manuales!$H$19="Todos",datos_base!$H$11,0))*parametros_manuales!$F$105+parametros_manuales!$G$19*(datos_base!$H$5+IF(parametros_manuales!$H$19="Todos",datos_base!$H$12,0))*parametros_manuales!$F$110)*parametros_manuales!$I$19*parametros_manuales!$J$19</f>
        <v>12423.18</v>
      </c>
      <c r="G164" s="4">
        <f>(parametros_manuales!$D$19*(datos_base!$H$2+IF(parametros_manuales!$H$19="Todos",datos_base!$H$9,0))*parametros_manuales!$G$95+parametros_manuales!$E$19*(datos_base!$H$3+IF(parametros_manuales!$H$19="Todos",datos_base!$H$10,0))*parametros_manuales!$G$100+parametros_manuales!$F$19*(datos_base!$H$4+IF(parametros_manuales!$H$19="Todos",datos_base!$H$11,0))*parametros_manuales!$G$105+parametros_manuales!$G$19*(datos_base!$H$5+IF(parametros_manuales!$H$19="Todos",datos_base!$H$12,0))*parametros_manuales!$G$110)*parametros_manuales!$I$19*parametros_manuales!$J$19</f>
        <v>12179.055</v>
      </c>
      <c r="H164" s="4">
        <f>(parametros_manuales!$D$19*(datos_base!$H$2+IF(parametros_manuales!$H$19="Todos",datos_base!$H$9,0))*parametros_manuales!$H$95+parametros_manuales!$E$19*(datos_base!$H$3+IF(parametros_manuales!$H$19="Todos",datos_base!$H$10,0))*parametros_manuales!$H$100+parametros_manuales!$F$19*(datos_base!$H$4+IF(parametros_manuales!$H$19="Todos",datos_base!$H$11,0))*parametros_manuales!$H$105+parametros_manuales!$G$19*(datos_base!$H$5+IF(parametros_manuales!$H$19="Todos",datos_base!$H$12,0))*parametros_manuales!$H$110)*parametros_manuales!$I$19*parametros_manuales!$J$19</f>
        <v>13031.55</v>
      </c>
      <c r="I164" s="4">
        <f>(parametros_manuales!$D$19*(datos_base!$H$2+IF(parametros_manuales!$H$19="Todos",datos_base!$H$9,0))*parametros_manuales!$I$95+parametros_manuales!$E$19*(datos_base!$H$3+IF(parametros_manuales!$H$19="Todos",datos_base!$H$10,0))*parametros_manuales!$I$100+parametros_manuales!$F$19*(datos_base!$H$4+IF(parametros_manuales!$H$19="Todos",datos_base!$H$11,0))*parametros_manuales!$I$105+parametros_manuales!$G$19*(datos_base!$H$5+IF(parametros_manuales!$H$19="Todos",datos_base!$H$12,0))*parametros_manuales!$I$110)*parametros_manuales!$I$19*parametros_manuales!$J$19</f>
        <v>14856.66</v>
      </c>
      <c r="J164" s="4">
        <f>(parametros_manuales!$D$19*(datos_base!$H$2+IF(parametros_manuales!$H$19="Todos",datos_base!$H$9,0))*parametros_manuales!$J$95+parametros_manuales!$E$19*(datos_base!$H$3+IF(parametros_manuales!$H$19="Todos",datos_base!$H$10,0))*parametros_manuales!$J$100+parametros_manuales!$F$19*(datos_base!$H$4+IF(parametros_manuales!$H$19="Todos",datos_base!$H$11,0))*parametros_manuales!$J$105+parametros_manuales!$G$19*(datos_base!$H$5+IF(parametros_manuales!$H$19="Todos",datos_base!$H$12,0))*parametros_manuales!$J$110)*parametros_manuales!$I$19*parametros_manuales!$J$19</f>
        <v>14856.66</v>
      </c>
      <c r="K164" s="4">
        <f>(parametros_manuales!$D$19*(datos_base!$H$2+IF(parametros_manuales!$H$19="Todos",datos_base!$H$9,0))*parametros_manuales!$K$95+parametros_manuales!$E$19*(datos_base!$H$3+IF(parametros_manuales!$H$19="Todos",datos_base!$H$10,0))*parametros_manuales!$K$100+parametros_manuales!$F$19*(datos_base!$H$4+IF(parametros_manuales!$H$19="Todos",datos_base!$H$11,0))*parametros_manuales!$K$105+parametros_manuales!$G$19*(datos_base!$H$5+IF(parametros_manuales!$H$19="Todos",datos_base!$H$12,0))*parametros_manuales!$K$110)*parametros_manuales!$I$19*parametros_manuales!$J$19</f>
        <v>15100.785</v>
      </c>
      <c r="L164" s="4">
        <f>(parametros_manuales!$D$19*(datos_base!$H$2+IF(parametros_manuales!$H$19="Todos",datos_base!$H$9,0))*parametros_manuales!$L$95+parametros_manuales!$E$19*(datos_base!$H$3+IF(parametros_manuales!$H$19="Todos",datos_base!$H$10,0))*parametros_manuales!$L$100+parametros_manuales!$F$19*(datos_base!$H$4+IF(parametros_manuales!$H$19="Todos",datos_base!$H$11,0))*parametros_manuales!$L$105+parametros_manuales!$G$19*(datos_base!$H$5+IF(parametros_manuales!$H$19="Todos",datos_base!$H$12,0))*parametros_manuales!$L$110)*parametros_manuales!$I$19*parametros_manuales!$J$19</f>
        <v>15344.91</v>
      </c>
      <c r="M164" s="4">
        <f>(parametros_manuales!$D$19*(datos_base!$H$2+IF(parametros_manuales!$H$19="Todos",datos_base!$H$9,0))*parametros_manuales!$M$95+parametros_manuales!$E$19*(datos_base!$H$3+IF(parametros_manuales!$H$19="Todos",datos_base!$H$10,0))*parametros_manuales!$M$100+parametros_manuales!$F$19*(datos_base!$H$4+IF(parametros_manuales!$H$19="Todos",datos_base!$H$11,0))*parametros_manuales!$M$105+parametros_manuales!$G$19*(datos_base!$H$5+IF(parametros_manuales!$H$19="Todos",datos_base!$H$12,0))*parametros_manuales!$M$110)*parametros_manuales!$I$19*parametros_manuales!$J$19</f>
        <v>15344.91</v>
      </c>
      <c r="N164" s="4">
        <f t="shared" ref="N164:N188" si="19">SUM(B164:M164)</f>
        <v>170499</v>
      </c>
      <c r="O164" s="4">
        <f t="shared" ref="O164:O188" si="20">MAX(B164:M164)</f>
        <v>15344.91</v>
      </c>
      <c r="P164" s="27">
        <f>O164/(parametros_manuales!$B$7)</f>
        <v>102.2994</v>
      </c>
      <c r="Q164" s="3" t="str">
        <f t="shared" ref="Q164:Q188" si="21">IF(O164=0,"-",INDEX($B$163:$M$163,MATCH(O164,B164:M164,0)))</f>
        <v>Ene</v>
      </c>
    </row>
    <row r="165" ht="14.25" customHeight="1">
      <c r="A165" s="3" t="str">
        <f>parametros_manuales!$B$20</f>
        <v>Corte de chapa (guillotina) — 2,5 a 10 kg</v>
      </c>
      <c r="B165" s="4">
        <f>(parametros_manuales!$D$20*(datos_base!$H$2+IF(parametros_manuales!$H$20="Todos",datos_base!$H$9,0))*parametros_manuales!$B$95+parametros_manuales!$E$20*(datos_base!$H$3+IF(parametros_manuales!$H$20="Todos",datos_base!$H$10,0))*parametros_manuales!$B$100+parametros_manuales!$F$20*(datos_base!$H$4+IF(parametros_manuales!$H$20="Todos",datos_base!$H$11,0))*parametros_manuales!$B$105+parametros_manuales!$G$20*(datos_base!$H$5+IF(parametros_manuales!$H$20="Todos",datos_base!$H$12,0))*parametros_manuales!$B$110)*parametros_manuales!$I$20*parametros_manuales!$J$20</f>
        <v>4394.25</v>
      </c>
      <c r="C165" s="4">
        <f>(parametros_manuales!$D$20*(datos_base!$H$2+IF(parametros_manuales!$H$20="Todos",datos_base!$H$9,0))*parametros_manuales!$C$95+parametros_manuales!$E$20*(datos_base!$H$3+IF(parametros_manuales!$H$20="Todos",datos_base!$H$10,0))*parametros_manuales!$C$100+parametros_manuales!$F$20*(datos_base!$H$4+IF(parametros_manuales!$H$20="Todos",datos_base!$H$11,0))*parametros_manuales!$C$105+parametros_manuales!$G$20*(datos_base!$H$5+IF(parametros_manuales!$H$20="Todos",datos_base!$H$12,0))*parametros_manuales!$C$110)*parametros_manuales!$I$20*parametros_manuales!$J$20</f>
        <v>3906</v>
      </c>
      <c r="D165" s="4">
        <f>(parametros_manuales!$D$20*(datos_base!$H$2+IF(parametros_manuales!$H$20="Todos",datos_base!$H$9,0))*parametros_manuales!$D$95+parametros_manuales!$E$20*(datos_base!$H$3+IF(parametros_manuales!$H$20="Todos",datos_base!$H$10,0))*parametros_manuales!$D$100+parametros_manuales!$F$20*(datos_base!$H$4+IF(parametros_manuales!$H$20="Todos",datos_base!$H$11,0))*parametros_manuales!$D$105+parametros_manuales!$G$20*(datos_base!$H$5+IF(parametros_manuales!$H$20="Todos",datos_base!$H$12,0))*parametros_manuales!$D$110)*parametros_manuales!$I$20*parametros_manuales!$J$20</f>
        <v>4150.125</v>
      </c>
      <c r="E165" s="4">
        <f>(parametros_manuales!$D$20*(datos_base!$H$2+IF(parametros_manuales!$H$20="Todos",datos_base!$H$9,0))*parametros_manuales!$E$95+parametros_manuales!$E$20*(datos_base!$H$3+IF(parametros_manuales!$H$20="Todos",datos_base!$H$10,0))*parametros_manuales!$E$100+parametros_manuales!$F$20*(datos_base!$H$4+IF(parametros_manuales!$H$20="Todos",datos_base!$H$11,0))*parametros_manuales!$E$105+parametros_manuales!$G$20*(datos_base!$H$5+IF(parametros_manuales!$H$20="Todos",datos_base!$H$12,0))*parametros_manuales!$E$110)*parametros_manuales!$I$20*parametros_manuales!$J$20</f>
        <v>4150.125</v>
      </c>
      <c r="F165" s="4">
        <f>(parametros_manuales!$D$20*(datos_base!$H$2+IF(parametros_manuales!$H$20="Todos",datos_base!$H$9,0))*parametros_manuales!$F$95+parametros_manuales!$E$20*(datos_base!$H$3+IF(parametros_manuales!$H$20="Todos",datos_base!$H$10,0))*parametros_manuales!$F$100+parametros_manuales!$F$20*(datos_base!$H$4+IF(parametros_manuales!$H$20="Todos",datos_base!$H$11,0))*parametros_manuales!$F$105+parametros_manuales!$G$20*(datos_base!$H$5+IF(parametros_manuales!$H$20="Todos",datos_base!$H$12,0))*parametros_manuales!$F$110)*parametros_manuales!$I$20*parametros_manuales!$J$20</f>
        <v>3906</v>
      </c>
      <c r="G165" s="4">
        <f>(parametros_manuales!$D$20*(datos_base!$H$2+IF(parametros_manuales!$H$20="Todos",datos_base!$H$9,0))*parametros_manuales!$G$95+parametros_manuales!$E$20*(datos_base!$H$3+IF(parametros_manuales!$H$20="Todos",datos_base!$H$10,0))*parametros_manuales!$G$100+parametros_manuales!$F$20*(datos_base!$H$4+IF(parametros_manuales!$H$20="Todos",datos_base!$H$11,0))*parametros_manuales!$G$105+parametros_manuales!$G$20*(datos_base!$H$5+IF(parametros_manuales!$H$20="Todos",datos_base!$H$12,0))*parametros_manuales!$G$110)*parametros_manuales!$I$20*parametros_manuales!$J$20</f>
        <v>3661.875</v>
      </c>
      <c r="H165" s="4">
        <f>(parametros_manuales!$D$20*(datos_base!$H$2+IF(parametros_manuales!$H$20="Todos",datos_base!$H$9,0))*parametros_manuales!$H$95+parametros_manuales!$E$20*(datos_base!$H$3+IF(parametros_manuales!$H$20="Todos",datos_base!$H$10,0))*parametros_manuales!$H$100+parametros_manuales!$F$20*(datos_base!$H$4+IF(parametros_manuales!$H$20="Todos",datos_base!$H$11,0))*parametros_manuales!$H$105+parametros_manuales!$G$20*(datos_base!$H$5+IF(parametros_manuales!$H$20="Todos",datos_base!$H$12,0))*parametros_manuales!$H$110)*parametros_manuales!$I$20*parametros_manuales!$J$20</f>
        <v>3906</v>
      </c>
      <c r="I165" s="4">
        <f>(parametros_manuales!$D$20*(datos_base!$H$2+IF(parametros_manuales!$H$20="Todos",datos_base!$H$9,0))*parametros_manuales!$I$95+parametros_manuales!$E$20*(datos_base!$H$3+IF(parametros_manuales!$H$20="Todos",datos_base!$H$10,0))*parametros_manuales!$I$100+parametros_manuales!$F$20*(datos_base!$H$4+IF(parametros_manuales!$H$20="Todos",datos_base!$H$11,0))*parametros_manuales!$I$105+parametros_manuales!$G$20*(datos_base!$H$5+IF(parametros_manuales!$H$20="Todos",datos_base!$H$12,0))*parametros_manuales!$I$110)*parametros_manuales!$I$20*parametros_manuales!$J$20</f>
        <v>3906</v>
      </c>
      <c r="J165" s="4">
        <f>(parametros_manuales!$D$20*(datos_base!$H$2+IF(parametros_manuales!$H$20="Todos",datos_base!$H$9,0))*parametros_manuales!$J$95+parametros_manuales!$E$20*(datos_base!$H$3+IF(parametros_manuales!$H$20="Todos",datos_base!$H$10,0))*parametros_manuales!$J$100+parametros_manuales!$F$20*(datos_base!$H$4+IF(parametros_manuales!$H$20="Todos",datos_base!$H$11,0))*parametros_manuales!$J$105+parametros_manuales!$G$20*(datos_base!$H$5+IF(parametros_manuales!$H$20="Todos",datos_base!$H$12,0))*parametros_manuales!$J$110)*parametros_manuales!$I$20*parametros_manuales!$J$20</f>
        <v>3906</v>
      </c>
      <c r="K165" s="4">
        <f>(parametros_manuales!$D$20*(datos_base!$H$2+IF(parametros_manuales!$H$20="Todos",datos_base!$H$9,0))*parametros_manuales!$K$95+parametros_manuales!$E$20*(datos_base!$H$3+IF(parametros_manuales!$H$20="Todos",datos_base!$H$10,0))*parametros_manuales!$K$100+parametros_manuales!$F$20*(datos_base!$H$4+IF(parametros_manuales!$H$20="Todos",datos_base!$H$11,0))*parametros_manuales!$K$105+parametros_manuales!$G$20*(datos_base!$H$5+IF(parametros_manuales!$H$20="Todos",datos_base!$H$12,0))*parametros_manuales!$K$110)*parametros_manuales!$I$20*parametros_manuales!$J$20</f>
        <v>4150.125</v>
      </c>
      <c r="L165" s="4">
        <f>(parametros_manuales!$D$20*(datos_base!$H$2+IF(parametros_manuales!$H$20="Todos",datos_base!$H$9,0))*parametros_manuales!$L$95+parametros_manuales!$E$20*(datos_base!$H$3+IF(parametros_manuales!$H$20="Todos",datos_base!$H$10,0))*parametros_manuales!$L$100+parametros_manuales!$F$20*(datos_base!$H$4+IF(parametros_manuales!$H$20="Todos",datos_base!$H$11,0))*parametros_manuales!$L$105+parametros_manuales!$G$20*(datos_base!$H$5+IF(parametros_manuales!$H$20="Todos",datos_base!$H$12,0))*parametros_manuales!$L$110)*parametros_manuales!$I$20*parametros_manuales!$J$20</f>
        <v>4394.25</v>
      </c>
      <c r="M165" s="4">
        <f>(parametros_manuales!$D$20*(datos_base!$H$2+IF(parametros_manuales!$H$20="Todos",datos_base!$H$9,0))*parametros_manuales!$M$95+parametros_manuales!$E$20*(datos_base!$H$3+IF(parametros_manuales!$H$20="Todos",datos_base!$H$10,0))*parametros_manuales!$M$100+parametros_manuales!$F$20*(datos_base!$H$4+IF(parametros_manuales!$H$20="Todos",datos_base!$H$11,0))*parametros_manuales!$M$105+parametros_manuales!$G$20*(datos_base!$H$5+IF(parametros_manuales!$H$20="Todos",datos_base!$H$12,0))*parametros_manuales!$M$110)*parametros_manuales!$I$20*parametros_manuales!$J$20</f>
        <v>4394.25</v>
      </c>
      <c r="N165" s="4">
        <f t="shared" si="19"/>
        <v>48825</v>
      </c>
      <c r="O165" s="4">
        <f t="shared" si="20"/>
        <v>4394.25</v>
      </c>
      <c r="P165" s="27">
        <f>O165/(parametros_manuales!$B$7)</f>
        <v>29.295</v>
      </c>
      <c r="Q165" s="3" t="str">
        <f t="shared" si="21"/>
        <v>Ene</v>
      </c>
    </row>
    <row r="166" ht="14.25" customHeight="1">
      <c r="A166" s="3" t="str">
        <f>parametros_manuales!$B$21</f>
        <v>Corte de tubo — 1 kg</v>
      </c>
      <c r="B166" s="4">
        <f>(parametros_manuales!$D$21*(datos_base!$H$2+IF(parametros_manuales!$H$21="Todos",datos_base!$H$9,0))*parametros_manuales!$B$95+parametros_manuales!$E$21*(datos_base!$H$3+IF(parametros_manuales!$H$21="Todos",datos_base!$H$10,0))*parametros_manuales!$B$100+parametros_manuales!$F$21*(datos_base!$H$4+IF(parametros_manuales!$H$21="Todos",datos_base!$H$11,0))*parametros_manuales!$B$105+parametros_manuales!$G$21*(datos_base!$H$5+IF(parametros_manuales!$H$21="Todos",datos_base!$H$12,0))*parametros_manuales!$B$110)*parametros_manuales!$I$21*parametros_manuales!$J$21</f>
        <v>10950.66</v>
      </c>
      <c r="C166" s="4">
        <f>(parametros_manuales!$D$21*(datos_base!$H$2+IF(parametros_manuales!$H$21="Todos",datos_base!$H$9,0))*parametros_manuales!$C$95+parametros_manuales!$E$21*(datos_base!$H$3+IF(parametros_manuales!$H$21="Todos",datos_base!$H$10,0))*parametros_manuales!$C$100+parametros_manuales!$F$21*(datos_base!$H$4+IF(parametros_manuales!$H$21="Todos",datos_base!$H$11,0))*parametros_manuales!$C$105+parametros_manuales!$G$21*(datos_base!$H$5+IF(parametros_manuales!$H$21="Todos",datos_base!$H$12,0))*parametros_manuales!$C$110)*parametros_manuales!$I$21*parametros_manuales!$J$21</f>
        <v>10950.66</v>
      </c>
      <c r="D166" s="4">
        <f>(parametros_manuales!$D$21*(datos_base!$H$2+IF(parametros_manuales!$H$21="Todos",datos_base!$H$9,0))*parametros_manuales!$D$95+parametros_manuales!$E$21*(datos_base!$H$3+IF(parametros_manuales!$H$21="Todos",datos_base!$H$10,0))*parametros_manuales!$D$100+parametros_manuales!$F$21*(datos_base!$H$4+IF(parametros_manuales!$H$21="Todos",datos_base!$H$11,0))*parametros_manuales!$D$105+parametros_manuales!$G$21*(datos_base!$H$5+IF(parametros_manuales!$H$21="Todos",datos_base!$H$12,0))*parametros_manuales!$D$110)*parametros_manuales!$I$21*parametros_manuales!$J$21</f>
        <v>9733.92</v>
      </c>
      <c r="E166" s="4">
        <f>(parametros_manuales!$D$21*(datos_base!$H$2+IF(parametros_manuales!$H$21="Todos",datos_base!$H$9,0))*parametros_manuales!$E$95+parametros_manuales!$E$21*(datos_base!$H$3+IF(parametros_manuales!$H$21="Todos",datos_base!$H$10,0))*parametros_manuales!$E$100+parametros_manuales!$F$21*(datos_base!$H$4+IF(parametros_manuales!$H$21="Todos",datos_base!$H$11,0))*parametros_manuales!$E$105+parametros_manuales!$G$21*(datos_base!$H$5+IF(parametros_manuales!$H$21="Todos",datos_base!$H$12,0))*parametros_manuales!$E$110)*parametros_manuales!$I$21*parametros_manuales!$J$21</f>
        <v>9125.55</v>
      </c>
      <c r="F166" s="4">
        <f>(parametros_manuales!$D$21*(datos_base!$H$2+IF(parametros_manuales!$H$21="Todos",datos_base!$H$9,0))*parametros_manuales!$F$95+parametros_manuales!$E$21*(datos_base!$H$3+IF(parametros_manuales!$H$21="Todos",datos_base!$H$10,0))*parametros_manuales!$F$100+parametros_manuales!$F$21*(datos_base!$H$4+IF(parametros_manuales!$H$21="Todos",datos_base!$H$11,0))*parametros_manuales!$F$105+parametros_manuales!$G$21*(datos_base!$H$5+IF(parametros_manuales!$H$21="Todos",datos_base!$H$12,0))*parametros_manuales!$F$110)*parametros_manuales!$I$21*parametros_manuales!$J$21</f>
        <v>8517.18</v>
      </c>
      <c r="G166" s="4">
        <f>(parametros_manuales!$D$21*(datos_base!$H$2+IF(parametros_manuales!$H$21="Todos",datos_base!$H$9,0))*parametros_manuales!$G$95+parametros_manuales!$E$21*(datos_base!$H$3+IF(parametros_manuales!$H$21="Todos",datos_base!$H$10,0))*parametros_manuales!$G$100+parametros_manuales!$F$21*(datos_base!$H$4+IF(parametros_manuales!$H$21="Todos",datos_base!$H$11,0))*parametros_manuales!$G$105+parametros_manuales!$G$21*(datos_base!$H$5+IF(parametros_manuales!$H$21="Todos",datos_base!$H$12,0))*parametros_manuales!$G$110)*parametros_manuales!$I$21*parametros_manuales!$J$21</f>
        <v>8517.18</v>
      </c>
      <c r="H166" s="4">
        <f>(parametros_manuales!$D$21*(datos_base!$H$2+IF(parametros_manuales!$H$21="Todos",datos_base!$H$9,0))*parametros_manuales!$H$95+parametros_manuales!$E$21*(datos_base!$H$3+IF(parametros_manuales!$H$21="Todos",datos_base!$H$10,0))*parametros_manuales!$H$100+parametros_manuales!$F$21*(datos_base!$H$4+IF(parametros_manuales!$H$21="Todos",datos_base!$H$11,0))*parametros_manuales!$H$105+parametros_manuales!$G$21*(datos_base!$H$5+IF(parametros_manuales!$H$21="Todos",datos_base!$H$12,0))*parametros_manuales!$H$110)*parametros_manuales!$I$21*parametros_manuales!$J$21</f>
        <v>9125.55</v>
      </c>
      <c r="I166" s="4">
        <f>(parametros_manuales!$D$21*(datos_base!$H$2+IF(parametros_manuales!$H$21="Todos",datos_base!$H$9,0))*parametros_manuales!$I$95+parametros_manuales!$E$21*(datos_base!$H$3+IF(parametros_manuales!$H$21="Todos",datos_base!$H$10,0))*parametros_manuales!$I$100+parametros_manuales!$F$21*(datos_base!$H$4+IF(parametros_manuales!$H$21="Todos",datos_base!$H$11,0))*parametros_manuales!$I$105+parametros_manuales!$G$21*(datos_base!$H$5+IF(parametros_manuales!$H$21="Todos",datos_base!$H$12,0))*parametros_manuales!$I$110)*parametros_manuales!$I$21*parametros_manuales!$J$21</f>
        <v>10950.66</v>
      </c>
      <c r="J166" s="4">
        <f>(parametros_manuales!$D$21*(datos_base!$H$2+IF(parametros_manuales!$H$21="Todos",datos_base!$H$9,0))*parametros_manuales!$J$95+parametros_manuales!$E$21*(datos_base!$H$3+IF(parametros_manuales!$H$21="Todos",datos_base!$H$10,0))*parametros_manuales!$J$100+parametros_manuales!$F$21*(datos_base!$H$4+IF(parametros_manuales!$H$21="Todos",datos_base!$H$11,0))*parametros_manuales!$J$105+parametros_manuales!$G$21*(datos_base!$H$5+IF(parametros_manuales!$H$21="Todos",datos_base!$H$12,0))*parametros_manuales!$J$110)*parametros_manuales!$I$21*parametros_manuales!$J$21</f>
        <v>10950.66</v>
      </c>
      <c r="K166" s="4">
        <f>(parametros_manuales!$D$21*(datos_base!$H$2+IF(parametros_manuales!$H$21="Todos",datos_base!$H$9,0))*parametros_manuales!$K$95+parametros_manuales!$E$21*(datos_base!$H$3+IF(parametros_manuales!$H$21="Todos",datos_base!$H$10,0))*parametros_manuales!$K$100+parametros_manuales!$F$21*(datos_base!$H$4+IF(parametros_manuales!$H$21="Todos",datos_base!$H$11,0))*parametros_manuales!$K$105+parametros_manuales!$G$21*(datos_base!$H$5+IF(parametros_manuales!$H$21="Todos",datos_base!$H$12,0))*parametros_manuales!$K$110)*parametros_manuales!$I$21*parametros_manuales!$J$21</f>
        <v>10950.66</v>
      </c>
      <c r="L166" s="4">
        <f>(parametros_manuales!$D$21*(datos_base!$H$2+IF(parametros_manuales!$H$21="Todos",datos_base!$H$9,0))*parametros_manuales!$L$95+parametros_manuales!$E$21*(datos_base!$H$3+IF(parametros_manuales!$H$21="Todos",datos_base!$H$10,0))*parametros_manuales!$L$100+parametros_manuales!$F$21*(datos_base!$H$4+IF(parametros_manuales!$H$21="Todos",datos_base!$H$11,0))*parametros_manuales!$L$105+parametros_manuales!$G$21*(datos_base!$H$5+IF(parametros_manuales!$H$21="Todos",datos_base!$H$12,0))*parametros_manuales!$L$110)*parametros_manuales!$I$21*parametros_manuales!$J$21</f>
        <v>10950.66</v>
      </c>
      <c r="M166" s="4">
        <f>(parametros_manuales!$D$21*(datos_base!$H$2+IF(parametros_manuales!$H$21="Todos",datos_base!$H$9,0))*parametros_manuales!$M$95+parametros_manuales!$E$21*(datos_base!$H$3+IF(parametros_manuales!$H$21="Todos",datos_base!$H$10,0))*parametros_manuales!$M$100+parametros_manuales!$F$21*(datos_base!$H$4+IF(parametros_manuales!$H$21="Todos",datos_base!$H$11,0))*parametros_manuales!$M$105+parametros_manuales!$G$21*(datos_base!$H$5+IF(parametros_manuales!$H$21="Todos",datos_base!$H$12,0))*parametros_manuales!$M$110)*parametros_manuales!$I$21*parametros_manuales!$J$21</f>
        <v>10950.66</v>
      </c>
      <c r="N166" s="4">
        <f t="shared" si="19"/>
        <v>121674</v>
      </c>
      <c r="O166" s="4">
        <f t="shared" si="20"/>
        <v>10950.66</v>
      </c>
      <c r="P166" s="27">
        <f>O166/(parametros_manuales!$B$7)</f>
        <v>73.0044</v>
      </c>
      <c r="Q166" s="3" t="str">
        <f t="shared" si="21"/>
        <v>Ene</v>
      </c>
    </row>
    <row r="167" ht="14.25" customHeight="1">
      <c r="A167" s="3" t="str">
        <f>parametros_manuales!$B$22</f>
        <v>Corte de disco y embutido (cúpula y fondo)</v>
      </c>
      <c r="B167" s="4">
        <f>(parametros_manuales!$D$22*(datos_base!$H$2+IF(parametros_manuales!$H$22="Todos",datos_base!$H$9,0))*parametros_manuales!$B$95+parametros_manuales!$E$22*(datos_base!$H$3+IF(parametros_manuales!$H$22="Todos",datos_base!$H$10,0))*parametros_manuales!$B$100+parametros_manuales!$F$22*(datos_base!$H$4+IF(parametros_manuales!$H$22="Todos",datos_base!$H$11,0))*parametros_manuales!$B$105+parametros_manuales!$G$22*(datos_base!$H$5+IF(parametros_manuales!$H$22="Todos",datos_base!$H$12,0))*parametros_manuales!$B$110)*parametros_manuales!$I$22*parametros_manuales!$J$22</f>
        <v>30689.82</v>
      </c>
      <c r="C167" s="4">
        <f>(parametros_manuales!$D$22*(datos_base!$H$2+IF(parametros_manuales!$H$22="Todos",datos_base!$H$9,0))*parametros_manuales!$C$95+parametros_manuales!$E$22*(datos_base!$H$3+IF(parametros_manuales!$H$22="Todos",datos_base!$H$10,0))*parametros_manuales!$C$100+parametros_manuales!$F$22*(datos_base!$H$4+IF(parametros_manuales!$H$22="Todos",datos_base!$H$11,0))*parametros_manuales!$C$105+parametros_manuales!$G$22*(datos_base!$H$5+IF(parametros_manuales!$H$22="Todos",datos_base!$H$12,0))*parametros_manuales!$C$110)*parametros_manuales!$I$22*parametros_manuales!$J$22</f>
        <v>29713.32</v>
      </c>
      <c r="D167" s="4">
        <f>(parametros_manuales!$D$22*(datos_base!$H$2+IF(parametros_manuales!$H$22="Todos",datos_base!$H$9,0))*parametros_manuales!$D$95+parametros_manuales!$E$22*(datos_base!$H$3+IF(parametros_manuales!$H$22="Todos",datos_base!$H$10,0))*parametros_manuales!$D$100+parametros_manuales!$F$22*(datos_base!$H$4+IF(parametros_manuales!$H$22="Todos",datos_base!$H$11,0))*parametros_manuales!$D$105+parametros_manuales!$G$22*(datos_base!$H$5+IF(parametros_manuales!$H$22="Todos",datos_base!$H$12,0))*parametros_manuales!$D$110)*parametros_manuales!$I$22*parametros_manuales!$J$22</f>
        <v>27768.09</v>
      </c>
      <c r="E167" s="4">
        <f>(parametros_manuales!$D$22*(datos_base!$H$2+IF(parametros_manuales!$H$22="Todos",datos_base!$H$9,0))*parametros_manuales!$E$95+parametros_manuales!$E$22*(datos_base!$H$3+IF(parametros_manuales!$H$22="Todos",datos_base!$H$10,0))*parametros_manuales!$E$100+parametros_manuales!$F$22*(datos_base!$H$4+IF(parametros_manuales!$H$22="Todos",datos_base!$H$11,0))*parametros_manuales!$E$105+parametros_manuales!$G$22*(datos_base!$H$5+IF(parametros_manuales!$H$22="Todos",datos_base!$H$12,0))*parametros_manuales!$E$110)*parametros_manuales!$I$22*parametros_manuales!$J$22</f>
        <v>26551.35</v>
      </c>
      <c r="F167" s="4">
        <f>(parametros_manuales!$D$22*(datos_base!$H$2+IF(parametros_manuales!$H$22="Todos",datos_base!$H$9,0))*parametros_manuales!$F$95+parametros_manuales!$E$22*(datos_base!$H$3+IF(parametros_manuales!$H$22="Todos",datos_base!$H$10,0))*parametros_manuales!$F$100+parametros_manuales!$F$22*(datos_base!$H$4+IF(parametros_manuales!$H$22="Todos",datos_base!$H$11,0))*parametros_manuales!$F$105+parametros_manuales!$G$22*(datos_base!$H$5+IF(parametros_manuales!$H$22="Todos",datos_base!$H$12,0))*parametros_manuales!$F$110)*parametros_manuales!$I$22*parametros_manuales!$J$22</f>
        <v>24846.36</v>
      </c>
      <c r="G167" s="4">
        <f>(parametros_manuales!$D$22*(datos_base!$H$2+IF(parametros_manuales!$H$22="Todos",datos_base!$H$9,0))*parametros_manuales!$G$95+parametros_manuales!$E$22*(datos_base!$H$3+IF(parametros_manuales!$H$22="Todos",datos_base!$H$10,0))*parametros_manuales!$G$100+parametros_manuales!$F$22*(datos_base!$H$4+IF(parametros_manuales!$H$22="Todos",datos_base!$H$11,0))*parametros_manuales!$G$105+parametros_manuales!$G$22*(datos_base!$H$5+IF(parametros_manuales!$H$22="Todos",datos_base!$H$12,0))*parametros_manuales!$G$110)*parametros_manuales!$I$22*parametros_manuales!$J$22</f>
        <v>24358.11</v>
      </c>
      <c r="H167" s="4">
        <f>(parametros_manuales!$D$22*(datos_base!$H$2+IF(parametros_manuales!$H$22="Todos",datos_base!$H$9,0))*parametros_manuales!$H$95+parametros_manuales!$E$22*(datos_base!$H$3+IF(parametros_manuales!$H$22="Todos",datos_base!$H$10,0))*parametros_manuales!$H$100+parametros_manuales!$F$22*(datos_base!$H$4+IF(parametros_manuales!$H$22="Todos",datos_base!$H$11,0))*parametros_manuales!$H$105+parametros_manuales!$G$22*(datos_base!$H$5+IF(parametros_manuales!$H$22="Todos",datos_base!$H$12,0))*parametros_manuales!$H$110)*parametros_manuales!$I$22*parametros_manuales!$J$22</f>
        <v>26063.1</v>
      </c>
      <c r="I167" s="4">
        <f>(parametros_manuales!$D$22*(datos_base!$H$2+IF(parametros_manuales!$H$22="Todos",datos_base!$H$9,0))*parametros_manuales!$I$95+parametros_manuales!$E$22*(datos_base!$H$3+IF(parametros_manuales!$H$22="Todos",datos_base!$H$10,0))*parametros_manuales!$I$100+parametros_manuales!$F$22*(datos_base!$H$4+IF(parametros_manuales!$H$22="Todos",datos_base!$H$11,0))*parametros_manuales!$I$105+parametros_manuales!$G$22*(datos_base!$H$5+IF(parametros_manuales!$H$22="Todos",datos_base!$H$12,0))*parametros_manuales!$I$110)*parametros_manuales!$I$22*parametros_manuales!$J$22</f>
        <v>29713.32</v>
      </c>
      <c r="J167" s="4">
        <f>(parametros_manuales!$D$22*(datos_base!$H$2+IF(parametros_manuales!$H$22="Todos",datos_base!$H$9,0))*parametros_manuales!$J$95+parametros_manuales!$E$22*(datos_base!$H$3+IF(parametros_manuales!$H$22="Todos",datos_base!$H$10,0))*parametros_manuales!$J$100+parametros_manuales!$F$22*(datos_base!$H$4+IF(parametros_manuales!$H$22="Todos",datos_base!$H$11,0))*parametros_manuales!$J$105+parametros_manuales!$G$22*(datos_base!$H$5+IF(parametros_manuales!$H$22="Todos",datos_base!$H$12,0))*parametros_manuales!$J$110)*parametros_manuales!$I$22*parametros_manuales!$J$22</f>
        <v>29713.32</v>
      </c>
      <c r="K167" s="4">
        <f>(parametros_manuales!$D$22*(datos_base!$H$2+IF(parametros_manuales!$H$22="Todos",datos_base!$H$9,0))*parametros_manuales!$K$95+parametros_manuales!$E$22*(datos_base!$H$3+IF(parametros_manuales!$H$22="Todos",datos_base!$H$10,0))*parametros_manuales!$K$100+parametros_manuales!$F$22*(datos_base!$H$4+IF(parametros_manuales!$H$22="Todos",datos_base!$H$11,0))*parametros_manuales!$K$105+parametros_manuales!$G$22*(datos_base!$H$5+IF(parametros_manuales!$H$22="Todos",datos_base!$H$12,0))*parametros_manuales!$K$110)*parametros_manuales!$I$22*parametros_manuales!$J$22</f>
        <v>30201.57</v>
      </c>
      <c r="L167" s="4">
        <f>(parametros_manuales!$D$22*(datos_base!$H$2+IF(parametros_manuales!$H$22="Todos",datos_base!$H$9,0))*parametros_manuales!$L$95+parametros_manuales!$E$22*(datos_base!$H$3+IF(parametros_manuales!$H$22="Todos",datos_base!$H$10,0))*parametros_manuales!$L$100+parametros_manuales!$F$22*(datos_base!$H$4+IF(parametros_manuales!$H$22="Todos",datos_base!$H$11,0))*parametros_manuales!$L$105+parametros_manuales!$G$22*(datos_base!$H$5+IF(parametros_manuales!$H$22="Todos",datos_base!$H$12,0))*parametros_manuales!$L$110)*parametros_manuales!$I$22*parametros_manuales!$J$22</f>
        <v>30689.82</v>
      </c>
      <c r="M167" s="4">
        <f>(parametros_manuales!$D$22*(datos_base!$H$2+IF(parametros_manuales!$H$22="Todos",datos_base!$H$9,0))*parametros_manuales!$M$95+parametros_manuales!$E$22*(datos_base!$H$3+IF(parametros_manuales!$H$22="Todos",datos_base!$H$10,0))*parametros_manuales!$M$100+parametros_manuales!$F$22*(datos_base!$H$4+IF(parametros_manuales!$H$22="Todos",datos_base!$H$11,0))*parametros_manuales!$M$105+parametros_manuales!$G$22*(datos_base!$H$5+IF(parametros_manuales!$H$22="Todos",datos_base!$H$12,0))*parametros_manuales!$M$110)*parametros_manuales!$I$22*parametros_manuales!$J$22</f>
        <v>30689.82</v>
      </c>
      <c r="N167" s="4">
        <f t="shared" si="19"/>
        <v>340998</v>
      </c>
      <c r="O167" s="4">
        <f t="shared" si="20"/>
        <v>30689.82</v>
      </c>
      <c r="P167" s="27">
        <f>O167/(parametros_manuales!$B$7)</f>
        <v>204.5988</v>
      </c>
      <c r="Q167" s="3" t="str">
        <f t="shared" si="21"/>
        <v>Ene</v>
      </c>
    </row>
    <row r="168" ht="14.25" customHeight="1">
      <c r="A168" s="3" t="str">
        <f>parametros_manuales!$B$23</f>
        <v>Preparación de cuello</v>
      </c>
      <c r="B168" s="4">
        <f>(parametros_manuales!$D$23*(datos_base!$H$2+IF(parametros_manuales!$H$23="Todos",datos_base!$H$9,0))*parametros_manuales!$B$95+parametros_manuales!$E$23*(datos_base!$H$3+IF(parametros_manuales!$H$23="Todos",datos_base!$H$10,0))*parametros_manuales!$B$100+parametros_manuales!$F$23*(datos_base!$H$4+IF(parametros_manuales!$H$23="Todos",datos_base!$H$11,0))*parametros_manuales!$B$105+parametros_manuales!$G$23*(datos_base!$H$5+IF(parametros_manuales!$H$23="Todos",datos_base!$H$12,0))*parametros_manuales!$B$110)*parametros_manuales!$I$23*parametros_manuales!$J$23</f>
        <v>15344.91</v>
      </c>
      <c r="C168" s="4">
        <f>(parametros_manuales!$D$23*(datos_base!$H$2+IF(parametros_manuales!$H$23="Todos",datos_base!$H$9,0))*parametros_manuales!$C$95+parametros_manuales!$E$23*(datos_base!$H$3+IF(parametros_manuales!$H$23="Todos",datos_base!$H$10,0))*parametros_manuales!$C$100+parametros_manuales!$F$23*(datos_base!$H$4+IF(parametros_manuales!$H$23="Todos",datos_base!$H$11,0))*parametros_manuales!$C$105+parametros_manuales!$G$23*(datos_base!$H$5+IF(parametros_manuales!$H$23="Todos",datos_base!$H$12,0))*parametros_manuales!$C$110)*parametros_manuales!$I$23*parametros_manuales!$J$23</f>
        <v>14856.66</v>
      </c>
      <c r="D168" s="4">
        <f>(parametros_manuales!$D$23*(datos_base!$H$2+IF(parametros_manuales!$H$23="Todos",datos_base!$H$9,0))*parametros_manuales!$D$95+parametros_manuales!$E$23*(datos_base!$H$3+IF(parametros_manuales!$H$23="Todos",datos_base!$H$10,0))*parametros_manuales!$D$100+parametros_manuales!$F$23*(datos_base!$H$4+IF(parametros_manuales!$H$23="Todos",datos_base!$H$11,0))*parametros_manuales!$D$105+parametros_manuales!$G$23*(datos_base!$H$5+IF(parametros_manuales!$H$23="Todos",datos_base!$H$12,0))*parametros_manuales!$D$110)*parametros_manuales!$I$23*parametros_manuales!$J$23</f>
        <v>13884.045</v>
      </c>
      <c r="E168" s="4">
        <f>(parametros_manuales!$D$23*(datos_base!$H$2+IF(parametros_manuales!$H$23="Todos",datos_base!$H$9,0))*parametros_manuales!$E$95+parametros_manuales!$E$23*(datos_base!$H$3+IF(parametros_manuales!$H$23="Todos",datos_base!$H$10,0))*parametros_manuales!$E$100+parametros_manuales!$F$23*(datos_base!$H$4+IF(parametros_manuales!$H$23="Todos",datos_base!$H$11,0))*parametros_manuales!$E$105+parametros_manuales!$G$23*(datos_base!$H$5+IF(parametros_manuales!$H$23="Todos",datos_base!$H$12,0))*parametros_manuales!$E$110)*parametros_manuales!$I$23*parametros_manuales!$J$23</f>
        <v>13275.675</v>
      </c>
      <c r="F168" s="4">
        <f>(parametros_manuales!$D$23*(datos_base!$H$2+IF(parametros_manuales!$H$23="Todos",datos_base!$H$9,0))*parametros_manuales!$F$95+parametros_manuales!$E$23*(datos_base!$H$3+IF(parametros_manuales!$H$23="Todos",datos_base!$H$10,0))*parametros_manuales!$F$100+parametros_manuales!$F$23*(datos_base!$H$4+IF(parametros_manuales!$H$23="Todos",datos_base!$H$11,0))*parametros_manuales!$F$105+parametros_manuales!$G$23*(datos_base!$H$5+IF(parametros_manuales!$H$23="Todos",datos_base!$H$12,0))*parametros_manuales!$F$110)*parametros_manuales!$I$23*parametros_manuales!$J$23</f>
        <v>12423.18</v>
      </c>
      <c r="G168" s="4">
        <f>(parametros_manuales!$D$23*(datos_base!$H$2+IF(parametros_manuales!$H$23="Todos",datos_base!$H$9,0))*parametros_manuales!$G$95+parametros_manuales!$E$23*(datos_base!$H$3+IF(parametros_manuales!$H$23="Todos",datos_base!$H$10,0))*parametros_manuales!$G$100+parametros_manuales!$F$23*(datos_base!$H$4+IF(parametros_manuales!$H$23="Todos",datos_base!$H$11,0))*parametros_manuales!$G$105+parametros_manuales!$G$23*(datos_base!$H$5+IF(parametros_manuales!$H$23="Todos",datos_base!$H$12,0))*parametros_manuales!$G$110)*parametros_manuales!$I$23*parametros_manuales!$J$23</f>
        <v>12179.055</v>
      </c>
      <c r="H168" s="4">
        <f>(parametros_manuales!$D$23*(datos_base!$H$2+IF(parametros_manuales!$H$23="Todos",datos_base!$H$9,0))*parametros_manuales!$H$95+parametros_manuales!$E$23*(datos_base!$H$3+IF(parametros_manuales!$H$23="Todos",datos_base!$H$10,0))*parametros_manuales!$H$100+parametros_manuales!$F$23*(datos_base!$H$4+IF(parametros_manuales!$H$23="Todos",datos_base!$H$11,0))*parametros_manuales!$H$105+parametros_manuales!$G$23*(datos_base!$H$5+IF(parametros_manuales!$H$23="Todos",datos_base!$H$12,0))*parametros_manuales!$H$110)*parametros_manuales!$I$23*parametros_manuales!$J$23</f>
        <v>13031.55</v>
      </c>
      <c r="I168" s="4">
        <f>(parametros_manuales!$D$23*(datos_base!$H$2+IF(parametros_manuales!$H$23="Todos",datos_base!$H$9,0))*parametros_manuales!$I$95+parametros_manuales!$E$23*(datos_base!$H$3+IF(parametros_manuales!$H$23="Todos",datos_base!$H$10,0))*parametros_manuales!$I$100+parametros_manuales!$F$23*(datos_base!$H$4+IF(parametros_manuales!$H$23="Todos",datos_base!$H$11,0))*parametros_manuales!$I$105+parametros_manuales!$G$23*(datos_base!$H$5+IF(parametros_manuales!$H$23="Todos",datos_base!$H$12,0))*parametros_manuales!$I$110)*parametros_manuales!$I$23*parametros_manuales!$J$23</f>
        <v>14856.66</v>
      </c>
      <c r="J168" s="4">
        <f>(parametros_manuales!$D$23*(datos_base!$H$2+IF(parametros_manuales!$H$23="Todos",datos_base!$H$9,0))*parametros_manuales!$J$95+parametros_manuales!$E$23*(datos_base!$H$3+IF(parametros_manuales!$H$23="Todos",datos_base!$H$10,0))*parametros_manuales!$J$100+parametros_manuales!$F$23*(datos_base!$H$4+IF(parametros_manuales!$H$23="Todos",datos_base!$H$11,0))*parametros_manuales!$J$105+parametros_manuales!$G$23*(datos_base!$H$5+IF(parametros_manuales!$H$23="Todos",datos_base!$H$12,0))*parametros_manuales!$J$110)*parametros_manuales!$I$23*parametros_manuales!$J$23</f>
        <v>14856.66</v>
      </c>
      <c r="K168" s="4">
        <f>(parametros_manuales!$D$23*(datos_base!$H$2+IF(parametros_manuales!$H$23="Todos",datos_base!$H$9,0))*parametros_manuales!$K$95+parametros_manuales!$E$23*(datos_base!$H$3+IF(parametros_manuales!$H$23="Todos",datos_base!$H$10,0))*parametros_manuales!$K$100+parametros_manuales!$F$23*(datos_base!$H$4+IF(parametros_manuales!$H$23="Todos",datos_base!$H$11,0))*parametros_manuales!$K$105+parametros_manuales!$G$23*(datos_base!$H$5+IF(parametros_manuales!$H$23="Todos",datos_base!$H$12,0))*parametros_manuales!$K$110)*parametros_manuales!$I$23*parametros_manuales!$J$23</f>
        <v>15100.785</v>
      </c>
      <c r="L168" s="4">
        <f>(parametros_manuales!$D$23*(datos_base!$H$2+IF(parametros_manuales!$H$23="Todos",datos_base!$H$9,0))*parametros_manuales!$L$95+parametros_manuales!$E$23*(datos_base!$H$3+IF(parametros_manuales!$H$23="Todos",datos_base!$H$10,0))*parametros_manuales!$L$100+parametros_manuales!$F$23*(datos_base!$H$4+IF(parametros_manuales!$H$23="Todos",datos_base!$H$11,0))*parametros_manuales!$L$105+parametros_manuales!$G$23*(datos_base!$H$5+IF(parametros_manuales!$H$23="Todos",datos_base!$H$12,0))*parametros_manuales!$L$110)*parametros_manuales!$I$23*parametros_manuales!$J$23</f>
        <v>15344.91</v>
      </c>
      <c r="M168" s="4">
        <f>(parametros_manuales!$D$23*(datos_base!$H$2+IF(parametros_manuales!$H$23="Todos",datos_base!$H$9,0))*parametros_manuales!$M$95+parametros_manuales!$E$23*(datos_base!$H$3+IF(parametros_manuales!$H$23="Todos",datos_base!$H$10,0))*parametros_manuales!$M$100+parametros_manuales!$F$23*(datos_base!$H$4+IF(parametros_manuales!$H$23="Todos",datos_base!$H$11,0))*parametros_manuales!$M$105+parametros_manuales!$G$23*(datos_base!$H$5+IF(parametros_manuales!$H$23="Todos",datos_base!$H$12,0))*parametros_manuales!$M$110)*parametros_manuales!$I$23*parametros_manuales!$J$23</f>
        <v>15344.91</v>
      </c>
      <c r="N168" s="4">
        <f t="shared" si="19"/>
        <v>170499</v>
      </c>
      <c r="O168" s="4">
        <f t="shared" si="20"/>
        <v>15344.91</v>
      </c>
      <c r="P168" s="27">
        <f>O168/(parametros_manuales!$B$7)</f>
        <v>102.2994</v>
      </c>
      <c r="Q168" s="3" t="str">
        <f t="shared" si="21"/>
        <v>Ene</v>
      </c>
    </row>
    <row r="169" ht="14.25" customHeight="1">
      <c r="A169" s="3" t="str">
        <f>parametros_manuales!$B$24</f>
        <v>Numerado de cúpula</v>
      </c>
      <c r="B169" s="4">
        <f>(parametros_manuales!$D$24*(datos_base!$H$2+IF(parametros_manuales!$H$24="Todos",datos_base!$H$9,0))*parametros_manuales!$B$95+parametros_manuales!$E$24*(datos_base!$H$3+IF(parametros_manuales!$H$24="Todos",datos_base!$H$10,0))*parametros_manuales!$B$100+parametros_manuales!$F$24*(datos_base!$H$4+IF(parametros_manuales!$H$24="Todos",datos_base!$H$11,0))*parametros_manuales!$B$105+parametros_manuales!$G$24*(datos_base!$H$5+IF(parametros_manuales!$H$24="Todos",datos_base!$H$12,0))*parametros_manuales!$B$110)*parametros_manuales!$I$24*parametros_manuales!$J$24</f>
        <v>15344.91</v>
      </c>
      <c r="C169" s="4">
        <f>(parametros_manuales!$D$24*(datos_base!$H$2+IF(parametros_manuales!$H$24="Todos",datos_base!$H$9,0))*parametros_manuales!$C$95+parametros_manuales!$E$24*(datos_base!$H$3+IF(parametros_manuales!$H$24="Todos",datos_base!$H$10,0))*parametros_manuales!$C$100+parametros_manuales!$F$24*(datos_base!$H$4+IF(parametros_manuales!$H$24="Todos",datos_base!$H$11,0))*parametros_manuales!$C$105+parametros_manuales!$G$24*(datos_base!$H$5+IF(parametros_manuales!$H$24="Todos",datos_base!$H$12,0))*parametros_manuales!$C$110)*parametros_manuales!$I$24*parametros_manuales!$J$24</f>
        <v>14856.66</v>
      </c>
      <c r="D169" s="4">
        <f>(parametros_manuales!$D$24*(datos_base!$H$2+IF(parametros_manuales!$H$24="Todos",datos_base!$H$9,0))*parametros_manuales!$D$95+parametros_manuales!$E$24*(datos_base!$H$3+IF(parametros_manuales!$H$24="Todos",datos_base!$H$10,0))*parametros_manuales!$D$100+parametros_manuales!$F$24*(datos_base!$H$4+IF(parametros_manuales!$H$24="Todos",datos_base!$H$11,0))*parametros_manuales!$D$105+parametros_manuales!$G$24*(datos_base!$H$5+IF(parametros_manuales!$H$24="Todos",datos_base!$H$12,0))*parametros_manuales!$D$110)*parametros_manuales!$I$24*parametros_manuales!$J$24</f>
        <v>13884.045</v>
      </c>
      <c r="E169" s="4">
        <f>(parametros_manuales!$D$24*(datos_base!$H$2+IF(parametros_manuales!$H$24="Todos",datos_base!$H$9,0))*parametros_manuales!$E$95+parametros_manuales!$E$24*(datos_base!$H$3+IF(parametros_manuales!$H$24="Todos",datos_base!$H$10,0))*parametros_manuales!$E$100+parametros_manuales!$F$24*(datos_base!$H$4+IF(parametros_manuales!$H$24="Todos",datos_base!$H$11,0))*parametros_manuales!$E$105+parametros_manuales!$G$24*(datos_base!$H$5+IF(parametros_manuales!$H$24="Todos",datos_base!$H$12,0))*parametros_manuales!$E$110)*parametros_manuales!$I$24*parametros_manuales!$J$24</f>
        <v>13275.675</v>
      </c>
      <c r="F169" s="4">
        <f>(parametros_manuales!$D$24*(datos_base!$H$2+IF(parametros_manuales!$H$24="Todos",datos_base!$H$9,0))*parametros_manuales!$F$95+parametros_manuales!$E$24*(datos_base!$H$3+IF(parametros_manuales!$H$24="Todos",datos_base!$H$10,0))*parametros_manuales!$F$100+parametros_manuales!$F$24*(datos_base!$H$4+IF(parametros_manuales!$H$24="Todos",datos_base!$H$11,0))*parametros_manuales!$F$105+parametros_manuales!$G$24*(datos_base!$H$5+IF(parametros_manuales!$H$24="Todos",datos_base!$H$12,0))*parametros_manuales!$F$110)*parametros_manuales!$I$24*parametros_manuales!$J$24</f>
        <v>12423.18</v>
      </c>
      <c r="G169" s="4">
        <f>(parametros_manuales!$D$24*(datos_base!$H$2+IF(parametros_manuales!$H$24="Todos",datos_base!$H$9,0))*parametros_manuales!$G$95+parametros_manuales!$E$24*(datos_base!$H$3+IF(parametros_manuales!$H$24="Todos",datos_base!$H$10,0))*parametros_manuales!$G$100+parametros_manuales!$F$24*(datos_base!$H$4+IF(parametros_manuales!$H$24="Todos",datos_base!$H$11,0))*parametros_manuales!$G$105+parametros_manuales!$G$24*(datos_base!$H$5+IF(parametros_manuales!$H$24="Todos",datos_base!$H$12,0))*parametros_manuales!$G$110)*parametros_manuales!$I$24*parametros_manuales!$J$24</f>
        <v>12179.055</v>
      </c>
      <c r="H169" s="4">
        <f>(parametros_manuales!$D$24*(datos_base!$H$2+IF(parametros_manuales!$H$24="Todos",datos_base!$H$9,0))*parametros_manuales!$H$95+parametros_manuales!$E$24*(datos_base!$H$3+IF(parametros_manuales!$H$24="Todos",datos_base!$H$10,0))*parametros_manuales!$H$100+parametros_manuales!$F$24*(datos_base!$H$4+IF(parametros_manuales!$H$24="Todos",datos_base!$H$11,0))*parametros_manuales!$H$105+parametros_manuales!$G$24*(datos_base!$H$5+IF(parametros_manuales!$H$24="Todos",datos_base!$H$12,0))*parametros_manuales!$H$110)*parametros_manuales!$I$24*parametros_manuales!$J$24</f>
        <v>13031.55</v>
      </c>
      <c r="I169" s="4">
        <f>(parametros_manuales!$D$24*(datos_base!$H$2+IF(parametros_manuales!$H$24="Todos",datos_base!$H$9,0))*parametros_manuales!$I$95+parametros_manuales!$E$24*(datos_base!$H$3+IF(parametros_manuales!$H$24="Todos",datos_base!$H$10,0))*parametros_manuales!$I$100+parametros_manuales!$F$24*(datos_base!$H$4+IF(parametros_manuales!$H$24="Todos",datos_base!$H$11,0))*parametros_manuales!$I$105+parametros_manuales!$G$24*(datos_base!$H$5+IF(parametros_manuales!$H$24="Todos",datos_base!$H$12,0))*parametros_manuales!$I$110)*parametros_manuales!$I$24*parametros_manuales!$J$24</f>
        <v>14856.66</v>
      </c>
      <c r="J169" s="4">
        <f>(parametros_manuales!$D$24*(datos_base!$H$2+IF(parametros_manuales!$H$24="Todos",datos_base!$H$9,0))*parametros_manuales!$J$95+parametros_manuales!$E$24*(datos_base!$H$3+IF(parametros_manuales!$H$24="Todos",datos_base!$H$10,0))*parametros_manuales!$J$100+parametros_manuales!$F$24*(datos_base!$H$4+IF(parametros_manuales!$H$24="Todos",datos_base!$H$11,0))*parametros_manuales!$J$105+parametros_manuales!$G$24*(datos_base!$H$5+IF(parametros_manuales!$H$24="Todos",datos_base!$H$12,0))*parametros_manuales!$J$110)*parametros_manuales!$I$24*parametros_manuales!$J$24</f>
        <v>14856.66</v>
      </c>
      <c r="K169" s="4">
        <f>(parametros_manuales!$D$24*(datos_base!$H$2+IF(parametros_manuales!$H$24="Todos",datos_base!$H$9,0))*parametros_manuales!$K$95+parametros_manuales!$E$24*(datos_base!$H$3+IF(parametros_manuales!$H$24="Todos",datos_base!$H$10,0))*parametros_manuales!$K$100+parametros_manuales!$F$24*(datos_base!$H$4+IF(parametros_manuales!$H$24="Todos",datos_base!$H$11,0))*parametros_manuales!$K$105+parametros_manuales!$G$24*(datos_base!$H$5+IF(parametros_manuales!$H$24="Todos",datos_base!$H$12,0))*parametros_manuales!$K$110)*parametros_manuales!$I$24*parametros_manuales!$J$24</f>
        <v>15100.785</v>
      </c>
      <c r="L169" s="4">
        <f>(parametros_manuales!$D$24*(datos_base!$H$2+IF(parametros_manuales!$H$24="Todos",datos_base!$H$9,0))*parametros_manuales!$L$95+parametros_manuales!$E$24*(datos_base!$H$3+IF(parametros_manuales!$H$24="Todos",datos_base!$H$10,0))*parametros_manuales!$L$100+parametros_manuales!$F$24*(datos_base!$H$4+IF(parametros_manuales!$H$24="Todos",datos_base!$H$11,0))*parametros_manuales!$L$105+parametros_manuales!$G$24*(datos_base!$H$5+IF(parametros_manuales!$H$24="Todos",datos_base!$H$12,0))*parametros_manuales!$L$110)*parametros_manuales!$I$24*parametros_manuales!$J$24</f>
        <v>15344.91</v>
      </c>
      <c r="M169" s="4">
        <f>(parametros_manuales!$D$24*(datos_base!$H$2+IF(parametros_manuales!$H$24="Todos",datos_base!$H$9,0))*parametros_manuales!$M$95+parametros_manuales!$E$24*(datos_base!$H$3+IF(parametros_manuales!$H$24="Todos",datos_base!$H$10,0))*parametros_manuales!$M$100+parametros_manuales!$F$24*(datos_base!$H$4+IF(parametros_manuales!$H$24="Todos",datos_base!$H$11,0))*parametros_manuales!$M$105+parametros_manuales!$G$24*(datos_base!$H$5+IF(parametros_manuales!$H$24="Todos",datos_base!$H$12,0))*parametros_manuales!$M$110)*parametros_manuales!$I$24*parametros_manuales!$J$24</f>
        <v>15344.91</v>
      </c>
      <c r="N169" s="4">
        <f t="shared" si="19"/>
        <v>170499</v>
      </c>
      <c r="O169" s="4">
        <f t="shared" si="20"/>
        <v>15344.91</v>
      </c>
      <c r="P169" s="27">
        <f>O169/(parametros_manuales!$B$7)</f>
        <v>102.2994</v>
      </c>
      <c r="Q169" s="3" t="str">
        <f t="shared" si="21"/>
        <v>Ene</v>
      </c>
    </row>
    <row r="170" ht="14.25" customHeight="1">
      <c r="A170" s="3" t="str">
        <f>parametros_manuales!$B$25</f>
        <v>Soldadura del cuello a la cúpula</v>
      </c>
      <c r="B170" s="4">
        <f>(parametros_manuales!$D$25*(datos_base!$H$2+IF(parametros_manuales!$H$25="Todos",datos_base!$H$9,0))*parametros_manuales!$B$95+parametros_manuales!$E$25*(datos_base!$H$3+IF(parametros_manuales!$H$25="Todos",datos_base!$H$10,0))*parametros_manuales!$B$100+parametros_manuales!$F$25*(datos_base!$H$4+IF(parametros_manuales!$H$25="Todos",datos_base!$H$11,0))*parametros_manuales!$B$105+parametros_manuales!$G$25*(datos_base!$H$5+IF(parametros_manuales!$H$25="Todos",datos_base!$H$12,0))*parametros_manuales!$B$110)*parametros_manuales!$I$25*parametros_manuales!$J$25</f>
        <v>15344.91</v>
      </c>
      <c r="C170" s="4">
        <f>(parametros_manuales!$D$25*(datos_base!$H$2+IF(parametros_manuales!$H$25="Todos",datos_base!$H$9,0))*parametros_manuales!$C$95+parametros_manuales!$E$25*(datos_base!$H$3+IF(parametros_manuales!$H$25="Todos",datos_base!$H$10,0))*parametros_manuales!$C$100+parametros_manuales!$F$25*(datos_base!$H$4+IF(parametros_manuales!$H$25="Todos",datos_base!$H$11,0))*parametros_manuales!$C$105+parametros_manuales!$G$25*(datos_base!$H$5+IF(parametros_manuales!$H$25="Todos",datos_base!$H$12,0))*parametros_manuales!$C$110)*parametros_manuales!$I$25*parametros_manuales!$J$25</f>
        <v>14856.66</v>
      </c>
      <c r="D170" s="4">
        <f>(parametros_manuales!$D$25*(datos_base!$H$2+IF(parametros_manuales!$H$25="Todos",datos_base!$H$9,0))*parametros_manuales!$D$95+parametros_manuales!$E$25*(datos_base!$H$3+IF(parametros_manuales!$H$25="Todos",datos_base!$H$10,0))*parametros_manuales!$D$100+parametros_manuales!$F$25*(datos_base!$H$4+IF(parametros_manuales!$H$25="Todos",datos_base!$H$11,0))*parametros_manuales!$D$105+parametros_manuales!$G$25*(datos_base!$H$5+IF(parametros_manuales!$H$25="Todos",datos_base!$H$12,0))*parametros_manuales!$D$110)*parametros_manuales!$I$25*parametros_manuales!$J$25</f>
        <v>13884.045</v>
      </c>
      <c r="E170" s="4">
        <f>(parametros_manuales!$D$25*(datos_base!$H$2+IF(parametros_manuales!$H$25="Todos",datos_base!$H$9,0))*parametros_manuales!$E$95+parametros_manuales!$E$25*(datos_base!$H$3+IF(parametros_manuales!$H$25="Todos",datos_base!$H$10,0))*parametros_manuales!$E$100+parametros_manuales!$F$25*(datos_base!$H$4+IF(parametros_manuales!$H$25="Todos",datos_base!$H$11,0))*parametros_manuales!$E$105+parametros_manuales!$G$25*(datos_base!$H$5+IF(parametros_manuales!$H$25="Todos",datos_base!$H$12,0))*parametros_manuales!$E$110)*parametros_manuales!$I$25*parametros_manuales!$J$25</f>
        <v>13275.675</v>
      </c>
      <c r="F170" s="4">
        <f>(parametros_manuales!$D$25*(datos_base!$H$2+IF(parametros_manuales!$H$25="Todos",datos_base!$H$9,0))*parametros_manuales!$F$95+parametros_manuales!$E$25*(datos_base!$H$3+IF(parametros_manuales!$H$25="Todos",datos_base!$H$10,0))*parametros_manuales!$F$100+parametros_manuales!$F$25*(datos_base!$H$4+IF(parametros_manuales!$H$25="Todos",datos_base!$H$11,0))*parametros_manuales!$F$105+parametros_manuales!$G$25*(datos_base!$H$5+IF(parametros_manuales!$H$25="Todos",datos_base!$H$12,0))*parametros_manuales!$F$110)*parametros_manuales!$I$25*parametros_manuales!$J$25</f>
        <v>12423.18</v>
      </c>
      <c r="G170" s="4">
        <f>(parametros_manuales!$D$25*(datos_base!$H$2+IF(parametros_manuales!$H$25="Todos",datos_base!$H$9,0))*parametros_manuales!$G$95+parametros_manuales!$E$25*(datos_base!$H$3+IF(parametros_manuales!$H$25="Todos",datos_base!$H$10,0))*parametros_manuales!$G$100+parametros_manuales!$F$25*(datos_base!$H$4+IF(parametros_manuales!$H$25="Todos",datos_base!$H$11,0))*parametros_manuales!$G$105+parametros_manuales!$G$25*(datos_base!$H$5+IF(parametros_manuales!$H$25="Todos",datos_base!$H$12,0))*parametros_manuales!$G$110)*parametros_manuales!$I$25*parametros_manuales!$J$25</f>
        <v>12179.055</v>
      </c>
      <c r="H170" s="4">
        <f>(parametros_manuales!$D$25*(datos_base!$H$2+IF(parametros_manuales!$H$25="Todos",datos_base!$H$9,0))*parametros_manuales!$H$95+parametros_manuales!$E$25*(datos_base!$H$3+IF(parametros_manuales!$H$25="Todos",datos_base!$H$10,0))*parametros_manuales!$H$100+parametros_manuales!$F$25*(datos_base!$H$4+IF(parametros_manuales!$H$25="Todos",datos_base!$H$11,0))*parametros_manuales!$H$105+parametros_manuales!$G$25*(datos_base!$H$5+IF(parametros_manuales!$H$25="Todos",datos_base!$H$12,0))*parametros_manuales!$H$110)*parametros_manuales!$I$25*parametros_manuales!$J$25</f>
        <v>13031.55</v>
      </c>
      <c r="I170" s="4">
        <f>(parametros_manuales!$D$25*(datos_base!$H$2+IF(parametros_manuales!$H$25="Todos",datos_base!$H$9,0))*parametros_manuales!$I$95+parametros_manuales!$E$25*(datos_base!$H$3+IF(parametros_manuales!$H$25="Todos",datos_base!$H$10,0))*parametros_manuales!$I$100+parametros_manuales!$F$25*(datos_base!$H$4+IF(parametros_manuales!$H$25="Todos",datos_base!$H$11,0))*parametros_manuales!$I$105+parametros_manuales!$G$25*(datos_base!$H$5+IF(parametros_manuales!$H$25="Todos",datos_base!$H$12,0))*parametros_manuales!$I$110)*parametros_manuales!$I$25*parametros_manuales!$J$25</f>
        <v>14856.66</v>
      </c>
      <c r="J170" s="4">
        <f>(parametros_manuales!$D$25*(datos_base!$H$2+IF(parametros_manuales!$H$25="Todos",datos_base!$H$9,0))*parametros_manuales!$J$95+parametros_manuales!$E$25*(datos_base!$H$3+IF(parametros_manuales!$H$25="Todos",datos_base!$H$10,0))*parametros_manuales!$J$100+parametros_manuales!$F$25*(datos_base!$H$4+IF(parametros_manuales!$H$25="Todos",datos_base!$H$11,0))*parametros_manuales!$J$105+parametros_manuales!$G$25*(datos_base!$H$5+IF(parametros_manuales!$H$25="Todos",datos_base!$H$12,0))*parametros_manuales!$J$110)*parametros_manuales!$I$25*parametros_manuales!$J$25</f>
        <v>14856.66</v>
      </c>
      <c r="K170" s="4">
        <f>(parametros_manuales!$D$25*(datos_base!$H$2+IF(parametros_manuales!$H$25="Todos",datos_base!$H$9,0))*parametros_manuales!$K$95+parametros_manuales!$E$25*(datos_base!$H$3+IF(parametros_manuales!$H$25="Todos",datos_base!$H$10,0))*parametros_manuales!$K$100+parametros_manuales!$F$25*(datos_base!$H$4+IF(parametros_manuales!$H$25="Todos",datos_base!$H$11,0))*parametros_manuales!$K$105+parametros_manuales!$G$25*(datos_base!$H$5+IF(parametros_manuales!$H$25="Todos",datos_base!$H$12,0))*parametros_manuales!$K$110)*parametros_manuales!$I$25*parametros_manuales!$J$25</f>
        <v>15100.785</v>
      </c>
      <c r="L170" s="4">
        <f>(parametros_manuales!$D$25*(datos_base!$H$2+IF(parametros_manuales!$H$25="Todos",datos_base!$H$9,0))*parametros_manuales!$L$95+parametros_manuales!$E$25*(datos_base!$H$3+IF(parametros_manuales!$H$25="Todos",datos_base!$H$10,0))*parametros_manuales!$L$100+parametros_manuales!$F$25*(datos_base!$H$4+IF(parametros_manuales!$H$25="Todos",datos_base!$H$11,0))*parametros_manuales!$L$105+parametros_manuales!$G$25*(datos_base!$H$5+IF(parametros_manuales!$H$25="Todos",datos_base!$H$12,0))*parametros_manuales!$L$110)*parametros_manuales!$I$25*parametros_manuales!$J$25</f>
        <v>15344.91</v>
      </c>
      <c r="M170" s="4">
        <f>(parametros_manuales!$D$25*(datos_base!$H$2+IF(parametros_manuales!$H$25="Todos",datos_base!$H$9,0))*parametros_manuales!$M$95+parametros_manuales!$E$25*(datos_base!$H$3+IF(parametros_manuales!$H$25="Todos",datos_base!$H$10,0))*parametros_manuales!$M$100+parametros_manuales!$F$25*(datos_base!$H$4+IF(parametros_manuales!$H$25="Todos",datos_base!$H$11,0))*parametros_manuales!$M$105+parametros_manuales!$G$25*(datos_base!$H$5+IF(parametros_manuales!$H$25="Todos",datos_base!$H$12,0))*parametros_manuales!$M$110)*parametros_manuales!$I$25*parametros_manuales!$J$25</f>
        <v>15344.91</v>
      </c>
      <c r="N170" s="4">
        <f t="shared" si="19"/>
        <v>170499</v>
      </c>
      <c r="O170" s="4">
        <f t="shared" si="20"/>
        <v>15344.91</v>
      </c>
      <c r="P170" s="27">
        <f>O170/(parametros_manuales!$B$7)</f>
        <v>102.2994</v>
      </c>
      <c r="Q170" s="3" t="str">
        <f t="shared" si="21"/>
        <v>Ene</v>
      </c>
    </row>
    <row r="171" ht="14.25" customHeight="1">
      <c r="A171" s="3" t="str">
        <f>parametros_manuales!$B$26</f>
        <v>Cilindrado</v>
      </c>
      <c r="B171" s="4">
        <f>(parametros_manuales!$D$26*(datos_base!$H$2+IF(parametros_manuales!$H$26="Todos",datos_base!$H$9,0))*parametros_manuales!$B$95+parametros_manuales!$E$26*(datos_base!$H$3+IF(parametros_manuales!$H$26="Todos",datos_base!$H$10,0))*parametros_manuales!$B$100+parametros_manuales!$F$26*(datos_base!$H$4+IF(parametros_manuales!$H$26="Todos",datos_base!$H$11,0))*parametros_manuales!$B$105+parametros_manuales!$G$26*(datos_base!$H$5+IF(parametros_manuales!$H$26="Todos",datos_base!$H$12,0))*parametros_manuales!$B$110)*parametros_manuales!$I$26*parametros_manuales!$J$26</f>
        <v>4394.25</v>
      </c>
      <c r="C171" s="4">
        <f>(parametros_manuales!$D$26*(datos_base!$H$2+IF(parametros_manuales!$H$26="Todos",datos_base!$H$9,0))*parametros_manuales!$C$95+parametros_manuales!$E$26*(datos_base!$H$3+IF(parametros_manuales!$H$26="Todos",datos_base!$H$10,0))*parametros_manuales!$C$100+parametros_manuales!$F$26*(datos_base!$H$4+IF(parametros_manuales!$H$26="Todos",datos_base!$H$11,0))*parametros_manuales!$C$105+parametros_manuales!$G$26*(datos_base!$H$5+IF(parametros_manuales!$H$26="Todos",datos_base!$H$12,0))*parametros_manuales!$C$110)*parametros_manuales!$I$26*parametros_manuales!$J$26</f>
        <v>3906</v>
      </c>
      <c r="D171" s="4">
        <f>(parametros_manuales!$D$26*(datos_base!$H$2+IF(parametros_manuales!$H$26="Todos",datos_base!$H$9,0))*parametros_manuales!$D$95+parametros_manuales!$E$26*(datos_base!$H$3+IF(parametros_manuales!$H$26="Todos",datos_base!$H$10,0))*parametros_manuales!$D$100+parametros_manuales!$F$26*(datos_base!$H$4+IF(parametros_manuales!$H$26="Todos",datos_base!$H$11,0))*parametros_manuales!$D$105+parametros_manuales!$G$26*(datos_base!$H$5+IF(parametros_manuales!$H$26="Todos",datos_base!$H$12,0))*parametros_manuales!$D$110)*parametros_manuales!$I$26*parametros_manuales!$J$26</f>
        <v>4150.125</v>
      </c>
      <c r="E171" s="4">
        <f>(parametros_manuales!$D$26*(datos_base!$H$2+IF(parametros_manuales!$H$26="Todos",datos_base!$H$9,0))*parametros_manuales!$E$95+parametros_manuales!$E$26*(datos_base!$H$3+IF(parametros_manuales!$H$26="Todos",datos_base!$H$10,0))*parametros_manuales!$E$100+parametros_manuales!$F$26*(datos_base!$H$4+IF(parametros_manuales!$H$26="Todos",datos_base!$H$11,0))*parametros_manuales!$E$105+parametros_manuales!$G$26*(datos_base!$H$5+IF(parametros_manuales!$H$26="Todos",datos_base!$H$12,0))*parametros_manuales!$E$110)*parametros_manuales!$I$26*parametros_manuales!$J$26</f>
        <v>4150.125</v>
      </c>
      <c r="F171" s="4">
        <f>(parametros_manuales!$D$26*(datos_base!$H$2+IF(parametros_manuales!$H$26="Todos",datos_base!$H$9,0))*parametros_manuales!$F$95+parametros_manuales!$E$26*(datos_base!$H$3+IF(parametros_manuales!$H$26="Todos",datos_base!$H$10,0))*parametros_manuales!$F$100+parametros_manuales!$F$26*(datos_base!$H$4+IF(parametros_manuales!$H$26="Todos",datos_base!$H$11,0))*parametros_manuales!$F$105+parametros_manuales!$G$26*(datos_base!$H$5+IF(parametros_manuales!$H$26="Todos",datos_base!$H$12,0))*parametros_manuales!$F$110)*parametros_manuales!$I$26*parametros_manuales!$J$26</f>
        <v>3906</v>
      </c>
      <c r="G171" s="4">
        <f>(parametros_manuales!$D$26*(datos_base!$H$2+IF(parametros_manuales!$H$26="Todos",datos_base!$H$9,0))*parametros_manuales!$G$95+parametros_manuales!$E$26*(datos_base!$H$3+IF(parametros_manuales!$H$26="Todos",datos_base!$H$10,0))*parametros_manuales!$G$100+parametros_manuales!$F$26*(datos_base!$H$4+IF(parametros_manuales!$H$26="Todos",datos_base!$H$11,0))*parametros_manuales!$G$105+parametros_manuales!$G$26*(datos_base!$H$5+IF(parametros_manuales!$H$26="Todos",datos_base!$H$12,0))*parametros_manuales!$G$110)*parametros_manuales!$I$26*parametros_manuales!$J$26</f>
        <v>3661.875</v>
      </c>
      <c r="H171" s="4">
        <f>(parametros_manuales!$D$26*(datos_base!$H$2+IF(parametros_manuales!$H$26="Todos",datos_base!$H$9,0))*parametros_manuales!$H$95+parametros_manuales!$E$26*(datos_base!$H$3+IF(parametros_manuales!$H$26="Todos",datos_base!$H$10,0))*parametros_manuales!$H$100+parametros_manuales!$F$26*(datos_base!$H$4+IF(parametros_manuales!$H$26="Todos",datos_base!$H$11,0))*parametros_manuales!$H$105+parametros_manuales!$G$26*(datos_base!$H$5+IF(parametros_manuales!$H$26="Todos",datos_base!$H$12,0))*parametros_manuales!$H$110)*parametros_manuales!$I$26*parametros_manuales!$J$26</f>
        <v>3906</v>
      </c>
      <c r="I171" s="4">
        <f>(parametros_manuales!$D$26*(datos_base!$H$2+IF(parametros_manuales!$H$26="Todos",datos_base!$H$9,0))*parametros_manuales!$I$95+parametros_manuales!$E$26*(datos_base!$H$3+IF(parametros_manuales!$H$26="Todos",datos_base!$H$10,0))*parametros_manuales!$I$100+parametros_manuales!$F$26*(datos_base!$H$4+IF(parametros_manuales!$H$26="Todos",datos_base!$H$11,0))*parametros_manuales!$I$105+parametros_manuales!$G$26*(datos_base!$H$5+IF(parametros_manuales!$H$26="Todos",datos_base!$H$12,0))*parametros_manuales!$I$110)*parametros_manuales!$I$26*parametros_manuales!$J$26</f>
        <v>3906</v>
      </c>
      <c r="J171" s="4">
        <f>(parametros_manuales!$D$26*(datos_base!$H$2+IF(parametros_manuales!$H$26="Todos",datos_base!$H$9,0))*parametros_manuales!$J$95+parametros_manuales!$E$26*(datos_base!$H$3+IF(parametros_manuales!$H$26="Todos",datos_base!$H$10,0))*parametros_manuales!$J$100+parametros_manuales!$F$26*(datos_base!$H$4+IF(parametros_manuales!$H$26="Todos",datos_base!$H$11,0))*parametros_manuales!$J$105+parametros_manuales!$G$26*(datos_base!$H$5+IF(parametros_manuales!$H$26="Todos",datos_base!$H$12,0))*parametros_manuales!$J$110)*parametros_manuales!$I$26*parametros_manuales!$J$26</f>
        <v>3906</v>
      </c>
      <c r="K171" s="4">
        <f>(parametros_manuales!$D$26*(datos_base!$H$2+IF(parametros_manuales!$H$26="Todos",datos_base!$H$9,0))*parametros_manuales!$K$95+parametros_manuales!$E$26*(datos_base!$H$3+IF(parametros_manuales!$H$26="Todos",datos_base!$H$10,0))*parametros_manuales!$K$100+parametros_manuales!$F$26*(datos_base!$H$4+IF(parametros_manuales!$H$26="Todos",datos_base!$H$11,0))*parametros_manuales!$K$105+parametros_manuales!$G$26*(datos_base!$H$5+IF(parametros_manuales!$H$26="Todos",datos_base!$H$12,0))*parametros_manuales!$K$110)*parametros_manuales!$I$26*parametros_manuales!$J$26</f>
        <v>4150.125</v>
      </c>
      <c r="L171" s="4">
        <f>(parametros_manuales!$D$26*(datos_base!$H$2+IF(parametros_manuales!$H$26="Todos",datos_base!$H$9,0))*parametros_manuales!$L$95+parametros_manuales!$E$26*(datos_base!$H$3+IF(parametros_manuales!$H$26="Todos",datos_base!$H$10,0))*parametros_manuales!$L$100+parametros_manuales!$F$26*(datos_base!$H$4+IF(parametros_manuales!$H$26="Todos",datos_base!$H$11,0))*parametros_manuales!$L$105+parametros_manuales!$G$26*(datos_base!$H$5+IF(parametros_manuales!$H$26="Todos",datos_base!$H$12,0))*parametros_manuales!$L$110)*parametros_manuales!$I$26*parametros_manuales!$J$26</f>
        <v>4394.25</v>
      </c>
      <c r="M171" s="4">
        <f>(parametros_manuales!$D$26*(datos_base!$H$2+IF(parametros_manuales!$H$26="Todos",datos_base!$H$9,0))*parametros_manuales!$M$95+parametros_manuales!$E$26*(datos_base!$H$3+IF(parametros_manuales!$H$26="Todos",datos_base!$H$10,0))*parametros_manuales!$M$100+parametros_manuales!$F$26*(datos_base!$H$4+IF(parametros_manuales!$H$26="Todos",datos_base!$H$11,0))*parametros_manuales!$M$105+parametros_manuales!$G$26*(datos_base!$H$5+IF(parametros_manuales!$H$26="Todos",datos_base!$H$12,0))*parametros_manuales!$M$110)*parametros_manuales!$I$26*parametros_manuales!$J$26</f>
        <v>4394.25</v>
      </c>
      <c r="N171" s="4">
        <f t="shared" si="19"/>
        <v>48825</v>
      </c>
      <c r="O171" s="4">
        <f t="shared" si="20"/>
        <v>4394.25</v>
      </c>
      <c r="P171" s="27">
        <f>O171/(parametros_manuales!$B$7)</f>
        <v>29.295</v>
      </c>
      <c r="Q171" s="3" t="str">
        <f t="shared" si="21"/>
        <v>Ene</v>
      </c>
    </row>
    <row r="172" ht="14.25" customHeight="1">
      <c r="A172" s="3" t="str">
        <f>parametros_manuales!$B$27</f>
        <v>Soldadura longitudinal</v>
      </c>
      <c r="B172" s="4">
        <f>(parametros_manuales!$D$27*(datos_base!$H$2+IF(parametros_manuales!$H$27="Todos",datos_base!$H$9,0))*parametros_manuales!$B$95+parametros_manuales!$E$27*(datos_base!$H$3+IF(parametros_manuales!$H$27="Todos",datos_base!$H$10,0))*parametros_manuales!$B$100+parametros_manuales!$F$27*(datos_base!$H$4+IF(parametros_manuales!$H$27="Todos",datos_base!$H$11,0))*parametros_manuales!$B$105+parametros_manuales!$G$27*(datos_base!$H$5+IF(parametros_manuales!$H$27="Todos",datos_base!$H$12,0))*parametros_manuales!$B$110)*parametros_manuales!$I$27*parametros_manuales!$J$27</f>
        <v>4394.25</v>
      </c>
      <c r="C172" s="4">
        <f>(parametros_manuales!$D$27*(datos_base!$H$2+IF(parametros_manuales!$H$27="Todos",datos_base!$H$9,0))*parametros_manuales!$C$95+parametros_manuales!$E$27*(datos_base!$H$3+IF(parametros_manuales!$H$27="Todos",datos_base!$H$10,0))*parametros_manuales!$C$100+parametros_manuales!$F$27*(datos_base!$H$4+IF(parametros_manuales!$H$27="Todos",datos_base!$H$11,0))*parametros_manuales!$C$105+parametros_manuales!$G$27*(datos_base!$H$5+IF(parametros_manuales!$H$27="Todos",datos_base!$H$12,0))*parametros_manuales!$C$110)*parametros_manuales!$I$27*parametros_manuales!$J$27</f>
        <v>3906</v>
      </c>
      <c r="D172" s="4">
        <f>(parametros_manuales!$D$27*(datos_base!$H$2+IF(parametros_manuales!$H$27="Todos",datos_base!$H$9,0))*parametros_manuales!$D$95+parametros_manuales!$E$27*(datos_base!$H$3+IF(parametros_manuales!$H$27="Todos",datos_base!$H$10,0))*parametros_manuales!$D$100+parametros_manuales!$F$27*(datos_base!$H$4+IF(parametros_manuales!$H$27="Todos",datos_base!$H$11,0))*parametros_manuales!$D$105+parametros_manuales!$G$27*(datos_base!$H$5+IF(parametros_manuales!$H$27="Todos",datos_base!$H$12,0))*parametros_manuales!$D$110)*parametros_manuales!$I$27*parametros_manuales!$J$27</f>
        <v>4150.125</v>
      </c>
      <c r="E172" s="4">
        <f>(parametros_manuales!$D$27*(datos_base!$H$2+IF(parametros_manuales!$H$27="Todos",datos_base!$H$9,0))*parametros_manuales!$E$95+parametros_manuales!$E$27*(datos_base!$H$3+IF(parametros_manuales!$H$27="Todos",datos_base!$H$10,0))*parametros_manuales!$E$100+parametros_manuales!$F$27*(datos_base!$H$4+IF(parametros_manuales!$H$27="Todos",datos_base!$H$11,0))*parametros_manuales!$E$105+parametros_manuales!$G$27*(datos_base!$H$5+IF(parametros_manuales!$H$27="Todos",datos_base!$H$12,0))*parametros_manuales!$E$110)*parametros_manuales!$I$27*parametros_manuales!$J$27</f>
        <v>4150.125</v>
      </c>
      <c r="F172" s="4">
        <f>(parametros_manuales!$D$27*(datos_base!$H$2+IF(parametros_manuales!$H$27="Todos",datos_base!$H$9,0))*parametros_manuales!$F$95+parametros_manuales!$E$27*(datos_base!$H$3+IF(parametros_manuales!$H$27="Todos",datos_base!$H$10,0))*parametros_manuales!$F$100+parametros_manuales!$F$27*(datos_base!$H$4+IF(parametros_manuales!$H$27="Todos",datos_base!$H$11,0))*parametros_manuales!$F$105+parametros_manuales!$G$27*(datos_base!$H$5+IF(parametros_manuales!$H$27="Todos",datos_base!$H$12,0))*parametros_manuales!$F$110)*parametros_manuales!$I$27*parametros_manuales!$J$27</f>
        <v>3906</v>
      </c>
      <c r="G172" s="4">
        <f>(parametros_manuales!$D$27*(datos_base!$H$2+IF(parametros_manuales!$H$27="Todos",datos_base!$H$9,0))*parametros_manuales!$G$95+parametros_manuales!$E$27*(datos_base!$H$3+IF(parametros_manuales!$H$27="Todos",datos_base!$H$10,0))*parametros_manuales!$G$100+parametros_manuales!$F$27*(datos_base!$H$4+IF(parametros_manuales!$H$27="Todos",datos_base!$H$11,0))*parametros_manuales!$G$105+parametros_manuales!$G$27*(datos_base!$H$5+IF(parametros_manuales!$H$27="Todos",datos_base!$H$12,0))*parametros_manuales!$G$110)*parametros_manuales!$I$27*parametros_manuales!$J$27</f>
        <v>3661.875</v>
      </c>
      <c r="H172" s="4">
        <f>(parametros_manuales!$D$27*(datos_base!$H$2+IF(parametros_manuales!$H$27="Todos",datos_base!$H$9,0))*parametros_manuales!$H$95+parametros_manuales!$E$27*(datos_base!$H$3+IF(parametros_manuales!$H$27="Todos",datos_base!$H$10,0))*parametros_manuales!$H$100+parametros_manuales!$F$27*(datos_base!$H$4+IF(parametros_manuales!$H$27="Todos",datos_base!$H$11,0))*parametros_manuales!$H$105+parametros_manuales!$G$27*(datos_base!$H$5+IF(parametros_manuales!$H$27="Todos",datos_base!$H$12,0))*parametros_manuales!$H$110)*parametros_manuales!$I$27*parametros_manuales!$J$27</f>
        <v>3906</v>
      </c>
      <c r="I172" s="4">
        <f>(parametros_manuales!$D$27*(datos_base!$H$2+IF(parametros_manuales!$H$27="Todos",datos_base!$H$9,0))*parametros_manuales!$I$95+parametros_manuales!$E$27*(datos_base!$H$3+IF(parametros_manuales!$H$27="Todos",datos_base!$H$10,0))*parametros_manuales!$I$100+parametros_manuales!$F$27*(datos_base!$H$4+IF(parametros_manuales!$H$27="Todos",datos_base!$H$11,0))*parametros_manuales!$I$105+parametros_manuales!$G$27*(datos_base!$H$5+IF(parametros_manuales!$H$27="Todos",datos_base!$H$12,0))*parametros_manuales!$I$110)*parametros_manuales!$I$27*parametros_manuales!$J$27</f>
        <v>3906</v>
      </c>
      <c r="J172" s="4">
        <f>(parametros_manuales!$D$27*(datos_base!$H$2+IF(parametros_manuales!$H$27="Todos",datos_base!$H$9,0))*parametros_manuales!$J$95+parametros_manuales!$E$27*(datos_base!$H$3+IF(parametros_manuales!$H$27="Todos",datos_base!$H$10,0))*parametros_manuales!$J$100+parametros_manuales!$F$27*(datos_base!$H$4+IF(parametros_manuales!$H$27="Todos",datos_base!$H$11,0))*parametros_manuales!$J$105+parametros_manuales!$G$27*(datos_base!$H$5+IF(parametros_manuales!$H$27="Todos",datos_base!$H$12,0))*parametros_manuales!$J$110)*parametros_manuales!$I$27*parametros_manuales!$J$27</f>
        <v>3906</v>
      </c>
      <c r="K172" s="4">
        <f>(parametros_manuales!$D$27*(datos_base!$H$2+IF(parametros_manuales!$H$27="Todos",datos_base!$H$9,0))*parametros_manuales!$K$95+parametros_manuales!$E$27*(datos_base!$H$3+IF(parametros_manuales!$H$27="Todos",datos_base!$H$10,0))*parametros_manuales!$K$100+parametros_manuales!$F$27*(datos_base!$H$4+IF(parametros_manuales!$H$27="Todos",datos_base!$H$11,0))*parametros_manuales!$K$105+parametros_manuales!$G$27*(datos_base!$H$5+IF(parametros_manuales!$H$27="Todos",datos_base!$H$12,0))*parametros_manuales!$K$110)*parametros_manuales!$I$27*parametros_manuales!$J$27</f>
        <v>4150.125</v>
      </c>
      <c r="L172" s="4">
        <f>(parametros_manuales!$D$27*(datos_base!$H$2+IF(parametros_manuales!$H$27="Todos",datos_base!$H$9,0))*parametros_manuales!$L$95+parametros_manuales!$E$27*(datos_base!$H$3+IF(parametros_manuales!$H$27="Todos",datos_base!$H$10,0))*parametros_manuales!$L$100+parametros_manuales!$F$27*(datos_base!$H$4+IF(parametros_manuales!$H$27="Todos",datos_base!$H$11,0))*parametros_manuales!$L$105+parametros_manuales!$G$27*(datos_base!$H$5+IF(parametros_manuales!$H$27="Todos",datos_base!$H$12,0))*parametros_manuales!$L$110)*parametros_manuales!$I$27*parametros_manuales!$J$27</f>
        <v>4394.25</v>
      </c>
      <c r="M172" s="4">
        <f>(parametros_manuales!$D$27*(datos_base!$H$2+IF(parametros_manuales!$H$27="Todos",datos_base!$H$9,0))*parametros_manuales!$M$95+parametros_manuales!$E$27*(datos_base!$H$3+IF(parametros_manuales!$H$27="Todos",datos_base!$H$10,0))*parametros_manuales!$M$100+parametros_manuales!$F$27*(datos_base!$H$4+IF(parametros_manuales!$H$27="Todos",datos_base!$H$11,0))*parametros_manuales!$M$105+parametros_manuales!$G$27*(datos_base!$H$5+IF(parametros_manuales!$H$27="Todos",datos_base!$H$12,0))*parametros_manuales!$M$110)*parametros_manuales!$I$27*parametros_manuales!$J$27</f>
        <v>4394.25</v>
      </c>
      <c r="N172" s="4">
        <f t="shared" si="19"/>
        <v>48825</v>
      </c>
      <c r="O172" s="4">
        <f t="shared" si="20"/>
        <v>4394.25</v>
      </c>
      <c r="P172" s="27">
        <f>O172/(parametros_manuales!$B$7)</f>
        <v>29.295</v>
      </c>
      <c r="Q172" s="3" t="str">
        <f t="shared" si="21"/>
        <v>Ene</v>
      </c>
    </row>
    <row r="173" ht="14.25" customHeight="1">
      <c r="A173" s="3" t="str">
        <f>parametros_manuales!$B$28</f>
        <v>Encastre de fondo</v>
      </c>
      <c r="B173" s="4">
        <f>(parametros_manuales!$D$28*(datos_base!$H$2+IF(parametros_manuales!$H$28="Todos",datos_base!$H$9,0))*parametros_manuales!$B$95+parametros_manuales!$E$28*(datos_base!$H$3+IF(parametros_manuales!$H$28="Todos",datos_base!$H$10,0))*parametros_manuales!$B$100+parametros_manuales!$F$28*(datos_base!$H$4+IF(parametros_manuales!$H$28="Todos",datos_base!$H$11,0))*parametros_manuales!$B$105+parametros_manuales!$G$28*(datos_base!$H$5+IF(parametros_manuales!$H$28="Todos",datos_base!$H$12,0))*parametros_manuales!$B$110)*parametros_manuales!$I$28*parametros_manuales!$J$28</f>
        <v>15344.91</v>
      </c>
      <c r="C173" s="4">
        <f>(parametros_manuales!$D$28*(datos_base!$H$2+IF(parametros_manuales!$H$28="Todos",datos_base!$H$9,0))*parametros_manuales!$C$95+parametros_manuales!$E$28*(datos_base!$H$3+IF(parametros_manuales!$H$28="Todos",datos_base!$H$10,0))*parametros_manuales!$C$100+parametros_manuales!$F$28*(datos_base!$H$4+IF(parametros_manuales!$H$28="Todos",datos_base!$H$11,0))*parametros_manuales!$C$105+parametros_manuales!$G$28*(datos_base!$H$5+IF(parametros_manuales!$H$28="Todos",datos_base!$H$12,0))*parametros_manuales!$C$110)*parametros_manuales!$I$28*parametros_manuales!$J$28</f>
        <v>14856.66</v>
      </c>
      <c r="D173" s="4">
        <f>(parametros_manuales!$D$28*(datos_base!$H$2+IF(parametros_manuales!$H$28="Todos",datos_base!$H$9,0))*parametros_manuales!$D$95+parametros_manuales!$E$28*(datos_base!$H$3+IF(parametros_manuales!$H$28="Todos",datos_base!$H$10,0))*parametros_manuales!$D$100+parametros_manuales!$F$28*(datos_base!$H$4+IF(parametros_manuales!$H$28="Todos",datos_base!$H$11,0))*parametros_manuales!$D$105+parametros_manuales!$G$28*(datos_base!$H$5+IF(parametros_manuales!$H$28="Todos",datos_base!$H$12,0))*parametros_manuales!$D$110)*parametros_manuales!$I$28*parametros_manuales!$J$28</f>
        <v>13884.045</v>
      </c>
      <c r="E173" s="4">
        <f>(parametros_manuales!$D$28*(datos_base!$H$2+IF(parametros_manuales!$H$28="Todos",datos_base!$H$9,0))*parametros_manuales!$E$95+parametros_manuales!$E$28*(datos_base!$H$3+IF(parametros_manuales!$H$28="Todos",datos_base!$H$10,0))*parametros_manuales!$E$100+parametros_manuales!$F$28*(datos_base!$H$4+IF(parametros_manuales!$H$28="Todos",datos_base!$H$11,0))*parametros_manuales!$E$105+parametros_manuales!$G$28*(datos_base!$H$5+IF(parametros_manuales!$H$28="Todos",datos_base!$H$12,0))*parametros_manuales!$E$110)*parametros_manuales!$I$28*parametros_manuales!$J$28</f>
        <v>13275.675</v>
      </c>
      <c r="F173" s="4">
        <f>(parametros_manuales!$D$28*(datos_base!$H$2+IF(parametros_manuales!$H$28="Todos",datos_base!$H$9,0))*parametros_manuales!$F$95+parametros_manuales!$E$28*(datos_base!$H$3+IF(parametros_manuales!$H$28="Todos",datos_base!$H$10,0))*parametros_manuales!$F$100+parametros_manuales!$F$28*(datos_base!$H$4+IF(parametros_manuales!$H$28="Todos",datos_base!$H$11,0))*parametros_manuales!$F$105+parametros_manuales!$G$28*(datos_base!$H$5+IF(parametros_manuales!$H$28="Todos",datos_base!$H$12,0))*parametros_manuales!$F$110)*parametros_manuales!$I$28*parametros_manuales!$J$28</f>
        <v>12423.18</v>
      </c>
      <c r="G173" s="4">
        <f>(parametros_manuales!$D$28*(datos_base!$H$2+IF(parametros_manuales!$H$28="Todos",datos_base!$H$9,0))*parametros_manuales!$G$95+parametros_manuales!$E$28*(datos_base!$H$3+IF(parametros_manuales!$H$28="Todos",datos_base!$H$10,0))*parametros_manuales!$G$100+parametros_manuales!$F$28*(datos_base!$H$4+IF(parametros_manuales!$H$28="Todos",datos_base!$H$11,0))*parametros_manuales!$G$105+parametros_manuales!$G$28*(datos_base!$H$5+IF(parametros_manuales!$H$28="Todos",datos_base!$H$12,0))*parametros_manuales!$G$110)*parametros_manuales!$I$28*parametros_manuales!$J$28</f>
        <v>12179.055</v>
      </c>
      <c r="H173" s="4">
        <f>(parametros_manuales!$D$28*(datos_base!$H$2+IF(parametros_manuales!$H$28="Todos",datos_base!$H$9,0))*parametros_manuales!$H$95+parametros_manuales!$E$28*(datos_base!$H$3+IF(parametros_manuales!$H$28="Todos",datos_base!$H$10,0))*parametros_manuales!$H$100+parametros_manuales!$F$28*(datos_base!$H$4+IF(parametros_manuales!$H$28="Todos",datos_base!$H$11,0))*parametros_manuales!$H$105+parametros_manuales!$G$28*(datos_base!$H$5+IF(parametros_manuales!$H$28="Todos",datos_base!$H$12,0))*parametros_manuales!$H$110)*parametros_manuales!$I$28*parametros_manuales!$J$28</f>
        <v>13031.55</v>
      </c>
      <c r="I173" s="4">
        <f>(parametros_manuales!$D$28*(datos_base!$H$2+IF(parametros_manuales!$H$28="Todos",datos_base!$H$9,0))*parametros_manuales!$I$95+parametros_manuales!$E$28*(datos_base!$H$3+IF(parametros_manuales!$H$28="Todos",datos_base!$H$10,0))*parametros_manuales!$I$100+parametros_manuales!$F$28*(datos_base!$H$4+IF(parametros_manuales!$H$28="Todos",datos_base!$H$11,0))*parametros_manuales!$I$105+parametros_manuales!$G$28*(datos_base!$H$5+IF(parametros_manuales!$H$28="Todos",datos_base!$H$12,0))*parametros_manuales!$I$110)*parametros_manuales!$I$28*parametros_manuales!$J$28</f>
        <v>14856.66</v>
      </c>
      <c r="J173" s="4">
        <f>(parametros_manuales!$D$28*(datos_base!$H$2+IF(parametros_manuales!$H$28="Todos",datos_base!$H$9,0))*parametros_manuales!$J$95+parametros_manuales!$E$28*(datos_base!$H$3+IF(parametros_manuales!$H$28="Todos",datos_base!$H$10,0))*parametros_manuales!$J$100+parametros_manuales!$F$28*(datos_base!$H$4+IF(parametros_manuales!$H$28="Todos",datos_base!$H$11,0))*parametros_manuales!$J$105+parametros_manuales!$G$28*(datos_base!$H$5+IF(parametros_manuales!$H$28="Todos",datos_base!$H$12,0))*parametros_manuales!$J$110)*parametros_manuales!$I$28*parametros_manuales!$J$28</f>
        <v>14856.66</v>
      </c>
      <c r="K173" s="4">
        <f>(parametros_manuales!$D$28*(datos_base!$H$2+IF(parametros_manuales!$H$28="Todos",datos_base!$H$9,0))*parametros_manuales!$K$95+parametros_manuales!$E$28*(datos_base!$H$3+IF(parametros_manuales!$H$28="Todos",datos_base!$H$10,0))*parametros_manuales!$K$100+parametros_manuales!$F$28*(datos_base!$H$4+IF(parametros_manuales!$H$28="Todos",datos_base!$H$11,0))*parametros_manuales!$K$105+parametros_manuales!$G$28*(datos_base!$H$5+IF(parametros_manuales!$H$28="Todos",datos_base!$H$12,0))*parametros_manuales!$K$110)*parametros_manuales!$I$28*parametros_manuales!$J$28</f>
        <v>15100.785</v>
      </c>
      <c r="L173" s="4">
        <f>(parametros_manuales!$D$28*(datos_base!$H$2+IF(parametros_manuales!$H$28="Todos",datos_base!$H$9,0))*parametros_manuales!$L$95+parametros_manuales!$E$28*(datos_base!$H$3+IF(parametros_manuales!$H$28="Todos",datos_base!$H$10,0))*parametros_manuales!$L$100+parametros_manuales!$F$28*(datos_base!$H$4+IF(parametros_manuales!$H$28="Todos",datos_base!$H$11,0))*parametros_manuales!$L$105+parametros_manuales!$G$28*(datos_base!$H$5+IF(parametros_manuales!$H$28="Todos",datos_base!$H$12,0))*parametros_manuales!$L$110)*parametros_manuales!$I$28*parametros_manuales!$J$28</f>
        <v>15344.91</v>
      </c>
      <c r="M173" s="4">
        <f>(parametros_manuales!$D$28*(datos_base!$H$2+IF(parametros_manuales!$H$28="Todos",datos_base!$H$9,0))*parametros_manuales!$M$95+parametros_manuales!$E$28*(datos_base!$H$3+IF(parametros_manuales!$H$28="Todos",datos_base!$H$10,0))*parametros_manuales!$M$100+parametros_manuales!$F$28*(datos_base!$H$4+IF(parametros_manuales!$H$28="Todos",datos_base!$H$11,0))*parametros_manuales!$M$105+parametros_manuales!$G$28*(datos_base!$H$5+IF(parametros_manuales!$H$28="Todos",datos_base!$H$12,0))*parametros_manuales!$M$110)*parametros_manuales!$I$28*parametros_manuales!$J$28</f>
        <v>15344.91</v>
      </c>
      <c r="N173" s="4">
        <f t="shared" si="19"/>
        <v>170499</v>
      </c>
      <c r="O173" s="4">
        <f t="shared" si="20"/>
        <v>15344.91</v>
      </c>
      <c r="P173" s="27">
        <f>O173/(parametros_manuales!$B$7)</f>
        <v>102.2994</v>
      </c>
      <c r="Q173" s="3" t="str">
        <f t="shared" si="21"/>
        <v>Ene</v>
      </c>
    </row>
    <row r="174" ht="14.25" customHeight="1">
      <c r="A174" s="3" t="str">
        <f>parametros_manuales!$B$29</f>
        <v>Bordoneado</v>
      </c>
      <c r="B174" s="4">
        <f>(parametros_manuales!$D$29*(datos_base!$H$2+IF(parametros_manuales!$H$29="Todos",datos_base!$H$9,0))*parametros_manuales!$B$95+parametros_manuales!$E$29*(datos_base!$H$3+IF(parametros_manuales!$H$29="Todos",datos_base!$H$10,0))*parametros_manuales!$B$100+parametros_manuales!$F$29*(datos_base!$H$4+IF(parametros_manuales!$H$29="Todos",datos_base!$H$11,0))*parametros_manuales!$B$105+parametros_manuales!$G$29*(datos_base!$H$5+IF(parametros_manuales!$H$29="Todos",datos_base!$H$12,0))*parametros_manuales!$B$110)*parametros_manuales!$I$29*parametros_manuales!$J$29</f>
        <v>15344.91</v>
      </c>
      <c r="C174" s="4">
        <f>(parametros_manuales!$D$29*(datos_base!$H$2+IF(parametros_manuales!$H$29="Todos",datos_base!$H$9,0))*parametros_manuales!$C$95+parametros_manuales!$E$29*(datos_base!$H$3+IF(parametros_manuales!$H$29="Todos",datos_base!$H$10,0))*parametros_manuales!$C$100+parametros_manuales!$F$29*(datos_base!$H$4+IF(parametros_manuales!$H$29="Todos",datos_base!$H$11,0))*parametros_manuales!$C$105+parametros_manuales!$G$29*(datos_base!$H$5+IF(parametros_manuales!$H$29="Todos",datos_base!$H$12,0))*parametros_manuales!$C$110)*parametros_manuales!$I$29*parametros_manuales!$J$29</f>
        <v>14856.66</v>
      </c>
      <c r="D174" s="4">
        <f>(parametros_manuales!$D$29*(datos_base!$H$2+IF(parametros_manuales!$H$29="Todos",datos_base!$H$9,0))*parametros_manuales!$D$95+parametros_manuales!$E$29*(datos_base!$H$3+IF(parametros_manuales!$H$29="Todos",datos_base!$H$10,0))*parametros_manuales!$D$100+parametros_manuales!$F$29*(datos_base!$H$4+IF(parametros_manuales!$H$29="Todos",datos_base!$H$11,0))*parametros_manuales!$D$105+parametros_manuales!$G$29*(datos_base!$H$5+IF(parametros_manuales!$H$29="Todos",datos_base!$H$12,0))*parametros_manuales!$D$110)*parametros_manuales!$I$29*parametros_manuales!$J$29</f>
        <v>13884.045</v>
      </c>
      <c r="E174" s="4">
        <f>(parametros_manuales!$D$29*(datos_base!$H$2+IF(parametros_manuales!$H$29="Todos",datos_base!$H$9,0))*parametros_manuales!$E$95+parametros_manuales!$E$29*(datos_base!$H$3+IF(parametros_manuales!$H$29="Todos",datos_base!$H$10,0))*parametros_manuales!$E$100+parametros_manuales!$F$29*(datos_base!$H$4+IF(parametros_manuales!$H$29="Todos",datos_base!$H$11,0))*parametros_manuales!$E$105+parametros_manuales!$G$29*(datos_base!$H$5+IF(parametros_manuales!$H$29="Todos",datos_base!$H$12,0))*parametros_manuales!$E$110)*parametros_manuales!$I$29*parametros_manuales!$J$29</f>
        <v>13275.675</v>
      </c>
      <c r="F174" s="4">
        <f>(parametros_manuales!$D$29*(datos_base!$H$2+IF(parametros_manuales!$H$29="Todos",datos_base!$H$9,0))*parametros_manuales!$F$95+parametros_manuales!$E$29*(datos_base!$H$3+IF(parametros_manuales!$H$29="Todos",datos_base!$H$10,0))*parametros_manuales!$F$100+parametros_manuales!$F$29*(datos_base!$H$4+IF(parametros_manuales!$H$29="Todos",datos_base!$H$11,0))*parametros_manuales!$F$105+parametros_manuales!$G$29*(datos_base!$H$5+IF(parametros_manuales!$H$29="Todos",datos_base!$H$12,0))*parametros_manuales!$F$110)*parametros_manuales!$I$29*parametros_manuales!$J$29</f>
        <v>12423.18</v>
      </c>
      <c r="G174" s="4">
        <f>(parametros_manuales!$D$29*(datos_base!$H$2+IF(parametros_manuales!$H$29="Todos",datos_base!$H$9,0))*parametros_manuales!$G$95+parametros_manuales!$E$29*(datos_base!$H$3+IF(parametros_manuales!$H$29="Todos",datos_base!$H$10,0))*parametros_manuales!$G$100+parametros_manuales!$F$29*(datos_base!$H$4+IF(parametros_manuales!$H$29="Todos",datos_base!$H$11,0))*parametros_manuales!$G$105+parametros_manuales!$G$29*(datos_base!$H$5+IF(parametros_manuales!$H$29="Todos",datos_base!$H$12,0))*parametros_manuales!$G$110)*parametros_manuales!$I$29*parametros_manuales!$J$29</f>
        <v>12179.055</v>
      </c>
      <c r="H174" s="4">
        <f>(parametros_manuales!$D$29*(datos_base!$H$2+IF(parametros_manuales!$H$29="Todos",datos_base!$H$9,0))*parametros_manuales!$H$95+parametros_manuales!$E$29*(datos_base!$H$3+IF(parametros_manuales!$H$29="Todos",datos_base!$H$10,0))*parametros_manuales!$H$100+parametros_manuales!$F$29*(datos_base!$H$4+IF(parametros_manuales!$H$29="Todos",datos_base!$H$11,0))*parametros_manuales!$H$105+parametros_manuales!$G$29*(datos_base!$H$5+IF(parametros_manuales!$H$29="Todos",datos_base!$H$12,0))*parametros_manuales!$H$110)*parametros_manuales!$I$29*parametros_manuales!$J$29</f>
        <v>13031.55</v>
      </c>
      <c r="I174" s="4">
        <f>(parametros_manuales!$D$29*(datos_base!$H$2+IF(parametros_manuales!$H$29="Todos",datos_base!$H$9,0))*parametros_manuales!$I$95+parametros_manuales!$E$29*(datos_base!$H$3+IF(parametros_manuales!$H$29="Todos",datos_base!$H$10,0))*parametros_manuales!$I$100+parametros_manuales!$F$29*(datos_base!$H$4+IF(parametros_manuales!$H$29="Todos",datos_base!$H$11,0))*parametros_manuales!$I$105+parametros_manuales!$G$29*(datos_base!$H$5+IF(parametros_manuales!$H$29="Todos",datos_base!$H$12,0))*parametros_manuales!$I$110)*parametros_manuales!$I$29*parametros_manuales!$J$29</f>
        <v>14856.66</v>
      </c>
      <c r="J174" s="4">
        <f>(parametros_manuales!$D$29*(datos_base!$H$2+IF(parametros_manuales!$H$29="Todos",datos_base!$H$9,0))*parametros_manuales!$J$95+parametros_manuales!$E$29*(datos_base!$H$3+IF(parametros_manuales!$H$29="Todos",datos_base!$H$10,0))*parametros_manuales!$J$100+parametros_manuales!$F$29*(datos_base!$H$4+IF(parametros_manuales!$H$29="Todos",datos_base!$H$11,0))*parametros_manuales!$J$105+parametros_manuales!$G$29*(datos_base!$H$5+IF(parametros_manuales!$H$29="Todos",datos_base!$H$12,0))*parametros_manuales!$J$110)*parametros_manuales!$I$29*parametros_manuales!$J$29</f>
        <v>14856.66</v>
      </c>
      <c r="K174" s="4">
        <f>(parametros_manuales!$D$29*(datos_base!$H$2+IF(parametros_manuales!$H$29="Todos",datos_base!$H$9,0))*parametros_manuales!$K$95+parametros_manuales!$E$29*(datos_base!$H$3+IF(parametros_manuales!$H$29="Todos",datos_base!$H$10,0))*parametros_manuales!$K$100+parametros_manuales!$F$29*(datos_base!$H$4+IF(parametros_manuales!$H$29="Todos",datos_base!$H$11,0))*parametros_manuales!$K$105+parametros_manuales!$G$29*(datos_base!$H$5+IF(parametros_manuales!$H$29="Todos",datos_base!$H$12,0))*parametros_manuales!$K$110)*parametros_manuales!$I$29*parametros_manuales!$J$29</f>
        <v>15100.785</v>
      </c>
      <c r="L174" s="4">
        <f>(parametros_manuales!$D$29*(datos_base!$H$2+IF(parametros_manuales!$H$29="Todos",datos_base!$H$9,0))*parametros_manuales!$L$95+parametros_manuales!$E$29*(datos_base!$H$3+IF(parametros_manuales!$H$29="Todos",datos_base!$H$10,0))*parametros_manuales!$L$100+parametros_manuales!$F$29*(datos_base!$H$4+IF(parametros_manuales!$H$29="Todos",datos_base!$H$11,0))*parametros_manuales!$L$105+parametros_manuales!$G$29*(datos_base!$H$5+IF(parametros_manuales!$H$29="Todos",datos_base!$H$12,0))*parametros_manuales!$L$110)*parametros_manuales!$I$29*parametros_manuales!$J$29</f>
        <v>15344.91</v>
      </c>
      <c r="M174" s="4">
        <f>(parametros_manuales!$D$29*(datos_base!$H$2+IF(parametros_manuales!$H$29="Todos",datos_base!$H$9,0))*parametros_manuales!$M$95+parametros_manuales!$E$29*(datos_base!$H$3+IF(parametros_manuales!$H$29="Todos",datos_base!$H$10,0))*parametros_manuales!$M$100+parametros_manuales!$F$29*(datos_base!$H$4+IF(parametros_manuales!$H$29="Todos",datos_base!$H$11,0))*parametros_manuales!$M$105+parametros_manuales!$G$29*(datos_base!$H$5+IF(parametros_manuales!$H$29="Todos",datos_base!$H$12,0))*parametros_manuales!$M$110)*parametros_manuales!$I$29*parametros_manuales!$J$29</f>
        <v>15344.91</v>
      </c>
      <c r="N174" s="4">
        <f t="shared" si="19"/>
        <v>170499</v>
      </c>
      <c r="O174" s="4">
        <f t="shared" si="20"/>
        <v>15344.91</v>
      </c>
      <c r="P174" s="27">
        <f>O174/(parametros_manuales!$B$7)</f>
        <v>102.2994</v>
      </c>
      <c r="Q174" s="3" t="str">
        <f t="shared" si="21"/>
        <v>Ene</v>
      </c>
    </row>
    <row r="175" ht="14.25" customHeight="1">
      <c r="A175" s="3" t="str">
        <f>parametros_manuales!$B$30</f>
        <v>Soldadura circunferencial de cúpula y fondo</v>
      </c>
      <c r="B175" s="4">
        <f>(parametros_manuales!$D$30*(datos_base!$H$2+IF(parametros_manuales!$H$30="Todos",datos_base!$H$9,0))*parametros_manuales!$B$95+parametros_manuales!$E$30*(datos_base!$H$3+IF(parametros_manuales!$H$30="Todos",datos_base!$H$10,0))*parametros_manuales!$B$100+parametros_manuales!$F$30*(datos_base!$H$4+IF(parametros_manuales!$H$30="Todos",datos_base!$H$11,0))*parametros_manuales!$B$105+parametros_manuales!$G$30*(datos_base!$H$5+IF(parametros_manuales!$H$30="Todos",datos_base!$H$12,0))*parametros_manuales!$B$110)*parametros_manuales!$I$30*parametros_manuales!$J$30</f>
        <v>15344.91</v>
      </c>
      <c r="C175" s="4">
        <f>(parametros_manuales!$D$30*(datos_base!$H$2+IF(parametros_manuales!$H$30="Todos",datos_base!$H$9,0))*parametros_manuales!$C$95+parametros_manuales!$E$30*(datos_base!$H$3+IF(parametros_manuales!$H$30="Todos",datos_base!$H$10,0))*parametros_manuales!$C$100+parametros_manuales!$F$30*(datos_base!$H$4+IF(parametros_manuales!$H$30="Todos",datos_base!$H$11,0))*parametros_manuales!$C$105+parametros_manuales!$G$30*(datos_base!$H$5+IF(parametros_manuales!$H$30="Todos",datos_base!$H$12,0))*parametros_manuales!$C$110)*parametros_manuales!$I$30*parametros_manuales!$J$30</f>
        <v>14856.66</v>
      </c>
      <c r="D175" s="4">
        <f>(parametros_manuales!$D$30*(datos_base!$H$2+IF(parametros_manuales!$H$30="Todos",datos_base!$H$9,0))*parametros_manuales!$D$95+parametros_manuales!$E$30*(datos_base!$H$3+IF(parametros_manuales!$H$30="Todos",datos_base!$H$10,0))*parametros_manuales!$D$100+parametros_manuales!$F$30*(datos_base!$H$4+IF(parametros_manuales!$H$30="Todos",datos_base!$H$11,0))*parametros_manuales!$D$105+parametros_manuales!$G$30*(datos_base!$H$5+IF(parametros_manuales!$H$30="Todos",datos_base!$H$12,0))*parametros_manuales!$D$110)*parametros_manuales!$I$30*parametros_manuales!$J$30</f>
        <v>13884.045</v>
      </c>
      <c r="E175" s="4">
        <f>(parametros_manuales!$D$30*(datos_base!$H$2+IF(parametros_manuales!$H$30="Todos",datos_base!$H$9,0))*parametros_manuales!$E$95+parametros_manuales!$E$30*(datos_base!$H$3+IF(parametros_manuales!$H$30="Todos",datos_base!$H$10,0))*parametros_manuales!$E$100+parametros_manuales!$F$30*(datos_base!$H$4+IF(parametros_manuales!$H$30="Todos",datos_base!$H$11,0))*parametros_manuales!$E$105+parametros_manuales!$G$30*(datos_base!$H$5+IF(parametros_manuales!$H$30="Todos",datos_base!$H$12,0))*parametros_manuales!$E$110)*parametros_manuales!$I$30*parametros_manuales!$J$30</f>
        <v>13275.675</v>
      </c>
      <c r="F175" s="4">
        <f>(parametros_manuales!$D$30*(datos_base!$H$2+IF(parametros_manuales!$H$30="Todos",datos_base!$H$9,0))*parametros_manuales!$F$95+parametros_manuales!$E$30*(datos_base!$H$3+IF(parametros_manuales!$H$30="Todos",datos_base!$H$10,0))*parametros_manuales!$F$100+parametros_manuales!$F$30*(datos_base!$H$4+IF(parametros_manuales!$H$30="Todos",datos_base!$H$11,0))*parametros_manuales!$F$105+parametros_manuales!$G$30*(datos_base!$H$5+IF(parametros_manuales!$H$30="Todos",datos_base!$H$12,0))*parametros_manuales!$F$110)*parametros_manuales!$I$30*parametros_manuales!$J$30</f>
        <v>12423.18</v>
      </c>
      <c r="G175" s="4">
        <f>(parametros_manuales!$D$30*(datos_base!$H$2+IF(parametros_manuales!$H$30="Todos",datos_base!$H$9,0))*parametros_manuales!$G$95+parametros_manuales!$E$30*(datos_base!$H$3+IF(parametros_manuales!$H$30="Todos",datos_base!$H$10,0))*parametros_manuales!$G$100+parametros_manuales!$F$30*(datos_base!$H$4+IF(parametros_manuales!$H$30="Todos",datos_base!$H$11,0))*parametros_manuales!$G$105+parametros_manuales!$G$30*(datos_base!$H$5+IF(parametros_manuales!$H$30="Todos",datos_base!$H$12,0))*parametros_manuales!$G$110)*parametros_manuales!$I$30*parametros_manuales!$J$30</f>
        <v>12179.055</v>
      </c>
      <c r="H175" s="4">
        <f>(parametros_manuales!$D$30*(datos_base!$H$2+IF(parametros_manuales!$H$30="Todos",datos_base!$H$9,0))*parametros_manuales!$H$95+parametros_manuales!$E$30*(datos_base!$H$3+IF(parametros_manuales!$H$30="Todos",datos_base!$H$10,0))*parametros_manuales!$H$100+parametros_manuales!$F$30*(datos_base!$H$4+IF(parametros_manuales!$H$30="Todos",datos_base!$H$11,0))*parametros_manuales!$H$105+parametros_manuales!$G$30*(datos_base!$H$5+IF(parametros_manuales!$H$30="Todos",datos_base!$H$12,0))*parametros_manuales!$H$110)*parametros_manuales!$I$30*parametros_manuales!$J$30</f>
        <v>13031.55</v>
      </c>
      <c r="I175" s="4">
        <f>(parametros_manuales!$D$30*(datos_base!$H$2+IF(parametros_manuales!$H$30="Todos",datos_base!$H$9,0))*parametros_manuales!$I$95+parametros_manuales!$E$30*(datos_base!$H$3+IF(parametros_manuales!$H$30="Todos",datos_base!$H$10,0))*parametros_manuales!$I$100+parametros_manuales!$F$30*(datos_base!$H$4+IF(parametros_manuales!$H$30="Todos",datos_base!$H$11,0))*parametros_manuales!$I$105+parametros_manuales!$G$30*(datos_base!$H$5+IF(parametros_manuales!$H$30="Todos",datos_base!$H$12,0))*parametros_manuales!$I$110)*parametros_manuales!$I$30*parametros_manuales!$J$30</f>
        <v>14856.66</v>
      </c>
      <c r="J175" s="4">
        <f>(parametros_manuales!$D$30*(datos_base!$H$2+IF(parametros_manuales!$H$30="Todos",datos_base!$H$9,0))*parametros_manuales!$J$95+parametros_manuales!$E$30*(datos_base!$H$3+IF(parametros_manuales!$H$30="Todos",datos_base!$H$10,0))*parametros_manuales!$J$100+parametros_manuales!$F$30*(datos_base!$H$4+IF(parametros_manuales!$H$30="Todos",datos_base!$H$11,0))*parametros_manuales!$J$105+parametros_manuales!$G$30*(datos_base!$H$5+IF(parametros_manuales!$H$30="Todos",datos_base!$H$12,0))*parametros_manuales!$J$110)*parametros_manuales!$I$30*parametros_manuales!$J$30</f>
        <v>14856.66</v>
      </c>
      <c r="K175" s="4">
        <f>(parametros_manuales!$D$30*(datos_base!$H$2+IF(parametros_manuales!$H$30="Todos",datos_base!$H$9,0))*parametros_manuales!$K$95+parametros_manuales!$E$30*(datos_base!$H$3+IF(parametros_manuales!$H$30="Todos",datos_base!$H$10,0))*parametros_manuales!$K$100+parametros_manuales!$F$30*(datos_base!$H$4+IF(parametros_manuales!$H$30="Todos",datos_base!$H$11,0))*parametros_manuales!$K$105+parametros_manuales!$G$30*(datos_base!$H$5+IF(parametros_manuales!$H$30="Todos",datos_base!$H$12,0))*parametros_manuales!$K$110)*parametros_manuales!$I$30*parametros_manuales!$J$30</f>
        <v>15100.785</v>
      </c>
      <c r="L175" s="4">
        <f>(parametros_manuales!$D$30*(datos_base!$H$2+IF(parametros_manuales!$H$30="Todos",datos_base!$H$9,0))*parametros_manuales!$L$95+parametros_manuales!$E$30*(datos_base!$H$3+IF(parametros_manuales!$H$30="Todos",datos_base!$H$10,0))*parametros_manuales!$L$100+parametros_manuales!$F$30*(datos_base!$H$4+IF(parametros_manuales!$H$30="Todos",datos_base!$H$11,0))*parametros_manuales!$L$105+parametros_manuales!$G$30*(datos_base!$H$5+IF(parametros_manuales!$H$30="Todos",datos_base!$H$12,0))*parametros_manuales!$L$110)*parametros_manuales!$I$30*parametros_manuales!$J$30</f>
        <v>15344.91</v>
      </c>
      <c r="M175" s="4">
        <f>(parametros_manuales!$D$30*(datos_base!$H$2+IF(parametros_manuales!$H$30="Todos",datos_base!$H$9,0))*parametros_manuales!$M$95+parametros_manuales!$E$30*(datos_base!$H$3+IF(parametros_manuales!$H$30="Todos",datos_base!$H$10,0))*parametros_manuales!$M$100+parametros_manuales!$F$30*(datos_base!$H$4+IF(parametros_manuales!$H$30="Todos",datos_base!$H$11,0))*parametros_manuales!$M$105+parametros_manuales!$G$30*(datos_base!$H$5+IF(parametros_manuales!$H$30="Todos",datos_base!$H$12,0))*parametros_manuales!$M$110)*parametros_manuales!$I$30*parametros_manuales!$J$30</f>
        <v>15344.91</v>
      </c>
      <c r="N175" s="4">
        <f t="shared" si="19"/>
        <v>170499</v>
      </c>
      <c r="O175" s="4">
        <f t="shared" si="20"/>
        <v>15344.91</v>
      </c>
      <c r="P175" s="27">
        <f>O175/(parametros_manuales!$B$7)</f>
        <v>102.2994</v>
      </c>
      <c r="Q175" s="3" t="str">
        <f t="shared" si="21"/>
        <v>Ene</v>
      </c>
    </row>
    <row r="176" ht="14.25" customHeight="1">
      <c r="A176" s="3" t="str">
        <f>parametros_manuales!$B$31</f>
        <v>Control de calidad — Espesor</v>
      </c>
      <c r="B176" s="4">
        <f>(parametros_manuales!$D$31*(datos_base!$H$2+IF(parametros_manuales!$H$31="Todos",datos_base!$H$9,0))*parametros_manuales!$B$95+parametros_manuales!$E$31*(datos_base!$H$3+IF(parametros_manuales!$H$31="Todos",datos_base!$H$10,0))*parametros_manuales!$B$100+parametros_manuales!$F$31*(datos_base!$H$4+IF(parametros_manuales!$H$31="Todos",datos_base!$H$11,0))*parametros_manuales!$B$105+parametros_manuales!$G$31*(datos_base!$H$5+IF(parametros_manuales!$H$31="Todos",datos_base!$H$12,0))*parametros_manuales!$B$110)*parametros_manuales!$I$31*parametros_manuales!$J$31</f>
        <v>306.8982</v>
      </c>
      <c r="C176" s="4">
        <f>(parametros_manuales!$D$31*(datos_base!$H$2+IF(parametros_manuales!$H$31="Todos",datos_base!$H$9,0))*parametros_manuales!$C$95+parametros_manuales!$E$31*(datos_base!$H$3+IF(parametros_manuales!$H$31="Todos",datos_base!$H$10,0))*parametros_manuales!$C$100+parametros_manuales!$F$31*(datos_base!$H$4+IF(parametros_manuales!$H$31="Todos",datos_base!$H$11,0))*parametros_manuales!$C$105+parametros_manuales!$G$31*(datos_base!$H$5+IF(parametros_manuales!$H$31="Todos",datos_base!$H$12,0))*parametros_manuales!$C$110)*parametros_manuales!$I$31*parametros_manuales!$J$31</f>
        <v>297.1332</v>
      </c>
      <c r="D176" s="4">
        <f>(parametros_manuales!$D$31*(datos_base!$H$2+IF(parametros_manuales!$H$31="Todos",datos_base!$H$9,0))*parametros_manuales!$D$95+parametros_manuales!$E$31*(datos_base!$H$3+IF(parametros_manuales!$H$31="Todos",datos_base!$H$10,0))*parametros_manuales!$D$100+parametros_manuales!$F$31*(datos_base!$H$4+IF(parametros_manuales!$H$31="Todos",datos_base!$H$11,0))*parametros_manuales!$D$105+parametros_manuales!$G$31*(datos_base!$H$5+IF(parametros_manuales!$H$31="Todos",datos_base!$H$12,0))*parametros_manuales!$D$110)*parametros_manuales!$I$31*parametros_manuales!$J$31</f>
        <v>277.6809</v>
      </c>
      <c r="E176" s="4">
        <f>(parametros_manuales!$D$31*(datos_base!$H$2+IF(parametros_manuales!$H$31="Todos",datos_base!$H$9,0))*parametros_manuales!$E$95+parametros_manuales!$E$31*(datos_base!$H$3+IF(parametros_manuales!$H$31="Todos",datos_base!$H$10,0))*parametros_manuales!$E$100+parametros_manuales!$F$31*(datos_base!$H$4+IF(parametros_manuales!$H$31="Todos",datos_base!$H$11,0))*parametros_manuales!$E$105+parametros_manuales!$G$31*(datos_base!$H$5+IF(parametros_manuales!$H$31="Todos",datos_base!$H$12,0))*parametros_manuales!$E$110)*parametros_manuales!$I$31*parametros_manuales!$J$31</f>
        <v>265.5135</v>
      </c>
      <c r="F176" s="4">
        <f>(parametros_manuales!$D$31*(datos_base!$H$2+IF(parametros_manuales!$H$31="Todos",datos_base!$H$9,0))*parametros_manuales!$F$95+parametros_manuales!$E$31*(datos_base!$H$3+IF(parametros_manuales!$H$31="Todos",datos_base!$H$10,0))*parametros_manuales!$F$100+parametros_manuales!$F$31*(datos_base!$H$4+IF(parametros_manuales!$H$31="Todos",datos_base!$H$11,0))*parametros_manuales!$F$105+parametros_manuales!$G$31*(datos_base!$H$5+IF(parametros_manuales!$H$31="Todos",datos_base!$H$12,0))*parametros_manuales!$F$110)*parametros_manuales!$I$31*parametros_manuales!$J$31</f>
        <v>248.4636</v>
      </c>
      <c r="G176" s="4">
        <f>(parametros_manuales!$D$31*(datos_base!$H$2+IF(parametros_manuales!$H$31="Todos",datos_base!$H$9,0))*parametros_manuales!$G$95+parametros_manuales!$E$31*(datos_base!$H$3+IF(parametros_manuales!$H$31="Todos",datos_base!$H$10,0))*parametros_manuales!$G$100+parametros_manuales!$F$31*(datos_base!$H$4+IF(parametros_manuales!$H$31="Todos",datos_base!$H$11,0))*parametros_manuales!$G$105+parametros_manuales!$G$31*(datos_base!$H$5+IF(parametros_manuales!$H$31="Todos",datos_base!$H$12,0))*parametros_manuales!$G$110)*parametros_manuales!$I$31*parametros_manuales!$J$31</f>
        <v>243.5811</v>
      </c>
      <c r="H176" s="4">
        <f>(parametros_manuales!$D$31*(datos_base!$H$2+IF(parametros_manuales!$H$31="Todos",datos_base!$H$9,0))*parametros_manuales!$H$95+parametros_manuales!$E$31*(datos_base!$H$3+IF(parametros_manuales!$H$31="Todos",datos_base!$H$10,0))*parametros_manuales!$H$100+parametros_manuales!$F$31*(datos_base!$H$4+IF(parametros_manuales!$H$31="Todos",datos_base!$H$11,0))*parametros_manuales!$H$105+parametros_manuales!$G$31*(datos_base!$H$5+IF(parametros_manuales!$H$31="Todos",datos_base!$H$12,0))*parametros_manuales!$H$110)*parametros_manuales!$I$31*parametros_manuales!$J$31</f>
        <v>260.631</v>
      </c>
      <c r="I176" s="4">
        <f>(parametros_manuales!$D$31*(datos_base!$H$2+IF(parametros_manuales!$H$31="Todos",datos_base!$H$9,0))*parametros_manuales!$I$95+parametros_manuales!$E$31*(datos_base!$H$3+IF(parametros_manuales!$H$31="Todos",datos_base!$H$10,0))*parametros_manuales!$I$100+parametros_manuales!$F$31*(datos_base!$H$4+IF(parametros_manuales!$H$31="Todos",datos_base!$H$11,0))*parametros_manuales!$I$105+parametros_manuales!$G$31*(datos_base!$H$5+IF(parametros_manuales!$H$31="Todos",datos_base!$H$12,0))*parametros_manuales!$I$110)*parametros_manuales!$I$31*parametros_manuales!$J$31</f>
        <v>297.1332</v>
      </c>
      <c r="J176" s="4">
        <f>(parametros_manuales!$D$31*(datos_base!$H$2+IF(parametros_manuales!$H$31="Todos",datos_base!$H$9,0))*parametros_manuales!$J$95+parametros_manuales!$E$31*(datos_base!$H$3+IF(parametros_manuales!$H$31="Todos",datos_base!$H$10,0))*parametros_manuales!$J$100+parametros_manuales!$F$31*(datos_base!$H$4+IF(parametros_manuales!$H$31="Todos",datos_base!$H$11,0))*parametros_manuales!$J$105+parametros_manuales!$G$31*(datos_base!$H$5+IF(parametros_manuales!$H$31="Todos",datos_base!$H$12,0))*parametros_manuales!$J$110)*parametros_manuales!$I$31*parametros_manuales!$J$31</f>
        <v>297.1332</v>
      </c>
      <c r="K176" s="4">
        <f>(parametros_manuales!$D$31*(datos_base!$H$2+IF(parametros_manuales!$H$31="Todos",datos_base!$H$9,0))*parametros_manuales!$K$95+parametros_manuales!$E$31*(datos_base!$H$3+IF(parametros_manuales!$H$31="Todos",datos_base!$H$10,0))*parametros_manuales!$K$100+parametros_manuales!$F$31*(datos_base!$H$4+IF(parametros_manuales!$H$31="Todos",datos_base!$H$11,0))*parametros_manuales!$K$105+parametros_manuales!$G$31*(datos_base!$H$5+IF(parametros_manuales!$H$31="Todos",datos_base!$H$12,0))*parametros_manuales!$K$110)*parametros_manuales!$I$31*parametros_manuales!$J$31</f>
        <v>302.0157</v>
      </c>
      <c r="L176" s="4">
        <f>(parametros_manuales!$D$31*(datos_base!$H$2+IF(parametros_manuales!$H$31="Todos",datos_base!$H$9,0))*parametros_manuales!$L$95+parametros_manuales!$E$31*(datos_base!$H$3+IF(parametros_manuales!$H$31="Todos",datos_base!$H$10,0))*parametros_manuales!$L$100+parametros_manuales!$F$31*(datos_base!$H$4+IF(parametros_manuales!$H$31="Todos",datos_base!$H$11,0))*parametros_manuales!$L$105+parametros_manuales!$G$31*(datos_base!$H$5+IF(parametros_manuales!$H$31="Todos",datos_base!$H$12,0))*parametros_manuales!$L$110)*parametros_manuales!$I$31*parametros_manuales!$J$31</f>
        <v>306.8982</v>
      </c>
      <c r="M176" s="4">
        <f>(parametros_manuales!$D$31*(datos_base!$H$2+IF(parametros_manuales!$H$31="Todos",datos_base!$H$9,0))*parametros_manuales!$M$95+parametros_manuales!$E$31*(datos_base!$H$3+IF(parametros_manuales!$H$31="Todos",datos_base!$H$10,0))*parametros_manuales!$M$100+parametros_manuales!$F$31*(datos_base!$H$4+IF(parametros_manuales!$H$31="Todos",datos_base!$H$11,0))*parametros_manuales!$M$105+parametros_manuales!$G$31*(datos_base!$H$5+IF(parametros_manuales!$H$31="Todos",datos_base!$H$12,0))*parametros_manuales!$M$110)*parametros_manuales!$I$31*parametros_manuales!$J$31</f>
        <v>306.8982</v>
      </c>
      <c r="N176" s="4">
        <f t="shared" si="19"/>
        <v>3409.98</v>
      </c>
      <c r="O176" s="4">
        <f t="shared" si="20"/>
        <v>306.8982</v>
      </c>
      <c r="P176" s="27">
        <f>O176/(parametros_manuales!$B$7)</f>
        <v>2.045988</v>
      </c>
      <c r="Q176" s="3" t="str">
        <f t="shared" si="21"/>
        <v>Ene</v>
      </c>
    </row>
    <row r="177" ht="14.25" customHeight="1">
      <c r="A177" s="3" t="str">
        <f>parametros_manuales!$B$32</f>
        <v>Prueba hidráulica</v>
      </c>
      <c r="B177" s="4">
        <f>(parametros_manuales!$D$32*(datos_base!$H$2+IF(parametros_manuales!$H$32="Todos",datos_base!$H$9,0))*parametros_manuales!$B$95+parametros_manuales!$E$32*(datos_base!$H$3+IF(parametros_manuales!$H$32="Todos",datos_base!$H$10,0))*parametros_manuales!$B$100+parametros_manuales!$F$32*(datos_base!$H$4+IF(parametros_manuales!$H$32="Todos",datos_base!$H$11,0))*parametros_manuales!$B$105+parametros_manuales!$G$32*(datos_base!$H$5+IF(parametros_manuales!$H$32="Todos",datos_base!$H$12,0))*parametros_manuales!$B$110)*parametros_manuales!$I$32*parametros_manuales!$J$32</f>
        <v>15344.91</v>
      </c>
      <c r="C177" s="4">
        <f>(parametros_manuales!$D$32*(datos_base!$H$2+IF(parametros_manuales!$H$32="Todos",datos_base!$H$9,0))*parametros_manuales!$C$95+parametros_manuales!$E$32*(datos_base!$H$3+IF(parametros_manuales!$H$32="Todos",datos_base!$H$10,0))*parametros_manuales!$C$100+parametros_manuales!$F$32*(datos_base!$H$4+IF(parametros_manuales!$H$32="Todos",datos_base!$H$11,0))*parametros_manuales!$C$105+parametros_manuales!$G$32*(datos_base!$H$5+IF(parametros_manuales!$H$32="Todos",datos_base!$H$12,0))*parametros_manuales!$C$110)*parametros_manuales!$I$32*parametros_manuales!$J$32</f>
        <v>14856.66</v>
      </c>
      <c r="D177" s="4">
        <f>(parametros_manuales!$D$32*(datos_base!$H$2+IF(parametros_manuales!$H$32="Todos",datos_base!$H$9,0))*parametros_manuales!$D$95+parametros_manuales!$E$32*(datos_base!$H$3+IF(parametros_manuales!$H$32="Todos",datos_base!$H$10,0))*parametros_manuales!$D$100+parametros_manuales!$F$32*(datos_base!$H$4+IF(parametros_manuales!$H$32="Todos",datos_base!$H$11,0))*parametros_manuales!$D$105+parametros_manuales!$G$32*(datos_base!$H$5+IF(parametros_manuales!$H$32="Todos",datos_base!$H$12,0))*parametros_manuales!$D$110)*parametros_manuales!$I$32*parametros_manuales!$J$32</f>
        <v>13884.045</v>
      </c>
      <c r="E177" s="4">
        <f>(parametros_manuales!$D$32*(datos_base!$H$2+IF(parametros_manuales!$H$32="Todos",datos_base!$H$9,0))*parametros_manuales!$E$95+parametros_manuales!$E$32*(datos_base!$H$3+IF(parametros_manuales!$H$32="Todos",datos_base!$H$10,0))*parametros_manuales!$E$100+parametros_manuales!$F$32*(datos_base!$H$4+IF(parametros_manuales!$H$32="Todos",datos_base!$H$11,0))*parametros_manuales!$E$105+parametros_manuales!$G$32*(datos_base!$H$5+IF(parametros_manuales!$H$32="Todos",datos_base!$H$12,0))*parametros_manuales!$E$110)*parametros_manuales!$I$32*parametros_manuales!$J$32</f>
        <v>13275.675</v>
      </c>
      <c r="F177" s="4">
        <f>(parametros_manuales!$D$32*(datos_base!$H$2+IF(parametros_manuales!$H$32="Todos",datos_base!$H$9,0))*parametros_manuales!$F$95+parametros_manuales!$E$32*(datos_base!$H$3+IF(parametros_manuales!$H$32="Todos",datos_base!$H$10,0))*parametros_manuales!$F$100+parametros_manuales!$F$32*(datos_base!$H$4+IF(parametros_manuales!$H$32="Todos",datos_base!$H$11,0))*parametros_manuales!$F$105+parametros_manuales!$G$32*(datos_base!$H$5+IF(parametros_manuales!$H$32="Todos",datos_base!$H$12,0))*parametros_manuales!$F$110)*parametros_manuales!$I$32*parametros_manuales!$J$32</f>
        <v>12423.18</v>
      </c>
      <c r="G177" s="4">
        <f>(parametros_manuales!$D$32*(datos_base!$H$2+IF(parametros_manuales!$H$32="Todos",datos_base!$H$9,0))*parametros_manuales!$G$95+parametros_manuales!$E$32*(datos_base!$H$3+IF(parametros_manuales!$H$32="Todos",datos_base!$H$10,0))*parametros_manuales!$G$100+parametros_manuales!$F$32*(datos_base!$H$4+IF(parametros_manuales!$H$32="Todos",datos_base!$H$11,0))*parametros_manuales!$G$105+parametros_manuales!$G$32*(datos_base!$H$5+IF(parametros_manuales!$H$32="Todos",datos_base!$H$12,0))*parametros_manuales!$G$110)*parametros_manuales!$I$32*parametros_manuales!$J$32</f>
        <v>12179.055</v>
      </c>
      <c r="H177" s="4">
        <f>(parametros_manuales!$D$32*(datos_base!$H$2+IF(parametros_manuales!$H$32="Todos",datos_base!$H$9,0))*parametros_manuales!$H$95+parametros_manuales!$E$32*(datos_base!$H$3+IF(parametros_manuales!$H$32="Todos",datos_base!$H$10,0))*parametros_manuales!$H$100+parametros_manuales!$F$32*(datos_base!$H$4+IF(parametros_manuales!$H$32="Todos",datos_base!$H$11,0))*parametros_manuales!$H$105+parametros_manuales!$G$32*(datos_base!$H$5+IF(parametros_manuales!$H$32="Todos",datos_base!$H$12,0))*parametros_manuales!$H$110)*parametros_manuales!$I$32*parametros_manuales!$J$32</f>
        <v>13031.55</v>
      </c>
      <c r="I177" s="4">
        <f>(parametros_manuales!$D$32*(datos_base!$H$2+IF(parametros_manuales!$H$32="Todos",datos_base!$H$9,0))*parametros_manuales!$I$95+parametros_manuales!$E$32*(datos_base!$H$3+IF(parametros_manuales!$H$32="Todos",datos_base!$H$10,0))*parametros_manuales!$I$100+parametros_manuales!$F$32*(datos_base!$H$4+IF(parametros_manuales!$H$32="Todos",datos_base!$H$11,0))*parametros_manuales!$I$105+parametros_manuales!$G$32*(datos_base!$H$5+IF(parametros_manuales!$H$32="Todos",datos_base!$H$12,0))*parametros_manuales!$I$110)*parametros_manuales!$I$32*parametros_manuales!$J$32</f>
        <v>14856.66</v>
      </c>
      <c r="J177" s="4">
        <f>(parametros_manuales!$D$32*(datos_base!$H$2+IF(parametros_manuales!$H$32="Todos",datos_base!$H$9,0))*parametros_manuales!$J$95+parametros_manuales!$E$32*(datos_base!$H$3+IF(parametros_manuales!$H$32="Todos",datos_base!$H$10,0))*parametros_manuales!$J$100+parametros_manuales!$F$32*(datos_base!$H$4+IF(parametros_manuales!$H$32="Todos",datos_base!$H$11,0))*parametros_manuales!$J$105+parametros_manuales!$G$32*(datos_base!$H$5+IF(parametros_manuales!$H$32="Todos",datos_base!$H$12,0))*parametros_manuales!$J$110)*parametros_manuales!$I$32*parametros_manuales!$J$32</f>
        <v>14856.66</v>
      </c>
      <c r="K177" s="4">
        <f>(parametros_manuales!$D$32*(datos_base!$H$2+IF(parametros_manuales!$H$32="Todos",datos_base!$H$9,0))*parametros_manuales!$K$95+parametros_manuales!$E$32*(datos_base!$H$3+IF(parametros_manuales!$H$32="Todos",datos_base!$H$10,0))*parametros_manuales!$K$100+parametros_manuales!$F$32*(datos_base!$H$4+IF(parametros_manuales!$H$32="Todos",datos_base!$H$11,0))*parametros_manuales!$K$105+parametros_manuales!$G$32*(datos_base!$H$5+IF(parametros_manuales!$H$32="Todos",datos_base!$H$12,0))*parametros_manuales!$K$110)*parametros_manuales!$I$32*parametros_manuales!$J$32</f>
        <v>15100.785</v>
      </c>
      <c r="L177" s="4">
        <f>(parametros_manuales!$D$32*(datos_base!$H$2+IF(parametros_manuales!$H$32="Todos",datos_base!$H$9,0))*parametros_manuales!$L$95+parametros_manuales!$E$32*(datos_base!$H$3+IF(parametros_manuales!$H$32="Todos",datos_base!$H$10,0))*parametros_manuales!$L$100+parametros_manuales!$F$32*(datos_base!$H$4+IF(parametros_manuales!$H$32="Todos",datos_base!$H$11,0))*parametros_manuales!$L$105+parametros_manuales!$G$32*(datos_base!$H$5+IF(parametros_manuales!$H$32="Todos",datos_base!$H$12,0))*parametros_manuales!$L$110)*parametros_manuales!$I$32*parametros_manuales!$J$32</f>
        <v>15344.91</v>
      </c>
      <c r="M177" s="4">
        <f>(parametros_manuales!$D$32*(datos_base!$H$2+IF(parametros_manuales!$H$32="Todos",datos_base!$H$9,0))*parametros_manuales!$M$95+parametros_manuales!$E$32*(datos_base!$H$3+IF(parametros_manuales!$H$32="Todos",datos_base!$H$10,0))*parametros_manuales!$M$100+parametros_manuales!$F$32*(datos_base!$H$4+IF(parametros_manuales!$H$32="Todos",datos_base!$H$11,0))*parametros_manuales!$M$105+parametros_manuales!$G$32*(datos_base!$H$5+IF(parametros_manuales!$H$32="Todos",datos_base!$H$12,0))*parametros_manuales!$M$110)*parametros_manuales!$I$32*parametros_manuales!$J$32</f>
        <v>15344.91</v>
      </c>
      <c r="N177" s="4">
        <f t="shared" si="19"/>
        <v>170499</v>
      </c>
      <c r="O177" s="4">
        <f t="shared" si="20"/>
        <v>15344.91</v>
      </c>
      <c r="P177" s="27">
        <f>O177/(parametros_manuales!$B$7)</f>
        <v>102.2994</v>
      </c>
      <c r="Q177" s="3" t="str">
        <f t="shared" si="21"/>
        <v>Ene</v>
      </c>
    </row>
    <row r="178" ht="14.25" customHeight="1">
      <c r="A178" s="3" t="str">
        <f>parametros_manuales!$B$33</f>
        <v>Secado</v>
      </c>
      <c r="B178" s="4">
        <f>(parametros_manuales!$D$33*(datos_base!$H$2+IF(parametros_manuales!$H$33="Todos",datos_base!$H$9,0))*parametros_manuales!$B$95+parametros_manuales!$E$33*(datos_base!$H$3+IF(parametros_manuales!$H$33="Todos",datos_base!$H$10,0))*parametros_manuales!$B$100+parametros_manuales!$F$33*(datos_base!$H$4+IF(parametros_manuales!$H$33="Todos",datos_base!$H$11,0))*parametros_manuales!$B$105+parametros_manuales!$G$33*(datos_base!$H$5+IF(parametros_manuales!$H$33="Todos",datos_base!$H$12,0))*parametros_manuales!$B$110)*parametros_manuales!$I$33*parametros_manuales!$J$33</f>
        <v>15344.91</v>
      </c>
      <c r="C178" s="4">
        <f>(parametros_manuales!$D$33*(datos_base!$H$2+IF(parametros_manuales!$H$33="Todos",datos_base!$H$9,0))*parametros_manuales!$C$95+parametros_manuales!$E$33*(datos_base!$H$3+IF(parametros_manuales!$H$33="Todos",datos_base!$H$10,0))*parametros_manuales!$C$100+parametros_manuales!$F$33*(datos_base!$H$4+IF(parametros_manuales!$H$33="Todos",datos_base!$H$11,0))*parametros_manuales!$C$105+parametros_manuales!$G$33*(datos_base!$H$5+IF(parametros_manuales!$H$33="Todos",datos_base!$H$12,0))*parametros_manuales!$C$110)*parametros_manuales!$I$33*parametros_manuales!$J$33</f>
        <v>14856.66</v>
      </c>
      <c r="D178" s="4">
        <f>(parametros_manuales!$D$33*(datos_base!$H$2+IF(parametros_manuales!$H$33="Todos",datos_base!$H$9,0))*parametros_manuales!$D$95+parametros_manuales!$E$33*(datos_base!$H$3+IF(parametros_manuales!$H$33="Todos",datos_base!$H$10,0))*parametros_manuales!$D$100+parametros_manuales!$F$33*(datos_base!$H$4+IF(parametros_manuales!$H$33="Todos",datos_base!$H$11,0))*parametros_manuales!$D$105+parametros_manuales!$G$33*(datos_base!$H$5+IF(parametros_manuales!$H$33="Todos",datos_base!$H$12,0))*parametros_manuales!$D$110)*parametros_manuales!$I$33*parametros_manuales!$J$33</f>
        <v>13884.045</v>
      </c>
      <c r="E178" s="4">
        <f>(parametros_manuales!$D$33*(datos_base!$H$2+IF(parametros_manuales!$H$33="Todos",datos_base!$H$9,0))*parametros_manuales!$E$95+parametros_manuales!$E$33*(datos_base!$H$3+IF(parametros_manuales!$H$33="Todos",datos_base!$H$10,0))*parametros_manuales!$E$100+parametros_manuales!$F$33*(datos_base!$H$4+IF(parametros_manuales!$H$33="Todos",datos_base!$H$11,0))*parametros_manuales!$E$105+parametros_manuales!$G$33*(datos_base!$H$5+IF(parametros_manuales!$H$33="Todos",datos_base!$H$12,0))*parametros_manuales!$E$110)*parametros_manuales!$I$33*parametros_manuales!$J$33</f>
        <v>13275.675</v>
      </c>
      <c r="F178" s="4">
        <f>(parametros_manuales!$D$33*(datos_base!$H$2+IF(parametros_manuales!$H$33="Todos",datos_base!$H$9,0))*parametros_manuales!$F$95+parametros_manuales!$E$33*(datos_base!$H$3+IF(parametros_manuales!$H$33="Todos",datos_base!$H$10,0))*parametros_manuales!$F$100+parametros_manuales!$F$33*(datos_base!$H$4+IF(parametros_manuales!$H$33="Todos",datos_base!$H$11,0))*parametros_manuales!$F$105+parametros_manuales!$G$33*(datos_base!$H$5+IF(parametros_manuales!$H$33="Todos",datos_base!$H$12,0))*parametros_manuales!$F$110)*parametros_manuales!$I$33*parametros_manuales!$J$33</f>
        <v>12423.18</v>
      </c>
      <c r="G178" s="4">
        <f>(parametros_manuales!$D$33*(datos_base!$H$2+IF(parametros_manuales!$H$33="Todos",datos_base!$H$9,0))*parametros_manuales!$G$95+parametros_manuales!$E$33*(datos_base!$H$3+IF(parametros_manuales!$H$33="Todos",datos_base!$H$10,0))*parametros_manuales!$G$100+parametros_manuales!$F$33*(datos_base!$H$4+IF(parametros_manuales!$H$33="Todos",datos_base!$H$11,0))*parametros_manuales!$G$105+parametros_manuales!$G$33*(datos_base!$H$5+IF(parametros_manuales!$H$33="Todos",datos_base!$H$12,0))*parametros_manuales!$G$110)*parametros_manuales!$I$33*parametros_manuales!$J$33</f>
        <v>12179.055</v>
      </c>
      <c r="H178" s="4">
        <f>(parametros_manuales!$D$33*(datos_base!$H$2+IF(parametros_manuales!$H$33="Todos",datos_base!$H$9,0))*parametros_manuales!$H$95+parametros_manuales!$E$33*(datos_base!$H$3+IF(parametros_manuales!$H$33="Todos",datos_base!$H$10,0))*parametros_manuales!$H$100+parametros_manuales!$F$33*(datos_base!$H$4+IF(parametros_manuales!$H$33="Todos",datos_base!$H$11,0))*parametros_manuales!$H$105+parametros_manuales!$G$33*(datos_base!$H$5+IF(parametros_manuales!$H$33="Todos",datos_base!$H$12,0))*parametros_manuales!$H$110)*parametros_manuales!$I$33*parametros_manuales!$J$33</f>
        <v>13031.55</v>
      </c>
      <c r="I178" s="4">
        <f>(parametros_manuales!$D$33*(datos_base!$H$2+IF(parametros_manuales!$H$33="Todos",datos_base!$H$9,0))*parametros_manuales!$I$95+parametros_manuales!$E$33*(datos_base!$H$3+IF(parametros_manuales!$H$33="Todos",datos_base!$H$10,0))*parametros_manuales!$I$100+parametros_manuales!$F$33*(datos_base!$H$4+IF(parametros_manuales!$H$33="Todos",datos_base!$H$11,0))*parametros_manuales!$I$105+parametros_manuales!$G$33*(datos_base!$H$5+IF(parametros_manuales!$H$33="Todos",datos_base!$H$12,0))*parametros_manuales!$I$110)*parametros_manuales!$I$33*parametros_manuales!$J$33</f>
        <v>14856.66</v>
      </c>
      <c r="J178" s="4">
        <f>(parametros_manuales!$D$33*(datos_base!$H$2+IF(parametros_manuales!$H$33="Todos",datos_base!$H$9,0))*parametros_manuales!$J$95+parametros_manuales!$E$33*(datos_base!$H$3+IF(parametros_manuales!$H$33="Todos",datos_base!$H$10,0))*parametros_manuales!$J$100+parametros_manuales!$F$33*(datos_base!$H$4+IF(parametros_manuales!$H$33="Todos",datos_base!$H$11,0))*parametros_manuales!$J$105+parametros_manuales!$G$33*(datos_base!$H$5+IF(parametros_manuales!$H$33="Todos",datos_base!$H$12,0))*parametros_manuales!$J$110)*parametros_manuales!$I$33*parametros_manuales!$J$33</f>
        <v>14856.66</v>
      </c>
      <c r="K178" s="4">
        <f>(parametros_manuales!$D$33*(datos_base!$H$2+IF(parametros_manuales!$H$33="Todos",datos_base!$H$9,0))*parametros_manuales!$K$95+parametros_manuales!$E$33*(datos_base!$H$3+IF(parametros_manuales!$H$33="Todos",datos_base!$H$10,0))*parametros_manuales!$K$100+parametros_manuales!$F$33*(datos_base!$H$4+IF(parametros_manuales!$H$33="Todos",datos_base!$H$11,0))*parametros_manuales!$K$105+parametros_manuales!$G$33*(datos_base!$H$5+IF(parametros_manuales!$H$33="Todos",datos_base!$H$12,0))*parametros_manuales!$K$110)*parametros_manuales!$I$33*parametros_manuales!$J$33</f>
        <v>15100.785</v>
      </c>
      <c r="L178" s="4">
        <f>(parametros_manuales!$D$33*(datos_base!$H$2+IF(parametros_manuales!$H$33="Todos",datos_base!$H$9,0))*parametros_manuales!$L$95+parametros_manuales!$E$33*(datos_base!$H$3+IF(parametros_manuales!$H$33="Todos",datos_base!$H$10,0))*parametros_manuales!$L$100+parametros_manuales!$F$33*(datos_base!$H$4+IF(parametros_manuales!$H$33="Todos",datos_base!$H$11,0))*parametros_manuales!$L$105+parametros_manuales!$G$33*(datos_base!$H$5+IF(parametros_manuales!$H$33="Todos",datos_base!$H$12,0))*parametros_manuales!$L$110)*parametros_manuales!$I$33*parametros_manuales!$J$33</f>
        <v>15344.91</v>
      </c>
      <c r="M178" s="4">
        <f>(parametros_manuales!$D$33*(datos_base!$H$2+IF(parametros_manuales!$H$33="Todos",datos_base!$H$9,0))*parametros_manuales!$M$95+parametros_manuales!$E$33*(datos_base!$H$3+IF(parametros_manuales!$H$33="Todos",datos_base!$H$10,0))*parametros_manuales!$M$100+parametros_manuales!$F$33*(datos_base!$H$4+IF(parametros_manuales!$H$33="Todos",datos_base!$H$11,0))*parametros_manuales!$M$105+parametros_manuales!$G$33*(datos_base!$H$5+IF(parametros_manuales!$H$33="Todos",datos_base!$H$12,0))*parametros_manuales!$M$110)*parametros_manuales!$I$33*parametros_manuales!$J$33</f>
        <v>15344.91</v>
      </c>
      <c r="N178" s="4">
        <f t="shared" si="19"/>
        <v>170499</v>
      </c>
      <c r="O178" s="4">
        <f t="shared" si="20"/>
        <v>15344.91</v>
      </c>
      <c r="P178" s="27">
        <f>O178/(parametros_manuales!$B$7)</f>
        <v>102.2994</v>
      </c>
      <c r="Q178" s="3" t="str">
        <f t="shared" si="21"/>
        <v>Ene</v>
      </c>
    </row>
    <row r="179" ht="14.25" customHeight="1">
      <c r="A179" s="3" t="str">
        <f>parametros_manuales!$B$34</f>
        <v>Granallado</v>
      </c>
      <c r="B179" s="4">
        <f>(parametros_manuales!$D$34*(datos_base!$H$2+IF(parametros_manuales!$H$34="Todos",datos_base!$H$9,0))*parametros_manuales!$B$95+parametros_manuales!$E$34*(datos_base!$H$3+IF(parametros_manuales!$H$34="Todos",datos_base!$H$10,0))*parametros_manuales!$B$100+parametros_manuales!$F$34*(datos_base!$H$4+IF(parametros_manuales!$H$34="Todos",datos_base!$H$11,0))*parametros_manuales!$B$105+parametros_manuales!$G$34*(datos_base!$H$5+IF(parametros_manuales!$H$34="Todos",datos_base!$H$12,0))*parametros_manuales!$B$110)*parametros_manuales!$I$34*parametros_manuales!$J$34</f>
        <v>15344.91</v>
      </c>
      <c r="C179" s="4">
        <f>(parametros_manuales!$D$34*(datos_base!$H$2+IF(parametros_manuales!$H$34="Todos",datos_base!$H$9,0))*parametros_manuales!$C$95+parametros_manuales!$E$34*(datos_base!$H$3+IF(parametros_manuales!$H$34="Todos",datos_base!$H$10,0))*parametros_manuales!$C$100+parametros_manuales!$F$34*(datos_base!$H$4+IF(parametros_manuales!$H$34="Todos",datos_base!$H$11,0))*parametros_manuales!$C$105+parametros_manuales!$G$34*(datos_base!$H$5+IF(parametros_manuales!$H$34="Todos",datos_base!$H$12,0))*parametros_manuales!$C$110)*parametros_manuales!$I$34*parametros_manuales!$J$34</f>
        <v>14856.66</v>
      </c>
      <c r="D179" s="4">
        <f>(parametros_manuales!$D$34*(datos_base!$H$2+IF(parametros_manuales!$H$34="Todos",datos_base!$H$9,0))*parametros_manuales!$D$95+parametros_manuales!$E$34*(datos_base!$H$3+IF(parametros_manuales!$H$34="Todos",datos_base!$H$10,0))*parametros_manuales!$D$100+parametros_manuales!$F$34*(datos_base!$H$4+IF(parametros_manuales!$H$34="Todos",datos_base!$H$11,0))*parametros_manuales!$D$105+parametros_manuales!$G$34*(datos_base!$H$5+IF(parametros_manuales!$H$34="Todos",datos_base!$H$12,0))*parametros_manuales!$D$110)*parametros_manuales!$I$34*parametros_manuales!$J$34</f>
        <v>13884.045</v>
      </c>
      <c r="E179" s="4">
        <f>(parametros_manuales!$D$34*(datos_base!$H$2+IF(parametros_manuales!$H$34="Todos",datos_base!$H$9,0))*parametros_manuales!$E$95+parametros_manuales!$E$34*(datos_base!$H$3+IF(parametros_manuales!$H$34="Todos",datos_base!$H$10,0))*parametros_manuales!$E$100+parametros_manuales!$F$34*(datos_base!$H$4+IF(parametros_manuales!$H$34="Todos",datos_base!$H$11,0))*parametros_manuales!$E$105+parametros_manuales!$G$34*(datos_base!$H$5+IF(parametros_manuales!$H$34="Todos",datos_base!$H$12,0))*parametros_manuales!$E$110)*parametros_manuales!$I$34*parametros_manuales!$J$34</f>
        <v>13275.675</v>
      </c>
      <c r="F179" s="4">
        <f>(parametros_manuales!$D$34*(datos_base!$H$2+IF(parametros_manuales!$H$34="Todos",datos_base!$H$9,0))*parametros_manuales!$F$95+parametros_manuales!$E$34*(datos_base!$H$3+IF(parametros_manuales!$H$34="Todos",datos_base!$H$10,0))*parametros_manuales!$F$100+parametros_manuales!$F$34*(datos_base!$H$4+IF(parametros_manuales!$H$34="Todos",datos_base!$H$11,0))*parametros_manuales!$F$105+parametros_manuales!$G$34*(datos_base!$H$5+IF(parametros_manuales!$H$34="Todos",datos_base!$H$12,0))*parametros_manuales!$F$110)*parametros_manuales!$I$34*parametros_manuales!$J$34</f>
        <v>12423.18</v>
      </c>
      <c r="G179" s="4">
        <f>(parametros_manuales!$D$34*(datos_base!$H$2+IF(parametros_manuales!$H$34="Todos",datos_base!$H$9,0))*parametros_manuales!$G$95+parametros_manuales!$E$34*(datos_base!$H$3+IF(parametros_manuales!$H$34="Todos",datos_base!$H$10,0))*parametros_manuales!$G$100+parametros_manuales!$F$34*(datos_base!$H$4+IF(parametros_manuales!$H$34="Todos",datos_base!$H$11,0))*parametros_manuales!$G$105+parametros_manuales!$G$34*(datos_base!$H$5+IF(parametros_manuales!$H$34="Todos",datos_base!$H$12,0))*parametros_manuales!$G$110)*parametros_manuales!$I$34*parametros_manuales!$J$34</f>
        <v>12179.055</v>
      </c>
      <c r="H179" s="4">
        <f>(parametros_manuales!$D$34*(datos_base!$H$2+IF(parametros_manuales!$H$34="Todos",datos_base!$H$9,0))*parametros_manuales!$H$95+parametros_manuales!$E$34*(datos_base!$H$3+IF(parametros_manuales!$H$34="Todos",datos_base!$H$10,0))*parametros_manuales!$H$100+parametros_manuales!$F$34*(datos_base!$H$4+IF(parametros_manuales!$H$34="Todos",datos_base!$H$11,0))*parametros_manuales!$H$105+parametros_manuales!$G$34*(datos_base!$H$5+IF(parametros_manuales!$H$34="Todos",datos_base!$H$12,0))*parametros_manuales!$H$110)*parametros_manuales!$I$34*parametros_manuales!$J$34</f>
        <v>13031.55</v>
      </c>
      <c r="I179" s="4">
        <f>(parametros_manuales!$D$34*(datos_base!$H$2+IF(parametros_manuales!$H$34="Todos",datos_base!$H$9,0))*parametros_manuales!$I$95+parametros_manuales!$E$34*(datos_base!$H$3+IF(parametros_manuales!$H$34="Todos",datos_base!$H$10,0))*parametros_manuales!$I$100+parametros_manuales!$F$34*(datos_base!$H$4+IF(parametros_manuales!$H$34="Todos",datos_base!$H$11,0))*parametros_manuales!$I$105+parametros_manuales!$G$34*(datos_base!$H$5+IF(parametros_manuales!$H$34="Todos",datos_base!$H$12,0))*parametros_manuales!$I$110)*parametros_manuales!$I$34*parametros_manuales!$J$34</f>
        <v>14856.66</v>
      </c>
      <c r="J179" s="4">
        <f>(parametros_manuales!$D$34*(datos_base!$H$2+IF(parametros_manuales!$H$34="Todos",datos_base!$H$9,0))*parametros_manuales!$J$95+parametros_manuales!$E$34*(datos_base!$H$3+IF(parametros_manuales!$H$34="Todos",datos_base!$H$10,0))*parametros_manuales!$J$100+parametros_manuales!$F$34*(datos_base!$H$4+IF(parametros_manuales!$H$34="Todos",datos_base!$H$11,0))*parametros_manuales!$J$105+parametros_manuales!$G$34*(datos_base!$H$5+IF(parametros_manuales!$H$34="Todos",datos_base!$H$12,0))*parametros_manuales!$J$110)*parametros_manuales!$I$34*parametros_manuales!$J$34</f>
        <v>14856.66</v>
      </c>
      <c r="K179" s="4">
        <f>(parametros_manuales!$D$34*(datos_base!$H$2+IF(parametros_manuales!$H$34="Todos",datos_base!$H$9,0))*parametros_manuales!$K$95+parametros_manuales!$E$34*(datos_base!$H$3+IF(parametros_manuales!$H$34="Todos",datos_base!$H$10,0))*parametros_manuales!$K$100+parametros_manuales!$F$34*(datos_base!$H$4+IF(parametros_manuales!$H$34="Todos",datos_base!$H$11,0))*parametros_manuales!$K$105+parametros_manuales!$G$34*(datos_base!$H$5+IF(parametros_manuales!$H$34="Todos",datos_base!$H$12,0))*parametros_manuales!$K$110)*parametros_manuales!$I$34*parametros_manuales!$J$34</f>
        <v>15100.785</v>
      </c>
      <c r="L179" s="4">
        <f>(parametros_manuales!$D$34*(datos_base!$H$2+IF(parametros_manuales!$H$34="Todos",datos_base!$H$9,0))*parametros_manuales!$L$95+parametros_manuales!$E$34*(datos_base!$H$3+IF(parametros_manuales!$H$34="Todos",datos_base!$H$10,0))*parametros_manuales!$L$100+parametros_manuales!$F$34*(datos_base!$H$4+IF(parametros_manuales!$H$34="Todos",datos_base!$H$11,0))*parametros_manuales!$L$105+parametros_manuales!$G$34*(datos_base!$H$5+IF(parametros_manuales!$H$34="Todos",datos_base!$H$12,0))*parametros_manuales!$L$110)*parametros_manuales!$I$34*parametros_manuales!$J$34</f>
        <v>15344.91</v>
      </c>
      <c r="M179" s="4">
        <f>(parametros_manuales!$D$34*(datos_base!$H$2+IF(parametros_manuales!$H$34="Todos",datos_base!$H$9,0))*parametros_manuales!$M$95+parametros_manuales!$E$34*(datos_base!$H$3+IF(parametros_manuales!$H$34="Todos",datos_base!$H$10,0))*parametros_manuales!$M$100+parametros_manuales!$F$34*(datos_base!$H$4+IF(parametros_manuales!$H$34="Todos",datos_base!$H$11,0))*parametros_manuales!$M$105+parametros_manuales!$G$34*(datos_base!$H$5+IF(parametros_manuales!$H$34="Todos",datos_base!$H$12,0))*parametros_manuales!$M$110)*parametros_manuales!$I$34*parametros_manuales!$J$34</f>
        <v>15344.91</v>
      </c>
      <c r="N179" s="4">
        <f t="shared" si="19"/>
        <v>170499</v>
      </c>
      <c r="O179" s="4">
        <f t="shared" si="20"/>
        <v>15344.91</v>
      </c>
      <c r="P179" s="27">
        <f>O179/(parametros_manuales!$B$7)</f>
        <v>102.2994</v>
      </c>
      <c r="Q179" s="3" t="str">
        <f t="shared" si="21"/>
        <v>Ene</v>
      </c>
    </row>
    <row r="180" ht="14.25" customHeight="1">
      <c r="A180" s="3" t="str">
        <f>parametros_manuales!$B$35</f>
        <v>Detección de defectos</v>
      </c>
      <c r="B180" s="4">
        <f>(parametros_manuales!$D$35*(datos_base!$H$2+IF(parametros_manuales!$H$35="Todos",datos_base!$H$9,0))*parametros_manuales!$B$95+parametros_manuales!$E$35*(datos_base!$H$3+IF(parametros_manuales!$H$35="Todos",datos_base!$H$10,0))*parametros_manuales!$B$100+parametros_manuales!$F$35*(datos_base!$H$4+IF(parametros_manuales!$H$35="Todos",datos_base!$H$11,0))*parametros_manuales!$B$105+parametros_manuales!$G$35*(datos_base!$H$5+IF(parametros_manuales!$H$35="Todos",datos_base!$H$12,0))*parametros_manuales!$B$110)*parametros_manuales!$I$35*parametros_manuales!$J$35</f>
        <v>15344.91</v>
      </c>
      <c r="C180" s="4">
        <f>(parametros_manuales!$D$35*(datos_base!$H$2+IF(parametros_manuales!$H$35="Todos",datos_base!$H$9,0))*parametros_manuales!$C$95+parametros_manuales!$E$35*(datos_base!$H$3+IF(parametros_manuales!$H$35="Todos",datos_base!$H$10,0))*parametros_manuales!$C$100+parametros_manuales!$F$35*(datos_base!$H$4+IF(parametros_manuales!$H$35="Todos",datos_base!$H$11,0))*parametros_manuales!$C$105+parametros_manuales!$G$35*(datos_base!$H$5+IF(parametros_manuales!$H$35="Todos",datos_base!$H$12,0))*parametros_manuales!$C$110)*parametros_manuales!$I$35*parametros_manuales!$J$35</f>
        <v>14856.66</v>
      </c>
      <c r="D180" s="4">
        <f>(parametros_manuales!$D$35*(datos_base!$H$2+IF(parametros_manuales!$H$35="Todos",datos_base!$H$9,0))*parametros_manuales!$D$95+parametros_manuales!$E$35*(datos_base!$H$3+IF(parametros_manuales!$H$35="Todos",datos_base!$H$10,0))*parametros_manuales!$D$100+parametros_manuales!$F$35*(datos_base!$H$4+IF(parametros_manuales!$H$35="Todos",datos_base!$H$11,0))*parametros_manuales!$D$105+parametros_manuales!$G$35*(datos_base!$H$5+IF(parametros_manuales!$H$35="Todos",datos_base!$H$12,0))*parametros_manuales!$D$110)*parametros_manuales!$I$35*parametros_manuales!$J$35</f>
        <v>13884.045</v>
      </c>
      <c r="E180" s="4">
        <f>(parametros_manuales!$D$35*(datos_base!$H$2+IF(parametros_manuales!$H$35="Todos",datos_base!$H$9,0))*parametros_manuales!$E$95+parametros_manuales!$E$35*(datos_base!$H$3+IF(parametros_manuales!$H$35="Todos",datos_base!$H$10,0))*parametros_manuales!$E$100+parametros_manuales!$F$35*(datos_base!$H$4+IF(parametros_manuales!$H$35="Todos",datos_base!$H$11,0))*parametros_manuales!$E$105+parametros_manuales!$G$35*(datos_base!$H$5+IF(parametros_manuales!$H$35="Todos",datos_base!$H$12,0))*parametros_manuales!$E$110)*parametros_manuales!$I$35*parametros_manuales!$J$35</f>
        <v>13275.675</v>
      </c>
      <c r="F180" s="4">
        <f>(parametros_manuales!$D$35*(datos_base!$H$2+IF(parametros_manuales!$H$35="Todos",datos_base!$H$9,0))*parametros_manuales!$F$95+parametros_manuales!$E$35*(datos_base!$H$3+IF(parametros_manuales!$H$35="Todos",datos_base!$H$10,0))*parametros_manuales!$F$100+parametros_manuales!$F$35*(datos_base!$H$4+IF(parametros_manuales!$H$35="Todos",datos_base!$H$11,0))*parametros_manuales!$F$105+parametros_manuales!$G$35*(datos_base!$H$5+IF(parametros_manuales!$H$35="Todos",datos_base!$H$12,0))*parametros_manuales!$F$110)*parametros_manuales!$I$35*parametros_manuales!$J$35</f>
        <v>12423.18</v>
      </c>
      <c r="G180" s="4">
        <f>(parametros_manuales!$D$35*(datos_base!$H$2+IF(parametros_manuales!$H$35="Todos",datos_base!$H$9,0))*parametros_manuales!$G$95+parametros_manuales!$E$35*(datos_base!$H$3+IF(parametros_manuales!$H$35="Todos",datos_base!$H$10,0))*parametros_manuales!$G$100+parametros_manuales!$F$35*(datos_base!$H$4+IF(parametros_manuales!$H$35="Todos",datos_base!$H$11,0))*parametros_manuales!$G$105+parametros_manuales!$G$35*(datos_base!$H$5+IF(parametros_manuales!$H$35="Todos",datos_base!$H$12,0))*parametros_manuales!$G$110)*parametros_manuales!$I$35*parametros_manuales!$J$35</f>
        <v>12179.055</v>
      </c>
      <c r="H180" s="4">
        <f>(parametros_manuales!$D$35*(datos_base!$H$2+IF(parametros_manuales!$H$35="Todos",datos_base!$H$9,0))*parametros_manuales!$H$95+parametros_manuales!$E$35*(datos_base!$H$3+IF(parametros_manuales!$H$35="Todos",datos_base!$H$10,0))*parametros_manuales!$H$100+parametros_manuales!$F$35*(datos_base!$H$4+IF(parametros_manuales!$H$35="Todos",datos_base!$H$11,0))*parametros_manuales!$H$105+parametros_manuales!$G$35*(datos_base!$H$5+IF(parametros_manuales!$H$35="Todos",datos_base!$H$12,0))*parametros_manuales!$H$110)*parametros_manuales!$I$35*parametros_manuales!$J$35</f>
        <v>13031.55</v>
      </c>
      <c r="I180" s="4">
        <f>(parametros_manuales!$D$35*(datos_base!$H$2+IF(parametros_manuales!$H$35="Todos",datos_base!$H$9,0))*parametros_manuales!$I$95+parametros_manuales!$E$35*(datos_base!$H$3+IF(parametros_manuales!$H$35="Todos",datos_base!$H$10,0))*parametros_manuales!$I$100+parametros_manuales!$F$35*(datos_base!$H$4+IF(parametros_manuales!$H$35="Todos",datos_base!$H$11,0))*parametros_manuales!$I$105+parametros_manuales!$G$35*(datos_base!$H$5+IF(parametros_manuales!$H$35="Todos",datos_base!$H$12,0))*parametros_manuales!$I$110)*parametros_manuales!$I$35*parametros_manuales!$J$35</f>
        <v>14856.66</v>
      </c>
      <c r="J180" s="4">
        <f>(parametros_manuales!$D$35*(datos_base!$H$2+IF(parametros_manuales!$H$35="Todos",datos_base!$H$9,0))*parametros_manuales!$J$95+parametros_manuales!$E$35*(datos_base!$H$3+IF(parametros_manuales!$H$35="Todos",datos_base!$H$10,0))*parametros_manuales!$J$100+parametros_manuales!$F$35*(datos_base!$H$4+IF(parametros_manuales!$H$35="Todos",datos_base!$H$11,0))*parametros_manuales!$J$105+parametros_manuales!$G$35*(datos_base!$H$5+IF(parametros_manuales!$H$35="Todos",datos_base!$H$12,0))*parametros_manuales!$J$110)*parametros_manuales!$I$35*parametros_manuales!$J$35</f>
        <v>14856.66</v>
      </c>
      <c r="K180" s="4">
        <f>(parametros_manuales!$D$35*(datos_base!$H$2+IF(parametros_manuales!$H$35="Todos",datos_base!$H$9,0))*parametros_manuales!$K$95+parametros_manuales!$E$35*(datos_base!$H$3+IF(parametros_manuales!$H$35="Todos",datos_base!$H$10,0))*parametros_manuales!$K$100+parametros_manuales!$F$35*(datos_base!$H$4+IF(parametros_manuales!$H$35="Todos",datos_base!$H$11,0))*parametros_manuales!$K$105+parametros_manuales!$G$35*(datos_base!$H$5+IF(parametros_manuales!$H$35="Todos",datos_base!$H$12,0))*parametros_manuales!$K$110)*parametros_manuales!$I$35*parametros_manuales!$J$35</f>
        <v>15100.785</v>
      </c>
      <c r="L180" s="4">
        <f>(parametros_manuales!$D$35*(datos_base!$H$2+IF(parametros_manuales!$H$35="Todos",datos_base!$H$9,0))*parametros_manuales!$L$95+parametros_manuales!$E$35*(datos_base!$H$3+IF(parametros_manuales!$H$35="Todos",datos_base!$H$10,0))*parametros_manuales!$L$100+parametros_manuales!$F$35*(datos_base!$H$4+IF(parametros_manuales!$H$35="Todos",datos_base!$H$11,0))*parametros_manuales!$L$105+parametros_manuales!$G$35*(datos_base!$H$5+IF(parametros_manuales!$H$35="Todos",datos_base!$H$12,0))*parametros_manuales!$L$110)*parametros_manuales!$I$35*parametros_manuales!$J$35</f>
        <v>15344.91</v>
      </c>
      <c r="M180" s="4">
        <f>(parametros_manuales!$D$35*(datos_base!$H$2+IF(parametros_manuales!$H$35="Todos",datos_base!$H$9,0))*parametros_manuales!$M$95+parametros_manuales!$E$35*(datos_base!$H$3+IF(parametros_manuales!$H$35="Todos",datos_base!$H$10,0))*parametros_manuales!$M$100+parametros_manuales!$F$35*(datos_base!$H$4+IF(parametros_manuales!$H$35="Todos",datos_base!$H$11,0))*parametros_manuales!$M$105+parametros_manuales!$G$35*(datos_base!$H$5+IF(parametros_manuales!$H$35="Todos",datos_base!$H$12,0))*parametros_manuales!$M$110)*parametros_manuales!$I$35*parametros_manuales!$J$35</f>
        <v>15344.91</v>
      </c>
      <c r="N180" s="4">
        <f t="shared" si="19"/>
        <v>170499</v>
      </c>
      <c r="O180" s="4">
        <f t="shared" si="20"/>
        <v>15344.91</v>
      </c>
      <c r="P180" s="27">
        <f>O180/(parametros_manuales!$B$7)</f>
        <v>102.2994</v>
      </c>
      <c r="Q180" s="3" t="str">
        <f t="shared" si="21"/>
        <v>Ene</v>
      </c>
    </row>
    <row r="181" ht="14.25" customHeight="1">
      <c r="A181" s="3" t="str">
        <f>parametros_manuales!$B$36</f>
        <v>Corrección de defectos</v>
      </c>
      <c r="B181" s="4">
        <f>(parametros_manuales!$D$36*(datos_base!$H$2+IF(parametros_manuales!$H$36="Todos",datos_base!$H$9,0))*parametros_manuales!$B$95+parametros_manuales!$E$36*(datos_base!$H$3+IF(parametros_manuales!$H$36="Todos",datos_base!$H$10,0))*parametros_manuales!$B$100+parametros_manuales!$F$36*(datos_base!$H$4+IF(parametros_manuales!$H$36="Todos",datos_base!$H$11,0))*parametros_manuales!$B$105+parametros_manuales!$G$36*(datos_base!$H$5+IF(parametros_manuales!$H$36="Todos",datos_base!$H$12,0))*parametros_manuales!$B$110)*parametros_manuales!$I$36*parametros_manuales!$J$36</f>
        <v>767.2455</v>
      </c>
      <c r="C181" s="4">
        <f>(parametros_manuales!$D$36*(datos_base!$H$2+IF(parametros_manuales!$H$36="Todos",datos_base!$H$9,0))*parametros_manuales!$C$95+parametros_manuales!$E$36*(datos_base!$H$3+IF(parametros_manuales!$H$36="Todos",datos_base!$H$10,0))*parametros_manuales!$C$100+parametros_manuales!$F$36*(datos_base!$H$4+IF(parametros_manuales!$H$36="Todos",datos_base!$H$11,0))*parametros_manuales!$C$105+parametros_manuales!$G$36*(datos_base!$H$5+IF(parametros_manuales!$H$36="Todos",datos_base!$H$12,0))*parametros_manuales!$C$110)*parametros_manuales!$I$36*parametros_manuales!$J$36</f>
        <v>742.833</v>
      </c>
      <c r="D181" s="4">
        <f>(parametros_manuales!$D$36*(datos_base!$H$2+IF(parametros_manuales!$H$36="Todos",datos_base!$H$9,0))*parametros_manuales!$D$95+parametros_manuales!$E$36*(datos_base!$H$3+IF(parametros_manuales!$H$36="Todos",datos_base!$H$10,0))*parametros_manuales!$D$100+parametros_manuales!$F$36*(datos_base!$H$4+IF(parametros_manuales!$H$36="Todos",datos_base!$H$11,0))*parametros_manuales!$D$105+parametros_manuales!$G$36*(datos_base!$H$5+IF(parametros_manuales!$H$36="Todos",datos_base!$H$12,0))*parametros_manuales!$D$110)*parametros_manuales!$I$36*parametros_manuales!$J$36</f>
        <v>694.20225</v>
      </c>
      <c r="E181" s="4">
        <f>(parametros_manuales!$D$36*(datos_base!$H$2+IF(parametros_manuales!$H$36="Todos",datos_base!$H$9,0))*parametros_manuales!$E$95+parametros_manuales!$E$36*(datos_base!$H$3+IF(parametros_manuales!$H$36="Todos",datos_base!$H$10,0))*parametros_manuales!$E$100+parametros_manuales!$F$36*(datos_base!$H$4+IF(parametros_manuales!$H$36="Todos",datos_base!$H$11,0))*parametros_manuales!$E$105+parametros_manuales!$G$36*(datos_base!$H$5+IF(parametros_manuales!$H$36="Todos",datos_base!$H$12,0))*parametros_manuales!$E$110)*parametros_manuales!$I$36*parametros_manuales!$J$36</f>
        <v>663.78375</v>
      </c>
      <c r="F181" s="4">
        <f>(parametros_manuales!$D$36*(datos_base!$H$2+IF(parametros_manuales!$H$36="Todos",datos_base!$H$9,0))*parametros_manuales!$F$95+parametros_manuales!$E$36*(datos_base!$H$3+IF(parametros_manuales!$H$36="Todos",datos_base!$H$10,0))*parametros_manuales!$F$100+parametros_manuales!$F$36*(datos_base!$H$4+IF(parametros_manuales!$H$36="Todos",datos_base!$H$11,0))*parametros_manuales!$F$105+parametros_manuales!$G$36*(datos_base!$H$5+IF(parametros_manuales!$H$36="Todos",datos_base!$H$12,0))*parametros_manuales!$F$110)*parametros_manuales!$I$36*parametros_manuales!$J$36</f>
        <v>621.159</v>
      </c>
      <c r="G181" s="4">
        <f>(parametros_manuales!$D$36*(datos_base!$H$2+IF(parametros_manuales!$H$36="Todos",datos_base!$H$9,0))*parametros_manuales!$G$95+parametros_manuales!$E$36*(datos_base!$H$3+IF(parametros_manuales!$H$36="Todos",datos_base!$H$10,0))*parametros_manuales!$G$100+parametros_manuales!$F$36*(datos_base!$H$4+IF(parametros_manuales!$H$36="Todos",datos_base!$H$11,0))*parametros_manuales!$G$105+parametros_manuales!$G$36*(datos_base!$H$5+IF(parametros_manuales!$H$36="Todos",datos_base!$H$12,0))*parametros_manuales!$G$110)*parametros_manuales!$I$36*parametros_manuales!$J$36</f>
        <v>608.95275</v>
      </c>
      <c r="H181" s="4">
        <f>(parametros_manuales!$D$36*(datos_base!$H$2+IF(parametros_manuales!$H$36="Todos",datos_base!$H$9,0))*parametros_manuales!$H$95+parametros_manuales!$E$36*(datos_base!$H$3+IF(parametros_manuales!$H$36="Todos",datos_base!$H$10,0))*parametros_manuales!$H$100+parametros_manuales!$F$36*(datos_base!$H$4+IF(parametros_manuales!$H$36="Todos",datos_base!$H$11,0))*parametros_manuales!$H$105+parametros_manuales!$G$36*(datos_base!$H$5+IF(parametros_manuales!$H$36="Todos",datos_base!$H$12,0))*parametros_manuales!$H$110)*parametros_manuales!$I$36*parametros_manuales!$J$36</f>
        <v>651.5775</v>
      </c>
      <c r="I181" s="4">
        <f>(parametros_manuales!$D$36*(datos_base!$H$2+IF(parametros_manuales!$H$36="Todos",datos_base!$H$9,0))*parametros_manuales!$I$95+parametros_manuales!$E$36*(datos_base!$H$3+IF(parametros_manuales!$H$36="Todos",datos_base!$H$10,0))*parametros_manuales!$I$100+parametros_manuales!$F$36*(datos_base!$H$4+IF(parametros_manuales!$H$36="Todos",datos_base!$H$11,0))*parametros_manuales!$I$105+parametros_manuales!$G$36*(datos_base!$H$5+IF(parametros_manuales!$H$36="Todos",datos_base!$H$12,0))*parametros_manuales!$I$110)*parametros_manuales!$I$36*parametros_manuales!$J$36</f>
        <v>742.833</v>
      </c>
      <c r="J181" s="4">
        <f>(parametros_manuales!$D$36*(datos_base!$H$2+IF(parametros_manuales!$H$36="Todos",datos_base!$H$9,0))*parametros_manuales!$J$95+parametros_manuales!$E$36*(datos_base!$H$3+IF(parametros_manuales!$H$36="Todos",datos_base!$H$10,0))*parametros_manuales!$J$100+parametros_manuales!$F$36*(datos_base!$H$4+IF(parametros_manuales!$H$36="Todos",datos_base!$H$11,0))*parametros_manuales!$J$105+parametros_manuales!$G$36*(datos_base!$H$5+IF(parametros_manuales!$H$36="Todos",datos_base!$H$12,0))*parametros_manuales!$J$110)*parametros_manuales!$I$36*parametros_manuales!$J$36</f>
        <v>742.833</v>
      </c>
      <c r="K181" s="4">
        <f>(parametros_manuales!$D$36*(datos_base!$H$2+IF(parametros_manuales!$H$36="Todos",datos_base!$H$9,0))*parametros_manuales!$K$95+parametros_manuales!$E$36*(datos_base!$H$3+IF(parametros_manuales!$H$36="Todos",datos_base!$H$10,0))*parametros_manuales!$K$100+parametros_manuales!$F$36*(datos_base!$H$4+IF(parametros_manuales!$H$36="Todos",datos_base!$H$11,0))*parametros_manuales!$K$105+parametros_manuales!$G$36*(datos_base!$H$5+IF(parametros_manuales!$H$36="Todos",datos_base!$H$12,0))*parametros_manuales!$K$110)*parametros_manuales!$I$36*parametros_manuales!$J$36</f>
        <v>755.03925</v>
      </c>
      <c r="L181" s="4">
        <f>(parametros_manuales!$D$36*(datos_base!$H$2+IF(parametros_manuales!$H$36="Todos",datos_base!$H$9,0))*parametros_manuales!$L$95+parametros_manuales!$E$36*(datos_base!$H$3+IF(parametros_manuales!$H$36="Todos",datos_base!$H$10,0))*parametros_manuales!$L$100+parametros_manuales!$F$36*(datos_base!$H$4+IF(parametros_manuales!$H$36="Todos",datos_base!$H$11,0))*parametros_manuales!$L$105+parametros_manuales!$G$36*(datos_base!$H$5+IF(parametros_manuales!$H$36="Todos",datos_base!$H$12,0))*parametros_manuales!$L$110)*parametros_manuales!$I$36*parametros_manuales!$J$36</f>
        <v>767.2455</v>
      </c>
      <c r="M181" s="4">
        <f>(parametros_manuales!$D$36*(datos_base!$H$2+IF(parametros_manuales!$H$36="Todos",datos_base!$H$9,0))*parametros_manuales!$M$95+parametros_manuales!$E$36*(datos_base!$H$3+IF(parametros_manuales!$H$36="Todos",datos_base!$H$10,0))*parametros_manuales!$M$100+parametros_manuales!$F$36*(datos_base!$H$4+IF(parametros_manuales!$H$36="Todos",datos_base!$H$11,0))*parametros_manuales!$M$105+parametros_manuales!$G$36*(datos_base!$H$5+IF(parametros_manuales!$H$36="Todos",datos_base!$H$12,0))*parametros_manuales!$M$110)*parametros_manuales!$I$36*parametros_manuales!$J$36</f>
        <v>767.2455</v>
      </c>
      <c r="N181" s="4">
        <f t="shared" si="19"/>
        <v>8524.95</v>
      </c>
      <c r="O181" s="4">
        <f t="shared" si="20"/>
        <v>767.2455</v>
      </c>
      <c r="P181" s="27">
        <f>O181/(parametros_manuales!$B$7)</f>
        <v>5.11497</v>
      </c>
      <c r="Q181" s="3" t="str">
        <f t="shared" si="21"/>
        <v>Ene</v>
      </c>
    </row>
    <row r="182" ht="14.25" customHeight="1">
      <c r="A182" s="3" t="str">
        <f>parametros_manuales!$B$37</f>
        <v>Pintura en polvo + horno</v>
      </c>
      <c r="B182" s="4">
        <f>(parametros_manuales!$D$37*(datos_base!$H$2+IF(parametros_manuales!$H$37="Todos",datos_base!$H$9,0))*parametros_manuales!$B$95+parametros_manuales!$E$37*(datos_base!$H$3+IF(parametros_manuales!$H$37="Todos",datos_base!$H$10,0))*parametros_manuales!$B$100+parametros_manuales!$F$37*(datos_base!$H$4+IF(parametros_manuales!$H$37="Todos",datos_base!$H$11,0))*parametros_manuales!$B$105+parametros_manuales!$G$37*(datos_base!$H$5+IF(parametros_manuales!$H$37="Todos",datos_base!$H$12,0))*parametros_manuales!$B$110)*parametros_manuales!$I$37*parametros_manuales!$J$37</f>
        <v>15344.91</v>
      </c>
      <c r="C182" s="4">
        <f>(parametros_manuales!$D$37*(datos_base!$H$2+IF(parametros_manuales!$H$37="Todos",datos_base!$H$9,0))*parametros_manuales!$C$95+parametros_manuales!$E$37*(datos_base!$H$3+IF(parametros_manuales!$H$37="Todos",datos_base!$H$10,0))*parametros_manuales!$C$100+parametros_manuales!$F$37*(datos_base!$H$4+IF(parametros_manuales!$H$37="Todos",datos_base!$H$11,0))*parametros_manuales!$C$105+parametros_manuales!$G$37*(datos_base!$H$5+IF(parametros_manuales!$H$37="Todos",datos_base!$H$12,0))*parametros_manuales!$C$110)*parametros_manuales!$I$37*parametros_manuales!$J$37</f>
        <v>14856.66</v>
      </c>
      <c r="D182" s="4">
        <f>(parametros_manuales!$D$37*(datos_base!$H$2+IF(parametros_manuales!$H$37="Todos",datos_base!$H$9,0))*parametros_manuales!$D$95+parametros_manuales!$E$37*(datos_base!$H$3+IF(parametros_manuales!$H$37="Todos",datos_base!$H$10,0))*parametros_manuales!$D$100+parametros_manuales!$F$37*(datos_base!$H$4+IF(parametros_manuales!$H$37="Todos",datos_base!$H$11,0))*parametros_manuales!$D$105+parametros_manuales!$G$37*(datos_base!$H$5+IF(parametros_manuales!$H$37="Todos",datos_base!$H$12,0))*parametros_manuales!$D$110)*parametros_manuales!$I$37*parametros_manuales!$J$37</f>
        <v>13884.045</v>
      </c>
      <c r="E182" s="4">
        <f>(parametros_manuales!$D$37*(datos_base!$H$2+IF(parametros_manuales!$H$37="Todos",datos_base!$H$9,0))*parametros_manuales!$E$95+parametros_manuales!$E$37*(datos_base!$H$3+IF(parametros_manuales!$H$37="Todos",datos_base!$H$10,0))*parametros_manuales!$E$100+parametros_manuales!$F$37*(datos_base!$H$4+IF(parametros_manuales!$H$37="Todos",datos_base!$H$11,0))*parametros_manuales!$E$105+parametros_manuales!$G$37*(datos_base!$H$5+IF(parametros_manuales!$H$37="Todos",datos_base!$H$12,0))*parametros_manuales!$E$110)*parametros_manuales!$I$37*parametros_manuales!$J$37</f>
        <v>13275.675</v>
      </c>
      <c r="F182" s="4">
        <f>(parametros_manuales!$D$37*(datos_base!$H$2+IF(parametros_manuales!$H$37="Todos",datos_base!$H$9,0))*parametros_manuales!$F$95+parametros_manuales!$E$37*(datos_base!$H$3+IF(parametros_manuales!$H$37="Todos",datos_base!$H$10,0))*parametros_manuales!$F$100+parametros_manuales!$F$37*(datos_base!$H$4+IF(parametros_manuales!$H$37="Todos",datos_base!$H$11,0))*parametros_manuales!$F$105+parametros_manuales!$G$37*(datos_base!$H$5+IF(parametros_manuales!$H$37="Todos",datos_base!$H$12,0))*parametros_manuales!$F$110)*parametros_manuales!$I$37*parametros_manuales!$J$37</f>
        <v>12423.18</v>
      </c>
      <c r="G182" s="4">
        <f>(parametros_manuales!$D$37*(datos_base!$H$2+IF(parametros_manuales!$H$37="Todos",datos_base!$H$9,0))*parametros_manuales!$G$95+parametros_manuales!$E$37*(datos_base!$H$3+IF(parametros_manuales!$H$37="Todos",datos_base!$H$10,0))*parametros_manuales!$G$100+parametros_manuales!$F$37*(datos_base!$H$4+IF(parametros_manuales!$H$37="Todos",datos_base!$H$11,0))*parametros_manuales!$G$105+parametros_manuales!$G$37*(datos_base!$H$5+IF(parametros_manuales!$H$37="Todos",datos_base!$H$12,0))*parametros_manuales!$G$110)*parametros_manuales!$I$37*parametros_manuales!$J$37</f>
        <v>12179.055</v>
      </c>
      <c r="H182" s="4">
        <f>(parametros_manuales!$D$37*(datos_base!$H$2+IF(parametros_manuales!$H$37="Todos",datos_base!$H$9,0))*parametros_manuales!$H$95+parametros_manuales!$E$37*(datos_base!$H$3+IF(parametros_manuales!$H$37="Todos",datos_base!$H$10,0))*parametros_manuales!$H$100+parametros_manuales!$F$37*(datos_base!$H$4+IF(parametros_manuales!$H$37="Todos",datos_base!$H$11,0))*parametros_manuales!$H$105+parametros_manuales!$G$37*(datos_base!$H$5+IF(parametros_manuales!$H$37="Todos",datos_base!$H$12,0))*parametros_manuales!$H$110)*parametros_manuales!$I$37*parametros_manuales!$J$37</f>
        <v>13031.55</v>
      </c>
      <c r="I182" s="4">
        <f>(parametros_manuales!$D$37*(datos_base!$H$2+IF(parametros_manuales!$H$37="Todos",datos_base!$H$9,0))*parametros_manuales!$I$95+parametros_manuales!$E$37*(datos_base!$H$3+IF(parametros_manuales!$H$37="Todos",datos_base!$H$10,0))*parametros_manuales!$I$100+parametros_manuales!$F$37*(datos_base!$H$4+IF(parametros_manuales!$H$37="Todos",datos_base!$H$11,0))*parametros_manuales!$I$105+parametros_manuales!$G$37*(datos_base!$H$5+IF(parametros_manuales!$H$37="Todos",datos_base!$H$12,0))*parametros_manuales!$I$110)*parametros_manuales!$I$37*parametros_manuales!$J$37</f>
        <v>14856.66</v>
      </c>
      <c r="J182" s="4">
        <f>(parametros_manuales!$D$37*(datos_base!$H$2+IF(parametros_manuales!$H$37="Todos",datos_base!$H$9,0))*parametros_manuales!$J$95+parametros_manuales!$E$37*(datos_base!$H$3+IF(parametros_manuales!$H$37="Todos",datos_base!$H$10,0))*parametros_manuales!$J$100+parametros_manuales!$F$37*(datos_base!$H$4+IF(parametros_manuales!$H$37="Todos",datos_base!$H$11,0))*parametros_manuales!$J$105+parametros_manuales!$G$37*(datos_base!$H$5+IF(parametros_manuales!$H$37="Todos",datos_base!$H$12,0))*parametros_manuales!$J$110)*parametros_manuales!$I$37*parametros_manuales!$J$37</f>
        <v>14856.66</v>
      </c>
      <c r="K182" s="4">
        <f>(parametros_manuales!$D$37*(datos_base!$H$2+IF(parametros_manuales!$H$37="Todos",datos_base!$H$9,0))*parametros_manuales!$K$95+parametros_manuales!$E$37*(datos_base!$H$3+IF(parametros_manuales!$H$37="Todos",datos_base!$H$10,0))*parametros_manuales!$K$100+parametros_manuales!$F$37*(datos_base!$H$4+IF(parametros_manuales!$H$37="Todos",datos_base!$H$11,0))*parametros_manuales!$K$105+parametros_manuales!$G$37*(datos_base!$H$5+IF(parametros_manuales!$H$37="Todos",datos_base!$H$12,0))*parametros_manuales!$K$110)*parametros_manuales!$I$37*parametros_manuales!$J$37</f>
        <v>15100.785</v>
      </c>
      <c r="L182" s="4">
        <f>(parametros_manuales!$D$37*(datos_base!$H$2+IF(parametros_manuales!$H$37="Todos",datos_base!$H$9,0))*parametros_manuales!$L$95+parametros_manuales!$E$37*(datos_base!$H$3+IF(parametros_manuales!$H$37="Todos",datos_base!$H$10,0))*parametros_manuales!$L$100+parametros_manuales!$F$37*(datos_base!$H$4+IF(parametros_manuales!$H$37="Todos",datos_base!$H$11,0))*parametros_manuales!$L$105+parametros_manuales!$G$37*(datos_base!$H$5+IF(parametros_manuales!$H$37="Todos",datos_base!$H$12,0))*parametros_manuales!$L$110)*parametros_manuales!$I$37*parametros_manuales!$J$37</f>
        <v>15344.91</v>
      </c>
      <c r="M182" s="4">
        <f>(parametros_manuales!$D$37*(datos_base!$H$2+IF(parametros_manuales!$H$37="Todos",datos_base!$H$9,0))*parametros_manuales!$M$95+parametros_manuales!$E$37*(datos_base!$H$3+IF(parametros_manuales!$H$37="Todos",datos_base!$H$10,0))*parametros_manuales!$M$100+parametros_manuales!$F$37*(datos_base!$H$4+IF(parametros_manuales!$H$37="Todos",datos_base!$H$11,0))*parametros_manuales!$M$105+parametros_manuales!$G$37*(datos_base!$H$5+IF(parametros_manuales!$H$37="Todos",datos_base!$H$12,0))*parametros_manuales!$M$110)*parametros_manuales!$I$37*parametros_manuales!$J$37</f>
        <v>15344.91</v>
      </c>
      <c r="N182" s="4">
        <f t="shared" si="19"/>
        <v>170499</v>
      </c>
      <c r="O182" s="4">
        <f t="shared" si="20"/>
        <v>15344.91</v>
      </c>
      <c r="P182" s="27">
        <f>O182/(parametros_manuales!$B$7)</f>
        <v>102.2994</v>
      </c>
      <c r="Q182" s="3" t="str">
        <f t="shared" si="21"/>
        <v>Ene</v>
      </c>
    </row>
    <row r="183" ht="14.25" customHeight="1">
      <c r="A183" s="3" t="str">
        <f>parametros_manuales!$B$38</f>
        <v>Carga de polvo</v>
      </c>
      <c r="B183" s="4">
        <f>(parametros_manuales!$D$38*(datos_base!$H$2+IF(parametros_manuales!$H$38="Todos",datos_base!$H$9,0))*parametros_manuales!$B$95+parametros_manuales!$E$38*(datos_base!$H$3+IF(parametros_manuales!$H$38="Todos",datos_base!$H$10,0))*parametros_manuales!$B$100+parametros_manuales!$F$38*(datos_base!$H$4+IF(parametros_manuales!$H$38="Todos",datos_base!$H$11,0))*parametros_manuales!$B$105+parametros_manuales!$G$38*(datos_base!$H$5+IF(parametros_manuales!$H$38="Todos",datos_base!$H$12,0))*parametros_manuales!$B$110)*parametros_manuales!$I$38*parametros_manuales!$J$38</f>
        <v>3999.69</v>
      </c>
      <c r="C183" s="4">
        <f>(parametros_manuales!$D$38*(datos_base!$H$2+IF(parametros_manuales!$H$38="Todos",datos_base!$H$9,0))*parametros_manuales!$C$95+parametros_manuales!$E$38*(datos_base!$H$3+IF(parametros_manuales!$H$38="Todos",datos_base!$H$10,0))*parametros_manuales!$C$100+parametros_manuales!$F$38*(datos_base!$H$4+IF(parametros_manuales!$H$38="Todos",datos_base!$H$11,0))*parametros_manuales!$C$105+parametros_manuales!$G$38*(datos_base!$H$5+IF(parametros_manuales!$H$38="Todos",datos_base!$H$12,0))*parametros_manuales!$C$110)*parametros_manuales!$I$38*parametros_manuales!$J$38</f>
        <v>3758.61</v>
      </c>
      <c r="D183" s="4">
        <f>(parametros_manuales!$D$38*(datos_base!$H$2+IF(parametros_manuales!$H$38="Todos",datos_base!$H$9,0))*parametros_manuales!$D$95+parametros_manuales!$E$38*(datos_base!$H$3+IF(parametros_manuales!$H$38="Todos",datos_base!$H$10,0))*parametros_manuales!$D$100+parametros_manuales!$F$38*(datos_base!$H$4+IF(parametros_manuales!$H$38="Todos",datos_base!$H$11,0))*parametros_manuales!$D$105+parametros_manuales!$G$38*(datos_base!$H$5+IF(parametros_manuales!$H$38="Todos",datos_base!$H$12,0))*parametros_manuales!$D$110)*parametros_manuales!$I$38*parametros_manuales!$J$38</f>
        <v>3675.82</v>
      </c>
      <c r="E183" s="4">
        <f>(parametros_manuales!$D$38*(datos_base!$H$2+IF(parametros_manuales!$H$38="Todos",datos_base!$H$9,0))*parametros_manuales!$E$95+parametros_manuales!$E$38*(datos_base!$H$3+IF(parametros_manuales!$H$38="Todos",datos_base!$H$10,0))*parametros_manuales!$E$100+parametros_manuales!$F$38*(datos_base!$H$4+IF(parametros_manuales!$H$38="Todos",datos_base!$H$11,0))*parametros_manuales!$E$105+parametros_manuales!$G$38*(datos_base!$H$5+IF(parametros_manuales!$H$38="Todos",datos_base!$H$12,0))*parametros_manuales!$E$110)*parametros_manuales!$I$38*parametros_manuales!$J$38</f>
        <v>3574.155</v>
      </c>
      <c r="F183" s="4">
        <f>(parametros_manuales!$D$38*(datos_base!$H$2+IF(parametros_manuales!$H$38="Todos",datos_base!$H$9,0))*parametros_manuales!$F$95+parametros_manuales!$E$38*(datos_base!$H$3+IF(parametros_manuales!$H$38="Todos",datos_base!$H$10,0))*parametros_manuales!$F$100+parametros_manuales!$F$38*(datos_base!$H$4+IF(parametros_manuales!$H$38="Todos",datos_base!$H$11,0))*parametros_manuales!$F$105+parametros_manuales!$G$38*(datos_base!$H$5+IF(parametros_manuales!$H$38="Todos",datos_base!$H$12,0))*parametros_manuales!$F$110)*parametros_manuales!$I$38*parametros_manuales!$J$38</f>
        <v>3351.95</v>
      </c>
      <c r="G183" s="4">
        <f>(parametros_manuales!$D$38*(datos_base!$H$2+IF(parametros_manuales!$H$38="Todos",datos_base!$H$9,0))*parametros_manuales!$G$95+parametros_manuales!$E$38*(datos_base!$H$3+IF(parametros_manuales!$H$38="Todos",datos_base!$H$10,0))*parametros_manuales!$G$100+parametros_manuales!$F$38*(datos_base!$H$4+IF(parametros_manuales!$H$38="Todos",datos_base!$H$11,0))*parametros_manuales!$G$105+parametros_manuales!$G$38*(datos_base!$H$5+IF(parametros_manuales!$H$38="Todos",datos_base!$H$12,0))*parametros_manuales!$G$110)*parametros_manuales!$I$38*parametros_manuales!$J$38</f>
        <v>3231.41</v>
      </c>
      <c r="H183" s="4">
        <f>(parametros_manuales!$D$38*(datos_base!$H$2+IF(parametros_manuales!$H$38="Todos",datos_base!$H$9,0))*parametros_manuales!$H$95+parametros_manuales!$E$38*(datos_base!$H$3+IF(parametros_manuales!$H$38="Todos",datos_base!$H$10,0))*parametros_manuales!$H$100+parametros_manuales!$F$38*(datos_base!$H$4+IF(parametros_manuales!$H$38="Todos",datos_base!$H$11,0))*parametros_manuales!$H$105+parametros_manuales!$G$38*(datos_base!$H$5+IF(parametros_manuales!$H$38="Todos",datos_base!$H$12,0))*parametros_manuales!$H$110)*parametros_manuales!$I$38*parametros_manuales!$J$38</f>
        <v>3453.615</v>
      </c>
      <c r="I183" s="4">
        <f>(parametros_manuales!$D$38*(datos_base!$H$2+IF(parametros_manuales!$H$38="Todos",datos_base!$H$9,0))*parametros_manuales!$I$95+parametros_manuales!$E$38*(datos_base!$H$3+IF(parametros_manuales!$H$38="Todos",datos_base!$H$10,0))*parametros_manuales!$I$100+parametros_manuales!$F$38*(datos_base!$H$4+IF(parametros_manuales!$H$38="Todos",datos_base!$H$11,0))*parametros_manuales!$I$105+parametros_manuales!$G$38*(datos_base!$H$5+IF(parametros_manuales!$H$38="Todos",datos_base!$H$12,0))*parametros_manuales!$I$110)*parametros_manuales!$I$38*parametros_manuales!$J$38</f>
        <v>3758.61</v>
      </c>
      <c r="J183" s="4">
        <f>(parametros_manuales!$D$38*(datos_base!$H$2+IF(parametros_manuales!$H$38="Todos",datos_base!$H$9,0))*parametros_manuales!$J$95+parametros_manuales!$E$38*(datos_base!$H$3+IF(parametros_manuales!$H$38="Todos",datos_base!$H$10,0))*parametros_manuales!$J$100+parametros_manuales!$F$38*(datos_base!$H$4+IF(parametros_manuales!$H$38="Todos",datos_base!$H$11,0))*parametros_manuales!$J$105+parametros_manuales!$G$38*(datos_base!$H$5+IF(parametros_manuales!$H$38="Todos",datos_base!$H$12,0))*parametros_manuales!$J$110)*parametros_manuales!$I$38*parametros_manuales!$J$38</f>
        <v>3758.61</v>
      </c>
      <c r="K183" s="4">
        <f>(parametros_manuales!$D$38*(datos_base!$H$2+IF(parametros_manuales!$H$38="Todos",datos_base!$H$9,0))*parametros_manuales!$K$95+parametros_manuales!$E$38*(datos_base!$H$3+IF(parametros_manuales!$H$38="Todos",datos_base!$H$10,0))*parametros_manuales!$K$100+parametros_manuales!$F$38*(datos_base!$H$4+IF(parametros_manuales!$H$38="Todos",datos_base!$H$11,0))*parametros_manuales!$K$105+parametros_manuales!$G$38*(datos_base!$H$5+IF(parametros_manuales!$H$38="Todos",datos_base!$H$12,0))*parametros_manuales!$K$110)*parametros_manuales!$I$38*parametros_manuales!$J$38</f>
        <v>3879.15</v>
      </c>
      <c r="L183" s="4">
        <f>(parametros_manuales!$D$38*(datos_base!$H$2+IF(parametros_manuales!$H$38="Todos",datos_base!$H$9,0))*parametros_manuales!$L$95+parametros_manuales!$E$38*(datos_base!$H$3+IF(parametros_manuales!$H$38="Todos",datos_base!$H$10,0))*parametros_manuales!$L$100+parametros_manuales!$F$38*(datos_base!$H$4+IF(parametros_manuales!$H$38="Todos",datos_base!$H$11,0))*parametros_manuales!$L$105+parametros_manuales!$G$38*(datos_base!$H$5+IF(parametros_manuales!$H$38="Todos",datos_base!$H$12,0))*parametros_manuales!$L$110)*parametros_manuales!$I$38*parametros_manuales!$J$38</f>
        <v>3999.69</v>
      </c>
      <c r="M183" s="4">
        <f>(parametros_manuales!$D$38*(datos_base!$H$2+IF(parametros_manuales!$H$38="Todos",datos_base!$H$9,0))*parametros_manuales!$M$95+parametros_manuales!$E$38*(datos_base!$H$3+IF(parametros_manuales!$H$38="Todos",datos_base!$H$10,0))*parametros_manuales!$M$100+parametros_manuales!$F$38*(datos_base!$H$4+IF(parametros_manuales!$H$38="Todos",datos_base!$H$11,0))*parametros_manuales!$M$105+parametros_manuales!$G$38*(datos_base!$H$5+IF(parametros_manuales!$H$38="Todos",datos_base!$H$12,0))*parametros_manuales!$M$110)*parametros_manuales!$I$38*parametros_manuales!$J$38</f>
        <v>3999.69</v>
      </c>
      <c r="N183" s="4">
        <f t="shared" si="19"/>
        <v>44441</v>
      </c>
      <c r="O183" s="4">
        <f t="shared" si="20"/>
        <v>3999.69</v>
      </c>
      <c r="P183" s="27">
        <f>O183/(parametros_manuales!$B$7)</f>
        <v>26.6646</v>
      </c>
      <c r="Q183" s="3" t="str">
        <f t="shared" si="21"/>
        <v>Ene</v>
      </c>
    </row>
    <row r="184" ht="14.25" customHeight="1">
      <c r="A184" s="3" t="str">
        <f>parametros_manuales!$B$39</f>
        <v>Ensamblaje</v>
      </c>
      <c r="B184" s="4">
        <f>(parametros_manuales!$D$39*(datos_base!$H$2+IF(parametros_manuales!$H$39="Todos",datos_base!$H$9,0))*parametros_manuales!$B$95+parametros_manuales!$E$39*(datos_base!$H$3+IF(parametros_manuales!$H$39="Todos",datos_base!$H$10,0))*parametros_manuales!$B$100+parametros_manuales!$F$39*(datos_base!$H$4+IF(parametros_manuales!$H$39="Todos",datos_base!$H$11,0))*parametros_manuales!$B$105+parametros_manuales!$G$39*(datos_base!$H$5+IF(parametros_manuales!$H$39="Todos",datos_base!$H$12,0))*parametros_manuales!$B$110)*parametros_manuales!$I$39*parametros_manuales!$J$39</f>
        <v>3999.69</v>
      </c>
      <c r="C184" s="4">
        <f>(parametros_manuales!$D$39*(datos_base!$H$2+IF(parametros_manuales!$H$39="Todos",datos_base!$H$9,0))*parametros_manuales!$C$95+parametros_manuales!$E$39*(datos_base!$H$3+IF(parametros_manuales!$H$39="Todos",datos_base!$H$10,0))*parametros_manuales!$C$100+parametros_manuales!$F$39*(datos_base!$H$4+IF(parametros_manuales!$H$39="Todos",datos_base!$H$11,0))*parametros_manuales!$C$105+parametros_manuales!$G$39*(datos_base!$H$5+IF(parametros_manuales!$H$39="Todos",datos_base!$H$12,0))*parametros_manuales!$C$110)*parametros_manuales!$I$39*parametros_manuales!$J$39</f>
        <v>3758.61</v>
      </c>
      <c r="D184" s="4">
        <f>(parametros_manuales!$D$39*(datos_base!$H$2+IF(parametros_manuales!$H$39="Todos",datos_base!$H$9,0))*parametros_manuales!$D$95+parametros_manuales!$E$39*(datos_base!$H$3+IF(parametros_manuales!$H$39="Todos",datos_base!$H$10,0))*parametros_manuales!$D$100+parametros_manuales!$F$39*(datos_base!$H$4+IF(parametros_manuales!$H$39="Todos",datos_base!$H$11,0))*parametros_manuales!$D$105+parametros_manuales!$G$39*(datos_base!$H$5+IF(parametros_manuales!$H$39="Todos",datos_base!$H$12,0))*parametros_manuales!$D$110)*parametros_manuales!$I$39*parametros_manuales!$J$39</f>
        <v>3675.82</v>
      </c>
      <c r="E184" s="4">
        <f>(parametros_manuales!$D$39*(datos_base!$H$2+IF(parametros_manuales!$H$39="Todos",datos_base!$H$9,0))*parametros_manuales!$E$95+parametros_manuales!$E$39*(datos_base!$H$3+IF(parametros_manuales!$H$39="Todos",datos_base!$H$10,0))*parametros_manuales!$E$100+parametros_manuales!$F$39*(datos_base!$H$4+IF(parametros_manuales!$H$39="Todos",datos_base!$H$11,0))*parametros_manuales!$E$105+parametros_manuales!$G$39*(datos_base!$H$5+IF(parametros_manuales!$H$39="Todos",datos_base!$H$12,0))*parametros_manuales!$E$110)*parametros_manuales!$I$39*parametros_manuales!$J$39</f>
        <v>3574.155</v>
      </c>
      <c r="F184" s="4">
        <f>(parametros_manuales!$D$39*(datos_base!$H$2+IF(parametros_manuales!$H$39="Todos",datos_base!$H$9,0))*parametros_manuales!$F$95+parametros_manuales!$E$39*(datos_base!$H$3+IF(parametros_manuales!$H$39="Todos",datos_base!$H$10,0))*parametros_manuales!$F$100+parametros_manuales!$F$39*(datos_base!$H$4+IF(parametros_manuales!$H$39="Todos",datos_base!$H$11,0))*parametros_manuales!$F$105+parametros_manuales!$G$39*(datos_base!$H$5+IF(parametros_manuales!$H$39="Todos",datos_base!$H$12,0))*parametros_manuales!$F$110)*parametros_manuales!$I$39*parametros_manuales!$J$39</f>
        <v>3351.95</v>
      </c>
      <c r="G184" s="4">
        <f>(parametros_manuales!$D$39*(datos_base!$H$2+IF(parametros_manuales!$H$39="Todos",datos_base!$H$9,0))*parametros_manuales!$G$95+parametros_manuales!$E$39*(datos_base!$H$3+IF(parametros_manuales!$H$39="Todos",datos_base!$H$10,0))*parametros_manuales!$G$100+parametros_manuales!$F$39*(datos_base!$H$4+IF(parametros_manuales!$H$39="Todos",datos_base!$H$11,0))*parametros_manuales!$G$105+parametros_manuales!$G$39*(datos_base!$H$5+IF(parametros_manuales!$H$39="Todos",datos_base!$H$12,0))*parametros_manuales!$G$110)*parametros_manuales!$I$39*parametros_manuales!$J$39</f>
        <v>3231.41</v>
      </c>
      <c r="H184" s="4">
        <f>(parametros_manuales!$D$39*(datos_base!$H$2+IF(parametros_manuales!$H$39="Todos",datos_base!$H$9,0))*parametros_manuales!$H$95+parametros_manuales!$E$39*(datos_base!$H$3+IF(parametros_manuales!$H$39="Todos",datos_base!$H$10,0))*parametros_manuales!$H$100+parametros_manuales!$F$39*(datos_base!$H$4+IF(parametros_manuales!$H$39="Todos",datos_base!$H$11,0))*parametros_manuales!$H$105+parametros_manuales!$G$39*(datos_base!$H$5+IF(parametros_manuales!$H$39="Todos",datos_base!$H$12,0))*parametros_manuales!$H$110)*parametros_manuales!$I$39*parametros_manuales!$J$39</f>
        <v>3453.615</v>
      </c>
      <c r="I184" s="4">
        <f>(parametros_manuales!$D$39*(datos_base!$H$2+IF(parametros_manuales!$H$39="Todos",datos_base!$H$9,0))*parametros_manuales!$I$95+parametros_manuales!$E$39*(datos_base!$H$3+IF(parametros_manuales!$H$39="Todos",datos_base!$H$10,0))*parametros_manuales!$I$100+parametros_manuales!$F$39*(datos_base!$H$4+IF(parametros_manuales!$H$39="Todos",datos_base!$H$11,0))*parametros_manuales!$I$105+parametros_manuales!$G$39*(datos_base!$H$5+IF(parametros_manuales!$H$39="Todos",datos_base!$H$12,0))*parametros_manuales!$I$110)*parametros_manuales!$I$39*parametros_manuales!$J$39</f>
        <v>3758.61</v>
      </c>
      <c r="J184" s="4">
        <f>(parametros_manuales!$D$39*(datos_base!$H$2+IF(parametros_manuales!$H$39="Todos",datos_base!$H$9,0))*parametros_manuales!$J$95+parametros_manuales!$E$39*(datos_base!$H$3+IF(parametros_manuales!$H$39="Todos",datos_base!$H$10,0))*parametros_manuales!$J$100+parametros_manuales!$F$39*(datos_base!$H$4+IF(parametros_manuales!$H$39="Todos",datos_base!$H$11,0))*parametros_manuales!$J$105+parametros_manuales!$G$39*(datos_base!$H$5+IF(parametros_manuales!$H$39="Todos",datos_base!$H$12,0))*parametros_manuales!$J$110)*parametros_manuales!$I$39*parametros_manuales!$J$39</f>
        <v>3758.61</v>
      </c>
      <c r="K184" s="4">
        <f>(parametros_manuales!$D$39*(datos_base!$H$2+IF(parametros_manuales!$H$39="Todos",datos_base!$H$9,0))*parametros_manuales!$K$95+parametros_manuales!$E$39*(datos_base!$H$3+IF(parametros_manuales!$H$39="Todos",datos_base!$H$10,0))*parametros_manuales!$K$100+parametros_manuales!$F$39*(datos_base!$H$4+IF(parametros_manuales!$H$39="Todos",datos_base!$H$11,0))*parametros_manuales!$K$105+parametros_manuales!$G$39*(datos_base!$H$5+IF(parametros_manuales!$H$39="Todos",datos_base!$H$12,0))*parametros_manuales!$K$110)*parametros_manuales!$I$39*parametros_manuales!$J$39</f>
        <v>3879.15</v>
      </c>
      <c r="L184" s="4">
        <f>(parametros_manuales!$D$39*(datos_base!$H$2+IF(parametros_manuales!$H$39="Todos",datos_base!$H$9,0))*parametros_manuales!$L$95+parametros_manuales!$E$39*(datos_base!$H$3+IF(parametros_manuales!$H$39="Todos",datos_base!$H$10,0))*parametros_manuales!$L$100+parametros_manuales!$F$39*(datos_base!$H$4+IF(parametros_manuales!$H$39="Todos",datos_base!$H$11,0))*parametros_manuales!$L$105+parametros_manuales!$G$39*(datos_base!$H$5+IF(parametros_manuales!$H$39="Todos",datos_base!$H$12,0))*parametros_manuales!$L$110)*parametros_manuales!$I$39*parametros_manuales!$J$39</f>
        <v>3999.69</v>
      </c>
      <c r="M184" s="4">
        <f>(parametros_manuales!$D$39*(datos_base!$H$2+IF(parametros_manuales!$H$39="Todos",datos_base!$H$9,0))*parametros_manuales!$M$95+parametros_manuales!$E$39*(datos_base!$H$3+IF(parametros_manuales!$H$39="Todos",datos_base!$H$10,0))*parametros_manuales!$M$100+parametros_manuales!$F$39*(datos_base!$H$4+IF(parametros_manuales!$H$39="Todos",datos_base!$H$11,0))*parametros_manuales!$M$105+parametros_manuales!$G$39*(datos_base!$H$5+IF(parametros_manuales!$H$39="Todos",datos_base!$H$12,0))*parametros_manuales!$M$110)*parametros_manuales!$I$39*parametros_manuales!$J$39</f>
        <v>3999.69</v>
      </c>
      <c r="N184" s="4">
        <f t="shared" si="19"/>
        <v>44441</v>
      </c>
      <c r="O184" s="4">
        <f t="shared" si="20"/>
        <v>3999.69</v>
      </c>
      <c r="P184" s="27">
        <f>O184/(parametros_manuales!$B$7)</f>
        <v>26.6646</v>
      </c>
      <c r="Q184" s="3" t="str">
        <f t="shared" si="21"/>
        <v>Ene</v>
      </c>
    </row>
    <row r="185" ht="14.25" customHeight="1">
      <c r="A185" s="3" t="str">
        <f>parametros_manuales!$B$40</f>
        <v>Presurización</v>
      </c>
      <c r="B185" s="4">
        <f>(parametros_manuales!$D$40*(datos_base!$H$2+IF(parametros_manuales!$H$40="Todos",datos_base!$H$9,0))*parametros_manuales!$B$95+parametros_manuales!$E$40*(datos_base!$H$3+IF(parametros_manuales!$H$40="Todos",datos_base!$H$10,0))*parametros_manuales!$B$100+parametros_manuales!$F$40*(datos_base!$H$4+IF(parametros_manuales!$H$40="Todos",datos_base!$H$11,0))*parametros_manuales!$B$105+parametros_manuales!$G$40*(datos_base!$H$5+IF(parametros_manuales!$H$40="Todos",datos_base!$H$12,0))*parametros_manuales!$B$110)*parametros_manuales!$I$40*parametros_manuales!$J$40</f>
        <v>3999.69</v>
      </c>
      <c r="C185" s="4">
        <f>(parametros_manuales!$D$40*(datos_base!$H$2+IF(parametros_manuales!$H$40="Todos",datos_base!$H$9,0))*parametros_manuales!$C$95+parametros_manuales!$E$40*(datos_base!$H$3+IF(parametros_manuales!$H$40="Todos",datos_base!$H$10,0))*parametros_manuales!$C$100+parametros_manuales!$F$40*(datos_base!$H$4+IF(parametros_manuales!$H$40="Todos",datos_base!$H$11,0))*parametros_manuales!$C$105+parametros_manuales!$G$40*(datos_base!$H$5+IF(parametros_manuales!$H$40="Todos",datos_base!$H$12,0))*parametros_manuales!$C$110)*parametros_manuales!$I$40*parametros_manuales!$J$40</f>
        <v>3758.61</v>
      </c>
      <c r="D185" s="4">
        <f>(parametros_manuales!$D$40*(datos_base!$H$2+IF(parametros_manuales!$H$40="Todos",datos_base!$H$9,0))*parametros_manuales!$D$95+parametros_manuales!$E$40*(datos_base!$H$3+IF(parametros_manuales!$H$40="Todos",datos_base!$H$10,0))*parametros_manuales!$D$100+parametros_manuales!$F$40*(datos_base!$H$4+IF(parametros_manuales!$H$40="Todos",datos_base!$H$11,0))*parametros_manuales!$D$105+parametros_manuales!$G$40*(datos_base!$H$5+IF(parametros_manuales!$H$40="Todos",datos_base!$H$12,0))*parametros_manuales!$D$110)*parametros_manuales!$I$40*parametros_manuales!$J$40</f>
        <v>3675.82</v>
      </c>
      <c r="E185" s="4">
        <f>(parametros_manuales!$D$40*(datos_base!$H$2+IF(parametros_manuales!$H$40="Todos",datos_base!$H$9,0))*parametros_manuales!$E$95+parametros_manuales!$E$40*(datos_base!$H$3+IF(parametros_manuales!$H$40="Todos",datos_base!$H$10,0))*parametros_manuales!$E$100+parametros_manuales!$F$40*(datos_base!$H$4+IF(parametros_manuales!$H$40="Todos",datos_base!$H$11,0))*parametros_manuales!$E$105+parametros_manuales!$G$40*(datos_base!$H$5+IF(parametros_manuales!$H$40="Todos",datos_base!$H$12,0))*parametros_manuales!$E$110)*parametros_manuales!$I$40*parametros_manuales!$J$40</f>
        <v>3574.155</v>
      </c>
      <c r="F185" s="4">
        <f>(parametros_manuales!$D$40*(datos_base!$H$2+IF(parametros_manuales!$H$40="Todos",datos_base!$H$9,0))*parametros_manuales!$F$95+parametros_manuales!$E$40*(datos_base!$H$3+IF(parametros_manuales!$H$40="Todos",datos_base!$H$10,0))*parametros_manuales!$F$100+parametros_manuales!$F$40*(datos_base!$H$4+IF(parametros_manuales!$H$40="Todos",datos_base!$H$11,0))*parametros_manuales!$F$105+parametros_manuales!$G$40*(datos_base!$H$5+IF(parametros_manuales!$H$40="Todos",datos_base!$H$12,0))*parametros_manuales!$F$110)*parametros_manuales!$I$40*parametros_manuales!$J$40</f>
        <v>3351.95</v>
      </c>
      <c r="G185" s="4">
        <f>(parametros_manuales!$D$40*(datos_base!$H$2+IF(parametros_manuales!$H$40="Todos",datos_base!$H$9,0))*parametros_manuales!$G$95+parametros_manuales!$E$40*(datos_base!$H$3+IF(parametros_manuales!$H$40="Todos",datos_base!$H$10,0))*parametros_manuales!$G$100+parametros_manuales!$F$40*(datos_base!$H$4+IF(parametros_manuales!$H$40="Todos",datos_base!$H$11,0))*parametros_manuales!$G$105+parametros_manuales!$G$40*(datos_base!$H$5+IF(parametros_manuales!$H$40="Todos",datos_base!$H$12,0))*parametros_manuales!$G$110)*parametros_manuales!$I$40*parametros_manuales!$J$40</f>
        <v>3231.41</v>
      </c>
      <c r="H185" s="4">
        <f>(parametros_manuales!$D$40*(datos_base!$H$2+IF(parametros_manuales!$H$40="Todos",datos_base!$H$9,0))*parametros_manuales!$H$95+parametros_manuales!$E$40*(datos_base!$H$3+IF(parametros_manuales!$H$40="Todos",datos_base!$H$10,0))*parametros_manuales!$H$100+parametros_manuales!$F$40*(datos_base!$H$4+IF(parametros_manuales!$H$40="Todos",datos_base!$H$11,0))*parametros_manuales!$H$105+parametros_manuales!$G$40*(datos_base!$H$5+IF(parametros_manuales!$H$40="Todos",datos_base!$H$12,0))*parametros_manuales!$H$110)*parametros_manuales!$I$40*parametros_manuales!$J$40</f>
        <v>3453.615</v>
      </c>
      <c r="I185" s="4">
        <f>(parametros_manuales!$D$40*(datos_base!$H$2+IF(parametros_manuales!$H$40="Todos",datos_base!$H$9,0))*parametros_manuales!$I$95+parametros_manuales!$E$40*(datos_base!$H$3+IF(parametros_manuales!$H$40="Todos",datos_base!$H$10,0))*parametros_manuales!$I$100+parametros_manuales!$F$40*(datos_base!$H$4+IF(parametros_manuales!$H$40="Todos",datos_base!$H$11,0))*parametros_manuales!$I$105+parametros_manuales!$G$40*(datos_base!$H$5+IF(parametros_manuales!$H$40="Todos",datos_base!$H$12,0))*parametros_manuales!$I$110)*parametros_manuales!$I$40*parametros_manuales!$J$40</f>
        <v>3758.61</v>
      </c>
      <c r="J185" s="4">
        <f>(parametros_manuales!$D$40*(datos_base!$H$2+IF(parametros_manuales!$H$40="Todos",datos_base!$H$9,0))*parametros_manuales!$J$95+parametros_manuales!$E$40*(datos_base!$H$3+IF(parametros_manuales!$H$40="Todos",datos_base!$H$10,0))*parametros_manuales!$J$100+parametros_manuales!$F$40*(datos_base!$H$4+IF(parametros_manuales!$H$40="Todos",datos_base!$H$11,0))*parametros_manuales!$J$105+parametros_manuales!$G$40*(datos_base!$H$5+IF(parametros_manuales!$H$40="Todos",datos_base!$H$12,0))*parametros_manuales!$J$110)*parametros_manuales!$I$40*parametros_manuales!$J$40</f>
        <v>3758.61</v>
      </c>
      <c r="K185" s="4">
        <f>(parametros_manuales!$D$40*(datos_base!$H$2+IF(parametros_manuales!$H$40="Todos",datos_base!$H$9,0))*parametros_manuales!$K$95+parametros_manuales!$E$40*(datos_base!$H$3+IF(parametros_manuales!$H$40="Todos",datos_base!$H$10,0))*parametros_manuales!$K$100+parametros_manuales!$F$40*(datos_base!$H$4+IF(parametros_manuales!$H$40="Todos",datos_base!$H$11,0))*parametros_manuales!$K$105+parametros_manuales!$G$40*(datos_base!$H$5+IF(parametros_manuales!$H$40="Todos",datos_base!$H$12,0))*parametros_manuales!$K$110)*parametros_manuales!$I$40*parametros_manuales!$J$40</f>
        <v>3879.15</v>
      </c>
      <c r="L185" s="4">
        <f>(parametros_manuales!$D$40*(datos_base!$H$2+IF(parametros_manuales!$H$40="Todos",datos_base!$H$9,0))*parametros_manuales!$L$95+parametros_manuales!$E$40*(datos_base!$H$3+IF(parametros_manuales!$H$40="Todos",datos_base!$H$10,0))*parametros_manuales!$L$100+parametros_manuales!$F$40*(datos_base!$H$4+IF(parametros_manuales!$H$40="Todos",datos_base!$H$11,0))*parametros_manuales!$L$105+parametros_manuales!$G$40*(datos_base!$H$5+IF(parametros_manuales!$H$40="Todos",datos_base!$H$12,0))*parametros_manuales!$L$110)*parametros_manuales!$I$40*parametros_manuales!$J$40</f>
        <v>3999.69</v>
      </c>
      <c r="M185" s="4">
        <f>(parametros_manuales!$D$40*(datos_base!$H$2+IF(parametros_manuales!$H$40="Todos",datos_base!$H$9,0))*parametros_manuales!$M$95+parametros_manuales!$E$40*(datos_base!$H$3+IF(parametros_manuales!$H$40="Todos",datos_base!$H$10,0))*parametros_manuales!$M$100+parametros_manuales!$F$40*(datos_base!$H$4+IF(parametros_manuales!$H$40="Todos",datos_base!$H$11,0))*parametros_manuales!$M$105+parametros_manuales!$G$40*(datos_base!$H$5+IF(parametros_manuales!$H$40="Todos",datos_base!$H$12,0))*parametros_manuales!$M$110)*parametros_manuales!$I$40*parametros_manuales!$J$40</f>
        <v>3999.69</v>
      </c>
      <c r="N185" s="4">
        <f t="shared" si="19"/>
        <v>44441</v>
      </c>
      <c r="O185" s="4">
        <f t="shared" si="20"/>
        <v>3999.69</v>
      </c>
      <c r="P185" s="27">
        <f>O185/(parametros_manuales!$B$7)</f>
        <v>26.6646</v>
      </c>
      <c r="Q185" s="3" t="str">
        <f t="shared" si="21"/>
        <v>Ene</v>
      </c>
    </row>
    <row r="186" ht="14.25" customHeight="1">
      <c r="A186" s="3" t="str">
        <f>parametros_manuales!$B$41</f>
        <v>Control de calidad — Ensayo de pérdidas</v>
      </c>
      <c r="B186" s="4">
        <f>(parametros_manuales!$D$41*(datos_base!$H$2+IF(parametros_manuales!$H$41="Todos",datos_base!$H$9,0))*parametros_manuales!$B$95+parametros_manuales!$E$41*(datos_base!$H$3+IF(parametros_manuales!$H$41="Todos",datos_base!$H$10,0))*parametros_manuales!$B$100+parametros_manuales!$F$41*(datos_base!$H$4+IF(parametros_manuales!$H$41="Todos",datos_base!$H$11,0))*parametros_manuales!$B$105+parametros_manuales!$G$41*(datos_base!$H$5+IF(parametros_manuales!$H$41="Todos",datos_base!$H$12,0))*parametros_manuales!$B$110)*parametros_manuales!$I$41*parametros_manuales!$J$41</f>
        <v>3999.69</v>
      </c>
      <c r="C186" s="4">
        <f>(parametros_manuales!$D$41*(datos_base!$H$2+IF(parametros_manuales!$H$41="Todos",datos_base!$H$9,0))*parametros_manuales!$C$95+parametros_manuales!$E$41*(datos_base!$H$3+IF(parametros_manuales!$H$41="Todos",datos_base!$H$10,0))*parametros_manuales!$C$100+parametros_manuales!$F$41*(datos_base!$H$4+IF(parametros_manuales!$H$41="Todos",datos_base!$H$11,0))*parametros_manuales!$C$105+parametros_manuales!$G$41*(datos_base!$H$5+IF(parametros_manuales!$H$41="Todos",datos_base!$H$12,0))*parametros_manuales!$C$110)*parametros_manuales!$I$41*parametros_manuales!$J$41</f>
        <v>3758.61</v>
      </c>
      <c r="D186" s="4">
        <f>(parametros_manuales!$D$41*(datos_base!$H$2+IF(parametros_manuales!$H$41="Todos",datos_base!$H$9,0))*parametros_manuales!$D$95+parametros_manuales!$E$41*(datos_base!$H$3+IF(parametros_manuales!$H$41="Todos",datos_base!$H$10,0))*parametros_manuales!$D$100+parametros_manuales!$F$41*(datos_base!$H$4+IF(parametros_manuales!$H$41="Todos",datos_base!$H$11,0))*parametros_manuales!$D$105+parametros_manuales!$G$41*(datos_base!$H$5+IF(parametros_manuales!$H$41="Todos",datos_base!$H$12,0))*parametros_manuales!$D$110)*parametros_manuales!$I$41*parametros_manuales!$J$41</f>
        <v>3675.82</v>
      </c>
      <c r="E186" s="4">
        <f>(parametros_manuales!$D$41*(datos_base!$H$2+IF(parametros_manuales!$H$41="Todos",datos_base!$H$9,0))*parametros_manuales!$E$95+parametros_manuales!$E$41*(datos_base!$H$3+IF(parametros_manuales!$H$41="Todos",datos_base!$H$10,0))*parametros_manuales!$E$100+parametros_manuales!$F$41*(datos_base!$H$4+IF(parametros_manuales!$H$41="Todos",datos_base!$H$11,0))*parametros_manuales!$E$105+parametros_manuales!$G$41*(datos_base!$H$5+IF(parametros_manuales!$H$41="Todos",datos_base!$H$12,0))*parametros_manuales!$E$110)*parametros_manuales!$I$41*parametros_manuales!$J$41</f>
        <v>3574.155</v>
      </c>
      <c r="F186" s="4">
        <f>(parametros_manuales!$D$41*(datos_base!$H$2+IF(parametros_manuales!$H$41="Todos",datos_base!$H$9,0))*parametros_manuales!$F$95+parametros_manuales!$E$41*(datos_base!$H$3+IF(parametros_manuales!$H$41="Todos",datos_base!$H$10,0))*parametros_manuales!$F$100+parametros_manuales!$F$41*(datos_base!$H$4+IF(parametros_manuales!$H$41="Todos",datos_base!$H$11,0))*parametros_manuales!$F$105+parametros_manuales!$G$41*(datos_base!$H$5+IF(parametros_manuales!$H$41="Todos",datos_base!$H$12,0))*parametros_manuales!$F$110)*parametros_manuales!$I$41*parametros_manuales!$J$41</f>
        <v>3351.95</v>
      </c>
      <c r="G186" s="4">
        <f>(parametros_manuales!$D$41*(datos_base!$H$2+IF(parametros_manuales!$H$41="Todos",datos_base!$H$9,0))*parametros_manuales!$G$95+parametros_manuales!$E$41*(datos_base!$H$3+IF(parametros_manuales!$H$41="Todos",datos_base!$H$10,0))*parametros_manuales!$G$100+parametros_manuales!$F$41*(datos_base!$H$4+IF(parametros_manuales!$H$41="Todos",datos_base!$H$11,0))*parametros_manuales!$G$105+parametros_manuales!$G$41*(datos_base!$H$5+IF(parametros_manuales!$H$41="Todos",datos_base!$H$12,0))*parametros_manuales!$G$110)*parametros_manuales!$I$41*parametros_manuales!$J$41</f>
        <v>3231.41</v>
      </c>
      <c r="H186" s="4">
        <f>(parametros_manuales!$D$41*(datos_base!$H$2+IF(parametros_manuales!$H$41="Todos",datos_base!$H$9,0))*parametros_manuales!$H$95+parametros_manuales!$E$41*(datos_base!$H$3+IF(parametros_manuales!$H$41="Todos",datos_base!$H$10,0))*parametros_manuales!$H$100+parametros_manuales!$F$41*(datos_base!$H$4+IF(parametros_manuales!$H$41="Todos",datos_base!$H$11,0))*parametros_manuales!$H$105+parametros_manuales!$G$41*(datos_base!$H$5+IF(parametros_manuales!$H$41="Todos",datos_base!$H$12,0))*parametros_manuales!$H$110)*parametros_manuales!$I$41*parametros_manuales!$J$41</f>
        <v>3453.615</v>
      </c>
      <c r="I186" s="4">
        <f>(parametros_manuales!$D$41*(datos_base!$H$2+IF(parametros_manuales!$H$41="Todos",datos_base!$H$9,0))*parametros_manuales!$I$95+parametros_manuales!$E$41*(datos_base!$H$3+IF(parametros_manuales!$H$41="Todos",datos_base!$H$10,0))*parametros_manuales!$I$100+parametros_manuales!$F$41*(datos_base!$H$4+IF(parametros_manuales!$H$41="Todos",datos_base!$H$11,0))*parametros_manuales!$I$105+parametros_manuales!$G$41*(datos_base!$H$5+IF(parametros_manuales!$H$41="Todos",datos_base!$H$12,0))*parametros_manuales!$I$110)*parametros_manuales!$I$41*parametros_manuales!$J$41</f>
        <v>3758.61</v>
      </c>
      <c r="J186" s="4">
        <f>(parametros_manuales!$D$41*(datos_base!$H$2+IF(parametros_manuales!$H$41="Todos",datos_base!$H$9,0))*parametros_manuales!$J$95+parametros_manuales!$E$41*(datos_base!$H$3+IF(parametros_manuales!$H$41="Todos",datos_base!$H$10,0))*parametros_manuales!$J$100+parametros_manuales!$F$41*(datos_base!$H$4+IF(parametros_manuales!$H$41="Todos",datos_base!$H$11,0))*parametros_manuales!$J$105+parametros_manuales!$G$41*(datos_base!$H$5+IF(parametros_manuales!$H$41="Todos",datos_base!$H$12,0))*parametros_manuales!$J$110)*parametros_manuales!$I$41*parametros_manuales!$J$41</f>
        <v>3758.61</v>
      </c>
      <c r="K186" s="4">
        <f>(parametros_manuales!$D$41*(datos_base!$H$2+IF(parametros_manuales!$H$41="Todos",datos_base!$H$9,0))*parametros_manuales!$K$95+parametros_manuales!$E$41*(datos_base!$H$3+IF(parametros_manuales!$H$41="Todos",datos_base!$H$10,0))*parametros_manuales!$K$100+parametros_manuales!$F$41*(datos_base!$H$4+IF(parametros_manuales!$H$41="Todos",datos_base!$H$11,0))*parametros_manuales!$K$105+parametros_manuales!$G$41*(datos_base!$H$5+IF(parametros_manuales!$H$41="Todos",datos_base!$H$12,0))*parametros_manuales!$K$110)*parametros_manuales!$I$41*parametros_manuales!$J$41</f>
        <v>3879.15</v>
      </c>
      <c r="L186" s="4">
        <f>(parametros_manuales!$D$41*(datos_base!$H$2+IF(parametros_manuales!$H$41="Todos",datos_base!$H$9,0))*parametros_manuales!$L$95+parametros_manuales!$E$41*(datos_base!$H$3+IF(parametros_manuales!$H$41="Todos",datos_base!$H$10,0))*parametros_manuales!$L$100+parametros_manuales!$F$41*(datos_base!$H$4+IF(parametros_manuales!$H$41="Todos",datos_base!$H$11,0))*parametros_manuales!$L$105+parametros_manuales!$G$41*(datos_base!$H$5+IF(parametros_manuales!$H$41="Todos",datos_base!$H$12,0))*parametros_manuales!$L$110)*parametros_manuales!$I$41*parametros_manuales!$J$41</f>
        <v>3999.69</v>
      </c>
      <c r="M186" s="4">
        <f>(parametros_manuales!$D$41*(datos_base!$H$2+IF(parametros_manuales!$H$41="Todos",datos_base!$H$9,0))*parametros_manuales!$M$95+parametros_manuales!$E$41*(datos_base!$H$3+IF(parametros_manuales!$H$41="Todos",datos_base!$H$10,0))*parametros_manuales!$M$100+parametros_manuales!$F$41*(datos_base!$H$4+IF(parametros_manuales!$H$41="Todos",datos_base!$H$11,0))*parametros_manuales!$M$105+parametros_manuales!$G$41*(datos_base!$H$5+IF(parametros_manuales!$H$41="Todos",datos_base!$H$12,0))*parametros_manuales!$M$110)*parametros_manuales!$I$41*parametros_manuales!$J$41</f>
        <v>3999.69</v>
      </c>
      <c r="N186" s="4">
        <f t="shared" si="19"/>
        <v>44441</v>
      </c>
      <c r="O186" s="4">
        <f t="shared" si="20"/>
        <v>3999.69</v>
      </c>
      <c r="P186" s="27">
        <f>O186/(parametros_manuales!$B$7)</f>
        <v>26.6646</v>
      </c>
      <c r="Q186" s="3" t="str">
        <f t="shared" si="21"/>
        <v>Ene</v>
      </c>
    </row>
    <row r="187" ht="14.25" customHeight="1">
      <c r="A187" s="3" t="str">
        <f>parametros_manuales!$B$42</f>
        <v>Etiquetado</v>
      </c>
      <c r="B187" s="4">
        <f>(parametros_manuales!$D$42*(datos_base!$H$2+IF(parametros_manuales!$H$42="Todos",datos_base!$H$9,0))*parametros_manuales!$B$95+parametros_manuales!$E$42*(datos_base!$H$3+IF(parametros_manuales!$H$42="Todos",datos_base!$H$10,0))*parametros_manuales!$B$100+parametros_manuales!$F$42*(datos_base!$H$4+IF(parametros_manuales!$H$42="Todos",datos_base!$H$11,0))*parametros_manuales!$B$105+parametros_manuales!$G$42*(datos_base!$H$5+IF(parametros_manuales!$H$42="Todos",datos_base!$H$12,0))*parametros_manuales!$B$110)*parametros_manuales!$I$42*parametros_manuales!$J$42</f>
        <v>3999.69</v>
      </c>
      <c r="C187" s="4">
        <f>(parametros_manuales!$D$42*(datos_base!$H$2+IF(parametros_manuales!$H$42="Todos",datos_base!$H$9,0))*parametros_manuales!$C$95+parametros_manuales!$E$42*(datos_base!$H$3+IF(parametros_manuales!$H$42="Todos",datos_base!$H$10,0))*parametros_manuales!$C$100+parametros_manuales!$F$42*(datos_base!$H$4+IF(parametros_manuales!$H$42="Todos",datos_base!$H$11,0))*parametros_manuales!$C$105+parametros_manuales!$G$42*(datos_base!$H$5+IF(parametros_manuales!$H$42="Todos",datos_base!$H$12,0))*parametros_manuales!$C$110)*parametros_manuales!$I$42*parametros_manuales!$J$42</f>
        <v>3758.61</v>
      </c>
      <c r="D187" s="4">
        <f>(parametros_manuales!$D$42*(datos_base!$H$2+IF(parametros_manuales!$H$42="Todos",datos_base!$H$9,0))*parametros_manuales!$D$95+parametros_manuales!$E$42*(datos_base!$H$3+IF(parametros_manuales!$H$42="Todos",datos_base!$H$10,0))*parametros_manuales!$D$100+parametros_manuales!$F$42*(datos_base!$H$4+IF(parametros_manuales!$H$42="Todos",datos_base!$H$11,0))*parametros_manuales!$D$105+parametros_manuales!$G$42*(datos_base!$H$5+IF(parametros_manuales!$H$42="Todos",datos_base!$H$12,0))*parametros_manuales!$D$110)*parametros_manuales!$I$42*parametros_manuales!$J$42</f>
        <v>3675.82</v>
      </c>
      <c r="E187" s="4">
        <f>(parametros_manuales!$D$42*(datos_base!$H$2+IF(parametros_manuales!$H$42="Todos",datos_base!$H$9,0))*parametros_manuales!$E$95+parametros_manuales!$E$42*(datos_base!$H$3+IF(parametros_manuales!$H$42="Todos",datos_base!$H$10,0))*parametros_manuales!$E$100+parametros_manuales!$F$42*(datos_base!$H$4+IF(parametros_manuales!$H$42="Todos",datos_base!$H$11,0))*parametros_manuales!$E$105+parametros_manuales!$G$42*(datos_base!$H$5+IF(parametros_manuales!$H$42="Todos",datos_base!$H$12,0))*parametros_manuales!$E$110)*parametros_manuales!$I$42*parametros_manuales!$J$42</f>
        <v>3574.155</v>
      </c>
      <c r="F187" s="4">
        <f>(parametros_manuales!$D$42*(datos_base!$H$2+IF(parametros_manuales!$H$42="Todos",datos_base!$H$9,0))*parametros_manuales!$F$95+parametros_manuales!$E$42*(datos_base!$H$3+IF(parametros_manuales!$H$42="Todos",datos_base!$H$10,0))*parametros_manuales!$F$100+parametros_manuales!$F$42*(datos_base!$H$4+IF(parametros_manuales!$H$42="Todos",datos_base!$H$11,0))*parametros_manuales!$F$105+parametros_manuales!$G$42*(datos_base!$H$5+IF(parametros_manuales!$H$42="Todos",datos_base!$H$12,0))*parametros_manuales!$F$110)*parametros_manuales!$I$42*parametros_manuales!$J$42</f>
        <v>3351.95</v>
      </c>
      <c r="G187" s="4">
        <f>(parametros_manuales!$D$42*(datos_base!$H$2+IF(parametros_manuales!$H$42="Todos",datos_base!$H$9,0))*parametros_manuales!$G$95+parametros_manuales!$E$42*(datos_base!$H$3+IF(parametros_manuales!$H$42="Todos",datos_base!$H$10,0))*parametros_manuales!$G$100+parametros_manuales!$F$42*(datos_base!$H$4+IF(parametros_manuales!$H$42="Todos",datos_base!$H$11,0))*parametros_manuales!$G$105+parametros_manuales!$G$42*(datos_base!$H$5+IF(parametros_manuales!$H$42="Todos",datos_base!$H$12,0))*parametros_manuales!$G$110)*parametros_manuales!$I$42*parametros_manuales!$J$42</f>
        <v>3231.41</v>
      </c>
      <c r="H187" s="4">
        <f>(parametros_manuales!$D$42*(datos_base!$H$2+IF(parametros_manuales!$H$42="Todos",datos_base!$H$9,0))*parametros_manuales!$H$95+parametros_manuales!$E$42*(datos_base!$H$3+IF(parametros_manuales!$H$42="Todos",datos_base!$H$10,0))*parametros_manuales!$H$100+parametros_manuales!$F$42*(datos_base!$H$4+IF(parametros_manuales!$H$42="Todos",datos_base!$H$11,0))*parametros_manuales!$H$105+parametros_manuales!$G$42*(datos_base!$H$5+IF(parametros_manuales!$H$42="Todos",datos_base!$H$12,0))*parametros_manuales!$H$110)*parametros_manuales!$I$42*parametros_manuales!$J$42</f>
        <v>3453.615</v>
      </c>
      <c r="I187" s="4">
        <f>(parametros_manuales!$D$42*(datos_base!$H$2+IF(parametros_manuales!$H$42="Todos",datos_base!$H$9,0))*parametros_manuales!$I$95+parametros_manuales!$E$42*(datos_base!$H$3+IF(parametros_manuales!$H$42="Todos",datos_base!$H$10,0))*parametros_manuales!$I$100+parametros_manuales!$F$42*(datos_base!$H$4+IF(parametros_manuales!$H$42="Todos",datos_base!$H$11,0))*parametros_manuales!$I$105+parametros_manuales!$G$42*(datos_base!$H$5+IF(parametros_manuales!$H$42="Todos",datos_base!$H$12,0))*parametros_manuales!$I$110)*parametros_manuales!$I$42*parametros_manuales!$J$42</f>
        <v>3758.61</v>
      </c>
      <c r="J187" s="4">
        <f>(parametros_manuales!$D$42*(datos_base!$H$2+IF(parametros_manuales!$H$42="Todos",datos_base!$H$9,0))*parametros_manuales!$J$95+parametros_manuales!$E$42*(datos_base!$H$3+IF(parametros_manuales!$H$42="Todos",datos_base!$H$10,0))*parametros_manuales!$J$100+parametros_manuales!$F$42*(datos_base!$H$4+IF(parametros_manuales!$H$42="Todos",datos_base!$H$11,0))*parametros_manuales!$J$105+parametros_manuales!$G$42*(datos_base!$H$5+IF(parametros_manuales!$H$42="Todos",datos_base!$H$12,0))*parametros_manuales!$J$110)*parametros_manuales!$I$42*parametros_manuales!$J$42</f>
        <v>3758.61</v>
      </c>
      <c r="K187" s="4">
        <f>(parametros_manuales!$D$42*(datos_base!$H$2+IF(parametros_manuales!$H$42="Todos",datos_base!$H$9,0))*parametros_manuales!$K$95+parametros_manuales!$E$42*(datos_base!$H$3+IF(parametros_manuales!$H$42="Todos",datos_base!$H$10,0))*parametros_manuales!$K$100+parametros_manuales!$F$42*(datos_base!$H$4+IF(parametros_manuales!$H$42="Todos",datos_base!$H$11,0))*parametros_manuales!$K$105+parametros_manuales!$G$42*(datos_base!$H$5+IF(parametros_manuales!$H$42="Todos",datos_base!$H$12,0))*parametros_manuales!$K$110)*parametros_manuales!$I$42*parametros_manuales!$J$42</f>
        <v>3879.15</v>
      </c>
      <c r="L187" s="4">
        <f>(parametros_manuales!$D$42*(datos_base!$H$2+IF(parametros_manuales!$H$42="Todos",datos_base!$H$9,0))*parametros_manuales!$L$95+parametros_manuales!$E$42*(datos_base!$H$3+IF(parametros_manuales!$H$42="Todos",datos_base!$H$10,0))*parametros_manuales!$L$100+parametros_manuales!$F$42*(datos_base!$H$4+IF(parametros_manuales!$H$42="Todos",datos_base!$H$11,0))*parametros_manuales!$L$105+parametros_manuales!$G$42*(datos_base!$H$5+IF(parametros_manuales!$H$42="Todos",datos_base!$H$12,0))*parametros_manuales!$L$110)*parametros_manuales!$I$42*parametros_manuales!$J$42</f>
        <v>3999.69</v>
      </c>
      <c r="M187" s="4">
        <f>(parametros_manuales!$D$42*(datos_base!$H$2+IF(parametros_manuales!$H$42="Todos",datos_base!$H$9,0))*parametros_manuales!$M$95+parametros_manuales!$E$42*(datos_base!$H$3+IF(parametros_manuales!$H$42="Todos",datos_base!$H$10,0))*parametros_manuales!$M$100+parametros_manuales!$F$42*(datos_base!$H$4+IF(parametros_manuales!$H$42="Todos",datos_base!$H$11,0))*parametros_manuales!$M$105+parametros_manuales!$G$42*(datos_base!$H$5+IF(parametros_manuales!$H$42="Todos",datos_base!$H$12,0))*parametros_manuales!$M$110)*parametros_manuales!$I$42*parametros_manuales!$J$42</f>
        <v>3999.69</v>
      </c>
      <c r="N187" s="4">
        <f t="shared" si="19"/>
        <v>44441</v>
      </c>
      <c r="O187" s="4">
        <f t="shared" si="20"/>
        <v>3999.69</v>
      </c>
      <c r="P187" s="27">
        <f>O187/(parametros_manuales!$B$7)</f>
        <v>26.6646</v>
      </c>
      <c r="Q187" s="3" t="str">
        <f t="shared" si="21"/>
        <v>Ene</v>
      </c>
    </row>
    <row r="188" ht="14.25" customHeight="1">
      <c r="A188" s="3" t="str">
        <f>parametros_manuales!$B$43</f>
        <v>Embalaje y paletizado</v>
      </c>
      <c r="B188" s="4">
        <f>(parametros_manuales!$D$43*(datos_base!$H$2+IF(parametros_manuales!$H$43="Todos",datos_base!$H$9,0))*parametros_manuales!$B$95+parametros_manuales!$E$43*(datos_base!$H$3+IF(parametros_manuales!$H$43="Todos",datos_base!$H$10,0))*parametros_manuales!$B$100+parametros_manuales!$F$43*(datos_base!$H$4+IF(parametros_manuales!$H$43="Todos",datos_base!$H$11,0))*parametros_manuales!$B$105+parametros_manuales!$G$43*(datos_base!$H$5+IF(parametros_manuales!$H$43="Todos",datos_base!$H$12,0))*parametros_manuales!$B$110)*parametros_manuales!$I$43*parametros_manuales!$J$43</f>
        <v>15344.91</v>
      </c>
      <c r="C188" s="4">
        <f>(parametros_manuales!$D$43*(datos_base!$H$2+IF(parametros_manuales!$H$43="Todos",datos_base!$H$9,0))*parametros_manuales!$C$95+parametros_manuales!$E$43*(datos_base!$H$3+IF(parametros_manuales!$H$43="Todos",datos_base!$H$10,0))*parametros_manuales!$C$100+parametros_manuales!$F$43*(datos_base!$H$4+IF(parametros_manuales!$H$43="Todos",datos_base!$H$11,0))*parametros_manuales!$C$105+parametros_manuales!$G$43*(datos_base!$H$5+IF(parametros_manuales!$H$43="Todos",datos_base!$H$12,0))*parametros_manuales!$C$110)*parametros_manuales!$I$43*parametros_manuales!$J$43</f>
        <v>14856.66</v>
      </c>
      <c r="D188" s="4">
        <f>(parametros_manuales!$D$43*(datos_base!$H$2+IF(parametros_manuales!$H$43="Todos",datos_base!$H$9,0))*parametros_manuales!$D$95+parametros_manuales!$E$43*(datos_base!$H$3+IF(parametros_manuales!$H$43="Todos",datos_base!$H$10,0))*parametros_manuales!$D$100+parametros_manuales!$F$43*(datos_base!$H$4+IF(parametros_manuales!$H$43="Todos",datos_base!$H$11,0))*parametros_manuales!$D$105+parametros_manuales!$G$43*(datos_base!$H$5+IF(parametros_manuales!$H$43="Todos",datos_base!$H$12,0))*parametros_manuales!$D$110)*parametros_manuales!$I$43*parametros_manuales!$J$43</f>
        <v>13884.045</v>
      </c>
      <c r="E188" s="4">
        <f>(parametros_manuales!$D$43*(datos_base!$H$2+IF(parametros_manuales!$H$43="Todos",datos_base!$H$9,0))*parametros_manuales!$E$95+parametros_manuales!$E$43*(datos_base!$H$3+IF(parametros_manuales!$H$43="Todos",datos_base!$H$10,0))*parametros_manuales!$E$100+parametros_manuales!$F$43*(datos_base!$H$4+IF(parametros_manuales!$H$43="Todos",datos_base!$H$11,0))*parametros_manuales!$E$105+parametros_manuales!$G$43*(datos_base!$H$5+IF(parametros_manuales!$H$43="Todos",datos_base!$H$12,0))*parametros_manuales!$E$110)*parametros_manuales!$I$43*parametros_manuales!$J$43</f>
        <v>13275.675</v>
      </c>
      <c r="F188" s="4">
        <f>(parametros_manuales!$D$43*(datos_base!$H$2+IF(parametros_manuales!$H$43="Todos",datos_base!$H$9,0))*parametros_manuales!$F$95+parametros_manuales!$E$43*(datos_base!$H$3+IF(parametros_manuales!$H$43="Todos",datos_base!$H$10,0))*parametros_manuales!$F$100+parametros_manuales!$F$43*(datos_base!$H$4+IF(parametros_manuales!$H$43="Todos",datos_base!$H$11,0))*parametros_manuales!$F$105+parametros_manuales!$G$43*(datos_base!$H$5+IF(parametros_manuales!$H$43="Todos",datos_base!$H$12,0))*parametros_manuales!$F$110)*parametros_manuales!$I$43*parametros_manuales!$J$43</f>
        <v>12423.18</v>
      </c>
      <c r="G188" s="4">
        <f>(parametros_manuales!$D$43*(datos_base!$H$2+IF(parametros_manuales!$H$43="Todos",datos_base!$H$9,0))*parametros_manuales!$G$95+parametros_manuales!$E$43*(datos_base!$H$3+IF(parametros_manuales!$H$43="Todos",datos_base!$H$10,0))*parametros_manuales!$G$100+parametros_manuales!$F$43*(datos_base!$H$4+IF(parametros_manuales!$H$43="Todos",datos_base!$H$11,0))*parametros_manuales!$G$105+parametros_manuales!$G$43*(datos_base!$H$5+IF(parametros_manuales!$H$43="Todos",datos_base!$H$12,0))*parametros_manuales!$G$110)*parametros_manuales!$I$43*parametros_manuales!$J$43</f>
        <v>12179.055</v>
      </c>
      <c r="H188" s="4">
        <f>(parametros_manuales!$D$43*(datos_base!$H$2+IF(parametros_manuales!$H$43="Todos",datos_base!$H$9,0))*parametros_manuales!$H$95+parametros_manuales!$E$43*(datos_base!$H$3+IF(parametros_manuales!$H$43="Todos",datos_base!$H$10,0))*parametros_manuales!$H$100+parametros_manuales!$F$43*(datos_base!$H$4+IF(parametros_manuales!$H$43="Todos",datos_base!$H$11,0))*parametros_manuales!$H$105+parametros_manuales!$G$43*(datos_base!$H$5+IF(parametros_manuales!$H$43="Todos",datos_base!$H$12,0))*parametros_manuales!$H$110)*parametros_manuales!$I$43*parametros_manuales!$J$43</f>
        <v>13031.55</v>
      </c>
      <c r="I188" s="4">
        <f>(parametros_manuales!$D$43*(datos_base!$H$2+IF(parametros_manuales!$H$43="Todos",datos_base!$H$9,0))*parametros_manuales!$I$95+parametros_manuales!$E$43*(datos_base!$H$3+IF(parametros_manuales!$H$43="Todos",datos_base!$H$10,0))*parametros_manuales!$I$100+parametros_manuales!$F$43*(datos_base!$H$4+IF(parametros_manuales!$H$43="Todos",datos_base!$H$11,0))*parametros_manuales!$I$105+parametros_manuales!$G$43*(datos_base!$H$5+IF(parametros_manuales!$H$43="Todos",datos_base!$H$12,0))*parametros_manuales!$I$110)*parametros_manuales!$I$43*parametros_manuales!$J$43</f>
        <v>14856.66</v>
      </c>
      <c r="J188" s="4">
        <f>(parametros_manuales!$D$43*(datos_base!$H$2+IF(parametros_manuales!$H$43="Todos",datos_base!$H$9,0))*parametros_manuales!$J$95+parametros_manuales!$E$43*(datos_base!$H$3+IF(parametros_manuales!$H$43="Todos",datos_base!$H$10,0))*parametros_manuales!$J$100+parametros_manuales!$F$43*(datos_base!$H$4+IF(parametros_manuales!$H$43="Todos",datos_base!$H$11,0))*parametros_manuales!$J$105+parametros_manuales!$G$43*(datos_base!$H$5+IF(parametros_manuales!$H$43="Todos",datos_base!$H$12,0))*parametros_manuales!$J$110)*parametros_manuales!$I$43*parametros_manuales!$J$43</f>
        <v>14856.66</v>
      </c>
      <c r="K188" s="4">
        <f>(parametros_manuales!$D$43*(datos_base!$H$2+IF(parametros_manuales!$H$43="Todos",datos_base!$H$9,0))*parametros_manuales!$K$95+parametros_manuales!$E$43*(datos_base!$H$3+IF(parametros_manuales!$H$43="Todos",datos_base!$H$10,0))*parametros_manuales!$K$100+parametros_manuales!$F$43*(datos_base!$H$4+IF(parametros_manuales!$H$43="Todos",datos_base!$H$11,0))*parametros_manuales!$K$105+parametros_manuales!$G$43*(datos_base!$H$5+IF(parametros_manuales!$H$43="Todos",datos_base!$H$12,0))*parametros_manuales!$K$110)*parametros_manuales!$I$43*parametros_manuales!$J$43</f>
        <v>15100.785</v>
      </c>
      <c r="L188" s="4">
        <f>(parametros_manuales!$D$43*(datos_base!$H$2+IF(parametros_manuales!$H$43="Todos",datos_base!$H$9,0))*parametros_manuales!$L$95+parametros_manuales!$E$43*(datos_base!$H$3+IF(parametros_manuales!$H$43="Todos",datos_base!$H$10,0))*parametros_manuales!$L$100+parametros_manuales!$F$43*(datos_base!$H$4+IF(parametros_manuales!$H$43="Todos",datos_base!$H$11,0))*parametros_manuales!$L$105+parametros_manuales!$G$43*(datos_base!$H$5+IF(parametros_manuales!$H$43="Todos",datos_base!$H$12,0))*parametros_manuales!$L$110)*parametros_manuales!$I$43*parametros_manuales!$J$43</f>
        <v>15344.91</v>
      </c>
      <c r="M188" s="4">
        <f>(parametros_manuales!$D$43*(datos_base!$H$2+IF(parametros_manuales!$H$43="Todos",datos_base!$H$9,0))*parametros_manuales!$M$95+parametros_manuales!$E$43*(datos_base!$H$3+IF(parametros_manuales!$H$43="Todos",datos_base!$H$10,0))*parametros_manuales!$M$100+parametros_manuales!$F$43*(datos_base!$H$4+IF(parametros_manuales!$H$43="Todos",datos_base!$H$11,0))*parametros_manuales!$M$105+parametros_manuales!$G$43*(datos_base!$H$5+IF(parametros_manuales!$H$43="Todos",datos_base!$H$12,0))*parametros_manuales!$M$110)*parametros_manuales!$I$43*parametros_manuales!$J$43</f>
        <v>15344.91</v>
      </c>
      <c r="N188" s="4">
        <f t="shared" si="19"/>
        <v>170499</v>
      </c>
      <c r="O188" s="4">
        <f t="shared" si="20"/>
        <v>15344.91</v>
      </c>
      <c r="P188" s="27">
        <f>O188/(parametros_manuales!$B$7)</f>
        <v>102.2994</v>
      </c>
      <c r="Q188" s="3" t="str">
        <f t="shared" si="21"/>
        <v>Ene</v>
      </c>
    </row>
    <row r="189" ht="14.25" customHeight="1"/>
    <row r="190" ht="14.25" customHeight="1">
      <c r="A190" s="1" t="s">
        <v>184</v>
      </c>
      <c r="B190" s="1" t="s">
        <v>5</v>
      </c>
      <c r="C190" s="1" t="s">
        <v>7</v>
      </c>
      <c r="D190" s="1" t="s">
        <v>8</v>
      </c>
      <c r="E190" s="1" t="s">
        <v>9</v>
      </c>
      <c r="F190" s="1" t="s">
        <v>11</v>
      </c>
      <c r="G190" s="1" t="s">
        <v>12</v>
      </c>
      <c r="H190" s="1" t="s">
        <v>14</v>
      </c>
      <c r="I190" s="1" t="s">
        <v>15</v>
      </c>
      <c r="J190" s="1" t="s">
        <v>16</v>
      </c>
      <c r="K190" s="1" t="s">
        <v>18</v>
      </c>
      <c r="L190" s="1" t="s">
        <v>19</v>
      </c>
      <c r="M190" s="1" t="s">
        <v>20</v>
      </c>
      <c r="N190" s="1" t="s">
        <v>21</v>
      </c>
      <c r="O190" s="1" t="s">
        <v>22</v>
      </c>
      <c r="P190" s="1" t="s">
        <v>23</v>
      </c>
      <c r="Q190" s="1" t="s">
        <v>24</v>
      </c>
    </row>
    <row r="191" ht="14.25" customHeight="1">
      <c r="A191" s="3" t="str">
        <f>parametros_manuales!$B$19</f>
        <v>Recepción de materia prima</v>
      </c>
      <c r="B191" s="4">
        <f>(parametros_manuales!$D$19*(datos_base!$I$2+IF(parametros_manuales!$H$19="Todos",datos_base!$I$9,0))*parametros_manuales!$B$95+parametros_manuales!$E$19*(datos_base!$I$3+IF(parametros_manuales!$H$19="Todos",datos_base!$I$10,0))*parametros_manuales!$B$100+parametros_manuales!$F$19*(datos_base!$I$4+IF(parametros_manuales!$H$19="Todos",datos_base!$I$11,0))*parametros_manuales!$B$105+parametros_manuales!$G$19*(datos_base!$I$5+IF(parametros_manuales!$H$19="Todos",datos_base!$I$12,0))*parametros_manuales!$B$110)*parametros_manuales!$I$19*parametros_manuales!$J$19</f>
        <v>19615.68</v>
      </c>
      <c r="C191" s="4">
        <f>(parametros_manuales!$D$19*(datos_base!$I$2+IF(parametros_manuales!$H$19="Todos",datos_base!$I$9,0))*parametros_manuales!$C$95+parametros_manuales!$E$19*(datos_base!$I$3+IF(parametros_manuales!$H$19="Todos",datos_base!$I$10,0))*parametros_manuales!$C$100+parametros_manuales!$F$19*(datos_base!$I$4+IF(parametros_manuales!$H$19="Todos",datos_base!$I$11,0))*parametros_manuales!$C$105+parametros_manuales!$G$19*(datos_base!$I$5+IF(parametros_manuales!$H$19="Todos",datos_base!$I$12,0))*parametros_manuales!$C$110)*parametros_manuales!$I$19*parametros_manuales!$J$19</f>
        <v>18997.49</v>
      </c>
      <c r="D191" s="4">
        <f>(parametros_manuales!$D$19*(datos_base!$I$2+IF(parametros_manuales!$H$19="Todos",datos_base!$I$9,0))*parametros_manuales!$D$95+parametros_manuales!$E$19*(datos_base!$I$3+IF(parametros_manuales!$H$19="Todos",datos_base!$I$10,0))*parametros_manuales!$D$100+parametros_manuales!$F$19*(datos_base!$I$4+IF(parametros_manuales!$H$19="Todos",datos_base!$I$11,0))*parametros_manuales!$D$105+parametros_manuales!$G$19*(datos_base!$I$5+IF(parametros_manuales!$H$19="Todos",datos_base!$I$12,0))*parametros_manuales!$D$110)*parametros_manuales!$I$19*parametros_manuales!$J$19</f>
        <v>17745.255</v>
      </c>
      <c r="E191" s="4">
        <f>(parametros_manuales!$D$19*(datos_base!$I$2+IF(parametros_manuales!$H$19="Todos",datos_base!$I$9,0))*parametros_manuales!$E$95+parametros_manuales!$E$19*(datos_base!$I$3+IF(parametros_manuales!$H$19="Todos",datos_base!$I$10,0))*parametros_manuales!$E$100+parametros_manuales!$F$19*(datos_base!$I$4+IF(parametros_manuales!$H$19="Todos",datos_base!$I$11,0))*parametros_manuales!$E$105+parametros_manuales!$G$19*(datos_base!$I$5+IF(parametros_manuales!$H$19="Todos",datos_base!$I$12,0))*parametros_manuales!$E$110)*parametros_manuales!$I$19*parametros_manuales!$J$19</f>
        <v>16964.59</v>
      </c>
      <c r="F191" s="4">
        <f>(parametros_manuales!$D$19*(datos_base!$I$2+IF(parametros_manuales!$H$19="Todos",datos_base!$I$9,0))*parametros_manuales!$F$95+parametros_manuales!$E$19*(datos_base!$I$3+IF(parametros_manuales!$H$19="Todos",datos_base!$I$10,0))*parametros_manuales!$F$100+parametros_manuales!$F$19*(datos_base!$I$4+IF(parametros_manuales!$H$19="Todos",datos_base!$I$11,0))*parametros_manuales!$F$105+parametros_manuales!$G$19*(datos_base!$I$5+IF(parametros_manuales!$H$19="Todos",datos_base!$I$12,0))*parametros_manuales!$F$110)*parametros_manuales!$I$19*parametros_manuales!$J$19</f>
        <v>15874.83</v>
      </c>
      <c r="G191" s="4">
        <f>(parametros_manuales!$D$19*(datos_base!$I$2+IF(parametros_manuales!$H$19="Todos",datos_base!$I$9,0))*parametros_manuales!$G$95+parametros_manuales!$E$19*(datos_base!$I$3+IF(parametros_manuales!$H$19="Todos",datos_base!$I$10,0))*parametros_manuales!$G$100+parametros_manuales!$F$19*(datos_base!$I$4+IF(parametros_manuales!$H$19="Todos",datos_base!$I$11,0))*parametros_manuales!$G$105+parametros_manuales!$G$19*(datos_base!$I$5+IF(parametros_manuales!$H$19="Todos",datos_base!$I$12,0))*parametros_manuales!$G$110)*parametros_manuales!$I$19*parametros_manuales!$J$19</f>
        <v>15565.735</v>
      </c>
      <c r="H191" s="4">
        <f>(parametros_manuales!$D$19*(datos_base!$I$2+IF(parametros_manuales!$H$19="Todos",datos_base!$I$9,0))*parametros_manuales!$H$95+parametros_manuales!$E$19*(datos_base!$I$3+IF(parametros_manuales!$H$19="Todos",datos_base!$I$10,0))*parametros_manuales!$H$100+parametros_manuales!$F$19*(datos_base!$I$4+IF(parametros_manuales!$H$19="Todos",datos_base!$I$11,0))*parametros_manuales!$H$105+parametros_manuales!$G$19*(datos_base!$I$5+IF(parametros_manuales!$H$19="Todos",datos_base!$I$12,0))*parametros_manuales!$H$110)*parametros_manuales!$I$19*parametros_manuales!$J$19</f>
        <v>16655.495</v>
      </c>
      <c r="I191" s="4">
        <f>(parametros_manuales!$D$19*(datos_base!$I$2+IF(parametros_manuales!$H$19="Todos",datos_base!$I$9,0))*parametros_manuales!$I$95+parametros_manuales!$E$19*(datos_base!$I$3+IF(parametros_manuales!$H$19="Todos",datos_base!$I$10,0))*parametros_manuales!$I$100+parametros_manuales!$F$19*(datos_base!$I$4+IF(parametros_manuales!$H$19="Todos",datos_base!$I$11,0))*parametros_manuales!$I$105+parametros_manuales!$G$19*(datos_base!$I$5+IF(parametros_manuales!$H$19="Todos",datos_base!$I$12,0))*parametros_manuales!$I$110)*parametros_manuales!$I$19*parametros_manuales!$J$19</f>
        <v>18997.49</v>
      </c>
      <c r="J191" s="4">
        <f>(parametros_manuales!$D$19*(datos_base!$I$2+IF(parametros_manuales!$H$19="Todos",datos_base!$I$9,0))*parametros_manuales!$J$95+parametros_manuales!$E$19*(datos_base!$I$3+IF(parametros_manuales!$H$19="Todos",datos_base!$I$10,0))*parametros_manuales!$J$100+parametros_manuales!$F$19*(datos_base!$I$4+IF(parametros_manuales!$H$19="Todos",datos_base!$I$11,0))*parametros_manuales!$J$105+parametros_manuales!$G$19*(datos_base!$I$5+IF(parametros_manuales!$H$19="Todos",datos_base!$I$12,0))*parametros_manuales!$J$110)*parametros_manuales!$I$19*parametros_manuales!$J$19</f>
        <v>18997.49</v>
      </c>
      <c r="K191" s="4">
        <f>(parametros_manuales!$D$19*(datos_base!$I$2+IF(parametros_manuales!$H$19="Todos",datos_base!$I$9,0))*parametros_manuales!$K$95+parametros_manuales!$E$19*(datos_base!$I$3+IF(parametros_manuales!$H$19="Todos",datos_base!$I$10,0))*parametros_manuales!$K$100+parametros_manuales!$F$19*(datos_base!$I$4+IF(parametros_manuales!$H$19="Todos",datos_base!$I$11,0))*parametros_manuales!$K$105+parametros_manuales!$G$19*(datos_base!$I$5+IF(parametros_manuales!$H$19="Todos",datos_base!$I$12,0))*parametros_manuales!$K$110)*parametros_manuales!$I$19*parametros_manuales!$J$19</f>
        <v>19306.585</v>
      </c>
      <c r="L191" s="4">
        <f>(parametros_manuales!$D$19*(datos_base!$I$2+IF(parametros_manuales!$H$19="Todos",datos_base!$I$9,0))*parametros_manuales!$L$95+parametros_manuales!$E$19*(datos_base!$I$3+IF(parametros_manuales!$H$19="Todos",datos_base!$I$10,0))*parametros_manuales!$L$100+parametros_manuales!$F$19*(datos_base!$I$4+IF(parametros_manuales!$H$19="Todos",datos_base!$I$11,0))*parametros_manuales!$L$105+parametros_manuales!$G$19*(datos_base!$I$5+IF(parametros_manuales!$H$19="Todos",datos_base!$I$12,0))*parametros_manuales!$L$110)*parametros_manuales!$I$19*parametros_manuales!$J$19</f>
        <v>19615.68</v>
      </c>
      <c r="M191" s="4">
        <f>(parametros_manuales!$D$19*(datos_base!$I$2+IF(parametros_manuales!$H$19="Todos",datos_base!$I$9,0))*parametros_manuales!$M$95+parametros_manuales!$E$19*(datos_base!$I$3+IF(parametros_manuales!$H$19="Todos",datos_base!$I$10,0))*parametros_manuales!$M$100+parametros_manuales!$F$19*(datos_base!$I$4+IF(parametros_manuales!$H$19="Todos",datos_base!$I$11,0))*parametros_manuales!$M$105+parametros_manuales!$G$19*(datos_base!$I$5+IF(parametros_manuales!$H$19="Todos",datos_base!$I$12,0))*parametros_manuales!$M$110)*parametros_manuales!$I$19*parametros_manuales!$J$19</f>
        <v>19615.68</v>
      </c>
      <c r="N191" s="4">
        <f t="shared" ref="N191:N215" si="22">SUM(B191:M191)</f>
        <v>217952</v>
      </c>
      <c r="O191" s="4">
        <f t="shared" ref="O191:O215" si="23">MAX(B191:M191)</f>
        <v>19615.68</v>
      </c>
      <c r="P191" s="27">
        <f>O191/(parametros_manuales!$B$7)</f>
        <v>130.7712</v>
      </c>
      <c r="Q191" s="3" t="str">
        <f t="shared" ref="Q191:Q215" si="24">IF(O191=0,"-",INDEX($B$190:$M$190,MATCH(O191,B191:M191,0)))</f>
        <v>Ene</v>
      </c>
    </row>
    <row r="192" ht="14.25" customHeight="1">
      <c r="A192" s="3" t="str">
        <f>parametros_manuales!$B$20</f>
        <v>Corte de chapa (guillotina) — 2,5 a 10 kg</v>
      </c>
      <c r="B192" s="4">
        <f>(parametros_manuales!$D$20*(datos_base!$I$2+IF(parametros_manuales!$H$20="Todos",datos_base!$I$9,0))*parametros_manuales!$B$95+parametros_manuales!$E$20*(datos_base!$I$3+IF(parametros_manuales!$H$20="Todos",datos_base!$I$10,0))*parametros_manuales!$B$100+parametros_manuales!$F$20*(datos_base!$I$4+IF(parametros_manuales!$H$20="Todos",datos_base!$I$11,0))*parametros_manuales!$B$105+parametros_manuales!$G$20*(datos_base!$I$5+IF(parametros_manuales!$H$20="Todos",datos_base!$I$12,0))*parametros_manuales!$B$110)*parametros_manuales!$I$20*parametros_manuales!$J$20</f>
        <v>5563.71</v>
      </c>
      <c r="C192" s="4">
        <f>(parametros_manuales!$D$20*(datos_base!$I$2+IF(parametros_manuales!$H$20="Todos",datos_base!$I$9,0))*parametros_manuales!$C$95+parametros_manuales!$E$20*(datos_base!$I$3+IF(parametros_manuales!$H$20="Todos",datos_base!$I$10,0))*parametros_manuales!$C$100+parametros_manuales!$F$20*(datos_base!$I$4+IF(parametros_manuales!$H$20="Todos",datos_base!$I$11,0))*parametros_manuales!$C$105+parametros_manuales!$G$20*(datos_base!$I$5+IF(parametros_manuales!$H$20="Todos",datos_base!$I$12,0))*parametros_manuales!$C$110)*parametros_manuales!$I$20*parametros_manuales!$J$20</f>
        <v>4945.52</v>
      </c>
      <c r="D192" s="4">
        <f>(parametros_manuales!$D$20*(datos_base!$I$2+IF(parametros_manuales!$H$20="Todos",datos_base!$I$9,0))*parametros_manuales!$D$95+parametros_manuales!$E$20*(datos_base!$I$3+IF(parametros_manuales!$H$20="Todos",datos_base!$I$10,0))*parametros_manuales!$D$100+parametros_manuales!$F$20*(datos_base!$I$4+IF(parametros_manuales!$H$20="Todos",datos_base!$I$11,0))*parametros_manuales!$D$105+parametros_manuales!$G$20*(datos_base!$I$5+IF(parametros_manuales!$H$20="Todos",datos_base!$I$12,0))*parametros_manuales!$D$110)*parametros_manuales!$I$20*parametros_manuales!$J$20</f>
        <v>5254.615</v>
      </c>
      <c r="E192" s="4">
        <f>(parametros_manuales!$D$20*(datos_base!$I$2+IF(parametros_manuales!$H$20="Todos",datos_base!$I$9,0))*parametros_manuales!$E$95+parametros_manuales!$E$20*(datos_base!$I$3+IF(parametros_manuales!$H$20="Todos",datos_base!$I$10,0))*parametros_manuales!$E$100+parametros_manuales!$F$20*(datos_base!$I$4+IF(parametros_manuales!$H$20="Todos",datos_base!$I$11,0))*parametros_manuales!$E$105+parametros_manuales!$G$20*(datos_base!$I$5+IF(parametros_manuales!$H$20="Todos",datos_base!$I$12,0))*parametros_manuales!$E$110)*parametros_manuales!$I$20*parametros_manuales!$J$20</f>
        <v>5254.615</v>
      </c>
      <c r="F192" s="4">
        <f>(parametros_manuales!$D$20*(datos_base!$I$2+IF(parametros_manuales!$H$20="Todos",datos_base!$I$9,0))*parametros_manuales!$F$95+parametros_manuales!$E$20*(datos_base!$I$3+IF(parametros_manuales!$H$20="Todos",datos_base!$I$10,0))*parametros_manuales!$F$100+parametros_manuales!$F$20*(datos_base!$I$4+IF(parametros_manuales!$H$20="Todos",datos_base!$I$11,0))*parametros_manuales!$F$105+parametros_manuales!$G$20*(datos_base!$I$5+IF(parametros_manuales!$H$20="Todos",datos_base!$I$12,0))*parametros_manuales!$F$110)*parametros_manuales!$I$20*parametros_manuales!$J$20</f>
        <v>4945.52</v>
      </c>
      <c r="G192" s="4">
        <f>(parametros_manuales!$D$20*(datos_base!$I$2+IF(parametros_manuales!$H$20="Todos",datos_base!$I$9,0))*parametros_manuales!$G$95+parametros_manuales!$E$20*(datos_base!$I$3+IF(parametros_manuales!$H$20="Todos",datos_base!$I$10,0))*parametros_manuales!$G$100+parametros_manuales!$F$20*(datos_base!$I$4+IF(parametros_manuales!$H$20="Todos",datos_base!$I$11,0))*parametros_manuales!$G$105+parametros_manuales!$G$20*(datos_base!$I$5+IF(parametros_manuales!$H$20="Todos",datos_base!$I$12,0))*parametros_manuales!$G$110)*parametros_manuales!$I$20*parametros_manuales!$J$20</f>
        <v>4636.425</v>
      </c>
      <c r="H192" s="4">
        <f>(parametros_manuales!$D$20*(datos_base!$I$2+IF(parametros_manuales!$H$20="Todos",datos_base!$I$9,0))*parametros_manuales!$H$95+parametros_manuales!$E$20*(datos_base!$I$3+IF(parametros_manuales!$H$20="Todos",datos_base!$I$10,0))*parametros_manuales!$H$100+parametros_manuales!$F$20*(datos_base!$I$4+IF(parametros_manuales!$H$20="Todos",datos_base!$I$11,0))*parametros_manuales!$H$105+parametros_manuales!$G$20*(datos_base!$I$5+IF(parametros_manuales!$H$20="Todos",datos_base!$I$12,0))*parametros_manuales!$H$110)*parametros_manuales!$I$20*parametros_manuales!$J$20</f>
        <v>4945.52</v>
      </c>
      <c r="I192" s="4">
        <f>(parametros_manuales!$D$20*(datos_base!$I$2+IF(parametros_manuales!$H$20="Todos",datos_base!$I$9,0))*parametros_manuales!$I$95+parametros_manuales!$E$20*(datos_base!$I$3+IF(parametros_manuales!$H$20="Todos",datos_base!$I$10,0))*parametros_manuales!$I$100+parametros_manuales!$F$20*(datos_base!$I$4+IF(parametros_manuales!$H$20="Todos",datos_base!$I$11,0))*parametros_manuales!$I$105+parametros_manuales!$G$20*(datos_base!$I$5+IF(parametros_manuales!$H$20="Todos",datos_base!$I$12,0))*parametros_manuales!$I$110)*parametros_manuales!$I$20*parametros_manuales!$J$20</f>
        <v>4945.52</v>
      </c>
      <c r="J192" s="4">
        <f>(parametros_manuales!$D$20*(datos_base!$I$2+IF(parametros_manuales!$H$20="Todos",datos_base!$I$9,0))*parametros_manuales!$J$95+parametros_manuales!$E$20*(datos_base!$I$3+IF(parametros_manuales!$H$20="Todos",datos_base!$I$10,0))*parametros_manuales!$J$100+parametros_manuales!$F$20*(datos_base!$I$4+IF(parametros_manuales!$H$20="Todos",datos_base!$I$11,0))*parametros_manuales!$J$105+parametros_manuales!$G$20*(datos_base!$I$5+IF(parametros_manuales!$H$20="Todos",datos_base!$I$12,0))*parametros_manuales!$J$110)*parametros_manuales!$I$20*parametros_manuales!$J$20</f>
        <v>4945.52</v>
      </c>
      <c r="K192" s="4">
        <f>(parametros_manuales!$D$20*(datos_base!$I$2+IF(parametros_manuales!$H$20="Todos",datos_base!$I$9,0))*parametros_manuales!$K$95+parametros_manuales!$E$20*(datos_base!$I$3+IF(parametros_manuales!$H$20="Todos",datos_base!$I$10,0))*parametros_manuales!$K$100+parametros_manuales!$F$20*(datos_base!$I$4+IF(parametros_manuales!$H$20="Todos",datos_base!$I$11,0))*parametros_manuales!$K$105+parametros_manuales!$G$20*(datos_base!$I$5+IF(parametros_manuales!$H$20="Todos",datos_base!$I$12,0))*parametros_manuales!$K$110)*parametros_manuales!$I$20*parametros_manuales!$J$20</f>
        <v>5254.615</v>
      </c>
      <c r="L192" s="4">
        <f>(parametros_manuales!$D$20*(datos_base!$I$2+IF(parametros_manuales!$H$20="Todos",datos_base!$I$9,0))*parametros_manuales!$L$95+parametros_manuales!$E$20*(datos_base!$I$3+IF(parametros_manuales!$H$20="Todos",datos_base!$I$10,0))*parametros_manuales!$L$100+parametros_manuales!$F$20*(datos_base!$I$4+IF(parametros_manuales!$H$20="Todos",datos_base!$I$11,0))*parametros_manuales!$L$105+parametros_manuales!$G$20*(datos_base!$I$5+IF(parametros_manuales!$H$20="Todos",datos_base!$I$12,0))*parametros_manuales!$L$110)*parametros_manuales!$I$20*parametros_manuales!$J$20</f>
        <v>5563.71</v>
      </c>
      <c r="M192" s="4">
        <f>(parametros_manuales!$D$20*(datos_base!$I$2+IF(parametros_manuales!$H$20="Todos",datos_base!$I$9,0))*parametros_manuales!$M$95+parametros_manuales!$E$20*(datos_base!$I$3+IF(parametros_manuales!$H$20="Todos",datos_base!$I$10,0))*parametros_manuales!$M$100+parametros_manuales!$F$20*(datos_base!$I$4+IF(parametros_manuales!$H$20="Todos",datos_base!$I$11,0))*parametros_manuales!$M$105+parametros_manuales!$G$20*(datos_base!$I$5+IF(parametros_manuales!$H$20="Todos",datos_base!$I$12,0))*parametros_manuales!$M$110)*parametros_manuales!$I$20*parametros_manuales!$J$20</f>
        <v>5563.71</v>
      </c>
      <c r="N192" s="4">
        <f t="shared" si="22"/>
        <v>61819</v>
      </c>
      <c r="O192" s="4">
        <f t="shared" si="23"/>
        <v>5563.71</v>
      </c>
      <c r="P192" s="27">
        <f>O192/(parametros_manuales!$B$7)</f>
        <v>37.0914</v>
      </c>
      <c r="Q192" s="3" t="str">
        <f t="shared" si="24"/>
        <v>Ene</v>
      </c>
    </row>
    <row r="193" ht="14.25" customHeight="1">
      <c r="A193" s="3" t="str">
        <f>parametros_manuales!$B$21</f>
        <v>Corte de tubo — 1 kg</v>
      </c>
      <c r="B193" s="4">
        <f>(parametros_manuales!$D$21*(datos_base!$I$2+IF(parametros_manuales!$H$21="Todos",datos_base!$I$9,0))*parametros_manuales!$B$95+parametros_manuales!$E$21*(datos_base!$I$3+IF(parametros_manuales!$H$21="Todos",datos_base!$I$10,0))*parametros_manuales!$B$100+parametros_manuales!$F$21*(datos_base!$I$4+IF(parametros_manuales!$H$21="Todos",datos_base!$I$11,0))*parametros_manuales!$B$105+parametros_manuales!$G$21*(datos_base!$I$5+IF(parametros_manuales!$H$21="Todos",datos_base!$I$12,0))*parametros_manuales!$B$110)*parametros_manuales!$I$21*parametros_manuales!$J$21</f>
        <v>14051.97</v>
      </c>
      <c r="C193" s="4">
        <f>(parametros_manuales!$D$21*(datos_base!$I$2+IF(parametros_manuales!$H$21="Todos",datos_base!$I$9,0))*parametros_manuales!$C$95+parametros_manuales!$E$21*(datos_base!$I$3+IF(parametros_manuales!$H$21="Todos",datos_base!$I$10,0))*parametros_manuales!$C$100+parametros_manuales!$F$21*(datos_base!$I$4+IF(parametros_manuales!$H$21="Todos",datos_base!$I$11,0))*parametros_manuales!$C$105+parametros_manuales!$G$21*(datos_base!$I$5+IF(parametros_manuales!$H$21="Todos",datos_base!$I$12,0))*parametros_manuales!$C$110)*parametros_manuales!$I$21*parametros_manuales!$J$21</f>
        <v>14051.97</v>
      </c>
      <c r="D193" s="4">
        <f>(parametros_manuales!$D$21*(datos_base!$I$2+IF(parametros_manuales!$H$21="Todos",datos_base!$I$9,0))*parametros_manuales!$D$95+parametros_manuales!$E$21*(datos_base!$I$3+IF(parametros_manuales!$H$21="Todos",datos_base!$I$10,0))*parametros_manuales!$D$100+parametros_manuales!$F$21*(datos_base!$I$4+IF(parametros_manuales!$H$21="Todos",datos_base!$I$11,0))*parametros_manuales!$D$105+parametros_manuales!$G$21*(datos_base!$I$5+IF(parametros_manuales!$H$21="Todos",datos_base!$I$12,0))*parametros_manuales!$D$110)*parametros_manuales!$I$21*parametros_manuales!$J$21</f>
        <v>12490.64</v>
      </c>
      <c r="E193" s="4">
        <f>(parametros_manuales!$D$21*(datos_base!$I$2+IF(parametros_manuales!$H$21="Todos",datos_base!$I$9,0))*parametros_manuales!$E$95+parametros_manuales!$E$21*(datos_base!$I$3+IF(parametros_manuales!$H$21="Todos",datos_base!$I$10,0))*parametros_manuales!$E$100+parametros_manuales!$F$21*(datos_base!$I$4+IF(parametros_manuales!$H$21="Todos",datos_base!$I$11,0))*parametros_manuales!$E$105+parametros_manuales!$G$21*(datos_base!$I$5+IF(parametros_manuales!$H$21="Todos",datos_base!$I$12,0))*parametros_manuales!$E$110)*parametros_manuales!$I$21*parametros_manuales!$J$21</f>
        <v>11709.975</v>
      </c>
      <c r="F193" s="4">
        <f>(parametros_manuales!$D$21*(datos_base!$I$2+IF(parametros_manuales!$H$21="Todos",datos_base!$I$9,0))*parametros_manuales!$F$95+parametros_manuales!$E$21*(datos_base!$I$3+IF(parametros_manuales!$H$21="Todos",datos_base!$I$10,0))*parametros_manuales!$F$100+parametros_manuales!$F$21*(datos_base!$I$4+IF(parametros_manuales!$H$21="Todos",datos_base!$I$11,0))*parametros_manuales!$F$105+parametros_manuales!$G$21*(datos_base!$I$5+IF(parametros_manuales!$H$21="Todos",datos_base!$I$12,0))*parametros_manuales!$F$110)*parametros_manuales!$I$21*parametros_manuales!$J$21</f>
        <v>10929.31</v>
      </c>
      <c r="G193" s="4">
        <f>(parametros_manuales!$D$21*(datos_base!$I$2+IF(parametros_manuales!$H$21="Todos",datos_base!$I$9,0))*parametros_manuales!$G$95+parametros_manuales!$E$21*(datos_base!$I$3+IF(parametros_manuales!$H$21="Todos",datos_base!$I$10,0))*parametros_manuales!$G$100+parametros_manuales!$F$21*(datos_base!$I$4+IF(parametros_manuales!$H$21="Todos",datos_base!$I$11,0))*parametros_manuales!$G$105+parametros_manuales!$G$21*(datos_base!$I$5+IF(parametros_manuales!$H$21="Todos",datos_base!$I$12,0))*parametros_manuales!$G$110)*parametros_manuales!$I$21*parametros_manuales!$J$21</f>
        <v>10929.31</v>
      </c>
      <c r="H193" s="4">
        <f>(parametros_manuales!$D$21*(datos_base!$I$2+IF(parametros_manuales!$H$21="Todos",datos_base!$I$9,0))*parametros_manuales!$H$95+parametros_manuales!$E$21*(datos_base!$I$3+IF(parametros_manuales!$H$21="Todos",datos_base!$I$10,0))*parametros_manuales!$H$100+parametros_manuales!$F$21*(datos_base!$I$4+IF(parametros_manuales!$H$21="Todos",datos_base!$I$11,0))*parametros_manuales!$H$105+parametros_manuales!$G$21*(datos_base!$I$5+IF(parametros_manuales!$H$21="Todos",datos_base!$I$12,0))*parametros_manuales!$H$110)*parametros_manuales!$I$21*parametros_manuales!$J$21</f>
        <v>11709.975</v>
      </c>
      <c r="I193" s="4">
        <f>(parametros_manuales!$D$21*(datos_base!$I$2+IF(parametros_manuales!$H$21="Todos",datos_base!$I$9,0))*parametros_manuales!$I$95+parametros_manuales!$E$21*(datos_base!$I$3+IF(parametros_manuales!$H$21="Todos",datos_base!$I$10,0))*parametros_manuales!$I$100+parametros_manuales!$F$21*(datos_base!$I$4+IF(parametros_manuales!$H$21="Todos",datos_base!$I$11,0))*parametros_manuales!$I$105+parametros_manuales!$G$21*(datos_base!$I$5+IF(parametros_manuales!$H$21="Todos",datos_base!$I$12,0))*parametros_manuales!$I$110)*parametros_manuales!$I$21*parametros_manuales!$J$21</f>
        <v>14051.97</v>
      </c>
      <c r="J193" s="4">
        <f>(parametros_manuales!$D$21*(datos_base!$I$2+IF(parametros_manuales!$H$21="Todos",datos_base!$I$9,0))*parametros_manuales!$J$95+parametros_manuales!$E$21*(datos_base!$I$3+IF(parametros_manuales!$H$21="Todos",datos_base!$I$10,0))*parametros_manuales!$J$100+parametros_manuales!$F$21*(datos_base!$I$4+IF(parametros_manuales!$H$21="Todos",datos_base!$I$11,0))*parametros_manuales!$J$105+parametros_manuales!$G$21*(datos_base!$I$5+IF(parametros_manuales!$H$21="Todos",datos_base!$I$12,0))*parametros_manuales!$J$110)*parametros_manuales!$I$21*parametros_manuales!$J$21</f>
        <v>14051.97</v>
      </c>
      <c r="K193" s="4">
        <f>(parametros_manuales!$D$21*(datos_base!$I$2+IF(parametros_manuales!$H$21="Todos",datos_base!$I$9,0))*parametros_manuales!$K$95+parametros_manuales!$E$21*(datos_base!$I$3+IF(parametros_manuales!$H$21="Todos",datos_base!$I$10,0))*parametros_manuales!$K$100+parametros_manuales!$F$21*(datos_base!$I$4+IF(parametros_manuales!$H$21="Todos",datos_base!$I$11,0))*parametros_manuales!$K$105+parametros_manuales!$G$21*(datos_base!$I$5+IF(parametros_manuales!$H$21="Todos",datos_base!$I$12,0))*parametros_manuales!$K$110)*parametros_manuales!$I$21*parametros_manuales!$J$21</f>
        <v>14051.97</v>
      </c>
      <c r="L193" s="4">
        <f>(parametros_manuales!$D$21*(datos_base!$I$2+IF(parametros_manuales!$H$21="Todos",datos_base!$I$9,0))*parametros_manuales!$L$95+parametros_manuales!$E$21*(datos_base!$I$3+IF(parametros_manuales!$H$21="Todos",datos_base!$I$10,0))*parametros_manuales!$L$100+parametros_manuales!$F$21*(datos_base!$I$4+IF(parametros_manuales!$H$21="Todos",datos_base!$I$11,0))*parametros_manuales!$L$105+parametros_manuales!$G$21*(datos_base!$I$5+IF(parametros_manuales!$H$21="Todos",datos_base!$I$12,0))*parametros_manuales!$L$110)*parametros_manuales!$I$21*parametros_manuales!$J$21</f>
        <v>14051.97</v>
      </c>
      <c r="M193" s="4">
        <f>(parametros_manuales!$D$21*(datos_base!$I$2+IF(parametros_manuales!$H$21="Todos",datos_base!$I$9,0))*parametros_manuales!$M$95+parametros_manuales!$E$21*(datos_base!$I$3+IF(parametros_manuales!$H$21="Todos",datos_base!$I$10,0))*parametros_manuales!$M$100+parametros_manuales!$F$21*(datos_base!$I$4+IF(parametros_manuales!$H$21="Todos",datos_base!$I$11,0))*parametros_manuales!$M$105+parametros_manuales!$G$21*(datos_base!$I$5+IF(parametros_manuales!$H$21="Todos",datos_base!$I$12,0))*parametros_manuales!$M$110)*parametros_manuales!$I$21*parametros_manuales!$J$21</f>
        <v>14051.97</v>
      </c>
      <c r="N193" s="4">
        <f t="shared" si="22"/>
        <v>156133</v>
      </c>
      <c r="O193" s="4">
        <f t="shared" si="23"/>
        <v>14051.97</v>
      </c>
      <c r="P193" s="27">
        <f>O193/(parametros_manuales!$B$7)</f>
        <v>93.6798</v>
      </c>
      <c r="Q193" s="3" t="str">
        <f t="shared" si="24"/>
        <v>Ene</v>
      </c>
    </row>
    <row r="194" ht="14.25" customHeight="1">
      <c r="A194" s="3" t="str">
        <f>parametros_manuales!$B$22</f>
        <v>Corte de disco y embutido (cúpula y fondo)</v>
      </c>
      <c r="B194" s="4">
        <f>(parametros_manuales!$D$22*(datos_base!$I$2+IF(parametros_manuales!$H$22="Todos",datos_base!$I$9,0))*parametros_manuales!$B$95+parametros_manuales!$E$22*(datos_base!$I$3+IF(parametros_manuales!$H$22="Todos",datos_base!$I$10,0))*parametros_manuales!$B$100+parametros_manuales!$F$22*(datos_base!$I$4+IF(parametros_manuales!$H$22="Todos",datos_base!$I$11,0))*parametros_manuales!$B$105+parametros_manuales!$G$22*(datos_base!$I$5+IF(parametros_manuales!$H$22="Todos",datos_base!$I$12,0))*parametros_manuales!$B$110)*parametros_manuales!$I$22*parametros_manuales!$J$22</f>
        <v>39231.36</v>
      </c>
      <c r="C194" s="4">
        <f>(parametros_manuales!$D$22*(datos_base!$I$2+IF(parametros_manuales!$H$22="Todos",datos_base!$I$9,0))*parametros_manuales!$C$95+parametros_manuales!$E$22*(datos_base!$I$3+IF(parametros_manuales!$H$22="Todos",datos_base!$I$10,0))*parametros_manuales!$C$100+parametros_manuales!$F$22*(datos_base!$I$4+IF(parametros_manuales!$H$22="Todos",datos_base!$I$11,0))*parametros_manuales!$C$105+parametros_manuales!$G$22*(datos_base!$I$5+IF(parametros_manuales!$H$22="Todos",datos_base!$I$12,0))*parametros_manuales!$C$110)*parametros_manuales!$I$22*parametros_manuales!$J$22</f>
        <v>37994.98</v>
      </c>
      <c r="D194" s="4">
        <f>(parametros_manuales!$D$22*(datos_base!$I$2+IF(parametros_manuales!$H$22="Todos",datos_base!$I$9,0))*parametros_manuales!$D$95+parametros_manuales!$E$22*(datos_base!$I$3+IF(parametros_manuales!$H$22="Todos",datos_base!$I$10,0))*parametros_manuales!$D$100+parametros_manuales!$F$22*(datos_base!$I$4+IF(parametros_manuales!$H$22="Todos",datos_base!$I$11,0))*parametros_manuales!$D$105+parametros_manuales!$G$22*(datos_base!$I$5+IF(parametros_manuales!$H$22="Todos",datos_base!$I$12,0))*parametros_manuales!$D$110)*parametros_manuales!$I$22*parametros_manuales!$J$22</f>
        <v>35490.51</v>
      </c>
      <c r="E194" s="4">
        <f>(parametros_manuales!$D$22*(datos_base!$I$2+IF(parametros_manuales!$H$22="Todos",datos_base!$I$9,0))*parametros_manuales!$E$95+parametros_manuales!$E$22*(datos_base!$I$3+IF(parametros_manuales!$H$22="Todos",datos_base!$I$10,0))*parametros_manuales!$E$100+parametros_manuales!$F$22*(datos_base!$I$4+IF(parametros_manuales!$H$22="Todos",datos_base!$I$11,0))*parametros_manuales!$E$105+parametros_manuales!$G$22*(datos_base!$I$5+IF(parametros_manuales!$H$22="Todos",datos_base!$I$12,0))*parametros_manuales!$E$110)*parametros_manuales!$I$22*parametros_manuales!$J$22</f>
        <v>33929.18</v>
      </c>
      <c r="F194" s="4">
        <f>(parametros_manuales!$D$22*(datos_base!$I$2+IF(parametros_manuales!$H$22="Todos",datos_base!$I$9,0))*parametros_manuales!$F$95+parametros_manuales!$E$22*(datos_base!$I$3+IF(parametros_manuales!$H$22="Todos",datos_base!$I$10,0))*parametros_manuales!$F$100+parametros_manuales!$F$22*(datos_base!$I$4+IF(parametros_manuales!$H$22="Todos",datos_base!$I$11,0))*parametros_manuales!$F$105+parametros_manuales!$G$22*(datos_base!$I$5+IF(parametros_manuales!$H$22="Todos",datos_base!$I$12,0))*parametros_manuales!$F$110)*parametros_manuales!$I$22*parametros_manuales!$J$22</f>
        <v>31749.66</v>
      </c>
      <c r="G194" s="4">
        <f>(parametros_manuales!$D$22*(datos_base!$I$2+IF(parametros_manuales!$H$22="Todos",datos_base!$I$9,0))*parametros_manuales!$G$95+parametros_manuales!$E$22*(datos_base!$I$3+IF(parametros_manuales!$H$22="Todos",datos_base!$I$10,0))*parametros_manuales!$G$100+parametros_manuales!$F$22*(datos_base!$I$4+IF(parametros_manuales!$H$22="Todos",datos_base!$I$11,0))*parametros_manuales!$G$105+parametros_manuales!$G$22*(datos_base!$I$5+IF(parametros_manuales!$H$22="Todos",datos_base!$I$12,0))*parametros_manuales!$G$110)*parametros_manuales!$I$22*parametros_manuales!$J$22</f>
        <v>31131.47</v>
      </c>
      <c r="H194" s="4">
        <f>(parametros_manuales!$D$22*(datos_base!$I$2+IF(parametros_manuales!$H$22="Todos",datos_base!$I$9,0))*parametros_manuales!$H$95+parametros_manuales!$E$22*(datos_base!$I$3+IF(parametros_manuales!$H$22="Todos",datos_base!$I$10,0))*parametros_manuales!$H$100+parametros_manuales!$F$22*(datos_base!$I$4+IF(parametros_manuales!$H$22="Todos",datos_base!$I$11,0))*parametros_manuales!$H$105+parametros_manuales!$G$22*(datos_base!$I$5+IF(parametros_manuales!$H$22="Todos",datos_base!$I$12,0))*parametros_manuales!$H$110)*parametros_manuales!$I$22*parametros_manuales!$J$22</f>
        <v>33310.99</v>
      </c>
      <c r="I194" s="4">
        <f>(parametros_manuales!$D$22*(datos_base!$I$2+IF(parametros_manuales!$H$22="Todos",datos_base!$I$9,0))*parametros_manuales!$I$95+parametros_manuales!$E$22*(datos_base!$I$3+IF(parametros_manuales!$H$22="Todos",datos_base!$I$10,0))*parametros_manuales!$I$100+parametros_manuales!$F$22*(datos_base!$I$4+IF(parametros_manuales!$H$22="Todos",datos_base!$I$11,0))*parametros_manuales!$I$105+parametros_manuales!$G$22*(datos_base!$I$5+IF(parametros_manuales!$H$22="Todos",datos_base!$I$12,0))*parametros_manuales!$I$110)*parametros_manuales!$I$22*parametros_manuales!$J$22</f>
        <v>37994.98</v>
      </c>
      <c r="J194" s="4">
        <f>(parametros_manuales!$D$22*(datos_base!$I$2+IF(parametros_manuales!$H$22="Todos",datos_base!$I$9,0))*parametros_manuales!$J$95+parametros_manuales!$E$22*(datos_base!$I$3+IF(parametros_manuales!$H$22="Todos",datos_base!$I$10,0))*parametros_manuales!$J$100+parametros_manuales!$F$22*(datos_base!$I$4+IF(parametros_manuales!$H$22="Todos",datos_base!$I$11,0))*parametros_manuales!$J$105+parametros_manuales!$G$22*(datos_base!$I$5+IF(parametros_manuales!$H$22="Todos",datos_base!$I$12,0))*parametros_manuales!$J$110)*parametros_manuales!$I$22*parametros_manuales!$J$22</f>
        <v>37994.98</v>
      </c>
      <c r="K194" s="4">
        <f>(parametros_manuales!$D$22*(datos_base!$I$2+IF(parametros_manuales!$H$22="Todos",datos_base!$I$9,0))*parametros_manuales!$K$95+parametros_manuales!$E$22*(datos_base!$I$3+IF(parametros_manuales!$H$22="Todos",datos_base!$I$10,0))*parametros_manuales!$K$100+parametros_manuales!$F$22*(datos_base!$I$4+IF(parametros_manuales!$H$22="Todos",datos_base!$I$11,0))*parametros_manuales!$K$105+parametros_manuales!$G$22*(datos_base!$I$5+IF(parametros_manuales!$H$22="Todos",datos_base!$I$12,0))*parametros_manuales!$K$110)*parametros_manuales!$I$22*parametros_manuales!$J$22</f>
        <v>38613.17</v>
      </c>
      <c r="L194" s="4">
        <f>(parametros_manuales!$D$22*(datos_base!$I$2+IF(parametros_manuales!$H$22="Todos",datos_base!$I$9,0))*parametros_manuales!$L$95+parametros_manuales!$E$22*(datos_base!$I$3+IF(parametros_manuales!$H$22="Todos",datos_base!$I$10,0))*parametros_manuales!$L$100+parametros_manuales!$F$22*(datos_base!$I$4+IF(parametros_manuales!$H$22="Todos",datos_base!$I$11,0))*parametros_manuales!$L$105+parametros_manuales!$G$22*(datos_base!$I$5+IF(parametros_manuales!$H$22="Todos",datos_base!$I$12,0))*parametros_manuales!$L$110)*parametros_manuales!$I$22*parametros_manuales!$J$22</f>
        <v>39231.36</v>
      </c>
      <c r="M194" s="4">
        <f>(parametros_manuales!$D$22*(datos_base!$I$2+IF(parametros_manuales!$H$22="Todos",datos_base!$I$9,0))*parametros_manuales!$M$95+parametros_manuales!$E$22*(datos_base!$I$3+IF(parametros_manuales!$H$22="Todos",datos_base!$I$10,0))*parametros_manuales!$M$100+parametros_manuales!$F$22*(datos_base!$I$4+IF(parametros_manuales!$H$22="Todos",datos_base!$I$11,0))*parametros_manuales!$M$105+parametros_manuales!$G$22*(datos_base!$I$5+IF(parametros_manuales!$H$22="Todos",datos_base!$I$12,0))*parametros_manuales!$M$110)*parametros_manuales!$I$22*parametros_manuales!$J$22</f>
        <v>39231.36</v>
      </c>
      <c r="N194" s="4">
        <f t="shared" si="22"/>
        <v>435904</v>
      </c>
      <c r="O194" s="4">
        <f t="shared" si="23"/>
        <v>39231.36</v>
      </c>
      <c r="P194" s="27">
        <f>O194/(parametros_manuales!$B$7)</f>
        <v>261.5424</v>
      </c>
      <c r="Q194" s="3" t="str">
        <f t="shared" si="24"/>
        <v>Ene</v>
      </c>
    </row>
    <row r="195" ht="14.25" customHeight="1">
      <c r="A195" s="3" t="str">
        <f>parametros_manuales!$B$23</f>
        <v>Preparación de cuello</v>
      </c>
      <c r="B195" s="4">
        <f>(parametros_manuales!$D$23*(datos_base!$I$2+IF(parametros_manuales!$H$23="Todos",datos_base!$I$9,0))*parametros_manuales!$B$95+parametros_manuales!$E$23*(datos_base!$I$3+IF(parametros_manuales!$H$23="Todos",datos_base!$I$10,0))*parametros_manuales!$B$100+parametros_manuales!$F$23*(datos_base!$I$4+IF(parametros_manuales!$H$23="Todos",datos_base!$I$11,0))*parametros_manuales!$B$105+parametros_manuales!$G$23*(datos_base!$I$5+IF(parametros_manuales!$H$23="Todos",datos_base!$I$12,0))*parametros_manuales!$B$110)*parametros_manuales!$I$23*parametros_manuales!$J$23</f>
        <v>19615.68</v>
      </c>
      <c r="C195" s="4">
        <f>(parametros_manuales!$D$23*(datos_base!$I$2+IF(parametros_manuales!$H$23="Todos",datos_base!$I$9,0))*parametros_manuales!$C$95+parametros_manuales!$E$23*(datos_base!$I$3+IF(parametros_manuales!$H$23="Todos",datos_base!$I$10,0))*parametros_manuales!$C$100+parametros_manuales!$F$23*(datos_base!$I$4+IF(parametros_manuales!$H$23="Todos",datos_base!$I$11,0))*parametros_manuales!$C$105+parametros_manuales!$G$23*(datos_base!$I$5+IF(parametros_manuales!$H$23="Todos",datos_base!$I$12,0))*parametros_manuales!$C$110)*parametros_manuales!$I$23*parametros_manuales!$J$23</f>
        <v>18997.49</v>
      </c>
      <c r="D195" s="4">
        <f>(parametros_manuales!$D$23*(datos_base!$I$2+IF(parametros_manuales!$H$23="Todos",datos_base!$I$9,0))*parametros_manuales!$D$95+parametros_manuales!$E$23*(datos_base!$I$3+IF(parametros_manuales!$H$23="Todos",datos_base!$I$10,0))*parametros_manuales!$D$100+parametros_manuales!$F$23*(datos_base!$I$4+IF(parametros_manuales!$H$23="Todos",datos_base!$I$11,0))*parametros_manuales!$D$105+parametros_manuales!$G$23*(datos_base!$I$5+IF(parametros_manuales!$H$23="Todos",datos_base!$I$12,0))*parametros_manuales!$D$110)*parametros_manuales!$I$23*parametros_manuales!$J$23</f>
        <v>17745.255</v>
      </c>
      <c r="E195" s="4">
        <f>(parametros_manuales!$D$23*(datos_base!$I$2+IF(parametros_manuales!$H$23="Todos",datos_base!$I$9,0))*parametros_manuales!$E$95+parametros_manuales!$E$23*(datos_base!$I$3+IF(parametros_manuales!$H$23="Todos",datos_base!$I$10,0))*parametros_manuales!$E$100+parametros_manuales!$F$23*(datos_base!$I$4+IF(parametros_manuales!$H$23="Todos",datos_base!$I$11,0))*parametros_manuales!$E$105+parametros_manuales!$G$23*(datos_base!$I$5+IF(parametros_manuales!$H$23="Todos",datos_base!$I$12,0))*parametros_manuales!$E$110)*parametros_manuales!$I$23*parametros_manuales!$J$23</f>
        <v>16964.59</v>
      </c>
      <c r="F195" s="4">
        <f>(parametros_manuales!$D$23*(datos_base!$I$2+IF(parametros_manuales!$H$23="Todos",datos_base!$I$9,0))*parametros_manuales!$F$95+parametros_manuales!$E$23*(datos_base!$I$3+IF(parametros_manuales!$H$23="Todos",datos_base!$I$10,0))*parametros_manuales!$F$100+parametros_manuales!$F$23*(datos_base!$I$4+IF(parametros_manuales!$H$23="Todos",datos_base!$I$11,0))*parametros_manuales!$F$105+parametros_manuales!$G$23*(datos_base!$I$5+IF(parametros_manuales!$H$23="Todos",datos_base!$I$12,0))*parametros_manuales!$F$110)*parametros_manuales!$I$23*parametros_manuales!$J$23</f>
        <v>15874.83</v>
      </c>
      <c r="G195" s="4">
        <f>(parametros_manuales!$D$23*(datos_base!$I$2+IF(parametros_manuales!$H$23="Todos",datos_base!$I$9,0))*parametros_manuales!$G$95+parametros_manuales!$E$23*(datos_base!$I$3+IF(parametros_manuales!$H$23="Todos",datos_base!$I$10,0))*parametros_manuales!$G$100+parametros_manuales!$F$23*(datos_base!$I$4+IF(parametros_manuales!$H$23="Todos",datos_base!$I$11,0))*parametros_manuales!$G$105+parametros_manuales!$G$23*(datos_base!$I$5+IF(parametros_manuales!$H$23="Todos",datos_base!$I$12,0))*parametros_manuales!$G$110)*parametros_manuales!$I$23*parametros_manuales!$J$23</f>
        <v>15565.735</v>
      </c>
      <c r="H195" s="4">
        <f>(parametros_manuales!$D$23*(datos_base!$I$2+IF(parametros_manuales!$H$23="Todos",datos_base!$I$9,0))*parametros_manuales!$H$95+parametros_manuales!$E$23*(datos_base!$I$3+IF(parametros_manuales!$H$23="Todos",datos_base!$I$10,0))*parametros_manuales!$H$100+parametros_manuales!$F$23*(datos_base!$I$4+IF(parametros_manuales!$H$23="Todos",datos_base!$I$11,0))*parametros_manuales!$H$105+parametros_manuales!$G$23*(datos_base!$I$5+IF(parametros_manuales!$H$23="Todos",datos_base!$I$12,0))*parametros_manuales!$H$110)*parametros_manuales!$I$23*parametros_manuales!$J$23</f>
        <v>16655.495</v>
      </c>
      <c r="I195" s="4">
        <f>(parametros_manuales!$D$23*(datos_base!$I$2+IF(parametros_manuales!$H$23="Todos",datos_base!$I$9,0))*parametros_manuales!$I$95+parametros_manuales!$E$23*(datos_base!$I$3+IF(parametros_manuales!$H$23="Todos",datos_base!$I$10,0))*parametros_manuales!$I$100+parametros_manuales!$F$23*(datos_base!$I$4+IF(parametros_manuales!$H$23="Todos",datos_base!$I$11,0))*parametros_manuales!$I$105+parametros_manuales!$G$23*(datos_base!$I$5+IF(parametros_manuales!$H$23="Todos",datos_base!$I$12,0))*parametros_manuales!$I$110)*parametros_manuales!$I$23*parametros_manuales!$J$23</f>
        <v>18997.49</v>
      </c>
      <c r="J195" s="4">
        <f>(parametros_manuales!$D$23*(datos_base!$I$2+IF(parametros_manuales!$H$23="Todos",datos_base!$I$9,0))*parametros_manuales!$J$95+parametros_manuales!$E$23*(datos_base!$I$3+IF(parametros_manuales!$H$23="Todos",datos_base!$I$10,0))*parametros_manuales!$J$100+parametros_manuales!$F$23*(datos_base!$I$4+IF(parametros_manuales!$H$23="Todos",datos_base!$I$11,0))*parametros_manuales!$J$105+parametros_manuales!$G$23*(datos_base!$I$5+IF(parametros_manuales!$H$23="Todos",datos_base!$I$12,0))*parametros_manuales!$J$110)*parametros_manuales!$I$23*parametros_manuales!$J$23</f>
        <v>18997.49</v>
      </c>
      <c r="K195" s="4">
        <f>(parametros_manuales!$D$23*(datos_base!$I$2+IF(parametros_manuales!$H$23="Todos",datos_base!$I$9,0))*parametros_manuales!$K$95+parametros_manuales!$E$23*(datos_base!$I$3+IF(parametros_manuales!$H$23="Todos",datos_base!$I$10,0))*parametros_manuales!$K$100+parametros_manuales!$F$23*(datos_base!$I$4+IF(parametros_manuales!$H$23="Todos",datos_base!$I$11,0))*parametros_manuales!$K$105+parametros_manuales!$G$23*(datos_base!$I$5+IF(parametros_manuales!$H$23="Todos",datos_base!$I$12,0))*parametros_manuales!$K$110)*parametros_manuales!$I$23*parametros_manuales!$J$23</f>
        <v>19306.585</v>
      </c>
      <c r="L195" s="4">
        <f>(parametros_manuales!$D$23*(datos_base!$I$2+IF(parametros_manuales!$H$23="Todos",datos_base!$I$9,0))*parametros_manuales!$L$95+parametros_manuales!$E$23*(datos_base!$I$3+IF(parametros_manuales!$H$23="Todos",datos_base!$I$10,0))*parametros_manuales!$L$100+parametros_manuales!$F$23*(datos_base!$I$4+IF(parametros_manuales!$H$23="Todos",datos_base!$I$11,0))*parametros_manuales!$L$105+parametros_manuales!$G$23*(datos_base!$I$5+IF(parametros_manuales!$H$23="Todos",datos_base!$I$12,0))*parametros_manuales!$L$110)*parametros_manuales!$I$23*parametros_manuales!$J$23</f>
        <v>19615.68</v>
      </c>
      <c r="M195" s="4">
        <f>(parametros_manuales!$D$23*(datos_base!$I$2+IF(parametros_manuales!$H$23="Todos",datos_base!$I$9,0))*parametros_manuales!$M$95+parametros_manuales!$E$23*(datos_base!$I$3+IF(parametros_manuales!$H$23="Todos",datos_base!$I$10,0))*parametros_manuales!$M$100+parametros_manuales!$F$23*(datos_base!$I$4+IF(parametros_manuales!$H$23="Todos",datos_base!$I$11,0))*parametros_manuales!$M$105+parametros_manuales!$G$23*(datos_base!$I$5+IF(parametros_manuales!$H$23="Todos",datos_base!$I$12,0))*parametros_manuales!$M$110)*parametros_manuales!$I$23*parametros_manuales!$J$23</f>
        <v>19615.68</v>
      </c>
      <c r="N195" s="4">
        <f t="shared" si="22"/>
        <v>217952</v>
      </c>
      <c r="O195" s="4">
        <f t="shared" si="23"/>
        <v>19615.68</v>
      </c>
      <c r="P195" s="27">
        <f>O195/(parametros_manuales!$B$7)</f>
        <v>130.7712</v>
      </c>
      <c r="Q195" s="3" t="str">
        <f t="shared" si="24"/>
        <v>Ene</v>
      </c>
    </row>
    <row r="196" ht="14.25" customHeight="1">
      <c r="A196" s="3" t="str">
        <f>parametros_manuales!$B$24</f>
        <v>Numerado de cúpula</v>
      </c>
      <c r="B196" s="4">
        <f>(parametros_manuales!$D$24*(datos_base!$I$2+IF(parametros_manuales!$H$24="Todos",datos_base!$I$9,0))*parametros_manuales!$B$95+parametros_manuales!$E$24*(datos_base!$I$3+IF(parametros_manuales!$H$24="Todos",datos_base!$I$10,0))*parametros_manuales!$B$100+parametros_manuales!$F$24*(datos_base!$I$4+IF(parametros_manuales!$H$24="Todos",datos_base!$I$11,0))*parametros_manuales!$B$105+parametros_manuales!$G$24*(datos_base!$I$5+IF(parametros_manuales!$H$24="Todos",datos_base!$I$12,0))*parametros_manuales!$B$110)*parametros_manuales!$I$24*parametros_manuales!$J$24</f>
        <v>19615.68</v>
      </c>
      <c r="C196" s="4">
        <f>(parametros_manuales!$D$24*(datos_base!$I$2+IF(parametros_manuales!$H$24="Todos",datos_base!$I$9,0))*parametros_manuales!$C$95+parametros_manuales!$E$24*(datos_base!$I$3+IF(parametros_manuales!$H$24="Todos",datos_base!$I$10,0))*parametros_manuales!$C$100+parametros_manuales!$F$24*(datos_base!$I$4+IF(parametros_manuales!$H$24="Todos",datos_base!$I$11,0))*parametros_manuales!$C$105+parametros_manuales!$G$24*(datos_base!$I$5+IF(parametros_manuales!$H$24="Todos",datos_base!$I$12,0))*parametros_manuales!$C$110)*parametros_manuales!$I$24*parametros_manuales!$J$24</f>
        <v>18997.49</v>
      </c>
      <c r="D196" s="4">
        <f>(parametros_manuales!$D$24*(datos_base!$I$2+IF(parametros_manuales!$H$24="Todos",datos_base!$I$9,0))*parametros_manuales!$D$95+parametros_manuales!$E$24*(datos_base!$I$3+IF(parametros_manuales!$H$24="Todos",datos_base!$I$10,0))*parametros_manuales!$D$100+parametros_manuales!$F$24*(datos_base!$I$4+IF(parametros_manuales!$H$24="Todos",datos_base!$I$11,0))*parametros_manuales!$D$105+parametros_manuales!$G$24*(datos_base!$I$5+IF(parametros_manuales!$H$24="Todos",datos_base!$I$12,0))*parametros_manuales!$D$110)*parametros_manuales!$I$24*parametros_manuales!$J$24</f>
        <v>17745.255</v>
      </c>
      <c r="E196" s="4">
        <f>(parametros_manuales!$D$24*(datos_base!$I$2+IF(parametros_manuales!$H$24="Todos",datos_base!$I$9,0))*parametros_manuales!$E$95+parametros_manuales!$E$24*(datos_base!$I$3+IF(parametros_manuales!$H$24="Todos",datos_base!$I$10,0))*parametros_manuales!$E$100+parametros_manuales!$F$24*(datos_base!$I$4+IF(parametros_manuales!$H$24="Todos",datos_base!$I$11,0))*parametros_manuales!$E$105+parametros_manuales!$G$24*(datos_base!$I$5+IF(parametros_manuales!$H$24="Todos",datos_base!$I$12,0))*parametros_manuales!$E$110)*parametros_manuales!$I$24*parametros_manuales!$J$24</f>
        <v>16964.59</v>
      </c>
      <c r="F196" s="4">
        <f>(parametros_manuales!$D$24*(datos_base!$I$2+IF(parametros_manuales!$H$24="Todos",datos_base!$I$9,0))*parametros_manuales!$F$95+parametros_manuales!$E$24*(datos_base!$I$3+IF(parametros_manuales!$H$24="Todos",datos_base!$I$10,0))*parametros_manuales!$F$100+parametros_manuales!$F$24*(datos_base!$I$4+IF(parametros_manuales!$H$24="Todos",datos_base!$I$11,0))*parametros_manuales!$F$105+parametros_manuales!$G$24*(datos_base!$I$5+IF(parametros_manuales!$H$24="Todos",datos_base!$I$12,0))*parametros_manuales!$F$110)*parametros_manuales!$I$24*parametros_manuales!$J$24</f>
        <v>15874.83</v>
      </c>
      <c r="G196" s="4">
        <f>(parametros_manuales!$D$24*(datos_base!$I$2+IF(parametros_manuales!$H$24="Todos",datos_base!$I$9,0))*parametros_manuales!$G$95+parametros_manuales!$E$24*(datos_base!$I$3+IF(parametros_manuales!$H$24="Todos",datos_base!$I$10,0))*parametros_manuales!$G$100+parametros_manuales!$F$24*(datos_base!$I$4+IF(parametros_manuales!$H$24="Todos",datos_base!$I$11,0))*parametros_manuales!$G$105+parametros_manuales!$G$24*(datos_base!$I$5+IF(parametros_manuales!$H$24="Todos",datos_base!$I$12,0))*parametros_manuales!$G$110)*parametros_manuales!$I$24*parametros_manuales!$J$24</f>
        <v>15565.735</v>
      </c>
      <c r="H196" s="4">
        <f>(parametros_manuales!$D$24*(datos_base!$I$2+IF(parametros_manuales!$H$24="Todos",datos_base!$I$9,0))*parametros_manuales!$H$95+parametros_manuales!$E$24*(datos_base!$I$3+IF(parametros_manuales!$H$24="Todos",datos_base!$I$10,0))*parametros_manuales!$H$100+parametros_manuales!$F$24*(datos_base!$I$4+IF(parametros_manuales!$H$24="Todos",datos_base!$I$11,0))*parametros_manuales!$H$105+parametros_manuales!$G$24*(datos_base!$I$5+IF(parametros_manuales!$H$24="Todos",datos_base!$I$12,0))*parametros_manuales!$H$110)*parametros_manuales!$I$24*parametros_manuales!$J$24</f>
        <v>16655.495</v>
      </c>
      <c r="I196" s="4">
        <f>(parametros_manuales!$D$24*(datos_base!$I$2+IF(parametros_manuales!$H$24="Todos",datos_base!$I$9,0))*parametros_manuales!$I$95+parametros_manuales!$E$24*(datos_base!$I$3+IF(parametros_manuales!$H$24="Todos",datos_base!$I$10,0))*parametros_manuales!$I$100+parametros_manuales!$F$24*(datos_base!$I$4+IF(parametros_manuales!$H$24="Todos",datos_base!$I$11,0))*parametros_manuales!$I$105+parametros_manuales!$G$24*(datos_base!$I$5+IF(parametros_manuales!$H$24="Todos",datos_base!$I$12,0))*parametros_manuales!$I$110)*parametros_manuales!$I$24*parametros_manuales!$J$24</f>
        <v>18997.49</v>
      </c>
      <c r="J196" s="4">
        <f>(parametros_manuales!$D$24*(datos_base!$I$2+IF(parametros_manuales!$H$24="Todos",datos_base!$I$9,0))*parametros_manuales!$J$95+parametros_manuales!$E$24*(datos_base!$I$3+IF(parametros_manuales!$H$24="Todos",datos_base!$I$10,0))*parametros_manuales!$J$100+parametros_manuales!$F$24*(datos_base!$I$4+IF(parametros_manuales!$H$24="Todos",datos_base!$I$11,0))*parametros_manuales!$J$105+parametros_manuales!$G$24*(datos_base!$I$5+IF(parametros_manuales!$H$24="Todos",datos_base!$I$12,0))*parametros_manuales!$J$110)*parametros_manuales!$I$24*parametros_manuales!$J$24</f>
        <v>18997.49</v>
      </c>
      <c r="K196" s="4">
        <f>(parametros_manuales!$D$24*(datos_base!$I$2+IF(parametros_manuales!$H$24="Todos",datos_base!$I$9,0))*parametros_manuales!$K$95+parametros_manuales!$E$24*(datos_base!$I$3+IF(parametros_manuales!$H$24="Todos",datos_base!$I$10,0))*parametros_manuales!$K$100+parametros_manuales!$F$24*(datos_base!$I$4+IF(parametros_manuales!$H$24="Todos",datos_base!$I$11,0))*parametros_manuales!$K$105+parametros_manuales!$G$24*(datos_base!$I$5+IF(parametros_manuales!$H$24="Todos",datos_base!$I$12,0))*parametros_manuales!$K$110)*parametros_manuales!$I$24*parametros_manuales!$J$24</f>
        <v>19306.585</v>
      </c>
      <c r="L196" s="4">
        <f>(parametros_manuales!$D$24*(datos_base!$I$2+IF(parametros_manuales!$H$24="Todos",datos_base!$I$9,0))*parametros_manuales!$L$95+parametros_manuales!$E$24*(datos_base!$I$3+IF(parametros_manuales!$H$24="Todos",datos_base!$I$10,0))*parametros_manuales!$L$100+parametros_manuales!$F$24*(datos_base!$I$4+IF(parametros_manuales!$H$24="Todos",datos_base!$I$11,0))*parametros_manuales!$L$105+parametros_manuales!$G$24*(datos_base!$I$5+IF(parametros_manuales!$H$24="Todos",datos_base!$I$12,0))*parametros_manuales!$L$110)*parametros_manuales!$I$24*parametros_manuales!$J$24</f>
        <v>19615.68</v>
      </c>
      <c r="M196" s="4">
        <f>(parametros_manuales!$D$24*(datos_base!$I$2+IF(parametros_manuales!$H$24="Todos",datos_base!$I$9,0))*parametros_manuales!$M$95+parametros_manuales!$E$24*(datos_base!$I$3+IF(parametros_manuales!$H$24="Todos",datos_base!$I$10,0))*parametros_manuales!$M$100+parametros_manuales!$F$24*(datos_base!$I$4+IF(parametros_manuales!$H$24="Todos",datos_base!$I$11,0))*parametros_manuales!$M$105+parametros_manuales!$G$24*(datos_base!$I$5+IF(parametros_manuales!$H$24="Todos",datos_base!$I$12,0))*parametros_manuales!$M$110)*parametros_manuales!$I$24*parametros_manuales!$J$24</f>
        <v>19615.68</v>
      </c>
      <c r="N196" s="4">
        <f t="shared" si="22"/>
        <v>217952</v>
      </c>
      <c r="O196" s="4">
        <f t="shared" si="23"/>
        <v>19615.68</v>
      </c>
      <c r="P196" s="27">
        <f>O196/(parametros_manuales!$B$7)</f>
        <v>130.7712</v>
      </c>
      <c r="Q196" s="3" t="str">
        <f t="shared" si="24"/>
        <v>Ene</v>
      </c>
    </row>
    <row r="197" ht="14.25" customHeight="1">
      <c r="A197" s="3" t="str">
        <f>parametros_manuales!$B$25</f>
        <v>Soldadura del cuello a la cúpula</v>
      </c>
      <c r="B197" s="4">
        <f>(parametros_manuales!$D$25*(datos_base!$I$2+IF(parametros_manuales!$H$25="Todos",datos_base!$I$9,0))*parametros_manuales!$B$95+parametros_manuales!$E$25*(datos_base!$I$3+IF(parametros_manuales!$H$25="Todos",datos_base!$I$10,0))*parametros_manuales!$B$100+parametros_manuales!$F$25*(datos_base!$I$4+IF(parametros_manuales!$H$25="Todos",datos_base!$I$11,0))*parametros_manuales!$B$105+parametros_manuales!$G$25*(datos_base!$I$5+IF(parametros_manuales!$H$25="Todos",datos_base!$I$12,0))*parametros_manuales!$B$110)*parametros_manuales!$I$25*parametros_manuales!$J$25</f>
        <v>19615.68</v>
      </c>
      <c r="C197" s="4">
        <f>(parametros_manuales!$D$25*(datos_base!$I$2+IF(parametros_manuales!$H$25="Todos",datos_base!$I$9,0))*parametros_manuales!$C$95+parametros_manuales!$E$25*(datos_base!$I$3+IF(parametros_manuales!$H$25="Todos",datos_base!$I$10,0))*parametros_manuales!$C$100+parametros_manuales!$F$25*(datos_base!$I$4+IF(parametros_manuales!$H$25="Todos",datos_base!$I$11,0))*parametros_manuales!$C$105+parametros_manuales!$G$25*(datos_base!$I$5+IF(parametros_manuales!$H$25="Todos",datos_base!$I$12,0))*parametros_manuales!$C$110)*parametros_manuales!$I$25*parametros_manuales!$J$25</f>
        <v>18997.49</v>
      </c>
      <c r="D197" s="4">
        <f>(parametros_manuales!$D$25*(datos_base!$I$2+IF(parametros_manuales!$H$25="Todos",datos_base!$I$9,0))*parametros_manuales!$D$95+parametros_manuales!$E$25*(datos_base!$I$3+IF(parametros_manuales!$H$25="Todos",datos_base!$I$10,0))*parametros_manuales!$D$100+parametros_manuales!$F$25*(datos_base!$I$4+IF(parametros_manuales!$H$25="Todos",datos_base!$I$11,0))*parametros_manuales!$D$105+parametros_manuales!$G$25*(datos_base!$I$5+IF(parametros_manuales!$H$25="Todos",datos_base!$I$12,0))*parametros_manuales!$D$110)*parametros_manuales!$I$25*parametros_manuales!$J$25</f>
        <v>17745.255</v>
      </c>
      <c r="E197" s="4">
        <f>(parametros_manuales!$D$25*(datos_base!$I$2+IF(parametros_manuales!$H$25="Todos",datos_base!$I$9,0))*parametros_manuales!$E$95+parametros_manuales!$E$25*(datos_base!$I$3+IF(parametros_manuales!$H$25="Todos",datos_base!$I$10,0))*parametros_manuales!$E$100+parametros_manuales!$F$25*(datos_base!$I$4+IF(parametros_manuales!$H$25="Todos",datos_base!$I$11,0))*parametros_manuales!$E$105+parametros_manuales!$G$25*(datos_base!$I$5+IF(parametros_manuales!$H$25="Todos",datos_base!$I$12,0))*parametros_manuales!$E$110)*parametros_manuales!$I$25*parametros_manuales!$J$25</f>
        <v>16964.59</v>
      </c>
      <c r="F197" s="4">
        <f>(parametros_manuales!$D$25*(datos_base!$I$2+IF(parametros_manuales!$H$25="Todos",datos_base!$I$9,0))*parametros_manuales!$F$95+parametros_manuales!$E$25*(datos_base!$I$3+IF(parametros_manuales!$H$25="Todos",datos_base!$I$10,0))*parametros_manuales!$F$100+parametros_manuales!$F$25*(datos_base!$I$4+IF(parametros_manuales!$H$25="Todos",datos_base!$I$11,0))*parametros_manuales!$F$105+parametros_manuales!$G$25*(datos_base!$I$5+IF(parametros_manuales!$H$25="Todos",datos_base!$I$12,0))*parametros_manuales!$F$110)*parametros_manuales!$I$25*parametros_manuales!$J$25</f>
        <v>15874.83</v>
      </c>
      <c r="G197" s="4">
        <f>(parametros_manuales!$D$25*(datos_base!$I$2+IF(parametros_manuales!$H$25="Todos",datos_base!$I$9,0))*parametros_manuales!$G$95+parametros_manuales!$E$25*(datos_base!$I$3+IF(parametros_manuales!$H$25="Todos",datos_base!$I$10,0))*parametros_manuales!$G$100+parametros_manuales!$F$25*(datos_base!$I$4+IF(parametros_manuales!$H$25="Todos",datos_base!$I$11,0))*parametros_manuales!$G$105+parametros_manuales!$G$25*(datos_base!$I$5+IF(parametros_manuales!$H$25="Todos",datos_base!$I$12,0))*parametros_manuales!$G$110)*parametros_manuales!$I$25*parametros_manuales!$J$25</f>
        <v>15565.735</v>
      </c>
      <c r="H197" s="4">
        <f>(parametros_manuales!$D$25*(datos_base!$I$2+IF(parametros_manuales!$H$25="Todos",datos_base!$I$9,0))*parametros_manuales!$H$95+parametros_manuales!$E$25*(datos_base!$I$3+IF(parametros_manuales!$H$25="Todos",datos_base!$I$10,0))*parametros_manuales!$H$100+parametros_manuales!$F$25*(datos_base!$I$4+IF(parametros_manuales!$H$25="Todos",datos_base!$I$11,0))*parametros_manuales!$H$105+parametros_manuales!$G$25*(datos_base!$I$5+IF(parametros_manuales!$H$25="Todos",datos_base!$I$12,0))*parametros_manuales!$H$110)*parametros_manuales!$I$25*parametros_manuales!$J$25</f>
        <v>16655.495</v>
      </c>
      <c r="I197" s="4">
        <f>(parametros_manuales!$D$25*(datos_base!$I$2+IF(parametros_manuales!$H$25="Todos",datos_base!$I$9,0))*parametros_manuales!$I$95+parametros_manuales!$E$25*(datos_base!$I$3+IF(parametros_manuales!$H$25="Todos",datos_base!$I$10,0))*parametros_manuales!$I$100+parametros_manuales!$F$25*(datos_base!$I$4+IF(parametros_manuales!$H$25="Todos",datos_base!$I$11,0))*parametros_manuales!$I$105+parametros_manuales!$G$25*(datos_base!$I$5+IF(parametros_manuales!$H$25="Todos",datos_base!$I$12,0))*parametros_manuales!$I$110)*parametros_manuales!$I$25*parametros_manuales!$J$25</f>
        <v>18997.49</v>
      </c>
      <c r="J197" s="4">
        <f>(parametros_manuales!$D$25*(datos_base!$I$2+IF(parametros_manuales!$H$25="Todos",datos_base!$I$9,0))*parametros_manuales!$J$95+parametros_manuales!$E$25*(datos_base!$I$3+IF(parametros_manuales!$H$25="Todos",datos_base!$I$10,0))*parametros_manuales!$J$100+parametros_manuales!$F$25*(datos_base!$I$4+IF(parametros_manuales!$H$25="Todos",datos_base!$I$11,0))*parametros_manuales!$J$105+parametros_manuales!$G$25*(datos_base!$I$5+IF(parametros_manuales!$H$25="Todos",datos_base!$I$12,0))*parametros_manuales!$J$110)*parametros_manuales!$I$25*parametros_manuales!$J$25</f>
        <v>18997.49</v>
      </c>
      <c r="K197" s="4">
        <f>(parametros_manuales!$D$25*(datos_base!$I$2+IF(parametros_manuales!$H$25="Todos",datos_base!$I$9,0))*parametros_manuales!$K$95+parametros_manuales!$E$25*(datos_base!$I$3+IF(parametros_manuales!$H$25="Todos",datos_base!$I$10,0))*parametros_manuales!$K$100+parametros_manuales!$F$25*(datos_base!$I$4+IF(parametros_manuales!$H$25="Todos",datos_base!$I$11,0))*parametros_manuales!$K$105+parametros_manuales!$G$25*(datos_base!$I$5+IF(parametros_manuales!$H$25="Todos",datos_base!$I$12,0))*parametros_manuales!$K$110)*parametros_manuales!$I$25*parametros_manuales!$J$25</f>
        <v>19306.585</v>
      </c>
      <c r="L197" s="4">
        <f>(parametros_manuales!$D$25*(datos_base!$I$2+IF(parametros_manuales!$H$25="Todos",datos_base!$I$9,0))*parametros_manuales!$L$95+parametros_manuales!$E$25*(datos_base!$I$3+IF(parametros_manuales!$H$25="Todos",datos_base!$I$10,0))*parametros_manuales!$L$100+parametros_manuales!$F$25*(datos_base!$I$4+IF(parametros_manuales!$H$25="Todos",datos_base!$I$11,0))*parametros_manuales!$L$105+parametros_manuales!$G$25*(datos_base!$I$5+IF(parametros_manuales!$H$25="Todos",datos_base!$I$12,0))*parametros_manuales!$L$110)*parametros_manuales!$I$25*parametros_manuales!$J$25</f>
        <v>19615.68</v>
      </c>
      <c r="M197" s="4">
        <f>(parametros_manuales!$D$25*(datos_base!$I$2+IF(parametros_manuales!$H$25="Todos",datos_base!$I$9,0))*parametros_manuales!$M$95+parametros_manuales!$E$25*(datos_base!$I$3+IF(parametros_manuales!$H$25="Todos",datos_base!$I$10,0))*parametros_manuales!$M$100+parametros_manuales!$F$25*(datos_base!$I$4+IF(parametros_manuales!$H$25="Todos",datos_base!$I$11,0))*parametros_manuales!$M$105+parametros_manuales!$G$25*(datos_base!$I$5+IF(parametros_manuales!$H$25="Todos",datos_base!$I$12,0))*parametros_manuales!$M$110)*parametros_manuales!$I$25*parametros_manuales!$J$25</f>
        <v>19615.68</v>
      </c>
      <c r="N197" s="4">
        <f t="shared" si="22"/>
        <v>217952</v>
      </c>
      <c r="O197" s="4">
        <f t="shared" si="23"/>
        <v>19615.68</v>
      </c>
      <c r="P197" s="27">
        <f>O197/(parametros_manuales!$B$7)</f>
        <v>130.7712</v>
      </c>
      <c r="Q197" s="3" t="str">
        <f t="shared" si="24"/>
        <v>Ene</v>
      </c>
    </row>
    <row r="198" ht="14.25" customHeight="1">
      <c r="A198" s="3" t="str">
        <f>parametros_manuales!$B$26</f>
        <v>Cilindrado</v>
      </c>
      <c r="B198" s="4">
        <f>(parametros_manuales!$D$26*(datos_base!$I$2+IF(parametros_manuales!$H$26="Todos",datos_base!$I$9,0))*parametros_manuales!$B$95+parametros_manuales!$E$26*(datos_base!$I$3+IF(parametros_manuales!$H$26="Todos",datos_base!$I$10,0))*parametros_manuales!$B$100+parametros_manuales!$F$26*(datos_base!$I$4+IF(parametros_manuales!$H$26="Todos",datos_base!$I$11,0))*parametros_manuales!$B$105+parametros_manuales!$G$26*(datos_base!$I$5+IF(parametros_manuales!$H$26="Todos",datos_base!$I$12,0))*parametros_manuales!$B$110)*parametros_manuales!$I$26*parametros_manuales!$J$26</f>
        <v>5563.71</v>
      </c>
      <c r="C198" s="4">
        <f>(parametros_manuales!$D$26*(datos_base!$I$2+IF(parametros_manuales!$H$26="Todos",datos_base!$I$9,0))*parametros_manuales!$C$95+parametros_manuales!$E$26*(datos_base!$I$3+IF(parametros_manuales!$H$26="Todos",datos_base!$I$10,0))*parametros_manuales!$C$100+parametros_manuales!$F$26*(datos_base!$I$4+IF(parametros_manuales!$H$26="Todos",datos_base!$I$11,0))*parametros_manuales!$C$105+parametros_manuales!$G$26*(datos_base!$I$5+IF(parametros_manuales!$H$26="Todos",datos_base!$I$12,0))*parametros_manuales!$C$110)*parametros_manuales!$I$26*parametros_manuales!$J$26</f>
        <v>4945.52</v>
      </c>
      <c r="D198" s="4">
        <f>(parametros_manuales!$D$26*(datos_base!$I$2+IF(parametros_manuales!$H$26="Todos",datos_base!$I$9,0))*parametros_manuales!$D$95+parametros_manuales!$E$26*(datos_base!$I$3+IF(parametros_manuales!$H$26="Todos",datos_base!$I$10,0))*parametros_manuales!$D$100+parametros_manuales!$F$26*(datos_base!$I$4+IF(parametros_manuales!$H$26="Todos",datos_base!$I$11,0))*parametros_manuales!$D$105+parametros_manuales!$G$26*(datos_base!$I$5+IF(parametros_manuales!$H$26="Todos",datos_base!$I$12,0))*parametros_manuales!$D$110)*parametros_manuales!$I$26*parametros_manuales!$J$26</f>
        <v>5254.615</v>
      </c>
      <c r="E198" s="4">
        <f>(parametros_manuales!$D$26*(datos_base!$I$2+IF(parametros_manuales!$H$26="Todos",datos_base!$I$9,0))*parametros_manuales!$E$95+parametros_manuales!$E$26*(datos_base!$I$3+IF(parametros_manuales!$H$26="Todos",datos_base!$I$10,0))*parametros_manuales!$E$100+parametros_manuales!$F$26*(datos_base!$I$4+IF(parametros_manuales!$H$26="Todos",datos_base!$I$11,0))*parametros_manuales!$E$105+parametros_manuales!$G$26*(datos_base!$I$5+IF(parametros_manuales!$H$26="Todos",datos_base!$I$12,0))*parametros_manuales!$E$110)*parametros_manuales!$I$26*parametros_manuales!$J$26</f>
        <v>5254.615</v>
      </c>
      <c r="F198" s="4">
        <f>(parametros_manuales!$D$26*(datos_base!$I$2+IF(parametros_manuales!$H$26="Todos",datos_base!$I$9,0))*parametros_manuales!$F$95+parametros_manuales!$E$26*(datos_base!$I$3+IF(parametros_manuales!$H$26="Todos",datos_base!$I$10,0))*parametros_manuales!$F$100+parametros_manuales!$F$26*(datos_base!$I$4+IF(parametros_manuales!$H$26="Todos",datos_base!$I$11,0))*parametros_manuales!$F$105+parametros_manuales!$G$26*(datos_base!$I$5+IF(parametros_manuales!$H$26="Todos",datos_base!$I$12,0))*parametros_manuales!$F$110)*parametros_manuales!$I$26*parametros_manuales!$J$26</f>
        <v>4945.52</v>
      </c>
      <c r="G198" s="4">
        <f>(parametros_manuales!$D$26*(datos_base!$I$2+IF(parametros_manuales!$H$26="Todos",datos_base!$I$9,0))*parametros_manuales!$G$95+parametros_manuales!$E$26*(datos_base!$I$3+IF(parametros_manuales!$H$26="Todos",datos_base!$I$10,0))*parametros_manuales!$G$100+parametros_manuales!$F$26*(datos_base!$I$4+IF(parametros_manuales!$H$26="Todos",datos_base!$I$11,0))*parametros_manuales!$G$105+parametros_manuales!$G$26*(datos_base!$I$5+IF(parametros_manuales!$H$26="Todos",datos_base!$I$12,0))*parametros_manuales!$G$110)*parametros_manuales!$I$26*parametros_manuales!$J$26</f>
        <v>4636.425</v>
      </c>
      <c r="H198" s="4">
        <f>(parametros_manuales!$D$26*(datos_base!$I$2+IF(parametros_manuales!$H$26="Todos",datos_base!$I$9,0))*parametros_manuales!$H$95+parametros_manuales!$E$26*(datos_base!$I$3+IF(parametros_manuales!$H$26="Todos",datos_base!$I$10,0))*parametros_manuales!$H$100+parametros_manuales!$F$26*(datos_base!$I$4+IF(parametros_manuales!$H$26="Todos",datos_base!$I$11,0))*parametros_manuales!$H$105+parametros_manuales!$G$26*(datos_base!$I$5+IF(parametros_manuales!$H$26="Todos",datos_base!$I$12,0))*parametros_manuales!$H$110)*parametros_manuales!$I$26*parametros_manuales!$J$26</f>
        <v>4945.52</v>
      </c>
      <c r="I198" s="4">
        <f>(parametros_manuales!$D$26*(datos_base!$I$2+IF(parametros_manuales!$H$26="Todos",datos_base!$I$9,0))*parametros_manuales!$I$95+parametros_manuales!$E$26*(datos_base!$I$3+IF(parametros_manuales!$H$26="Todos",datos_base!$I$10,0))*parametros_manuales!$I$100+parametros_manuales!$F$26*(datos_base!$I$4+IF(parametros_manuales!$H$26="Todos",datos_base!$I$11,0))*parametros_manuales!$I$105+parametros_manuales!$G$26*(datos_base!$I$5+IF(parametros_manuales!$H$26="Todos",datos_base!$I$12,0))*parametros_manuales!$I$110)*parametros_manuales!$I$26*parametros_manuales!$J$26</f>
        <v>4945.52</v>
      </c>
      <c r="J198" s="4">
        <f>(parametros_manuales!$D$26*(datos_base!$I$2+IF(parametros_manuales!$H$26="Todos",datos_base!$I$9,0))*parametros_manuales!$J$95+parametros_manuales!$E$26*(datos_base!$I$3+IF(parametros_manuales!$H$26="Todos",datos_base!$I$10,0))*parametros_manuales!$J$100+parametros_manuales!$F$26*(datos_base!$I$4+IF(parametros_manuales!$H$26="Todos",datos_base!$I$11,0))*parametros_manuales!$J$105+parametros_manuales!$G$26*(datos_base!$I$5+IF(parametros_manuales!$H$26="Todos",datos_base!$I$12,0))*parametros_manuales!$J$110)*parametros_manuales!$I$26*parametros_manuales!$J$26</f>
        <v>4945.52</v>
      </c>
      <c r="K198" s="4">
        <f>(parametros_manuales!$D$26*(datos_base!$I$2+IF(parametros_manuales!$H$26="Todos",datos_base!$I$9,0))*parametros_manuales!$K$95+parametros_manuales!$E$26*(datos_base!$I$3+IF(parametros_manuales!$H$26="Todos",datos_base!$I$10,0))*parametros_manuales!$K$100+parametros_manuales!$F$26*(datos_base!$I$4+IF(parametros_manuales!$H$26="Todos",datos_base!$I$11,0))*parametros_manuales!$K$105+parametros_manuales!$G$26*(datos_base!$I$5+IF(parametros_manuales!$H$26="Todos",datos_base!$I$12,0))*parametros_manuales!$K$110)*parametros_manuales!$I$26*parametros_manuales!$J$26</f>
        <v>5254.615</v>
      </c>
      <c r="L198" s="4">
        <f>(parametros_manuales!$D$26*(datos_base!$I$2+IF(parametros_manuales!$H$26="Todos",datos_base!$I$9,0))*parametros_manuales!$L$95+parametros_manuales!$E$26*(datos_base!$I$3+IF(parametros_manuales!$H$26="Todos",datos_base!$I$10,0))*parametros_manuales!$L$100+parametros_manuales!$F$26*(datos_base!$I$4+IF(parametros_manuales!$H$26="Todos",datos_base!$I$11,0))*parametros_manuales!$L$105+parametros_manuales!$G$26*(datos_base!$I$5+IF(parametros_manuales!$H$26="Todos",datos_base!$I$12,0))*parametros_manuales!$L$110)*parametros_manuales!$I$26*parametros_manuales!$J$26</f>
        <v>5563.71</v>
      </c>
      <c r="M198" s="4">
        <f>(parametros_manuales!$D$26*(datos_base!$I$2+IF(parametros_manuales!$H$26="Todos",datos_base!$I$9,0))*parametros_manuales!$M$95+parametros_manuales!$E$26*(datos_base!$I$3+IF(parametros_manuales!$H$26="Todos",datos_base!$I$10,0))*parametros_manuales!$M$100+parametros_manuales!$F$26*(datos_base!$I$4+IF(parametros_manuales!$H$26="Todos",datos_base!$I$11,0))*parametros_manuales!$M$105+parametros_manuales!$G$26*(datos_base!$I$5+IF(parametros_manuales!$H$26="Todos",datos_base!$I$12,0))*parametros_manuales!$M$110)*parametros_manuales!$I$26*parametros_manuales!$J$26</f>
        <v>5563.71</v>
      </c>
      <c r="N198" s="4">
        <f t="shared" si="22"/>
        <v>61819</v>
      </c>
      <c r="O198" s="4">
        <f t="shared" si="23"/>
        <v>5563.71</v>
      </c>
      <c r="P198" s="27">
        <f>O198/(parametros_manuales!$B$7)</f>
        <v>37.0914</v>
      </c>
      <c r="Q198" s="3" t="str">
        <f t="shared" si="24"/>
        <v>Ene</v>
      </c>
    </row>
    <row r="199" ht="14.25" customHeight="1">
      <c r="A199" s="3" t="str">
        <f>parametros_manuales!$B$27</f>
        <v>Soldadura longitudinal</v>
      </c>
      <c r="B199" s="4">
        <f>(parametros_manuales!$D$27*(datos_base!$I$2+IF(parametros_manuales!$H$27="Todos",datos_base!$I$9,0))*parametros_manuales!$B$95+parametros_manuales!$E$27*(datos_base!$I$3+IF(parametros_manuales!$H$27="Todos",datos_base!$I$10,0))*parametros_manuales!$B$100+parametros_manuales!$F$27*(datos_base!$I$4+IF(parametros_manuales!$H$27="Todos",datos_base!$I$11,0))*parametros_manuales!$B$105+parametros_manuales!$G$27*(datos_base!$I$5+IF(parametros_manuales!$H$27="Todos",datos_base!$I$12,0))*parametros_manuales!$B$110)*parametros_manuales!$I$27*parametros_manuales!$J$27</f>
        <v>5563.71</v>
      </c>
      <c r="C199" s="4">
        <f>(parametros_manuales!$D$27*(datos_base!$I$2+IF(parametros_manuales!$H$27="Todos",datos_base!$I$9,0))*parametros_manuales!$C$95+parametros_manuales!$E$27*(datos_base!$I$3+IF(parametros_manuales!$H$27="Todos",datos_base!$I$10,0))*parametros_manuales!$C$100+parametros_manuales!$F$27*(datos_base!$I$4+IF(parametros_manuales!$H$27="Todos",datos_base!$I$11,0))*parametros_manuales!$C$105+parametros_manuales!$G$27*(datos_base!$I$5+IF(parametros_manuales!$H$27="Todos",datos_base!$I$12,0))*parametros_manuales!$C$110)*parametros_manuales!$I$27*parametros_manuales!$J$27</f>
        <v>4945.52</v>
      </c>
      <c r="D199" s="4">
        <f>(parametros_manuales!$D$27*(datos_base!$I$2+IF(parametros_manuales!$H$27="Todos",datos_base!$I$9,0))*parametros_manuales!$D$95+parametros_manuales!$E$27*(datos_base!$I$3+IF(parametros_manuales!$H$27="Todos",datos_base!$I$10,0))*parametros_manuales!$D$100+parametros_manuales!$F$27*(datos_base!$I$4+IF(parametros_manuales!$H$27="Todos",datos_base!$I$11,0))*parametros_manuales!$D$105+parametros_manuales!$G$27*(datos_base!$I$5+IF(parametros_manuales!$H$27="Todos",datos_base!$I$12,0))*parametros_manuales!$D$110)*parametros_manuales!$I$27*parametros_manuales!$J$27</f>
        <v>5254.615</v>
      </c>
      <c r="E199" s="4">
        <f>(parametros_manuales!$D$27*(datos_base!$I$2+IF(parametros_manuales!$H$27="Todos",datos_base!$I$9,0))*parametros_manuales!$E$95+parametros_manuales!$E$27*(datos_base!$I$3+IF(parametros_manuales!$H$27="Todos",datos_base!$I$10,0))*parametros_manuales!$E$100+parametros_manuales!$F$27*(datos_base!$I$4+IF(parametros_manuales!$H$27="Todos",datos_base!$I$11,0))*parametros_manuales!$E$105+parametros_manuales!$G$27*(datos_base!$I$5+IF(parametros_manuales!$H$27="Todos",datos_base!$I$12,0))*parametros_manuales!$E$110)*parametros_manuales!$I$27*parametros_manuales!$J$27</f>
        <v>5254.615</v>
      </c>
      <c r="F199" s="4">
        <f>(parametros_manuales!$D$27*(datos_base!$I$2+IF(parametros_manuales!$H$27="Todos",datos_base!$I$9,0))*parametros_manuales!$F$95+parametros_manuales!$E$27*(datos_base!$I$3+IF(parametros_manuales!$H$27="Todos",datos_base!$I$10,0))*parametros_manuales!$F$100+parametros_manuales!$F$27*(datos_base!$I$4+IF(parametros_manuales!$H$27="Todos",datos_base!$I$11,0))*parametros_manuales!$F$105+parametros_manuales!$G$27*(datos_base!$I$5+IF(parametros_manuales!$H$27="Todos",datos_base!$I$12,0))*parametros_manuales!$F$110)*parametros_manuales!$I$27*parametros_manuales!$J$27</f>
        <v>4945.52</v>
      </c>
      <c r="G199" s="4">
        <f>(parametros_manuales!$D$27*(datos_base!$I$2+IF(parametros_manuales!$H$27="Todos",datos_base!$I$9,0))*parametros_manuales!$G$95+parametros_manuales!$E$27*(datos_base!$I$3+IF(parametros_manuales!$H$27="Todos",datos_base!$I$10,0))*parametros_manuales!$G$100+parametros_manuales!$F$27*(datos_base!$I$4+IF(parametros_manuales!$H$27="Todos",datos_base!$I$11,0))*parametros_manuales!$G$105+parametros_manuales!$G$27*(datos_base!$I$5+IF(parametros_manuales!$H$27="Todos",datos_base!$I$12,0))*parametros_manuales!$G$110)*parametros_manuales!$I$27*parametros_manuales!$J$27</f>
        <v>4636.425</v>
      </c>
      <c r="H199" s="4">
        <f>(parametros_manuales!$D$27*(datos_base!$I$2+IF(parametros_manuales!$H$27="Todos",datos_base!$I$9,0))*parametros_manuales!$H$95+parametros_manuales!$E$27*(datos_base!$I$3+IF(parametros_manuales!$H$27="Todos",datos_base!$I$10,0))*parametros_manuales!$H$100+parametros_manuales!$F$27*(datos_base!$I$4+IF(parametros_manuales!$H$27="Todos",datos_base!$I$11,0))*parametros_manuales!$H$105+parametros_manuales!$G$27*(datos_base!$I$5+IF(parametros_manuales!$H$27="Todos",datos_base!$I$12,0))*parametros_manuales!$H$110)*parametros_manuales!$I$27*parametros_manuales!$J$27</f>
        <v>4945.52</v>
      </c>
      <c r="I199" s="4">
        <f>(parametros_manuales!$D$27*(datos_base!$I$2+IF(parametros_manuales!$H$27="Todos",datos_base!$I$9,0))*parametros_manuales!$I$95+parametros_manuales!$E$27*(datos_base!$I$3+IF(parametros_manuales!$H$27="Todos",datos_base!$I$10,0))*parametros_manuales!$I$100+parametros_manuales!$F$27*(datos_base!$I$4+IF(parametros_manuales!$H$27="Todos",datos_base!$I$11,0))*parametros_manuales!$I$105+parametros_manuales!$G$27*(datos_base!$I$5+IF(parametros_manuales!$H$27="Todos",datos_base!$I$12,0))*parametros_manuales!$I$110)*parametros_manuales!$I$27*parametros_manuales!$J$27</f>
        <v>4945.52</v>
      </c>
      <c r="J199" s="4">
        <f>(parametros_manuales!$D$27*(datos_base!$I$2+IF(parametros_manuales!$H$27="Todos",datos_base!$I$9,0))*parametros_manuales!$J$95+parametros_manuales!$E$27*(datos_base!$I$3+IF(parametros_manuales!$H$27="Todos",datos_base!$I$10,0))*parametros_manuales!$J$100+parametros_manuales!$F$27*(datos_base!$I$4+IF(parametros_manuales!$H$27="Todos",datos_base!$I$11,0))*parametros_manuales!$J$105+parametros_manuales!$G$27*(datos_base!$I$5+IF(parametros_manuales!$H$27="Todos",datos_base!$I$12,0))*parametros_manuales!$J$110)*parametros_manuales!$I$27*parametros_manuales!$J$27</f>
        <v>4945.52</v>
      </c>
      <c r="K199" s="4">
        <f>(parametros_manuales!$D$27*(datos_base!$I$2+IF(parametros_manuales!$H$27="Todos",datos_base!$I$9,0))*parametros_manuales!$K$95+parametros_manuales!$E$27*(datos_base!$I$3+IF(parametros_manuales!$H$27="Todos",datos_base!$I$10,0))*parametros_manuales!$K$100+parametros_manuales!$F$27*(datos_base!$I$4+IF(parametros_manuales!$H$27="Todos",datos_base!$I$11,0))*parametros_manuales!$K$105+parametros_manuales!$G$27*(datos_base!$I$5+IF(parametros_manuales!$H$27="Todos",datos_base!$I$12,0))*parametros_manuales!$K$110)*parametros_manuales!$I$27*parametros_manuales!$J$27</f>
        <v>5254.615</v>
      </c>
      <c r="L199" s="4">
        <f>(parametros_manuales!$D$27*(datos_base!$I$2+IF(parametros_manuales!$H$27="Todos",datos_base!$I$9,0))*parametros_manuales!$L$95+parametros_manuales!$E$27*(datos_base!$I$3+IF(parametros_manuales!$H$27="Todos",datos_base!$I$10,0))*parametros_manuales!$L$100+parametros_manuales!$F$27*(datos_base!$I$4+IF(parametros_manuales!$H$27="Todos",datos_base!$I$11,0))*parametros_manuales!$L$105+parametros_manuales!$G$27*(datos_base!$I$5+IF(parametros_manuales!$H$27="Todos",datos_base!$I$12,0))*parametros_manuales!$L$110)*parametros_manuales!$I$27*parametros_manuales!$J$27</f>
        <v>5563.71</v>
      </c>
      <c r="M199" s="4">
        <f>(parametros_manuales!$D$27*(datos_base!$I$2+IF(parametros_manuales!$H$27="Todos",datos_base!$I$9,0))*parametros_manuales!$M$95+parametros_manuales!$E$27*(datos_base!$I$3+IF(parametros_manuales!$H$27="Todos",datos_base!$I$10,0))*parametros_manuales!$M$100+parametros_manuales!$F$27*(datos_base!$I$4+IF(parametros_manuales!$H$27="Todos",datos_base!$I$11,0))*parametros_manuales!$M$105+parametros_manuales!$G$27*(datos_base!$I$5+IF(parametros_manuales!$H$27="Todos",datos_base!$I$12,0))*parametros_manuales!$M$110)*parametros_manuales!$I$27*parametros_manuales!$J$27</f>
        <v>5563.71</v>
      </c>
      <c r="N199" s="4">
        <f t="shared" si="22"/>
        <v>61819</v>
      </c>
      <c r="O199" s="4">
        <f t="shared" si="23"/>
        <v>5563.71</v>
      </c>
      <c r="P199" s="27">
        <f>O199/(parametros_manuales!$B$7)</f>
        <v>37.0914</v>
      </c>
      <c r="Q199" s="3" t="str">
        <f t="shared" si="24"/>
        <v>Ene</v>
      </c>
    </row>
    <row r="200" ht="14.25" customHeight="1">
      <c r="A200" s="3" t="str">
        <f>parametros_manuales!$B$28</f>
        <v>Encastre de fondo</v>
      </c>
      <c r="B200" s="4">
        <f>(parametros_manuales!$D$28*(datos_base!$I$2+IF(parametros_manuales!$H$28="Todos",datos_base!$I$9,0))*parametros_manuales!$B$95+parametros_manuales!$E$28*(datos_base!$I$3+IF(parametros_manuales!$H$28="Todos",datos_base!$I$10,0))*parametros_manuales!$B$100+parametros_manuales!$F$28*(datos_base!$I$4+IF(parametros_manuales!$H$28="Todos",datos_base!$I$11,0))*parametros_manuales!$B$105+parametros_manuales!$G$28*(datos_base!$I$5+IF(parametros_manuales!$H$28="Todos",datos_base!$I$12,0))*parametros_manuales!$B$110)*parametros_manuales!$I$28*parametros_manuales!$J$28</f>
        <v>19615.68</v>
      </c>
      <c r="C200" s="4">
        <f>(parametros_manuales!$D$28*(datos_base!$I$2+IF(parametros_manuales!$H$28="Todos",datos_base!$I$9,0))*parametros_manuales!$C$95+parametros_manuales!$E$28*(datos_base!$I$3+IF(parametros_manuales!$H$28="Todos",datos_base!$I$10,0))*parametros_manuales!$C$100+parametros_manuales!$F$28*(datos_base!$I$4+IF(parametros_manuales!$H$28="Todos",datos_base!$I$11,0))*parametros_manuales!$C$105+parametros_manuales!$G$28*(datos_base!$I$5+IF(parametros_manuales!$H$28="Todos",datos_base!$I$12,0))*parametros_manuales!$C$110)*parametros_manuales!$I$28*parametros_manuales!$J$28</f>
        <v>18997.49</v>
      </c>
      <c r="D200" s="4">
        <f>(parametros_manuales!$D$28*(datos_base!$I$2+IF(parametros_manuales!$H$28="Todos",datos_base!$I$9,0))*parametros_manuales!$D$95+parametros_manuales!$E$28*(datos_base!$I$3+IF(parametros_manuales!$H$28="Todos",datos_base!$I$10,0))*parametros_manuales!$D$100+parametros_manuales!$F$28*(datos_base!$I$4+IF(parametros_manuales!$H$28="Todos",datos_base!$I$11,0))*parametros_manuales!$D$105+parametros_manuales!$G$28*(datos_base!$I$5+IF(parametros_manuales!$H$28="Todos",datos_base!$I$12,0))*parametros_manuales!$D$110)*parametros_manuales!$I$28*parametros_manuales!$J$28</f>
        <v>17745.255</v>
      </c>
      <c r="E200" s="4">
        <f>(parametros_manuales!$D$28*(datos_base!$I$2+IF(parametros_manuales!$H$28="Todos",datos_base!$I$9,0))*parametros_manuales!$E$95+parametros_manuales!$E$28*(datos_base!$I$3+IF(parametros_manuales!$H$28="Todos",datos_base!$I$10,0))*parametros_manuales!$E$100+parametros_manuales!$F$28*(datos_base!$I$4+IF(parametros_manuales!$H$28="Todos",datos_base!$I$11,0))*parametros_manuales!$E$105+parametros_manuales!$G$28*(datos_base!$I$5+IF(parametros_manuales!$H$28="Todos",datos_base!$I$12,0))*parametros_manuales!$E$110)*parametros_manuales!$I$28*parametros_manuales!$J$28</f>
        <v>16964.59</v>
      </c>
      <c r="F200" s="4">
        <f>(parametros_manuales!$D$28*(datos_base!$I$2+IF(parametros_manuales!$H$28="Todos",datos_base!$I$9,0))*parametros_manuales!$F$95+parametros_manuales!$E$28*(datos_base!$I$3+IF(parametros_manuales!$H$28="Todos",datos_base!$I$10,0))*parametros_manuales!$F$100+parametros_manuales!$F$28*(datos_base!$I$4+IF(parametros_manuales!$H$28="Todos",datos_base!$I$11,0))*parametros_manuales!$F$105+parametros_manuales!$G$28*(datos_base!$I$5+IF(parametros_manuales!$H$28="Todos",datos_base!$I$12,0))*parametros_manuales!$F$110)*parametros_manuales!$I$28*parametros_manuales!$J$28</f>
        <v>15874.83</v>
      </c>
      <c r="G200" s="4">
        <f>(parametros_manuales!$D$28*(datos_base!$I$2+IF(parametros_manuales!$H$28="Todos",datos_base!$I$9,0))*parametros_manuales!$G$95+parametros_manuales!$E$28*(datos_base!$I$3+IF(parametros_manuales!$H$28="Todos",datos_base!$I$10,0))*parametros_manuales!$G$100+parametros_manuales!$F$28*(datos_base!$I$4+IF(parametros_manuales!$H$28="Todos",datos_base!$I$11,0))*parametros_manuales!$G$105+parametros_manuales!$G$28*(datos_base!$I$5+IF(parametros_manuales!$H$28="Todos",datos_base!$I$12,0))*parametros_manuales!$G$110)*parametros_manuales!$I$28*parametros_manuales!$J$28</f>
        <v>15565.735</v>
      </c>
      <c r="H200" s="4">
        <f>(parametros_manuales!$D$28*(datos_base!$I$2+IF(parametros_manuales!$H$28="Todos",datos_base!$I$9,0))*parametros_manuales!$H$95+parametros_manuales!$E$28*(datos_base!$I$3+IF(parametros_manuales!$H$28="Todos",datos_base!$I$10,0))*parametros_manuales!$H$100+parametros_manuales!$F$28*(datos_base!$I$4+IF(parametros_manuales!$H$28="Todos",datos_base!$I$11,0))*parametros_manuales!$H$105+parametros_manuales!$G$28*(datos_base!$I$5+IF(parametros_manuales!$H$28="Todos",datos_base!$I$12,0))*parametros_manuales!$H$110)*parametros_manuales!$I$28*parametros_manuales!$J$28</f>
        <v>16655.495</v>
      </c>
      <c r="I200" s="4">
        <f>(parametros_manuales!$D$28*(datos_base!$I$2+IF(parametros_manuales!$H$28="Todos",datos_base!$I$9,0))*parametros_manuales!$I$95+parametros_manuales!$E$28*(datos_base!$I$3+IF(parametros_manuales!$H$28="Todos",datos_base!$I$10,0))*parametros_manuales!$I$100+parametros_manuales!$F$28*(datos_base!$I$4+IF(parametros_manuales!$H$28="Todos",datos_base!$I$11,0))*parametros_manuales!$I$105+parametros_manuales!$G$28*(datos_base!$I$5+IF(parametros_manuales!$H$28="Todos",datos_base!$I$12,0))*parametros_manuales!$I$110)*parametros_manuales!$I$28*parametros_manuales!$J$28</f>
        <v>18997.49</v>
      </c>
      <c r="J200" s="4">
        <f>(parametros_manuales!$D$28*(datos_base!$I$2+IF(parametros_manuales!$H$28="Todos",datos_base!$I$9,0))*parametros_manuales!$J$95+parametros_manuales!$E$28*(datos_base!$I$3+IF(parametros_manuales!$H$28="Todos",datos_base!$I$10,0))*parametros_manuales!$J$100+parametros_manuales!$F$28*(datos_base!$I$4+IF(parametros_manuales!$H$28="Todos",datos_base!$I$11,0))*parametros_manuales!$J$105+parametros_manuales!$G$28*(datos_base!$I$5+IF(parametros_manuales!$H$28="Todos",datos_base!$I$12,0))*parametros_manuales!$J$110)*parametros_manuales!$I$28*parametros_manuales!$J$28</f>
        <v>18997.49</v>
      </c>
      <c r="K200" s="4">
        <f>(parametros_manuales!$D$28*(datos_base!$I$2+IF(parametros_manuales!$H$28="Todos",datos_base!$I$9,0))*parametros_manuales!$K$95+parametros_manuales!$E$28*(datos_base!$I$3+IF(parametros_manuales!$H$28="Todos",datos_base!$I$10,0))*parametros_manuales!$K$100+parametros_manuales!$F$28*(datos_base!$I$4+IF(parametros_manuales!$H$28="Todos",datos_base!$I$11,0))*parametros_manuales!$K$105+parametros_manuales!$G$28*(datos_base!$I$5+IF(parametros_manuales!$H$28="Todos",datos_base!$I$12,0))*parametros_manuales!$K$110)*parametros_manuales!$I$28*parametros_manuales!$J$28</f>
        <v>19306.585</v>
      </c>
      <c r="L200" s="4">
        <f>(parametros_manuales!$D$28*(datos_base!$I$2+IF(parametros_manuales!$H$28="Todos",datos_base!$I$9,0))*parametros_manuales!$L$95+parametros_manuales!$E$28*(datos_base!$I$3+IF(parametros_manuales!$H$28="Todos",datos_base!$I$10,0))*parametros_manuales!$L$100+parametros_manuales!$F$28*(datos_base!$I$4+IF(parametros_manuales!$H$28="Todos",datos_base!$I$11,0))*parametros_manuales!$L$105+parametros_manuales!$G$28*(datos_base!$I$5+IF(parametros_manuales!$H$28="Todos",datos_base!$I$12,0))*parametros_manuales!$L$110)*parametros_manuales!$I$28*parametros_manuales!$J$28</f>
        <v>19615.68</v>
      </c>
      <c r="M200" s="4">
        <f>(parametros_manuales!$D$28*(datos_base!$I$2+IF(parametros_manuales!$H$28="Todos",datos_base!$I$9,0))*parametros_manuales!$M$95+parametros_manuales!$E$28*(datos_base!$I$3+IF(parametros_manuales!$H$28="Todos",datos_base!$I$10,0))*parametros_manuales!$M$100+parametros_manuales!$F$28*(datos_base!$I$4+IF(parametros_manuales!$H$28="Todos",datos_base!$I$11,0))*parametros_manuales!$M$105+parametros_manuales!$G$28*(datos_base!$I$5+IF(parametros_manuales!$H$28="Todos",datos_base!$I$12,0))*parametros_manuales!$M$110)*parametros_manuales!$I$28*parametros_manuales!$J$28</f>
        <v>19615.68</v>
      </c>
      <c r="N200" s="4">
        <f t="shared" si="22"/>
        <v>217952</v>
      </c>
      <c r="O200" s="4">
        <f t="shared" si="23"/>
        <v>19615.68</v>
      </c>
      <c r="P200" s="27">
        <f>O200/(parametros_manuales!$B$7)</f>
        <v>130.7712</v>
      </c>
      <c r="Q200" s="3" t="str">
        <f t="shared" si="24"/>
        <v>Ene</v>
      </c>
    </row>
    <row r="201" ht="14.25" customHeight="1">
      <c r="A201" s="3" t="str">
        <f>parametros_manuales!$B$29</f>
        <v>Bordoneado</v>
      </c>
      <c r="B201" s="4">
        <f>(parametros_manuales!$D$29*(datos_base!$I$2+IF(parametros_manuales!$H$29="Todos",datos_base!$I$9,0))*parametros_manuales!$B$95+parametros_manuales!$E$29*(datos_base!$I$3+IF(parametros_manuales!$H$29="Todos",datos_base!$I$10,0))*parametros_manuales!$B$100+parametros_manuales!$F$29*(datos_base!$I$4+IF(parametros_manuales!$H$29="Todos",datos_base!$I$11,0))*parametros_manuales!$B$105+parametros_manuales!$G$29*(datos_base!$I$5+IF(parametros_manuales!$H$29="Todos",datos_base!$I$12,0))*parametros_manuales!$B$110)*parametros_manuales!$I$29*parametros_manuales!$J$29</f>
        <v>19615.68</v>
      </c>
      <c r="C201" s="4">
        <f>(parametros_manuales!$D$29*(datos_base!$I$2+IF(parametros_manuales!$H$29="Todos",datos_base!$I$9,0))*parametros_manuales!$C$95+parametros_manuales!$E$29*(datos_base!$I$3+IF(parametros_manuales!$H$29="Todos",datos_base!$I$10,0))*parametros_manuales!$C$100+parametros_manuales!$F$29*(datos_base!$I$4+IF(parametros_manuales!$H$29="Todos",datos_base!$I$11,0))*parametros_manuales!$C$105+parametros_manuales!$G$29*(datos_base!$I$5+IF(parametros_manuales!$H$29="Todos",datos_base!$I$12,0))*parametros_manuales!$C$110)*parametros_manuales!$I$29*parametros_manuales!$J$29</f>
        <v>18997.49</v>
      </c>
      <c r="D201" s="4">
        <f>(parametros_manuales!$D$29*(datos_base!$I$2+IF(parametros_manuales!$H$29="Todos",datos_base!$I$9,0))*parametros_manuales!$D$95+parametros_manuales!$E$29*(datos_base!$I$3+IF(parametros_manuales!$H$29="Todos",datos_base!$I$10,0))*parametros_manuales!$D$100+parametros_manuales!$F$29*(datos_base!$I$4+IF(parametros_manuales!$H$29="Todos",datos_base!$I$11,0))*parametros_manuales!$D$105+parametros_manuales!$G$29*(datos_base!$I$5+IF(parametros_manuales!$H$29="Todos",datos_base!$I$12,0))*parametros_manuales!$D$110)*parametros_manuales!$I$29*parametros_manuales!$J$29</f>
        <v>17745.255</v>
      </c>
      <c r="E201" s="4">
        <f>(parametros_manuales!$D$29*(datos_base!$I$2+IF(parametros_manuales!$H$29="Todos",datos_base!$I$9,0))*parametros_manuales!$E$95+parametros_manuales!$E$29*(datos_base!$I$3+IF(parametros_manuales!$H$29="Todos",datos_base!$I$10,0))*parametros_manuales!$E$100+parametros_manuales!$F$29*(datos_base!$I$4+IF(parametros_manuales!$H$29="Todos",datos_base!$I$11,0))*parametros_manuales!$E$105+parametros_manuales!$G$29*(datos_base!$I$5+IF(parametros_manuales!$H$29="Todos",datos_base!$I$12,0))*parametros_manuales!$E$110)*parametros_manuales!$I$29*parametros_manuales!$J$29</f>
        <v>16964.59</v>
      </c>
      <c r="F201" s="4">
        <f>(parametros_manuales!$D$29*(datos_base!$I$2+IF(parametros_manuales!$H$29="Todos",datos_base!$I$9,0))*parametros_manuales!$F$95+parametros_manuales!$E$29*(datos_base!$I$3+IF(parametros_manuales!$H$29="Todos",datos_base!$I$10,0))*parametros_manuales!$F$100+parametros_manuales!$F$29*(datos_base!$I$4+IF(parametros_manuales!$H$29="Todos",datos_base!$I$11,0))*parametros_manuales!$F$105+parametros_manuales!$G$29*(datos_base!$I$5+IF(parametros_manuales!$H$29="Todos",datos_base!$I$12,0))*parametros_manuales!$F$110)*parametros_manuales!$I$29*parametros_manuales!$J$29</f>
        <v>15874.83</v>
      </c>
      <c r="G201" s="4">
        <f>(parametros_manuales!$D$29*(datos_base!$I$2+IF(parametros_manuales!$H$29="Todos",datos_base!$I$9,0))*parametros_manuales!$G$95+parametros_manuales!$E$29*(datos_base!$I$3+IF(parametros_manuales!$H$29="Todos",datos_base!$I$10,0))*parametros_manuales!$G$100+parametros_manuales!$F$29*(datos_base!$I$4+IF(parametros_manuales!$H$29="Todos",datos_base!$I$11,0))*parametros_manuales!$G$105+parametros_manuales!$G$29*(datos_base!$I$5+IF(parametros_manuales!$H$29="Todos",datos_base!$I$12,0))*parametros_manuales!$G$110)*parametros_manuales!$I$29*parametros_manuales!$J$29</f>
        <v>15565.735</v>
      </c>
      <c r="H201" s="4">
        <f>(parametros_manuales!$D$29*(datos_base!$I$2+IF(parametros_manuales!$H$29="Todos",datos_base!$I$9,0))*parametros_manuales!$H$95+parametros_manuales!$E$29*(datos_base!$I$3+IF(parametros_manuales!$H$29="Todos",datos_base!$I$10,0))*parametros_manuales!$H$100+parametros_manuales!$F$29*(datos_base!$I$4+IF(parametros_manuales!$H$29="Todos",datos_base!$I$11,0))*parametros_manuales!$H$105+parametros_manuales!$G$29*(datos_base!$I$5+IF(parametros_manuales!$H$29="Todos",datos_base!$I$12,0))*parametros_manuales!$H$110)*parametros_manuales!$I$29*parametros_manuales!$J$29</f>
        <v>16655.495</v>
      </c>
      <c r="I201" s="4">
        <f>(parametros_manuales!$D$29*(datos_base!$I$2+IF(parametros_manuales!$H$29="Todos",datos_base!$I$9,0))*parametros_manuales!$I$95+parametros_manuales!$E$29*(datos_base!$I$3+IF(parametros_manuales!$H$29="Todos",datos_base!$I$10,0))*parametros_manuales!$I$100+parametros_manuales!$F$29*(datos_base!$I$4+IF(parametros_manuales!$H$29="Todos",datos_base!$I$11,0))*parametros_manuales!$I$105+parametros_manuales!$G$29*(datos_base!$I$5+IF(parametros_manuales!$H$29="Todos",datos_base!$I$12,0))*parametros_manuales!$I$110)*parametros_manuales!$I$29*parametros_manuales!$J$29</f>
        <v>18997.49</v>
      </c>
      <c r="J201" s="4">
        <f>(parametros_manuales!$D$29*(datos_base!$I$2+IF(parametros_manuales!$H$29="Todos",datos_base!$I$9,0))*parametros_manuales!$J$95+parametros_manuales!$E$29*(datos_base!$I$3+IF(parametros_manuales!$H$29="Todos",datos_base!$I$10,0))*parametros_manuales!$J$100+parametros_manuales!$F$29*(datos_base!$I$4+IF(parametros_manuales!$H$29="Todos",datos_base!$I$11,0))*parametros_manuales!$J$105+parametros_manuales!$G$29*(datos_base!$I$5+IF(parametros_manuales!$H$29="Todos",datos_base!$I$12,0))*parametros_manuales!$J$110)*parametros_manuales!$I$29*parametros_manuales!$J$29</f>
        <v>18997.49</v>
      </c>
      <c r="K201" s="4">
        <f>(parametros_manuales!$D$29*(datos_base!$I$2+IF(parametros_manuales!$H$29="Todos",datos_base!$I$9,0))*parametros_manuales!$K$95+parametros_manuales!$E$29*(datos_base!$I$3+IF(parametros_manuales!$H$29="Todos",datos_base!$I$10,0))*parametros_manuales!$K$100+parametros_manuales!$F$29*(datos_base!$I$4+IF(parametros_manuales!$H$29="Todos",datos_base!$I$11,0))*parametros_manuales!$K$105+parametros_manuales!$G$29*(datos_base!$I$5+IF(parametros_manuales!$H$29="Todos",datos_base!$I$12,0))*parametros_manuales!$K$110)*parametros_manuales!$I$29*parametros_manuales!$J$29</f>
        <v>19306.585</v>
      </c>
      <c r="L201" s="4">
        <f>(parametros_manuales!$D$29*(datos_base!$I$2+IF(parametros_manuales!$H$29="Todos",datos_base!$I$9,0))*parametros_manuales!$L$95+parametros_manuales!$E$29*(datos_base!$I$3+IF(parametros_manuales!$H$29="Todos",datos_base!$I$10,0))*parametros_manuales!$L$100+parametros_manuales!$F$29*(datos_base!$I$4+IF(parametros_manuales!$H$29="Todos",datos_base!$I$11,0))*parametros_manuales!$L$105+parametros_manuales!$G$29*(datos_base!$I$5+IF(parametros_manuales!$H$29="Todos",datos_base!$I$12,0))*parametros_manuales!$L$110)*parametros_manuales!$I$29*parametros_manuales!$J$29</f>
        <v>19615.68</v>
      </c>
      <c r="M201" s="4">
        <f>(parametros_manuales!$D$29*(datos_base!$I$2+IF(parametros_manuales!$H$29="Todos",datos_base!$I$9,0))*parametros_manuales!$M$95+parametros_manuales!$E$29*(datos_base!$I$3+IF(parametros_manuales!$H$29="Todos",datos_base!$I$10,0))*parametros_manuales!$M$100+parametros_manuales!$F$29*(datos_base!$I$4+IF(parametros_manuales!$H$29="Todos",datos_base!$I$11,0))*parametros_manuales!$M$105+parametros_manuales!$G$29*(datos_base!$I$5+IF(parametros_manuales!$H$29="Todos",datos_base!$I$12,0))*parametros_manuales!$M$110)*parametros_manuales!$I$29*parametros_manuales!$J$29</f>
        <v>19615.68</v>
      </c>
      <c r="N201" s="4">
        <f t="shared" si="22"/>
        <v>217952</v>
      </c>
      <c r="O201" s="4">
        <f t="shared" si="23"/>
        <v>19615.68</v>
      </c>
      <c r="P201" s="27">
        <f>O201/(parametros_manuales!$B$7)</f>
        <v>130.7712</v>
      </c>
      <c r="Q201" s="3" t="str">
        <f t="shared" si="24"/>
        <v>Ene</v>
      </c>
    </row>
    <row r="202" ht="14.25" customHeight="1">
      <c r="A202" s="3" t="str">
        <f>parametros_manuales!$B$30</f>
        <v>Soldadura circunferencial de cúpula y fondo</v>
      </c>
      <c r="B202" s="4">
        <f>(parametros_manuales!$D$30*(datos_base!$I$2+IF(parametros_manuales!$H$30="Todos",datos_base!$I$9,0))*parametros_manuales!$B$95+parametros_manuales!$E$30*(datos_base!$I$3+IF(parametros_manuales!$H$30="Todos",datos_base!$I$10,0))*parametros_manuales!$B$100+parametros_manuales!$F$30*(datos_base!$I$4+IF(parametros_manuales!$H$30="Todos",datos_base!$I$11,0))*parametros_manuales!$B$105+parametros_manuales!$G$30*(datos_base!$I$5+IF(parametros_manuales!$H$30="Todos",datos_base!$I$12,0))*parametros_manuales!$B$110)*parametros_manuales!$I$30*parametros_manuales!$J$30</f>
        <v>19615.68</v>
      </c>
      <c r="C202" s="4">
        <f>(parametros_manuales!$D$30*(datos_base!$I$2+IF(parametros_manuales!$H$30="Todos",datos_base!$I$9,0))*parametros_manuales!$C$95+parametros_manuales!$E$30*(datos_base!$I$3+IF(parametros_manuales!$H$30="Todos",datos_base!$I$10,0))*parametros_manuales!$C$100+parametros_manuales!$F$30*(datos_base!$I$4+IF(parametros_manuales!$H$30="Todos",datos_base!$I$11,0))*parametros_manuales!$C$105+parametros_manuales!$G$30*(datos_base!$I$5+IF(parametros_manuales!$H$30="Todos",datos_base!$I$12,0))*parametros_manuales!$C$110)*parametros_manuales!$I$30*parametros_manuales!$J$30</f>
        <v>18997.49</v>
      </c>
      <c r="D202" s="4">
        <f>(parametros_manuales!$D$30*(datos_base!$I$2+IF(parametros_manuales!$H$30="Todos",datos_base!$I$9,0))*parametros_manuales!$D$95+parametros_manuales!$E$30*(datos_base!$I$3+IF(parametros_manuales!$H$30="Todos",datos_base!$I$10,0))*parametros_manuales!$D$100+parametros_manuales!$F$30*(datos_base!$I$4+IF(parametros_manuales!$H$30="Todos",datos_base!$I$11,0))*parametros_manuales!$D$105+parametros_manuales!$G$30*(datos_base!$I$5+IF(parametros_manuales!$H$30="Todos",datos_base!$I$12,0))*parametros_manuales!$D$110)*parametros_manuales!$I$30*parametros_manuales!$J$30</f>
        <v>17745.255</v>
      </c>
      <c r="E202" s="4">
        <f>(parametros_manuales!$D$30*(datos_base!$I$2+IF(parametros_manuales!$H$30="Todos",datos_base!$I$9,0))*parametros_manuales!$E$95+parametros_manuales!$E$30*(datos_base!$I$3+IF(parametros_manuales!$H$30="Todos",datos_base!$I$10,0))*parametros_manuales!$E$100+parametros_manuales!$F$30*(datos_base!$I$4+IF(parametros_manuales!$H$30="Todos",datos_base!$I$11,0))*parametros_manuales!$E$105+parametros_manuales!$G$30*(datos_base!$I$5+IF(parametros_manuales!$H$30="Todos",datos_base!$I$12,0))*parametros_manuales!$E$110)*parametros_manuales!$I$30*parametros_manuales!$J$30</f>
        <v>16964.59</v>
      </c>
      <c r="F202" s="4">
        <f>(parametros_manuales!$D$30*(datos_base!$I$2+IF(parametros_manuales!$H$30="Todos",datos_base!$I$9,0))*parametros_manuales!$F$95+parametros_manuales!$E$30*(datos_base!$I$3+IF(parametros_manuales!$H$30="Todos",datos_base!$I$10,0))*parametros_manuales!$F$100+parametros_manuales!$F$30*(datos_base!$I$4+IF(parametros_manuales!$H$30="Todos",datos_base!$I$11,0))*parametros_manuales!$F$105+parametros_manuales!$G$30*(datos_base!$I$5+IF(parametros_manuales!$H$30="Todos",datos_base!$I$12,0))*parametros_manuales!$F$110)*parametros_manuales!$I$30*parametros_manuales!$J$30</f>
        <v>15874.83</v>
      </c>
      <c r="G202" s="4">
        <f>(parametros_manuales!$D$30*(datos_base!$I$2+IF(parametros_manuales!$H$30="Todos",datos_base!$I$9,0))*parametros_manuales!$G$95+parametros_manuales!$E$30*(datos_base!$I$3+IF(parametros_manuales!$H$30="Todos",datos_base!$I$10,0))*parametros_manuales!$G$100+parametros_manuales!$F$30*(datos_base!$I$4+IF(parametros_manuales!$H$30="Todos",datos_base!$I$11,0))*parametros_manuales!$G$105+parametros_manuales!$G$30*(datos_base!$I$5+IF(parametros_manuales!$H$30="Todos",datos_base!$I$12,0))*parametros_manuales!$G$110)*parametros_manuales!$I$30*parametros_manuales!$J$30</f>
        <v>15565.735</v>
      </c>
      <c r="H202" s="4">
        <f>(parametros_manuales!$D$30*(datos_base!$I$2+IF(parametros_manuales!$H$30="Todos",datos_base!$I$9,0))*parametros_manuales!$H$95+parametros_manuales!$E$30*(datos_base!$I$3+IF(parametros_manuales!$H$30="Todos",datos_base!$I$10,0))*parametros_manuales!$H$100+parametros_manuales!$F$30*(datos_base!$I$4+IF(parametros_manuales!$H$30="Todos",datos_base!$I$11,0))*parametros_manuales!$H$105+parametros_manuales!$G$30*(datos_base!$I$5+IF(parametros_manuales!$H$30="Todos",datos_base!$I$12,0))*parametros_manuales!$H$110)*parametros_manuales!$I$30*parametros_manuales!$J$30</f>
        <v>16655.495</v>
      </c>
      <c r="I202" s="4">
        <f>(parametros_manuales!$D$30*(datos_base!$I$2+IF(parametros_manuales!$H$30="Todos",datos_base!$I$9,0))*parametros_manuales!$I$95+parametros_manuales!$E$30*(datos_base!$I$3+IF(parametros_manuales!$H$30="Todos",datos_base!$I$10,0))*parametros_manuales!$I$100+parametros_manuales!$F$30*(datos_base!$I$4+IF(parametros_manuales!$H$30="Todos",datos_base!$I$11,0))*parametros_manuales!$I$105+parametros_manuales!$G$30*(datos_base!$I$5+IF(parametros_manuales!$H$30="Todos",datos_base!$I$12,0))*parametros_manuales!$I$110)*parametros_manuales!$I$30*parametros_manuales!$J$30</f>
        <v>18997.49</v>
      </c>
      <c r="J202" s="4">
        <f>(parametros_manuales!$D$30*(datos_base!$I$2+IF(parametros_manuales!$H$30="Todos",datos_base!$I$9,0))*parametros_manuales!$J$95+parametros_manuales!$E$30*(datos_base!$I$3+IF(parametros_manuales!$H$30="Todos",datos_base!$I$10,0))*parametros_manuales!$J$100+parametros_manuales!$F$30*(datos_base!$I$4+IF(parametros_manuales!$H$30="Todos",datos_base!$I$11,0))*parametros_manuales!$J$105+parametros_manuales!$G$30*(datos_base!$I$5+IF(parametros_manuales!$H$30="Todos",datos_base!$I$12,0))*parametros_manuales!$J$110)*parametros_manuales!$I$30*parametros_manuales!$J$30</f>
        <v>18997.49</v>
      </c>
      <c r="K202" s="4">
        <f>(parametros_manuales!$D$30*(datos_base!$I$2+IF(parametros_manuales!$H$30="Todos",datos_base!$I$9,0))*parametros_manuales!$K$95+parametros_manuales!$E$30*(datos_base!$I$3+IF(parametros_manuales!$H$30="Todos",datos_base!$I$10,0))*parametros_manuales!$K$100+parametros_manuales!$F$30*(datos_base!$I$4+IF(parametros_manuales!$H$30="Todos",datos_base!$I$11,0))*parametros_manuales!$K$105+parametros_manuales!$G$30*(datos_base!$I$5+IF(parametros_manuales!$H$30="Todos",datos_base!$I$12,0))*parametros_manuales!$K$110)*parametros_manuales!$I$30*parametros_manuales!$J$30</f>
        <v>19306.585</v>
      </c>
      <c r="L202" s="4">
        <f>(parametros_manuales!$D$30*(datos_base!$I$2+IF(parametros_manuales!$H$30="Todos",datos_base!$I$9,0))*parametros_manuales!$L$95+parametros_manuales!$E$30*(datos_base!$I$3+IF(parametros_manuales!$H$30="Todos",datos_base!$I$10,0))*parametros_manuales!$L$100+parametros_manuales!$F$30*(datos_base!$I$4+IF(parametros_manuales!$H$30="Todos",datos_base!$I$11,0))*parametros_manuales!$L$105+parametros_manuales!$G$30*(datos_base!$I$5+IF(parametros_manuales!$H$30="Todos",datos_base!$I$12,0))*parametros_manuales!$L$110)*parametros_manuales!$I$30*parametros_manuales!$J$30</f>
        <v>19615.68</v>
      </c>
      <c r="M202" s="4">
        <f>(parametros_manuales!$D$30*(datos_base!$I$2+IF(parametros_manuales!$H$30="Todos",datos_base!$I$9,0))*parametros_manuales!$M$95+parametros_manuales!$E$30*(datos_base!$I$3+IF(parametros_manuales!$H$30="Todos",datos_base!$I$10,0))*parametros_manuales!$M$100+parametros_manuales!$F$30*(datos_base!$I$4+IF(parametros_manuales!$H$30="Todos",datos_base!$I$11,0))*parametros_manuales!$M$105+parametros_manuales!$G$30*(datos_base!$I$5+IF(parametros_manuales!$H$30="Todos",datos_base!$I$12,0))*parametros_manuales!$M$110)*parametros_manuales!$I$30*parametros_manuales!$J$30</f>
        <v>19615.68</v>
      </c>
      <c r="N202" s="4">
        <f t="shared" si="22"/>
        <v>217952</v>
      </c>
      <c r="O202" s="4">
        <f t="shared" si="23"/>
        <v>19615.68</v>
      </c>
      <c r="P202" s="27">
        <f>O202/(parametros_manuales!$B$7)</f>
        <v>130.7712</v>
      </c>
      <c r="Q202" s="3" t="str">
        <f t="shared" si="24"/>
        <v>Ene</v>
      </c>
    </row>
    <row r="203" ht="14.25" customHeight="1">
      <c r="A203" s="3" t="str">
        <f>parametros_manuales!$B$31</f>
        <v>Control de calidad — Espesor</v>
      </c>
      <c r="B203" s="4">
        <f>(parametros_manuales!$D$31*(datos_base!$I$2+IF(parametros_manuales!$H$31="Todos",datos_base!$I$9,0))*parametros_manuales!$B$95+parametros_manuales!$E$31*(datos_base!$I$3+IF(parametros_manuales!$H$31="Todos",datos_base!$I$10,0))*parametros_manuales!$B$100+parametros_manuales!$F$31*(datos_base!$I$4+IF(parametros_manuales!$H$31="Todos",datos_base!$I$11,0))*parametros_manuales!$B$105+parametros_manuales!$G$31*(datos_base!$I$5+IF(parametros_manuales!$H$31="Todos",datos_base!$I$12,0))*parametros_manuales!$B$110)*parametros_manuales!$I$31*parametros_manuales!$J$31</f>
        <v>392.3136</v>
      </c>
      <c r="C203" s="4">
        <f>(parametros_manuales!$D$31*(datos_base!$I$2+IF(parametros_manuales!$H$31="Todos",datos_base!$I$9,0))*parametros_manuales!$C$95+parametros_manuales!$E$31*(datos_base!$I$3+IF(parametros_manuales!$H$31="Todos",datos_base!$I$10,0))*parametros_manuales!$C$100+parametros_manuales!$F$31*(datos_base!$I$4+IF(parametros_manuales!$H$31="Todos",datos_base!$I$11,0))*parametros_manuales!$C$105+parametros_manuales!$G$31*(datos_base!$I$5+IF(parametros_manuales!$H$31="Todos",datos_base!$I$12,0))*parametros_manuales!$C$110)*parametros_manuales!$I$31*parametros_manuales!$J$31</f>
        <v>379.9498</v>
      </c>
      <c r="D203" s="4">
        <f>(parametros_manuales!$D$31*(datos_base!$I$2+IF(parametros_manuales!$H$31="Todos",datos_base!$I$9,0))*parametros_manuales!$D$95+parametros_manuales!$E$31*(datos_base!$I$3+IF(parametros_manuales!$H$31="Todos",datos_base!$I$10,0))*parametros_manuales!$D$100+parametros_manuales!$F$31*(datos_base!$I$4+IF(parametros_manuales!$H$31="Todos",datos_base!$I$11,0))*parametros_manuales!$D$105+parametros_manuales!$G$31*(datos_base!$I$5+IF(parametros_manuales!$H$31="Todos",datos_base!$I$12,0))*parametros_manuales!$D$110)*parametros_manuales!$I$31*parametros_manuales!$J$31</f>
        <v>354.9051</v>
      </c>
      <c r="E203" s="4">
        <f>(parametros_manuales!$D$31*(datos_base!$I$2+IF(parametros_manuales!$H$31="Todos",datos_base!$I$9,0))*parametros_manuales!$E$95+parametros_manuales!$E$31*(datos_base!$I$3+IF(parametros_manuales!$H$31="Todos",datos_base!$I$10,0))*parametros_manuales!$E$100+parametros_manuales!$F$31*(datos_base!$I$4+IF(parametros_manuales!$H$31="Todos",datos_base!$I$11,0))*parametros_manuales!$E$105+parametros_manuales!$G$31*(datos_base!$I$5+IF(parametros_manuales!$H$31="Todos",datos_base!$I$12,0))*parametros_manuales!$E$110)*parametros_manuales!$I$31*parametros_manuales!$J$31</f>
        <v>339.2918</v>
      </c>
      <c r="F203" s="4">
        <f>(parametros_manuales!$D$31*(datos_base!$I$2+IF(parametros_manuales!$H$31="Todos",datos_base!$I$9,0))*parametros_manuales!$F$95+parametros_manuales!$E$31*(datos_base!$I$3+IF(parametros_manuales!$H$31="Todos",datos_base!$I$10,0))*parametros_manuales!$F$100+parametros_manuales!$F$31*(datos_base!$I$4+IF(parametros_manuales!$H$31="Todos",datos_base!$I$11,0))*parametros_manuales!$F$105+parametros_manuales!$G$31*(datos_base!$I$5+IF(parametros_manuales!$H$31="Todos",datos_base!$I$12,0))*parametros_manuales!$F$110)*parametros_manuales!$I$31*parametros_manuales!$J$31</f>
        <v>317.4966</v>
      </c>
      <c r="G203" s="4">
        <f>(parametros_manuales!$D$31*(datos_base!$I$2+IF(parametros_manuales!$H$31="Todos",datos_base!$I$9,0))*parametros_manuales!$G$95+parametros_manuales!$E$31*(datos_base!$I$3+IF(parametros_manuales!$H$31="Todos",datos_base!$I$10,0))*parametros_manuales!$G$100+parametros_manuales!$F$31*(datos_base!$I$4+IF(parametros_manuales!$H$31="Todos",datos_base!$I$11,0))*parametros_manuales!$G$105+parametros_manuales!$G$31*(datos_base!$I$5+IF(parametros_manuales!$H$31="Todos",datos_base!$I$12,0))*parametros_manuales!$G$110)*parametros_manuales!$I$31*parametros_manuales!$J$31</f>
        <v>311.3147</v>
      </c>
      <c r="H203" s="4">
        <f>(parametros_manuales!$D$31*(datos_base!$I$2+IF(parametros_manuales!$H$31="Todos",datos_base!$I$9,0))*parametros_manuales!$H$95+parametros_manuales!$E$31*(datos_base!$I$3+IF(parametros_manuales!$H$31="Todos",datos_base!$I$10,0))*parametros_manuales!$H$100+parametros_manuales!$F$31*(datos_base!$I$4+IF(parametros_manuales!$H$31="Todos",datos_base!$I$11,0))*parametros_manuales!$H$105+parametros_manuales!$G$31*(datos_base!$I$5+IF(parametros_manuales!$H$31="Todos",datos_base!$I$12,0))*parametros_manuales!$H$110)*parametros_manuales!$I$31*parametros_manuales!$J$31</f>
        <v>333.1099</v>
      </c>
      <c r="I203" s="4">
        <f>(parametros_manuales!$D$31*(datos_base!$I$2+IF(parametros_manuales!$H$31="Todos",datos_base!$I$9,0))*parametros_manuales!$I$95+parametros_manuales!$E$31*(datos_base!$I$3+IF(parametros_manuales!$H$31="Todos",datos_base!$I$10,0))*parametros_manuales!$I$100+parametros_manuales!$F$31*(datos_base!$I$4+IF(parametros_manuales!$H$31="Todos",datos_base!$I$11,0))*parametros_manuales!$I$105+parametros_manuales!$G$31*(datos_base!$I$5+IF(parametros_manuales!$H$31="Todos",datos_base!$I$12,0))*parametros_manuales!$I$110)*parametros_manuales!$I$31*parametros_manuales!$J$31</f>
        <v>379.9498</v>
      </c>
      <c r="J203" s="4">
        <f>(parametros_manuales!$D$31*(datos_base!$I$2+IF(parametros_manuales!$H$31="Todos",datos_base!$I$9,0))*parametros_manuales!$J$95+parametros_manuales!$E$31*(datos_base!$I$3+IF(parametros_manuales!$H$31="Todos",datos_base!$I$10,0))*parametros_manuales!$J$100+parametros_manuales!$F$31*(datos_base!$I$4+IF(parametros_manuales!$H$31="Todos",datos_base!$I$11,0))*parametros_manuales!$J$105+parametros_manuales!$G$31*(datos_base!$I$5+IF(parametros_manuales!$H$31="Todos",datos_base!$I$12,0))*parametros_manuales!$J$110)*parametros_manuales!$I$31*parametros_manuales!$J$31</f>
        <v>379.9498</v>
      </c>
      <c r="K203" s="4">
        <f>(parametros_manuales!$D$31*(datos_base!$I$2+IF(parametros_manuales!$H$31="Todos",datos_base!$I$9,0))*parametros_manuales!$K$95+parametros_manuales!$E$31*(datos_base!$I$3+IF(parametros_manuales!$H$31="Todos",datos_base!$I$10,0))*parametros_manuales!$K$100+parametros_manuales!$F$31*(datos_base!$I$4+IF(parametros_manuales!$H$31="Todos",datos_base!$I$11,0))*parametros_manuales!$K$105+parametros_manuales!$G$31*(datos_base!$I$5+IF(parametros_manuales!$H$31="Todos",datos_base!$I$12,0))*parametros_manuales!$K$110)*parametros_manuales!$I$31*parametros_manuales!$J$31</f>
        <v>386.1317</v>
      </c>
      <c r="L203" s="4">
        <f>(parametros_manuales!$D$31*(datos_base!$I$2+IF(parametros_manuales!$H$31="Todos",datos_base!$I$9,0))*parametros_manuales!$L$95+parametros_manuales!$E$31*(datos_base!$I$3+IF(parametros_manuales!$H$31="Todos",datos_base!$I$10,0))*parametros_manuales!$L$100+parametros_manuales!$F$31*(datos_base!$I$4+IF(parametros_manuales!$H$31="Todos",datos_base!$I$11,0))*parametros_manuales!$L$105+parametros_manuales!$G$31*(datos_base!$I$5+IF(parametros_manuales!$H$31="Todos",datos_base!$I$12,0))*parametros_manuales!$L$110)*parametros_manuales!$I$31*parametros_manuales!$J$31</f>
        <v>392.3136</v>
      </c>
      <c r="M203" s="4">
        <f>(parametros_manuales!$D$31*(datos_base!$I$2+IF(parametros_manuales!$H$31="Todos",datos_base!$I$9,0))*parametros_manuales!$M$95+parametros_manuales!$E$31*(datos_base!$I$3+IF(parametros_manuales!$H$31="Todos",datos_base!$I$10,0))*parametros_manuales!$M$100+parametros_manuales!$F$31*(datos_base!$I$4+IF(parametros_manuales!$H$31="Todos",datos_base!$I$11,0))*parametros_manuales!$M$105+parametros_manuales!$G$31*(datos_base!$I$5+IF(parametros_manuales!$H$31="Todos",datos_base!$I$12,0))*parametros_manuales!$M$110)*parametros_manuales!$I$31*parametros_manuales!$J$31</f>
        <v>392.3136</v>
      </c>
      <c r="N203" s="4">
        <f t="shared" si="22"/>
        <v>4359.04</v>
      </c>
      <c r="O203" s="4">
        <f t="shared" si="23"/>
        <v>392.3136</v>
      </c>
      <c r="P203" s="27">
        <f>O203/(parametros_manuales!$B$7)</f>
        <v>2.615424</v>
      </c>
      <c r="Q203" s="3" t="str">
        <f t="shared" si="24"/>
        <v>Ene</v>
      </c>
    </row>
    <row r="204" ht="14.25" customHeight="1">
      <c r="A204" s="3" t="str">
        <f>parametros_manuales!$B$32</f>
        <v>Prueba hidráulica</v>
      </c>
      <c r="B204" s="4">
        <f>(parametros_manuales!$D$32*(datos_base!$I$2+IF(parametros_manuales!$H$32="Todos",datos_base!$I$9,0))*parametros_manuales!$B$95+parametros_manuales!$E$32*(datos_base!$I$3+IF(parametros_manuales!$H$32="Todos",datos_base!$I$10,0))*parametros_manuales!$B$100+parametros_manuales!$F$32*(datos_base!$I$4+IF(parametros_manuales!$H$32="Todos",datos_base!$I$11,0))*parametros_manuales!$B$105+parametros_manuales!$G$32*(datos_base!$I$5+IF(parametros_manuales!$H$32="Todos",datos_base!$I$12,0))*parametros_manuales!$B$110)*parametros_manuales!$I$32*parametros_manuales!$J$32</f>
        <v>19615.68</v>
      </c>
      <c r="C204" s="4">
        <f>(parametros_manuales!$D$32*(datos_base!$I$2+IF(parametros_manuales!$H$32="Todos",datos_base!$I$9,0))*parametros_manuales!$C$95+parametros_manuales!$E$32*(datos_base!$I$3+IF(parametros_manuales!$H$32="Todos",datos_base!$I$10,0))*parametros_manuales!$C$100+parametros_manuales!$F$32*(datos_base!$I$4+IF(parametros_manuales!$H$32="Todos",datos_base!$I$11,0))*parametros_manuales!$C$105+parametros_manuales!$G$32*(datos_base!$I$5+IF(parametros_manuales!$H$32="Todos",datos_base!$I$12,0))*parametros_manuales!$C$110)*parametros_manuales!$I$32*parametros_manuales!$J$32</f>
        <v>18997.49</v>
      </c>
      <c r="D204" s="4">
        <f>(parametros_manuales!$D$32*(datos_base!$I$2+IF(parametros_manuales!$H$32="Todos",datos_base!$I$9,0))*parametros_manuales!$D$95+parametros_manuales!$E$32*(datos_base!$I$3+IF(parametros_manuales!$H$32="Todos",datos_base!$I$10,0))*parametros_manuales!$D$100+parametros_manuales!$F$32*(datos_base!$I$4+IF(parametros_manuales!$H$32="Todos",datos_base!$I$11,0))*parametros_manuales!$D$105+parametros_manuales!$G$32*(datos_base!$I$5+IF(parametros_manuales!$H$32="Todos",datos_base!$I$12,0))*parametros_manuales!$D$110)*parametros_manuales!$I$32*parametros_manuales!$J$32</f>
        <v>17745.255</v>
      </c>
      <c r="E204" s="4">
        <f>(parametros_manuales!$D$32*(datos_base!$I$2+IF(parametros_manuales!$H$32="Todos",datos_base!$I$9,0))*parametros_manuales!$E$95+parametros_manuales!$E$32*(datos_base!$I$3+IF(parametros_manuales!$H$32="Todos",datos_base!$I$10,0))*parametros_manuales!$E$100+parametros_manuales!$F$32*(datos_base!$I$4+IF(parametros_manuales!$H$32="Todos",datos_base!$I$11,0))*parametros_manuales!$E$105+parametros_manuales!$G$32*(datos_base!$I$5+IF(parametros_manuales!$H$32="Todos",datos_base!$I$12,0))*parametros_manuales!$E$110)*parametros_manuales!$I$32*parametros_manuales!$J$32</f>
        <v>16964.59</v>
      </c>
      <c r="F204" s="4">
        <f>(parametros_manuales!$D$32*(datos_base!$I$2+IF(parametros_manuales!$H$32="Todos",datos_base!$I$9,0))*parametros_manuales!$F$95+parametros_manuales!$E$32*(datos_base!$I$3+IF(parametros_manuales!$H$32="Todos",datos_base!$I$10,0))*parametros_manuales!$F$100+parametros_manuales!$F$32*(datos_base!$I$4+IF(parametros_manuales!$H$32="Todos",datos_base!$I$11,0))*parametros_manuales!$F$105+parametros_manuales!$G$32*(datos_base!$I$5+IF(parametros_manuales!$H$32="Todos",datos_base!$I$12,0))*parametros_manuales!$F$110)*parametros_manuales!$I$32*parametros_manuales!$J$32</f>
        <v>15874.83</v>
      </c>
      <c r="G204" s="4">
        <f>(parametros_manuales!$D$32*(datos_base!$I$2+IF(parametros_manuales!$H$32="Todos",datos_base!$I$9,0))*parametros_manuales!$G$95+parametros_manuales!$E$32*(datos_base!$I$3+IF(parametros_manuales!$H$32="Todos",datos_base!$I$10,0))*parametros_manuales!$G$100+parametros_manuales!$F$32*(datos_base!$I$4+IF(parametros_manuales!$H$32="Todos",datos_base!$I$11,0))*parametros_manuales!$G$105+parametros_manuales!$G$32*(datos_base!$I$5+IF(parametros_manuales!$H$32="Todos",datos_base!$I$12,0))*parametros_manuales!$G$110)*parametros_manuales!$I$32*parametros_manuales!$J$32</f>
        <v>15565.735</v>
      </c>
      <c r="H204" s="4">
        <f>(parametros_manuales!$D$32*(datos_base!$I$2+IF(parametros_manuales!$H$32="Todos",datos_base!$I$9,0))*parametros_manuales!$H$95+parametros_manuales!$E$32*(datos_base!$I$3+IF(parametros_manuales!$H$32="Todos",datos_base!$I$10,0))*parametros_manuales!$H$100+parametros_manuales!$F$32*(datos_base!$I$4+IF(parametros_manuales!$H$32="Todos",datos_base!$I$11,0))*parametros_manuales!$H$105+parametros_manuales!$G$32*(datos_base!$I$5+IF(parametros_manuales!$H$32="Todos",datos_base!$I$12,0))*parametros_manuales!$H$110)*parametros_manuales!$I$32*parametros_manuales!$J$32</f>
        <v>16655.495</v>
      </c>
      <c r="I204" s="4">
        <f>(parametros_manuales!$D$32*(datos_base!$I$2+IF(parametros_manuales!$H$32="Todos",datos_base!$I$9,0))*parametros_manuales!$I$95+parametros_manuales!$E$32*(datos_base!$I$3+IF(parametros_manuales!$H$32="Todos",datos_base!$I$10,0))*parametros_manuales!$I$100+parametros_manuales!$F$32*(datos_base!$I$4+IF(parametros_manuales!$H$32="Todos",datos_base!$I$11,0))*parametros_manuales!$I$105+parametros_manuales!$G$32*(datos_base!$I$5+IF(parametros_manuales!$H$32="Todos",datos_base!$I$12,0))*parametros_manuales!$I$110)*parametros_manuales!$I$32*parametros_manuales!$J$32</f>
        <v>18997.49</v>
      </c>
      <c r="J204" s="4">
        <f>(parametros_manuales!$D$32*(datos_base!$I$2+IF(parametros_manuales!$H$32="Todos",datos_base!$I$9,0))*parametros_manuales!$J$95+parametros_manuales!$E$32*(datos_base!$I$3+IF(parametros_manuales!$H$32="Todos",datos_base!$I$10,0))*parametros_manuales!$J$100+parametros_manuales!$F$32*(datos_base!$I$4+IF(parametros_manuales!$H$32="Todos",datos_base!$I$11,0))*parametros_manuales!$J$105+parametros_manuales!$G$32*(datos_base!$I$5+IF(parametros_manuales!$H$32="Todos",datos_base!$I$12,0))*parametros_manuales!$J$110)*parametros_manuales!$I$32*parametros_manuales!$J$32</f>
        <v>18997.49</v>
      </c>
      <c r="K204" s="4">
        <f>(parametros_manuales!$D$32*(datos_base!$I$2+IF(parametros_manuales!$H$32="Todos",datos_base!$I$9,0))*parametros_manuales!$K$95+parametros_manuales!$E$32*(datos_base!$I$3+IF(parametros_manuales!$H$32="Todos",datos_base!$I$10,0))*parametros_manuales!$K$100+parametros_manuales!$F$32*(datos_base!$I$4+IF(parametros_manuales!$H$32="Todos",datos_base!$I$11,0))*parametros_manuales!$K$105+parametros_manuales!$G$32*(datos_base!$I$5+IF(parametros_manuales!$H$32="Todos",datos_base!$I$12,0))*parametros_manuales!$K$110)*parametros_manuales!$I$32*parametros_manuales!$J$32</f>
        <v>19306.585</v>
      </c>
      <c r="L204" s="4">
        <f>(parametros_manuales!$D$32*(datos_base!$I$2+IF(parametros_manuales!$H$32="Todos",datos_base!$I$9,0))*parametros_manuales!$L$95+parametros_manuales!$E$32*(datos_base!$I$3+IF(parametros_manuales!$H$32="Todos",datos_base!$I$10,0))*parametros_manuales!$L$100+parametros_manuales!$F$32*(datos_base!$I$4+IF(parametros_manuales!$H$32="Todos",datos_base!$I$11,0))*parametros_manuales!$L$105+parametros_manuales!$G$32*(datos_base!$I$5+IF(parametros_manuales!$H$32="Todos",datos_base!$I$12,0))*parametros_manuales!$L$110)*parametros_manuales!$I$32*parametros_manuales!$J$32</f>
        <v>19615.68</v>
      </c>
      <c r="M204" s="4">
        <f>(parametros_manuales!$D$32*(datos_base!$I$2+IF(parametros_manuales!$H$32="Todos",datos_base!$I$9,0))*parametros_manuales!$M$95+parametros_manuales!$E$32*(datos_base!$I$3+IF(parametros_manuales!$H$32="Todos",datos_base!$I$10,0))*parametros_manuales!$M$100+parametros_manuales!$F$32*(datos_base!$I$4+IF(parametros_manuales!$H$32="Todos",datos_base!$I$11,0))*parametros_manuales!$M$105+parametros_manuales!$G$32*(datos_base!$I$5+IF(parametros_manuales!$H$32="Todos",datos_base!$I$12,0))*parametros_manuales!$M$110)*parametros_manuales!$I$32*parametros_manuales!$J$32</f>
        <v>19615.68</v>
      </c>
      <c r="N204" s="4">
        <f t="shared" si="22"/>
        <v>217952</v>
      </c>
      <c r="O204" s="4">
        <f t="shared" si="23"/>
        <v>19615.68</v>
      </c>
      <c r="P204" s="27">
        <f>O204/(parametros_manuales!$B$7)</f>
        <v>130.7712</v>
      </c>
      <c r="Q204" s="3" t="str">
        <f t="shared" si="24"/>
        <v>Ene</v>
      </c>
    </row>
    <row r="205" ht="14.25" customHeight="1">
      <c r="A205" s="3" t="str">
        <f>parametros_manuales!$B$33</f>
        <v>Secado</v>
      </c>
      <c r="B205" s="4">
        <f>(parametros_manuales!$D$33*(datos_base!$I$2+IF(parametros_manuales!$H$33="Todos",datos_base!$I$9,0))*parametros_manuales!$B$95+parametros_manuales!$E$33*(datos_base!$I$3+IF(parametros_manuales!$H$33="Todos",datos_base!$I$10,0))*parametros_manuales!$B$100+parametros_manuales!$F$33*(datos_base!$I$4+IF(parametros_manuales!$H$33="Todos",datos_base!$I$11,0))*parametros_manuales!$B$105+parametros_manuales!$G$33*(datos_base!$I$5+IF(parametros_manuales!$H$33="Todos",datos_base!$I$12,0))*parametros_manuales!$B$110)*parametros_manuales!$I$33*parametros_manuales!$J$33</f>
        <v>19615.68</v>
      </c>
      <c r="C205" s="4">
        <f>(parametros_manuales!$D$33*(datos_base!$I$2+IF(parametros_manuales!$H$33="Todos",datos_base!$I$9,0))*parametros_manuales!$C$95+parametros_manuales!$E$33*(datos_base!$I$3+IF(parametros_manuales!$H$33="Todos",datos_base!$I$10,0))*parametros_manuales!$C$100+parametros_manuales!$F$33*(datos_base!$I$4+IF(parametros_manuales!$H$33="Todos",datos_base!$I$11,0))*parametros_manuales!$C$105+parametros_manuales!$G$33*(datos_base!$I$5+IF(parametros_manuales!$H$33="Todos",datos_base!$I$12,0))*parametros_manuales!$C$110)*parametros_manuales!$I$33*parametros_manuales!$J$33</f>
        <v>18997.49</v>
      </c>
      <c r="D205" s="4">
        <f>(parametros_manuales!$D$33*(datos_base!$I$2+IF(parametros_manuales!$H$33="Todos",datos_base!$I$9,0))*parametros_manuales!$D$95+parametros_manuales!$E$33*(datos_base!$I$3+IF(parametros_manuales!$H$33="Todos",datos_base!$I$10,0))*parametros_manuales!$D$100+parametros_manuales!$F$33*(datos_base!$I$4+IF(parametros_manuales!$H$33="Todos",datos_base!$I$11,0))*parametros_manuales!$D$105+parametros_manuales!$G$33*(datos_base!$I$5+IF(parametros_manuales!$H$33="Todos",datos_base!$I$12,0))*parametros_manuales!$D$110)*parametros_manuales!$I$33*parametros_manuales!$J$33</f>
        <v>17745.255</v>
      </c>
      <c r="E205" s="4">
        <f>(parametros_manuales!$D$33*(datos_base!$I$2+IF(parametros_manuales!$H$33="Todos",datos_base!$I$9,0))*parametros_manuales!$E$95+parametros_manuales!$E$33*(datos_base!$I$3+IF(parametros_manuales!$H$33="Todos",datos_base!$I$10,0))*parametros_manuales!$E$100+parametros_manuales!$F$33*(datos_base!$I$4+IF(parametros_manuales!$H$33="Todos",datos_base!$I$11,0))*parametros_manuales!$E$105+parametros_manuales!$G$33*(datos_base!$I$5+IF(parametros_manuales!$H$33="Todos",datos_base!$I$12,0))*parametros_manuales!$E$110)*parametros_manuales!$I$33*parametros_manuales!$J$33</f>
        <v>16964.59</v>
      </c>
      <c r="F205" s="4">
        <f>(parametros_manuales!$D$33*(datos_base!$I$2+IF(parametros_manuales!$H$33="Todos",datos_base!$I$9,0))*parametros_manuales!$F$95+parametros_manuales!$E$33*(datos_base!$I$3+IF(parametros_manuales!$H$33="Todos",datos_base!$I$10,0))*parametros_manuales!$F$100+parametros_manuales!$F$33*(datos_base!$I$4+IF(parametros_manuales!$H$33="Todos",datos_base!$I$11,0))*parametros_manuales!$F$105+parametros_manuales!$G$33*(datos_base!$I$5+IF(parametros_manuales!$H$33="Todos",datos_base!$I$12,0))*parametros_manuales!$F$110)*parametros_manuales!$I$33*parametros_manuales!$J$33</f>
        <v>15874.83</v>
      </c>
      <c r="G205" s="4">
        <f>(parametros_manuales!$D$33*(datos_base!$I$2+IF(parametros_manuales!$H$33="Todos",datos_base!$I$9,0))*parametros_manuales!$G$95+parametros_manuales!$E$33*(datos_base!$I$3+IF(parametros_manuales!$H$33="Todos",datos_base!$I$10,0))*parametros_manuales!$G$100+parametros_manuales!$F$33*(datos_base!$I$4+IF(parametros_manuales!$H$33="Todos",datos_base!$I$11,0))*parametros_manuales!$G$105+parametros_manuales!$G$33*(datos_base!$I$5+IF(parametros_manuales!$H$33="Todos",datos_base!$I$12,0))*parametros_manuales!$G$110)*parametros_manuales!$I$33*parametros_manuales!$J$33</f>
        <v>15565.735</v>
      </c>
      <c r="H205" s="4">
        <f>(parametros_manuales!$D$33*(datos_base!$I$2+IF(parametros_manuales!$H$33="Todos",datos_base!$I$9,0))*parametros_manuales!$H$95+parametros_manuales!$E$33*(datos_base!$I$3+IF(parametros_manuales!$H$33="Todos",datos_base!$I$10,0))*parametros_manuales!$H$100+parametros_manuales!$F$33*(datos_base!$I$4+IF(parametros_manuales!$H$33="Todos",datos_base!$I$11,0))*parametros_manuales!$H$105+parametros_manuales!$G$33*(datos_base!$I$5+IF(parametros_manuales!$H$33="Todos",datos_base!$I$12,0))*parametros_manuales!$H$110)*parametros_manuales!$I$33*parametros_manuales!$J$33</f>
        <v>16655.495</v>
      </c>
      <c r="I205" s="4">
        <f>(parametros_manuales!$D$33*(datos_base!$I$2+IF(parametros_manuales!$H$33="Todos",datos_base!$I$9,0))*parametros_manuales!$I$95+parametros_manuales!$E$33*(datos_base!$I$3+IF(parametros_manuales!$H$33="Todos",datos_base!$I$10,0))*parametros_manuales!$I$100+parametros_manuales!$F$33*(datos_base!$I$4+IF(parametros_manuales!$H$33="Todos",datos_base!$I$11,0))*parametros_manuales!$I$105+parametros_manuales!$G$33*(datos_base!$I$5+IF(parametros_manuales!$H$33="Todos",datos_base!$I$12,0))*parametros_manuales!$I$110)*parametros_manuales!$I$33*parametros_manuales!$J$33</f>
        <v>18997.49</v>
      </c>
      <c r="J205" s="4">
        <f>(parametros_manuales!$D$33*(datos_base!$I$2+IF(parametros_manuales!$H$33="Todos",datos_base!$I$9,0))*parametros_manuales!$J$95+parametros_manuales!$E$33*(datos_base!$I$3+IF(parametros_manuales!$H$33="Todos",datos_base!$I$10,0))*parametros_manuales!$J$100+parametros_manuales!$F$33*(datos_base!$I$4+IF(parametros_manuales!$H$33="Todos",datos_base!$I$11,0))*parametros_manuales!$J$105+parametros_manuales!$G$33*(datos_base!$I$5+IF(parametros_manuales!$H$33="Todos",datos_base!$I$12,0))*parametros_manuales!$J$110)*parametros_manuales!$I$33*parametros_manuales!$J$33</f>
        <v>18997.49</v>
      </c>
      <c r="K205" s="4">
        <f>(parametros_manuales!$D$33*(datos_base!$I$2+IF(parametros_manuales!$H$33="Todos",datos_base!$I$9,0))*parametros_manuales!$K$95+parametros_manuales!$E$33*(datos_base!$I$3+IF(parametros_manuales!$H$33="Todos",datos_base!$I$10,0))*parametros_manuales!$K$100+parametros_manuales!$F$33*(datos_base!$I$4+IF(parametros_manuales!$H$33="Todos",datos_base!$I$11,0))*parametros_manuales!$K$105+parametros_manuales!$G$33*(datos_base!$I$5+IF(parametros_manuales!$H$33="Todos",datos_base!$I$12,0))*parametros_manuales!$K$110)*parametros_manuales!$I$33*parametros_manuales!$J$33</f>
        <v>19306.585</v>
      </c>
      <c r="L205" s="4">
        <f>(parametros_manuales!$D$33*(datos_base!$I$2+IF(parametros_manuales!$H$33="Todos",datos_base!$I$9,0))*parametros_manuales!$L$95+parametros_manuales!$E$33*(datos_base!$I$3+IF(parametros_manuales!$H$33="Todos",datos_base!$I$10,0))*parametros_manuales!$L$100+parametros_manuales!$F$33*(datos_base!$I$4+IF(parametros_manuales!$H$33="Todos",datos_base!$I$11,0))*parametros_manuales!$L$105+parametros_manuales!$G$33*(datos_base!$I$5+IF(parametros_manuales!$H$33="Todos",datos_base!$I$12,0))*parametros_manuales!$L$110)*parametros_manuales!$I$33*parametros_manuales!$J$33</f>
        <v>19615.68</v>
      </c>
      <c r="M205" s="4">
        <f>(parametros_manuales!$D$33*(datos_base!$I$2+IF(parametros_manuales!$H$33="Todos",datos_base!$I$9,0))*parametros_manuales!$M$95+parametros_manuales!$E$33*(datos_base!$I$3+IF(parametros_manuales!$H$33="Todos",datos_base!$I$10,0))*parametros_manuales!$M$100+parametros_manuales!$F$33*(datos_base!$I$4+IF(parametros_manuales!$H$33="Todos",datos_base!$I$11,0))*parametros_manuales!$M$105+parametros_manuales!$G$33*(datos_base!$I$5+IF(parametros_manuales!$H$33="Todos",datos_base!$I$12,0))*parametros_manuales!$M$110)*parametros_manuales!$I$33*parametros_manuales!$J$33</f>
        <v>19615.68</v>
      </c>
      <c r="N205" s="4">
        <f t="shared" si="22"/>
        <v>217952</v>
      </c>
      <c r="O205" s="4">
        <f t="shared" si="23"/>
        <v>19615.68</v>
      </c>
      <c r="P205" s="27">
        <f>O205/(parametros_manuales!$B$7)</f>
        <v>130.7712</v>
      </c>
      <c r="Q205" s="3" t="str">
        <f t="shared" si="24"/>
        <v>Ene</v>
      </c>
    </row>
    <row r="206" ht="14.25" customHeight="1">
      <c r="A206" s="3" t="str">
        <f>parametros_manuales!$B$34</f>
        <v>Granallado</v>
      </c>
      <c r="B206" s="4">
        <f>(parametros_manuales!$D$34*(datos_base!$I$2+IF(parametros_manuales!$H$34="Todos",datos_base!$I$9,0))*parametros_manuales!$B$95+parametros_manuales!$E$34*(datos_base!$I$3+IF(parametros_manuales!$H$34="Todos",datos_base!$I$10,0))*parametros_manuales!$B$100+parametros_manuales!$F$34*(datos_base!$I$4+IF(parametros_manuales!$H$34="Todos",datos_base!$I$11,0))*parametros_manuales!$B$105+parametros_manuales!$G$34*(datos_base!$I$5+IF(parametros_manuales!$H$34="Todos",datos_base!$I$12,0))*parametros_manuales!$B$110)*parametros_manuales!$I$34*parametros_manuales!$J$34</f>
        <v>19615.68</v>
      </c>
      <c r="C206" s="4">
        <f>(parametros_manuales!$D$34*(datos_base!$I$2+IF(parametros_manuales!$H$34="Todos",datos_base!$I$9,0))*parametros_manuales!$C$95+parametros_manuales!$E$34*(datos_base!$I$3+IF(parametros_manuales!$H$34="Todos",datos_base!$I$10,0))*parametros_manuales!$C$100+parametros_manuales!$F$34*(datos_base!$I$4+IF(parametros_manuales!$H$34="Todos",datos_base!$I$11,0))*parametros_manuales!$C$105+parametros_manuales!$G$34*(datos_base!$I$5+IF(parametros_manuales!$H$34="Todos",datos_base!$I$12,0))*parametros_manuales!$C$110)*parametros_manuales!$I$34*parametros_manuales!$J$34</f>
        <v>18997.49</v>
      </c>
      <c r="D206" s="4">
        <f>(parametros_manuales!$D$34*(datos_base!$I$2+IF(parametros_manuales!$H$34="Todos",datos_base!$I$9,0))*parametros_manuales!$D$95+parametros_manuales!$E$34*(datos_base!$I$3+IF(parametros_manuales!$H$34="Todos",datos_base!$I$10,0))*parametros_manuales!$D$100+parametros_manuales!$F$34*(datos_base!$I$4+IF(parametros_manuales!$H$34="Todos",datos_base!$I$11,0))*parametros_manuales!$D$105+parametros_manuales!$G$34*(datos_base!$I$5+IF(parametros_manuales!$H$34="Todos",datos_base!$I$12,0))*parametros_manuales!$D$110)*parametros_manuales!$I$34*parametros_manuales!$J$34</f>
        <v>17745.255</v>
      </c>
      <c r="E206" s="4">
        <f>(parametros_manuales!$D$34*(datos_base!$I$2+IF(parametros_manuales!$H$34="Todos",datos_base!$I$9,0))*parametros_manuales!$E$95+parametros_manuales!$E$34*(datos_base!$I$3+IF(parametros_manuales!$H$34="Todos",datos_base!$I$10,0))*parametros_manuales!$E$100+parametros_manuales!$F$34*(datos_base!$I$4+IF(parametros_manuales!$H$34="Todos",datos_base!$I$11,0))*parametros_manuales!$E$105+parametros_manuales!$G$34*(datos_base!$I$5+IF(parametros_manuales!$H$34="Todos",datos_base!$I$12,0))*parametros_manuales!$E$110)*parametros_manuales!$I$34*parametros_manuales!$J$34</f>
        <v>16964.59</v>
      </c>
      <c r="F206" s="4">
        <f>(parametros_manuales!$D$34*(datos_base!$I$2+IF(parametros_manuales!$H$34="Todos",datos_base!$I$9,0))*parametros_manuales!$F$95+parametros_manuales!$E$34*(datos_base!$I$3+IF(parametros_manuales!$H$34="Todos",datos_base!$I$10,0))*parametros_manuales!$F$100+parametros_manuales!$F$34*(datos_base!$I$4+IF(parametros_manuales!$H$34="Todos",datos_base!$I$11,0))*parametros_manuales!$F$105+parametros_manuales!$G$34*(datos_base!$I$5+IF(parametros_manuales!$H$34="Todos",datos_base!$I$12,0))*parametros_manuales!$F$110)*parametros_manuales!$I$34*parametros_manuales!$J$34</f>
        <v>15874.83</v>
      </c>
      <c r="G206" s="4">
        <f>(parametros_manuales!$D$34*(datos_base!$I$2+IF(parametros_manuales!$H$34="Todos",datos_base!$I$9,0))*parametros_manuales!$G$95+parametros_manuales!$E$34*(datos_base!$I$3+IF(parametros_manuales!$H$34="Todos",datos_base!$I$10,0))*parametros_manuales!$G$100+parametros_manuales!$F$34*(datos_base!$I$4+IF(parametros_manuales!$H$34="Todos",datos_base!$I$11,0))*parametros_manuales!$G$105+parametros_manuales!$G$34*(datos_base!$I$5+IF(parametros_manuales!$H$34="Todos",datos_base!$I$12,0))*parametros_manuales!$G$110)*parametros_manuales!$I$34*parametros_manuales!$J$34</f>
        <v>15565.735</v>
      </c>
      <c r="H206" s="4">
        <f>(parametros_manuales!$D$34*(datos_base!$I$2+IF(parametros_manuales!$H$34="Todos",datos_base!$I$9,0))*parametros_manuales!$H$95+parametros_manuales!$E$34*(datos_base!$I$3+IF(parametros_manuales!$H$34="Todos",datos_base!$I$10,0))*parametros_manuales!$H$100+parametros_manuales!$F$34*(datos_base!$I$4+IF(parametros_manuales!$H$34="Todos",datos_base!$I$11,0))*parametros_manuales!$H$105+parametros_manuales!$G$34*(datos_base!$I$5+IF(parametros_manuales!$H$34="Todos",datos_base!$I$12,0))*parametros_manuales!$H$110)*parametros_manuales!$I$34*parametros_manuales!$J$34</f>
        <v>16655.495</v>
      </c>
      <c r="I206" s="4">
        <f>(parametros_manuales!$D$34*(datos_base!$I$2+IF(parametros_manuales!$H$34="Todos",datos_base!$I$9,0))*parametros_manuales!$I$95+parametros_manuales!$E$34*(datos_base!$I$3+IF(parametros_manuales!$H$34="Todos",datos_base!$I$10,0))*parametros_manuales!$I$100+parametros_manuales!$F$34*(datos_base!$I$4+IF(parametros_manuales!$H$34="Todos",datos_base!$I$11,0))*parametros_manuales!$I$105+parametros_manuales!$G$34*(datos_base!$I$5+IF(parametros_manuales!$H$34="Todos",datos_base!$I$12,0))*parametros_manuales!$I$110)*parametros_manuales!$I$34*parametros_manuales!$J$34</f>
        <v>18997.49</v>
      </c>
      <c r="J206" s="4">
        <f>(parametros_manuales!$D$34*(datos_base!$I$2+IF(parametros_manuales!$H$34="Todos",datos_base!$I$9,0))*parametros_manuales!$J$95+parametros_manuales!$E$34*(datos_base!$I$3+IF(parametros_manuales!$H$34="Todos",datos_base!$I$10,0))*parametros_manuales!$J$100+parametros_manuales!$F$34*(datos_base!$I$4+IF(parametros_manuales!$H$34="Todos",datos_base!$I$11,0))*parametros_manuales!$J$105+parametros_manuales!$G$34*(datos_base!$I$5+IF(parametros_manuales!$H$34="Todos",datos_base!$I$12,0))*parametros_manuales!$J$110)*parametros_manuales!$I$34*parametros_manuales!$J$34</f>
        <v>18997.49</v>
      </c>
      <c r="K206" s="4">
        <f>(parametros_manuales!$D$34*(datos_base!$I$2+IF(parametros_manuales!$H$34="Todos",datos_base!$I$9,0))*parametros_manuales!$K$95+parametros_manuales!$E$34*(datos_base!$I$3+IF(parametros_manuales!$H$34="Todos",datos_base!$I$10,0))*parametros_manuales!$K$100+parametros_manuales!$F$34*(datos_base!$I$4+IF(parametros_manuales!$H$34="Todos",datos_base!$I$11,0))*parametros_manuales!$K$105+parametros_manuales!$G$34*(datos_base!$I$5+IF(parametros_manuales!$H$34="Todos",datos_base!$I$12,0))*parametros_manuales!$K$110)*parametros_manuales!$I$34*parametros_manuales!$J$34</f>
        <v>19306.585</v>
      </c>
      <c r="L206" s="4">
        <f>(parametros_manuales!$D$34*(datos_base!$I$2+IF(parametros_manuales!$H$34="Todos",datos_base!$I$9,0))*parametros_manuales!$L$95+parametros_manuales!$E$34*(datos_base!$I$3+IF(parametros_manuales!$H$34="Todos",datos_base!$I$10,0))*parametros_manuales!$L$100+parametros_manuales!$F$34*(datos_base!$I$4+IF(parametros_manuales!$H$34="Todos",datos_base!$I$11,0))*parametros_manuales!$L$105+parametros_manuales!$G$34*(datos_base!$I$5+IF(parametros_manuales!$H$34="Todos",datos_base!$I$12,0))*parametros_manuales!$L$110)*parametros_manuales!$I$34*parametros_manuales!$J$34</f>
        <v>19615.68</v>
      </c>
      <c r="M206" s="4">
        <f>(parametros_manuales!$D$34*(datos_base!$I$2+IF(parametros_manuales!$H$34="Todos",datos_base!$I$9,0))*parametros_manuales!$M$95+parametros_manuales!$E$34*(datos_base!$I$3+IF(parametros_manuales!$H$34="Todos",datos_base!$I$10,0))*parametros_manuales!$M$100+parametros_manuales!$F$34*(datos_base!$I$4+IF(parametros_manuales!$H$34="Todos",datos_base!$I$11,0))*parametros_manuales!$M$105+parametros_manuales!$G$34*(datos_base!$I$5+IF(parametros_manuales!$H$34="Todos",datos_base!$I$12,0))*parametros_manuales!$M$110)*parametros_manuales!$I$34*parametros_manuales!$J$34</f>
        <v>19615.68</v>
      </c>
      <c r="N206" s="4">
        <f t="shared" si="22"/>
        <v>217952</v>
      </c>
      <c r="O206" s="4">
        <f t="shared" si="23"/>
        <v>19615.68</v>
      </c>
      <c r="P206" s="27">
        <f>O206/(parametros_manuales!$B$7)</f>
        <v>130.7712</v>
      </c>
      <c r="Q206" s="3" t="str">
        <f t="shared" si="24"/>
        <v>Ene</v>
      </c>
    </row>
    <row r="207" ht="14.25" customHeight="1">
      <c r="A207" s="3" t="str">
        <f>parametros_manuales!$B$35</f>
        <v>Detección de defectos</v>
      </c>
      <c r="B207" s="4">
        <f>(parametros_manuales!$D$35*(datos_base!$I$2+IF(parametros_manuales!$H$35="Todos",datos_base!$I$9,0))*parametros_manuales!$B$95+parametros_manuales!$E$35*(datos_base!$I$3+IF(parametros_manuales!$H$35="Todos",datos_base!$I$10,0))*parametros_manuales!$B$100+parametros_manuales!$F$35*(datos_base!$I$4+IF(parametros_manuales!$H$35="Todos",datos_base!$I$11,0))*parametros_manuales!$B$105+parametros_manuales!$G$35*(datos_base!$I$5+IF(parametros_manuales!$H$35="Todos",datos_base!$I$12,0))*parametros_manuales!$B$110)*parametros_manuales!$I$35*parametros_manuales!$J$35</f>
        <v>19615.68</v>
      </c>
      <c r="C207" s="4">
        <f>(parametros_manuales!$D$35*(datos_base!$I$2+IF(parametros_manuales!$H$35="Todos",datos_base!$I$9,0))*parametros_manuales!$C$95+parametros_manuales!$E$35*(datos_base!$I$3+IF(parametros_manuales!$H$35="Todos",datos_base!$I$10,0))*parametros_manuales!$C$100+parametros_manuales!$F$35*(datos_base!$I$4+IF(parametros_manuales!$H$35="Todos",datos_base!$I$11,0))*parametros_manuales!$C$105+parametros_manuales!$G$35*(datos_base!$I$5+IF(parametros_manuales!$H$35="Todos",datos_base!$I$12,0))*parametros_manuales!$C$110)*parametros_manuales!$I$35*parametros_manuales!$J$35</f>
        <v>18997.49</v>
      </c>
      <c r="D207" s="4">
        <f>(parametros_manuales!$D$35*(datos_base!$I$2+IF(parametros_manuales!$H$35="Todos",datos_base!$I$9,0))*parametros_manuales!$D$95+parametros_manuales!$E$35*(datos_base!$I$3+IF(parametros_manuales!$H$35="Todos",datos_base!$I$10,0))*parametros_manuales!$D$100+parametros_manuales!$F$35*(datos_base!$I$4+IF(parametros_manuales!$H$35="Todos",datos_base!$I$11,0))*parametros_manuales!$D$105+parametros_manuales!$G$35*(datos_base!$I$5+IF(parametros_manuales!$H$35="Todos",datos_base!$I$12,0))*parametros_manuales!$D$110)*parametros_manuales!$I$35*parametros_manuales!$J$35</f>
        <v>17745.255</v>
      </c>
      <c r="E207" s="4">
        <f>(parametros_manuales!$D$35*(datos_base!$I$2+IF(parametros_manuales!$H$35="Todos",datos_base!$I$9,0))*parametros_manuales!$E$95+parametros_manuales!$E$35*(datos_base!$I$3+IF(parametros_manuales!$H$35="Todos",datos_base!$I$10,0))*parametros_manuales!$E$100+parametros_manuales!$F$35*(datos_base!$I$4+IF(parametros_manuales!$H$35="Todos",datos_base!$I$11,0))*parametros_manuales!$E$105+parametros_manuales!$G$35*(datos_base!$I$5+IF(parametros_manuales!$H$35="Todos",datos_base!$I$12,0))*parametros_manuales!$E$110)*parametros_manuales!$I$35*parametros_manuales!$J$35</f>
        <v>16964.59</v>
      </c>
      <c r="F207" s="4">
        <f>(parametros_manuales!$D$35*(datos_base!$I$2+IF(parametros_manuales!$H$35="Todos",datos_base!$I$9,0))*parametros_manuales!$F$95+parametros_manuales!$E$35*(datos_base!$I$3+IF(parametros_manuales!$H$35="Todos",datos_base!$I$10,0))*parametros_manuales!$F$100+parametros_manuales!$F$35*(datos_base!$I$4+IF(parametros_manuales!$H$35="Todos",datos_base!$I$11,0))*parametros_manuales!$F$105+parametros_manuales!$G$35*(datos_base!$I$5+IF(parametros_manuales!$H$35="Todos",datos_base!$I$12,0))*parametros_manuales!$F$110)*parametros_manuales!$I$35*parametros_manuales!$J$35</f>
        <v>15874.83</v>
      </c>
      <c r="G207" s="4">
        <f>(parametros_manuales!$D$35*(datos_base!$I$2+IF(parametros_manuales!$H$35="Todos",datos_base!$I$9,0))*parametros_manuales!$G$95+parametros_manuales!$E$35*(datos_base!$I$3+IF(parametros_manuales!$H$35="Todos",datos_base!$I$10,0))*parametros_manuales!$G$100+parametros_manuales!$F$35*(datos_base!$I$4+IF(parametros_manuales!$H$35="Todos",datos_base!$I$11,0))*parametros_manuales!$G$105+parametros_manuales!$G$35*(datos_base!$I$5+IF(parametros_manuales!$H$35="Todos",datos_base!$I$12,0))*parametros_manuales!$G$110)*parametros_manuales!$I$35*parametros_manuales!$J$35</f>
        <v>15565.735</v>
      </c>
      <c r="H207" s="4">
        <f>(parametros_manuales!$D$35*(datos_base!$I$2+IF(parametros_manuales!$H$35="Todos",datos_base!$I$9,0))*parametros_manuales!$H$95+parametros_manuales!$E$35*(datos_base!$I$3+IF(parametros_manuales!$H$35="Todos",datos_base!$I$10,0))*parametros_manuales!$H$100+parametros_manuales!$F$35*(datos_base!$I$4+IF(parametros_manuales!$H$35="Todos",datos_base!$I$11,0))*parametros_manuales!$H$105+parametros_manuales!$G$35*(datos_base!$I$5+IF(parametros_manuales!$H$35="Todos",datos_base!$I$12,0))*parametros_manuales!$H$110)*parametros_manuales!$I$35*parametros_manuales!$J$35</f>
        <v>16655.495</v>
      </c>
      <c r="I207" s="4">
        <f>(parametros_manuales!$D$35*(datos_base!$I$2+IF(parametros_manuales!$H$35="Todos",datos_base!$I$9,0))*parametros_manuales!$I$95+parametros_manuales!$E$35*(datos_base!$I$3+IF(parametros_manuales!$H$35="Todos",datos_base!$I$10,0))*parametros_manuales!$I$100+parametros_manuales!$F$35*(datos_base!$I$4+IF(parametros_manuales!$H$35="Todos",datos_base!$I$11,0))*parametros_manuales!$I$105+parametros_manuales!$G$35*(datos_base!$I$5+IF(parametros_manuales!$H$35="Todos",datos_base!$I$12,0))*parametros_manuales!$I$110)*parametros_manuales!$I$35*parametros_manuales!$J$35</f>
        <v>18997.49</v>
      </c>
      <c r="J207" s="4">
        <f>(parametros_manuales!$D$35*(datos_base!$I$2+IF(parametros_manuales!$H$35="Todos",datos_base!$I$9,0))*parametros_manuales!$J$95+parametros_manuales!$E$35*(datos_base!$I$3+IF(parametros_manuales!$H$35="Todos",datos_base!$I$10,0))*parametros_manuales!$J$100+parametros_manuales!$F$35*(datos_base!$I$4+IF(parametros_manuales!$H$35="Todos",datos_base!$I$11,0))*parametros_manuales!$J$105+parametros_manuales!$G$35*(datos_base!$I$5+IF(parametros_manuales!$H$35="Todos",datos_base!$I$12,0))*parametros_manuales!$J$110)*parametros_manuales!$I$35*parametros_manuales!$J$35</f>
        <v>18997.49</v>
      </c>
      <c r="K207" s="4">
        <f>(parametros_manuales!$D$35*(datos_base!$I$2+IF(parametros_manuales!$H$35="Todos",datos_base!$I$9,0))*parametros_manuales!$K$95+parametros_manuales!$E$35*(datos_base!$I$3+IF(parametros_manuales!$H$35="Todos",datos_base!$I$10,0))*parametros_manuales!$K$100+parametros_manuales!$F$35*(datos_base!$I$4+IF(parametros_manuales!$H$35="Todos",datos_base!$I$11,0))*parametros_manuales!$K$105+parametros_manuales!$G$35*(datos_base!$I$5+IF(parametros_manuales!$H$35="Todos",datos_base!$I$12,0))*parametros_manuales!$K$110)*parametros_manuales!$I$35*parametros_manuales!$J$35</f>
        <v>19306.585</v>
      </c>
      <c r="L207" s="4">
        <f>(parametros_manuales!$D$35*(datos_base!$I$2+IF(parametros_manuales!$H$35="Todos",datos_base!$I$9,0))*parametros_manuales!$L$95+parametros_manuales!$E$35*(datos_base!$I$3+IF(parametros_manuales!$H$35="Todos",datos_base!$I$10,0))*parametros_manuales!$L$100+parametros_manuales!$F$35*(datos_base!$I$4+IF(parametros_manuales!$H$35="Todos",datos_base!$I$11,0))*parametros_manuales!$L$105+parametros_manuales!$G$35*(datos_base!$I$5+IF(parametros_manuales!$H$35="Todos",datos_base!$I$12,0))*parametros_manuales!$L$110)*parametros_manuales!$I$35*parametros_manuales!$J$35</f>
        <v>19615.68</v>
      </c>
      <c r="M207" s="4">
        <f>(parametros_manuales!$D$35*(datos_base!$I$2+IF(parametros_manuales!$H$35="Todos",datos_base!$I$9,0))*parametros_manuales!$M$95+parametros_manuales!$E$35*(datos_base!$I$3+IF(parametros_manuales!$H$35="Todos",datos_base!$I$10,0))*parametros_manuales!$M$100+parametros_manuales!$F$35*(datos_base!$I$4+IF(parametros_manuales!$H$35="Todos",datos_base!$I$11,0))*parametros_manuales!$M$105+parametros_manuales!$G$35*(datos_base!$I$5+IF(parametros_manuales!$H$35="Todos",datos_base!$I$12,0))*parametros_manuales!$M$110)*parametros_manuales!$I$35*parametros_manuales!$J$35</f>
        <v>19615.68</v>
      </c>
      <c r="N207" s="4">
        <f t="shared" si="22"/>
        <v>217952</v>
      </c>
      <c r="O207" s="4">
        <f t="shared" si="23"/>
        <v>19615.68</v>
      </c>
      <c r="P207" s="27">
        <f>O207/(parametros_manuales!$B$7)</f>
        <v>130.7712</v>
      </c>
      <c r="Q207" s="3" t="str">
        <f t="shared" si="24"/>
        <v>Ene</v>
      </c>
    </row>
    <row r="208" ht="14.25" customHeight="1">
      <c r="A208" s="3" t="str">
        <f>parametros_manuales!$B$36</f>
        <v>Corrección de defectos</v>
      </c>
      <c r="B208" s="4">
        <f>(parametros_manuales!$D$36*(datos_base!$I$2+IF(parametros_manuales!$H$36="Todos",datos_base!$I$9,0))*parametros_manuales!$B$95+parametros_manuales!$E$36*(datos_base!$I$3+IF(parametros_manuales!$H$36="Todos",datos_base!$I$10,0))*parametros_manuales!$B$100+parametros_manuales!$F$36*(datos_base!$I$4+IF(parametros_manuales!$H$36="Todos",datos_base!$I$11,0))*parametros_manuales!$B$105+parametros_manuales!$G$36*(datos_base!$I$5+IF(parametros_manuales!$H$36="Todos",datos_base!$I$12,0))*parametros_manuales!$B$110)*parametros_manuales!$I$36*parametros_manuales!$J$36</f>
        <v>980.784</v>
      </c>
      <c r="C208" s="4">
        <f>(parametros_manuales!$D$36*(datos_base!$I$2+IF(parametros_manuales!$H$36="Todos",datos_base!$I$9,0))*parametros_manuales!$C$95+parametros_manuales!$E$36*(datos_base!$I$3+IF(parametros_manuales!$H$36="Todos",datos_base!$I$10,0))*parametros_manuales!$C$100+parametros_manuales!$F$36*(datos_base!$I$4+IF(parametros_manuales!$H$36="Todos",datos_base!$I$11,0))*parametros_manuales!$C$105+parametros_manuales!$G$36*(datos_base!$I$5+IF(parametros_manuales!$H$36="Todos",datos_base!$I$12,0))*parametros_manuales!$C$110)*parametros_manuales!$I$36*parametros_manuales!$J$36</f>
        <v>949.8745</v>
      </c>
      <c r="D208" s="4">
        <f>(parametros_manuales!$D$36*(datos_base!$I$2+IF(parametros_manuales!$H$36="Todos",datos_base!$I$9,0))*parametros_manuales!$D$95+parametros_manuales!$E$36*(datos_base!$I$3+IF(parametros_manuales!$H$36="Todos",datos_base!$I$10,0))*parametros_manuales!$D$100+parametros_manuales!$F$36*(datos_base!$I$4+IF(parametros_manuales!$H$36="Todos",datos_base!$I$11,0))*parametros_manuales!$D$105+parametros_manuales!$G$36*(datos_base!$I$5+IF(parametros_manuales!$H$36="Todos",datos_base!$I$12,0))*parametros_manuales!$D$110)*parametros_manuales!$I$36*parametros_manuales!$J$36</f>
        <v>887.26275</v>
      </c>
      <c r="E208" s="4">
        <f>(parametros_manuales!$D$36*(datos_base!$I$2+IF(parametros_manuales!$H$36="Todos",datos_base!$I$9,0))*parametros_manuales!$E$95+parametros_manuales!$E$36*(datos_base!$I$3+IF(parametros_manuales!$H$36="Todos",datos_base!$I$10,0))*parametros_manuales!$E$100+parametros_manuales!$F$36*(datos_base!$I$4+IF(parametros_manuales!$H$36="Todos",datos_base!$I$11,0))*parametros_manuales!$E$105+parametros_manuales!$G$36*(datos_base!$I$5+IF(parametros_manuales!$H$36="Todos",datos_base!$I$12,0))*parametros_manuales!$E$110)*parametros_manuales!$I$36*parametros_manuales!$J$36</f>
        <v>848.2295</v>
      </c>
      <c r="F208" s="4">
        <f>(parametros_manuales!$D$36*(datos_base!$I$2+IF(parametros_manuales!$H$36="Todos",datos_base!$I$9,0))*parametros_manuales!$F$95+parametros_manuales!$E$36*(datos_base!$I$3+IF(parametros_manuales!$H$36="Todos",datos_base!$I$10,0))*parametros_manuales!$F$100+parametros_manuales!$F$36*(datos_base!$I$4+IF(parametros_manuales!$H$36="Todos",datos_base!$I$11,0))*parametros_manuales!$F$105+parametros_manuales!$G$36*(datos_base!$I$5+IF(parametros_manuales!$H$36="Todos",datos_base!$I$12,0))*parametros_manuales!$F$110)*parametros_manuales!$I$36*parametros_manuales!$J$36</f>
        <v>793.7415</v>
      </c>
      <c r="G208" s="4">
        <f>(parametros_manuales!$D$36*(datos_base!$I$2+IF(parametros_manuales!$H$36="Todos",datos_base!$I$9,0))*parametros_manuales!$G$95+parametros_manuales!$E$36*(datos_base!$I$3+IF(parametros_manuales!$H$36="Todos",datos_base!$I$10,0))*parametros_manuales!$G$100+parametros_manuales!$F$36*(datos_base!$I$4+IF(parametros_manuales!$H$36="Todos",datos_base!$I$11,0))*parametros_manuales!$G$105+parametros_manuales!$G$36*(datos_base!$I$5+IF(parametros_manuales!$H$36="Todos",datos_base!$I$12,0))*parametros_manuales!$G$110)*parametros_manuales!$I$36*parametros_manuales!$J$36</f>
        <v>778.28675</v>
      </c>
      <c r="H208" s="4">
        <f>(parametros_manuales!$D$36*(datos_base!$I$2+IF(parametros_manuales!$H$36="Todos",datos_base!$I$9,0))*parametros_manuales!$H$95+parametros_manuales!$E$36*(datos_base!$I$3+IF(parametros_manuales!$H$36="Todos",datos_base!$I$10,0))*parametros_manuales!$H$100+parametros_manuales!$F$36*(datos_base!$I$4+IF(parametros_manuales!$H$36="Todos",datos_base!$I$11,0))*parametros_manuales!$H$105+parametros_manuales!$G$36*(datos_base!$I$5+IF(parametros_manuales!$H$36="Todos",datos_base!$I$12,0))*parametros_manuales!$H$110)*parametros_manuales!$I$36*parametros_manuales!$J$36</f>
        <v>832.77475</v>
      </c>
      <c r="I208" s="4">
        <f>(parametros_manuales!$D$36*(datos_base!$I$2+IF(parametros_manuales!$H$36="Todos",datos_base!$I$9,0))*parametros_manuales!$I$95+parametros_manuales!$E$36*(datos_base!$I$3+IF(parametros_manuales!$H$36="Todos",datos_base!$I$10,0))*parametros_manuales!$I$100+parametros_manuales!$F$36*(datos_base!$I$4+IF(parametros_manuales!$H$36="Todos",datos_base!$I$11,0))*parametros_manuales!$I$105+parametros_manuales!$G$36*(datos_base!$I$5+IF(parametros_manuales!$H$36="Todos",datos_base!$I$12,0))*parametros_manuales!$I$110)*parametros_manuales!$I$36*parametros_manuales!$J$36</f>
        <v>949.8745</v>
      </c>
      <c r="J208" s="4">
        <f>(parametros_manuales!$D$36*(datos_base!$I$2+IF(parametros_manuales!$H$36="Todos",datos_base!$I$9,0))*parametros_manuales!$J$95+parametros_manuales!$E$36*(datos_base!$I$3+IF(parametros_manuales!$H$36="Todos",datos_base!$I$10,0))*parametros_manuales!$J$100+parametros_manuales!$F$36*(datos_base!$I$4+IF(parametros_manuales!$H$36="Todos",datos_base!$I$11,0))*parametros_manuales!$J$105+parametros_manuales!$G$36*(datos_base!$I$5+IF(parametros_manuales!$H$36="Todos",datos_base!$I$12,0))*parametros_manuales!$J$110)*parametros_manuales!$I$36*parametros_manuales!$J$36</f>
        <v>949.8745</v>
      </c>
      <c r="K208" s="4">
        <f>(parametros_manuales!$D$36*(datos_base!$I$2+IF(parametros_manuales!$H$36="Todos",datos_base!$I$9,0))*parametros_manuales!$K$95+parametros_manuales!$E$36*(datos_base!$I$3+IF(parametros_manuales!$H$36="Todos",datos_base!$I$10,0))*parametros_manuales!$K$100+parametros_manuales!$F$36*(datos_base!$I$4+IF(parametros_manuales!$H$36="Todos",datos_base!$I$11,0))*parametros_manuales!$K$105+parametros_manuales!$G$36*(datos_base!$I$5+IF(parametros_manuales!$H$36="Todos",datos_base!$I$12,0))*parametros_manuales!$K$110)*parametros_manuales!$I$36*parametros_manuales!$J$36</f>
        <v>965.32925</v>
      </c>
      <c r="L208" s="4">
        <f>(parametros_manuales!$D$36*(datos_base!$I$2+IF(parametros_manuales!$H$36="Todos",datos_base!$I$9,0))*parametros_manuales!$L$95+parametros_manuales!$E$36*(datos_base!$I$3+IF(parametros_manuales!$H$36="Todos",datos_base!$I$10,0))*parametros_manuales!$L$100+parametros_manuales!$F$36*(datos_base!$I$4+IF(parametros_manuales!$H$36="Todos",datos_base!$I$11,0))*parametros_manuales!$L$105+parametros_manuales!$G$36*(datos_base!$I$5+IF(parametros_manuales!$H$36="Todos",datos_base!$I$12,0))*parametros_manuales!$L$110)*parametros_manuales!$I$36*parametros_manuales!$J$36</f>
        <v>980.784</v>
      </c>
      <c r="M208" s="4">
        <f>(parametros_manuales!$D$36*(datos_base!$I$2+IF(parametros_manuales!$H$36="Todos",datos_base!$I$9,0))*parametros_manuales!$M$95+parametros_manuales!$E$36*(datos_base!$I$3+IF(parametros_manuales!$H$36="Todos",datos_base!$I$10,0))*parametros_manuales!$M$100+parametros_manuales!$F$36*(datos_base!$I$4+IF(parametros_manuales!$H$36="Todos",datos_base!$I$11,0))*parametros_manuales!$M$105+parametros_manuales!$G$36*(datos_base!$I$5+IF(parametros_manuales!$H$36="Todos",datos_base!$I$12,0))*parametros_manuales!$M$110)*parametros_manuales!$I$36*parametros_manuales!$J$36</f>
        <v>980.784</v>
      </c>
      <c r="N208" s="4">
        <f t="shared" si="22"/>
        <v>10897.6</v>
      </c>
      <c r="O208" s="4">
        <f t="shared" si="23"/>
        <v>980.784</v>
      </c>
      <c r="P208" s="27">
        <f>O208/(parametros_manuales!$B$7)</f>
        <v>6.53856</v>
      </c>
      <c r="Q208" s="3" t="str">
        <f t="shared" si="24"/>
        <v>Ene</v>
      </c>
    </row>
    <row r="209" ht="14.25" customHeight="1">
      <c r="A209" s="3" t="str">
        <f>parametros_manuales!$B$37</f>
        <v>Pintura en polvo + horno</v>
      </c>
      <c r="B209" s="4">
        <f>(parametros_manuales!$D$37*(datos_base!$I$2+IF(parametros_manuales!$H$37="Todos",datos_base!$I$9,0))*parametros_manuales!$B$95+parametros_manuales!$E$37*(datos_base!$I$3+IF(parametros_manuales!$H$37="Todos",datos_base!$I$10,0))*parametros_manuales!$B$100+parametros_manuales!$F$37*(datos_base!$I$4+IF(parametros_manuales!$H$37="Todos",datos_base!$I$11,0))*parametros_manuales!$B$105+parametros_manuales!$G$37*(datos_base!$I$5+IF(parametros_manuales!$H$37="Todos",datos_base!$I$12,0))*parametros_manuales!$B$110)*parametros_manuales!$I$37*parametros_manuales!$J$37</f>
        <v>19615.68</v>
      </c>
      <c r="C209" s="4">
        <f>(parametros_manuales!$D$37*(datos_base!$I$2+IF(parametros_manuales!$H$37="Todos",datos_base!$I$9,0))*parametros_manuales!$C$95+parametros_manuales!$E$37*(datos_base!$I$3+IF(parametros_manuales!$H$37="Todos",datos_base!$I$10,0))*parametros_manuales!$C$100+parametros_manuales!$F$37*(datos_base!$I$4+IF(parametros_manuales!$H$37="Todos",datos_base!$I$11,0))*parametros_manuales!$C$105+parametros_manuales!$G$37*(datos_base!$I$5+IF(parametros_manuales!$H$37="Todos",datos_base!$I$12,0))*parametros_manuales!$C$110)*parametros_manuales!$I$37*parametros_manuales!$J$37</f>
        <v>18997.49</v>
      </c>
      <c r="D209" s="4">
        <f>(parametros_manuales!$D$37*(datos_base!$I$2+IF(parametros_manuales!$H$37="Todos",datos_base!$I$9,0))*parametros_manuales!$D$95+parametros_manuales!$E$37*(datos_base!$I$3+IF(parametros_manuales!$H$37="Todos",datos_base!$I$10,0))*parametros_manuales!$D$100+parametros_manuales!$F$37*(datos_base!$I$4+IF(parametros_manuales!$H$37="Todos",datos_base!$I$11,0))*parametros_manuales!$D$105+parametros_manuales!$G$37*(datos_base!$I$5+IF(parametros_manuales!$H$37="Todos",datos_base!$I$12,0))*parametros_manuales!$D$110)*parametros_manuales!$I$37*parametros_manuales!$J$37</f>
        <v>17745.255</v>
      </c>
      <c r="E209" s="4">
        <f>(parametros_manuales!$D$37*(datos_base!$I$2+IF(parametros_manuales!$H$37="Todos",datos_base!$I$9,0))*parametros_manuales!$E$95+parametros_manuales!$E$37*(datos_base!$I$3+IF(parametros_manuales!$H$37="Todos",datos_base!$I$10,0))*parametros_manuales!$E$100+parametros_manuales!$F$37*(datos_base!$I$4+IF(parametros_manuales!$H$37="Todos",datos_base!$I$11,0))*parametros_manuales!$E$105+parametros_manuales!$G$37*(datos_base!$I$5+IF(parametros_manuales!$H$37="Todos",datos_base!$I$12,0))*parametros_manuales!$E$110)*parametros_manuales!$I$37*parametros_manuales!$J$37</f>
        <v>16964.59</v>
      </c>
      <c r="F209" s="4">
        <f>(parametros_manuales!$D$37*(datos_base!$I$2+IF(parametros_manuales!$H$37="Todos",datos_base!$I$9,0))*parametros_manuales!$F$95+parametros_manuales!$E$37*(datos_base!$I$3+IF(parametros_manuales!$H$37="Todos",datos_base!$I$10,0))*parametros_manuales!$F$100+parametros_manuales!$F$37*(datos_base!$I$4+IF(parametros_manuales!$H$37="Todos",datos_base!$I$11,0))*parametros_manuales!$F$105+parametros_manuales!$G$37*(datos_base!$I$5+IF(parametros_manuales!$H$37="Todos",datos_base!$I$12,0))*parametros_manuales!$F$110)*parametros_manuales!$I$37*parametros_manuales!$J$37</f>
        <v>15874.83</v>
      </c>
      <c r="G209" s="4">
        <f>(parametros_manuales!$D$37*(datos_base!$I$2+IF(parametros_manuales!$H$37="Todos",datos_base!$I$9,0))*parametros_manuales!$G$95+parametros_manuales!$E$37*(datos_base!$I$3+IF(parametros_manuales!$H$37="Todos",datos_base!$I$10,0))*parametros_manuales!$G$100+parametros_manuales!$F$37*(datos_base!$I$4+IF(parametros_manuales!$H$37="Todos",datos_base!$I$11,0))*parametros_manuales!$G$105+parametros_manuales!$G$37*(datos_base!$I$5+IF(parametros_manuales!$H$37="Todos",datos_base!$I$12,0))*parametros_manuales!$G$110)*parametros_manuales!$I$37*parametros_manuales!$J$37</f>
        <v>15565.735</v>
      </c>
      <c r="H209" s="4">
        <f>(parametros_manuales!$D$37*(datos_base!$I$2+IF(parametros_manuales!$H$37="Todos",datos_base!$I$9,0))*parametros_manuales!$H$95+parametros_manuales!$E$37*(datos_base!$I$3+IF(parametros_manuales!$H$37="Todos",datos_base!$I$10,0))*parametros_manuales!$H$100+parametros_manuales!$F$37*(datos_base!$I$4+IF(parametros_manuales!$H$37="Todos",datos_base!$I$11,0))*parametros_manuales!$H$105+parametros_manuales!$G$37*(datos_base!$I$5+IF(parametros_manuales!$H$37="Todos",datos_base!$I$12,0))*parametros_manuales!$H$110)*parametros_manuales!$I$37*parametros_manuales!$J$37</f>
        <v>16655.495</v>
      </c>
      <c r="I209" s="4">
        <f>(parametros_manuales!$D$37*(datos_base!$I$2+IF(parametros_manuales!$H$37="Todos",datos_base!$I$9,0))*parametros_manuales!$I$95+parametros_manuales!$E$37*(datos_base!$I$3+IF(parametros_manuales!$H$37="Todos",datos_base!$I$10,0))*parametros_manuales!$I$100+parametros_manuales!$F$37*(datos_base!$I$4+IF(parametros_manuales!$H$37="Todos",datos_base!$I$11,0))*parametros_manuales!$I$105+parametros_manuales!$G$37*(datos_base!$I$5+IF(parametros_manuales!$H$37="Todos",datos_base!$I$12,0))*parametros_manuales!$I$110)*parametros_manuales!$I$37*parametros_manuales!$J$37</f>
        <v>18997.49</v>
      </c>
      <c r="J209" s="4">
        <f>(parametros_manuales!$D$37*(datos_base!$I$2+IF(parametros_manuales!$H$37="Todos",datos_base!$I$9,0))*parametros_manuales!$J$95+parametros_manuales!$E$37*(datos_base!$I$3+IF(parametros_manuales!$H$37="Todos",datos_base!$I$10,0))*parametros_manuales!$J$100+parametros_manuales!$F$37*(datos_base!$I$4+IF(parametros_manuales!$H$37="Todos",datos_base!$I$11,0))*parametros_manuales!$J$105+parametros_manuales!$G$37*(datos_base!$I$5+IF(parametros_manuales!$H$37="Todos",datos_base!$I$12,0))*parametros_manuales!$J$110)*parametros_manuales!$I$37*parametros_manuales!$J$37</f>
        <v>18997.49</v>
      </c>
      <c r="K209" s="4">
        <f>(parametros_manuales!$D$37*(datos_base!$I$2+IF(parametros_manuales!$H$37="Todos",datos_base!$I$9,0))*parametros_manuales!$K$95+parametros_manuales!$E$37*(datos_base!$I$3+IF(parametros_manuales!$H$37="Todos",datos_base!$I$10,0))*parametros_manuales!$K$100+parametros_manuales!$F$37*(datos_base!$I$4+IF(parametros_manuales!$H$37="Todos",datos_base!$I$11,0))*parametros_manuales!$K$105+parametros_manuales!$G$37*(datos_base!$I$5+IF(parametros_manuales!$H$37="Todos",datos_base!$I$12,0))*parametros_manuales!$K$110)*parametros_manuales!$I$37*parametros_manuales!$J$37</f>
        <v>19306.585</v>
      </c>
      <c r="L209" s="4">
        <f>(parametros_manuales!$D$37*(datos_base!$I$2+IF(parametros_manuales!$H$37="Todos",datos_base!$I$9,0))*parametros_manuales!$L$95+parametros_manuales!$E$37*(datos_base!$I$3+IF(parametros_manuales!$H$37="Todos",datos_base!$I$10,0))*parametros_manuales!$L$100+parametros_manuales!$F$37*(datos_base!$I$4+IF(parametros_manuales!$H$37="Todos",datos_base!$I$11,0))*parametros_manuales!$L$105+parametros_manuales!$G$37*(datos_base!$I$5+IF(parametros_manuales!$H$37="Todos",datos_base!$I$12,0))*parametros_manuales!$L$110)*parametros_manuales!$I$37*parametros_manuales!$J$37</f>
        <v>19615.68</v>
      </c>
      <c r="M209" s="4">
        <f>(parametros_manuales!$D$37*(datos_base!$I$2+IF(parametros_manuales!$H$37="Todos",datos_base!$I$9,0))*parametros_manuales!$M$95+parametros_manuales!$E$37*(datos_base!$I$3+IF(parametros_manuales!$H$37="Todos",datos_base!$I$10,0))*parametros_manuales!$M$100+parametros_manuales!$F$37*(datos_base!$I$4+IF(parametros_manuales!$H$37="Todos",datos_base!$I$11,0))*parametros_manuales!$M$105+parametros_manuales!$G$37*(datos_base!$I$5+IF(parametros_manuales!$H$37="Todos",datos_base!$I$12,0))*parametros_manuales!$M$110)*parametros_manuales!$I$37*parametros_manuales!$J$37</f>
        <v>19615.68</v>
      </c>
      <c r="N209" s="4">
        <f t="shared" si="22"/>
        <v>217952</v>
      </c>
      <c r="O209" s="4">
        <f t="shared" si="23"/>
        <v>19615.68</v>
      </c>
      <c r="P209" s="27">
        <f>O209/(parametros_manuales!$B$7)</f>
        <v>130.7712</v>
      </c>
      <c r="Q209" s="3" t="str">
        <f t="shared" si="24"/>
        <v>Ene</v>
      </c>
    </row>
    <row r="210" ht="14.25" customHeight="1">
      <c r="A210" s="3" t="str">
        <f>parametros_manuales!$B$38</f>
        <v>Carga de polvo</v>
      </c>
      <c r="B210" s="4">
        <f>(parametros_manuales!$D$38*(datos_base!$I$2+IF(parametros_manuales!$H$38="Todos",datos_base!$I$9,0))*parametros_manuales!$B$95+parametros_manuales!$E$38*(datos_base!$I$3+IF(parametros_manuales!$H$38="Todos",datos_base!$I$10,0))*parametros_manuales!$B$100+parametros_manuales!$F$38*(datos_base!$I$4+IF(parametros_manuales!$H$38="Todos",datos_base!$I$11,0))*parametros_manuales!$B$105+parametros_manuales!$G$38*(datos_base!$I$5+IF(parametros_manuales!$H$38="Todos",datos_base!$I$12,0))*parametros_manuales!$B$110)*parametros_manuales!$I$38*parametros_manuales!$J$38</f>
        <v>4950</v>
      </c>
      <c r="C210" s="4">
        <f>(parametros_manuales!$D$38*(datos_base!$I$2+IF(parametros_manuales!$H$38="Todos",datos_base!$I$9,0))*parametros_manuales!$C$95+parametros_manuales!$E$38*(datos_base!$I$3+IF(parametros_manuales!$H$38="Todos",datos_base!$I$10,0))*parametros_manuales!$C$100+parametros_manuales!$F$38*(datos_base!$I$4+IF(parametros_manuales!$H$38="Todos",datos_base!$I$11,0))*parametros_manuales!$C$105+parametros_manuales!$G$38*(datos_base!$I$5+IF(parametros_manuales!$H$38="Todos",datos_base!$I$12,0))*parametros_manuales!$C$110)*parametros_manuales!$I$38*parametros_manuales!$J$38</f>
        <v>4651.32</v>
      </c>
      <c r="D210" s="4">
        <f>(parametros_manuales!$D$38*(datos_base!$I$2+IF(parametros_manuales!$H$38="Todos",datos_base!$I$9,0))*parametros_manuales!$D$95+parametros_manuales!$E$38*(datos_base!$I$3+IF(parametros_manuales!$H$38="Todos",datos_base!$I$10,0))*parametros_manuales!$D$100+parametros_manuales!$F$38*(datos_base!$I$4+IF(parametros_manuales!$H$38="Todos",datos_base!$I$11,0))*parametros_manuales!$D$105+parametros_manuales!$G$38*(datos_base!$I$5+IF(parametros_manuales!$H$38="Todos",datos_base!$I$12,0))*parametros_manuales!$D$110)*parametros_manuales!$I$38*parametros_manuales!$J$38</f>
        <v>4549.34</v>
      </c>
      <c r="E210" s="4">
        <f>(parametros_manuales!$D$38*(datos_base!$I$2+IF(parametros_manuales!$H$38="Todos",datos_base!$I$9,0))*parametros_manuales!$E$95+parametros_manuales!$E$38*(datos_base!$I$3+IF(parametros_manuales!$H$38="Todos",datos_base!$I$10,0))*parametros_manuales!$E$100+parametros_manuales!$F$38*(datos_base!$I$4+IF(parametros_manuales!$H$38="Todos",datos_base!$I$11,0))*parametros_manuales!$E$105+parametros_manuales!$G$38*(datos_base!$I$5+IF(parametros_manuales!$H$38="Todos",datos_base!$I$12,0))*parametros_manuales!$E$110)*parametros_manuales!$I$38*parametros_manuales!$J$38</f>
        <v>4423.68</v>
      </c>
      <c r="F210" s="4">
        <f>(parametros_manuales!$D$38*(datos_base!$I$2+IF(parametros_manuales!$H$38="Todos",datos_base!$I$9,0))*parametros_manuales!$F$95+parametros_manuales!$E$38*(datos_base!$I$3+IF(parametros_manuales!$H$38="Todos",datos_base!$I$10,0))*parametros_manuales!$F$100+parametros_manuales!$F$38*(datos_base!$I$4+IF(parametros_manuales!$H$38="Todos",datos_base!$I$11,0))*parametros_manuales!$F$105+parametros_manuales!$G$38*(datos_base!$I$5+IF(parametros_manuales!$H$38="Todos",datos_base!$I$12,0))*parametros_manuales!$F$110)*parametros_manuales!$I$38*parametros_manuales!$J$38</f>
        <v>4148.68</v>
      </c>
      <c r="G210" s="4">
        <f>(parametros_manuales!$D$38*(datos_base!$I$2+IF(parametros_manuales!$H$38="Todos",datos_base!$I$9,0))*parametros_manuales!$G$95+parametros_manuales!$E$38*(datos_base!$I$3+IF(parametros_manuales!$H$38="Todos",datos_base!$I$10,0))*parametros_manuales!$G$100+parametros_manuales!$F$38*(datos_base!$I$4+IF(parametros_manuales!$H$38="Todos",datos_base!$I$11,0))*parametros_manuales!$G$105+parametros_manuales!$G$38*(datos_base!$I$5+IF(parametros_manuales!$H$38="Todos",datos_base!$I$12,0))*parametros_manuales!$G$110)*parametros_manuales!$I$38*parametros_manuales!$J$38</f>
        <v>3999.34</v>
      </c>
      <c r="H210" s="4">
        <f>(parametros_manuales!$D$38*(datos_base!$I$2+IF(parametros_manuales!$H$38="Todos",datos_base!$I$9,0))*parametros_manuales!$H$95+parametros_manuales!$E$38*(datos_base!$I$3+IF(parametros_manuales!$H$38="Todos",datos_base!$I$10,0))*parametros_manuales!$H$100+parametros_manuales!$F$38*(datos_base!$I$4+IF(parametros_manuales!$H$38="Todos",datos_base!$I$11,0))*parametros_manuales!$H$105+parametros_manuales!$G$38*(datos_base!$I$5+IF(parametros_manuales!$H$38="Todos",datos_base!$I$12,0))*parametros_manuales!$H$110)*parametros_manuales!$I$38*parametros_manuales!$J$38</f>
        <v>4274.34</v>
      </c>
      <c r="I210" s="4">
        <f>(parametros_manuales!$D$38*(datos_base!$I$2+IF(parametros_manuales!$H$38="Todos",datos_base!$I$9,0))*parametros_manuales!$I$95+parametros_manuales!$E$38*(datos_base!$I$3+IF(parametros_manuales!$H$38="Todos",datos_base!$I$10,0))*parametros_manuales!$I$100+parametros_manuales!$F$38*(datos_base!$I$4+IF(parametros_manuales!$H$38="Todos",datos_base!$I$11,0))*parametros_manuales!$I$105+parametros_manuales!$G$38*(datos_base!$I$5+IF(parametros_manuales!$H$38="Todos",datos_base!$I$12,0))*parametros_manuales!$I$110)*parametros_manuales!$I$38*parametros_manuales!$J$38</f>
        <v>4651.32</v>
      </c>
      <c r="J210" s="4">
        <f>(parametros_manuales!$D$38*(datos_base!$I$2+IF(parametros_manuales!$H$38="Todos",datos_base!$I$9,0))*parametros_manuales!$J$95+parametros_manuales!$E$38*(datos_base!$I$3+IF(parametros_manuales!$H$38="Todos",datos_base!$I$10,0))*parametros_manuales!$J$100+parametros_manuales!$F$38*(datos_base!$I$4+IF(parametros_manuales!$H$38="Todos",datos_base!$I$11,0))*parametros_manuales!$J$105+parametros_manuales!$G$38*(datos_base!$I$5+IF(parametros_manuales!$H$38="Todos",datos_base!$I$12,0))*parametros_manuales!$J$110)*parametros_manuales!$I$38*parametros_manuales!$J$38</f>
        <v>4651.32</v>
      </c>
      <c r="K210" s="4">
        <f>(parametros_manuales!$D$38*(datos_base!$I$2+IF(parametros_manuales!$H$38="Todos",datos_base!$I$9,0))*parametros_manuales!$K$95+parametros_manuales!$E$38*(datos_base!$I$3+IF(parametros_manuales!$H$38="Todos",datos_base!$I$10,0))*parametros_manuales!$K$100+parametros_manuales!$F$38*(datos_base!$I$4+IF(parametros_manuales!$H$38="Todos",datos_base!$I$11,0))*parametros_manuales!$K$105+parametros_manuales!$G$38*(datos_base!$I$5+IF(parametros_manuales!$H$38="Todos",datos_base!$I$12,0))*parametros_manuales!$K$110)*parametros_manuales!$I$38*parametros_manuales!$J$38</f>
        <v>4800.66</v>
      </c>
      <c r="L210" s="4">
        <f>(parametros_manuales!$D$38*(datos_base!$I$2+IF(parametros_manuales!$H$38="Todos",datos_base!$I$9,0))*parametros_manuales!$L$95+parametros_manuales!$E$38*(datos_base!$I$3+IF(parametros_manuales!$H$38="Todos",datos_base!$I$10,0))*parametros_manuales!$L$100+parametros_manuales!$F$38*(datos_base!$I$4+IF(parametros_manuales!$H$38="Todos",datos_base!$I$11,0))*parametros_manuales!$L$105+parametros_manuales!$G$38*(datos_base!$I$5+IF(parametros_manuales!$H$38="Todos",datos_base!$I$12,0))*parametros_manuales!$L$110)*parametros_manuales!$I$38*parametros_manuales!$J$38</f>
        <v>4950</v>
      </c>
      <c r="M210" s="4">
        <f>(parametros_manuales!$D$38*(datos_base!$I$2+IF(parametros_manuales!$H$38="Todos",datos_base!$I$9,0))*parametros_manuales!$M$95+parametros_manuales!$E$38*(datos_base!$I$3+IF(parametros_manuales!$H$38="Todos",datos_base!$I$10,0))*parametros_manuales!$M$100+parametros_manuales!$F$38*(datos_base!$I$4+IF(parametros_manuales!$H$38="Todos",datos_base!$I$11,0))*parametros_manuales!$M$105+parametros_manuales!$G$38*(datos_base!$I$5+IF(parametros_manuales!$H$38="Todos",datos_base!$I$12,0))*parametros_manuales!$M$110)*parametros_manuales!$I$38*parametros_manuales!$J$38</f>
        <v>4950</v>
      </c>
      <c r="N210" s="4">
        <f t="shared" si="22"/>
        <v>55000</v>
      </c>
      <c r="O210" s="4">
        <f t="shared" si="23"/>
        <v>4950</v>
      </c>
      <c r="P210" s="27">
        <f>O210/(parametros_manuales!$B$7)</f>
        <v>33</v>
      </c>
      <c r="Q210" s="3" t="str">
        <f t="shared" si="24"/>
        <v>Ene</v>
      </c>
    </row>
    <row r="211" ht="14.25" customHeight="1">
      <c r="A211" s="3" t="str">
        <f>parametros_manuales!$B$39</f>
        <v>Ensamblaje</v>
      </c>
      <c r="B211" s="4">
        <f>(parametros_manuales!$D$39*(datos_base!$I$2+IF(parametros_manuales!$H$39="Todos",datos_base!$I$9,0))*parametros_manuales!$B$95+parametros_manuales!$E$39*(datos_base!$I$3+IF(parametros_manuales!$H$39="Todos",datos_base!$I$10,0))*parametros_manuales!$B$100+parametros_manuales!$F$39*(datos_base!$I$4+IF(parametros_manuales!$H$39="Todos",datos_base!$I$11,0))*parametros_manuales!$B$105+parametros_manuales!$G$39*(datos_base!$I$5+IF(parametros_manuales!$H$39="Todos",datos_base!$I$12,0))*parametros_manuales!$B$110)*parametros_manuales!$I$39*parametros_manuales!$J$39</f>
        <v>4950</v>
      </c>
      <c r="C211" s="4">
        <f>(parametros_manuales!$D$39*(datos_base!$I$2+IF(parametros_manuales!$H$39="Todos",datos_base!$I$9,0))*parametros_manuales!$C$95+parametros_manuales!$E$39*(datos_base!$I$3+IF(parametros_manuales!$H$39="Todos",datos_base!$I$10,0))*parametros_manuales!$C$100+parametros_manuales!$F$39*(datos_base!$I$4+IF(parametros_manuales!$H$39="Todos",datos_base!$I$11,0))*parametros_manuales!$C$105+parametros_manuales!$G$39*(datos_base!$I$5+IF(parametros_manuales!$H$39="Todos",datos_base!$I$12,0))*parametros_manuales!$C$110)*parametros_manuales!$I$39*parametros_manuales!$J$39</f>
        <v>4651.32</v>
      </c>
      <c r="D211" s="4">
        <f>(parametros_manuales!$D$39*(datos_base!$I$2+IF(parametros_manuales!$H$39="Todos",datos_base!$I$9,0))*parametros_manuales!$D$95+parametros_manuales!$E$39*(datos_base!$I$3+IF(parametros_manuales!$H$39="Todos",datos_base!$I$10,0))*parametros_manuales!$D$100+parametros_manuales!$F$39*(datos_base!$I$4+IF(parametros_manuales!$H$39="Todos",datos_base!$I$11,0))*parametros_manuales!$D$105+parametros_manuales!$G$39*(datos_base!$I$5+IF(parametros_manuales!$H$39="Todos",datos_base!$I$12,0))*parametros_manuales!$D$110)*parametros_manuales!$I$39*parametros_manuales!$J$39</f>
        <v>4549.34</v>
      </c>
      <c r="E211" s="4">
        <f>(parametros_manuales!$D$39*(datos_base!$I$2+IF(parametros_manuales!$H$39="Todos",datos_base!$I$9,0))*parametros_manuales!$E$95+parametros_manuales!$E$39*(datos_base!$I$3+IF(parametros_manuales!$H$39="Todos",datos_base!$I$10,0))*parametros_manuales!$E$100+parametros_manuales!$F$39*(datos_base!$I$4+IF(parametros_manuales!$H$39="Todos",datos_base!$I$11,0))*parametros_manuales!$E$105+parametros_manuales!$G$39*(datos_base!$I$5+IF(parametros_manuales!$H$39="Todos",datos_base!$I$12,0))*parametros_manuales!$E$110)*parametros_manuales!$I$39*parametros_manuales!$J$39</f>
        <v>4423.68</v>
      </c>
      <c r="F211" s="4">
        <f>(parametros_manuales!$D$39*(datos_base!$I$2+IF(parametros_manuales!$H$39="Todos",datos_base!$I$9,0))*parametros_manuales!$F$95+parametros_manuales!$E$39*(datos_base!$I$3+IF(parametros_manuales!$H$39="Todos",datos_base!$I$10,0))*parametros_manuales!$F$100+parametros_manuales!$F$39*(datos_base!$I$4+IF(parametros_manuales!$H$39="Todos",datos_base!$I$11,0))*parametros_manuales!$F$105+parametros_manuales!$G$39*(datos_base!$I$5+IF(parametros_manuales!$H$39="Todos",datos_base!$I$12,0))*parametros_manuales!$F$110)*parametros_manuales!$I$39*parametros_manuales!$J$39</f>
        <v>4148.68</v>
      </c>
      <c r="G211" s="4">
        <f>(parametros_manuales!$D$39*(datos_base!$I$2+IF(parametros_manuales!$H$39="Todos",datos_base!$I$9,0))*parametros_manuales!$G$95+parametros_manuales!$E$39*(datos_base!$I$3+IF(parametros_manuales!$H$39="Todos",datos_base!$I$10,0))*parametros_manuales!$G$100+parametros_manuales!$F$39*(datos_base!$I$4+IF(parametros_manuales!$H$39="Todos",datos_base!$I$11,0))*parametros_manuales!$G$105+parametros_manuales!$G$39*(datos_base!$I$5+IF(parametros_manuales!$H$39="Todos",datos_base!$I$12,0))*parametros_manuales!$G$110)*parametros_manuales!$I$39*parametros_manuales!$J$39</f>
        <v>3999.34</v>
      </c>
      <c r="H211" s="4">
        <f>(parametros_manuales!$D$39*(datos_base!$I$2+IF(parametros_manuales!$H$39="Todos",datos_base!$I$9,0))*parametros_manuales!$H$95+parametros_manuales!$E$39*(datos_base!$I$3+IF(parametros_manuales!$H$39="Todos",datos_base!$I$10,0))*parametros_manuales!$H$100+parametros_manuales!$F$39*(datos_base!$I$4+IF(parametros_manuales!$H$39="Todos",datos_base!$I$11,0))*parametros_manuales!$H$105+parametros_manuales!$G$39*(datos_base!$I$5+IF(parametros_manuales!$H$39="Todos",datos_base!$I$12,0))*parametros_manuales!$H$110)*parametros_manuales!$I$39*parametros_manuales!$J$39</f>
        <v>4274.34</v>
      </c>
      <c r="I211" s="4">
        <f>(parametros_manuales!$D$39*(datos_base!$I$2+IF(parametros_manuales!$H$39="Todos",datos_base!$I$9,0))*parametros_manuales!$I$95+parametros_manuales!$E$39*(datos_base!$I$3+IF(parametros_manuales!$H$39="Todos",datos_base!$I$10,0))*parametros_manuales!$I$100+parametros_manuales!$F$39*(datos_base!$I$4+IF(parametros_manuales!$H$39="Todos",datos_base!$I$11,0))*parametros_manuales!$I$105+parametros_manuales!$G$39*(datos_base!$I$5+IF(parametros_manuales!$H$39="Todos",datos_base!$I$12,0))*parametros_manuales!$I$110)*parametros_manuales!$I$39*parametros_manuales!$J$39</f>
        <v>4651.32</v>
      </c>
      <c r="J211" s="4">
        <f>(parametros_manuales!$D$39*(datos_base!$I$2+IF(parametros_manuales!$H$39="Todos",datos_base!$I$9,0))*parametros_manuales!$J$95+parametros_manuales!$E$39*(datos_base!$I$3+IF(parametros_manuales!$H$39="Todos",datos_base!$I$10,0))*parametros_manuales!$J$100+parametros_manuales!$F$39*(datos_base!$I$4+IF(parametros_manuales!$H$39="Todos",datos_base!$I$11,0))*parametros_manuales!$J$105+parametros_manuales!$G$39*(datos_base!$I$5+IF(parametros_manuales!$H$39="Todos",datos_base!$I$12,0))*parametros_manuales!$J$110)*parametros_manuales!$I$39*parametros_manuales!$J$39</f>
        <v>4651.32</v>
      </c>
      <c r="K211" s="4">
        <f>(parametros_manuales!$D$39*(datos_base!$I$2+IF(parametros_manuales!$H$39="Todos",datos_base!$I$9,0))*parametros_manuales!$K$95+parametros_manuales!$E$39*(datos_base!$I$3+IF(parametros_manuales!$H$39="Todos",datos_base!$I$10,0))*parametros_manuales!$K$100+parametros_manuales!$F$39*(datos_base!$I$4+IF(parametros_manuales!$H$39="Todos",datos_base!$I$11,0))*parametros_manuales!$K$105+parametros_manuales!$G$39*(datos_base!$I$5+IF(parametros_manuales!$H$39="Todos",datos_base!$I$12,0))*parametros_manuales!$K$110)*parametros_manuales!$I$39*parametros_manuales!$J$39</f>
        <v>4800.66</v>
      </c>
      <c r="L211" s="4">
        <f>(parametros_manuales!$D$39*(datos_base!$I$2+IF(parametros_manuales!$H$39="Todos",datos_base!$I$9,0))*parametros_manuales!$L$95+parametros_manuales!$E$39*(datos_base!$I$3+IF(parametros_manuales!$H$39="Todos",datos_base!$I$10,0))*parametros_manuales!$L$100+parametros_manuales!$F$39*(datos_base!$I$4+IF(parametros_manuales!$H$39="Todos",datos_base!$I$11,0))*parametros_manuales!$L$105+parametros_manuales!$G$39*(datos_base!$I$5+IF(parametros_manuales!$H$39="Todos",datos_base!$I$12,0))*parametros_manuales!$L$110)*parametros_manuales!$I$39*parametros_manuales!$J$39</f>
        <v>4950</v>
      </c>
      <c r="M211" s="4">
        <f>(parametros_manuales!$D$39*(datos_base!$I$2+IF(parametros_manuales!$H$39="Todos",datos_base!$I$9,0))*parametros_manuales!$M$95+parametros_manuales!$E$39*(datos_base!$I$3+IF(parametros_manuales!$H$39="Todos",datos_base!$I$10,0))*parametros_manuales!$M$100+parametros_manuales!$F$39*(datos_base!$I$4+IF(parametros_manuales!$H$39="Todos",datos_base!$I$11,0))*parametros_manuales!$M$105+parametros_manuales!$G$39*(datos_base!$I$5+IF(parametros_manuales!$H$39="Todos",datos_base!$I$12,0))*parametros_manuales!$M$110)*parametros_manuales!$I$39*parametros_manuales!$J$39</f>
        <v>4950</v>
      </c>
      <c r="N211" s="4">
        <f t="shared" si="22"/>
        <v>55000</v>
      </c>
      <c r="O211" s="4">
        <f t="shared" si="23"/>
        <v>4950</v>
      </c>
      <c r="P211" s="27">
        <f>O211/(parametros_manuales!$B$7)</f>
        <v>33</v>
      </c>
      <c r="Q211" s="3" t="str">
        <f t="shared" si="24"/>
        <v>Ene</v>
      </c>
    </row>
    <row r="212" ht="14.25" customHeight="1">
      <c r="A212" s="3" t="str">
        <f>parametros_manuales!$B$40</f>
        <v>Presurización</v>
      </c>
      <c r="B212" s="4">
        <f>(parametros_manuales!$D$40*(datos_base!$I$2+IF(parametros_manuales!$H$40="Todos",datos_base!$I$9,0))*parametros_manuales!$B$95+parametros_manuales!$E$40*(datos_base!$I$3+IF(parametros_manuales!$H$40="Todos",datos_base!$I$10,0))*parametros_manuales!$B$100+parametros_manuales!$F$40*(datos_base!$I$4+IF(parametros_manuales!$H$40="Todos",datos_base!$I$11,0))*parametros_manuales!$B$105+parametros_manuales!$G$40*(datos_base!$I$5+IF(parametros_manuales!$H$40="Todos",datos_base!$I$12,0))*parametros_manuales!$B$110)*parametros_manuales!$I$40*parametros_manuales!$J$40</f>
        <v>4950</v>
      </c>
      <c r="C212" s="4">
        <f>(parametros_manuales!$D$40*(datos_base!$I$2+IF(parametros_manuales!$H$40="Todos",datos_base!$I$9,0))*parametros_manuales!$C$95+parametros_manuales!$E$40*(datos_base!$I$3+IF(parametros_manuales!$H$40="Todos",datos_base!$I$10,0))*parametros_manuales!$C$100+parametros_manuales!$F$40*(datos_base!$I$4+IF(parametros_manuales!$H$40="Todos",datos_base!$I$11,0))*parametros_manuales!$C$105+parametros_manuales!$G$40*(datos_base!$I$5+IF(parametros_manuales!$H$40="Todos",datos_base!$I$12,0))*parametros_manuales!$C$110)*parametros_manuales!$I$40*parametros_manuales!$J$40</f>
        <v>4651.32</v>
      </c>
      <c r="D212" s="4">
        <f>(parametros_manuales!$D$40*(datos_base!$I$2+IF(parametros_manuales!$H$40="Todos",datos_base!$I$9,0))*parametros_manuales!$D$95+parametros_manuales!$E$40*(datos_base!$I$3+IF(parametros_manuales!$H$40="Todos",datos_base!$I$10,0))*parametros_manuales!$D$100+parametros_manuales!$F$40*(datos_base!$I$4+IF(parametros_manuales!$H$40="Todos",datos_base!$I$11,0))*parametros_manuales!$D$105+parametros_manuales!$G$40*(datos_base!$I$5+IF(parametros_manuales!$H$40="Todos",datos_base!$I$12,0))*parametros_manuales!$D$110)*parametros_manuales!$I$40*parametros_manuales!$J$40</f>
        <v>4549.34</v>
      </c>
      <c r="E212" s="4">
        <f>(parametros_manuales!$D$40*(datos_base!$I$2+IF(parametros_manuales!$H$40="Todos",datos_base!$I$9,0))*parametros_manuales!$E$95+parametros_manuales!$E$40*(datos_base!$I$3+IF(parametros_manuales!$H$40="Todos",datos_base!$I$10,0))*parametros_manuales!$E$100+parametros_manuales!$F$40*(datos_base!$I$4+IF(parametros_manuales!$H$40="Todos",datos_base!$I$11,0))*parametros_manuales!$E$105+parametros_manuales!$G$40*(datos_base!$I$5+IF(parametros_manuales!$H$40="Todos",datos_base!$I$12,0))*parametros_manuales!$E$110)*parametros_manuales!$I$40*parametros_manuales!$J$40</f>
        <v>4423.68</v>
      </c>
      <c r="F212" s="4">
        <f>(parametros_manuales!$D$40*(datos_base!$I$2+IF(parametros_manuales!$H$40="Todos",datos_base!$I$9,0))*parametros_manuales!$F$95+parametros_manuales!$E$40*(datos_base!$I$3+IF(parametros_manuales!$H$40="Todos",datos_base!$I$10,0))*parametros_manuales!$F$100+parametros_manuales!$F$40*(datos_base!$I$4+IF(parametros_manuales!$H$40="Todos",datos_base!$I$11,0))*parametros_manuales!$F$105+parametros_manuales!$G$40*(datos_base!$I$5+IF(parametros_manuales!$H$40="Todos",datos_base!$I$12,0))*parametros_manuales!$F$110)*parametros_manuales!$I$40*parametros_manuales!$J$40</f>
        <v>4148.68</v>
      </c>
      <c r="G212" s="4">
        <f>(parametros_manuales!$D$40*(datos_base!$I$2+IF(parametros_manuales!$H$40="Todos",datos_base!$I$9,0))*parametros_manuales!$G$95+parametros_manuales!$E$40*(datos_base!$I$3+IF(parametros_manuales!$H$40="Todos",datos_base!$I$10,0))*parametros_manuales!$G$100+parametros_manuales!$F$40*(datos_base!$I$4+IF(parametros_manuales!$H$40="Todos",datos_base!$I$11,0))*parametros_manuales!$G$105+parametros_manuales!$G$40*(datos_base!$I$5+IF(parametros_manuales!$H$40="Todos",datos_base!$I$12,0))*parametros_manuales!$G$110)*parametros_manuales!$I$40*parametros_manuales!$J$40</f>
        <v>3999.34</v>
      </c>
      <c r="H212" s="4">
        <f>(parametros_manuales!$D$40*(datos_base!$I$2+IF(parametros_manuales!$H$40="Todos",datos_base!$I$9,0))*parametros_manuales!$H$95+parametros_manuales!$E$40*(datos_base!$I$3+IF(parametros_manuales!$H$40="Todos",datos_base!$I$10,0))*parametros_manuales!$H$100+parametros_manuales!$F$40*(datos_base!$I$4+IF(parametros_manuales!$H$40="Todos",datos_base!$I$11,0))*parametros_manuales!$H$105+parametros_manuales!$G$40*(datos_base!$I$5+IF(parametros_manuales!$H$40="Todos",datos_base!$I$12,0))*parametros_manuales!$H$110)*parametros_manuales!$I$40*parametros_manuales!$J$40</f>
        <v>4274.34</v>
      </c>
      <c r="I212" s="4">
        <f>(parametros_manuales!$D$40*(datos_base!$I$2+IF(parametros_manuales!$H$40="Todos",datos_base!$I$9,0))*parametros_manuales!$I$95+parametros_manuales!$E$40*(datos_base!$I$3+IF(parametros_manuales!$H$40="Todos",datos_base!$I$10,0))*parametros_manuales!$I$100+parametros_manuales!$F$40*(datos_base!$I$4+IF(parametros_manuales!$H$40="Todos",datos_base!$I$11,0))*parametros_manuales!$I$105+parametros_manuales!$G$40*(datos_base!$I$5+IF(parametros_manuales!$H$40="Todos",datos_base!$I$12,0))*parametros_manuales!$I$110)*parametros_manuales!$I$40*parametros_manuales!$J$40</f>
        <v>4651.32</v>
      </c>
      <c r="J212" s="4">
        <f>(parametros_manuales!$D$40*(datos_base!$I$2+IF(parametros_manuales!$H$40="Todos",datos_base!$I$9,0))*parametros_manuales!$J$95+parametros_manuales!$E$40*(datos_base!$I$3+IF(parametros_manuales!$H$40="Todos",datos_base!$I$10,0))*parametros_manuales!$J$100+parametros_manuales!$F$40*(datos_base!$I$4+IF(parametros_manuales!$H$40="Todos",datos_base!$I$11,0))*parametros_manuales!$J$105+parametros_manuales!$G$40*(datos_base!$I$5+IF(parametros_manuales!$H$40="Todos",datos_base!$I$12,0))*parametros_manuales!$J$110)*parametros_manuales!$I$40*parametros_manuales!$J$40</f>
        <v>4651.32</v>
      </c>
      <c r="K212" s="4">
        <f>(parametros_manuales!$D$40*(datos_base!$I$2+IF(parametros_manuales!$H$40="Todos",datos_base!$I$9,0))*parametros_manuales!$K$95+parametros_manuales!$E$40*(datos_base!$I$3+IF(parametros_manuales!$H$40="Todos",datos_base!$I$10,0))*parametros_manuales!$K$100+parametros_manuales!$F$40*(datos_base!$I$4+IF(parametros_manuales!$H$40="Todos",datos_base!$I$11,0))*parametros_manuales!$K$105+parametros_manuales!$G$40*(datos_base!$I$5+IF(parametros_manuales!$H$40="Todos",datos_base!$I$12,0))*parametros_manuales!$K$110)*parametros_manuales!$I$40*parametros_manuales!$J$40</f>
        <v>4800.66</v>
      </c>
      <c r="L212" s="4">
        <f>(parametros_manuales!$D$40*(datos_base!$I$2+IF(parametros_manuales!$H$40="Todos",datos_base!$I$9,0))*parametros_manuales!$L$95+parametros_manuales!$E$40*(datos_base!$I$3+IF(parametros_manuales!$H$40="Todos",datos_base!$I$10,0))*parametros_manuales!$L$100+parametros_manuales!$F$40*(datos_base!$I$4+IF(parametros_manuales!$H$40="Todos",datos_base!$I$11,0))*parametros_manuales!$L$105+parametros_manuales!$G$40*(datos_base!$I$5+IF(parametros_manuales!$H$40="Todos",datos_base!$I$12,0))*parametros_manuales!$L$110)*parametros_manuales!$I$40*parametros_manuales!$J$40</f>
        <v>4950</v>
      </c>
      <c r="M212" s="4">
        <f>(parametros_manuales!$D$40*(datos_base!$I$2+IF(parametros_manuales!$H$40="Todos",datos_base!$I$9,0))*parametros_manuales!$M$95+parametros_manuales!$E$40*(datos_base!$I$3+IF(parametros_manuales!$H$40="Todos",datos_base!$I$10,0))*parametros_manuales!$M$100+parametros_manuales!$F$40*(datos_base!$I$4+IF(parametros_manuales!$H$40="Todos",datos_base!$I$11,0))*parametros_manuales!$M$105+parametros_manuales!$G$40*(datos_base!$I$5+IF(parametros_manuales!$H$40="Todos",datos_base!$I$12,0))*parametros_manuales!$M$110)*parametros_manuales!$I$40*parametros_manuales!$J$40</f>
        <v>4950</v>
      </c>
      <c r="N212" s="4">
        <f t="shared" si="22"/>
        <v>55000</v>
      </c>
      <c r="O212" s="4">
        <f t="shared" si="23"/>
        <v>4950</v>
      </c>
      <c r="P212" s="27">
        <f>O212/(parametros_manuales!$B$7)</f>
        <v>33</v>
      </c>
      <c r="Q212" s="3" t="str">
        <f t="shared" si="24"/>
        <v>Ene</v>
      </c>
    </row>
    <row r="213" ht="14.25" customHeight="1">
      <c r="A213" s="3" t="str">
        <f>parametros_manuales!$B$41</f>
        <v>Control de calidad — Ensayo de pérdidas</v>
      </c>
      <c r="B213" s="4">
        <f>(parametros_manuales!$D$41*(datos_base!$I$2+IF(parametros_manuales!$H$41="Todos",datos_base!$I$9,0))*parametros_manuales!$B$95+parametros_manuales!$E$41*(datos_base!$I$3+IF(parametros_manuales!$H$41="Todos",datos_base!$I$10,0))*parametros_manuales!$B$100+parametros_manuales!$F$41*(datos_base!$I$4+IF(parametros_manuales!$H$41="Todos",datos_base!$I$11,0))*parametros_manuales!$B$105+parametros_manuales!$G$41*(datos_base!$I$5+IF(parametros_manuales!$H$41="Todos",datos_base!$I$12,0))*parametros_manuales!$B$110)*parametros_manuales!$I$41*parametros_manuales!$J$41</f>
        <v>4950</v>
      </c>
      <c r="C213" s="4">
        <f>(parametros_manuales!$D$41*(datos_base!$I$2+IF(parametros_manuales!$H$41="Todos",datos_base!$I$9,0))*parametros_manuales!$C$95+parametros_manuales!$E$41*(datos_base!$I$3+IF(parametros_manuales!$H$41="Todos",datos_base!$I$10,0))*parametros_manuales!$C$100+parametros_manuales!$F$41*(datos_base!$I$4+IF(parametros_manuales!$H$41="Todos",datos_base!$I$11,0))*parametros_manuales!$C$105+parametros_manuales!$G$41*(datos_base!$I$5+IF(parametros_manuales!$H$41="Todos",datos_base!$I$12,0))*parametros_manuales!$C$110)*parametros_manuales!$I$41*parametros_manuales!$J$41</f>
        <v>4651.32</v>
      </c>
      <c r="D213" s="4">
        <f>(parametros_manuales!$D$41*(datos_base!$I$2+IF(parametros_manuales!$H$41="Todos",datos_base!$I$9,0))*parametros_manuales!$D$95+parametros_manuales!$E$41*(datos_base!$I$3+IF(parametros_manuales!$H$41="Todos",datos_base!$I$10,0))*parametros_manuales!$D$100+parametros_manuales!$F$41*(datos_base!$I$4+IF(parametros_manuales!$H$41="Todos",datos_base!$I$11,0))*parametros_manuales!$D$105+parametros_manuales!$G$41*(datos_base!$I$5+IF(parametros_manuales!$H$41="Todos",datos_base!$I$12,0))*parametros_manuales!$D$110)*parametros_manuales!$I$41*parametros_manuales!$J$41</f>
        <v>4549.34</v>
      </c>
      <c r="E213" s="4">
        <f>(parametros_manuales!$D$41*(datos_base!$I$2+IF(parametros_manuales!$H$41="Todos",datos_base!$I$9,0))*parametros_manuales!$E$95+parametros_manuales!$E$41*(datos_base!$I$3+IF(parametros_manuales!$H$41="Todos",datos_base!$I$10,0))*parametros_manuales!$E$100+parametros_manuales!$F$41*(datos_base!$I$4+IF(parametros_manuales!$H$41="Todos",datos_base!$I$11,0))*parametros_manuales!$E$105+parametros_manuales!$G$41*(datos_base!$I$5+IF(parametros_manuales!$H$41="Todos",datos_base!$I$12,0))*parametros_manuales!$E$110)*parametros_manuales!$I$41*parametros_manuales!$J$41</f>
        <v>4423.68</v>
      </c>
      <c r="F213" s="4">
        <f>(parametros_manuales!$D$41*(datos_base!$I$2+IF(parametros_manuales!$H$41="Todos",datos_base!$I$9,0))*parametros_manuales!$F$95+parametros_manuales!$E$41*(datos_base!$I$3+IF(parametros_manuales!$H$41="Todos",datos_base!$I$10,0))*parametros_manuales!$F$100+parametros_manuales!$F$41*(datos_base!$I$4+IF(parametros_manuales!$H$41="Todos",datos_base!$I$11,0))*parametros_manuales!$F$105+parametros_manuales!$G$41*(datos_base!$I$5+IF(parametros_manuales!$H$41="Todos",datos_base!$I$12,0))*parametros_manuales!$F$110)*parametros_manuales!$I$41*parametros_manuales!$J$41</f>
        <v>4148.68</v>
      </c>
      <c r="G213" s="4">
        <f>(parametros_manuales!$D$41*(datos_base!$I$2+IF(parametros_manuales!$H$41="Todos",datos_base!$I$9,0))*parametros_manuales!$G$95+parametros_manuales!$E$41*(datos_base!$I$3+IF(parametros_manuales!$H$41="Todos",datos_base!$I$10,0))*parametros_manuales!$G$100+parametros_manuales!$F$41*(datos_base!$I$4+IF(parametros_manuales!$H$41="Todos",datos_base!$I$11,0))*parametros_manuales!$G$105+parametros_manuales!$G$41*(datos_base!$I$5+IF(parametros_manuales!$H$41="Todos",datos_base!$I$12,0))*parametros_manuales!$G$110)*parametros_manuales!$I$41*parametros_manuales!$J$41</f>
        <v>3999.34</v>
      </c>
      <c r="H213" s="4">
        <f>(parametros_manuales!$D$41*(datos_base!$I$2+IF(parametros_manuales!$H$41="Todos",datos_base!$I$9,0))*parametros_manuales!$H$95+parametros_manuales!$E$41*(datos_base!$I$3+IF(parametros_manuales!$H$41="Todos",datos_base!$I$10,0))*parametros_manuales!$H$100+parametros_manuales!$F$41*(datos_base!$I$4+IF(parametros_manuales!$H$41="Todos",datos_base!$I$11,0))*parametros_manuales!$H$105+parametros_manuales!$G$41*(datos_base!$I$5+IF(parametros_manuales!$H$41="Todos",datos_base!$I$12,0))*parametros_manuales!$H$110)*parametros_manuales!$I$41*parametros_manuales!$J$41</f>
        <v>4274.34</v>
      </c>
      <c r="I213" s="4">
        <f>(parametros_manuales!$D$41*(datos_base!$I$2+IF(parametros_manuales!$H$41="Todos",datos_base!$I$9,0))*parametros_manuales!$I$95+parametros_manuales!$E$41*(datos_base!$I$3+IF(parametros_manuales!$H$41="Todos",datos_base!$I$10,0))*parametros_manuales!$I$100+parametros_manuales!$F$41*(datos_base!$I$4+IF(parametros_manuales!$H$41="Todos",datos_base!$I$11,0))*parametros_manuales!$I$105+parametros_manuales!$G$41*(datos_base!$I$5+IF(parametros_manuales!$H$41="Todos",datos_base!$I$12,0))*parametros_manuales!$I$110)*parametros_manuales!$I$41*parametros_manuales!$J$41</f>
        <v>4651.32</v>
      </c>
      <c r="J213" s="4">
        <f>(parametros_manuales!$D$41*(datos_base!$I$2+IF(parametros_manuales!$H$41="Todos",datos_base!$I$9,0))*parametros_manuales!$J$95+parametros_manuales!$E$41*(datos_base!$I$3+IF(parametros_manuales!$H$41="Todos",datos_base!$I$10,0))*parametros_manuales!$J$100+parametros_manuales!$F$41*(datos_base!$I$4+IF(parametros_manuales!$H$41="Todos",datos_base!$I$11,0))*parametros_manuales!$J$105+parametros_manuales!$G$41*(datos_base!$I$5+IF(parametros_manuales!$H$41="Todos",datos_base!$I$12,0))*parametros_manuales!$J$110)*parametros_manuales!$I$41*parametros_manuales!$J$41</f>
        <v>4651.32</v>
      </c>
      <c r="K213" s="4">
        <f>(parametros_manuales!$D$41*(datos_base!$I$2+IF(parametros_manuales!$H$41="Todos",datos_base!$I$9,0))*parametros_manuales!$K$95+parametros_manuales!$E$41*(datos_base!$I$3+IF(parametros_manuales!$H$41="Todos",datos_base!$I$10,0))*parametros_manuales!$K$100+parametros_manuales!$F$41*(datos_base!$I$4+IF(parametros_manuales!$H$41="Todos",datos_base!$I$11,0))*parametros_manuales!$K$105+parametros_manuales!$G$41*(datos_base!$I$5+IF(parametros_manuales!$H$41="Todos",datos_base!$I$12,0))*parametros_manuales!$K$110)*parametros_manuales!$I$41*parametros_manuales!$J$41</f>
        <v>4800.66</v>
      </c>
      <c r="L213" s="4">
        <f>(parametros_manuales!$D$41*(datos_base!$I$2+IF(parametros_manuales!$H$41="Todos",datos_base!$I$9,0))*parametros_manuales!$L$95+parametros_manuales!$E$41*(datos_base!$I$3+IF(parametros_manuales!$H$41="Todos",datos_base!$I$10,0))*parametros_manuales!$L$100+parametros_manuales!$F$41*(datos_base!$I$4+IF(parametros_manuales!$H$41="Todos",datos_base!$I$11,0))*parametros_manuales!$L$105+parametros_manuales!$G$41*(datos_base!$I$5+IF(parametros_manuales!$H$41="Todos",datos_base!$I$12,0))*parametros_manuales!$L$110)*parametros_manuales!$I$41*parametros_manuales!$J$41</f>
        <v>4950</v>
      </c>
      <c r="M213" s="4">
        <f>(parametros_manuales!$D$41*(datos_base!$I$2+IF(parametros_manuales!$H$41="Todos",datos_base!$I$9,0))*parametros_manuales!$M$95+parametros_manuales!$E$41*(datos_base!$I$3+IF(parametros_manuales!$H$41="Todos",datos_base!$I$10,0))*parametros_manuales!$M$100+parametros_manuales!$F$41*(datos_base!$I$4+IF(parametros_manuales!$H$41="Todos",datos_base!$I$11,0))*parametros_manuales!$M$105+parametros_manuales!$G$41*(datos_base!$I$5+IF(parametros_manuales!$H$41="Todos",datos_base!$I$12,0))*parametros_manuales!$M$110)*parametros_manuales!$I$41*parametros_manuales!$J$41</f>
        <v>4950</v>
      </c>
      <c r="N213" s="4">
        <f t="shared" si="22"/>
        <v>55000</v>
      </c>
      <c r="O213" s="4">
        <f t="shared" si="23"/>
        <v>4950</v>
      </c>
      <c r="P213" s="27">
        <f>O213/(parametros_manuales!$B$7)</f>
        <v>33</v>
      </c>
      <c r="Q213" s="3" t="str">
        <f t="shared" si="24"/>
        <v>Ene</v>
      </c>
    </row>
    <row r="214" ht="14.25" customHeight="1">
      <c r="A214" s="3" t="str">
        <f>parametros_manuales!$B$42</f>
        <v>Etiquetado</v>
      </c>
      <c r="B214" s="4">
        <f>(parametros_manuales!$D$42*(datos_base!$I$2+IF(parametros_manuales!$H$42="Todos",datos_base!$I$9,0))*parametros_manuales!$B$95+parametros_manuales!$E$42*(datos_base!$I$3+IF(parametros_manuales!$H$42="Todos",datos_base!$I$10,0))*parametros_manuales!$B$100+parametros_manuales!$F$42*(datos_base!$I$4+IF(parametros_manuales!$H$42="Todos",datos_base!$I$11,0))*parametros_manuales!$B$105+parametros_manuales!$G$42*(datos_base!$I$5+IF(parametros_manuales!$H$42="Todos",datos_base!$I$12,0))*parametros_manuales!$B$110)*parametros_manuales!$I$42*parametros_manuales!$J$42</f>
        <v>4950</v>
      </c>
      <c r="C214" s="4">
        <f>(parametros_manuales!$D$42*(datos_base!$I$2+IF(parametros_manuales!$H$42="Todos",datos_base!$I$9,0))*parametros_manuales!$C$95+parametros_manuales!$E$42*(datos_base!$I$3+IF(parametros_manuales!$H$42="Todos",datos_base!$I$10,0))*parametros_manuales!$C$100+parametros_manuales!$F$42*(datos_base!$I$4+IF(parametros_manuales!$H$42="Todos",datos_base!$I$11,0))*parametros_manuales!$C$105+parametros_manuales!$G$42*(datos_base!$I$5+IF(parametros_manuales!$H$42="Todos",datos_base!$I$12,0))*parametros_manuales!$C$110)*parametros_manuales!$I$42*parametros_manuales!$J$42</f>
        <v>4651.32</v>
      </c>
      <c r="D214" s="4">
        <f>(parametros_manuales!$D$42*(datos_base!$I$2+IF(parametros_manuales!$H$42="Todos",datos_base!$I$9,0))*parametros_manuales!$D$95+parametros_manuales!$E$42*(datos_base!$I$3+IF(parametros_manuales!$H$42="Todos",datos_base!$I$10,0))*parametros_manuales!$D$100+parametros_manuales!$F$42*(datos_base!$I$4+IF(parametros_manuales!$H$42="Todos",datos_base!$I$11,0))*parametros_manuales!$D$105+parametros_manuales!$G$42*(datos_base!$I$5+IF(parametros_manuales!$H$42="Todos",datos_base!$I$12,0))*parametros_manuales!$D$110)*parametros_manuales!$I$42*parametros_manuales!$J$42</f>
        <v>4549.34</v>
      </c>
      <c r="E214" s="4">
        <f>(parametros_manuales!$D$42*(datos_base!$I$2+IF(parametros_manuales!$H$42="Todos",datos_base!$I$9,0))*parametros_manuales!$E$95+parametros_manuales!$E$42*(datos_base!$I$3+IF(parametros_manuales!$H$42="Todos",datos_base!$I$10,0))*parametros_manuales!$E$100+parametros_manuales!$F$42*(datos_base!$I$4+IF(parametros_manuales!$H$42="Todos",datos_base!$I$11,0))*parametros_manuales!$E$105+parametros_manuales!$G$42*(datos_base!$I$5+IF(parametros_manuales!$H$42="Todos",datos_base!$I$12,0))*parametros_manuales!$E$110)*parametros_manuales!$I$42*parametros_manuales!$J$42</f>
        <v>4423.68</v>
      </c>
      <c r="F214" s="4">
        <f>(parametros_manuales!$D$42*(datos_base!$I$2+IF(parametros_manuales!$H$42="Todos",datos_base!$I$9,0))*parametros_manuales!$F$95+parametros_manuales!$E$42*(datos_base!$I$3+IF(parametros_manuales!$H$42="Todos",datos_base!$I$10,0))*parametros_manuales!$F$100+parametros_manuales!$F$42*(datos_base!$I$4+IF(parametros_manuales!$H$42="Todos",datos_base!$I$11,0))*parametros_manuales!$F$105+parametros_manuales!$G$42*(datos_base!$I$5+IF(parametros_manuales!$H$42="Todos",datos_base!$I$12,0))*parametros_manuales!$F$110)*parametros_manuales!$I$42*parametros_manuales!$J$42</f>
        <v>4148.68</v>
      </c>
      <c r="G214" s="4">
        <f>(parametros_manuales!$D$42*(datos_base!$I$2+IF(parametros_manuales!$H$42="Todos",datos_base!$I$9,0))*parametros_manuales!$G$95+parametros_manuales!$E$42*(datos_base!$I$3+IF(parametros_manuales!$H$42="Todos",datos_base!$I$10,0))*parametros_manuales!$G$100+parametros_manuales!$F$42*(datos_base!$I$4+IF(parametros_manuales!$H$42="Todos",datos_base!$I$11,0))*parametros_manuales!$G$105+parametros_manuales!$G$42*(datos_base!$I$5+IF(parametros_manuales!$H$42="Todos",datos_base!$I$12,0))*parametros_manuales!$G$110)*parametros_manuales!$I$42*parametros_manuales!$J$42</f>
        <v>3999.34</v>
      </c>
      <c r="H214" s="4">
        <f>(parametros_manuales!$D$42*(datos_base!$I$2+IF(parametros_manuales!$H$42="Todos",datos_base!$I$9,0))*parametros_manuales!$H$95+parametros_manuales!$E$42*(datos_base!$I$3+IF(parametros_manuales!$H$42="Todos",datos_base!$I$10,0))*parametros_manuales!$H$100+parametros_manuales!$F$42*(datos_base!$I$4+IF(parametros_manuales!$H$42="Todos",datos_base!$I$11,0))*parametros_manuales!$H$105+parametros_manuales!$G$42*(datos_base!$I$5+IF(parametros_manuales!$H$42="Todos",datos_base!$I$12,0))*parametros_manuales!$H$110)*parametros_manuales!$I$42*parametros_manuales!$J$42</f>
        <v>4274.34</v>
      </c>
      <c r="I214" s="4">
        <f>(parametros_manuales!$D$42*(datos_base!$I$2+IF(parametros_manuales!$H$42="Todos",datos_base!$I$9,0))*parametros_manuales!$I$95+parametros_manuales!$E$42*(datos_base!$I$3+IF(parametros_manuales!$H$42="Todos",datos_base!$I$10,0))*parametros_manuales!$I$100+parametros_manuales!$F$42*(datos_base!$I$4+IF(parametros_manuales!$H$42="Todos",datos_base!$I$11,0))*parametros_manuales!$I$105+parametros_manuales!$G$42*(datos_base!$I$5+IF(parametros_manuales!$H$42="Todos",datos_base!$I$12,0))*parametros_manuales!$I$110)*parametros_manuales!$I$42*parametros_manuales!$J$42</f>
        <v>4651.32</v>
      </c>
      <c r="J214" s="4">
        <f>(parametros_manuales!$D$42*(datos_base!$I$2+IF(parametros_manuales!$H$42="Todos",datos_base!$I$9,0))*parametros_manuales!$J$95+parametros_manuales!$E$42*(datos_base!$I$3+IF(parametros_manuales!$H$42="Todos",datos_base!$I$10,0))*parametros_manuales!$J$100+parametros_manuales!$F$42*(datos_base!$I$4+IF(parametros_manuales!$H$42="Todos",datos_base!$I$11,0))*parametros_manuales!$J$105+parametros_manuales!$G$42*(datos_base!$I$5+IF(parametros_manuales!$H$42="Todos",datos_base!$I$12,0))*parametros_manuales!$J$110)*parametros_manuales!$I$42*parametros_manuales!$J$42</f>
        <v>4651.32</v>
      </c>
      <c r="K214" s="4">
        <f>(parametros_manuales!$D$42*(datos_base!$I$2+IF(parametros_manuales!$H$42="Todos",datos_base!$I$9,0))*parametros_manuales!$K$95+parametros_manuales!$E$42*(datos_base!$I$3+IF(parametros_manuales!$H$42="Todos",datos_base!$I$10,0))*parametros_manuales!$K$100+parametros_manuales!$F$42*(datos_base!$I$4+IF(parametros_manuales!$H$42="Todos",datos_base!$I$11,0))*parametros_manuales!$K$105+parametros_manuales!$G$42*(datos_base!$I$5+IF(parametros_manuales!$H$42="Todos",datos_base!$I$12,0))*parametros_manuales!$K$110)*parametros_manuales!$I$42*parametros_manuales!$J$42</f>
        <v>4800.66</v>
      </c>
      <c r="L214" s="4">
        <f>(parametros_manuales!$D$42*(datos_base!$I$2+IF(parametros_manuales!$H$42="Todos",datos_base!$I$9,0))*parametros_manuales!$L$95+parametros_manuales!$E$42*(datos_base!$I$3+IF(parametros_manuales!$H$42="Todos",datos_base!$I$10,0))*parametros_manuales!$L$100+parametros_manuales!$F$42*(datos_base!$I$4+IF(parametros_manuales!$H$42="Todos",datos_base!$I$11,0))*parametros_manuales!$L$105+parametros_manuales!$G$42*(datos_base!$I$5+IF(parametros_manuales!$H$42="Todos",datos_base!$I$12,0))*parametros_manuales!$L$110)*parametros_manuales!$I$42*parametros_manuales!$J$42</f>
        <v>4950</v>
      </c>
      <c r="M214" s="4">
        <f>(parametros_manuales!$D$42*(datos_base!$I$2+IF(parametros_manuales!$H$42="Todos",datos_base!$I$9,0))*parametros_manuales!$M$95+parametros_manuales!$E$42*(datos_base!$I$3+IF(parametros_manuales!$H$42="Todos",datos_base!$I$10,0))*parametros_manuales!$M$100+parametros_manuales!$F$42*(datos_base!$I$4+IF(parametros_manuales!$H$42="Todos",datos_base!$I$11,0))*parametros_manuales!$M$105+parametros_manuales!$G$42*(datos_base!$I$5+IF(parametros_manuales!$H$42="Todos",datos_base!$I$12,0))*parametros_manuales!$M$110)*parametros_manuales!$I$42*parametros_manuales!$J$42</f>
        <v>4950</v>
      </c>
      <c r="N214" s="4">
        <f t="shared" si="22"/>
        <v>55000</v>
      </c>
      <c r="O214" s="4">
        <f t="shared" si="23"/>
        <v>4950</v>
      </c>
      <c r="P214" s="27">
        <f>O214/(parametros_manuales!$B$7)</f>
        <v>33</v>
      </c>
      <c r="Q214" s="3" t="str">
        <f t="shared" si="24"/>
        <v>Ene</v>
      </c>
    </row>
    <row r="215" ht="14.25" customHeight="1">
      <c r="A215" s="3" t="str">
        <f>parametros_manuales!$B$43</f>
        <v>Embalaje y paletizado</v>
      </c>
      <c r="B215" s="4">
        <f>(parametros_manuales!$D$43*(datos_base!$I$2+IF(parametros_manuales!$H$43="Todos",datos_base!$I$9,0))*parametros_manuales!$B$95+parametros_manuales!$E$43*(datos_base!$I$3+IF(parametros_manuales!$H$43="Todos",datos_base!$I$10,0))*parametros_manuales!$B$100+parametros_manuales!$F$43*(datos_base!$I$4+IF(parametros_manuales!$H$43="Todos",datos_base!$I$11,0))*parametros_manuales!$B$105+parametros_manuales!$G$43*(datos_base!$I$5+IF(parametros_manuales!$H$43="Todos",datos_base!$I$12,0))*parametros_manuales!$B$110)*parametros_manuales!$I$43*parametros_manuales!$J$43</f>
        <v>19615.68</v>
      </c>
      <c r="C215" s="4">
        <f>(parametros_manuales!$D$43*(datos_base!$I$2+IF(parametros_manuales!$H$43="Todos",datos_base!$I$9,0))*parametros_manuales!$C$95+parametros_manuales!$E$43*(datos_base!$I$3+IF(parametros_manuales!$H$43="Todos",datos_base!$I$10,0))*parametros_manuales!$C$100+parametros_manuales!$F$43*(datos_base!$I$4+IF(parametros_manuales!$H$43="Todos",datos_base!$I$11,0))*parametros_manuales!$C$105+parametros_manuales!$G$43*(datos_base!$I$5+IF(parametros_manuales!$H$43="Todos",datos_base!$I$12,0))*parametros_manuales!$C$110)*parametros_manuales!$I$43*parametros_manuales!$J$43</f>
        <v>18997.49</v>
      </c>
      <c r="D215" s="4">
        <f>(parametros_manuales!$D$43*(datos_base!$I$2+IF(parametros_manuales!$H$43="Todos",datos_base!$I$9,0))*parametros_manuales!$D$95+parametros_manuales!$E$43*(datos_base!$I$3+IF(parametros_manuales!$H$43="Todos",datos_base!$I$10,0))*parametros_manuales!$D$100+parametros_manuales!$F$43*(datos_base!$I$4+IF(parametros_manuales!$H$43="Todos",datos_base!$I$11,0))*parametros_manuales!$D$105+parametros_manuales!$G$43*(datos_base!$I$5+IF(parametros_manuales!$H$43="Todos",datos_base!$I$12,0))*parametros_manuales!$D$110)*parametros_manuales!$I$43*parametros_manuales!$J$43</f>
        <v>17745.255</v>
      </c>
      <c r="E215" s="4">
        <f>(parametros_manuales!$D$43*(datos_base!$I$2+IF(parametros_manuales!$H$43="Todos",datos_base!$I$9,0))*parametros_manuales!$E$95+parametros_manuales!$E$43*(datos_base!$I$3+IF(parametros_manuales!$H$43="Todos",datos_base!$I$10,0))*parametros_manuales!$E$100+parametros_manuales!$F$43*(datos_base!$I$4+IF(parametros_manuales!$H$43="Todos",datos_base!$I$11,0))*parametros_manuales!$E$105+parametros_manuales!$G$43*(datos_base!$I$5+IF(parametros_manuales!$H$43="Todos",datos_base!$I$12,0))*parametros_manuales!$E$110)*parametros_manuales!$I$43*parametros_manuales!$J$43</f>
        <v>16964.59</v>
      </c>
      <c r="F215" s="4">
        <f>(parametros_manuales!$D$43*(datos_base!$I$2+IF(parametros_manuales!$H$43="Todos",datos_base!$I$9,0))*parametros_manuales!$F$95+parametros_manuales!$E$43*(datos_base!$I$3+IF(parametros_manuales!$H$43="Todos",datos_base!$I$10,0))*parametros_manuales!$F$100+parametros_manuales!$F$43*(datos_base!$I$4+IF(parametros_manuales!$H$43="Todos",datos_base!$I$11,0))*parametros_manuales!$F$105+parametros_manuales!$G$43*(datos_base!$I$5+IF(parametros_manuales!$H$43="Todos",datos_base!$I$12,0))*parametros_manuales!$F$110)*parametros_manuales!$I$43*parametros_manuales!$J$43</f>
        <v>15874.83</v>
      </c>
      <c r="G215" s="4">
        <f>(parametros_manuales!$D$43*(datos_base!$I$2+IF(parametros_manuales!$H$43="Todos",datos_base!$I$9,0))*parametros_manuales!$G$95+parametros_manuales!$E$43*(datos_base!$I$3+IF(parametros_manuales!$H$43="Todos",datos_base!$I$10,0))*parametros_manuales!$G$100+parametros_manuales!$F$43*(datos_base!$I$4+IF(parametros_manuales!$H$43="Todos",datos_base!$I$11,0))*parametros_manuales!$G$105+parametros_manuales!$G$43*(datos_base!$I$5+IF(parametros_manuales!$H$43="Todos",datos_base!$I$12,0))*parametros_manuales!$G$110)*parametros_manuales!$I$43*parametros_manuales!$J$43</f>
        <v>15565.735</v>
      </c>
      <c r="H215" s="4">
        <f>(parametros_manuales!$D$43*(datos_base!$I$2+IF(parametros_manuales!$H$43="Todos",datos_base!$I$9,0))*parametros_manuales!$H$95+parametros_manuales!$E$43*(datos_base!$I$3+IF(parametros_manuales!$H$43="Todos",datos_base!$I$10,0))*parametros_manuales!$H$100+parametros_manuales!$F$43*(datos_base!$I$4+IF(parametros_manuales!$H$43="Todos",datos_base!$I$11,0))*parametros_manuales!$H$105+parametros_manuales!$G$43*(datos_base!$I$5+IF(parametros_manuales!$H$43="Todos",datos_base!$I$12,0))*parametros_manuales!$H$110)*parametros_manuales!$I$43*parametros_manuales!$J$43</f>
        <v>16655.495</v>
      </c>
      <c r="I215" s="4">
        <f>(parametros_manuales!$D$43*(datos_base!$I$2+IF(parametros_manuales!$H$43="Todos",datos_base!$I$9,0))*parametros_manuales!$I$95+parametros_manuales!$E$43*(datos_base!$I$3+IF(parametros_manuales!$H$43="Todos",datos_base!$I$10,0))*parametros_manuales!$I$100+parametros_manuales!$F$43*(datos_base!$I$4+IF(parametros_manuales!$H$43="Todos",datos_base!$I$11,0))*parametros_manuales!$I$105+parametros_manuales!$G$43*(datos_base!$I$5+IF(parametros_manuales!$H$43="Todos",datos_base!$I$12,0))*parametros_manuales!$I$110)*parametros_manuales!$I$43*parametros_manuales!$J$43</f>
        <v>18997.49</v>
      </c>
      <c r="J215" s="4">
        <f>(parametros_manuales!$D$43*(datos_base!$I$2+IF(parametros_manuales!$H$43="Todos",datos_base!$I$9,0))*parametros_manuales!$J$95+parametros_manuales!$E$43*(datos_base!$I$3+IF(parametros_manuales!$H$43="Todos",datos_base!$I$10,0))*parametros_manuales!$J$100+parametros_manuales!$F$43*(datos_base!$I$4+IF(parametros_manuales!$H$43="Todos",datos_base!$I$11,0))*parametros_manuales!$J$105+parametros_manuales!$G$43*(datos_base!$I$5+IF(parametros_manuales!$H$43="Todos",datos_base!$I$12,0))*parametros_manuales!$J$110)*parametros_manuales!$I$43*parametros_manuales!$J$43</f>
        <v>18997.49</v>
      </c>
      <c r="K215" s="4">
        <f>(parametros_manuales!$D$43*(datos_base!$I$2+IF(parametros_manuales!$H$43="Todos",datos_base!$I$9,0))*parametros_manuales!$K$95+parametros_manuales!$E$43*(datos_base!$I$3+IF(parametros_manuales!$H$43="Todos",datos_base!$I$10,0))*parametros_manuales!$K$100+parametros_manuales!$F$43*(datos_base!$I$4+IF(parametros_manuales!$H$43="Todos",datos_base!$I$11,0))*parametros_manuales!$K$105+parametros_manuales!$G$43*(datos_base!$I$5+IF(parametros_manuales!$H$43="Todos",datos_base!$I$12,0))*parametros_manuales!$K$110)*parametros_manuales!$I$43*parametros_manuales!$J$43</f>
        <v>19306.585</v>
      </c>
      <c r="L215" s="4">
        <f>(parametros_manuales!$D$43*(datos_base!$I$2+IF(parametros_manuales!$H$43="Todos",datos_base!$I$9,0))*parametros_manuales!$L$95+parametros_manuales!$E$43*(datos_base!$I$3+IF(parametros_manuales!$H$43="Todos",datos_base!$I$10,0))*parametros_manuales!$L$100+parametros_manuales!$F$43*(datos_base!$I$4+IF(parametros_manuales!$H$43="Todos",datos_base!$I$11,0))*parametros_manuales!$L$105+parametros_manuales!$G$43*(datos_base!$I$5+IF(parametros_manuales!$H$43="Todos",datos_base!$I$12,0))*parametros_manuales!$L$110)*parametros_manuales!$I$43*parametros_manuales!$J$43</f>
        <v>19615.68</v>
      </c>
      <c r="M215" s="4">
        <f>(parametros_manuales!$D$43*(datos_base!$I$2+IF(parametros_manuales!$H$43="Todos",datos_base!$I$9,0))*parametros_manuales!$M$95+parametros_manuales!$E$43*(datos_base!$I$3+IF(parametros_manuales!$H$43="Todos",datos_base!$I$10,0))*parametros_manuales!$M$100+parametros_manuales!$F$43*(datos_base!$I$4+IF(parametros_manuales!$H$43="Todos",datos_base!$I$11,0))*parametros_manuales!$M$105+parametros_manuales!$G$43*(datos_base!$I$5+IF(parametros_manuales!$H$43="Todos",datos_base!$I$12,0))*parametros_manuales!$M$110)*parametros_manuales!$I$43*parametros_manuales!$J$43</f>
        <v>19615.68</v>
      </c>
      <c r="N215" s="4">
        <f t="shared" si="22"/>
        <v>217952</v>
      </c>
      <c r="O215" s="4">
        <f t="shared" si="23"/>
        <v>19615.68</v>
      </c>
      <c r="P215" s="27">
        <f>O215/(parametros_manuales!$B$7)</f>
        <v>130.7712</v>
      </c>
      <c r="Q215" s="3" t="str">
        <f t="shared" si="24"/>
        <v>Ene</v>
      </c>
    </row>
    <row r="216" ht="14.25" customHeight="1"/>
    <row r="217" ht="14.25" customHeight="1">
      <c r="A217" s="1" t="s">
        <v>185</v>
      </c>
      <c r="B217" s="1" t="s">
        <v>5</v>
      </c>
      <c r="C217" s="1" t="s">
        <v>7</v>
      </c>
      <c r="D217" s="1" t="s">
        <v>8</v>
      </c>
      <c r="E217" s="1" t="s">
        <v>9</v>
      </c>
      <c r="F217" s="1" t="s">
        <v>11</v>
      </c>
      <c r="G217" s="1" t="s">
        <v>12</v>
      </c>
      <c r="H217" s="1" t="s">
        <v>14</v>
      </c>
      <c r="I217" s="1" t="s">
        <v>15</v>
      </c>
      <c r="J217" s="1" t="s">
        <v>16</v>
      </c>
      <c r="K217" s="1" t="s">
        <v>18</v>
      </c>
      <c r="L217" s="1" t="s">
        <v>19</v>
      </c>
      <c r="M217" s="1" t="s">
        <v>20</v>
      </c>
      <c r="N217" s="1" t="s">
        <v>21</v>
      </c>
      <c r="O217" s="1" t="s">
        <v>22</v>
      </c>
      <c r="P217" s="1" t="s">
        <v>23</v>
      </c>
      <c r="Q217" s="1" t="s">
        <v>24</v>
      </c>
    </row>
    <row r="218" ht="14.25" customHeight="1">
      <c r="A218" s="3" t="str">
        <f>parametros_manuales!$B$19</f>
        <v>Recepción de materia prima</v>
      </c>
      <c r="B218" s="4">
        <f>(parametros_manuales!$D$19*(datos_base!$J$2+IF(parametros_manuales!$H$19="Todos",datos_base!$J$9,0))*parametros_manuales!$B$95+parametros_manuales!$E$19*(datos_base!$J$3+IF(parametros_manuales!$H$19="Todos",datos_base!$J$10,0))*parametros_manuales!$B$100+parametros_manuales!$F$19*(datos_base!$J$4+IF(parametros_manuales!$H$19="Todos",datos_base!$J$11,0))*parametros_manuales!$B$105+parametros_manuales!$G$19*(datos_base!$J$5+IF(parametros_manuales!$H$19="Todos",datos_base!$J$12,0))*parametros_manuales!$B$110)*parametros_manuales!$I$19*parametros_manuales!$J$19</f>
        <v>22137.84</v>
      </c>
      <c r="C218" s="4">
        <f>(parametros_manuales!$D$19*(datos_base!$J$2+IF(parametros_manuales!$H$19="Todos",datos_base!$J$9,0))*parametros_manuales!$C$95+parametros_manuales!$E$19*(datos_base!$J$3+IF(parametros_manuales!$H$19="Todos",datos_base!$J$10,0))*parametros_manuales!$C$100+parametros_manuales!$F$19*(datos_base!$J$4+IF(parametros_manuales!$H$19="Todos",datos_base!$J$11,0))*parametros_manuales!$C$105+parametros_manuales!$G$19*(datos_base!$J$5+IF(parametros_manuales!$H$19="Todos",datos_base!$J$12,0))*parametros_manuales!$C$110)*parametros_manuales!$I$19*parametros_manuales!$J$19</f>
        <v>21432.01</v>
      </c>
      <c r="D218" s="4">
        <f>(parametros_manuales!$D$19*(datos_base!$J$2+IF(parametros_manuales!$H$19="Todos",datos_base!$J$9,0))*parametros_manuales!$D$95+parametros_manuales!$E$19*(datos_base!$J$3+IF(parametros_manuales!$H$19="Todos",datos_base!$J$10,0))*parametros_manuales!$D$100+parametros_manuales!$F$19*(datos_base!$J$4+IF(parametros_manuales!$H$19="Todos",datos_base!$J$11,0))*parametros_manuales!$D$105+parametros_manuales!$G$19*(datos_base!$J$5+IF(parametros_manuales!$H$19="Todos",datos_base!$J$12,0))*parametros_manuales!$D$110)*parametros_manuales!$I$19*parametros_manuales!$J$19</f>
        <v>20030.995</v>
      </c>
      <c r="E218" s="4">
        <f>(parametros_manuales!$D$19*(datos_base!$J$2+IF(parametros_manuales!$H$19="Todos",datos_base!$J$9,0))*parametros_manuales!$E$95+parametros_manuales!$E$19*(datos_base!$J$3+IF(parametros_manuales!$H$19="Todos",datos_base!$J$10,0))*parametros_manuales!$E$100+parametros_manuales!$F$19*(datos_base!$J$4+IF(parametros_manuales!$H$19="Todos",datos_base!$J$11,0))*parametros_manuales!$E$105+parametros_manuales!$G$19*(datos_base!$J$5+IF(parametros_manuales!$H$19="Todos",datos_base!$J$12,0))*parametros_manuales!$E$110)*parametros_manuales!$I$19*parametros_manuales!$J$19</f>
        <v>19154.03</v>
      </c>
      <c r="F218" s="4">
        <f>(parametros_manuales!$D$19*(datos_base!$J$2+IF(parametros_manuales!$H$19="Todos",datos_base!$J$9,0))*parametros_manuales!$F$95+parametros_manuales!$E$19*(datos_base!$J$3+IF(parametros_manuales!$H$19="Todos",datos_base!$J$10,0))*parametros_manuales!$F$100+parametros_manuales!$F$19*(datos_base!$J$4+IF(parametros_manuales!$H$19="Todos",datos_base!$J$11,0))*parametros_manuales!$F$105+parametros_manuales!$G$19*(datos_base!$J$5+IF(parametros_manuales!$H$19="Todos",datos_base!$J$12,0))*parametros_manuales!$F$110)*parametros_manuales!$I$19*parametros_manuales!$J$19</f>
        <v>17924.15</v>
      </c>
      <c r="G218" s="4">
        <f>(parametros_manuales!$D$19*(datos_base!$J$2+IF(parametros_manuales!$H$19="Todos",datos_base!$J$9,0))*parametros_manuales!$G$95+parametros_manuales!$E$19*(datos_base!$J$3+IF(parametros_manuales!$H$19="Todos",datos_base!$J$10,0))*parametros_manuales!$G$100+parametros_manuales!$F$19*(datos_base!$J$4+IF(parametros_manuales!$H$19="Todos",datos_base!$J$11,0))*parametros_manuales!$G$105+parametros_manuales!$G$19*(datos_base!$J$5+IF(parametros_manuales!$H$19="Todos",datos_base!$J$12,0))*parametros_manuales!$G$110)*parametros_manuales!$I$19*parametros_manuales!$J$19</f>
        <v>17571.235</v>
      </c>
      <c r="H218" s="4">
        <f>(parametros_manuales!$D$19*(datos_base!$J$2+IF(parametros_manuales!$H$19="Todos",datos_base!$J$9,0))*parametros_manuales!$H$95+parametros_manuales!$E$19*(datos_base!$J$3+IF(parametros_manuales!$H$19="Todos",datos_base!$J$10,0))*parametros_manuales!$H$100+parametros_manuales!$F$19*(datos_base!$J$4+IF(parametros_manuales!$H$19="Todos",datos_base!$J$11,0))*parametros_manuales!$H$105+parametros_manuales!$G$19*(datos_base!$J$5+IF(parametros_manuales!$H$19="Todos",datos_base!$J$12,0))*parametros_manuales!$H$110)*parametros_manuales!$I$19*parametros_manuales!$J$19</f>
        <v>18801.115</v>
      </c>
      <c r="I218" s="4">
        <f>(parametros_manuales!$D$19*(datos_base!$J$2+IF(parametros_manuales!$H$19="Todos",datos_base!$J$9,0))*parametros_manuales!$I$95+parametros_manuales!$E$19*(datos_base!$J$3+IF(parametros_manuales!$H$19="Todos",datos_base!$J$10,0))*parametros_manuales!$I$100+parametros_manuales!$F$19*(datos_base!$J$4+IF(parametros_manuales!$H$19="Todos",datos_base!$J$11,0))*parametros_manuales!$I$105+parametros_manuales!$G$19*(datos_base!$J$5+IF(parametros_manuales!$H$19="Todos",datos_base!$J$12,0))*parametros_manuales!$I$110)*parametros_manuales!$I$19*parametros_manuales!$J$19</f>
        <v>21432.01</v>
      </c>
      <c r="J218" s="4">
        <f>(parametros_manuales!$D$19*(datos_base!$J$2+IF(parametros_manuales!$H$19="Todos",datos_base!$J$9,0))*parametros_manuales!$J$95+parametros_manuales!$E$19*(datos_base!$J$3+IF(parametros_manuales!$H$19="Todos",datos_base!$J$10,0))*parametros_manuales!$J$100+parametros_manuales!$F$19*(datos_base!$J$4+IF(parametros_manuales!$H$19="Todos",datos_base!$J$11,0))*parametros_manuales!$J$105+parametros_manuales!$G$19*(datos_base!$J$5+IF(parametros_manuales!$H$19="Todos",datos_base!$J$12,0))*parametros_manuales!$J$110)*parametros_manuales!$I$19*parametros_manuales!$J$19</f>
        <v>21432.01</v>
      </c>
      <c r="K218" s="4">
        <f>(parametros_manuales!$D$19*(datos_base!$J$2+IF(parametros_manuales!$H$19="Todos",datos_base!$J$9,0))*parametros_manuales!$K$95+parametros_manuales!$E$19*(datos_base!$J$3+IF(parametros_manuales!$H$19="Todos",datos_base!$J$10,0))*parametros_manuales!$K$100+parametros_manuales!$F$19*(datos_base!$J$4+IF(parametros_manuales!$H$19="Todos",datos_base!$J$11,0))*parametros_manuales!$K$105+parametros_manuales!$G$19*(datos_base!$J$5+IF(parametros_manuales!$H$19="Todos",datos_base!$J$12,0))*parametros_manuales!$K$110)*parametros_manuales!$I$19*parametros_manuales!$J$19</f>
        <v>21784.925</v>
      </c>
      <c r="L218" s="4">
        <f>(parametros_manuales!$D$19*(datos_base!$J$2+IF(parametros_manuales!$H$19="Todos",datos_base!$J$9,0))*parametros_manuales!$L$95+parametros_manuales!$E$19*(datos_base!$J$3+IF(parametros_manuales!$H$19="Todos",datos_base!$J$10,0))*parametros_manuales!$L$100+parametros_manuales!$F$19*(datos_base!$J$4+IF(parametros_manuales!$H$19="Todos",datos_base!$J$11,0))*parametros_manuales!$L$105+parametros_manuales!$G$19*(datos_base!$J$5+IF(parametros_manuales!$H$19="Todos",datos_base!$J$12,0))*parametros_manuales!$L$110)*parametros_manuales!$I$19*parametros_manuales!$J$19</f>
        <v>22137.84</v>
      </c>
      <c r="M218" s="4">
        <f>(parametros_manuales!$D$19*(datos_base!$J$2+IF(parametros_manuales!$H$19="Todos",datos_base!$J$9,0))*parametros_manuales!$M$95+parametros_manuales!$E$19*(datos_base!$J$3+IF(parametros_manuales!$H$19="Todos",datos_base!$J$10,0))*parametros_manuales!$M$100+parametros_manuales!$F$19*(datos_base!$J$4+IF(parametros_manuales!$H$19="Todos",datos_base!$J$11,0))*parametros_manuales!$M$105+parametros_manuales!$G$19*(datos_base!$J$5+IF(parametros_manuales!$H$19="Todos",datos_base!$J$12,0))*parametros_manuales!$M$110)*parametros_manuales!$I$19*parametros_manuales!$J$19</f>
        <v>22137.84</v>
      </c>
      <c r="N218" s="4">
        <f t="shared" ref="N218:N242" si="25">SUM(B218:M218)</f>
        <v>245976</v>
      </c>
      <c r="O218" s="4">
        <f t="shared" ref="O218:O242" si="26">MAX(B218:M218)</f>
        <v>22137.84</v>
      </c>
      <c r="P218" s="27">
        <f>O218/(parametros_manuales!$B$7)</f>
        <v>147.5856</v>
      </c>
      <c r="Q218" s="3" t="str">
        <f t="shared" ref="Q218:Q242" si="27">IF(O218=0,"-",INDEX($B$217:$M$217,MATCH(O218,B218:M218,0)))</f>
        <v>Ene</v>
      </c>
    </row>
    <row r="219" ht="14.25" customHeight="1">
      <c r="A219" s="3" t="str">
        <f>parametros_manuales!$B$20</f>
        <v>Corte de chapa (guillotina) — 2,5 a 10 kg</v>
      </c>
      <c r="B219" s="4">
        <f>(parametros_manuales!$D$20*(datos_base!$J$2+IF(parametros_manuales!$H$20="Todos",datos_base!$J$9,0))*parametros_manuales!$B$95+parametros_manuales!$E$20*(datos_base!$J$3+IF(parametros_manuales!$H$20="Todos",datos_base!$J$10,0))*parametros_manuales!$B$100+parametros_manuales!$F$20*(datos_base!$J$4+IF(parametros_manuales!$H$20="Todos",datos_base!$J$11,0))*parametros_manuales!$B$105+parametros_manuales!$G$20*(datos_base!$J$5+IF(parametros_manuales!$H$20="Todos",datos_base!$J$12,0))*parametros_manuales!$B$110)*parametros_manuales!$I$20*parametros_manuales!$J$20</f>
        <v>6352.47</v>
      </c>
      <c r="C219" s="4">
        <f>(parametros_manuales!$D$20*(datos_base!$J$2+IF(parametros_manuales!$H$20="Todos",datos_base!$J$9,0))*parametros_manuales!$C$95+parametros_manuales!$E$20*(datos_base!$J$3+IF(parametros_manuales!$H$20="Todos",datos_base!$J$10,0))*parametros_manuales!$C$100+parametros_manuales!$F$20*(datos_base!$J$4+IF(parametros_manuales!$H$20="Todos",datos_base!$J$11,0))*parametros_manuales!$C$105+parametros_manuales!$G$20*(datos_base!$J$5+IF(parametros_manuales!$H$20="Todos",datos_base!$J$12,0))*parametros_manuales!$C$110)*parametros_manuales!$I$20*parametros_manuales!$J$20</f>
        <v>5646.64</v>
      </c>
      <c r="D219" s="4">
        <f>(parametros_manuales!$D$20*(datos_base!$J$2+IF(parametros_manuales!$H$20="Todos",datos_base!$J$9,0))*parametros_manuales!$D$95+parametros_manuales!$E$20*(datos_base!$J$3+IF(parametros_manuales!$H$20="Todos",datos_base!$J$10,0))*parametros_manuales!$D$100+parametros_manuales!$F$20*(datos_base!$J$4+IF(parametros_manuales!$H$20="Todos",datos_base!$J$11,0))*parametros_manuales!$D$105+parametros_manuales!$G$20*(datos_base!$J$5+IF(parametros_manuales!$H$20="Todos",datos_base!$J$12,0))*parametros_manuales!$D$110)*parametros_manuales!$I$20*parametros_manuales!$J$20</f>
        <v>5999.555</v>
      </c>
      <c r="E219" s="4">
        <f>(parametros_manuales!$D$20*(datos_base!$J$2+IF(parametros_manuales!$H$20="Todos",datos_base!$J$9,0))*parametros_manuales!$E$95+parametros_manuales!$E$20*(datos_base!$J$3+IF(parametros_manuales!$H$20="Todos",datos_base!$J$10,0))*parametros_manuales!$E$100+parametros_manuales!$F$20*(datos_base!$J$4+IF(parametros_manuales!$H$20="Todos",datos_base!$J$11,0))*parametros_manuales!$E$105+parametros_manuales!$G$20*(datos_base!$J$5+IF(parametros_manuales!$H$20="Todos",datos_base!$J$12,0))*parametros_manuales!$E$110)*parametros_manuales!$I$20*parametros_manuales!$J$20</f>
        <v>5999.555</v>
      </c>
      <c r="F219" s="4">
        <f>(parametros_manuales!$D$20*(datos_base!$J$2+IF(parametros_manuales!$H$20="Todos",datos_base!$J$9,0))*parametros_manuales!$F$95+parametros_manuales!$E$20*(datos_base!$J$3+IF(parametros_manuales!$H$20="Todos",datos_base!$J$10,0))*parametros_manuales!$F$100+parametros_manuales!$F$20*(datos_base!$J$4+IF(parametros_manuales!$H$20="Todos",datos_base!$J$11,0))*parametros_manuales!$F$105+parametros_manuales!$G$20*(datos_base!$J$5+IF(parametros_manuales!$H$20="Todos",datos_base!$J$12,0))*parametros_manuales!$F$110)*parametros_manuales!$I$20*parametros_manuales!$J$20</f>
        <v>5646.64</v>
      </c>
      <c r="G219" s="4">
        <f>(parametros_manuales!$D$20*(datos_base!$J$2+IF(parametros_manuales!$H$20="Todos",datos_base!$J$9,0))*parametros_manuales!$G$95+parametros_manuales!$E$20*(datos_base!$J$3+IF(parametros_manuales!$H$20="Todos",datos_base!$J$10,0))*parametros_manuales!$G$100+parametros_manuales!$F$20*(datos_base!$J$4+IF(parametros_manuales!$H$20="Todos",datos_base!$J$11,0))*parametros_manuales!$G$105+parametros_manuales!$G$20*(datos_base!$J$5+IF(parametros_manuales!$H$20="Todos",datos_base!$J$12,0))*parametros_manuales!$G$110)*parametros_manuales!$I$20*parametros_manuales!$J$20</f>
        <v>5293.725</v>
      </c>
      <c r="H219" s="4">
        <f>(parametros_manuales!$D$20*(datos_base!$J$2+IF(parametros_manuales!$H$20="Todos",datos_base!$J$9,0))*parametros_manuales!$H$95+parametros_manuales!$E$20*(datos_base!$J$3+IF(parametros_manuales!$H$20="Todos",datos_base!$J$10,0))*parametros_manuales!$H$100+parametros_manuales!$F$20*(datos_base!$J$4+IF(parametros_manuales!$H$20="Todos",datos_base!$J$11,0))*parametros_manuales!$H$105+parametros_manuales!$G$20*(datos_base!$J$5+IF(parametros_manuales!$H$20="Todos",datos_base!$J$12,0))*parametros_manuales!$H$110)*parametros_manuales!$I$20*parametros_manuales!$J$20</f>
        <v>5646.64</v>
      </c>
      <c r="I219" s="4">
        <f>(parametros_manuales!$D$20*(datos_base!$J$2+IF(parametros_manuales!$H$20="Todos",datos_base!$J$9,0))*parametros_manuales!$I$95+parametros_manuales!$E$20*(datos_base!$J$3+IF(parametros_manuales!$H$20="Todos",datos_base!$J$10,0))*parametros_manuales!$I$100+parametros_manuales!$F$20*(datos_base!$J$4+IF(parametros_manuales!$H$20="Todos",datos_base!$J$11,0))*parametros_manuales!$I$105+parametros_manuales!$G$20*(datos_base!$J$5+IF(parametros_manuales!$H$20="Todos",datos_base!$J$12,0))*parametros_manuales!$I$110)*parametros_manuales!$I$20*parametros_manuales!$J$20</f>
        <v>5646.64</v>
      </c>
      <c r="J219" s="4">
        <f>(parametros_manuales!$D$20*(datos_base!$J$2+IF(parametros_manuales!$H$20="Todos",datos_base!$J$9,0))*parametros_manuales!$J$95+parametros_manuales!$E$20*(datos_base!$J$3+IF(parametros_manuales!$H$20="Todos",datos_base!$J$10,0))*parametros_manuales!$J$100+parametros_manuales!$F$20*(datos_base!$J$4+IF(parametros_manuales!$H$20="Todos",datos_base!$J$11,0))*parametros_manuales!$J$105+parametros_manuales!$G$20*(datos_base!$J$5+IF(parametros_manuales!$H$20="Todos",datos_base!$J$12,0))*parametros_manuales!$J$110)*parametros_manuales!$I$20*parametros_manuales!$J$20</f>
        <v>5646.64</v>
      </c>
      <c r="K219" s="4">
        <f>(parametros_manuales!$D$20*(datos_base!$J$2+IF(parametros_manuales!$H$20="Todos",datos_base!$J$9,0))*parametros_manuales!$K$95+parametros_manuales!$E$20*(datos_base!$J$3+IF(parametros_manuales!$H$20="Todos",datos_base!$J$10,0))*parametros_manuales!$K$100+parametros_manuales!$F$20*(datos_base!$J$4+IF(parametros_manuales!$H$20="Todos",datos_base!$J$11,0))*parametros_manuales!$K$105+parametros_manuales!$G$20*(datos_base!$J$5+IF(parametros_manuales!$H$20="Todos",datos_base!$J$12,0))*parametros_manuales!$K$110)*parametros_manuales!$I$20*parametros_manuales!$J$20</f>
        <v>5999.555</v>
      </c>
      <c r="L219" s="4">
        <f>(parametros_manuales!$D$20*(datos_base!$J$2+IF(parametros_manuales!$H$20="Todos",datos_base!$J$9,0))*parametros_manuales!$L$95+parametros_manuales!$E$20*(datos_base!$J$3+IF(parametros_manuales!$H$20="Todos",datos_base!$J$10,0))*parametros_manuales!$L$100+parametros_manuales!$F$20*(datos_base!$J$4+IF(parametros_manuales!$H$20="Todos",datos_base!$J$11,0))*parametros_manuales!$L$105+parametros_manuales!$G$20*(datos_base!$J$5+IF(parametros_manuales!$H$20="Todos",datos_base!$J$12,0))*parametros_manuales!$L$110)*parametros_manuales!$I$20*parametros_manuales!$J$20</f>
        <v>6352.47</v>
      </c>
      <c r="M219" s="4">
        <f>(parametros_manuales!$D$20*(datos_base!$J$2+IF(parametros_manuales!$H$20="Todos",datos_base!$J$9,0))*parametros_manuales!$M$95+parametros_manuales!$E$20*(datos_base!$J$3+IF(parametros_manuales!$H$20="Todos",datos_base!$J$10,0))*parametros_manuales!$M$100+parametros_manuales!$F$20*(datos_base!$J$4+IF(parametros_manuales!$H$20="Todos",datos_base!$J$11,0))*parametros_manuales!$M$105+parametros_manuales!$G$20*(datos_base!$J$5+IF(parametros_manuales!$H$20="Todos",datos_base!$J$12,0))*parametros_manuales!$M$110)*parametros_manuales!$I$20*parametros_manuales!$J$20</f>
        <v>6352.47</v>
      </c>
      <c r="N219" s="4">
        <f t="shared" si="25"/>
        <v>70583</v>
      </c>
      <c r="O219" s="4">
        <f t="shared" si="26"/>
        <v>6352.47</v>
      </c>
      <c r="P219" s="27">
        <f>O219/(parametros_manuales!$B$7)</f>
        <v>42.3498</v>
      </c>
      <c r="Q219" s="3" t="str">
        <f t="shared" si="27"/>
        <v>Ene</v>
      </c>
    </row>
    <row r="220" ht="14.25" customHeight="1">
      <c r="A220" s="3" t="str">
        <f>parametros_manuales!$B$21</f>
        <v>Corte de tubo — 1 kg</v>
      </c>
      <c r="B220" s="4">
        <f>(parametros_manuales!$D$21*(datos_base!$J$2+IF(parametros_manuales!$H$21="Todos",datos_base!$J$9,0))*parametros_manuales!$B$95+parametros_manuales!$E$21*(datos_base!$J$3+IF(parametros_manuales!$H$21="Todos",datos_base!$J$10,0))*parametros_manuales!$B$100+parametros_manuales!$F$21*(datos_base!$J$4+IF(parametros_manuales!$H$21="Todos",datos_base!$J$11,0))*parametros_manuales!$B$105+parametros_manuales!$G$21*(datos_base!$J$5+IF(parametros_manuales!$H$21="Todos",datos_base!$J$12,0))*parametros_manuales!$B$110)*parametros_manuales!$I$21*parametros_manuales!$J$21</f>
        <v>15785.37</v>
      </c>
      <c r="C220" s="4">
        <f>(parametros_manuales!$D$21*(datos_base!$J$2+IF(parametros_manuales!$H$21="Todos",datos_base!$J$9,0))*parametros_manuales!$C$95+parametros_manuales!$E$21*(datos_base!$J$3+IF(parametros_manuales!$H$21="Todos",datos_base!$J$10,0))*parametros_manuales!$C$100+parametros_manuales!$F$21*(datos_base!$J$4+IF(parametros_manuales!$H$21="Todos",datos_base!$J$11,0))*parametros_manuales!$C$105+parametros_manuales!$G$21*(datos_base!$J$5+IF(parametros_manuales!$H$21="Todos",datos_base!$J$12,0))*parametros_manuales!$C$110)*parametros_manuales!$I$21*parametros_manuales!$J$21</f>
        <v>15785.37</v>
      </c>
      <c r="D220" s="4">
        <f>(parametros_manuales!$D$21*(datos_base!$J$2+IF(parametros_manuales!$H$21="Todos",datos_base!$J$9,0))*parametros_manuales!$D$95+parametros_manuales!$E$21*(datos_base!$J$3+IF(parametros_manuales!$H$21="Todos",datos_base!$J$10,0))*parametros_manuales!$D$100+parametros_manuales!$F$21*(datos_base!$J$4+IF(parametros_manuales!$H$21="Todos",datos_base!$J$11,0))*parametros_manuales!$D$105+parametros_manuales!$G$21*(datos_base!$J$5+IF(parametros_manuales!$H$21="Todos",datos_base!$J$12,0))*parametros_manuales!$D$110)*parametros_manuales!$I$21*parametros_manuales!$J$21</f>
        <v>14031.44</v>
      </c>
      <c r="E220" s="4">
        <f>(parametros_manuales!$D$21*(datos_base!$J$2+IF(parametros_manuales!$H$21="Todos",datos_base!$J$9,0))*parametros_manuales!$E$95+parametros_manuales!$E$21*(datos_base!$J$3+IF(parametros_manuales!$H$21="Todos",datos_base!$J$10,0))*parametros_manuales!$E$100+parametros_manuales!$F$21*(datos_base!$J$4+IF(parametros_manuales!$H$21="Todos",datos_base!$J$11,0))*parametros_manuales!$E$105+parametros_manuales!$G$21*(datos_base!$J$5+IF(parametros_manuales!$H$21="Todos",datos_base!$J$12,0))*parametros_manuales!$E$110)*parametros_manuales!$I$21*parametros_manuales!$J$21</f>
        <v>13154.475</v>
      </c>
      <c r="F220" s="4">
        <f>(parametros_manuales!$D$21*(datos_base!$J$2+IF(parametros_manuales!$H$21="Todos",datos_base!$J$9,0))*parametros_manuales!$F$95+parametros_manuales!$E$21*(datos_base!$J$3+IF(parametros_manuales!$H$21="Todos",datos_base!$J$10,0))*parametros_manuales!$F$100+parametros_manuales!$F$21*(datos_base!$J$4+IF(parametros_manuales!$H$21="Todos",datos_base!$J$11,0))*parametros_manuales!$F$105+parametros_manuales!$G$21*(datos_base!$J$5+IF(parametros_manuales!$H$21="Todos",datos_base!$J$12,0))*parametros_manuales!$F$110)*parametros_manuales!$I$21*parametros_manuales!$J$21</f>
        <v>12277.51</v>
      </c>
      <c r="G220" s="4">
        <f>(parametros_manuales!$D$21*(datos_base!$J$2+IF(parametros_manuales!$H$21="Todos",datos_base!$J$9,0))*parametros_manuales!$G$95+parametros_manuales!$E$21*(datos_base!$J$3+IF(parametros_manuales!$H$21="Todos",datos_base!$J$10,0))*parametros_manuales!$G$100+parametros_manuales!$F$21*(datos_base!$J$4+IF(parametros_manuales!$H$21="Todos",datos_base!$J$11,0))*parametros_manuales!$G$105+parametros_manuales!$G$21*(datos_base!$J$5+IF(parametros_manuales!$H$21="Todos",datos_base!$J$12,0))*parametros_manuales!$G$110)*parametros_manuales!$I$21*parametros_manuales!$J$21</f>
        <v>12277.51</v>
      </c>
      <c r="H220" s="4">
        <f>(parametros_manuales!$D$21*(datos_base!$J$2+IF(parametros_manuales!$H$21="Todos",datos_base!$J$9,0))*parametros_manuales!$H$95+parametros_manuales!$E$21*(datos_base!$J$3+IF(parametros_manuales!$H$21="Todos",datos_base!$J$10,0))*parametros_manuales!$H$100+parametros_manuales!$F$21*(datos_base!$J$4+IF(parametros_manuales!$H$21="Todos",datos_base!$J$11,0))*parametros_manuales!$H$105+parametros_manuales!$G$21*(datos_base!$J$5+IF(parametros_manuales!$H$21="Todos",datos_base!$J$12,0))*parametros_manuales!$H$110)*parametros_manuales!$I$21*parametros_manuales!$J$21</f>
        <v>13154.475</v>
      </c>
      <c r="I220" s="4">
        <f>(parametros_manuales!$D$21*(datos_base!$J$2+IF(parametros_manuales!$H$21="Todos",datos_base!$J$9,0))*parametros_manuales!$I$95+parametros_manuales!$E$21*(datos_base!$J$3+IF(parametros_manuales!$H$21="Todos",datos_base!$J$10,0))*parametros_manuales!$I$100+parametros_manuales!$F$21*(datos_base!$J$4+IF(parametros_manuales!$H$21="Todos",datos_base!$J$11,0))*parametros_manuales!$I$105+parametros_manuales!$G$21*(datos_base!$J$5+IF(parametros_manuales!$H$21="Todos",datos_base!$J$12,0))*parametros_manuales!$I$110)*parametros_manuales!$I$21*parametros_manuales!$J$21</f>
        <v>15785.37</v>
      </c>
      <c r="J220" s="4">
        <f>(parametros_manuales!$D$21*(datos_base!$J$2+IF(parametros_manuales!$H$21="Todos",datos_base!$J$9,0))*parametros_manuales!$J$95+parametros_manuales!$E$21*(datos_base!$J$3+IF(parametros_manuales!$H$21="Todos",datos_base!$J$10,0))*parametros_manuales!$J$100+parametros_manuales!$F$21*(datos_base!$J$4+IF(parametros_manuales!$H$21="Todos",datos_base!$J$11,0))*parametros_manuales!$J$105+parametros_manuales!$G$21*(datos_base!$J$5+IF(parametros_manuales!$H$21="Todos",datos_base!$J$12,0))*parametros_manuales!$J$110)*parametros_manuales!$I$21*parametros_manuales!$J$21</f>
        <v>15785.37</v>
      </c>
      <c r="K220" s="4">
        <f>(parametros_manuales!$D$21*(datos_base!$J$2+IF(parametros_manuales!$H$21="Todos",datos_base!$J$9,0))*parametros_manuales!$K$95+parametros_manuales!$E$21*(datos_base!$J$3+IF(parametros_manuales!$H$21="Todos",datos_base!$J$10,0))*parametros_manuales!$K$100+parametros_manuales!$F$21*(datos_base!$J$4+IF(parametros_manuales!$H$21="Todos",datos_base!$J$11,0))*parametros_manuales!$K$105+parametros_manuales!$G$21*(datos_base!$J$5+IF(parametros_manuales!$H$21="Todos",datos_base!$J$12,0))*parametros_manuales!$K$110)*parametros_manuales!$I$21*parametros_manuales!$J$21</f>
        <v>15785.37</v>
      </c>
      <c r="L220" s="4">
        <f>(parametros_manuales!$D$21*(datos_base!$J$2+IF(parametros_manuales!$H$21="Todos",datos_base!$J$9,0))*parametros_manuales!$L$95+parametros_manuales!$E$21*(datos_base!$J$3+IF(parametros_manuales!$H$21="Todos",datos_base!$J$10,0))*parametros_manuales!$L$100+parametros_manuales!$F$21*(datos_base!$J$4+IF(parametros_manuales!$H$21="Todos",datos_base!$J$11,0))*parametros_manuales!$L$105+parametros_manuales!$G$21*(datos_base!$J$5+IF(parametros_manuales!$H$21="Todos",datos_base!$J$12,0))*parametros_manuales!$L$110)*parametros_manuales!$I$21*parametros_manuales!$J$21</f>
        <v>15785.37</v>
      </c>
      <c r="M220" s="4">
        <f>(parametros_manuales!$D$21*(datos_base!$J$2+IF(parametros_manuales!$H$21="Todos",datos_base!$J$9,0))*parametros_manuales!$M$95+parametros_manuales!$E$21*(datos_base!$J$3+IF(parametros_manuales!$H$21="Todos",datos_base!$J$10,0))*parametros_manuales!$M$100+parametros_manuales!$F$21*(datos_base!$J$4+IF(parametros_manuales!$H$21="Todos",datos_base!$J$11,0))*parametros_manuales!$M$105+parametros_manuales!$G$21*(datos_base!$J$5+IF(parametros_manuales!$H$21="Todos",datos_base!$J$12,0))*parametros_manuales!$M$110)*parametros_manuales!$I$21*parametros_manuales!$J$21</f>
        <v>15785.37</v>
      </c>
      <c r="N220" s="4">
        <f t="shared" si="25"/>
        <v>175393</v>
      </c>
      <c r="O220" s="4">
        <f t="shared" si="26"/>
        <v>15785.37</v>
      </c>
      <c r="P220" s="27">
        <f>O220/(parametros_manuales!$B$7)</f>
        <v>105.2358</v>
      </c>
      <c r="Q220" s="3" t="str">
        <f t="shared" si="27"/>
        <v>Ene</v>
      </c>
    </row>
    <row r="221" ht="14.25" customHeight="1">
      <c r="A221" s="3" t="str">
        <f>parametros_manuales!$B$22</f>
        <v>Corte de disco y embutido (cúpula y fondo)</v>
      </c>
      <c r="B221" s="4">
        <f>(parametros_manuales!$D$22*(datos_base!$J$2+IF(parametros_manuales!$H$22="Todos",datos_base!$J$9,0))*parametros_manuales!$B$95+parametros_manuales!$E$22*(datos_base!$J$3+IF(parametros_manuales!$H$22="Todos",datos_base!$J$10,0))*parametros_manuales!$B$100+parametros_manuales!$F$22*(datos_base!$J$4+IF(parametros_manuales!$H$22="Todos",datos_base!$J$11,0))*parametros_manuales!$B$105+parametros_manuales!$G$22*(datos_base!$J$5+IF(parametros_manuales!$H$22="Todos",datos_base!$J$12,0))*parametros_manuales!$B$110)*parametros_manuales!$I$22*parametros_manuales!$J$22</f>
        <v>44275.68</v>
      </c>
      <c r="C221" s="4">
        <f>(parametros_manuales!$D$22*(datos_base!$J$2+IF(parametros_manuales!$H$22="Todos",datos_base!$J$9,0))*parametros_manuales!$C$95+parametros_manuales!$E$22*(datos_base!$J$3+IF(parametros_manuales!$H$22="Todos",datos_base!$J$10,0))*parametros_manuales!$C$100+parametros_manuales!$F$22*(datos_base!$J$4+IF(parametros_manuales!$H$22="Todos",datos_base!$J$11,0))*parametros_manuales!$C$105+parametros_manuales!$G$22*(datos_base!$J$5+IF(parametros_manuales!$H$22="Todos",datos_base!$J$12,0))*parametros_manuales!$C$110)*parametros_manuales!$I$22*parametros_manuales!$J$22</f>
        <v>42864.02</v>
      </c>
      <c r="D221" s="4">
        <f>(parametros_manuales!$D$22*(datos_base!$J$2+IF(parametros_manuales!$H$22="Todos",datos_base!$J$9,0))*parametros_manuales!$D$95+parametros_manuales!$E$22*(datos_base!$J$3+IF(parametros_manuales!$H$22="Todos",datos_base!$J$10,0))*parametros_manuales!$D$100+parametros_manuales!$F$22*(datos_base!$J$4+IF(parametros_manuales!$H$22="Todos",datos_base!$J$11,0))*parametros_manuales!$D$105+parametros_manuales!$G$22*(datos_base!$J$5+IF(parametros_manuales!$H$22="Todos",datos_base!$J$12,0))*parametros_manuales!$D$110)*parametros_manuales!$I$22*parametros_manuales!$J$22</f>
        <v>40061.99</v>
      </c>
      <c r="E221" s="4">
        <f>(parametros_manuales!$D$22*(datos_base!$J$2+IF(parametros_manuales!$H$22="Todos",datos_base!$J$9,0))*parametros_manuales!$E$95+parametros_manuales!$E$22*(datos_base!$J$3+IF(parametros_manuales!$H$22="Todos",datos_base!$J$10,0))*parametros_manuales!$E$100+parametros_manuales!$F$22*(datos_base!$J$4+IF(parametros_manuales!$H$22="Todos",datos_base!$J$11,0))*parametros_manuales!$E$105+parametros_manuales!$G$22*(datos_base!$J$5+IF(parametros_manuales!$H$22="Todos",datos_base!$J$12,0))*parametros_manuales!$E$110)*parametros_manuales!$I$22*parametros_manuales!$J$22</f>
        <v>38308.06</v>
      </c>
      <c r="F221" s="4">
        <f>(parametros_manuales!$D$22*(datos_base!$J$2+IF(parametros_manuales!$H$22="Todos",datos_base!$J$9,0))*parametros_manuales!$F$95+parametros_manuales!$E$22*(datos_base!$J$3+IF(parametros_manuales!$H$22="Todos",datos_base!$J$10,0))*parametros_manuales!$F$100+parametros_manuales!$F$22*(datos_base!$J$4+IF(parametros_manuales!$H$22="Todos",datos_base!$J$11,0))*parametros_manuales!$F$105+parametros_manuales!$G$22*(datos_base!$J$5+IF(parametros_manuales!$H$22="Todos",datos_base!$J$12,0))*parametros_manuales!$F$110)*parametros_manuales!$I$22*parametros_manuales!$J$22</f>
        <v>35848.3</v>
      </c>
      <c r="G221" s="4">
        <f>(parametros_manuales!$D$22*(datos_base!$J$2+IF(parametros_manuales!$H$22="Todos",datos_base!$J$9,0))*parametros_manuales!$G$95+parametros_manuales!$E$22*(datos_base!$J$3+IF(parametros_manuales!$H$22="Todos",datos_base!$J$10,0))*parametros_manuales!$G$100+parametros_manuales!$F$22*(datos_base!$J$4+IF(parametros_manuales!$H$22="Todos",datos_base!$J$11,0))*parametros_manuales!$G$105+parametros_manuales!$G$22*(datos_base!$J$5+IF(parametros_manuales!$H$22="Todos",datos_base!$J$12,0))*parametros_manuales!$G$110)*parametros_manuales!$I$22*parametros_manuales!$J$22</f>
        <v>35142.47</v>
      </c>
      <c r="H221" s="4">
        <f>(parametros_manuales!$D$22*(datos_base!$J$2+IF(parametros_manuales!$H$22="Todos",datos_base!$J$9,0))*parametros_manuales!$H$95+parametros_manuales!$E$22*(datos_base!$J$3+IF(parametros_manuales!$H$22="Todos",datos_base!$J$10,0))*parametros_manuales!$H$100+parametros_manuales!$F$22*(datos_base!$J$4+IF(parametros_manuales!$H$22="Todos",datos_base!$J$11,0))*parametros_manuales!$H$105+parametros_manuales!$G$22*(datos_base!$J$5+IF(parametros_manuales!$H$22="Todos",datos_base!$J$12,0))*parametros_manuales!$H$110)*parametros_manuales!$I$22*parametros_manuales!$J$22</f>
        <v>37602.23</v>
      </c>
      <c r="I221" s="4">
        <f>(parametros_manuales!$D$22*(datos_base!$J$2+IF(parametros_manuales!$H$22="Todos",datos_base!$J$9,0))*parametros_manuales!$I$95+parametros_manuales!$E$22*(datos_base!$J$3+IF(parametros_manuales!$H$22="Todos",datos_base!$J$10,0))*parametros_manuales!$I$100+parametros_manuales!$F$22*(datos_base!$J$4+IF(parametros_manuales!$H$22="Todos",datos_base!$J$11,0))*parametros_manuales!$I$105+parametros_manuales!$G$22*(datos_base!$J$5+IF(parametros_manuales!$H$22="Todos",datos_base!$J$12,0))*parametros_manuales!$I$110)*parametros_manuales!$I$22*parametros_manuales!$J$22</f>
        <v>42864.02</v>
      </c>
      <c r="J221" s="4">
        <f>(parametros_manuales!$D$22*(datos_base!$J$2+IF(parametros_manuales!$H$22="Todos",datos_base!$J$9,0))*parametros_manuales!$J$95+parametros_manuales!$E$22*(datos_base!$J$3+IF(parametros_manuales!$H$22="Todos",datos_base!$J$10,0))*parametros_manuales!$J$100+parametros_manuales!$F$22*(datos_base!$J$4+IF(parametros_manuales!$H$22="Todos",datos_base!$J$11,0))*parametros_manuales!$J$105+parametros_manuales!$G$22*(datos_base!$J$5+IF(parametros_manuales!$H$22="Todos",datos_base!$J$12,0))*parametros_manuales!$J$110)*parametros_manuales!$I$22*parametros_manuales!$J$22</f>
        <v>42864.02</v>
      </c>
      <c r="K221" s="4">
        <f>(parametros_manuales!$D$22*(datos_base!$J$2+IF(parametros_manuales!$H$22="Todos",datos_base!$J$9,0))*parametros_manuales!$K$95+parametros_manuales!$E$22*(datos_base!$J$3+IF(parametros_manuales!$H$22="Todos",datos_base!$J$10,0))*parametros_manuales!$K$100+parametros_manuales!$F$22*(datos_base!$J$4+IF(parametros_manuales!$H$22="Todos",datos_base!$J$11,0))*parametros_manuales!$K$105+parametros_manuales!$G$22*(datos_base!$J$5+IF(parametros_manuales!$H$22="Todos",datos_base!$J$12,0))*parametros_manuales!$K$110)*parametros_manuales!$I$22*parametros_manuales!$J$22</f>
        <v>43569.85</v>
      </c>
      <c r="L221" s="4">
        <f>(parametros_manuales!$D$22*(datos_base!$J$2+IF(parametros_manuales!$H$22="Todos",datos_base!$J$9,0))*parametros_manuales!$L$95+parametros_manuales!$E$22*(datos_base!$J$3+IF(parametros_manuales!$H$22="Todos",datos_base!$J$10,0))*parametros_manuales!$L$100+parametros_manuales!$F$22*(datos_base!$J$4+IF(parametros_manuales!$H$22="Todos",datos_base!$J$11,0))*parametros_manuales!$L$105+parametros_manuales!$G$22*(datos_base!$J$5+IF(parametros_manuales!$H$22="Todos",datos_base!$J$12,0))*parametros_manuales!$L$110)*parametros_manuales!$I$22*parametros_manuales!$J$22</f>
        <v>44275.68</v>
      </c>
      <c r="M221" s="4">
        <f>(parametros_manuales!$D$22*(datos_base!$J$2+IF(parametros_manuales!$H$22="Todos",datos_base!$J$9,0))*parametros_manuales!$M$95+parametros_manuales!$E$22*(datos_base!$J$3+IF(parametros_manuales!$H$22="Todos",datos_base!$J$10,0))*parametros_manuales!$M$100+parametros_manuales!$F$22*(datos_base!$J$4+IF(parametros_manuales!$H$22="Todos",datos_base!$J$11,0))*parametros_manuales!$M$105+parametros_manuales!$G$22*(datos_base!$J$5+IF(parametros_manuales!$H$22="Todos",datos_base!$J$12,0))*parametros_manuales!$M$110)*parametros_manuales!$I$22*parametros_manuales!$J$22</f>
        <v>44275.68</v>
      </c>
      <c r="N221" s="4">
        <f t="shared" si="25"/>
        <v>491952</v>
      </c>
      <c r="O221" s="4">
        <f t="shared" si="26"/>
        <v>44275.68</v>
      </c>
      <c r="P221" s="27">
        <f>O221/(parametros_manuales!$B$7)</f>
        <v>295.1712</v>
      </c>
      <c r="Q221" s="3" t="str">
        <f t="shared" si="27"/>
        <v>Ene</v>
      </c>
    </row>
    <row r="222" ht="14.25" customHeight="1">
      <c r="A222" s="3" t="str">
        <f>parametros_manuales!$B$23</f>
        <v>Preparación de cuello</v>
      </c>
      <c r="B222" s="4">
        <f>(parametros_manuales!$D$23*(datos_base!$J$2+IF(parametros_manuales!$H$23="Todos",datos_base!$J$9,0))*parametros_manuales!$B$95+parametros_manuales!$E$23*(datos_base!$J$3+IF(parametros_manuales!$H$23="Todos",datos_base!$J$10,0))*parametros_manuales!$B$100+parametros_manuales!$F$23*(datos_base!$J$4+IF(parametros_manuales!$H$23="Todos",datos_base!$J$11,0))*parametros_manuales!$B$105+parametros_manuales!$G$23*(datos_base!$J$5+IF(parametros_manuales!$H$23="Todos",datos_base!$J$12,0))*parametros_manuales!$B$110)*parametros_manuales!$I$23*parametros_manuales!$J$23</f>
        <v>22137.84</v>
      </c>
      <c r="C222" s="4">
        <f>(parametros_manuales!$D$23*(datos_base!$J$2+IF(parametros_manuales!$H$23="Todos",datos_base!$J$9,0))*parametros_manuales!$C$95+parametros_manuales!$E$23*(datos_base!$J$3+IF(parametros_manuales!$H$23="Todos",datos_base!$J$10,0))*parametros_manuales!$C$100+parametros_manuales!$F$23*(datos_base!$J$4+IF(parametros_manuales!$H$23="Todos",datos_base!$J$11,0))*parametros_manuales!$C$105+parametros_manuales!$G$23*(datos_base!$J$5+IF(parametros_manuales!$H$23="Todos",datos_base!$J$12,0))*parametros_manuales!$C$110)*parametros_manuales!$I$23*parametros_manuales!$J$23</f>
        <v>21432.01</v>
      </c>
      <c r="D222" s="4">
        <f>(parametros_manuales!$D$23*(datos_base!$J$2+IF(parametros_manuales!$H$23="Todos",datos_base!$J$9,0))*parametros_manuales!$D$95+parametros_manuales!$E$23*(datos_base!$J$3+IF(parametros_manuales!$H$23="Todos",datos_base!$J$10,0))*parametros_manuales!$D$100+parametros_manuales!$F$23*(datos_base!$J$4+IF(parametros_manuales!$H$23="Todos",datos_base!$J$11,0))*parametros_manuales!$D$105+parametros_manuales!$G$23*(datos_base!$J$5+IF(parametros_manuales!$H$23="Todos",datos_base!$J$12,0))*parametros_manuales!$D$110)*parametros_manuales!$I$23*parametros_manuales!$J$23</f>
        <v>20030.995</v>
      </c>
      <c r="E222" s="4">
        <f>(parametros_manuales!$D$23*(datos_base!$J$2+IF(parametros_manuales!$H$23="Todos",datos_base!$J$9,0))*parametros_manuales!$E$95+parametros_manuales!$E$23*(datos_base!$J$3+IF(parametros_manuales!$H$23="Todos",datos_base!$J$10,0))*parametros_manuales!$E$100+parametros_manuales!$F$23*(datos_base!$J$4+IF(parametros_manuales!$H$23="Todos",datos_base!$J$11,0))*parametros_manuales!$E$105+parametros_manuales!$G$23*(datos_base!$J$5+IF(parametros_manuales!$H$23="Todos",datos_base!$J$12,0))*parametros_manuales!$E$110)*parametros_manuales!$I$23*parametros_manuales!$J$23</f>
        <v>19154.03</v>
      </c>
      <c r="F222" s="4">
        <f>(parametros_manuales!$D$23*(datos_base!$J$2+IF(parametros_manuales!$H$23="Todos",datos_base!$J$9,0))*parametros_manuales!$F$95+parametros_manuales!$E$23*(datos_base!$J$3+IF(parametros_manuales!$H$23="Todos",datos_base!$J$10,0))*parametros_manuales!$F$100+parametros_manuales!$F$23*(datos_base!$J$4+IF(parametros_manuales!$H$23="Todos",datos_base!$J$11,0))*parametros_manuales!$F$105+parametros_manuales!$G$23*(datos_base!$J$5+IF(parametros_manuales!$H$23="Todos",datos_base!$J$12,0))*parametros_manuales!$F$110)*parametros_manuales!$I$23*parametros_manuales!$J$23</f>
        <v>17924.15</v>
      </c>
      <c r="G222" s="4">
        <f>(parametros_manuales!$D$23*(datos_base!$J$2+IF(parametros_manuales!$H$23="Todos",datos_base!$J$9,0))*parametros_manuales!$G$95+parametros_manuales!$E$23*(datos_base!$J$3+IF(parametros_manuales!$H$23="Todos",datos_base!$J$10,0))*parametros_manuales!$G$100+parametros_manuales!$F$23*(datos_base!$J$4+IF(parametros_manuales!$H$23="Todos",datos_base!$J$11,0))*parametros_manuales!$G$105+parametros_manuales!$G$23*(datos_base!$J$5+IF(parametros_manuales!$H$23="Todos",datos_base!$J$12,0))*parametros_manuales!$G$110)*parametros_manuales!$I$23*parametros_manuales!$J$23</f>
        <v>17571.235</v>
      </c>
      <c r="H222" s="4">
        <f>(parametros_manuales!$D$23*(datos_base!$J$2+IF(parametros_manuales!$H$23="Todos",datos_base!$J$9,0))*parametros_manuales!$H$95+parametros_manuales!$E$23*(datos_base!$J$3+IF(parametros_manuales!$H$23="Todos",datos_base!$J$10,0))*parametros_manuales!$H$100+parametros_manuales!$F$23*(datos_base!$J$4+IF(parametros_manuales!$H$23="Todos",datos_base!$J$11,0))*parametros_manuales!$H$105+parametros_manuales!$G$23*(datos_base!$J$5+IF(parametros_manuales!$H$23="Todos",datos_base!$J$12,0))*parametros_manuales!$H$110)*parametros_manuales!$I$23*parametros_manuales!$J$23</f>
        <v>18801.115</v>
      </c>
      <c r="I222" s="4">
        <f>(parametros_manuales!$D$23*(datos_base!$J$2+IF(parametros_manuales!$H$23="Todos",datos_base!$J$9,0))*parametros_manuales!$I$95+parametros_manuales!$E$23*(datos_base!$J$3+IF(parametros_manuales!$H$23="Todos",datos_base!$J$10,0))*parametros_manuales!$I$100+parametros_manuales!$F$23*(datos_base!$J$4+IF(parametros_manuales!$H$23="Todos",datos_base!$J$11,0))*parametros_manuales!$I$105+parametros_manuales!$G$23*(datos_base!$J$5+IF(parametros_manuales!$H$23="Todos",datos_base!$J$12,0))*parametros_manuales!$I$110)*parametros_manuales!$I$23*parametros_manuales!$J$23</f>
        <v>21432.01</v>
      </c>
      <c r="J222" s="4">
        <f>(parametros_manuales!$D$23*(datos_base!$J$2+IF(parametros_manuales!$H$23="Todos",datos_base!$J$9,0))*parametros_manuales!$J$95+parametros_manuales!$E$23*(datos_base!$J$3+IF(parametros_manuales!$H$23="Todos",datos_base!$J$10,0))*parametros_manuales!$J$100+parametros_manuales!$F$23*(datos_base!$J$4+IF(parametros_manuales!$H$23="Todos",datos_base!$J$11,0))*parametros_manuales!$J$105+parametros_manuales!$G$23*(datos_base!$J$5+IF(parametros_manuales!$H$23="Todos",datos_base!$J$12,0))*parametros_manuales!$J$110)*parametros_manuales!$I$23*parametros_manuales!$J$23</f>
        <v>21432.01</v>
      </c>
      <c r="K222" s="4">
        <f>(parametros_manuales!$D$23*(datos_base!$J$2+IF(parametros_manuales!$H$23="Todos",datos_base!$J$9,0))*parametros_manuales!$K$95+parametros_manuales!$E$23*(datos_base!$J$3+IF(parametros_manuales!$H$23="Todos",datos_base!$J$10,0))*parametros_manuales!$K$100+parametros_manuales!$F$23*(datos_base!$J$4+IF(parametros_manuales!$H$23="Todos",datos_base!$J$11,0))*parametros_manuales!$K$105+parametros_manuales!$G$23*(datos_base!$J$5+IF(parametros_manuales!$H$23="Todos",datos_base!$J$12,0))*parametros_manuales!$K$110)*parametros_manuales!$I$23*parametros_manuales!$J$23</f>
        <v>21784.925</v>
      </c>
      <c r="L222" s="4">
        <f>(parametros_manuales!$D$23*(datos_base!$J$2+IF(parametros_manuales!$H$23="Todos",datos_base!$J$9,0))*parametros_manuales!$L$95+parametros_manuales!$E$23*(datos_base!$J$3+IF(parametros_manuales!$H$23="Todos",datos_base!$J$10,0))*parametros_manuales!$L$100+parametros_manuales!$F$23*(datos_base!$J$4+IF(parametros_manuales!$H$23="Todos",datos_base!$J$11,0))*parametros_manuales!$L$105+parametros_manuales!$G$23*(datos_base!$J$5+IF(parametros_manuales!$H$23="Todos",datos_base!$J$12,0))*parametros_manuales!$L$110)*parametros_manuales!$I$23*parametros_manuales!$J$23</f>
        <v>22137.84</v>
      </c>
      <c r="M222" s="4">
        <f>(parametros_manuales!$D$23*(datos_base!$J$2+IF(parametros_manuales!$H$23="Todos",datos_base!$J$9,0))*parametros_manuales!$M$95+parametros_manuales!$E$23*(datos_base!$J$3+IF(parametros_manuales!$H$23="Todos",datos_base!$J$10,0))*parametros_manuales!$M$100+parametros_manuales!$F$23*(datos_base!$J$4+IF(parametros_manuales!$H$23="Todos",datos_base!$J$11,0))*parametros_manuales!$M$105+parametros_manuales!$G$23*(datos_base!$J$5+IF(parametros_manuales!$H$23="Todos",datos_base!$J$12,0))*parametros_manuales!$M$110)*parametros_manuales!$I$23*parametros_manuales!$J$23</f>
        <v>22137.84</v>
      </c>
      <c r="N222" s="4">
        <f t="shared" si="25"/>
        <v>245976</v>
      </c>
      <c r="O222" s="4">
        <f t="shared" si="26"/>
        <v>22137.84</v>
      </c>
      <c r="P222" s="27">
        <f>O222/(parametros_manuales!$B$7)</f>
        <v>147.5856</v>
      </c>
      <c r="Q222" s="3" t="str">
        <f t="shared" si="27"/>
        <v>Ene</v>
      </c>
    </row>
    <row r="223" ht="14.25" customHeight="1">
      <c r="A223" s="3" t="str">
        <f>parametros_manuales!$B$24</f>
        <v>Numerado de cúpula</v>
      </c>
      <c r="B223" s="4">
        <f>(parametros_manuales!$D$24*(datos_base!$J$2+IF(parametros_manuales!$H$24="Todos",datos_base!$J$9,0))*parametros_manuales!$B$95+parametros_manuales!$E$24*(datos_base!$J$3+IF(parametros_manuales!$H$24="Todos",datos_base!$J$10,0))*parametros_manuales!$B$100+parametros_manuales!$F$24*(datos_base!$J$4+IF(parametros_manuales!$H$24="Todos",datos_base!$J$11,0))*parametros_manuales!$B$105+parametros_manuales!$G$24*(datos_base!$J$5+IF(parametros_manuales!$H$24="Todos",datos_base!$J$12,0))*parametros_manuales!$B$110)*parametros_manuales!$I$24*parametros_manuales!$J$24</f>
        <v>22137.84</v>
      </c>
      <c r="C223" s="4">
        <f>(parametros_manuales!$D$24*(datos_base!$J$2+IF(parametros_manuales!$H$24="Todos",datos_base!$J$9,0))*parametros_manuales!$C$95+parametros_manuales!$E$24*(datos_base!$J$3+IF(parametros_manuales!$H$24="Todos",datos_base!$J$10,0))*parametros_manuales!$C$100+parametros_manuales!$F$24*(datos_base!$J$4+IF(parametros_manuales!$H$24="Todos",datos_base!$J$11,0))*parametros_manuales!$C$105+parametros_manuales!$G$24*(datos_base!$J$5+IF(parametros_manuales!$H$24="Todos",datos_base!$J$12,0))*parametros_manuales!$C$110)*parametros_manuales!$I$24*parametros_manuales!$J$24</f>
        <v>21432.01</v>
      </c>
      <c r="D223" s="4">
        <f>(parametros_manuales!$D$24*(datos_base!$J$2+IF(parametros_manuales!$H$24="Todos",datos_base!$J$9,0))*parametros_manuales!$D$95+parametros_manuales!$E$24*(datos_base!$J$3+IF(parametros_manuales!$H$24="Todos",datos_base!$J$10,0))*parametros_manuales!$D$100+parametros_manuales!$F$24*(datos_base!$J$4+IF(parametros_manuales!$H$24="Todos",datos_base!$J$11,0))*parametros_manuales!$D$105+parametros_manuales!$G$24*(datos_base!$J$5+IF(parametros_manuales!$H$24="Todos",datos_base!$J$12,0))*parametros_manuales!$D$110)*parametros_manuales!$I$24*parametros_manuales!$J$24</f>
        <v>20030.995</v>
      </c>
      <c r="E223" s="4">
        <f>(parametros_manuales!$D$24*(datos_base!$J$2+IF(parametros_manuales!$H$24="Todos",datos_base!$J$9,0))*parametros_manuales!$E$95+parametros_manuales!$E$24*(datos_base!$J$3+IF(parametros_manuales!$H$24="Todos",datos_base!$J$10,0))*parametros_manuales!$E$100+parametros_manuales!$F$24*(datos_base!$J$4+IF(parametros_manuales!$H$24="Todos",datos_base!$J$11,0))*parametros_manuales!$E$105+parametros_manuales!$G$24*(datos_base!$J$5+IF(parametros_manuales!$H$24="Todos",datos_base!$J$12,0))*parametros_manuales!$E$110)*parametros_manuales!$I$24*parametros_manuales!$J$24</f>
        <v>19154.03</v>
      </c>
      <c r="F223" s="4">
        <f>(parametros_manuales!$D$24*(datos_base!$J$2+IF(parametros_manuales!$H$24="Todos",datos_base!$J$9,0))*parametros_manuales!$F$95+parametros_manuales!$E$24*(datos_base!$J$3+IF(parametros_manuales!$H$24="Todos",datos_base!$J$10,0))*parametros_manuales!$F$100+parametros_manuales!$F$24*(datos_base!$J$4+IF(parametros_manuales!$H$24="Todos",datos_base!$J$11,0))*parametros_manuales!$F$105+parametros_manuales!$G$24*(datos_base!$J$5+IF(parametros_manuales!$H$24="Todos",datos_base!$J$12,0))*parametros_manuales!$F$110)*parametros_manuales!$I$24*parametros_manuales!$J$24</f>
        <v>17924.15</v>
      </c>
      <c r="G223" s="4">
        <f>(parametros_manuales!$D$24*(datos_base!$J$2+IF(parametros_manuales!$H$24="Todos",datos_base!$J$9,0))*parametros_manuales!$G$95+parametros_manuales!$E$24*(datos_base!$J$3+IF(parametros_manuales!$H$24="Todos",datos_base!$J$10,0))*parametros_manuales!$G$100+parametros_manuales!$F$24*(datos_base!$J$4+IF(parametros_manuales!$H$24="Todos",datos_base!$J$11,0))*parametros_manuales!$G$105+parametros_manuales!$G$24*(datos_base!$J$5+IF(parametros_manuales!$H$24="Todos",datos_base!$J$12,0))*parametros_manuales!$G$110)*parametros_manuales!$I$24*parametros_manuales!$J$24</f>
        <v>17571.235</v>
      </c>
      <c r="H223" s="4">
        <f>(parametros_manuales!$D$24*(datos_base!$J$2+IF(parametros_manuales!$H$24="Todos",datos_base!$J$9,0))*parametros_manuales!$H$95+parametros_manuales!$E$24*(datos_base!$J$3+IF(parametros_manuales!$H$24="Todos",datos_base!$J$10,0))*parametros_manuales!$H$100+parametros_manuales!$F$24*(datos_base!$J$4+IF(parametros_manuales!$H$24="Todos",datos_base!$J$11,0))*parametros_manuales!$H$105+parametros_manuales!$G$24*(datos_base!$J$5+IF(parametros_manuales!$H$24="Todos",datos_base!$J$12,0))*parametros_manuales!$H$110)*parametros_manuales!$I$24*parametros_manuales!$J$24</f>
        <v>18801.115</v>
      </c>
      <c r="I223" s="4">
        <f>(parametros_manuales!$D$24*(datos_base!$J$2+IF(parametros_manuales!$H$24="Todos",datos_base!$J$9,0))*parametros_manuales!$I$95+parametros_manuales!$E$24*(datos_base!$J$3+IF(parametros_manuales!$H$24="Todos",datos_base!$J$10,0))*parametros_manuales!$I$100+parametros_manuales!$F$24*(datos_base!$J$4+IF(parametros_manuales!$H$24="Todos",datos_base!$J$11,0))*parametros_manuales!$I$105+parametros_manuales!$G$24*(datos_base!$J$5+IF(parametros_manuales!$H$24="Todos",datos_base!$J$12,0))*parametros_manuales!$I$110)*parametros_manuales!$I$24*parametros_manuales!$J$24</f>
        <v>21432.01</v>
      </c>
      <c r="J223" s="4">
        <f>(parametros_manuales!$D$24*(datos_base!$J$2+IF(parametros_manuales!$H$24="Todos",datos_base!$J$9,0))*parametros_manuales!$J$95+parametros_manuales!$E$24*(datos_base!$J$3+IF(parametros_manuales!$H$24="Todos",datos_base!$J$10,0))*parametros_manuales!$J$100+parametros_manuales!$F$24*(datos_base!$J$4+IF(parametros_manuales!$H$24="Todos",datos_base!$J$11,0))*parametros_manuales!$J$105+parametros_manuales!$G$24*(datos_base!$J$5+IF(parametros_manuales!$H$24="Todos",datos_base!$J$12,0))*parametros_manuales!$J$110)*parametros_manuales!$I$24*parametros_manuales!$J$24</f>
        <v>21432.01</v>
      </c>
      <c r="K223" s="4">
        <f>(parametros_manuales!$D$24*(datos_base!$J$2+IF(parametros_manuales!$H$24="Todos",datos_base!$J$9,0))*parametros_manuales!$K$95+parametros_manuales!$E$24*(datos_base!$J$3+IF(parametros_manuales!$H$24="Todos",datos_base!$J$10,0))*parametros_manuales!$K$100+parametros_manuales!$F$24*(datos_base!$J$4+IF(parametros_manuales!$H$24="Todos",datos_base!$J$11,0))*parametros_manuales!$K$105+parametros_manuales!$G$24*(datos_base!$J$5+IF(parametros_manuales!$H$24="Todos",datos_base!$J$12,0))*parametros_manuales!$K$110)*parametros_manuales!$I$24*parametros_manuales!$J$24</f>
        <v>21784.925</v>
      </c>
      <c r="L223" s="4">
        <f>(parametros_manuales!$D$24*(datos_base!$J$2+IF(parametros_manuales!$H$24="Todos",datos_base!$J$9,0))*parametros_manuales!$L$95+parametros_manuales!$E$24*(datos_base!$J$3+IF(parametros_manuales!$H$24="Todos",datos_base!$J$10,0))*parametros_manuales!$L$100+parametros_manuales!$F$24*(datos_base!$J$4+IF(parametros_manuales!$H$24="Todos",datos_base!$J$11,0))*parametros_manuales!$L$105+parametros_manuales!$G$24*(datos_base!$J$5+IF(parametros_manuales!$H$24="Todos",datos_base!$J$12,0))*parametros_manuales!$L$110)*parametros_manuales!$I$24*parametros_manuales!$J$24</f>
        <v>22137.84</v>
      </c>
      <c r="M223" s="4">
        <f>(parametros_manuales!$D$24*(datos_base!$J$2+IF(parametros_manuales!$H$24="Todos",datos_base!$J$9,0))*parametros_manuales!$M$95+parametros_manuales!$E$24*(datos_base!$J$3+IF(parametros_manuales!$H$24="Todos",datos_base!$J$10,0))*parametros_manuales!$M$100+parametros_manuales!$F$24*(datos_base!$J$4+IF(parametros_manuales!$H$24="Todos",datos_base!$J$11,0))*parametros_manuales!$M$105+parametros_manuales!$G$24*(datos_base!$J$5+IF(parametros_manuales!$H$24="Todos",datos_base!$J$12,0))*parametros_manuales!$M$110)*parametros_manuales!$I$24*parametros_manuales!$J$24</f>
        <v>22137.84</v>
      </c>
      <c r="N223" s="4">
        <f t="shared" si="25"/>
        <v>245976</v>
      </c>
      <c r="O223" s="4">
        <f t="shared" si="26"/>
        <v>22137.84</v>
      </c>
      <c r="P223" s="27">
        <f>O223/(parametros_manuales!$B$7)</f>
        <v>147.5856</v>
      </c>
      <c r="Q223" s="3" t="str">
        <f t="shared" si="27"/>
        <v>Ene</v>
      </c>
    </row>
    <row r="224" ht="14.25" customHeight="1">
      <c r="A224" s="3" t="str">
        <f>parametros_manuales!$B$25</f>
        <v>Soldadura del cuello a la cúpula</v>
      </c>
      <c r="B224" s="4">
        <f>(parametros_manuales!$D$25*(datos_base!$J$2+IF(parametros_manuales!$H$25="Todos",datos_base!$J$9,0))*parametros_manuales!$B$95+parametros_manuales!$E$25*(datos_base!$J$3+IF(parametros_manuales!$H$25="Todos",datos_base!$J$10,0))*parametros_manuales!$B$100+parametros_manuales!$F$25*(datos_base!$J$4+IF(parametros_manuales!$H$25="Todos",datos_base!$J$11,0))*parametros_manuales!$B$105+parametros_manuales!$G$25*(datos_base!$J$5+IF(parametros_manuales!$H$25="Todos",datos_base!$J$12,0))*parametros_manuales!$B$110)*parametros_manuales!$I$25*parametros_manuales!$J$25</f>
        <v>22137.84</v>
      </c>
      <c r="C224" s="4">
        <f>(parametros_manuales!$D$25*(datos_base!$J$2+IF(parametros_manuales!$H$25="Todos",datos_base!$J$9,0))*parametros_manuales!$C$95+parametros_manuales!$E$25*(datos_base!$J$3+IF(parametros_manuales!$H$25="Todos",datos_base!$J$10,0))*parametros_manuales!$C$100+parametros_manuales!$F$25*(datos_base!$J$4+IF(parametros_manuales!$H$25="Todos",datos_base!$J$11,0))*parametros_manuales!$C$105+parametros_manuales!$G$25*(datos_base!$J$5+IF(parametros_manuales!$H$25="Todos",datos_base!$J$12,0))*parametros_manuales!$C$110)*parametros_manuales!$I$25*parametros_manuales!$J$25</f>
        <v>21432.01</v>
      </c>
      <c r="D224" s="4">
        <f>(parametros_manuales!$D$25*(datos_base!$J$2+IF(parametros_manuales!$H$25="Todos",datos_base!$J$9,0))*parametros_manuales!$D$95+parametros_manuales!$E$25*(datos_base!$J$3+IF(parametros_manuales!$H$25="Todos",datos_base!$J$10,0))*parametros_manuales!$D$100+parametros_manuales!$F$25*(datos_base!$J$4+IF(parametros_manuales!$H$25="Todos",datos_base!$J$11,0))*parametros_manuales!$D$105+parametros_manuales!$G$25*(datos_base!$J$5+IF(parametros_manuales!$H$25="Todos",datos_base!$J$12,0))*parametros_manuales!$D$110)*parametros_manuales!$I$25*parametros_manuales!$J$25</f>
        <v>20030.995</v>
      </c>
      <c r="E224" s="4">
        <f>(parametros_manuales!$D$25*(datos_base!$J$2+IF(parametros_manuales!$H$25="Todos",datos_base!$J$9,0))*parametros_manuales!$E$95+parametros_manuales!$E$25*(datos_base!$J$3+IF(parametros_manuales!$H$25="Todos",datos_base!$J$10,0))*parametros_manuales!$E$100+parametros_manuales!$F$25*(datos_base!$J$4+IF(parametros_manuales!$H$25="Todos",datos_base!$J$11,0))*parametros_manuales!$E$105+parametros_manuales!$G$25*(datos_base!$J$5+IF(parametros_manuales!$H$25="Todos",datos_base!$J$12,0))*parametros_manuales!$E$110)*parametros_manuales!$I$25*parametros_manuales!$J$25</f>
        <v>19154.03</v>
      </c>
      <c r="F224" s="4">
        <f>(parametros_manuales!$D$25*(datos_base!$J$2+IF(parametros_manuales!$H$25="Todos",datos_base!$J$9,0))*parametros_manuales!$F$95+parametros_manuales!$E$25*(datos_base!$J$3+IF(parametros_manuales!$H$25="Todos",datos_base!$J$10,0))*parametros_manuales!$F$100+parametros_manuales!$F$25*(datos_base!$J$4+IF(parametros_manuales!$H$25="Todos",datos_base!$J$11,0))*parametros_manuales!$F$105+parametros_manuales!$G$25*(datos_base!$J$5+IF(parametros_manuales!$H$25="Todos",datos_base!$J$12,0))*parametros_manuales!$F$110)*parametros_manuales!$I$25*parametros_manuales!$J$25</f>
        <v>17924.15</v>
      </c>
      <c r="G224" s="4">
        <f>(parametros_manuales!$D$25*(datos_base!$J$2+IF(parametros_manuales!$H$25="Todos",datos_base!$J$9,0))*parametros_manuales!$G$95+parametros_manuales!$E$25*(datos_base!$J$3+IF(parametros_manuales!$H$25="Todos",datos_base!$J$10,0))*parametros_manuales!$G$100+parametros_manuales!$F$25*(datos_base!$J$4+IF(parametros_manuales!$H$25="Todos",datos_base!$J$11,0))*parametros_manuales!$G$105+parametros_manuales!$G$25*(datos_base!$J$5+IF(parametros_manuales!$H$25="Todos",datos_base!$J$12,0))*parametros_manuales!$G$110)*parametros_manuales!$I$25*parametros_manuales!$J$25</f>
        <v>17571.235</v>
      </c>
      <c r="H224" s="4">
        <f>(parametros_manuales!$D$25*(datos_base!$J$2+IF(parametros_manuales!$H$25="Todos",datos_base!$J$9,0))*parametros_manuales!$H$95+parametros_manuales!$E$25*(datos_base!$J$3+IF(parametros_manuales!$H$25="Todos",datos_base!$J$10,0))*parametros_manuales!$H$100+parametros_manuales!$F$25*(datos_base!$J$4+IF(parametros_manuales!$H$25="Todos",datos_base!$J$11,0))*parametros_manuales!$H$105+parametros_manuales!$G$25*(datos_base!$J$5+IF(parametros_manuales!$H$25="Todos",datos_base!$J$12,0))*parametros_manuales!$H$110)*parametros_manuales!$I$25*parametros_manuales!$J$25</f>
        <v>18801.115</v>
      </c>
      <c r="I224" s="4">
        <f>(parametros_manuales!$D$25*(datos_base!$J$2+IF(parametros_manuales!$H$25="Todos",datos_base!$J$9,0))*parametros_manuales!$I$95+parametros_manuales!$E$25*(datos_base!$J$3+IF(parametros_manuales!$H$25="Todos",datos_base!$J$10,0))*parametros_manuales!$I$100+parametros_manuales!$F$25*(datos_base!$J$4+IF(parametros_manuales!$H$25="Todos",datos_base!$J$11,0))*parametros_manuales!$I$105+parametros_manuales!$G$25*(datos_base!$J$5+IF(parametros_manuales!$H$25="Todos",datos_base!$J$12,0))*parametros_manuales!$I$110)*parametros_manuales!$I$25*parametros_manuales!$J$25</f>
        <v>21432.01</v>
      </c>
      <c r="J224" s="4">
        <f>(parametros_manuales!$D$25*(datos_base!$J$2+IF(parametros_manuales!$H$25="Todos",datos_base!$J$9,0))*parametros_manuales!$J$95+parametros_manuales!$E$25*(datos_base!$J$3+IF(parametros_manuales!$H$25="Todos",datos_base!$J$10,0))*parametros_manuales!$J$100+parametros_manuales!$F$25*(datos_base!$J$4+IF(parametros_manuales!$H$25="Todos",datos_base!$J$11,0))*parametros_manuales!$J$105+parametros_manuales!$G$25*(datos_base!$J$5+IF(parametros_manuales!$H$25="Todos",datos_base!$J$12,0))*parametros_manuales!$J$110)*parametros_manuales!$I$25*parametros_manuales!$J$25</f>
        <v>21432.01</v>
      </c>
      <c r="K224" s="4">
        <f>(parametros_manuales!$D$25*(datos_base!$J$2+IF(parametros_manuales!$H$25="Todos",datos_base!$J$9,0))*parametros_manuales!$K$95+parametros_manuales!$E$25*(datos_base!$J$3+IF(parametros_manuales!$H$25="Todos",datos_base!$J$10,0))*parametros_manuales!$K$100+parametros_manuales!$F$25*(datos_base!$J$4+IF(parametros_manuales!$H$25="Todos",datos_base!$J$11,0))*parametros_manuales!$K$105+parametros_manuales!$G$25*(datos_base!$J$5+IF(parametros_manuales!$H$25="Todos",datos_base!$J$12,0))*parametros_manuales!$K$110)*parametros_manuales!$I$25*parametros_manuales!$J$25</f>
        <v>21784.925</v>
      </c>
      <c r="L224" s="4">
        <f>(parametros_manuales!$D$25*(datos_base!$J$2+IF(parametros_manuales!$H$25="Todos",datos_base!$J$9,0))*parametros_manuales!$L$95+parametros_manuales!$E$25*(datos_base!$J$3+IF(parametros_manuales!$H$25="Todos",datos_base!$J$10,0))*parametros_manuales!$L$100+parametros_manuales!$F$25*(datos_base!$J$4+IF(parametros_manuales!$H$25="Todos",datos_base!$J$11,0))*parametros_manuales!$L$105+parametros_manuales!$G$25*(datos_base!$J$5+IF(parametros_manuales!$H$25="Todos",datos_base!$J$12,0))*parametros_manuales!$L$110)*parametros_manuales!$I$25*parametros_manuales!$J$25</f>
        <v>22137.84</v>
      </c>
      <c r="M224" s="4">
        <f>(parametros_manuales!$D$25*(datos_base!$J$2+IF(parametros_manuales!$H$25="Todos",datos_base!$J$9,0))*parametros_manuales!$M$95+parametros_manuales!$E$25*(datos_base!$J$3+IF(parametros_manuales!$H$25="Todos",datos_base!$J$10,0))*parametros_manuales!$M$100+parametros_manuales!$F$25*(datos_base!$J$4+IF(parametros_manuales!$H$25="Todos",datos_base!$J$11,0))*parametros_manuales!$M$105+parametros_manuales!$G$25*(datos_base!$J$5+IF(parametros_manuales!$H$25="Todos",datos_base!$J$12,0))*parametros_manuales!$M$110)*parametros_manuales!$I$25*parametros_manuales!$J$25</f>
        <v>22137.84</v>
      </c>
      <c r="N224" s="4">
        <f t="shared" si="25"/>
        <v>245976</v>
      </c>
      <c r="O224" s="4">
        <f t="shared" si="26"/>
        <v>22137.84</v>
      </c>
      <c r="P224" s="27">
        <f>O224/(parametros_manuales!$B$7)</f>
        <v>147.5856</v>
      </c>
      <c r="Q224" s="3" t="str">
        <f t="shared" si="27"/>
        <v>Ene</v>
      </c>
    </row>
    <row r="225" ht="14.25" customHeight="1">
      <c r="A225" s="3" t="str">
        <f>parametros_manuales!$B$26</f>
        <v>Cilindrado</v>
      </c>
      <c r="B225" s="4">
        <f>(parametros_manuales!$D$26*(datos_base!$J$2+IF(parametros_manuales!$H$26="Todos",datos_base!$J$9,0))*parametros_manuales!$B$95+parametros_manuales!$E$26*(datos_base!$J$3+IF(parametros_manuales!$H$26="Todos",datos_base!$J$10,0))*parametros_manuales!$B$100+parametros_manuales!$F$26*(datos_base!$J$4+IF(parametros_manuales!$H$26="Todos",datos_base!$J$11,0))*parametros_manuales!$B$105+parametros_manuales!$G$26*(datos_base!$J$5+IF(parametros_manuales!$H$26="Todos",datos_base!$J$12,0))*parametros_manuales!$B$110)*parametros_manuales!$I$26*parametros_manuales!$J$26</f>
        <v>6352.47</v>
      </c>
      <c r="C225" s="4">
        <f>(parametros_manuales!$D$26*(datos_base!$J$2+IF(parametros_manuales!$H$26="Todos",datos_base!$J$9,0))*parametros_manuales!$C$95+parametros_manuales!$E$26*(datos_base!$J$3+IF(parametros_manuales!$H$26="Todos",datos_base!$J$10,0))*parametros_manuales!$C$100+parametros_manuales!$F$26*(datos_base!$J$4+IF(parametros_manuales!$H$26="Todos",datos_base!$J$11,0))*parametros_manuales!$C$105+parametros_manuales!$G$26*(datos_base!$J$5+IF(parametros_manuales!$H$26="Todos",datos_base!$J$12,0))*parametros_manuales!$C$110)*parametros_manuales!$I$26*parametros_manuales!$J$26</f>
        <v>5646.64</v>
      </c>
      <c r="D225" s="4">
        <f>(parametros_manuales!$D$26*(datos_base!$J$2+IF(parametros_manuales!$H$26="Todos",datos_base!$J$9,0))*parametros_manuales!$D$95+parametros_manuales!$E$26*(datos_base!$J$3+IF(parametros_manuales!$H$26="Todos",datos_base!$J$10,0))*parametros_manuales!$D$100+parametros_manuales!$F$26*(datos_base!$J$4+IF(parametros_manuales!$H$26="Todos",datos_base!$J$11,0))*parametros_manuales!$D$105+parametros_manuales!$G$26*(datos_base!$J$5+IF(parametros_manuales!$H$26="Todos",datos_base!$J$12,0))*parametros_manuales!$D$110)*parametros_manuales!$I$26*parametros_manuales!$J$26</f>
        <v>5999.555</v>
      </c>
      <c r="E225" s="4">
        <f>(parametros_manuales!$D$26*(datos_base!$J$2+IF(parametros_manuales!$H$26="Todos",datos_base!$J$9,0))*parametros_manuales!$E$95+parametros_manuales!$E$26*(datos_base!$J$3+IF(parametros_manuales!$H$26="Todos",datos_base!$J$10,0))*parametros_manuales!$E$100+parametros_manuales!$F$26*(datos_base!$J$4+IF(parametros_manuales!$H$26="Todos",datos_base!$J$11,0))*parametros_manuales!$E$105+parametros_manuales!$G$26*(datos_base!$J$5+IF(parametros_manuales!$H$26="Todos",datos_base!$J$12,0))*parametros_manuales!$E$110)*parametros_manuales!$I$26*parametros_manuales!$J$26</f>
        <v>5999.555</v>
      </c>
      <c r="F225" s="4">
        <f>(parametros_manuales!$D$26*(datos_base!$J$2+IF(parametros_manuales!$H$26="Todos",datos_base!$J$9,0))*parametros_manuales!$F$95+parametros_manuales!$E$26*(datos_base!$J$3+IF(parametros_manuales!$H$26="Todos",datos_base!$J$10,0))*parametros_manuales!$F$100+parametros_manuales!$F$26*(datos_base!$J$4+IF(parametros_manuales!$H$26="Todos",datos_base!$J$11,0))*parametros_manuales!$F$105+parametros_manuales!$G$26*(datos_base!$J$5+IF(parametros_manuales!$H$26="Todos",datos_base!$J$12,0))*parametros_manuales!$F$110)*parametros_manuales!$I$26*parametros_manuales!$J$26</f>
        <v>5646.64</v>
      </c>
      <c r="G225" s="4">
        <f>(parametros_manuales!$D$26*(datos_base!$J$2+IF(parametros_manuales!$H$26="Todos",datos_base!$J$9,0))*parametros_manuales!$G$95+parametros_manuales!$E$26*(datos_base!$J$3+IF(parametros_manuales!$H$26="Todos",datos_base!$J$10,0))*parametros_manuales!$G$100+parametros_manuales!$F$26*(datos_base!$J$4+IF(parametros_manuales!$H$26="Todos",datos_base!$J$11,0))*parametros_manuales!$G$105+parametros_manuales!$G$26*(datos_base!$J$5+IF(parametros_manuales!$H$26="Todos",datos_base!$J$12,0))*parametros_manuales!$G$110)*parametros_manuales!$I$26*parametros_manuales!$J$26</f>
        <v>5293.725</v>
      </c>
      <c r="H225" s="4">
        <f>(parametros_manuales!$D$26*(datos_base!$J$2+IF(parametros_manuales!$H$26="Todos",datos_base!$J$9,0))*parametros_manuales!$H$95+parametros_manuales!$E$26*(datos_base!$J$3+IF(parametros_manuales!$H$26="Todos",datos_base!$J$10,0))*parametros_manuales!$H$100+parametros_manuales!$F$26*(datos_base!$J$4+IF(parametros_manuales!$H$26="Todos",datos_base!$J$11,0))*parametros_manuales!$H$105+parametros_manuales!$G$26*(datos_base!$J$5+IF(parametros_manuales!$H$26="Todos",datos_base!$J$12,0))*parametros_manuales!$H$110)*parametros_manuales!$I$26*parametros_manuales!$J$26</f>
        <v>5646.64</v>
      </c>
      <c r="I225" s="4">
        <f>(parametros_manuales!$D$26*(datos_base!$J$2+IF(parametros_manuales!$H$26="Todos",datos_base!$J$9,0))*parametros_manuales!$I$95+parametros_manuales!$E$26*(datos_base!$J$3+IF(parametros_manuales!$H$26="Todos",datos_base!$J$10,0))*parametros_manuales!$I$100+parametros_manuales!$F$26*(datos_base!$J$4+IF(parametros_manuales!$H$26="Todos",datos_base!$J$11,0))*parametros_manuales!$I$105+parametros_manuales!$G$26*(datos_base!$J$5+IF(parametros_manuales!$H$26="Todos",datos_base!$J$12,0))*parametros_manuales!$I$110)*parametros_manuales!$I$26*parametros_manuales!$J$26</f>
        <v>5646.64</v>
      </c>
      <c r="J225" s="4">
        <f>(parametros_manuales!$D$26*(datos_base!$J$2+IF(parametros_manuales!$H$26="Todos",datos_base!$J$9,0))*parametros_manuales!$J$95+parametros_manuales!$E$26*(datos_base!$J$3+IF(parametros_manuales!$H$26="Todos",datos_base!$J$10,0))*parametros_manuales!$J$100+parametros_manuales!$F$26*(datos_base!$J$4+IF(parametros_manuales!$H$26="Todos",datos_base!$J$11,0))*parametros_manuales!$J$105+parametros_manuales!$G$26*(datos_base!$J$5+IF(parametros_manuales!$H$26="Todos",datos_base!$J$12,0))*parametros_manuales!$J$110)*parametros_manuales!$I$26*parametros_manuales!$J$26</f>
        <v>5646.64</v>
      </c>
      <c r="K225" s="4">
        <f>(parametros_manuales!$D$26*(datos_base!$J$2+IF(parametros_manuales!$H$26="Todos",datos_base!$J$9,0))*parametros_manuales!$K$95+parametros_manuales!$E$26*(datos_base!$J$3+IF(parametros_manuales!$H$26="Todos",datos_base!$J$10,0))*parametros_manuales!$K$100+parametros_manuales!$F$26*(datos_base!$J$4+IF(parametros_manuales!$H$26="Todos",datos_base!$J$11,0))*parametros_manuales!$K$105+parametros_manuales!$G$26*(datos_base!$J$5+IF(parametros_manuales!$H$26="Todos",datos_base!$J$12,0))*parametros_manuales!$K$110)*parametros_manuales!$I$26*parametros_manuales!$J$26</f>
        <v>5999.555</v>
      </c>
      <c r="L225" s="4">
        <f>(parametros_manuales!$D$26*(datos_base!$J$2+IF(parametros_manuales!$H$26="Todos",datos_base!$J$9,0))*parametros_manuales!$L$95+parametros_manuales!$E$26*(datos_base!$J$3+IF(parametros_manuales!$H$26="Todos",datos_base!$J$10,0))*parametros_manuales!$L$100+parametros_manuales!$F$26*(datos_base!$J$4+IF(parametros_manuales!$H$26="Todos",datos_base!$J$11,0))*parametros_manuales!$L$105+parametros_manuales!$G$26*(datos_base!$J$5+IF(parametros_manuales!$H$26="Todos",datos_base!$J$12,0))*parametros_manuales!$L$110)*parametros_manuales!$I$26*parametros_manuales!$J$26</f>
        <v>6352.47</v>
      </c>
      <c r="M225" s="4">
        <f>(parametros_manuales!$D$26*(datos_base!$J$2+IF(parametros_manuales!$H$26="Todos",datos_base!$J$9,0))*parametros_manuales!$M$95+parametros_manuales!$E$26*(datos_base!$J$3+IF(parametros_manuales!$H$26="Todos",datos_base!$J$10,0))*parametros_manuales!$M$100+parametros_manuales!$F$26*(datos_base!$J$4+IF(parametros_manuales!$H$26="Todos",datos_base!$J$11,0))*parametros_manuales!$M$105+parametros_manuales!$G$26*(datos_base!$J$5+IF(parametros_manuales!$H$26="Todos",datos_base!$J$12,0))*parametros_manuales!$M$110)*parametros_manuales!$I$26*parametros_manuales!$J$26</f>
        <v>6352.47</v>
      </c>
      <c r="N225" s="4">
        <f t="shared" si="25"/>
        <v>70583</v>
      </c>
      <c r="O225" s="4">
        <f t="shared" si="26"/>
        <v>6352.47</v>
      </c>
      <c r="P225" s="27">
        <f>O225/(parametros_manuales!$B$7)</f>
        <v>42.3498</v>
      </c>
      <c r="Q225" s="3" t="str">
        <f t="shared" si="27"/>
        <v>Ene</v>
      </c>
    </row>
    <row r="226" ht="14.25" customHeight="1">
      <c r="A226" s="3" t="str">
        <f>parametros_manuales!$B$27</f>
        <v>Soldadura longitudinal</v>
      </c>
      <c r="B226" s="4">
        <f>(parametros_manuales!$D$27*(datos_base!$J$2+IF(parametros_manuales!$H$27="Todos",datos_base!$J$9,0))*parametros_manuales!$B$95+parametros_manuales!$E$27*(datos_base!$J$3+IF(parametros_manuales!$H$27="Todos",datos_base!$J$10,0))*parametros_manuales!$B$100+parametros_manuales!$F$27*(datos_base!$J$4+IF(parametros_manuales!$H$27="Todos",datos_base!$J$11,0))*parametros_manuales!$B$105+parametros_manuales!$G$27*(datos_base!$J$5+IF(parametros_manuales!$H$27="Todos",datos_base!$J$12,0))*parametros_manuales!$B$110)*parametros_manuales!$I$27*parametros_manuales!$J$27</f>
        <v>6352.47</v>
      </c>
      <c r="C226" s="4">
        <f>(parametros_manuales!$D$27*(datos_base!$J$2+IF(parametros_manuales!$H$27="Todos",datos_base!$J$9,0))*parametros_manuales!$C$95+parametros_manuales!$E$27*(datos_base!$J$3+IF(parametros_manuales!$H$27="Todos",datos_base!$J$10,0))*parametros_manuales!$C$100+parametros_manuales!$F$27*(datos_base!$J$4+IF(parametros_manuales!$H$27="Todos",datos_base!$J$11,0))*parametros_manuales!$C$105+parametros_manuales!$G$27*(datos_base!$J$5+IF(parametros_manuales!$H$27="Todos",datos_base!$J$12,0))*parametros_manuales!$C$110)*parametros_manuales!$I$27*parametros_manuales!$J$27</f>
        <v>5646.64</v>
      </c>
      <c r="D226" s="4">
        <f>(parametros_manuales!$D$27*(datos_base!$J$2+IF(parametros_manuales!$H$27="Todos",datos_base!$J$9,0))*parametros_manuales!$D$95+parametros_manuales!$E$27*(datos_base!$J$3+IF(parametros_manuales!$H$27="Todos",datos_base!$J$10,0))*parametros_manuales!$D$100+parametros_manuales!$F$27*(datos_base!$J$4+IF(parametros_manuales!$H$27="Todos",datos_base!$J$11,0))*parametros_manuales!$D$105+parametros_manuales!$G$27*(datos_base!$J$5+IF(parametros_manuales!$H$27="Todos",datos_base!$J$12,0))*parametros_manuales!$D$110)*parametros_manuales!$I$27*parametros_manuales!$J$27</f>
        <v>5999.555</v>
      </c>
      <c r="E226" s="4">
        <f>(parametros_manuales!$D$27*(datos_base!$J$2+IF(parametros_manuales!$H$27="Todos",datos_base!$J$9,0))*parametros_manuales!$E$95+parametros_manuales!$E$27*(datos_base!$J$3+IF(parametros_manuales!$H$27="Todos",datos_base!$J$10,0))*parametros_manuales!$E$100+parametros_manuales!$F$27*(datos_base!$J$4+IF(parametros_manuales!$H$27="Todos",datos_base!$J$11,0))*parametros_manuales!$E$105+parametros_manuales!$G$27*(datos_base!$J$5+IF(parametros_manuales!$H$27="Todos",datos_base!$J$12,0))*parametros_manuales!$E$110)*parametros_manuales!$I$27*parametros_manuales!$J$27</f>
        <v>5999.555</v>
      </c>
      <c r="F226" s="4">
        <f>(parametros_manuales!$D$27*(datos_base!$J$2+IF(parametros_manuales!$H$27="Todos",datos_base!$J$9,0))*parametros_manuales!$F$95+parametros_manuales!$E$27*(datos_base!$J$3+IF(parametros_manuales!$H$27="Todos",datos_base!$J$10,0))*parametros_manuales!$F$100+parametros_manuales!$F$27*(datos_base!$J$4+IF(parametros_manuales!$H$27="Todos",datos_base!$J$11,0))*parametros_manuales!$F$105+parametros_manuales!$G$27*(datos_base!$J$5+IF(parametros_manuales!$H$27="Todos",datos_base!$J$12,0))*parametros_manuales!$F$110)*parametros_manuales!$I$27*parametros_manuales!$J$27</f>
        <v>5646.64</v>
      </c>
      <c r="G226" s="4">
        <f>(parametros_manuales!$D$27*(datos_base!$J$2+IF(parametros_manuales!$H$27="Todos",datos_base!$J$9,0))*parametros_manuales!$G$95+parametros_manuales!$E$27*(datos_base!$J$3+IF(parametros_manuales!$H$27="Todos",datos_base!$J$10,0))*parametros_manuales!$G$100+parametros_manuales!$F$27*(datos_base!$J$4+IF(parametros_manuales!$H$27="Todos",datos_base!$J$11,0))*parametros_manuales!$G$105+parametros_manuales!$G$27*(datos_base!$J$5+IF(parametros_manuales!$H$27="Todos",datos_base!$J$12,0))*parametros_manuales!$G$110)*parametros_manuales!$I$27*parametros_manuales!$J$27</f>
        <v>5293.725</v>
      </c>
      <c r="H226" s="4">
        <f>(parametros_manuales!$D$27*(datos_base!$J$2+IF(parametros_manuales!$H$27="Todos",datos_base!$J$9,0))*parametros_manuales!$H$95+parametros_manuales!$E$27*(datos_base!$J$3+IF(parametros_manuales!$H$27="Todos",datos_base!$J$10,0))*parametros_manuales!$H$100+parametros_manuales!$F$27*(datos_base!$J$4+IF(parametros_manuales!$H$27="Todos",datos_base!$J$11,0))*parametros_manuales!$H$105+parametros_manuales!$G$27*(datos_base!$J$5+IF(parametros_manuales!$H$27="Todos",datos_base!$J$12,0))*parametros_manuales!$H$110)*parametros_manuales!$I$27*parametros_manuales!$J$27</f>
        <v>5646.64</v>
      </c>
      <c r="I226" s="4">
        <f>(parametros_manuales!$D$27*(datos_base!$J$2+IF(parametros_manuales!$H$27="Todos",datos_base!$J$9,0))*parametros_manuales!$I$95+parametros_manuales!$E$27*(datos_base!$J$3+IF(parametros_manuales!$H$27="Todos",datos_base!$J$10,0))*parametros_manuales!$I$100+parametros_manuales!$F$27*(datos_base!$J$4+IF(parametros_manuales!$H$27="Todos",datos_base!$J$11,0))*parametros_manuales!$I$105+parametros_manuales!$G$27*(datos_base!$J$5+IF(parametros_manuales!$H$27="Todos",datos_base!$J$12,0))*parametros_manuales!$I$110)*parametros_manuales!$I$27*parametros_manuales!$J$27</f>
        <v>5646.64</v>
      </c>
      <c r="J226" s="4">
        <f>(parametros_manuales!$D$27*(datos_base!$J$2+IF(parametros_manuales!$H$27="Todos",datos_base!$J$9,0))*parametros_manuales!$J$95+parametros_manuales!$E$27*(datos_base!$J$3+IF(parametros_manuales!$H$27="Todos",datos_base!$J$10,0))*parametros_manuales!$J$100+parametros_manuales!$F$27*(datos_base!$J$4+IF(parametros_manuales!$H$27="Todos",datos_base!$J$11,0))*parametros_manuales!$J$105+parametros_manuales!$G$27*(datos_base!$J$5+IF(parametros_manuales!$H$27="Todos",datos_base!$J$12,0))*parametros_manuales!$J$110)*parametros_manuales!$I$27*parametros_manuales!$J$27</f>
        <v>5646.64</v>
      </c>
      <c r="K226" s="4">
        <f>(parametros_manuales!$D$27*(datos_base!$J$2+IF(parametros_manuales!$H$27="Todos",datos_base!$J$9,0))*parametros_manuales!$K$95+parametros_manuales!$E$27*(datos_base!$J$3+IF(parametros_manuales!$H$27="Todos",datos_base!$J$10,0))*parametros_manuales!$K$100+parametros_manuales!$F$27*(datos_base!$J$4+IF(parametros_manuales!$H$27="Todos",datos_base!$J$11,0))*parametros_manuales!$K$105+parametros_manuales!$G$27*(datos_base!$J$5+IF(parametros_manuales!$H$27="Todos",datos_base!$J$12,0))*parametros_manuales!$K$110)*parametros_manuales!$I$27*parametros_manuales!$J$27</f>
        <v>5999.555</v>
      </c>
      <c r="L226" s="4">
        <f>(parametros_manuales!$D$27*(datos_base!$J$2+IF(parametros_manuales!$H$27="Todos",datos_base!$J$9,0))*parametros_manuales!$L$95+parametros_manuales!$E$27*(datos_base!$J$3+IF(parametros_manuales!$H$27="Todos",datos_base!$J$10,0))*parametros_manuales!$L$100+parametros_manuales!$F$27*(datos_base!$J$4+IF(parametros_manuales!$H$27="Todos",datos_base!$J$11,0))*parametros_manuales!$L$105+parametros_manuales!$G$27*(datos_base!$J$5+IF(parametros_manuales!$H$27="Todos",datos_base!$J$12,0))*parametros_manuales!$L$110)*parametros_manuales!$I$27*parametros_manuales!$J$27</f>
        <v>6352.47</v>
      </c>
      <c r="M226" s="4">
        <f>(parametros_manuales!$D$27*(datos_base!$J$2+IF(parametros_manuales!$H$27="Todos",datos_base!$J$9,0))*parametros_manuales!$M$95+parametros_manuales!$E$27*(datos_base!$J$3+IF(parametros_manuales!$H$27="Todos",datos_base!$J$10,0))*parametros_manuales!$M$100+parametros_manuales!$F$27*(datos_base!$J$4+IF(parametros_manuales!$H$27="Todos",datos_base!$J$11,0))*parametros_manuales!$M$105+parametros_manuales!$G$27*(datos_base!$J$5+IF(parametros_manuales!$H$27="Todos",datos_base!$J$12,0))*parametros_manuales!$M$110)*parametros_manuales!$I$27*parametros_manuales!$J$27</f>
        <v>6352.47</v>
      </c>
      <c r="N226" s="4">
        <f t="shared" si="25"/>
        <v>70583</v>
      </c>
      <c r="O226" s="4">
        <f t="shared" si="26"/>
        <v>6352.47</v>
      </c>
      <c r="P226" s="27">
        <f>O226/(parametros_manuales!$B$7)</f>
        <v>42.3498</v>
      </c>
      <c r="Q226" s="3" t="str">
        <f t="shared" si="27"/>
        <v>Ene</v>
      </c>
    </row>
    <row r="227" ht="14.25" customHeight="1">
      <c r="A227" s="3" t="str">
        <f>parametros_manuales!$B$28</f>
        <v>Encastre de fondo</v>
      </c>
      <c r="B227" s="4">
        <f>(parametros_manuales!$D$28*(datos_base!$J$2+IF(parametros_manuales!$H$28="Todos",datos_base!$J$9,0))*parametros_manuales!$B$95+parametros_manuales!$E$28*(datos_base!$J$3+IF(parametros_manuales!$H$28="Todos",datos_base!$J$10,0))*parametros_manuales!$B$100+parametros_manuales!$F$28*(datos_base!$J$4+IF(parametros_manuales!$H$28="Todos",datos_base!$J$11,0))*parametros_manuales!$B$105+parametros_manuales!$G$28*(datos_base!$J$5+IF(parametros_manuales!$H$28="Todos",datos_base!$J$12,0))*parametros_manuales!$B$110)*parametros_manuales!$I$28*parametros_manuales!$J$28</f>
        <v>22137.84</v>
      </c>
      <c r="C227" s="4">
        <f>(parametros_manuales!$D$28*(datos_base!$J$2+IF(parametros_manuales!$H$28="Todos",datos_base!$J$9,0))*parametros_manuales!$C$95+parametros_manuales!$E$28*(datos_base!$J$3+IF(parametros_manuales!$H$28="Todos",datos_base!$J$10,0))*parametros_manuales!$C$100+parametros_manuales!$F$28*(datos_base!$J$4+IF(parametros_manuales!$H$28="Todos",datos_base!$J$11,0))*parametros_manuales!$C$105+parametros_manuales!$G$28*(datos_base!$J$5+IF(parametros_manuales!$H$28="Todos",datos_base!$J$12,0))*parametros_manuales!$C$110)*parametros_manuales!$I$28*parametros_manuales!$J$28</f>
        <v>21432.01</v>
      </c>
      <c r="D227" s="4">
        <f>(parametros_manuales!$D$28*(datos_base!$J$2+IF(parametros_manuales!$H$28="Todos",datos_base!$J$9,0))*parametros_manuales!$D$95+parametros_manuales!$E$28*(datos_base!$J$3+IF(parametros_manuales!$H$28="Todos",datos_base!$J$10,0))*parametros_manuales!$D$100+parametros_manuales!$F$28*(datos_base!$J$4+IF(parametros_manuales!$H$28="Todos",datos_base!$J$11,0))*parametros_manuales!$D$105+parametros_manuales!$G$28*(datos_base!$J$5+IF(parametros_manuales!$H$28="Todos",datos_base!$J$12,0))*parametros_manuales!$D$110)*parametros_manuales!$I$28*parametros_manuales!$J$28</f>
        <v>20030.995</v>
      </c>
      <c r="E227" s="4">
        <f>(parametros_manuales!$D$28*(datos_base!$J$2+IF(parametros_manuales!$H$28="Todos",datos_base!$J$9,0))*parametros_manuales!$E$95+parametros_manuales!$E$28*(datos_base!$J$3+IF(parametros_manuales!$H$28="Todos",datos_base!$J$10,0))*parametros_manuales!$E$100+parametros_manuales!$F$28*(datos_base!$J$4+IF(parametros_manuales!$H$28="Todos",datos_base!$J$11,0))*parametros_manuales!$E$105+parametros_manuales!$G$28*(datos_base!$J$5+IF(parametros_manuales!$H$28="Todos",datos_base!$J$12,0))*parametros_manuales!$E$110)*parametros_manuales!$I$28*parametros_manuales!$J$28</f>
        <v>19154.03</v>
      </c>
      <c r="F227" s="4">
        <f>(parametros_manuales!$D$28*(datos_base!$J$2+IF(parametros_manuales!$H$28="Todos",datos_base!$J$9,0))*parametros_manuales!$F$95+parametros_manuales!$E$28*(datos_base!$J$3+IF(parametros_manuales!$H$28="Todos",datos_base!$J$10,0))*parametros_manuales!$F$100+parametros_manuales!$F$28*(datos_base!$J$4+IF(parametros_manuales!$H$28="Todos",datos_base!$J$11,0))*parametros_manuales!$F$105+parametros_manuales!$G$28*(datos_base!$J$5+IF(parametros_manuales!$H$28="Todos",datos_base!$J$12,0))*parametros_manuales!$F$110)*parametros_manuales!$I$28*parametros_manuales!$J$28</f>
        <v>17924.15</v>
      </c>
      <c r="G227" s="4">
        <f>(parametros_manuales!$D$28*(datos_base!$J$2+IF(parametros_manuales!$H$28="Todos",datos_base!$J$9,0))*parametros_manuales!$G$95+parametros_manuales!$E$28*(datos_base!$J$3+IF(parametros_manuales!$H$28="Todos",datos_base!$J$10,0))*parametros_manuales!$G$100+parametros_manuales!$F$28*(datos_base!$J$4+IF(parametros_manuales!$H$28="Todos",datos_base!$J$11,0))*parametros_manuales!$G$105+parametros_manuales!$G$28*(datos_base!$J$5+IF(parametros_manuales!$H$28="Todos",datos_base!$J$12,0))*parametros_manuales!$G$110)*parametros_manuales!$I$28*parametros_manuales!$J$28</f>
        <v>17571.235</v>
      </c>
      <c r="H227" s="4">
        <f>(parametros_manuales!$D$28*(datos_base!$J$2+IF(parametros_manuales!$H$28="Todos",datos_base!$J$9,0))*parametros_manuales!$H$95+parametros_manuales!$E$28*(datos_base!$J$3+IF(parametros_manuales!$H$28="Todos",datos_base!$J$10,0))*parametros_manuales!$H$100+parametros_manuales!$F$28*(datos_base!$J$4+IF(parametros_manuales!$H$28="Todos",datos_base!$J$11,0))*parametros_manuales!$H$105+parametros_manuales!$G$28*(datos_base!$J$5+IF(parametros_manuales!$H$28="Todos",datos_base!$J$12,0))*parametros_manuales!$H$110)*parametros_manuales!$I$28*parametros_manuales!$J$28</f>
        <v>18801.115</v>
      </c>
      <c r="I227" s="4">
        <f>(parametros_manuales!$D$28*(datos_base!$J$2+IF(parametros_manuales!$H$28="Todos",datos_base!$J$9,0))*parametros_manuales!$I$95+parametros_manuales!$E$28*(datos_base!$J$3+IF(parametros_manuales!$H$28="Todos",datos_base!$J$10,0))*parametros_manuales!$I$100+parametros_manuales!$F$28*(datos_base!$J$4+IF(parametros_manuales!$H$28="Todos",datos_base!$J$11,0))*parametros_manuales!$I$105+parametros_manuales!$G$28*(datos_base!$J$5+IF(parametros_manuales!$H$28="Todos",datos_base!$J$12,0))*parametros_manuales!$I$110)*parametros_manuales!$I$28*parametros_manuales!$J$28</f>
        <v>21432.01</v>
      </c>
      <c r="J227" s="4">
        <f>(parametros_manuales!$D$28*(datos_base!$J$2+IF(parametros_manuales!$H$28="Todos",datos_base!$J$9,0))*parametros_manuales!$J$95+parametros_manuales!$E$28*(datos_base!$J$3+IF(parametros_manuales!$H$28="Todos",datos_base!$J$10,0))*parametros_manuales!$J$100+parametros_manuales!$F$28*(datos_base!$J$4+IF(parametros_manuales!$H$28="Todos",datos_base!$J$11,0))*parametros_manuales!$J$105+parametros_manuales!$G$28*(datos_base!$J$5+IF(parametros_manuales!$H$28="Todos",datos_base!$J$12,0))*parametros_manuales!$J$110)*parametros_manuales!$I$28*parametros_manuales!$J$28</f>
        <v>21432.01</v>
      </c>
      <c r="K227" s="4">
        <f>(parametros_manuales!$D$28*(datos_base!$J$2+IF(parametros_manuales!$H$28="Todos",datos_base!$J$9,0))*parametros_manuales!$K$95+parametros_manuales!$E$28*(datos_base!$J$3+IF(parametros_manuales!$H$28="Todos",datos_base!$J$10,0))*parametros_manuales!$K$100+parametros_manuales!$F$28*(datos_base!$J$4+IF(parametros_manuales!$H$28="Todos",datos_base!$J$11,0))*parametros_manuales!$K$105+parametros_manuales!$G$28*(datos_base!$J$5+IF(parametros_manuales!$H$28="Todos",datos_base!$J$12,0))*parametros_manuales!$K$110)*parametros_manuales!$I$28*parametros_manuales!$J$28</f>
        <v>21784.925</v>
      </c>
      <c r="L227" s="4">
        <f>(parametros_manuales!$D$28*(datos_base!$J$2+IF(parametros_manuales!$H$28="Todos",datos_base!$J$9,0))*parametros_manuales!$L$95+parametros_manuales!$E$28*(datos_base!$J$3+IF(parametros_manuales!$H$28="Todos",datos_base!$J$10,0))*parametros_manuales!$L$100+parametros_manuales!$F$28*(datos_base!$J$4+IF(parametros_manuales!$H$28="Todos",datos_base!$J$11,0))*parametros_manuales!$L$105+parametros_manuales!$G$28*(datos_base!$J$5+IF(parametros_manuales!$H$28="Todos",datos_base!$J$12,0))*parametros_manuales!$L$110)*parametros_manuales!$I$28*parametros_manuales!$J$28</f>
        <v>22137.84</v>
      </c>
      <c r="M227" s="4">
        <f>(parametros_manuales!$D$28*(datos_base!$J$2+IF(parametros_manuales!$H$28="Todos",datos_base!$J$9,0))*parametros_manuales!$M$95+parametros_manuales!$E$28*(datos_base!$J$3+IF(parametros_manuales!$H$28="Todos",datos_base!$J$10,0))*parametros_manuales!$M$100+parametros_manuales!$F$28*(datos_base!$J$4+IF(parametros_manuales!$H$28="Todos",datos_base!$J$11,0))*parametros_manuales!$M$105+parametros_manuales!$G$28*(datos_base!$J$5+IF(parametros_manuales!$H$28="Todos",datos_base!$J$12,0))*parametros_manuales!$M$110)*parametros_manuales!$I$28*parametros_manuales!$J$28</f>
        <v>22137.84</v>
      </c>
      <c r="N227" s="4">
        <f t="shared" si="25"/>
        <v>245976</v>
      </c>
      <c r="O227" s="4">
        <f t="shared" si="26"/>
        <v>22137.84</v>
      </c>
      <c r="P227" s="27">
        <f>O227/(parametros_manuales!$B$7)</f>
        <v>147.5856</v>
      </c>
      <c r="Q227" s="3" t="str">
        <f t="shared" si="27"/>
        <v>Ene</v>
      </c>
    </row>
    <row r="228" ht="14.25" customHeight="1">
      <c r="A228" s="3" t="str">
        <f>parametros_manuales!$B$29</f>
        <v>Bordoneado</v>
      </c>
      <c r="B228" s="4">
        <f>(parametros_manuales!$D$29*(datos_base!$J$2+IF(parametros_manuales!$H$29="Todos",datos_base!$J$9,0))*parametros_manuales!$B$95+parametros_manuales!$E$29*(datos_base!$J$3+IF(parametros_manuales!$H$29="Todos",datos_base!$J$10,0))*parametros_manuales!$B$100+parametros_manuales!$F$29*(datos_base!$J$4+IF(parametros_manuales!$H$29="Todos",datos_base!$J$11,0))*parametros_manuales!$B$105+parametros_manuales!$G$29*(datos_base!$J$5+IF(parametros_manuales!$H$29="Todos",datos_base!$J$12,0))*parametros_manuales!$B$110)*parametros_manuales!$I$29*parametros_manuales!$J$29</f>
        <v>22137.84</v>
      </c>
      <c r="C228" s="4">
        <f>(parametros_manuales!$D$29*(datos_base!$J$2+IF(parametros_manuales!$H$29="Todos",datos_base!$J$9,0))*parametros_manuales!$C$95+parametros_manuales!$E$29*(datos_base!$J$3+IF(parametros_manuales!$H$29="Todos",datos_base!$J$10,0))*parametros_manuales!$C$100+parametros_manuales!$F$29*(datos_base!$J$4+IF(parametros_manuales!$H$29="Todos",datos_base!$J$11,0))*parametros_manuales!$C$105+parametros_manuales!$G$29*(datos_base!$J$5+IF(parametros_manuales!$H$29="Todos",datos_base!$J$12,0))*parametros_manuales!$C$110)*parametros_manuales!$I$29*parametros_manuales!$J$29</f>
        <v>21432.01</v>
      </c>
      <c r="D228" s="4">
        <f>(parametros_manuales!$D$29*(datos_base!$J$2+IF(parametros_manuales!$H$29="Todos",datos_base!$J$9,0))*parametros_manuales!$D$95+parametros_manuales!$E$29*(datos_base!$J$3+IF(parametros_manuales!$H$29="Todos",datos_base!$J$10,0))*parametros_manuales!$D$100+parametros_manuales!$F$29*(datos_base!$J$4+IF(parametros_manuales!$H$29="Todos",datos_base!$J$11,0))*parametros_manuales!$D$105+parametros_manuales!$G$29*(datos_base!$J$5+IF(parametros_manuales!$H$29="Todos",datos_base!$J$12,0))*parametros_manuales!$D$110)*parametros_manuales!$I$29*parametros_manuales!$J$29</f>
        <v>20030.995</v>
      </c>
      <c r="E228" s="4">
        <f>(parametros_manuales!$D$29*(datos_base!$J$2+IF(parametros_manuales!$H$29="Todos",datos_base!$J$9,0))*parametros_manuales!$E$95+parametros_manuales!$E$29*(datos_base!$J$3+IF(parametros_manuales!$H$29="Todos",datos_base!$J$10,0))*parametros_manuales!$E$100+parametros_manuales!$F$29*(datos_base!$J$4+IF(parametros_manuales!$H$29="Todos",datos_base!$J$11,0))*parametros_manuales!$E$105+parametros_manuales!$G$29*(datos_base!$J$5+IF(parametros_manuales!$H$29="Todos",datos_base!$J$12,0))*parametros_manuales!$E$110)*parametros_manuales!$I$29*parametros_manuales!$J$29</f>
        <v>19154.03</v>
      </c>
      <c r="F228" s="4">
        <f>(parametros_manuales!$D$29*(datos_base!$J$2+IF(parametros_manuales!$H$29="Todos",datos_base!$J$9,0))*parametros_manuales!$F$95+parametros_manuales!$E$29*(datos_base!$J$3+IF(parametros_manuales!$H$29="Todos",datos_base!$J$10,0))*parametros_manuales!$F$100+parametros_manuales!$F$29*(datos_base!$J$4+IF(parametros_manuales!$H$29="Todos",datos_base!$J$11,0))*parametros_manuales!$F$105+parametros_manuales!$G$29*(datos_base!$J$5+IF(parametros_manuales!$H$29="Todos",datos_base!$J$12,0))*parametros_manuales!$F$110)*parametros_manuales!$I$29*parametros_manuales!$J$29</f>
        <v>17924.15</v>
      </c>
      <c r="G228" s="4">
        <f>(parametros_manuales!$D$29*(datos_base!$J$2+IF(parametros_manuales!$H$29="Todos",datos_base!$J$9,0))*parametros_manuales!$G$95+parametros_manuales!$E$29*(datos_base!$J$3+IF(parametros_manuales!$H$29="Todos",datos_base!$J$10,0))*parametros_manuales!$G$100+parametros_manuales!$F$29*(datos_base!$J$4+IF(parametros_manuales!$H$29="Todos",datos_base!$J$11,0))*parametros_manuales!$G$105+parametros_manuales!$G$29*(datos_base!$J$5+IF(parametros_manuales!$H$29="Todos",datos_base!$J$12,0))*parametros_manuales!$G$110)*parametros_manuales!$I$29*parametros_manuales!$J$29</f>
        <v>17571.235</v>
      </c>
      <c r="H228" s="4">
        <f>(parametros_manuales!$D$29*(datos_base!$J$2+IF(parametros_manuales!$H$29="Todos",datos_base!$J$9,0))*parametros_manuales!$H$95+parametros_manuales!$E$29*(datos_base!$J$3+IF(parametros_manuales!$H$29="Todos",datos_base!$J$10,0))*parametros_manuales!$H$100+parametros_manuales!$F$29*(datos_base!$J$4+IF(parametros_manuales!$H$29="Todos",datos_base!$J$11,0))*parametros_manuales!$H$105+parametros_manuales!$G$29*(datos_base!$J$5+IF(parametros_manuales!$H$29="Todos",datos_base!$J$12,0))*parametros_manuales!$H$110)*parametros_manuales!$I$29*parametros_manuales!$J$29</f>
        <v>18801.115</v>
      </c>
      <c r="I228" s="4">
        <f>(parametros_manuales!$D$29*(datos_base!$J$2+IF(parametros_manuales!$H$29="Todos",datos_base!$J$9,0))*parametros_manuales!$I$95+parametros_manuales!$E$29*(datos_base!$J$3+IF(parametros_manuales!$H$29="Todos",datos_base!$J$10,0))*parametros_manuales!$I$100+parametros_manuales!$F$29*(datos_base!$J$4+IF(parametros_manuales!$H$29="Todos",datos_base!$J$11,0))*parametros_manuales!$I$105+parametros_manuales!$G$29*(datos_base!$J$5+IF(parametros_manuales!$H$29="Todos",datos_base!$J$12,0))*parametros_manuales!$I$110)*parametros_manuales!$I$29*parametros_manuales!$J$29</f>
        <v>21432.01</v>
      </c>
      <c r="J228" s="4">
        <f>(parametros_manuales!$D$29*(datos_base!$J$2+IF(parametros_manuales!$H$29="Todos",datos_base!$J$9,0))*parametros_manuales!$J$95+parametros_manuales!$E$29*(datos_base!$J$3+IF(parametros_manuales!$H$29="Todos",datos_base!$J$10,0))*parametros_manuales!$J$100+parametros_manuales!$F$29*(datos_base!$J$4+IF(parametros_manuales!$H$29="Todos",datos_base!$J$11,0))*parametros_manuales!$J$105+parametros_manuales!$G$29*(datos_base!$J$5+IF(parametros_manuales!$H$29="Todos",datos_base!$J$12,0))*parametros_manuales!$J$110)*parametros_manuales!$I$29*parametros_manuales!$J$29</f>
        <v>21432.01</v>
      </c>
      <c r="K228" s="4">
        <f>(parametros_manuales!$D$29*(datos_base!$J$2+IF(parametros_manuales!$H$29="Todos",datos_base!$J$9,0))*parametros_manuales!$K$95+parametros_manuales!$E$29*(datos_base!$J$3+IF(parametros_manuales!$H$29="Todos",datos_base!$J$10,0))*parametros_manuales!$K$100+parametros_manuales!$F$29*(datos_base!$J$4+IF(parametros_manuales!$H$29="Todos",datos_base!$J$11,0))*parametros_manuales!$K$105+parametros_manuales!$G$29*(datos_base!$J$5+IF(parametros_manuales!$H$29="Todos",datos_base!$J$12,0))*parametros_manuales!$K$110)*parametros_manuales!$I$29*parametros_manuales!$J$29</f>
        <v>21784.925</v>
      </c>
      <c r="L228" s="4">
        <f>(parametros_manuales!$D$29*(datos_base!$J$2+IF(parametros_manuales!$H$29="Todos",datos_base!$J$9,0))*parametros_manuales!$L$95+parametros_manuales!$E$29*(datos_base!$J$3+IF(parametros_manuales!$H$29="Todos",datos_base!$J$10,0))*parametros_manuales!$L$100+parametros_manuales!$F$29*(datos_base!$J$4+IF(parametros_manuales!$H$29="Todos",datos_base!$J$11,0))*parametros_manuales!$L$105+parametros_manuales!$G$29*(datos_base!$J$5+IF(parametros_manuales!$H$29="Todos",datos_base!$J$12,0))*parametros_manuales!$L$110)*parametros_manuales!$I$29*parametros_manuales!$J$29</f>
        <v>22137.84</v>
      </c>
      <c r="M228" s="4">
        <f>(parametros_manuales!$D$29*(datos_base!$J$2+IF(parametros_manuales!$H$29="Todos",datos_base!$J$9,0))*parametros_manuales!$M$95+parametros_manuales!$E$29*(datos_base!$J$3+IF(parametros_manuales!$H$29="Todos",datos_base!$J$10,0))*parametros_manuales!$M$100+parametros_manuales!$F$29*(datos_base!$J$4+IF(parametros_manuales!$H$29="Todos",datos_base!$J$11,0))*parametros_manuales!$M$105+parametros_manuales!$G$29*(datos_base!$J$5+IF(parametros_manuales!$H$29="Todos",datos_base!$J$12,0))*parametros_manuales!$M$110)*parametros_manuales!$I$29*parametros_manuales!$J$29</f>
        <v>22137.84</v>
      </c>
      <c r="N228" s="4">
        <f t="shared" si="25"/>
        <v>245976</v>
      </c>
      <c r="O228" s="4">
        <f t="shared" si="26"/>
        <v>22137.84</v>
      </c>
      <c r="P228" s="27">
        <f>O228/(parametros_manuales!$B$7)</f>
        <v>147.5856</v>
      </c>
      <c r="Q228" s="3" t="str">
        <f t="shared" si="27"/>
        <v>Ene</v>
      </c>
    </row>
    <row r="229" ht="14.25" customHeight="1">
      <c r="A229" s="3" t="str">
        <f>parametros_manuales!$B$30</f>
        <v>Soldadura circunferencial de cúpula y fondo</v>
      </c>
      <c r="B229" s="4">
        <f>(parametros_manuales!$D$30*(datos_base!$J$2+IF(parametros_manuales!$H$30="Todos",datos_base!$J$9,0))*parametros_manuales!$B$95+parametros_manuales!$E$30*(datos_base!$J$3+IF(parametros_manuales!$H$30="Todos",datos_base!$J$10,0))*parametros_manuales!$B$100+parametros_manuales!$F$30*(datos_base!$J$4+IF(parametros_manuales!$H$30="Todos",datos_base!$J$11,0))*parametros_manuales!$B$105+parametros_manuales!$G$30*(datos_base!$J$5+IF(parametros_manuales!$H$30="Todos",datos_base!$J$12,0))*parametros_manuales!$B$110)*parametros_manuales!$I$30*parametros_manuales!$J$30</f>
        <v>22137.84</v>
      </c>
      <c r="C229" s="4">
        <f>(parametros_manuales!$D$30*(datos_base!$J$2+IF(parametros_manuales!$H$30="Todos",datos_base!$J$9,0))*parametros_manuales!$C$95+parametros_manuales!$E$30*(datos_base!$J$3+IF(parametros_manuales!$H$30="Todos",datos_base!$J$10,0))*parametros_manuales!$C$100+parametros_manuales!$F$30*(datos_base!$J$4+IF(parametros_manuales!$H$30="Todos",datos_base!$J$11,0))*parametros_manuales!$C$105+parametros_manuales!$G$30*(datos_base!$J$5+IF(parametros_manuales!$H$30="Todos",datos_base!$J$12,0))*parametros_manuales!$C$110)*parametros_manuales!$I$30*parametros_manuales!$J$30</f>
        <v>21432.01</v>
      </c>
      <c r="D229" s="4">
        <f>(parametros_manuales!$D$30*(datos_base!$J$2+IF(parametros_manuales!$H$30="Todos",datos_base!$J$9,0))*parametros_manuales!$D$95+parametros_manuales!$E$30*(datos_base!$J$3+IF(parametros_manuales!$H$30="Todos",datos_base!$J$10,0))*parametros_manuales!$D$100+parametros_manuales!$F$30*(datos_base!$J$4+IF(parametros_manuales!$H$30="Todos",datos_base!$J$11,0))*parametros_manuales!$D$105+parametros_manuales!$G$30*(datos_base!$J$5+IF(parametros_manuales!$H$30="Todos",datos_base!$J$12,0))*parametros_manuales!$D$110)*parametros_manuales!$I$30*parametros_manuales!$J$30</f>
        <v>20030.995</v>
      </c>
      <c r="E229" s="4">
        <f>(parametros_manuales!$D$30*(datos_base!$J$2+IF(parametros_manuales!$H$30="Todos",datos_base!$J$9,0))*parametros_manuales!$E$95+parametros_manuales!$E$30*(datos_base!$J$3+IF(parametros_manuales!$H$30="Todos",datos_base!$J$10,0))*parametros_manuales!$E$100+parametros_manuales!$F$30*(datos_base!$J$4+IF(parametros_manuales!$H$30="Todos",datos_base!$J$11,0))*parametros_manuales!$E$105+parametros_manuales!$G$30*(datos_base!$J$5+IF(parametros_manuales!$H$30="Todos",datos_base!$J$12,0))*parametros_manuales!$E$110)*parametros_manuales!$I$30*parametros_manuales!$J$30</f>
        <v>19154.03</v>
      </c>
      <c r="F229" s="4">
        <f>(parametros_manuales!$D$30*(datos_base!$J$2+IF(parametros_manuales!$H$30="Todos",datos_base!$J$9,0))*parametros_manuales!$F$95+parametros_manuales!$E$30*(datos_base!$J$3+IF(parametros_manuales!$H$30="Todos",datos_base!$J$10,0))*parametros_manuales!$F$100+parametros_manuales!$F$30*(datos_base!$J$4+IF(parametros_manuales!$H$30="Todos",datos_base!$J$11,0))*parametros_manuales!$F$105+parametros_manuales!$G$30*(datos_base!$J$5+IF(parametros_manuales!$H$30="Todos",datos_base!$J$12,0))*parametros_manuales!$F$110)*parametros_manuales!$I$30*parametros_manuales!$J$30</f>
        <v>17924.15</v>
      </c>
      <c r="G229" s="4">
        <f>(parametros_manuales!$D$30*(datos_base!$J$2+IF(parametros_manuales!$H$30="Todos",datos_base!$J$9,0))*parametros_manuales!$G$95+parametros_manuales!$E$30*(datos_base!$J$3+IF(parametros_manuales!$H$30="Todos",datos_base!$J$10,0))*parametros_manuales!$G$100+parametros_manuales!$F$30*(datos_base!$J$4+IF(parametros_manuales!$H$30="Todos",datos_base!$J$11,0))*parametros_manuales!$G$105+parametros_manuales!$G$30*(datos_base!$J$5+IF(parametros_manuales!$H$30="Todos",datos_base!$J$12,0))*parametros_manuales!$G$110)*parametros_manuales!$I$30*parametros_manuales!$J$30</f>
        <v>17571.235</v>
      </c>
      <c r="H229" s="4">
        <f>(parametros_manuales!$D$30*(datos_base!$J$2+IF(parametros_manuales!$H$30="Todos",datos_base!$J$9,0))*parametros_manuales!$H$95+parametros_manuales!$E$30*(datos_base!$J$3+IF(parametros_manuales!$H$30="Todos",datos_base!$J$10,0))*parametros_manuales!$H$100+parametros_manuales!$F$30*(datos_base!$J$4+IF(parametros_manuales!$H$30="Todos",datos_base!$J$11,0))*parametros_manuales!$H$105+parametros_manuales!$G$30*(datos_base!$J$5+IF(parametros_manuales!$H$30="Todos",datos_base!$J$12,0))*parametros_manuales!$H$110)*parametros_manuales!$I$30*parametros_manuales!$J$30</f>
        <v>18801.115</v>
      </c>
      <c r="I229" s="4">
        <f>(parametros_manuales!$D$30*(datos_base!$J$2+IF(parametros_manuales!$H$30="Todos",datos_base!$J$9,0))*parametros_manuales!$I$95+parametros_manuales!$E$30*(datos_base!$J$3+IF(parametros_manuales!$H$30="Todos",datos_base!$J$10,0))*parametros_manuales!$I$100+parametros_manuales!$F$30*(datos_base!$J$4+IF(parametros_manuales!$H$30="Todos",datos_base!$J$11,0))*parametros_manuales!$I$105+parametros_manuales!$G$30*(datos_base!$J$5+IF(parametros_manuales!$H$30="Todos",datos_base!$J$12,0))*parametros_manuales!$I$110)*parametros_manuales!$I$30*parametros_manuales!$J$30</f>
        <v>21432.01</v>
      </c>
      <c r="J229" s="4">
        <f>(parametros_manuales!$D$30*(datos_base!$J$2+IF(parametros_manuales!$H$30="Todos",datos_base!$J$9,0))*parametros_manuales!$J$95+parametros_manuales!$E$30*(datos_base!$J$3+IF(parametros_manuales!$H$30="Todos",datos_base!$J$10,0))*parametros_manuales!$J$100+parametros_manuales!$F$30*(datos_base!$J$4+IF(parametros_manuales!$H$30="Todos",datos_base!$J$11,0))*parametros_manuales!$J$105+parametros_manuales!$G$30*(datos_base!$J$5+IF(parametros_manuales!$H$30="Todos",datos_base!$J$12,0))*parametros_manuales!$J$110)*parametros_manuales!$I$30*parametros_manuales!$J$30</f>
        <v>21432.01</v>
      </c>
      <c r="K229" s="4">
        <f>(parametros_manuales!$D$30*(datos_base!$J$2+IF(parametros_manuales!$H$30="Todos",datos_base!$J$9,0))*parametros_manuales!$K$95+parametros_manuales!$E$30*(datos_base!$J$3+IF(parametros_manuales!$H$30="Todos",datos_base!$J$10,0))*parametros_manuales!$K$100+parametros_manuales!$F$30*(datos_base!$J$4+IF(parametros_manuales!$H$30="Todos",datos_base!$J$11,0))*parametros_manuales!$K$105+parametros_manuales!$G$30*(datos_base!$J$5+IF(parametros_manuales!$H$30="Todos",datos_base!$J$12,0))*parametros_manuales!$K$110)*parametros_manuales!$I$30*parametros_manuales!$J$30</f>
        <v>21784.925</v>
      </c>
      <c r="L229" s="4">
        <f>(parametros_manuales!$D$30*(datos_base!$J$2+IF(parametros_manuales!$H$30="Todos",datos_base!$J$9,0))*parametros_manuales!$L$95+parametros_manuales!$E$30*(datos_base!$J$3+IF(parametros_manuales!$H$30="Todos",datos_base!$J$10,0))*parametros_manuales!$L$100+parametros_manuales!$F$30*(datos_base!$J$4+IF(parametros_manuales!$H$30="Todos",datos_base!$J$11,0))*parametros_manuales!$L$105+parametros_manuales!$G$30*(datos_base!$J$5+IF(parametros_manuales!$H$30="Todos",datos_base!$J$12,0))*parametros_manuales!$L$110)*parametros_manuales!$I$30*parametros_manuales!$J$30</f>
        <v>22137.84</v>
      </c>
      <c r="M229" s="4">
        <f>(parametros_manuales!$D$30*(datos_base!$J$2+IF(parametros_manuales!$H$30="Todos",datos_base!$J$9,0))*parametros_manuales!$M$95+parametros_manuales!$E$30*(datos_base!$J$3+IF(parametros_manuales!$H$30="Todos",datos_base!$J$10,0))*parametros_manuales!$M$100+parametros_manuales!$F$30*(datos_base!$J$4+IF(parametros_manuales!$H$30="Todos",datos_base!$J$11,0))*parametros_manuales!$M$105+parametros_manuales!$G$30*(datos_base!$J$5+IF(parametros_manuales!$H$30="Todos",datos_base!$J$12,0))*parametros_manuales!$M$110)*parametros_manuales!$I$30*parametros_manuales!$J$30</f>
        <v>22137.84</v>
      </c>
      <c r="N229" s="4">
        <f t="shared" si="25"/>
        <v>245976</v>
      </c>
      <c r="O229" s="4">
        <f t="shared" si="26"/>
        <v>22137.84</v>
      </c>
      <c r="P229" s="27">
        <f>O229/(parametros_manuales!$B$7)</f>
        <v>147.5856</v>
      </c>
      <c r="Q229" s="3" t="str">
        <f t="shared" si="27"/>
        <v>Ene</v>
      </c>
    </row>
    <row r="230" ht="14.25" customHeight="1">
      <c r="A230" s="3" t="str">
        <f>parametros_manuales!$B$31</f>
        <v>Control de calidad — Espesor</v>
      </c>
      <c r="B230" s="4">
        <f>(parametros_manuales!$D$31*(datos_base!$J$2+IF(parametros_manuales!$H$31="Todos",datos_base!$J$9,0))*parametros_manuales!$B$95+parametros_manuales!$E$31*(datos_base!$J$3+IF(parametros_manuales!$H$31="Todos",datos_base!$J$10,0))*parametros_manuales!$B$100+parametros_manuales!$F$31*(datos_base!$J$4+IF(parametros_manuales!$H$31="Todos",datos_base!$J$11,0))*parametros_manuales!$B$105+parametros_manuales!$G$31*(datos_base!$J$5+IF(parametros_manuales!$H$31="Todos",datos_base!$J$12,0))*parametros_manuales!$B$110)*parametros_manuales!$I$31*parametros_manuales!$J$31</f>
        <v>442.7568</v>
      </c>
      <c r="C230" s="4">
        <f>(parametros_manuales!$D$31*(datos_base!$J$2+IF(parametros_manuales!$H$31="Todos",datos_base!$J$9,0))*parametros_manuales!$C$95+parametros_manuales!$E$31*(datos_base!$J$3+IF(parametros_manuales!$H$31="Todos",datos_base!$J$10,0))*parametros_manuales!$C$100+parametros_manuales!$F$31*(datos_base!$J$4+IF(parametros_manuales!$H$31="Todos",datos_base!$J$11,0))*parametros_manuales!$C$105+parametros_manuales!$G$31*(datos_base!$J$5+IF(parametros_manuales!$H$31="Todos",datos_base!$J$12,0))*parametros_manuales!$C$110)*parametros_manuales!$I$31*parametros_manuales!$J$31</f>
        <v>428.6402</v>
      </c>
      <c r="D230" s="4">
        <f>(parametros_manuales!$D$31*(datos_base!$J$2+IF(parametros_manuales!$H$31="Todos",datos_base!$J$9,0))*parametros_manuales!$D$95+parametros_manuales!$E$31*(datos_base!$J$3+IF(parametros_manuales!$H$31="Todos",datos_base!$J$10,0))*parametros_manuales!$D$100+parametros_manuales!$F$31*(datos_base!$J$4+IF(parametros_manuales!$H$31="Todos",datos_base!$J$11,0))*parametros_manuales!$D$105+parametros_manuales!$G$31*(datos_base!$J$5+IF(parametros_manuales!$H$31="Todos",datos_base!$J$12,0))*parametros_manuales!$D$110)*parametros_manuales!$I$31*parametros_manuales!$J$31</f>
        <v>400.6199</v>
      </c>
      <c r="E230" s="4">
        <f>(parametros_manuales!$D$31*(datos_base!$J$2+IF(parametros_manuales!$H$31="Todos",datos_base!$J$9,0))*parametros_manuales!$E$95+parametros_manuales!$E$31*(datos_base!$J$3+IF(parametros_manuales!$H$31="Todos",datos_base!$J$10,0))*parametros_manuales!$E$100+parametros_manuales!$F$31*(datos_base!$J$4+IF(parametros_manuales!$H$31="Todos",datos_base!$J$11,0))*parametros_manuales!$E$105+parametros_manuales!$G$31*(datos_base!$J$5+IF(parametros_manuales!$H$31="Todos",datos_base!$J$12,0))*parametros_manuales!$E$110)*parametros_manuales!$I$31*parametros_manuales!$J$31</f>
        <v>383.0806</v>
      </c>
      <c r="F230" s="4">
        <f>(parametros_manuales!$D$31*(datos_base!$J$2+IF(parametros_manuales!$H$31="Todos",datos_base!$J$9,0))*parametros_manuales!$F$95+parametros_manuales!$E$31*(datos_base!$J$3+IF(parametros_manuales!$H$31="Todos",datos_base!$J$10,0))*parametros_manuales!$F$100+parametros_manuales!$F$31*(datos_base!$J$4+IF(parametros_manuales!$H$31="Todos",datos_base!$J$11,0))*parametros_manuales!$F$105+parametros_manuales!$G$31*(datos_base!$J$5+IF(parametros_manuales!$H$31="Todos",datos_base!$J$12,0))*parametros_manuales!$F$110)*parametros_manuales!$I$31*parametros_manuales!$J$31</f>
        <v>358.483</v>
      </c>
      <c r="G230" s="4">
        <f>(parametros_manuales!$D$31*(datos_base!$J$2+IF(parametros_manuales!$H$31="Todos",datos_base!$J$9,0))*parametros_manuales!$G$95+parametros_manuales!$E$31*(datos_base!$J$3+IF(parametros_manuales!$H$31="Todos",datos_base!$J$10,0))*parametros_manuales!$G$100+parametros_manuales!$F$31*(datos_base!$J$4+IF(parametros_manuales!$H$31="Todos",datos_base!$J$11,0))*parametros_manuales!$G$105+parametros_manuales!$G$31*(datos_base!$J$5+IF(parametros_manuales!$H$31="Todos",datos_base!$J$12,0))*parametros_manuales!$G$110)*parametros_manuales!$I$31*parametros_manuales!$J$31</f>
        <v>351.4247</v>
      </c>
      <c r="H230" s="4">
        <f>(parametros_manuales!$D$31*(datos_base!$J$2+IF(parametros_manuales!$H$31="Todos",datos_base!$J$9,0))*parametros_manuales!$H$95+parametros_manuales!$E$31*(datos_base!$J$3+IF(parametros_manuales!$H$31="Todos",datos_base!$J$10,0))*parametros_manuales!$H$100+parametros_manuales!$F$31*(datos_base!$J$4+IF(parametros_manuales!$H$31="Todos",datos_base!$J$11,0))*parametros_manuales!$H$105+parametros_manuales!$G$31*(datos_base!$J$5+IF(parametros_manuales!$H$31="Todos",datos_base!$J$12,0))*parametros_manuales!$H$110)*parametros_manuales!$I$31*parametros_manuales!$J$31</f>
        <v>376.0223</v>
      </c>
      <c r="I230" s="4">
        <f>(parametros_manuales!$D$31*(datos_base!$J$2+IF(parametros_manuales!$H$31="Todos",datos_base!$J$9,0))*parametros_manuales!$I$95+parametros_manuales!$E$31*(datos_base!$J$3+IF(parametros_manuales!$H$31="Todos",datos_base!$J$10,0))*parametros_manuales!$I$100+parametros_manuales!$F$31*(datos_base!$J$4+IF(parametros_manuales!$H$31="Todos",datos_base!$J$11,0))*parametros_manuales!$I$105+parametros_manuales!$G$31*(datos_base!$J$5+IF(parametros_manuales!$H$31="Todos",datos_base!$J$12,0))*parametros_manuales!$I$110)*parametros_manuales!$I$31*parametros_manuales!$J$31</f>
        <v>428.6402</v>
      </c>
      <c r="J230" s="4">
        <f>(parametros_manuales!$D$31*(datos_base!$J$2+IF(parametros_manuales!$H$31="Todos",datos_base!$J$9,0))*parametros_manuales!$J$95+parametros_manuales!$E$31*(datos_base!$J$3+IF(parametros_manuales!$H$31="Todos",datos_base!$J$10,0))*parametros_manuales!$J$100+parametros_manuales!$F$31*(datos_base!$J$4+IF(parametros_manuales!$H$31="Todos",datos_base!$J$11,0))*parametros_manuales!$J$105+parametros_manuales!$G$31*(datos_base!$J$5+IF(parametros_manuales!$H$31="Todos",datos_base!$J$12,0))*parametros_manuales!$J$110)*parametros_manuales!$I$31*parametros_manuales!$J$31</f>
        <v>428.6402</v>
      </c>
      <c r="K230" s="4">
        <f>(parametros_manuales!$D$31*(datos_base!$J$2+IF(parametros_manuales!$H$31="Todos",datos_base!$J$9,0))*parametros_manuales!$K$95+parametros_manuales!$E$31*(datos_base!$J$3+IF(parametros_manuales!$H$31="Todos",datos_base!$J$10,0))*parametros_manuales!$K$100+parametros_manuales!$F$31*(datos_base!$J$4+IF(parametros_manuales!$H$31="Todos",datos_base!$J$11,0))*parametros_manuales!$K$105+parametros_manuales!$G$31*(datos_base!$J$5+IF(parametros_manuales!$H$31="Todos",datos_base!$J$12,0))*parametros_manuales!$K$110)*parametros_manuales!$I$31*parametros_manuales!$J$31</f>
        <v>435.6985</v>
      </c>
      <c r="L230" s="4">
        <f>(parametros_manuales!$D$31*(datos_base!$J$2+IF(parametros_manuales!$H$31="Todos",datos_base!$J$9,0))*parametros_manuales!$L$95+parametros_manuales!$E$31*(datos_base!$J$3+IF(parametros_manuales!$H$31="Todos",datos_base!$J$10,0))*parametros_manuales!$L$100+parametros_manuales!$F$31*(datos_base!$J$4+IF(parametros_manuales!$H$31="Todos",datos_base!$J$11,0))*parametros_manuales!$L$105+parametros_manuales!$G$31*(datos_base!$J$5+IF(parametros_manuales!$H$31="Todos",datos_base!$J$12,0))*parametros_manuales!$L$110)*parametros_manuales!$I$31*parametros_manuales!$J$31</f>
        <v>442.7568</v>
      </c>
      <c r="M230" s="4">
        <f>(parametros_manuales!$D$31*(datos_base!$J$2+IF(parametros_manuales!$H$31="Todos",datos_base!$J$9,0))*parametros_manuales!$M$95+parametros_manuales!$E$31*(datos_base!$J$3+IF(parametros_manuales!$H$31="Todos",datos_base!$J$10,0))*parametros_manuales!$M$100+parametros_manuales!$F$31*(datos_base!$J$4+IF(parametros_manuales!$H$31="Todos",datos_base!$J$11,0))*parametros_manuales!$M$105+parametros_manuales!$G$31*(datos_base!$J$5+IF(parametros_manuales!$H$31="Todos",datos_base!$J$12,0))*parametros_manuales!$M$110)*parametros_manuales!$I$31*parametros_manuales!$J$31</f>
        <v>442.7568</v>
      </c>
      <c r="N230" s="4">
        <f t="shared" si="25"/>
        <v>4919.52</v>
      </c>
      <c r="O230" s="4">
        <f t="shared" si="26"/>
        <v>442.7568</v>
      </c>
      <c r="P230" s="27">
        <f>O230/(parametros_manuales!$B$7)</f>
        <v>2.951712</v>
      </c>
      <c r="Q230" s="3" t="str">
        <f t="shared" si="27"/>
        <v>Ene</v>
      </c>
    </row>
    <row r="231" ht="14.25" customHeight="1">
      <c r="A231" s="3" t="str">
        <f>parametros_manuales!$B$32</f>
        <v>Prueba hidráulica</v>
      </c>
      <c r="B231" s="4">
        <f>(parametros_manuales!$D$32*(datos_base!$J$2+IF(parametros_manuales!$H$32="Todos",datos_base!$J$9,0))*parametros_manuales!$B$95+parametros_manuales!$E$32*(datos_base!$J$3+IF(parametros_manuales!$H$32="Todos",datos_base!$J$10,0))*parametros_manuales!$B$100+parametros_manuales!$F$32*(datos_base!$J$4+IF(parametros_manuales!$H$32="Todos",datos_base!$J$11,0))*parametros_manuales!$B$105+parametros_manuales!$G$32*(datos_base!$J$5+IF(parametros_manuales!$H$32="Todos",datos_base!$J$12,0))*parametros_manuales!$B$110)*parametros_manuales!$I$32*parametros_manuales!$J$32</f>
        <v>22137.84</v>
      </c>
      <c r="C231" s="4">
        <f>(parametros_manuales!$D$32*(datos_base!$J$2+IF(parametros_manuales!$H$32="Todos",datos_base!$J$9,0))*parametros_manuales!$C$95+parametros_manuales!$E$32*(datos_base!$J$3+IF(parametros_manuales!$H$32="Todos",datos_base!$J$10,0))*parametros_manuales!$C$100+parametros_manuales!$F$32*(datos_base!$J$4+IF(parametros_manuales!$H$32="Todos",datos_base!$J$11,0))*parametros_manuales!$C$105+parametros_manuales!$G$32*(datos_base!$J$5+IF(parametros_manuales!$H$32="Todos",datos_base!$J$12,0))*parametros_manuales!$C$110)*parametros_manuales!$I$32*parametros_manuales!$J$32</f>
        <v>21432.01</v>
      </c>
      <c r="D231" s="4">
        <f>(parametros_manuales!$D$32*(datos_base!$J$2+IF(parametros_manuales!$H$32="Todos",datos_base!$J$9,0))*parametros_manuales!$D$95+parametros_manuales!$E$32*(datos_base!$J$3+IF(parametros_manuales!$H$32="Todos",datos_base!$J$10,0))*parametros_manuales!$D$100+parametros_manuales!$F$32*(datos_base!$J$4+IF(parametros_manuales!$H$32="Todos",datos_base!$J$11,0))*parametros_manuales!$D$105+parametros_manuales!$G$32*(datos_base!$J$5+IF(parametros_manuales!$H$32="Todos",datos_base!$J$12,0))*parametros_manuales!$D$110)*parametros_manuales!$I$32*parametros_manuales!$J$32</f>
        <v>20030.995</v>
      </c>
      <c r="E231" s="4">
        <f>(parametros_manuales!$D$32*(datos_base!$J$2+IF(parametros_manuales!$H$32="Todos",datos_base!$J$9,0))*parametros_manuales!$E$95+parametros_manuales!$E$32*(datos_base!$J$3+IF(parametros_manuales!$H$32="Todos",datos_base!$J$10,0))*parametros_manuales!$E$100+parametros_manuales!$F$32*(datos_base!$J$4+IF(parametros_manuales!$H$32="Todos",datos_base!$J$11,0))*parametros_manuales!$E$105+parametros_manuales!$G$32*(datos_base!$J$5+IF(parametros_manuales!$H$32="Todos",datos_base!$J$12,0))*parametros_manuales!$E$110)*parametros_manuales!$I$32*parametros_manuales!$J$32</f>
        <v>19154.03</v>
      </c>
      <c r="F231" s="4">
        <f>(parametros_manuales!$D$32*(datos_base!$J$2+IF(parametros_manuales!$H$32="Todos",datos_base!$J$9,0))*parametros_manuales!$F$95+parametros_manuales!$E$32*(datos_base!$J$3+IF(parametros_manuales!$H$32="Todos",datos_base!$J$10,0))*parametros_manuales!$F$100+parametros_manuales!$F$32*(datos_base!$J$4+IF(parametros_manuales!$H$32="Todos",datos_base!$J$11,0))*parametros_manuales!$F$105+parametros_manuales!$G$32*(datos_base!$J$5+IF(parametros_manuales!$H$32="Todos",datos_base!$J$12,0))*parametros_manuales!$F$110)*parametros_manuales!$I$32*parametros_manuales!$J$32</f>
        <v>17924.15</v>
      </c>
      <c r="G231" s="4">
        <f>(parametros_manuales!$D$32*(datos_base!$J$2+IF(parametros_manuales!$H$32="Todos",datos_base!$J$9,0))*parametros_manuales!$G$95+parametros_manuales!$E$32*(datos_base!$J$3+IF(parametros_manuales!$H$32="Todos",datos_base!$J$10,0))*parametros_manuales!$G$100+parametros_manuales!$F$32*(datos_base!$J$4+IF(parametros_manuales!$H$32="Todos",datos_base!$J$11,0))*parametros_manuales!$G$105+parametros_manuales!$G$32*(datos_base!$J$5+IF(parametros_manuales!$H$32="Todos",datos_base!$J$12,0))*parametros_manuales!$G$110)*parametros_manuales!$I$32*parametros_manuales!$J$32</f>
        <v>17571.235</v>
      </c>
      <c r="H231" s="4">
        <f>(parametros_manuales!$D$32*(datos_base!$J$2+IF(parametros_manuales!$H$32="Todos",datos_base!$J$9,0))*parametros_manuales!$H$95+parametros_manuales!$E$32*(datos_base!$J$3+IF(parametros_manuales!$H$32="Todos",datos_base!$J$10,0))*parametros_manuales!$H$100+parametros_manuales!$F$32*(datos_base!$J$4+IF(parametros_manuales!$H$32="Todos",datos_base!$J$11,0))*parametros_manuales!$H$105+parametros_manuales!$G$32*(datos_base!$J$5+IF(parametros_manuales!$H$32="Todos",datos_base!$J$12,0))*parametros_manuales!$H$110)*parametros_manuales!$I$32*parametros_manuales!$J$32</f>
        <v>18801.115</v>
      </c>
      <c r="I231" s="4">
        <f>(parametros_manuales!$D$32*(datos_base!$J$2+IF(parametros_manuales!$H$32="Todos",datos_base!$J$9,0))*parametros_manuales!$I$95+parametros_manuales!$E$32*(datos_base!$J$3+IF(parametros_manuales!$H$32="Todos",datos_base!$J$10,0))*parametros_manuales!$I$100+parametros_manuales!$F$32*(datos_base!$J$4+IF(parametros_manuales!$H$32="Todos",datos_base!$J$11,0))*parametros_manuales!$I$105+parametros_manuales!$G$32*(datos_base!$J$5+IF(parametros_manuales!$H$32="Todos",datos_base!$J$12,0))*parametros_manuales!$I$110)*parametros_manuales!$I$32*parametros_manuales!$J$32</f>
        <v>21432.01</v>
      </c>
      <c r="J231" s="4">
        <f>(parametros_manuales!$D$32*(datos_base!$J$2+IF(parametros_manuales!$H$32="Todos",datos_base!$J$9,0))*parametros_manuales!$J$95+parametros_manuales!$E$32*(datos_base!$J$3+IF(parametros_manuales!$H$32="Todos",datos_base!$J$10,0))*parametros_manuales!$J$100+parametros_manuales!$F$32*(datos_base!$J$4+IF(parametros_manuales!$H$32="Todos",datos_base!$J$11,0))*parametros_manuales!$J$105+parametros_manuales!$G$32*(datos_base!$J$5+IF(parametros_manuales!$H$32="Todos",datos_base!$J$12,0))*parametros_manuales!$J$110)*parametros_manuales!$I$32*parametros_manuales!$J$32</f>
        <v>21432.01</v>
      </c>
      <c r="K231" s="4">
        <f>(parametros_manuales!$D$32*(datos_base!$J$2+IF(parametros_manuales!$H$32="Todos",datos_base!$J$9,0))*parametros_manuales!$K$95+parametros_manuales!$E$32*(datos_base!$J$3+IF(parametros_manuales!$H$32="Todos",datos_base!$J$10,0))*parametros_manuales!$K$100+parametros_manuales!$F$32*(datos_base!$J$4+IF(parametros_manuales!$H$32="Todos",datos_base!$J$11,0))*parametros_manuales!$K$105+parametros_manuales!$G$32*(datos_base!$J$5+IF(parametros_manuales!$H$32="Todos",datos_base!$J$12,0))*parametros_manuales!$K$110)*parametros_manuales!$I$32*parametros_manuales!$J$32</f>
        <v>21784.925</v>
      </c>
      <c r="L231" s="4">
        <f>(parametros_manuales!$D$32*(datos_base!$J$2+IF(parametros_manuales!$H$32="Todos",datos_base!$J$9,0))*parametros_manuales!$L$95+parametros_manuales!$E$32*(datos_base!$J$3+IF(parametros_manuales!$H$32="Todos",datos_base!$J$10,0))*parametros_manuales!$L$100+parametros_manuales!$F$32*(datos_base!$J$4+IF(parametros_manuales!$H$32="Todos",datos_base!$J$11,0))*parametros_manuales!$L$105+parametros_manuales!$G$32*(datos_base!$J$5+IF(parametros_manuales!$H$32="Todos",datos_base!$J$12,0))*parametros_manuales!$L$110)*parametros_manuales!$I$32*parametros_manuales!$J$32</f>
        <v>22137.84</v>
      </c>
      <c r="M231" s="4">
        <f>(parametros_manuales!$D$32*(datos_base!$J$2+IF(parametros_manuales!$H$32="Todos",datos_base!$J$9,0))*parametros_manuales!$M$95+parametros_manuales!$E$32*(datos_base!$J$3+IF(parametros_manuales!$H$32="Todos",datos_base!$J$10,0))*parametros_manuales!$M$100+parametros_manuales!$F$32*(datos_base!$J$4+IF(parametros_manuales!$H$32="Todos",datos_base!$J$11,0))*parametros_manuales!$M$105+parametros_manuales!$G$32*(datos_base!$J$5+IF(parametros_manuales!$H$32="Todos",datos_base!$J$12,0))*parametros_manuales!$M$110)*parametros_manuales!$I$32*parametros_manuales!$J$32</f>
        <v>22137.84</v>
      </c>
      <c r="N231" s="4">
        <f t="shared" si="25"/>
        <v>245976</v>
      </c>
      <c r="O231" s="4">
        <f t="shared" si="26"/>
        <v>22137.84</v>
      </c>
      <c r="P231" s="27">
        <f>O231/(parametros_manuales!$B$7)</f>
        <v>147.5856</v>
      </c>
      <c r="Q231" s="3" t="str">
        <f t="shared" si="27"/>
        <v>Ene</v>
      </c>
    </row>
    <row r="232" ht="14.25" customHeight="1">
      <c r="A232" s="3" t="str">
        <f>parametros_manuales!$B$33</f>
        <v>Secado</v>
      </c>
      <c r="B232" s="4">
        <f>(parametros_manuales!$D$33*(datos_base!$J$2+IF(parametros_manuales!$H$33="Todos",datos_base!$J$9,0))*parametros_manuales!$B$95+parametros_manuales!$E$33*(datos_base!$J$3+IF(parametros_manuales!$H$33="Todos",datos_base!$J$10,0))*parametros_manuales!$B$100+parametros_manuales!$F$33*(datos_base!$J$4+IF(parametros_manuales!$H$33="Todos",datos_base!$J$11,0))*parametros_manuales!$B$105+parametros_manuales!$G$33*(datos_base!$J$5+IF(parametros_manuales!$H$33="Todos",datos_base!$J$12,0))*parametros_manuales!$B$110)*parametros_manuales!$I$33*parametros_manuales!$J$33</f>
        <v>22137.84</v>
      </c>
      <c r="C232" s="4">
        <f>(parametros_manuales!$D$33*(datos_base!$J$2+IF(parametros_manuales!$H$33="Todos",datos_base!$J$9,0))*parametros_manuales!$C$95+parametros_manuales!$E$33*(datos_base!$J$3+IF(parametros_manuales!$H$33="Todos",datos_base!$J$10,0))*parametros_manuales!$C$100+parametros_manuales!$F$33*(datos_base!$J$4+IF(parametros_manuales!$H$33="Todos",datos_base!$J$11,0))*parametros_manuales!$C$105+parametros_manuales!$G$33*(datos_base!$J$5+IF(parametros_manuales!$H$33="Todos",datos_base!$J$12,0))*parametros_manuales!$C$110)*parametros_manuales!$I$33*parametros_manuales!$J$33</f>
        <v>21432.01</v>
      </c>
      <c r="D232" s="4">
        <f>(parametros_manuales!$D$33*(datos_base!$J$2+IF(parametros_manuales!$H$33="Todos",datos_base!$J$9,0))*parametros_manuales!$D$95+parametros_manuales!$E$33*(datos_base!$J$3+IF(parametros_manuales!$H$33="Todos",datos_base!$J$10,0))*parametros_manuales!$D$100+parametros_manuales!$F$33*(datos_base!$J$4+IF(parametros_manuales!$H$33="Todos",datos_base!$J$11,0))*parametros_manuales!$D$105+parametros_manuales!$G$33*(datos_base!$J$5+IF(parametros_manuales!$H$33="Todos",datos_base!$J$12,0))*parametros_manuales!$D$110)*parametros_manuales!$I$33*parametros_manuales!$J$33</f>
        <v>20030.995</v>
      </c>
      <c r="E232" s="4">
        <f>(parametros_manuales!$D$33*(datos_base!$J$2+IF(parametros_manuales!$H$33="Todos",datos_base!$J$9,0))*parametros_manuales!$E$95+parametros_manuales!$E$33*(datos_base!$J$3+IF(parametros_manuales!$H$33="Todos",datos_base!$J$10,0))*parametros_manuales!$E$100+parametros_manuales!$F$33*(datos_base!$J$4+IF(parametros_manuales!$H$33="Todos",datos_base!$J$11,0))*parametros_manuales!$E$105+parametros_manuales!$G$33*(datos_base!$J$5+IF(parametros_manuales!$H$33="Todos",datos_base!$J$12,0))*parametros_manuales!$E$110)*parametros_manuales!$I$33*parametros_manuales!$J$33</f>
        <v>19154.03</v>
      </c>
      <c r="F232" s="4">
        <f>(parametros_manuales!$D$33*(datos_base!$J$2+IF(parametros_manuales!$H$33="Todos",datos_base!$J$9,0))*parametros_manuales!$F$95+parametros_manuales!$E$33*(datos_base!$J$3+IF(parametros_manuales!$H$33="Todos",datos_base!$J$10,0))*parametros_manuales!$F$100+parametros_manuales!$F$33*(datos_base!$J$4+IF(parametros_manuales!$H$33="Todos",datos_base!$J$11,0))*parametros_manuales!$F$105+parametros_manuales!$G$33*(datos_base!$J$5+IF(parametros_manuales!$H$33="Todos",datos_base!$J$12,0))*parametros_manuales!$F$110)*parametros_manuales!$I$33*parametros_manuales!$J$33</f>
        <v>17924.15</v>
      </c>
      <c r="G232" s="4">
        <f>(parametros_manuales!$D$33*(datos_base!$J$2+IF(parametros_manuales!$H$33="Todos",datos_base!$J$9,0))*parametros_manuales!$G$95+parametros_manuales!$E$33*(datos_base!$J$3+IF(parametros_manuales!$H$33="Todos",datos_base!$J$10,0))*parametros_manuales!$G$100+parametros_manuales!$F$33*(datos_base!$J$4+IF(parametros_manuales!$H$33="Todos",datos_base!$J$11,0))*parametros_manuales!$G$105+parametros_manuales!$G$33*(datos_base!$J$5+IF(parametros_manuales!$H$33="Todos",datos_base!$J$12,0))*parametros_manuales!$G$110)*parametros_manuales!$I$33*parametros_manuales!$J$33</f>
        <v>17571.235</v>
      </c>
      <c r="H232" s="4">
        <f>(parametros_manuales!$D$33*(datos_base!$J$2+IF(parametros_manuales!$H$33="Todos",datos_base!$J$9,0))*parametros_manuales!$H$95+parametros_manuales!$E$33*(datos_base!$J$3+IF(parametros_manuales!$H$33="Todos",datos_base!$J$10,0))*parametros_manuales!$H$100+parametros_manuales!$F$33*(datos_base!$J$4+IF(parametros_manuales!$H$33="Todos",datos_base!$J$11,0))*parametros_manuales!$H$105+parametros_manuales!$G$33*(datos_base!$J$5+IF(parametros_manuales!$H$33="Todos",datos_base!$J$12,0))*parametros_manuales!$H$110)*parametros_manuales!$I$33*parametros_manuales!$J$33</f>
        <v>18801.115</v>
      </c>
      <c r="I232" s="4">
        <f>(parametros_manuales!$D$33*(datos_base!$J$2+IF(parametros_manuales!$H$33="Todos",datos_base!$J$9,0))*parametros_manuales!$I$95+parametros_manuales!$E$33*(datos_base!$J$3+IF(parametros_manuales!$H$33="Todos",datos_base!$J$10,0))*parametros_manuales!$I$100+parametros_manuales!$F$33*(datos_base!$J$4+IF(parametros_manuales!$H$33="Todos",datos_base!$J$11,0))*parametros_manuales!$I$105+parametros_manuales!$G$33*(datos_base!$J$5+IF(parametros_manuales!$H$33="Todos",datos_base!$J$12,0))*parametros_manuales!$I$110)*parametros_manuales!$I$33*parametros_manuales!$J$33</f>
        <v>21432.01</v>
      </c>
      <c r="J232" s="4">
        <f>(parametros_manuales!$D$33*(datos_base!$J$2+IF(parametros_manuales!$H$33="Todos",datos_base!$J$9,0))*parametros_manuales!$J$95+parametros_manuales!$E$33*(datos_base!$J$3+IF(parametros_manuales!$H$33="Todos",datos_base!$J$10,0))*parametros_manuales!$J$100+parametros_manuales!$F$33*(datos_base!$J$4+IF(parametros_manuales!$H$33="Todos",datos_base!$J$11,0))*parametros_manuales!$J$105+parametros_manuales!$G$33*(datos_base!$J$5+IF(parametros_manuales!$H$33="Todos",datos_base!$J$12,0))*parametros_manuales!$J$110)*parametros_manuales!$I$33*parametros_manuales!$J$33</f>
        <v>21432.01</v>
      </c>
      <c r="K232" s="4">
        <f>(parametros_manuales!$D$33*(datos_base!$J$2+IF(parametros_manuales!$H$33="Todos",datos_base!$J$9,0))*parametros_manuales!$K$95+parametros_manuales!$E$33*(datos_base!$J$3+IF(parametros_manuales!$H$33="Todos",datos_base!$J$10,0))*parametros_manuales!$K$100+parametros_manuales!$F$33*(datos_base!$J$4+IF(parametros_manuales!$H$33="Todos",datos_base!$J$11,0))*parametros_manuales!$K$105+parametros_manuales!$G$33*(datos_base!$J$5+IF(parametros_manuales!$H$33="Todos",datos_base!$J$12,0))*parametros_manuales!$K$110)*parametros_manuales!$I$33*parametros_manuales!$J$33</f>
        <v>21784.925</v>
      </c>
      <c r="L232" s="4">
        <f>(parametros_manuales!$D$33*(datos_base!$J$2+IF(parametros_manuales!$H$33="Todos",datos_base!$J$9,0))*parametros_manuales!$L$95+parametros_manuales!$E$33*(datos_base!$J$3+IF(parametros_manuales!$H$33="Todos",datos_base!$J$10,0))*parametros_manuales!$L$100+parametros_manuales!$F$33*(datos_base!$J$4+IF(parametros_manuales!$H$33="Todos",datos_base!$J$11,0))*parametros_manuales!$L$105+parametros_manuales!$G$33*(datos_base!$J$5+IF(parametros_manuales!$H$33="Todos",datos_base!$J$12,0))*parametros_manuales!$L$110)*parametros_manuales!$I$33*parametros_manuales!$J$33</f>
        <v>22137.84</v>
      </c>
      <c r="M232" s="4">
        <f>(parametros_manuales!$D$33*(datos_base!$J$2+IF(parametros_manuales!$H$33="Todos",datos_base!$J$9,0))*parametros_manuales!$M$95+parametros_manuales!$E$33*(datos_base!$J$3+IF(parametros_manuales!$H$33="Todos",datos_base!$J$10,0))*parametros_manuales!$M$100+parametros_manuales!$F$33*(datos_base!$J$4+IF(parametros_manuales!$H$33="Todos",datos_base!$J$11,0))*parametros_manuales!$M$105+parametros_manuales!$G$33*(datos_base!$J$5+IF(parametros_manuales!$H$33="Todos",datos_base!$J$12,0))*parametros_manuales!$M$110)*parametros_manuales!$I$33*parametros_manuales!$J$33</f>
        <v>22137.84</v>
      </c>
      <c r="N232" s="4">
        <f t="shared" si="25"/>
        <v>245976</v>
      </c>
      <c r="O232" s="4">
        <f t="shared" si="26"/>
        <v>22137.84</v>
      </c>
      <c r="P232" s="27">
        <f>O232/(parametros_manuales!$B$7)</f>
        <v>147.5856</v>
      </c>
      <c r="Q232" s="3" t="str">
        <f t="shared" si="27"/>
        <v>Ene</v>
      </c>
    </row>
    <row r="233" ht="14.25" customHeight="1">
      <c r="A233" s="3" t="str">
        <f>parametros_manuales!$B$34</f>
        <v>Granallado</v>
      </c>
      <c r="B233" s="4">
        <f>(parametros_manuales!$D$34*(datos_base!$J$2+IF(parametros_manuales!$H$34="Todos",datos_base!$J$9,0))*parametros_manuales!$B$95+parametros_manuales!$E$34*(datos_base!$J$3+IF(parametros_manuales!$H$34="Todos",datos_base!$J$10,0))*parametros_manuales!$B$100+parametros_manuales!$F$34*(datos_base!$J$4+IF(parametros_manuales!$H$34="Todos",datos_base!$J$11,0))*parametros_manuales!$B$105+parametros_manuales!$G$34*(datos_base!$J$5+IF(parametros_manuales!$H$34="Todos",datos_base!$J$12,0))*parametros_manuales!$B$110)*parametros_manuales!$I$34*parametros_manuales!$J$34</f>
        <v>22137.84</v>
      </c>
      <c r="C233" s="4">
        <f>(parametros_manuales!$D$34*(datos_base!$J$2+IF(parametros_manuales!$H$34="Todos",datos_base!$J$9,0))*parametros_manuales!$C$95+parametros_manuales!$E$34*(datos_base!$J$3+IF(parametros_manuales!$H$34="Todos",datos_base!$J$10,0))*parametros_manuales!$C$100+parametros_manuales!$F$34*(datos_base!$J$4+IF(parametros_manuales!$H$34="Todos",datos_base!$J$11,0))*parametros_manuales!$C$105+parametros_manuales!$G$34*(datos_base!$J$5+IF(parametros_manuales!$H$34="Todos",datos_base!$J$12,0))*parametros_manuales!$C$110)*parametros_manuales!$I$34*parametros_manuales!$J$34</f>
        <v>21432.01</v>
      </c>
      <c r="D233" s="4">
        <f>(parametros_manuales!$D$34*(datos_base!$J$2+IF(parametros_manuales!$H$34="Todos",datos_base!$J$9,0))*parametros_manuales!$D$95+parametros_manuales!$E$34*(datos_base!$J$3+IF(parametros_manuales!$H$34="Todos",datos_base!$J$10,0))*parametros_manuales!$D$100+parametros_manuales!$F$34*(datos_base!$J$4+IF(parametros_manuales!$H$34="Todos",datos_base!$J$11,0))*parametros_manuales!$D$105+parametros_manuales!$G$34*(datos_base!$J$5+IF(parametros_manuales!$H$34="Todos",datos_base!$J$12,0))*parametros_manuales!$D$110)*parametros_manuales!$I$34*parametros_manuales!$J$34</f>
        <v>20030.995</v>
      </c>
      <c r="E233" s="4">
        <f>(parametros_manuales!$D$34*(datos_base!$J$2+IF(parametros_manuales!$H$34="Todos",datos_base!$J$9,0))*parametros_manuales!$E$95+parametros_manuales!$E$34*(datos_base!$J$3+IF(parametros_manuales!$H$34="Todos",datos_base!$J$10,0))*parametros_manuales!$E$100+parametros_manuales!$F$34*(datos_base!$J$4+IF(parametros_manuales!$H$34="Todos",datos_base!$J$11,0))*parametros_manuales!$E$105+parametros_manuales!$G$34*(datos_base!$J$5+IF(parametros_manuales!$H$34="Todos",datos_base!$J$12,0))*parametros_manuales!$E$110)*parametros_manuales!$I$34*parametros_manuales!$J$34</f>
        <v>19154.03</v>
      </c>
      <c r="F233" s="4">
        <f>(parametros_manuales!$D$34*(datos_base!$J$2+IF(parametros_manuales!$H$34="Todos",datos_base!$J$9,0))*parametros_manuales!$F$95+parametros_manuales!$E$34*(datos_base!$J$3+IF(parametros_manuales!$H$34="Todos",datos_base!$J$10,0))*parametros_manuales!$F$100+parametros_manuales!$F$34*(datos_base!$J$4+IF(parametros_manuales!$H$34="Todos",datos_base!$J$11,0))*parametros_manuales!$F$105+parametros_manuales!$G$34*(datos_base!$J$5+IF(parametros_manuales!$H$34="Todos",datos_base!$J$12,0))*parametros_manuales!$F$110)*parametros_manuales!$I$34*parametros_manuales!$J$34</f>
        <v>17924.15</v>
      </c>
      <c r="G233" s="4">
        <f>(parametros_manuales!$D$34*(datos_base!$J$2+IF(parametros_manuales!$H$34="Todos",datos_base!$J$9,0))*parametros_manuales!$G$95+parametros_manuales!$E$34*(datos_base!$J$3+IF(parametros_manuales!$H$34="Todos",datos_base!$J$10,0))*parametros_manuales!$G$100+parametros_manuales!$F$34*(datos_base!$J$4+IF(parametros_manuales!$H$34="Todos",datos_base!$J$11,0))*parametros_manuales!$G$105+parametros_manuales!$G$34*(datos_base!$J$5+IF(parametros_manuales!$H$34="Todos",datos_base!$J$12,0))*parametros_manuales!$G$110)*parametros_manuales!$I$34*parametros_manuales!$J$34</f>
        <v>17571.235</v>
      </c>
      <c r="H233" s="4">
        <f>(parametros_manuales!$D$34*(datos_base!$J$2+IF(parametros_manuales!$H$34="Todos",datos_base!$J$9,0))*parametros_manuales!$H$95+parametros_manuales!$E$34*(datos_base!$J$3+IF(parametros_manuales!$H$34="Todos",datos_base!$J$10,0))*parametros_manuales!$H$100+parametros_manuales!$F$34*(datos_base!$J$4+IF(parametros_manuales!$H$34="Todos",datos_base!$J$11,0))*parametros_manuales!$H$105+parametros_manuales!$G$34*(datos_base!$J$5+IF(parametros_manuales!$H$34="Todos",datos_base!$J$12,0))*parametros_manuales!$H$110)*parametros_manuales!$I$34*parametros_manuales!$J$34</f>
        <v>18801.115</v>
      </c>
      <c r="I233" s="4">
        <f>(parametros_manuales!$D$34*(datos_base!$J$2+IF(parametros_manuales!$H$34="Todos",datos_base!$J$9,0))*parametros_manuales!$I$95+parametros_manuales!$E$34*(datos_base!$J$3+IF(parametros_manuales!$H$34="Todos",datos_base!$J$10,0))*parametros_manuales!$I$100+parametros_manuales!$F$34*(datos_base!$J$4+IF(parametros_manuales!$H$34="Todos",datos_base!$J$11,0))*parametros_manuales!$I$105+parametros_manuales!$G$34*(datos_base!$J$5+IF(parametros_manuales!$H$34="Todos",datos_base!$J$12,0))*parametros_manuales!$I$110)*parametros_manuales!$I$34*parametros_manuales!$J$34</f>
        <v>21432.01</v>
      </c>
      <c r="J233" s="4">
        <f>(parametros_manuales!$D$34*(datos_base!$J$2+IF(parametros_manuales!$H$34="Todos",datos_base!$J$9,0))*parametros_manuales!$J$95+parametros_manuales!$E$34*(datos_base!$J$3+IF(parametros_manuales!$H$34="Todos",datos_base!$J$10,0))*parametros_manuales!$J$100+parametros_manuales!$F$34*(datos_base!$J$4+IF(parametros_manuales!$H$34="Todos",datos_base!$J$11,0))*parametros_manuales!$J$105+parametros_manuales!$G$34*(datos_base!$J$5+IF(parametros_manuales!$H$34="Todos",datos_base!$J$12,0))*parametros_manuales!$J$110)*parametros_manuales!$I$34*parametros_manuales!$J$34</f>
        <v>21432.01</v>
      </c>
      <c r="K233" s="4">
        <f>(parametros_manuales!$D$34*(datos_base!$J$2+IF(parametros_manuales!$H$34="Todos",datos_base!$J$9,0))*parametros_manuales!$K$95+parametros_manuales!$E$34*(datos_base!$J$3+IF(parametros_manuales!$H$34="Todos",datos_base!$J$10,0))*parametros_manuales!$K$100+parametros_manuales!$F$34*(datos_base!$J$4+IF(parametros_manuales!$H$34="Todos",datos_base!$J$11,0))*parametros_manuales!$K$105+parametros_manuales!$G$34*(datos_base!$J$5+IF(parametros_manuales!$H$34="Todos",datos_base!$J$12,0))*parametros_manuales!$K$110)*parametros_manuales!$I$34*parametros_manuales!$J$34</f>
        <v>21784.925</v>
      </c>
      <c r="L233" s="4">
        <f>(parametros_manuales!$D$34*(datos_base!$J$2+IF(parametros_manuales!$H$34="Todos",datos_base!$J$9,0))*parametros_manuales!$L$95+parametros_manuales!$E$34*(datos_base!$J$3+IF(parametros_manuales!$H$34="Todos",datos_base!$J$10,0))*parametros_manuales!$L$100+parametros_manuales!$F$34*(datos_base!$J$4+IF(parametros_manuales!$H$34="Todos",datos_base!$J$11,0))*parametros_manuales!$L$105+parametros_manuales!$G$34*(datos_base!$J$5+IF(parametros_manuales!$H$34="Todos",datos_base!$J$12,0))*parametros_manuales!$L$110)*parametros_manuales!$I$34*parametros_manuales!$J$34</f>
        <v>22137.84</v>
      </c>
      <c r="M233" s="4">
        <f>(parametros_manuales!$D$34*(datos_base!$J$2+IF(parametros_manuales!$H$34="Todos",datos_base!$J$9,0))*parametros_manuales!$M$95+parametros_manuales!$E$34*(datos_base!$J$3+IF(parametros_manuales!$H$34="Todos",datos_base!$J$10,0))*parametros_manuales!$M$100+parametros_manuales!$F$34*(datos_base!$J$4+IF(parametros_manuales!$H$34="Todos",datos_base!$J$11,0))*parametros_manuales!$M$105+parametros_manuales!$G$34*(datos_base!$J$5+IF(parametros_manuales!$H$34="Todos",datos_base!$J$12,0))*parametros_manuales!$M$110)*parametros_manuales!$I$34*parametros_manuales!$J$34</f>
        <v>22137.84</v>
      </c>
      <c r="N233" s="4">
        <f t="shared" si="25"/>
        <v>245976</v>
      </c>
      <c r="O233" s="4">
        <f t="shared" si="26"/>
        <v>22137.84</v>
      </c>
      <c r="P233" s="27">
        <f>O233/(parametros_manuales!$B$7)</f>
        <v>147.5856</v>
      </c>
      <c r="Q233" s="3" t="str">
        <f t="shared" si="27"/>
        <v>Ene</v>
      </c>
    </row>
    <row r="234" ht="14.25" customHeight="1">
      <c r="A234" s="3" t="str">
        <f>parametros_manuales!$B$35</f>
        <v>Detección de defectos</v>
      </c>
      <c r="B234" s="4">
        <f>(parametros_manuales!$D$35*(datos_base!$J$2+IF(parametros_manuales!$H$35="Todos",datos_base!$J$9,0))*parametros_manuales!$B$95+parametros_manuales!$E$35*(datos_base!$J$3+IF(parametros_manuales!$H$35="Todos",datos_base!$J$10,0))*parametros_manuales!$B$100+parametros_manuales!$F$35*(datos_base!$J$4+IF(parametros_manuales!$H$35="Todos",datos_base!$J$11,0))*parametros_manuales!$B$105+parametros_manuales!$G$35*(datos_base!$J$5+IF(parametros_manuales!$H$35="Todos",datos_base!$J$12,0))*parametros_manuales!$B$110)*parametros_manuales!$I$35*parametros_manuales!$J$35</f>
        <v>22137.84</v>
      </c>
      <c r="C234" s="4">
        <f>(parametros_manuales!$D$35*(datos_base!$J$2+IF(parametros_manuales!$H$35="Todos",datos_base!$J$9,0))*parametros_manuales!$C$95+parametros_manuales!$E$35*(datos_base!$J$3+IF(parametros_manuales!$H$35="Todos",datos_base!$J$10,0))*parametros_manuales!$C$100+parametros_manuales!$F$35*(datos_base!$J$4+IF(parametros_manuales!$H$35="Todos",datos_base!$J$11,0))*parametros_manuales!$C$105+parametros_manuales!$G$35*(datos_base!$J$5+IF(parametros_manuales!$H$35="Todos",datos_base!$J$12,0))*parametros_manuales!$C$110)*parametros_manuales!$I$35*parametros_manuales!$J$35</f>
        <v>21432.01</v>
      </c>
      <c r="D234" s="4">
        <f>(parametros_manuales!$D$35*(datos_base!$J$2+IF(parametros_manuales!$H$35="Todos",datos_base!$J$9,0))*parametros_manuales!$D$95+parametros_manuales!$E$35*(datos_base!$J$3+IF(parametros_manuales!$H$35="Todos",datos_base!$J$10,0))*parametros_manuales!$D$100+parametros_manuales!$F$35*(datos_base!$J$4+IF(parametros_manuales!$H$35="Todos",datos_base!$J$11,0))*parametros_manuales!$D$105+parametros_manuales!$G$35*(datos_base!$J$5+IF(parametros_manuales!$H$35="Todos",datos_base!$J$12,0))*parametros_manuales!$D$110)*parametros_manuales!$I$35*parametros_manuales!$J$35</f>
        <v>20030.995</v>
      </c>
      <c r="E234" s="4">
        <f>(parametros_manuales!$D$35*(datos_base!$J$2+IF(parametros_manuales!$H$35="Todos",datos_base!$J$9,0))*parametros_manuales!$E$95+parametros_manuales!$E$35*(datos_base!$J$3+IF(parametros_manuales!$H$35="Todos",datos_base!$J$10,0))*parametros_manuales!$E$100+parametros_manuales!$F$35*(datos_base!$J$4+IF(parametros_manuales!$H$35="Todos",datos_base!$J$11,0))*parametros_manuales!$E$105+parametros_manuales!$G$35*(datos_base!$J$5+IF(parametros_manuales!$H$35="Todos",datos_base!$J$12,0))*parametros_manuales!$E$110)*parametros_manuales!$I$35*parametros_manuales!$J$35</f>
        <v>19154.03</v>
      </c>
      <c r="F234" s="4">
        <f>(parametros_manuales!$D$35*(datos_base!$J$2+IF(parametros_manuales!$H$35="Todos",datos_base!$J$9,0))*parametros_manuales!$F$95+parametros_manuales!$E$35*(datos_base!$J$3+IF(parametros_manuales!$H$35="Todos",datos_base!$J$10,0))*parametros_manuales!$F$100+parametros_manuales!$F$35*(datos_base!$J$4+IF(parametros_manuales!$H$35="Todos",datos_base!$J$11,0))*parametros_manuales!$F$105+parametros_manuales!$G$35*(datos_base!$J$5+IF(parametros_manuales!$H$35="Todos",datos_base!$J$12,0))*parametros_manuales!$F$110)*parametros_manuales!$I$35*parametros_manuales!$J$35</f>
        <v>17924.15</v>
      </c>
      <c r="G234" s="4">
        <f>(parametros_manuales!$D$35*(datos_base!$J$2+IF(parametros_manuales!$H$35="Todos",datos_base!$J$9,0))*parametros_manuales!$G$95+parametros_manuales!$E$35*(datos_base!$J$3+IF(parametros_manuales!$H$35="Todos",datos_base!$J$10,0))*parametros_manuales!$G$100+parametros_manuales!$F$35*(datos_base!$J$4+IF(parametros_manuales!$H$35="Todos",datos_base!$J$11,0))*parametros_manuales!$G$105+parametros_manuales!$G$35*(datos_base!$J$5+IF(parametros_manuales!$H$35="Todos",datos_base!$J$12,0))*parametros_manuales!$G$110)*parametros_manuales!$I$35*parametros_manuales!$J$35</f>
        <v>17571.235</v>
      </c>
      <c r="H234" s="4">
        <f>(parametros_manuales!$D$35*(datos_base!$J$2+IF(parametros_manuales!$H$35="Todos",datos_base!$J$9,0))*parametros_manuales!$H$95+parametros_manuales!$E$35*(datos_base!$J$3+IF(parametros_manuales!$H$35="Todos",datos_base!$J$10,0))*parametros_manuales!$H$100+parametros_manuales!$F$35*(datos_base!$J$4+IF(parametros_manuales!$H$35="Todos",datos_base!$J$11,0))*parametros_manuales!$H$105+parametros_manuales!$G$35*(datos_base!$J$5+IF(parametros_manuales!$H$35="Todos",datos_base!$J$12,0))*parametros_manuales!$H$110)*parametros_manuales!$I$35*parametros_manuales!$J$35</f>
        <v>18801.115</v>
      </c>
      <c r="I234" s="4">
        <f>(parametros_manuales!$D$35*(datos_base!$J$2+IF(parametros_manuales!$H$35="Todos",datos_base!$J$9,0))*parametros_manuales!$I$95+parametros_manuales!$E$35*(datos_base!$J$3+IF(parametros_manuales!$H$35="Todos",datos_base!$J$10,0))*parametros_manuales!$I$100+parametros_manuales!$F$35*(datos_base!$J$4+IF(parametros_manuales!$H$35="Todos",datos_base!$J$11,0))*parametros_manuales!$I$105+parametros_manuales!$G$35*(datos_base!$J$5+IF(parametros_manuales!$H$35="Todos",datos_base!$J$12,0))*parametros_manuales!$I$110)*parametros_manuales!$I$35*parametros_manuales!$J$35</f>
        <v>21432.01</v>
      </c>
      <c r="J234" s="4">
        <f>(parametros_manuales!$D$35*(datos_base!$J$2+IF(parametros_manuales!$H$35="Todos",datos_base!$J$9,0))*parametros_manuales!$J$95+parametros_manuales!$E$35*(datos_base!$J$3+IF(parametros_manuales!$H$35="Todos",datos_base!$J$10,0))*parametros_manuales!$J$100+parametros_manuales!$F$35*(datos_base!$J$4+IF(parametros_manuales!$H$35="Todos",datos_base!$J$11,0))*parametros_manuales!$J$105+parametros_manuales!$G$35*(datos_base!$J$5+IF(parametros_manuales!$H$35="Todos",datos_base!$J$12,0))*parametros_manuales!$J$110)*parametros_manuales!$I$35*parametros_manuales!$J$35</f>
        <v>21432.01</v>
      </c>
      <c r="K234" s="4">
        <f>(parametros_manuales!$D$35*(datos_base!$J$2+IF(parametros_manuales!$H$35="Todos",datos_base!$J$9,0))*parametros_manuales!$K$95+parametros_manuales!$E$35*(datos_base!$J$3+IF(parametros_manuales!$H$35="Todos",datos_base!$J$10,0))*parametros_manuales!$K$100+parametros_manuales!$F$35*(datos_base!$J$4+IF(parametros_manuales!$H$35="Todos",datos_base!$J$11,0))*parametros_manuales!$K$105+parametros_manuales!$G$35*(datos_base!$J$5+IF(parametros_manuales!$H$35="Todos",datos_base!$J$12,0))*parametros_manuales!$K$110)*parametros_manuales!$I$35*parametros_manuales!$J$35</f>
        <v>21784.925</v>
      </c>
      <c r="L234" s="4">
        <f>(parametros_manuales!$D$35*(datos_base!$J$2+IF(parametros_manuales!$H$35="Todos",datos_base!$J$9,0))*parametros_manuales!$L$95+parametros_manuales!$E$35*(datos_base!$J$3+IF(parametros_manuales!$H$35="Todos",datos_base!$J$10,0))*parametros_manuales!$L$100+parametros_manuales!$F$35*(datos_base!$J$4+IF(parametros_manuales!$H$35="Todos",datos_base!$J$11,0))*parametros_manuales!$L$105+parametros_manuales!$G$35*(datos_base!$J$5+IF(parametros_manuales!$H$35="Todos",datos_base!$J$12,0))*parametros_manuales!$L$110)*parametros_manuales!$I$35*parametros_manuales!$J$35</f>
        <v>22137.84</v>
      </c>
      <c r="M234" s="4">
        <f>(parametros_manuales!$D$35*(datos_base!$J$2+IF(parametros_manuales!$H$35="Todos",datos_base!$J$9,0))*parametros_manuales!$M$95+parametros_manuales!$E$35*(datos_base!$J$3+IF(parametros_manuales!$H$35="Todos",datos_base!$J$10,0))*parametros_manuales!$M$100+parametros_manuales!$F$35*(datos_base!$J$4+IF(parametros_manuales!$H$35="Todos",datos_base!$J$11,0))*parametros_manuales!$M$105+parametros_manuales!$G$35*(datos_base!$J$5+IF(parametros_manuales!$H$35="Todos",datos_base!$J$12,0))*parametros_manuales!$M$110)*parametros_manuales!$I$35*parametros_manuales!$J$35</f>
        <v>22137.84</v>
      </c>
      <c r="N234" s="4">
        <f t="shared" si="25"/>
        <v>245976</v>
      </c>
      <c r="O234" s="4">
        <f t="shared" si="26"/>
        <v>22137.84</v>
      </c>
      <c r="P234" s="27">
        <f>O234/(parametros_manuales!$B$7)</f>
        <v>147.5856</v>
      </c>
      <c r="Q234" s="3" t="str">
        <f t="shared" si="27"/>
        <v>Ene</v>
      </c>
    </row>
    <row r="235" ht="14.25" customHeight="1">
      <c r="A235" s="3" t="str">
        <f>parametros_manuales!$B$36</f>
        <v>Corrección de defectos</v>
      </c>
      <c r="B235" s="4">
        <f>(parametros_manuales!$D$36*(datos_base!$J$2+IF(parametros_manuales!$H$36="Todos",datos_base!$J$9,0))*parametros_manuales!$B$95+parametros_manuales!$E$36*(datos_base!$J$3+IF(parametros_manuales!$H$36="Todos",datos_base!$J$10,0))*parametros_manuales!$B$100+parametros_manuales!$F$36*(datos_base!$J$4+IF(parametros_manuales!$H$36="Todos",datos_base!$J$11,0))*parametros_manuales!$B$105+parametros_manuales!$G$36*(datos_base!$J$5+IF(parametros_manuales!$H$36="Todos",datos_base!$J$12,0))*parametros_manuales!$B$110)*parametros_manuales!$I$36*parametros_manuales!$J$36</f>
        <v>1106.892</v>
      </c>
      <c r="C235" s="4">
        <f>(parametros_manuales!$D$36*(datos_base!$J$2+IF(parametros_manuales!$H$36="Todos",datos_base!$J$9,0))*parametros_manuales!$C$95+parametros_manuales!$E$36*(datos_base!$J$3+IF(parametros_manuales!$H$36="Todos",datos_base!$J$10,0))*parametros_manuales!$C$100+parametros_manuales!$F$36*(datos_base!$J$4+IF(parametros_manuales!$H$36="Todos",datos_base!$J$11,0))*parametros_manuales!$C$105+parametros_manuales!$G$36*(datos_base!$J$5+IF(parametros_manuales!$H$36="Todos",datos_base!$J$12,0))*parametros_manuales!$C$110)*parametros_manuales!$I$36*parametros_manuales!$J$36</f>
        <v>1071.6005</v>
      </c>
      <c r="D235" s="4">
        <f>(parametros_manuales!$D$36*(datos_base!$J$2+IF(parametros_manuales!$H$36="Todos",datos_base!$J$9,0))*parametros_manuales!$D$95+parametros_manuales!$E$36*(datos_base!$J$3+IF(parametros_manuales!$H$36="Todos",datos_base!$J$10,0))*parametros_manuales!$D$100+parametros_manuales!$F$36*(datos_base!$J$4+IF(parametros_manuales!$H$36="Todos",datos_base!$J$11,0))*parametros_manuales!$D$105+parametros_manuales!$G$36*(datos_base!$J$5+IF(parametros_manuales!$H$36="Todos",datos_base!$J$12,0))*parametros_manuales!$D$110)*parametros_manuales!$I$36*parametros_manuales!$J$36</f>
        <v>1001.54975</v>
      </c>
      <c r="E235" s="4">
        <f>(parametros_manuales!$D$36*(datos_base!$J$2+IF(parametros_manuales!$H$36="Todos",datos_base!$J$9,0))*parametros_manuales!$E$95+parametros_manuales!$E$36*(datos_base!$J$3+IF(parametros_manuales!$H$36="Todos",datos_base!$J$10,0))*parametros_manuales!$E$100+parametros_manuales!$F$36*(datos_base!$J$4+IF(parametros_manuales!$H$36="Todos",datos_base!$J$11,0))*parametros_manuales!$E$105+parametros_manuales!$G$36*(datos_base!$J$5+IF(parametros_manuales!$H$36="Todos",datos_base!$J$12,0))*parametros_manuales!$E$110)*parametros_manuales!$I$36*parametros_manuales!$J$36</f>
        <v>957.7015</v>
      </c>
      <c r="F235" s="4">
        <f>(parametros_manuales!$D$36*(datos_base!$J$2+IF(parametros_manuales!$H$36="Todos",datos_base!$J$9,0))*parametros_manuales!$F$95+parametros_manuales!$E$36*(datos_base!$J$3+IF(parametros_manuales!$H$36="Todos",datos_base!$J$10,0))*parametros_manuales!$F$100+parametros_manuales!$F$36*(datos_base!$J$4+IF(parametros_manuales!$H$36="Todos",datos_base!$J$11,0))*parametros_manuales!$F$105+parametros_manuales!$G$36*(datos_base!$J$5+IF(parametros_manuales!$H$36="Todos",datos_base!$J$12,0))*parametros_manuales!$F$110)*parametros_manuales!$I$36*parametros_manuales!$J$36</f>
        <v>896.2075</v>
      </c>
      <c r="G235" s="4">
        <f>(parametros_manuales!$D$36*(datos_base!$J$2+IF(parametros_manuales!$H$36="Todos",datos_base!$J$9,0))*parametros_manuales!$G$95+parametros_manuales!$E$36*(datos_base!$J$3+IF(parametros_manuales!$H$36="Todos",datos_base!$J$10,0))*parametros_manuales!$G$100+parametros_manuales!$F$36*(datos_base!$J$4+IF(parametros_manuales!$H$36="Todos",datos_base!$J$11,0))*parametros_manuales!$G$105+parametros_manuales!$G$36*(datos_base!$J$5+IF(parametros_manuales!$H$36="Todos",datos_base!$J$12,0))*parametros_manuales!$G$110)*parametros_manuales!$I$36*parametros_manuales!$J$36</f>
        <v>878.56175</v>
      </c>
      <c r="H235" s="4">
        <f>(parametros_manuales!$D$36*(datos_base!$J$2+IF(parametros_manuales!$H$36="Todos",datos_base!$J$9,0))*parametros_manuales!$H$95+parametros_manuales!$E$36*(datos_base!$J$3+IF(parametros_manuales!$H$36="Todos",datos_base!$J$10,0))*parametros_manuales!$H$100+parametros_manuales!$F$36*(datos_base!$J$4+IF(parametros_manuales!$H$36="Todos",datos_base!$J$11,0))*parametros_manuales!$H$105+parametros_manuales!$G$36*(datos_base!$J$5+IF(parametros_manuales!$H$36="Todos",datos_base!$J$12,0))*parametros_manuales!$H$110)*parametros_manuales!$I$36*parametros_manuales!$J$36</f>
        <v>940.05575</v>
      </c>
      <c r="I235" s="4">
        <f>(parametros_manuales!$D$36*(datos_base!$J$2+IF(parametros_manuales!$H$36="Todos",datos_base!$J$9,0))*parametros_manuales!$I$95+parametros_manuales!$E$36*(datos_base!$J$3+IF(parametros_manuales!$H$36="Todos",datos_base!$J$10,0))*parametros_manuales!$I$100+parametros_manuales!$F$36*(datos_base!$J$4+IF(parametros_manuales!$H$36="Todos",datos_base!$J$11,0))*parametros_manuales!$I$105+parametros_manuales!$G$36*(datos_base!$J$5+IF(parametros_manuales!$H$36="Todos",datos_base!$J$12,0))*parametros_manuales!$I$110)*parametros_manuales!$I$36*parametros_manuales!$J$36</f>
        <v>1071.6005</v>
      </c>
      <c r="J235" s="4">
        <f>(parametros_manuales!$D$36*(datos_base!$J$2+IF(parametros_manuales!$H$36="Todos",datos_base!$J$9,0))*parametros_manuales!$J$95+parametros_manuales!$E$36*(datos_base!$J$3+IF(parametros_manuales!$H$36="Todos",datos_base!$J$10,0))*parametros_manuales!$J$100+parametros_manuales!$F$36*(datos_base!$J$4+IF(parametros_manuales!$H$36="Todos",datos_base!$J$11,0))*parametros_manuales!$J$105+parametros_manuales!$G$36*(datos_base!$J$5+IF(parametros_manuales!$H$36="Todos",datos_base!$J$12,0))*parametros_manuales!$J$110)*parametros_manuales!$I$36*parametros_manuales!$J$36</f>
        <v>1071.6005</v>
      </c>
      <c r="K235" s="4">
        <f>(parametros_manuales!$D$36*(datos_base!$J$2+IF(parametros_manuales!$H$36="Todos",datos_base!$J$9,0))*parametros_manuales!$K$95+parametros_manuales!$E$36*(datos_base!$J$3+IF(parametros_manuales!$H$36="Todos",datos_base!$J$10,0))*parametros_manuales!$K$100+parametros_manuales!$F$36*(datos_base!$J$4+IF(parametros_manuales!$H$36="Todos",datos_base!$J$11,0))*parametros_manuales!$K$105+parametros_manuales!$G$36*(datos_base!$J$5+IF(parametros_manuales!$H$36="Todos",datos_base!$J$12,0))*parametros_manuales!$K$110)*parametros_manuales!$I$36*parametros_manuales!$J$36</f>
        <v>1089.24625</v>
      </c>
      <c r="L235" s="4">
        <f>(parametros_manuales!$D$36*(datos_base!$J$2+IF(parametros_manuales!$H$36="Todos",datos_base!$J$9,0))*parametros_manuales!$L$95+parametros_manuales!$E$36*(datos_base!$J$3+IF(parametros_manuales!$H$36="Todos",datos_base!$J$10,0))*parametros_manuales!$L$100+parametros_manuales!$F$36*(datos_base!$J$4+IF(parametros_manuales!$H$36="Todos",datos_base!$J$11,0))*parametros_manuales!$L$105+parametros_manuales!$G$36*(datos_base!$J$5+IF(parametros_manuales!$H$36="Todos",datos_base!$J$12,0))*parametros_manuales!$L$110)*parametros_manuales!$I$36*parametros_manuales!$J$36</f>
        <v>1106.892</v>
      </c>
      <c r="M235" s="4">
        <f>(parametros_manuales!$D$36*(datos_base!$J$2+IF(parametros_manuales!$H$36="Todos",datos_base!$J$9,0))*parametros_manuales!$M$95+parametros_manuales!$E$36*(datos_base!$J$3+IF(parametros_manuales!$H$36="Todos",datos_base!$J$10,0))*parametros_manuales!$M$100+parametros_manuales!$F$36*(datos_base!$J$4+IF(parametros_manuales!$H$36="Todos",datos_base!$J$11,0))*parametros_manuales!$M$105+parametros_manuales!$G$36*(datos_base!$J$5+IF(parametros_manuales!$H$36="Todos",datos_base!$J$12,0))*parametros_manuales!$M$110)*parametros_manuales!$I$36*parametros_manuales!$J$36</f>
        <v>1106.892</v>
      </c>
      <c r="N235" s="4">
        <f t="shared" si="25"/>
        <v>12298.8</v>
      </c>
      <c r="O235" s="4">
        <f t="shared" si="26"/>
        <v>1106.892</v>
      </c>
      <c r="P235" s="27">
        <f>O235/(parametros_manuales!$B$7)</f>
        <v>7.37928</v>
      </c>
      <c r="Q235" s="3" t="str">
        <f t="shared" si="27"/>
        <v>Ene</v>
      </c>
    </row>
    <row r="236" ht="14.25" customHeight="1">
      <c r="A236" s="3" t="str">
        <f>parametros_manuales!$B$37</f>
        <v>Pintura en polvo + horno</v>
      </c>
      <c r="B236" s="4">
        <f>(parametros_manuales!$D$37*(datos_base!$J$2+IF(parametros_manuales!$H$37="Todos",datos_base!$J$9,0))*parametros_manuales!$B$95+parametros_manuales!$E$37*(datos_base!$J$3+IF(parametros_manuales!$H$37="Todos",datos_base!$J$10,0))*parametros_manuales!$B$100+parametros_manuales!$F$37*(datos_base!$J$4+IF(parametros_manuales!$H$37="Todos",datos_base!$J$11,0))*parametros_manuales!$B$105+parametros_manuales!$G$37*(datos_base!$J$5+IF(parametros_manuales!$H$37="Todos",datos_base!$J$12,0))*parametros_manuales!$B$110)*parametros_manuales!$I$37*parametros_manuales!$J$37</f>
        <v>22137.84</v>
      </c>
      <c r="C236" s="4">
        <f>(parametros_manuales!$D$37*(datos_base!$J$2+IF(parametros_manuales!$H$37="Todos",datos_base!$J$9,0))*parametros_manuales!$C$95+parametros_manuales!$E$37*(datos_base!$J$3+IF(parametros_manuales!$H$37="Todos",datos_base!$J$10,0))*parametros_manuales!$C$100+parametros_manuales!$F$37*(datos_base!$J$4+IF(parametros_manuales!$H$37="Todos",datos_base!$J$11,0))*parametros_manuales!$C$105+parametros_manuales!$G$37*(datos_base!$J$5+IF(parametros_manuales!$H$37="Todos",datos_base!$J$12,0))*parametros_manuales!$C$110)*parametros_manuales!$I$37*parametros_manuales!$J$37</f>
        <v>21432.01</v>
      </c>
      <c r="D236" s="4">
        <f>(parametros_manuales!$D$37*(datos_base!$J$2+IF(parametros_manuales!$H$37="Todos",datos_base!$J$9,0))*parametros_manuales!$D$95+parametros_manuales!$E$37*(datos_base!$J$3+IF(parametros_manuales!$H$37="Todos",datos_base!$J$10,0))*parametros_manuales!$D$100+parametros_manuales!$F$37*(datos_base!$J$4+IF(parametros_manuales!$H$37="Todos",datos_base!$J$11,0))*parametros_manuales!$D$105+parametros_manuales!$G$37*(datos_base!$J$5+IF(parametros_manuales!$H$37="Todos",datos_base!$J$12,0))*parametros_manuales!$D$110)*parametros_manuales!$I$37*parametros_manuales!$J$37</f>
        <v>20030.995</v>
      </c>
      <c r="E236" s="4">
        <f>(parametros_manuales!$D$37*(datos_base!$J$2+IF(parametros_manuales!$H$37="Todos",datos_base!$J$9,0))*parametros_manuales!$E$95+parametros_manuales!$E$37*(datos_base!$J$3+IF(parametros_manuales!$H$37="Todos",datos_base!$J$10,0))*parametros_manuales!$E$100+parametros_manuales!$F$37*(datos_base!$J$4+IF(parametros_manuales!$H$37="Todos",datos_base!$J$11,0))*parametros_manuales!$E$105+parametros_manuales!$G$37*(datos_base!$J$5+IF(parametros_manuales!$H$37="Todos",datos_base!$J$12,0))*parametros_manuales!$E$110)*parametros_manuales!$I$37*parametros_manuales!$J$37</f>
        <v>19154.03</v>
      </c>
      <c r="F236" s="4">
        <f>(parametros_manuales!$D$37*(datos_base!$J$2+IF(parametros_manuales!$H$37="Todos",datos_base!$J$9,0))*parametros_manuales!$F$95+parametros_manuales!$E$37*(datos_base!$J$3+IF(parametros_manuales!$H$37="Todos",datos_base!$J$10,0))*parametros_manuales!$F$100+parametros_manuales!$F$37*(datos_base!$J$4+IF(parametros_manuales!$H$37="Todos",datos_base!$J$11,0))*parametros_manuales!$F$105+parametros_manuales!$G$37*(datos_base!$J$5+IF(parametros_manuales!$H$37="Todos",datos_base!$J$12,0))*parametros_manuales!$F$110)*parametros_manuales!$I$37*parametros_manuales!$J$37</f>
        <v>17924.15</v>
      </c>
      <c r="G236" s="4">
        <f>(parametros_manuales!$D$37*(datos_base!$J$2+IF(parametros_manuales!$H$37="Todos",datos_base!$J$9,0))*parametros_manuales!$G$95+parametros_manuales!$E$37*(datos_base!$J$3+IF(parametros_manuales!$H$37="Todos",datos_base!$J$10,0))*parametros_manuales!$G$100+parametros_manuales!$F$37*(datos_base!$J$4+IF(parametros_manuales!$H$37="Todos",datos_base!$J$11,0))*parametros_manuales!$G$105+parametros_manuales!$G$37*(datos_base!$J$5+IF(parametros_manuales!$H$37="Todos",datos_base!$J$12,0))*parametros_manuales!$G$110)*parametros_manuales!$I$37*parametros_manuales!$J$37</f>
        <v>17571.235</v>
      </c>
      <c r="H236" s="4">
        <f>(parametros_manuales!$D$37*(datos_base!$J$2+IF(parametros_manuales!$H$37="Todos",datos_base!$J$9,0))*parametros_manuales!$H$95+parametros_manuales!$E$37*(datos_base!$J$3+IF(parametros_manuales!$H$37="Todos",datos_base!$J$10,0))*parametros_manuales!$H$100+parametros_manuales!$F$37*(datos_base!$J$4+IF(parametros_manuales!$H$37="Todos",datos_base!$J$11,0))*parametros_manuales!$H$105+parametros_manuales!$G$37*(datos_base!$J$5+IF(parametros_manuales!$H$37="Todos",datos_base!$J$12,0))*parametros_manuales!$H$110)*parametros_manuales!$I$37*parametros_manuales!$J$37</f>
        <v>18801.115</v>
      </c>
      <c r="I236" s="4">
        <f>(parametros_manuales!$D$37*(datos_base!$J$2+IF(parametros_manuales!$H$37="Todos",datos_base!$J$9,0))*parametros_manuales!$I$95+parametros_manuales!$E$37*(datos_base!$J$3+IF(parametros_manuales!$H$37="Todos",datos_base!$J$10,0))*parametros_manuales!$I$100+parametros_manuales!$F$37*(datos_base!$J$4+IF(parametros_manuales!$H$37="Todos",datos_base!$J$11,0))*parametros_manuales!$I$105+parametros_manuales!$G$37*(datos_base!$J$5+IF(parametros_manuales!$H$37="Todos",datos_base!$J$12,0))*parametros_manuales!$I$110)*parametros_manuales!$I$37*parametros_manuales!$J$37</f>
        <v>21432.01</v>
      </c>
      <c r="J236" s="4">
        <f>(parametros_manuales!$D$37*(datos_base!$J$2+IF(parametros_manuales!$H$37="Todos",datos_base!$J$9,0))*parametros_manuales!$J$95+parametros_manuales!$E$37*(datos_base!$J$3+IF(parametros_manuales!$H$37="Todos",datos_base!$J$10,0))*parametros_manuales!$J$100+parametros_manuales!$F$37*(datos_base!$J$4+IF(parametros_manuales!$H$37="Todos",datos_base!$J$11,0))*parametros_manuales!$J$105+parametros_manuales!$G$37*(datos_base!$J$5+IF(parametros_manuales!$H$37="Todos",datos_base!$J$12,0))*parametros_manuales!$J$110)*parametros_manuales!$I$37*parametros_manuales!$J$37</f>
        <v>21432.01</v>
      </c>
      <c r="K236" s="4">
        <f>(parametros_manuales!$D$37*(datos_base!$J$2+IF(parametros_manuales!$H$37="Todos",datos_base!$J$9,0))*parametros_manuales!$K$95+parametros_manuales!$E$37*(datos_base!$J$3+IF(parametros_manuales!$H$37="Todos",datos_base!$J$10,0))*parametros_manuales!$K$100+parametros_manuales!$F$37*(datos_base!$J$4+IF(parametros_manuales!$H$37="Todos",datos_base!$J$11,0))*parametros_manuales!$K$105+parametros_manuales!$G$37*(datos_base!$J$5+IF(parametros_manuales!$H$37="Todos",datos_base!$J$12,0))*parametros_manuales!$K$110)*parametros_manuales!$I$37*parametros_manuales!$J$37</f>
        <v>21784.925</v>
      </c>
      <c r="L236" s="4">
        <f>(parametros_manuales!$D$37*(datos_base!$J$2+IF(parametros_manuales!$H$37="Todos",datos_base!$J$9,0))*parametros_manuales!$L$95+parametros_manuales!$E$37*(datos_base!$J$3+IF(parametros_manuales!$H$37="Todos",datos_base!$J$10,0))*parametros_manuales!$L$100+parametros_manuales!$F$37*(datos_base!$J$4+IF(parametros_manuales!$H$37="Todos",datos_base!$J$11,0))*parametros_manuales!$L$105+parametros_manuales!$G$37*(datos_base!$J$5+IF(parametros_manuales!$H$37="Todos",datos_base!$J$12,0))*parametros_manuales!$L$110)*parametros_manuales!$I$37*parametros_manuales!$J$37</f>
        <v>22137.84</v>
      </c>
      <c r="M236" s="4">
        <f>(parametros_manuales!$D$37*(datos_base!$J$2+IF(parametros_manuales!$H$37="Todos",datos_base!$J$9,0))*parametros_manuales!$M$95+parametros_manuales!$E$37*(datos_base!$J$3+IF(parametros_manuales!$H$37="Todos",datos_base!$J$10,0))*parametros_manuales!$M$100+parametros_manuales!$F$37*(datos_base!$J$4+IF(parametros_manuales!$H$37="Todos",datos_base!$J$11,0))*parametros_manuales!$M$105+parametros_manuales!$G$37*(datos_base!$J$5+IF(parametros_manuales!$H$37="Todos",datos_base!$J$12,0))*parametros_manuales!$M$110)*parametros_manuales!$I$37*parametros_manuales!$J$37</f>
        <v>22137.84</v>
      </c>
      <c r="N236" s="4">
        <f t="shared" si="25"/>
        <v>245976</v>
      </c>
      <c r="O236" s="4">
        <f t="shared" si="26"/>
        <v>22137.84</v>
      </c>
      <c r="P236" s="27">
        <f>O236/(parametros_manuales!$B$7)</f>
        <v>147.5856</v>
      </c>
      <c r="Q236" s="3" t="str">
        <f t="shared" si="27"/>
        <v>Ene</v>
      </c>
    </row>
    <row r="237" ht="14.25" customHeight="1">
      <c r="A237" s="3" t="str">
        <f>parametros_manuales!$B$38</f>
        <v>Carga de polvo</v>
      </c>
      <c r="B237" s="4">
        <f>(parametros_manuales!$D$38*(datos_base!$J$2+IF(parametros_manuales!$H$38="Todos",datos_base!$J$9,0))*parametros_manuales!$B$95+parametros_manuales!$E$38*(datos_base!$J$3+IF(parametros_manuales!$H$38="Todos",datos_base!$J$10,0))*parametros_manuales!$B$100+parametros_manuales!$F$38*(datos_base!$J$4+IF(parametros_manuales!$H$38="Todos",datos_base!$J$11,0))*parametros_manuales!$B$105+parametros_manuales!$G$38*(datos_base!$J$5+IF(parametros_manuales!$H$38="Todos",datos_base!$J$12,0))*parametros_manuales!$B$110)*parametros_manuales!$I$38*parametros_manuales!$J$38</f>
        <v>5701.32</v>
      </c>
      <c r="C237" s="4">
        <f>(parametros_manuales!$D$38*(datos_base!$J$2+IF(parametros_manuales!$H$38="Todos",datos_base!$J$9,0))*parametros_manuales!$C$95+parametros_manuales!$E$38*(datos_base!$J$3+IF(parametros_manuales!$H$38="Todos",datos_base!$J$10,0))*parametros_manuales!$C$100+parametros_manuales!$F$38*(datos_base!$J$4+IF(parametros_manuales!$H$38="Todos",datos_base!$J$11,0))*parametros_manuales!$C$105+parametros_manuales!$G$38*(datos_base!$J$5+IF(parametros_manuales!$H$38="Todos",datos_base!$J$12,0))*parametros_manuales!$C$110)*parametros_manuales!$I$38*parametros_manuales!$J$38</f>
        <v>5353.57</v>
      </c>
      <c r="D237" s="4">
        <f>(parametros_manuales!$D$38*(datos_base!$J$2+IF(parametros_manuales!$H$38="Todos",datos_base!$J$9,0))*parametros_manuales!$D$95+parametros_manuales!$E$38*(datos_base!$J$3+IF(parametros_manuales!$H$38="Todos",datos_base!$J$10,0))*parametros_manuales!$D$100+parametros_manuales!$F$38*(datos_base!$J$4+IF(parametros_manuales!$H$38="Todos",datos_base!$J$11,0))*parametros_manuales!$D$105+parametros_manuales!$G$38*(datos_base!$J$5+IF(parametros_manuales!$H$38="Todos",datos_base!$J$12,0))*parametros_manuales!$D$110)*parametros_manuales!$I$38*parametros_manuales!$J$38</f>
        <v>5241.715</v>
      </c>
      <c r="E237" s="4">
        <f>(parametros_manuales!$D$38*(datos_base!$J$2+IF(parametros_manuales!$H$38="Todos",datos_base!$J$9,0))*parametros_manuales!$E$95+parametros_manuales!$E$38*(datos_base!$J$3+IF(parametros_manuales!$H$38="Todos",datos_base!$J$10,0))*parametros_manuales!$E$100+parametros_manuales!$F$38*(datos_base!$J$4+IF(parametros_manuales!$H$38="Todos",datos_base!$J$11,0))*parametros_manuales!$E$105+parametros_manuales!$G$38*(datos_base!$J$5+IF(parametros_manuales!$H$38="Todos",datos_base!$J$12,0))*parametros_manuales!$E$110)*parametros_manuales!$I$38*parametros_manuales!$J$38</f>
        <v>5098.85</v>
      </c>
      <c r="F237" s="4">
        <f>(parametros_manuales!$D$38*(datos_base!$J$2+IF(parametros_manuales!$H$38="Todos",datos_base!$J$9,0))*parametros_manuales!$F$95+parametros_manuales!$E$38*(datos_base!$J$3+IF(parametros_manuales!$H$38="Todos",datos_base!$J$10,0))*parametros_manuales!$F$100+parametros_manuales!$F$38*(datos_base!$J$4+IF(parametros_manuales!$H$38="Todos",datos_base!$J$11,0))*parametros_manuales!$F$105+parametros_manuales!$G$38*(datos_base!$J$5+IF(parametros_manuales!$H$38="Todos",datos_base!$J$12,0))*parametros_manuales!$F$110)*parametros_manuales!$I$38*parametros_manuales!$J$38</f>
        <v>4782.11</v>
      </c>
      <c r="G237" s="4">
        <f>(parametros_manuales!$D$38*(datos_base!$J$2+IF(parametros_manuales!$H$38="Todos",datos_base!$J$9,0))*parametros_manuales!$G$95+parametros_manuales!$E$38*(datos_base!$J$3+IF(parametros_manuales!$H$38="Todos",datos_base!$J$10,0))*parametros_manuales!$G$100+parametros_manuales!$F$38*(datos_base!$J$4+IF(parametros_manuales!$H$38="Todos",datos_base!$J$11,0))*parametros_manuales!$G$105+parametros_manuales!$G$38*(datos_base!$J$5+IF(parametros_manuales!$H$38="Todos",datos_base!$J$12,0))*parametros_manuales!$G$110)*parametros_manuales!$I$38*parametros_manuales!$J$38</f>
        <v>4608.235</v>
      </c>
      <c r="H237" s="4">
        <f>(parametros_manuales!$D$38*(datos_base!$J$2+IF(parametros_manuales!$H$38="Todos",datos_base!$J$9,0))*parametros_manuales!$H$95+parametros_manuales!$E$38*(datos_base!$J$3+IF(parametros_manuales!$H$38="Todos",datos_base!$J$10,0))*parametros_manuales!$H$100+parametros_manuales!$F$38*(datos_base!$J$4+IF(parametros_manuales!$H$38="Todos",datos_base!$J$11,0))*parametros_manuales!$H$105+parametros_manuales!$G$38*(datos_base!$J$5+IF(parametros_manuales!$H$38="Todos",datos_base!$J$12,0))*parametros_manuales!$H$110)*parametros_manuales!$I$38*parametros_manuales!$J$38</f>
        <v>4924.975</v>
      </c>
      <c r="I237" s="4">
        <f>(parametros_manuales!$D$38*(datos_base!$J$2+IF(parametros_manuales!$H$38="Todos",datos_base!$J$9,0))*parametros_manuales!$I$95+parametros_manuales!$E$38*(datos_base!$J$3+IF(parametros_manuales!$H$38="Todos",datos_base!$J$10,0))*parametros_manuales!$I$100+parametros_manuales!$F$38*(datos_base!$J$4+IF(parametros_manuales!$H$38="Todos",datos_base!$J$11,0))*parametros_manuales!$I$105+parametros_manuales!$G$38*(datos_base!$J$5+IF(parametros_manuales!$H$38="Todos",datos_base!$J$12,0))*parametros_manuales!$I$110)*parametros_manuales!$I$38*parametros_manuales!$J$38</f>
        <v>5353.57</v>
      </c>
      <c r="J237" s="4">
        <f>(parametros_manuales!$D$38*(datos_base!$J$2+IF(parametros_manuales!$H$38="Todos",datos_base!$J$9,0))*parametros_manuales!$J$95+parametros_manuales!$E$38*(datos_base!$J$3+IF(parametros_manuales!$H$38="Todos",datos_base!$J$10,0))*parametros_manuales!$J$100+parametros_manuales!$F$38*(datos_base!$J$4+IF(parametros_manuales!$H$38="Todos",datos_base!$J$11,0))*parametros_manuales!$J$105+parametros_manuales!$G$38*(datos_base!$J$5+IF(parametros_manuales!$H$38="Todos",datos_base!$J$12,0))*parametros_manuales!$J$110)*parametros_manuales!$I$38*parametros_manuales!$J$38</f>
        <v>5353.57</v>
      </c>
      <c r="K237" s="4">
        <f>(parametros_manuales!$D$38*(datos_base!$J$2+IF(parametros_manuales!$H$38="Todos",datos_base!$J$9,0))*parametros_manuales!$K$95+parametros_manuales!$E$38*(datos_base!$J$3+IF(parametros_manuales!$H$38="Todos",datos_base!$J$10,0))*parametros_manuales!$K$100+parametros_manuales!$F$38*(datos_base!$J$4+IF(parametros_manuales!$H$38="Todos",datos_base!$J$11,0))*parametros_manuales!$K$105+parametros_manuales!$G$38*(datos_base!$J$5+IF(parametros_manuales!$H$38="Todos",datos_base!$J$12,0))*parametros_manuales!$K$110)*parametros_manuales!$I$38*parametros_manuales!$J$38</f>
        <v>5527.445</v>
      </c>
      <c r="L237" s="4">
        <f>(parametros_manuales!$D$38*(datos_base!$J$2+IF(parametros_manuales!$H$38="Todos",datos_base!$J$9,0))*parametros_manuales!$L$95+parametros_manuales!$E$38*(datos_base!$J$3+IF(parametros_manuales!$H$38="Todos",datos_base!$J$10,0))*parametros_manuales!$L$100+parametros_manuales!$F$38*(datos_base!$J$4+IF(parametros_manuales!$H$38="Todos",datos_base!$J$11,0))*parametros_manuales!$L$105+parametros_manuales!$G$38*(datos_base!$J$5+IF(parametros_manuales!$H$38="Todos",datos_base!$J$12,0))*parametros_manuales!$L$110)*parametros_manuales!$I$38*parametros_manuales!$J$38</f>
        <v>5701.32</v>
      </c>
      <c r="M237" s="4">
        <f>(parametros_manuales!$D$38*(datos_base!$J$2+IF(parametros_manuales!$H$38="Todos",datos_base!$J$9,0))*parametros_manuales!$M$95+parametros_manuales!$E$38*(datos_base!$J$3+IF(parametros_manuales!$H$38="Todos",datos_base!$J$10,0))*parametros_manuales!$M$100+parametros_manuales!$F$38*(datos_base!$J$4+IF(parametros_manuales!$H$38="Todos",datos_base!$J$11,0))*parametros_manuales!$M$105+parametros_manuales!$G$38*(datos_base!$J$5+IF(parametros_manuales!$H$38="Todos",datos_base!$J$12,0))*parametros_manuales!$M$110)*parametros_manuales!$I$38*parametros_manuales!$J$38</f>
        <v>5701.32</v>
      </c>
      <c r="N237" s="4">
        <f t="shared" si="25"/>
        <v>63348</v>
      </c>
      <c r="O237" s="4">
        <f t="shared" si="26"/>
        <v>5701.32</v>
      </c>
      <c r="P237" s="27">
        <f>O237/(parametros_manuales!$B$7)</f>
        <v>38.0088</v>
      </c>
      <c r="Q237" s="3" t="str">
        <f t="shared" si="27"/>
        <v>Ene</v>
      </c>
    </row>
    <row r="238" ht="14.25" customHeight="1">
      <c r="A238" s="3" t="str">
        <f>parametros_manuales!$B$39</f>
        <v>Ensamblaje</v>
      </c>
      <c r="B238" s="4">
        <f>(parametros_manuales!$D$39*(datos_base!$J$2+IF(parametros_manuales!$H$39="Todos",datos_base!$J$9,0))*parametros_manuales!$B$95+parametros_manuales!$E$39*(datos_base!$J$3+IF(parametros_manuales!$H$39="Todos",datos_base!$J$10,0))*parametros_manuales!$B$100+parametros_manuales!$F$39*(datos_base!$J$4+IF(parametros_manuales!$H$39="Todos",datos_base!$J$11,0))*parametros_manuales!$B$105+parametros_manuales!$G$39*(datos_base!$J$5+IF(parametros_manuales!$H$39="Todos",datos_base!$J$12,0))*parametros_manuales!$B$110)*parametros_manuales!$I$39*parametros_manuales!$J$39</f>
        <v>5701.32</v>
      </c>
      <c r="C238" s="4">
        <f>(parametros_manuales!$D$39*(datos_base!$J$2+IF(parametros_manuales!$H$39="Todos",datos_base!$J$9,0))*parametros_manuales!$C$95+parametros_manuales!$E$39*(datos_base!$J$3+IF(parametros_manuales!$H$39="Todos",datos_base!$J$10,0))*parametros_manuales!$C$100+parametros_manuales!$F$39*(datos_base!$J$4+IF(parametros_manuales!$H$39="Todos",datos_base!$J$11,0))*parametros_manuales!$C$105+parametros_manuales!$G$39*(datos_base!$J$5+IF(parametros_manuales!$H$39="Todos",datos_base!$J$12,0))*parametros_manuales!$C$110)*parametros_manuales!$I$39*parametros_manuales!$J$39</f>
        <v>5353.57</v>
      </c>
      <c r="D238" s="4">
        <f>(parametros_manuales!$D$39*(datos_base!$J$2+IF(parametros_manuales!$H$39="Todos",datos_base!$J$9,0))*parametros_manuales!$D$95+parametros_manuales!$E$39*(datos_base!$J$3+IF(parametros_manuales!$H$39="Todos",datos_base!$J$10,0))*parametros_manuales!$D$100+parametros_manuales!$F$39*(datos_base!$J$4+IF(parametros_manuales!$H$39="Todos",datos_base!$J$11,0))*parametros_manuales!$D$105+parametros_manuales!$G$39*(datos_base!$J$5+IF(parametros_manuales!$H$39="Todos",datos_base!$J$12,0))*parametros_manuales!$D$110)*parametros_manuales!$I$39*parametros_manuales!$J$39</f>
        <v>5241.715</v>
      </c>
      <c r="E238" s="4">
        <f>(parametros_manuales!$D$39*(datos_base!$J$2+IF(parametros_manuales!$H$39="Todos",datos_base!$J$9,0))*parametros_manuales!$E$95+parametros_manuales!$E$39*(datos_base!$J$3+IF(parametros_manuales!$H$39="Todos",datos_base!$J$10,0))*parametros_manuales!$E$100+parametros_manuales!$F$39*(datos_base!$J$4+IF(parametros_manuales!$H$39="Todos",datos_base!$J$11,0))*parametros_manuales!$E$105+parametros_manuales!$G$39*(datos_base!$J$5+IF(parametros_manuales!$H$39="Todos",datos_base!$J$12,0))*parametros_manuales!$E$110)*parametros_manuales!$I$39*parametros_manuales!$J$39</f>
        <v>5098.85</v>
      </c>
      <c r="F238" s="4">
        <f>(parametros_manuales!$D$39*(datos_base!$J$2+IF(parametros_manuales!$H$39="Todos",datos_base!$J$9,0))*parametros_manuales!$F$95+parametros_manuales!$E$39*(datos_base!$J$3+IF(parametros_manuales!$H$39="Todos",datos_base!$J$10,0))*parametros_manuales!$F$100+parametros_manuales!$F$39*(datos_base!$J$4+IF(parametros_manuales!$H$39="Todos",datos_base!$J$11,0))*parametros_manuales!$F$105+parametros_manuales!$G$39*(datos_base!$J$5+IF(parametros_manuales!$H$39="Todos",datos_base!$J$12,0))*parametros_manuales!$F$110)*parametros_manuales!$I$39*parametros_manuales!$J$39</f>
        <v>4782.11</v>
      </c>
      <c r="G238" s="4">
        <f>(parametros_manuales!$D$39*(datos_base!$J$2+IF(parametros_manuales!$H$39="Todos",datos_base!$J$9,0))*parametros_manuales!$G$95+parametros_manuales!$E$39*(datos_base!$J$3+IF(parametros_manuales!$H$39="Todos",datos_base!$J$10,0))*parametros_manuales!$G$100+parametros_manuales!$F$39*(datos_base!$J$4+IF(parametros_manuales!$H$39="Todos",datos_base!$J$11,0))*parametros_manuales!$G$105+parametros_manuales!$G$39*(datos_base!$J$5+IF(parametros_manuales!$H$39="Todos",datos_base!$J$12,0))*parametros_manuales!$G$110)*parametros_manuales!$I$39*parametros_manuales!$J$39</f>
        <v>4608.235</v>
      </c>
      <c r="H238" s="4">
        <f>(parametros_manuales!$D$39*(datos_base!$J$2+IF(parametros_manuales!$H$39="Todos",datos_base!$J$9,0))*parametros_manuales!$H$95+parametros_manuales!$E$39*(datos_base!$J$3+IF(parametros_manuales!$H$39="Todos",datos_base!$J$10,0))*parametros_manuales!$H$100+parametros_manuales!$F$39*(datos_base!$J$4+IF(parametros_manuales!$H$39="Todos",datos_base!$J$11,0))*parametros_manuales!$H$105+parametros_manuales!$G$39*(datos_base!$J$5+IF(parametros_manuales!$H$39="Todos",datos_base!$J$12,0))*parametros_manuales!$H$110)*parametros_manuales!$I$39*parametros_manuales!$J$39</f>
        <v>4924.975</v>
      </c>
      <c r="I238" s="4">
        <f>(parametros_manuales!$D$39*(datos_base!$J$2+IF(parametros_manuales!$H$39="Todos",datos_base!$J$9,0))*parametros_manuales!$I$95+parametros_manuales!$E$39*(datos_base!$J$3+IF(parametros_manuales!$H$39="Todos",datos_base!$J$10,0))*parametros_manuales!$I$100+parametros_manuales!$F$39*(datos_base!$J$4+IF(parametros_manuales!$H$39="Todos",datos_base!$J$11,0))*parametros_manuales!$I$105+parametros_manuales!$G$39*(datos_base!$J$5+IF(parametros_manuales!$H$39="Todos",datos_base!$J$12,0))*parametros_manuales!$I$110)*parametros_manuales!$I$39*parametros_manuales!$J$39</f>
        <v>5353.57</v>
      </c>
      <c r="J238" s="4">
        <f>(parametros_manuales!$D$39*(datos_base!$J$2+IF(parametros_manuales!$H$39="Todos",datos_base!$J$9,0))*parametros_manuales!$J$95+parametros_manuales!$E$39*(datos_base!$J$3+IF(parametros_manuales!$H$39="Todos",datos_base!$J$10,0))*parametros_manuales!$J$100+parametros_manuales!$F$39*(datos_base!$J$4+IF(parametros_manuales!$H$39="Todos",datos_base!$J$11,0))*parametros_manuales!$J$105+parametros_manuales!$G$39*(datos_base!$J$5+IF(parametros_manuales!$H$39="Todos",datos_base!$J$12,0))*parametros_manuales!$J$110)*parametros_manuales!$I$39*parametros_manuales!$J$39</f>
        <v>5353.57</v>
      </c>
      <c r="K238" s="4">
        <f>(parametros_manuales!$D$39*(datos_base!$J$2+IF(parametros_manuales!$H$39="Todos",datos_base!$J$9,0))*parametros_manuales!$K$95+parametros_manuales!$E$39*(datos_base!$J$3+IF(parametros_manuales!$H$39="Todos",datos_base!$J$10,0))*parametros_manuales!$K$100+parametros_manuales!$F$39*(datos_base!$J$4+IF(parametros_manuales!$H$39="Todos",datos_base!$J$11,0))*parametros_manuales!$K$105+parametros_manuales!$G$39*(datos_base!$J$5+IF(parametros_manuales!$H$39="Todos",datos_base!$J$12,0))*parametros_manuales!$K$110)*parametros_manuales!$I$39*parametros_manuales!$J$39</f>
        <v>5527.445</v>
      </c>
      <c r="L238" s="4">
        <f>(parametros_manuales!$D$39*(datos_base!$J$2+IF(parametros_manuales!$H$39="Todos",datos_base!$J$9,0))*parametros_manuales!$L$95+parametros_manuales!$E$39*(datos_base!$J$3+IF(parametros_manuales!$H$39="Todos",datos_base!$J$10,0))*parametros_manuales!$L$100+parametros_manuales!$F$39*(datos_base!$J$4+IF(parametros_manuales!$H$39="Todos",datos_base!$J$11,0))*parametros_manuales!$L$105+parametros_manuales!$G$39*(datos_base!$J$5+IF(parametros_manuales!$H$39="Todos",datos_base!$J$12,0))*parametros_manuales!$L$110)*parametros_manuales!$I$39*parametros_manuales!$J$39</f>
        <v>5701.32</v>
      </c>
      <c r="M238" s="4">
        <f>(parametros_manuales!$D$39*(datos_base!$J$2+IF(parametros_manuales!$H$39="Todos",datos_base!$J$9,0))*parametros_manuales!$M$95+parametros_manuales!$E$39*(datos_base!$J$3+IF(parametros_manuales!$H$39="Todos",datos_base!$J$10,0))*parametros_manuales!$M$100+parametros_manuales!$F$39*(datos_base!$J$4+IF(parametros_manuales!$H$39="Todos",datos_base!$J$11,0))*parametros_manuales!$M$105+parametros_manuales!$G$39*(datos_base!$J$5+IF(parametros_manuales!$H$39="Todos",datos_base!$J$12,0))*parametros_manuales!$M$110)*parametros_manuales!$I$39*parametros_manuales!$J$39</f>
        <v>5701.32</v>
      </c>
      <c r="N238" s="4">
        <f t="shared" si="25"/>
        <v>63348</v>
      </c>
      <c r="O238" s="4">
        <f t="shared" si="26"/>
        <v>5701.32</v>
      </c>
      <c r="P238" s="27">
        <f>O238/(parametros_manuales!$B$7)</f>
        <v>38.0088</v>
      </c>
      <c r="Q238" s="3" t="str">
        <f t="shared" si="27"/>
        <v>Ene</v>
      </c>
    </row>
    <row r="239" ht="14.25" customHeight="1">
      <c r="A239" s="3" t="str">
        <f>parametros_manuales!$B$40</f>
        <v>Presurización</v>
      </c>
      <c r="B239" s="4">
        <f>(parametros_manuales!$D$40*(datos_base!$J$2+IF(parametros_manuales!$H$40="Todos",datos_base!$J$9,0))*parametros_manuales!$B$95+parametros_manuales!$E$40*(datos_base!$J$3+IF(parametros_manuales!$H$40="Todos",datos_base!$J$10,0))*parametros_manuales!$B$100+parametros_manuales!$F$40*(datos_base!$J$4+IF(parametros_manuales!$H$40="Todos",datos_base!$J$11,0))*parametros_manuales!$B$105+parametros_manuales!$G$40*(datos_base!$J$5+IF(parametros_manuales!$H$40="Todos",datos_base!$J$12,0))*parametros_manuales!$B$110)*parametros_manuales!$I$40*parametros_manuales!$J$40</f>
        <v>5701.32</v>
      </c>
      <c r="C239" s="4">
        <f>(parametros_manuales!$D$40*(datos_base!$J$2+IF(parametros_manuales!$H$40="Todos",datos_base!$J$9,0))*parametros_manuales!$C$95+parametros_manuales!$E$40*(datos_base!$J$3+IF(parametros_manuales!$H$40="Todos",datos_base!$J$10,0))*parametros_manuales!$C$100+parametros_manuales!$F$40*(datos_base!$J$4+IF(parametros_manuales!$H$40="Todos",datos_base!$J$11,0))*parametros_manuales!$C$105+parametros_manuales!$G$40*(datos_base!$J$5+IF(parametros_manuales!$H$40="Todos",datos_base!$J$12,0))*parametros_manuales!$C$110)*parametros_manuales!$I$40*parametros_manuales!$J$40</f>
        <v>5353.57</v>
      </c>
      <c r="D239" s="4">
        <f>(parametros_manuales!$D$40*(datos_base!$J$2+IF(parametros_manuales!$H$40="Todos",datos_base!$J$9,0))*parametros_manuales!$D$95+parametros_manuales!$E$40*(datos_base!$J$3+IF(parametros_manuales!$H$40="Todos",datos_base!$J$10,0))*parametros_manuales!$D$100+parametros_manuales!$F$40*(datos_base!$J$4+IF(parametros_manuales!$H$40="Todos",datos_base!$J$11,0))*parametros_manuales!$D$105+parametros_manuales!$G$40*(datos_base!$J$5+IF(parametros_manuales!$H$40="Todos",datos_base!$J$12,0))*parametros_manuales!$D$110)*parametros_manuales!$I$40*parametros_manuales!$J$40</f>
        <v>5241.715</v>
      </c>
      <c r="E239" s="4">
        <f>(parametros_manuales!$D$40*(datos_base!$J$2+IF(parametros_manuales!$H$40="Todos",datos_base!$J$9,0))*parametros_manuales!$E$95+parametros_manuales!$E$40*(datos_base!$J$3+IF(parametros_manuales!$H$40="Todos",datos_base!$J$10,0))*parametros_manuales!$E$100+parametros_manuales!$F$40*(datos_base!$J$4+IF(parametros_manuales!$H$40="Todos",datos_base!$J$11,0))*parametros_manuales!$E$105+parametros_manuales!$G$40*(datos_base!$J$5+IF(parametros_manuales!$H$40="Todos",datos_base!$J$12,0))*parametros_manuales!$E$110)*parametros_manuales!$I$40*parametros_manuales!$J$40</f>
        <v>5098.85</v>
      </c>
      <c r="F239" s="4">
        <f>(parametros_manuales!$D$40*(datos_base!$J$2+IF(parametros_manuales!$H$40="Todos",datos_base!$J$9,0))*parametros_manuales!$F$95+parametros_manuales!$E$40*(datos_base!$J$3+IF(parametros_manuales!$H$40="Todos",datos_base!$J$10,0))*parametros_manuales!$F$100+parametros_manuales!$F$40*(datos_base!$J$4+IF(parametros_manuales!$H$40="Todos",datos_base!$J$11,0))*parametros_manuales!$F$105+parametros_manuales!$G$40*(datos_base!$J$5+IF(parametros_manuales!$H$40="Todos",datos_base!$J$12,0))*parametros_manuales!$F$110)*parametros_manuales!$I$40*parametros_manuales!$J$40</f>
        <v>4782.11</v>
      </c>
      <c r="G239" s="4">
        <f>(parametros_manuales!$D$40*(datos_base!$J$2+IF(parametros_manuales!$H$40="Todos",datos_base!$J$9,0))*parametros_manuales!$G$95+parametros_manuales!$E$40*(datos_base!$J$3+IF(parametros_manuales!$H$40="Todos",datos_base!$J$10,0))*parametros_manuales!$G$100+parametros_manuales!$F$40*(datos_base!$J$4+IF(parametros_manuales!$H$40="Todos",datos_base!$J$11,0))*parametros_manuales!$G$105+parametros_manuales!$G$40*(datos_base!$J$5+IF(parametros_manuales!$H$40="Todos",datos_base!$J$12,0))*parametros_manuales!$G$110)*parametros_manuales!$I$40*parametros_manuales!$J$40</f>
        <v>4608.235</v>
      </c>
      <c r="H239" s="4">
        <f>(parametros_manuales!$D$40*(datos_base!$J$2+IF(parametros_manuales!$H$40="Todos",datos_base!$J$9,0))*parametros_manuales!$H$95+parametros_manuales!$E$40*(datos_base!$J$3+IF(parametros_manuales!$H$40="Todos",datos_base!$J$10,0))*parametros_manuales!$H$100+parametros_manuales!$F$40*(datos_base!$J$4+IF(parametros_manuales!$H$40="Todos",datos_base!$J$11,0))*parametros_manuales!$H$105+parametros_manuales!$G$40*(datos_base!$J$5+IF(parametros_manuales!$H$40="Todos",datos_base!$J$12,0))*parametros_manuales!$H$110)*parametros_manuales!$I$40*parametros_manuales!$J$40</f>
        <v>4924.975</v>
      </c>
      <c r="I239" s="4">
        <f>(parametros_manuales!$D$40*(datos_base!$J$2+IF(parametros_manuales!$H$40="Todos",datos_base!$J$9,0))*parametros_manuales!$I$95+parametros_manuales!$E$40*(datos_base!$J$3+IF(parametros_manuales!$H$40="Todos",datos_base!$J$10,0))*parametros_manuales!$I$100+parametros_manuales!$F$40*(datos_base!$J$4+IF(parametros_manuales!$H$40="Todos",datos_base!$J$11,0))*parametros_manuales!$I$105+parametros_manuales!$G$40*(datos_base!$J$5+IF(parametros_manuales!$H$40="Todos",datos_base!$J$12,0))*parametros_manuales!$I$110)*parametros_manuales!$I$40*parametros_manuales!$J$40</f>
        <v>5353.57</v>
      </c>
      <c r="J239" s="4">
        <f>(parametros_manuales!$D$40*(datos_base!$J$2+IF(parametros_manuales!$H$40="Todos",datos_base!$J$9,0))*parametros_manuales!$J$95+parametros_manuales!$E$40*(datos_base!$J$3+IF(parametros_manuales!$H$40="Todos",datos_base!$J$10,0))*parametros_manuales!$J$100+parametros_manuales!$F$40*(datos_base!$J$4+IF(parametros_manuales!$H$40="Todos",datos_base!$J$11,0))*parametros_manuales!$J$105+parametros_manuales!$G$40*(datos_base!$J$5+IF(parametros_manuales!$H$40="Todos",datos_base!$J$12,0))*parametros_manuales!$J$110)*parametros_manuales!$I$40*parametros_manuales!$J$40</f>
        <v>5353.57</v>
      </c>
      <c r="K239" s="4">
        <f>(parametros_manuales!$D$40*(datos_base!$J$2+IF(parametros_manuales!$H$40="Todos",datos_base!$J$9,0))*parametros_manuales!$K$95+parametros_manuales!$E$40*(datos_base!$J$3+IF(parametros_manuales!$H$40="Todos",datos_base!$J$10,0))*parametros_manuales!$K$100+parametros_manuales!$F$40*(datos_base!$J$4+IF(parametros_manuales!$H$40="Todos",datos_base!$J$11,0))*parametros_manuales!$K$105+parametros_manuales!$G$40*(datos_base!$J$5+IF(parametros_manuales!$H$40="Todos",datos_base!$J$12,0))*parametros_manuales!$K$110)*parametros_manuales!$I$40*parametros_manuales!$J$40</f>
        <v>5527.445</v>
      </c>
      <c r="L239" s="4">
        <f>(parametros_manuales!$D$40*(datos_base!$J$2+IF(parametros_manuales!$H$40="Todos",datos_base!$J$9,0))*parametros_manuales!$L$95+parametros_manuales!$E$40*(datos_base!$J$3+IF(parametros_manuales!$H$40="Todos",datos_base!$J$10,0))*parametros_manuales!$L$100+parametros_manuales!$F$40*(datos_base!$J$4+IF(parametros_manuales!$H$40="Todos",datos_base!$J$11,0))*parametros_manuales!$L$105+parametros_manuales!$G$40*(datos_base!$J$5+IF(parametros_manuales!$H$40="Todos",datos_base!$J$12,0))*parametros_manuales!$L$110)*parametros_manuales!$I$40*parametros_manuales!$J$40</f>
        <v>5701.32</v>
      </c>
      <c r="M239" s="4">
        <f>(parametros_manuales!$D$40*(datos_base!$J$2+IF(parametros_manuales!$H$40="Todos",datos_base!$J$9,0))*parametros_manuales!$M$95+parametros_manuales!$E$40*(datos_base!$J$3+IF(parametros_manuales!$H$40="Todos",datos_base!$J$10,0))*parametros_manuales!$M$100+parametros_manuales!$F$40*(datos_base!$J$4+IF(parametros_manuales!$H$40="Todos",datos_base!$J$11,0))*parametros_manuales!$M$105+parametros_manuales!$G$40*(datos_base!$J$5+IF(parametros_manuales!$H$40="Todos",datos_base!$J$12,0))*parametros_manuales!$M$110)*parametros_manuales!$I$40*parametros_manuales!$J$40</f>
        <v>5701.32</v>
      </c>
      <c r="N239" s="4">
        <f t="shared" si="25"/>
        <v>63348</v>
      </c>
      <c r="O239" s="4">
        <f t="shared" si="26"/>
        <v>5701.32</v>
      </c>
      <c r="P239" s="27">
        <f>O239/(parametros_manuales!$B$7)</f>
        <v>38.0088</v>
      </c>
      <c r="Q239" s="3" t="str">
        <f t="shared" si="27"/>
        <v>Ene</v>
      </c>
    </row>
    <row r="240" ht="14.25" customHeight="1">
      <c r="A240" s="3" t="str">
        <f>parametros_manuales!$B$41</f>
        <v>Control de calidad — Ensayo de pérdidas</v>
      </c>
      <c r="B240" s="4">
        <f>(parametros_manuales!$D$41*(datos_base!$J$2+IF(parametros_manuales!$H$41="Todos",datos_base!$J$9,0))*parametros_manuales!$B$95+parametros_manuales!$E$41*(datos_base!$J$3+IF(parametros_manuales!$H$41="Todos",datos_base!$J$10,0))*parametros_manuales!$B$100+parametros_manuales!$F$41*(datos_base!$J$4+IF(parametros_manuales!$H$41="Todos",datos_base!$J$11,0))*parametros_manuales!$B$105+parametros_manuales!$G$41*(datos_base!$J$5+IF(parametros_manuales!$H$41="Todos",datos_base!$J$12,0))*parametros_manuales!$B$110)*parametros_manuales!$I$41*parametros_manuales!$J$41</f>
        <v>5701.32</v>
      </c>
      <c r="C240" s="4">
        <f>(parametros_manuales!$D$41*(datos_base!$J$2+IF(parametros_manuales!$H$41="Todos",datos_base!$J$9,0))*parametros_manuales!$C$95+parametros_manuales!$E$41*(datos_base!$J$3+IF(parametros_manuales!$H$41="Todos",datos_base!$J$10,0))*parametros_manuales!$C$100+parametros_manuales!$F$41*(datos_base!$J$4+IF(parametros_manuales!$H$41="Todos",datos_base!$J$11,0))*parametros_manuales!$C$105+parametros_manuales!$G$41*(datos_base!$J$5+IF(parametros_manuales!$H$41="Todos",datos_base!$J$12,0))*parametros_manuales!$C$110)*parametros_manuales!$I$41*parametros_manuales!$J$41</f>
        <v>5353.57</v>
      </c>
      <c r="D240" s="4">
        <f>(parametros_manuales!$D$41*(datos_base!$J$2+IF(parametros_manuales!$H$41="Todos",datos_base!$J$9,0))*parametros_manuales!$D$95+parametros_manuales!$E$41*(datos_base!$J$3+IF(parametros_manuales!$H$41="Todos",datos_base!$J$10,0))*parametros_manuales!$D$100+parametros_manuales!$F$41*(datos_base!$J$4+IF(parametros_manuales!$H$41="Todos",datos_base!$J$11,0))*parametros_manuales!$D$105+parametros_manuales!$G$41*(datos_base!$J$5+IF(parametros_manuales!$H$41="Todos",datos_base!$J$12,0))*parametros_manuales!$D$110)*parametros_manuales!$I$41*parametros_manuales!$J$41</f>
        <v>5241.715</v>
      </c>
      <c r="E240" s="4">
        <f>(parametros_manuales!$D$41*(datos_base!$J$2+IF(parametros_manuales!$H$41="Todos",datos_base!$J$9,0))*parametros_manuales!$E$95+parametros_manuales!$E$41*(datos_base!$J$3+IF(parametros_manuales!$H$41="Todos",datos_base!$J$10,0))*parametros_manuales!$E$100+parametros_manuales!$F$41*(datos_base!$J$4+IF(parametros_manuales!$H$41="Todos",datos_base!$J$11,0))*parametros_manuales!$E$105+parametros_manuales!$G$41*(datos_base!$J$5+IF(parametros_manuales!$H$41="Todos",datos_base!$J$12,0))*parametros_manuales!$E$110)*parametros_manuales!$I$41*parametros_manuales!$J$41</f>
        <v>5098.85</v>
      </c>
      <c r="F240" s="4">
        <f>(parametros_manuales!$D$41*(datos_base!$J$2+IF(parametros_manuales!$H$41="Todos",datos_base!$J$9,0))*parametros_manuales!$F$95+parametros_manuales!$E$41*(datos_base!$J$3+IF(parametros_manuales!$H$41="Todos",datos_base!$J$10,0))*parametros_manuales!$F$100+parametros_manuales!$F$41*(datos_base!$J$4+IF(parametros_manuales!$H$41="Todos",datos_base!$J$11,0))*parametros_manuales!$F$105+parametros_manuales!$G$41*(datos_base!$J$5+IF(parametros_manuales!$H$41="Todos",datos_base!$J$12,0))*parametros_manuales!$F$110)*parametros_manuales!$I$41*parametros_manuales!$J$41</f>
        <v>4782.11</v>
      </c>
      <c r="G240" s="4">
        <f>(parametros_manuales!$D$41*(datos_base!$J$2+IF(parametros_manuales!$H$41="Todos",datos_base!$J$9,0))*parametros_manuales!$G$95+parametros_manuales!$E$41*(datos_base!$J$3+IF(parametros_manuales!$H$41="Todos",datos_base!$J$10,0))*parametros_manuales!$G$100+parametros_manuales!$F$41*(datos_base!$J$4+IF(parametros_manuales!$H$41="Todos",datos_base!$J$11,0))*parametros_manuales!$G$105+parametros_manuales!$G$41*(datos_base!$J$5+IF(parametros_manuales!$H$41="Todos",datos_base!$J$12,0))*parametros_manuales!$G$110)*parametros_manuales!$I$41*parametros_manuales!$J$41</f>
        <v>4608.235</v>
      </c>
      <c r="H240" s="4">
        <f>(parametros_manuales!$D$41*(datos_base!$J$2+IF(parametros_manuales!$H$41="Todos",datos_base!$J$9,0))*parametros_manuales!$H$95+parametros_manuales!$E$41*(datos_base!$J$3+IF(parametros_manuales!$H$41="Todos",datos_base!$J$10,0))*parametros_manuales!$H$100+parametros_manuales!$F$41*(datos_base!$J$4+IF(parametros_manuales!$H$41="Todos",datos_base!$J$11,0))*parametros_manuales!$H$105+parametros_manuales!$G$41*(datos_base!$J$5+IF(parametros_manuales!$H$41="Todos",datos_base!$J$12,0))*parametros_manuales!$H$110)*parametros_manuales!$I$41*parametros_manuales!$J$41</f>
        <v>4924.975</v>
      </c>
      <c r="I240" s="4">
        <f>(parametros_manuales!$D$41*(datos_base!$J$2+IF(parametros_manuales!$H$41="Todos",datos_base!$J$9,0))*parametros_manuales!$I$95+parametros_manuales!$E$41*(datos_base!$J$3+IF(parametros_manuales!$H$41="Todos",datos_base!$J$10,0))*parametros_manuales!$I$100+parametros_manuales!$F$41*(datos_base!$J$4+IF(parametros_manuales!$H$41="Todos",datos_base!$J$11,0))*parametros_manuales!$I$105+parametros_manuales!$G$41*(datos_base!$J$5+IF(parametros_manuales!$H$41="Todos",datos_base!$J$12,0))*parametros_manuales!$I$110)*parametros_manuales!$I$41*parametros_manuales!$J$41</f>
        <v>5353.57</v>
      </c>
      <c r="J240" s="4">
        <f>(parametros_manuales!$D$41*(datos_base!$J$2+IF(parametros_manuales!$H$41="Todos",datos_base!$J$9,0))*parametros_manuales!$J$95+parametros_manuales!$E$41*(datos_base!$J$3+IF(parametros_manuales!$H$41="Todos",datos_base!$J$10,0))*parametros_manuales!$J$100+parametros_manuales!$F$41*(datos_base!$J$4+IF(parametros_manuales!$H$41="Todos",datos_base!$J$11,0))*parametros_manuales!$J$105+parametros_manuales!$G$41*(datos_base!$J$5+IF(parametros_manuales!$H$41="Todos",datos_base!$J$12,0))*parametros_manuales!$J$110)*parametros_manuales!$I$41*parametros_manuales!$J$41</f>
        <v>5353.57</v>
      </c>
      <c r="K240" s="4">
        <f>(parametros_manuales!$D$41*(datos_base!$J$2+IF(parametros_manuales!$H$41="Todos",datos_base!$J$9,0))*parametros_manuales!$K$95+parametros_manuales!$E$41*(datos_base!$J$3+IF(parametros_manuales!$H$41="Todos",datos_base!$J$10,0))*parametros_manuales!$K$100+parametros_manuales!$F$41*(datos_base!$J$4+IF(parametros_manuales!$H$41="Todos",datos_base!$J$11,0))*parametros_manuales!$K$105+parametros_manuales!$G$41*(datos_base!$J$5+IF(parametros_manuales!$H$41="Todos",datos_base!$J$12,0))*parametros_manuales!$K$110)*parametros_manuales!$I$41*parametros_manuales!$J$41</f>
        <v>5527.445</v>
      </c>
      <c r="L240" s="4">
        <f>(parametros_manuales!$D$41*(datos_base!$J$2+IF(parametros_manuales!$H$41="Todos",datos_base!$J$9,0))*parametros_manuales!$L$95+parametros_manuales!$E$41*(datos_base!$J$3+IF(parametros_manuales!$H$41="Todos",datos_base!$J$10,0))*parametros_manuales!$L$100+parametros_manuales!$F$41*(datos_base!$J$4+IF(parametros_manuales!$H$41="Todos",datos_base!$J$11,0))*parametros_manuales!$L$105+parametros_manuales!$G$41*(datos_base!$J$5+IF(parametros_manuales!$H$41="Todos",datos_base!$J$12,0))*parametros_manuales!$L$110)*parametros_manuales!$I$41*parametros_manuales!$J$41</f>
        <v>5701.32</v>
      </c>
      <c r="M240" s="4">
        <f>(parametros_manuales!$D$41*(datos_base!$J$2+IF(parametros_manuales!$H$41="Todos",datos_base!$J$9,0))*parametros_manuales!$M$95+parametros_manuales!$E$41*(datos_base!$J$3+IF(parametros_manuales!$H$41="Todos",datos_base!$J$10,0))*parametros_manuales!$M$100+parametros_manuales!$F$41*(datos_base!$J$4+IF(parametros_manuales!$H$41="Todos",datos_base!$J$11,0))*parametros_manuales!$M$105+parametros_manuales!$G$41*(datos_base!$J$5+IF(parametros_manuales!$H$41="Todos",datos_base!$J$12,0))*parametros_manuales!$M$110)*parametros_manuales!$I$41*parametros_manuales!$J$41</f>
        <v>5701.32</v>
      </c>
      <c r="N240" s="4">
        <f t="shared" si="25"/>
        <v>63348</v>
      </c>
      <c r="O240" s="4">
        <f t="shared" si="26"/>
        <v>5701.32</v>
      </c>
      <c r="P240" s="27">
        <f>O240/(parametros_manuales!$B$7)</f>
        <v>38.0088</v>
      </c>
      <c r="Q240" s="3" t="str">
        <f t="shared" si="27"/>
        <v>Ene</v>
      </c>
    </row>
    <row r="241" ht="14.25" customHeight="1">
      <c r="A241" s="3" t="str">
        <f>parametros_manuales!$B$42</f>
        <v>Etiquetado</v>
      </c>
      <c r="B241" s="4">
        <f>(parametros_manuales!$D$42*(datos_base!$J$2+IF(parametros_manuales!$H$42="Todos",datos_base!$J$9,0))*parametros_manuales!$B$95+parametros_manuales!$E$42*(datos_base!$J$3+IF(parametros_manuales!$H$42="Todos",datos_base!$J$10,0))*parametros_manuales!$B$100+parametros_manuales!$F$42*(datos_base!$J$4+IF(parametros_manuales!$H$42="Todos",datos_base!$J$11,0))*parametros_manuales!$B$105+parametros_manuales!$G$42*(datos_base!$J$5+IF(parametros_manuales!$H$42="Todos",datos_base!$J$12,0))*parametros_manuales!$B$110)*parametros_manuales!$I$42*parametros_manuales!$J$42</f>
        <v>5701.32</v>
      </c>
      <c r="C241" s="4">
        <f>(parametros_manuales!$D$42*(datos_base!$J$2+IF(parametros_manuales!$H$42="Todos",datos_base!$J$9,0))*parametros_manuales!$C$95+parametros_manuales!$E$42*(datos_base!$J$3+IF(parametros_manuales!$H$42="Todos",datos_base!$J$10,0))*parametros_manuales!$C$100+parametros_manuales!$F$42*(datos_base!$J$4+IF(parametros_manuales!$H$42="Todos",datos_base!$J$11,0))*parametros_manuales!$C$105+parametros_manuales!$G$42*(datos_base!$J$5+IF(parametros_manuales!$H$42="Todos",datos_base!$J$12,0))*parametros_manuales!$C$110)*parametros_manuales!$I$42*parametros_manuales!$J$42</f>
        <v>5353.57</v>
      </c>
      <c r="D241" s="4">
        <f>(parametros_manuales!$D$42*(datos_base!$J$2+IF(parametros_manuales!$H$42="Todos",datos_base!$J$9,0))*parametros_manuales!$D$95+parametros_manuales!$E$42*(datos_base!$J$3+IF(parametros_manuales!$H$42="Todos",datos_base!$J$10,0))*parametros_manuales!$D$100+parametros_manuales!$F$42*(datos_base!$J$4+IF(parametros_manuales!$H$42="Todos",datos_base!$J$11,0))*parametros_manuales!$D$105+parametros_manuales!$G$42*(datos_base!$J$5+IF(parametros_manuales!$H$42="Todos",datos_base!$J$12,0))*parametros_manuales!$D$110)*parametros_manuales!$I$42*parametros_manuales!$J$42</f>
        <v>5241.715</v>
      </c>
      <c r="E241" s="4">
        <f>(parametros_manuales!$D$42*(datos_base!$J$2+IF(parametros_manuales!$H$42="Todos",datos_base!$J$9,0))*parametros_manuales!$E$95+parametros_manuales!$E$42*(datos_base!$J$3+IF(parametros_manuales!$H$42="Todos",datos_base!$J$10,0))*parametros_manuales!$E$100+parametros_manuales!$F$42*(datos_base!$J$4+IF(parametros_manuales!$H$42="Todos",datos_base!$J$11,0))*parametros_manuales!$E$105+parametros_manuales!$G$42*(datos_base!$J$5+IF(parametros_manuales!$H$42="Todos",datos_base!$J$12,0))*parametros_manuales!$E$110)*parametros_manuales!$I$42*parametros_manuales!$J$42</f>
        <v>5098.85</v>
      </c>
      <c r="F241" s="4">
        <f>(parametros_manuales!$D$42*(datos_base!$J$2+IF(parametros_manuales!$H$42="Todos",datos_base!$J$9,0))*parametros_manuales!$F$95+parametros_manuales!$E$42*(datos_base!$J$3+IF(parametros_manuales!$H$42="Todos",datos_base!$J$10,0))*parametros_manuales!$F$100+parametros_manuales!$F$42*(datos_base!$J$4+IF(parametros_manuales!$H$42="Todos",datos_base!$J$11,0))*parametros_manuales!$F$105+parametros_manuales!$G$42*(datos_base!$J$5+IF(parametros_manuales!$H$42="Todos",datos_base!$J$12,0))*parametros_manuales!$F$110)*parametros_manuales!$I$42*parametros_manuales!$J$42</f>
        <v>4782.11</v>
      </c>
      <c r="G241" s="4">
        <f>(parametros_manuales!$D$42*(datos_base!$J$2+IF(parametros_manuales!$H$42="Todos",datos_base!$J$9,0))*parametros_manuales!$G$95+parametros_manuales!$E$42*(datos_base!$J$3+IF(parametros_manuales!$H$42="Todos",datos_base!$J$10,0))*parametros_manuales!$G$100+parametros_manuales!$F$42*(datos_base!$J$4+IF(parametros_manuales!$H$42="Todos",datos_base!$J$11,0))*parametros_manuales!$G$105+parametros_manuales!$G$42*(datos_base!$J$5+IF(parametros_manuales!$H$42="Todos",datos_base!$J$12,0))*parametros_manuales!$G$110)*parametros_manuales!$I$42*parametros_manuales!$J$42</f>
        <v>4608.235</v>
      </c>
      <c r="H241" s="4">
        <f>(parametros_manuales!$D$42*(datos_base!$J$2+IF(parametros_manuales!$H$42="Todos",datos_base!$J$9,0))*parametros_manuales!$H$95+parametros_manuales!$E$42*(datos_base!$J$3+IF(parametros_manuales!$H$42="Todos",datos_base!$J$10,0))*parametros_manuales!$H$100+parametros_manuales!$F$42*(datos_base!$J$4+IF(parametros_manuales!$H$42="Todos",datos_base!$J$11,0))*parametros_manuales!$H$105+parametros_manuales!$G$42*(datos_base!$J$5+IF(parametros_manuales!$H$42="Todos",datos_base!$J$12,0))*parametros_manuales!$H$110)*parametros_manuales!$I$42*parametros_manuales!$J$42</f>
        <v>4924.975</v>
      </c>
      <c r="I241" s="4">
        <f>(parametros_manuales!$D$42*(datos_base!$J$2+IF(parametros_manuales!$H$42="Todos",datos_base!$J$9,0))*parametros_manuales!$I$95+parametros_manuales!$E$42*(datos_base!$J$3+IF(parametros_manuales!$H$42="Todos",datos_base!$J$10,0))*parametros_manuales!$I$100+parametros_manuales!$F$42*(datos_base!$J$4+IF(parametros_manuales!$H$42="Todos",datos_base!$J$11,0))*parametros_manuales!$I$105+parametros_manuales!$G$42*(datos_base!$J$5+IF(parametros_manuales!$H$42="Todos",datos_base!$J$12,0))*parametros_manuales!$I$110)*parametros_manuales!$I$42*parametros_manuales!$J$42</f>
        <v>5353.57</v>
      </c>
      <c r="J241" s="4">
        <f>(parametros_manuales!$D$42*(datos_base!$J$2+IF(parametros_manuales!$H$42="Todos",datos_base!$J$9,0))*parametros_manuales!$J$95+parametros_manuales!$E$42*(datos_base!$J$3+IF(parametros_manuales!$H$42="Todos",datos_base!$J$10,0))*parametros_manuales!$J$100+parametros_manuales!$F$42*(datos_base!$J$4+IF(parametros_manuales!$H$42="Todos",datos_base!$J$11,0))*parametros_manuales!$J$105+parametros_manuales!$G$42*(datos_base!$J$5+IF(parametros_manuales!$H$42="Todos",datos_base!$J$12,0))*parametros_manuales!$J$110)*parametros_manuales!$I$42*parametros_manuales!$J$42</f>
        <v>5353.57</v>
      </c>
      <c r="K241" s="4">
        <f>(parametros_manuales!$D$42*(datos_base!$J$2+IF(parametros_manuales!$H$42="Todos",datos_base!$J$9,0))*parametros_manuales!$K$95+parametros_manuales!$E$42*(datos_base!$J$3+IF(parametros_manuales!$H$42="Todos",datos_base!$J$10,0))*parametros_manuales!$K$100+parametros_manuales!$F$42*(datos_base!$J$4+IF(parametros_manuales!$H$42="Todos",datos_base!$J$11,0))*parametros_manuales!$K$105+parametros_manuales!$G$42*(datos_base!$J$5+IF(parametros_manuales!$H$42="Todos",datos_base!$J$12,0))*parametros_manuales!$K$110)*parametros_manuales!$I$42*parametros_manuales!$J$42</f>
        <v>5527.445</v>
      </c>
      <c r="L241" s="4">
        <f>(parametros_manuales!$D$42*(datos_base!$J$2+IF(parametros_manuales!$H$42="Todos",datos_base!$J$9,0))*parametros_manuales!$L$95+parametros_manuales!$E$42*(datos_base!$J$3+IF(parametros_manuales!$H$42="Todos",datos_base!$J$10,0))*parametros_manuales!$L$100+parametros_manuales!$F$42*(datos_base!$J$4+IF(parametros_manuales!$H$42="Todos",datos_base!$J$11,0))*parametros_manuales!$L$105+parametros_manuales!$G$42*(datos_base!$J$5+IF(parametros_manuales!$H$42="Todos",datos_base!$J$12,0))*parametros_manuales!$L$110)*parametros_manuales!$I$42*parametros_manuales!$J$42</f>
        <v>5701.32</v>
      </c>
      <c r="M241" s="4">
        <f>(parametros_manuales!$D$42*(datos_base!$J$2+IF(parametros_manuales!$H$42="Todos",datos_base!$J$9,0))*parametros_manuales!$M$95+parametros_manuales!$E$42*(datos_base!$J$3+IF(parametros_manuales!$H$42="Todos",datos_base!$J$10,0))*parametros_manuales!$M$100+parametros_manuales!$F$42*(datos_base!$J$4+IF(parametros_manuales!$H$42="Todos",datos_base!$J$11,0))*parametros_manuales!$M$105+parametros_manuales!$G$42*(datos_base!$J$5+IF(parametros_manuales!$H$42="Todos",datos_base!$J$12,0))*parametros_manuales!$M$110)*parametros_manuales!$I$42*parametros_manuales!$J$42</f>
        <v>5701.32</v>
      </c>
      <c r="N241" s="4">
        <f t="shared" si="25"/>
        <v>63348</v>
      </c>
      <c r="O241" s="4">
        <f t="shared" si="26"/>
        <v>5701.32</v>
      </c>
      <c r="P241" s="27">
        <f>O241/(parametros_manuales!$B$7)</f>
        <v>38.0088</v>
      </c>
      <c r="Q241" s="3" t="str">
        <f t="shared" si="27"/>
        <v>Ene</v>
      </c>
    </row>
    <row r="242" ht="14.25" customHeight="1">
      <c r="A242" s="3" t="str">
        <f>parametros_manuales!$B$43</f>
        <v>Embalaje y paletizado</v>
      </c>
      <c r="B242" s="4">
        <f>(parametros_manuales!$D$43*(datos_base!$J$2+IF(parametros_manuales!$H$43="Todos",datos_base!$J$9,0))*parametros_manuales!$B$95+parametros_manuales!$E$43*(datos_base!$J$3+IF(parametros_manuales!$H$43="Todos",datos_base!$J$10,0))*parametros_manuales!$B$100+parametros_manuales!$F$43*(datos_base!$J$4+IF(parametros_manuales!$H$43="Todos",datos_base!$J$11,0))*parametros_manuales!$B$105+parametros_manuales!$G$43*(datos_base!$J$5+IF(parametros_manuales!$H$43="Todos",datos_base!$J$12,0))*parametros_manuales!$B$110)*parametros_manuales!$I$43*parametros_manuales!$J$43</f>
        <v>22137.84</v>
      </c>
      <c r="C242" s="4">
        <f>(parametros_manuales!$D$43*(datos_base!$J$2+IF(parametros_manuales!$H$43="Todos",datos_base!$J$9,0))*parametros_manuales!$C$95+parametros_manuales!$E$43*(datos_base!$J$3+IF(parametros_manuales!$H$43="Todos",datos_base!$J$10,0))*parametros_manuales!$C$100+parametros_manuales!$F$43*(datos_base!$J$4+IF(parametros_manuales!$H$43="Todos",datos_base!$J$11,0))*parametros_manuales!$C$105+parametros_manuales!$G$43*(datos_base!$J$5+IF(parametros_manuales!$H$43="Todos",datos_base!$J$12,0))*parametros_manuales!$C$110)*parametros_manuales!$I$43*parametros_manuales!$J$43</f>
        <v>21432.01</v>
      </c>
      <c r="D242" s="4">
        <f>(parametros_manuales!$D$43*(datos_base!$J$2+IF(parametros_manuales!$H$43="Todos",datos_base!$J$9,0))*parametros_manuales!$D$95+parametros_manuales!$E$43*(datos_base!$J$3+IF(parametros_manuales!$H$43="Todos",datos_base!$J$10,0))*parametros_manuales!$D$100+parametros_manuales!$F$43*(datos_base!$J$4+IF(parametros_manuales!$H$43="Todos",datos_base!$J$11,0))*parametros_manuales!$D$105+parametros_manuales!$G$43*(datos_base!$J$5+IF(parametros_manuales!$H$43="Todos",datos_base!$J$12,0))*parametros_manuales!$D$110)*parametros_manuales!$I$43*parametros_manuales!$J$43</f>
        <v>20030.995</v>
      </c>
      <c r="E242" s="4">
        <f>(parametros_manuales!$D$43*(datos_base!$J$2+IF(parametros_manuales!$H$43="Todos",datos_base!$J$9,0))*parametros_manuales!$E$95+parametros_manuales!$E$43*(datos_base!$J$3+IF(parametros_manuales!$H$43="Todos",datos_base!$J$10,0))*parametros_manuales!$E$100+parametros_manuales!$F$43*(datos_base!$J$4+IF(parametros_manuales!$H$43="Todos",datos_base!$J$11,0))*parametros_manuales!$E$105+parametros_manuales!$G$43*(datos_base!$J$5+IF(parametros_manuales!$H$43="Todos",datos_base!$J$12,0))*parametros_manuales!$E$110)*parametros_manuales!$I$43*parametros_manuales!$J$43</f>
        <v>19154.03</v>
      </c>
      <c r="F242" s="4">
        <f>(parametros_manuales!$D$43*(datos_base!$J$2+IF(parametros_manuales!$H$43="Todos",datos_base!$J$9,0))*parametros_manuales!$F$95+parametros_manuales!$E$43*(datos_base!$J$3+IF(parametros_manuales!$H$43="Todos",datos_base!$J$10,0))*parametros_manuales!$F$100+parametros_manuales!$F$43*(datos_base!$J$4+IF(parametros_manuales!$H$43="Todos",datos_base!$J$11,0))*parametros_manuales!$F$105+parametros_manuales!$G$43*(datos_base!$J$5+IF(parametros_manuales!$H$43="Todos",datos_base!$J$12,0))*parametros_manuales!$F$110)*parametros_manuales!$I$43*parametros_manuales!$J$43</f>
        <v>17924.15</v>
      </c>
      <c r="G242" s="4">
        <f>(parametros_manuales!$D$43*(datos_base!$J$2+IF(parametros_manuales!$H$43="Todos",datos_base!$J$9,0))*parametros_manuales!$G$95+parametros_manuales!$E$43*(datos_base!$J$3+IF(parametros_manuales!$H$43="Todos",datos_base!$J$10,0))*parametros_manuales!$G$100+parametros_manuales!$F$43*(datos_base!$J$4+IF(parametros_manuales!$H$43="Todos",datos_base!$J$11,0))*parametros_manuales!$G$105+parametros_manuales!$G$43*(datos_base!$J$5+IF(parametros_manuales!$H$43="Todos",datos_base!$J$12,0))*parametros_manuales!$G$110)*parametros_manuales!$I$43*parametros_manuales!$J$43</f>
        <v>17571.235</v>
      </c>
      <c r="H242" s="4">
        <f>(parametros_manuales!$D$43*(datos_base!$J$2+IF(parametros_manuales!$H$43="Todos",datos_base!$J$9,0))*parametros_manuales!$H$95+parametros_manuales!$E$43*(datos_base!$J$3+IF(parametros_manuales!$H$43="Todos",datos_base!$J$10,0))*parametros_manuales!$H$100+parametros_manuales!$F$43*(datos_base!$J$4+IF(parametros_manuales!$H$43="Todos",datos_base!$J$11,0))*parametros_manuales!$H$105+parametros_manuales!$G$43*(datos_base!$J$5+IF(parametros_manuales!$H$43="Todos",datos_base!$J$12,0))*parametros_manuales!$H$110)*parametros_manuales!$I$43*parametros_manuales!$J$43</f>
        <v>18801.115</v>
      </c>
      <c r="I242" s="4">
        <f>(parametros_manuales!$D$43*(datos_base!$J$2+IF(parametros_manuales!$H$43="Todos",datos_base!$J$9,0))*parametros_manuales!$I$95+parametros_manuales!$E$43*(datos_base!$J$3+IF(parametros_manuales!$H$43="Todos",datos_base!$J$10,0))*parametros_manuales!$I$100+parametros_manuales!$F$43*(datos_base!$J$4+IF(parametros_manuales!$H$43="Todos",datos_base!$J$11,0))*parametros_manuales!$I$105+parametros_manuales!$G$43*(datos_base!$J$5+IF(parametros_manuales!$H$43="Todos",datos_base!$J$12,0))*parametros_manuales!$I$110)*parametros_manuales!$I$43*parametros_manuales!$J$43</f>
        <v>21432.01</v>
      </c>
      <c r="J242" s="4">
        <f>(parametros_manuales!$D$43*(datos_base!$J$2+IF(parametros_manuales!$H$43="Todos",datos_base!$J$9,0))*parametros_manuales!$J$95+parametros_manuales!$E$43*(datos_base!$J$3+IF(parametros_manuales!$H$43="Todos",datos_base!$J$10,0))*parametros_manuales!$J$100+parametros_manuales!$F$43*(datos_base!$J$4+IF(parametros_manuales!$H$43="Todos",datos_base!$J$11,0))*parametros_manuales!$J$105+parametros_manuales!$G$43*(datos_base!$J$5+IF(parametros_manuales!$H$43="Todos",datos_base!$J$12,0))*parametros_manuales!$J$110)*parametros_manuales!$I$43*parametros_manuales!$J$43</f>
        <v>21432.01</v>
      </c>
      <c r="K242" s="4">
        <f>(parametros_manuales!$D$43*(datos_base!$J$2+IF(parametros_manuales!$H$43="Todos",datos_base!$J$9,0))*parametros_manuales!$K$95+parametros_manuales!$E$43*(datos_base!$J$3+IF(parametros_manuales!$H$43="Todos",datos_base!$J$10,0))*parametros_manuales!$K$100+parametros_manuales!$F$43*(datos_base!$J$4+IF(parametros_manuales!$H$43="Todos",datos_base!$J$11,0))*parametros_manuales!$K$105+parametros_manuales!$G$43*(datos_base!$J$5+IF(parametros_manuales!$H$43="Todos",datos_base!$J$12,0))*parametros_manuales!$K$110)*parametros_manuales!$I$43*parametros_manuales!$J$43</f>
        <v>21784.925</v>
      </c>
      <c r="L242" s="4">
        <f>(parametros_manuales!$D$43*(datos_base!$J$2+IF(parametros_manuales!$H$43="Todos",datos_base!$J$9,0))*parametros_manuales!$L$95+parametros_manuales!$E$43*(datos_base!$J$3+IF(parametros_manuales!$H$43="Todos",datos_base!$J$10,0))*parametros_manuales!$L$100+parametros_manuales!$F$43*(datos_base!$J$4+IF(parametros_manuales!$H$43="Todos",datos_base!$J$11,0))*parametros_manuales!$L$105+parametros_manuales!$G$43*(datos_base!$J$5+IF(parametros_manuales!$H$43="Todos",datos_base!$J$12,0))*parametros_manuales!$L$110)*parametros_manuales!$I$43*parametros_manuales!$J$43</f>
        <v>22137.84</v>
      </c>
      <c r="M242" s="4">
        <f>(parametros_manuales!$D$43*(datos_base!$J$2+IF(parametros_manuales!$H$43="Todos",datos_base!$J$9,0))*parametros_manuales!$M$95+parametros_manuales!$E$43*(datos_base!$J$3+IF(parametros_manuales!$H$43="Todos",datos_base!$J$10,0))*parametros_manuales!$M$100+parametros_manuales!$F$43*(datos_base!$J$4+IF(parametros_manuales!$H$43="Todos",datos_base!$J$11,0))*parametros_manuales!$M$105+parametros_manuales!$G$43*(datos_base!$J$5+IF(parametros_manuales!$H$43="Todos",datos_base!$J$12,0))*parametros_manuales!$M$110)*parametros_manuales!$I$43*parametros_manuales!$J$43</f>
        <v>22137.84</v>
      </c>
      <c r="N242" s="4">
        <f t="shared" si="25"/>
        <v>245976</v>
      </c>
      <c r="O242" s="4">
        <f t="shared" si="26"/>
        <v>22137.84</v>
      </c>
      <c r="P242" s="27">
        <f>O242/(parametros_manuales!$B$7)</f>
        <v>147.5856</v>
      </c>
      <c r="Q242" s="3" t="str">
        <f t="shared" si="27"/>
        <v>Ene</v>
      </c>
    </row>
    <row r="243" ht="14.25" customHeight="1"/>
    <row r="244" ht="14.25" customHeight="1">
      <c r="A244" s="1" t="s">
        <v>186</v>
      </c>
      <c r="B244" s="1" t="s">
        <v>5</v>
      </c>
      <c r="C244" s="1" t="s">
        <v>7</v>
      </c>
      <c r="D244" s="1" t="s">
        <v>8</v>
      </c>
      <c r="E244" s="1" t="s">
        <v>9</v>
      </c>
      <c r="F244" s="1" t="s">
        <v>11</v>
      </c>
      <c r="G244" s="1" t="s">
        <v>12</v>
      </c>
      <c r="H244" s="1" t="s">
        <v>14</v>
      </c>
      <c r="I244" s="1" t="s">
        <v>15</v>
      </c>
      <c r="J244" s="1" t="s">
        <v>16</v>
      </c>
      <c r="K244" s="1" t="s">
        <v>18</v>
      </c>
      <c r="L244" s="1" t="s">
        <v>19</v>
      </c>
      <c r="M244" s="1" t="s">
        <v>20</v>
      </c>
      <c r="N244" s="1" t="s">
        <v>21</v>
      </c>
      <c r="O244" s="1" t="s">
        <v>22</v>
      </c>
      <c r="P244" s="1" t="s">
        <v>23</v>
      </c>
      <c r="Q244" s="1" t="s">
        <v>24</v>
      </c>
    </row>
    <row r="245" ht="14.25" customHeight="1">
      <c r="A245" s="3" t="str">
        <f>parametros_manuales!$B$19</f>
        <v>Recepción de materia prima</v>
      </c>
      <c r="B245" s="4">
        <f>(parametros_manuales!$D$19*(datos_base!$K$2+IF(parametros_manuales!$H$19="Todos",datos_base!$K$9,0))*parametros_manuales!$B$95+parametros_manuales!$E$19*(datos_base!$K$3+IF(parametros_manuales!$H$19="Todos",datos_base!$K$10,0))*parametros_manuales!$B$100+parametros_manuales!$F$19*(datos_base!$K$4+IF(parametros_manuales!$H$19="Todos",datos_base!$K$11,0))*parametros_manuales!$B$105+parametros_manuales!$G$19*(datos_base!$K$5+IF(parametros_manuales!$H$19="Todos",datos_base!$K$12,0))*parametros_manuales!$B$110)*parametros_manuales!$I$19*parametros_manuales!$J$19</f>
        <v>25580.97</v>
      </c>
      <c r="C245" s="4">
        <f>(parametros_manuales!$D$19*(datos_base!$K$2+IF(parametros_manuales!$H$19="Todos",datos_base!$K$9,0))*parametros_manuales!$C$95+parametros_manuales!$E$19*(datos_base!$K$3+IF(parametros_manuales!$H$19="Todos",datos_base!$K$10,0))*parametros_manuales!$C$100+parametros_manuales!$F$19*(datos_base!$K$4+IF(parametros_manuales!$H$19="Todos",datos_base!$K$11,0))*parametros_manuales!$C$105+parametros_manuales!$G$19*(datos_base!$K$5+IF(parametros_manuales!$H$19="Todos",datos_base!$K$12,0))*parametros_manuales!$C$110)*parametros_manuales!$I$19*parametros_manuales!$J$19</f>
        <v>24764.85</v>
      </c>
      <c r="D245" s="4">
        <f>(parametros_manuales!$D$19*(datos_base!$K$2+IF(parametros_manuales!$H$19="Todos",datos_base!$K$9,0))*parametros_manuales!$D$95+parametros_manuales!$E$19*(datos_base!$K$3+IF(parametros_manuales!$H$19="Todos",datos_base!$K$10,0))*parametros_manuales!$D$100+parametros_manuales!$F$19*(datos_base!$K$4+IF(parametros_manuales!$H$19="Todos",datos_base!$K$11,0))*parametros_manuales!$D$105+parametros_manuales!$G$19*(datos_base!$K$5+IF(parametros_manuales!$H$19="Todos",datos_base!$K$12,0))*parametros_manuales!$D$110)*parametros_manuales!$I$19*parametros_manuales!$J$19</f>
        <v>23146.7</v>
      </c>
      <c r="E245" s="4">
        <f>(parametros_manuales!$D$19*(datos_base!$K$2+IF(parametros_manuales!$H$19="Todos",datos_base!$K$9,0))*parametros_manuales!$E$95+parametros_manuales!$E$19*(datos_base!$K$3+IF(parametros_manuales!$H$19="Todos",datos_base!$K$10,0))*parametros_manuales!$E$100+parametros_manuales!$F$19*(datos_base!$K$4+IF(parametros_manuales!$H$19="Todos",datos_base!$K$11,0))*parametros_manuales!$E$105+parametros_manuales!$G$19*(datos_base!$K$5+IF(parametros_manuales!$H$19="Todos",datos_base!$K$12,0))*parametros_manuales!$E$110)*parametros_manuales!$I$19*parametros_manuales!$J$19</f>
        <v>22133.595</v>
      </c>
      <c r="F245" s="4">
        <f>(parametros_manuales!$D$19*(datos_base!$K$2+IF(parametros_manuales!$H$19="Todos",datos_base!$K$9,0))*parametros_manuales!$F$95+parametros_manuales!$E$19*(datos_base!$K$3+IF(parametros_manuales!$H$19="Todos",datos_base!$K$10,0))*parametros_manuales!$F$100+parametros_manuales!$F$19*(datos_base!$K$4+IF(parametros_manuales!$H$19="Todos",datos_base!$K$11,0))*parametros_manuales!$F$105+parametros_manuales!$G$19*(datos_base!$K$5+IF(parametros_manuales!$H$19="Todos",datos_base!$K$12,0))*parametros_manuales!$F$110)*parametros_manuales!$I$19*parametros_manuales!$J$19</f>
        <v>20712.43</v>
      </c>
      <c r="G245" s="4">
        <f>(parametros_manuales!$D$19*(datos_base!$K$2+IF(parametros_manuales!$H$19="Todos",datos_base!$K$9,0))*parametros_manuales!$G$95+parametros_manuales!$E$19*(datos_base!$K$3+IF(parametros_manuales!$H$19="Todos",datos_base!$K$10,0))*parametros_manuales!$G$100+parametros_manuales!$F$19*(datos_base!$K$4+IF(parametros_manuales!$H$19="Todos",datos_base!$K$11,0))*parametros_manuales!$G$105+parametros_manuales!$G$19*(datos_base!$K$5+IF(parametros_manuales!$H$19="Todos",datos_base!$K$12,0))*parametros_manuales!$G$110)*parametros_manuales!$I$19*parametros_manuales!$J$19</f>
        <v>20304.37</v>
      </c>
      <c r="H245" s="4">
        <f>(parametros_manuales!$D$19*(datos_base!$K$2+IF(parametros_manuales!$H$19="Todos",datos_base!$K$9,0))*parametros_manuales!$H$95+parametros_manuales!$E$19*(datos_base!$K$3+IF(parametros_manuales!$H$19="Todos",datos_base!$K$10,0))*parametros_manuales!$H$100+parametros_manuales!$F$19*(datos_base!$K$4+IF(parametros_manuales!$H$19="Todos",datos_base!$K$11,0))*parametros_manuales!$H$105+parametros_manuales!$G$19*(datos_base!$K$5+IF(parametros_manuales!$H$19="Todos",datos_base!$K$12,0))*parametros_manuales!$H$110)*parametros_manuales!$I$19*parametros_manuales!$J$19</f>
        <v>21725.535</v>
      </c>
      <c r="I245" s="4">
        <f>(parametros_manuales!$D$19*(datos_base!$K$2+IF(parametros_manuales!$H$19="Todos",datos_base!$K$9,0))*parametros_manuales!$I$95+parametros_manuales!$E$19*(datos_base!$K$3+IF(parametros_manuales!$H$19="Todos",datos_base!$K$10,0))*parametros_manuales!$I$100+parametros_manuales!$F$19*(datos_base!$K$4+IF(parametros_manuales!$H$19="Todos",datos_base!$K$11,0))*parametros_manuales!$I$105+parametros_manuales!$G$19*(datos_base!$K$5+IF(parametros_manuales!$H$19="Todos",datos_base!$K$12,0))*parametros_manuales!$I$110)*parametros_manuales!$I$19*parametros_manuales!$J$19</f>
        <v>24764.85</v>
      </c>
      <c r="J245" s="4">
        <f>(parametros_manuales!$D$19*(datos_base!$K$2+IF(parametros_manuales!$H$19="Todos",datos_base!$K$9,0))*parametros_manuales!$J$95+parametros_manuales!$E$19*(datos_base!$K$3+IF(parametros_manuales!$H$19="Todos",datos_base!$K$10,0))*parametros_manuales!$J$100+parametros_manuales!$F$19*(datos_base!$K$4+IF(parametros_manuales!$H$19="Todos",datos_base!$K$11,0))*parametros_manuales!$J$105+parametros_manuales!$G$19*(datos_base!$K$5+IF(parametros_manuales!$H$19="Todos",datos_base!$K$12,0))*parametros_manuales!$J$110)*parametros_manuales!$I$19*parametros_manuales!$J$19</f>
        <v>24764.85</v>
      </c>
      <c r="K245" s="4">
        <f>(parametros_manuales!$D$19*(datos_base!$K$2+IF(parametros_manuales!$H$19="Todos",datos_base!$K$9,0))*parametros_manuales!$K$95+parametros_manuales!$E$19*(datos_base!$K$3+IF(parametros_manuales!$H$19="Todos",datos_base!$K$10,0))*parametros_manuales!$K$100+parametros_manuales!$F$19*(datos_base!$K$4+IF(parametros_manuales!$H$19="Todos",datos_base!$K$11,0))*parametros_manuales!$K$105+parametros_manuales!$G$19*(datos_base!$K$5+IF(parametros_manuales!$H$19="Todos",datos_base!$K$12,0))*parametros_manuales!$K$110)*parametros_manuales!$I$19*parametros_manuales!$J$19</f>
        <v>25172.91</v>
      </c>
      <c r="L245" s="4">
        <f>(parametros_manuales!$D$19*(datos_base!$K$2+IF(parametros_manuales!$H$19="Todos",datos_base!$K$9,0))*parametros_manuales!$L$95+parametros_manuales!$E$19*(datos_base!$K$3+IF(parametros_manuales!$H$19="Todos",datos_base!$K$10,0))*parametros_manuales!$L$100+parametros_manuales!$F$19*(datos_base!$K$4+IF(parametros_manuales!$H$19="Todos",datos_base!$K$11,0))*parametros_manuales!$L$105+parametros_manuales!$G$19*(datos_base!$K$5+IF(parametros_manuales!$H$19="Todos",datos_base!$K$12,0))*parametros_manuales!$L$110)*parametros_manuales!$I$19*parametros_manuales!$J$19</f>
        <v>25580.97</v>
      </c>
      <c r="M245" s="4">
        <f>(parametros_manuales!$D$19*(datos_base!$K$2+IF(parametros_manuales!$H$19="Todos",datos_base!$K$9,0))*parametros_manuales!$M$95+parametros_manuales!$E$19*(datos_base!$K$3+IF(parametros_manuales!$H$19="Todos",datos_base!$K$10,0))*parametros_manuales!$M$100+parametros_manuales!$F$19*(datos_base!$K$4+IF(parametros_manuales!$H$19="Todos",datos_base!$K$11,0))*parametros_manuales!$M$105+parametros_manuales!$G$19*(datos_base!$K$5+IF(parametros_manuales!$H$19="Todos",datos_base!$K$12,0))*parametros_manuales!$M$110)*parametros_manuales!$I$19*parametros_manuales!$J$19</f>
        <v>25580.97</v>
      </c>
      <c r="N245" s="4">
        <f t="shared" ref="N245:N269" si="28">SUM(B245:M245)</f>
        <v>284233</v>
      </c>
      <c r="O245" s="4">
        <f t="shared" ref="O245:O269" si="29">MAX(B245:M245)</f>
        <v>25580.97</v>
      </c>
      <c r="P245" s="27">
        <f>O245/(parametros_manuales!$B$7)</f>
        <v>170.5398</v>
      </c>
      <c r="Q245" s="3" t="str">
        <f t="shared" ref="Q245:Q269" si="30">IF(O245=0,"-",INDEX($B$244:$M$244,MATCH(O245,B245:M245,0)))</f>
        <v>Ene</v>
      </c>
    </row>
    <row r="246" ht="14.25" customHeight="1">
      <c r="A246" s="3" t="str">
        <f>parametros_manuales!$B$20</f>
        <v>Corte de chapa (guillotina) — 2,5 a 10 kg</v>
      </c>
      <c r="B246" s="4">
        <f>(parametros_manuales!$D$20*(datos_base!$K$2+IF(parametros_manuales!$H$20="Todos",datos_base!$K$9,0))*parametros_manuales!$B$95+parametros_manuales!$E$20*(datos_base!$K$3+IF(parametros_manuales!$H$20="Todos",datos_base!$K$10,0))*parametros_manuales!$B$100+parametros_manuales!$F$20*(datos_base!$K$4+IF(parametros_manuales!$H$20="Todos",datos_base!$K$11,0))*parametros_manuales!$B$105+parametros_manuales!$G$20*(datos_base!$K$5+IF(parametros_manuales!$H$20="Todos",datos_base!$K$12,0))*parametros_manuales!$B$110)*parametros_manuales!$I$20*parametros_manuales!$J$20</f>
        <v>7345.08</v>
      </c>
      <c r="C246" s="4">
        <f>(parametros_manuales!$D$20*(datos_base!$K$2+IF(parametros_manuales!$H$20="Todos",datos_base!$K$9,0))*parametros_manuales!$C$95+parametros_manuales!$E$20*(datos_base!$K$3+IF(parametros_manuales!$H$20="Todos",datos_base!$K$10,0))*parametros_manuales!$C$100+parametros_manuales!$F$20*(datos_base!$K$4+IF(parametros_manuales!$H$20="Todos",datos_base!$K$11,0))*parametros_manuales!$C$105+parametros_manuales!$G$20*(datos_base!$K$5+IF(parametros_manuales!$H$20="Todos",datos_base!$K$12,0))*parametros_manuales!$C$110)*parametros_manuales!$I$20*parametros_manuales!$J$20</f>
        <v>6528.96</v>
      </c>
      <c r="D246" s="4">
        <f>(parametros_manuales!$D$20*(datos_base!$K$2+IF(parametros_manuales!$H$20="Todos",datos_base!$K$9,0))*parametros_manuales!$D$95+parametros_manuales!$E$20*(datos_base!$K$3+IF(parametros_manuales!$H$20="Todos",datos_base!$K$10,0))*parametros_manuales!$D$100+parametros_manuales!$F$20*(datos_base!$K$4+IF(parametros_manuales!$H$20="Todos",datos_base!$K$11,0))*parametros_manuales!$D$105+parametros_manuales!$G$20*(datos_base!$K$5+IF(parametros_manuales!$H$20="Todos",datos_base!$K$12,0))*parametros_manuales!$D$110)*parametros_manuales!$I$20*parametros_manuales!$J$20</f>
        <v>6937.02</v>
      </c>
      <c r="E246" s="4">
        <f>(parametros_manuales!$D$20*(datos_base!$K$2+IF(parametros_manuales!$H$20="Todos",datos_base!$K$9,0))*parametros_manuales!$E$95+parametros_manuales!$E$20*(datos_base!$K$3+IF(parametros_manuales!$H$20="Todos",datos_base!$K$10,0))*parametros_manuales!$E$100+parametros_manuales!$F$20*(datos_base!$K$4+IF(parametros_manuales!$H$20="Todos",datos_base!$K$11,0))*parametros_manuales!$E$105+parametros_manuales!$G$20*(datos_base!$K$5+IF(parametros_manuales!$H$20="Todos",datos_base!$K$12,0))*parametros_manuales!$E$110)*parametros_manuales!$I$20*parametros_manuales!$J$20</f>
        <v>6937.02</v>
      </c>
      <c r="F246" s="4">
        <f>(parametros_manuales!$D$20*(datos_base!$K$2+IF(parametros_manuales!$H$20="Todos",datos_base!$K$9,0))*parametros_manuales!$F$95+parametros_manuales!$E$20*(datos_base!$K$3+IF(parametros_manuales!$H$20="Todos",datos_base!$K$10,0))*parametros_manuales!$F$100+parametros_manuales!$F$20*(datos_base!$K$4+IF(parametros_manuales!$H$20="Todos",datos_base!$K$11,0))*parametros_manuales!$F$105+parametros_manuales!$G$20*(datos_base!$K$5+IF(parametros_manuales!$H$20="Todos",datos_base!$K$12,0))*parametros_manuales!$F$110)*parametros_manuales!$I$20*parametros_manuales!$J$20</f>
        <v>6528.96</v>
      </c>
      <c r="G246" s="4">
        <f>(parametros_manuales!$D$20*(datos_base!$K$2+IF(parametros_manuales!$H$20="Todos",datos_base!$K$9,0))*parametros_manuales!$G$95+parametros_manuales!$E$20*(datos_base!$K$3+IF(parametros_manuales!$H$20="Todos",datos_base!$K$10,0))*parametros_manuales!$G$100+parametros_manuales!$F$20*(datos_base!$K$4+IF(parametros_manuales!$H$20="Todos",datos_base!$K$11,0))*parametros_manuales!$G$105+parametros_manuales!$G$20*(datos_base!$K$5+IF(parametros_manuales!$H$20="Todos",datos_base!$K$12,0))*parametros_manuales!$G$110)*parametros_manuales!$I$20*parametros_manuales!$J$20</f>
        <v>6120.9</v>
      </c>
      <c r="H246" s="4">
        <f>(parametros_manuales!$D$20*(datos_base!$K$2+IF(parametros_manuales!$H$20="Todos",datos_base!$K$9,0))*parametros_manuales!$H$95+parametros_manuales!$E$20*(datos_base!$K$3+IF(parametros_manuales!$H$20="Todos",datos_base!$K$10,0))*parametros_manuales!$H$100+parametros_manuales!$F$20*(datos_base!$K$4+IF(parametros_manuales!$H$20="Todos",datos_base!$K$11,0))*parametros_manuales!$H$105+parametros_manuales!$G$20*(datos_base!$K$5+IF(parametros_manuales!$H$20="Todos",datos_base!$K$12,0))*parametros_manuales!$H$110)*parametros_manuales!$I$20*parametros_manuales!$J$20</f>
        <v>6528.96</v>
      </c>
      <c r="I246" s="4">
        <f>(parametros_manuales!$D$20*(datos_base!$K$2+IF(parametros_manuales!$H$20="Todos",datos_base!$K$9,0))*parametros_manuales!$I$95+parametros_manuales!$E$20*(datos_base!$K$3+IF(parametros_manuales!$H$20="Todos",datos_base!$K$10,0))*parametros_manuales!$I$100+parametros_manuales!$F$20*(datos_base!$K$4+IF(parametros_manuales!$H$20="Todos",datos_base!$K$11,0))*parametros_manuales!$I$105+parametros_manuales!$G$20*(datos_base!$K$5+IF(parametros_manuales!$H$20="Todos",datos_base!$K$12,0))*parametros_manuales!$I$110)*parametros_manuales!$I$20*parametros_manuales!$J$20</f>
        <v>6528.96</v>
      </c>
      <c r="J246" s="4">
        <f>(parametros_manuales!$D$20*(datos_base!$K$2+IF(parametros_manuales!$H$20="Todos",datos_base!$K$9,0))*parametros_manuales!$J$95+parametros_manuales!$E$20*(datos_base!$K$3+IF(parametros_manuales!$H$20="Todos",datos_base!$K$10,0))*parametros_manuales!$J$100+parametros_manuales!$F$20*(datos_base!$K$4+IF(parametros_manuales!$H$20="Todos",datos_base!$K$11,0))*parametros_manuales!$J$105+parametros_manuales!$G$20*(datos_base!$K$5+IF(parametros_manuales!$H$20="Todos",datos_base!$K$12,0))*parametros_manuales!$J$110)*parametros_manuales!$I$20*parametros_manuales!$J$20</f>
        <v>6528.96</v>
      </c>
      <c r="K246" s="4">
        <f>(parametros_manuales!$D$20*(datos_base!$K$2+IF(parametros_manuales!$H$20="Todos",datos_base!$K$9,0))*parametros_manuales!$K$95+parametros_manuales!$E$20*(datos_base!$K$3+IF(parametros_manuales!$H$20="Todos",datos_base!$K$10,0))*parametros_manuales!$K$100+parametros_manuales!$F$20*(datos_base!$K$4+IF(parametros_manuales!$H$20="Todos",datos_base!$K$11,0))*parametros_manuales!$K$105+parametros_manuales!$G$20*(datos_base!$K$5+IF(parametros_manuales!$H$20="Todos",datos_base!$K$12,0))*parametros_manuales!$K$110)*parametros_manuales!$I$20*parametros_manuales!$J$20</f>
        <v>6937.02</v>
      </c>
      <c r="L246" s="4">
        <f>(parametros_manuales!$D$20*(datos_base!$K$2+IF(parametros_manuales!$H$20="Todos",datos_base!$K$9,0))*parametros_manuales!$L$95+parametros_manuales!$E$20*(datos_base!$K$3+IF(parametros_manuales!$H$20="Todos",datos_base!$K$10,0))*parametros_manuales!$L$100+parametros_manuales!$F$20*(datos_base!$K$4+IF(parametros_manuales!$H$20="Todos",datos_base!$K$11,0))*parametros_manuales!$L$105+parametros_manuales!$G$20*(datos_base!$K$5+IF(parametros_manuales!$H$20="Todos",datos_base!$K$12,0))*parametros_manuales!$L$110)*parametros_manuales!$I$20*parametros_manuales!$J$20</f>
        <v>7345.08</v>
      </c>
      <c r="M246" s="4">
        <f>(parametros_manuales!$D$20*(datos_base!$K$2+IF(parametros_manuales!$H$20="Todos",datos_base!$K$9,0))*parametros_manuales!$M$95+parametros_manuales!$E$20*(datos_base!$K$3+IF(parametros_manuales!$H$20="Todos",datos_base!$K$10,0))*parametros_manuales!$M$100+parametros_manuales!$F$20*(datos_base!$K$4+IF(parametros_manuales!$H$20="Todos",datos_base!$K$11,0))*parametros_manuales!$M$105+parametros_manuales!$G$20*(datos_base!$K$5+IF(parametros_manuales!$H$20="Todos",datos_base!$K$12,0))*parametros_manuales!$M$110)*parametros_manuales!$I$20*parametros_manuales!$J$20</f>
        <v>7345.08</v>
      </c>
      <c r="N246" s="4">
        <f t="shared" si="28"/>
        <v>81612</v>
      </c>
      <c r="O246" s="4">
        <f t="shared" si="29"/>
        <v>7345.08</v>
      </c>
      <c r="P246" s="27">
        <f>O246/(parametros_manuales!$B$7)</f>
        <v>48.9672</v>
      </c>
      <c r="Q246" s="3" t="str">
        <f t="shared" si="30"/>
        <v>Ene</v>
      </c>
    </row>
    <row r="247" ht="14.25" customHeight="1">
      <c r="A247" s="3" t="str">
        <f>parametros_manuales!$B$21</f>
        <v>Corte de tubo — 1 kg</v>
      </c>
      <c r="B247" s="4">
        <f>(parametros_manuales!$D$21*(datos_base!$K$2+IF(parametros_manuales!$H$21="Todos",datos_base!$K$9,0))*parametros_manuales!$B$95+parametros_manuales!$E$21*(datos_base!$K$3+IF(parametros_manuales!$H$21="Todos",datos_base!$K$10,0))*parametros_manuales!$B$100+parametros_manuales!$F$21*(datos_base!$K$4+IF(parametros_manuales!$H$21="Todos",datos_base!$K$11,0))*parametros_manuales!$B$105+parametros_manuales!$G$21*(datos_base!$K$5+IF(parametros_manuales!$H$21="Todos",datos_base!$K$12,0))*parametros_manuales!$B$110)*parametros_manuales!$I$21*parametros_manuales!$J$21</f>
        <v>18235.89</v>
      </c>
      <c r="C247" s="4">
        <f>(parametros_manuales!$D$21*(datos_base!$K$2+IF(parametros_manuales!$H$21="Todos",datos_base!$K$9,0))*parametros_manuales!$C$95+parametros_manuales!$E$21*(datos_base!$K$3+IF(parametros_manuales!$H$21="Todos",datos_base!$K$10,0))*parametros_manuales!$C$100+parametros_manuales!$F$21*(datos_base!$K$4+IF(parametros_manuales!$H$21="Todos",datos_base!$K$11,0))*parametros_manuales!$C$105+parametros_manuales!$G$21*(datos_base!$K$5+IF(parametros_manuales!$H$21="Todos",datos_base!$K$12,0))*parametros_manuales!$C$110)*parametros_manuales!$I$21*parametros_manuales!$J$21</f>
        <v>18235.89</v>
      </c>
      <c r="D247" s="4">
        <f>(parametros_manuales!$D$21*(datos_base!$K$2+IF(parametros_manuales!$H$21="Todos",datos_base!$K$9,0))*parametros_manuales!$D$95+parametros_manuales!$E$21*(datos_base!$K$3+IF(parametros_manuales!$H$21="Todos",datos_base!$K$10,0))*parametros_manuales!$D$100+parametros_manuales!$F$21*(datos_base!$K$4+IF(parametros_manuales!$H$21="Todos",datos_base!$K$11,0))*parametros_manuales!$D$105+parametros_manuales!$G$21*(datos_base!$K$5+IF(parametros_manuales!$H$21="Todos",datos_base!$K$12,0))*parametros_manuales!$D$110)*parametros_manuales!$I$21*parametros_manuales!$J$21</f>
        <v>16209.68</v>
      </c>
      <c r="E247" s="4">
        <f>(parametros_manuales!$D$21*(datos_base!$K$2+IF(parametros_manuales!$H$21="Todos",datos_base!$K$9,0))*parametros_manuales!$E$95+parametros_manuales!$E$21*(datos_base!$K$3+IF(parametros_manuales!$H$21="Todos",datos_base!$K$10,0))*parametros_manuales!$E$100+parametros_manuales!$F$21*(datos_base!$K$4+IF(parametros_manuales!$H$21="Todos",datos_base!$K$11,0))*parametros_manuales!$E$105+parametros_manuales!$G$21*(datos_base!$K$5+IF(parametros_manuales!$H$21="Todos",datos_base!$K$12,0))*parametros_manuales!$E$110)*parametros_manuales!$I$21*parametros_manuales!$J$21</f>
        <v>15196.575</v>
      </c>
      <c r="F247" s="4">
        <f>(parametros_manuales!$D$21*(datos_base!$K$2+IF(parametros_manuales!$H$21="Todos",datos_base!$K$9,0))*parametros_manuales!$F$95+parametros_manuales!$E$21*(datos_base!$K$3+IF(parametros_manuales!$H$21="Todos",datos_base!$K$10,0))*parametros_manuales!$F$100+parametros_manuales!$F$21*(datos_base!$K$4+IF(parametros_manuales!$H$21="Todos",datos_base!$K$11,0))*parametros_manuales!$F$105+parametros_manuales!$G$21*(datos_base!$K$5+IF(parametros_manuales!$H$21="Todos",datos_base!$K$12,0))*parametros_manuales!$F$110)*parametros_manuales!$I$21*parametros_manuales!$J$21</f>
        <v>14183.47</v>
      </c>
      <c r="G247" s="4">
        <f>(parametros_manuales!$D$21*(datos_base!$K$2+IF(parametros_manuales!$H$21="Todos",datos_base!$K$9,0))*parametros_manuales!$G$95+parametros_manuales!$E$21*(datos_base!$K$3+IF(parametros_manuales!$H$21="Todos",datos_base!$K$10,0))*parametros_manuales!$G$100+parametros_manuales!$F$21*(datos_base!$K$4+IF(parametros_manuales!$H$21="Todos",datos_base!$K$11,0))*parametros_manuales!$G$105+parametros_manuales!$G$21*(datos_base!$K$5+IF(parametros_manuales!$H$21="Todos",datos_base!$K$12,0))*parametros_manuales!$G$110)*parametros_manuales!$I$21*parametros_manuales!$J$21</f>
        <v>14183.47</v>
      </c>
      <c r="H247" s="4">
        <f>(parametros_manuales!$D$21*(datos_base!$K$2+IF(parametros_manuales!$H$21="Todos",datos_base!$K$9,0))*parametros_manuales!$H$95+parametros_manuales!$E$21*(datos_base!$K$3+IF(parametros_manuales!$H$21="Todos",datos_base!$K$10,0))*parametros_manuales!$H$100+parametros_manuales!$F$21*(datos_base!$K$4+IF(parametros_manuales!$H$21="Todos",datos_base!$K$11,0))*parametros_manuales!$H$105+parametros_manuales!$G$21*(datos_base!$K$5+IF(parametros_manuales!$H$21="Todos",datos_base!$K$12,0))*parametros_manuales!$H$110)*parametros_manuales!$I$21*parametros_manuales!$J$21</f>
        <v>15196.575</v>
      </c>
      <c r="I247" s="4">
        <f>(parametros_manuales!$D$21*(datos_base!$K$2+IF(parametros_manuales!$H$21="Todos",datos_base!$K$9,0))*parametros_manuales!$I$95+parametros_manuales!$E$21*(datos_base!$K$3+IF(parametros_manuales!$H$21="Todos",datos_base!$K$10,0))*parametros_manuales!$I$100+parametros_manuales!$F$21*(datos_base!$K$4+IF(parametros_manuales!$H$21="Todos",datos_base!$K$11,0))*parametros_manuales!$I$105+parametros_manuales!$G$21*(datos_base!$K$5+IF(parametros_manuales!$H$21="Todos",datos_base!$K$12,0))*parametros_manuales!$I$110)*parametros_manuales!$I$21*parametros_manuales!$J$21</f>
        <v>18235.89</v>
      </c>
      <c r="J247" s="4">
        <f>(parametros_manuales!$D$21*(datos_base!$K$2+IF(parametros_manuales!$H$21="Todos",datos_base!$K$9,0))*parametros_manuales!$J$95+parametros_manuales!$E$21*(datos_base!$K$3+IF(parametros_manuales!$H$21="Todos",datos_base!$K$10,0))*parametros_manuales!$J$100+parametros_manuales!$F$21*(datos_base!$K$4+IF(parametros_manuales!$H$21="Todos",datos_base!$K$11,0))*parametros_manuales!$J$105+parametros_manuales!$G$21*(datos_base!$K$5+IF(parametros_manuales!$H$21="Todos",datos_base!$K$12,0))*parametros_manuales!$J$110)*parametros_manuales!$I$21*parametros_manuales!$J$21</f>
        <v>18235.89</v>
      </c>
      <c r="K247" s="4">
        <f>(parametros_manuales!$D$21*(datos_base!$K$2+IF(parametros_manuales!$H$21="Todos",datos_base!$K$9,0))*parametros_manuales!$K$95+parametros_manuales!$E$21*(datos_base!$K$3+IF(parametros_manuales!$H$21="Todos",datos_base!$K$10,0))*parametros_manuales!$K$100+parametros_manuales!$F$21*(datos_base!$K$4+IF(parametros_manuales!$H$21="Todos",datos_base!$K$11,0))*parametros_manuales!$K$105+parametros_manuales!$G$21*(datos_base!$K$5+IF(parametros_manuales!$H$21="Todos",datos_base!$K$12,0))*parametros_manuales!$K$110)*parametros_manuales!$I$21*parametros_manuales!$J$21</f>
        <v>18235.89</v>
      </c>
      <c r="L247" s="4">
        <f>(parametros_manuales!$D$21*(datos_base!$K$2+IF(parametros_manuales!$H$21="Todos",datos_base!$K$9,0))*parametros_manuales!$L$95+parametros_manuales!$E$21*(datos_base!$K$3+IF(parametros_manuales!$H$21="Todos",datos_base!$K$10,0))*parametros_manuales!$L$100+parametros_manuales!$F$21*(datos_base!$K$4+IF(parametros_manuales!$H$21="Todos",datos_base!$K$11,0))*parametros_manuales!$L$105+parametros_manuales!$G$21*(datos_base!$K$5+IF(parametros_manuales!$H$21="Todos",datos_base!$K$12,0))*parametros_manuales!$L$110)*parametros_manuales!$I$21*parametros_manuales!$J$21</f>
        <v>18235.89</v>
      </c>
      <c r="M247" s="4">
        <f>(parametros_manuales!$D$21*(datos_base!$K$2+IF(parametros_manuales!$H$21="Todos",datos_base!$K$9,0))*parametros_manuales!$M$95+parametros_manuales!$E$21*(datos_base!$K$3+IF(parametros_manuales!$H$21="Todos",datos_base!$K$10,0))*parametros_manuales!$M$100+parametros_manuales!$F$21*(datos_base!$K$4+IF(parametros_manuales!$H$21="Todos",datos_base!$K$11,0))*parametros_manuales!$M$105+parametros_manuales!$G$21*(datos_base!$K$5+IF(parametros_manuales!$H$21="Todos",datos_base!$K$12,0))*parametros_manuales!$M$110)*parametros_manuales!$I$21*parametros_manuales!$J$21</f>
        <v>18235.89</v>
      </c>
      <c r="N247" s="4">
        <f t="shared" si="28"/>
        <v>202621</v>
      </c>
      <c r="O247" s="4">
        <f t="shared" si="29"/>
        <v>18235.89</v>
      </c>
      <c r="P247" s="27">
        <f>O247/(parametros_manuales!$B$7)</f>
        <v>121.5726</v>
      </c>
      <c r="Q247" s="3" t="str">
        <f t="shared" si="30"/>
        <v>Ene</v>
      </c>
    </row>
    <row r="248" ht="14.25" customHeight="1">
      <c r="A248" s="3" t="str">
        <f>parametros_manuales!$B$22</f>
        <v>Corte de disco y embutido (cúpula y fondo)</v>
      </c>
      <c r="B248" s="4">
        <f>(parametros_manuales!$D$22*(datos_base!$K$2+IF(parametros_manuales!$H$22="Todos",datos_base!$K$9,0))*parametros_manuales!$B$95+parametros_manuales!$E$22*(datos_base!$K$3+IF(parametros_manuales!$H$22="Todos",datos_base!$K$10,0))*parametros_manuales!$B$100+parametros_manuales!$F$22*(datos_base!$K$4+IF(parametros_manuales!$H$22="Todos",datos_base!$K$11,0))*parametros_manuales!$B$105+parametros_manuales!$G$22*(datos_base!$K$5+IF(parametros_manuales!$H$22="Todos",datos_base!$K$12,0))*parametros_manuales!$B$110)*parametros_manuales!$I$22*parametros_manuales!$J$22</f>
        <v>51161.94</v>
      </c>
      <c r="C248" s="4">
        <f>(parametros_manuales!$D$22*(datos_base!$K$2+IF(parametros_manuales!$H$22="Todos",datos_base!$K$9,0))*parametros_manuales!$C$95+parametros_manuales!$E$22*(datos_base!$K$3+IF(parametros_manuales!$H$22="Todos",datos_base!$K$10,0))*parametros_manuales!$C$100+parametros_manuales!$F$22*(datos_base!$K$4+IF(parametros_manuales!$H$22="Todos",datos_base!$K$11,0))*parametros_manuales!$C$105+parametros_manuales!$G$22*(datos_base!$K$5+IF(parametros_manuales!$H$22="Todos",datos_base!$K$12,0))*parametros_manuales!$C$110)*parametros_manuales!$I$22*parametros_manuales!$J$22</f>
        <v>49529.7</v>
      </c>
      <c r="D248" s="4">
        <f>(parametros_manuales!$D$22*(datos_base!$K$2+IF(parametros_manuales!$H$22="Todos",datos_base!$K$9,0))*parametros_manuales!$D$95+parametros_manuales!$E$22*(datos_base!$K$3+IF(parametros_manuales!$H$22="Todos",datos_base!$K$10,0))*parametros_manuales!$D$100+parametros_manuales!$F$22*(datos_base!$K$4+IF(parametros_manuales!$H$22="Todos",datos_base!$K$11,0))*parametros_manuales!$D$105+parametros_manuales!$G$22*(datos_base!$K$5+IF(parametros_manuales!$H$22="Todos",datos_base!$K$12,0))*parametros_manuales!$D$110)*parametros_manuales!$I$22*parametros_manuales!$J$22</f>
        <v>46293.4</v>
      </c>
      <c r="E248" s="4">
        <f>(parametros_manuales!$D$22*(datos_base!$K$2+IF(parametros_manuales!$H$22="Todos",datos_base!$K$9,0))*parametros_manuales!$E$95+parametros_manuales!$E$22*(datos_base!$K$3+IF(parametros_manuales!$H$22="Todos",datos_base!$K$10,0))*parametros_manuales!$E$100+parametros_manuales!$F$22*(datos_base!$K$4+IF(parametros_manuales!$H$22="Todos",datos_base!$K$11,0))*parametros_manuales!$E$105+parametros_manuales!$G$22*(datos_base!$K$5+IF(parametros_manuales!$H$22="Todos",datos_base!$K$12,0))*parametros_manuales!$E$110)*parametros_manuales!$I$22*parametros_manuales!$J$22</f>
        <v>44267.19</v>
      </c>
      <c r="F248" s="4">
        <f>(parametros_manuales!$D$22*(datos_base!$K$2+IF(parametros_manuales!$H$22="Todos",datos_base!$K$9,0))*parametros_manuales!$F$95+parametros_manuales!$E$22*(datos_base!$K$3+IF(parametros_manuales!$H$22="Todos",datos_base!$K$10,0))*parametros_manuales!$F$100+parametros_manuales!$F$22*(datos_base!$K$4+IF(parametros_manuales!$H$22="Todos",datos_base!$K$11,0))*parametros_manuales!$F$105+parametros_manuales!$G$22*(datos_base!$K$5+IF(parametros_manuales!$H$22="Todos",datos_base!$K$12,0))*parametros_manuales!$F$110)*parametros_manuales!$I$22*parametros_manuales!$J$22</f>
        <v>41424.86</v>
      </c>
      <c r="G248" s="4">
        <f>(parametros_manuales!$D$22*(datos_base!$K$2+IF(parametros_manuales!$H$22="Todos",datos_base!$K$9,0))*parametros_manuales!$G$95+parametros_manuales!$E$22*(datos_base!$K$3+IF(parametros_manuales!$H$22="Todos",datos_base!$K$10,0))*parametros_manuales!$G$100+parametros_manuales!$F$22*(datos_base!$K$4+IF(parametros_manuales!$H$22="Todos",datos_base!$K$11,0))*parametros_manuales!$G$105+parametros_manuales!$G$22*(datos_base!$K$5+IF(parametros_manuales!$H$22="Todos",datos_base!$K$12,0))*parametros_manuales!$G$110)*parametros_manuales!$I$22*parametros_manuales!$J$22</f>
        <v>40608.74</v>
      </c>
      <c r="H248" s="4">
        <f>(parametros_manuales!$D$22*(datos_base!$K$2+IF(parametros_manuales!$H$22="Todos",datos_base!$K$9,0))*parametros_manuales!$H$95+parametros_manuales!$E$22*(datos_base!$K$3+IF(parametros_manuales!$H$22="Todos",datos_base!$K$10,0))*parametros_manuales!$H$100+parametros_manuales!$F$22*(datos_base!$K$4+IF(parametros_manuales!$H$22="Todos",datos_base!$K$11,0))*parametros_manuales!$H$105+parametros_manuales!$G$22*(datos_base!$K$5+IF(parametros_manuales!$H$22="Todos",datos_base!$K$12,0))*parametros_manuales!$H$110)*parametros_manuales!$I$22*parametros_manuales!$J$22</f>
        <v>43451.07</v>
      </c>
      <c r="I248" s="4">
        <f>(parametros_manuales!$D$22*(datos_base!$K$2+IF(parametros_manuales!$H$22="Todos",datos_base!$K$9,0))*parametros_manuales!$I$95+parametros_manuales!$E$22*(datos_base!$K$3+IF(parametros_manuales!$H$22="Todos",datos_base!$K$10,0))*parametros_manuales!$I$100+parametros_manuales!$F$22*(datos_base!$K$4+IF(parametros_manuales!$H$22="Todos",datos_base!$K$11,0))*parametros_manuales!$I$105+parametros_manuales!$G$22*(datos_base!$K$5+IF(parametros_manuales!$H$22="Todos",datos_base!$K$12,0))*parametros_manuales!$I$110)*parametros_manuales!$I$22*parametros_manuales!$J$22</f>
        <v>49529.7</v>
      </c>
      <c r="J248" s="4">
        <f>(parametros_manuales!$D$22*(datos_base!$K$2+IF(parametros_manuales!$H$22="Todos",datos_base!$K$9,0))*parametros_manuales!$J$95+parametros_manuales!$E$22*(datos_base!$K$3+IF(parametros_manuales!$H$22="Todos",datos_base!$K$10,0))*parametros_manuales!$J$100+parametros_manuales!$F$22*(datos_base!$K$4+IF(parametros_manuales!$H$22="Todos",datos_base!$K$11,0))*parametros_manuales!$J$105+parametros_manuales!$G$22*(datos_base!$K$5+IF(parametros_manuales!$H$22="Todos",datos_base!$K$12,0))*parametros_manuales!$J$110)*parametros_manuales!$I$22*parametros_manuales!$J$22</f>
        <v>49529.7</v>
      </c>
      <c r="K248" s="4">
        <f>(parametros_manuales!$D$22*(datos_base!$K$2+IF(parametros_manuales!$H$22="Todos",datos_base!$K$9,0))*parametros_manuales!$K$95+parametros_manuales!$E$22*(datos_base!$K$3+IF(parametros_manuales!$H$22="Todos",datos_base!$K$10,0))*parametros_manuales!$K$100+parametros_manuales!$F$22*(datos_base!$K$4+IF(parametros_manuales!$H$22="Todos",datos_base!$K$11,0))*parametros_manuales!$K$105+parametros_manuales!$G$22*(datos_base!$K$5+IF(parametros_manuales!$H$22="Todos",datos_base!$K$12,0))*parametros_manuales!$K$110)*parametros_manuales!$I$22*parametros_manuales!$J$22</f>
        <v>50345.82</v>
      </c>
      <c r="L248" s="4">
        <f>(parametros_manuales!$D$22*(datos_base!$K$2+IF(parametros_manuales!$H$22="Todos",datos_base!$K$9,0))*parametros_manuales!$L$95+parametros_manuales!$E$22*(datos_base!$K$3+IF(parametros_manuales!$H$22="Todos",datos_base!$K$10,0))*parametros_manuales!$L$100+parametros_manuales!$F$22*(datos_base!$K$4+IF(parametros_manuales!$H$22="Todos",datos_base!$K$11,0))*parametros_manuales!$L$105+parametros_manuales!$G$22*(datos_base!$K$5+IF(parametros_manuales!$H$22="Todos",datos_base!$K$12,0))*parametros_manuales!$L$110)*parametros_manuales!$I$22*parametros_manuales!$J$22</f>
        <v>51161.94</v>
      </c>
      <c r="M248" s="4">
        <f>(parametros_manuales!$D$22*(datos_base!$K$2+IF(parametros_manuales!$H$22="Todos",datos_base!$K$9,0))*parametros_manuales!$M$95+parametros_manuales!$E$22*(datos_base!$K$3+IF(parametros_manuales!$H$22="Todos",datos_base!$K$10,0))*parametros_manuales!$M$100+parametros_manuales!$F$22*(datos_base!$K$4+IF(parametros_manuales!$H$22="Todos",datos_base!$K$11,0))*parametros_manuales!$M$105+parametros_manuales!$G$22*(datos_base!$K$5+IF(parametros_manuales!$H$22="Todos",datos_base!$K$12,0))*parametros_manuales!$M$110)*parametros_manuales!$I$22*parametros_manuales!$J$22</f>
        <v>51161.94</v>
      </c>
      <c r="N248" s="4">
        <f t="shared" si="28"/>
        <v>568466</v>
      </c>
      <c r="O248" s="4">
        <f t="shared" si="29"/>
        <v>51161.94</v>
      </c>
      <c r="P248" s="27">
        <f>O248/(parametros_manuales!$B$7)</f>
        <v>341.0796</v>
      </c>
      <c r="Q248" s="3" t="str">
        <f t="shared" si="30"/>
        <v>Ene</v>
      </c>
    </row>
    <row r="249" ht="14.25" customHeight="1">
      <c r="A249" s="3" t="str">
        <f>parametros_manuales!$B$23</f>
        <v>Preparación de cuello</v>
      </c>
      <c r="B249" s="4">
        <f>(parametros_manuales!$D$23*(datos_base!$K$2+IF(parametros_manuales!$H$23="Todos",datos_base!$K$9,0))*parametros_manuales!$B$95+parametros_manuales!$E$23*(datos_base!$K$3+IF(parametros_manuales!$H$23="Todos",datos_base!$K$10,0))*parametros_manuales!$B$100+parametros_manuales!$F$23*(datos_base!$K$4+IF(parametros_manuales!$H$23="Todos",datos_base!$K$11,0))*parametros_manuales!$B$105+parametros_manuales!$G$23*(datos_base!$K$5+IF(parametros_manuales!$H$23="Todos",datos_base!$K$12,0))*parametros_manuales!$B$110)*parametros_manuales!$I$23*parametros_manuales!$J$23</f>
        <v>25580.97</v>
      </c>
      <c r="C249" s="4">
        <f>(parametros_manuales!$D$23*(datos_base!$K$2+IF(parametros_manuales!$H$23="Todos",datos_base!$K$9,0))*parametros_manuales!$C$95+parametros_manuales!$E$23*(datos_base!$K$3+IF(parametros_manuales!$H$23="Todos",datos_base!$K$10,0))*parametros_manuales!$C$100+parametros_manuales!$F$23*(datos_base!$K$4+IF(parametros_manuales!$H$23="Todos",datos_base!$K$11,0))*parametros_manuales!$C$105+parametros_manuales!$G$23*(datos_base!$K$5+IF(parametros_manuales!$H$23="Todos",datos_base!$K$12,0))*parametros_manuales!$C$110)*parametros_manuales!$I$23*parametros_manuales!$J$23</f>
        <v>24764.85</v>
      </c>
      <c r="D249" s="4">
        <f>(parametros_manuales!$D$23*(datos_base!$K$2+IF(parametros_manuales!$H$23="Todos",datos_base!$K$9,0))*parametros_manuales!$D$95+parametros_manuales!$E$23*(datos_base!$K$3+IF(parametros_manuales!$H$23="Todos",datos_base!$K$10,0))*parametros_manuales!$D$100+parametros_manuales!$F$23*(datos_base!$K$4+IF(parametros_manuales!$H$23="Todos",datos_base!$K$11,0))*parametros_manuales!$D$105+parametros_manuales!$G$23*(datos_base!$K$5+IF(parametros_manuales!$H$23="Todos",datos_base!$K$12,0))*parametros_manuales!$D$110)*parametros_manuales!$I$23*parametros_manuales!$J$23</f>
        <v>23146.7</v>
      </c>
      <c r="E249" s="4">
        <f>(parametros_manuales!$D$23*(datos_base!$K$2+IF(parametros_manuales!$H$23="Todos",datos_base!$K$9,0))*parametros_manuales!$E$95+parametros_manuales!$E$23*(datos_base!$K$3+IF(parametros_manuales!$H$23="Todos",datos_base!$K$10,0))*parametros_manuales!$E$100+parametros_manuales!$F$23*(datos_base!$K$4+IF(parametros_manuales!$H$23="Todos",datos_base!$K$11,0))*parametros_manuales!$E$105+parametros_manuales!$G$23*(datos_base!$K$5+IF(parametros_manuales!$H$23="Todos",datos_base!$K$12,0))*parametros_manuales!$E$110)*parametros_manuales!$I$23*parametros_manuales!$J$23</f>
        <v>22133.595</v>
      </c>
      <c r="F249" s="4">
        <f>(parametros_manuales!$D$23*(datos_base!$K$2+IF(parametros_manuales!$H$23="Todos",datos_base!$K$9,0))*parametros_manuales!$F$95+parametros_manuales!$E$23*(datos_base!$K$3+IF(parametros_manuales!$H$23="Todos",datos_base!$K$10,0))*parametros_manuales!$F$100+parametros_manuales!$F$23*(datos_base!$K$4+IF(parametros_manuales!$H$23="Todos",datos_base!$K$11,0))*parametros_manuales!$F$105+parametros_manuales!$G$23*(datos_base!$K$5+IF(parametros_manuales!$H$23="Todos",datos_base!$K$12,0))*parametros_manuales!$F$110)*parametros_manuales!$I$23*parametros_manuales!$J$23</f>
        <v>20712.43</v>
      </c>
      <c r="G249" s="4">
        <f>(parametros_manuales!$D$23*(datos_base!$K$2+IF(parametros_manuales!$H$23="Todos",datos_base!$K$9,0))*parametros_manuales!$G$95+parametros_manuales!$E$23*(datos_base!$K$3+IF(parametros_manuales!$H$23="Todos",datos_base!$K$10,0))*parametros_manuales!$G$100+parametros_manuales!$F$23*(datos_base!$K$4+IF(parametros_manuales!$H$23="Todos",datos_base!$K$11,0))*parametros_manuales!$G$105+parametros_manuales!$G$23*(datos_base!$K$5+IF(parametros_manuales!$H$23="Todos",datos_base!$K$12,0))*parametros_manuales!$G$110)*parametros_manuales!$I$23*parametros_manuales!$J$23</f>
        <v>20304.37</v>
      </c>
      <c r="H249" s="4">
        <f>(parametros_manuales!$D$23*(datos_base!$K$2+IF(parametros_manuales!$H$23="Todos",datos_base!$K$9,0))*parametros_manuales!$H$95+parametros_manuales!$E$23*(datos_base!$K$3+IF(parametros_manuales!$H$23="Todos",datos_base!$K$10,0))*parametros_manuales!$H$100+parametros_manuales!$F$23*(datos_base!$K$4+IF(parametros_manuales!$H$23="Todos",datos_base!$K$11,0))*parametros_manuales!$H$105+parametros_manuales!$G$23*(datos_base!$K$5+IF(parametros_manuales!$H$23="Todos",datos_base!$K$12,0))*parametros_manuales!$H$110)*parametros_manuales!$I$23*parametros_manuales!$J$23</f>
        <v>21725.535</v>
      </c>
      <c r="I249" s="4">
        <f>(parametros_manuales!$D$23*(datos_base!$K$2+IF(parametros_manuales!$H$23="Todos",datos_base!$K$9,0))*parametros_manuales!$I$95+parametros_manuales!$E$23*(datos_base!$K$3+IF(parametros_manuales!$H$23="Todos",datos_base!$K$10,0))*parametros_manuales!$I$100+parametros_manuales!$F$23*(datos_base!$K$4+IF(parametros_manuales!$H$23="Todos",datos_base!$K$11,0))*parametros_manuales!$I$105+parametros_manuales!$G$23*(datos_base!$K$5+IF(parametros_manuales!$H$23="Todos",datos_base!$K$12,0))*parametros_manuales!$I$110)*parametros_manuales!$I$23*parametros_manuales!$J$23</f>
        <v>24764.85</v>
      </c>
      <c r="J249" s="4">
        <f>(parametros_manuales!$D$23*(datos_base!$K$2+IF(parametros_manuales!$H$23="Todos",datos_base!$K$9,0))*parametros_manuales!$J$95+parametros_manuales!$E$23*(datos_base!$K$3+IF(parametros_manuales!$H$23="Todos",datos_base!$K$10,0))*parametros_manuales!$J$100+parametros_manuales!$F$23*(datos_base!$K$4+IF(parametros_manuales!$H$23="Todos",datos_base!$K$11,0))*parametros_manuales!$J$105+parametros_manuales!$G$23*(datos_base!$K$5+IF(parametros_manuales!$H$23="Todos",datos_base!$K$12,0))*parametros_manuales!$J$110)*parametros_manuales!$I$23*parametros_manuales!$J$23</f>
        <v>24764.85</v>
      </c>
      <c r="K249" s="4">
        <f>(parametros_manuales!$D$23*(datos_base!$K$2+IF(parametros_manuales!$H$23="Todos",datos_base!$K$9,0))*parametros_manuales!$K$95+parametros_manuales!$E$23*(datos_base!$K$3+IF(parametros_manuales!$H$23="Todos",datos_base!$K$10,0))*parametros_manuales!$K$100+parametros_manuales!$F$23*(datos_base!$K$4+IF(parametros_manuales!$H$23="Todos",datos_base!$K$11,0))*parametros_manuales!$K$105+parametros_manuales!$G$23*(datos_base!$K$5+IF(parametros_manuales!$H$23="Todos",datos_base!$K$12,0))*parametros_manuales!$K$110)*parametros_manuales!$I$23*parametros_manuales!$J$23</f>
        <v>25172.91</v>
      </c>
      <c r="L249" s="4">
        <f>(parametros_manuales!$D$23*(datos_base!$K$2+IF(parametros_manuales!$H$23="Todos",datos_base!$K$9,0))*parametros_manuales!$L$95+parametros_manuales!$E$23*(datos_base!$K$3+IF(parametros_manuales!$H$23="Todos",datos_base!$K$10,0))*parametros_manuales!$L$100+parametros_manuales!$F$23*(datos_base!$K$4+IF(parametros_manuales!$H$23="Todos",datos_base!$K$11,0))*parametros_manuales!$L$105+parametros_manuales!$G$23*(datos_base!$K$5+IF(parametros_manuales!$H$23="Todos",datos_base!$K$12,0))*parametros_manuales!$L$110)*parametros_manuales!$I$23*parametros_manuales!$J$23</f>
        <v>25580.97</v>
      </c>
      <c r="M249" s="4">
        <f>(parametros_manuales!$D$23*(datos_base!$K$2+IF(parametros_manuales!$H$23="Todos",datos_base!$K$9,0))*parametros_manuales!$M$95+parametros_manuales!$E$23*(datos_base!$K$3+IF(parametros_manuales!$H$23="Todos",datos_base!$K$10,0))*parametros_manuales!$M$100+parametros_manuales!$F$23*(datos_base!$K$4+IF(parametros_manuales!$H$23="Todos",datos_base!$K$11,0))*parametros_manuales!$M$105+parametros_manuales!$G$23*(datos_base!$K$5+IF(parametros_manuales!$H$23="Todos",datos_base!$K$12,0))*parametros_manuales!$M$110)*parametros_manuales!$I$23*parametros_manuales!$J$23</f>
        <v>25580.97</v>
      </c>
      <c r="N249" s="4">
        <f t="shared" si="28"/>
        <v>284233</v>
      </c>
      <c r="O249" s="4">
        <f t="shared" si="29"/>
        <v>25580.97</v>
      </c>
      <c r="P249" s="27">
        <f>O249/(parametros_manuales!$B$7)</f>
        <v>170.5398</v>
      </c>
      <c r="Q249" s="3" t="str">
        <f t="shared" si="30"/>
        <v>Ene</v>
      </c>
    </row>
    <row r="250" ht="14.25" customHeight="1">
      <c r="A250" s="3" t="str">
        <f>parametros_manuales!$B$24</f>
        <v>Numerado de cúpula</v>
      </c>
      <c r="B250" s="4">
        <f>(parametros_manuales!$D$24*(datos_base!$K$2+IF(parametros_manuales!$H$24="Todos",datos_base!$K$9,0))*parametros_manuales!$B$95+parametros_manuales!$E$24*(datos_base!$K$3+IF(parametros_manuales!$H$24="Todos",datos_base!$K$10,0))*parametros_manuales!$B$100+parametros_manuales!$F$24*(datos_base!$K$4+IF(parametros_manuales!$H$24="Todos",datos_base!$K$11,0))*parametros_manuales!$B$105+parametros_manuales!$G$24*(datos_base!$K$5+IF(parametros_manuales!$H$24="Todos",datos_base!$K$12,0))*parametros_manuales!$B$110)*parametros_manuales!$I$24*parametros_manuales!$J$24</f>
        <v>25580.97</v>
      </c>
      <c r="C250" s="4">
        <f>(parametros_manuales!$D$24*(datos_base!$K$2+IF(parametros_manuales!$H$24="Todos",datos_base!$K$9,0))*parametros_manuales!$C$95+parametros_manuales!$E$24*(datos_base!$K$3+IF(parametros_manuales!$H$24="Todos",datos_base!$K$10,0))*parametros_manuales!$C$100+parametros_manuales!$F$24*(datos_base!$K$4+IF(parametros_manuales!$H$24="Todos",datos_base!$K$11,0))*parametros_manuales!$C$105+parametros_manuales!$G$24*(datos_base!$K$5+IF(parametros_manuales!$H$24="Todos",datos_base!$K$12,0))*parametros_manuales!$C$110)*parametros_manuales!$I$24*parametros_manuales!$J$24</f>
        <v>24764.85</v>
      </c>
      <c r="D250" s="4">
        <f>(parametros_manuales!$D$24*(datos_base!$K$2+IF(parametros_manuales!$H$24="Todos",datos_base!$K$9,0))*parametros_manuales!$D$95+parametros_manuales!$E$24*(datos_base!$K$3+IF(parametros_manuales!$H$24="Todos",datos_base!$K$10,0))*parametros_manuales!$D$100+parametros_manuales!$F$24*(datos_base!$K$4+IF(parametros_manuales!$H$24="Todos",datos_base!$K$11,0))*parametros_manuales!$D$105+parametros_manuales!$G$24*(datos_base!$K$5+IF(parametros_manuales!$H$24="Todos",datos_base!$K$12,0))*parametros_manuales!$D$110)*parametros_manuales!$I$24*parametros_manuales!$J$24</f>
        <v>23146.7</v>
      </c>
      <c r="E250" s="4">
        <f>(parametros_manuales!$D$24*(datos_base!$K$2+IF(parametros_manuales!$H$24="Todos",datos_base!$K$9,0))*parametros_manuales!$E$95+parametros_manuales!$E$24*(datos_base!$K$3+IF(parametros_manuales!$H$24="Todos",datos_base!$K$10,0))*parametros_manuales!$E$100+parametros_manuales!$F$24*(datos_base!$K$4+IF(parametros_manuales!$H$24="Todos",datos_base!$K$11,0))*parametros_manuales!$E$105+parametros_manuales!$G$24*(datos_base!$K$5+IF(parametros_manuales!$H$24="Todos",datos_base!$K$12,0))*parametros_manuales!$E$110)*parametros_manuales!$I$24*parametros_manuales!$J$24</f>
        <v>22133.595</v>
      </c>
      <c r="F250" s="4">
        <f>(parametros_manuales!$D$24*(datos_base!$K$2+IF(parametros_manuales!$H$24="Todos",datos_base!$K$9,0))*parametros_manuales!$F$95+parametros_manuales!$E$24*(datos_base!$K$3+IF(parametros_manuales!$H$24="Todos",datos_base!$K$10,0))*parametros_manuales!$F$100+parametros_manuales!$F$24*(datos_base!$K$4+IF(parametros_manuales!$H$24="Todos",datos_base!$K$11,0))*parametros_manuales!$F$105+parametros_manuales!$G$24*(datos_base!$K$5+IF(parametros_manuales!$H$24="Todos",datos_base!$K$12,0))*parametros_manuales!$F$110)*parametros_manuales!$I$24*parametros_manuales!$J$24</f>
        <v>20712.43</v>
      </c>
      <c r="G250" s="4">
        <f>(parametros_manuales!$D$24*(datos_base!$K$2+IF(parametros_manuales!$H$24="Todos",datos_base!$K$9,0))*parametros_manuales!$G$95+parametros_manuales!$E$24*(datos_base!$K$3+IF(parametros_manuales!$H$24="Todos",datos_base!$K$10,0))*parametros_manuales!$G$100+parametros_manuales!$F$24*(datos_base!$K$4+IF(parametros_manuales!$H$24="Todos",datos_base!$K$11,0))*parametros_manuales!$G$105+parametros_manuales!$G$24*(datos_base!$K$5+IF(parametros_manuales!$H$24="Todos",datos_base!$K$12,0))*parametros_manuales!$G$110)*parametros_manuales!$I$24*parametros_manuales!$J$24</f>
        <v>20304.37</v>
      </c>
      <c r="H250" s="4">
        <f>(parametros_manuales!$D$24*(datos_base!$K$2+IF(parametros_manuales!$H$24="Todos",datos_base!$K$9,0))*parametros_manuales!$H$95+parametros_manuales!$E$24*(datos_base!$K$3+IF(parametros_manuales!$H$24="Todos",datos_base!$K$10,0))*parametros_manuales!$H$100+parametros_manuales!$F$24*(datos_base!$K$4+IF(parametros_manuales!$H$24="Todos",datos_base!$K$11,0))*parametros_manuales!$H$105+parametros_manuales!$G$24*(datos_base!$K$5+IF(parametros_manuales!$H$24="Todos",datos_base!$K$12,0))*parametros_manuales!$H$110)*parametros_manuales!$I$24*parametros_manuales!$J$24</f>
        <v>21725.535</v>
      </c>
      <c r="I250" s="4">
        <f>(parametros_manuales!$D$24*(datos_base!$K$2+IF(parametros_manuales!$H$24="Todos",datos_base!$K$9,0))*parametros_manuales!$I$95+parametros_manuales!$E$24*(datos_base!$K$3+IF(parametros_manuales!$H$24="Todos",datos_base!$K$10,0))*parametros_manuales!$I$100+parametros_manuales!$F$24*(datos_base!$K$4+IF(parametros_manuales!$H$24="Todos",datos_base!$K$11,0))*parametros_manuales!$I$105+parametros_manuales!$G$24*(datos_base!$K$5+IF(parametros_manuales!$H$24="Todos",datos_base!$K$12,0))*parametros_manuales!$I$110)*parametros_manuales!$I$24*parametros_manuales!$J$24</f>
        <v>24764.85</v>
      </c>
      <c r="J250" s="4">
        <f>(parametros_manuales!$D$24*(datos_base!$K$2+IF(parametros_manuales!$H$24="Todos",datos_base!$K$9,0))*parametros_manuales!$J$95+parametros_manuales!$E$24*(datos_base!$K$3+IF(parametros_manuales!$H$24="Todos",datos_base!$K$10,0))*parametros_manuales!$J$100+parametros_manuales!$F$24*(datos_base!$K$4+IF(parametros_manuales!$H$24="Todos",datos_base!$K$11,0))*parametros_manuales!$J$105+parametros_manuales!$G$24*(datos_base!$K$5+IF(parametros_manuales!$H$24="Todos",datos_base!$K$12,0))*parametros_manuales!$J$110)*parametros_manuales!$I$24*parametros_manuales!$J$24</f>
        <v>24764.85</v>
      </c>
      <c r="K250" s="4">
        <f>(parametros_manuales!$D$24*(datos_base!$K$2+IF(parametros_manuales!$H$24="Todos",datos_base!$K$9,0))*parametros_manuales!$K$95+parametros_manuales!$E$24*(datos_base!$K$3+IF(parametros_manuales!$H$24="Todos",datos_base!$K$10,0))*parametros_manuales!$K$100+parametros_manuales!$F$24*(datos_base!$K$4+IF(parametros_manuales!$H$24="Todos",datos_base!$K$11,0))*parametros_manuales!$K$105+parametros_manuales!$G$24*(datos_base!$K$5+IF(parametros_manuales!$H$24="Todos",datos_base!$K$12,0))*parametros_manuales!$K$110)*parametros_manuales!$I$24*parametros_manuales!$J$24</f>
        <v>25172.91</v>
      </c>
      <c r="L250" s="4">
        <f>(parametros_manuales!$D$24*(datos_base!$K$2+IF(parametros_manuales!$H$24="Todos",datos_base!$K$9,0))*parametros_manuales!$L$95+parametros_manuales!$E$24*(datos_base!$K$3+IF(parametros_manuales!$H$24="Todos",datos_base!$K$10,0))*parametros_manuales!$L$100+parametros_manuales!$F$24*(datos_base!$K$4+IF(parametros_manuales!$H$24="Todos",datos_base!$K$11,0))*parametros_manuales!$L$105+parametros_manuales!$G$24*(datos_base!$K$5+IF(parametros_manuales!$H$24="Todos",datos_base!$K$12,0))*parametros_manuales!$L$110)*parametros_manuales!$I$24*parametros_manuales!$J$24</f>
        <v>25580.97</v>
      </c>
      <c r="M250" s="4">
        <f>(parametros_manuales!$D$24*(datos_base!$K$2+IF(parametros_manuales!$H$24="Todos",datos_base!$K$9,0))*parametros_manuales!$M$95+parametros_manuales!$E$24*(datos_base!$K$3+IF(parametros_manuales!$H$24="Todos",datos_base!$K$10,0))*parametros_manuales!$M$100+parametros_manuales!$F$24*(datos_base!$K$4+IF(parametros_manuales!$H$24="Todos",datos_base!$K$11,0))*parametros_manuales!$M$105+parametros_manuales!$G$24*(datos_base!$K$5+IF(parametros_manuales!$H$24="Todos",datos_base!$K$12,0))*parametros_manuales!$M$110)*parametros_manuales!$I$24*parametros_manuales!$J$24</f>
        <v>25580.97</v>
      </c>
      <c r="N250" s="4">
        <f t="shared" si="28"/>
        <v>284233</v>
      </c>
      <c r="O250" s="4">
        <f t="shared" si="29"/>
        <v>25580.97</v>
      </c>
      <c r="P250" s="27">
        <f>O250/(parametros_manuales!$B$7)</f>
        <v>170.5398</v>
      </c>
      <c r="Q250" s="3" t="str">
        <f t="shared" si="30"/>
        <v>Ene</v>
      </c>
    </row>
    <row r="251" ht="14.25" customHeight="1">
      <c r="A251" s="3" t="str">
        <f>parametros_manuales!$B$25</f>
        <v>Soldadura del cuello a la cúpula</v>
      </c>
      <c r="B251" s="4">
        <f>(parametros_manuales!$D$25*(datos_base!$K$2+IF(parametros_manuales!$H$25="Todos",datos_base!$K$9,0))*parametros_manuales!$B$95+parametros_manuales!$E$25*(datos_base!$K$3+IF(parametros_manuales!$H$25="Todos",datos_base!$K$10,0))*parametros_manuales!$B$100+parametros_manuales!$F$25*(datos_base!$K$4+IF(parametros_manuales!$H$25="Todos",datos_base!$K$11,0))*parametros_manuales!$B$105+parametros_manuales!$G$25*(datos_base!$K$5+IF(parametros_manuales!$H$25="Todos",datos_base!$K$12,0))*parametros_manuales!$B$110)*parametros_manuales!$I$25*parametros_manuales!$J$25</f>
        <v>25580.97</v>
      </c>
      <c r="C251" s="4">
        <f>(parametros_manuales!$D$25*(datos_base!$K$2+IF(parametros_manuales!$H$25="Todos",datos_base!$K$9,0))*parametros_manuales!$C$95+parametros_manuales!$E$25*(datos_base!$K$3+IF(parametros_manuales!$H$25="Todos",datos_base!$K$10,0))*parametros_manuales!$C$100+parametros_manuales!$F$25*(datos_base!$K$4+IF(parametros_manuales!$H$25="Todos",datos_base!$K$11,0))*parametros_manuales!$C$105+parametros_manuales!$G$25*(datos_base!$K$5+IF(parametros_manuales!$H$25="Todos",datos_base!$K$12,0))*parametros_manuales!$C$110)*parametros_manuales!$I$25*parametros_manuales!$J$25</f>
        <v>24764.85</v>
      </c>
      <c r="D251" s="4">
        <f>(parametros_manuales!$D$25*(datos_base!$K$2+IF(parametros_manuales!$H$25="Todos",datos_base!$K$9,0))*parametros_manuales!$D$95+parametros_manuales!$E$25*(datos_base!$K$3+IF(parametros_manuales!$H$25="Todos",datos_base!$K$10,0))*parametros_manuales!$D$100+parametros_manuales!$F$25*(datos_base!$K$4+IF(parametros_manuales!$H$25="Todos",datos_base!$K$11,0))*parametros_manuales!$D$105+parametros_manuales!$G$25*(datos_base!$K$5+IF(parametros_manuales!$H$25="Todos",datos_base!$K$12,0))*parametros_manuales!$D$110)*parametros_manuales!$I$25*parametros_manuales!$J$25</f>
        <v>23146.7</v>
      </c>
      <c r="E251" s="4">
        <f>(parametros_manuales!$D$25*(datos_base!$K$2+IF(parametros_manuales!$H$25="Todos",datos_base!$K$9,0))*parametros_manuales!$E$95+parametros_manuales!$E$25*(datos_base!$K$3+IF(parametros_manuales!$H$25="Todos",datos_base!$K$10,0))*parametros_manuales!$E$100+parametros_manuales!$F$25*(datos_base!$K$4+IF(parametros_manuales!$H$25="Todos",datos_base!$K$11,0))*parametros_manuales!$E$105+parametros_manuales!$G$25*(datos_base!$K$5+IF(parametros_manuales!$H$25="Todos",datos_base!$K$12,0))*parametros_manuales!$E$110)*parametros_manuales!$I$25*parametros_manuales!$J$25</f>
        <v>22133.595</v>
      </c>
      <c r="F251" s="4">
        <f>(parametros_manuales!$D$25*(datos_base!$K$2+IF(parametros_manuales!$H$25="Todos",datos_base!$K$9,0))*parametros_manuales!$F$95+parametros_manuales!$E$25*(datos_base!$K$3+IF(parametros_manuales!$H$25="Todos",datos_base!$K$10,0))*parametros_manuales!$F$100+parametros_manuales!$F$25*(datos_base!$K$4+IF(parametros_manuales!$H$25="Todos",datos_base!$K$11,0))*parametros_manuales!$F$105+parametros_manuales!$G$25*(datos_base!$K$5+IF(parametros_manuales!$H$25="Todos",datos_base!$K$12,0))*parametros_manuales!$F$110)*parametros_manuales!$I$25*parametros_manuales!$J$25</f>
        <v>20712.43</v>
      </c>
      <c r="G251" s="4">
        <f>(parametros_manuales!$D$25*(datos_base!$K$2+IF(parametros_manuales!$H$25="Todos",datos_base!$K$9,0))*parametros_manuales!$G$95+parametros_manuales!$E$25*(datos_base!$K$3+IF(parametros_manuales!$H$25="Todos",datos_base!$K$10,0))*parametros_manuales!$G$100+parametros_manuales!$F$25*(datos_base!$K$4+IF(parametros_manuales!$H$25="Todos",datos_base!$K$11,0))*parametros_manuales!$G$105+parametros_manuales!$G$25*(datos_base!$K$5+IF(parametros_manuales!$H$25="Todos",datos_base!$K$12,0))*parametros_manuales!$G$110)*parametros_manuales!$I$25*parametros_manuales!$J$25</f>
        <v>20304.37</v>
      </c>
      <c r="H251" s="4">
        <f>(parametros_manuales!$D$25*(datos_base!$K$2+IF(parametros_manuales!$H$25="Todos",datos_base!$K$9,0))*parametros_manuales!$H$95+parametros_manuales!$E$25*(datos_base!$K$3+IF(parametros_manuales!$H$25="Todos",datos_base!$K$10,0))*parametros_manuales!$H$100+parametros_manuales!$F$25*(datos_base!$K$4+IF(parametros_manuales!$H$25="Todos",datos_base!$K$11,0))*parametros_manuales!$H$105+parametros_manuales!$G$25*(datos_base!$K$5+IF(parametros_manuales!$H$25="Todos",datos_base!$K$12,0))*parametros_manuales!$H$110)*parametros_manuales!$I$25*parametros_manuales!$J$25</f>
        <v>21725.535</v>
      </c>
      <c r="I251" s="4">
        <f>(parametros_manuales!$D$25*(datos_base!$K$2+IF(parametros_manuales!$H$25="Todos",datos_base!$K$9,0))*parametros_manuales!$I$95+parametros_manuales!$E$25*(datos_base!$K$3+IF(parametros_manuales!$H$25="Todos",datos_base!$K$10,0))*parametros_manuales!$I$100+parametros_manuales!$F$25*(datos_base!$K$4+IF(parametros_manuales!$H$25="Todos",datos_base!$K$11,0))*parametros_manuales!$I$105+parametros_manuales!$G$25*(datos_base!$K$5+IF(parametros_manuales!$H$25="Todos",datos_base!$K$12,0))*parametros_manuales!$I$110)*parametros_manuales!$I$25*parametros_manuales!$J$25</f>
        <v>24764.85</v>
      </c>
      <c r="J251" s="4">
        <f>(parametros_manuales!$D$25*(datos_base!$K$2+IF(parametros_manuales!$H$25="Todos",datos_base!$K$9,0))*parametros_manuales!$J$95+parametros_manuales!$E$25*(datos_base!$K$3+IF(parametros_manuales!$H$25="Todos",datos_base!$K$10,0))*parametros_manuales!$J$100+parametros_manuales!$F$25*(datos_base!$K$4+IF(parametros_manuales!$H$25="Todos",datos_base!$K$11,0))*parametros_manuales!$J$105+parametros_manuales!$G$25*(datos_base!$K$5+IF(parametros_manuales!$H$25="Todos",datos_base!$K$12,0))*parametros_manuales!$J$110)*parametros_manuales!$I$25*parametros_manuales!$J$25</f>
        <v>24764.85</v>
      </c>
      <c r="K251" s="4">
        <f>(parametros_manuales!$D$25*(datos_base!$K$2+IF(parametros_manuales!$H$25="Todos",datos_base!$K$9,0))*parametros_manuales!$K$95+parametros_manuales!$E$25*(datos_base!$K$3+IF(parametros_manuales!$H$25="Todos",datos_base!$K$10,0))*parametros_manuales!$K$100+parametros_manuales!$F$25*(datos_base!$K$4+IF(parametros_manuales!$H$25="Todos",datos_base!$K$11,0))*parametros_manuales!$K$105+parametros_manuales!$G$25*(datos_base!$K$5+IF(parametros_manuales!$H$25="Todos",datos_base!$K$12,0))*parametros_manuales!$K$110)*parametros_manuales!$I$25*parametros_manuales!$J$25</f>
        <v>25172.91</v>
      </c>
      <c r="L251" s="4">
        <f>(parametros_manuales!$D$25*(datos_base!$K$2+IF(parametros_manuales!$H$25="Todos",datos_base!$K$9,0))*parametros_manuales!$L$95+parametros_manuales!$E$25*(datos_base!$K$3+IF(parametros_manuales!$H$25="Todos",datos_base!$K$10,0))*parametros_manuales!$L$100+parametros_manuales!$F$25*(datos_base!$K$4+IF(parametros_manuales!$H$25="Todos",datos_base!$K$11,0))*parametros_manuales!$L$105+parametros_manuales!$G$25*(datos_base!$K$5+IF(parametros_manuales!$H$25="Todos",datos_base!$K$12,0))*parametros_manuales!$L$110)*parametros_manuales!$I$25*parametros_manuales!$J$25</f>
        <v>25580.97</v>
      </c>
      <c r="M251" s="4">
        <f>(parametros_manuales!$D$25*(datos_base!$K$2+IF(parametros_manuales!$H$25="Todos",datos_base!$K$9,0))*parametros_manuales!$M$95+parametros_manuales!$E$25*(datos_base!$K$3+IF(parametros_manuales!$H$25="Todos",datos_base!$K$10,0))*parametros_manuales!$M$100+parametros_manuales!$F$25*(datos_base!$K$4+IF(parametros_manuales!$H$25="Todos",datos_base!$K$11,0))*parametros_manuales!$M$105+parametros_manuales!$G$25*(datos_base!$K$5+IF(parametros_manuales!$H$25="Todos",datos_base!$K$12,0))*parametros_manuales!$M$110)*parametros_manuales!$I$25*parametros_manuales!$J$25</f>
        <v>25580.97</v>
      </c>
      <c r="N251" s="4">
        <f t="shared" si="28"/>
        <v>284233</v>
      </c>
      <c r="O251" s="4">
        <f t="shared" si="29"/>
        <v>25580.97</v>
      </c>
      <c r="P251" s="27">
        <f>O251/(parametros_manuales!$B$7)</f>
        <v>170.5398</v>
      </c>
      <c r="Q251" s="3" t="str">
        <f t="shared" si="30"/>
        <v>Ene</v>
      </c>
    </row>
    <row r="252" ht="14.25" customHeight="1">
      <c r="A252" s="3" t="str">
        <f>parametros_manuales!$B$26</f>
        <v>Cilindrado</v>
      </c>
      <c r="B252" s="4">
        <f>(parametros_manuales!$D$26*(datos_base!$K$2+IF(parametros_manuales!$H$26="Todos",datos_base!$K$9,0))*parametros_manuales!$B$95+parametros_manuales!$E$26*(datos_base!$K$3+IF(parametros_manuales!$H$26="Todos",datos_base!$K$10,0))*parametros_manuales!$B$100+parametros_manuales!$F$26*(datos_base!$K$4+IF(parametros_manuales!$H$26="Todos",datos_base!$K$11,0))*parametros_manuales!$B$105+parametros_manuales!$G$26*(datos_base!$K$5+IF(parametros_manuales!$H$26="Todos",datos_base!$K$12,0))*parametros_manuales!$B$110)*parametros_manuales!$I$26*parametros_manuales!$J$26</f>
        <v>7345.08</v>
      </c>
      <c r="C252" s="4">
        <f>(parametros_manuales!$D$26*(datos_base!$K$2+IF(parametros_manuales!$H$26="Todos",datos_base!$K$9,0))*parametros_manuales!$C$95+parametros_manuales!$E$26*(datos_base!$K$3+IF(parametros_manuales!$H$26="Todos",datos_base!$K$10,0))*parametros_manuales!$C$100+parametros_manuales!$F$26*(datos_base!$K$4+IF(parametros_manuales!$H$26="Todos",datos_base!$K$11,0))*parametros_manuales!$C$105+parametros_manuales!$G$26*(datos_base!$K$5+IF(parametros_manuales!$H$26="Todos",datos_base!$K$12,0))*parametros_manuales!$C$110)*parametros_manuales!$I$26*parametros_manuales!$J$26</f>
        <v>6528.96</v>
      </c>
      <c r="D252" s="4">
        <f>(parametros_manuales!$D$26*(datos_base!$K$2+IF(parametros_manuales!$H$26="Todos",datos_base!$K$9,0))*parametros_manuales!$D$95+parametros_manuales!$E$26*(datos_base!$K$3+IF(parametros_manuales!$H$26="Todos",datos_base!$K$10,0))*parametros_manuales!$D$100+parametros_manuales!$F$26*(datos_base!$K$4+IF(parametros_manuales!$H$26="Todos",datos_base!$K$11,0))*parametros_manuales!$D$105+parametros_manuales!$G$26*(datos_base!$K$5+IF(parametros_manuales!$H$26="Todos",datos_base!$K$12,0))*parametros_manuales!$D$110)*parametros_manuales!$I$26*parametros_manuales!$J$26</f>
        <v>6937.02</v>
      </c>
      <c r="E252" s="4">
        <f>(parametros_manuales!$D$26*(datos_base!$K$2+IF(parametros_manuales!$H$26="Todos",datos_base!$K$9,0))*parametros_manuales!$E$95+parametros_manuales!$E$26*(datos_base!$K$3+IF(parametros_manuales!$H$26="Todos",datos_base!$K$10,0))*parametros_manuales!$E$100+parametros_manuales!$F$26*(datos_base!$K$4+IF(parametros_manuales!$H$26="Todos",datos_base!$K$11,0))*parametros_manuales!$E$105+parametros_manuales!$G$26*(datos_base!$K$5+IF(parametros_manuales!$H$26="Todos",datos_base!$K$12,0))*parametros_manuales!$E$110)*parametros_manuales!$I$26*parametros_manuales!$J$26</f>
        <v>6937.02</v>
      </c>
      <c r="F252" s="4">
        <f>(parametros_manuales!$D$26*(datos_base!$K$2+IF(parametros_manuales!$H$26="Todos",datos_base!$K$9,0))*parametros_manuales!$F$95+parametros_manuales!$E$26*(datos_base!$K$3+IF(parametros_manuales!$H$26="Todos",datos_base!$K$10,0))*parametros_manuales!$F$100+parametros_manuales!$F$26*(datos_base!$K$4+IF(parametros_manuales!$H$26="Todos",datos_base!$K$11,0))*parametros_manuales!$F$105+parametros_manuales!$G$26*(datos_base!$K$5+IF(parametros_manuales!$H$26="Todos",datos_base!$K$12,0))*parametros_manuales!$F$110)*parametros_manuales!$I$26*parametros_manuales!$J$26</f>
        <v>6528.96</v>
      </c>
      <c r="G252" s="4">
        <f>(parametros_manuales!$D$26*(datos_base!$K$2+IF(parametros_manuales!$H$26="Todos",datos_base!$K$9,0))*parametros_manuales!$G$95+parametros_manuales!$E$26*(datos_base!$K$3+IF(parametros_manuales!$H$26="Todos",datos_base!$K$10,0))*parametros_manuales!$G$100+parametros_manuales!$F$26*(datos_base!$K$4+IF(parametros_manuales!$H$26="Todos",datos_base!$K$11,0))*parametros_manuales!$G$105+parametros_manuales!$G$26*(datos_base!$K$5+IF(parametros_manuales!$H$26="Todos",datos_base!$K$12,0))*parametros_manuales!$G$110)*parametros_manuales!$I$26*parametros_manuales!$J$26</f>
        <v>6120.9</v>
      </c>
      <c r="H252" s="4">
        <f>(parametros_manuales!$D$26*(datos_base!$K$2+IF(parametros_manuales!$H$26="Todos",datos_base!$K$9,0))*parametros_manuales!$H$95+parametros_manuales!$E$26*(datos_base!$K$3+IF(parametros_manuales!$H$26="Todos",datos_base!$K$10,0))*parametros_manuales!$H$100+parametros_manuales!$F$26*(datos_base!$K$4+IF(parametros_manuales!$H$26="Todos",datos_base!$K$11,0))*parametros_manuales!$H$105+parametros_manuales!$G$26*(datos_base!$K$5+IF(parametros_manuales!$H$26="Todos",datos_base!$K$12,0))*parametros_manuales!$H$110)*parametros_manuales!$I$26*parametros_manuales!$J$26</f>
        <v>6528.96</v>
      </c>
      <c r="I252" s="4">
        <f>(parametros_manuales!$D$26*(datos_base!$K$2+IF(parametros_manuales!$H$26="Todos",datos_base!$K$9,0))*parametros_manuales!$I$95+parametros_manuales!$E$26*(datos_base!$K$3+IF(parametros_manuales!$H$26="Todos",datos_base!$K$10,0))*parametros_manuales!$I$100+parametros_manuales!$F$26*(datos_base!$K$4+IF(parametros_manuales!$H$26="Todos",datos_base!$K$11,0))*parametros_manuales!$I$105+parametros_manuales!$G$26*(datos_base!$K$5+IF(parametros_manuales!$H$26="Todos",datos_base!$K$12,0))*parametros_manuales!$I$110)*parametros_manuales!$I$26*parametros_manuales!$J$26</f>
        <v>6528.96</v>
      </c>
      <c r="J252" s="4">
        <f>(parametros_manuales!$D$26*(datos_base!$K$2+IF(parametros_manuales!$H$26="Todos",datos_base!$K$9,0))*parametros_manuales!$J$95+parametros_manuales!$E$26*(datos_base!$K$3+IF(parametros_manuales!$H$26="Todos",datos_base!$K$10,0))*parametros_manuales!$J$100+parametros_manuales!$F$26*(datos_base!$K$4+IF(parametros_manuales!$H$26="Todos",datos_base!$K$11,0))*parametros_manuales!$J$105+parametros_manuales!$G$26*(datos_base!$K$5+IF(parametros_manuales!$H$26="Todos",datos_base!$K$12,0))*parametros_manuales!$J$110)*parametros_manuales!$I$26*parametros_manuales!$J$26</f>
        <v>6528.96</v>
      </c>
      <c r="K252" s="4">
        <f>(parametros_manuales!$D$26*(datos_base!$K$2+IF(parametros_manuales!$H$26="Todos",datos_base!$K$9,0))*parametros_manuales!$K$95+parametros_manuales!$E$26*(datos_base!$K$3+IF(parametros_manuales!$H$26="Todos",datos_base!$K$10,0))*parametros_manuales!$K$100+parametros_manuales!$F$26*(datos_base!$K$4+IF(parametros_manuales!$H$26="Todos",datos_base!$K$11,0))*parametros_manuales!$K$105+parametros_manuales!$G$26*(datos_base!$K$5+IF(parametros_manuales!$H$26="Todos",datos_base!$K$12,0))*parametros_manuales!$K$110)*parametros_manuales!$I$26*parametros_manuales!$J$26</f>
        <v>6937.02</v>
      </c>
      <c r="L252" s="4">
        <f>(parametros_manuales!$D$26*(datos_base!$K$2+IF(parametros_manuales!$H$26="Todos",datos_base!$K$9,0))*parametros_manuales!$L$95+parametros_manuales!$E$26*(datos_base!$K$3+IF(parametros_manuales!$H$26="Todos",datos_base!$K$10,0))*parametros_manuales!$L$100+parametros_manuales!$F$26*(datos_base!$K$4+IF(parametros_manuales!$H$26="Todos",datos_base!$K$11,0))*parametros_manuales!$L$105+parametros_manuales!$G$26*(datos_base!$K$5+IF(parametros_manuales!$H$26="Todos",datos_base!$K$12,0))*parametros_manuales!$L$110)*parametros_manuales!$I$26*parametros_manuales!$J$26</f>
        <v>7345.08</v>
      </c>
      <c r="M252" s="4">
        <f>(parametros_manuales!$D$26*(datos_base!$K$2+IF(parametros_manuales!$H$26="Todos",datos_base!$K$9,0))*parametros_manuales!$M$95+parametros_manuales!$E$26*(datos_base!$K$3+IF(parametros_manuales!$H$26="Todos",datos_base!$K$10,0))*parametros_manuales!$M$100+parametros_manuales!$F$26*(datos_base!$K$4+IF(parametros_manuales!$H$26="Todos",datos_base!$K$11,0))*parametros_manuales!$M$105+parametros_manuales!$G$26*(datos_base!$K$5+IF(parametros_manuales!$H$26="Todos",datos_base!$K$12,0))*parametros_manuales!$M$110)*parametros_manuales!$I$26*parametros_manuales!$J$26</f>
        <v>7345.08</v>
      </c>
      <c r="N252" s="4">
        <f t="shared" si="28"/>
        <v>81612</v>
      </c>
      <c r="O252" s="4">
        <f t="shared" si="29"/>
        <v>7345.08</v>
      </c>
      <c r="P252" s="27">
        <f>O252/(parametros_manuales!$B$7)</f>
        <v>48.9672</v>
      </c>
      <c r="Q252" s="3" t="str">
        <f t="shared" si="30"/>
        <v>Ene</v>
      </c>
    </row>
    <row r="253" ht="14.25" customHeight="1">
      <c r="A253" s="3" t="str">
        <f>parametros_manuales!$B$27</f>
        <v>Soldadura longitudinal</v>
      </c>
      <c r="B253" s="4">
        <f>(parametros_manuales!$D$27*(datos_base!$K$2+IF(parametros_manuales!$H$27="Todos",datos_base!$K$9,0))*parametros_manuales!$B$95+parametros_manuales!$E$27*(datos_base!$K$3+IF(parametros_manuales!$H$27="Todos",datos_base!$K$10,0))*parametros_manuales!$B$100+parametros_manuales!$F$27*(datos_base!$K$4+IF(parametros_manuales!$H$27="Todos",datos_base!$K$11,0))*parametros_manuales!$B$105+parametros_manuales!$G$27*(datos_base!$K$5+IF(parametros_manuales!$H$27="Todos",datos_base!$K$12,0))*parametros_manuales!$B$110)*parametros_manuales!$I$27*parametros_manuales!$J$27</f>
        <v>7345.08</v>
      </c>
      <c r="C253" s="4">
        <f>(parametros_manuales!$D$27*(datos_base!$K$2+IF(parametros_manuales!$H$27="Todos",datos_base!$K$9,0))*parametros_manuales!$C$95+parametros_manuales!$E$27*(datos_base!$K$3+IF(parametros_manuales!$H$27="Todos",datos_base!$K$10,0))*parametros_manuales!$C$100+parametros_manuales!$F$27*(datos_base!$K$4+IF(parametros_manuales!$H$27="Todos",datos_base!$K$11,0))*parametros_manuales!$C$105+parametros_manuales!$G$27*(datos_base!$K$5+IF(parametros_manuales!$H$27="Todos",datos_base!$K$12,0))*parametros_manuales!$C$110)*parametros_manuales!$I$27*parametros_manuales!$J$27</f>
        <v>6528.96</v>
      </c>
      <c r="D253" s="4">
        <f>(parametros_manuales!$D$27*(datos_base!$K$2+IF(parametros_manuales!$H$27="Todos",datos_base!$K$9,0))*parametros_manuales!$D$95+parametros_manuales!$E$27*(datos_base!$K$3+IF(parametros_manuales!$H$27="Todos",datos_base!$K$10,0))*parametros_manuales!$D$100+parametros_manuales!$F$27*(datos_base!$K$4+IF(parametros_manuales!$H$27="Todos",datos_base!$K$11,0))*parametros_manuales!$D$105+parametros_manuales!$G$27*(datos_base!$K$5+IF(parametros_manuales!$H$27="Todos",datos_base!$K$12,0))*parametros_manuales!$D$110)*parametros_manuales!$I$27*parametros_manuales!$J$27</f>
        <v>6937.02</v>
      </c>
      <c r="E253" s="4">
        <f>(parametros_manuales!$D$27*(datos_base!$K$2+IF(parametros_manuales!$H$27="Todos",datos_base!$K$9,0))*parametros_manuales!$E$95+parametros_manuales!$E$27*(datos_base!$K$3+IF(parametros_manuales!$H$27="Todos",datos_base!$K$10,0))*parametros_manuales!$E$100+parametros_manuales!$F$27*(datos_base!$K$4+IF(parametros_manuales!$H$27="Todos",datos_base!$K$11,0))*parametros_manuales!$E$105+parametros_manuales!$G$27*(datos_base!$K$5+IF(parametros_manuales!$H$27="Todos",datos_base!$K$12,0))*parametros_manuales!$E$110)*parametros_manuales!$I$27*parametros_manuales!$J$27</f>
        <v>6937.02</v>
      </c>
      <c r="F253" s="4">
        <f>(parametros_manuales!$D$27*(datos_base!$K$2+IF(parametros_manuales!$H$27="Todos",datos_base!$K$9,0))*parametros_manuales!$F$95+parametros_manuales!$E$27*(datos_base!$K$3+IF(parametros_manuales!$H$27="Todos",datos_base!$K$10,0))*parametros_manuales!$F$100+parametros_manuales!$F$27*(datos_base!$K$4+IF(parametros_manuales!$H$27="Todos",datos_base!$K$11,0))*parametros_manuales!$F$105+parametros_manuales!$G$27*(datos_base!$K$5+IF(parametros_manuales!$H$27="Todos",datos_base!$K$12,0))*parametros_manuales!$F$110)*parametros_manuales!$I$27*parametros_manuales!$J$27</f>
        <v>6528.96</v>
      </c>
      <c r="G253" s="4">
        <f>(parametros_manuales!$D$27*(datos_base!$K$2+IF(parametros_manuales!$H$27="Todos",datos_base!$K$9,0))*parametros_manuales!$G$95+parametros_manuales!$E$27*(datos_base!$K$3+IF(parametros_manuales!$H$27="Todos",datos_base!$K$10,0))*parametros_manuales!$G$100+parametros_manuales!$F$27*(datos_base!$K$4+IF(parametros_manuales!$H$27="Todos",datos_base!$K$11,0))*parametros_manuales!$G$105+parametros_manuales!$G$27*(datos_base!$K$5+IF(parametros_manuales!$H$27="Todos",datos_base!$K$12,0))*parametros_manuales!$G$110)*parametros_manuales!$I$27*parametros_manuales!$J$27</f>
        <v>6120.9</v>
      </c>
      <c r="H253" s="4">
        <f>(parametros_manuales!$D$27*(datos_base!$K$2+IF(parametros_manuales!$H$27="Todos",datos_base!$K$9,0))*parametros_manuales!$H$95+parametros_manuales!$E$27*(datos_base!$K$3+IF(parametros_manuales!$H$27="Todos",datos_base!$K$10,0))*parametros_manuales!$H$100+parametros_manuales!$F$27*(datos_base!$K$4+IF(parametros_manuales!$H$27="Todos",datos_base!$K$11,0))*parametros_manuales!$H$105+parametros_manuales!$G$27*(datos_base!$K$5+IF(parametros_manuales!$H$27="Todos",datos_base!$K$12,0))*parametros_manuales!$H$110)*parametros_manuales!$I$27*parametros_manuales!$J$27</f>
        <v>6528.96</v>
      </c>
      <c r="I253" s="4">
        <f>(parametros_manuales!$D$27*(datos_base!$K$2+IF(parametros_manuales!$H$27="Todos",datos_base!$K$9,0))*parametros_manuales!$I$95+parametros_manuales!$E$27*(datos_base!$K$3+IF(parametros_manuales!$H$27="Todos",datos_base!$K$10,0))*parametros_manuales!$I$100+parametros_manuales!$F$27*(datos_base!$K$4+IF(parametros_manuales!$H$27="Todos",datos_base!$K$11,0))*parametros_manuales!$I$105+parametros_manuales!$G$27*(datos_base!$K$5+IF(parametros_manuales!$H$27="Todos",datos_base!$K$12,0))*parametros_manuales!$I$110)*parametros_manuales!$I$27*parametros_manuales!$J$27</f>
        <v>6528.96</v>
      </c>
      <c r="J253" s="4">
        <f>(parametros_manuales!$D$27*(datos_base!$K$2+IF(parametros_manuales!$H$27="Todos",datos_base!$K$9,0))*parametros_manuales!$J$95+parametros_manuales!$E$27*(datos_base!$K$3+IF(parametros_manuales!$H$27="Todos",datos_base!$K$10,0))*parametros_manuales!$J$100+parametros_manuales!$F$27*(datos_base!$K$4+IF(parametros_manuales!$H$27="Todos",datos_base!$K$11,0))*parametros_manuales!$J$105+parametros_manuales!$G$27*(datos_base!$K$5+IF(parametros_manuales!$H$27="Todos",datos_base!$K$12,0))*parametros_manuales!$J$110)*parametros_manuales!$I$27*parametros_manuales!$J$27</f>
        <v>6528.96</v>
      </c>
      <c r="K253" s="4">
        <f>(parametros_manuales!$D$27*(datos_base!$K$2+IF(parametros_manuales!$H$27="Todos",datos_base!$K$9,0))*parametros_manuales!$K$95+parametros_manuales!$E$27*(datos_base!$K$3+IF(parametros_manuales!$H$27="Todos",datos_base!$K$10,0))*parametros_manuales!$K$100+parametros_manuales!$F$27*(datos_base!$K$4+IF(parametros_manuales!$H$27="Todos",datos_base!$K$11,0))*parametros_manuales!$K$105+parametros_manuales!$G$27*(datos_base!$K$5+IF(parametros_manuales!$H$27="Todos",datos_base!$K$12,0))*parametros_manuales!$K$110)*parametros_manuales!$I$27*parametros_manuales!$J$27</f>
        <v>6937.02</v>
      </c>
      <c r="L253" s="4">
        <f>(parametros_manuales!$D$27*(datos_base!$K$2+IF(parametros_manuales!$H$27="Todos",datos_base!$K$9,0))*parametros_manuales!$L$95+parametros_manuales!$E$27*(datos_base!$K$3+IF(parametros_manuales!$H$27="Todos",datos_base!$K$10,0))*parametros_manuales!$L$100+parametros_manuales!$F$27*(datos_base!$K$4+IF(parametros_manuales!$H$27="Todos",datos_base!$K$11,0))*parametros_manuales!$L$105+parametros_manuales!$G$27*(datos_base!$K$5+IF(parametros_manuales!$H$27="Todos",datos_base!$K$12,0))*parametros_manuales!$L$110)*parametros_manuales!$I$27*parametros_manuales!$J$27</f>
        <v>7345.08</v>
      </c>
      <c r="M253" s="4">
        <f>(parametros_manuales!$D$27*(datos_base!$K$2+IF(parametros_manuales!$H$27="Todos",datos_base!$K$9,0))*parametros_manuales!$M$95+parametros_manuales!$E$27*(datos_base!$K$3+IF(parametros_manuales!$H$27="Todos",datos_base!$K$10,0))*parametros_manuales!$M$100+parametros_manuales!$F$27*(datos_base!$K$4+IF(parametros_manuales!$H$27="Todos",datos_base!$K$11,0))*parametros_manuales!$M$105+parametros_manuales!$G$27*(datos_base!$K$5+IF(parametros_manuales!$H$27="Todos",datos_base!$K$12,0))*parametros_manuales!$M$110)*parametros_manuales!$I$27*parametros_manuales!$J$27</f>
        <v>7345.08</v>
      </c>
      <c r="N253" s="4">
        <f t="shared" si="28"/>
        <v>81612</v>
      </c>
      <c r="O253" s="4">
        <f t="shared" si="29"/>
        <v>7345.08</v>
      </c>
      <c r="P253" s="27">
        <f>O253/(parametros_manuales!$B$7)</f>
        <v>48.9672</v>
      </c>
      <c r="Q253" s="3" t="str">
        <f t="shared" si="30"/>
        <v>Ene</v>
      </c>
    </row>
    <row r="254" ht="14.25" customHeight="1">
      <c r="A254" s="3" t="str">
        <f>parametros_manuales!$B$28</f>
        <v>Encastre de fondo</v>
      </c>
      <c r="B254" s="4">
        <f>(parametros_manuales!$D$28*(datos_base!$K$2+IF(parametros_manuales!$H$28="Todos",datos_base!$K$9,0))*parametros_manuales!$B$95+parametros_manuales!$E$28*(datos_base!$K$3+IF(parametros_manuales!$H$28="Todos",datos_base!$K$10,0))*parametros_manuales!$B$100+parametros_manuales!$F$28*(datos_base!$K$4+IF(parametros_manuales!$H$28="Todos",datos_base!$K$11,0))*parametros_manuales!$B$105+parametros_manuales!$G$28*(datos_base!$K$5+IF(parametros_manuales!$H$28="Todos",datos_base!$K$12,0))*parametros_manuales!$B$110)*parametros_manuales!$I$28*parametros_manuales!$J$28</f>
        <v>25580.97</v>
      </c>
      <c r="C254" s="4">
        <f>(parametros_manuales!$D$28*(datos_base!$K$2+IF(parametros_manuales!$H$28="Todos",datos_base!$K$9,0))*parametros_manuales!$C$95+parametros_manuales!$E$28*(datos_base!$K$3+IF(parametros_manuales!$H$28="Todos",datos_base!$K$10,0))*parametros_manuales!$C$100+parametros_manuales!$F$28*(datos_base!$K$4+IF(parametros_manuales!$H$28="Todos",datos_base!$K$11,0))*parametros_manuales!$C$105+parametros_manuales!$G$28*(datos_base!$K$5+IF(parametros_manuales!$H$28="Todos",datos_base!$K$12,0))*parametros_manuales!$C$110)*parametros_manuales!$I$28*parametros_manuales!$J$28</f>
        <v>24764.85</v>
      </c>
      <c r="D254" s="4">
        <f>(parametros_manuales!$D$28*(datos_base!$K$2+IF(parametros_manuales!$H$28="Todos",datos_base!$K$9,0))*parametros_manuales!$D$95+parametros_manuales!$E$28*(datos_base!$K$3+IF(parametros_manuales!$H$28="Todos",datos_base!$K$10,0))*parametros_manuales!$D$100+parametros_manuales!$F$28*(datos_base!$K$4+IF(parametros_manuales!$H$28="Todos",datos_base!$K$11,0))*parametros_manuales!$D$105+parametros_manuales!$G$28*(datos_base!$K$5+IF(parametros_manuales!$H$28="Todos",datos_base!$K$12,0))*parametros_manuales!$D$110)*parametros_manuales!$I$28*parametros_manuales!$J$28</f>
        <v>23146.7</v>
      </c>
      <c r="E254" s="4">
        <f>(parametros_manuales!$D$28*(datos_base!$K$2+IF(parametros_manuales!$H$28="Todos",datos_base!$K$9,0))*parametros_manuales!$E$95+parametros_manuales!$E$28*(datos_base!$K$3+IF(parametros_manuales!$H$28="Todos",datos_base!$K$10,0))*parametros_manuales!$E$100+parametros_manuales!$F$28*(datos_base!$K$4+IF(parametros_manuales!$H$28="Todos",datos_base!$K$11,0))*parametros_manuales!$E$105+parametros_manuales!$G$28*(datos_base!$K$5+IF(parametros_manuales!$H$28="Todos",datos_base!$K$12,0))*parametros_manuales!$E$110)*parametros_manuales!$I$28*parametros_manuales!$J$28</f>
        <v>22133.595</v>
      </c>
      <c r="F254" s="4">
        <f>(parametros_manuales!$D$28*(datos_base!$K$2+IF(parametros_manuales!$H$28="Todos",datos_base!$K$9,0))*parametros_manuales!$F$95+parametros_manuales!$E$28*(datos_base!$K$3+IF(parametros_manuales!$H$28="Todos",datos_base!$K$10,0))*parametros_manuales!$F$100+parametros_manuales!$F$28*(datos_base!$K$4+IF(parametros_manuales!$H$28="Todos",datos_base!$K$11,0))*parametros_manuales!$F$105+parametros_manuales!$G$28*(datos_base!$K$5+IF(parametros_manuales!$H$28="Todos",datos_base!$K$12,0))*parametros_manuales!$F$110)*parametros_manuales!$I$28*parametros_manuales!$J$28</f>
        <v>20712.43</v>
      </c>
      <c r="G254" s="4">
        <f>(parametros_manuales!$D$28*(datos_base!$K$2+IF(parametros_manuales!$H$28="Todos",datos_base!$K$9,0))*parametros_manuales!$G$95+parametros_manuales!$E$28*(datos_base!$K$3+IF(parametros_manuales!$H$28="Todos",datos_base!$K$10,0))*parametros_manuales!$G$100+parametros_manuales!$F$28*(datos_base!$K$4+IF(parametros_manuales!$H$28="Todos",datos_base!$K$11,0))*parametros_manuales!$G$105+parametros_manuales!$G$28*(datos_base!$K$5+IF(parametros_manuales!$H$28="Todos",datos_base!$K$12,0))*parametros_manuales!$G$110)*parametros_manuales!$I$28*parametros_manuales!$J$28</f>
        <v>20304.37</v>
      </c>
      <c r="H254" s="4">
        <f>(parametros_manuales!$D$28*(datos_base!$K$2+IF(parametros_manuales!$H$28="Todos",datos_base!$K$9,0))*parametros_manuales!$H$95+parametros_manuales!$E$28*(datos_base!$K$3+IF(parametros_manuales!$H$28="Todos",datos_base!$K$10,0))*parametros_manuales!$H$100+parametros_manuales!$F$28*(datos_base!$K$4+IF(parametros_manuales!$H$28="Todos",datos_base!$K$11,0))*parametros_manuales!$H$105+parametros_manuales!$G$28*(datos_base!$K$5+IF(parametros_manuales!$H$28="Todos",datos_base!$K$12,0))*parametros_manuales!$H$110)*parametros_manuales!$I$28*parametros_manuales!$J$28</f>
        <v>21725.535</v>
      </c>
      <c r="I254" s="4">
        <f>(parametros_manuales!$D$28*(datos_base!$K$2+IF(parametros_manuales!$H$28="Todos",datos_base!$K$9,0))*parametros_manuales!$I$95+parametros_manuales!$E$28*(datos_base!$K$3+IF(parametros_manuales!$H$28="Todos",datos_base!$K$10,0))*parametros_manuales!$I$100+parametros_manuales!$F$28*(datos_base!$K$4+IF(parametros_manuales!$H$28="Todos",datos_base!$K$11,0))*parametros_manuales!$I$105+parametros_manuales!$G$28*(datos_base!$K$5+IF(parametros_manuales!$H$28="Todos",datos_base!$K$12,0))*parametros_manuales!$I$110)*parametros_manuales!$I$28*parametros_manuales!$J$28</f>
        <v>24764.85</v>
      </c>
      <c r="J254" s="4">
        <f>(parametros_manuales!$D$28*(datos_base!$K$2+IF(parametros_manuales!$H$28="Todos",datos_base!$K$9,0))*parametros_manuales!$J$95+parametros_manuales!$E$28*(datos_base!$K$3+IF(parametros_manuales!$H$28="Todos",datos_base!$K$10,0))*parametros_manuales!$J$100+parametros_manuales!$F$28*(datos_base!$K$4+IF(parametros_manuales!$H$28="Todos",datos_base!$K$11,0))*parametros_manuales!$J$105+parametros_manuales!$G$28*(datos_base!$K$5+IF(parametros_manuales!$H$28="Todos",datos_base!$K$12,0))*parametros_manuales!$J$110)*parametros_manuales!$I$28*parametros_manuales!$J$28</f>
        <v>24764.85</v>
      </c>
      <c r="K254" s="4">
        <f>(parametros_manuales!$D$28*(datos_base!$K$2+IF(parametros_manuales!$H$28="Todos",datos_base!$K$9,0))*parametros_manuales!$K$95+parametros_manuales!$E$28*(datos_base!$K$3+IF(parametros_manuales!$H$28="Todos",datos_base!$K$10,0))*parametros_manuales!$K$100+parametros_manuales!$F$28*(datos_base!$K$4+IF(parametros_manuales!$H$28="Todos",datos_base!$K$11,0))*parametros_manuales!$K$105+parametros_manuales!$G$28*(datos_base!$K$5+IF(parametros_manuales!$H$28="Todos",datos_base!$K$12,0))*parametros_manuales!$K$110)*parametros_manuales!$I$28*parametros_manuales!$J$28</f>
        <v>25172.91</v>
      </c>
      <c r="L254" s="4">
        <f>(parametros_manuales!$D$28*(datos_base!$K$2+IF(parametros_manuales!$H$28="Todos",datos_base!$K$9,0))*parametros_manuales!$L$95+parametros_manuales!$E$28*(datos_base!$K$3+IF(parametros_manuales!$H$28="Todos",datos_base!$K$10,0))*parametros_manuales!$L$100+parametros_manuales!$F$28*(datos_base!$K$4+IF(parametros_manuales!$H$28="Todos",datos_base!$K$11,0))*parametros_manuales!$L$105+parametros_manuales!$G$28*(datos_base!$K$5+IF(parametros_manuales!$H$28="Todos",datos_base!$K$12,0))*parametros_manuales!$L$110)*parametros_manuales!$I$28*parametros_manuales!$J$28</f>
        <v>25580.97</v>
      </c>
      <c r="M254" s="4">
        <f>(parametros_manuales!$D$28*(datos_base!$K$2+IF(parametros_manuales!$H$28="Todos",datos_base!$K$9,0))*parametros_manuales!$M$95+parametros_manuales!$E$28*(datos_base!$K$3+IF(parametros_manuales!$H$28="Todos",datos_base!$K$10,0))*parametros_manuales!$M$100+parametros_manuales!$F$28*(datos_base!$K$4+IF(parametros_manuales!$H$28="Todos",datos_base!$K$11,0))*parametros_manuales!$M$105+parametros_manuales!$G$28*(datos_base!$K$5+IF(parametros_manuales!$H$28="Todos",datos_base!$K$12,0))*parametros_manuales!$M$110)*parametros_manuales!$I$28*parametros_manuales!$J$28</f>
        <v>25580.97</v>
      </c>
      <c r="N254" s="4">
        <f t="shared" si="28"/>
        <v>284233</v>
      </c>
      <c r="O254" s="4">
        <f t="shared" si="29"/>
        <v>25580.97</v>
      </c>
      <c r="P254" s="27">
        <f>O254/(parametros_manuales!$B$7)</f>
        <v>170.5398</v>
      </c>
      <c r="Q254" s="3" t="str">
        <f t="shared" si="30"/>
        <v>Ene</v>
      </c>
    </row>
    <row r="255" ht="14.25" customHeight="1">
      <c r="A255" s="3" t="str">
        <f>parametros_manuales!$B$29</f>
        <v>Bordoneado</v>
      </c>
      <c r="B255" s="4">
        <f>(parametros_manuales!$D$29*(datos_base!$K$2+IF(parametros_manuales!$H$29="Todos",datos_base!$K$9,0))*parametros_manuales!$B$95+parametros_manuales!$E$29*(datos_base!$K$3+IF(parametros_manuales!$H$29="Todos",datos_base!$K$10,0))*parametros_manuales!$B$100+parametros_manuales!$F$29*(datos_base!$K$4+IF(parametros_manuales!$H$29="Todos",datos_base!$K$11,0))*parametros_manuales!$B$105+parametros_manuales!$G$29*(datos_base!$K$5+IF(parametros_manuales!$H$29="Todos",datos_base!$K$12,0))*parametros_manuales!$B$110)*parametros_manuales!$I$29*parametros_manuales!$J$29</f>
        <v>25580.97</v>
      </c>
      <c r="C255" s="4">
        <f>(parametros_manuales!$D$29*(datos_base!$K$2+IF(parametros_manuales!$H$29="Todos",datos_base!$K$9,0))*parametros_manuales!$C$95+parametros_manuales!$E$29*(datos_base!$K$3+IF(parametros_manuales!$H$29="Todos",datos_base!$K$10,0))*parametros_manuales!$C$100+parametros_manuales!$F$29*(datos_base!$K$4+IF(parametros_manuales!$H$29="Todos",datos_base!$K$11,0))*parametros_manuales!$C$105+parametros_manuales!$G$29*(datos_base!$K$5+IF(parametros_manuales!$H$29="Todos",datos_base!$K$12,0))*parametros_manuales!$C$110)*parametros_manuales!$I$29*parametros_manuales!$J$29</f>
        <v>24764.85</v>
      </c>
      <c r="D255" s="4">
        <f>(parametros_manuales!$D$29*(datos_base!$K$2+IF(parametros_manuales!$H$29="Todos",datos_base!$K$9,0))*parametros_manuales!$D$95+parametros_manuales!$E$29*(datos_base!$K$3+IF(parametros_manuales!$H$29="Todos",datos_base!$K$10,0))*parametros_manuales!$D$100+parametros_manuales!$F$29*(datos_base!$K$4+IF(parametros_manuales!$H$29="Todos",datos_base!$K$11,0))*parametros_manuales!$D$105+parametros_manuales!$G$29*(datos_base!$K$5+IF(parametros_manuales!$H$29="Todos",datos_base!$K$12,0))*parametros_manuales!$D$110)*parametros_manuales!$I$29*parametros_manuales!$J$29</f>
        <v>23146.7</v>
      </c>
      <c r="E255" s="4">
        <f>(parametros_manuales!$D$29*(datos_base!$K$2+IF(parametros_manuales!$H$29="Todos",datos_base!$K$9,0))*parametros_manuales!$E$95+parametros_manuales!$E$29*(datos_base!$K$3+IF(parametros_manuales!$H$29="Todos",datos_base!$K$10,0))*parametros_manuales!$E$100+parametros_manuales!$F$29*(datos_base!$K$4+IF(parametros_manuales!$H$29="Todos",datos_base!$K$11,0))*parametros_manuales!$E$105+parametros_manuales!$G$29*(datos_base!$K$5+IF(parametros_manuales!$H$29="Todos",datos_base!$K$12,0))*parametros_manuales!$E$110)*parametros_manuales!$I$29*parametros_manuales!$J$29</f>
        <v>22133.595</v>
      </c>
      <c r="F255" s="4">
        <f>(parametros_manuales!$D$29*(datos_base!$K$2+IF(parametros_manuales!$H$29="Todos",datos_base!$K$9,0))*parametros_manuales!$F$95+parametros_manuales!$E$29*(datos_base!$K$3+IF(parametros_manuales!$H$29="Todos",datos_base!$K$10,0))*parametros_manuales!$F$100+parametros_manuales!$F$29*(datos_base!$K$4+IF(parametros_manuales!$H$29="Todos",datos_base!$K$11,0))*parametros_manuales!$F$105+parametros_manuales!$G$29*(datos_base!$K$5+IF(parametros_manuales!$H$29="Todos",datos_base!$K$12,0))*parametros_manuales!$F$110)*parametros_manuales!$I$29*parametros_manuales!$J$29</f>
        <v>20712.43</v>
      </c>
      <c r="G255" s="4">
        <f>(parametros_manuales!$D$29*(datos_base!$K$2+IF(parametros_manuales!$H$29="Todos",datos_base!$K$9,0))*parametros_manuales!$G$95+parametros_manuales!$E$29*(datos_base!$K$3+IF(parametros_manuales!$H$29="Todos",datos_base!$K$10,0))*parametros_manuales!$G$100+parametros_manuales!$F$29*(datos_base!$K$4+IF(parametros_manuales!$H$29="Todos",datos_base!$K$11,0))*parametros_manuales!$G$105+parametros_manuales!$G$29*(datos_base!$K$5+IF(parametros_manuales!$H$29="Todos",datos_base!$K$12,0))*parametros_manuales!$G$110)*parametros_manuales!$I$29*parametros_manuales!$J$29</f>
        <v>20304.37</v>
      </c>
      <c r="H255" s="4">
        <f>(parametros_manuales!$D$29*(datos_base!$K$2+IF(parametros_manuales!$H$29="Todos",datos_base!$K$9,0))*parametros_manuales!$H$95+parametros_manuales!$E$29*(datos_base!$K$3+IF(parametros_manuales!$H$29="Todos",datos_base!$K$10,0))*parametros_manuales!$H$100+parametros_manuales!$F$29*(datos_base!$K$4+IF(parametros_manuales!$H$29="Todos",datos_base!$K$11,0))*parametros_manuales!$H$105+parametros_manuales!$G$29*(datos_base!$K$5+IF(parametros_manuales!$H$29="Todos",datos_base!$K$12,0))*parametros_manuales!$H$110)*parametros_manuales!$I$29*parametros_manuales!$J$29</f>
        <v>21725.535</v>
      </c>
      <c r="I255" s="4">
        <f>(parametros_manuales!$D$29*(datos_base!$K$2+IF(parametros_manuales!$H$29="Todos",datos_base!$K$9,0))*parametros_manuales!$I$95+parametros_manuales!$E$29*(datos_base!$K$3+IF(parametros_manuales!$H$29="Todos",datos_base!$K$10,0))*parametros_manuales!$I$100+parametros_manuales!$F$29*(datos_base!$K$4+IF(parametros_manuales!$H$29="Todos",datos_base!$K$11,0))*parametros_manuales!$I$105+parametros_manuales!$G$29*(datos_base!$K$5+IF(parametros_manuales!$H$29="Todos",datos_base!$K$12,0))*parametros_manuales!$I$110)*parametros_manuales!$I$29*parametros_manuales!$J$29</f>
        <v>24764.85</v>
      </c>
      <c r="J255" s="4">
        <f>(parametros_manuales!$D$29*(datos_base!$K$2+IF(parametros_manuales!$H$29="Todos",datos_base!$K$9,0))*parametros_manuales!$J$95+parametros_manuales!$E$29*(datos_base!$K$3+IF(parametros_manuales!$H$29="Todos",datos_base!$K$10,0))*parametros_manuales!$J$100+parametros_manuales!$F$29*(datos_base!$K$4+IF(parametros_manuales!$H$29="Todos",datos_base!$K$11,0))*parametros_manuales!$J$105+parametros_manuales!$G$29*(datos_base!$K$5+IF(parametros_manuales!$H$29="Todos",datos_base!$K$12,0))*parametros_manuales!$J$110)*parametros_manuales!$I$29*parametros_manuales!$J$29</f>
        <v>24764.85</v>
      </c>
      <c r="K255" s="4">
        <f>(parametros_manuales!$D$29*(datos_base!$K$2+IF(parametros_manuales!$H$29="Todos",datos_base!$K$9,0))*parametros_manuales!$K$95+parametros_manuales!$E$29*(datos_base!$K$3+IF(parametros_manuales!$H$29="Todos",datos_base!$K$10,0))*parametros_manuales!$K$100+parametros_manuales!$F$29*(datos_base!$K$4+IF(parametros_manuales!$H$29="Todos",datos_base!$K$11,0))*parametros_manuales!$K$105+parametros_manuales!$G$29*(datos_base!$K$5+IF(parametros_manuales!$H$29="Todos",datos_base!$K$12,0))*parametros_manuales!$K$110)*parametros_manuales!$I$29*parametros_manuales!$J$29</f>
        <v>25172.91</v>
      </c>
      <c r="L255" s="4">
        <f>(parametros_manuales!$D$29*(datos_base!$K$2+IF(parametros_manuales!$H$29="Todos",datos_base!$K$9,0))*parametros_manuales!$L$95+parametros_manuales!$E$29*(datos_base!$K$3+IF(parametros_manuales!$H$29="Todos",datos_base!$K$10,0))*parametros_manuales!$L$100+parametros_manuales!$F$29*(datos_base!$K$4+IF(parametros_manuales!$H$29="Todos",datos_base!$K$11,0))*parametros_manuales!$L$105+parametros_manuales!$G$29*(datos_base!$K$5+IF(parametros_manuales!$H$29="Todos",datos_base!$K$12,0))*parametros_manuales!$L$110)*parametros_manuales!$I$29*parametros_manuales!$J$29</f>
        <v>25580.97</v>
      </c>
      <c r="M255" s="4">
        <f>(parametros_manuales!$D$29*(datos_base!$K$2+IF(parametros_manuales!$H$29="Todos",datos_base!$K$9,0))*parametros_manuales!$M$95+parametros_manuales!$E$29*(datos_base!$K$3+IF(parametros_manuales!$H$29="Todos",datos_base!$K$10,0))*parametros_manuales!$M$100+parametros_manuales!$F$29*(datos_base!$K$4+IF(parametros_manuales!$H$29="Todos",datos_base!$K$11,0))*parametros_manuales!$M$105+parametros_manuales!$G$29*(datos_base!$K$5+IF(parametros_manuales!$H$29="Todos",datos_base!$K$12,0))*parametros_manuales!$M$110)*parametros_manuales!$I$29*parametros_manuales!$J$29</f>
        <v>25580.97</v>
      </c>
      <c r="N255" s="4">
        <f t="shared" si="28"/>
        <v>284233</v>
      </c>
      <c r="O255" s="4">
        <f t="shared" si="29"/>
        <v>25580.97</v>
      </c>
      <c r="P255" s="27">
        <f>O255/(parametros_manuales!$B$7)</f>
        <v>170.5398</v>
      </c>
      <c r="Q255" s="3" t="str">
        <f t="shared" si="30"/>
        <v>Ene</v>
      </c>
    </row>
    <row r="256" ht="14.25" customHeight="1">
      <c r="A256" s="3" t="str">
        <f>parametros_manuales!$B$30</f>
        <v>Soldadura circunferencial de cúpula y fondo</v>
      </c>
      <c r="B256" s="4">
        <f>(parametros_manuales!$D$30*(datos_base!$K$2+IF(parametros_manuales!$H$30="Todos",datos_base!$K$9,0))*parametros_manuales!$B$95+parametros_manuales!$E$30*(datos_base!$K$3+IF(parametros_manuales!$H$30="Todos",datos_base!$K$10,0))*parametros_manuales!$B$100+parametros_manuales!$F$30*(datos_base!$K$4+IF(parametros_manuales!$H$30="Todos",datos_base!$K$11,0))*parametros_manuales!$B$105+parametros_manuales!$G$30*(datos_base!$K$5+IF(parametros_manuales!$H$30="Todos",datos_base!$K$12,0))*parametros_manuales!$B$110)*parametros_manuales!$I$30*parametros_manuales!$J$30</f>
        <v>25580.97</v>
      </c>
      <c r="C256" s="4">
        <f>(parametros_manuales!$D$30*(datos_base!$K$2+IF(parametros_manuales!$H$30="Todos",datos_base!$K$9,0))*parametros_manuales!$C$95+parametros_manuales!$E$30*(datos_base!$K$3+IF(parametros_manuales!$H$30="Todos",datos_base!$K$10,0))*parametros_manuales!$C$100+parametros_manuales!$F$30*(datos_base!$K$4+IF(parametros_manuales!$H$30="Todos",datos_base!$K$11,0))*parametros_manuales!$C$105+parametros_manuales!$G$30*(datos_base!$K$5+IF(parametros_manuales!$H$30="Todos",datos_base!$K$12,0))*parametros_manuales!$C$110)*parametros_manuales!$I$30*parametros_manuales!$J$30</f>
        <v>24764.85</v>
      </c>
      <c r="D256" s="4">
        <f>(parametros_manuales!$D$30*(datos_base!$K$2+IF(parametros_manuales!$H$30="Todos",datos_base!$K$9,0))*parametros_manuales!$D$95+parametros_manuales!$E$30*(datos_base!$K$3+IF(parametros_manuales!$H$30="Todos",datos_base!$K$10,0))*parametros_manuales!$D$100+parametros_manuales!$F$30*(datos_base!$K$4+IF(parametros_manuales!$H$30="Todos",datos_base!$K$11,0))*parametros_manuales!$D$105+parametros_manuales!$G$30*(datos_base!$K$5+IF(parametros_manuales!$H$30="Todos",datos_base!$K$12,0))*parametros_manuales!$D$110)*parametros_manuales!$I$30*parametros_manuales!$J$30</f>
        <v>23146.7</v>
      </c>
      <c r="E256" s="4">
        <f>(parametros_manuales!$D$30*(datos_base!$K$2+IF(parametros_manuales!$H$30="Todos",datos_base!$K$9,0))*parametros_manuales!$E$95+parametros_manuales!$E$30*(datos_base!$K$3+IF(parametros_manuales!$H$30="Todos",datos_base!$K$10,0))*parametros_manuales!$E$100+parametros_manuales!$F$30*(datos_base!$K$4+IF(parametros_manuales!$H$30="Todos",datos_base!$K$11,0))*parametros_manuales!$E$105+parametros_manuales!$G$30*(datos_base!$K$5+IF(parametros_manuales!$H$30="Todos",datos_base!$K$12,0))*parametros_manuales!$E$110)*parametros_manuales!$I$30*parametros_manuales!$J$30</f>
        <v>22133.595</v>
      </c>
      <c r="F256" s="4">
        <f>(parametros_manuales!$D$30*(datos_base!$K$2+IF(parametros_manuales!$H$30="Todos",datos_base!$K$9,0))*parametros_manuales!$F$95+parametros_manuales!$E$30*(datos_base!$K$3+IF(parametros_manuales!$H$30="Todos",datos_base!$K$10,0))*parametros_manuales!$F$100+parametros_manuales!$F$30*(datos_base!$K$4+IF(parametros_manuales!$H$30="Todos",datos_base!$K$11,0))*parametros_manuales!$F$105+parametros_manuales!$G$30*(datos_base!$K$5+IF(parametros_manuales!$H$30="Todos",datos_base!$K$12,0))*parametros_manuales!$F$110)*parametros_manuales!$I$30*parametros_manuales!$J$30</f>
        <v>20712.43</v>
      </c>
      <c r="G256" s="4">
        <f>(parametros_manuales!$D$30*(datos_base!$K$2+IF(parametros_manuales!$H$30="Todos",datos_base!$K$9,0))*parametros_manuales!$G$95+parametros_manuales!$E$30*(datos_base!$K$3+IF(parametros_manuales!$H$30="Todos",datos_base!$K$10,0))*parametros_manuales!$G$100+parametros_manuales!$F$30*(datos_base!$K$4+IF(parametros_manuales!$H$30="Todos",datos_base!$K$11,0))*parametros_manuales!$G$105+parametros_manuales!$G$30*(datos_base!$K$5+IF(parametros_manuales!$H$30="Todos",datos_base!$K$12,0))*parametros_manuales!$G$110)*parametros_manuales!$I$30*parametros_manuales!$J$30</f>
        <v>20304.37</v>
      </c>
      <c r="H256" s="4">
        <f>(parametros_manuales!$D$30*(datos_base!$K$2+IF(parametros_manuales!$H$30="Todos",datos_base!$K$9,0))*parametros_manuales!$H$95+parametros_manuales!$E$30*(datos_base!$K$3+IF(parametros_manuales!$H$30="Todos",datos_base!$K$10,0))*parametros_manuales!$H$100+parametros_manuales!$F$30*(datos_base!$K$4+IF(parametros_manuales!$H$30="Todos",datos_base!$K$11,0))*parametros_manuales!$H$105+parametros_manuales!$G$30*(datos_base!$K$5+IF(parametros_manuales!$H$30="Todos",datos_base!$K$12,0))*parametros_manuales!$H$110)*parametros_manuales!$I$30*parametros_manuales!$J$30</f>
        <v>21725.535</v>
      </c>
      <c r="I256" s="4">
        <f>(parametros_manuales!$D$30*(datos_base!$K$2+IF(parametros_manuales!$H$30="Todos",datos_base!$K$9,0))*parametros_manuales!$I$95+parametros_manuales!$E$30*(datos_base!$K$3+IF(parametros_manuales!$H$30="Todos",datos_base!$K$10,0))*parametros_manuales!$I$100+parametros_manuales!$F$30*(datos_base!$K$4+IF(parametros_manuales!$H$30="Todos",datos_base!$K$11,0))*parametros_manuales!$I$105+parametros_manuales!$G$30*(datos_base!$K$5+IF(parametros_manuales!$H$30="Todos",datos_base!$K$12,0))*parametros_manuales!$I$110)*parametros_manuales!$I$30*parametros_manuales!$J$30</f>
        <v>24764.85</v>
      </c>
      <c r="J256" s="4">
        <f>(parametros_manuales!$D$30*(datos_base!$K$2+IF(parametros_manuales!$H$30="Todos",datos_base!$K$9,0))*parametros_manuales!$J$95+parametros_manuales!$E$30*(datos_base!$K$3+IF(parametros_manuales!$H$30="Todos",datos_base!$K$10,0))*parametros_manuales!$J$100+parametros_manuales!$F$30*(datos_base!$K$4+IF(parametros_manuales!$H$30="Todos",datos_base!$K$11,0))*parametros_manuales!$J$105+parametros_manuales!$G$30*(datos_base!$K$5+IF(parametros_manuales!$H$30="Todos",datos_base!$K$12,0))*parametros_manuales!$J$110)*parametros_manuales!$I$30*parametros_manuales!$J$30</f>
        <v>24764.85</v>
      </c>
      <c r="K256" s="4">
        <f>(parametros_manuales!$D$30*(datos_base!$K$2+IF(parametros_manuales!$H$30="Todos",datos_base!$K$9,0))*parametros_manuales!$K$95+parametros_manuales!$E$30*(datos_base!$K$3+IF(parametros_manuales!$H$30="Todos",datos_base!$K$10,0))*parametros_manuales!$K$100+parametros_manuales!$F$30*(datos_base!$K$4+IF(parametros_manuales!$H$30="Todos",datos_base!$K$11,0))*parametros_manuales!$K$105+parametros_manuales!$G$30*(datos_base!$K$5+IF(parametros_manuales!$H$30="Todos",datos_base!$K$12,0))*parametros_manuales!$K$110)*parametros_manuales!$I$30*parametros_manuales!$J$30</f>
        <v>25172.91</v>
      </c>
      <c r="L256" s="4">
        <f>(parametros_manuales!$D$30*(datos_base!$K$2+IF(parametros_manuales!$H$30="Todos",datos_base!$K$9,0))*parametros_manuales!$L$95+parametros_manuales!$E$30*(datos_base!$K$3+IF(parametros_manuales!$H$30="Todos",datos_base!$K$10,0))*parametros_manuales!$L$100+parametros_manuales!$F$30*(datos_base!$K$4+IF(parametros_manuales!$H$30="Todos",datos_base!$K$11,0))*parametros_manuales!$L$105+parametros_manuales!$G$30*(datos_base!$K$5+IF(parametros_manuales!$H$30="Todos",datos_base!$K$12,0))*parametros_manuales!$L$110)*parametros_manuales!$I$30*parametros_manuales!$J$30</f>
        <v>25580.97</v>
      </c>
      <c r="M256" s="4">
        <f>(parametros_manuales!$D$30*(datos_base!$K$2+IF(parametros_manuales!$H$30="Todos",datos_base!$K$9,0))*parametros_manuales!$M$95+parametros_manuales!$E$30*(datos_base!$K$3+IF(parametros_manuales!$H$30="Todos",datos_base!$K$10,0))*parametros_manuales!$M$100+parametros_manuales!$F$30*(datos_base!$K$4+IF(parametros_manuales!$H$30="Todos",datos_base!$K$11,0))*parametros_manuales!$M$105+parametros_manuales!$G$30*(datos_base!$K$5+IF(parametros_manuales!$H$30="Todos",datos_base!$K$12,0))*parametros_manuales!$M$110)*parametros_manuales!$I$30*parametros_manuales!$J$30</f>
        <v>25580.97</v>
      </c>
      <c r="N256" s="4">
        <f t="shared" si="28"/>
        <v>284233</v>
      </c>
      <c r="O256" s="4">
        <f t="shared" si="29"/>
        <v>25580.97</v>
      </c>
      <c r="P256" s="27">
        <f>O256/(parametros_manuales!$B$7)</f>
        <v>170.5398</v>
      </c>
      <c r="Q256" s="3" t="str">
        <f t="shared" si="30"/>
        <v>Ene</v>
      </c>
    </row>
    <row r="257" ht="14.25" customHeight="1">
      <c r="A257" s="3" t="str">
        <f>parametros_manuales!$B$31</f>
        <v>Control de calidad — Espesor</v>
      </c>
      <c r="B257" s="4">
        <f>(parametros_manuales!$D$31*(datos_base!$K$2+IF(parametros_manuales!$H$31="Todos",datos_base!$K$9,0))*parametros_manuales!$B$95+parametros_manuales!$E$31*(datos_base!$K$3+IF(parametros_manuales!$H$31="Todos",datos_base!$K$10,0))*parametros_manuales!$B$100+parametros_manuales!$F$31*(datos_base!$K$4+IF(parametros_manuales!$H$31="Todos",datos_base!$K$11,0))*parametros_manuales!$B$105+parametros_manuales!$G$31*(datos_base!$K$5+IF(parametros_manuales!$H$31="Todos",datos_base!$K$12,0))*parametros_manuales!$B$110)*parametros_manuales!$I$31*parametros_manuales!$J$31</f>
        <v>511.6194</v>
      </c>
      <c r="C257" s="4">
        <f>(parametros_manuales!$D$31*(datos_base!$K$2+IF(parametros_manuales!$H$31="Todos",datos_base!$K$9,0))*parametros_manuales!$C$95+parametros_manuales!$E$31*(datos_base!$K$3+IF(parametros_manuales!$H$31="Todos",datos_base!$K$10,0))*parametros_manuales!$C$100+parametros_manuales!$F$31*(datos_base!$K$4+IF(parametros_manuales!$H$31="Todos",datos_base!$K$11,0))*parametros_manuales!$C$105+parametros_manuales!$G$31*(datos_base!$K$5+IF(parametros_manuales!$H$31="Todos",datos_base!$K$12,0))*parametros_manuales!$C$110)*parametros_manuales!$I$31*parametros_manuales!$J$31</f>
        <v>495.297</v>
      </c>
      <c r="D257" s="4">
        <f>(parametros_manuales!$D$31*(datos_base!$K$2+IF(parametros_manuales!$H$31="Todos",datos_base!$K$9,0))*parametros_manuales!$D$95+parametros_manuales!$E$31*(datos_base!$K$3+IF(parametros_manuales!$H$31="Todos",datos_base!$K$10,0))*parametros_manuales!$D$100+parametros_manuales!$F$31*(datos_base!$K$4+IF(parametros_manuales!$H$31="Todos",datos_base!$K$11,0))*parametros_manuales!$D$105+parametros_manuales!$G$31*(datos_base!$K$5+IF(parametros_manuales!$H$31="Todos",datos_base!$K$12,0))*parametros_manuales!$D$110)*parametros_manuales!$I$31*parametros_manuales!$J$31</f>
        <v>462.934</v>
      </c>
      <c r="E257" s="4">
        <f>(parametros_manuales!$D$31*(datos_base!$K$2+IF(parametros_manuales!$H$31="Todos",datos_base!$K$9,0))*parametros_manuales!$E$95+parametros_manuales!$E$31*(datos_base!$K$3+IF(parametros_manuales!$H$31="Todos",datos_base!$K$10,0))*parametros_manuales!$E$100+parametros_manuales!$F$31*(datos_base!$K$4+IF(parametros_manuales!$H$31="Todos",datos_base!$K$11,0))*parametros_manuales!$E$105+parametros_manuales!$G$31*(datos_base!$K$5+IF(parametros_manuales!$H$31="Todos",datos_base!$K$12,0))*parametros_manuales!$E$110)*parametros_manuales!$I$31*parametros_manuales!$J$31</f>
        <v>442.6719</v>
      </c>
      <c r="F257" s="4">
        <f>(parametros_manuales!$D$31*(datos_base!$K$2+IF(parametros_manuales!$H$31="Todos",datos_base!$K$9,0))*parametros_manuales!$F$95+parametros_manuales!$E$31*(datos_base!$K$3+IF(parametros_manuales!$H$31="Todos",datos_base!$K$10,0))*parametros_manuales!$F$100+parametros_manuales!$F$31*(datos_base!$K$4+IF(parametros_manuales!$H$31="Todos",datos_base!$K$11,0))*parametros_manuales!$F$105+parametros_manuales!$G$31*(datos_base!$K$5+IF(parametros_manuales!$H$31="Todos",datos_base!$K$12,0))*parametros_manuales!$F$110)*parametros_manuales!$I$31*parametros_manuales!$J$31</f>
        <v>414.2486</v>
      </c>
      <c r="G257" s="4">
        <f>(parametros_manuales!$D$31*(datos_base!$K$2+IF(parametros_manuales!$H$31="Todos",datos_base!$K$9,0))*parametros_manuales!$G$95+parametros_manuales!$E$31*(datos_base!$K$3+IF(parametros_manuales!$H$31="Todos",datos_base!$K$10,0))*parametros_manuales!$G$100+parametros_manuales!$F$31*(datos_base!$K$4+IF(parametros_manuales!$H$31="Todos",datos_base!$K$11,0))*parametros_manuales!$G$105+parametros_manuales!$G$31*(datos_base!$K$5+IF(parametros_manuales!$H$31="Todos",datos_base!$K$12,0))*parametros_manuales!$G$110)*parametros_manuales!$I$31*parametros_manuales!$J$31</f>
        <v>406.0874</v>
      </c>
      <c r="H257" s="4">
        <f>(parametros_manuales!$D$31*(datos_base!$K$2+IF(parametros_manuales!$H$31="Todos",datos_base!$K$9,0))*parametros_manuales!$H$95+parametros_manuales!$E$31*(datos_base!$K$3+IF(parametros_manuales!$H$31="Todos",datos_base!$K$10,0))*parametros_manuales!$H$100+parametros_manuales!$F$31*(datos_base!$K$4+IF(parametros_manuales!$H$31="Todos",datos_base!$K$11,0))*parametros_manuales!$H$105+parametros_manuales!$G$31*(datos_base!$K$5+IF(parametros_manuales!$H$31="Todos",datos_base!$K$12,0))*parametros_manuales!$H$110)*parametros_manuales!$I$31*parametros_manuales!$J$31</f>
        <v>434.5107</v>
      </c>
      <c r="I257" s="4">
        <f>(parametros_manuales!$D$31*(datos_base!$K$2+IF(parametros_manuales!$H$31="Todos",datos_base!$K$9,0))*parametros_manuales!$I$95+parametros_manuales!$E$31*(datos_base!$K$3+IF(parametros_manuales!$H$31="Todos",datos_base!$K$10,0))*parametros_manuales!$I$100+parametros_manuales!$F$31*(datos_base!$K$4+IF(parametros_manuales!$H$31="Todos",datos_base!$K$11,0))*parametros_manuales!$I$105+parametros_manuales!$G$31*(datos_base!$K$5+IF(parametros_manuales!$H$31="Todos",datos_base!$K$12,0))*parametros_manuales!$I$110)*parametros_manuales!$I$31*parametros_manuales!$J$31</f>
        <v>495.297</v>
      </c>
      <c r="J257" s="4">
        <f>(parametros_manuales!$D$31*(datos_base!$K$2+IF(parametros_manuales!$H$31="Todos",datos_base!$K$9,0))*parametros_manuales!$J$95+parametros_manuales!$E$31*(datos_base!$K$3+IF(parametros_manuales!$H$31="Todos",datos_base!$K$10,0))*parametros_manuales!$J$100+parametros_manuales!$F$31*(datos_base!$K$4+IF(parametros_manuales!$H$31="Todos",datos_base!$K$11,0))*parametros_manuales!$J$105+parametros_manuales!$G$31*(datos_base!$K$5+IF(parametros_manuales!$H$31="Todos",datos_base!$K$12,0))*parametros_manuales!$J$110)*parametros_manuales!$I$31*parametros_manuales!$J$31</f>
        <v>495.297</v>
      </c>
      <c r="K257" s="4">
        <f>(parametros_manuales!$D$31*(datos_base!$K$2+IF(parametros_manuales!$H$31="Todos",datos_base!$K$9,0))*parametros_manuales!$K$95+parametros_manuales!$E$31*(datos_base!$K$3+IF(parametros_manuales!$H$31="Todos",datos_base!$K$10,0))*parametros_manuales!$K$100+parametros_manuales!$F$31*(datos_base!$K$4+IF(parametros_manuales!$H$31="Todos",datos_base!$K$11,0))*parametros_manuales!$K$105+parametros_manuales!$G$31*(datos_base!$K$5+IF(parametros_manuales!$H$31="Todos",datos_base!$K$12,0))*parametros_manuales!$K$110)*parametros_manuales!$I$31*parametros_manuales!$J$31</f>
        <v>503.4582</v>
      </c>
      <c r="L257" s="4">
        <f>(parametros_manuales!$D$31*(datos_base!$K$2+IF(parametros_manuales!$H$31="Todos",datos_base!$K$9,0))*parametros_manuales!$L$95+parametros_manuales!$E$31*(datos_base!$K$3+IF(parametros_manuales!$H$31="Todos",datos_base!$K$10,0))*parametros_manuales!$L$100+parametros_manuales!$F$31*(datos_base!$K$4+IF(parametros_manuales!$H$31="Todos",datos_base!$K$11,0))*parametros_manuales!$L$105+parametros_manuales!$G$31*(datos_base!$K$5+IF(parametros_manuales!$H$31="Todos",datos_base!$K$12,0))*parametros_manuales!$L$110)*parametros_manuales!$I$31*parametros_manuales!$J$31</f>
        <v>511.6194</v>
      </c>
      <c r="M257" s="4">
        <f>(parametros_manuales!$D$31*(datos_base!$K$2+IF(parametros_manuales!$H$31="Todos",datos_base!$K$9,0))*parametros_manuales!$M$95+parametros_manuales!$E$31*(datos_base!$K$3+IF(parametros_manuales!$H$31="Todos",datos_base!$K$10,0))*parametros_manuales!$M$100+parametros_manuales!$F$31*(datos_base!$K$4+IF(parametros_manuales!$H$31="Todos",datos_base!$K$11,0))*parametros_manuales!$M$105+parametros_manuales!$G$31*(datos_base!$K$5+IF(parametros_manuales!$H$31="Todos",datos_base!$K$12,0))*parametros_manuales!$M$110)*parametros_manuales!$I$31*parametros_manuales!$J$31</f>
        <v>511.6194</v>
      </c>
      <c r="N257" s="4">
        <f t="shared" si="28"/>
        <v>5684.66</v>
      </c>
      <c r="O257" s="4">
        <f t="shared" si="29"/>
        <v>511.6194</v>
      </c>
      <c r="P257" s="27">
        <f>O257/(parametros_manuales!$B$7)</f>
        <v>3.410796</v>
      </c>
      <c r="Q257" s="3" t="str">
        <f t="shared" si="30"/>
        <v>Ene</v>
      </c>
    </row>
    <row r="258" ht="14.25" customHeight="1">
      <c r="A258" s="3" t="str">
        <f>parametros_manuales!$B$32</f>
        <v>Prueba hidráulica</v>
      </c>
      <c r="B258" s="4">
        <f>(parametros_manuales!$D$32*(datos_base!$K$2+IF(parametros_manuales!$H$32="Todos",datos_base!$K$9,0))*parametros_manuales!$B$95+parametros_manuales!$E$32*(datos_base!$K$3+IF(parametros_manuales!$H$32="Todos",datos_base!$K$10,0))*parametros_manuales!$B$100+parametros_manuales!$F$32*(datos_base!$K$4+IF(parametros_manuales!$H$32="Todos",datos_base!$K$11,0))*parametros_manuales!$B$105+parametros_manuales!$G$32*(datos_base!$K$5+IF(parametros_manuales!$H$32="Todos",datos_base!$K$12,0))*parametros_manuales!$B$110)*parametros_manuales!$I$32*parametros_manuales!$J$32</f>
        <v>25580.97</v>
      </c>
      <c r="C258" s="4">
        <f>(parametros_manuales!$D$32*(datos_base!$K$2+IF(parametros_manuales!$H$32="Todos",datos_base!$K$9,0))*parametros_manuales!$C$95+parametros_manuales!$E$32*(datos_base!$K$3+IF(parametros_manuales!$H$32="Todos",datos_base!$K$10,0))*parametros_manuales!$C$100+parametros_manuales!$F$32*(datos_base!$K$4+IF(parametros_manuales!$H$32="Todos",datos_base!$K$11,0))*parametros_manuales!$C$105+parametros_manuales!$G$32*(datos_base!$K$5+IF(parametros_manuales!$H$32="Todos",datos_base!$K$12,0))*parametros_manuales!$C$110)*parametros_manuales!$I$32*parametros_manuales!$J$32</f>
        <v>24764.85</v>
      </c>
      <c r="D258" s="4">
        <f>(parametros_manuales!$D$32*(datos_base!$K$2+IF(parametros_manuales!$H$32="Todos",datos_base!$K$9,0))*parametros_manuales!$D$95+parametros_manuales!$E$32*(datos_base!$K$3+IF(parametros_manuales!$H$32="Todos",datos_base!$K$10,0))*parametros_manuales!$D$100+parametros_manuales!$F$32*(datos_base!$K$4+IF(parametros_manuales!$H$32="Todos",datos_base!$K$11,0))*parametros_manuales!$D$105+parametros_manuales!$G$32*(datos_base!$K$5+IF(parametros_manuales!$H$32="Todos",datos_base!$K$12,0))*parametros_manuales!$D$110)*parametros_manuales!$I$32*parametros_manuales!$J$32</f>
        <v>23146.7</v>
      </c>
      <c r="E258" s="4">
        <f>(parametros_manuales!$D$32*(datos_base!$K$2+IF(parametros_manuales!$H$32="Todos",datos_base!$K$9,0))*parametros_manuales!$E$95+parametros_manuales!$E$32*(datos_base!$K$3+IF(parametros_manuales!$H$32="Todos",datos_base!$K$10,0))*parametros_manuales!$E$100+parametros_manuales!$F$32*(datos_base!$K$4+IF(parametros_manuales!$H$32="Todos",datos_base!$K$11,0))*parametros_manuales!$E$105+parametros_manuales!$G$32*(datos_base!$K$5+IF(parametros_manuales!$H$32="Todos",datos_base!$K$12,0))*parametros_manuales!$E$110)*parametros_manuales!$I$32*parametros_manuales!$J$32</f>
        <v>22133.595</v>
      </c>
      <c r="F258" s="4">
        <f>(parametros_manuales!$D$32*(datos_base!$K$2+IF(parametros_manuales!$H$32="Todos",datos_base!$K$9,0))*parametros_manuales!$F$95+parametros_manuales!$E$32*(datos_base!$K$3+IF(parametros_manuales!$H$32="Todos",datos_base!$K$10,0))*parametros_manuales!$F$100+parametros_manuales!$F$32*(datos_base!$K$4+IF(parametros_manuales!$H$32="Todos",datos_base!$K$11,0))*parametros_manuales!$F$105+parametros_manuales!$G$32*(datos_base!$K$5+IF(parametros_manuales!$H$32="Todos",datos_base!$K$12,0))*parametros_manuales!$F$110)*parametros_manuales!$I$32*parametros_manuales!$J$32</f>
        <v>20712.43</v>
      </c>
      <c r="G258" s="4">
        <f>(parametros_manuales!$D$32*(datos_base!$K$2+IF(parametros_manuales!$H$32="Todos",datos_base!$K$9,0))*parametros_manuales!$G$95+parametros_manuales!$E$32*(datos_base!$K$3+IF(parametros_manuales!$H$32="Todos",datos_base!$K$10,0))*parametros_manuales!$G$100+parametros_manuales!$F$32*(datos_base!$K$4+IF(parametros_manuales!$H$32="Todos",datos_base!$K$11,0))*parametros_manuales!$G$105+parametros_manuales!$G$32*(datos_base!$K$5+IF(parametros_manuales!$H$32="Todos",datos_base!$K$12,0))*parametros_manuales!$G$110)*parametros_manuales!$I$32*parametros_manuales!$J$32</f>
        <v>20304.37</v>
      </c>
      <c r="H258" s="4">
        <f>(parametros_manuales!$D$32*(datos_base!$K$2+IF(parametros_manuales!$H$32="Todos",datos_base!$K$9,0))*parametros_manuales!$H$95+parametros_manuales!$E$32*(datos_base!$K$3+IF(parametros_manuales!$H$32="Todos",datos_base!$K$10,0))*parametros_manuales!$H$100+parametros_manuales!$F$32*(datos_base!$K$4+IF(parametros_manuales!$H$32="Todos",datos_base!$K$11,0))*parametros_manuales!$H$105+parametros_manuales!$G$32*(datos_base!$K$5+IF(parametros_manuales!$H$32="Todos",datos_base!$K$12,0))*parametros_manuales!$H$110)*parametros_manuales!$I$32*parametros_manuales!$J$32</f>
        <v>21725.535</v>
      </c>
      <c r="I258" s="4">
        <f>(parametros_manuales!$D$32*(datos_base!$K$2+IF(parametros_manuales!$H$32="Todos",datos_base!$K$9,0))*parametros_manuales!$I$95+parametros_manuales!$E$32*(datos_base!$K$3+IF(parametros_manuales!$H$32="Todos",datos_base!$K$10,0))*parametros_manuales!$I$100+parametros_manuales!$F$32*(datos_base!$K$4+IF(parametros_manuales!$H$32="Todos",datos_base!$K$11,0))*parametros_manuales!$I$105+parametros_manuales!$G$32*(datos_base!$K$5+IF(parametros_manuales!$H$32="Todos",datos_base!$K$12,0))*parametros_manuales!$I$110)*parametros_manuales!$I$32*parametros_manuales!$J$32</f>
        <v>24764.85</v>
      </c>
      <c r="J258" s="4">
        <f>(parametros_manuales!$D$32*(datos_base!$K$2+IF(parametros_manuales!$H$32="Todos",datos_base!$K$9,0))*parametros_manuales!$J$95+parametros_manuales!$E$32*(datos_base!$K$3+IF(parametros_manuales!$H$32="Todos",datos_base!$K$10,0))*parametros_manuales!$J$100+parametros_manuales!$F$32*(datos_base!$K$4+IF(parametros_manuales!$H$32="Todos",datos_base!$K$11,0))*parametros_manuales!$J$105+parametros_manuales!$G$32*(datos_base!$K$5+IF(parametros_manuales!$H$32="Todos",datos_base!$K$12,0))*parametros_manuales!$J$110)*parametros_manuales!$I$32*parametros_manuales!$J$32</f>
        <v>24764.85</v>
      </c>
      <c r="K258" s="4">
        <f>(parametros_manuales!$D$32*(datos_base!$K$2+IF(parametros_manuales!$H$32="Todos",datos_base!$K$9,0))*parametros_manuales!$K$95+parametros_manuales!$E$32*(datos_base!$K$3+IF(parametros_manuales!$H$32="Todos",datos_base!$K$10,0))*parametros_manuales!$K$100+parametros_manuales!$F$32*(datos_base!$K$4+IF(parametros_manuales!$H$32="Todos",datos_base!$K$11,0))*parametros_manuales!$K$105+parametros_manuales!$G$32*(datos_base!$K$5+IF(parametros_manuales!$H$32="Todos",datos_base!$K$12,0))*parametros_manuales!$K$110)*parametros_manuales!$I$32*parametros_manuales!$J$32</f>
        <v>25172.91</v>
      </c>
      <c r="L258" s="4">
        <f>(parametros_manuales!$D$32*(datos_base!$K$2+IF(parametros_manuales!$H$32="Todos",datos_base!$K$9,0))*parametros_manuales!$L$95+parametros_manuales!$E$32*(datos_base!$K$3+IF(parametros_manuales!$H$32="Todos",datos_base!$K$10,0))*parametros_manuales!$L$100+parametros_manuales!$F$32*(datos_base!$K$4+IF(parametros_manuales!$H$32="Todos",datos_base!$K$11,0))*parametros_manuales!$L$105+parametros_manuales!$G$32*(datos_base!$K$5+IF(parametros_manuales!$H$32="Todos",datos_base!$K$12,0))*parametros_manuales!$L$110)*parametros_manuales!$I$32*parametros_manuales!$J$32</f>
        <v>25580.97</v>
      </c>
      <c r="M258" s="4">
        <f>(parametros_manuales!$D$32*(datos_base!$K$2+IF(parametros_manuales!$H$32="Todos",datos_base!$K$9,0))*parametros_manuales!$M$95+parametros_manuales!$E$32*(datos_base!$K$3+IF(parametros_manuales!$H$32="Todos",datos_base!$K$10,0))*parametros_manuales!$M$100+parametros_manuales!$F$32*(datos_base!$K$4+IF(parametros_manuales!$H$32="Todos",datos_base!$K$11,0))*parametros_manuales!$M$105+parametros_manuales!$G$32*(datos_base!$K$5+IF(parametros_manuales!$H$32="Todos",datos_base!$K$12,0))*parametros_manuales!$M$110)*parametros_manuales!$I$32*parametros_manuales!$J$32</f>
        <v>25580.97</v>
      </c>
      <c r="N258" s="4">
        <f t="shared" si="28"/>
        <v>284233</v>
      </c>
      <c r="O258" s="4">
        <f t="shared" si="29"/>
        <v>25580.97</v>
      </c>
      <c r="P258" s="27">
        <f>O258/(parametros_manuales!$B$7)</f>
        <v>170.5398</v>
      </c>
      <c r="Q258" s="3" t="str">
        <f t="shared" si="30"/>
        <v>Ene</v>
      </c>
    </row>
    <row r="259" ht="14.25" customHeight="1">
      <c r="A259" s="3" t="str">
        <f>parametros_manuales!$B$33</f>
        <v>Secado</v>
      </c>
      <c r="B259" s="4">
        <f>(parametros_manuales!$D$33*(datos_base!$K$2+IF(parametros_manuales!$H$33="Todos",datos_base!$K$9,0))*parametros_manuales!$B$95+parametros_manuales!$E$33*(datos_base!$K$3+IF(parametros_manuales!$H$33="Todos",datos_base!$K$10,0))*parametros_manuales!$B$100+parametros_manuales!$F$33*(datos_base!$K$4+IF(parametros_manuales!$H$33="Todos",datos_base!$K$11,0))*parametros_manuales!$B$105+parametros_manuales!$G$33*(datos_base!$K$5+IF(parametros_manuales!$H$33="Todos",datos_base!$K$12,0))*parametros_manuales!$B$110)*parametros_manuales!$I$33*parametros_manuales!$J$33</f>
        <v>25580.97</v>
      </c>
      <c r="C259" s="4">
        <f>(parametros_manuales!$D$33*(datos_base!$K$2+IF(parametros_manuales!$H$33="Todos",datos_base!$K$9,0))*parametros_manuales!$C$95+parametros_manuales!$E$33*(datos_base!$K$3+IF(parametros_manuales!$H$33="Todos",datos_base!$K$10,0))*parametros_manuales!$C$100+parametros_manuales!$F$33*(datos_base!$K$4+IF(parametros_manuales!$H$33="Todos",datos_base!$K$11,0))*parametros_manuales!$C$105+parametros_manuales!$G$33*(datos_base!$K$5+IF(parametros_manuales!$H$33="Todos",datos_base!$K$12,0))*parametros_manuales!$C$110)*parametros_manuales!$I$33*parametros_manuales!$J$33</f>
        <v>24764.85</v>
      </c>
      <c r="D259" s="4">
        <f>(parametros_manuales!$D$33*(datos_base!$K$2+IF(parametros_manuales!$H$33="Todos",datos_base!$K$9,0))*parametros_manuales!$D$95+parametros_manuales!$E$33*(datos_base!$K$3+IF(parametros_manuales!$H$33="Todos",datos_base!$K$10,0))*parametros_manuales!$D$100+parametros_manuales!$F$33*(datos_base!$K$4+IF(parametros_manuales!$H$33="Todos",datos_base!$K$11,0))*parametros_manuales!$D$105+parametros_manuales!$G$33*(datos_base!$K$5+IF(parametros_manuales!$H$33="Todos",datos_base!$K$12,0))*parametros_manuales!$D$110)*parametros_manuales!$I$33*parametros_manuales!$J$33</f>
        <v>23146.7</v>
      </c>
      <c r="E259" s="4">
        <f>(parametros_manuales!$D$33*(datos_base!$K$2+IF(parametros_manuales!$H$33="Todos",datos_base!$K$9,0))*parametros_manuales!$E$95+parametros_manuales!$E$33*(datos_base!$K$3+IF(parametros_manuales!$H$33="Todos",datos_base!$K$10,0))*parametros_manuales!$E$100+parametros_manuales!$F$33*(datos_base!$K$4+IF(parametros_manuales!$H$33="Todos",datos_base!$K$11,0))*parametros_manuales!$E$105+parametros_manuales!$G$33*(datos_base!$K$5+IF(parametros_manuales!$H$33="Todos",datos_base!$K$12,0))*parametros_manuales!$E$110)*parametros_manuales!$I$33*parametros_manuales!$J$33</f>
        <v>22133.595</v>
      </c>
      <c r="F259" s="4">
        <f>(parametros_manuales!$D$33*(datos_base!$K$2+IF(parametros_manuales!$H$33="Todos",datos_base!$K$9,0))*parametros_manuales!$F$95+parametros_manuales!$E$33*(datos_base!$K$3+IF(parametros_manuales!$H$33="Todos",datos_base!$K$10,0))*parametros_manuales!$F$100+parametros_manuales!$F$33*(datos_base!$K$4+IF(parametros_manuales!$H$33="Todos",datos_base!$K$11,0))*parametros_manuales!$F$105+parametros_manuales!$G$33*(datos_base!$K$5+IF(parametros_manuales!$H$33="Todos",datos_base!$K$12,0))*parametros_manuales!$F$110)*parametros_manuales!$I$33*parametros_manuales!$J$33</f>
        <v>20712.43</v>
      </c>
      <c r="G259" s="4">
        <f>(parametros_manuales!$D$33*(datos_base!$K$2+IF(parametros_manuales!$H$33="Todos",datos_base!$K$9,0))*parametros_manuales!$G$95+parametros_manuales!$E$33*(datos_base!$K$3+IF(parametros_manuales!$H$33="Todos",datos_base!$K$10,0))*parametros_manuales!$G$100+parametros_manuales!$F$33*(datos_base!$K$4+IF(parametros_manuales!$H$33="Todos",datos_base!$K$11,0))*parametros_manuales!$G$105+parametros_manuales!$G$33*(datos_base!$K$5+IF(parametros_manuales!$H$33="Todos",datos_base!$K$12,0))*parametros_manuales!$G$110)*parametros_manuales!$I$33*parametros_manuales!$J$33</f>
        <v>20304.37</v>
      </c>
      <c r="H259" s="4">
        <f>(parametros_manuales!$D$33*(datos_base!$K$2+IF(parametros_manuales!$H$33="Todos",datos_base!$K$9,0))*parametros_manuales!$H$95+parametros_manuales!$E$33*(datos_base!$K$3+IF(parametros_manuales!$H$33="Todos",datos_base!$K$10,0))*parametros_manuales!$H$100+parametros_manuales!$F$33*(datos_base!$K$4+IF(parametros_manuales!$H$33="Todos",datos_base!$K$11,0))*parametros_manuales!$H$105+parametros_manuales!$G$33*(datos_base!$K$5+IF(parametros_manuales!$H$33="Todos",datos_base!$K$12,0))*parametros_manuales!$H$110)*parametros_manuales!$I$33*parametros_manuales!$J$33</f>
        <v>21725.535</v>
      </c>
      <c r="I259" s="4">
        <f>(parametros_manuales!$D$33*(datos_base!$K$2+IF(parametros_manuales!$H$33="Todos",datos_base!$K$9,0))*parametros_manuales!$I$95+parametros_manuales!$E$33*(datos_base!$K$3+IF(parametros_manuales!$H$33="Todos",datos_base!$K$10,0))*parametros_manuales!$I$100+parametros_manuales!$F$33*(datos_base!$K$4+IF(parametros_manuales!$H$33="Todos",datos_base!$K$11,0))*parametros_manuales!$I$105+parametros_manuales!$G$33*(datos_base!$K$5+IF(parametros_manuales!$H$33="Todos",datos_base!$K$12,0))*parametros_manuales!$I$110)*parametros_manuales!$I$33*parametros_manuales!$J$33</f>
        <v>24764.85</v>
      </c>
      <c r="J259" s="4">
        <f>(parametros_manuales!$D$33*(datos_base!$K$2+IF(parametros_manuales!$H$33="Todos",datos_base!$K$9,0))*parametros_manuales!$J$95+parametros_manuales!$E$33*(datos_base!$K$3+IF(parametros_manuales!$H$33="Todos",datos_base!$K$10,0))*parametros_manuales!$J$100+parametros_manuales!$F$33*(datos_base!$K$4+IF(parametros_manuales!$H$33="Todos",datos_base!$K$11,0))*parametros_manuales!$J$105+parametros_manuales!$G$33*(datos_base!$K$5+IF(parametros_manuales!$H$33="Todos",datos_base!$K$12,0))*parametros_manuales!$J$110)*parametros_manuales!$I$33*parametros_manuales!$J$33</f>
        <v>24764.85</v>
      </c>
      <c r="K259" s="4">
        <f>(parametros_manuales!$D$33*(datos_base!$K$2+IF(parametros_manuales!$H$33="Todos",datos_base!$K$9,0))*parametros_manuales!$K$95+parametros_manuales!$E$33*(datos_base!$K$3+IF(parametros_manuales!$H$33="Todos",datos_base!$K$10,0))*parametros_manuales!$K$100+parametros_manuales!$F$33*(datos_base!$K$4+IF(parametros_manuales!$H$33="Todos",datos_base!$K$11,0))*parametros_manuales!$K$105+parametros_manuales!$G$33*(datos_base!$K$5+IF(parametros_manuales!$H$33="Todos",datos_base!$K$12,0))*parametros_manuales!$K$110)*parametros_manuales!$I$33*parametros_manuales!$J$33</f>
        <v>25172.91</v>
      </c>
      <c r="L259" s="4">
        <f>(parametros_manuales!$D$33*(datos_base!$K$2+IF(parametros_manuales!$H$33="Todos",datos_base!$K$9,0))*parametros_manuales!$L$95+parametros_manuales!$E$33*(datos_base!$K$3+IF(parametros_manuales!$H$33="Todos",datos_base!$K$10,0))*parametros_manuales!$L$100+parametros_manuales!$F$33*(datos_base!$K$4+IF(parametros_manuales!$H$33="Todos",datos_base!$K$11,0))*parametros_manuales!$L$105+parametros_manuales!$G$33*(datos_base!$K$5+IF(parametros_manuales!$H$33="Todos",datos_base!$K$12,0))*parametros_manuales!$L$110)*parametros_manuales!$I$33*parametros_manuales!$J$33</f>
        <v>25580.97</v>
      </c>
      <c r="M259" s="4">
        <f>(parametros_manuales!$D$33*(datos_base!$K$2+IF(parametros_manuales!$H$33="Todos",datos_base!$K$9,0))*parametros_manuales!$M$95+parametros_manuales!$E$33*(datos_base!$K$3+IF(parametros_manuales!$H$33="Todos",datos_base!$K$10,0))*parametros_manuales!$M$100+parametros_manuales!$F$33*(datos_base!$K$4+IF(parametros_manuales!$H$33="Todos",datos_base!$K$11,0))*parametros_manuales!$M$105+parametros_manuales!$G$33*(datos_base!$K$5+IF(parametros_manuales!$H$33="Todos",datos_base!$K$12,0))*parametros_manuales!$M$110)*parametros_manuales!$I$33*parametros_manuales!$J$33</f>
        <v>25580.97</v>
      </c>
      <c r="N259" s="4">
        <f t="shared" si="28"/>
        <v>284233</v>
      </c>
      <c r="O259" s="4">
        <f t="shared" si="29"/>
        <v>25580.97</v>
      </c>
      <c r="P259" s="27">
        <f>O259/(parametros_manuales!$B$7)</f>
        <v>170.5398</v>
      </c>
      <c r="Q259" s="3" t="str">
        <f t="shared" si="30"/>
        <v>Ene</v>
      </c>
    </row>
    <row r="260" ht="14.25" customHeight="1">
      <c r="A260" s="3" t="str">
        <f>parametros_manuales!$B$34</f>
        <v>Granallado</v>
      </c>
      <c r="B260" s="4">
        <f>(parametros_manuales!$D$34*(datos_base!$K$2+IF(parametros_manuales!$H$34="Todos",datos_base!$K$9,0))*parametros_manuales!$B$95+parametros_manuales!$E$34*(datos_base!$K$3+IF(parametros_manuales!$H$34="Todos",datos_base!$K$10,0))*parametros_manuales!$B$100+parametros_manuales!$F$34*(datos_base!$K$4+IF(parametros_manuales!$H$34="Todos",datos_base!$K$11,0))*parametros_manuales!$B$105+parametros_manuales!$G$34*(datos_base!$K$5+IF(parametros_manuales!$H$34="Todos",datos_base!$K$12,0))*parametros_manuales!$B$110)*parametros_manuales!$I$34*parametros_manuales!$J$34</f>
        <v>25580.97</v>
      </c>
      <c r="C260" s="4">
        <f>(parametros_manuales!$D$34*(datos_base!$K$2+IF(parametros_manuales!$H$34="Todos",datos_base!$K$9,0))*parametros_manuales!$C$95+parametros_manuales!$E$34*(datos_base!$K$3+IF(parametros_manuales!$H$34="Todos",datos_base!$K$10,0))*parametros_manuales!$C$100+parametros_manuales!$F$34*(datos_base!$K$4+IF(parametros_manuales!$H$34="Todos",datos_base!$K$11,0))*parametros_manuales!$C$105+parametros_manuales!$G$34*(datos_base!$K$5+IF(parametros_manuales!$H$34="Todos",datos_base!$K$12,0))*parametros_manuales!$C$110)*parametros_manuales!$I$34*parametros_manuales!$J$34</f>
        <v>24764.85</v>
      </c>
      <c r="D260" s="4">
        <f>(parametros_manuales!$D$34*(datos_base!$K$2+IF(parametros_manuales!$H$34="Todos",datos_base!$K$9,0))*parametros_manuales!$D$95+parametros_manuales!$E$34*(datos_base!$K$3+IF(parametros_manuales!$H$34="Todos",datos_base!$K$10,0))*parametros_manuales!$D$100+parametros_manuales!$F$34*(datos_base!$K$4+IF(parametros_manuales!$H$34="Todos",datos_base!$K$11,0))*parametros_manuales!$D$105+parametros_manuales!$G$34*(datos_base!$K$5+IF(parametros_manuales!$H$34="Todos",datos_base!$K$12,0))*parametros_manuales!$D$110)*parametros_manuales!$I$34*parametros_manuales!$J$34</f>
        <v>23146.7</v>
      </c>
      <c r="E260" s="4">
        <f>(parametros_manuales!$D$34*(datos_base!$K$2+IF(parametros_manuales!$H$34="Todos",datos_base!$K$9,0))*parametros_manuales!$E$95+parametros_manuales!$E$34*(datos_base!$K$3+IF(parametros_manuales!$H$34="Todos",datos_base!$K$10,0))*parametros_manuales!$E$100+parametros_manuales!$F$34*(datos_base!$K$4+IF(parametros_manuales!$H$34="Todos",datos_base!$K$11,0))*parametros_manuales!$E$105+parametros_manuales!$G$34*(datos_base!$K$5+IF(parametros_manuales!$H$34="Todos",datos_base!$K$12,0))*parametros_manuales!$E$110)*parametros_manuales!$I$34*parametros_manuales!$J$34</f>
        <v>22133.595</v>
      </c>
      <c r="F260" s="4">
        <f>(parametros_manuales!$D$34*(datos_base!$K$2+IF(parametros_manuales!$H$34="Todos",datos_base!$K$9,0))*parametros_manuales!$F$95+parametros_manuales!$E$34*(datos_base!$K$3+IF(parametros_manuales!$H$34="Todos",datos_base!$K$10,0))*parametros_manuales!$F$100+parametros_manuales!$F$34*(datos_base!$K$4+IF(parametros_manuales!$H$34="Todos",datos_base!$K$11,0))*parametros_manuales!$F$105+parametros_manuales!$G$34*(datos_base!$K$5+IF(parametros_manuales!$H$34="Todos",datos_base!$K$12,0))*parametros_manuales!$F$110)*parametros_manuales!$I$34*parametros_manuales!$J$34</f>
        <v>20712.43</v>
      </c>
      <c r="G260" s="4">
        <f>(parametros_manuales!$D$34*(datos_base!$K$2+IF(parametros_manuales!$H$34="Todos",datos_base!$K$9,0))*parametros_manuales!$G$95+parametros_manuales!$E$34*(datos_base!$K$3+IF(parametros_manuales!$H$34="Todos",datos_base!$K$10,0))*parametros_manuales!$G$100+parametros_manuales!$F$34*(datos_base!$K$4+IF(parametros_manuales!$H$34="Todos",datos_base!$K$11,0))*parametros_manuales!$G$105+parametros_manuales!$G$34*(datos_base!$K$5+IF(parametros_manuales!$H$34="Todos",datos_base!$K$12,0))*parametros_manuales!$G$110)*parametros_manuales!$I$34*parametros_manuales!$J$34</f>
        <v>20304.37</v>
      </c>
      <c r="H260" s="4">
        <f>(parametros_manuales!$D$34*(datos_base!$K$2+IF(parametros_manuales!$H$34="Todos",datos_base!$K$9,0))*parametros_manuales!$H$95+parametros_manuales!$E$34*(datos_base!$K$3+IF(parametros_manuales!$H$34="Todos",datos_base!$K$10,0))*parametros_manuales!$H$100+parametros_manuales!$F$34*(datos_base!$K$4+IF(parametros_manuales!$H$34="Todos",datos_base!$K$11,0))*parametros_manuales!$H$105+parametros_manuales!$G$34*(datos_base!$K$5+IF(parametros_manuales!$H$34="Todos",datos_base!$K$12,0))*parametros_manuales!$H$110)*parametros_manuales!$I$34*parametros_manuales!$J$34</f>
        <v>21725.535</v>
      </c>
      <c r="I260" s="4">
        <f>(parametros_manuales!$D$34*(datos_base!$K$2+IF(parametros_manuales!$H$34="Todos",datos_base!$K$9,0))*parametros_manuales!$I$95+parametros_manuales!$E$34*(datos_base!$K$3+IF(parametros_manuales!$H$34="Todos",datos_base!$K$10,0))*parametros_manuales!$I$100+parametros_manuales!$F$34*(datos_base!$K$4+IF(parametros_manuales!$H$34="Todos",datos_base!$K$11,0))*parametros_manuales!$I$105+parametros_manuales!$G$34*(datos_base!$K$5+IF(parametros_manuales!$H$34="Todos",datos_base!$K$12,0))*parametros_manuales!$I$110)*parametros_manuales!$I$34*parametros_manuales!$J$34</f>
        <v>24764.85</v>
      </c>
      <c r="J260" s="4">
        <f>(parametros_manuales!$D$34*(datos_base!$K$2+IF(parametros_manuales!$H$34="Todos",datos_base!$K$9,0))*parametros_manuales!$J$95+parametros_manuales!$E$34*(datos_base!$K$3+IF(parametros_manuales!$H$34="Todos",datos_base!$K$10,0))*parametros_manuales!$J$100+parametros_manuales!$F$34*(datos_base!$K$4+IF(parametros_manuales!$H$34="Todos",datos_base!$K$11,0))*parametros_manuales!$J$105+parametros_manuales!$G$34*(datos_base!$K$5+IF(parametros_manuales!$H$34="Todos",datos_base!$K$12,0))*parametros_manuales!$J$110)*parametros_manuales!$I$34*parametros_manuales!$J$34</f>
        <v>24764.85</v>
      </c>
      <c r="K260" s="4">
        <f>(parametros_manuales!$D$34*(datos_base!$K$2+IF(parametros_manuales!$H$34="Todos",datos_base!$K$9,0))*parametros_manuales!$K$95+parametros_manuales!$E$34*(datos_base!$K$3+IF(parametros_manuales!$H$34="Todos",datos_base!$K$10,0))*parametros_manuales!$K$100+parametros_manuales!$F$34*(datos_base!$K$4+IF(parametros_manuales!$H$34="Todos",datos_base!$K$11,0))*parametros_manuales!$K$105+parametros_manuales!$G$34*(datos_base!$K$5+IF(parametros_manuales!$H$34="Todos",datos_base!$K$12,0))*parametros_manuales!$K$110)*parametros_manuales!$I$34*parametros_manuales!$J$34</f>
        <v>25172.91</v>
      </c>
      <c r="L260" s="4">
        <f>(parametros_manuales!$D$34*(datos_base!$K$2+IF(parametros_manuales!$H$34="Todos",datos_base!$K$9,0))*parametros_manuales!$L$95+parametros_manuales!$E$34*(datos_base!$K$3+IF(parametros_manuales!$H$34="Todos",datos_base!$K$10,0))*parametros_manuales!$L$100+parametros_manuales!$F$34*(datos_base!$K$4+IF(parametros_manuales!$H$34="Todos",datos_base!$K$11,0))*parametros_manuales!$L$105+parametros_manuales!$G$34*(datos_base!$K$5+IF(parametros_manuales!$H$34="Todos",datos_base!$K$12,0))*parametros_manuales!$L$110)*parametros_manuales!$I$34*parametros_manuales!$J$34</f>
        <v>25580.97</v>
      </c>
      <c r="M260" s="4">
        <f>(parametros_manuales!$D$34*(datos_base!$K$2+IF(parametros_manuales!$H$34="Todos",datos_base!$K$9,0))*parametros_manuales!$M$95+parametros_manuales!$E$34*(datos_base!$K$3+IF(parametros_manuales!$H$34="Todos",datos_base!$K$10,0))*parametros_manuales!$M$100+parametros_manuales!$F$34*(datos_base!$K$4+IF(parametros_manuales!$H$34="Todos",datos_base!$K$11,0))*parametros_manuales!$M$105+parametros_manuales!$G$34*(datos_base!$K$5+IF(parametros_manuales!$H$34="Todos",datos_base!$K$12,0))*parametros_manuales!$M$110)*parametros_manuales!$I$34*parametros_manuales!$J$34</f>
        <v>25580.97</v>
      </c>
      <c r="N260" s="4">
        <f t="shared" si="28"/>
        <v>284233</v>
      </c>
      <c r="O260" s="4">
        <f t="shared" si="29"/>
        <v>25580.97</v>
      </c>
      <c r="P260" s="27">
        <f>O260/(parametros_manuales!$B$7)</f>
        <v>170.5398</v>
      </c>
      <c r="Q260" s="3" t="str">
        <f t="shared" si="30"/>
        <v>Ene</v>
      </c>
    </row>
    <row r="261" ht="14.25" customHeight="1">
      <c r="A261" s="3" t="str">
        <f>parametros_manuales!$B$35</f>
        <v>Detección de defectos</v>
      </c>
      <c r="B261" s="4">
        <f>(parametros_manuales!$D$35*(datos_base!$K$2+IF(parametros_manuales!$H$35="Todos",datos_base!$K$9,0))*parametros_manuales!$B$95+parametros_manuales!$E$35*(datos_base!$K$3+IF(parametros_manuales!$H$35="Todos",datos_base!$K$10,0))*parametros_manuales!$B$100+parametros_manuales!$F$35*(datos_base!$K$4+IF(parametros_manuales!$H$35="Todos",datos_base!$K$11,0))*parametros_manuales!$B$105+parametros_manuales!$G$35*(datos_base!$K$5+IF(parametros_manuales!$H$35="Todos",datos_base!$K$12,0))*parametros_manuales!$B$110)*parametros_manuales!$I$35*parametros_manuales!$J$35</f>
        <v>25580.97</v>
      </c>
      <c r="C261" s="4">
        <f>(parametros_manuales!$D$35*(datos_base!$K$2+IF(parametros_manuales!$H$35="Todos",datos_base!$K$9,0))*parametros_manuales!$C$95+parametros_manuales!$E$35*(datos_base!$K$3+IF(parametros_manuales!$H$35="Todos",datos_base!$K$10,0))*parametros_manuales!$C$100+parametros_manuales!$F$35*(datos_base!$K$4+IF(parametros_manuales!$H$35="Todos",datos_base!$K$11,0))*parametros_manuales!$C$105+parametros_manuales!$G$35*(datos_base!$K$5+IF(parametros_manuales!$H$35="Todos",datos_base!$K$12,0))*parametros_manuales!$C$110)*parametros_manuales!$I$35*parametros_manuales!$J$35</f>
        <v>24764.85</v>
      </c>
      <c r="D261" s="4">
        <f>(parametros_manuales!$D$35*(datos_base!$K$2+IF(parametros_manuales!$H$35="Todos",datos_base!$K$9,0))*parametros_manuales!$D$95+parametros_manuales!$E$35*(datos_base!$K$3+IF(parametros_manuales!$H$35="Todos",datos_base!$K$10,0))*parametros_manuales!$D$100+parametros_manuales!$F$35*(datos_base!$K$4+IF(parametros_manuales!$H$35="Todos",datos_base!$K$11,0))*parametros_manuales!$D$105+parametros_manuales!$G$35*(datos_base!$K$5+IF(parametros_manuales!$H$35="Todos",datos_base!$K$12,0))*parametros_manuales!$D$110)*parametros_manuales!$I$35*parametros_manuales!$J$35</f>
        <v>23146.7</v>
      </c>
      <c r="E261" s="4">
        <f>(parametros_manuales!$D$35*(datos_base!$K$2+IF(parametros_manuales!$H$35="Todos",datos_base!$K$9,0))*parametros_manuales!$E$95+parametros_manuales!$E$35*(datos_base!$K$3+IF(parametros_manuales!$H$35="Todos",datos_base!$K$10,0))*parametros_manuales!$E$100+parametros_manuales!$F$35*(datos_base!$K$4+IF(parametros_manuales!$H$35="Todos",datos_base!$K$11,0))*parametros_manuales!$E$105+parametros_manuales!$G$35*(datos_base!$K$5+IF(parametros_manuales!$H$35="Todos",datos_base!$K$12,0))*parametros_manuales!$E$110)*parametros_manuales!$I$35*parametros_manuales!$J$35</f>
        <v>22133.595</v>
      </c>
      <c r="F261" s="4">
        <f>(parametros_manuales!$D$35*(datos_base!$K$2+IF(parametros_manuales!$H$35="Todos",datos_base!$K$9,0))*parametros_manuales!$F$95+parametros_manuales!$E$35*(datos_base!$K$3+IF(parametros_manuales!$H$35="Todos",datos_base!$K$10,0))*parametros_manuales!$F$100+parametros_manuales!$F$35*(datos_base!$K$4+IF(parametros_manuales!$H$35="Todos",datos_base!$K$11,0))*parametros_manuales!$F$105+parametros_manuales!$G$35*(datos_base!$K$5+IF(parametros_manuales!$H$35="Todos",datos_base!$K$12,0))*parametros_manuales!$F$110)*parametros_manuales!$I$35*parametros_manuales!$J$35</f>
        <v>20712.43</v>
      </c>
      <c r="G261" s="4">
        <f>(parametros_manuales!$D$35*(datos_base!$K$2+IF(parametros_manuales!$H$35="Todos",datos_base!$K$9,0))*parametros_manuales!$G$95+parametros_manuales!$E$35*(datos_base!$K$3+IF(parametros_manuales!$H$35="Todos",datos_base!$K$10,0))*parametros_manuales!$G$100+parametros_manuales!$F$35*(datos_base!$K$4+IF(parametros_manuales!$H$35="Todos",datos_base!$K$11,0))*parametros_manuales!$G$105+parametros_manuales!$G$35*(datos_base!$K$5+IF(parametros_manuales!$H$35="Todos",datos_base!$K$12,0))*parametros_manuales!$G$110)*parametros_manuales!$I$35*parametros_manuales!$J$35</f>
        <v>20304.37</v>
      </c>
      <c r="H261" s="4">
        <f>(parametros_manuales!$D$35*(datos_base!$K$2+IF(parametros_manuales!$H$35="Todos",datos_base!$K$9,0))*parametros_manuales!$H$95+parametros_manuales!$E$35*(datos_base!$K$3+IF(parametros_manuales!$H$35="Todos",datos_base!$K$10,0))*parametros_manuales!$H$100+parametros_manuales!$F$35*(datos_base!$K$4+IF(parametros_manuales!$H$35="Todos",datos_base!$K$11,0))*parametros_manuales!$H$105+parametros_manuales!$G$35*(datos_base!$K$5+IF(parametros_manuales!$H$35="Todos",datos_base!$K$12,0))*parametros_manuales!$H$110)*parametros_manuales!$I$35*parametros_manuales!$J$35</f>
        <v>21725.535</v>
      </c>
      <c r="I261" s="4">
        <f>(parametros_manuales!$D$35*(datos_base!$K$2+IF(parametros_manuales!$H$35="Todos",datos_base!$K$9,0))*parametros_manuales!$I$95+parametros_manuales!$E$35*(datos_base!$K$3+IF(parametros_manuales!$H$35="Todos",datos_base!$K$10,0))*parametros_manuales!$I$100+parametros_manuales!$F$35*(datos_base!$K$4+IF(parametros_manuales!$H$35="Todos",datos_base!$K$11,0))*parametros_manuales!$I$105+parametros_manuales!$G$35*(datos_base!$K$5+IF(parametros_manuales!$H$35="Todos",datos_base!$K$12,0))*parametros_manuales!$I$110)*parametros_manuales!$I$35*parametros_manuales!$J$35</f>
        <v>24764.85</v>
      </c>
      <c r="J261" s="4">
        <f>(parametros_manuales!$D$35*(datos_base!$K$2+IF(parametros_manuales!$H$35="Todos",datos_base!$K$9,0))*parametros_manuales!$J$95+parametros_manuales!$E$35*(datos_base!$K$3+IF(parametros_manuales!$H$35="Todos",datos_base!$K$10,0))*parametros_manuales!$J$100+parametros_manuales!$F$35*(datos_base!$K$4+IF(parametros_manuales!$H$35="Todos",datos_base!$K$11,0))*parametros_manuales!$J$105+parametros_manuales!$G$35*(datos_base!$K$5+IF(parametros_manuales!$H$35="Todos",datos_base!$K$12,0))*parametros_manuales!$J$110)*parametros_manuales!$I$35*parametros_manuales!$J$35</f>
        <v>24764.85</v>
      </c>
      <c r="K261" s="4">
        <f>(parametros_manuales!$D$35*(datos_base!$K$2+IF(parametros_manuales!$H$35="Todos",datos_base!$K$9,0))*parametros_manuales!$K$95+parametros_manuales!$E$35*(datos_base!$K$3+IF(parametros_manuales!$H$35="Todos",datos_base!$K$10,0))*parametros_manuales!$K$100+parametros_manuales!$F$35*(datos_base!$K$4+IF(parametros_manuales!$H$35="Todos",datos_base!$K$11,0))*parametros_manuales!$K$105+parametros_manuales!$G$35*(datos_base!$K$5+IF(parametros_manuales!$H$35="Todos",datos_base!$K$12,0))*parametros_manuales!$K$110)*parametros_manuales!$I$35*parametros_manuales!$J$35</f>
        <v>25172.91</v>
      </c>
      <c r="L261" s="4">
        <f>(parametros_manuales!$D$35*(datos_base!$K$2+IF(parametros_manuales!$H$35="Todos",datos_base!$K$9,0))*parametros_manuales!$L$95+parametros_manuales!$E$35*(datos_base!$K$3+IF(parametros_manuales!$H$35="Todos",datos_base!$K$10,0))*parametros_manuales!$L$100+parametros_manuales!$F$35*(datos_base!$K$4+IF(parametros_manuales!$H$35="Todos",datos_base!$K$11,0))*parametros_manuales!$L$105+parametros_manuales!$G$35*(datos_base!$K$5+IF(parametros_manuales!$H$35="Todos",datos_base!$K$12,0))*parametros_manuales!$L$110)*parametros_manuales!$I$35*parametros_manuales!$J$35</f>
        <v>25580.97</v>
      </c>
      <c r="M261" s="4">
        <f>(parametros_manuales!$D$35*(datos_base!$K$2+IF(parametros_manuales!$H$35="Todos",datos_base!$K$9,0))*parametros_manuales!$M$95+parametros_manuales!$E$35*(datos_base!$K$3+IF(parametros_manuales!$H$35="Todos",datos_base!$K$10,0))*parametros_manuales!$M$100+parametros_manuales!$F$35*(datos_base!$K$4+IF(parametros_manuales!$H$35="Todos",datos_base!$K$11,0))*parametros_manuales!$M$105+parametros_manuales!$G$35*(datos_base!$K$5+IF(parametros_manuales!$H$35="Todos",datos_base!$K$12,0))*parametros_manuales!$M$110)*parametros_manuales!$I$35*parametros_manuales!$J$35</f>
        <v>25580.97</v>
      </c>
      <c r="N261" s="4">
        <f t="shared" si="28"/>
        <v>284233</v>
      </c>
      <c r="O261" s="4">
        <f t="shared" si="29"/>
        <v>25580.97</v>
      </c>
      <c r="P261" s="27">
        <f>O261/(parametros_manuales!$B$7)</f>
        <v>170.5398</v>
      </c>
      <c r="Q261" s="3" t="str">
        <f t="shared" si="30"/>
        <v>Ene</v>
      </c>
    </row>
    <row r="262" ht="14.25" customHeight="1">
      <c r="A262" s="3" t="str">
        <f>parametros_manuales!$B$36</f>
        <v>Corrección de defectos</v>
      </c>
      <c r="B262" s="4">
        <f>(parametros_manuales!$D$36*(datos_base!$K$2+IF(parametros_manuales!$H$36="Todos",datos_base!$K$9,0))*parametros_manuales!$B$95+parametros_manuales!$E$36*(datos_base!$K$3+IF(parametros_manuales!$H$36="Todos",datos_base!$K$10,0))*parametros_manuales!$B$100+parametros_manuales!$F$36*(datos_base!$K$4+IF(parametros_manuales!$H$36="Todos",datos_base!$K$11,0))*parametros_manuales!$B$105+parametros_manuales!$G$36*(datos_base!$K$5+IF(parametros_manuales!$H$36="Todos",datos_base!$K$12,0))*parametros_manuales!$B$110)*parametros_manuales!$I$36*parametros_manuales!$J$36</f>
        <v>1279.0485</v>
      </c>
      <c r="C262" s="4">
        <f>(parametros_manuales!$D$36*(datos_base!$K$2+IF(parametros_manuales!$H$36="Todos",datos_base!$K$9,0))*parametros_manuales!$C$95+parametros_manuales!$E$36*(datos_base!$K$3+IF(parametros_manuales!$H$36="Todos",datos_base!$K$10,0))*parametros_manuales!$C$100+parametros_manuales!$F$36*(datos_base!$K$4+IF(parametros_manuales!$H$36="Todos",datos_base!$K$11,0))*parametros_manuales!$C$105+parametros_manuales!$G$36*(datos_base!$K$5+IF(parametros_manuales!$H$36="Todos",datos_base!$K$12,0))*parametros_manuales!$C$110)*parametros_manuales!$I$36*parametros_manuales!$J$36</f>
        <v>1238.2425</v>
      </c>
      <c r="D262" s="4">
        <f>(parametros_manuales!$D$36*(datos_base!$K$2+IF(parametros_manuales!$H$36="Todos",datos_base!$K$9,0))*parametros_manuales!$D$95+parametros_manuales!$E$36*(datos_base!$K$3+IF(parametros_manuales!$H$36="Todos",datos_base!$K$10,0))*parametros_manuales!$D$100+parametros_manuales!$F$36*(datos_base!$K$4+IF(parametros_manuales!$H$36="Todos",datos_base!$K$11,0))*parametros_manuales!$D$105+parametros_manuales!$G$36*(datos_base!$K$5+IF(parametros_manuales!$H$36="Todos",datos_base!$K$12,0))*parametros_manuales!$D$110)*parametros_manuales!$I$36*parametros_manuales!$J$36</f>
        <v>1157.335</v>
      </c>
      <c r="E262" s="4">
        <f>(parametros_manuales!$D$36*(datos_base!$K$2+IF(parametros_manuales!$H$36="Todos",datos_base!$K$9,0))*parametros_manuales!$E$95+parametros_manuales!$E$36*(datos_base!$K$3+IF(parametros_manuales!$H$36="Todos",datos_base!$K$10,0))*parametros_manuales!$E$100+parametros_manuales!$F$36*(datos_base!$K$4+IF(parametros_manuales!$H$36="Todos",datos_base!$K$11,0))*parametros_manuales!$E$105+parametros_manuales!$G$36*(datos_base!$K$5+IF(parametros_manuales!$H$36="Todos",datos_base!$K$12,0))*parametros_manuales!$E$110)*parametros_manuales!$I$36*parametros_manuales!$J$36</f>
        <v>1106.67975</v>
      </c>
      <c r="F262" s="4">
        <f>(parametros_manuales!$D$36*(datos_base!$K$2+IF(parametros_manuales!$H$36="Todos",datos_base!$K$9,0))*parametros_manuales!$F$95+parametros_manuales!$E$36*(datos_base!$K$3+IF(parametros_manuales!$H$36="Todos",datos_base!$K$10,0))*parametros_manuales!$F$100+parametros_manuales!$F$36*(datos_base!$K$4+IF(parametros_manuales!$H$36="Todos",datos_base!$K$11,0))*parametros_manuales!$F$105+parametros_manuales!$G$36*(datos_base!$K$5+IF(parametros_manuales!$H$36="Todos",datos_base!$K$12,0))*parametros_manuales!$F$110)*parametros_manuales!$I$36*parametros_manuales!$J$36</f>
        <v>1035.6215</v>
      </c>
      <c r="G262" s="4">
        <f>(parametros_manuales!$D$36*(datos_base!$K$2+IF(parametros_manuales!$H$36="Todos",datos_base!$K$9,0))*parametros_manuales!$G$95+parametros_manuales!$E$36*(datos_base!$K$3+IF(parametros_manuales!$H$36="Todos",datos_base!$K$10,0))*parametros_manuales!$G$100+parametros_manuales!$F$36*(datos_base!$K$4+IF(parametros_manuales!$H$36="Todos",datos_base!$K$11,0))*parametros_manuales!$G$105+parametros_manuales!$G$36*(datos_base!$K$5+IF(parametros_manuales!$H$36="Todos",datos_base!$K$12,0))*parametros_manuales!$G$110)*parametros_manuales!$I$36*parametros_manuales!$J$36</f>
        <v>1015.2185</v>
      </c>
      <c r="H262" s="4">
        <f>(parametros_manuales!$D$36*(datos_base!$K$2+IF(parametros_manuales!$H$36="Todos",datos_base!$K$9,0))*parametros_manuales!$H$95+parametros_manuales!$E$36*(datos_base!$K$3+IF(parametros_manuales!$H$36="Todos",datos_base!$K$10,0))*parametros_manuales!$H$100+parametros_manuales!$F$36*(datos_base!$K$4+IF(parametros_manuales!$H$36="Todos",datos_base!$K$11,0))*parametros_manuales!$H$105+parametros_manuales!$G$36*(datos_base!$K$5+IF(parametros_manuales!$H$36="Todos",datos_base!$K$12,0))*parametros_manuales!$H$110)*parametros_manuales!$I$36*parametros_manuales!$J$36</f>
        <v>1086.27675</v>
      </c>
      <c r="I262" s="4">
        <f>(parametros_manuales!$D$36*(datos_base!$K$2+IF(parametros_manuales!$H$36="Todos",datos_base!$K$9,0))*parametros_manuales!$I$95+parametros_manuales!$E$36*(datos_base!$K$3+IF(parametros_manuales!$H$36="Todos",datos_base!$K$10,0))*parametros_manuales!$I$100+parametros_manuales!$F$36*(datos_base!$K$4+IF(parametros_manuales!$H$36="Todos",datos_base!$K$11,0))*parametros_manuales!$I$105+parametros_manuales!$G$36*(datos_base!$K$5+IF(parametros_manuales!$H$36="Todos",datos_base!$K$12,0))*parametros_manuales!$I$110)*parametros_manuales!$I$36*parametros_manuales!$J$36</f>
        <v>1238.2425</v>
      </c>
      <c r="J262" s="4">
        <f>(parametros_manuales!$D$36*(datos_base!$K$2+IF(parametros_manuales!$H$36="Todos",datos_base!$K$9,0))*parametros_manuales!$J$95+parametros_manuales!$E$36*(datos_base!$K$3+IF(parametros_manuales!$H$36="Todos",datos_base!$K$10,0))*parametros_manuales!$J$100+parametros_manuales!$F$36*(datos_base!$K$4+IF(parametros_manuales!$H$36="Todos",datos_base!$K$11,0))*parametros_manuales!$J$105+parametros_manuales!$G$36*(datos_base!$K$5+IF(parametros_manuales!$H$36="Todos",datos_base!$K$12,0))*parametros_manuales!$J$110)*parametros_manuales!$I$36*parametros_manuales!$J$36</f>
        <v>1238.2425</v>
      </c>
      <c r="K262" s="4">
        <f>(parametros_manuales!$D$36*(datos_base!$K$2+IF(parametros_manuales!$H$36="Todos",datos_base!$K$9,0))*parametros_manuales!$K$95+parametros_manuales!$E$36*(datos_base!$K$3+IF(parametros_manuales!$H$36="Todos",datos_base!$K$10,0))*parametros_manuales!$K$100+parametros_manuales!$F$36*(datos_base!$K$4+IF(parametros_manuales!$H$36="Todos",datos_base!$K$11,0))*parametros_manuales!$K$105+parametros_manuales!$G$36*(datos_base!$K$5+IF(parametros_manuales!$H$36="Todos",datos_base!$K$12,0))*parametros_manuales!$K$110)*parametros_manuales!$I$36*parametros_manuales!$J$36</f>
        <v>1258.6455</v>
      </c>
      <c r="L262" s="4">
        <f>(parametros_manuales!$D$36*(datos_base!$K$2+IF(parametros_manuales!$H$36="Todos",datos_base!$K$9,0))*parametros_manuales!$L$95+parametros_manuales!$E$36*(datos_base!$K$3+IF(parametros_manuales!$H$36="Todos",datos_base!$K$10,0))*parametros_manuales!$L$100+parametros_manuales!$F$36*(datos_base!$K$4+IF(parametros_manuales!$H$36="Todos",datos_base!$K$11,0))*parametros_manuales!$L$105+parametros_manuales!$G$36*(datos_base!$K$5+IF(parametros_manuales!$H$36="Todos",datos_base!$K$12,0))*parametros_manuales!$L$110)*parametros_manuales!$I$36*parametros_manuales!$J$36</f>
        <v>1279.0485</v>
      </c>
      <c r="M262" s="4">
        <f>(parametros_manuales!$D$36*(datos_base!$K$2+IF(parametros_manuales!$H$36="Todos",datos_base!$K$9,0))*parametros_manuales!$M$95+parametros_manuales!$E$36*(datos_base!$K$3+IF(parametros_manuales!$H$36="Todos",datos_base!$K$10,0))*parametros_manuales!$M$100+parametros_manuales!$F$36*(datos_base!$K$4+IF(parametros_manuales!$H$36="Todos",datos_base!$K$11,0))*parametros_manuales!$M$105+parametros_manuales!$G$36*(datos_base!$K$5+IF(parametros_manuales!$H$36="Todos",datos_base!$K$12,0))*parametros_manuales!$M$110)*parametros_manuales!$I$36*parametros_manuales!$J$36</f>
        <v>1279.0485</v>
      </c>
      <c r="N262" s="4">
        <f t="shared" si="28"/>
        <v>14211.65</v>
      </c>
      <c r="O262" s="4">
        <f t="shared" si="29"/>
        <v>1279.0485</v>
      </c>
      <c r="P262" s="27">
        <f>O262/(parametros_manuales!$B$7)</f>
        <v>8.52699</v>
      </c>
      <c r="Q262" s="3" t="str">
        <f t="shared" si="30"/>
        <v>Ene</v>
      </c>
    </row>
    <row r="263" ht="14.25" customHeight="1">
      <c r="A263" s="3" t="str">
        <f>parametros_manuales!$B$37</f>
        <v>Pintura en polvo + horno</v>
      </c>
      <c r="B263" s="4">
        <f>(parametros_manuales!$D$37*(datos_base!$K$2+IF(parametros_manuales!$H$37="Todos",datos_base!$K$9,0))*parametros_manuales!$B$95+parametros_manuales!$E$37*(datos_base!$K$3+IF(parametros_manuales!$H$37="Todos",datos_base!$K$10,0))*parametros_manuales!$B$100+parametros_manuales!$F$37*(datos_base!$K$4+IF(parametros_manuales!$H$37="Todos",datos_base!$K$11,0))*parametros_manuales!$B$105+parametros_manuales!$G$37*(datos_base!$K$5+IF(parametros_manuales!$H$37="Todos",datos_base!$K$12,0))*parametros_manuales!$B$110)*parametros_manuales!$I$37*parametros_manuales!$J$37</f>
        <v>25580.97</v>
      </c>
      <c r="C263" s="4">
        <f>(parametros_manuales!$D$37*(datos_base!$K$2+IF(parametros_manuales!$H$37="Todos",datos_base!$K$9,0))*parametros_manuales!$C$95+parametros_manuales!$E$37*(datos_base!$K$3+IF(parametros_manuales!$H$37="Todos",datos_base!$K$10,0))*parametros_manuales!$C$100+parametros_manuales!$F$37*(datos_base!$K$4+IF(parametros_manuales!$H$37="Todos",datos_base!$K$11,0))*parametros_manuales!$C$105+parametros_manuales!$G$37*(datos_base!$K$5+IF(parametros_manuales!$H$37="Todos",datos_base!$K$12,0))*parametros_manuales!$C$110)*parametros_manuales!$I$37*parametros_manuales!$J$37</f>
        <v>24764.85</v>
      </c>
      <c r="D263" s="4">
        <f>(parametros_manuales!$D$37*(datos_base!$K$2+IF(parametros_manuales!$H$37="Todos",datos_base!$K$9,0))*parametros_manuales!$D$95+parametros_manuales!$E$37*(datos_base!$K$3+IF(parametros_manuales!$H$37="Todos",datos_base!$K$10,0))*parametros_manuales!$D$100+parametros_manuales!$F$37*(datos_base!$K$4+IF(parametros_manuales!$H$37="Todos",datos_base!$K$11,0))*parametros_manuales!$D$105+parametros_manuales!$G$37*(datos_base!$K$5+IF(parametros_manuales!$H$37="Todos",datos_base!$K$12,0))*parametros_manuales!$D$110)*parametros_manuales!$I$37*parametros_manuales!$J$37</f>
        <v>23146.7</v>
      </c>
      <c r="E263" s="4">
        <f>(parametros_manuales!$D$37*(datos_base!$K$2+IF(parametros_manuales!$H$37="Todos",datos_base!$K$9,0))*parametros_manuales!$E$95+parametros_manuales!$E$37*(datos_base!$K$3+IF(parametros_manuales!$H$37="Todos",datos_base!$K$10,0))*parametros_manuales!$E$100+parametros_manuales!$F$37*(datos_base!$K$4+IF(parametros_manuales!$H$37="Todos",datos_base!$K$11,0))*parametros_manuales!$E$105+parametros_manuales!$G$37*(datos_base!$K$5+IF(parametros_manuales!$H$37="Todos",datos_base!$K$12,0))*parametros_manuales!$E$110)*parametros_manuales!$I$37*parametros_manuales!$J$37</f>
        <v>22133.595</v>
      </c>
      <c r="F263" s="4">
        <f>(parametros_manuales!$D$37*(datos_base!$K$2+IF(parametros_manuales!$H$37="Todos",datos_base!$K$9,0))*parametros_manuales!$F$95+parametros_manuales!$E$37*(datos_base!$K$3+IF(parametros_manuales!$H$37="Todos",datos_base!$K$10,0))*parametros_manuales!$F$100+parametros_manuales!$F$37*(datos_base!$K$4+IF(parametros_manuales!$H$37="Todos",datos_base!$K$11,0))*parametros_manuales!$F$105+parametros_manuales!$G$37*(datos_base!$K$5+IF(parametros_manuales!$H$37="Todos",datos_base!$K$12,0))*parametros_manuales!$F$110)*parametros_manuales!$I$37*parametros_manuales!$J$37</f>
        <v>20712.43</v>
      </c>
      <c r="G263" s="4">
        <f>(parametros_manuales!$D$37*(datos_base!$K$2+IF(parametros_manuales!$H$37="Todos",datos_base!$K$9,0))*parametros_manuales!$G$95+parametros_manuales!$E$37*(datos_base!$K$3+IF(parametros_manuales!$H$37="Todos",datos_base!$K$10,0))*parametros_manuales!$G$100+parametros_manuales!$F$37*(datos_base!$K$4+IF(parametros_manuales!$H$37="Todos",datos_base!$K$11,0))*parametros_manuales!$G$105+parametros_manuales!$G$37*(datos_base!$K$5+IF(parametros_manuales!$H$37="Todos",datos_base!$K$12,0))*parametros_manuales!$G$110)*parametros_manuales!$I$37*parametros_manuales!$J$37</f>
        <v>20304.37</v>
      </c>
      <c r="H263" s="4">
        <f>(parametros_manuales!$D$37*(datos_base!$K$2+IF(parametros_manuales!$H$37="Todos",datos_base!$K$9,0))*parametros_manuales!$H$95+parametros_manuales!$E$37*(datos_base!$K$3+IF(parametros_manuales!$H$37="Todos",datos_base!$K$10,0))*parametros_manuales!$H$100+parametros_manuales!$F$37*(datos_base!$K$4+IF(parametros_manuales!$H$37="Todos",datos_base!$K$11,0))*parametros_manuales!$H$105+parametros_manuales!$G$37*(datos_base!$K$5+IF(parametros_manuales!$H$37="Todos",datos_base!$K$12,0))*parametros_manuales!$H$110)*parametros_manuales!$I$37*parametros_manuales!$J$37</f>
        <v>21725.535</v>
      </c>
      <c r="I263" s="4">
        <f>(parametros_manuales!$D$37*(datos_base!$K$2+IF(parametros_manuales!$H$37="Todos",datos_base!$K$9,0))*parametros_manuales!$I$95+parametros_manuales!$E$37*(datos_base!$K$3+IF(parametros_manuales!$H$37="Todos",datos_base!$K$10,0))*parametros_manuales!$I$100+parametros_manuales!$F$37*(datos_base!$K$4+IF(parametros_manuales!$H$37="Todos",datos_base!$K$11,0))*parametros_manuales!$I$105+parametros_manuales!$G$37*(datos_base!$K$5+IF(parametros_manuales!$H$37="Todos",datos_base!$K$12,0))*parametros_manuales!$I$110)*parametros_manuales!$I$37*parametros_manuales!$J$37</f>
        <v>24764.85</v>
      </c>
      <c r="J263" s="4">
        <f>(parametros_manuales!$D$37*(datos_base!$K$2+IF(parametros_manuales!$H$37="Todos",datos_base!$K$9,0))*parametros_manuales!$J$95+parametros_manuales!$E$37*(datos_base!$K$3+IF(parametros_manuales!$H$37="Todos",datos_base!$K$10,0))*parametros_manuales!$J$100+parametros_manuales!$F$37*(datos_base!$K$4+IF(parametros_manuales!$H$37="Todos",datos_base!$K$11,0))*parametros_manuales!$J$105+parametros_manuales!$G$37*(datos_base!$K$5+IF(parametros_manuales!$H$37="Todos",datos_base!$K$12,0))*parametros_manuales!$J$110)*parametros_manuales!$I$37*parametros_manuales!$J$37</f>
        <v>24764.85</v>
      </c>
      <c r="K263" s="4">
        <f>(parametros_manuales!$D$37*(datos_base!$K$2+IF(parametros_manuales!$H$37="Todos",datos_base!$K$9,0))*parametros_manuales!$K$95+parametros_manuales!$E$37*(datos_base!$K$3+IF(parametros_manuales!$H$37="Todos",datos_base!$K$10,0))*parametros_manuales!$K$100+parametros_manuales!$F$37*(datos_base!$K$4+IF(parametros_manuales!$H$37="Todos",datos_base!$K$11,0))*parametros_manuales!$K$105+parametros_manuales!$G$37*(datos_base!$K$5+IF(parametros_manuales!$H$37="Todos",datos_base!$K$12,0))*parametros_manuales!$K$110)*parametros_manuales!$I$37*parametros_manuales!$J$37</f>
        <v>25172.91</v>
      </c>
      <c r="L263" s="4">
        <f>(parametros_manuales!$D$37*(datos_base!$K$2+IF(parametros_manuales!$H$37="Todos",datos_base!$K$9,0))*parametros_manuales!$L$95+parametros_manuales!$E$37*(datos_base!$K$3+IF(parametros_manuales!$H$37="Todos",datos_base!$K$10,0))*parametros_manuales!$L$100+parametros_manuales!$F$37*(datos_base!$K$4+IF(parametros_manuales!$H$37="Todos",datos_base!$K$11,0))*parametros_manuales!$L$105+parametros_manuales!$G$37*(datos_base!$K$5+IF(parametros_manuales!$H$37="Todos",datos_base!$K$12,0))*parametros_manuales!$L$110)*parametros_manuales!$I$37*parametros_manuales!$J$37</f>
        <v>25580.97</v>
      </c>
      <c r="M263" s="4">
        <f>(parametros_manuales!$D$37*(datos_base!$K$2+IF(parametros_manuales!$H$37="Todos",datos_base!$K$9,0))*parametros_manuales!$M$95+parametros_manuales!$E$37*(datos_base!$K$3+IF(parametros_manuales!$H$37="Todos",datos_base!$K$10,0))*parametros_manuales!$M$100+parametros_manuales!$F$37*(datos_base!$K$4+IF(parametros_manuales!$H$37="Todos",datos_base!$K$11,0))*parametros_manuales!$M$105+parametros_manuales!$G$37*(datos_base!$K$5+IF(parametros_manuales!$H$37="Todos",datos_base!$K$12,0))*parametros_manuales!$M$110)*parametros_manuales!$I$37*parametros_manuales!$J$37</f>
        <v>25580.97</v>
      </c>
      <c r="N263" s="4">
        <f t="shared" si="28"/>
        <v>284233</v>
      </c>
      <c r="O263" s="4">
        <f t="shared" si="29"/>
        <v>25580.97</v>
      </c>
      <c r="P263" s="27">
        <f>O263/(parametros_manuales!$B$7)</f>
        <v>170.5398</v>
      </c>
      <c r="Q263" s="3" t="str">
        <f t="shared" si="30"/>
        <v>Ene</v>
      </c>
    </row>
    <row r="264" ht="14.25" customHeight="1">
      <c r="A264" s="3" t="str">
        <f>parametros_manuales!$B$38</f>
        <v>Carga de polvo</v>
      </c>
      <c r="B264" s="4">
        <f>(parametros_manuales!$D$38*(datos_base!$K$2+IF(parametros_manuales!$H$38="Todos",datos_base!$K$9,0))*parametros_manuales!$B$95+parametros_manuales!$E$38*(datos_base!$K$3+IF(parametros_manuales!$H$38="Todos",datos_base!$K$10,0))*parametros_manuales!$B$100+parametros_manuales!$F$38*(datos_base!$K$4+IF(parametros_manuales!$H$38="Todos",datos_base!$K$11,0))*parametros_manuales!$B$105+parametros_manuales!$G$38*(datos_base!$K$5+IF(parametros_manuales!$H$38="Todos",datos_base!$K$12,0))*parametros_manuales!$B$110)*parametros_manuales!$I$38*parametros_manuales!$J$38</f>
        <v>6488.1</v>
      </c>
      <c r="C264" s="4">
        <f>(parametros_manuales!$D$38*(datos_base!$K$2+IF(parametros_manuales!$H$38="Todos",datos_base!$K$9,0))*parametros_manuales!$C$95+parametros_manuales!$E$38*(datos_base!$K$3+IF(parametros_manuales!$H$38="Todos",datos_base!$K$10,0))*parametros_manuales!$C$100+parametros_manuales!$F$38*(datos_base!$K$4+IF(parametros_manuales!$H$38="Todos",datos_base!$K$11,0))*parametros_manuales!$C$105+parametros_manuales!$G$38*(datos_base!$K$5+IF(parametros_manuales!$H$38="Todos",datos_base!$K$12,0))*parametros_manuales!$C$110)*parametros_manuales!$I$38*parametros_manuales!$J$38</f>
        <v>6087.93</v>
      </c>
      <c r="D264" s="4">
        <f>(parametros_manuales!$D$38*(datos_base!$K$2+IF(parametros_manuales!$H$38="Todos",datos_base!$K$9,0))*parametros_manuales!$D$95+parametros_manuales!$E$38*(datos_base!$K$3+IF(parametros_manuales!$H$38="Todos",datos_base!$K$10,0))*parametros_manuales!$D$100+parametros_manuales!$F$38*(datos_base!$K$4+IF(parametros_manuales!$H$38="Todos",datos_base!$K$11,0))*parametros_manuales!$D$105+parametros_manuales!$G$38*(datos_base!$K$5+IF(parametros_manuales!$H$38="Todos",datos_base!$K$12,0))*parametros_manuales!$D$110)*parametros_manuales!$I$38*parametros_manuales!$J$38</f>
        <v>5967.285</v>
      </c>
      <c r="E264" s="4">
        <f>(parametros_manuales!$D$38*(datos_base!$K$2+IF(parametros_manuales!$H$38="Todos",datos_base!$K$9,0))*parametros_manuales!$E$95+parametros_manuales!$E$38*(datos_base!$K$3+IF(parametros_manuales!$H$38="Todos",datos_base!$K$10,0))*parametros_manuales!$E$100+parametros_manuales!$F$38*(datos_base!$K$4+IF(parametros_manuales!$H$38="Todos",datos_base!$K$11,0))*parametros_manuales!$E$105+parametros_manuales!$G$38*(datos_base!$K$5+IF(parametros_manuales!$H$38="Todos",datos_base!$K$12,0))*parametros_manuales!$E$110)*parametros_manuales!$I$38*parametros_manuales!$J$38</f>
        <v>5806.92</v>
      </c>
      <c r="F264" s="4">
        <f>(parametros_manuales!$D$38*(datos_base!$K$2+IF(parametros_manuales!$H$38="Todos",datos_base!$K$9,0))*parametros_manuales!$F$95+parametros_manuales!$E$38*(datos_base!$K$3+IF(parametros_manuales!$H$38="Todos",datos_base!$K$10,0))*parametros_manuales!$F$100+parametros_manuales!$F$38*(datos_base!$K$4+IF(parametros_manuales!$H$38="Todos",datos_base!$K$11,0))*parametros_manuales!$F$105+parametros_manuales!$G$38*(datos_base!$K$5+IF(parametros_manuales!$H$38="Todos",datos_base!$K$12,0))*parametros_manuales!$F$110)*parametros_manuales!$I$38*parametros_manuales!$J$38</f>
        <v>5446.47</v>
      </c>
      <c r="G264" s="4">
        <f>(parametros_manuales!$D$38*(datos_base!$K$2+IF(parametros_manuales!$H$38="Todos",datos_base!$K$9,0))*parametros_manuales!$G$95+parametros_manuales!$E$38*(datos_base!$K$3+IF(parametros_manuales!$H$38="Todos",datos_base!$K$10,0))*parametros_manuales!$G$100+parametros_manuales!$F$38*(datos_base!$K$4+IF(parametros_manuales!$H$38="Todos",datos_base!$K$11,0))*parametros_manuales!$G$105+parametros_manuales!$G$38*(datos_base!$K$5+IF(parametros_manuales!$H$38="Todos",datos_base!$K$12,0))*parametros_manuales!$G$110)*parametros_manuales!$I$38*parametros_manuales!$J$38</f>
        <v>5246.385</v>
      </c>
      <c r="H264" s="4">
        <f>(parametros_manuales!$D$38*(datos_base!$K$2+IF(parametros_manuales!$H$38="Todos",datos_base!$K$9,0))*parametros_manuales!$H$95+parametros_manuales!$E$38*(datos_base!$K$3+IF(parametros_manuales!$H$38="Todos",datos_base!$K$10,0))*parametros_manuales!$H$100+parametros_manuales!$F$38*(datos_base!$K$4+IF(parametros_manuales!$H$38="Todos",datos_base!$K$11,0))*parametros_manuales!$H$105+parametros_manuales!$G$38*(datos_base!$K$5+IF(parametros_manuales!$H$38="Todos",datos_base!$K$12,0))*parametros_manuales!$H$110)*parametros_manuales!$I$38*parametros_manuales!$J$38</f>
        <v>5606.835</v>
      </c>
      <c r="I264" s="4">
        <f>(parametros_manuales!$D$38*(datos_base!$K$2+IF(parametros_manuales!$H$38="Todos",datos_base!$K$9,0))*parametros_manuales!$I$95+parametros_manuales!$E$38*(datos_base!$K$3+IF(parametros_manuales!$H$38="Todos",datos_base!$K$10,0))*parametros_manuales!$I$100+parametros_manuales!$F$38*(datos_base!$K$4+IF(parametros_manuales!$H$38="Todos",datos_base!$K$11,0))*parametros_manuales!$I$105+parametros_manuales!$G$38*(datos_base!$K$5+IF(parametros_manuales!$H$38="Todos",datos_base!$K$12,0))*parametros_manuales!$I$110)*parametros_manuales!$I$38*parametros_manuales!$J$38</f>
        <v>6087.93</v>
      </c>
      <c r="J264" s="4">
        <f>(parametros_manuales!$D$38*(datos_base!$K$2+IF(parametros_manuales!$H$38="Todos",datos_base!$K$9,0))*parametros_manuales!$J$95+parametros_manuales!$E$38*(datos_base!$K$3+IF(parametros_manuales!$H$38="Todos",datos_base!$K$10,0))*parametros_manuales!$J$100+parametros_manuales!$F$38*(datos_base!$K$4+IF(parametros_manuales!$H$38="Todos",datos_base!$K$11,0))*parametros_manuales!$J$105+parametros_manuales!$G$38*(datos_base!$K$5+IF(parametros_manuales!$H$38="Todos",datos_base!$K$12,0))*parametros_manuales!$J$110)*parametros_manuales!$I$38*parametros_manuales!$J$38</f>
        <v>6087.93</v>
      </c>
      <c r="K264" s="4">
        <f>(parametros_manuales!$D$38*(datos_base!$K$2+IF(parametros_manuales!$H$38="Todos",datos_base!$K$9,0))*parametros_manuales!$K$95+parametros_manuales!$E$38*(datos_base!$K$3+IF(parametros_manuales!$H$38="Todos",datos_base!$K$10,0))*parametros_manuales!$K$100+parametros_manuales!$F$38*(datos_base!$K$4+IF(parametros_manuales!$H$38="Todos",datos_base!$K$11,0))*parametros_manuales!$K$105+parametros_manuales!$G$38*(datos_base!$K$5+IF(parametros_manuales!$H$38="Todos",datos_base!$K$12,0))*parametros_manuales!$K$110)*parametros_manuales!$I$38*parametros_manuales!$J$38</f>
        <v>6288.015</v>
      </c>
      <c r="L264" s="4">
        <f>(parametros_manuales!$D$38*(datos_base!$K$2+IF(parametros_manuales!$H$38="Todos",datos_base!$K$9,0))*parametros_manuales!$L$95+parametros_manuales!$E$38*(datos_base!$K$3+IF(parametros_manuales!$H$38="Todos",datos_base!$K$10,0))*parametros_manuales!$L$100+parametros_manuales!$F$38*(datos_base!$K$4+IF(parametros_manuales!$H$38="Todos",datos_base!$K$11,0))*parametros_manuales!$L$105+parametros_manuales!$G$38*(datos_base!$K$5+IF(parametros_manuales!$H$38="Todos",datos_base!$K$12,0))*parametros_manuales!$L$110)*parametros_manuales!$I$38*parametros_manuales!$J$38</f>
        <v>6488.1</v>
      </c>
      <c r="M264" s="4">
        <f>(parametros_manuales!$D$38*(datos_base!$K$2+IF(parametros_manuales!$H$38="Todos",datos_base!$K$9,0))*parametros_manuales!$M$95+parametros_manuales!$E$38*(datos_base!$K$3+IF(parametros_manuales!$H$38="Todos",datos_base!$K$10,0))*parametros_manuales!$M$100+parametros_manuales!$F$38*(datos_base!$K$4+IF(parametros_manuales!$H$38="Todos",datos_base!$K$11,0))*parametros_manuales!$M$105+parametros_manuales!$G$38*(datos_base!$K$5+IF(parametros_manuales!$H$38="Todos",datos_base!$K$12,0))*parametros_manuales!$M$110)*parametros_manuales!$I$38*parametros_manuales!$J$38</f>
        <v>6488.1</v>
      </c>
      <c r="N264" s="4">
        <f t="shared" si="28"/>
        <v>72090</v>
      </c>
      <c r="O264" s="4">
        <f t="shared" si="29"/>
        <v>6488.1</v>
      </c>
      <c r="P264" s="27">
        <f>O264/(parametros_manuales!$B$7)</f>
        <v>43.254</v>
      </c>
      <c r="Q264" s="3" t="str">
        <f t="shared" si="30"/>
        <v>Ene</v>
      </c>
    </row>
    <row r="265" ht="14.25" customHeight="1">
      <c r="A265" s="3" t="str">
        <f>parametros_manuales!$B$39</f>
        <v>Ensamblaje</v>
      </c>
      <c r="B265" s="4">
        <f>(parametros_manuales!$D$39*(datos_base!$K$2+IF(parametros_manuales!$H$39="Todos",datos_base!$K$9,0))*parametros_manuales!$B$95+parametros_manuales!$E$39*(datos_base!$K$3+IF(parametros_manuales!$H$39="Todos",datos_base!$K$10,0))*parametros_manuales!$B$100+parametros_manuales!$F$39*(datos_base!$K$4+IF(parametros_manuales!$H$39="Todos",datos_base!$K$11,0))*parametros_manuales!$B$105+parametros_manuales!$G$39*(datos_base!$K$5+IF(parametros_manuales!$H$39="Todos",datos_base!$K$12,0))*parametros_manuales!$B$110)*parametros_manuales!$I$39*parametros_manuales!$J$39</f>
        <v>6488.1</v>
      </c>
      <c r="C265" s="4">
        <f>(parametros_manuales!$D$39*(datos_base!$K$2+IF(parametros_manuales!$H$39="Todos",datos_base!$K$9,0))*parametros_manuales!$C$95+parametros_manuales!$E$39*(datos_base!$K$3+IF(parametros_manuales!$H$39="Todos",datos_base!$K$10,0))*parametros_manuales!$C$100+parametros_manuales!$F$39*(datos_base!$K$4+IF(parametros_manuales!$H$39="Todos",datos_base!$K$11,0))*parametros_manuales!$C$105+parametros_manuales!$G$39*(datos_base!$K$5+IF(parametros_manuales!$H$39="Todos",datos_base!$K$12,0))*parametros_manuales!$C$110)*parametros_manuales!$I$39*parametros_manuales!$J$39</f>
        <v>6087.93</v>
      </c>
      <c r="D265" s="4">
        <f>(parametros_manuales!$D$39*(datos_base!$K$2+IF(parametros_manuales!$H$39="Todos",datos_base!$K$9,0))*parametros_manuales!$D$95+parametros_manuales!$E$39*(datos_base!$K$3+IF(parametros_manuales!$H$39="Todos",datos_base!$K$10,0))*parametros_manuales!$D$100+parametros_manuales!$F$39*(datos_base!$K$4+IF(parametros_manuales!$H$39="Todos",datos_base!$K$11,0))*parametros_manuales!$D$105+parametros_manuales!$G$39*(datos_base!$K$5+IF(parametros_manuales!$H$39="Todos",datos_base!$K$12,0))*parametros_manuales!$D$110)*parametros_manuales!$I$39*parametros_manuales!$J$39</f>
        <v>5967.285</v>
      </c>
      <c r="E265" s="4">
        <f>(parametros_manuales!$D$39*(datos_base!$K$2+IF(parametros_manuales!$H$39="Todos",datos_base!$K$9,0))*parametros_manuales!$E$95+parametros_manuales!$E$39*(datos_base!$K$3+IF(parametros_manuales!$H$39="Todos",datos_base!$K$10,0))*parametros_manuales!$E$100+parametros_manuales!$F$39*(datos_base!$K$4+IF(parametros_manuales!$H$39="Todos",datos_base!$K$11,0))*parametros_manuales!$E$105+parametros_manuales!$G$39*(datos_base!$K$5+IF(parametros_manuales!$H$39="Todos",datos_base!$K$12,0))*parametros_manuales!$E$110)*parametros_manuales!$I$39*parametros_manuales!$J$39</f>
        <v>5806.92</v>
      </c>
      <c r="F265" s="4">
        <f>(parametros_manuales!$D$39*(datos_base!$K$2+IF(parametros_manuales!$H$39="Todos",datos_base!$K$9,0))*parametros_manuales!$F$95+parametros_manuales!$E$39*(datos_base!$K$3+IF(parametros_manuales!$H$39="Todos",datos_base!$K$10,0))*parametros_manuales!$F$100+parametros_manuales!$F$39*(datos_base!$K$4+IF(parametros_manuales!$H$39="Todos",datos_base!$K$11,0))*parametros_manuales!$F$105+parametros_manuales!$G$39*(datos_base!$K$5+IF(parametros_manuales!$H$39="Todos",datos_base!$K$12,0))*parametros_manuales!$F$110)*parametros_manuales!$I$39*parametros_manuales!$J$39</f>
        <v>5446.47</v>
      </c>
      <c r="G265" s="4">
        <f>(parametros_manuales!$D$39*(datos_base!$K$2+IF(parametros_manuales!$H$39="Todos",datos_base!$K$9,0))*parametros_manuales!$G$95+parametros_manuales!$E$39*(datos_base!$K$3+IF(parametros_manuales!$H$39="Todos",datos_base!$K$10,0))*parametros_manuales!$G$100+parametros_manuales!$F$39*(datos_base!$K$4+IF(parametros_manuales!$H$39="Todos",datos_base!$K$11,0))*parametros_manuales!$G$105+parametros_manuales!$G$39*(datos_base!$K$5+IF(parametros_manuales!$H$39="Todos",datos_base!$K$12,0))*parametros_manuales!$G$110)*parametros_manuales!$I$39*parametros_manuales!$J$39</f>
        <v>5246.385</v>
      </c>
      <c r="H265" s="4">
        <f>(parametros_manuales!$D$39*(datos_base!$K$2+IF(parametros_manuales!$H$39="Todos",datos_base!$K$9,0))*parametros_manuales!$H$95+parametros_manuales!$E$39*(datos_base!$K$3+IF(parametros_manuales!$H$39="Todos",datos_base!$K$10,0))*parametros_manuales!$H$100+parametros_manuales!$F$39*(datos_base!$K$4+IF(parametros_manuales!$H$39="Todos",datos_base!$K$11,0))*parametros_manuales!$H$105+parametros_manuales!$G$39*(datos_base!$K$5+IF(parametros_manuales!$H$39="Todos",datos_base!$K$12,0))*parametros_manuales!$H$110)*parametros_manuales!$I$39*parametros_manuales!$J$39</f>
        <v>5606.835</v>
      </c>
      <c r="I265" s="4">
        <f>(parametros_manuales!$D$39*(datos_base!$K$2+IF(parametros_manuales!$H$39="Todos",datos_base!$K$9,0))*parametros_manuales!$I$95+parametros_manuales!$E$39*(datos_base!$K$3+IF(parametros_manuales!$H$39="Todos",datos_base!$K$10,0))*parametros_manuales!$I$100+parametros_manuales!$F$39*(datos_base!$K$4+IF(parametros_manuales!$H$39="Todos",datos_base!$K$11,0))*parametros_manuales!$I$105+parametros_manuales!$G$39*(datos_base!$K$5+IF(parametros_manuales!$H$39="Todos",datos_base!$K$12,0))*parametros_manuales!$I$110)*parametros_manuales!$I$39*parametros_manuales!$J$39</f>
        <v>6087.93</v>
      </c>
      <c r="J265" s="4">
        <f>(parametros_manuales!$D$39*(datos_base!$K$2+IF(parametros_manuales!$H$39="Todos",datos_base!$K$9,0))*parametros_manuales!$J$95+parametros_manuales!$E$39*(datos_base!$K$3+IF(parametros_manuales!$H$39="Todos",datos_base!$K$10,0))*parametros_manuales!$J$100+parametros_manuales!$F$39*(datos_base!$K$4+IF(parametros_manuales!$H$39="Todos",datos_base!$K$11,0))*parametros_manuales!$J$105+parametros_manuales!$G$39*(datos_base!$K$5+IF(parametros_manuales!$H$39="Todos",datos_base!$K$12,0))*parametros_manuales!$J$110)*parametros_manuales!$I$39*parametros_manuales!$J$39</f>
        <v>6087.93</v>
      </c>
      <c r="K265" s="4">
        <f>(parametros_manuales!$D$39*(datos_base!$K$2+IF(parametros_manuales!$H$39="Todos",datos_base!$K$9,0))*parametros_manuales!$K$95+parametros_manuales!$E$39*(datos_base!$K$3+IF(parametros_manuales!$H$39="Todos",datos_base!$K$10,0))*parametros_manuales!$K$100+parametros_manuales!$F$39*(datos_base!$K$4+IF(parametros_manuales!$H$39="Todos",datos_base!$K$11,0))*parametros_manuales!$K$105+parametros_manuales!$G$39*(datos_base!$K$5+IF(parametros_manuales!$H$39="Todos",datos_base!$K$12,0))*parametros_manuales!$K$110)*parametros_manuales!$I$39*parametros_manuales!$J$39</f>
        <v>6288.015</v>
      </c>
      <c r="L265" s="4">
        <f>(parametros_manuales!$D$39*(datos_base!$K$2+IF(parametros_manuales!$H$39="Todos",datos_base!$K$9,0))*parametros_manuales!$L$95+parametros_manuales!$E$39*(datos_base!$K$3+IF(parametros_manuales!$H$39="Todos",datos_base!$K$10,0))*parametros_manuales!$L$100+parametros_manuales!$F$39*(datos_base!$K$4+IF(parametros_manuales!$H$39="Todos",datos_base!$K$11,0))*parametros_manuales!$L$105+parametros_manuales!$G$39*(datos_base!$K$5+IF(parametros_manuales!$H$39="Todos",datos_base!$K$12,0))*parametros_manuales!$L$110)*parametros_manuales!$I$39*parametros_manuales!$J$39</f>
        <v>6488.1</v>
      </c>
      <c r="M265" s="4">
        <f>(parametros_manuales!$D$39*(datos_base!$K$2+IF(parametros_manuales!$H$39="Todos",datos_base!$K$9,0))*parametros_manuales!$M$95+parametros_manuales!$E$39*(datos_base!$K$3+IF(parametros_manuales!$H$39="Todos",datos_base!$K$10,0))*parametros_manuales!$M$100+parametros_manuales!$F$39*(datos_base!$K$4+IF(parametros_manuales!$H$39="Todos",datos_base!$K$11,0))*parametros_manuales!$M$105+parametros_manuales!$G$39*(datos_base!$K$5+IF(parametros_manuales!$H$39="Todos",datos_base!$K$12,0))*parametros_manuales!$M$110)*parametros_manuales!$I$39*parametros_manuales!$J$39</f>
        <v>6488.1</v>
      </c>
      <c r="N265" s="4">
        <f t="shared" si="28"/>
        <v>72090</v>
      </c>
      <c r="O265" s="4">
        <f t="shared" si="29"/>
        <v>6488.1</v>
      </c>
      <c r="P265" s="27">
        <f>O265/(parametros_manuales!$B$7)</f>
        <v>43.254</v>
      </c>
      <c r="Q265" s="3" t="str">
        <f t="shared" si="30"/>
        <v>Ene</v>
      </c>
    </row>
    <row r="266" ht="14.25" customHeight="1">
      <c r="A266" s="3" t="str">
        <f>parametros_manuales!$B$40</f>
        <v>Presurización</v>
      </c>
      <c r="B266" s="4">
        <f>(parametros_manuales!$D$40*(datos_base!$K$2+IF(parametros_manuales!$H$40="Todos",datos_base!$K$9,0))*parametros_manuales!$B$95+parametros_manuales!$E$40*(datos_base!$K$3+IF(parametros_manuales!$H$40="Todos",datos_base!$K$10,0))*parametros_manuales!$B$100+parametros_manuales!$F$40*(datos_base!$K$4+IF(parametros_manuales!$H$40="Todos",datos_base!$K$11,0))*parametros_manuales!$B$105+parametros_manuales!$G$40*(datos_base!$K$5+IF(parametros_manuales!$H$40="Todos",datos_base!$K$12,0))*parametros_manuales!$B$110)*parametros_manuales!$I$40*parametros_manuales!$J$40</f>
        <v>6488.1</v>
      </c>
      <c r="C266" s="4">
        <f>(parametros_manuales!$D$40*(datos_base!$K$2+IF(parametros_manuales!$H$40="Todos",datos_base!$K$9,0))*parametros_manuales!$C$95+parametros_manuales!$E$40*(datos_base!$K$3+IF(parametros_manuales!$H$40="Todos",datos_base!$K$10,0))*parametros_manuales!$C$100+parametros_manuales!$F$40*(datos_base!$K$4+IF(parametros_manuales!$H$40="Todos",datos_base!$K$11,0))*parametros_manuales!$C$105+parametros_manuales!$G$40*(datos_base!$K$5+IF(parametros_manuales!$H$40="Todos",datos_base!$K$12,0))*parametros_manuales!$C$110)*parametros_manuales!$I$40*parametros_manuales!$J$40</f>
        <v>6087.93</v>
      </c>
      <c r="D266" s="4">
        <f>(parametros_manuales!$D$40*(datos_base!$K$2+IF(parametros_manuales!$H$40="Todos",datos_base!$K$9,0))*parametros_manuales!$D$95+parametros_manuales!$E$40*(datos_base!$K$3+IF(parametros_manuales!$H$40="Todos",datos_base!$K$10,0))*parametros_manuales!$D$100+parametros_manuales!$F$40*(datos_base!$K$4+IF(parametros_manuales!$H$40="Todos",datos_base!$K$11,0))*parametros_manuales!$D$105+parametros_manuales!$G$40*(datos_base!$K$5+IF(parametros_manuales!$H$40="Todos",datos_base!$K$12,0))*parametros_manuales!$D$110)*parametros_manuales!$I$40*parametros_manuales!$J$40</f>
        <v>5967.285</v>
      </c>
      <c r="E266" s="4">
        <f>(parametros_manuales!$D$40*(datos_base!$K$2+IF(parametros_manuales!$H$40="Todos",datos_base!$K$9,0))*parametros_manuales!$E$95+parametros_manuales!$E$40*(datos_base!$K$3+IF(parametros_manuales!$H$40="Todos",datos_base!$K$10,0))*parametros_manuales!$E$100+parametros_manuales!$F$40*(datos_base!$K$4+IF(parametros_manuales!$H$40="Todos",datos_base!$K$11,0))*parametros_manuales!$E$105+parametros_manuales!$G$40*(datos_base!$K$5+IF(parametros_manuales!$H$40="Todos",datos_base!$K$12,0))*parametros_manuales!$E$110)*parametros_manuales!$I$40*parametros_manuales!$J$40</f>
        <v>5806.92</v>
      </c>
      <c r="F266" s="4">
        <f>(parametros_manuales!$D$40*(datos_base!$K$2+IF(parametros_manuales!$H$40="Todos",datos_base!$K$9,0))*parametros_manuales!$F$95+parametros_manuales!$E$40*(datos_base!$K$3+IF(parametros_manuales!$H$40="Todos",datos_base!$K$10,0))*parametros_manuales!$F$100+parametros_manuales!$F$40*(datos_base!$K$4+IF(parametros_manuales!$H$40="Todos",datos_base!$K$11,0))*parametros_manuales!$F$105+parametros_manuales!$G$40*(datos_base!$K$5+IF(parametros_manuales!$H$40="Todos",datos_base!$K$12,0))*parametros_manuales!$F$110)*parametros_manuales!$I$40*parametros_manuales!$J$40</f>
        <v>5446.47</v>
      </c>
      <c r="G266" s="4">
        <f>(parametros_manuales!$D$40*(datos_base!$K$2+IF(parametros_manuales!$H$40="Todos",datos_base!$K$9,0))*parametros_manuales!$G$95+parametros_manuales!$E$40*(datos_base!$K$3+IF(parametros_manuales!$H$40="Todos",datos_base!$K$10,0))*parametros_manuales!$G$100+parametros_manuales!$F$40*(datos_base!$K$4+IF(parametros_manuales!$H$40="Todos",datos_base!$K$11,0))*parametros_manuales!$G$105+parametros_manuales!$G$40*(datos_base!$K$5+IF(parametros_manuales!$H$40="Todos",datos_base!$K$12,0))*parametros_manuales!$G$110)*parametros_manuales!$I$40*parametros_manuales!$J$40</f>
        <v>5246.385</v>
      </c>
      <c r="H266" s="4">
        <f>(parametros_manuales!$D$40*(datos_base!$K$2+IF(parametros_manuales!$H$40="Todos",datos_base!$K$9,0))*parametros_manuales!$H$95+parametros_manuales!$E$40*(datos_base!$K$3+IF(parametros_manuales!$H$40="Todos",datos_base!$K$10,0))*parametros_manuales!$H$100+parametros_manuales!$F$40*(datos_base!$K$4+IF(parametros_manuales!$H$40="Todos",datos_base!$K$11,0))*parametros_manuales!$H$105+parametros_manuales!$G$40*(datos_base!$K$5+IF(parametros_manuales!$H$40="Todos",datos_base!$K$12,0))*parametros_manuales!$H$110)*parametros_manuales!$I$40*parametros_manuales!$J$40</f>
        <v>5606.835</v>
      </c>
      <c r="I266" s="4">
        <f>(parametros_manuales!$D$40*(datos_base!$K$2+IF(parametros_manuales!$H$40="Todos",datos_base!$K$9,0))*parametros_manuales!$I$95+parametros_manuales!$E$40*(datos_base!$K$3+IF(parametros_manuales!$H$40="Todos",datos_base!$K$10,0))*parametros_manuales!$I$100+parametros_manuales!$F$40*(datos_base!$K$4+IF(parametros_manuales!$H$40="Todos",datos_base!$K$11,0))*parametros_manuales!$I$105+parametros_manuales!$G$40*(datos_base!$K$5+IF(parametros_manuales!$H$40="Todos",datos_base!$K$12,0))*parametros_manuales!$I$110)*parametros_manuales!$I$40*parametros_manuales!$J$40</f>
        <v>6087.93</v>
      </c>
      <c r="J266" s="4">
        <f>(parametros_manuales!$D$40*(datos_base!$K$2+IF(parametros_manuales!$H$40="Todos",datos_base!$K$9,0))*parametros_manuales!$J$95+parametros_manuales!$E$40*(datos_base!$K$3+IF(parametros_manuales!$H$40="Todos",datos_base!$K$10,0))*parametros_manuales!$J$100+parametros_manuales!$F$40*(datos_base!$K$4+IF(parametros_manuales!$H$40="Todos",datos_base!$K$11,0))*parametros_manuales!$J$105+parametros_manuales!$G$40*(datos_base!$K$5+IF(parametros_manuales!$H$40="Todos",datos_base!$K$12,0))*parametros_manuales!$J$110)*parametros_manuales!$I$40*parametros_manuales!$J$40</f>
        <v>6087.93</v>
      </c>
      <c r="K266" s="4">
        <f>(parametros_manuales!$D$40*(datos_base!$K$2+IF(parametros_manuales!$H$40="Todos",datos_base!$K$9,0))*parametros_manuales!$K$95+parametros_manuales!$E$40*(datos_base!$K$3+IF(parametros_manuales!$H$40="Todos",datos_base!$K$10,0))*parametros_manuales!$K$100+parametros_manuales!$F$40*(datos_base!$K$4+IF(parametros_manuales!$H$40="Todos",datos_base!$K$11,0))*parametros_manuales!$K$105+parametros_manuales!$G$40*(datos_base!$K$5+IF(parametros_manuales!$H$40="Todos",datos_base!$K$12,0))*parametros_manuales!$K$110)*parametros_manuales!$I$40*parametros_manuales!$J$40</f>
        <v>6288.015</v>
      </c>
      <c r="L266" s="4">
        <f>(parametros_manuales!$D$40*(datos_base!$K$2+IF(parametros_manuales!$H$40="Todos",datos_base!$K$9,0))*parametros_manuales!$L$95+parametros_manuales!$E$40*(datos_base!$K$3+IF(parametros_manuales!$H$40="Todos",datos_base!$K$10,0))*parametros_manuales!$L$100+parametros_manuales!$F$40*(datos_base!$K$4+IF(parametros_manuales!$H$40="Todos",datos_base!$K$11,0))*parametros_manuales!$L$105+parametros_manuales!$G$40*(datos_base!$K$5+IF(parametros_manuales!$H$40="Todos",datos_base!$K$12,0))*parametros_manuales!$L$110)*parametros_manuales!$I$40*parametros_manuales!$J$40</f>
        <v>6488.1</v>
      </c>
      <c r="M266" s="4">
        <f>(parametros_manuales!$D$40*(datos_base!$K$2+IF(parametros_manuales!$H$40="Todos",datos_base!$K$9,0))*parametros_manuales!$M$95+parametros_manuales!$E$40*(datos_base!$K$3+IF(parametros_manuales!$H$40="Todos",datos_base!$K$10,0))*parametros_manuales!$M$100+parametros_manuales!$F$40*(datos_base!$K$4+IF(parametros_manuales!$H$40="Todos",datos_base!$K$11,0))*parametros_manuales!$M$105+parametros_manuales!$G$40*(datos_base!$K$5+IF(parametros_manuales!$H$40="Todos",datos_base!$K$12,0))*parametros_manuales!$M$110)*parametros_manuales!$I$40*parametros_manuales!$J$40</f>
        <v>6488.1</v>
      </c>
      <c r="N266" s="4">
        <f t="shared" si="28"/>
        <v>72090</v>
      </c>
      <c r="O266" s="4">
        <f t="shared" si="29"/>
        <v>6488.1</v>
      </c>
      <c r="P266" s="27">
        <f>O266/(parametros_manuales!$B$7)</f>
        <v>43.254</v>
      </c>
      <c r="Q266" s="3" t="str">
        <f t="shared" si="30"/>
        <v>Ene</v>
      </c>
    </row>
    <row r="267" ht="14.25" customHeight="1">
      <c r="A267" s="3" t="str">
        <f>parametros_manuales!$B$41</f>
        <v>Control de calidad — Ensayo de pérdidas</v>
      </c>
      <c r="B267" s="4">
        <f>(parametros_manuales!$D$41*(datos_base!$K$2+IF(parametros_manuales!$H$41="Todos",datos_base!$K$9,0))*parametros_manuales!$B$95+parametros_manuales!$E$41*(datos_base!$K$3+IF(parametros_manuales!$H$41="Todos",datos_base!$K$10,0))*parametros_manuales!$B$100+parametros_manuales!$F$41*(datos_base!$K$4+IF(parametros_manuales!$H$41="Todos",datos_base!$K$11,0))*parametros_manuales!$B$105+parametros_manuales!$G$41*(datos_base!$K$5+IF(parametros_manuales!$H$41="Todos",datos_base!$K$12,0))*parametros_manuales!$B$110)*parametros_manuales!$I$41*parametros_manuales!$J$41</f>
        <v>6488.1</v>
      </c>
      <c r="C267" s="4">
        <f>(parametros_manuales!$D$41*(datos_base!$K$2+IF(parametros_manuales!$H$41="Todos",datos_base!$K$9,0))*parametros_manuales!$C$95+parametros_manuales!$E$41*(datos_base!$K$3+IF(parametros_manuales!$H$41="Todos",datos_base!$K$10,0))*parametros_manuales!$C$100+parametros_manuales!$F$41*(datos_base!$K$4+IF(parametros_manuales!$H$41="Todos",datos_base!$K$11,0))*parametros_manuales!$C$105+parametros_manuales!$G$41*(datos_base!$K$5+IF(parametros_manuales!$H$41="Todos",datos_base!$K$12,0))*parametros_manuales!$C$110)*parametros_manuales!$I$41*parametros_manuales!$J$41</f>
        <v>6087.93</v>
      </c>
      <c r="D267" s="4">
        <f>(parametros_manuales!$D$41*(datos_base!$K$2+IF(parametros_manuales!$H$41="Todos",datos_base!$K$9,0))*parametros_manuales!$D$95+parametros_manuales!$E$41*(datos_base!$K$3+IF(parametros_manuales!$H$41="Todos",datos_base!$K$10,0))*parametros_manuales!$D$100+parametros_manuales!$F$41*(datos_base!$K$4+IF(parametros_manuales!$H$41="Todos",datos_base!$K$11,0))*parametros_manuales!$D$105+parametros_manuales!$G$41*(datos_base!$K$5+IF(parametros_manuales!$H$41="Todos",datos_base!$K$12,0))*parametros_manuales!$D$110)*parametros_manuales!$I$41*parametros_manuales!$J$41</f>
        <v>5967.285</v>
      </c>
      <c r="E267" s="4">
        <f>(parametros_manuales!$D$41*(datos_base!$K$2+IF(parametros_manuales!$H$41="Todos",datos_base!$K$9,0))*parametros_manuales!$E$95+parametros_manuales!$E$41*(datos_base!$K$3+IF(parametros_manuales!$H$41="Todos",datos_base!$K$10,0))*parametros_manuales!$E$100+parametros_manuales!$F$41*(datos_base!$K$4+IF(parametros_manuales!$H$41="Todos",datos_base!$K$11,0))*parametros_manuales!$E$105+parametros_manuales!$G$41*(datos_base!$K$5+IF(parametros_manuales!$H$41="Todos",datos_base!$K$12,0))*parametros_manuales!$E$110)*parametros_manuales!$I$41*parametros_manuales!$J$41</f>
        <v>5806.92</v>
      </c>
      <c r="F267" s="4">
        <f>(parametros_manuales!$D$41*(datos_base!$K$2+IF(parametros_manuales!$H$41="Todos",datos_base!$K$9,0))*parametros_manuales!$F$95+parametros_manuales!$E$41*(datos_base!$K$3+IF(parametros_manuales!$H$41="Todos",datos_base!$K$10,0))*parametros_manuales!$F$100+parametros_manuales!$F$41*(datos_base!$K$4+IF(parametros_manuales!$H$41="Todos",datos_base!$K$11,0))*parametros_manuales!$F$105+parametros_manuales!$G$41*(datos_base!$K$5+IF(parametros_manuales!$H$41="Todos",datos_base!$K$12,0))*parametros_manuales!$F$110)*parametros_manuales!$I$41*parametros_manuales!$J$41</f>
        <v>5446.47</v>
      </c>
      <c r="G267" s="4">
        <f>(parametros_manuales!$D$41*(datos_base!$K$2+IF(parametros_manuales!$H$41="Todos",datos_base!$K$9,0))*parametros_manuales!$G$95+parametros_manuales!$E$41*(datos_base!$K$3+IF(parametros_manuales!$H$41="Todos",datos_base!$K$10,0))*parametros_manuales!$G$100+parametros_manuales!$F$41*(datos_base!$K$4+IF(parametros_manuales!$H$41="Todos",datos_base!$K$11,0))*parametros_manuales!$G$105+parametros_manuales!$G$41*(datos_base!$K$5+IF(parametros_manuales!$H$41="Todos",datos_base!$K$12,0))*parametros_manuales!$G$110)*parametros_manuales!$I$41*parametros_manuales!$J$41</f>
        <v>5246.385</v>
      </c>
      <c r="H267" s="4">
        <f>(parametros_manuales!$D$41*(datos_base!$K$2+IF(parametros_manuales!$H$41="Todos",datos_base!$K$9,0))*parametros_manuales!$H$95+parametros_manuales!$E$41*(datos_base!$K$3+IF(parametros_manuales!$H$41="Todos",datos_base!$K$10,0))*parametros_manuales!$H$100+parametros_manuales!$F$41*(datos_base!$K$4+IF(parametros_manuales!$H$41="Todos",datos_base!$K$11,0))*parametros_manuales!$H$105+parametros_manuales!$G$41*(datos_base!$K$5+IF(parametros_manuales!$H$41="Todos",datos_base!$K$12,0))*parametros_manuales!$H$110)*parametros_manuales!$I$41*parametros_manuales!$J$41</f>
        <v>5606.835</v>
      </c>
      <c r="I267" s="4">
        <f>(parametros_manuales!$D$41*(datos_base!$K$2+IF(parametros_manuales!$H$41="Todos",datos_base!$K$9,0))*parametros_manuales!$I$95+parametros_manuales!$E$41*(datos_base!$K$3+IF(parametros_manuales!$H$41="Todos",datos_base!$K$10,0))*parametros_manuales!$I$100+parametros_manuales!$F$41*(datos_base!$K$4+IF(parametros_manuales!$H$41="Todos",datos_base!$K$11,0))*parametros_manuales!$I$105+parametros_manuales!$G$41*(datos_base!$K$5+IF(parametros_manuales!$H$41="Todos",datos_base!$K$12,0))*parametros_manuales!$I$110)*parametros_manuales!$I$41*parametros_manuales!$J$41</f>
        <v>6087.93</v>
      </c>
      <c r="J267" s="4">
        <f>(parametros_manuales!$D$41*(datos_base!$K$2+IF(parametros_manuales!$H$41="Todos",datos_base!$K$9,0))*parametros_manuales!$J$95+parametros_manuales!$E$41*(datos_base!$K$3+IF(parametros_manuales!$H$41="Todos",datos_base!$K$10,0))*parametros_manuales!$J$100+parametros_manuales!$F$41*(datos_base!$K$4+IF(parametros_manuales!$H$41="Todos",datos_base!$K$11,0))*parametros_manuales!$J$105+parametros_manuales!$G$41*(datos_base!$K$5+IF(parametros_manuales!$H$41="Todos",datos_base!$K$12,0))*parametros_manuales!$J$110)*parametros_manuales!$I$41*parametros_manuales!$J$41</f>
        <v>6087.93</v>
      </c>
      <c r="K267" s="4">
        <f>(parametros_manuales!$D$41*(datos_base!$K$2+IF(parametros_manuales!$H$41="Todos",datos_base!$K$9,0))*parametros_manuales!$K$95+parametros_manuales!$E$41*(datos_base!$K$3+IF(parametros_manuales!$H$41="Todos",datos_base!$K$10,0))*parametros_manuales!$K$100+parametros_manuales!$F$41*(datos_base!$K$4+IF(parametros_manuales!$H$41="Todos",datos_base!$K$11,0))*parametros_manuales!$K$105+parametros_manuales!$G$41*(datos_base!$K$5+IF(parametros_manuales!$H$41="Todos",datos_base!$K$12,0))*parametros_manuales!$K$110)*parametros_manuales!$I$41*parametros_manuales!$J$41</f>
        <v>6288.015</v>
      </c>
      <c r="L267" s="4">
        <f>(parametros_manuales!$D$41*(datos_base!$K$2+IF(parametros_manuales!$H$41="Todos",datos_base!$K$9,0))*parametros_manuales!$L$95+parametros_manuales!$E$41*(datos_base!$K$3+IF(parametros_manuales!$H$41="Todos",datos_base!$K$10,0))*parametros_manuales!$L$100+parametros_manuales!$F$41*(datos_base!$K$4+IF(parametros_manuales!$H$41="Todos",datos_base!$K$11,0))*parametros_manuales!$L$105+parametros_manuales!$G$41*(datos_base!$K$5+IF(parametros_manuales!$H$41="Todos",datos_base!$K$12,0))*parametros_manuales!$L$110)*parametros_manuales!$I$41*parametros_manuales!$J$41</f>
        <v>6488.1</v>
      </c>
      <c r="M267" s="4">
        <f>(parametros_manuales!$D$41*(datos_base!$K$2+IF(parametros_manuales!$H$41="Todos",datos_base!$K$9,0))*parametros_manuales!$M$95+parametros_manuales!$E$41*(datos_base!$K$3+IF(parametros_manuales!$H$41="Todos",datos_base!$K$10,0))*parametros_manuales!$M$100+parametros_manuales!$F$41*(datos_base!$K$4+IF(parametros_manuales!$H$41="Todos",datos_base!$K$11,0))*parametros_manuales!$M$105+parametros_manuales!$G$41*(datos_base!$K$5+IF(parametros_manuales!$H$41="Todos",datos_base!$K$12,0))*parametros_manuales!$M$110)*parametros_manuales!$I$41*parametros_manuales!$J$41</f>
        <v>6488.1</v>
      </c>
      <c r="N267" s="4">
        <f t="shared" si="28"/>
        <v>72090</v>
      </c>
      <c r="O267" s="4">
        <f t="shared" si="29"/>
        <v>6488.1</v>
      </c>
      <c r="P267" s="27">
        <f>O267/(parametros_manuales!$B$7)</f>
        <v>43.254</v>
      </c>
      <c r="Q267" s="3" t="str">
        <f t="shared" si="30"/>
        <v>Ene</v>
      </c>
    </row>
    <row r="268" ht="14.25" customHeight="1">
      <c r="A268" s="3" t="str">
        <f>parametros_manuales!$B$42</f>
        <v>Etiquetado</v>
      </c>
      <c r="B268" s="4">
        <f>(parametros_manuales!$D$42*(datos_base!$K$2+IF(parametros_manuales!$H$42="Todos",datos_base!$K$9,0))*parametros_manuales!$B$95+parametros_manuales!$E$42*(datos_base!$K$3+IF(parametros_manuales!$H$42="Todos",datos_base!$K$10,0))*parametros_manuales!$B$100+parametros_manuales!$F$42*(datos_base!$K$4+IF(parametros_manuales!$H$42="Todos",datos_base!$K$11,0))*parametros_manuales!$B$105+parametros_manuales!$G$42*(datos_base!$K$5+IF(parametros_manuales!$H$42="Todos",datos_base!$K$12,0))*parametros_manuales!$B$110)*parametros_manuales!$I$42*parametros_manuales!$J$42</f>
        <v>6488.1</v>
      </c>
      <c r="C268" s="4">
        <f>(parametros_manuales!$D$42*(datos_base!$K$2+IF(parametros_manuales!$H$42="Todos",datos_base!$K$9,0))*parametros_manuales!$C$95+parametros_manuales!$E$42*(datos_base!$K$3+IF(parametros_manuales!$H$42="Todos",datos_base!$K$10,0))*parametros_manuales!$C$100+parametros_manuales!$F$42*(datos_base!$K$4+IF(parametros_manuales!$H$42="Todos",datos_base!$K$11,0))*parametros_manuales!$C$105+parametros_manuales!$G$42*(datos_base!$K$5+IF(parametros_manuales!$H$42="Todos",datos_base!$K$12,0))*parametros_manuales!$C$110)*parametros_manuales!$I$42*parametros_manuales!$J$42</f>
        <v>6087.93</v>
      </c>
      <c r="D268" s="4">
        <f>(parametros_manuales!$D$42*(datos_base!$K$2+IF(parametros_manuales!$H$42="Todos",datos_base!$K$9,0))*parametros_manuales!$D$95+parametros_manuales!$E$42*(datos_base!$K$3+IF(parametros_manuales!$H$42="Todos",datos_base!$K$10,0))*parametros_manuales!$D$100+parametros_manuales!$F$42*(datos_base!$K$4+IF(parametros_manuales!$H$42="Todos",datos_base!$K$11,0))*parametros_manuales!$D$105+parametros_manuales!$G$42*(datos_base!$K$5+IF(parametros_manuales!$H$42="Todos",datos_base!$K$12,0))*parametros_manuales!$D$110)*parametros_manuales!$I$42*parametros_manuales!$J$42</f>
        <v>5967.285</v>
      </c>
      <c r="E268" s="4">
        <f>(parametros_manuales!$D$42*(datos_base!$K$2+IF(parametros_manuales!$H$42="Todos",datos_base!$K$9,0))*parametros_manuales!$E$95+parametros_manuales!$E$42*(datos_base!$K$3+IF(parametros_manuales!$H$42="Todos",datos_base!$K$10,0))*parametros_manuales!$E$100+parametros_manuales!$F$42*(datos_base!$K$4+IF(parametros_manuales!$H$42="Todos",datos_base!$K$11,0))*parametros_manuales!$E$105+parametros_manuales!$G$42*(datos_base!$K$5+IF(parametros_manuales!$H$42="Todos",datos_base!$K$12,0))*parametros_manuales!$E$110)*parametros_manuales!$I$42*parametros_manuales!$J$42</f>
        <v>5806.92</v>
      </c>
      <c r="F268" s="4">
        <f>(parametros_manuales!$D$42*(datos_base!$K$2+IF(parametros_manuales!$H$42="Todos",datos_base!$K$9,0))*parametros_manuales!$F$95+parametros_manuales!$E$42*(datos_base!$K$3+IF(parametros_manuales!$H$42="Todos",datos_base!$K$10,0))*parametros_manuales!$F$100+parametros_manuales!$F$42*(datos_base!$K$4+IF(parametros_manuales!$H$42="Todos",datos_base!$K$11,0))*parametros_manuales!$F$105+parametros_manuales!$G$42*(datos_base!$K$5+IF(parametros_manuales!$H$42="Todos",datos_base!$K$12,0))*parametros_manuales!$F$110)*parametros_manuales!$I$42*parametros_manuales!$J$42</f>
        <v>5446.47</v>
      </c>
      <c r="G268" s="4">
        <f>(parametros_manuales!$D$42*(datos_base!$K$2+IF(parametros_manuales!$H$42="Todos",datos_base!$K$9,0))*parametros_manuales!$G$95+parametros_manuales!$E$42*(datos_base!$K$3+IF(parametros_manuales!$H$42="Todos",datos_base!$K$10,0))*parametros_manuales!$G$100+parametros_manuales!$F$42*(datos_base!$K$4+IF(parametros_manuales!$H$42="Todos",datos_base!$K$11,0))*parametros_manuales!$G$105+parametros_manuales!$G$42*(datos_base!$K$5+IF(parametros_manuales!$H$42="Todos",datos_base!$K$12,0))*parametros_manuales!$G$110)*parametros_manuales!$I$42*parametros_manuales!$J$42</f>
        <v>5246.385</v>
      </c>
      <c r="H268" s="4">
        <f>(parametros_manuales!$D$42*(datos_base!$K$2+IF(parametros_manuales!$H$42="Todos",datos_base!$K$9,0))*parametros_manuales!$H$95+parametros_manuales!$E$42*(datos_base!$K$3+IF(parametros_manuales!$H$42="Todos",datos_base!$K$10,0))*parametros_manuales!$H$100+parametros_manuales!$F$42*(datos_base!$K$4+IF(parametros_manuales!$H$42="Todos",datos_base!$K$11,0))*parametros_manuales!$H$105+parametros_manuales!$G$42*(datos_base!$K$5+IF(parametros_manuales!$H$42="Todos",datos_base!$K$12,0))*parametros_manuales!$H$110)*parametros_manuales!$I$42*parametros_manuales!$J$42</f>
        <v>5606.835</v>
      </c>
      <c r="I268" s="4">
        <f>(parametros_manuales!$D$42*(datos_base!$K$2+IF(parametros_manuales!$H$42="Todos",datos_base!$K$9,0))*parametros_manuales!$I$95+parametros_manuales!$E$42*(datos_base!$K$3+IF(parametros_manuales!$H$42="Todos",datos_base!$K$10,0))*parametros_manuales!$I$100+parametros_manuales!$F$42*(datos_base!$K$4+IF(parametros_manuales!$H$42="Todos",datos_base!$K$11,0))*parametros_manuales!$I$105+parametros_manuales!$G$42*(datos_base!$K$5+IF(parametros_manuales!$H$42="Todos",datos_base!$K$12,0))*parametros_manuales!$I$110)*parametros_manuales!$I$42*parametros_manuales!$J$42</f>
        <v>6087.93</v>
      </c>
      <c r="J268" s="4">
        <f>(parametros_manuales!$D$42*(datos_base!$K$2+IF(parametros_manuales!$H$42="Todos",datos_base!$K$9,0))*parametros_manuales!$J$95+parametros_manuales!$E$42*(datos_base!$K$3+IF(parametros_manuales!$H$42="Todos",datos_base!$K$10,0))*parametros_manuales!$J$100+parametros_manuales!$F$42*(datos_base!$K$4+IF(parametros_manuales!$H$42="Todos",datos_base!$K$11,0))*parametros_manuales!$J$105+parametros_manuales!$G$42*(datos_base!$K$5+IF(parametros_manuales!$H$42="Todos",datos_base!$K$12,0))*parametros_manuales!$J$110)*parametros_manuales!$I$42*parametros_manuales!$J$42</f>
        <v>6087.93</v>
      </c>
      <c r="K268" s="4">
        <f>(parametros_manuales!$D$42*(datos_base!$K$2+IF(parametros_manuales!$H$42="Todos",datos_base!$K$9,0))*parametros_manuales!$K$95+parametros_manuales!$E$42*(datos_base!$K$3+IF(parametros_manuales!$H$42="Todos",datos_base!$K$10,0))*parametros_manuales!$K$100+parametros_manuales!$F$42*(datos_base!$K$4+IF(parametros_manuales!$H$42="Todos",datos_base!$K$11,0))*parametros_manuales!$K$105+parametros_manuales!$G$42*(datos_base!$K$5+IF(parametros_manuales!$H$42="Todos",datos_base!$K$12,0))*parametros_manuales!$K$110)*parametros_manuales!$I$42*parametros_manuales!$J$42</f>
        <v>6288.015</v>
      </c>
      <c r="L268" s="4">
        <f>(parametros_manuales!$D$42*(datos_base!$K$2+IF(parametros_manuales!$H$42="Todos",datos_base!$K$9,0))*parametros_manuales!$L$95+parametros_manuales!$E$42*(datos_base!$K$3+IF(parametros_manuales!$H$42="Todos",datos_base!$K$10,0))*parametros_manuales!$L$100+parametros_manuales!$F$42*(datos_base!$K$4+IF(parametros_manuales!$H$42="Todos",datos_base!$K$11,0))*parametros_manuales!$L$105+parametros_manuales!$G$42*(datos_base!$K$5+IF(parametros_manuales!$H$42="Todos",datos_base!$K$12,0))*parametros_manuales!$L$110)*parametros_manuales!$I$42*parametros_manuales!$J$42</f>
        <v>6488.1</v>
      </c>
      <c r="M268" s="4">
        <f>(parametros_manuales!$D$42*(datos_base!$K$2+IF(parametros_manuales!$H$42="Todos",datos_base!$K$9,0))*parametros_manuales!$M$95+parametros_manuales!$E$42*(datos_base!$K$3+IF(parametros_manuales!$H$42="Todos",datos_base!$K$10,0))*parametros_manuales!$M$100+parametros_manuales!$F$42*(datos_base!$K$4+IF(parametros_manuales!$H$42="Todos",datos_base!$K$11,0))*parametros_manuales!$M$105+parametros_manuales!$G$42*(datos_base!$K$5+IF(parametros_manuales!$H$42="Todos",datos_base!$K$12,0))*parametros_manuales!$M$110)*parametros_manuales!$I$42*parametros_manuales!$J$42</f>
        <v>6488.1</v>
      </c>
      <c r="N268" s="4">
        <f t="shared" si="28"/>
        <v>72090</v>
      </c>
      <c r="O268" s="4">
        <f t="shared" si="29"/>
        <v>6488.1</v>
      </c>
      <c r="P268" s="27">
        <f>O268/(parametros_manuales!$B$7)</f>
        <v>43.254</v>
      </c>
      <c r="Q268" s="3" t="str">
        <f t="shared" si="30"/>
        <v>Ene</v>
      </c>
    </row>
    <row r="269" ht="14.25" customHeight="1">
      <c r="A269" s="3" t="str">
        <f>parametros_manuales!$B$43</f>
        <v>Embalaje y paletizado</v>
      </c>
      <c r="B269" s="4">
        <f>(parametros_manuales!$D$43*(datos_base!$K$2+IF(parametros_manuales!$H$43="Todos",datos_base!$K$9,0))*parametros_manuales!$B$95+parametros_manuales!$E$43*(datos_base!$K$3+IF(parametros_manuales!$H$43="Todos",datos_base!$K$10,0))*parametros_manuales!$B$100+parametros_manuales!$F$43*(datos_base!$K$4+IF(parametros_manuales!$H$43="Todos",datos_base!$K$11,0))*parametros_manuales!$B$105+parametros_manuales!$G$43*(datos_base!$K$5+IF(parametros_manuales!$H$43="Todos",datos_base!$K$12,0))*parametros_manuales!$B$110)*parametros_manuales!$I$43*parametros_manuales!$J$43</f>
        <v>25580.97</v>
      </c>
      <c r="C269" s="4">
        <f>(parametros_manuales!$D$43*(datos_base!$K$2+IF(parametros_manuales!$H$43="Todos",datos_base!$K$9,0))*parametros_manuales!$C$95+parametros_manuales!$E$43*(datos_base!$K$3+IF(parametros_manuales!$H$43="Todos",datos_base!$K$10,0))*parametros_manuales!$C$100+parametros_manuales!$F$43*(datos_base!$K$4+IF(parametros_manuales!$H$43="Todos",datos_base!$K$11,0))*parametros_manuales!$C$105+parametros_manuales!$G$43*(datos_base!$K$5+IF(parametros_manuales!$H$43="Todos",datos_base!$K$12,0))*parametros_manuales!$C$110)*parametros_manuales!$I$43*parametros_manuales!$J$43</f>
        <v>24764.85</v>
      </c>
      <c r="D269" s="4">
        <f>(parametros_manuales!$D$43*(datos_base!$K$2+IF(parametros_manuales!$H$43="Todos",datos_base!$K$9,0))*parametros_manuales!$D$95+parametros_manuales!$E$43*(datos_base!$K$3+IF(parametros_manuales!$H$43="Todos",datos_base!$K$10,0))*parametros_manuales!$D$100+parametros_manuales!$F$43*(datos_base!$K$4+IF(parametros_manuales!$H$43="Todos",datos_base!$K$11,0))*parametros_manuales!$D$105+parametros_manuales!$G$43*(datos_base!$K$5+IF(parametros_manuales!$H$43="Todos",datos_base!$K$12,0))*parametros_manuales!$D$110)*parametros_manuales!$I$43*parametros_manuales!$J$43</f>
        <v>23146.7</v>
      </c>
      <c r="E269" s="4">
        <f>(parametros_manuales!$D$43*(datos_base!$K$2+IF(parametros_manuales!$H$43="Todos",datos_base!$K$9,0))*parametros_manuales!$E$95+parametros_manuales!$E$43*(datos_base!$K$3+IF(parametros_manuales!$H$43="Todos",datos_base!$K$10,0))*parametros_manuales!$E$100+parametros_manuales!$F$43*(datos_base!$K$4+IF(parametros_manuales!$H$43="Todos",datos_base!$K$11,0))*parametros_manuales!$E$105+parametros_manuales!$G$43*(datos_base!$K$5+IF(parametros_manuales!$H$43="Todos",datos_base!$K$12,0))*parametros_manuales!$E$110)*parametros_manuales!$I$43*parametros_manuales!$J$43</f>
        <v>22133.595</v>
      </c>
      <c r="F269" s="4">
        <f>(parametros_manuales!$D$43*(datos_base!$K$2+IF(parametros_manuales!$H$43="Todos",datos_base!$K$9,0))*parametros_manuales!$F$95+parametros_manuales!$E$43*(datos_base!$K$3+IF(parametros_manuales!$H$43="Todos",datos_base!$K$10,0))*parametros_manuales!$F$100+parametros_manuales!$F$43*(datos_base!$K$4+IF(parametros_manuales!$H$43="Todos",datos_base!$K$11,0))*parametros_manuales!$F$105+parametros_manuales!$G$43*(datos_base!$K$5+IF(parametros_manuales!$H$43="Todos",datos_base!$K$12,0))*parametros_manuales!$F$110)*parametros_manuales!$I$43*parametros_manuales!$J$43</f>
        <v>20712.43</v>
      </c>
      <c r="G269" s="4">
        <f>(parametros_manuales!$D$43*(datos_base!$K$2+IF(parametros_manuales!$H$43="Todos",datos_base!$K$9,0))*parametros_manuales!$G$95+parametros_manuales!$E$43*(datos_base!$K$3+IF(parametros_manuales!$H$43="Todos",datos_base!$K$10,0))*parametros_manuales!$G$100+parametros_manuales!$F$43*(datos_base!$K$4+IF(parametros_manuales!$H$43="Todos",datos_base!$K$11,0))*parametros_manuales!$G$105+parametros_manuales!$G$43*(datos_base!$K$5+IF(parametros_manuales!$H$43="Todos",datos_base!$K$12,0))*parametros_manuales!$G$110)*parametros_manuales!$I$43*parametros_manuales!$J$43</f>
        <v>20304.37</v>
      </c>
      <c r="H269" s="4">
        <f>(parametros_manuales!$D$43*(datos_base!$K$2+IF(parametros_manuales!$H$43="Todos",datos_base!$K$9,0))*parametros_manuales!$H$95+parametros_manuales!$E$43*(datos_base!$K$3+IF(parametros_manuales!$H$43="Todos",datos_base!$K$10,0))*parametros_manuales!$H$100+parametros_manuales!$F$43*(datos_base!$K$4+IF(parametros_manuales!$H$43="Todos",datos_base!$K$11,0))*parametros_manuales!$H$105+parametros_manuales!$G$43*(datos_base!$K$5+IF(parametros_manuales!$H$43="Todos",datos_base!$K$12,0))*parametros_manuales!$H$110)*parametros_manuales!$I$43*parametros_manuales!$J$43</f>
        <v>21725.535</v>
      </c>
      <c r="I269" s="4">
        <f>(parametros_manuales!$D$43*(datos_base!$K$2+IF(parametros_manuales!$H$43="Todos",datos_base!$K$9,0))*parametros_manuales!$I$95+parametros_manuales!$E$43*(datos_base!$K$3+IF(parametros_manuales!$H$43="Todos",datos_base!$K$10,0))*parametros_manuales!$I$100+parametros_manuales!$F$43*(datos_base!$K$4+IF(parametros_manuales!$H$43="Todos",datos_base!$K$11,0))*parametros_manuales!$I$105+parametros_manuales!$G$43*(datos_base!$K$5+IF(parametros_manuales!$H$43="Todos",datos_base!$K$12,0))*parametros_manuales!$I$110)*parametros_manuales!$I$43*parametros_manuales!$J$43</f>
        <v>24764.85</v>
      </c>
      <c r="J269" s="4">
        <f>(parametros_manuales!$D$43*(datos_base!$K$2+IF(parametros_manuales!$H$43="Todos",datos_base!$K$9,0))*parametros_manuales!$J$95+parametros_manuales!$E$43*(datos_base!$K$3+IF(parametros_manuales!$H$43="Todos",datos_base!$K$10,0))*parametros_manuales!$J$100+parametros_manuales!$F$43*(datos_base!$K$4+IF(parametros_manuales!$H$43="Todos",datos_base!$K$11,0))*parametros_manuales!$J$105+parametros_manuales!$G$43*(datos_base!$K$5+IF(parametros_manuales!$H$43="Todos",datos_base!$K$12,0))*parametros_manuales!$J$110)*parametros_manuales!$I$43*parametros_manuales!$J$43</f>
        <v>24764.85</v>
      </c>
      <c r="K269" s="4">
        <f>(parametros_manuales!$D$43*(datos_base!$K$2+IF(parametros_manuales!$H$43="Todos",datos_base!$K$9,0))*parametros_manuales!$K$95+parametros_manuales!$E$43*(datos_base!$K$3+IF(parametros_manuales!$H$43="Todos",datos_base!$K$10,0))*parametros_manuales!$K$100+parametros_manuales!$F$43*(datos_base!$K$4+IF(parametros_manuales!$H$43="Todos",datos_base!$K$11,0))*parametros_manuales!$K$105+parametros_manuales!$G$43*(datos_base!$K$5+IF(parametros_manuales!$H$43="Todos",datos_base!$K$12,0))*parametros_manuales!$K$110)*parametros_manuales!$I$43*parametros_manuales!$J$43</f>
        <v>25172.91</v>
      </c>
      <c r="L269" s="4">
        <f>(parametros_manuales!$D$43*(datos_base!$K$2+IF(parametros_manuales!$H$43="Todos",datos_base!$K$9,0))*parametros_manuales!$L$95+parametros_manuales!$E$43*(datos_base!$K$3+IF(parametros_manuales!$H$43="Todos",datos_base!$K$10,0))*parametros_manuales!$L$100+parametros_manuales!$F$43*(datos_base!$K$4+IF(parametros_manuales!$H$43="Todos",datos_base!$K$11,0))*parametros_manuales!$L$105+parametros_manuales!$G$43*(datos_base!$K$5+IF(parametros_manuales!$H$43="Todos",datos_base!$K$12,0))*parametros_manuales!$L$110)*parametros_manuales!$I$43*parametros_manuales!$J$43</f>
        <v>25580.97</v>
      </c>
      <c r="M269" s="4">
        <f>(parametros_manuales!$D$43*(datos_base!$K$2+IF(parametros_manuales!$H$43="Todos",datos_base!$K$9,0))*parametros_manuales!$M$95+parametros_manuales!$E$43*(datos_base!$K$3+IF(parametros_manuales!$H$43="Todos",datos_base!$K$10,0))*parametros_manuales!$M$100+parametros_manuales!$F$43*(datos_base!$K$4+IF(parametros_manuales!$H$43="Todos",datos_base!$K$11,0))*parametros_manuales!$M$105+parametros_manuales!$G$43*(datos_base!$K$5+IF(parametros_manuales!$H$43="Todos",datos_base!$K$12,0))*parametros_manuales!$M$110)*parametros_manuales!$I$43*parametros_manuales!$J$43</f>
        <v>25580.97</v>
      </c>
      <c r="N269" s="4">
        <f t="shared" si="28"/>
        <v>284233</v>
      </c>
      <c r="O269" s="4">
        <f t="shared" si="29"/>
        <v>25580.97</v>
      </c>
      <c r="P269" s="27">
        <f>O269/(parametros_manuales!$B$7)</f>
        <v>170.5398</v>
      </c>
      <c r="Q269" s="3" t="str">
        <f t="shared" si="30"/>
        <v>Ene</v>
      </c>
    </row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11" width="10.0"/>
    <col customWidth="1" min="12" max="12" width="8.57"/>
    <col customWidth="1" min="13" max="13" width="34.71"/>
    <col customWidth="1" min="14" max="15" width="8.57"/>
  </cols>
  <sheetData>
    <row r="1" ht="14.25" customHeight="1">
      <c r="A1" s="55" t="s">
        <v>125</v>
      </c>
      <c r="B1" s="55">
        <v>2026.0</v>
      </c>
      <c r="C1" s="55">
        <v>2027.0</v>
      </c>
      <c r="D1" s="55">
        <v>2028.0</v>
      </c>
      <c r="E1" s="55">
        <v>2029.0</v>
      </c>
      <c r="F1" s="55">
        <v>2030.0</v>
      </c>
      <c r="G1" s="55">
        <v>2031.0</v>
      </c>
      <c r="H1" s="55">
        <v>2032.0</v>
      </c>
      <c r="I1" s="55">
        <v>2033.0</v>
      </c>
      <c r="J1" s="55">
        <v>2034.0</v>
      </c>
      <c r="K1" s="55">
        <v>2035.0</v>
      </c>
      <c r="O1" s="52" t="s">
        <v>174</v>
      </c>
    </row>
    <row r="2" ht="14.25" customHeight="1">
      <c r="A2" s="3" t="str">
        <f>parametros_manuales!$B$19</f>
        <v>Recepción de materia prima</v>
      </c>
      <c r="B2" s="29">
        <f>IF(B30*B58*parametros_manuales!$M$19*parametros_manuales!$B$6=0,0,'Demanda puesto con sobrestock'!$P$2/(parametros_manuales!$M$19*B30*B58*parametros_manuales!$B$6))</f>
        <v>0.06822</v>
      </c>
      <c r="C2" s="29">
        <f>IF(C30*C58*parametros_manuales!$M$19*parametros_manuales!$B$6=0,0,'Demanda puesto con sobrestock'!$P$29/(parametros_manuales!$M$19*C30*C58*parametros_manuales!$B$6))</f>
        <v>0.1073</v>
      </c>
      <c r="D2" s="29">
        <f>IF(D30*D58*parametros_manuales!$M$19*parametros_manuales!$B$6=0,0,'Demanda puesto con sobrestock'!$P$56/(parametros_manuales!$M$19*D30*D58*parametros_manuales!$B$6))</f>
        <v>0.22717</v>
      </c>
      <c r="E2" s="29">
        <f>IF(E30*E58*parametros_manuales!$M$19*parametros_manuales!$B$6=0,0,'Demanda puesto con sobrestock'!$P$83/(parametros_manuales!$M$19*E30*E58*parametros_manuales!$B$6))</f>
        <v>0.50355</v>
      </c>
      <c r="F2" s="34">
        <f>IF(F30*F58*parametros_manuales!$M$19*parametros_manuales!$B$6=0,0,'Demanda puesto con sobrestock'!$P$110/(parametros_manuales!$M$19*F30*F58*parametros_manuales!$B$6))</f>
        <v>0.439535</v>
      </c>
      <c r="G2" s="56">
        <f>IF(G30*G58*parametros_manuales!$M$19*parametros_manuales!$B$6=0,0,'Demanda puesto con sobrestock'!$P$137/(parametros_manuales!$M$19*G30*G58*parametros_manuales!$B$6))</f>
        <v>0.617565</v>
      </c>
      <c r="H2" s="36">
        <f>IF(H30*H58*parametros_manuales!$M$19*parametros_manuales!$B$6=0,0,('Demanda puesto con sobrestock'!$P$164/(parametros_manuales!$M$19*H30*H58*parametros_manuales!$B$6))/2)</f>
        <v>0.4262475</v>
      </c>
      <c r="I2" s="56">
        <f>IF(I30*I58*parametros_manuales!$M$19*parametros_manuales!$B$6=0,0,('Demanda puesto con sobrestock'!$P$191/(parametros_manuales!$M$19*I30*I58*parametros_manuales!$B$6))/2)</f>
        <v>0.54488</v>
      </c>
      <c r="J2" s="29">
        <f>IF(J30*J58*parametros_manuales!$M$19*parametros_manuales!$B$6=0,0,('Demanda puesto con sobrestock'!$P$218/(parametros_manuales!$M$19*J30*J58*parametros_manuales!$B$6))/2)</f>
        <v>0.61494</v>
      </c>
      <c r="K2" s="29">
        <f>IF(K30*K58*parametros_manuales!$M$19*parametros_manuales!$B$6=0,0,('Demanda puesto con sobrestock'!$P$245/(parametros_manuales!$M$19*K30*K58*parametros_manuales!$B$6))/2)</f>
        <v>0.7105825</v>
      </c>
    </row>
    <row r="3" ht="14.25" customHeight="1">
      <c r="A3" s="3" t="str">
        <f>parametros_manuales!$B$20</f>
        <v>Corte de chapa (guillotina) — 2,5 a 10 kg</v>
      </c>
      <c r="B3" s="29">
        <f>IF(B31*B59*parametros_manuales!$M$20*parametros_manuales!$B$6=0,0,'Demanda puesto con sobrestock'!$P$3/(parametros_manuales!$M$20*B31*B59*parametros_manuales!$B$6))</f>
        <v>0.03991107383</v>
      </c>
      <c r="C3" s="29">
        <f>IF(C31*C59*parametros_manuales!$M$20*parametros_manuales!$B$6=0,0,'Demanda puesto con sobrestock'!$P$30/(parametros_manuales!$M$20*C31*C59*parametros_manuales!$B$6))</f>
        <v>0.07147147651</v>
      </c>
      <c r="D3" s="29">
        <f>IF(D31*D59*parametros_manuales!$M$20*parametros_manuales!$B$6=0,0,'Demanda puesto con sobrestock'!$P$57/(parametros_manuales!$M$20*D31*D59*parametros_manuales!$B$6))</f>
        <v>0.1238708054</v>
      </c>
      <c r="E3" s="29">
        <f>IF(E31*E59*parametros_manuales!$M$20*parametros_manuales!$B$6=0,0,'Demanda puesto con sobrestock'!$P$84/(parametros_manuales!$M$20*E31*E59*parametros_manuales!$B$6))</f>
        <v>0.2294244966</v>
      </c>
      <c r="F3" s="29">
        <f>IF(F31*F59*parametros_manuales!$M$20*parametros_manuales!$B$6=0,0,'Demanda puesto con sobrestock'!$P$111/(parametros_manuales!$M$20*F31*F59*parametros_manuales!$B$6))</f>
        <v>0.3894614094</v>
      </c>
      <c r="G3" s="29">
        <f>IF(G31*G59*parametros_manuales!$M$20*parametros_manuales!$B$6=0,0,'Demanda puesto con sobrestock'!$P$138/(parametros_manuales!$M$20*G31*G59*parametros_manuales!$B$6))</f>
        <v>0.546840604</v>
      </c>
      <c r="H3" s="29">
        <f>IF(H31*H59*parametros_manuales!$M$20*parametros_manuales!$B$6=0,0,'Demanda puesto con sobrestock'!$P$165/(parametros_manuales!$M$20*H31*H59*parametros_manuales!$B$6))</f>
        <v>0.7372902685</v>
      </c>
      <c r="I3" s="36">
        <f>IF(I31*I59*parametros_manuales!$M$20*parametros_manuales!$B$6=0,0,'Demanda puesto con sobrestock'!$P$192/(parametros_manuales!$M$20*I31*I59*parametros_manuales!$B$6))</f>
        <v>0.9335083893</v>
      </c>
      <c r="J3" s="29">
        <f>IF(J31*J59*parametros_manuales!$M$20*parametros_manuales!$B$6=0,0,('Demanda puesto con sobrestock'!$P$219/(parametros_manuales!$M$20*J31*J59*parametros_manuales!$B$6))/2)</f>
        <v>0.5329253356</v>
      </c>
      <c r="K3" s="29">
        <f>IF(K31*K59*parametros_manuales!$M$20*parametros_manuales!$B$6=0,0,('Demanda puesto con sobrestock'!$P$246/(parametros_manuales!$M$20*K31*K59*parametros_manuales!$B$6))/2)</f>
        <v>0.6161979866</v>
      </c>
    </row>
    <row r="4" ht="14.25" customHeight="1">
      <c r="A4" s="3" t="str">
        <f>parametros_manuales!$B$21</f>
        <v>Corte de tubo — 1 kg</v>
      </c>
      <c r="B4" s="29">
        <f>IF(B32*B60*parametros_manuales!$M$21*parametros_manuales!$B$6=0,0,'Demanda puesto con sobrestock'!$P$4/(parametros_manuales!$M$21*B32*B60*parametros_manuales!$B$6))</f>
        <v>0.020895</v>
      </c>
      <c r="C4" s="29">
        <f>IF(C32*C60*parametros_manuales!$M$21*parametros_manuales!$B$6=0,0,'Demanda puesto con sobrestock'!$P$31/(parametros_manuales!$M$21*C32*C60*parametros_manuales!$B$6))</f>
        <v>0.029985</v>
      </c>
      <c r="D4" s="29">
        <f>IF(D32*D60*parametros_manuales!$M$21*parametros_manuales!$B$6=0,0,'Demanda puesto con sobrestock'!$P$58/(parametros_manuales!$M$21*D32*D60*parametros_manuales!$B$6))</f>
        <v>0.07257</v>
      </c>
      <c r="E4" s="29">
        <f>IF(E32*E60*parametros_manuales!$M$21*parametros_manuales!$B$6=0,0,'Demanda puesto con sobrestock'!$P$85/(parametros_manuales!$M$21*E32*E60*parametros_manuales!$B$6))</f>
        <v>0.17581</v>
      </c>
      <c r="F4" s="29">
        <f>IF(F32*F60*parametros_manuales!$M$21*parametros_manuales!$B$6=0,0,'Demanda puesto con sobrestock'!$P$112/(parametros_manuales!$M$21*F32*F60*parametros_manuales!$B$6))</f>
        <v>0.31058</v>
      </c>
      <c r="G4" s="29">
        <f>IF(G32*G60*parametros_manuales!$M$21*parametros_manuales!$B$6=0,0,'Demanda puesto con sobrestock'!$P$139/(parametros_manuales!$M$21*G32*G60*parametros_manuales!$B$6))</f>
        <v>0.4365</v>
      </c>
      <c r="H4" s="29">
        <f>IF(H32*H60*parametros_manuales!$M$21*parametros_manuales!$B$6=0,0,'Demanda puesto con sobrestock'!$P$166/(parametros_manuales!$M$21*H32*H60*parametros_manuales!$B$6))</f>
        <v>0.60837</v>
      </c>
      <c r="I4" s="36">
        <f>IF(I32*I60*parametros_manuales!$M$21*parametros_manuales!$B$6=0,0,'Demanda puesto con sobrestock'!$P$193/(parametros_manuales!$M$21*I32*I60*parametros_manuales!$B$6))</f>
        <v>0.780665</v>
      </c>
      <c r="J4" s="29">
        <f>IF(J32*J60*parametros_manuales!$M$21*parametros_manuales!$B$6=0,0,'Demanda puesto con sobrestock'!$P$220/(parametros_manuales!$M$21*J32*J60*parametros_manuales!$B$6)/2)</f>
        <v>0.4384825</v>
      </c>
      <c r="K4" s="29">
        <f>IF(K32*K60*parametros_manuales!$M$21*parametros_manuales!$B$6=0,0,'Demanda puesto con sobrestock'!$P$247/(parametros_manuales!$M$21*K32*K60*parametros_manuales!$B$6)/2)</f>
        <v>0.5065525</v>
      </c>
    </row>
    <row r="5" ht="14.25" customHeight="1">
      <c r="A5" s="3" t="str">
        <f>parametros_manuales!$B$22</f>
        <v>Corte de disco y embutido (cúpula y fondo)</v>
      </c>
      <c r="B5" s="29">
        <f>IF(B33*B61*parametros_manuales!$M$22*parametros_manuales!$B$6=0,0,'Demanda puesto con sobrestock'!$P$5/(parametros_manuales!$M$22*B33*B61*parametros_manuales!$B$6))</f>
        <v>0.02675294118</v>
      </c>
      <c r="C5" s="29">
        <f>IF(C33*C61*parametros_manuales!$M$22*parametros_manuales!$B$6=0,0,'Demanda puesto con sobrestock'!$P$32/(parametros_manuales!$M$22*C33*C61*parametros_manuales!$B$6))</f>
        <v>0.04207843137</v>
      </c>
      <c r="D5" s="29">
        <f>IF(D33*D61*parametros_manuales!$M$22*parametros_manuales!$B$6=0,0,'Demanda puesto con sobrestock'!$P$59/(parametros_manuales!$M$22*D33*D61*parametros_manuales!$B$6))</f>
        <v>0.08908627451</v>
      </c>
      <c r="E5" s="29">
        <f>IF(E33*E61*parametros_manuales!$M$22*parametros_manuales!$B$6=0,0,'Demanda puesto con sobrestock'!$P$86/(parametros_manuales!$M$22*E33*E61*parametros_manuales!$B$6))</f>
        <v>0.1974705882</v>
      </c>
      <c r="F5" s="29">
        <f>IF(F33*F61*parametros_manuales!$M$22*parametros_manuales!$B$6=0,0,'Demanda puesto con sobrestock'!$P$113/(parametros_manuales!$M$22*F33*F61*parametros_manuales!$B$6))</f>
        <v>0.3447333333</v>
      </c>
      <c r="G5" s="29">
        <f>IF(G33*G61*parametros_manuales!$M$22*parametros_manuales!$B$6=0,0,'Demanda puesto con sobrestock'!$P$140/(parametros_manuales!$M$22*G33*G61*parametros_manuales!$B$6))</f>
        <v>0.4843647059</v>
      </c>
      <c r="H5" s="29">
        <f>IF(H33*H61*parametros_manuales!$M$22*parametros_manuales!$B$6=0,0,'Demanda puesto con sobrestock'!$P$167/(parametros_manuales!$M$22*H33*H61*parametros_manuales!$B$6))</f>
        <v>0.6686235294</v>
      </c>
      <c r="I5" s="36">
        <f>IF(I33*I61*parametros_manuales!$M$22*parametros_manuales!$B$6=0,0,'Demanda puesto con sobrestock'!$P$194/(parametros_manuales!$M$22*I33*I61*parametros_manuales!$B$6))</f>
        <v>0.8547137255</v>
      </c>
      <c r="J5" s="29">
        <f>IF(J33*J61*parametros_manuales!$M$22*parametros_manuales!$B$6=0,0,('Demanda puesto con sobrestock'!$P$221/(parametros_manuales!$M$22*J33*J61*parametros_manuales!$B$6))/2)</f>
        <v>0.4823058824</v>
      </c>
      <c r="K5" s="29">
        <f>IF(K33*K61*parametros_manuales!$M$22*parametros_manuales!$B$6=0,0,'Demanda puesto con sobrestock'!$P$248/(parametros_manuales!$M$22*K33*K61*parametros_manuales!$B$6)/2)</f>
        <v>0.5573196078</v>
      </c>
    </row>
    <row r="6" ht="14.25" customHeight="1">
      <c r="A6" s="3" t="str">
        <f>parametros_manuales!$B$23</f>
        <v>Preparación de cuello</v>
      </c>
      <c r="B6" s="29">
        <f>IF(B34*B62*parametros_manuales!$M$23*parametros_manuales!$B$6=0,0,'Demanda puesto con sobrestock'!$P$6/(parametros_manuales!$M$23*B34*B62*parametros_manuales!$B$6))</f>
        <v>0.06822</v>
      </c>
      <c r="C6" s="29">
        <f>IF(C34*C62*parametros_manuales!$M$23*parametros_manuales!$B$6=0,0,'Demanda puesto con sobrestock'!$P$33/(parametros_manuales!$M$23*C34*C62*parametros_manuales!$B$6))</f>
        <v>0.1073</v>
      </c>
      <c r="D6" s="29">
        <f>IF(D34*D62*parametros_manuales!$M$23*parametros_manuales!$B$6=0,0,'Demanda puesto con sobrestock'!$P$60/(parametros_manuales!$M$23*D34*D62*parametros_manuales!$B$6))</f>
        <v>0.22717</v>
      </c>
      <c r="E6" s="29">
        <f>IF(E34*E62*parametros_manuales!$M$23*parametros_manuales!$B$6=0,0,'Demanda puesto con sobrestock'!$P$87/(parametros_manuales!$M$23*E34*E62*parametros_manuales!$B$6))</f>
        <v>0.50355</v>
      </c>
      <c r="F6" s="56">
        <f>IF(F34*F62*parametros_manuales!$M$23*parametros_manuales!$B$6=0,0,'Demanda puesto con sobrestock'!$P$114/(parametros_manuales!$M$23*F34*F62*parametros_manuales!$B$6))</f>
        <v>0.87907</v>
      </c>
      <c r="G6" s="43">
        <f>IF(G34*G62*parametros_manuales!$M$23*parametros_manuales!$B$6=0,0,'Demanda puesto con sobrestock'!$P$141/(parametros_manuales!$M$23*G34*G62*parametros_manuales!$B$6))</f>
        <v>0.617565</v>
      </c>
      <c r="H6" s="56">
        <f>IF(H34*H62*parametros_manuales!$M$23*parametros_manuales!$B$6=0,0,'Demanda puesto con sobrestock'!$P$168/(parametros_manuales!$M$23*H34*H62*parametros_manuales!$B$6))</f>
        <v>0.852495</v>
      </c>
      <c r="I6" s="36">
        <f>IF(I34*I62*parametros_manuales!$M$23*parametros_manuales!$B$6=0,0,('Demanda puesto con sobrestock'!$P$195/(parametros_manuales!$M$23*I34*I62*parametros_manuales!$B$6))/2)</f>
        <v>0.54488</v>
      </c>
      <c r="J6" s="29">
        <f>IF(J34*J62*parametros_manuales!$M$23*parametros_manuales!$B$6=0,0,('Demanda puesto con sobrestock'!$P$222/(parametros_manuales!$M$23*J34*J62*parametros_manuales!$B$6))/2)</f>
        <v>0.61494</v>
      </c>
      <c r="K6" s="29">
        <f>IF(K34*K62*parametros_manuales!$M$23*parametros_manuales!$B$6=0,0,('Demanda puesto con sobrestock'!$P$249/(parametros_manuales!$M$23*K34*K62*parametros_manuales!$B$6))/2)</f>
        <v>0.7105825</v>
      </c>
    </row>
    <row r="7" ht="14.25" customHeight="1">
      <c r="A7" s="3" t="str">
        <f>parametros_manuales!$B$24</f>
        <v>Numerado de cúpula</v>
      </c>
      <c r="B7" s="29">
        <f>IF(B35*B63*parametros_manuales!$M$24*parametros_manuales!$B$6=0,0,'Demanda puesto con sobrestock'!$P$7/(parametros_manuales!$M$24*B35*B63*parametros_manuales!$B$6))</f>
        <v>0.02274</v>
      </c>
      <c r="C7" s="29">
        <f>IF(C35*C63*parametros_manuales!$M$24*parametros_manuales!$B$6=0,0,'Demanda puesto con sobrestock'!$P$34/(parametros_manuales!$M$24*C35*C63*parametros_manuales!$B$6))</f>
        <v>0.03576666667</v>
      </c>
      <c r="D7" s="29">
        <f>IF(D35*D63*parametros_manuales!$M$24*parametros_manuales!$B$6=0,0,'Demanda puesto con sobrestock'!$P$61/(parametros_manuales!$M$24*D35*D63*parametros_manuales!$B$6))</f>
        <v>0.07572333333</v>
      </c>
      <c r="E7" s="29">
        <f>IF(E35*E63*parametros_manuales!$M$24*parametros_manuales!$B$6=0,0,'Demanda puesto con sobrestock'!$P$88/(parametros_manuales!$M$24*E35*E63*parametros_manuales!$B$6))</f>
        <v>0.16785</v>
      </c>
      <c r="F7" s="29">
        <f>IF(F35*F63*parametros_manuales!$M$24*parametros_manuales!$B$6=0,0,'Demanda puesto con sobrestock'!$P$115/(parametros_manuales!$M$24*F35*F63*parametros_manuales!$B$6))</f>
        <v>0.2930233333</v>
      </c>
      <c r="G7" s="29">
        <f>IF(G35*G63*parametros_manuales!$M$24*parametros_manuales!$B$6=0,0,'Demanda puesto con sobrestock'!$P$142/(parametros_manuales!$M$24*G35*G63*parametros_manuales!$B$6))</f>
        <v>0.41171</v>
      </c>
      <c r="H7" s="29">
        <f>IF(H35*H63*parametros_manuales!$M$24*parametros_manuales!$B$6=0,0,'Demanda puesto con sobrestock'!$P$169/(parametros_manuales!$M$24*H35*H63*parametros_manuales!$B$6))</f>
        <v>0.56833</v>
      </c>
      <c r="I7" s="57">
        <f>IF(I35*I63*parametros_manuales!$M$24*parametros_manuales!$B$6=0,0,'Demanda puesto con sobrestock'!$P$196/(parametros_manuales!$M$24*I35*I63*parametros_manuales!$B$6)/2)</f>
        <v>0.3632533333</v>
      </c>
      <c r="J7" s="29">
        <f>IF(J35*J63*parametros_manuales!$M$24*parametros_manuales!$B$6=0,0,'Demanda puesto con sobrestock'!$P$223/(parametros_manuales!$M$24*J35*J63*parametros_manuales!$B$6)/2)</f>
        <v>0.40996</v>
      </c>
      <c r="K7" s="29">
        <f>IF(K35*K63*parametros_manuales!$M$24*parametros_manuales!$B$6=0,0,'Demanda puesto con sobrestock'!$P$250/(parametros_manuales!$M$24*K35*K63*parametros_manuales!$B$6)/2)</f>
        <v>0.4737216667</v>
      </c>
      <c r="M7" s="46" t="s">
        <v>161</v>
      </c>
    </row>
    <row r="8" ht="14.25" customHeight="1">
      <c r="A8" s="3" t="str">
        <f>parametros_manuales!$B$25</f>
        <v>Soldadura del cuello a la cúpula</v>
      </c>
      <c r="B8" s="29">
        <f>IF(B36*B64*parametros_manuales!$M$25*parametros_manuales!$B$6=0,0,'Demanda puesto con sobrestock'!$P$8/(parametros_manuales!$M$25*B36*B64*parametros_manuales!$B$6))</f>
        <v>0.02920376712</v>
      </c>
      <c r="C8" s="29">
        <f>IF(C36*C64*parametros_manuales!$M$25*parametros_manuales!$B$6=0,0,'Demanda puesto con sobrestock'!$P$35/(parametros_manuales!$M$25*C36*C64*parametros_manuales!$B$6))</f>
        <v>0.04593321918</v>
      </c>
      <c r="D8" s="29">
        <f>IF(D36*D64*parametros_manuales!$M$25*parametros_manuales!$B$6=0,0,'Demanda puesto con sobrestock'!$P$62/(parametros_manuales!$M$25*D36*D64*parametros_manuales!$B$6))</f>
        <v>0.09724743151</v>
      </c>
      <c r="E8" s="29">
        <f>IF(E36*E64*parametros_manuales!$M$25*parametros_manuales!$B$6=0,0,'Demanda puesto con sobrestock'!$P$89/(parametros_manuales!$M$25*E36*E64*parametros_manuales!$B$6))</f>
        <v>0.2155607877</v>
      </c>
      <c r="F8" s="29">
        <f>IF(F36*F64*parametros_manuales!$M$25*parametros_manuales!$B$6=0,0,'Demanda puesto con sobrestock'!$P$116/(parametros_manuales!$M$25*F36*F64*parametros_manuales!$B$6))</f>
        <v>0.3763142123</v>
      </c>
      <c r="G8" s="29">
        <f>IF(G36*G64*parametros_manuales!$M$25*parametros_manuales!$B$6=0,0,'Demanda puesto con sobrestock'!$P$143/(parametros_manuales!$M$25*G36*G64*parametros_manuales!$B$6))</f>
        <v>0.5287371575</v>
      </c>
      <c r="H8" s="56">
        <f>IF(H36*H64*parametros_manuales!$M$25*parametros_manuales!$B$6=0,0,'Demanda puesto con sobrestock'!$P$170/(parametros_manuales!$M$25*H36*H64*parametros_manuales!$B$6))</f>
        <v>0.7298758562</v>
      </c>
      <c r="I8" s="36">
        <f>IF(I36*I64*parametros_manuales!$M$25*parametros_manuales!$B$6=0,0,'Demanda puesto con sobrestock'!$P$197/(parametros_manuales!$M$25*I36*I64*parametros_manuales!$B$6)/2)</f>
        <v>0.4665068493</v>
      </c>
      <c r="J8" s="29">
        <f>IF(J36*J64*parametros_manuales!$M$25*parametros_manuales!$B$6=0,0,'Demanda puesto con sobrestock'!$P$224/(parametros_manuales!$M$25*J36*J64*parametros_manuales!$B$6)/2)</f>
        <v>0.526489726</v>
      </c>
      <c r="K8" s="29">
        <f>IF(K36*K64*parametros_manuales!$M$25*parametros_manuales!$B$6=0,0,'Demanda puesto con sobrestock'!$P$251/(parametros_manuales!$M$25*K36*K64*parametros_manuales!$B$6)/2)</f>
        <v>0.6083754281</v>
      </c>
      <c r="M8" s="47" t="s">
        <v>163</v>
      </c>
    </row>
    <row r="9" ht="14.25" customHeight="1">
      <c r="A9" s="3" t="str">
        <f>parametros_manuales!$B$26</f>
        <v>Cilindrado</v>
      </c>
      <c r="B9" s="29">
        <f>IF(B37*B65*parametros_manuales!$M$26*parametros_manuales!$B$6=0,0,'Demanda puesto con sobrestock'!$P$9/(parametros_manuales!$M$26*B37*B65*parametros_manuales!$B$6))</f>
        <v>0.03571621622</v>
      </c>
      <c r="C9" s="29">
        <f>IF(C37*C65*parametros_manuales!$M$26*parametros_manuales!$B$6=0,0,'Demanda puesto con sobrestock'!$P$36/(parametros_manuales!$M$26*C37*C65*parametros_manuales!$B$6))</f>
        <v>0.06395945946</v>
      </c>
      <c r="D9" s="29">
        <f>IF(D37*D65*parametros_manuales!$M$26*parametros_manuales!$B$6=0,0,'Demanda puesto con sobrestock'!$P$63/(parametros_manuales!$M$26*D37*D65*parametros_manuales!$B$6))</f>
        <v>0.1108513514</v>
      </c>
      <c r="E9" s="29">
        <f>IF(E37*E65*parametros_manuales!$M$26*parametros_manuales!$B$6=0,0,'Demanda puesto con sobrestock'!$P$90/(parametros_manuales!$M$26*E37*E65*parametros_manuales!$B$6))</f>
        <v>0.2053108108</v>
      </c>
      <c r="F9" s="29">
        <f>IF(F37*F65*parametros_manuales!$M$26*parametros_manuales!$B$6=0,0,'Demanda puesto con sobrestock'!$P$117/(parametros_manuales!$M$26*F37*F65*parametros_manuales!$B$6))</f>
        <v>0.348527027</v>
      </c>
      <c r="G9" s="29">
        <f>IF(G37*G65*parametros_manuales!$M$26*parametros_manuales!$B$6=0,0,'Demanda puesto con sobrestock'!$P$144/(parametros_manuales!$M$26*G37*G65*parametros_manuales!$B$6))</f>
        <v>0.4893648649</v>
      </c>
      <c r="H9" s="29">
        <f>IF(H37*H65*parametros_manuales!$M$26*parametros_manuales!$B$6=0,0,'Demanda puesto con sobrestock'!$P$171/(parametros_manuales!$M$26*H37*H65*parametros_manuales!$B$6))</f>
        <v>0.6597972973</v>
      </c>
      <c r="I9" s="36">
        <f>IF(I37*I65*parametros_manuales!$M$26*parametros_manuales!$B$6=0,0,'Demanda puesto con sobrestock'!$P$198/(parametros_manuales!$M$26*I37*I65*parametros_manuales!$B$6)/2)</f>
        <v>0.4176959459</v>
      </c>
      <c r="J9" s="29">
        <f>IF(J37*J65*parametros_manuales!$M$26*parametros_manuales!$B$6=0,0,('Demanda puesto con sobrestock'!$P$225/(parametros_manuales!$M$26*J37*J65*parametros_manuales!$B$6))/2)</f>
        <v>0.4769121622</v>
      </c>
      <c r="K9" s="29">
        <f>IF(K37*K65*parametros_manuales!$M$26*parametros_manuales!$B$6=0,0,('Demanda puesto con sobrestock'!$P$252/(parametros_manuales!$M$26*K37*K65*parametros_manuales!$B$6))/2)</f>
        <v>0.5514324324</v>
      </c>
      <c r="M9" s="48" t="s">
        <v>165</v>
      </c>
    </row>
    <row r="10" ht="14.25" customHeight="1">
      <c r="A10" s="3" t="str">
        <f>parametros_manuales!$B$27</f>
        <v>Soldadura longitudinal</v>
      </c>
      <c r="B10" s="29">
        <f>IF(B38*B66*parametros_manuales!$M$27*parametros_manuales!$B$6=0,0,'Demanda puesto con sobrestock'!$P$10/(parametros_manuales!$M$27*B38*B66*parametros_manuales!$B$6))</f>
        <v>0.05134206081</v>
      </c>
      <c r="C10" s="29">
        <f>IF(C38*C66*parametros_manuales!$M$27*parametros_manuales!$B$6=0,0,'Demanda puesto con sobrestock'!$P$37/(parametros_manuales!$M$27*C38*C66*parametros_manuales!$B$6))</f>
        <v>0.09194172297</v>
      </c>
      <c r="D10" s="29">
        <f>IF(D38*D66*parametros_manuales!$M$27*parametros_manuales!$B$6=0,0,'Demanda puesto con sobrestock'!$P$64/(parametros_manuales!$M$27*D38*D66*parametros_manuales!$B$6))</f>
        <v>0.1593488176</v>
      </c>
      <c r="E10" s="29">
        <f>IF(E38*E66*parametros_manuales!$M$27*parametros_manuales!$B$6=0,0,'Demanda puesto con sobrestock'!$P$91/(parametros_manuales!$M$27*E38*E66*parametros_manuales!$B$6))</f>
        <v>0.2951342905</v>
      </c>
      <c r="F10" s="29">
        <f>IF(F38*F66*parametros_manuales!$M$27*parametros_manuales!$B$6=0,0,'Demanda puesto con sobrestock'!$P$118/(parametros_manuales!$M$27*F38*F66*parametros_manuales!$B$6))</f>
        <v>0.5010076014</v>
      </c>
      <c r="G10" s="29">
        <f>IF(G38*G66*parametros_manuales!$M$27*parametros_manuales!$B$6=0,0,'Demanda puesto con sobrestock'!$P$145/(parametros_manuales!$M$27*G38*G66*parametros_manuales!$B$6))</f>
        <v>0.7034619932</v>
      </c>
      <c r="H10" s="56">
        <f>IF(H38*H66*parametros_manuales!$M$27*parametros_manuales!$B$6=0,0,'Demanda puesto con sobrestock'!$P$172/(parametros_manuales!$M$27*H38*H66*parametros_manuales!$B$6))</f>
        <v>0.9484586149</v>
      </c>
      <c r="I10" s="36">
        <f>IF(I38*I66*parametros_manuales!$M$27*parametros_manuales!$B$6=0,0,('Demanda puesto con sobrestock'!$P$199/(parametros_manuales!$M$27*I38*I66*parametros_manuales!$B$6))/2)</f>
        <v>0.6004379223</v>
      </c>
      <c r="J10" s="29">
        <f>IF(J38*J66*parametros_manuales!$M$27*parametros_manuales!$B$6=0,0,('Demanda puesto con sobrestock'!$P$226/(parametros_manuales!$M$27*J38*J66*parametros_manuales!$B$6))/2)</f>
        <v>0.6855612331</v>
      </c>
      <c r="K10" s="29">
        <f>IF(K38*K66*parametros_manuales!$M$27*parametros_manuales!$B$6=0,0,('Demanda puesto con sobrestock'!$P$253/(parametros_manuales!$M$27*K38*K66*parametros_manuales!$B$6))/2)</f>
        <v>0.7926841216</v>
      </c>
      <c r="M10" s="49" t="s">
        <v>166</v>
      </c>
    </row>
    <row r="11" ht="14.25" customHeight="1">
      <c r="A11" s="3" t="str">
        <f>parametros_manuales!$B$28</f>
        <v>Encastre de fondo</v>
      </c>
      <c r="B11" s="29">
        <f>IF(B39*B67*parametros_manuales!$M$28*parametros_manuales!$B$6=0,0,'Demanda puesto con sobrestock'!$P$11/(parametros_manuales!$M$28*B39*B67*parametros_manuales!$B$6))</f>
        <v>0.03472737557</v>
      </c>
      <c r="C11" s="29">
        <f>IF(C39*C67*parametros_manuales!$M$28*parametros_manuales!$B$6=0,0,'Demanda puesto con sobrestock'!$P$38/(parametros_manuales!$M$28*C39*C67*parametros_manuales!$B$6))</f>
        <v>0.05462104072</v>
      </c>
      <c r="D11" s="29">
        <f>IF(D39*D67*parametros_manuales!$M$28*parametros_manuales!$B$6=0,0,'Demanda puesto con sobrestock'!$P$65/(parametros_manuales!$M$28*D39*D67*parametros_manuales!$B$6))</f>
        <v>0.1156408371</v>
      </c>
      <c r="E11" s="29">
        <f>IF(E39*E67*parametros_manuales!$M$28*parametros_manuales!$B$6=0,0,'Demanda puesto con sobrestock'!$P$92/(parametros_manuales!$M$28*E39*E67*parametros_manuales!$B$6))</f>
        <v>0.2563320136</v>
      </c>
      <c r="F11" s="29">
        <f>IF(F39*F67*parametros_manuales!$M$28*parametros_manuales!$B$6=0,0,'Demanda puesto con sobrestock'!$P$119/(parametros_manuales!$M$28*F39*F67*parametros_manuales!$B$6))</f>
        <v>0.4474903846</v>
      </c>
      <c r="G11" s="29">
        <f>IF(G39*G67*parametros_manuales!$M$28*parametros_manuales!$B$6=0,0,'Demanda puesto con sobrestock'!$P$146/(parametros_manuales!$M$28*G39*G67*parametros_manuales!$B$6))</f>
        <v>0.6287426471</v>
      </c>
      <c r="H11" s="56">
        <f>IF(H39*H67*parametros_manuales!$M$28*parametros_manuales!$B$6=0,0,'Demanda puesto con sobrestock'!$P$173/(parametros_manuales!$M$28*H39*H67*parametros_manuales!$B$6))</f>
        <v>0.8679247738</v>
      </c>
      <c r="I11" s="36">
        <f>IF(I39*I67*parametros_manuales!$M$28*parametros_manuales!$B$6=0,0,'Demanda puesto con sobrestock'!$P$200/(parametros_manuales!$M$28*I39*I67*parametros_manuales!$B$6)/2)</f>
        <v>0.5547420814</v>
      </c>
      <c r="J11" s="29">
        <f>IF(J39*J67*parametros_manuales!$M$28*parametros_manuales!$B$6=0,0,'Demanda puesto con sobrestock'!$P$227/(parametros_manuales!$M$28*J39*J67*parametros_manuales!$B$6)/2)</f>
        <v>0.6260701357</v>
      </c>
      <c r="K11" s="29">
        <f>IF(K39*K67*parametros_manuales!$M$28*parametros_manuales!$B$6=0,0,'Demanda puesto con sobrestock'!$P$254/(parametros_manuales!$M$28*K39*K67*parametros_manuales!$B$6)/2)</f>
        <v>0.7234437217</v>
      </c>
      <c r="M11" s="50" t="s">
        <v>167</v>
      </c>
    </row>
    <row r="12" ht="14.25" customHeight="1">
      <c r="A12" s="3" t="str">
        <f>parametros_manuales!$B$29</f>
        <v>Bordoneado</v>
      </c>
      <c r="B12" s="29">
        <f>IF(B40*B68*parametros_manuales!$M$29*parametros_manuales!$B$6=0,0,'Demanda puesto con sobrestock'!$P$12/(parametros_manuales!$M$29*B40*B68*parametros_manuales!$B$6))</f>
        <v>0.02315158371</v>
      </c>
      <c r="C12" s="29">
        <f>IF(C40*C68*parametros_manuales!$M$29*parametros_manuales!$B$6=0,0,'Demanda puesto con sobrestock'!$P$39/(parametros_manuales!$M$29*C40*C68*parametros_manuales!$B$6))</f>
        <v>0.03641402715</v>
      </c>
      <c r="D12" s="29">
        <f>IF(D40*D68*parametros_manuales!$M$29*parametros_manuales!$B$6=0,0,'Demanda puesto con sobrestock'!$P$66/(parametros_manuales!$M$29*D40*D68*parametros_manuales!$B$6))</f>
        <v>0.0770938914</v>
      </c>
      <c r="E12" s="29">
        <f>IF(E40*E68*parametros_manuales!$M$29*parametros_manuales!$B$6=0,0,'Demanda puesto con sobrestock'!$P$93/(parametros_manuales!$M$29*E40*E68*parametros_manuales!$B$6))</f>
        <v>0.170888009</v>
      </c>
      <c r="F12" s="29">
        <f>IF(F40*F68*parametros_manuales!$M$29*parametros_manuales!$B$6=0,0,'Demanda puesto con sobrestock'!$P$120/(parametros_manuales!$M$29*F40*F68*parametros_manuales!$B$6))</f>
        <v>0.2983269231</v>
      </c>
      <c r="G12" s="29">
        <f>IF(G40*G68*parametros_manuales!$M$29*parametros_manuales!$B$6=0,0,'Demanda puesto con sobrestock'!$P$147/(parametros_manuales!$M$29*G40*G68*parametros_manuales!$B$6))</f>
        <v>0.4191617647</v>
      </c>
      <c r="H12" s="29">
        <f>IF(H40*H68*parametros_manuales!$M$29*parametros_manuales!$B$6=0,0,'Demanda puesto con sobrestock'!$P$174/(parametros_manuales!$M$29*H40*H68*parametros_manuales!$B$6))</f>
        <v>0.5786165158</v>
      </c>
      <c r="I12" s="36">
        <f>IF(I40*I68*parametros_manuales!$M$29*parametros_manuales!$B$6=0,0,'Demanda puesto con sobrestock'!$P$201/(parametros_manuales!$M$29*I40*I68*parametros_manuales!$B$6)/2)</f>
        <v>0.3698280543</v>
      </c>
      <c r="J12" s="58">
        <f>IF(J40*J68*parametros_manuales!$M$29*parametros_manuales!$B$6=0,0,'Demanda puesto con sobrestock'!$P$228/(parametros_manuales!$M$29*J40*J68*parametros_manuales!$B$6)/2)</f>
        <v>0.4173800905</v>
      </c>
      <c r="K12" s="29">
        <f>IF(K40*K68*parametros_manuales!$M$29*parametros_manuales!$B$6=0,0,'Demanda puesto con sobrestock'!$P$255/(parametros_manuales!$M$29*K40*K68*parametros_manuales!$B$6)/2)</f>
        <v>0.4822958145</v>
      </c>
    </row>
    <row r="13" ht="14.25" customHeight="1">
      <c r="A13" s="3" t="str">
        <f>parametros_manuales!$B$30</f>
        <v>Soldadura circunferencial de cúpula y fondo</v>
      </c>
      <c r="B13" s="29">
        <f>IF(B41*B69*parametros_manuales!$M$30*parametros_manuales!$B$6=0,0,'Demanda puesto con sobrestock'!$P$13/(parametros_manuales!$M$30*B41*B69*parametros_manuales!$B$6))</f>
        <v>0.06945475113</v>
      </c>
      <c r="C13" s="29">
        <f>IF(C41*C69*parametros_manuales!$M$30*parametros_manuales!$B$6=0,0,'Demanda puesto con sobrestock'!$P$40/(parametros_manuales!$M$30*C41*C69*parametros_manuales!$B$6))</f>
        <v>0.1092420814</v>
      </c>
      <c r="D13" s="29">
        <f>IF(D41*D69*parametros_manuales!$M$30*parametros_manuales!$B$6=0,0,'Demanda puesto con sobrestock'!$P$67/(parametros_manuales!$M$30*D41*D69*parametros_manuales!$B$6))</f>
        <v>0.2312816742</v>
      </c>
      <c r="E13" s="29">
        <f>IF(E41*E69*parametros_manuales!$M$30*parametros_manuales!$B$6=0,0,'Demanda puesto con sobrestock'!$P$94/(parametros_manuales!$M$30*E41*E69*parametros_manuales!$B$6))</f>
        <v>0.5126640271</v>
      </c>
      <c r="F13" s="56">
        <f>IF(F41*F69*parametros_manuales!$M$30*parametros_manuales!$B$6=0,0,'Demanda puesto con sobrestock'!$P$121/(parametros_manuales!$M$30*F41*F69*parametros_manuales!$B$6))</f>
        <v>0.8949807692</v>
      </c>
      <c r="G13" s="43">
        <f>IF(G41*G69*parametros_manuales!$M$30*parametros_manuales!$B$6=0,0,'Demanda puesto con sobrestock'!$P$148/(parametros_manuales!$M$30*G41*G69*parametros_manuales!$B$6))</f>
        <v>0.6287426471</v>
      </c>
      <c r="H13" s="56">
        <f>IF(H41*H69*parametros_manuales!$M$30*parametros_manuales!$B$6=0,0,'Demanda puesto con sobrestock'!$P$175/(parametros_manuales!$M$30*H41*H69*parametros_manuales!$B$6))</f>
        <v>0.8679247738</v>
      </c>
      <c r="I13" s="36">
        <f>IF(I41*I69*parametros_manuales!$M$30*parametros_manuales!$B$6=0,0,'Demanda puesto con sobrestock'!$P$202/(parametros_manuales!$M$30*I41*I69*parametros_manuales!$B$6)/2)</f>
        <v>0.5547420814</v>
      </c>
      <c r="J13" s="29">
        <f>IF(J41*J69*parametros_manuales!$M$30*parametros_manuales!$B$6=0,0,'Demanda puesto con sobrestock'!$P$229/(parametros_manuales!$M$30*J41*J69*parametros_manuales!$B$6)/2)</f>
        <v>0.6260701357</v>
      </c>
      <c r="K13" s="29">
        <f>IF(K41*K69*parametros_manuales!$M$30*parametros_manuales!$B$6=0,0,'Demanda puesto con sobrestock'!$P$256/(parametros_manuales!$M$30*K41*K69*parametros_manuales!$B$6)/2)</f>
        <v>0.7234437217</v>
      </c>
    </row>
    <row r="14" ht="14.25" customHeight="1">
      <c r="A14" s="3" t="str">
        <f>parametros_manuales!$B$31</f>
        <v>Control de calidad — Espesor</v>
      </c>
      <c r="B14" s="29">
        <f>IF(B42*B70*parametros_manuales!$M$31*parametros_manuales!$B$6=0,0,'Demanda puesto con sobrestock'!$P$14/(parametros_manuales!$M$31*B42*B70*parametros_manuales!$B$6))</f>
        <v>0.0027288</v>
      </c>
      <c r="C14" s="29">
        <f>IF(C42*C70*parametros_manuales!$M$31*parametros_manuales!$B$6=0,0,'Demanda puesto con sobrestock'!$P$41/(parametros_manuales!$M$31*C42*C70*parametros_manuales!$B$6))</f>
        <v>0.004292</v>
      </c>
      <c r="D14" s="29">
        <f>IF(D42*D70*parametros_manuales!$M$31*parametros_manuales!$B$6=0,0,'Demanda puesto con sobrestock'!$P$68/(parametros_manuales!$M$31*D42*D70*parametros_manuales!$B$6))</f>
        <v>0.0090868</v>
      </c>
      <c r="E14" s="29">
        <f>IF(E42*E70*parametros_manuales!$M$31*parametros_manuales!$B$6=0,0,'Demanda puesto con sobrestock'!$P$95/(parametros_manuales!$M$31*E42*E70*parametros_manuales!$B$6))</f>
        <v>0.020142</v>
      </c>
      <c r="F14" s="29">
        <f>IF(F42*F70*parametros_manuales!$M$31*parametros_manuales!$B$6=0,0,'Demanda puesto con sobrestock'!$P$122/(parametros_manuales!$M$31*F42*F70*parametros_manuales!$B$6))</f>
        <v>0.0351628</v>
      </c>
      <c r="G14" s="29">
        <f>IF(G42*G70*parametros_manuales!$M$31*parametros_manuales!$B$6=0,0,'Demanda puesto con sobrestock'!$P$149/(parametros_manuales!$M$31*G42*G70*parametros_manuales!$B$6))</f>
        <v>0.0494052</v>
      </c>
      <c r="H14" s="29">
        <f>IF(H42*H70*parametros_manuales!$M$31*parametros_manuales!$B$6=0,0,'Demanda puesto con sobrestock'!$P$176/(parametros_manuales!$M$31*H42*H70*parametros_manuales!$B$6))</f>
        <v>0.0681996</v>
      </c>
      <c r="I14" s="29">
        <f>IF(I42*I70*parametros_manuales!$M$31*parametros_manuales!$B$6=0,0,'Demanda puesto con sobrestock'!$P$203/(parametros_manuales!$M$31*I42*I70*parametros_manuales!$B$6))</f>
        <v>0.0871808</v>
      </c>
      <c r="J14" s="29">
        <f>IF(J42*J70*parametros_manuales!$M$31*parametros_manuales!$B$6=0,0,'Demanda puesto con sobrestock'!$P$230/(parametros_manuales!$M$31*J42*J70*parametros_manuales!$B$6))</f>
        <v>0.0983904</v>
      </c>
      <c r="K14" s="29">
        <f>IF(K42*K70*parametros_manuales!$M$31*parametros_manuales!$B$6=0,0,'Demanda puesto con sobrestock'!$P$257/(parametros_manuales!$M$31*K42*K70*parametros_manuales!$B$6))</f>
        <v>0.1136932</v>
      </c>
    </row>
    <row r="15" ht="14.25" customHeight="1">
      <c r="A15" s="3" t="str">
        <f>parametros_manuales!$B$32</f>
        <v>Prueba hidráulica</v>
      </c>
      <c r="B15" s="29">
        <f>IF(B43*B71*parametros_manuales!$M$32*parametros_manuales!$B$6=0,0,'Demanda puesto con sobrestock'!$P$15/(parametros_manuales!$M$32*B43*B71*parametros_manuales!$B$6))</f>
        <v>0.06945475113</v>
      </c>
      <c r="C15" s="29">
        <f>IF(C43*C71*parametros_manuales!$M$32*parametros_manuales!$B$6=0,0,'Demanda puesto con sobrestock'!$P$42/(parametros_manuales!$M$32*C43*C71*parametros_manuales!$B$6))</f>
        <v>0.1092420814</v>
      </c>
      <c r="D15" s="29">
        <f>IF(D43*D71*parametros_manuales!$M$32*parametros_manuales!$B$6=0,0,'Demanda puesto con sobrestock'!$P$69/(parametros_manuales!$M$32*D43*D71*parametros_manuales!$B$6))</f>
        <v>0.2312816742</v>
      </c>
      <c r="E15" s="29">
        <f>IF(E43*E71*parametros_manuales!$M$32*parametros_manuales!$B$6=0,0,'Demanda puesto con sobrestock'!$P$96/(parametros_manuales!$M$32*E43*E71*parametros_manuales!$B$6))</f>
        <v>0.5126640271</v>
      </c>
      <c r="F15" s="56">
        <f>IF(F43*F71*parametros_manuales!$M$32*parametros_manuales!$B$6=0,0,'Demanda puesto con sobrestock'!$P$123/(parametros_manuales!$M$32*F43*F71*parametros_manuales!$B$6))</f>
        <v>0.8949807692</v>
      </c>
      <c r="G15" s="43">
        <f>IF(G43*G71*parametros_manuales!$M$32*parametros_manuales!$B$6=0,0,'Demanda puesto con sobrestock'!$P$150/(parametros_manuales!$M$32*G43*G71*parametros_manuales!$B$6))</f>
        <v>0.6287426471</v>
      </c>
      <c r="H15" s="56">
        <f>IF(H43*H71*parametros_manuales!$M$32*parametros_manuales!$B$6=0,0,'Demanda puesto con sobrestock'!$P$177/(parametros_manuales!$M$32*H43*H71*parametros_manuales!$B$6))</f>
        <v>0.8679247738</v>
      </c>
      <c r="I15" s="36">
        <f>IF(I43*I71*parametros_manuales!$M$32*parametros_manuales!$B$6=0,0,'Demanda puesto con sobrestock'!$P$204/(parametros_manuales!$M$32*I43*I71*parametros_manuales!$B$6)/2)</f>
        <v>0.5547420814</v>
      </c>
      <c r="J15" s="29">
        <f>IF(J43*J71*parametros_manuales!$M$32*parametros_manuales!$B$6=0,0,'Demanda puesto con sobrestock'!$P$231/(parametros_manuales!$M$32*J43*J71*parametros_manuales!$B$6)/2)</f>
        <v>0.6260701357</v>
      </c>
      <c r="K15" s="29">
        <f>IF(K43*K71*parametros_manuales!$M$32*parametros_manuales!$B$6=0,0,'Demanda puesto con sobrestock'!$P$258/(parametros_manuales!$M$32*K43*K71*parametros_manuales!$B$6)/2)</f>
        <v>0.7234437217</v>
      </c>
    </row>
    <row r="16" ht="14.25" customHeight="1">
      <c r="A16" s="3" t="str">
        <f>parametros_manuales!$B$33</f>
        <v>Secado</v>
      </c>
      <c r="B16" s="29">
        <f>IF(B44*B72*parametros_manuales!$M$33*parametros_manuales!$B$6=0,0,'Demanda puesto con sobrestock'!$P$16/(parametros_manuales!$M$33*B44*B72*parametros_manuales!$B$6))</f>
        <v>0.13644</v>
      </c>
      <c r="C16" s="29">
        <f>IF(C44*C72*parametros_manuales!$M$33*parametros_manuales!$B$6=0,0,'Demanda puesto con sobrestock'!$P$43/(parametros_manuales!$M$33*C44*C72*parametros_manuales!$B$6))</f>
        <v>0.2146</v>
      </c>
      <c r="D16" s="29">
        <f>IF(D44*D72*parametros_manuales!$M$33*parametros_manuales!$B$6=0,0,'Demanda puesto con sobrestock'!$P$70/(parametros_manuales!$M$33*D44*D72*parametros_manuales!$B$6))</f>
        <v>0.45434</v>
      </c>
      <c r="E16" s="43">
        <f>IF(E44*E72*parametros_manuales!$M$33*parametros_manuales!$B$6=0,0,'Demanda puesto con sobrestock'!$P$97/(parametros_manuales!$M$33*E44*E72*parametros_manuales!$B$6))</f>
        <v>0.50355</v>
      </c>
      <c r="F16" s="56">
        <f>IF(F44*F72*parametros_manuales!$M$33*parametros_manuales!$B$6=0,0,'Demanda puesto con sobrestock'!$P$124/(parametros_manuales!$M$33*F44*F72*parametros_manuales!$B$6))</f>
        <v>0.87907</v>
      </c>
      <c r="G16" s="43">
        <f>IF(G44*G72*parametros_manuales!$M$33*parametros_manuales!$B$6=0,0,'Demanda puesto con sobrestock'!$P$151/(parametros_manuales!$M$33*G44*G72*parametros_manuales!$B$6))</f>
        <v>0.82342</v>
      </c>
      <c r="H16" s="43">
        <f>IF(H44*H72*parametros_manuales!$M$33*parametros_manuales!$B$6=0,0,'Demanda puesto con sobrestock'!$P$178/(parametros_manuales!$M$33*H44*H72*parametros_manuales!$B$6))</f>
        <v>0.852495</v>
      </c>
      <c r="I16" s="36">
        <f>IF(I44*I72*parametros_manuales!$M$33*parametros_manuales!$B$6=0,0,'Demanda puesto con sobrestock'!$P$205/(parametros_manuales!$M$33*I44*I72*parametros_manuales!$B$6)/2)</f>
        <v>0.54488</v>
      </c>
      <c r="J16" s="29">
        <f>IF(J44*J72*parametros_manuales!$M$33*parametros_manuales!$B$6=0,0,'Demanda puesto con sobrestock'!$P$232/(parametros_manuales!$M$33*J44*J72*parametros_manuales!$B$6)/2)</f>
        <v>0.61494</v>
      </c>
      <c r="K16" s="29">
        <f>IF(K44*K72*parametros_manuales!$M$33*parametros_manuales!$B$6=0,0,'Demanda puesto con sobrestock'!$P$259/(parametros_manuales!$M$33*K44*K72*parametros_manuales!$B$6)/2)</f>
        <v>0.7105825</v>
      </c>
    </row>
    <row r="17" ht="14.25" customHeight="1">
      <c r="A17" s="3" t="str">
        <f>parametros_manuales!$B$34</f>
        <v>Granallado</v>
      </c>
      <c r="B17" s="29">
        <f>IF(B45*B73*parametros_manuales!$M$34*parametros_manuales!$B$6=0,0,'Demanda puesto con sobrestock'!$P$17/(parametros_manuales!$M$34*B45*B73*parametros_manuales!$B$6))</f>
        <v>0.03411</v>
      </c>
      <c r="C17" s="29">
        <f>IF(C45*C73*parametros_manuales!$M$34*parametros_manuales!$B$6=0,0,'Demanda puesto con sobrestock'!$P$44/(parametros_manuales!$M$34*C45*C73*parametros_manuales!$B$6))</f>
        <v>0.05365</v>
      </c>
      <c r="D17" s="29">
        <f>IF(D45*D73*parametros_manuales!$M$34*parametros_manuales!$B$6=0,0,'Demanda puesto con sobrestock'!$P$71/(parametros_manuales!$M$34*D45*D73*parametros_manuales!$B$6))</f>
        <v>0.113585</v>
      </c>
      <c r="E17" s="29">
        <f>IF(E45*E73*parametros_manuales!$M$34*parametros_manuales!$B$6=0,0,'Demanda puesto con sobrestock'!$P$98/(parametros_manuales!$M$34*E45*E73*parametros_manuales!$B$6))</f>
        <v>0.251775</v>
      </c>
      <c r="F17" s="29">
        <f>IF(F45*F73*parametros_manuales!$M$34*parametros_manuales!$B$6=0,0,'Demanda puesto con sobrestock'!$P$125/(parametros_manuales!$M$34*F45*F73*parametros_manuales!$B$6))</f>
        <v>0.439535</v>
      </c>
      <c r="G17" s="29">
        <f>IF(G45*G73*parametros_manuales!$M$34*parametros_manuales!$B$6=0,0,'Demanda puesto con sobrestock'!$P$152/(parametros_manuales!$M$34*G45*G73*parametros_manuales!$B$6))</f>
        <v>0.617565</v>
      </c>
      <c r="H17" s="56">
        <f>IF(H45*H73*parametros_manuales!$M$34*parametros_manuales!$B$6=0,0,'Demanda puesto con sobrestock'!$P$179/(parametros_manuales!$M$34*H45*H73*parametros_manuales!$B$6))</f>
        <v>0.852495</v>
      </c>
      <c r="I17" s="36">
        <f>IF(I45*I73*parametros_manuales!$M$34*parametros_manuales!$B$6=0,0,'Demanda puesto con sobrestock'!$P$206/(parametros_manuales!$M$34*I45*I73*parametros_manuales!$B$6)/2)</f>
        <v>0.54488</v>
      </c>
      <c r="J17" s="29">
        <f>IF(J45*J73*parametros_manuales!$M$34*parametros_manuales!$B$6=0,0,'Demanda puesto con sobrestock'!$P$233/(parametros_manuales!$M$34*J45*J73*parametros_manuales!$B$6)/2)</f>
        <v>0.61494</v>
      </c>
      <c r="K17" s="29">
        <f>IF(K45*K73*parametros_manuales!$M$34*parametros_manuales!$B$6=0,0,'Demanda puesto con sobrestock'!$P$260/(parametros_manuales!$M$34*K45*K73*parametros_manuales!$B$6)/2)</f>
        <v>0.7105825</v>
      </c>
    </row>
    <row r="18" ht="14.25" customHeight="1">
      <c r="A18" s="3" t="str">
        <f>parametros_manuales!$B$35</f>
        <v>Detección de defectos</v>
      </c>
      <c r="B18" s="29">
        <f>IF(B46*B74*parametros_manuales!$M$35*parametros_manuales!$B$6=0,0,'Demanda puesto con sobrestock'!$P$18/(parametros_manuales!$M$35*B46*B74*parametros_manuales!$B$6))</f>
        <v>0.02274</v>
      </c>
      <c r="C18" s="29">
        <f>IF(C46*C74*parametros_manuales!$M$35*parametros_manuales!$B$6=0,0,'Demanda puesto con sobrestock'!$P$45/(parametros_manuales!$M$35*C46*C74*parametros_manuales!$B$6))</f>
        <v>0.03576666667</v>
      </c>
      <c r="D18" s="29">
        <f>IF(D46*D74*parametros_manuales!$M$35*parametros_manuales!$B$6=0,0,'Demanda puesto con sobrestock'!$P$72/(parametros_manuales!$M$35*D46*D74*parametros_manuales!$B$6))</f>
        <v>0.07572333333</v>
      </c>
      <c r="E18" s="29">
        <f>IF(E46*E74*parametros_manuales!$M$35*parametros_manuales!$B$6=0,0,'Demanda puesto con sobrestock'!$P$99/(parametros_manuales!$M$35*E46*E74*parametros_manuales!$B$6))</f>
        <v>0.16785</v>
      </c>
      <c r="F18" s="29">
        <f>IF(F46*F74*parametros_manuales!$M$35*parametros_manuales!$B$6=0,0,'Demanda puesto con sobrestock'!$P$126/(parametros_manuales!$M$35*F46*F74*parametros_manuales!$B$6))</f>
        <v>0.2930233333</v>
      </c>
      <c r="G18" s="29">
        <f>IF(G46*G74*parametros_manuales!$M$35*parametros_manuales!$B$6=0,0,'Demanda puesto con sobrestock'!$P$153/(parametros_manuales!$M$35*G46*G74*parametros_manuales!$B$6))</f>
        <v>0.41171</v>
      </c>
      <c r="H18" s="29">
        <f>IF(H46*H74*parametros_manuales!$M$35*parametros_manuales!$B$6=0,0,'Demanda puesto con sobrestock'!$P$180/(parametros_manuales!$M$35*H46*H74*parametros_manuales!$B$6))</f>
        <v>0.56833</v>
      </c>
      <c r="I18" s="36">
        <f>IF(I46*I74*parametros_manuales!$M$35*parametros_manuales!$B$6=0,0,'Demanda puesto con sobrestock'!$P$207/(parametros_manuales!$M$35*I46*I74*parametros_manuales!$B$6)/2)</f>
        <v>0.3632533333</v>
      </c>
      <c r="J18" s="29">
        <f>IF(J46*J74*parametros_manuales!$M$35*parametros_manuales!$B$6=0,0,'Demanda puesto con sobrestock'!$P$234/(parametros_manuales!$M$35*J46*J74*parametros_manuales!$B$6)/2)</f>
        <v>0.40996</v>
      </c>
      <c r="K18" s="29">
        <f>IF(K46*K74*parametros_manuales!$M$35*parametros_manuales!$B$6=0,0,'Demanda puesto con sobrestock'!$P$261/(parametros_manuales!$M$35*K46*K74*parametros_manuales!$B$6)/2)</f>
        <v>0.4737216667</v>
      </c>
    </row>
    <row r="19" ht="14.25" customHeight="1">
      <c r="A19" s="3" t="str">
        <f>parametros_manuales!$B$36</f>
        <v>Corrección de defectos</v>
      </c>
      <c r="B19" s="29">
        <f>IF(B47*B75*parametros_manuales!$M$36*parametros_manuales!$B$6=0,0,'Demanda puesto con sobrestock'!$P$19/(parametros_manuales!$M$36*B47*B75*parametros_manuales!$B$6))</f>
        <v>0.010233</v>
      </c>
      <c r="C19" s="29">
        <f>IF(C47*C75*parametros_manuales!$M$36*parametros_manuales!$B$6=0,0,'Demanda puesto con sobrestock'!$P$46/(parametros_manuales!$M$36*C47*C75*parametros_manuales!$B$6))</f>
        <v>0.016095</v>
      </c>
      <c r="D19" s="29">
        <f>IF(D47*D75*parametros_manuales!$M$36*parametros_manuales!$B$6=0,0,'Demanda puesto con sobrestock'!$P$73/(parametros_manuales!$M$36*D47*D75*parametros_manuales!$B$6))</f>
        <v>0.0340755</v>
      </c>
      <c r="E19" s="29">
        <f>IF(E47*E75*parametros_manuales!$M$36*parametros_manuales!$B$6=0,0,'Demanda puesto con sobrestock'!$P$100/(parametros_manuales!$M$36*E47*E75*parametros_manuales!$B$6))</f>
        <v>0.0755325</v>
      </c>
      <c r="F19" s="29">
        <f>IF(F47*F75*parametros_manuales!$M$36*parametros_manuales!$B$6=0,0,'Demanda puesto con sobrestock'!$P$127/(parametros_manuales!$M$36*F47*F75*parametros_manuales!$B$6))</f>
        <v>0.1318605</v>
      </c>
      <c r="G19" s="29">
        <f>IF(G47*G75*parametros_manuales!$M$36*parametros_manuales!$B$6=0,0,'Demanda puesto con sobrestock'!$P$154/(parametros_manuales!$M$36*G47*G75*parametros_manuales!$B$6))</f>
        <v>0.1852695</v>
      </c>
      <c r="H19" s="29">
        <f>IF(H47*H75*parametros_manuales!$M$36*parametros_manuales!$B$6=0,0,'Demanda puesto con sobrestock'!$P$181/(parametros_manuales!$M$36*H47*H75*parametros_manuales!$B$6))</f>
        <v>0.2557485</v>
      </c>
      <c r="I19" s="29">
        <f>IF(I47*I75*parametros_manuales!$M$36*parametros_manuales!$B$6=0,0,'Demanda puesto con sobrestock'!$P$208/(parametros_manuales!$M$36*I47*I75*parametros_manuales!$B$6))</f>
        <v>0.326928</v>
      </c>
      <c r="J19" s="29">
        <f>IF(J47*J75*parametros_manuales!$M$36*parametros_manuales!$B$6=0,0,'Demanda puesto con sobrestock'!$P$235/(parametros_manuales!$M$36*J47*J75*parametros_manuales!$B$6))</f>
        <v>0.368964</v>
      </c>
      <c r="K19" s="29">
        <f>IF(K47*K75*parametros_manuales!$M$36*parametros_manuales!$B$6=0,0,'Demanda puesto con sobrestock'!$P$262/(parametros_manuales!$M$36*K47*K75*parametros_manuales!$B$6))</f>
        <v>0.4263495</v>
      </c>
    </row>
    <row r="20" ht="14.25" customHeight="1">
      <c r="A20" s="3" t="str">
        <f>parametros_manuales!$B$37</f>
        <v>Pintura en polvo + horno</v>
      </c>
      <c r="B20" s="56">
        <f>IF(B48*B76*parametros_manuales!$M$37*parametros_manuales!$B$6=0,0,'Demanda puesto con sobrestock'!$P$20/(parametros_manuales!$M$37*B48*B76*parametros_manuales!$B$6))</f>
        <v>0.03002640845</v>
      </c>
      <c r="C20" s="56">
        <f>IF(C48*C76*parametros_manuales!$M$37*parametros_manuales!$B$6=0,0,'Demanda puesto con sobrestock'!$P$47/(parametros_manuales!$M$37*C48*C76*parametros_manuales!$B$6))</f>
        <v>0.04722711268</v>
      </c>
      <c r="D20" s="56">
        <f>IF(D48*D76*parametros_manuales!$M$37*parametros_manuales!$B$6=0,0,'Demanda puesto con sobrestock'!$P$74/(parametros_manuales!$M$37*D48*D76*parametros_manuales!$B$6))</f>
        <v>0.09998679577</v>
      </c>
      <c r="E20" s="56">
        <f>IF(E48*E76*parametros_manuales!$M$37*parametros_manuales!$B$6=0,0,'Demanda puesto con sobrestock'!$P$101/(parametros_manuales!$M$37*E48*E76*parametros_manuales!$B$6))</f>
        <v>0.2216329225</v>
      </c>
      <c r="F20" s="29">
        <f>IF(F48*F76*parametros_manuales!$M$37*parametros_manuales!$B$6=0,0,'Demanda puesto con sobrestock'!$P$128/(parametros_manuales!$M$37*F48*F76*parametros_manuales!$B$6))</f>
        <v>0.3869146127</v>
      </c>
      <c r="G20" s="29">
        <f>IF(G48*G76*parametros_manuales!$M$37*parametros_manuales!$B$6=0,0,'Demanda puesto con sobrestock'!$P$155/(parametros_manuales!$M$37*G48*G76*parametros_manuales!$B$6))</f>
        <v>0.543631162</v>
      </c>
      <c r="H20" s="56">
        <f>IF(H48*H76*parametros_manuales!$M$37*parametros_manuales!$B$6=0,0,'Demanda puesto con sobrestock'!$P$182/(parametros_manuales!$M$37*H48*H76*parametros_manuales!$B$6))</f>
        <v>0.7504357394</v>
      </c>
      <c r="I20" s="36">
        <f>IF(I48*I76*parametros_manuales!$M$37*parametros_manuales!$B$6=0,0,'Demanda puesto con sobrestock'!$P$209/(parametros_manuales!$M$37*I48*I76*parametros_manuales!$B$6)/2)</f>
        <v>0.4796478873</v>
      </c>
      <c r="J20" s="29">
        <f>IF(J48*J76*parametros_manuales!$M$37*parametros_manuales!$B$6=0,0,'Demanda puesto con sobrestock'!$P$236/(parametros_manuales!$M$37*J48*J76*parametros_manuales!$B$6)/2)</f>
        <v>0.5413204225</v>
      </c>
      <c r="K20" s="29">
        <f>IF(K48*K76*parametros_manuales!$M$37*parametros_manuales!$B$6=0,0,'Demanda puesto con sobrestock'!$P$263/(parametros_manuales!$M$37*K48*K76*parametros_manuales!$B$6)/2)</f>
        <v>0.6255127641</v>
      </c>
    </row>
    <row r="21" ht="14.25" customHeight="1">
      <c r="A21" s="3" t="str">
        <f>parametros_manuales!$B$38</f>
        <v>Carga de polvo</v>
      </c>
      <c r="B21" s="29">
        <f>IF(B49*B77*parametros_manuales!$M$38*parametros_manuales!$B$6=0,0,'Demanda puesto con sobrestock'!$P$21/(parametros_manuales!$M$38*B49*B77*parametros_manuales!$B$6))</f>
        <v>0.051165</v>
      </c>
      <c r="C21" s="29">
        <f>IF(C49*C77*parametros_manuales!$M$38*parametros_manuales!$B$6=0,0,'Demanda puesto con sobrestock'!$P$48/(parametros_manuales!$M$38*C49*C77*parametros_manuales!$B$6))</f>
        <v>0.080475</v>
      </c>
      <c r="D21" s="29">
        <f>IF(D49*D77*parametros_manuales!$M$38*parametros_manuales!$B$6=0,0,'Demanda puesto con sobrestock'!$P$75/(parametros_manuales!$M$38*D49*D77*parametros_manuales!$B$6))</f>
        <v>0.098895</v>
      </c>
      <c r="E21" s="29">
        <f>IF(E49*E77*parametros_manuales!$M$38*parametros_manuales!$B$6=0,0,'Demanda puesto con sobrestock'!$P$102/(parametros_manuales!$M$38*E49*E77*parametros_manuales!$B$6))</f>
        <v>0.1286175</v>
      </c>
      <c r="F21" s="29">
        <f>IF(F49*F77*parametros_manuales!$M$38*parametros_manuales!$B$6=0,0,'Demanda puesto con sobrestock'!$P$129/(parametros_manuales!$M$38*F49*F77*parametros_manuales!$B$6))</f>
        <v>0.1981125</v>
      </c>
      <c r="G21" s="29">
        <f>IF(G49*G77*parametros_manuales!$M$38*parametros_manuales!$B$6=0,0,'Demanda puesto con sobrestock'!$P$156/(parametros_manuales!$M$38*G49*G77*parametros_manuales!$B$6))</f>
        <v>0.257625</v>
      </c>
      <c r="H21" s="29">
        <f>IF(H49*H77*parametros_manuales!$M$38*parametros_manuales!$B$6=0,0,'Demanda puesto con sobrestock'!$P$183/(parametros_manuales!$M$38*H49*H77*parametros_manuales!$B$6))</f>
        <v>0.3333075</v>
      </c>
      <c r="I21" s="29">
        <f>IF(I49*I77*parametros_manuales!$M$38*parametros_manuales!$B$6=0,0,'Demanda puesto con sobrestock'!$P$210/(parametros_manuales!$M$38*I49*I77*parametros_manuales!$B$6))</f>
        <v>0.4125</v>
      </c>
      <c r="J21" s="29">
        <f>IF(J49*J77*parametros_manuales!$M$38*parametros_manuales!$B$6=0,0,'Demanda puesto con sobrestock'!$P$237/(parametros_manuales!$M$38*J49*J77*parametros_manuales!$B$6))</f>
        <v>0.47511</v>
      </c>
      <c r="K21" s="29">
        <f>IF(K49*K77*parametros_manuales!$M$38*parametros_manuales!$B$6=0,0,'Demanda puesto con sobrestock'!$P$264/(parametros_manuales!$M$38*K49*K77*parametros_manuales!$B$6))</f>
        <v>0.540675</v>
      </c>
    </row>
    <row r="22" ht="14.25" customHeight="1">
      <c r="A22" s="3" t="str">
        <f>parametros_manuales!$B$39</f>
        <v>Ensamblaje</v>
      </c>
      <c r="B22" s="29">
        <f>IF(B50*B78*parametros_manuales!$M$39*parametros_manuales!$B$6=0,0,'Demanda puesto con sobrestock'!$P$22/(parametros_manuales!$M$39*B50*B78*parametros_manuales!$B$6))</f>
        <v>0.1157579186</v>
      </c>
      <c r="C22" s="29">
        <f>IF(C50*C78*parametros_manuales!$M$39*parametros_manuales!$B$6=0,0,'Demanda puesto con sobrestock'!$P$49/(parametros_manuales!$M$39*C50*C78*parametros_manuales!$B$6))</f>
        <v>0.1820701357</v>
      </c>
      <c r="D22" s="29">
        <f>IF(D50*D78*parametros_manuales!$M$39*parametros_manuales!$B$6=0,0,'Demanda puesto con sobrestock'!$P$76/(parametros_manuales!$M$39*D50*D78*parametros_manuales!$B$6))</f>
        <v>0.2237443439</v>
      </c>
      <c r="E22" s="29">
        <f>IF(E50*E78*parametros_manuales!$M$39*parametros_manuales!$B$6=0,0,'Demanda puesto con sobrestock'!$P$103/(parametros_manuales!$M$39*E50*E78*parametros_manuales!$B$6))</f>
        <v>0.290989819</v>
      </c>
      <c r="F22" s="29">
        <f>IF(F50*F78*parametros_manuales!$M$39*parametros_manuales!$B$6=0,0,'Demanda puesto con sobrestock'!$P$130/(parametros_manuales!$M$39*F50*F78*parametros_manuales!$B$6))</f>
        <v>0.4482183258</v>
      </c>
      <c r="G22" s="29">
        <f>IF(G50*G78*parametros_manuales!$M$39*parametros_manuales!$B$6=0,0,'Demanda puesto con sobrestock'!$P$157/(parametros_manuales!$M$39*G50*G78*parametros_manuales!$B$6))</f>
        <v>0.582861991</v>
      </c>
      <c r="H22" s="56">
        <f>IF(H50*H78*parametros_manuales!$M$39*parametros_manuales!$B$6=0,0,'Demanda puesto con sobrestock'!$P$184/(parametros_manuales!$M$39*H50*H78*parametros_manuales!$B$6))</f>
        <v>0.7540893665</v>
      </c>
      <c r="I22" s="36">
        <f>IF(I50*I78*parametros_manuales!$M$39*parametros_manuales!$B$6=0,0,'Demanda puesto con sobrestock'!$P$211/(parametros_manuales!$M$39*I50*I78*parametros_manuales!$B$6)/2)</f>
        <v>0.4666289593</v>
      </c>
      <c r="J22" s="29">
        <f>IF(J50*J78*parametros_manuales!$M$39*parametros_manuales!$B$6=0,0,'Demanda puesto con sobrestock'!$P$238/(parametros_manuales!$M$39*J50*J78*parametros_manuales!$B$6)/2)</f>
        <v>0.5374547511</v>
      </c>
      <c r="K22" s="29">
        <f>IF(K50*K78*parametros_manuales!$M$39*parametros_manuales!$B$6=0,0,'Demanda puesto con sobrestock'!$P$265/(parametros_manuales!$M$39*K50*K78*parametros_manuales!$B$6)/2)</f>
        <v>0.6116233032</v>
      </c>
    </row>
    <row r="23" ht="14.25" customHeight="1">
      <c r="A23" s="3" t="str">
        <f>parametros_manuales!$B$40</f>
        <v>Presurización</v>
      </c>
      <c r="B23" s="29">
        <f>IF(B51*B79*parametros_manuales!$M$40*parametros_manuales!$B$6=0,0,'Demanda puesto con sobrestock'!$P$23/(parametros_manuales!$M$40*B51*B79*parametros_manuales!$B$6))</f>
        <v>0.03411</v>
      </c>
      <c r="C23" s="29">
        <f>IF(C51*C79*parametros_manuales!$M$40*parametros_manuales!$B$6=0,0,'Demanda puesto con sobrestock'!$P$50/(parametros_manuales!$M$40*C51*C79*parametros_manuales!$B$6))</f>
        <v>0.05365</v>
      </c>
      <c r="D23" s="29">
        <f>IF(D51*D79*parametros_manuales!$M$40*parametros_manuales!$B$6=0,0,'Demanda puesto con sobrestock'!$P$77/(parametros_manuales!$M$40*D51*D79*parametros_manuales!$B$6))</f>
        <v>0.06593</v>
      </c>
      <c r="E23" s="29">
        <f>IF(E51*E79*parametros_manuales!$M$40*parametros_manuales!$B$6=0,0,'Demanda puesto con sobrestock'!$P$104/(parametros_manuales!$M$40*E51*E79*parametros_manuales!$B$6))</f>
        <v>0.085745</v>
      </c>
      <c r="F23" s="29">
        <f>IF(F51*F79*parametros_manuales!$M$40*parametros_manuales!$B$6=0,0,'Demanda puesto con sobrestock'!$P$131/(parametros_manuales!$M$40*F51*F79*parametros_manuales!$B$6))</f>
        <v>0.132075</v>
      </c>
      <c r="G23" s="29">
        <f>IF(G51*G79*parametros_manuales!$M$40*parametros_manuales!$B$6=0,0,'Demanda puesto con sobrestock'!$P$158/(parametros_manuales!$M$40*G51*G79*parametros_manuales!$B$6))</f>
        <v>0.17175</v>
      </c>
      <c r="H23" s="29">
        <f>IF(H51*H79*parametros_manuales!$M$40*parametros_manuales!$B$6=0,0,'Demanda puesto con sobrestock'!$P$185/(parametros_manuales!$M$40*H51*H79*parametros_manuales!$B$6))</f>
        <v>0.222205</v>
      </c>
      <c r="I23" s="29">
        <f>IF(I51*I79*parametros_manuales!$M$40*parametros_manuales!$B$6=0,0,'Demanda puesto con sobrestock'!$P$212/(parametros_manuales!$M$40*I51*I79*parametros_manuales!$B$6))</f>
        <v>0.275</v>
      </c>
      <c r="J23" s="29">
        <f>IF(J51*J79*parametros_manuales!$M$40*parametros_manuales!$B$6=0,0,'Demanda puesto con sobrestock'!$P$239/(parametros_manuales!$M$40*J51*J79*parametros_manuales!$B$6))</f>
        <v>0.31674</v>
      </c>
      <c r="K23" s="29">
        <f>IF(K51*K79*parametros_manuales!$M$40*parametros_manuales!$B$6=0,0,'Demanda puesto con sobrestock'!$P$266/(parametros_manuales!$M$40*K51*K79*parametros_manuales!$B$6))</f>
        <v>0.36045</v>
      </c>
    </row>
    <row r="24" ht="14.25" customHeight="1">
      <c r="A24" s="3" t="str">
        <f>parametros_manuales!$B$41</f>
        <v>Control de calidad — Ensayo de pérdidas</v>
      </c>
      <c r="B24" s="29">
        <f>IF(B52*B80*parametros_manuales!$M$41*parametros_manuales!$B$6=0,0,'Demanda puesto con sobrestock'!$P$24/(parametros_manuales!$M$41*B52*B80*parametros_manuales!$B$6))</f>
        <v>0.062535</v>
      </c>
      <c r="C24" s="29">
        <f>IF(C52*C80*parametros_manuales!$M$41*parametros_manuales!$B$6=0,0,'Demanda puesto con sobrestock'!$P$51/(parametros_manuales!$M$41*C52*C80*parametros_manuales!$B$6))</f>
        <v>0.09835833333</v>
      </c>
      <c r="D24" s="29">
        <f>IF(D52*D80*parametros_manuales!$M$41*parametros_manuales!$B$6=0,0,'Demanda puesto con sobrestock'!$P$78/(parametros_manuales!$M$41*D52*D80*parametros_manuales!$B$6))</f>
        <v>0.1208716667</v>
      </c>
      <c r="E24" s="29">
        <f>IF(E52*E80*parametros_manuales!$M$41*parametros_manuales!$B$6=0,0,'Demanda puesto con sobrestock'!$P$105/(parametros_manuales!$M$41*E52*E80*parametros_manuales!$B$6))</f>
        <v>0.1571991667</v>
      </c>
      <c r="F24" s="29">
        <f>IF(F52*F80*parametros_manuales!$M$41*parametros_manuales!$B$6=0,0,'Demanda puesto con sobrestock'!$P$132/(parametros_manuales!$M$41*F52*F80*parametros_manuales!$B$6))</f>
        <v>0.2421375</v>
      </c>
      <c r="G24" s="29">
        <f>IF(G52*G80*parametros_manuales!$M$41*parametros_manuales!$B$6=0,0,'Demanda puesto con sobrestock'!$P$159/(parametros_manuales!$M$41*G52*G80*parametros_manuales!$B$6))</f>
        <v>0.314875</v>
      </c>
      <c r="H24" s="29">
        <f>IF(H52*H80*parametros_manuales!$M$41*parametros_manuales!$B$6=0,0,'Demanda puesto con sobrestock'!$P$186/(parametros_manuales!$M$41*H52*H80*parametros_manuales!$B$6))</f>
        <v>0.4073758333</v>
      </c>
      <c r="I24" s="29">
        <f>IF(I52*I80*parametros_manuales!$M$41*parametros_manuales!$B$6=0,0,'Demanda puesto con sobrestock'!$P$213/(parametros_manuales!$M$41*I52*I80*parametros_manuales!$B$6))</f>
        <v>0.5041666667</v>
      </c>
      <c r="J24" s="56">
        <f>IF(J52*J80*parametros_manuales!$M$41*parametros_manuales!$B$6=0,0,'Demanda puesto con sobrestock'!$P$240/(parametros_manuales!$M$41*J52*J80*parametros_manuales!$B$6))</f>
        <v>0.58069</v>
      </c>
      <c r="K24" s="29">
        <f>IF(K52*K80*parametros_manuales!$M$41*parametros_manuales!$B$6=0,0,'Demanda puesto con sobrestock'!$P$267/(parametros_manuales!$M$41*K52*K80*parametros_manuales!$B$6))</f>
        <v>0.660825</v>
      </c>
    </row>
    <row r="25" ht="14.25" customHeight="1">
      <c r="A25" s="3" t="str">
        <f>parametros_manuales!$B$42</f>
        <v>Etiquetado</v>
      </c>
      <c r="B25" s="29">
        <f>IF(B53*B81*parametros_manuales!$M$42*parametros_manuales!$B$6=0,0,'Demanda puesto con sobrestock'!$P$25/(parametros_manuales!$M$42*B53*B81*parametros_manuales!$B$6))</f>
        <v>0.06822</v>
      </c>
      <c r="C25" s="29">
        <f>IF(C53*C81*parametros_manuales!$M$42*parametros_manuales!$B$6=0,0,'Demanda puesto con sobrestock'!$P$52/(parametros_manuales!$M$42*C53*C81*parametros_manuales!$B$6))</f>
        <v>0.1073</v>
      </c>
      <c r="D25" s="29">
        <f>IF(D53*D81*parametros_manuales!$M$42*parametros_manuales!$B$6=0,0,'Demanda puesto con sobrestock'!$P$79/(parametros_manuales!$M$42*D53*D81*parametros_manuales!$B$6))</f>
        <v>0.13186</v>
      </c>
      <c r="E25" s="29">
        <f>IF(E53*E81*parametros_manuales!$M$42*parametros_manuales!$B$6=0,0,'Demanda puesto con sobrestock'!$P$106/(parametros_manuales!$M$42*E53*E81*parametros_manuales!$B$6))</f>
        <v>0.17149</v>
      </c>
      <c r="F25" s="29">
        <f>IF(F53*F81*parametros_manuales!$M$42*parametros_manuales!$B$6=0,0,'Demanda puesto con sobrestock'!$P$133/(parametros_manuales!$M$42*F53*F81*parametros_manuales!$B$6))</f>
        <v>0.26415</v>
      </c>
      <c r="G25" s="29">
        <f>IF(G53*G81*parametros_manuales!$M$42*parametros_manuales!$B$6=0,0,'Demanda puesto con sobrestock'!$P$160/(parametros_manuales!$M$42*G53*G81*parametros_manuales!$B$6))</f>
        <v>0.3435</v>
      </c>
      <c r="H25" s="29">
        <f>IF(H53*H81*parametros_manuales!$M$42*parametros_manuales!$B$6=0,0,'Demanda puesto con sobrestock'!$P$187/(parametros_manuales!$M$42*H53*H81*parametros_manuales!$B$6))</f>
        <v>0.44441</v>
      </c>
      <c r="I25" s="29">
        <f>IF(I53*I81*parametros_manuales!$M$42*parametros_manuales!$B$6=0,0,'Demanda puesto con sobrestock'!$P$214/(parametros_manuales!$M$42*I53*I81*parametros_manuales!$B$6))</f>
        <v>0.55</v>
      </c>
      <c r="J25" s="29">
        <f>IF(J53*J81*parametros_manuales!$M$42*parametros_manuales!$B$6=0,0,'Demanda puesto con sobrestock'!$P$241/(parametros_manuales!$M$42*J53*J81*parametros_manuales!$B$6))</f>
        <v>0.63348</v>
      </c>
      <c r="K25" s="29">
        <f>IF(K53*K81*parametros_manuales!$M$42*parametros_manuales!$B$6=0,0,'Demanda puesto con sobrestock'!$P$268/(parametros_manuales!$M$42*K53*K81*parametros_manuales!$B$6))</f>
        <v>0.7209</v>
      </c>
    </row>
    <row r="26" ht="14.25" customHeight="1">
      <c r="A26" s="3" t="str">
        <f>parametros_manuales!$B$43</f>
        <v>Embalaje y paletizado</v>
      </c>
      <c r="B26" s="29">
        <f>IF(B54*B82*parametros_manuales!$M$43*parametros_manuales!$B$6=0,0,'Demanda puesto con sobrestock'!$P$26/(parametros_manuales!$M$43*B54*B82*parametros_manuales!$B$6))</f>
        <v>0.05162387892</v>
      </c>
      <c r="C26" s="29">
        <f>IF(C54*C82*parametros_manuales!$M$43*parametros_manuales!$B$6=0,0,'Demanda puesto con sobrestock'!$P$53/(parametros_manuales!$M$43*C54*C82*parametros_manuales!$B$6))</f>
        <v>0.08119674888</v>
      </c>
      <c r="D26" s="29">
        <f>IF(D54*D82*parametros_manuales!$M$43*parametros_manuales!$B$6=0,0,'Demanda puesto con sobrestock'!$P$80/(parametros_manuales!$M$43*D54*D82*parametros_manuales!$B$6))</f>
        <v>0.1719055493</v>
      </c>
      <c r="E26" s="29">
        <f>IF(E54*E82*parametros_manuales!$M$43*parametros_manuales!$B$6=0,0,'Demanda puesto con sobrestock'!$P$107/(parametros_manuales!$M$43*E54*E82*parametros_manuales!$B$6))</f>
        <v>0.3810496076</v>
      </c>
      <c r="F26" s="29">
        <f>IF(F54*F82*parametros_manuales!$M$43*parametros_manuales!$B$6=0,0,'Demanda puesto con sobrestock'!$P$134/(parametros_manuales!$M$43*F54*F82*parametros_manuales!$B$6))</f>
        <v>0.6652155269</v>
      </c>
      <c r="G26" s="56">
        <f>IF(G54*G82*parametros_manuales!$M$43*parametros_manuales!$B$6=0,0,'Demanda puesto con sobrestock'!$P$161/(parametros_manuales!$M$43*G54*G82*parametros_manuales!$B$6))</f>
        <v>0.9346555493</v>
      </c>
      <c r="H26" s="34">
        <f>IF(H54*H82*parametros_manuales!$M$43*parametros_manuales!$B$6=0,0,'Demanda puesto con sobrestock'!$P$188/(parametros_manuales!$M$43*H54*H82*parametros_manuales!$B$6))</f>
        <v>0.6451055213</v>
      </c>
      <c r="I26" s="36">
        <f>IF(I54*I82*parametros_manuales!$M$43*parametros_manuales!$B$6=0,0,'Demanda puesto con sobrestock'!$P$215/(parametros_manuales!$M$43*I54*I82*parametros_manuales!$B$6)/2)</f>
        <v>0.4123251121</v>
      </c>
      <c r="J26" s="29">
        <f>IF(J54*J82*parametros_manuales!$M$43*parametros_manuales!$B$6=0,0,'Demanda puesto con sobrestock'!$P$242/(parametros_manuales!$M$43*J54*J82*parametros_manuales!$B$6)/2)</f>
        <v>0.4653413677</v>
      </c>
      <c r="K26" s="29">
        <f>IF(K54*K82*parametros_manuales!$M$43*parametros_manuales!$B$6=0,0,'Demanda puesto con sobrestock'!$P$269/(parametros_manuales!$M$43*K54*K82*parametros_manuales!$B$6)/2)</f>
        <v>0.5377165779</v>
      </c>
    </row>
    <row r="27" ht="14.25" customHeight="1">
      <c r="A27" s="9" t="s">
        <v>169</v>
      </c>
      <c r="B27" s="59">
        <f t="shared" ref="B27:K27" si="1">MAX(B2:B26)</f>
        <v>0.13644</v>
      </c>
      <c r="C27" s="59">
        <f t="shared" si="1"/>
        <v>0.2146</v>
      </c>
      <c r="D27" s="59">
        <f t="shared" si="1"/>
        <v>0.45434</v>
      </c>
      <c r="E27" s="59">
        <f t="shared" si="1"/>
        <v>0.5126640271</v>
      </c>
      <c r="F27" s="59">
        <f t="shared" si="1"/>
        <v>0.8949807692</v>
      </c>
      <c r="G27" s="59">
        <f t="shared" si="1"/>
        <v>0.9346555493</v>
      </c>
      <c r="H27" s="59">
        <f t="shared" si="1"/>
        <v>0.9484586149</v>
      </c>
      <c r="I27" s="59">
        <f t="shared" si="1"/>
        <v>0.9335083893</v>
      </c>
      <c r="J27" s="59">
        <f t="shared" si="1"/>
        <v>0.6855612331</v>
      </c>
      <c r="K27" s="59">
        <f t="shared" si="1"/>
        <v>0.7926841216</v>
      </c>
    </row>
    <row r="28" ht="14.25" customHeight="1"/>
    <row r="29" ht="14.25" customHeight="1">
      <c r="A29" s="55" t="s">
        <v>170</v>
      </c>
      <c r="B29" s="55">
        <v>2026.0</v>
      </c>
      <c r="C29" s="55">
        <v>2027.0</v>
      </c>
      <c r="D29" s="55">
        <v>2028.0</v>
      </c>
      <c r="E29" s="55">
        <v>2029.0</v>
      </c>
      <c r="F29" s="55">
        <v>2030.0</v>
      </c>
      <c r="G29" s="55">
        <v>2031.0</v>
      </c>
      <c r="H29" s="55">
        <v>2032.0</v>
      </c>
      <c r="I29" s="55">
        <v>2033.0</v>
      </c>
      <c r="J29" s="55">
        <v>2034.0</v>
      </c>
      <c r="K29" s="55">
        <v>2035.0</v>
      </c>
    </row>
    <row r="30" ht="14.25" customHeight="1">
      <c r="A30" s="3" t="str">
        <f>parametros_manuales!$B$19</f>
        <v>Recepción de materia prima</v>
      </c>
      <c r="B30" s="8">
        <v>1.0</v>
      </c>
      <c r="C30" s="8">
        <v>1.0</v>
      </c>
      <c r="D30" s="8">
        <v>1.0</v>
      </c>
      <c r="E30" s="8">
        <v>1.0</v>
      </c>
      <c r="F30" s="60">
        <v>2.0</v>
      </c>
      <c r="G30" s="60">
        <v>2.0</v>
      </c>
      <c r="H30" s="60">
        <v>2.0</v>
      </c>
      <c r="I30" s="60">
        <v>2.0</v>
      </c>
      <c r="J30" s="60">
        <v>2.0</v>
      </c>
      <c r="K30" s="60">
        <v>2.0</v>
      </c>
    </row>
    <row r="31" ht="14.25" customHeight="1">
      <c r="A31" s="3" t="str">
        <f>parametros_manuales!$B$20</f>
        <v>Corte de chapa (guillotina) — 2,5 a 10 kg</v>
      </c>
      <c r="B31" s="8">
        <v>1.0</v>
      </c>
      <c r="C31" s="8">
        <v>1.0</v>
      </c>
      <c r="D31" s="8">
        <v>1.0</v>
      </c>
      <c r="E31" s="8">
        <v>1.0</v>
      </c>
      <c r="F31" s="8">
        <v>1.0</v>
      </c>
      <c r="G31" s="8">
        <v>1.0</v>
      </c>
      <c r="H31" s="8">
        <v>1.0</v>
      </c>
      <c r="I31" s="8">
        <v>1.0</v>
      </c>
      <c r="J31" s="8">
        <v>1.0</v>
      </c>
      <c r="K31" s="8">
        <v>1.0</v>
      </c>
    </row>
    <row r="32" ht="14.25" customHeight="1">
      <c r="A32" s="3" t="str">
        <f>parametros_manuales!$B$21</f>
        <v>Corte de tubo — 1 kg</v>
      </c>
      <c r="B32" s="8">
        <v>1.0</v>
      </c>
      <c r="C32" s="8">
        <v>1.0</v>
      </c>
      <c r="D32" s="8">
        <v>1.0</v>
      </c>
      <c r="E32" s="8">
        <v>1.0</v>
      </c>
      <c r="F32" s="8">
        <v>1.0</v>
      </c>
      <c r="G32" s="8">
        <v>1.0</v>
      </c>
      <c r="H32" s="8">
        <v>1.0</v>
      </c>
      <c r="I32" s="8">
        <v>1.0</v>
      </c>
      <c r="J32" s="8">
        <v>1.0</v>
      </c>
      <c r="K32" s="8">
        <v>1.0</v>
      </c>
    </row>
    <row r="33" ht="14.25" customHeight="1">
      <c r="A33" s="3" t="str">
        <f>parametros_manuales!$B$22</f>
        <v>Corte de disco y embutido (cúpula y fondo)</v>
      </c>
      <c r="B33" s="8">
        <v>1.0</v>
      </c>
      <c r="C33" s="8">
        <v>1.0</v>
      </c>
      <c r="D33" s="8">
        <v>1.0</v>
      </c>
      <c r="E33" s="8">
        <v>1.0</v>
      </c>
      <c r="F33" s="8">
        <v>1.0</v>
      </c>
      <c r="G33" s="8">
        <v>1.0</v>
      </c>
      <c r="H33" s="8">
        <v>1.0</v>
      </c>
      <c r="I33" s="8">
        <v>1.0</v>
      </c>
      <c r="J33" s="8">
        <v>1.0</v>
      </c>
      <c r="K33" s="8">
        <v>1.0</v>
      </c>
    </row>
    <row r="34" ht="14.25" customHeight="1">
      <c r="A34" s="3" t="str">
        <f>parametros_manuales!$B$23</f>
        <v>Preparación de cuello</v>
      </c>
      <c r="B34" s="8">
        <v>1.0</v>
      </c>
      <c r="C34" s="8">
        <v>1.0</v>
      </c>
      <c r="D34" s="8">
        <v>1.0</v>
      </c>
      <c r="E34" s="8">
        <v>1.0</v>
      </c>
      <c r="F34" s="8">
        <v>1.0</v>
      </c>
      <c r="G34" s="60">
        <v>2.0</v>
      </c>
      <c r="H34" s="60">
        <v>2.0</v>
      </c>
      <c r="I34" s="60">
        <v>2.0</v>
      </c>
      <c r="J34" s="60">
        <v>2.0</v>
      </c>
      <c r="K34" s="60">
        <v>2.0</v>
      </c>
    </row>
    <row r="35" ht="14.25" customHeight="1">
      <c r="A35" s="3" t="str">
        <f>parametros_manuales!$B$24</f>
        <v>Numerado de cúpula</v>
      </c>
      <c r="B35" s="8">
        <v>1.0</v>
      </c>
      <c r="C35" s="8">
        <v>1.0</v>
      </c>
      <c r="D35" s="8">
        <v>1.0</v>
      </c>
      <c r="E35" s="8">
        <v>1.0</v>
      </c>
      <c r="F35" s="8">
        <v>1.0</v>
      </c>
      <c r="G35" s="8">
        <v>1.0</v>
      </c>
      <c r="H35" s="8">
        <v>1.0</v>
      </c>
      <c r="I35" s="8">
        <v>1.0</v>
      </c>
      <c r="J35" s="8">
        <v>1.0</v>
      </c>
      <c r="K35" s="8">
        <v>1.0</v>
      </c>
    </row>
    <row r="36" ht="14.25" customHeight="1">
      <c r="A36" s="3" t="str">
        <f>parametros_manuales!$B$25</f>
        <v>Soldadura del cuello a la cúpula</v>
      </c>
      <c r="B36" s="8">
        <v>1.0</v>
      </c>
      <c r="C36" s="8">
        <v>1.0</v>
      </c>
      <c r="D36" s="8">
        <v>1.0</v>
      </c>
      <c r="E36" s="8">
        <v>1.0</v>
      </c>
      <c r="F36" s="8">
        <v>1.0</v>
      </c>
      <c r="G36" s="8">
        <v>1.0</v>
      </c>
      <c r="H36" s="8">
        <v>1.0</v>
      </c>
      <c r="I36" s="8">
        <v>1.0</v>
      </c>
      <c r="J36" s="8">
        <v>1.0</v>
      </c>
      <c r="K36" s="8">
        <v>1.0</v>
      </c>
    </row>
    <row r="37" ht="14.25" customHeight="1">
      <c r="A37" s="3" t="str">
        <f>parametros_manuales!$B$26</f>
        <v>Cilindrado</v>
      </c>
      <c r="B37" s="8">
        <v>1.0</v>
      </c>
      <c r="C37" s="8">
        <v>1.0</v>
      </c>
      <c r="D37" s="8">
        <v>1.0</v>
      </c>
      <c r="E37" s="8">
        <v>1.0</v>
      </c>
      <c r="F37" s="8">
        <v>1.0</v>
      </c>
      <c r="G37" s="8">
        <v>1.0</v>
      </c>
      <c r="H37" s="8">
        <v>1.0</v>
      </c>
      <c r="I37" s="8">
        <v>1.0</v>
      </c>
      <c r="J37" s="8">
        <v>1.0</v>
      </c>
      <c r="K37" s="8">
        <v>1.0</v>
      </c>
    </row>
    <row r="38" ht="14.25" customHeight="1">
      <c r="A38" s="3" t="str">
        <f>parametros_manuales!$B$27</f>
        <v>Soldadura longitudinal</v>
      </c>
      <c r="B38" s="8">
        <v>1.0</v>
      </c>
      <c r="C38" s="8">
        <v>1.0</v>
      </c>
      <c r="D38" s="8">
        <v>1.0</v>
      </c>
      <c r="E38" s="8">
        <v>1.0</v>
      </c>
      <c r="F38" s="8">
        <v>1.0</v>
      </c>
      <c r="G38" s="8">
        <v>1.0</v>
      </c>
      <c r="H38" s="8">
        <v>1.0</v>
      </c>
      <c r="I38" s="8">
        <v>1.0</v>
      </c>
      <c r="J38" s="8">
        <v>1.0</v>
      </c>
      <c r="K38" s="8">
        <v>1.0</v>
      </c>
    </row>
    <row r="39" ht="14.25" customHeight="1">
      <c r="A39" s="3" t="str">
        <f>parametros_manuales!$B$28</f>
        <v>Encastre de fondo</v>
      </c>
      <c r="B39" s="8">
        <v>1.0</v>
      </c>
      <c r="C39" s="8">
        <v>1.0</v>
      </c>
      <c r="D39" s="8">
        <v>1.0</v>
      </c>
      <c r="E39" s="8">
        <v>1.0</v>
      </c>
      <c r="F39" s="8">
        <v>1.0</v>
      </c>
      <c r="G39" s="8">
        <v>1.0</v>
      </c>
      <c r="H39" s="8">
        <v>1.0</v>
      </c>
      <c r="I39" s="8">
        <v>1.0</v>
      </c>
      <c r="J39" s="8">
        <v>1.0</v>
      </c>
      <c r="K39" s="8">
        <v>1.0</v>
      </c>
    </row>
    <row r="40" ht="14.25" customHeight="1">
      <c r="A40" s="3" t="str">
        <f>parametros_manuales!$B$29</f>
        <v>Bordoneado</v>
      </c>
      <c r="B40" s="8">
        <v>1.0</v>
      </c>
      <c r="C40" s="8">
        <v>1.0</v>
      </c>
      <c r="D40" s="8">
        <v>1.0</v>
      </c>
      <c r="E40" s="8">
        <v>1.0</v>
      </c>
      <c r="F40" s="8">
        <v>1.0</v>
      </c>
      <c r="G40" s="8">
        <v>1.0</v>
      </c>
      <c r="H40" s="8">
        <v>1.0</v>
      </c>
      <c r="I40" s="8">
        <v>1.0</v>
      </c>
      <c r="J40" s="8">
        <v>1.0</v>
      </c>
      <c r="K40" s="8">
        <v>1.0</v>
      </c>
    </row>
    <row r="41" ht="14.25" customHeight="1">
      <c r="A41" s="3" t="str">
        <f>parametros_manuales!$B$30</f>
        <v>Soldadura circunferencial de cúpula y fondo</v>
      </c>
      <c r="B41" s="8">
        <v>1.0</v>
      </c>
      <c r="C41" s="8">
        <v>1.0</v>
      </c>
      <c r="D41" s="8">
        <v>1.0</v>
      </c>
      <c r="E41" s="8">
        <v>1.0</v>
      </c>
      <c r="F41" s="8">
        <v>1.0</v>
      </c>
      <c r="G41" s="60">
        <v>2.0</v>
      </c>
      <c r="H41" s="60">
        <v>2.0</v>
      </c>
      <c r="I41" s="60">
        <v>2.0</v>
      </c>
      <c r="J41" s="60">
        <v>2.0</v>
      </c>
      <c r="K41" s="60">
        <v>2.0</v>
      </c>
    </row>
    <row r="42" ht="14.25" customHeight="1">
      <c r="A42" s="3" t="str">
        <f>parametros_manuales!$B$31</f>
        <v>Control de calidad — Espesor</v>
      </c>
      <c r="B42" s="8">
        <v>1.0</v>
      </c>
      <c r="C42" s="8">
        <v>1.0</v>
      </c>
      <c r="D42" s="8">
        <v>1.0</v>
      </c>
      <c r="E42" s="8">
        <v>1.0</v>
      </c>
      <c r="F42" s="8">
        <v>1.0</v>
      </c>
      <c r="G42" s="8">
        <v>1.0</v>
      </c>
      <c r="H42" s="8">
        <v>1.0</v>
      </c>
      <c r="I42" s="8">
        <v>1.0</v>
      </c>
      <c r="J42" s="8">
        <v>1.0</v>
      </c>
      <c r="K42" s="8">
        <v>1.0</v>
      </c>
    </row>
    <row r="43" ht="14.25" customHeight="1">
      <c r="A43" s="3" t="str">
        <f>parametros_manuales!$B$32</f>
        <v>Prueba hidráulica</v>
      </c>
      <c r="B43" s="8">
        <v>1.0</v>
      </c>
      <c r="C43" s="8">
        <v>1.0</v>
      </c>
      <c r="D43" s="8">
        <v>1.0</v>
      </c>
      <c r="E43" s="8">
        <v>1.0</v>
      </c>
      <c r="F43" s="8">
        <v>1.0</v>
      </c>
      <c r="G43" s="60">
        <v>2.0</v>
      </c>
      <c r="H43" s="60">
        <v>2.0</v>
      </c>
      <c r="I43" s="60">
        <v>2.0</v>
      </c>
      <c r="J43" s="60">
        <v>2.0</v>
      </c>
      <c r="K43" s="60">
        <v>2.0</v>
      </c>
    </row>
    <row r="44" ht="14.25" customHeight="1">
      <c r="A44" s="3" t="str">
        <f>parametros_manuales!$B$33</f>
        <v>Secado</v>
      </c>
      <c r="B44" s="8">
        <v>1.0</v>
      </c>
      <c r="C44" s="8">
        <v>1.0</v>
      </c>
      <c r="D44" s="8">
        <v>1.0</v>
      </c>
      <c r="E44" s="60">
        <v>2.0</v>
      </c>
      <c r="F44" s="60">
        <v>2.0</v>
      </c>
      <c r="G44" s="60">
        <v>3.0</v>
      </c>
      <c r="H44" s="60">
        <v>4.0</v>
      </c>
      <c r="I44" s="60">
        <v>4.0</v>
      </c>
      <c r="J44" s="60">
        <v>4.0</v>
      </c>
      <c r="K44" s="60">
        <v>4.0</v>
      </c>
    </row>
    <row r="45" ht="14.25" customHeight="1">
      <c r="A45" s="3" t="str">
        <f>parametros_manuales!$B$34</f>
        <v>Granallado</v>
      </c>
      <c r="B45" s="8">
        <v>1.0</v>
      </c>
      <c r="C45" s="8">
        <v>1.0</v>
      </c>
      <c r="D45" s="8">
        <v>1.0</v>
      </c>
      <c r="E45" s="8">
        <v>1.0</v>
      </c>
      <c r="F45" s="8">
        <v>1.0</v>
      </c>
      <c r="G45" s="8">
        <v>1.0</v>
      </c>
      <c r="H45" s="8">
        <v>1.0</v>
      </c>
      <c r="I45" s="8">
        <v>1.0</v>
      </c>
      <c r="J45" s="8">
        <v>1.0</v>
      </c>
      <c r="K45" s="8">
        <v>1.0</v>
      </c>
    </row>
    <row r="46" ht="14.25" customHeight="1">
      <c r="A46" s="3" t="str">
        <f>parametros_manuales!$B$35</f>
        <v>Detección de defectos</v>
      </c>
      <c r="B46" s="8">
        <v>1.0</v>
      </c>
      <c r="C46" s="8">
        <v>1.0</v>
      </c>
      <c r="D46" s="8">
        <v>1.0</v>
      </c>
      <c r="E46" s="8">
        <v>1.0</v>
      </c>
      <c r="F46" s="8">
        <v>1.0</v>
      </c>
      <c r="G46" s="8">
        <v>1.0</v>
      </c>
      <c r="H46" s="8">
        <v>1.0</v>
      </c>
      <c r="I46" s="8">
        <v>1.0</v>
      </c>
      <c r="J46" s="8">
        <v>1.0</v>
      </c>
      <c r="K46" s="8">
        <v>1.0</v>
      </c>
    </row>
    <row r="47" ht="14.25" customHeight="1">
      <c r="A47" s="3" t="str">
        <f>parametros_manuales!$B$36</f>
        <v>Corrección de defectos</v>
      </c>
      <c r="B47" s="8">
        <v>1.0</v>
      </c>
      <c r="C47" s="8">
        <v>1.0</v>
      </c>
      <c r="D47" s="8">
        <v>1.0</v>
      </c>
      <c r="E47" s="8">
        <v>1.0</v>
      </c>
      <c r="F47" s="8">
        <v>1.0</v>
      </c>
      <c r="G47" s="8">
        <v>1.0</v>
      </c>
      <c r="H47" s="8">
        <v>1.0</v>
      </c>
      <c r="I47" s="8">
        <v>1.0</v>
      </c>
      <c r="J47" s="8">
        <v>1.0</v>
      </c>
      <c r="K47" s="8">
        <v>1.0</v>
      </c>
    </row>
    <row r="48" ht="14.25" customHeight="1">
      <c r="A48" s="3" t="str">
        <f>parametros_manuales!$B$37</f>
        <v>Pintura en polvo + horno</v>
      </c>
      <c r="B48" s="8">
        <v>1.0</v>
      </c>
      <c r="C48" s="8">
        <v>1.0</v>
      </c>
      <c r="D48" s="8">
        <v>1.0</v>
      </c>
      <c r="E48" s="8">
        <v>1.0</v>
      </c>
      <c r="F48" s="8">
        <v>1.0</v>
      </c>
      <c r="G48" s="8">
        <v>1.0</v>
      </c>
      <c r="H48" s="8">
        <v>1.0</v>
      </c>
      <c r="I48" s="8">
        <v>1.0</v>
      </c>
      <c r="J48" s="8">
        <v>1.0</v>
      </c>
      <c r="K48" s="8">
        <v>1.0</v>
      </c>
    </row>
    <row r="49" ht="14.25" customHeight="1">
      <c r="A49" s="3" t="str">
        <f>parametros_manuales!$B$38</f>
        <v>Carga de polvo</v>
      </c>
      <c r="B49" s="8">
        <v>1.0</v>
      </c>
      <c r="C49" s="8">
        <v>1.0</v>
      </c>
      <c r="D49" s="8">
        <v>1.0</v>
      </c>
      <c r="E49" s="8">
        <v>1.0</v>
      </c>
      <c r="F49" s="8">
        <v>1.0</v>
      </c>
      <c r="G49" s="8">
        <v>1.0</v>
      </c>
      <c r="H49" s="8">
        <v>1.0</v>
      </c>
      <c r="I49" s="8">
        <v>1.0</v>
      </c>
      <c r="J49" s="8">
        <v>1.0</v>
      </c>
      <c r="K49" s="8">
        <v>1.0</v>
      </c>
    </row>
    <row r="50" ht="14.25" customHeight="1">
      <c r="A50" s="3" t="str">
        <f>parametros_manuales!$B$39</f>
        <v>Ensamblaje</v>
      </c>
      <c r="B50" s="8">
        <v>1.0</v>
      </c>
      <c r="C50" s="8">
        <v>1.0</v>
      </c>
      <c r="D50" s="8">
        <v>1.0</v>
      </c>
      <c r="E50" s="8">
        <v>1.0</v>
      </c>
      <c r="F50" s="8">
        <v>1.0</v>
      </c>
      <c r="G50" s="8">
        <v>1.0</v>
      </c>
      <c r="H50" s="8">
        <v>1.0</v>
      </c>
      <c r="I50" s="8">
        <v>1.0</v>
      </c>
      <c r="J50" s="8">
        <v>1.0</v>
      </c>
      <c r="K50" s="8">
        <v>1.0</v>
      </c>
    </row>
    <row r="51" ht="14.25" customHeight="1">
      <c r="A51" s="3" t="str">
        <f>parametros_manuales!$B$40</f>
        <v>Presurización</v>
      </c>
      <c r="B51" s="8">
        <v>1.0</v>
      </c>
      <c r="C51" s="8">
        <v>1.0</v>
      </c>
      <c r="D51" s="8">
        <v>1.0</v>
      </c>
      <c r="E51" s="8">
        <v>1.0</v>
      </c>
      <c r="F51" s="8">
        <v>1.0</v>
      </c>
      <c r="G51" s="8">
        <v>1.0</v>
      </c>
      <c r="H51" s="8">
        <v>1.0</v>
      </c>
      <c r="I51" s="8">
        <v>1.0</v>
      </c>
      <c r="J51" s="8">
        <v>1.0</v>
      </c>
      <c r="K51" s="8">
        <v>1.0</v>
      </c>
    </row>
    <row r="52" ht="14.25" customHeight="1">
      <c r="A52" s="3" t="str">
        <f>parametros_manuales!$B$41</f>
        <v>Control de calidad — Ensayo de pérdidas</v>
      </c>
      <c r="B52" s="8">
        <v>1.0</v>
      </c>
      <c r="C52" s="8">
        <v>1.0</v>
      </c>
      <c r="D52" s="8">
        <v>1.0</v>
      </c>
      <c r="E52" s="8">
        <v>1.0</v>
      </c>
      <c r="F52" s="8">
        <v>1.0</v>
      </c>
      <c r="G52" s="8">
        <v>1.0</v>
      </c>
      <c r="H52" s="8">
        <v>1.0</v>
      </c>
      <c r="I52" s="8">
        <v>1.0</v>
      </c>
      <c r="J52" s="8">
        <v>1.0</v>
      </c>
      <c r="K52" s="8">
        <v>1.0</v>
      </c>
    </row>
    <row r="53" ht="14.25" customHeight="1">
      <c r="A53" s="3" t="str">
        <f>parametros_manuales!$B$42</f>
        <v>Etiquetado</v>
      </c>
      <c r="B53" s="8">
        <v>1.0</v>
      </c>
      <c r="C53" s="8">
        <v>1.0</v>
      </c>
      <c r="D53" s="8">
        <v>1.0</v>
      </c>
      <c r="E53" s="8">
        <v>1.0</v>
      </c>
      <c r="F53" s="8">
        <v>1.0</v>
      </c>
      <c r="G53" s="8">
        <v>1.0</v>
      </c>
      <c r="H53" s="8">
        <v>1.0</v>
      </c>
      <c r="I53" s="8">
        <v>1.0</v>
      </c>
      <c r="J53" s="8">
        <v>1.0</v>
      </c>
      <c r="K53" s="8">
        <v>1.0</v>
      </c>
    </row>
    <row r="54" ht="14.25" customHeight="1">
      <c r="A54" s="3" t="str">
        <f>parametros_manuales!$B$43</f>
        <v>Embalaje y paletizado</v>
      </c>
      <c r="B54" s="8">
        <v>1.0</v>
      </c>
      <c r="C54" s="8">
        <v>1.0</v>
      </c>
      <c r="D54" s="8">
        <v>1.0</v>
      </c>
      <c r="E54" s="8">
        <v>1.0</v>
      </c>
      <c r="F54" s="8">
        <v>1.0</v>
      </c>
      <c r="G54" s="8">
        <v>1.0</v>
      </c>
      <c r="H54" s="60">
        <v>2.0</v>
      </c>
      <c r="I54" s="60">
        <v>2.0</v>
      </c>
      <c r="J54" s="60">
        <v>2.0</v>
      </c>
      <c r="K54" s="60">
        <v>2.0</v>
      </c>
    </row>
    <row r="55" ht="14.25" customHeight="1">
      <c r="A55" s="9" t="s">
        <v>171</v>
      </c>
      <c r="B55" s="54">
        <f t="shared" ref="B55:K55" si="2">SUM(B30:B54)</f>
        <v>25</v>
      </c>
      <c r="C55" s="54">
        <f t="shared" si="2"/>
        <v>25</v>
      </c>
      <c r="D55" s="54">
        <f t="shared" si="2"/>
        <v>25</v>
      </c>
      <c r="E55" s="54">
        <f t="shared" si="2"/>
        <v>26</v>
      </c>
      <c r="F55" s="54">
        <f t="shared" si="2"/>
        <v>27</v>
      </c>
      <c r="G55" s="54">
        <f t="shared" si="2"/>
        <v>31</v>
      </c>
      <c r="H55" s="54">
        <f t="shared" si="2"/>
        <v>33</v>
      </c>
      <c r="I55" s="54">
        <f t="shared" si="2"/>
        <v>33</v>
      </c>
      <c r="J55" s="54">
        <f t="shared" si="2"/>
        <v>33</v>
      </c>
      <c r="K55" s="54">
        <f t="shared" si="2"/>
        <v>33</v>
      </c>
    </row>
    <row r="56" ht="14.25" customHeight="1"/>
    <row r="57" ht="14.25" customHeight="1">
      <c r="A57" s="55" t="s">
        <v>172</v>
      </c>
      <c r="B57" s="55">
        <v>2026.0</v>
      </c>
      <c r="C57" s="55">
        <v>2027.0</v>
      </c>
      <c r="D57" s="55">
        <v>2028.0</v>
      </c>
      <c r="E57" s="55">
        <v>2029.0</v>
      </c>
      <c r="F57" s="55">
        <v>2030.0</v>
      </c>
      <c r="G57" s="55">
        <v>2031.0</v>
      </c>
      <c r="H57" s="55">
        <v>2032.0</v>
      </c>
      <c r="I57" s="55">
        <v>2033.0</v>
      </c>
      <c r="J57" s="55">
        <v>2034.0</v>
      </c>
      <c r="K57" s="55">
        <v>2035.0</v>
      </c>
    </row>
    <row r="58" ht="14.25" customHeight="1">
      <c r="A58" s="3" t="str">
        <f>parametros_manuales!$B$19</f>
        <v>Recepción de materia prima</v>
      </c>
      <c r="B58" s="8">
        <v>1.0</v>
      </c>
      <c r="C58" s="8">
        <v>1.0</v>
      </c>
      <c r="D58" s="8">
        <v>1.0</v>
      </c>
      <c r="E58" s="8">
        <v>1.0</v>
      </c>
      <c r="F58" s="8">
        <v>1.0</v>
      </c>
      <c r="G58" s="8">
        <v>1.0</v>
      </c>
      <c r="H58" s="8">
        <v>1.0</v>
      </c>
      <c r="I58" s="8">
        <v>1.0</v>
      </c>
      <c r="J58" s="8">
        <v>1.0</v>
      </c>
      <c r="K58" s="8">
        <v>1.0</v>
      </c>
    </row>
    <row r="59" ht="14.25" customHeight="1">
      <c r="A59" s="3" t="str">
        <f>parametros_manuales!$B$20</f>
        <v>Corte de chapa (guillotina) — 2,5 a 10 kg</v>
      </c>
      <c r="B59" s="8">
        <v>1.0</v>
      </c>
      <c r="C59" s="8">
        <v>1.0</v>
      </c>
      <c r="D59" s="8">
        <v>1.0</v>
      </c>
      <c r="E59" s="8">
        <v>1.0</v>
      </c>
      <c r="F59" s="8">
        <v>1.0</v>
      </c>
      <c r="G59" s="8">
        <v>1.0</v>
      </c>
      <c r="H59" s="8">
        <v>1.0</v>
      </c>
      <c r="I59" s="8">
        <v>1.0</v>
      </c>
      <c r="J59" s="8">
        <v>1.0</v>
      </c>
      <c r="K59" s="8">
        <v>1.0</v>
      </c>
    </row>
    <row r="60" ht="14.25" customHeight="1">
      <c r="A60" s="3" t="str">
        <f>parametros_manuales!$B$21</f>
        <v>Corte de tubo — 1 kg</v>
      </c>
      <c r="B60" s="8">
        <v>1.0</v>
      </c>
      <c r="C60" s="8">
        <v>1.0</v>
      </c>
      <c r="D60" s="8">
        <v>1.0</v>
      </c>
      <c r="E60" s="8">
        <v>1.0</v>
      </c>
      <c r="F60" s="8">
        <v>1.0</v>
      </c>
      <c r="G60" s="8">
        <v>1.0</v>
      </c>
      <c r="H60" s="8">
        <v>1.0</v>
      </c>
      <c r="I60" s="8">
        <v>1.0</v>
      </c>
      <c r="J60" s="8">
        <v>1.0</v>
      </c>
      <c r="K60" s="8">
        <v>1.0</v>
      </c>
    </row>
    <row r="61" ht="14.25" customHeight="1">
      <c r="A61" s="3" t="str">
        <f>parametros_manuales!$B$22</f>
        <v>Corte de disco y embutido (cúpula y fondo)</v>
      </c>
      <c r="B61" s="8">
        <v>1.0</v>
      </c>
      <c r="C61" s="8">
        <v>1.0</v>
      </c>
      <c r="D61" s="8">
        <v>1.0</v>
      </c>
      <c r="E61" s="8">
        <v>1.0</v>
      </c>
      <c r="F61" s="8">
        <v>1.0</v>
      </c>
      <c r="G61" s="8">
        <v>1.0</v>
      </c>
      <c r="H61" s="8">
        <v>1.0</v>
      </c>
      <c r="I61" s="8">
        <v>1.0</v>
      </c>
      <c r="J61" s="8">
        <v>1.0</v>
      </c>
      <c r="K61" s="8">
        <v>1.0</v>
      </c>
    </row>
    <row r="62" ht="14.25" customHeight="1">
      <c r="A62" s="3" t="str">
        <f>parametros_manuales!$B$23</f>
        <v>Preparación de cuello</v>
      </c>
      <c r="B62" s="8">
        <v>1.0</v>
      </c>
      <c r="C62" s="8">
        <v>1.0</v>
      </c>
      <c r="D62" s="8">
        <v>1.0</v>
      </c>
      <c r="E62" s="8">
        <v>1.0</v>
      </c>
      <c r="F62" s="8">
        <v>1.0</v>
      </c>
      <c r="G62" s="8">
        <v>1.0</v>
      </c>
      <c r="H62" s="8">
        <v>1.0</v>
      </c>
      <c r="I62" s="8">
        <v>1.0</v>
      </c>
      <c r="J62" s="8">
        <v>1.0</v>
      </c>
      <c r="K62" s="8">
        <v>1.0</v>
      </c>
    </row>
    <row r="63" ht="14.25" customHeight="1">
      <c r="A63" s="3" t="str">
        <f>parametros_manuales!$B$24</f>
        <v>Numerado de cúpula</v>
      </c>
      <c r="B63" s="8">
        <v>1.0</v>
      </c>
      <c r="C63" s="8">
        <v>1.0</v>
      </c>
      <c r="D63" s="8">
        <v>1.0</v>
      </c>
      <c r="E63" s="8">
        <v>1.0</v>
      </c>
      <c r="F63" s="8">
        <v>1.0</v>
      </c>
      <c r="G63" s="8">
        <v>1.0</v>
      </c>
      <c r="H63" s="8">
        <v>1.0</v>
      </c>
      <c r="I63" s="8">
        <v>1.0</v>
      </c>
      <c r="J63" s="8">
        <v>1.0</v>
      </c>
      <c r="K63" s="8">
        <v>1.0</v>
      </c>
    </row>
    <row r="64" ht="14.25" customHeight="1">
      <c r="A64" s="3" t="str">
        <f>parametros_manuales!$B$25</f>
        <v>Soldadura del cuello a la cúpula</v>
      </c>
      <c r="B64" s="8">
        <v>1.0</v>
      </c>
      <c r="C64" s="8">
        <v>1.0</v>
      </c>
      <c r="D64" s="8">
        <v>1.0</v>
      </c>
      <c r="E64" s="8">
        <v>1.0</v>
      </c>
      <c r="F64" s="8">
        <v>1.0</v>
      </c>
      <c r="G64" s="8">
        <v>1.0</v>
      </c>
      <c r="H64" s="8">
        <v>1.0</v>
      </c>
      <c r="I64" s="8">
        <v>1.0</v>
      </c>
      <c r="J64" s="8">
        <v>1.0</v>
      </c>
      <c r="K64" s="8">
        <v>1.0</v>
      </c>
    </row>
    <row r="65" ht="14.25" customHeight="1">
      <c r="A65" s="3" t="str">
        <f>parametros_manuales!$B$26</f>
        <v>Cilindrado</v>
      </c>
      <c r="B65" s="8">
        <v>1.0</v>
      </c>
      <c r="C65" s="8">
        <v>1.0</v>
      </c>
      <c r="D65" s="8">
        <v>1.0</v>
      </c>
      <c r="E65" s="8">
        <v>1.0</v>
      </c>
      <c r="F65" s="8">
        <v>1.0</v>
      </c>
      <c r="G65" s="8">
        <v>1.0</v>
      </c>
      <c r="H65" s="8">
        <v>1.0</v>
      </c>
      <c r="I65" s="8">
        <v>1.0</v>
      </c>
      <c r="J65" s="8">
        <v>1.0</v>
      </c>
      <c r="K65" s="8">
        <v>1.0</v>
      </c>
    </row>
    <row r="66" ht="14.25" customHeight="1">
      <c r="A66" s="3" t="str">
        <f>parametros_manuales!$B$27</f>
        <v>Soldadura longitudinal</v>
      </c>
      <c r="B66" s="8">
        <v>1.0</v>
      </c>
      <c r="C66" s="8">
        <v>1.0</v>
      </c>
      <c r="D66" s="8">
        <v>1.0</v>
      </c>
      <c r="E66" s="8">
        <v>1.0</v>
      </c>
      <c r="F66" s="8">
        <v>1.0</v>
      </c>
      <c r="G66" s="8">
        <v>1.0</v>
      </c>
      <c r="H66" s="8">
        <v>1.0</v>
      </c>
      <c r="I66" s="8">
        <v>1.0</v>
      </c>
      <c r="J66" s="8">
        <v>1.0</v>
      </c>
      <c r="K66" s="8">
        <v>1.0</v>
      </c>
    </row>
    <row r="67" ht="14.25" customHeight="1">
      <c r="A67" s="3" t="str">
        <f>parametros_manuales!$B$28</f>
        <v>Encastre de fondo</v>
      </c>
      <c r="B67" s="8">
        <v>1.0</v>
      </c>
      <c r="C67" s="8">
        <v>1.0</v>
      </c>
      <c r="D67" s="8">
        <v>1.0</v>
      </c>
      <c r="E67" s="8">
        <v>1.0</v>
      </c>
      <c r="F67" s="8">
        <v>1.0</v>
      </c>
      <c r="G67" s="8">
        <v>1.0</v>
      </c>
      <c r="H67" s="8">
        <v>1.0</v>
      </c>
      <c r="I67" s="8">
        <v>1.0</v>
      </c>
      <c r="J67" s="8">
        <v>1.0</v>
      </c>
      <c r="K67" s="8">
        <v>1.0</v>
      </c>
    </row>
    <row r="68" ht="14.25" customHeight="1">
      <c r="A68" s="3" t="str">
        <f>parametros_manuales!$B$29</f>
        <v>Bordoneado</v>
      </c>
      <c r="B68" s="8">
        <v>1.0</v>
      </c>
      <c r="C68" s="8">
        <v>1.0</v>
      </c>
      <c r="D68" s="8">
        <v>1.0</v>
      </c>
      <c r="E68" s="8">
        <v>1.0</v>
      </c>
      <c r="F68" s="8">
        <v>1.0</v>
      </c>
      <c r="G68" s="8">
        <v>1.0</v>
      </c>
      <c r="H68" s="8">
        <v>1.0</v>
      </c>
      <c r="I68" s="8">
        <v>1.0</v>
      </c>
      <c r="J68" s="8">
        <v>1.0</v>
      </c>
      <c r="K68" s="8">
        <v>1.0</v>
      </c>
    </row>
    <row r="69" ht="14.25" customHeight="1">
      <c r="A69" s="3" t="str">
        <f>parametros_manuales!$B$30</f>
        <v>Soldadura circunferencial de cúpula y fondo</v>
      </c>
      <c r="B69" s="8">
        <v>1.0</v>
      </c>
      <c r="C69" s="8">
        <v>1.0</v>
      </c>
      <c r="D69" s="8">
        <v>1.0</v>
      </c>
      <c r="E69" s="8">
        <v>1.0</v>
      </c>
      <c r="F69" s="8">
        <v>1.0</v>
      </c>
      <c r="G69" s="8">
        <v>1.0</v>
      </c>
      <c r="H69" s="8">
        <v>1.0</v>
      </c>
      <c r="I69" s="8">
        <v>1.0</v>
      </c>
      <c r="J69" s="8">
        <v>1.0</v>
      </c>
      <c r="K69" s="8">
        <v>1.0</v>
      </c>
    </row>
    <row r="70" ht="14.25" customHeight="1">
      <c r="A70" s="3" t="str">
        <f>parametros_manuales!$B$31</f>
        <v>Control de calidad — Espesor</v>
      </c>
      <c r="B70" s="8">
        <v>1.0</v>
      </c>
      <c r="C70" s="8">
        <v>1.0</v>
      </c>
      <c r="D70" s="8">
        <v>1.0</v>
      </c>
      <c r="E70" s="8">
        <v>1.0</v>
      </c>
      <c r="F70" s="8">
        <v>1.0</v>
      </c>
      <c r="G70" s="8">
        <v>1.0</v>
      </c>
      <c r="H70" s="8">
        <v>1.0</v>
      </c>
      <c r="I70" s="8">
        <v>1.0</v>
      </c>
      <c r="J70" s="8">
        <v>1.0</v>
      </c>
      <c r="K70" s="8">
        <v>1.0</v>
      </c>
    </row>
    <row r="71" ht="14.25" customHeight="1">
      <c r="A71" s="3" t="str">
        <f>parametros_manuales!$B$32</f>
        <v>Prueba hidráulica</v>
      </c>
      <c r="B71" s="8">
        <v>1.0</v>
      </c>
      <c r="C71" s="8">
        <v>1.0</v>
      </c>
      <c r="D71" s="8">
        <v>1.0</v>
      </c>
      <c r="E71" s="8">
        <v>1.0</v>
      </c>
      <c r="F71" s="8">
        <v>1.0</v>
      </c>
      <c r="G71" s="8">
        <v>1.0</v>
      </c>
      <c r="H71" s="8">
        <v>1.0</v>
      </c>
      <c r="I71" s="8">
        <v>1.0</v>
      </c>
      <c r="J71" s="8">
        <v>1.0</v>
      </c>
      <c r="K71" s="8">
        <v>1.0</v>
      </c>
    </row>
    <row r="72" ht="14.25" customHeight="1">
      <c r="A72" s="3" t="str">
        <f>parametros_manuales!$B$33</f>
        <v>Secado</v>
      </c>
      <c r="B72" s="8">
        <v>1.0</v>
      </c>
      <c r="C72" s="8">
        <v>1.0</v>
      </c>
      <c r="D72" s="8">
        <v>1.0</v>
      </c>
      <c r="E72" s="8">
        <v>1.0</v>
      </c>
      <c r="F72" s="8">
        <v>1.0</v>
      </c>
      <c r="G72" s="8">
        <v>1.0</v>
      </c>
      <c r="H72" s="8">
        <v>1.0</v>
      </c>
      <c r="I72" s="8">
        <v>1.0</v>
      </c>
      <c r="J72" s="8">
        <v>1.0</v>
      </c>
      <c r="K72" s="8">
        <v>1.0</v>
      </c>
    </row>
    <row r="73" ht="14.25" customHeight="1">
      <c r="A73" s="3" t="str">
        <f>parametros_manuales!$B$34</f>
        <v>Granallado</v>
      </c>
      <c r="B73" s="8">
        <v>1.0</v>
      </c>
      <c r="C73" s="8">
        <v>1.0</v>
      </c>
      <c r="D73" s="8">
        <v>1.0</v>
      </c>
      <c r="E73" s="8">
        <v>1.0</v>
      </c>
      <c r="F73" s="8">
        <v>1.0</v>
      </c>
      <c r="G73" s="8">
        <v>1.0</v>
      </c>
      <c r="H73" s="8">
        <v>1.0</v>
      </c>
      <c r="I73" s="8">
        <v>1.0</v>
      </c>
      <c r="J73" s="8">
        <v>1.0</v>
      </c>
      <c r="K73" s="8">
        <v>1.0</v>
      </c>
    </row>
    <row r="74" ht="14.25" customHeight="1">
      <c r="A74" s="3" t="str">
        <f>parametros_manuales!$B$35</f>
        <v>Detección de defectos</v>
      </c>
      <c r="B74" s="8">
        <v>1.0</v>
      </c>
      <c r="C74" s="8">
        <v>1.0</v>
      </c>
      <c r="D74" s="8">
        <v>1.0</v>
      </c>
      <c r="E74" s="8">
        <v>1.0</v>
      </c>
      <c r="F74" s="8">
        <v>1.0</v>
      </c>
      <c r="G74" s="8">
        <v>1.0</v>
      </c>
      <c r="H74" s="8">
        <v>1.0</v>
      </c>
      <c r="I74" s="8">
        <v>1.0</v>
      </c>
      <c r="J74" s="8">
        <v>1.0</v>
      </c>
      <c r="K74" s="8">
        <v>1.0</v>
      </c>
    </row>
    <row r="75" ht="14.25" customHeight="1">
      <c r="A75" s="3" t="str">
        <f>parametros_manuales!$B$36</f>
        <v>Corrección de defectos</v>
      </c>
      <c r="B75" s="8">
        <v>1.0</v>
      </c>
      <c r="C75" s="8">
        <v>1.0</v>
      </c>
      <c r="D75" s="8">
        <v>1.0</v>
      </c>
      <c r="E75" s="8">
        <v>1.0</v>
      </c>
      <c r="F75" s="8">
        <v>1.0</v>
      </c>
      <c r="G75" s="8">
        <v>1.0</v>
      </c>
      <c r="H75" s="8">
        <v>1.0</v>
      </c>
      <c r="I75" s="8">
        <v>1.0</v>
      </c>
      <c r="J75" s="8">
        <v>1.0</v>
      </c>
      <c r="K75" s="8">
        <v>1.0</v>
      </c>
    </row>
    <row r="76" ht="14.25" customHeight="1">
      <c r="A76" s="3" t="str">
        <f>parametros_manuales!$B$37</f>
        <v>Pintura en polvo + horno</v>
      </c>
      <c r="B76" s="8">
        <v>1.0</v>
      </c>
      <c r="C76" s="8">
        <v>1.0</v>
      </c>
      <c r="D76" s="8">
        <v>1.0</v>
      </c>
      <c r="E76" s="8">
        <v>1.0</v>
      </c>
      <c r="F76" s="8">
        <v>1.0</v>
      </c>
      <c r="G76" s="8">
        <v>1.0</v>
      </c>
      <c r="H76" s="8">
        <v>1.0</v>
      </c>
      <c r="I76" s="8">
        <v>1.0</v>
      </c>
      <c r="J76" s="8">
        <v>1.0</v>
      </c>
      <c r="K76" s="8">
        <v>1.0</v>
      </c>
    </row>
    <row r="77" ht="14.25" customHeight="1">
      <c r="A77" s="3" t="str">
        <f>parametros_manuales!$B$38</f>
        <v>Carga de polvo</v>
      </c>
      <c r="B77" s="8">
        <v>1.0</v>
      </c>
      <c r="C77" s="8">
        <v>1.0</v>
      </c>
      <c r="D77" s="8">
        <v>1.0</v>
      </c>
      <c r="E77" s="8">
        <v>1.0</v>
      </c>
      <c r="F77" s="8">
        <v>1.0</v>
      </c>
      <c r="G77" s="8">
        <v>1.0</v>
      </c>
      <c r="H77" s="8">
        <v>1.0</v>
      </c>
      <c r="I77" s="8">
        <v>1.0</v>
      </c>
      <c r="J77" s="8">
        <v>1.0</v>
      </c>
      <c r="K77" s="8">
        <v>1.0</v>
      </c>
    </row>
    <row r="78" ht="14.25" customHeight="1">
      <c r="A78" s="3" t="str">
        <f>parametros_manuales!$B$39</f>
        <v>Ensamblaje</v>
      </c>
      <c r="B78" s="8">
        <v>1.0</v>
      </c>
      <c r="C78" s="8">
        <v>1.0</v>
      </c>
      <c r="D78" s="8">
        <v>1.0</v>
      </c>
      <c r="E78" s="8">
        <v>1.0</v>
      </c>
      <c r="F78" s="8">
        <v>1.0</v>
      </c>
      <c r="G78" s="8">
        <v>1.0</v>
      </c>
      <c r="H78" s="8">
        <v>1.0</v>
      </c>
      <c r="I78" s="8">
        <v>1.0</v>
      </c>
      <c r="J78" s="8">
        <v>1.0</v>
      </c>
      <c r="K78" s="8">
        <v>1.0</v>
      </c>
    </row>
    <row r="79" ht="14.25" customHeight="1">
      <c r="A79" s="3" t="str">
        <f>parametros_manuales!$B$40</f>
        <v>Presurización</v>
      </c>
      <c r="B79" s="8">
        <v>1.0</v>
      </c>
      <c r="C79" s="8">
        <v>1.0</v>
      </c>
      <c r="D79" s="8">
        <v>1.0</v>
      </c>
      <c r="E79" s="8">
        <v>1.0</v>
      </c>
      <c r="F79" s="8">
        <v>1.0</v>
      </c>
      <c r="G79" s="8">
        <v>1.0</v>
      </c>
      <c r="H79" s="8">
        <v>1.0</v>
      </c>
      <c r="I79" s="8">
        <v>1.0</v>
      </c>
      <c r="J79" s="8">
        <v>1.0</v>
      </c>
      <c r="K79" s="8">
        <v>1.0</v>
      </c>
    </row>
    <row r="80" ht="14.25" customHeight="1">
      <c r="A80" s="3" t="str">
        <f>parametros_manuales!$B$41</f>
        <v>Control de calidad — Ensayo de pérdidas</v>
      </c>
      <c r="B80" s="8">
        <v>1.0</v>
      </c>
      <c r="C80" s="8">
        <v>1.0</v>
      </c>
      <c r="D80" s="8">
        <v>1.0</v>
      </c>
      <c r="E80" s="8">
        <v>1.0</v>
      </c>
      <c r="F80" s="8">
        <v>1.0</v>
      </c>
      <c r="G80" s="8">
        <v>1.0</v>
      </c>
      <c r="H80" s="8">
        <v>1.0</v>
      </c>
      <c r="I80" s="8">
        <v>1.0</v>
      </c>
      <c r="J80" s="8">
        <v>1.0</v>
      </c>
      <c r="K80" s="8">
        <v>1.0</v>
      </c>
    </row>
    <row r="81" ht="14.25" customHeight="1">
      <c r="A81" s="3" t="str">
        <f>parametros_manuales!$B$42</f>
        <v>Etiquetado</v>
      </c>
      <c r="B81" s="8">
        <v>1.0</v>
      </c>
      <c r="C81" s="8">
        <v>1.0</v>
      </c>
      <c r="D81" s="8">
        <v>1.0</v>
      </c>
      <c r="E81" s="8">
        <v>1.0</v>
      </c>
      <c r="F81" s="8">
        <v>1.0</v>
      </c>
      <c r="G81" s="8">
        <v>1.0</v>
      </c>
      <c r="H81" s="8">
        <v>1.0</v>
      </c>
      <c r="I81" s="8">
        <v>1.0</v>
      </c>
      <c r="J81" s="8">
        <v>1.0</v>
      </c>
      <c r="K81" s="8">
        <v>1.0</v>
      </c>
    </row>
    <row r="82" ht="14.25" customHeight="1">
      <c r="A82" s="3" t="str">
        <f>parametros_manuales!$B$43</f>
        <v>Embalaje y paletizado</v>
      </c>
      <c r="B82" s="8">
        <v>1.0</v>
      </c>
      <c r="C82" s="8">
        <v>1.0</v>
      </c>
      <c r="D82" s="8">
        <v>1.0</v>
      </c>
      <c r="E82" s="8">
        <v>1.0</v>
      </c>
      <c r="F82" s="8">
        <v>1.0</v>
      </c>
      <c r="G82" s="8">
        <v>1.0</v>
      </c>
      <c r="H82" s="8">
        <v>1.0</v>
      </c>
      <c r="I82" s="8">
        <v>1.0</v>
      </c>
      <c r="J82" s="8">
        <v>1.0</v>
      </c>
      <c r="K82" s="8">
        <v>1.0</v>
      </c>
    </row>
    <row r="83" ht="14.25" customHeight="1">
      <c r="A83" s="9" t="s">
        <v>173</v>
      </c>
      <c r="B83" s="54">
        <f t="shared" ref="B83:K83" si="3">MAX(B58:B82)</f>
        <v>1</v>
      </c>
      <c r="C83" s="54">
        <f t="shared" si="3"/>
        <v>1</v>
      </c>
      <c r="D83" s="54">
        <f t="shared" si="3"/>
        <v>1</v>
      </c>
      <c r="E83" s="54">
        <f t="shared" si="3"/>
        <v>1</v>
      </c>
      <c r="F83" s="54">
        <f t="shared" si="3"/>
        <v>1</v>
      </c>
      <c r="G83" s="54">
        <f t="shared" si="3"/>
        <v>1</v>
      </c>
      <c r="H83" s="54">
        <f t="shared" si="3"/>
        <v>1</v>
      </c>
      <c r="I83" s="54">
        <f t="shared" si="3"/>
        <v>1</v>
      </c>
      <c r="J83" s="54">
        <f t="shared" si="3"/>
        <v>1</v>
      </c>
      <c r="K83" s="54">
        <f t="shared" si="3"/>
        <v>1</v>
      </c>
    </row>
    <row r="84" ht="14.25" customHeight="1"/>
    <row r="85" ht="14.25" customHeight="1"/>
    <row r="86" ht="14.25" customHeight="1">
      <c r="A86" s="61" t="s">
        <v>175</v>
      </c>
    </row>
    <row r="87" ht="14.25" customHeight="1">
      <c r="A87" s="55" t="s">
        <v>169</v>
      </c>
      <c r="B87" s="55">
        <v>2026.0</v>
      </c>
      <c r="C87" s="55">
        <v>2027.0</v>
      </c>
      <c r="D87" s="55">
        <v>2028.0</v>
      </c>
      <c r="E87" s="55">
        <v>2029.0</v>
      </c>
      <c r="F87" s="55">
        <v>2030.0</v>
      </c>
      <c r="G87" s="55">
        <v>2031.0</v>
      </c>
      <c r="H87" s="55">
        <v>2032.0</v>
      </c>
      <c r="I87" s="55">
        <v>2033.0</v>
      </c>
      <c r="J87" s="55">
        <v>2034.0</v>
      </c>
      <c r="K87" s="55">
        <v>2035.0</v>
      </c>
    </row>
    <row r="88" ht="14.25" customHeight="1">
      <c r="A88" s="3" t="s">
        <v>176</v>
      </c>
      <c r="B88" s="62">
        <f>'Resumen cap. sin sobrestock'!B27</f>
        <v>0.1760466667</v>
      </c>
      <c r="C88" s="62">
        <f>'Resumen cap. sin sobrestock'!C27</f>
        <v>0.2756155556</v>
      </c>
      <c r="D88" s="62">
        <f>'Resumen cap. sin sobrestock'!D27</f>
        <v>0.5875577778</v>
      </c>
      <c r="E88" s="62">
        <f>'Resumen cap. sin sobrestock'!E27</f>
        <v>0.6663653846</v>
      </c>
      <c r="F88" s="62">
        <f>'Resumen cap. sin sobrestock'!F27</f>
        <v>0.865268778</v>
      </c>
      <c r="G88" s="62">
        <f>'Resumen cap. sin sobrestock'!G27</f>
        <v>0.8597868806</v>
      </c>
      <c r="H88" s="62">
        <f>'Resumen cap. sin sobrestock'!H27</f>
        <v>0.9011325503</v>
      </c>
      <c r="I88" s="62">
        <f>'Resumen cap. sin sobrestock'!I27</f>
        <v>0.7338685717</v>
      </c>
      <c r="J88" s="62">
        <f>'Resumen cap. sin sobrestock'!J27</f>
        <v>0.8379081738</v>
      </c>
      <c r="K88" s="62">
        <f>'Resumen cap. sin sobrestock'!K27</f>
        <v>0.9688361486</v>
      </c>
    </row>
    <row r="89" ht="14.25" customHeight="1">
      <c r="A89" s="3" t="s">
        <v>177</v>
      </c>
      <c r="B89" s="63">
        <f t="shared" ref="B89:K89" si="4">B27</f>
        <v>0.13644</v>
      </c>
      <c r="C89" s="63">
        <f t="shared" si="4"/>
        <v>0.2146</v>
      </c>
      <c r="D89" s="63">
        <f t="shared" si="4"/>
        <v>0.45434</v>
      </c>
      <c r="E89" s="63">
        <f t="shared" si="4"/>
        <v>0.5126640271</v>
      </c>
      <c r="F89" s="63">
        <f t="shared" si="4"/>
        <v>0.8949807692</v>
      </c>
      <c r="G89" s="63">
        <f t="shared" si="4"/>
        <v>0.9346555493</v>
      </c>
      <c r="H89" s="63">
        <f t="shared" si="4"/>
        <v>0.9484586149</v>
      </c>
      <c r="I89" s="63">
        <f t="shared" si="4"/>
        <v>0.9335083893</v>
      </c>
      <c r="J89" s="63">
        <f t="shared" si="4"/>
        <v>0.6855612331</v>
      </c>
      <c r="K89" s="63">
        <f t="shared" si="4"/>
        <v>0.7926841216</v>
      </c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2026-10-13T18:29:11Z</dcterms:created>
  <dc:creator>openpyxl</dc:creator>
</cp:coreProperties>
</file>