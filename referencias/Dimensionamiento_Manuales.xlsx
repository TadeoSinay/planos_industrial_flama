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_base" sheetId="1" r:id="rId4"/>
    <sheet state="visible" name="parametros_manuales" sheetId="2" r:id="rId5"/>
    <sheet state="visible" name="Plan mensual" sheetId="3" r:id="rId6"/>
    <sheet state="visible" name="Demanda puesto sin sobrestock" sheetId="4" r:id="rId7"/>
    <sheet state="visible" name="Resumen cap. sin sobrestock" sheetId="5" r:id="rId8"/>
    <sheet state="visible" name="Demanda puesto con sobrestock" sheetId="6" r:id="rId9"/>
    <sheet state="visible" name="Resumen cap. con sobrestock" sheetId="7" r:id="rId10"/>
  </sheets>
  <definedNames/>
  <calcPr/>
  <extLst>
    <ext uri="GoogleSheetsCustomDataVersion2">
      <go:sheetsCustomData xmlns:go="http://customooxmlschemas.google.com/" r:id="rId11" roundtripDataChecksum="w000+aqrM9rDxOJCtYKujkwWrSJ5QjgCXA5uRAxwE5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0">
      <text>
        <t xml:space="preserve">Esto porque la operación es manual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0">
      <text>
        <t xml:space="preserve">Esto porque la operación es manual
======</t>
      </text>
    </comment>
  </commentList>
</comments>
</file>

<file path=xl/sharedStrings.xml><?xml version="1.0" encoding="utf-8"?>
<sst xmlns="http://schemas.openxmlformats.org/spreadsheetml/2006/main" count="1051" uniqueCount="237">
  <si>
    <t>Año 2026</t>
  </si>
  <si>
    <t>Matafuegos terminados (total para el cálculo = base + planta industrial)</t>
  </si>
  <si>
    <t>Parámetro</t>
  </si>
  <si>
    <t>Producto</t>
  </si>
  <si>
    <t>Tipo</t>
  </si>
  <si>
    <t>Ene</t>
  </si>
  <si>
    <t>Feb</t>
  </si>
  <si>
    <t>Mar</t>
  </si>
  <si>
    <t>Abr</t>
  </si>
  <si>
    <t>May</t>
  </si>
  <si>
    <t>Jun</t>
  </si>
  <si>
    <t>Valor</t>
  </si>
  <si>
    <t>Jul</t>
  </si>
  <si>
    <t>Ago</t>
  </si>
  <si>
    <t>Nota</t>
  </si>
  <si>
    <t>Sep</t>
  </si>
  <si>
    <t>Oct</t>
  </si>
  <si>
    <t>Nov</t>
  </si>
  <si>
    <t>Dic</t>
  </si>
  <si>
    <t>Total anual</t>
  </si>
  <si>
    <t>Mes pico (u/mes)</t>
  </si>
  <si>
    <t>Demanda pico (u/h)</t>
  </si>
  <si>
    <t>Mes pico</t>
  </si>
  <si>
    <t>ABC 1 kg</t>
  </si>
  <si>
    <t>Terminado</t>
  </si>
  <si>
    <t>Días hábiles por mes</t>
  </si>
  <si>
    <t>Excel original, Parametros B37</t>
  </si>
  <si>
    <t>Horas por día (1 turno)</t>
  </si>
  <si>
    <t>Excel original, Parametros D37</t>
  </si>
  <si>
    <t>Refrigerio (min/turno)</t>
  </si>
  <si>
    <t>Excel original, Parametros H37</t>
  </si>
  <si>
    <t>Horas productivas por turno</t>
  </si>
  <si>
    <t>Horas/día − refrigerio</t>
  </si>
  <si>
    <t>ABC 2,5 kg</t>
  </si>
  <si>
    <t>Turnos por día</t>
  </si>
  <si>
    <t>Un solo turno (editable)</t>
  </si>
  <si>
    <t>Horas productivas por mes</t>
  </si>
  <si>
    <t>Días × horas productivas × turnos</t>
  </si>
  <si>
    <t>ABC 5 kg</t>
  </si>
  <si>
    <t>Umbral de aprovechamiento (solo para resaltar)</t>
  </si>
  <si>
    <t>Las celdas de aprovechamiento que lo superan se pintan de rojo</t>
  </si>
  <si>
    <t>ESTACIONALIDAD (% de la demanda anual por mes)</t>
  </si>
  <si>
    <t>Modelo</t>
  </si>
  <si>
    <t>ABC 10 kg</t>
  </si>
  <si>
    <t>Total</t>
  </si>
  <si>
    <t>1 kg</t>
  </si>
  <si>
    <t>Total terminados</t>
  </si>
  <si>
    <t>Perfil automovilístico (Excel original, Parametros fila 3)</t>
  </si>
  <si>
    <t>2,5 kg</t>
  </si>
  <si>
    <t>Perfil manual comercial (Excel original, Parametros fila 4)</t>
  </si>
  <si>
    <t>5 kg</t>
  </si>
  <si>
    <t>10 kg</t>
  </si>
  <si>
    <t>CAPACIDAD POR PUESTO</t>
  </si>
  <si>
    <t>N°</t>
  </si>
  <si>
    <t>Cilindros vendidos vacíos (total para el cálculo = base + planta comercial)</t>
  </si>
  <si>
    <t>Puesto</t>
  </si>
  <si>
    <t>Máquina</t>
  </si>
  <si>
    <t>Alcance</t>
  </si>
  <si>
    <t>Piezas por unidad</t>
  </si>
  <si>
    <t>% que pasa</t>
  </si>
  <si>
    <t>Tiempo tipo (s/u)</t>
  </si>
  <si>
    <t>Disponibilidad</t>
  </si>
  <si>
    <t>Cap. real (u/h)</t>
  </si>
  <si>
    <t>Cap. real (u/mes)</t>
  </si>
  <si>
    <t>Cilindros ABC 1 kg</t>
  </si>
  <si>
    <t>SUPOSICIONES</t>
  </si>
  <si>
    <t>Recepción de materia prima</t>
  </si>
  <si>
    <t>Autoelevador Heli CPCD50 + micrómetro</t>
  </si>
  <si>
    <t>Todos</t>
  </si>
  <si>
    <t>Cilindros ABC 2,5 kg</t>
  </si>
  <si>
    <t>Cilindros ABC 5 kg</t>
  </si>
  <si>
    <t>25 min x pallet de 20 hojas en carros (1,25 min x hoja)</t>
  </si>
  <si>
    <t>Cilindros ABC 10 kg</t>
  </si>
  <si>
    <t>Corte de chapa — 1.er corte en franjas (guillotina 1)</t>
  </si>
  <si>
    <t>Guillotina hidráulica Ermaksan CNC HGS 2600-6 (tope 1.000 mm, 24 golpes/min)</t>
  </si>
  <si>
    <t>Total cilindros</t>
  </si>
  <si>
    <t>Word «Esquemas de corte de cuerpos» (G1 Ermaksan): golpes de G1 por hoja ÷ 24 golpes/min + manipulación por hoja, ÷ piezas por hoja; promedio ponderado por los recipientes de 2035 (bloque CORTE DE CHAPA, fila 117)</t>
  </si>
  <si>
    <t>Corte de chapa — 2.º corte en piezas (guillotina 2)</t>
  </si>
  <si>
    <t>Guillotina hidráulica QC12Y 6 × 2500 (tope 800 mm, 20 golpes/min)</t>
  </si>
  <si>
    <t>Reemplaza a la cortadora láser de tubo: el 1 kg pasa a chapa. Golpes de G2 por hoja ÷ 20 golpes/min + manipulación por tanda, ÷ piezas por hoja; promedio ponderado (bloque CORTE DE CHAPA, fila 117)</t>
  </si>
  <si>
    <t>Corte de disco y embutido (cúpula y fondo)</t>
  </si>
  <si>
    <t>Prensa embutidora Sangiacomo + alimentador Cena PRE-1</t>
  </si>
  <si>
    <t>Son 10c segundos contemplando cupula y fondo</t>
  </si>
  <si>
    <t>Total recipientes a fabricar</t>
  </si>
  <si>
    <t>Preparación de cuello</t>
  </si>
  <si>
    <t>Prensa de banco Pannier MarkFirst MB-21</t>
  </si>
  <si>
    <t>Numerado de cúpula</t>
  </si>
  <si>
    <t>Micropercusión Pannier ADP120160D Deep Marker</t>
  </si>
  <si>
    <t>Soldadura del cuello a la cúpula</t>
  </si>
  <si>
    <t>Firesafer FS-HFM1 (versión manual)</t>
  </si>
  <si>
    <t>Cilindrado</t>
  </si>
  <si>
    <t>Cilindradora Firesafer × 2 (cotización FS202609FFCLM01, ítem 8), moldes de 1 a 10 kg</t>
  </si>
  <si>
    <t>BASE ORIGINAL — Matafuegos terminados</t>
  </si>
  <si>
    <t>Cotización Firesafer: 4 a 10 piezas/min; se toma 4 (15 s). Son 2 máquinas (ítem 8 × 2, CNY 58.500 c/u) más moldes de CNY 8.000 por tamaño; en los resúmenes queda 1 máquina</t>
  </si>
  <si>
    <t>Soldadura longitudinal — 2,5 a 10 kg</t>
  </si>
  <si>
    <t>Soldadora longitudinal Firesafer</t>
  </si>
  <si>
    <t>Soldadura longitudinal TIG — 1 kg</t>
  </si>
  <si>
    <t>Soldadora longitudinal Firesafer + fuente TIG (cotización FS202609FFCLM01, ítems 13 y 14)</t>
  </si>
  <si>
    <t>Cotización Firesafer: 2 a 4 piezas/min; se toma 2 (30 s). Puesto exclusivo del 1 kg (Ø76,2 × 0,90 × 263,5 mm), CNY 58.500 + CNY 11.000 de la fuente TIG</t>
  </si>
  <si>
    <t>Encastre de fondo</t>
  </si>
  <si>
    <t>Prensa hidráulica motorizada Del Fabro 30 t</t>
  </si>
  <si>
    <t>Total base terminados</t>
  </si>
  <si>
    <t>Bordoneado</t>
  </si>
  <si>
    <t>Bordoneadora motorizada Pilman SWM-400</t>
  </si>
  <si>
    <t>Soldadura circunferencial de cúpula y fondo</t>
  </si>
  <si>
    <t>Soldadora circunferencial Firesafer</t>
  </si>
  <si>
    <t>Control de calidad — Espesor</t>
  </si>
  <si>
    <t>BASE ORIGINAL — Cilindros vendidos vacíos</t>
  </si>
  <si>
    <t>Medidor de espesores Melisam MR017</t>
  </si>
  <si>
    <t>Prueba hidráulica</t>
  </si>
  <si>
    <t>Banco Firesafer FS-JD12A</t>
  </si>
  <si>
    <t>Secado</t>
  </si>
  <si>
    <t>Secadora de cilindros Yukon</t>
  </si>
  <si>
    <t>las 4 maquinas sirven para secado de carros</t>
  </si>
  <si>
    <t>Granallado</t>
  </si>
  <si>
    <t>Granalladora de rodillos AirBlast G-100</t>
  </si>
  <si>
    <t>Total base cilindros</t>
  </si>
  <si>
    <t>Cilindro</t>
  </si>
  <si>
    <t>Detección de defectos</t>
  </si>
  <si>
    <t>Mesa de inspección con iluminación</t>
  </si>
  <si>
    <t>Corrección de defectos</t>
  </si>
  <si>
    <t>Amoladora 115 mm + machos y calibres</t>
  </si>
  <si>
    <t>Pintura en polvo + horno</t>
  </si>
  <si>
    <t>PLANTA INDUSTRIAL — Matafuegos terminados (se llenan en la planta industrial)</t>
  </si>
  <si>
    <t>Línea de pintura en polvo Firesafer</t>
  </si>
  <si>
    <t>Carga de polvo</t>
  </si>
  <si>
    <t>Cargadora Firesafer FS-A10 / Yukon M-000121</t>
  </si>
  <si>
    <t>Terminados</t>
  </si>
  <si>
    <t>Ensamblaje</t>
  </si>
  <si>
    <t>Puesto manual con llave dinamométrica</t>
  </si>
  <si>
    <t>Presurización</t>
  </si>
  <si>
    <t>Agua 10 l</t>
  </si>
  <si>
    <t>Pinza neumática Yukon M-000150 + pack N₂</t>
  </si>
  <si>
    <t>AFFF 10 l</t>
  </si>
  <si>
    <t>Control de calidad — Ensayo de pérdidas</t>
  </si>
  <si>
    <t>Tanque de inmersión de acero inoxidable</t>
  </si>
  <si>
    <t>AFFF 50 l</t>
  </si>
  <si>
    <t>BC 5 kg</t>
  </si>
  <si>
    <t>Etiquetado</t>
  </si>
  <si>
    <t>Dispensador de etiquetas + impresora Zebra ZD421</t>
  </si>
  <si>
    <t>Sales K 6 l</t>
  </si>
  <si>
    <t>Embalaje y paletizado</t>
  </si>
  <si>
    <t>Armadora de cajas + envolvedora EDOS PS 5</t>
  </si>
  <si>
    <t>CO₂ 2 kg</t>
  </si>
  <si>
    <t>CO₂ 5 kg</t>
  </si>
  <si>
    <t>25 seg embalaje + 20 seg paletizado (1000kg pallet/13 kg mat)=76 mat x pallet *20s = 25 min x pallet</t>
  </si>
  <si>
    <t>HCFC/HFC 5 kg</t>
  </si>
  <si>
    <t>Alcance: "Todos" = matafuegos terminados + cilindros vacíos; "Terminados" = solo los que se cargan como matafuego.</t>
  </si>
  <si>
    <t>Clase D 9 l</t>
  </si>
  <si>
    <t>Tiempo tipo = tiempo PCP del Excel original ((tpr + tdl + ta) / rendimiento). Disponibilidad = descuento por cambios de matriz del Excel original.</t>
  </si>
  <si>
    <t>ABC 25 kg</t>
  </si>
  <si>
    <t>Cap. real (u/h) = 3600 / tiempo tipo × disponibilidad. Cap. real (u/mes) = cap. real × horas productivas del mes.</t>
  </si>
  <si>
    <t>ABC 50 kg</t>
  </si>
  <si>
    <t>DISPONIBILIDAD</t>
  </si>
  <si>
    <t>ABC 70 kg</t>
  </si>
  <si>
    <t>ABC 100 kg</t>
  </si>
  <si>
    <t>Total planta industrial</t>
  </si>
  <si>
    <t>Cambio de matriz (min/cambio)</t>
  </si>
  <si>
    <t>N° cambios/mes (est.)</t>
  </si>
  <si>
    <t>Pérdida por cambios (h/mes)</t>
  </si>
  <si>
    <t>Disponibilidad (cambios)</t>
  </si>
  <si>
    <t>PLANTA COMERCIAL — Cilindros que se fabrican en la planta industrial y van vacíos a la comercial</t>
  </si>
  <si>
    <t>Igual que la G1: cambio de tope y de programa por formato</t>
  </si>
  <si>
    <t>Es 32 porque contemplamos 4 cambios de cupula y 4 de fondo x semana (8*4)</t>
  </si>
  <si>
    <t>Puesto exclusivo del 1 kg: sin cambios de molde</t>
  </si>
  <si>
    <t>Total planta comercial</t>
  </si>
  <si>
    <t>Al cálculo de la línea de manuales entran solo ABC 1 / 2,5 / 5 / 10 kg: los de la planta industrial suman a terminados (filas 2–5) y los de la planta comercial a cilindros vacíos (filas 9–12). El resto de los tipos (Agua, AFFF, BC, Sales K, CO₂, HCFC/HFC, Clase D y rodantes de 25 a 100 kg) queda cargado como dato y no entra en el cálculo.</t>
  </si>
  <si>
    <t>Total recipientes</t>
  </si>
  <si>
    <t>PRODUCCIÓN CON SOBRESTOCK (perfil mensual de producción, % de la demanda anual)</t>
  </si>
  <si>
    <t>Regla: el pico de diciembre y enero se cubre con stock fabricado antes. Diciembre puede salir de stock del mismo año; enero solo de stock hecho en octubre y noviembre, porque recién desde octubre se puede numerar con el año siguiente.</t>
  </si>
  <si>
    <t>Nivel máximo de producción (L): el mínimo que cumple la regla del lote. El stock de enero tiene que entrar en la capacidad libre de octubre y noviembre: (Ene − L) ≤ (L − Oct) + (L − Nov), o sea L ≥ (Ene + Oct + Nov) / 3.</t>
  </si>
  <si>
    <t>Meses de sobrestock: se fabrica lo más tarde posible, hacia atrás desde noviembre y usando toda la capacidad libre hasta L, para que sean los menos meses posibles.</t>
  </si>
  <si>
    <t>Nivel máximo de producción mensual L (% del año)</t>
  </si>
  <si>
    <t>Por defecto el mayor de los L mínimos (lo fija el 1 kg). Se puede escribir otro valor, siempre que la columna G diga OK.</t>
  </si>
  <si>
    <t>L mínimo por regla de lote</t>
  </si>
  <si>
    <t>Exceso de diciembre</t>
  </si>
  <si>
    <t>Exceso de enero (año siguiente)</t>
  </si>
  <si>
    <t>Stock a fabricar (% del año)</t>
  </si>
  <si>
    <t>Meses de sobrestock</t>
  </si>
  <si>
    <t>Stock de enero cubierto en oct–nov</t>
  </si>
  <si>
    <t>Stock máximo acumulado (% del año)</t>
  </si>
  <si>
    <t>Modelo 1 kg</t>
  </si>
  <si>
    <t>Demanda (% del año)</t>
  </si>
  <si>
    <t>Capacidad libre hasta L</t>
  </si>
  <si>
    <t>Sobrestock fabricado</t>
  </si>
  <si>
    <t>PRODUCCIÓN (% del año)</t>
  </si>
  <si>
    <t>Modelo 2,5 kg</t>
  </si>
  <si>
    <t>Modelo 5 kg</t>
  </si>
  <si>
    <t>Modelo 10 kg</t>
  </si>
  <si>
    <t>Control: la fila PRODUCCIÓN suma 100 %, porque el stock de enero que se fabrica en oct–nov reemplaza al que se recibió del año anterior. En 2026, el primer año, no hay stock previo para enero.</t>
  </si>
  <si>
    <t>CORTE DE CHAPA: DOS GUILLOTINAS EN SERIE (Word «Esquemas de corte de cuerpos»: G1 Ermaksan CNC HGS 2600-6, G2 QC12Y 6 × 2500)</t>
  </si>
  <si>
    <t>Golpes por minuto G1 (Ermaksan CNC HGS 2600-6)</t>
  </si>
  <si>
    <t>Ficha Ermaksan HGS 2600-6: 24 golpes/min, tope trasero 1.000 mm</t>
  </si>
  <si>
    <t>Golpes por minuto G2 (QC12Y 6 × 2500)</t>
  </si>
  <si>
    <t>Molinari Panther HG 6 × 2500 / publicación Alibaba QC12Y: 20 golpes/min</t>
  </si>
  <si>
    <t>Manipulación G1 (min por hoja)</t>
  </si>
  <si>
    <t>Supuesto editable: cargar la hoja en la mesa y escuadrarla contra el tope</t>
  </si>
  <si>
    <t>Manipulación G2 (min por tanda de franjas)</t>
  </si>
  <si>
    <t>Supuesto editable: tomar las franjas del pulmón y alinearlas contra el tope</t>
  </si>
  <si>
    <t>Hoja (mm)</t>
  </si>
  <si>
    <t>Piezas por hoja</t>
  </si>
  <si>
    <t>Golpes G1 por hoja</t>
  </si>
  <si>
    <t>Golpes G2 por hoja</t>
  </si>
  <si>
    <t>Tandas G2 por hoja</t>
  </si>
  <si>
    <t>G1 (s/cuerpo)</t>
  </si>
  <si>
    <t>G2 (s/cuerpo)</t>
  </si>
  <si>
    <t>Recipientes 2035 (peso)</t>
  </si>
  <si>
    <t>1.220 × 2.440</t>
  </si>
  <si>
    <t>1.000 × 2.000</t>
  </si>
  <si>
    <t>1.500 × 3.000</t>
  </si>
  <si>
    <t>Promedio ponderado = tiempo tipo del puesto</t>
  </si>
  <si>
    <t>Golpes y piezas por hoja: tabla 2 del Word. El tiempo tipo es uno solo por puesto, así que se pondera por los recipientes de 2035 (terminados + cilindros vacíos). Golpes/min y manipulación son editables.</t>
  </si>
  <si>
    <t>Aprovechamiento por puesto</t>
  </si>
  <si>
    <t>Agrega máquina</t>
  </si>
  <si>
    <t>Agrega turno</t>
  </si>
  <si>
    <t>Agrega operario (puesto manual)</t>
  </si>
  <si>
    <t>Tercerizado</t>
  </si>
  <si>
    <t>Revisar</t>
  </si>
  <si>
    <t>Producción con sobrestock = demanda anual × perfil de producción (parametros_manuales, bloque PRODUCCIÓN CON SOBRESTOCK).</t>
  </si>
  <si>
    <t>Aprovechamiento máximo</t>
  </si>
  <si>
    <t>Máquinas/operarios en el puesto</t>
  </si>
  <si>
    <t>TOTAL máquinas / puestos</t>
  </si>
  <si>
    <t xml:space="preserve">Cantidad de turnos </t>
  </si>
  <si>
    <t xml:space="preserve">Cantidad de turnos en el año </t>
  </si>
  <si>
    <t>Turnos: esta hoja divide por la tabla de turnos (filas 60–85). Máquinas y turnos quedan en 1 en todos los puestos y años (sin los "/2" que estaban escritos a mano), para ajustarlos a mano.</t>
  </si>
  <si>
    <t>Año 2027</t>
  </si>
  <si>
    <t>COMPARACIÓN DE APROVECHAMIENTO MÁXIMO (cada hoja con sus propias máquinas y turnos)</t>
  </si>
  <si>
    <t>Sin sobrestock</t>
  </si>
  <si>
    <t>Con sobrestock</t>
  </si>
  <si>
    <t>Año 2028</t>
  </si>
  <si>
    <t>Año 2029</t>
  </si>
  <si>
    <t>Año 2030</t>
  </si>
  <si>
    <t>Año 2031</t>
  </si>
  <si>
    <t>Año 2032</t>
  </si>
  <si>
    <t>Año 2033</t>
  </si>
  <si>
    <t>Año 2034</t>
  </si>
  <si>
    <t>Año 2035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</si>
</sst>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#,##0.0"/>
    <numFmt numFmtId="166" formatCode="0.0%"/>
  </numFmts>
  <fonts count="10">
    <font>
      <sz val="11.0"/>
      <color theme="1"/>
      <name val="Calibri"/>
      <scheme val="minor"/>
    </font>
    <font>
      <b/>
      <sz val="11.0"/>
      <color theme="1"/>
      <name val="Arial"/>
    </font>
    <font>
      <sz val="11.0"/>
      <color theme="1"/>
      <name val="Calibri"/>
    </font>
    <font>
      <sz val="11.0"/>
      <color theme="1"/>
      <name val="Arial"/>
    </font>
    <font>
      <i/>
      <sz val="11.0"/>
      <color rgb="FF595959"/>
      <name val="Arial"/>
    </font>
    <font/>
    <font>
      <b/>
      <sz val="11.0"/>
      <color rgb="FFFFFFFF"/>
      <name val="Arial"/>
    </font>
    <font>
      <b/>
      <sz val="11.0"/>
      <color theme="1"/>
      <name val="Calibri"/>
    </font>
    <font>
      <b/>
      <sz val="11.0"/>
      <color rgb="FF000000"/>
      <name val="Arial"/>
    </font>
    <font>
      <sz val="11.0"/>
      <color rgb="FF008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  <fill>
      <patternFill patternType="solid">
        <fgColor rgb="FFE2EFDA"/>
        <bgColor rgb="FFE2EFD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E06666"/>
        <bgColor rgb="FFE06666"/>
      </patternFill>
    </fill>
    <fill>
      <patternFill patternType="solid">
        <fgColor rgb="FF4A86E8"/>
        <bgColor rgb="FF4A86E8"/>
      </patternFill>
    </fill>
    <fill>
      <patternFill patternType="solid">
        <fgColor rgb="FFFF00FF"/>
        <bgColor rgb="FFFF00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" fillId="0" fontId="3" numFmtId="1" xfId="0" applyAlignment="1" applyBorder="1" applyFont="1" applyNumberFormat="1">
      <alignment shrinkToFit="0" vertical="bottom" wrapText="0"/>
    </xf>
    <xf borderId="1" fillId="0" fontId="3" numFmtId="0" xfId="0" applyAlignment="1" applyBorder="1" applyFont="1">
      <alignment shrinkToFit="0" vertical="bottom" wrapText="0"/>
    </xf>
    <xf borderId="1" fillId="0" fontId="3" numFmtId="0" xfId="0" applyAlignment="1" applyBorder="1" applyFont="1">
      <alignment shrinkToFit="0" vertical="center" wrapText="1"/>
    </xf>
    <xf borderId="1" fillId="0" fontId="3" numFmtId="1" xfId="0" applyAlignment="1" applyBorder="1" applyFont="1" applyNumberFormat="1">
      <alignment shrinkToFit="0" vertical="center" wrapText="1"/>
    </xf>
    <xf borderId="1" fillId="0" fontId="3" numFmtId="164" xfId="0" applyAlignment="1" applyBorder="1" applyFont="1" applyNumberFormat="1">
      <alignment shrinkToFit="0" vertical="center" wrapText="1"/>
    </xf>
    <xf borderId="1" fillId="0" fontId="3" numFmtId="3" xfId="0" applyAlignment="1" applyBorder="1" applyFont="1" applyNumberFormat="1">
      <alignment shrinkToFit="0" vertical="bottom" wrapText="0"/>
    </xf>
    <xf borderId="1" fillId="0" fontId="3" numFmtId="165" xfId="0" applyAlignment="1" applyBorder="1" applyFont="1" applyNumberFormat="1">
      <alignment shrinkToFit="0" vertical="bottom" wrapText="0"/>
    </xf>
    <xf borderId="1" fillId="0" fontId="3" numFmtId="2" xfId="0" applyAlignment="1" applyBorder="1" applyFont="1" applyNumberFormat="1">
      <alignment shrinkToFit="0" vertical="center" wrapText="1"/>
    </xf>
    <xf borderId="1" fillId="0" fontId="3" numFmtId="9" xfId="0" applyAlignment="1" applyBorder="1" applyFont="1" applyNumberFormat="1">
      <alignment shrinkToFit="0" vertical="center" wrapText="1"/>
    </xf>
    <xf borderId="0" fillId="0" fontId="1" numFmtId="0" xfId="0" applyAlignment="1" applyFont="1">
      <alignment shrinkToFit="0" vertical="center" wrapText="1"/>
    </xf>
    <xf borderId="1" fillId="0" fontId="3" numFmtId="166" xfId="0" applyAlignment="1" applyBorder="1" applyFont="1" applyNumberFormat="1">
      <alignment shrinkToFit="0" vertical="center" wrapText="1"/>
    </xf>
    <xf borderId="1" fillId="0" fontId="1" numFmtId="0" xfId="0" applyAlignment="1" applyBorder="1" applyFont="1">
      <alignment shrinkToFit="0" vertical="bottom" wrapText="0"/>
    </xf>
    <xf borderId="1" fillId="0" fontId="1" numFmtId="3" xfId="0" applyAlignment="1" applyBorder="1" applyFont="1" applyNumberFormat="1">
      <alignment shrinkToFit="0" vertical="bottom" wrapText="0"/>
    </xf>
    <xf borderId="0" fillId="0" fontId="2" numFmtId="0" xfId="0" applyAlignment="1" applyFont="1">
      <alignment shrinkToFit="0" vertical="bottom" wrapText="0"/>
    </xf>
    <xf borderId="2" fillId="2" fontId="1" numFmtId="0" xfId="0" applyAlignment="1" applyBorder="1" applyFill="1" applyFont="1">
      <alignment horizontal="center" shrinkToFit="0" vertical="center" wrapText="1"/>
    </xf>
    <xf borderId="2" fillId="0" fontId="3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shrinkToFit="0" vertical="center" wrapText="1"/>
    </xf>
    <xf borderId="2" fillId="0" fontId="3" numFmtId="9" xfId="0" applyAlignment="1" applyBorder="1" applyFont="1" applyNumberFormat="1">
      <alignment shrinkToFit="0" vertical="center" wrapText="1"/>
    </xf>
    <xf borderId="2" fillId="3" fontId="3" numFmtId="2" xfId="0" applyAlignment="1" applyBorder="1" applyFill="1" applyFont="1" applyNumberFormat="1">
      <alignment shrinkToFit="0" vertical="center" wrapText="1"/>
    </xf>
    <xf borderId="2" fillId="0" fontId="3" numFmtId="166" xfId="0" applyAlignment="1" applyBorder="1" applyFont="1" applyNumberFormat="1">
      <alignment shrinkToFit="0" vertical="center" wrapText="1"/>
    </xf>
    <xf borderId="2" fillId="0" fontId="1" numFmtId="2" xfId="0" applyAlignment="1" applyBorder="1" applyFont="1" applyNumberFormat="1">
      <alignment shrinkToFit="0" vertical="center" wrapText="1"/>
    </xf>
    <xf borderId="2" fillId="0" fontId="3" numFmtId="3" xfId="0" applyAlignment="1" applyBorder="1" applyFont="1" applyNumberFormat="1">
      <alignment shrinkToFit="0" vertical="center" wrapText="1"/>
    </xf>
    <xf borderId="2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1" fillId="0" fontId="1" numFmtId="2" xfId="0" applyAlignment="1" applyBorder="1" applyFont="1" applyNumberFormat="1">
      <alignment shrinkToFit="0" vertical="bottom" wrapText="0"/>
    </xf>
    <xf borderId="3" fillId="2" fontId="1" numFmtId="0" xfId="0" applyAlignment="1" applyBorder="1" applyFill="1" applyFont="1">
      <alignment horizontal="center" shrinkToFit="0" vertical="center" wrapText="1"/>
    </xf>
    <xf borderId="4" fillId="0" fontId="5" numFmtId="0" xfId="0" applyBorder="1" applyFont="1"/>
    <xf borderId="5" fillId="0" fontId="5" numFmtId="0" xfId="0" applyBorder="1" applyFont="1"/>
    <xf borderId="2" fillId="4" fontId="1" numFmtId="0" xfId="0" applyAlignment="1" applyBorder="1" applyFill="1" applyFont="1">
      <alignment horizontal="center" shrinkToFit="0" vertical="center" wrapText="1"/>
    </xf>
    <xf borderId="2" fillId="0" fontId="3" numFmtId="10" xfId="0" applyAlignment="1" applyBorder="1" applyFont="1" applyNumberFormat="1">
      <alignment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5" fontId="1" numFmtId="10" xfId="0" applyAlignment="1" applyBorder="1" applyFill="1" applyFont="1" applyNumberFormat="1">
      <alignment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6" fontId="6" numFmtId="0" xfId="0" applyAlignment="1" applyBorder="1" applyFill="1" applyFont="1">
      <alignment horizontal="center" shrinkToFit="0" vertical="center" wrapText="1"/>
    </xf>
    <xf borderId="1" fillId="0" fontId="3" numFmtId="10" xfId="0" applyAlignment="1" applyBorder="1" applyFont="1" applyNumberFormat="1">
      <alignment shrinkToFit="0" vertical="center" wrapText="1"/>
    </xf>
    <xf borderId="1" fillId="0" fontId="1" numFmtId="1" xfId="0" applyAlignment="1" applyBorder="1" applyFont="1" applyNumberFormat="1">
      <alignment shrinkToFit="0" vertical="center" wrapText="1"/>
    </xf>
    <xf borderId="1" fillId="0" fontId="1" numFmtId="10" xfId="0" applyAlignment="1" applyBorder="1" applyFont="1" applyNumberFormat="1">
      <alignment shrinkToFit="0" vertical="center" wrapText="1"/>
    </xf>
    <xf borderId="0" fillId="0" fontId="7" numFmtId="0" xfId="0" applyAlignment="1" applyFont="1">
      <alignment shrinkToFit="0" vertical="center" wrapText="1"/>
    </xf>
    <xf borderId="6" fillId="7" fontId="2" numFmtId="0" xfId="0" applyAlignment="1" applyBorder="1" applyFill="1" applyFont="1">
      <alignment readingOrder="0" shrinkToFit="0" vertical="center" wrapText="1"/>
    </xf>
    <xf borderId="6" fillId="7" fontId="2" numFmtId="0" xfId="0" applyAlignment="1" applyBorder="1" applyFill="1" applyFont="1">
      <alignment shrinkToFit="0" vertical="center" wrapText="1"/>
    </xf>
    <xf borderId="0" fillId="0" fontId="2" numFmtId="2" xfId="0" applyAlignment="1" applyFont="1" applyNumberFormat="1">
      <alignment shrinkToFit="0" vertical="center" wrapText="1"/>
    </xf>
    <xf borderId="0" fillId="0" fontId="2" numFmtId="3" xfId="0" applyAlignment="1" applyFont="1" applyNumberFormat="1">
      <alignment shrinkToFit="0" vertical="center" wrapText="1"/>
    </xf>
    <xf borderId="0" fillId="0" fontId="7" numFmtId="2" xfId="0" applyAlignment="1" applyFont="1" applyNumberFormat="1">
      <alignment shrinkToFit="0" vertical="center" wrapText="1"/>
    </xf>
    <xf borderId="1" fillId="3" fontId="3" numFmtId="0" xfId="0" applyAlignment="1" applyBorder="1" applyFill="1" applyFont="1">
      <alignment shrinkToFit="0" vertical="bottom" wrapText="0"/>
    </xf>
    <xf borderId="1" fillId="0" fontId="3" numFmtId="9" xfId="0" applyAlignment="1" applyBorder="1" applyFont="1" applyNumberFormat="1">
      <alignment shrinkToFit="0" vertical="bottom" wrapText="0"/>
    </xf>
    <xf borderId="6" fillId="8" fontId="1" numFmtId="9" xfId="0" applyAlignment="1" applyBorder="1" applyFill="1" applyFont="1" applyNumberFormat="1">
      <alignment shrinkToFit="0" vertical="bottom" wrapText="0"/>
    </xf>
    <xf borderId="6" fillId="9" fontId="1" numFmtId="9" xfId="0" applyAlignment="1" applyBorder="1" applyFill="1" applyFont="1" applyNumberFormat="1">
      <alignment shrinkToFit="0" vertical="bottom" wrapText="0"/>
    </xf>
    <xf borderId="6" fillId="10" fontId="1" numFmtId="9" xfId="0" applyAlignment="1" applyBorder="1" applyFill="1" applyFont="1" applyNumberFormat="1">
      <alignment shrinkToFit="0" vertical="bottom" wrapText="0"/>
    </xf>
    <xf borderId="1" fillId="11" fontId="3" numFmtId="9" xfId="0" applyAlignment="1" applyBorder="1" applyFill="1" applyFont="1" applyNumberFormat="1">
      <alignment shrinkToFit="0" vertical="bottom" wrapText="0"/>
    </xf>
    <xf borderId="6" fillId="10" fontId="1" numFmtId="0" xfId="0" applyAlignment="1" applyBorder="1" applyFill="1" applyFont="1">
      <alignment shrinkToFit="0" vertical="bottom" wrapText="0"/>
    </xf>
    <xf borderId="6" fillId="9" fontId="1" numFmtId="0" xfId="0" applyAlignment="1" applyBorder="1" applyFill="1" applyFont="1">
      <alignment shrinkToFit="0" vertical="bottom" wrapText="0"/>
    </xf>
    <xf borderId="6" fillId="8" fontId="1" numFmtId="0" xfId="0" applyAlignment="1" applyBorder="1" applyFill="1" applyFont="1">
      <alignment shrinkToFit="0" vertical="bottom" wrapText="0"/>
    </xf>
    <xf borderId="6" fillId="12" fontId="1" numFmtId="0" xfId="0" applyAlignment="1" applyBorder="1" applyFill="1" applyFont="1">
      <alignment shrinkToFit="0" vertical="bottom" wrapText="0"/>
    </xf>
    <xf borderId="6" fillId="11" fontId="1" numFmtId="0" xfId="0" applyAlignment="1" applyBorder="1" applyFill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6" fillId="12" fontId="1" numFmtId="9" xfId="0" applyAlignment="1" applyBorder="1" applyFill="1" applyFont="1" applyNumberFormat="1">
      <alignment shrinkToFit="0" vertical="bottom" wrapText="0"/>
    </xf>
    <xf borderId="1" fillId="2" fontId="1" numFmtId="9" xfId="0" applyAlignment="1" applyBorder="1" applyFill="1" applyFont="1" applyNumberFormat="1">
      <alignment horizontal="center" shrinkToFit="0" vertical="center" wrapText="1"/>
    </xf>
    <xf borderId="1" fillId="2" fontId="1" numFmtId="1" xfId="0" applyAlignment="1" applyBorder="1" applyFill="1" applyFont="1" applyNumberFormat="1">
      <alignment horizontal="center" shrinkToFit="0" vertical="center" wrapText="1"/>
    </xf>
    <xf borderId="1" fillId="4" fontId="8" numFmtId="0" xfId="0" applyAlignment="1" applyBorder="1" applyFill="1" applyFont="1">
      <alignment horizontal="center" shrinkToFit="0" vertical="center" wrapText="1"/>
    </xf>
    <xf borderId="0" fillId="0" fontId="3" numFmtId="9" xfId="0" applyAlignment="1" applyFont="1" applyNumberFormat="1">
      <alignment shrinkToFit="0" vertical="bottom" wrapText="0"/>
    </xf>
    <xf borderId="1" fillId="9" fontId="1" numFmtId="9" xfId="0" applyAlignment="1" applyBorder="1" applyFill="1" applyFont="1" applyNumberFormat="1">
      <alignment shrinkToFit="0" vertical="bottom" wrapText="0"/>
    </xf>
    <xf borderId="1" fillId="0" fontId="1" numFmtId="9" xfId="0" applyAlignment="1" applyBorder="1" applyFont="1" applyNumberFormat="1">
      <alignment horizontal="center" shrinkToFit="0" vertical="center" wrapText="1"/>
    </xf>
    <xf borderId="6" fillId="4" fontId="8" numFmtId="0" xfId="0" applyAlignment="1" applyBorder="1" applyFill="1" applyFont="1">
      <alignment shrinkToFit="0" vertical="bottom" wrapText="0"/>
    </xf>
    <xf borderId="1" fillId="0" fontId="9" numFmtId="9" xfId="0" applyAlignment="1" applyBorder="1" applyFont="1" applyNumberFormat="1">
      <alignment shrinkToFit="0" vertical="bottom" wrapText="0"/>
    </xf>
    <xf borderId="1" fillId="0" fontId="1" numFmtId="9" xfId="0" applyAlignment="1" applyBorder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0"/>
    <col customWidth="1" min="2" max="11" width="11.0"/>
  </cols>
  <sheetData>
    <row r="1" ht="14.25" customHeight="1">
      <c r="A1" s="1" t="s">
        <v>1</v>
      </c>
      <c r="B1" s="1">
        <v>2026.0</v>
      </c>
      <c r="C1" s="1">
        <v>2027.0</v>
      </c>
      <c r="D1" s="1">
        <v>2028.0</v>
      </c>
      <c r="E1" s="1">
        <v>2029.0</v>
      </c>
      <c r="F1" s="1">
        <v>2030.0</v>
      </c>
      <c r="G1" s="1">
        <v>2031.0</v>
      </c>
      <c r="H1" s="1">
        <v>2032.0</v>
      </c>
      <c r="I1" s="1">
        <v>2033.0</v>
      </c>
      <c r="J1" s="1">
        <v>2034.0</v>
      </c>
      <c r="K1" s="1">
        <v>2035.0</v>
      </c>
    </row>
    <row r="2" ht="14.25" customHeight="1">
      <c r="A2" s="4" t="s">
        <v>23</v>
      </c>
      <c r="B2" s="8">
        <f t="shared" ref="B2:K2" si="1">B19+B33</f>
        <v>4179</v>
      </c>
      <c r="C2" s="8">
        <f t="shared" si="1"/>
        <v>5997</v>
      </c>
      <c r="D2" s="8">
        <f t="shared" si="1"/>
        <v>6852</v>
      </c>
      <c r="E2" s="8">
        <f t="shared" si="1"/>
        <v>8467</v>
      </c>
      <c r="F2" s="8">
        <f t="shared" si="1"/>
        <v>12681</v>
      </c>
      <c r="G2" s="8">
        <f t="shared" si="1"/>
        <v>15620</v>
      </c>
      <c r="H2" s="8">
        <f t="shared" si="1"/>
        <v>20333</v>
      </c>
      <c r="I2" s="8">
        <f t="shared" si="1"/>
        <v>25132</v>
      </c>
      <c r="J2" s="8">
        <f t="shared" si="1"/>
        <v>28573</v>
      </c>
      <c r="K2" s="8">
        <f t="shared" si="1"/>
        <v>32073</v>
      </c>
    </row>
    <row r="3" ht="14.25" customHeight="1">
      <c r="A3" s="4" t="s">
        <v>33</v>
      </c>
      <c r="B3" s="8">
        <f t="shared" ref="B3:K3" si="2">B20+B34</f>
        <v>298</v>
      </c>
      <c r="C3" s="8">
        <f t="shared" si="2"/>
        <v>718</v>
      </c>
      <c r="D3" s="8">
        <f t="shared" si="2"/>
        <v>1006</v>
      </c>
      <c r="E3" s="8">
        <f t="shared" si="2"/>
        <v>1536</v>
      </c>
      <c r="F3" s="8">
        <f t="shared" si="2"/>
        <v>2363</v>
      </c>
      <c r="G3" s="8">
        <f t="shared" si="2"/>
        <v>3320</v>
      </c>
      <c r="H3" s="8">
        <f t="shared" si="2"/>
        <v>4184</v>
      </c>
      <c r="I3" s="8">
        <f t="shared" si="2"/>
        <v>5195</v>
      </c>
      <c r="J3" s="8">
        <f t="shared" si="2"/>
        <v>6292</v>
      </c>
      <c r="K3" s="8">
        <f t="shared" si="2"/>
        <v>7529</v>
      </c>
    </row>
    <row r="4" ht="14.25" customHeight="1">
      <c r="A4" s="4" t="s">
        <v>38</v>
      </c>
      <c r="B4" s="8">
        <f t="shared" ref="B4:K4" si="3">B21+B35</f>
        <v>2267</v>
      </c>
      <c r="C4" s="8">
        <f t="shared" si="3"/>
        <v>3891</v>
      </c>
      <c r="D4" s="8">
        <f t="shared" si="3"/>
        <v>5192</v>
      </c>
      <c r="E4" s="8">
        <f t="shared" si="3"/>
        <v>7009</v>
      </c>
      <c r="F4" s="8">
        <f t="shared" si="3"/>
        <v>11086</v>
      </c>
      <c r="G4" s="8">
        <f t="shared" si="3"/>
        <v>14961</v>
      </c>
      <c r="H4" s="8">
        <f t="shared" si="3"/>
        <v>19298</v>
      </c>
      <c r="I4" s="8">
        <f t="shared" si="3"/>
        <v>23834</v>
      </c>
      <c r="J4" s="8">
        <f t="shared" si="3"/>
        <v>27470</v>
      </c>
      <c r="K4" s="8">
        <f t="shared" si="3"/>
        <v>31291</v>
      </c>
    </row>
    <row r="5" ht="14.25" customHeight="1">
      <c r="A5" s="4" t="s">
        <v>43</v>
      </c>
      <c r="B5" s="8">
        <f t="shared" ref="B5:K5" si="4">B22+B36</f>
        <v>93</v>
      </c>
      <c r="C5" s="8">
        <f t="shared" si="4"/>
        <v>181</v>
      </c>
      <c r="D5" s="8">
        <f t="shared" si="4"/>
        <v>261</v>
      </c>
      <c r="E5" s="8">
        <f t="shared" si="4"/>
        <v>373</v>
      </c>
      <c r="F5" s="8">
        <f t="shared" si="4"/>
        <v>624</v>
      </c>
      <c r="G5" s="8">
        <f t="shared" si="4"/>
        <v>900</v>
      </c>
      <c r="H5" s="8">
        <f t="shared" si="4"/>
        <v>1159</v>
      </c>
      <c r="I5" s="8">
        <f t="shared" si="4"/>
        <v>1431</v>
      </c>
      <c r="J5" s="8">
        <f t="shared" si="4"/>
        <v>1650</v>
      </c>
      <c r="K5" s="8">
        <f t="shared" si="4"/>
        <v>1882</v>
      </c>
    </row>
    <row r="6" ht="14.25" customHeight="1">
      <c r="A6" s="14" t="s">
        <v>46</v>
      </c>
      <c r="B6" s="15">
        <f t="shared" ref="B6:K6" si="5">SUM(B2:B5)</f>
        <v>6837</v>
      </c>
      <c r="C6" s="15">
        <f t="shared" si="5"/>
        <v>10787</v>
      </c>
      <c r="D6" s="15">
        <f t="shared" si="5"/>
        <v>13311</v>
      </c>
      <c r="E6" s="15">
        <f t="shared" si="5"/>
        <v>17385</v>
      </c>
      <c r="F6" s="15">
        <f t="shared" si="5"/>
        <v>26754</v>
      </c>
      <c r="G6" s="15">
        <f t="shared" si="5"/>
        <v>34801</v>
      </c>
      <c r="H6" s="15">
        <f t="shared" si="5"/>
        <v>44974</v>
      </c>
      <c r="I6" s="15">
        <f t="shared" si="5"/>
        <v>55592</v>
      </c>
      <c r="J6" s="15">
        <f t="shared" si="5"/>
        <v>63985</v>
      </c>
      <c r="K6" s="15">
        <f t="shared" si="5"/>
        <v>72775</v>
      </c>
    </row>
    <row r="7" ht="14.25" customHeight="1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</row>
    <row r="8" ht="14.25" customHeight="1">
      <c r="A8" s="1" t="s">
        <v>54</v>
      </c>
      <c r="B8" s="1">
        <v>2026.0</v>
      </c>
      <c r="C8" s="1">
        <v>2027.0</v>
      </c>
      <c r="D8" s="1">
        <v>2028.0</v>
      </c>
      <c r="E8" s="1">
        <v>2029.0</v>
      </c>
      <c r="F8" s="1">
        <v>2030.0</v>
      </c>
      <c r="G8" s="1">
        <v>2031.0</v>
      </c>
      <c r="H8" s="1">
        <v>2032.0</v>
      </c>
      <c r="I8" s="1">
        <v>2033.0</v>
      </c>
      <c r="J8" s="1">
        <v>2034.0</v>
      </c>
      <c r="K8" s="1">
        <v>2035.0</v>
      </c>
    </row>
    <row r="9" ht="14.25" customHeight="1">
      <c r="A9" s="4" t="s">
        <v>64</v>
      </c>
      <c r="B9" s="8">
        <f t="shared" ref="B9:K9" si="6">B26+B54</f>
        <v>0</v>
      </c>
      <c r="C9" s="8">
        <f t="shared" si="6"/>
        <v>0</v>
      </c>
      <c r="D9" s="8">
        <f t="shared" si="6"/>
        <v>7662</v>
      </c>
      <c r="E9" s="8">
        <f t="shared" si="6"/>
        <v>26695</v>
      </c>
      <c r="F9" s="8">
        <f t="shared" si="6"/>
        <v>49435</v>
      </c>
      <c r="G9" s="8">
        <f t="shared" si="6"/>
        <v>71680</v>
      </c>
      <c r="H9" s="8">
        <f t="shared" si="6"/>
        <v>101341</v>
      </c>
      <c r="I9" s="8">
        <f t="shared" si="6"/>
        <v>131001</v>
      </c>
      <c r="J9" s="8">
        <f t="shared" si="6"/>
        <v>146820</v>
      </c>
      <c r="K9" s="8">
        <f t="shared" si="6"/>
        <v>170548</v>
      </c>
    </row>
    <row r="10" ht="14.25" customHeight="1">
      <c r="A10" s="4" t="s">
        <v>69</v>
      </c>
      <c r="B10" s="8">
        <f t="shared" ref="B10:K10" si="7">B27+B55</f>
        <v>4</v>
      </c>
      <c r="C10" s="8">
        <f t="shared" si="7"/>
        <v>15</v>
      </c>
      <c r="D10" s="8">
        <f t="shared" si="7"/>
        <v>334</v>
      </c>
      <c r="E10" s="8">
        <f t="shared" si="7"/>
        <v>1106</v>
      </c>
      <c r="F10" s="8">
        <f t="shared" si="7"/>
        <v>2023</v>
      </c>
      <c r="G10" s="8">
        <f t="shared" si="7"/>
        <v>2922</v>
      </c>
      <c r="H10" s="8">
        <f t="shared" si="7"/>
        <v>4106</v>
      </c>
      <c r="I10" s="8">
        <f t="shared" si="7"/>
        <v>5282</v>
      </c>
      <c r="J10" s="8">
        <f t="shared" si="7"/>
        <v>5913</v>
      </c>
      <c r="K10" s="8">
        <f t="shared" si="7"/>
        <v>6854</v>
      </c>
    </row>
    <row r="11" ht="14.25" customHeight="1">
      <c r="A11" s="4" t="s">
        <v>70</v>
      </c>
      <c r="B11" s="8">
        <f t="shared" ref="B11:K11" si="8">B28+B56</f>
        <v>20</v>
      </c>
      <c r="C11" s="8">
        <f t="shared" si="8"/>
        <v>78</v>
      </c>
      <c r="D11" s="8">
        <f t="shared" si="8"/>
        <v>1654</v>
      </c>
      <c r="E11" s="8">
        <f t="shared" si="8"/>
        <v>5483</v>
      </c>
      <c r="F11" s="8">
        <f t="shared" si="8"/>
        <v>10018</v>
      </c>
      <c r="G11" s="8">
        <f t="shared" si="8"/>
        <v>14468</v>
      </c>
      <c r="H11" s="8">
        <f t="shared" si="8"/>
        <v>20312</v>
      </c>
      <c r="I11" s="8">
        <f t="shared" si="8"/>
        <v>26117</v>
      </c>
      <c r="J11" s="8">
        <f t="shared" si="8"/>
        <v>29236</v>
      </c>
      <c r="K11" s="8">
        <f t="shared" si="8"/>
        <v>33882</v>
      </c>
    </row>
    <row r="12" ht="14.25" customHeight="1">
      <c r="A12" s="4" t="s">
        <v>72</v>
      </c>
      <c r="B12" s="8">
        <f t="shared" ref="B12:K12" si="9">B29+B57</f>
        <v>2</v>
      </c>
      <c r="C12" s="8">
        <f t="shared" si="9"/>
        <v>6</v>
      </c>
      <c r="D12" s="8">
        <f t="shared" si="9"/>
        <v>104</v>
      </c>
      <c r="E12" s="8">
        <f t="shared" si="9"/>
        <v>341</v>
      </c>
      <c r="F12" s="8">
        <f t="shared" si="9"/>
        <v>620</v>
      </c>
      <c r="G12" s="8">
        <f t="shared" si="9"/>
        <v>896</v>
      </c>
      <c r="H12" s="8">
        <f t="shared" si="9"/>
        <v>1252</v>
      </c>
      <c r="I12" s="8">
        <f t="shared" si="9"/>
        <v>1608</v>
      </c>
      <c r="J12" s="8">
        <f t="shared" si="9"/>
        <v>1799</v>
      </c>
      <c r="K12" s="8">
        <f t="shared" si="9"/>
        <v>2084</v>
      </c>
    </row>
    <row r="13" ht="14.25" customHeight="1">
      <c r="A13" s="14" t="s">
        <v>75</v>
      </c>
      <c r="B13" s="15">
        <f t="shared" ref="B13:K13" si="10">SUM(B9:B12)</f>
        <v>26</v>
      </c>
      <c r="C13" s="15">
        <f t="shared" si="10"/>
        <v>99</v>
      </c>
      <c r="D13" s="15">
        <f t="shared" si="10"/>
        <v>9754</v>
      </c>
      <c r="E13" s="15">
        <f t="shared" si="10"/>
        <v>33625</v>
      </c>
      <c r="F13" s="15">
        <f t="shared" si="10"/>
        <v>62096</v>
      </c>
      <c r="G13" s="15">
        <f t="shared" si="10"/>
        <v>89966</v>
      </c>
      <c r="H13" s="15">
        <f t="shared" si="10"/>
        <v>127011</v>
      </c>
      <c r="I13" s="15">
        <f t="shared" si="10"/>
        <v>164008</v>
      </c>
      <c r="J13" s="15">
        <f t="shared" si="10"/>
        <v>183768</v>
      </c>
      <c r="K13" s="15">
        <f t="shared" si="10"/>
        <v>213368</v>
      </c>
    </row>
    <row r="14" ht="14.25" customHeight="1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</row>
    <row r="15" ht="14.25" customHeight="1">
      <c r="A15" s="14" t="s">
        <v>83</v>
      </c>
      <c r="B15" s="15">
        <f t="shared" ref="B15:K15" si="11">B6+B13</f>
        <v>6863</v>
      </c>
      <c r="C15" s="15">
        <f t="shared" si="11"/>
        <v>10886</v>
      </c>
      <c r="D15" s="15">
        <f t="shared" si="11"/>
        <v>23065</v>
      </c>
      <c r="E15" s="15">
        <f t="shared" si="11"/>
        <v>51010</v>
      </c>
      <c r="F15" s="15">
        <f t="shared" si="11"/>
        <v>88850</v>
      </c>
      <c r="G15" s="15">
        <f t="shared" si="11"/>
        <v>124767</v>
      </c>
      <c r="H15" s="15">
        <f t="shared" si="11"/>
        <v>171985</v>
      </c>
      <c r="I15" s="15">
        <f t="shared" si="11"/>
        <v>219600</v>
      </c>
      <c r="J15" s="15">
        <f t="shared" si="11"/>
        <v>247753</v>
      </c>
      <c r="K15" s="15">
        <f t="shared" si="11"/>
        <v>286143</v>
      </c>
    </row>
    <row r="16" ht="14.25" customHeight="1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</row>
    <row r="17" ht="14.25" customHeight="1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</row>
    <row r="18" ht="14.25" customHeight="1">
      <c r="A18" s="1" t="s">
        <v>92</v>
      </c>
      <c r="B18" s="1">
        <v>2026.0</v>
      </c>
      <c r="C18" s="1">
        <v>2027.0</v>
      </c>
      <c r="D18" s="1">
        <v>2028.0</v>
      </c>
      <c r="E18" s="1">
        <v>2029.0</v>
      </c>
      <c r="F18" s="1">
        <v>2030.0</v>
      </c>
      <c r="G18" s="1">
        <v>2031.0</v>
      </c>
      <c r="H18" s="1">
        <v>2032.0</v>
      </c>
      <c r="I18" s="1">
        <v>2033.0</v>
      </c>
      <c r="J18" s="1">
        <v>2034.0</v>
      </c>
      <c r="K18" s="1">
        <v>2035.0</v>
      </c>
    </row>
    <row r="19" ht="14.25" customHeight="1">
      <c r="A19" s="4" t="s">
        <v>23</v>
      </c>
      <c r="B19" s="8">
        <v>4179.0</v>
      </c>
      <c r="C19" s="8">
        <v>5997.0</v>
      </c>
      <c r="D19" s="8">
        <v>6852.0</v>
      </c>
      <c r="E19" s="8">
        <v>8467.0</v>
      </c>
      <c r="F19" s="8">
        <v>12681.0</v>
      </c>
      <c r="G19" s="8">
        <v>15620.0</v>
      </c>
      <c r="H19" s="8">
        <v>20333.0</v>
      </c>
      <c r="I19" s="8">
        <v>25132.0</v>
      </c>
      <c r="J19" s="8">
        <v>28573.0</v>
      </c>
      <c r="K19" s="8">
        <v>32073.0</v>
      </c>
    </row>
    <row r="20" ht="14.25" customHeight="1">
      <c r="A20" s="4" t="s">
        <v>33</v>
      </c>
      <c r="B20" s="8">
        <v>295.0</v>
      </c>
      <c r="C20" s="8">
        <v>709.0</v>
      </c>
      <c r="D20" s="8">
        <v>987.0</v>
      </c>
      <c r="E20" s="8">
        <v>1501.0</v>
      </c>
      <c r="F20" s="8">
        <v>2312.0</v>
      </c>
      <c r="G20" s="8">
        <v>3252.0</v>
      </c>
      <c r="H20" s="8">
        <v>4103.0</v>
      </c>
      <c r="I20" s="8">
        <v>5105.0</v>
      </c>
      <c r="J20" s="8">
        <v>6195.0</v>
      </c>
      <c r="K20" s="8">
        <v>7425.0</v>
      </c>
    </row>
    <row r="21" ht="14.25" customHeight="1">
      <c r="A21" s="4" t="s">
        <v>38</v>
      </c>
      <c r="B21" s="8">
        <v>2256.0</v>
      </c>
      <c r="C21" s="8">
        <v>3847.0</v>
      </c>
      <c r="D21" s="8">
        <v>5094.0</v>
      </c>
      <c r="E21" s="8">
        <v>6823.0</v>
      </c>
      <c r="F21" s="8">
        <v>10819.0</v>
      </c>
      <c r="G21" s="8">
        <v>14606.0</v>
      </c>
      <c r="H21" s="8">
        <v>18878.0</v>
      </c>
      <c r="I21" s="8">
        <v>23368.0</v>
      </c>
      <c r="J21" s="8">
        <v>26968.0</v>
      </c>
      <c r="K21" s="8">
        <v>30751.0</v>
      </c>
    </row>
    <row r="22" ht="14.25" customHeight="1">
      <c r="A22" s="4" t="s">
        <v>43</v>
      </c>
      <c r="B22" s="8">
        <v>92.0</v>
      </c>
      <c r="C22" s="8">
        <v>177.0</v>
      </c>
      <c r="D22" s="8">
        <v>253.0</v>
      </c>
      <c r="E22" s="8">
        <v>358.0</v>
      </c>
      <c r="F22" s="8">
        <v>603.0</v>
      </c>
      <c r="G22" s="8">
        <v>872.0</v>
      </c>
      <c r="H22" s="8">
        <v>1127.0</v>
      </c>
      <c r="I22" s="8">
        <v>1395.0</v>
      </c>
      <c r="J22" s="8">
        <v>1612.0</v>
      </c>
      <c r="K22" s="8">
        <v>1841.0</v>
      </c>
    </row>
    <row r="23" ht="14.25" customHeight="1">
      <c r="A23" s="14" t="s">
        <v>101</v>
      </c>
      <c r="B23" s="15">
        <f t="shared" ref="B23:K23" si="12">SUM(B19:B22)</f>
        <v>6822</v>
      </c>
      <c r="C23" s="15">
        <f t="shared" si="12"/>
        <v>10730</v>
      </c>
      <c r="D23" s="15">
        <f t="shared" si="12"/>
        <v>13186</v>
      </c>
      <c r="E23" s="15">
        <f t="shared" si="12"/>
        <v>17149</v>
      </c>
      <c r="F23" s="15">
        <f t="shared" si="12"/>
        <v>26415</v>
      </c>
      <c r="G23" s="15">
        <f t="shared" si="12"/>
        <v>34350</v>
      </c>
      <c r="H23" s="15">
        <f t="shared" si="12"/>
        <v>44441</v>
      </c>
      <c r="I23" s="15">
        <f t="shared" si="12"/>
        <v>55000</v>
      </c>
      <c r="J23" s="15">
        <f t="shared" si="12"/>
        <v>63348</v>
      </c>
      <c r="K23" s="15">
        <f t="shared" si="12"/>
        <v>72090</v>
      </c>
    </row>
    <row r="24" ht="14.25" customHeight="1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</row>
    <row r="25" ht="14.25" customHeight="1">
      <c r="A25" s="1" t="s">
        <v>107</v>
      </c>
      <c r="B25" s="1">
        <v>2026.0</v>
      </c>
      <c r="C25" s="1">
        <v>2027.0</v>
      </c>
      <c r="D25" s="1">
        <v>2028.0</v>
      </c>
      <c r="E25" s="1">
        <v>2029.0</v>
      </c>
      <c r="F25" s="1">
        <v>2030.0</v>
      </c>
      <c r="G25" s="1">
        <v>2031.0</v>
      </c>
      <c r="H25" s="1">
        <v>2032.0</v>
      </c>
      <c r="I25" s="1">
        <v>2033.0</v>
      </c>
      <c r="J25" s="1">
        <v>2034.0</v>
      </c>
      <c r="K25" s="1">
        <v>2035.0</v>
      </c>
    </row>
    <row r="26" ht="14.25" customHeight="1">
      <c r="A26" s="4" t="s">
        <v>64</v>
      </c>
      <c r="B26" s="8">
        <v>0.0</v>
      </c>
      <c r="C26" s="8">
        <v>0.0</v>
      </c>
      <c r="D26" s="8">
        <v>7662.0</v>
      </c>
      <c r="E26" s="8">
        <v>26695.0</v>
      </c>
      <c r="F26" s="8">
        <v>49435.0</v>
      </c>
      <c r="G26" s="8">
        <v>71680.0</v>
      </c>
      <c r="H26" s="8">
        <v>101341.0</v>
      </c>
      <c r="I26" s="8">
        <v>131001.0</v>
      </c>
      <c r="J26" s="8">
        <v>146820.0</v>
      </c>
      <c r="K26" s="8">
        <v>170548.0</v>
      </c>
    </row>
    <row r="27" ht="14.25" customHeight="1">
      <c r="A27" s="4" t="s">
        <v>69</v>
      </c>
      <c r="B27" s="8">
        <v>0.0</v>
      </c>
      <c r="C27" s="8">
        <v>0.0</v>
      </c>
      <c r="D27" s="8">
        <v>300.0</v>
      </c>
      <c r="E27" s="8">
        <v>1044.0</v>
      </c>
      <c r="F27" s="8">
        <v>1933.0</v>
      </c>
      <c r="G27" s="8">
        <v>2803.0</v>
      </c>
      <c r="H27" s="8">
        <v>3963.0</v>
      </c>
      <c r="I27" s="8">
        <v>5123.0</v>
      </c>
      <c r="J27" s="8">
        <v>5741.0</v>
      </c>
      <c r="K27" s="8">
        <v>6669.0</v>
      </c>
    </row>
    <row r="28" ht="14.25" customHeight="1">
      <c r="A28" s="4" t="s">
        <v>70</v>
      </c>
      <c r="B28" s="8">
        <v>0.0</v>
      </c>
      <c r="C28" s="8">
        <v>0.0</v>
      </c>
      <c r="D28" s="8">
        <v>1479.0</v>
      </c>
      <c r="E28" s="8">
        <v>5152.0</v>
      </c>
      <c r="F28" s="8">
        <v>9541.0</v>
      </c>
      <c r="G28" s="8">
        <v>13834.0</v>
      </c>
      <c r="H28" s="8">
        <v>19559.0</v>
      </c>
      <c r="I28" s="8">
        <v>25283.0</v>
      </c>
      <c r="J28" s="8">
        <v>28336.0</v>
      </c>
      <c r="K28" s="8">
        <v>32915.0</v>
      </c>
    </row>
    <row r="29" ht="14.25" customHeight="1">
      <c r="A29" s="4" t="s">
        <v>72</v>
      </c>
      <c r="B29" s="8">
        <v>0.0</v>
      </c>
      <c r="C29" s="8">
        <v>0.0</v>
      </c>
      <c r="D29" s="8">
        <v>90.0</v>
      </c>
      <c r="E29" s="8">
        <v>315.0</v>
      </c>
      <c r="F29" s="8">
        <v>583.0</v>
      </c>
      <c r="G29" s="8">
        <v>846.0</v>
      </c>
      <c r="H29" s="8">
        <v>1195.0</v>
      </c>
      <c r="I29" s="8">
        <v>1545.0</v>
      </c>
      <c r="J29" s="8">
        <v>1731.0</v>
      </c>
      <c r="K29" s="8">
        <v>2011.0</v>
      </c>
    </row>
    <row r="30" ht="14.25" customHeight="1">
      <c r="A30" s="14" t="s">
        <v>116</v>
      </c>
      <c r="B30" s="15">
        <f t="shared" ref="B30:K30" si="13">SUM(B26:B29)</f>
        <v>0</v>
      </c>
      <c r="C30" s="15">
        <f t="shared" si="13"/>
        <v>0</v>
      </c>
      <c r="D30" s="15">
        <f t="shared" si="13"/>
        <v>9531</v>
      </c>
      <c r="E30" s="15">
        <f t="shared" si="13"/>
        <v>33206</v>
      </c>
      <c r="F30" s="15">
        <f t="shared" si="13"/>
        <v>61492</v>
      </c>
      <c r="G30" s="15">
        <f t="shared" si="13"/>
        <v>89163</v>
      </c>
      <c r="H30" s="15">
        <f t="shared" si="13"/>
        <v>126058</v>
      </c>
      <c r="I30" s="15">
        <f t="shared" si="13"/>
        <v>162952</v>
      </c>
      <c r="J30" s="15">
        <f t="shared" si="13"/>
        <v>182628</v>
      </c>
      <c r="K30" s="15">
        <f t="shared" si="13"/>
        <v>212143</v>
      </c>
    </row>
    <row r="31" ht="14.25" customHeight="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</row>
    <row r="32" ht="14.25" customHeight="1">
      <c r="A32" s="1" t="s">
        <v>123</v>
      </c>
      <c r="B32" s="1">
        <v>2026.0</v>
      </c>
      <c r="C32" s="1">
        <v>2027.0</v>
      </c>
      <c r="D32" s="1">
        <v>2028.0</v>
      </c>
      <c r="E32" s="1">
        <v>2029.0</v>
      </c>
      <c r="F32" s="1">
        <v>2030.0</v>
      </c>
      <c r="G32" s="1">
        <v>2031.0</v>
      </c>
      <c r="H32" s="1">
        <v>2032.0</v>
      </c>
      <c r="I32" s="1">
        <v>2033.0</v>
      </c>
      <c r="J32" s="1">
        <v>2034.0</v>
      </c>
      <c r="K32" s="1">
        <v>2035.0</v>
      </c>
    </row>
    <row r="33" ht="14.25" customHeight="1">
      <c r="A33" s="4" t="s">
        <v>23</v>
      </c>
      <c r="B33" s="8">
        <v>0.0</v>
      </c>
      <c r="C33" s="8">
        <v>0.0</v>
      </c>
      <c r="D33" s="8">
        <v>0.0</v>
      </c>
      <c r="E33" s="8">
        <v>0.0</v>
      </c>
      <c r="F33" s="8">
        <v>0.0</v>
      </c>
      <c r="G33" s="8">
        <v>0.0</v>
      </c>
      <c r="H33" s="8">
        <v>0.0</v>
      </c>
      <c r="I33" s="8">
        <v>0.0</v>
      </c>
      <c r="J33" s="8">
        <v>0.0</v>
      </c>
      <c r="K33" s="8">
        <v>0.0</v>
      </c>
    </row>
    <row r="34" ht="14.25" customHeight="1">
      <c r="A34" s="4" t="s">
        <v>33</v>
      </c>
      <c r="B34" s="8">
        <v>3.0</v>
      </c>
      <c r="C34" s="8">
        <v>9.0</v>
      </c>
      <c r="D34" s="8">
        <v>19.0</v>
      </c>
      <c r="E34" s="8">
        <v>35.0</v>
      </c>
      <c r="F34" s="8">
        <v>51.0</v>
      </c>
      <c r="G34" s="8">
        <v>68.0</v>
      </c>
      <c r="H34" s="8">
        <v>81.0</v>
      </c>
      <c r="I34" s="8">
        <v>90.0</v>
      </c>
      <c r="J34" s="8">
        <v>97.0</v>
      </c>
      <c r="K34" s="8">
        <v>104.0</v>
      </c>
    </row>
    <row r="35" ht="14.25" customHeight="1">
      <c r="A35" s="4" t="s">
        <v>38</v>
      </c>
      <c r="B35" s="8">
        <v>11.0</v>
      </c>
      <c r="C35" s="8">
        <v>44.0</v>
      </c>
      <c r="D35" s="8">
        <v>98.0</v>
      </c>
      <c r="E35" s="8">
        <v>186.0</v>
      </c>
      <c r="F35" s="8">
        <v>267.0</v>
      </c>
      <c r="G35" s="8">
        <v>355.0</v>
      </c>
      <c r="H35" s="8">
        <v>420.0</v>
      </c>
      <c r="I35" s="8">
        <v>466.0</v>
      </c>
      <c r="J35" s="8">
        <v>502.0</v>
      </c>
      <c r="K35" s="8">
        <v>540.0</v>
      </c>
    </row>
    <row r="36" ht="14.25" customHeight="1">
      <c r="A36" s="4" t="s">
        <v>43</v>
      </c>
      <c r="B36" s="8">
        <v>1.0</v>
      </c>
      <c r="C36" s="8">
        <v>4.0</v>
      </c>
      <c r="D36" s="8">
        <v>8.0</v>
      </c>
      <c r="E36" s="8">
        <v>15.0</v>
      </c>
      <c r="F36" s="8">
        <v>21.0</v>
      </c>
      <c r="G36" s="8">
        <v>28.0</v>
      </c>
      <c r="H36" s="8">
        <v>32.0</v>
      </c>
      <c r="I36" s="8">
        <v>36.0</v>
      </c>
      <c r="J36" s="8">
        <v>38.0</v>
      </c>
      <c r="K36" s="8">
        <v>41.0</v>
      </c>
    </row>
    <row r="37" ht="14.25" customHeight="1">
      <c r="A37" s="4" t="s">
        <v>131</v>
      </c>
      <c r="B37" s="8">
        <v>1.0</v>
      </c>
      <c r="C37" s="8">
        <v>4.0</v>
      </c>
      <c r="D37" s="8">
        <v>10.0</v>
      </c>
      <c r="E37" s="8">
        <v>17.0</v>
      </c>
      <c r="F37" s="8">
        <v>25.0</v>
      </c>
      <c r="G37" s="8">
        <v>33.0</v>
      </c>
      <c r="H37" s="8">
        <v>38.0</v>
      </c>
      <c r="I37" s="8">
        <v>42.0</v>
      </c>
      <c r="J37" s="8">
        <v>45.0</v>
      </c>
      <c r="K37" s="8">
        <v>49.0</v>
      </c>
    </row>
    <row r="38" ht="14.25" customHeight="1">
      <c r="A38" s="4" t="s">
        <v>133</v>
      </c>
      <c r="B38" s="8">
        <v>1.0</v>
      </c>
      <c r="C38" s="8">
        <v>1.0</v>
      </c>
      <c r="D38" s="8">
        <v>2.0</v>
      </c>
      <c r="E38" s="8">
        <v>2.0</v>
      </c>
      <c r="F38" s="8">
        <v>3.0</v>
      </c>
      <c r="G38" s="8">
        <v>4.0</v>
      </c>
      <c r="H38" s="8">
        <v>5.0</v>
      </c>
      <c r="I38" s="8">
        <v>5.0</v>
      </c>
      <c r="J38" s="8">
        <v>6.0</v>
      </c>
      <c r="K38" s="8">
        <v>6.0</v>
      </c>
    </row>
    <row r="39" ht="14.25" customHeight="1">
      <c r="A39" s="4" t="s">
        <v>136</v>
      </c>
      <c r="B39" s="8">
        <v>1.0</v>
      </c>
      <c r="C39" s="8">
        <v>1.0</v>
      </c>
      <c r="D39" s="8">
        <v>1.0</v>
      </c>
      <c r="E39" s="8">
        <v>2.0</v>
      </c>
      <c r="F39" s="8">
        <v>2.0</v>
      </c>
      <c r="G39" s="8">
        <v>2.0</v>
      </c>
      <c r="H39" s="8">
        <v>3.0</v>
      </c>
      <c r="I39" s="8">
        <v>3.0</v>
      </c>
      <c r="J39" s="8">
        <v>3.0</v>
      </c>
      <c r="K39" s="8">
        <v>4.0</v>
      </c>
    </row>
    <row r="40" ht="14.25" customHeight="1">
      <c r="A40" s="4" t="s">
        <v>137</v>
      </c>
      <c r="B40" s="8">
        <v>1.0</v>
      </c>
      <c r="C40" s="8">
        <v>1.0</v>
      </c>
      <c r="D40" s="8">
        <v>1.0</v>
      </c>
      <c r="E40" s="8">
        <v>1.0</v>
      </c>
      <c r="F40" s="8">
        <v>1.0</v>
      </c>
      <c r="G40" s="8">
        <v>2.0</v>
      </c>
      <c r="H40" s="8">
        <v>2.0</v>
      </c>
      <c r="I40" s="8">
        <v>2.0</v>
      </c>
      <c r="J40" s="8">
        <v>2.0</v>
      </c>
      <c r="K40" s="8">
        <v>2.0</v>
      </c>
    </row>
    <row r="41" ht="14.25" customHeight="1">
      <c r="A41" s="4" t="s">
        <v>140</v>
      </c>
      <c r="B41" s="8">
        <v>1.0</v>
      </c>
      <c r="C41" s="8">
        <v>3.0</v>
      </c>
      <c r="D41" s="8">
        <v>6.0</v>
      </c>
      <c r="E41" s="8">
        <v>11.0</v>
      </c>
      <c r="F41" s="8">
        <v>16.0</v>
      </c>
      <c r="G41" s="8">
        <v>21.0</v>
      </c>
      <c r="H41" s="8">
        <v>24.0</v>
      </c>
      <c r="I41" s="8">
        <v>27.0</v>
      </c>
      <c r="J41" s="8">
        <v>29.0</v>
      </c>
      <c r="K41" s="8">
        <v>31.0</v>
      </c>
    </row>
    <row r="42" ht="14.25" customHeight="1">
      <c r="A42" s="4" t="s">
        <v>143</v>
      </c>
      <c r="B42" s="8">
        <v>3.0</v>
      </c>
      <c r="C42" s="8">
        <v>12.0</v>
      </c>
      <c r="D42" s="8">
        <v>27.0</v>
      </c>
      <c r="E42" s="8">
        <v>51.0</v>
      </c>
      <c r="F42" s="8">
        <v>73.0</v>
      </c>
      <c r="G42" s="8">
        <v>97.0</v>
      </c>
      <c r="H42" s="8">
        <v>114.0</v>
      </c>
      <c r="I42" s="8">
        <v>126.0</v>
      </c>
      <c r="J42" s="8">
        <v>136.0</v>
      </c>
      <c r="K42" s="8">
        <v>146.0</v>
      </c>
    </row>
    <row r="43" ht="14.25" customHeight="1">
      <c r="A43" s="4" t="s">
        <v>144</v>
      </c>
      <c r="B43" s="8">
        <v>1.0</v>
      </c>
      <c r="C43" s="8">
        <v>4.0</v>
      </c>
      <c r="D43" s="8">
        <v>7.0</v>
      </c>
      <c r="E43" s="8">
        <v>12.0</v>
      </c>
      <c r="F43" s="8">
        <v>17.0</v>
      </c>
      <c r="G43" s="8">
        <v>23.0</v>
      </c>
      <c r="H43" s="8">
        <v>25.0</v>
      </c>
      <c r="I43" s="8">
        <v>29.0</v>
      </c>
      <c r="J43" s="8">
        <v>31.0</v>
      </c>
      <c r="K43" s="8">
        <v>33.0</v>
      </c>
    </row>
    <row r="44" ht="14.25" customHeight="1">
      <c r="A44" s="4" t="s">
        <v>146</v>
      </c>
      <c r="B44" s="8">
        <v>1.0</v>
      </c>
      <c r="C44" s="8">
        <v>1.0</v>
      </c>
      <c r="D44" s="8">
        <v>2.0</v>
      </c>
      <c r="E44" s="8">
        <v>2.0</v>
      </c>
      <c r="F44" s="8">
        <v>3.0</v>
      </c>
      <c r="G44" s="8">
        <v>4.0</v>
      </c>
      <c r="H44" s="8">
        <v>4.0</v>
      </c>
      <c r="I44" s="8">
        <v>5.0</v>
      </c>
      <c r="J44" s="8">
        <v>5.0</v>
      </c>
      <c r="K44" s="8">
        <v>6.0</v>
      </c>
    </row>
    <row r="45" ht="14.25" customHeight="1">
      <c r="A45" s="4" t="s">
        <v>148</v>
      </c>
      <c r="B45" s="8">
        <v>1.0</v>
      </c>
      <c r="C45" s="8">
        <v>1.0</v>
      </c>
      <c r="D45" s="8">
        <v>1.0</v>
      </c>
      <c r="E45" s="8">
        <v>1.0</v>
      </c>
      <c r="F45" s="8">
        <v>1.0</v>
      </c>
      <c r="G45" s="8">
        <v>1.0</v>
      </c>
      <c r="H45" s="8">
        <v>2.0</v>
      </c>
      <c r="I45" s="8">
        <v>2.0</v>
      </c>
      <c r="J45" s="8">
        <v>2.0</v>
      </c>
      <c r="K45" s="8">
        <v>2.0</v>
      </c>
    </row>
    <row r="46" ht="14.25" customHeight="1">
      <c r="A46" s="4" t="s">
        <v>150</v>
      </c>
      <c r="B46" s="8">
        <v>1.0</v>
      </c>
      <c r="C46" s="8">
        <v>1.0</v>
      </c>
      <c r="D46" s="8">
        <v>1.0</v>
      </c>
      <c r="E46" s="8">
        <v>2.0</v>
      </c>
      <c r="F46" s="8">
        <v>3.0</v>
      </c>
      <c r="G46" s="8">
        <v>4.0</v>
      </c>
      <c r="H46" s="8">
        <v>4.0</v>
      </c>
      <c r="I46" s="8">
        <v>5.0</v>
      </c>
      <c r="J46" s="8">
        <v>5.0</v>
      </c>
      <c r="K46" s="8">
        <v>5.0</v>
      </c>
    </row>
    <row r="47" ht="14.25" customHeight="1">
      <c r="A47" s="4" t="s">
        <v>152</v>
      </c>
      <c r="B47" s="8">
        <v>1.0</v>
      </c>
      <c r="C47" s="8">
        <v>1.0</v>
      </c>
      <c r="D47" s="8">
        <v>3.0</v>
      </c>
      <c r="E47" s="8">
        <v>4.0</v>
      </c>
      <c r="F47" s="8">
        <v>6.0</v>
      </c>
      <c r="G47" s="8">
        <v>8.0</v>
      </c>
      <c r="H47" s="8">
        <v>8.0</v>
      </c>
      <c r="I47" s="8">
        <v>9.0</v>
      </c>
      <c r="J47" s="8">
        <v>10.0</v>
      </c>
      <c r="K47" s="8">
        <v>11.0</v>
      </c>
    </row>
    <row r="48" ht="14.25" customHeight="1">
      <c r="A48" s="4" t="s">
        <v>154</v>
      </c>
      <c r="B48" s="8">
        <v>1.0</v>
      </c>
      <c r="C48" s="8">
        <v>1.0</v>
      </c>
      <c r="D48" s="8">
        <v>1.0</v>
      </c>
      <c r="E48" s="8">
        <v>1.0</v>
      </c>
      <c r="F48" s="8">
        <v>2.0</v>
      </c>
      <c r="G48" s="8">
        <v>2.0</v>
      </c>
      <c r="H48" s="8">
        <v>2.0</v>
      </c>
      <c r="I48" s="8">
        <v>2.0</v>
      </c>
      <c r="J48" s="8">
        <v>3.0</v>
      </c>
      <c r="K48" s="8">
        <v>3.0</v>
      </c>
    </row>
    <row r="49" ht="14.25" customHeight="1">
      <c r="A49" s="4" t="s">
        <v>155</v>
      </c>
      <c r="B49" s="8">
        <v>1.0</v>
      </c>
      <c r="C49" s="8">
        <v>1.0</v>
      </c>
      <c r="D49" s="8">
        <v>1.0</v>
      </c>
      <c r="E49" s="8">
        <v>1.0</v>
      </c>
      <c r="F49" s="8">
        <v>1.0</v>
      </c>
      <c r="G49" s="8">
        <v>2.0</v>
      </c>
      <c r="H49" s="8">
        <v>2.0</v>
      </c>
      <c r="I49" s="8">
        <v>2.0</v>
      </c>
      <c r="J49" s="8">
        <v>2.0</v>
      </c>
      <c r="K49" s="8">
        <v>2.0</v>
      </c>
    </row>
    <row r="50" ht="14.25" customHeight="1">
      <c r="A50" s="14" t="s">
        <v>156</v>
      </c>
      <c r="B50" s="15">
        <f t="shared" ref="B50:K50" si="14">SUM(B33:B49)</f>
        <v>30</v>
      </c>
      <c r="C50" s="15">
        <f t="shared" si="14"/>
        <v>89</v>
      </c>
      <c r="D50" s="15">
        <f t="shared" si="14"/>
        <v>188</v>
      </c>
      <c r="E50" s="15">
        <f t="shared" si="14"/>
        <v>343</v>
      </c>
      <c r="F50" s="15">
        <f t="shared" si="14"/>
        <v>492</v>
      </c>
      <c r="G50" s="15">
        <f t="shared" si="14"/>
        <v>654</v>
      </c>
      <c r="H50" s="15">
        <f t="shared" si="14"/>
        <v>766</v>
      </c>
      <c r="I50" s="15">
        <f t="shared" si="14"/>
        <v>851</v>
      </c>
      <c r="J50" s="15">
        <f t="shared" si="14"/>
        <v>916</v>
      </c>
      <c r="K50" s="15">
        <f t="shared" si="14"/>
        <v>985</v>
      </c>
    </row>
    <row r="51" ht="14.25" customHeight="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</row>
    <row r="52" ht="14.25" customHeight="1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</row>
    <row r="53" ht="14.25" customHeight="1">
      <c r="A53" s="1" t="s">
        <v>161</v>
      </c>
      <c r="B53" s="1">
        <v>2026.0</v>
      </c>
      <c r="C53" s="1">
        <v>2027.0</v>
      </c>
      <c r="D53" s="1">
        <v>2028.0</v>
      </c>
      <c r="E53" s="1">
        <v>2029.0</v>
      </c>
      <c r="F53" s="1">
        <v>2030.0</v>
      </c>
      <c r="G53" s="1">
        <v>2031.0</v>
      </c>
      <c r="H53" s="1">
        <v>2032.0</v>
      </c>
      <c r="I53" s="1">
        <v>2033.0</v>
      </c>
      <c r="J53" s="1">
        <v>2034.0</v>
      </c>
      <c r="K53" s="1">
        <v>2035.0</v>
      </c>
    </row>
    <row r="54" ht="14.25" customHeight="1">
      <c r="A54" s="4" t="s">
        <v>23</v>
      </c>
      <c r="B54" s="8">
        <v>0.0</v>
      </c>
      <c r="C54" s="8">
        <v>0.0</v>
      </c>
      <c r="D54" s="8">
        <v>0.0</v>
      </c>
      <c r="E54" s="8">
        <v>0.0</v>
      </c>
      <c r="F54" s="8">
        <v>0.0</v>
      </c>
      <c r="G54" s="8">
        <v>0.0</v>
      </c>
      <c r="H54" s="8">
        <v>0.0</v>
      </c>
      <c r="I54" s="8">
        <v>0.0</v>
      </c>
      <c r="J54" s="8">
        <v>0.0</v>
      </c>
      <c r="K54" s="8">
        <v>0.0</v>
      </c>
    </row>
    <row r="55" ht="14.25" customHeight="1">
      <c r="A55" s="4" t="s">
        <v>33</v>
      </c>
      <c r="B55" s="8">
        <v>4.0</v>
      </c>
      <c r="C55" s="8">
        <v>15.0</v>
      </c>
      <c r="D55" s="8">
        <v>34.0</v>
      </c>
      <c r="E55" s="8">
        <v>62.0</v>
      </c>
      <c r="F55" s="8">
        <v>90.0</v>
      </c>
      <c r="G55" s="8">
        <v>119.0</v>
      </c>
      <c r="H55" s="8">
        <v>143.0</v>
      </c>
      <c r="I55" s="8">
        <v>159.0</v>
      </c>
      <c r="J55" s="8">
        <v>172.0</v>
      </c>
      <c r="K55" s="8">
        <v>185.0</v>
      </c>
    </row>
    <row r="56" ht="14.25" customHeight="1">
      <c r="A56" s="4" t="s">
        <v>38</v>
      </c>
      <c r="B56" s="8">
        <v>20.0</v>
      </c>
      <c r="C56" s="8">
        <v>78.0</v>
      </c>
      <c r="D56" s="8">
        <v>175.0</v>
      </c>
      <c r="E56" s="8">
        <v>331.0</v>
      </c>
      <c r="F56" s="8">
        <v>477.0</v>
      </c>
      <c r="G56" s="8">
        <v>634.0</v>
      </c>
      <c r="H56" s="8">
        <v>753.0</v>
      </c>
      <c r="I56" s="8">
        <v>834.0</v>
      </c>
      <c r="J56" s="8">
        <v>900.0</v>
      </c>
      <c r="K56" s="8">
        <v>967.0</v>
      </c>
    </row>
    <row r="57" ht="14.25" customHeight="1">
      <c r="A57" s="4" t="s">
        <v>43</v>
      </c>
      <c r="B57" s="8">
        <v>2.0</v>
      </c>
      <c r="C57" s="8">
        <v>6.0</v>
      </c>
      <c r="D57" s="8">
        <v>14.0</v>
      </c>
      <c r="E57" s="8">
        <v>26.0</v>
      </c>
      <c r="F57" s="8">
        <v>37.0</v>
      </c>
      <c r="G57" s="8">
        <v>50.0</v>
      </c>
      <c r="H57" s="8">
        <v>57.0</v>
      </c>
      <c r="I57" s="8">
        <v>63.0</v>
      </c>
      <c r="J57" s="8">
        <v>68.0</v>
      </c>
      <c r="K57" s="8">
        <v>73.0</v>
      </c>
    </row>
    <row r="58" ht="14.25" customHeight="1">
      <c r="A58" s="4" t="s">
        <v>131</v>
      </c>
      <c r="B58" s="8">
        <v>2.0</v>
      </c>
      <c r="C58" s="8">
        <v>7.0</v>
      </c>
      <c r="D58" s="8">
        <v>16.0</v>
      </c>
      <c r="E58" s="8">
        <v>30.0</v>
      </c>
      <c r="F58" s="8">
        <v>44.0</v>
      </c>
      <c r="G58" s="8">
        <v>58.0</v>
      </c>
      <c r="H58" s="8">
        <v>67.0</v>
      </c>
      <c r="I58" s="8">
        <v>74.0</v>
      </c>
      <c r="J58" s="8">
        <v>80.0</v>
      </c>
      <c r="K58" s="8">
        <v>86.0</v>
      </c>
    </row>
    <row r="59" ht="14.25" customHeight="1">
      <c r="A59" s="4" t="s">
        <v>133</v>
      </c>
      <c r="B59" s="8">
        <v>1.0</v>
      </c>
      <c r="C59" s="8">
        <v>2.0</v>
      </c>
      <c r="D59" s="8">
        <v>3.0</v>
      </c>
      <c r="E59" s="8">
        <v>4.0</v>
      </c>
      <c r="F59" s="8">
        <v>6.0</v>
      </c>
      <c r="G59" s="8">
        <v>7.0</v>
      </c>
      <c r="H59" s="8">
        <v>9.0</v>
      </c>
      <c r="I59" s="8">
        <v>10.0</v>
      </c>
      <c r="J59" s="8">
        <v>11.0</v>
      </c>
      <c r="K59" s="8">
        <v>12.0</v>
      </c>
    </row>
    <row r="60" ht="14.25" customHeight="1">
      <c r="A60" s="4" t="s">
        <v>136</v>
      </c>
      <c r="B60" s="8">
        <v>1.0</v>
      </c>
      <c r="C60" s="8">
        <v>1.0</v>
      </c>
      <c r="D60" s="8">
        <v>2.0</v>
      </c>
      <c r="E60" s="8">
        <v>2.0</v>
      </c>
      <c r="F60" s="8">
        <v>3.0</v>
      </c>
      <c r="G60" s="8">
        <v>4.0</v>
      </c>
      <c r="H60" s="8">
        <v>5.0</v>
      </c>
      <c r="I60" s="8">
        <v>5.0</v>
      </c>
      <c r="J60" s="8">
        <v>6.0</v>
      </c>
      <c r="K60" s="8">
        <v>6.0</v>
      </c>
    </row>
    <row r="61" ht="14.25" customHeight="1">
      <c r="A61" s="4" t="s">
        <v>137</v>
      </c>
      <c r="B61" s="8">
        <v>1.0</v>
      </c>
      <c r="C61" s="8">
        <v>1.0</v>
      </c>
      <c r="D61" s="8">
        <v>1.0</v>
      </c>
      <c r="E61" s="8">
        <v>2.0</v>
      </c>
      <c r="F61" s="8">
        <v>2.0</v>
      </c>
      <c r="G61" s="8">
        <v>3.0</v>
      </c>
      <c r="H61" s="8">
        <v>3.0</v>
      </c>
      <c r="I61" s="8">
        <v>3.0</v>
      </c>
      <c r="J61" s="8">
        <v>4.0</v>
      </c>
      <c r="K61" s="8">
        <v>4.0</v>
      </c>
    </row>
    <row r="62" ht="14.25" customHeight="1">
      <c r="A62" s="4" t="s">
        <v>140</v>
      </c>
      <c r="B62" s="8">
        <v>2.0</v>
      </c>
      <c r="C62" s="8">
        <v>5.0</v>
      </c>
      <c r="D62" s="8">
        <v>11.0</v>
      </c>
      <c r="E62" s="8">
        <v>19.0</v>
      </c>
      <c r="F62" s="8">
        <v>27.0</v>
      </c>
      <c r="G62" s="8">
        <v>35.0</v>
      </c>
      <c r="H62" s="8">
        <v>42.0</v>
      </c>
      <c r="I62" s="8">
        <v>46.0</v>
      </c>
      <c r="J62" s="8">
        <v>50.0</v>
      </c>
      <c r="K62" s="8">
        <v>54.0</v>
      </c>
    </row>
    <row r="63" ht="14.25" customHeight="1">
      <c r="A63" s="4" t="s">
        <v>143</v>
      </c>
      <c r="B63" s="8">
        <v>6.0</v>
      </c>
      <c r="C63" s="8">
        <v>20.0</v>
      </c>
      <c r="D63" s="8">
        <v>47.0</v>
      </c>
      <c r="E63" s="8">
        <v>89.0</v>
      </c>
      <c r="F63" s="8">
        <v>128.0</v>
      </c>
      <c r="G63" s="8">
        <v>170.0</v>
      </c>
      <c r="H63" s="8">
        <v>201.0</v>
      </c>
      <c r="I63" s="8">
        <v>223.0</v>
      </c>
      <c r="J63" s="8">
        <v>240.0</v>
      </c>
      <c r="K63" s="8">
        <v>258.0</v>
      </c>
    </row>
    <row r="64" ht="14.25" customHeight="1">
      <c r="A64" s="4" t="s">
        <v>144</v>
      </c>
      <c r="B64" s="8">
        <v>2.0</v>
      </c>
      <c r="C64" s="8">
        <v>6.0</v>
      </c>
      <c r="D64" s="8">
        <v>12.0</v>
      </c>
      <c r="E64" s="8">
        <v>22.0</v>
      </c>
      <c r="F64" s="8">
        <v>31.0</v>
      </c>
      <c r="G64" s="8">
        <v>42.0</v>
      </c>
      <c r="H64" s="8">
        <v>47.0</v>
      </c>
      <c r="I64" s="8">
        <v>53.0</v>
      </c>
      <c r="J64" s="8">
        <v>57.0</v>
      </c>
      <c r="K64" s="8">
        <v>62.0</v>
      </c>
    </row>
    <row r="65" ht="14.25" customHeight="1">
      <c r="A65" s="4" t="s">
        <v>146</v>
      </c>
      <c r="B65" s="8">
        <v>1.0</v>
      </c>
      <c r="C65" s="8">
        <v>1.0</v>
      </c>
      <c r="D65" s="8">
        <v>2.0</v>
      </c>
      <c r="E65" s="8">
        <v>4.0</v>
      </c>
      <c r="F65" s="8">
        <v>5.0</v>
      </c>
      <c r="G65" s="8">
        <v>7.0</v>
      </c>
      <c r="H65" s="8">
        <v>8.0</v>
      </c>
      <c r="I65" s="8">
        <v>8.0</v>
      </c>
      <c r="J65" s="8">
        <v>9.0</v>
      </c>
      <c r="K65" s="8">
        <v>10.0</v>
      </c>
    </row>
    <row r="66" ht="14.25" customHeight="1">
      <c r="A66" s="4" t="s">
        <v>148</v>
      </c>
      <c r="B66" s="8">
        <v>1.0</v>
      </c>
      <c r="C66" s="8">
        <v>1.0</v>
      </c>
      <c r="D66" s="8">
        <v>1.0</v>
      </c>
      <c r="E66" s="8">
        <v>2.0</v>
      </c>
      <c r="F66" s="8">
        <v>2.0</v>
      </c>
      <c r="G66" s="8">
        <v>2.0</v>
      </c>
      <c r="H66" s="8">
        <v>3.0</v>
      </c>
      <c r="I66" s="8">
        <v>3.0</v>
      </c>
      <c r="J66" s="8">
        <v>3.0</v>
      </c>
      <c r="K66" s="8">
        <v>4.0</v>
      </c>
    </row>
    <row r="67" ht="14.25" customHeight="1">
      <c r="A67" s="4" t="s">
        <v>150</v>
      </c>
      <c r="B67" s="8">
        <v>1.0</v>
      </c>
      <c r="C67" s="8">
        <v>1.0</v>
      </c>
      <c r="D67" s="8">
        <v>2.0</v>
      </c>
      <c r="E67" s="8">
        <v>4.0</v>
      </c>
      <c r="F67" s="8">
        <v>5.0</v>
      </c>
      <c r="G67" s="8">
        <v>6.0</v>
      </c>
      <c r="H67" s="8">
        <v>7.0</v>
      </c>
      <c r="I67" s="8">
        <v>8.0</v>
      </c>
      <c r="J67" s="8">
        <v>8.0</v>
      </c>
      <c r="K67" s="8">
        <v>9.0</v>
      </c>
    </row>
    <row r="68" ht="14.25" customHeight="1">
      <c r="A68" s="4" t="s">
        <v>152</v>
      </c>
      <c r="B68" s="8">
        <v>1.0</v>
      </c>
      <c r="C68" s="8">
        <v>2.0</v>
      </c>
      <c r="D68" s="8">
        <v>4.0</v>
      </c>
      <c r="E68" s="8">
        <v>7.0</v>
      </c>
      <c r="F68" s="8">
        <v>10.0</v>
      </c>
      <c r="G68" s="8">
        <v>13.0</v>
      </c>
      <c r="H68" s="8">
        <v>15.0</v>
      </c>
      <c r="I68" s="8">
        <v>17.0</v>
      </c>
      <c r="J68" s="8">
        <v>18.0</v>
      </c>
      <c r="K68" s="8">
        <v>19.0</v>
      </c>
    </row>
    <row r="69" ht="14.25" customHeight="1">
      <c r="A69" s="4" t="s">
        <v>154</v>
      </c>
      <c r="B69" s="8">
        <v>1.0</v>
      </c>
      <c r="C69" s="8">
        <v>1.0</v>
      </c>
      <c r="D69" s="8">
        <v>1.0</v>
      </c>
      <c r="E69" s="8">
        <v>2.0</v>
      </c>
      <c r="F69" s="8">
        <v>3.0</v>
      </c>
      <c r="G69" s="8">
        <v>3.0</v>
      </c>
      <c r="H69" s="8">
        <v>4.0</v>
      </c>
      <c r="I69" s="8">
        <v>4.0</v>
      </c>
      <c r="J69" s="8">
        <v>4.0</v>
      </c>
      <c r="K69" s="8">
        <v>5.0</v>
      </c>
    </row>
    <row r="70" ht="14.25" customHeight="1">
      <c r="A70" s="4" t="s">
        <v>155</v>
      </c>
      <c r="B70" s="8">
        <v>1.0</v>
      </c>
      <c r="C70" s="8">
        <v>1.0</v>
      </c>
      <c r="D70" s="8">
        <v>1.0</v>
      </c>
      <c r="E70" s="8">
        <v>1.0</v>
      </c>
      <c r="F70" s="8">
        <v>2.0</v>
      </c>
      <c r="G70" s="8">
        <v>2.0</v>
      </c>
      <c r="H70" s="8">
        <v>3.0</v>
      </c>
      <c r="I70" s="8">
        <v>3.0</v>
      </c>
      <c r="J70" s="8">
        <v>3.0</v>
      </c>
      <c r="K70" s="8">
        <v>3.0</v>
      </c>
    </row>
    <row r="71" ht="14.25" customHeight="1">
      <c r="A71" s="14" t="s">
        <v>165</v>
      </c>
      <c r="B71" s="15">
        <f t="shared" ref="B71:K71" si="15">SUM(B54:B70)</f>
        <v>47</v>
      </c>
      <c r="C71" s="15">
        <f t="shared" si="15"/>
        <v>148</v>
      </c>
      <c r="D71" s="15">
        <f t="shared" si="15"/>
        <v>326</v>
      </c>
      <c r="E71" s="15">
        <f t="shared" si="15"/>
        <v>607</v>
      </c>
      <c r="F71" s="15">
        <f t="shared" si="15"/>
        <v>872</v>
      </c>
      <c r="G71" s="15">
        <f t="shared" si="15"/>
        <v>1155</v>
      </c>
      <c r="H71" s="15">
        <f t="shared" si="15"/>
        <v>1367</v>
      </c>
      <c r="I71" s="15">
        <f t="shared" si="15"/>
        <v>1513</v>
      </c>
      <c r="J71" s="15">
        <f t="shared" si="15"/>
        <v>1633</v>
      </c>
      <c r="K71" s="15">
        <f t="shared" si="15"/>
        <v>1757</v>
      </c>
    </row>
    <row r="72" ht="14.25" customHeight="1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</row>
    <row r="73" ht="14.25" customHeight="1">
      <c r="A73" s="16" t="s">
        <v>166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</row>
    <row r="74" ht="14.25" customHeight="1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</row>
    <row r="75" ht="14.25" customHeight="1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</row>
    <row r="76" ht="14.25" customHeight="1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</row>
    <row r="77" ht="14.25" customHeight="1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</row>
    <row r="78" ht="14.25" customHeight="1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</row>
    <row r="79" ht="14.25" customHeight="1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</row>
    <row r="80" ht="14.25" customHeight="1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</row>
    <row r="81" ht="14.25" customHeight="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</row>
    <row r="82" ht="14.25" customHeight="1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</row>
    <row r="83" ht="14.25" customHeight="1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</row>
    <row r="84" ht="14.25" customHeight="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</row>
    <row r="85" ht="14.25" customHeight="1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</row>
    <row r="86" ht="14.25" customHeight="1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</row>
    <row r="87" ht="14.2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</row>
    <row r="88" ht="14.2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</row>
    <row r="89" ht="14.25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</row>
    <row r="90" ht="14.25" customHeight="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</row>
    <row r="91" ht="14.25" customHeight="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</row>
    <row r="92" ht="14.25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</row>
    <row r="93" ht="14.2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</row>
    <row r="94" ht="14.2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</row>
    <row r="95" ht="14.25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</row>
    <row r="96" ht="14.2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</row>
    <row r="97" ht="14.2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</row>
    <row r="98" ht="14.25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</row>
    <row r="99" ht="14.2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</row>
    <row r="100" ht="14.25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</row>
    <row r="101" ht="14.25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</row>
    <row r="102" ht="14.25" customHeight="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</row>
    <row r="103" ht="14.25" customHeight="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</row>
    <row r="104" ht="14.25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</row>
    <row r="105" ht="14.25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</row>
    <row r="106" ht="14.2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</row>
    <row r="107" ht="14.25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</row>
    <row r="108" ht="14.2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</row>
    <row r="109" ht="14.25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</row>
    <row r="110" ht="14.2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</row>
    <row r="111" ht="14.2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</row>
    <row r="112" ht="14.2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</row>
    <row r="113" ht="14.2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</row>
    <row r="114" ht="14.2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</row>
    <row r="115" ht="14.2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</row>
    <row r="116" ht="14.2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</row>
    <row r="117" ht="14.2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</row>
    <row r="118" ht="14.2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</row>
    <row r="119" ht="14.2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</row>
    <row r="120" ht="14.2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</row>
    <row r="121" ht="14.2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</row>
    <row r="122" ht="14.2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</row>
    <row r="123" ht="14.2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</row>
    <row r="124" ht="14.2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</row>
    <row r="125" ht="14.2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</row>
    <row r="126" ht="14.2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</row>
    <row r="127" ht="14.2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</row>
    <row r="128" ht="14.2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</row>
    <row r="129" ht="14.2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</row>
    <row r="130" ht="14.2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</row>
    <row r="131" ht="14.2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</row>
    <row r="132" ht="14.2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</row>
    <row r="133" ht="14.2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</row>
    <row r="134" ht="14.2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</row>
    <row r="135" ht="14.2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</row>
    <row r="136" ht="14.2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</row>
    <row r="137" ht="14.2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</row>
    <row r="138" ht="14.2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</row>
    <row r="139" ht="14.2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</row>
    <row r="140" ht="14.2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</row>
    <row r="141" ht="14.2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</row>
    <row r="142" ht="14.2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</row>
    <row r="143" ht="14.2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</row>
    <row r="144" ht="14.2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</row>
    <row r="145" ht="14.2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</row>
    <row r="146" ht="14.2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</row>
    <row r="147" ht="14.2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</row>
    <row r="148" ht="14.2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</row>
    <row r="149" ht="14.2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</row>
    <row r="150" ht="14.2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</row>
    <row r="151" ht="14.25" customHeight="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</row>
    <row r="152" ht="14.25" customHeight="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</row>
    <row r="153" ht="14.2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</row>
    <row r="154" ht="14.2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</row>
    <row r="155" ht="14.2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</row>
    <row r="156" ht="14.2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</row>
    <row r="157" ht="14.2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</row>
    <row r="158" ht="14.2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</row>
    <row r="159" ht="14.2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</row>
    <row r="160" ht="14.2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</row>
    <row r="161" ht="14.2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</row>
    <row r="162" ht="14.2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</row>
    <row r="163" ht="14.2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</row>
    <row r="164" ht="14.2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</row>
    <row r="165" ht="14.2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</row>
    <row r="166" ht="14.25" customHeight="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</row>
    <row r="167" ht="14.2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</row>
    <row r="168" ht="14.2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</row>
    <row r="169" ht="14.25" customHeight="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</row>
    <row r="170" ht="14.2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</row>
    <row r="171" ht="14.2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</row>
    <row r="172" ht="14.2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</row>
    <row r="173" ht="14.2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</row>
    <row r="174" ht="14.2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</row>
    <row r="175" ht="14.2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</row>
    <row r="176" ht="14.25" customHeight="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</row>
    <row r="177" ht="14.25" customHeight="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</row>
    <row r="178" ht="14.25" customHeight="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</row>
    <row r="179" ht="14.2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</row>
    <row r="180" ht="14.2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</row>
    <row r="181" ht="14.25" customHeight="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</row>
    <row r="182" ht="14.25" customHeight="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</row>
    <row r="183" ht="14.25" customHeight="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</row>
    <row r="184" ht="14.25" customHeight="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</row>
    <row r="185" ht="14.2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</row>
    <row r="186" ht="14.25" customHeight="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</row>
    <row r="187" ht="14.25" customHeight="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</row>
    <row r="188" ht="14.25" customHeight="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</row>
    <row r="189" ht="14.25" customHeight="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</row>
    <row r="190" ht="14.25" customHeight="1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</row>
    <row r="191" ht="14.25" customHeight="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</row>
    <row r="192" ht="14.25" customHeight="1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</row>
    <row r="193" ht="14.25" customHeight="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</row>
    <row r="194" ht="14.25" customHeight="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</row>
    <row r="195" ht="14.25" customHeight="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</row>
    <row r="196" ht="14.2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</row>
    <row r="197" ht="14.25" customHeight="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</row>
    <row r="198" ht="14.25" customHeight="1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</row>
    <row r="199" ht="14.25" customHeight="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</row>
    <row r="200" ht="14.25" customHeight="1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</row>
    <row r="201" ht="14.25" customHeight="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</row>
    <row r="202" ht="14.2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</row>
    <row r="203" ht="14.25" customHeight="1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</row>
    <row r="204" ht="14.25" customHeight="1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</row>
    <row r="205" ht="14.25" customHeight="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</row>
    <row r="206" ht="14.25" customHeight="1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</row>
    <row r="207" ht="14.25" customHeight="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</row>
    <row r="208" ht="14.25" customHeight="1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</row>
    <row r="209" ht="14.25" customHeight="1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</row>
    <row r="210" ht="14.25" customHeight="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</row>
    <row r="211" ht="14.25" customHeight="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</row>
    <row r="212" ht="14.25" customHeight="1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</row>
    <row r="213" ht="14.25" customHeight="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</row>
    <row r="214" ht="14.25" customHeight="1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</row>
    <row r="215" ht="14.25" customHeight="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</row>
    <row r="216" ht="14.25" customHeight="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</row>
    <row r="217" ht="14.2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</row>
    <row r="218" ht="14.25" customHeight="1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</row>
    <row r="219" ht="14.25" customHeight="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</row>
    <row r="220" ht="14.25" customHeight="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</row>
    <row r="221" ht="14.25" customHeight="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</row>
    <row r="222" ht="14.25" customHeight="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</row>
    <row r="223" ht="14.25" customHeight="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</row>
    <row r="224" ht="14.2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</row>
    <row r="225" ht="14.2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</row>
    <row r="226" ht="14.25" customHeight="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</row>
    <row r="227" ht="14.2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</row>
    <row r="228" ht="14.2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</row>
    <row r="229" ht="14.2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</row>
    <row r="230" ht="14.25" customHeight="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</row>
    <row r="231" ht="14.2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</row>
    <row r="232" ht="14.25" customHeight="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</row>
    <row r="233" ht="14.25" customHeight="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</row>
    <row r="234" ht="14.25" customHeight="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</row>
    <row r="235" ht="14.25" customHeight="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</row>
    <row r="236" ht="14.25" customHeight="1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</row>
    <row r="237" ht="14.25" customHeight="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</row>
    <row r="238" ht="14.25" customHeight="1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</row>
    <row r="239" ht="14.25" customHeight="1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</row>
    <row r="240" ht="14.25" customHeight="1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</row>
    <row r="241" ht="14.25" customHeight="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</row>
    <row r="242" ht="14.25" customHeight="1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</row>
    <row r="243" ht="14.25" customHeight="1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</row>
    <row r="244" ht="14.25" customHeight="1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</row>
    <row r="245" ht="14.25" customHeight="1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</row>
    <row r="246" ht="14.25" customHeight="1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</row>
    <row r="247" ht="14.25" customHeight="1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</row>
    <row r="248" ht="14.25" customHeight="1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</row>
    <row r="249" ht="14.25" customHeight="1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</row>
    <row r="250" ht="14.25" customHeight="1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</row>
    <row r="251" ht="14.25" customHeight="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</row>
    <row r="252" ht="14.25" customHeight="1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</row>
    <row r="253" ht="14.25" customHeight="1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</row>
    <row r="254" ht="14.25" customHeight="1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</row>
    <row r="255" ht="14.25" customHeight="1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</row>
    <row r="256" ht="14.25" customHeight="1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</row>
    <row r="257" ht="14.25" customHeight="1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</row>
    <row r="258" ht="14.25" customHeight="1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</row>
    <row r="259" ht="14.25" customHeight="1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</row>
    <row r="260" ht="14.25" customHeight="1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</row>
    <row r="261" ht="14.25" customHeight="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</row>
    <row r="262" ht="14.25" customHeight="1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</row>
    <row r="263" ht="14.25" customHeight="1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</row>
    <row r="264" ht="14.25" customHeight="1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</row>
    <row r="265" ht="14.25" customHeight="1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</row>
    <row r="266" ht="14.25" customHeight="1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</row>
    <row r="267" ht="14.25" customHeight="1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</row>
    <row r="268" ht="14.25" customHeight="1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</row>
    <row r="269" ht="14.25" customHeight="1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</row>
    <row r="270" ht="14.25" customHeight="1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</row>
    <row r="271" ht="14.25" customHeight="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</row>
    <row r="272" ht="14.25" customHeight="1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</row>
    <row r="273" ht="14.25" customHeight="1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</row>
    <row r="274" ht="15.75" customHeight="1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</row>
    <row r="275" ht="15.75" customHeight="1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</row>
    <row r="276" ht="15.75" customHeight="1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</row>
    <row r="277" ht="15.75" customHeight="1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</row>
    <row r="278" ht="15.75" customHeight="1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</row>
    <row r="279" ht="15.75" customHeight="1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</row>
    <row r="280" ht="15.75" customHeight="1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</row>
    <row r="281" ht="15.75" customHeight="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</row>
    <row r="282" ht="15.75" customHeight="1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</row>
    <row r="283" ht="15.75" customHeight="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</row>
    <row r="284" ht="15.75" customHeight="1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</row>
    <row r="285" ht="15.75" customHeight="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</row>
    <row r="286" ht="15.75" customHeight="1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</row>
    <row r="287" ht="15.75" customHeight="1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</row>
    <row r="288" ht="15.75" customHeight="1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</row>
    <row r="289" ht="15.75" customHeight="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</row>
    <row r="290" ht="15.75" customHeight="1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</row>
    <row r="291" ht="15.75" customHeight="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</row>
    <row r="292" ht="15.75" customHeight="1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</row>
    <row r="293" ht="15.75" customHeight="1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</row>
    <row r="294" ht="15.75" customHeight="1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</row>
    <row r="295" ht="15.75" customHeight="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</row>
    <row r="296" ht="15.75" customHeight="1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</row>
    <row r="297" ht="15.75" customHeight="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</row>
    <row r="298" ht="15.75" customHeight="1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</row>
    <row r="299" ht="15.75" customHeight="1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</row>
    <row r="300" ht="15.75" customHeight="1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</row>
    <row r="301" ht="15.75" customHeight="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</row>
    <row r="302" ht="15.75" customHeight="1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</row>
    <row r="303" ht="15.75" customHeight="1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</row>
    <row r="304" ht="15.75" customHeight="1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</row>
    <row r="305" ht="15.75" customHeight="1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</row>
    <row r="306" ht="15.75" customHeight="1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</row>
    <row r="307" ht="15.75" customHeight="1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</row>
    <row r="308" ht="15.75" customHeight="1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</row>
    <row r="309" ht="15.75" customHeight="1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</row>
    <row r="310" ht="15.75" customHeight="1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</row>
    <row r="311" ht="15.75" customHeight="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</row>
    <row r="312" ht="15.75" customHeight="1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</row>
    <row r="313" ht="15.75" customHeight="1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</row>
    <row r="314" ht="15.75" customHeight="1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</row>
    <row r="315" ht="15.75" customHeight="1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</row>
    <row r="316" ht="15.75" customHeight="1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</row>
    <row r="317" ht="15.75" customHeight="1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</row>
    <row r="318" ht="15.75" customHeight="1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</row>
    <row r="319" ht="15.75" customHeight="1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</row>
    <row r="320" ht="15.75" customHeight="1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</row>
    <row r="321" ht="15.75" customHeight="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</row>
    <row r="322" ht="15.75" customHeight="1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</row>
    <row r="323" ht="15.75" customHeight="1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</row>
    <row r="324" ht="15.75" customHeight="1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</row>
    <row r="325" ht="15.75" customHeight="1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</row>
    <row r="326" ht="15.75" customHeight="1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</row>
    <row r="327" ht="15.75" customHeight="1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</row>
    <row r="328" ht="15.75" customHeight="1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</row>
    <row r="329" ht="15.75" customHeight="1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</row>
    <row r="330" ht="15.75" customHeight="1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</row>
    <row r="331" ht="15.75" customHeight="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</row>
    <row r="332" ht="15.75" customHeight="1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</row>
    <row r="333" ht="15.7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</row>
    <row r="334" ht="15.75" customHeight="1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</row>
    <row r="335" ht="15.75" customHeight="1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</row>
    <row r="336" ht="15.75" customHeight="1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</row>
    <row r="337" ht="15.75" customHeight="1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</row>
    <row r="338" ht="15.75" customHeight="1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</row>
    <row r="339" ht="15.7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</row>
    <row r="340" ht="15.75" customHeight="1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</row>
    <row r="341" ht="15.75" customHeight="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</row>
    <row r="342" ht="15.75" customHeight="1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</row>
    <row r="343" ht="15.75" customHeigh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</row>
    <row r="344" ht="15.75" customHeight="1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</row>
    <row r="345" ht="15.7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</row>
    <row r="346" ht="15.75" customHeight="1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</row>
    <row r="347" ht="15.75" customHeight="1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</row>
    <row r="348" ht="15.75" customHeight="1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</row>
    <row r="349" ht="15.75" customHeight="1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</row>
    <row r="350" ht="15.75" customHeight="1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</row>
    <row r="351" ht="15.75" customHeight="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</row>
    <row r="352" ht="15.75" customHeight="1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</row>
    <row r="353" ht="15.75" customHeight="1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</row>
    <row r="354" ht="15.75" customHeight="1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</row>
    <row r="355" ht="15.75" customHeight="1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</row>
    <row r="356" ht="15.75" customHeight="1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</row>
    <row r="357" ht="15.75" customHeight="1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</row>
    <row r="358" ht="15.75" customHeight="1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</row>
    <row r="359" ht="15.75" customHeight="1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</row>
    <row r="360" ht="15.75" customHeight="1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</row>
    <row r="361" ht="15.75" customHeight="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</row>
    <row r="362" ht="15.75" customHeight="1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</row>
    <row r="363" ht="15.75" customHeight="1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</row>
    <row r="364" ht="15.75" customHeight="1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</row>
    <row r="365" ht="15.75" customHeigh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</row>
    <row r="366" ht="15.75" customHeight="1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</row>
    <row r="367" ht="15.75" customHeight="1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</row>
    <row r="368" ht="15.75" customHeight="1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</row>
    <row r="369" ht="15.75" customHeight="1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</row>
    <row r="370" ht="15.75" customHeight="1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</row>
    <row r="371" ht="15.75" customHeight="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</row>
    <row r="372" ht="15.75" customHeight="1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</row>
    <row r="373" ht="15.75" customHeight="1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</row>
    <row r="374" ht="15.75" customHeight="1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</row>
    <row r="375" ht="15.75" customHeight="1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</row>
    <row r="376" ht="15.75" customHeight="1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</row>
    <row r="377" ht="15.75" customHeight="1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</row>
    <row r="378" ht="15.75" customHeight="1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</row>
    <row r="379" ht="15.75" customHeight="1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</row>
    <row r="380" ht="15.75" customHeight="1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</row>
    <row r="381" ht="15.75" customHeight="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</row>
    <row r="382" ht="15.75" customHeight="1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</row>
    <row r="383" ht="15.75" customHeight="1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</row>
    <row r="384" ht="15.75" customHeight="1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</row>
    <row r="385" ht="15.75" customHeight="1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</row>
    <row r="386" ht="15.75" customHeight="1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</row>
    <row r="387" ht="15.75" customHeight="1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</row>
    <row r="388" ht="15.75" customHeight="1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</row>
    <row r="389" ht="15.75" customHeigh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</row>
    <row r="390" ht="15.75" customHeight="1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</row>
    <row r="391" ht="15.75" customHeight="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</row>
    <row r="392" ht="15.75" customHeight="1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</row>
    <row r="393" ht="15.75" customHeight="1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</row>
    <row r="394" ht="15.75" customHeight="1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</row>
    <row r="395" ht="15.75" customHeight="1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</row>
    <row r="396" ht="15.75" customHeight="1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</row>
    <row r="397" ht="15.75" customHeight="1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</row>
    <row r="398" ht="15.75" customHeight="1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</row>
    <row r="399" ht="15.75" customHeight="1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</row>
    <row r="400" ht="15.75" customHeight="1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</row>
    <row r="401" ht="15.75" customHeight="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</row>
    <row r="402" ht="15.75" customHeight="1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</row>
    <row r="403" ht="15.75" customHeight="1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</row>
    <row r="404" ht="15.75" customHeight="1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</row>
    <row r="405" ht="15.75" customHeight="1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</row>
    <row r="406" ht="15.75" customHeight="1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</row>
    <row r="407" ht="15.75" customHeight="1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</row>
    <row r="408" ht="15.75" customHeight="1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</row>
    <row r="409" ht="15.75" customHeight="1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</row>
    <row r="410" ht="15.75" customHeight="1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</row>
    <row r="411" ht="15.75" customHeight="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</row>
    <row r="412" ht="15.75" customHeight="1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</row>
    <row r="413" ht="15.75" customHeight="1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</row>
    <row r="414" ht="15.75" customHeight="1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</row>
    <row r="415" ht="15.75" customHeight="1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</row>
    <row r="416" ht="15.75" customHeight="1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</row>
    <row r="417" ht="15.75" customHeight="1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</row>
    <row r="418" ht="15.75" customHeight="1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</row>
    <row r="419" ht="15.75" customHeight="1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</row>
    <row r="420" ht="15.75" customHeight="1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</row>
    <row r="421" ht="15.75" customHeight="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</row>
    <row r="422" ht="15.75" customHeight="1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</row>
    <row r="423" ht="15.75" customHeight="1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</row>
    <row r="424" ht="15.75" customHeight="1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</row>
    <row r="425" ht="15.75" customHeight="1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</row>
    <row r="426" ht="15.75" customHeight="1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</row>
    <row r="427" ht="15.75" customHeight="1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</row>
    <row r="428" ht="15.75" customHeight="1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</row>
    <row r="429" ht="15.75" customHeight="1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</row>
    <row r="430" ht="15.75" customHeight="1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</row>
    <row r="431" ht="15.75" customHeight="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</row>
    <row r="432" ht="15.75" customHeight="1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</row>
    <row r="433" ht="15.75" customHeight="1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</row>
    <row r="434" ht="15.75" customHeight="1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</row>
    <row r="435" ht="15.75" customHeigh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</row>
    <row r="436" ht="15.75" customHeight="1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</row>
    <row r="437" ht="15.75" customHeight="1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</row>
    <row r="438" ht="15.75" customHeight="1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</row>
    <row r="439" ht="15.75" customHeight="1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</row>
    <row r="440" ht="15.75" customHeight="1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</row>
    <row r="441" ht="15.75" customHeight="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</row>
    <row r="442" ht="15.75" customHeight="1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</row>
    <row r="443" ht="15.75" customHeight="1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</row>
    <row r="444" ht="15.75" customHeight="1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</row>
    <row r="445" ht="15.75" customHeight="1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</row>
    <row r="446" ht="15.75" customHeight="1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</row>
    <row r="447" ht="15.75" customHeight="1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</row>
    <row r="448" ht="15.75" customHeight="1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</row>
    <row r="449" ht="15.75" customHeight="1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</row>
    <row r="450" ht="15.75" customHeight="1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</row>
    <row r="451" ht="15.75" customHeight="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</row>
    <row r="452" ht="15.75" customHeight="1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</row>
    <row r="453" ht="15.75" customHeight="1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</row>
    <row r="454" ht="15.75" customHeight="1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</row>
    <row r="455" ht="15.75" customHeight="1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</row>
    <row r="456" ht="15.75" customHeight="1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</row>
    <row r="457" ht="15.75" customHeight="1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</row>
    <row r="458" ht="15.75" customHeight="1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</row>
    <row r="459" ht="15.75" customHeight="1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</row>
    <row r="460" ht="15.75" customHeight="1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</row>
    <row r="461" ht="15.75" customHeight="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</row>
    <row r="462" ht="15.75" customHeight="1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</row>
    <row r="463" ht="15.75" customHeight="1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</row>
    <row r="464" ht="15.75" customHeight="1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</row>
    <row r="465" ht="15.75" customHeight="1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</row>
    <row r="466" ht="15.75" customHeight="1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</row>
    <row r="467" ht="15.75" customHeight="1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</row>
    <row r="468" ht="15.75" customHeight="1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</row>
    <row r="469" ht="15.75" customHeight="1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</row>
    <row r="470" ht="15.75" customHeight="1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</row>
    <row r="471" ht="15.75" customHeight="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</row>
    <row r="472" ht="15.75" customHeight="1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</row>
    <row r="473" ht="15.75" customHeight="1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</row>
    <row r="474" ht="15.75" customHeight="1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</row>
    <row r="475" ht="15.75" customHeight="1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</row>
    <row r="476" ht="15.75" customHeight="1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</row>
    <row r="477" ht="15.75" customHeight="1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</row>
    <row r="478" ht="15.75" customHeight="1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</row>
    <row r="479" ht="15.75" customHeight="1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</row>
    <row r="480" ht="15.75" customHeight="1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</row>
    <row r="481" ht="15.75" customHeight="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</row>
    <row r="482" ht="15.75" customHeight="1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</row>
    <row r="483" ht="15.75" customHeight="1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</row>
    <row r="484" ht="15.75" customHeight="1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</row>
    <row r="485" ht="15.75" customHeight="1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</row>
    <row r="486" ht="15.75" customHeight="1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</row>
    <row r="487" ht="15.75" customHeight="1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</row>
    <row r="488" ht="15.75" customHeight="1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</row>
    <row r="489" ht="15.75" customHeight="1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</row>
    <row r="490" ht="15.75" customHeight="1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</row>
    <row r="491" ht="15.75" customHeight="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</row>
    <row r="492" ht="15.75" customHeight="1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</row>
    <row r="493" ht="15.75" customHeight="1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</row>
    <row r="494" ht="15.75" customHeight="1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</row>
    <row r="495" ht="15.75" customHeight="1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</row>
    <row r="496" ht="15.75" customHeight="1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</row>
    <row r="497" ht="15.75" customHeight="1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</row>
    <row r="498" ht="15.75" customHeight="1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</row>
    <row r="499" ht="15.75" customHeight="1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</row>
    <row r="500" ht="15.75" customHeight="1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</row>
    <row r="501" ht="15.75" customHeight="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</row>
    <row r="502" ht="15.75" customHeight="1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</row>
    <row r="503" ht="15.75" customHeight="1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</row>
    <row r="504" ht="15.75" customHeight="1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</row>
    <row r="505" ht="15.75" customHeight="1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</row>
    <row r="506" ht="15.75" customHeight="1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</row>
    <row r="507" ht="15.75" customHeight="1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</row>
    <row r="508" ht="15.75" customHeight="1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</row>
    <row r="509" ht="15.75" customHeight="1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</row>
    <row r="510" ht="15.75" customHeight="1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</row>
    <row r="511" ht="15.75" customHeight="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</row>
    <row r="512" ht="15.75" customHeight="1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</row>
    <row r="513" ht="15.75" customHeight="1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</row>
    <row r="514" ht="15.75" customHeight="1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</row>
    <row r="515" ht="15.75" customHeight="1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</row>
    <row r="516" ht="15.75" customHeight="1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</row>
    <row r="517" ht="15.75" customHeight="1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</row>
    <row r="518" ht="15.75" customHeight="1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</row>
    <row r="519" ht="15.75" customHeight="1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</row>
    <row r="520" ht="15.7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</row>
    <row r="521" ht="15.75" customHeight="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</row>
    <row r="522" ht="15.75" customHeight="1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</row>
    <row r="523" ht="15.75" customHeight="1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</row>
    <row r="524" ht="15.75" customHeight="1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</row>
    <row r="525" ht="15.75" customHeight="1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</row>
    <row r="526" ht="15.75" customHeight="1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</row>
    <row r="527" ht="15.75" customHeight="1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</row>
    <row r="528" ht="15.75" customHeight="1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</row>
    <row r="529" ht="15.75" customHeight="1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</row>
    <row r="530" ht="15.75" customHeight="1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</row>
    <row r="531" ht="15.75" customHeight="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</row>
    <row r="532" ht="15.75" customHeight="1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</row>
    <row r="533" ht="15.75" customHeight="1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</row>
    <row r="534" ht="15.75" customHeight="1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</row>
    <row r="535" ht="15.75" customHeight="1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</row>
    <row r="536" ht="15.75" customHeight="1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</row>
    <row r="537" ht="15.75" customHeight="1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</row>
    <row r="538" ht="15.75" customHeight="1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</row>
    <row r="539" ht="15.75" customHeight="1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</row>
    <row r="540" ht="15.75" customHeight="1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</row>
    <row r="541" ht="15.75" customHeight="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</row>
    <row r="542" ht="15.75" customHeight="1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</row>
    <row r="543" ht="15.75" customHeight="1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</row>
    <row r="544" ht="15.75" customHeight="1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</row>
    <row r="545" ht="15.75" customHeight="1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</row>
    <row r="546" ht="15.75" customHeight="1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</row>
    <row r="547" ht="15.75" customHeight="1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</row>
    <row r="548" ht="15.75" customHeight="1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</row>
    <row r="549" ht="15.75" customHeight="1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</row>
    <row r="550" ht="15.75" customHeight="1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</row>
    <row r="551" ht="15.75" customHeight="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</row>
    <row r="552" ht="15.75" customHeight="1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</row>
    <row r="553" ht="15.75" customHeight="1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</row>
    <row r="554" ht="15.75" customHeight="1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</row>
    <row r="555" ht="15.75" customHeight="1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</row>
    <row r="556" ht="15.75" customHeight="1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</row>
    <row r="557" ht="15.75" customHeight="1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</row>
    <row r="558" ht="15.75" customHeight="1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</row>
    <row r="559" ht="15.75" customHeight="1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</row>
    <row r="560" ht="15.75" customHeight="1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</row>
    <row r="561" ht="15.75" customHeight="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</row>
    <row r="562" ht="15.75" customHeight="1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</row>
    <row r="563" ht="15.75" customHeight="1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</row>
    <row r="564" ht="15.75" customHeight="1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</row>
    <row r="565" ht="15.75" customHeight="1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</row>
    <row r="566" ht="15.75" customHeight="1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</row>
    <row r="567" ht="15.75" customHeight="1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</row>
    <row r="568" ht="15.75" customHeight="1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</row>
    <row r="569" ht="15.75" customHeight="1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</row>
    <row r="570" ht="15.75" customHeight="1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</row>
    <row r="571" ht="15.75" customHeight="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</row>
    <row r="572" ht="15.75" customHeight="1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</row>
    <row r="573" ht="15.75" customHeigh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</row>
    <row r="574" ht="15.75" customHeight="1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</row>
    <row r="575" ht="15.75" customHeight="1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</row>
    <row r="576" ht="15.75" customHeight="1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</row>
    <row r="577" ht="15.75" customHeight="1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</row>
    <row r="578" ht="15.75" customHeight="1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</row>
    <row r="579" ht="15.75" customHeight="1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</row>
    <row r="580" ht="15.75" customHeight="1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</row>
    <row r="581" ht="15.75" customHeight="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</row>
    <row r="582" ht="15.75" customHeight="1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</row>
    <row r="583" ht="15.75" customHeight="1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</row>
    <row r="584" ht="15.75" customHeight="1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</row>
    <row r="585" ht="15.75" customHeigh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</row>
    <row r="586" ht="15.75" customHeight="1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</row>
    <row r="587" ht="15.75" customHeight="1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</row>
    <row r="588" ht="15.75" customHeight="1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</row>
    <row r="589" ht="15.75" customHeight="1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</row>
    <row r="590" ht="15.75" customHeight="1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</row>
    <row r="591" ht="15.75" customHeight="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</row>
    <row r="592" ht="15.75" customHeight="1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</row>
    <row r="593" ht="15.75" customHeight="1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</row>
    <row r="594" ht="15.75" customHeight="1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</row>
    <row r="595" ht="15.75" customHeight="1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</row>
    <row r="596" ht="15.75" customHeight="1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</row>
    <row r="597" ht="15.75" customHeight="1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</row>
    <row r="598" ht="15.75" customHeight="1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</row>
    <row r="599" ht="15.75" customHeight="1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</row>
    <row r="600" ht="15.75" customHeight="1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</row>
    <row r="601" ht="15.75" customHeight="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</row>
    <row r="602" ht="15.75" customHeight="1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</row>
    <row r="603" ht="15.75" customHeight="1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</row>
    <row r="604" ht="15.75" customHeight="1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</row>
    <row r="605" ht="15.75" customHeight="1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</row>
    <row r="606" ht="15.75" customHeight="1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</row>
    <row r="607" ht="15.75" customHeight="1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</row>
    <row r="608" ht="15.75" customHeight="1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</row>
    <row r="609" ht="15.75" customHeigh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</row>
    <row r="610" ht="15.75" customHeight="1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</row>
    <row r="611" ht="15.75" customHeight="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</row>
    <row r="612" ht="15.75" customHeight="1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</row>
    <row r="613" ht="15.75" customHeight="1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</row>
    <row r="614" ht="15.75" customHeight="1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</row>
    <row r="615" ht="15.7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</row>
    <row r="616" ht="15.75" customHeight="1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</row>
    <row r="617" ht="15.7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</row>
    <row r="618" ht="15.75" customHeight="1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</row>
    <row r="619" ht="15.7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</row>
    <row r="620" ht="15.75" customHeight="1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</row>
    <row r="621" ht="15.7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</row>
    <row r="622" ht="15.75" customHeight="1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</row>
    <row r="623" ht="15.7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</row>
    <row r="624" ht="15.75" customHeight="1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</row>
    <row r="625" ht="15.7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</row>
    <row r="626" ht="15.75" customHeight="1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</row>
    <row r="627" ht="15.7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</row>
    <row r="628" ht="15.75" customHeight="1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</row>
    <row r="629" ht="15.7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</row>
    <row r="630" ht="15.75" customHeight="1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</row>
    <row r="631" ht="15.7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</row>
    <row r="632" ht="15.75" customHeight="1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</row>
    <row r="633" ht="15.7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</row>
    <row r="634" ht="15.75" customHeight="1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</row>
    <row r="635" ht="15.7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</row>
    <row r="636" ht="15.75" customHeight="1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</row>
    <row r="637" ht="15.7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</row>
    <row r="638" ht="15.75" customHeight="1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</row>
    <row r="639" ht="15.7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</row>
    <row r="640" ht="15.75" customHeight="1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</row>
    <row r="641" ht="15.7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</row>
    <row r="642" ht="15.75" customHeight="1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</row>
    <row r="643" ht="15.7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</row>
    <row r="644" ht="15.75" customHeight="1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</row>
    <row r="645" ht="15.7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</row>
    <row r="646" ht="15.75" customHeight="1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</row>
    <row r="647" ht="15.7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</row>
    <row r="648" ht="15.75" customHeight="1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</row>
    <row r="649" ht="15.7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</row>
    <row r="650" ht="15.75" customHeight="1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</row>
    <row r="651" ht="15.7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</row>
    <row r="652" ht="15.75" customHeight="1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</row>
    <row r="653" ht="15.7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</row>
    <row r="654" ht="15.75" customHeight="1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</row>
    <row r="655" ht="15.7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</row>
    <row r="656" ht="15.75" customHeight="1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</row>
    <row r="657" ht="15.7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</row>
    <row r="658" ht="15.75" customHeight="1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</row>
    <row r="659" ht="15.7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</row>
    <row r="660" ht="15.75" customHeight="1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</row>
    <row r="661" ht="15.7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</row>
    <row r="662" ht="15.75" customHeight="1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</row>
    <row r="663" ht="15.7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</row>
    <row r="664" ht="15.75" customHeight="1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</row>
    <row r="665" ht="15.7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</row>
    <row r="666" ht="15.75" customHeight="1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</row>
    <row r="667" ht="15.7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</row>
    <row r="668" ht="15.75" customHeight="1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</row>
    <row r="669" ht="15.7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</row>
    <row r="670" ht="15.75" customHeight="1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</row>
    <row r="671" ht="15.7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</row>
    <row r="672" ht="15.75" customHeight="1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</row>
    <row r="673" ht="15.7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</row>
    <row r="674" ht="15.75" customHeight="1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</row>
    <row r="675" ht="15.7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</row>
    <row r="676" ht="15.75" customHeight="1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</row>
    <row r="677" ht="15.7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</row>
    <row r="678" ht="15.75" customHeight="1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</row>
    <row r="679" ht="15.7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</row>
    <row r="680" ht="15.75" customHeight="1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</row>
    <row r="681" ht="15.7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</row>
    <row r="682" ht="15.75" customHeight="1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</row>
    <row r="683" ht="15.7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</row>
    <row r="684" ht="15.75" customHeight="1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</row>
    <row r="685" ht="15.7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</row>
    <row r="686" ht="15.75" customHeight="1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</row>
    <row r="687" ht="15.7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</row>
    <row r="688" ht="15.75" customHeight="1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</row>
    <row r="689" ht="15.7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</row>
    <row r="690" ht="15.75" customHeight="1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</row>
    <row r="691" ht="15.7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</row>
    <row r="692" ht="15.75" customHeight="1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</row>
    <row r="693" ht="15.7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</row>
    <row r="694" ht="15.75" customHeight="1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</row>
    <row r="695" ht="15.7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</row>
    <row r="696" ht="15.75" customHeight="1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</row>
    <row r="697" ht="15.7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</row>
    <row r="698" ht="15.75" customHeight="1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</row>
    <row r="699" ht="15.7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</row>
    <row r="700" ht="15.75" customHeight="1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</row>
    <row r="701" ht="15.7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</row>
    <row r="702" ht="15.75" customHeight="1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</row>
    <row r="703" ht="15.7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</row>
    <row r="704" ht="15.75" customHeight="1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</row>
    <row r="705" ht="15.7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</row>
    <row r="706" ht="15.75" customHeight="1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</row>
    <row r="707" ht="15.7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</row>
    <row r="708" ht="15.75" customHeight="1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</row>
    <row r="709" ht="15.7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</row>
    <row r="710" ht="15.75" customHeight="1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</row>
    <row r="711" ht="15.7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</row>
    <row r="712" ht="15.75" customHeight="1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</row>
    <row r="713" ht="15.7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</row>
    <row r="714" ht="15.75" customHeight="1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</row>
    <row r="715" ht="15.7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</row>
    <row r="716" ht="15.75" customHeight="1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</row>
    <row r="717" ht="15.7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</row>
    <row r="718" ht="15.75" customHeight="1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</row>
    <row r="719" ht="15.7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</row>
    <row r="720" ht="15.75" customHeight="1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</row>
    <row r="721" ht="15.7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</row>
    <row r="722" ht="15.75" customHeight="1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</row>
    <row r="723" ht="15.7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</row>
    <row r="724" ht="15.75" customHeight="1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</row>
    <row r="725" ht="15.7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</row>
    <row r="726" ht="15.75" customHeight="1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</row>
    <row r="727" ht="15.7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</row>
    <row r="728" ht="15.75" customHeight="1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</row>
    <row r="729" ht="15.7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</row>
    <row r="730" ht="15.75" customHeight="1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</row>
    <row r="731" ht="15.7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</row>
    <row r="732" ht="15.75" customHeight="1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</row>
    <row r="733" ht="15.7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</row>
    <row r="734" ht="15.75" customHeight="1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</row>
    <row r="735" ht="15.7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</row>
    <row r="736" ht="15.75" customHeight="1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</row>
    <row r="737" ht="15.7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</row>
    <row r="738" ht="15.75" customHeight="1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</row>
    <row r="739" ht="15.7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</row>
    <row r="740" ht="15.75" customHeight="1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</row>
    <row r="741" ht="15.7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</row>
    <row r="742" ht="15.75" customHeight="1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</row>
    <row r="743" ht="15.7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</row>
    <row r="744" ht="15.75" customHeight="1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</row>
    <row r="745" ht="15.7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</row>
    <row r="746" ht="15.75" customHeight="1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</row>
    <row r="747" ht="15.7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</row>
    <row r="748" ht="15.75" customHeight="1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</row>
    <row r="749" ht="15.7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</row>
    <row r="750" ht="15.75" customHeight="1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</row>
    <row r="751" ht="15.7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</row>
    <row r="752" ht="15.75" customHeight="1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</row>
    <row r="753" ht="15.7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</row>
    <row r="754" ht="15.75" customHeight="1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</row>
    <row r="755" ht="15.7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</row>
    <row r="756" ht="15.75" customHeight="1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</row>
    <row r="757" ht="15.7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</row>
    <row r="758" ht="15.75" customHeight="1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</row>
    <row r="759" ht="15.7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</row>
    <row r="760" ht="15.75" customHeight="1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</row>
    <row r="761" ht="15.7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</row>
    <row r="762" ht="15.75" customHeight="1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</row>
    <row r="763" ht="15.7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</row>
    <row r="764" ht="15.75" customHeight="1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</row>
    <row r="765" ht="15.7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</row>
    <row r="766" ht="15.75" customHeight="1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</row>
    <row r="767" ht="15.7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</row>
    <row r="768" ht="15.75" customHeight="1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</row>
    <row r="769" ht="15.7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</row>
    <row r="770" ht="15.75" customHeight="1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</row>
    <row r="771" ht="15.7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</row>
    <row r="772" ht="15.75" customHeight="1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</row>
    <row r="773" ht="15.7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</row>
    <row r="774" ht="15.75" customHeight="1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</row>
    <row r="775" ht="15.7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</row>
    <row r="776" ht="15.75" customHeight="1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</row>
    <row r="777" ht="15.7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</row>
    <row r="778" ht="15.75" customHeight="1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</row>
    <row r="779" ht="15.7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</row>
    <row r="780" ht="15.75" customHeight="1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</row>
    <row r="781" ht="15.7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</row>
    <row r="782" ht="15.75" customHeight="1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</row>
    <row r="783" ht="15.7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</row>
    <row r="784" ht="15.75" customHeight="1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</row>
    <row r="785" ht="15.7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</row>
    <row r="786" ht="15.75" customHeight="1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</row>
    <row r="787" ht="15.7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</row>
    <row r="788" ht="15.75" customHeight="1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</row>
    <row r="789" ht="15.7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</row>
    <row r="790" ht="15.75" customHeight="1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</row>
    <row r="791" ht="15.7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</row>
    <row r="792" ht="15.75" customHeight="1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</row>
    <row r="793" ht="15.7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</row>
    <row r="794" ht="15.75" customHeight="1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</row>
    <row r="795" ht="15.7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</row>
    <row r="796" ht="15.75" customHeight="1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</row>
    <row r="797" ht="15.7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</row>
    <row r="798" ht="15.75" customHeight="1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</row>
    <row r="799" ht="15.7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</row>
    <row r="800" ht="15.7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</row>
    <row r="801" ht="15.7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</row>
    <row r="802" ht="15.7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</row>
    <row r="803" ht="15.7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</row>
    <row r="804" ht="15.75" customHeight="1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</row>
    <row r="805" ht="15.7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</row>
    <row r="806" ht="15.75" customHeight="1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</row>
    <row r="807" ht="15.7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</row>
    <row r="808" ht="15.75" customHeight="1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</row>
    <row r="809" ht="15.7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</row>
    <row r="810" ht="15.75" customHeight="1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</row>
    <row r="811" ht="15.7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</row>
    <row r="812" ht="15.75" customHeight="1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</row>
    <row r="813" ht="15.7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</row>
    <row r="814" ht="15.7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</row>
    <row r="815" ht="15.7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</row>
    <row r="816" ht="15.7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</row>
    <row r="817" ht="15.7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</row>
    <row r="818" ht="15.75" customHeight="1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</row>
    <row r="819" ht="15.7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</row>
    <row r="820" ht="15.75" customHeight="1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</row>
    <row r="821" ht="15.7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</row>
    <row r="822" ht="15.75" customHeight="1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</row>
    <row r="823" ht="15.7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</row>
    <row r="824" ht="15.75" customHeight="1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</row>
    <row r="825" ht="15.7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</row>
    <row r="826" ht="15.75" customHeight="1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</row>
    <row r="827" ht="15.7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</row>
    <row r="828" ht="15.7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</row>
    <row r="829" ht="15.7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</row>
    <row r="830" ht="15.7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</row>
    <row r="831" ht="15.7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</row>
    <row r="832" ht="15.7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</row>
    <row r="833" ht="15.7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</row>
    <row r="834" ht="15.75" customHeight="1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</row>
    <row r="835" ht="15.7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</row>
    <row r="836" ht="15.75" customHeight="1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</row>
    <row r="837" ht="15.7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</row>
    <row r="838" ht="15.75" customHeight="1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</row>
    <row r="839" ht="15.7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</row>
    <row r="840" ht="15.75" customHeight="1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</row>
    <row r="841" ht="15.7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</row>
    <row r="842" ht="15.75" customHeight="1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</row>
    <row r="843" ht="15.7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</row>
    <row r="844" ht="15.7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</row>
    <row r="845" ht="15.7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</row>
    <row r="846" ht="15.7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</row>
    <row r="847" ht="15.7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</row>
    <row r="848" ht="15.75" customHeight="1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</row>
    <row r="849" ht="15.7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</row>
    <row r="850" ht="15.75" customHeight="1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</row>
    <row r="851" ht="15.7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</row>
    <row r="852" ht="15.75" customHeight="1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</row>
    <row r="853" ht="15.7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</row>
    <row r="854" ht="15.75" customHeight="1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</row>
    <row r="855" ht="15.7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</row>
    <row r="856" ht="15.75" customHeight="1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</row>
    <row r="857" ht="15.7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</row>
    <row r="858" ht="15.75" customHeight="1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</row>
    <row r="859" ht="15.7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</row>
    <row r="860" ht="15.7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</row>
    <row r="861" ht="15.7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</row>
    <row r="862" ht="15.7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</row>
    <row r="863" ht="15.7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</row>
    <row r="864" ht="15.75" customHeight="1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</row>
    <row r="865" ht="15.7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</row>
    <row r="866" ht="15.75" customHeight="1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</row>
    <row r="867" ht="15.7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</row>
    <row r="868" ht="15.75" customHeight="1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</row>
    <row r="869" ht="15.7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</row>
    <row r="870" ht="15.75" customHeight="1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</row>
    <row r="871" ht="15.7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</row>
    <row r="872" ht="15.75" customHeight="1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</row>
    <row r="873" ht="15.7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</row>
    <row r="874" ht="15.7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</row>
    <row r="875" ht="15.7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</row>
    <row r="876" ht="15.75" customHeight="1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</row>
    <row r="877" ht="15.7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</row>
    <row r="878" ht="15.75" customHeight="1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</row>
    <row r="879" ht="15.7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</row>
    <row r="880" ht="15.75" customHeight="1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</row>
    <row r="881" ht="15.7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</row>
    <row r="882" ht="15.75" customHeight="1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</row>
    <row r="883" ht="15.7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</row>
    <row r="884" ht="15.75" customHeight="1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</row>
    <row r="885" ht="15.7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</row>
    <row r="886" ht="15.75" customHeight="1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</row>
    <row r="887" ht="15.7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</row>
    <row r="888" ht="15.75" customHeight="1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</row>
    <row r="889" ht="15.7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</row>
    <row r="890" ht="15.7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</row>
    <row r="891" ht="15.7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</row>
    <row r="892" ht="15.7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</row>
    <row r="893" ht="15.7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</row>
    <row r="894" ht="15.7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</row>
    <row r="895" ht="15.7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</row>
    <row r="896" ht="15.7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</row>
    <row r="897" ht="15.7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</row>
    <row r="898" ht="15.75" customHeight="1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</row>
    <row r="899" ht="15.7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</row>
    <row r="900" ht="15.75" customHeight="1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</row>
    <row r="901" ht="15.7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</row>
    <row r="902" ht="15.75" customHeight="1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</row>
    <row r="903" ht="15.7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</row>
    <row r="904" ht="15.75" customHeight="1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</row>
    <row r="905" ht="15.7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</row>
    <row r="906" ht="15.75" customHeight="1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</row>
    <row r="907" ht="15.7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</row>
    <row r="908" ht="15.7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</row>
    <row r="909" ht="15.7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</row>
    <row r="910" ht="15.7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</row>
    <row r="911" ht="15.7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</row>
    <row r="912" ht="15.75" customHeight="1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</row>
    <row r="913" ht="15.7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</row>
    <row r="914" ht="15.75" customHeight="1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</row>
    <row r="915" ht="15.7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</row>
    <row r="916" ht="15.75" customHeight="1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</row>
    <row r="917" ht="15.7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</row>
    <row r="918" ht="15.75" customHeight="1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</row>
    <row r="919" ht="15.7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</row>
    <row r="920" ht="15.75" customHeight="1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</row>
    <row r="921" ht="15.7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</row>
    <row r="922" ht="15.75" customHeight="1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</row>
    <row r="923" ht="15.7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</row>
    <row r="924" ht="15.75" customHeight="1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</row>
    <row r="925" ht="15.7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</row>
    <row r="926" ht="15.75" customHeight="1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</row>
    <row r="927" ht="15.7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</row>
    <row r="928" ht="15.75" customHeight="1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</row>
    <row r="929" ht="15.7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</row>
    <row r="930" ht="15.75" customHeight="1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</row>
    <row r="931" ht="15.7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</row>
    <row r="932" ht="15.75" customHeight="1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</row>
    <row r="933" ht="15.7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</row>
    <row r="934" ht="15.75" customHeight="1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</row>
    <row r="935" ht="15.7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</row>
    <row r="936" ht="15.75" customHeight="1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</row>
    <row r="937" ht="15.7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</row>
    <row r="938" ht="15.75" customHeight="1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</row>
    <row r="939" ht="15.7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</row>
    <row r="940" ht="15.75" customHeight="1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</row>
    <row r="941" ht="15.7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</row>
    <row r="942" ht="15.75" customHeight="1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</row>
    <row r="943" ht="15.7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</row>
    <row r="944" ht="15.75" customHeight="1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</row>
    <row r="945" ht="15.7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</row>
    <row r="946" ht="15.75" customHeight="1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</row>
    <row r="947" ht="15.7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</row>
    <row r="948" ht="15.75" customHeight="1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</row>
    <row r="949" ht="15.7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</row>
    <row r="950" ht="15.75" customHeight="1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</row>
    <row r="951" ht="15.7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</row>
    <row r="952" ht="15.75" customHeight="1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</row>
    <row r="953" ht="15.7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</row>
    <row r="954" ht="15.75" customHeight="1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</row>
    <row r="955" ht="15.7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</row>
    <row r="956" ht="15.75" customHeight="1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</row>
    <row r="957" ht="15.7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</row>
    <row r="958" ht="15.75" customHeight="1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</row>
    <row r="959" ht="15.7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</row>
    <row r="960" ht="15.75" customHeight="1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</row>
    <row r="961" ht="15.7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</row>
    <row r="962" ht="15.75" customHeight="1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</row>
    <row r="963" ht="15.7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</row>
    <row r="964" ht="15.75" customHeight="1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</row>
    <row r="965" ht="15.7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</row>
    <row r="966" ht="15.75" customHeight="1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</row>
    <row r="967" ht="15.7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</row>
    <row r="968" ht="15.75" customHeight="1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</row>
    <row r="969" ht="15.7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</row>
    <row r="970" ht="15.75" customHeight="1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</row>
    <row r="971" ht="15.7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</row>
    <row r="972" ht="15.75" customHeight="1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</row>
    <row r="973" ht="15.7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</row>
    <row r="974" ht="15.75" customHeight="1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</row>
    <row r="975" ht="15.7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</row>
    <row r="976" ht="15.75" customHeight="1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</row>
    <row r="977" ht="15.7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</row>
    <row r="978" ht="15.75" customHeight="1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</row>
    <row r="979" ht="15.7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</row>
    <row r="980" ht="15.75" customHeight="1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</row>
    <row r="981" ht="15.75" customHeight="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</row>
    <row r="982" ht="15.75" customHeight="1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</row>
    <row r="983" ht="15.75" customHeight="1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</row>
    <row r="984" ht="15.75" customHeight="1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</row>
    <row r="985" ht="15.75" customHeight="1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</row>
    <row r="986" ht="15.75" customHeight="1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</row>
    <row r="987" ht="15.75" customHeight="1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</row>
    <row r="988" ht="15.75" customHeight="1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</row>
    <row r="989" ht="15.75" customHeight="1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</row>
    <row r="990" ht="15.75" customHeight="1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</row>
    <row r="991" ht="15.75" customHeight="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</row>
    <row r="992" ht="15.75" customHeight="1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</row>
    <row r="993" ht="15.75" customHeight="1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</row>
    <row r="994" ht="15.75" customHeight="1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</row>
    <row r="995" ht="15.75" customHeight="1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</row>
    <row r="996" ht="15.75" customHeight="1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</row>
    <row r="997" ht="15.75" customHeight="1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</row>
    <row r="998" ht="15.75" customHeight="1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</row>
    <row r="999" ht="15.75" customHeight="1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</row>
    <row r="1000" ht="15.75" customHeight="1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14"/>
    <col customWidth="1" min="2" max="2" width="22.86"/>
    <col customWidth="1" min="3" max="3" width="40.0"/>
    <col customWidth="1" min="4" max="6" width="18.0"/>
    <col customWidth="1" min="7" max="7" width="16.71"/>
    <col customWidth="1" min="8" max="14" width="11.0"/>
    <col customWidth="1" min="15" max="15" width="54.86"/>
    <col customWidth="1" min="16" max="26" width="8.57"/>
  </cols>
  <sheetData>
    <row r="1" ht="14.25" customHeight="1">
      <c r="A1" s="1" t="s">
        <v>2</v>
      </c>
      <c r="B1" s="1" t="s">
        <v>11</v>
      </c>
      <c r="C1" s="1" t="s">
        <v>14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5" t="s">
        <v>25</v>
      </c>
      <c r="B2" s="6">
        <v>20.0</v>
      </c>
      <c r="C2" s="5" t="s">
        <v>26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4.25" customHeight="1">
      <c r="A3" s="5" t="s">
        <v>27</v>
      </c>
      <c r="B3" s="7">
        <v>8.0</v>
      </c>
      <c r="C3" s="5" t="s">
        <v>28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5" t="s">
        <v>29</v>
      </c>
      <c r="B4" s="6">
        <v>30.0</v>
      </c>
      <c r="C4" s="5" t="s">
        <v>30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5" t="s">
        <v>31</v>
      </c>
      <c r="B5" s="10">
        <f>B3-B4/60</f>
        <v>7.5</v>
      </c>
      <c r="C5" s="5" t="s">
        <v>32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4.25" customHeight="1">
      <c r="A6" s="5" t="s">
        <v>34</v>
      </c>
      <c r="B6" s="6">
        <v>1.0</v>
      </c>
      <c r="C6" s="5" t="s">
        <v>35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4.25" customHeight="1">
      <c r="A7" s="5" t="s">
        <v>36</v>
      </c>
      <c r="B7" s="7">
        <f>B2*B5*B6</f>
        <v>150</v>
      </c>
      <c r="C7" s="5" t="s">
        <v>37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 customHeight="1">
      <c r="A8" s="5" t="s">
        <v>39</v>
      </c>
      <c r="B8" s="11">
        <v>0.9</v>
      </c>
      <c r="C8" s="5" t="s">
        <v>40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4.2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4.25" customHeight="1">
      <c r="A10" s="12" t="s">
        <v>41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4.25" customHeight="1">
      <c r="A11" s="1" t="s">
        <v>42</v>
      </c>
      <c r="B11" s="1" t="s">
        <v>5</v>
      </c>
      <c r="C11" s="1" t="s">
        <v>6</v>
      </c>
      <c r="D11" s="1" t="s">
        <v>7</v>
      </c>
      <c r="E11" s="1" t="s">
        <v>8</v>
      </c>
      <c r="F11" s="1" t="s">
        <v>9</v>
      </c>
      <c r="G11" s="1" t="s">
        <v>10</v>
      </c>
      <c r="H11" s="1" t="s">
        <v>12</v>
      </c>
      <c r="I11" s="1" t="s">
        <v>13</v>
      </c>
      <c r="J11" s="1" t="s">
        <v>15</v>
      </c>
      <c r="K11" s="1" t="s">
        <v>16</v>
      </c>
      <c r="L11" s="1" t="s">
        <v>17</v>
      </c>
      <c r="M11" s="1" t="s">
        <v>18</v>
      </c>
      <c r="N11" s="1" t="s">
        <v>44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4.25" customHeight="1">
      <c r="A12" s="5" t="s">
        <v>45</v>
      </c>
      <c r="B12" s="13">
        <v>0.12</v>
      </c>
      <c r="C12" s="13">
        <v>0.09</v>
      </c>
      <c r="D12" s="13">
        <v>0.08</v>
      </c>
      <c r="E12" s="13">
        <v>0.075</v>
      </c>
      <c r="F12" s="13">
        <v>0.07</v>
      </c>
      <c r="G12" s="13">
        <v>0.07</v>
      </c>
      <c r="H12" s="13">
        <v>0.075</v>
      </c>
      <c r="I12" s="13">
        <v>0.075</v>
      </c>
      <c r="J12" s="13">
        <v>0.075</v>
      </c>
      <c r="K12" s="13">
        <v>0.075</v>
      </c>
      <c r="L12" s="13">
        <v>0.075</v>
      </c>
      <c r="M12" s="13">
        <v>0.12</v>
      </c>
      <c r="N12" s="13">
        <f t="shared" ref="N12:N15" si="1">SUM(B12:M12)</f>
        <v>1</v>
      </c>
      <c r="O12" s="5" t="s">
        <v>47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4.25" customHeight="1">
      <c r="A13" s="5" t="s">
        <v>48</v>
      </c>
      <c r="B13" s="13">
        <v>0.1</v>
      </c>
      <c r="C13" s="13">
        <v>0.08</v>
      </c>
      <c r="D13" s="13">
        <v>0.085</v>
      </c>
      <c r="E13" s="13">
        <v>0.085</v>
      </c>
      <c r="F13" s="13">
        <v>0.08</v>
      </c>
      <c r="G13" s="13">
        <v>0.075</v>
      </c>
      <c r="H13" s="13">
        <v>0.08</v>
      </c>
      <c r="I13" s="13">
        <v>0.08</v>
      </c>
      <c r="J13" s="13">
        <v>0.08</v>
      </c>
      <c r="K13" s="13">
        <v>0.075</v>
      </c>
      <c r="L13" s="13">
        <v>0.07</v>
      </c>
      <c r="M13" s="13">
        <v>0.11</v>
      </c>
      <c r="N13" s="13">
        <f t="shared" si="1"/>
        <v>1</v>
      </c>
      <c r="O13" s="5" t="s">
        <v>49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25" customHeight="1">
      <c r="A14" s="5" t="s">
        <v>50</v>
      </c>
      <c r="B14" s="13">
        <v>0.1</v>
      </c>
      <c r="C14" s="13">
        <v>0.08</v>
      </c>
      <c r="D14" s="13">
        <v>0.085</v>
      </c>
      <c r="E14" s="13">
        <v>0.085</v>
      </c>
      <c r="F14" s="13">
        <v>0.08</v>
      </c>
      <c r="G14" s="13">
        <v>0.075</v>
      </c>
      <c r="H14" s="13">
        <v>0.08</v>
      </c>
      <c r="I14" s="13">
        <v>0.08</v>
      </c>
      <c r="J14" s="13">
        <v>0.08</v>
      </c>
      <c r="K14" s="13">
        <v>0.075</v>
      </c>
      <c r="L14" s="13">
        <v>0.07</v>
      </c>
      <c r="M14" s="13">
        <v>0.11</v>
      </c>
      <c r="N14" s="13">
        <f t="shared" si="1"/>
        <v>1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4.25" customHeight="1">
      <c r="A15" s="5" t="s">
        <v>51</v>
      </c>
      <c r="B15" s="13">
        <v>0.1</v>
      </c>
      <c r="C15" s="13">
        <v>0.08</v>
      </c>
      <c r="D15" s="13">
        <v>0.085</v>
      </c>
      <c r="E15" s="13">
        <v>0.085</v>
      </c>
      <c r="F15" s="13">
        <v>0.08</v>
      </c>
      <c r="G15" s="13">
        <v>0.075</v>
      </c>
      <c r="H15" s="13">
        <v>0.08</v>
      </c>
      <c r="I15" s="13">
        <v>0.08</v>
      </c>
      <c r="J15" s="13">
        <v>0.08</v>
      </c>
      <c r="K15" s="13">
        <v>0.075</v>
      </c>
      <c r="L15" s="13">
        <v>0.07</v>
      </c>
      <c r="M15" s="13">
        <v>0.11</v>
      </c>
      <c r="N15" s="13">
        <f t="shared" si="1"/>
        <v>1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4.2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4.25" customHeight="1">
      <c r="A17" s="12" t="s">
        <v>52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45.0" customHeight="1">
      <c r="A18" s="17" t="s">
        <v>53</v>
      </c>
      <c r="B18" s="17" t="s">
        <v>55</v>
      </c>
      <c r="C18" s="17" t="s">
        <v>56</v>
      </c>
      <c r="D18" s="17" t="s">
        <v>45</v>
      </c>
      <c r="E18" s="17" t="s">
        <v>48</v>
      </c>
      <c r="F18" s="17" t="s">
        <v>50</v>
      </c>
      <c r="G18" s="17" t="s">
        <v>51</v>
      </c>
      <c r="H18" s="17" t="s">
        <v>57</v>
      </c>
      <c r="I18" s="17" t="s">
        <v>58</v>
      </c>
      <c r="J18" s="17" t="s">
        <v>59</v>
      </c>
      <c r="K18" s="17" t="s">
        <v>60</v>
      </c>
      <c r="L18" s="17" t="s">
        <v>61</v>
      </c>
      <c r="M18" s="17" t="s">
        <v>62</v>
      </c>
      <c r="N18" s="17" t="s">
        <v>63</v>
      </c>
      <c r="O18" s="17" t="s">
        <v>65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4.25" customHeight="1">
      <c r="A19" s="18">
        <v>1.0</v>
      </c>
      <c r="B19" s="19" t="s">
        <v>66</v>
      </c>
      <c r="C19" s="18" t="s">
        <v>67</v>
      </c>
      <c r="D19" s="18">
        <v>1.0</v>
      </c>
      <c r="E19" s="18">
        <v>1.0</v>
      </c>
      <c r="F19" s="18">
        <v>1.0</v>
      </c>
      <c r="G19" s="18">
        <v>1.0</v>
      </c>
      <c r="H19" s="18" t="s">
        <v>68</v>
      </c>
      <c r="I19" s="18">
        <v>1.0</v>
      </c>
      <c r="J19" s="20">
        <v>1.0</v>
      </c>
      <c r="K19" s="21">
        <v>60.0</v>
      </c>
      <c r="L19" s="22">
        <f t="shared" ref="L19:L44" si="2">F52</f>
        <v>1</v>
      </c>
      <c r="M19" s="23">
        <f t="shared" ref="M19:M44" si="3">IF(K19&gt;0,3600/K19*L19,0)</f>
        <v>60</v>
      </c>
      <c r="N19" s="24">
        <f t="shared" ref="N19:N44" si="4">M19*$B$7</f>
        <v>9000</v>
      </c>
      <c r="O19" s="25" t="s">
        <v>71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 customHeight="1">
      <c r="A20" s="18">
        <v>2.0</v>
      </c>
      <c r="B20" s="19" t="s">
        <v>73</v>
      </c>
      <c r="C20" s="18" t="s">
        <v>74</v>
      </c>
      <c r="D20" s="18">
        <v>1.0</v>
      </c>
      <c r="E20" s="18">
        <v>1.0</v>
      </c>
      <c r="F20" s="18">
        <v>1.0</v>
      </c>
      <c r="G20" s="18">
        <v>1.0</v>
      </c>
      <c r="H20" s="18" t="s">
        <v>68</v>
      </c>
      <c r="I20" s="18">
        <v>1.0</v>
      </c>
      <c r="J20" s="20">
        <v>1.0</v>
      </c>
      <c r="K20" s="21">
        <f>$G$128</f>
        <v>29.96815516</v>
      </c>
      <c r="L20" s="22">
        <f t="shared" si="2"/>
        <v>0.9933333333</v>
      </c>
      <c r="M20" s="23">
        <f t="shared" si="3"/>
        <v>119.3266646</v>
      </c>
      <c r="N20" s="24">
        <f t="shared" si="4"/>
        <v>17898.99969</v>
      </c>
      <c r="O20" s="25" t="s">
        <v>76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4.25" customHeight="1">
      <c r="A21" s="18">
        <v>3.0</v>
      </c>
      <c r="B21" s="19" t="s">
        <v>77</v>
      </c>
      <c r="C21" s="18" t="s">
        <v>78</v>
      </c>
      <c r="D21" s="18">
        <v>1.0</v>
      </c>
      <c r="E21" s="18">
        <v>1.0</v>
      </c>
      <c r="F21" s="18">
        <v>1.0</v>
      </c>
      <c r="G21" s="18">
        <v>1.0</v>
      </c>
      <c r="H21" s="18" t="s">
        <v>68</v>
      </c>
      <c r="I21" s="18">
        <v>1.0</v>
      </c>
      <c r="J21" s="20">
        <v>1.0</v>
      </c>
      <c r="K21" s="21">
        <f>$H$128</f>
        <v>23.07368858</v>
      </c>
      <c r="L21" s="22">
        <f t="shared" si="2"/>
        <v>0.9933333333</v>
      </c>
      <c r="M21" s="23">
        <f t="shared" si="3"/>
        <v>154.9817225</v>
      </c>
      <c r="N21" s="24">
        <f t="shared" si="4"/>
        <v>23247.25837</v>
      </c>
      <c r="O21" s="25" t="s">
        <v>79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4.25" customHeight="1">
      <c r="A22" s="18">
        <v>4.0</v>
      </c>
      <c r="B22" s="19" t="s">
        <v>80</v>
      </c>
      <c r="C22" s="18" t="s">
        <v>81</v>
      </c>
      <c r="D22" s="18">
        <v>1.0</v>
      </c>
      <c r="E22" s="18">
        <v>1.0</v>
      </c>
      <c r="F22" s="18">
        <v>1.0</v>
      </c>
      <c r="G22" s="18">
        <v>1.0</v>
      </c>
      <c r="H22" s="18" t="s">
        <v>68</v>
      </c>
      <c r="I22" s="18">
        <v>2.0</v>
      </c>
      <c r="J22" s="20">
        <v>1.0</v>
      </c>
      <c r="K22" s="21">
        <v>8.0</v>
      </c>
      <c r="L22" s="22">
        <f t="shared" si="2"/>
        <v>0.68</v>
      </c>
      <c r="M22" s="23">
        <f t="shared" si="3"/>
        <v>306</v>
      </c>
      <c r="N22" s="24">
        <f t="shared" si="4"/>
        <v>45900</v>
      </c>
      <c r="O22" s="25" t="s">
        <v>82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4.25" customHeight="1">
      <c r="A23" s="18">
        <v>5.0</v>
      </c>
      <c r="B23" s="19" t="s">
        <v>84</v>
      </c>
      <c r="C23" s="18" t="s">
        <v>85</v>
      </c>
      <c r="D23" s="18">
        <v>1.0</v>
      </c>
      <c r="E23" s="18">
        <v>1.0</v>
      </c>
      <c r="F23" s="18">
        <v>1.0</v>
      </c>
      <c r="G23" s="18">
        <v>1.0</v>
      </c>
      <c r="H23" s="18" t="s">
        <v>68</v>
      </c>
      <c r="I23" s="18">
        <v>1.0</v>
      </c>
      <c r="J23" s="20">
        <v>1.0</v>
      </c>
      <c r="K23" s="21">
        <v>60.0</v>
      </c>
      <c r="L23" s="22">
        <f t="shared" si="2"/>
        <v>1</v>
      </c>
      <c r="M23" s="23">
        <f t="shared" si="3"/>
        <v>60</v>
      </c>
      <c r="N23" s="24">
        <f t="shared" si="4"/>
        <v>9000</v>
      </c>
      <c r="O23" s="2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4.25" customHeight="1">
      <c r="A24" s="18">
        <v>6.0</v>
      </c>
      <c r="B24" s="19" t="s">
        <v>86</v>
      </c>
      <c r="C24" s="18" t="s">
        <v>87</v>
      </c>
      <c r="D24" s="18">
        <v>1.0</v>
      </c>
      <c r="E24" s="18">
        <v>1.0</v>
      </c>
      <c r="F24" s="18">
        <v>1.0</v>
      </c>
      <c r="G24" s="18">
        <v>1.0</v>
      </c>
      <c r="H24" s="18" t="s">
        <v>68</v>
      </c>
      <c r="I24" s="18">
        <v>1.0</v>
      </c>
      <c r="J24" s="20">
        <v>1.0</v>
      </c>
      <c r="K24" s="21">
        <v>20.0</v>
      </c>
      <c r="L24" s="22">
        <f t="shared" si="2"/>
        <v>1</v>
      </c>
      <c r="M24" s="23">
        <f t="shared" si="3"/>
        <v>180</v>
      </c>
      <c r="N24" s="24">
        <f t="shared" si="4"/>
        <v>27000</v>
      </c>
      <c r="O24" s="25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4.25" customHeight="1">
      <c r="A25" s="18">
        <v>7.0</v>
      </c>
      <c r="B25" s="19" t="s">
        <v>88</v>
      </c>
      <c r="C25" s="18" t="s">
        <v>89</v>
      </c>
      <c r="D25" s="18">
        <v>1.0</v>
      </c>
      <c r="E25" s="18">
        <v>1.0</v>
      </c>
      <c r="F25" s="18">
        <v>1.0</v>
      </c>
      <c r="G25" s="18">
        <v>1.0</v>
      </c>
      <c r="H25" s="18" t="s">
        <v>68</v>
      </c>
      <c r="I25" s="18">
        <v>1.0</v>
      </c>
      <c r="J25" s="20">
        <v>1.0</v>
      </c>
      <c r="K25" s="21">
        <v>25.0</v>
      </c>
      <c r="L25" s="22">
        <f t="shared" si="2"/>
        <v>0.9733333333</v>
      </c>
      <c r="M25" s="23">
        <f t="shared" si="3"/>
        <v>140.16</v>
      </c>
      <c r="N25" s="24">
        <f t="shared" si="4"/>
        <v>21024</v>
      </c>
      <c r="O25" s="25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4.25" customHeight="1">
      <c r="A26" s="18">
        <v>8.0</v>
      </c>
      <c r="B26" s="19" t="s">
        <v>90</v>
      </c>
      <c r="C26" s="18" t="s">
        <v>91</v>
      </c>
      <c r="D26" s="18">
        <v>1.0</v>
      </c>
      <c r="E26" s="18">
        <v>1.0</v>
      </c>
      <c r="F26" s="18">
        <v>1.0</v>
      </c>
      <c r="G26" s="18">
        <v>1.0</v>
      </c>
      <c r="H26" s="18" t="s">
        <v>68</v>
      </c>
      <c r="I26" s="18">
        <v>1.0</v>
      </c>
      <c r="J26" s="20">
        <v>1.0</v>
      </c>
      <c r="K26" s="21">
        <v>15.0</v>
      </c>
      <c r="L26" s="22">
        <f t="shared" si="2"/>
        <v>0.9866666667</v>
      </c>
      <c r="M26" s="23">
        <f t="shared" si="3"/>
        <v>236.8</v>
      </c>
      <c r="N26" s="24">
        <f t="shared" si="4"/>
        <v>35520</v>
      </c>
      <c r="O26" s="25" t="s">
        <v>93</v>
      </c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4.25" customHeight="1">
      <c r="A27" s="18">
        <v>9.0</v>
      </c>
      <c r="B27" s="19" t="s">
        <v>94</v>
      </c>
      <c r="C27" s="18" t="s">
        <v>95</v>
      </c>
      <c r="D27" s="18">
        <v>0.0</v>
      </c>
      <c r="E27" s="18">
        <v>1.0</v>
      </c>
      <c r="F27" s="18">
        <v>1.0</v>
      </c>
      <c r="G27" s="18">
        <v>1.0</v>
      </c>
      <c r="H27" s="18" t="s">
        <v>68</v>
      </c>
      <c r="I27" s="18">
        <v>1.0</v>
      </c>
      <c r="J27" s="20">
        <v>1.0</v>
      </c>
      <c r="K27" s="21">
        <v>115.0</v>
      </c>
      <c r="L27" s="22">
        <f t="shared" si="2"/>
        <v>0.9866666667</v>
      </c>
      <c r="M27" s="23">
        <f t="shared" si="3"/>
        <v>30.88695652</v>
      </c>
      <c r="N27" s="24">
        <f t="shared" si="4"/>
        <v>4633.043478</v>
      </c>
      <c r="O27" s="25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4.25" customHeight="1">
      <c r="A28" s="18">
        <v>10.0</v>
      </c>
      <c r="B28" s="19" t="s">
        <v>96</v>
      </c>
      <c r="C28" s="18" t="s">
        <v>97</v>
      </c>
      <c r="D28" s="18">
        <v>1.0</v>
      </c>
      <c r="E28" s="18">
        <v>0.0</v>
      </c>
      <c r="F28" s="18">
        <v>0.0</v>
      </c>
      <c r="G28" s="18">
        <v>0.0</v>
      </c>
      <c r="H28" s="18" t="s">
        <v>68</v>
      </c>
      <c r="I28" s="18">
        <v>1.0</v>
      </c>
      <c r="J28" s="20">
        <v>1.0</v>
      </c>
      <c r="K28" s="21">
        <v>30.0</v>
      </c>
      <c r="L28" s="22">
        <f t="shared" si="2"/>
        <v>1</v>
      </c>
      <c r="M28" s="23">
        <f t="shared" si="3"/>
        <v>120</v>
      </c>
      <c r="N28" s="24">
        <f t="shared" si="4"/>
        <v>18000</v>
      </c>
      <c r="O28" s="25" t="s">
        <v>98</v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4.25" customHeight="1">
      <c r="A29" s="18">
        <v>11.0</v>
      </c>
      <c r="B29" s="19" t="s">
        <v>99</v>
      </c>
      <c r="C29" s="18" t="s">
        <v>100</v>
      </c>
      <c r="D29" s="18">
        <v>1.0</v>
      </c>
      <c r="E29" s="18">
        <v>1.0</v>
      </c>
      <c r="F29" s="18">
        <v>1.0</v>
      </c>
      <c r="G29" s="18">
        <v>1.0</v>
      </c>
      <c r="H29" s="18" t="s">
        <v>68</v>
      </c>
      <c r="I29" s="18">
        <v>1.0</v>
      </c>
      <c r="J29" s="20">
        <v>1.0</v>
      </c>
      <c r="K29" s="21">
        <v>30.0</v>
      </c>
      <c r="L29" s="22">
        <f t="shared" si="2"/>
        <v>0.9822222222</v>
      </c>
      <c r="M29" s="23">
        <f t="shared" si="3"/>
        <v>117.8666667</v>
      </c>
      <c r="N29" s="24">
        <f t="shared" si="4"/>
        <v>17680</v>
      </c>
      <c r="O29" s="25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4.25" customHeight="1">
      <c r="A30" s="18">
        <v>12.0</v>
      </c>
      <c r="B30" s="19" t="s">
        <v>102</v>
      </c>
      <c r="C30" s="18" t="s">
        <v>103</v>
      </c>
      <c r="D30" s="18">
        <v>1.0</v>
      </c>
      <c r="E30" s="18">
        <v>1.0</v>
      </c>
      <c r="F30" s="18">
        <v>1.0</v>
      </c>
      <c r="G30" s="18">
        <v>1.0</v>
      </c>
      <c r="H30" s="18" t="s">
        <v>68</v>
      </c>
      <c r="I30" s="18">
        <v>1.0</v>
      </c>
      <c r="J30" s="20">
        <v>1.0</v>
      </c>
      <c r="K30" s="21">
        <v>20.0</v>
      </c>
      <c r="L30" s="22">
        <f t="shared" si="2"/>
        <v>0.9822222222</v>
      </c>
      <c r="M30" s="23">
        <f t="shared" si="3"/>
        <v>176.8</v>
      </c>
      <c r="N30" s="24">
        <f t="shared" si="4"/>
        <v>26520</v>
      </c>
      <c r="O30" s="25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4.25" customHeight="1">
      <c r="A31" s="18">
        <v>13.0</v>
      </c>
      <c r="B31" s="19" t="s">
        <v>104</v>
      </c>
      <c r="C31" s="18" t="s">
        <v>105</v>
      </c>
      <c r="D31" s="18">
        <v>1.0</v>
      </c>
      <c r="E31" s="18">
        <v>1.0</v>
      </c>
      <c r="F31" s="18">
        <v>1.0</v>
      </c>
      <c r="G31" s="18">
        <v>1.0</v>
      </c>
      <c r="H31" s="18" t="s">
        <v>68</v>
      </c>
      <c r="I31" s="18">
        <v>1.0</v>
      </c>
      <c r="J31" s="20">
        <v>1.0</v>
      </c>
      <c r="K31" s="21">
        <v>60.0</v>
      </c>
      <c r="L31" s="22">
        <f t="shared" si="2"/>
        <v>0.9822222222</v>
      </c>
      <c r="M31" s="23">
        <f t="shared" si="3"/>
        <v>58.93333333</v>
      </c>
      <c r="N31" s="24">
        <f t="shared" si="4"/>
        <v>8840</v>
      </c>
      <c r="O31" s="25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4.25" customHeight="1">
      <c r="A32" s="18">
        <v>14.0</v>
      </c>
      <c r="B32" s="19" t="s">
        <v>106</v>
      </c>
      <c r="C32" s="18" t="s">
        <v>108</v>
      </c>
      <c r="D32" s="18">
        <v>1.0</v>
      </c>
      <c r="E32" s="18">
        <v>1.0</v>
      </c>
      <c r="F32" s="18">
        <v>1.0</v>
      </c>
      <c r="G32" s="18">
        <v>1.0</v>
      </c>
      <c r="H32" s="18" t="s">
        <v>68</v>
      </c>
      <c r="I32" s="18">
        <v>1.0</v>
      </c>
      <c r="J32" s="20">
        <v>0.02</v>
      </c>
      <c r="K32" s="21">
        <v>120.0</v>
      </c>
      <c r="L32" s="22">
        <f t="shared" si="2"/>
        <v>1</v>
      </c>
      <c r="M32" s="23">
        <f t="shared" si="3"/>
        <v>30</v>
      </c>
      <c r="N32" s="24">
        <f t="shared" si="4"/>
        <v>4500</v>
      </c>
      <c r="O32" s="25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4.25" customHeight="1">
      <c r="A33" s="18">
        <v>15.0</v>
      </c>
      <c r="B33" s="19" t="s">
        <v>109</v>
      </c>
      <c r="C33" s="18" t="s">
        <v>110</v>
      </c>
      <c r="D33" s="18">
        <v>1.0</v>
      </c>
      <c r="E33" s="18">
        <v>1.0</v>
      </c>
      <c r="F33" s="18">
        <v>1.0</v>
      </c>
      <c r="G33" s="18">
        <v>1.0</v>
      </c>
      <c r="H33" s="18" t="s">
        <v>68</v>
      </c>
      <c r="I33" s="18">
        <v>1.0</v>
      </c>
      <c r="J33" s="20">
        <v>1.0</v>
      </c>
      <c r="K33" s="21">
        <v>60.0</v>
      </c>
      <c r="L33" s="22">
        <f t="shared" si="2"/>
        <v>0.9822222222</v>
      </c>
      <c r="M33" s="23">
        <f t="shared" si="3"/>
        <v>58.93333333</v>
      </c>
      <c r="N33" s="24">
        <f t="shared" si="4"/>
        <v>8840</v>
      </c>
      <c r="O33" s="25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 customHeight="1">
      <c r="A34" s="18">
        <v>16.0</v>
      </c>
      <c r="B34" s="19" t="s">
        <v>111</v>
      </c>
      <c r="C34" s="18" t="s">
        <v>112</v>
      </c>
      <c r="D34" s="18">
        <v>1.0</v>
      </c>
      <c r="E34" s="18">
        <v>1.0</v>
      </c>
      <c r="F34" s="18">
        <v>1.0</v>
      </c>
      <c r="G34" s="18">
        <v>1.0</v>
      </c>
      <c r="H34" s="18" t="s">
        <v>68</v>
      </c>
      <c r="I34" s="18">
        <v>1.0</v>
      </c>
      <c r="J34" s="20">
        <v>1.0</v>
      </c>
      <c r="K34" s="21">
        <v>120.0</v>
      </c>
      <c r="L34" s="22">
        <f t="shared" si="2"/>
        <v>1</v>
      </c>
      <c r="M34" s="23">
        <f t="shared" si="3"/>
        <v>30</v>
      </c>
      <c r="N34" s="24">
        <f t="shared" si="4"/>
        <v>4500</v>
      </c>
      <c r="O34" s="25" t="s">
        <v>113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4.25" customHeight="1">
      <c r="A35" s="18">
        <v>17.0</v>
      </c>
      <c r="B35" s="19" t="s">
        <v>114</v>
      </c>
      <c r="C35" s="18" t="s">
        <v>115</v>
      </c>
      <c r="D35" s="18">
        <v>1.0</v>
      </c>
      <c r="E35" s="18">
        <v>1.0</v>
      </c>
      <c r="F35" s="18">
        <v>1.0</v>
      </c>
      <c r="G35" s="18">
        <v>1.0</v>
      </c>
      <c r="H35" s="18" t="s">
        <v>68</v>
      </c>
      <c r="I35" s="18">
        <v>1.0</v>
      </c>
      <c r="J35" s="20">
        <v>1.0</v>
      </c>
      <c r="K35" s="21">
        <v>30.0</v>
      </c>
      <c r="L35" s="22">
        <f t="shared" si="2"/>
        <v>1</v>
      </c>
      <c r="M35" s="23">
        <f t="shared" si="3"/>
        <v>120</v>
      </c>
      <c r="N35" s="24">
        <f t="shared" si="4"/>
        <v>18000</v>
      </c>
      <c r="O35" s="25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4.25" customHeight="1">
      <c r="A36" s="18">
        <v>18.0</v>
      </c>
      <c r="B36" s="19" t="s">
        <v>118</v>
      </c>
      <c r="C36" s="18" t="s">
        <v>119</v>
      </c>
      <c r="D36" s="18">
        <v>1.0</v>
      </c>
      <c r="E36" s="18">
        <v>1.0</v>
      </c>
      <c r="F36" s="18">
        <v>1.0</v>
      </c>
      <c r="G36" s="18">
        <v>1.0</v>
      </c>
      <c r="H36" s="18" t="s">
        <v>68</v>
      </c>
      <c r="I36" s="18">
        <v>1.0</v>
      </c>
      <c r="J36" s="20">
        <v>1.0</v>
      </c>
      <c r="K36" s="21">
        <v>20.0</v>
      </c>
      <c r="L36" s="22">
        <f t="shared" si="2"/>
        <v>1</v>
      </c>
      <c r="M36" s="23">
        <f t="shared" si="3"/>
        <v>180</v>
      </c>
      <c r="N36" s="24">
        <f t="shared" si="4"/>
        <v>27000</v>
      </c>
      <c r="O36" s="25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4.25" customHeight="1">
      <c r="A37" s="18">
        <v>19.0</v>
      </c>
      <c r="B37" s="19" t="s">
        <v>120</v>
      </c>
      <c r="C37" s="18" t="s">
        <v>121</v>
      </c>
      <c r="D37" s="18">
        <v>1.0</v>
      </c>
      <c r="E37" s="18">
        <v>1.0</v>
      </c>
      <c r="F37" s="18">
        <v>1.0</v>
      </c>
      <c r="G37" s="18">
        <v>1.0</v>
      </c>
      <c r="H37" s="18" t="s">
        <v>68</v>
      </c>
      <c r="I37" s="18">
        <v>1.0</v>
      </c>
      <c r="J37" s="20">
        <v>0.05</v>
      </c>
      <c r="K37" s="21">
        <v>180.0</v>
      </c>
      <c r="L37" s="22">
        <f t="shared" si="2"/>
        <v>1</v>
      </c>
      <c r="M37" s="23">
        <f t="shared" si="3"/>
        <v>20</v>
      </c>
      <c r="N37" s="24">
        <f t="shared" si="4"/>
        <v>3000</v>
      </c>
      <c r="O37" s="25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4.25" customHeight="1">
      <c r="A38" s="18">
        <v>20.0</v>
      </c>
      <c r="B38" s="19" t="s">
        <v>122</v>
      </c>
      <c r="C38" s="18" t="s">
        <v>124</v>
      </c>
      <c r="D38" s="18">
        <v>1.0</v>
      </c>
      <c r="E38" s="18">
        <v>1.0</v>
      </c>
      <c r="F38" s="18">
        <v>1.0</v>
      </c>
      <c r="G38" s="18">
        <v>1.0</v>
      </c>
      <c r="H38" s="18" t="s">
        <v>68</v>
      </c>
      <c r="I38" s="18">
        <v>1.0</v>
      </c>
      <c r="J38" s="20">
        <v>1.0</v>
      </c>
      <c r="K38" s="21">
        <v>25.0</v>
      </c>
      <c r="L38" s="22">
        <f t="shared" si="2"/>
        <v>0.9466666667</v>
      </c>
      <c r="M38" s="23">
        <f t="shared" si="3"/>
        <v>136.32</v>
      </c>
      <c r="N38" s="24">
        <f t="shared" si="4"/>
        <v>20448</v>
      </c>
      <c r="O38" s="25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4.25" customHeight="1">
      <c r="A39" s="18">
        <v>21.0</v>
      </c>
      <c r="B39" s="19" t="s">
        <v>125</v>
      </c>
      <c r="C39" s="18" t="s">
        <v>126</v>
      </c>
      <c r="D39" s="18">
        <v>1.0</v>
      </c>
      <c r="E39" s="18">
        <v>1.0</v>
      </c>
      <c r="F39" s="18">
        <v>1.0</v>
      </c>
      <c r="G39" s="18">
        <v>1.0</v>
      </c>
      <c r="H39" s="18" t="s">
        <v>127</v>
      </c>
      <c r="I39" s="18">
        <v>1.0</v>
      </c>
      <c r="J39" s="20">
        <v>1.0</v>
      </c>
      <c r="K39" s="21">
        <v>45.0</v>
      </c>
      <c r="L39" s="22">
        <f t="shared" si="2"/>
        <v>1</v>
      </c>
      <c r="M39" s="23">
        <f t="shared" si="3"/>
        <v>80</v>
      </c>
      <c r="N39" s="24">
        <f t="shared" si="4"/>
        <v>12000</v>
      </c>
      <c r="O39" s="25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4.25" customHeight="1">
      <c r="A40" s="18">
        <v>22.0</v>
      </c>
      <c r="B40" s="19" t="s">
        <v>128</v>
      </c>
      <c r="C40" s="18" t="s">
        <v>129</v>
      </c>
      <c r="D40" s="18">
        <v>1.0</v>
      </c>
      <c r="E40" s="18">
        <v>1.0</v>
      </c>
      <c r="F40" s="18">
        <v>1.0</v>
      </c>
      <c r="G40" s="18">
        <v>1.0</v>
      </c>
      <c r="H40" s="18" t="s">
        <v>127</v>
      </c>
      <c r="I40" s="18">
        <v>1.0</v>
      </c>
      <c r="J40" s="20">
        <v>1.0</v>
      </c>
      <c r="K40" s="21">
        <v>100.0</v>
      </c>
      <c r="L40" s="22">
        <f t="shared" si="2"/>
        <v>0.9822222222</v>
      </c>
      <c r="M40" s="23">
        <f t="shared" si="3"/>
        <v>35.36</v>
      </c>
      <c r="N40" s="24">
        <f t="shared" si="4"/>
        <v>5304</v>
      </c>
      <c r="O40" s="25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4.25" customHeight="1">
      <c r="A41" s="18">
        <v>23.0</v>
      </c>
      <c r="B41" s="19" t="s">
        <v>130</v>
      </c>
      <c r="C41" s="18" t="s">
        <v>132</v>
      </c>
      <c r="D41" s="18">
        <v>1.0</v>
      </c>
      <c r="E41" s="18">
        <v>1.0</v>
      </c>
      <c r="F41" s="18">
        <v>1.0</v>
      </c>
      <c r="G41" s="18">
        <v>1.0</v>
      </c>
      <c r="H41" s="18" t="s">
        <v>127</v>
      </c>
      <c r="I41" s="18">
        <v>1.0</v>
      </c>
      <c r="J41" s="20">
        <v>1.0</v>
      </c>
      <c r="K41" s="21">
        <v>30.0</v>
      </c>
      <c r="L41" s="22">
        <f t="shared" si="2"/>
        <v>1</v>
      </c>
      <c r="M41" s="23">
        <f t="shared" si="3"/>
        <v>120</v>
      </c>
      <c r="N41" s="24">
        <f t="shared" si="4"/>
        <v>18000</v>
      </c>
      <c r="O41" s="25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4.25" customHeight="1">
      <c r="A42" s="18">
        <v>24.0</v>
      </c>
      <c r="B42" s="19" t="s">
        <v>134</v>
      </c>
      <c r="C42" s="18" t="s">
        <v>135</v>
      </c>
      <c r="D42" s="18">
        <v>1.0</v>
      </c>
      <c r="E42" s="18">
        <v>1.0</v>
      </c>
      <c r="F42" s="18">
        <v>1.0</v>
      </c>
      <c r="G42" s="18">
        <v>1.0</v>
      </c>
      <c r="H42" s="18" t="s">
        <v>127</v>
      </c>
      <c r="I42" s="18">
        <v>1.0</v>
      </c>
      <c r="J42" s="20">
        <v>1.0</v>
      </c>
      <c r="K42" s="21">
        <v>55.0</v>
      </c>
      <c r="L42" s="22">
        <f t="shared" si="2"/>
        <v>1</v>
      </c>
      <c r="M42" s="23">
        <f t="shared" si="3"/>
        <v>65.45454545</v>
      </c>
      <c r="N42" s="24">
        <f t="shared" si="4"/>
        <v>9818.181818</v>
      </c>
      <c r="O42" s="25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4.25" customHeight="1">
      <c r="A43" s="18">
        <v>25.0</v>
      </c>
      <c r="B43" s="19" t="s">
        <v>138</v>
      </c>
      <c r="C43" s="18" t="s">
        <v>139</v>
      </c>
      <c r="D43" s="18">
        <v>1.0</v>
      </c>
      <c r="E43" s="18">
        <v>1.0</v>
      </c>
      <c r="F43" s="18">
        <v>1.0</v>
      </c>
      <c r="G43" s="18">
        <v>1.0</v>
      </c>
      <c r="H43" s="18" t="s">
        <v>127</v>
      </c>
      <c r="I43" s="18">
        <v>1.0</v>
      </c>
      <c r="J43" s="20">
        <v>1.0</v>
      </c>
      <c r="K43" s="21">
        <v>60.0</v>
      </c>
      <c r="L43" s="22">
        <f t="shared" si="2"/>
        <v>1</v>
      </c>
      <c r="M43" s="23">
        <f t="shared" si="3"/>
        <v>60</v>
      </c>
      <c r="N43" s="24">
        <f t="shared" si="4"/>
        <v>9000</v>
      </c>
      <c r="O43" s="25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4.25" customHeight="1">
      <c r="A44" s="18">
        <v>26.0</v>
      </c>
      <c r="B44" s="19" t="s">
        <v>141</v>
      </c>
      <c r="C44" s="18" t="s">
        <v>142</v>
      </c>
      <c r="D44" s="18">
        <v>1.0</v>
      </c>
      <c r="E44" s="18">
        <v>1.0</v>
      </c>
      <c r="F44" s="18">
        <v>1.0</v>
      </c>
      <c r="G44" s="18">
        <v>1.0</v>
      </c>
      <c r="H44" s="18" t="s">
        <v>68</v>
      </c>
      <c r="I44" s="18">
        <v>1.0</v>
      </c>
      <c r="J44" s="20">
        <v>1.0</v>
      </c>
      <c r="K44" s="21">
        <v>45.0</v>
      </c>
      <c r="L44" s="22">
        <f t="shared" si="2"/>
        <v>0.9911111111</v>
      </c>
      <c r="M44" s="23">
        <f t="shared" si="3"/>
        <v>79.28888889</v>
      </c>
      <c r="N44" s="24">
        <f t="shared" si="4"/>
        <v>11893.33333</v>
      </c>
      <c r="O44" s="25" t="s">
        <v>145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4.25" customHeight="1">
      <c r="A46" s="26" t="s">
        <v>147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4.25" customHeight="1">
      <c r="A47" s="26" t="s">
        <v>149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4.25" customHeight="1">
      <c r="A48" s="26" t="s">
        <v>151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 customHeight="1">
      <c r="A50" s="28" t="s">
        <v>153</v>
      </c>
      <c r="B50" s="29"/>
      <c r="C50" s="29"/>
      <c r="D50" s="30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 customHeight="1">
      <c r="A51" s="17" t="s">
        <v>53</v>
      </c>
      <c r="B51" s="17" t="s">
        <v>55</v>
      </c>
      <c r="C51" s="31" t="s">
        <v>157</v>
      </c>
      <c r="D51" s="31" t="s">
        <v>158</v>
      </c>
      <c r="E51" s="31" t="s">
        <v>159</v>
      </c>
      <c r="F51" s="31" t="s">
        <v>160</v>
      </c>
      <c r="G51" s="31" t="s">
        <v>65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4.25" customHeight="1">
      <c r="A52" s="18">
        <v>1.0</v>
      </c>
      <c r="B52" s="19" t="s">
        <v>66</v>
      </c>
      <c r="C52" s="18">
        <v>0.0</v>
      </c>
      <c r="D52" s="18">
        <v>0.0</v>
      </c>
      <c r="E52" s="18">
        <f t="shared" ref="E52:E77" si="5">C52*D52/60</f>
        <v>0</v>
      </c>
      <c r="F52" s="32">
        <f t="shared" ref="F52:F77" si="6">MAX(0,1-E52/150)</f>
        <v>1</v>
      </c>
      <c r="G52" s="25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4.25" customHeight="1">
      <c r="A53" s="18">
        <v>2.0</v>
      </c>
      <c r="B53" s="19" t="s">
        <v>73</v>
      </c>
      <c r="C53" s="25">
        <v>5.0</v>
      </c>
      <c r="D53" s="25">
        <v>12.0</v>
      </c>
      <c r="E53" s="18">
        <f t="shared" si="5"/>
        <v>1</v>
      </c>
      <c r="F53" s="32">
        <f t="shared" si="6"/>
        <v>0.9933333333</v>
      </c>
      <c r="G53" s="25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4.25" customHeight="1">
      <c r="A54" s="18">
        <v>3.0</v>
      </c>
      <c r="B54" s="19" t="s">
        <v>77</v>
      </c>
      <c r="C54" s="25">
        <v>5.0</v>
      </c>
      <c r="D54" s="25">
        <v>12.0</v>
      </c>
      <c r="E54" s="18">
        <f t="shared" si="5"/>
        <v>1</v>
      </c>
      <c r="F54" s="32">
        <f t="shared" si="6"/>
        <v>0.9933333333</v>
      </c>
      <c r="G54" s="25" t="s">
        <v>162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4.25" customHeight="1">
      <c r="A55" s="18">
        <v>4.0</v>
      </c>
      <c r="B55" s="19" t="s">
        <v>80</v>
      </c>
      <c r="C55" s="25">
        <v>90.0</v>
      </c>
      <c r="D55" s="25">
        <v>32.0</v>
      </c>
      <c r="E55" s="18">
        <f t="shared" si="5"/>
        <v>48</v>
      </c>
      <c r="F55" s="32">
        <f t="shared" si="6"/>
        <v>0.68</v>
      </c>
      <c r="G55" s="25" t="s">
        <v>163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4.25" customHeight="1">
      <c r="A56" s="18">
        <v>5.0</v>
      </c>
      <c r="B56" s="19" t="s">
        <v>84</v>
      </c>
      <c r="C56" s="25">
        <v>0.0</v>
      </c>
      <c r="D56" s="25">
        <v>0.0</v>
      </c>
      <c r="E56" s="18">
        <f t="shared" si="5"/>
        <v>0</v>
      </c>
      <c r="F56" s="32">
        <f t="shared" si="6"/>
        <v>1</v>
      </c>
      <c r="G56" s="25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4.25" customHeight="1">
      <c r="A57" s="18">
        <v>6.0</v>
      </c>
      <c r="B57" s="19" t="s">
        <v>86</v>
      </c>
      <c r="C57" s="25"/>
      <c r="D57" s="25"/>
      <c r="E57" s="18">
        <f t="shared" si="5"/>
        <v>0</v>
      </c>
      <c r="F57" s="32">
        <f t="shared" si="6"/>
        <v>1</v>
      </c>
      <c r="G57" s="25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.25" customHeight="1">
      <c r="A58" s="18">
        <v>7.0</v>
      </c>
      <c r="B58" s="19" t="s">
        <v>88</v>
      </c>
      <c r="C58" s="25">
        <v>15.0</v>
      </c>
      <c r="D58" s="25">
        <v>16.0</v>
      </c>
      <c r="E58" s="18">
        <f t="shared" si="5"/>
        <v>4</v>
      </c>
      <c r="F58" s="32">
        <f t="shared" si="6"/>
        <v>0.9733333333</v>
      </c>
      <c r="G58" s="25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4.25" customHeight="1">
      <c r="A59" s="18">
        <v>8.0</v>
      </c>
      <c r="B59" s="19" t="s">
        <v>90</v>
      </c>
      <c r="C59" s="25">
        <v>10.0</v>
      </c>
      <c r="D59" s="25">
        <v>12.0</v>
      </c>
      <c r="E59" s="18">
        <f t="shared" si="5"/>
        <v>2</v>
      </c>
      <c r="F59" s="32">
        <f t="shared" si="6"/>
        <v>0.9866666667</v>
      </c>
      <c r="G59" s="25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4.25" customHeight="1">
      <c r="A60" s="18">
        <v>9.0</v>
      </c>
      <c r="B60" s="19" t="s">
        <v>94</v>
      </c>
      <c r="C60" s="25">
        <v>10.0</v>
      </c>
      <c r="D60" s="25">
        <v>12.0</v>
      </c>
      <c r="E60" s="18">
        <f t="shared" si="5"/>
        <v>2</v>
      </c>
      <c r="F60" s="32">
        <f t="shared" si="6"/>
        <v>0.9866666667</v>
      </c>
      <c r="G60" s="25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4.25" customHeight="1">
      <c r="A61" s="18">
        <v>10.0</v>
      </c>
      <c r="B61" s="19" t="s">
        <v>96</v>
      </c>
      <c r="C61" s="25">
        <v>0.0</v>
      </c>
      <c r="D61" s="25">
        <v>0.0</v>
      </c>
      <c r="E61" s="18">
        <f t="shared" si="5"/>
        <v>0</v>
      </c>
      <c r="F61" s="32">
        <f t="shared" si="6"/>
        <v>1</v>
      </c>
      <c r="G61" s="25" t="s">
        <v>164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18">
        <v>11.0</v>
      </c>
      <c r="B62" s="19" t="s">
        <v>99</v>
      </c>
      <c r="C62" s="25">
        <v>10.0</v>
      </c>
      <c r="D62" s="25">
        <v>16.0</v>
      </c>
      <c r="E62" s="18">
        <f t="shared" si="5"/>
        <v>2.666666667</v>
      </c>
      <c r="F62" s="32">
        <f t="shared" si="6"/>
        <v>0.9822222222</v>
      </c>
      <c r="G62" s="25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4.25" customHeight="1">
      <c r="A63" s="18">
        <v>12.0</v>
      </c>
      <c r="B63" s="19" t="s">
        <v>102</v>
      </c>
      <c r="C63" s="25">
        <v>10.0</v>
      </c>
      <c r="D63" s="25">
        <v>16.0</v>
      </c>
      <c r="E63" s="18">
        <f t="shared" si="5"/>
        <v>2.666666667</v>
      </c>
      <c r="F63" s="32">
        <f t="shared" si="6"/>
        <v>0.9822222222</v>
      </c>
      <c r="G63" s="25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4.25" customHeight="1">
      <c r="A64" s="18">
        <v>13.0</v>
      </c>
      <c r="B64" s="19" t="s">
        <v>104</v>
      </c>
      <c r="C64" s="25">
        <v>10.0</v>
      </c>
      <c r="D64" s="25">
        <v>16.0</v>
      </c>
      <c r="E64" s="18">
        <f t="shared" si="5"/>
        <v>2.666666667</v>
      </c>
      <c r="F64" s="32">
        <f t="shared" si="6"/>
        <v>0.9822222222</v>
      </c>
      <c r="G64" s="25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4.25" customHeight="1">
      <c r="A65" s="18">
        <v>14.0</v>
      </c>
      <c r="B65" s="19" t="s">
        <v>106</v>
      </c>
      <c r="C65" s="25">
        <v>0.0</v>
      </c>
      <c r="D65" s="25">
        <v>0.0</v>
      </c>
      <c r="E65" s="18">
        <f t="shared" si="5"/>
        <v>0</v>
      </c>
      <c r="F65" s="32">
        <f t="shared" si="6"/>
        <v>1</v>
      </c>
      <c r="G65" s="25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4.25" customHeight="1">
      <c r="A66" s="18">
        <v>15.0</v>
      </c>
      <c r="B66" s="19" t="s">
        <v>109</v>
      </c>
      <c r="C66" s="25">
        <v>10.0</v>
      </c>
      <c r="D66" s="25">
        <v>16.0</v>
      </c>
      <c r="E66" s="18">
        <f t="shared" si="5"/>
        <v>2.666666667</v>
      </c>
      <c r="F66" s="32">
        <f t="shared" si="6"/>
        <v>0.9822222222</v>
      </c>
      <c r="G66" s="25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4.25" customHeight="1">
      <c r="A67" s="18">
        <v>16.0</v>
      </c>
      <c r="B67" s="19" t="s">
        <v>111</v>
      </c>
      <c r="C67" s="25">
        <v>0.0</v>
      </c>
      <c r="D67" s="25">
        <v>0.0</v>
      </c>
      <c r="E67" s="18">
        <f t="shared" si="5"/>
        <v>0</v>
      </c>
      <c r="F67" s="32">
        <f t="shared" si="6"/>
        <v>1</v>
      </c>
      <c r="G67" s="25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4.25" customHeight="1">
      <c r="A68" s="18">
        <v>17.0</v>
      </c>
      <c r="B68" s="19" t="s">
        <v>114</v>
      </c>
      <c r="C68" s="25">
        <v>10.0</v>
      </c>
      <c r="D68" s="25">
        <v>0.0</v>
      </c>
      <c r="E68" s="18">
        <f t="shared" si="5"/>
        <v>0</v>
      </c>
      <c r="F68" s="32">
        <f t="shared" si="6"/>
        <v>1</v>
      </c>
      <c r="G68" s="25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4.25" customHeight="1">
      <c r="A69" s="18">
        <v>18.0</v>
      </c>
      <c r="B69" s="19" t="s">
        <v>118</v>
      </c>
      <c r="C69" s="25">
        <v>0.0</v>
      </c>
      <c r="D69" s="25">
        <v>0.0</v>
      </c>
      <c r="E69" s="18">
        <f t="shared" si="5"/>
        <v>0</v>
      </c>
      <c r="F69" s="32">
        <f t="shared" si="6"/>
        <v>1</v>
      </c>
      <c r="G69" s="25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4.25" customHeight="1">
      <c r="A70" s="18">
        <v>19.0</v>
      </c>
      <c r="B70" s="19" t="s">
        <v>120</v>
      </c>
      <c r="C70" s="25">
        <v>0.0</v>
      </c>
      <c r="D70" s="25">
        <v>0.0</v>
      </c>
      <c r="E70" s="18">
        <f t="shared" si="5"/>
        <v>0</v>
      </c>
      <c r="F70" s="32">
        <f t="shared" si="6"/>
        <v>1</v>
      </c>
      <c r="G70" s="25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4.25" customHeight="1">
      <c r="A71" s="18">
        <v>20.0</v>
      </c>
      <c r="B71" s="19" t="s">
        <v>122</v>
      </c>
      <c r="C71" s="25">
        <v>30.0</v>
      </c>
      <c r="D71" s="25">
        <v>16.0</v>
      </c>
      <c r="E71" s="18">
        <f t="shared" si="5"/>
        <v>8</v>
      </c>
      <c r="F71" s="32">
        <f t="shared" si="6"/>
        <v>0.9466666667</v>
      </c>
      <c r="G71" s="25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4.25" customHeight="1">
      <c r="A72" s="18">
        <v>21.0</v>
      </c>
      <c r="B72" s="19" t="s">
        <v>125</v>
      </c>
      <c r="C72" s="25">
        <v>0.0</v>
      </c>
      <c r="D72" s="25">
        <v>0.0</v>
      </c>
      <c r="E72" s="18">
        <f t="shared" si="5"/>
        <v>0</v>
      </c>
      <c r="F72" s="32">
        <f t="shared" si="6"/>
        <v>1</v>
      </c>
      <c r="G72" s="25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4.25" customHeight="1">
      <c r="A73" s="18">
        <v>22.0</v>
      </c>
      <c r="B73" s="19" t="s">
        <v>128</v>
      </c>
      <c r="C73" s="25">
        <v>10.0</v>
      </c>
      <c r="D73" s="25">
        <v>16.0</v>
      </c>
      <c r="E73" s="18">
        <f t="shared" si="5"/>
        <v>2.666666667</v>
      </c>
      <c r="F73" s="32">
        <f t="shared" si="6"/>
        <v>0.9822222222</v>
      </c>
      <c r="G73" s="25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 customHeight="1">
      <c r="A74" s="18">
        <v>23.0</v>
      </c>
      <c r="B74" s="19" t="s">
        <v>130</v>
      </c>
      <c r="C74" s="25">
        <v>0.0</v>
      </c>
      <c r="D74" s="25">
        <v>0.0</v>
      </c>
      <c r="E74" s="18">
        <f t="shared" si="5"/>
        <v>0</v>
      </c>
      <c r="F74" s="32">
        <f t="shared" si="6"/>
        <v>1</v>
      </c>
      <c r="G74" s="25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 customHeight="1">
      <c r="A75" s="18">
        <v>24.0</v>
      </c>
      <c r="B75" s="19" t="s">
        <v>134</v>
      </c>
      <c r="C75" s="25">
        <v>0.0</v>
      </c>
      <c r="D75" s="25">
        <v>0.0</v>
      </c>
      <c r="E75" s="18">
        <f t="shared" si="5"/>
        <v>0</v>
      </c>
      <c r="F75" s="32">
        <f t="shared" si="6"/>
        <v>1</v>
      </c>
      <c r="G75" s="25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 customHeight="1">
      <c r="A76" s="18">
        <v>25.0</v>
      </c>
      <c r="B76" s="19" t="s">
        <v>138</v>
      </c>
      <c r="C76" s="25">
        <v>0.0</v>
      </c>
      <c r="D76" s="25">
        <v>0.0</v>
      </c>
      <c r="E76" s="18">
        <f t="shared" si="5"/>
        <v>0</v>
      </c>
      <c r="F76" s="32">
        <f t="shared" si="6"/>
        <v>1</v>
      </c>
      <c r="G76" s="25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 customHeight="1">
      <c r="A77" s="18">
        <v>26.0</v>
      </c>
      <c r="B77" s="19" t="s">
        <v>141</v>
      </c>
      <c r="C77" s="25">
        <v>5.0</v>
      </c>
      <c r="D77" s="25">
        <v>16.0</v>
      </c>
      <c r="E77" s="18">
        <f t="shared" si="5"/>
        <v>1.333333333</v>
      </c>
      <c r="F77" s="32">
        <f t="shared" si="6"/>
        <v>0.9911111111</v>
      </c>
      <c r="G77" s="25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 customHeight="1">
      <c r="A80" s="12" t="s">
        <v>168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 customHeight="1">
      <c r="A81" s="26" t="s">
        <v>169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 customHeight="1">
      <c r="A82" s="26" t="s">
        <v>170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 customHeight="1">
      <c r="A83" s="26" t="s">
        <v>171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 customHeight="1">
      <c r="A85" s="33" t="s">
        <v>172</v>
      </c>
      <c r="B85" s="34">
        <f>MAX(B88:B91)</f>
        <v>0.09</v>
      </c>
      <c r="C85" s="35" t="s">
        <v>173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45.0" customHeight="1">
      <c r="A87" s="36" t="s">
        <v>42</v>
      </c>
      <c r="B87" s="36" t="s">
        <v>174</v>
      </c>
      <c r="C87" s="36" t="s">
        <v>175</v>
      </c>
      <c r="D87" s="36" t="s">
        <v>176</v>
      </c>
      <c r="E87" s="36" t="s">
        <v>177</v>
      </c>
      <c r="F87" s="36" t="s">
        <v>178</v>
      </c>
      <c r="G87" s="36" t="s">
        <v>179</v>
      </c>
      <c r="H87" s="36" t="s">
        <v>180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 customHeight="1">
      <c r="A88" s="33" t="s">
        <v>45</v>
      </c>
      <c r="B88" s="37">
        <f t="shared" ref="B88:B91" si="7">(B12+K12+L12)/3</f>
        <v>0.09</v>
      </c>
      <c r="C88" s="37">
        <f t="shared" ref="C88:C91" si="8">MAX(0,M12-$B$85)</f>
        <v>0.03</v>
      </c>
      <c r="D88" s="37">
        <f t="shared" ref="D88:D91" si="9">MAX(0,B12-$B$85)</f>
        <v>0.03</v>
      </c>
      <c r="E88" s="37">
        <f t="shared" ref="E88:E91" si="10">C88+D88</f>
        <v>0.06</v>
      </c>
      <c r="F88" s="38">
        <f>COUNTIF(C96:L96,"&gt;0.000001")</f>
        <v>0</v>
      </c>
      <c r="G88" s="5" t="str">
        <f>IF(K96+L96&gt;=D88-0.000001,"OK","No alcanza: subir L")</f>
        <v>OK</v>
      </c>
      <c r="H88" s="37">
        <f>SUM(B96:L96)</f>
        <v>0.06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 customHeight="1">
      <c r="A89" s="33" t="s">
        <v>48</v>
      </c>
      <c r="B89" s="37">
        <f t="shared" si="7"/>
        <v>0.08166666667</v>
      </c>
      <c r="C89" s="37">
        <f t="shared" si="8"/>
        <v>0.02</v>
      </c>
      <c r="D89" s="37">
        <f t="shared" si="9"/>
        <v>0.01</v>
      </c>
      <c r="E89" s="37">
        <f t="shared" si="10"/>
        <v>0.03</v>
      </c>
      <c r="F89" s="38">
        <f>COUNTIF(C101:L101,"&gt;0.000001")</f>
        <v>0</v>
      </c>
      <c r="G89" s="5" t="str">
        <f>IF(K101+L101&gt;=D89-0.000001,"OK","No alcanza: subir L")</f>
        <v>OK</v>
      </c>
      <c r="H89" s="37">
        <f>SUM(B101:L101)</f>
        <v>0.03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 customHeight="1">
      <c r="A90" s="33" t="s">
        <v>50</v>
      </c>
      <c r="B90" s="37">
        <f t="shared" si="7"/>
        <v>0.08166666667</v>
      </c>
      <c r="C90" s="37">
        <f t="shared" si="8"/>
        <v>0.02</v>
      </c>
      <c r="D90" s="37">
        <f t="shared" si="9"/>
        <v>0.01</v>
      </c>
      <c r="E90" s="37">
        <f t="shared" si="10"/>
        <v>0.03</v>
      </c>
      <c r="F90" s="38">
        <f>COUNTIF(C106:L106,"&gt;0.000001")</f>
        <v>0</v>
      </c>
      <c r="G90" s="5" t="str">
        <f>IF(K106+L106&gt;=D90-0.000001,"OK","No alcanza: subir L")</f>
        <v>OK</v>
      </c>
      <c r="H90" s="37">
        <f>SUM(B106:L106)</f>
        <v>0.03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 customHeight="1">
      <c r="A91" s="33" t="s">
        <v>51</v>
      </c>
      <c r="B91" s="37">
        <f t="shared" si="7"/>
        <v>0.08166666667</v>
      </c>
      <c r="C91" s="37">
        <f t="shared" si="8"/>
        <v>0.02</v>
      </c>
      <c r="D91" s="37">
        <f t="shared" si="9"/>
        <v>0.01</v>
      </c>
      <c r="E91" s="37">
        <f t="shared" si="10"/>
        <v>0.03</v>
      </c>
      <c r="F91" s="38">
        <f>COUNTIF(C111:L111,"&gt;0.000001")</f>
        <v>0</v>
      </c>
      <c r="G91" s="5" t="str">
        <f>IF(K111+L111&gt;=D91-0.000001,"OK","No alcanza: subir L")</f>
        <v>OK</v>
      </c>
      <c r="H91" s="37">
        <f>SUM(B111:L111)</f>
        <v>0.03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 customHeight="1">
      <c r="A93" s="36" t="s">
        <v>181</v>
      </c>
      <c r="B93" s="36" t="s">
        <v>5</v>
      </c>
      <c r="C93" s="36" t="s">
        <v>6</v>
      </c>
      <c r="D93" s="36" t="s">
        <v>7</v>
      </c>
      <c r="E93" s="36" t="s">
        <v>8</v>
      </c>
      <c r="F93" s="36" t="s">
        <v>9</v>
      </c>
      <c r="G93" s="36" t="s">
        <v>10</v>
      </c>
      <c r="H93" s="36" t="s">
        <v>12</v>
      </c>
      <c r="I93" s="36" t="s">
        <v>13</v>
      </c>
      <c r="J93" s="36" t="s">
        <v>15</v>
      </c>
      <c r="K93" s="36" t="s">
        <v>16</v>
      </c>
      <c r="L93" s="36" t="s">
        <v>17</v>
      </c>
      <c r="M93" s="36" t="s">
        <v>18</v>
      </c>
      <c r="N93" s="36" t="s">
        <v>44</v>
      </c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4.25" customHeight="1">
      <c r="A94" s="5" t="s">
        <v>182</v>
      </c>
      <c r="B94" s="37">
        <f t="shared" ref="B94:M94" si="11">B12</f>
        <v>0.12</v>
      </c>
      <c r="C94" s="37">
        <f t="shared" si="11"/>
        <v>0.09</v>
      </c>
      <c r="D94" s="37">
        <f t="shared" si="11"/>
        <v>0.08</v>
      </c>
      <c r="E94" s="37">
        <f t="shared" si="11"/>
        <v>0.075</v>
      </c>
      <c r="F94" s="37">
        <f t="shared" si="11"/>
        <v>0.07</v>
      </c>
      <c r="G94" s="37">
        <f t="shared" si="11"/>
        <v>0.07</v>
      </c>
      <c r="H94" s="37">
        <f t="shared" si="11"/>
        <v>0.075</v>
      </c>
      <c r="I94" s="37">
        <f t="shared" si="11"/>
        <v>0.075</v>
      </c>
      <c r="J94" s="37">
        <f t="shared" si="11"/>
        <v>0.075</v>
      </c>
      <c r="K94" s="37">
        <f t="shared" si="11"/>
        <v>0.075</v>
      </c>
      <c r="L94" s="37">
        <f t="shared" si="11"/>
        <v>0.075</v>
      </c>
      <c r="M94" s="37">
        <f t="shared" si="11"/>
        <v>0.12</v>
      </c>
      <c r="N94" s="37">
        <f t="shared" ref="N94:N97" si="13">SUM(B94:M94)</f>
        <v>1</v>
      </c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 customHeight="1">
      <c r="A95" s="5" t="s">
        <v>183</v>
      </c>
      <c r="B95" s="37">
        <v>0.0</v>
      </c>
      <c r="C95" s="37">
        <f t="shared" ref="C95:L95" si="12">MAX(0,$B$85-C94)</f>
        <v>0</v>
      </c>
      <c r="D95" s="37">
        <f t="shared" si="12"/>
        <v>0.01</v>
      </c>
      <c r="E95" s="37">
        <f t="shared" si="12"/>
        <v>0.015</v>
      </c>
      <c r="F95" s="37">
        <f t="shared" si="12"/>
        <v>0.02</v>
      </c>
      <c r="G95" s="37">
        <f t="shared" si="12"/>
        <v>0.02</v>
      </c>
      <c r="H95" s="37">
        <f t="shared" si="12"/>
        <v>0.015</v>
      </c>
      <c r="I95" s="37">
        <f t="shared" si="12"/>
        <v>0.015</v>
      </c>
      <c r="J95" s="37">
        <f t="shared" si="12"/>
        <v>0.015</v>
      </c>
      <c r="K95" s="37">
        <f t="shared" si="12"/>
        <v>0.015</v>
      </c>
      <c r="L95" s="37">
        <f t="shared" si="12"/>
        <v>0.015</v>
      </c>
      <c r="M95" s="37">
        <v>0.0</v>
      </c>
      <c r="N95" s="37">
        <f t="shared" si="13"/>
        <v>0.14</v>
      </c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 customHeight="1">
      <c r="A96" s="5" t="s">
        <v>184</v>
      </c>
      <c r="B96" s="37">
        <v>0.0</v>
      </c>
      <c r="C96" s="37">
        <f>MIN(C95,MAX(0,$E$88-SUM(D95:L95)))</f>
        <v>0</v>
      </c>
      <c r="D96" s="37">
        <f>MIN(D95,MAX(0,$E$88-SUM(E95:L95)))</f>
        <v>0</v>
      </c>
      <c r="E96" s="37">
        <f>MIN(E95,MAX(0,$E$88-SUM(F95:L95)))</f>
        <v>0</v>
      </c>
      <c r="F96" s="37">
        <f>MIN(F95,MAX(0,$E$88-SUM(G95:L95)))</f>
        <v>0</v>
      </c>
      <c r="G96" s="37">
        <f>MIN(G95,MAX(0,$E$88-SUM(H95:L95)))</f>
        <v>0</v>
      </c>
      <c r="H96" s="37">
        <f>MIN(H95,MAX(0,$E$88-SUM(I95:L95)))</f>
        <v>0</v>
      </c>
      <c r="I96" s="37">
        <f>MIN(I95,MAX(0,$E$88-SUM(J95:L95)))</f>
        <v>0.015</v>
      </c>
      <c r="J96" s="37">
        <f>MIN(J95,MAX(0,$E$88-SUM(K95:L95)))</f>
        <v>0.015</v>
      </c>
      <c r="K96" s="37">
        <f>MIN(K95,MAX(0,$E$88-SUM(L95)))</f>
        <v>0.015</v>
      </c>
      <c r="L96" s="37">
        <f>MIN(L95,MAX(0,$E$88-0))</f>
        <v>0.015</v>
      </c>
      <c r="M96" s="37">
        <v>0.0</v>
      </c>
      <c r="N96" s="37">
        <f t="shared" si="13"/>
        <v>0.06</v>
      </c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 customHeight="1">
      <c r="A97" s="33" t="s">
        <v>185</v>
      </c>
      <c r="B97" s="34">
        <f>MIN(B94,$B$85)</f>
        <v>0.09</v>
      </c>
      <c r="C97" s="34">
        <f t="shared" ref="C97:L97" si="14">C94+C96</f>
        <v>0.09</v>
      </c>
      <c r="D97" s="34">
        <f t="shared" si="14"/>
        <v>0.08</v>
      </c>
      <c r="E97" s="34">
        <f t="shared" si="14"/>
        <v>0.075</v>
      </c>
      <c r="F97" s="34">
        <f t="shared" si="14"/>
        <v>0.07</v>
      </c>
      <c r="G97" s="34">
        <f t="shared" si="14"/>
        <v>0.07</v>
      </c>
      <c r="H97" s="34">
        <f t="shared" si="14"/>
        <v>0.075</v>
      </c>
      <c r="I97" s="34">
        <f t="shared" si="14"/>
        <v>0.09</v>
      </c>
      <c r="J97" s="34">
        <f t="shared" si="14"/>
        <v>0.09</v>
      </c>
      <c r="K97" s="34">
        <f t="shared" si="14"/>
        <v>0.09</v>
      </c>
      <c r="L97" s="34">
        <f t="shared" si="14"/>
        <v>0.09</v>
      </c>
      <c r="M97" s="34">
        <f>MIN(M94,$B$85)</f>
        <v>0.09</v>
      </c>
      <c r="N97" s="39">
        <f t="shared" si="13"/>
        <v>1</v>
      </c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 customHeight="1">
      <c r="A98" s="36" t="s">
        <v>186</v>
      </c>
      <c r="B98" s="36" t="s">
        <v>5</v>
      </c>
      <c r="C98" s="36" t="s">
        <v>6</v>
      </c>
      <c r="D98" s="36" t="s">
        <v>7</v>
      </c>
      <c r="E98" s="36" t="s">
        <v>8</v>
      </c>
      <c r="F98" s="36" t="s">
        <v>9</v>
      </c>
      <c r="G98" s="36" t="s">
        <v>10</v>
      </c>
      <c r="H98" s="36" t="s">
        <v>12</v>
      </c>
      <c r="I98" s="36" t="s">
        <v>13</v>
      </c>
      <c r="J98" s="36" t="s">
        <v>15</v>
      </c>
      <c r="K98" s="36" t="s">
        <v>16</v>
      </c>
      <c r="L98" s="36" t="s">
        <v>17</v>
      </c>
      <c r="M98" s="36" t="s">
        <v>18</v>
      </c>
      <c r="N98" s="36" t="s">
        <v>44</v>
      </c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 customHeight="1">
      <c r="A99" s="5" t="s">
        <v>182</v>
      </c>
      <c r="B99" s="37">
        <f t="shared" ref="B99:M99" si="15">B13</f>
        <v>0.1</v>
      </c>
      <c r="C99" s="37">
        <f t="shared" si="15"/>
        <v>0.08</v>
      </c>
      <c r="D99" s="37">
        <f t="shared" si="15"/>
        <v>0.085</v>
      </c>
      <c r="E99" s="37">
        <f t="shared" si="15"/>
        <v>0.085</v>
      </c>
      <c r="F99" s="37">
        <f t="shared" si="15"/>
        <v>0.08</v>
      </c>
      <c r="G99" s="37">
        <f t="shared" si="15"/>
        <v>0.075</v>
      </c>
      <c r="H99" s="37">
        <f t="shared" si="15"/>
        <v>0.08</v>
      </c>
      <c r="I99" s="37">
        <f t="shared" si="15"/>
        <v>0.08</v>
      </c>
      <c r="J99" s="37">
        <f t="shared" si="15"/>
        <v>0.08</v>
      </c>
      <c r="K99" s="37">
        <f t="shared" si="15"/>
        <v>0.075</v>
      </c>
      <c r="L99" s="37">
        <f t="shared" si="15"/>
        <v>0.07</v>
      </c>
      <c r="M99" s="37">
        <f t="shared" si="15"/>
        <v>0.11</v>
      </c>
      <c r="N99" s="37">
        <f t="shared" ref="N99:N102" si="17">SUM(B99:M99)</f>
        <v>1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5" t="s">
        <v>183</v>
      </c>
      <c r="B100" s="37">
        <v>0.0</v>
      </c>
      <c r="C100" s="37">
        <f t="shared" ref="C100:L100" si="16">MAX(0,$B$85-C99)</f>
        <v>0.01</v>
      </c>
      <c r="D100" s="37">
        <f t="shared" si="16"/>
        <v>0.005</v>
      </c>
      <c r="E100" s="37">
        <f t="shared" si="16"/>
        <v>0.005</v>
      </c>
      <c r="F100" s="37">
        <f t="shared" si="16"/>
        <v>0.01</v>
      </c>
      <c r="G100" s="37">
        <f t="shared" si="16"/>
        <v>0.015</v>
      </c>
      <c r="H100" s="37">
        <f t="shared" si="16"/>
        <v>0.01</v>
      </c>
      <c r="I100" s="37">
        <f t="shared" si="16"/>
        <v>0.01</v>
      </c>
      <c r="J100" s="37">
        <f t="shared" si="16"/>
        <v>0.01</v>
      </c>
      <c r="K100" s="37">
        <f t="shared" si="16"/>
        <v>0.015</v>
      </c>
      <c r="L100" s="37">
        <f t="shared" si="16"/>
        <v>0.02</v>
      </c>
      <c r="M100" s="37">
        <v>0.0</v>
      </c>
      <c r="N100" s="37">
        <f t="shared" si="17"/>
        <v>0.11</v>
      </c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 customHeight="1">
      <c r="A101" s="5" t="s">
        <v>184</v>
      </c>
      <c r="B101" s="37">
        <v>0.0</v>
      </c>
      <c r="C101" s="37">
        <f>MIN(C100,MAX(0,$E$89-SUM(D100:L100)))</f>
        <v>0</v>
      </c>
      <c r="D101" s="37">
        <f>MIN(D100,MAX(0,$E$89-SUM(E100:L100)))</f>
        <v>0</v>
      </c>
      <c r="E101" s="37">
        <f>MIN(E100,MAX(0,$E$89-SUM(F100:L100)))</f>
        <v>0</v>
      </c>
      <c r="F101" s="37">
        <f>MIN(F100,MAX(0,$E$89-SUM(G100:L100)))</f>
        <v>0</v>
      </c>
      <c r="G101" s="37">
        <f>MIN(G100,MAX(0,$E$89-SUM(H100:L100)))</f>
        <v>0</v>
      </c>
      <c r="H101" s="37">
        <f>MIN(H100,MAX(0,$E$89-SUM(I100:L100)))</f>
        <v>0</v>
      </c>
      <c r="I101" s="37">
        <f>MIN(I100,MAX(0,$E$89-SUM(J100:L100)))</f>
        <v>0</v>
      </c>
      <c r="J101" s="37">
        <f>MIN(J100,MAX(0,$E$89-SUM(K100:L100)))</f>
        <v>0</v>
      </c>
      <c r="K101" s="37">
        <f>MIN(K100,MAX(0,$E$89-SUM(L100)))</f>
        <v>0.01</v>
      </c>
      <c r="L101" s="37">
        <f>MIN(L100,MAX(0,$E$89-0))</f>
        <v>0.02</v>
      </c>
      <c r="M101" s="37">
        <v>0.0</v>
      </c>
      <c r="N101" s="37">
        <f t="shared" si="17"/>
        <v>0.03</v>
      </c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 customHeight="1">
      <c r="A102" s="33" t="s">
        <v>185</v>
      </c>
      <c r="B102" s="34">
        <f>MIN(B99,$B$85)</f>
        <v>0.09</v>
      </c>
      <c r="C102" s="34">
        <f t="shared" ref="C102:L102" si="18">C99+C101</f>
        <v>0.08</v>
      </c>
      <c r="D102" s="34">
        <f t="shared" si="18"/>
        <v>0.085</v>
      </c>
      <c r="E102" s="34">
        <f t="shared" si="18"/>
        <v>0.085</v>
      </c>
      <c r="F102" s="34">
        <f t="shared" si="18"/>
        <v>0.08</v>
      </c>
      <c r="G102" s="34">
        <f t="shared" si="18"/>
        <v>0.075</v>
      </c>
      <c r="H102" s="34">
        <f t="shared" si="18"/>
        <v>0.08</v>
      </c>
      <c r="I102" s="34">
        <f t="shared" si="18"/>
        <v>0.08</v>
      </c>
      <c r="J102" s="34">
        <f t="shared" si="18"/>
        <v>0.08</v>
      </c>
      <c r="K102" s="34">
        <f t="shared" si="18"/>
        <v>0.085</v>
      </c>
      <c r="L102" s="34">
        <f t="shared" si="18"/>
        <v>0.09</v>
      </c>
      <c r="M102" s="34">
        <f>MIN(M99,$B$85)</f>
        <v>0.09</v>
      </c>
      <c r="N102" s="39">
        <f t="shared" si="17"/>
        <v>1</v>
      </c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 customHeight="1">
      <c r="A103" s="36" t="s">
        <v>187</v>
      </c>
      <c r="B103" s="36" t="s">
        <v>5</v>
      </c>
      <c r="C103" s="36" t="s">
        <v>6</v>
      </c>
      <c r="D103" s="36" t="s">
        <v>7</v>
      </c>
      <c r="E103" s="36" t="s">
        <v>8</v>
      </c>
      <c r="F103" s="36" t="s">
        <v>9</v>
      </c>
      <c r="G103" s="36" t="s">
        <v>10</v>
      </c>
      <c r="H103" s="36" t="s">
        <v>12</v>
      </c>
      <c r="I103" s="36" t="s">
        <v>13</v>
      </c>
      <c r="J103" s="36" t="s">
        <v>15</v>
      </c>
      <c r="K103" s="36" t="s">
        <v>16</v>
      </c>
      <c r="L103" s="36" t="s">
        <v>17</v>
      </c>
      <c r="M103" s="36" t="s">
        <v>18</v>
      </c>
      <c r="N103" s="36" t="s">
        <v>44</v>
      </c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 customHeight="1">
      <c r="A104" s="5" t="s">
        <v>182</v>
      </c>
      <c r="B104" s="37">
        <f t="shared" ref="B104:M104" si="19">B14</f>
        <v>0.1</v>
      </c>
      <c r="C104" s="37">
        <f t="shared" si="19"/>
        <v>0.08</v>
      </c>
      <c r="D104" s="37">
        <f t="shared" si="19"/>
        <v>0.085</v>
      </c>
      <c r="E104" s="37">
        <f t="shared" si="19"/>
        <v>0.085</v>
      </c>
      <c r="F104" s="37">
        <f t="shared" si="19"/>
        <v>0.08</v>
      </c>
      <c r="G104" s="37">
        <f t="shared" si="19"/>
        <v>0.075</v>
      </c>
      <c r="H104" s="37">
        <f t="shared" si="19"/>
        <v>0.08</v>
      </c>
      <c r="I104" s="37">
        <f t="shared" si="19"/>
        <v>0.08</v>
      </c>
      <c r="J104" s="37">
        <f t="shared" si="19"/>
        <v>0.08</v>
      </c>
      <c r="K104" s="37">
        <f t="shared" si="19"/>
        <v>0.075</v>
      </c>
      <c r="L104" s="37">
        <f t="shared" si="19"/>
        <v>0.07</v>
      </c>
      <c r="M104" s="37">
        <f t="shared" si="19"/>
        <v>0.11</v>
      </c>
      <c r="N104" s="37">
        <f t="shared" ref="N104:N107" si="21">SUM(B104:M104)</f>
        <v>1</v>
      </c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 customHeight="1">
      <c r="A105" s="5" t="s">
        <v>183</v>
      </c>
      <c r="B105" s="37">
        <v>0.0</v>
      </c>
      <c r="C105" s="37">
        <f t="shared" ref="C105:L105" si="20">MAX(0,$B$85-C104)</f>
        <v>0.01</v>
      </c>
      <c r="D105" s="37">
        <f t="shared" si="20"/>
        <v>0.005</v>
      </c>
      <c r="E105" s="37">
        <f t="shared" si="20"/>
        <v>0.005</v>
      </c>
      <c r="F105" s="37">
        <f t="shared" si="20"/>
        <v>0.01</v>
      </c>
      <c r="G105" s="37">
        <f t="shared" si="20"/>
        <v>0.015</v>
      </c>
      <c r="H105" s="37">
        <f t="shared" si="20"/>
        <v>0.01</v>
      </c>
      <c r="I105" s="37">
        <f t="shared" si="20"/>
        <v>0.01</v>
      </c>
      <c r="J105" s="37">
        <f t="shared" si="20"/>
        <v>0.01</v>
      </c>
      <c r="K105" s="37">
        <f t="shared" si="20"/>
        <v>0.015</v>
      </c>
      <c r="L105" s="37">
        <f t="shared" si="20"/>
        <v>0.02</v>
      </c>
      <c r="M105" s="37">
        <v>0.0</v>
      </c>
      <c r="N105" s="37">
        <f t="shared" si="21"/>
        <v>0.11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 customHeight="1">
      <c r="A106" s="5" t="s">
        <v>184</v>
      </c>
      <c r="B106" s="37">
        <v>0.0</v>
      </c>
      <c r="C106" s="37">
        <f>MIN(C105,MAX(0,$E$90-SUM(D105:L105)))</f>
        <v>0</v>
      </c>
      <c r="D106" s="37">
        <f>MIN(D105,MAX(0,$E$90-SUM(E105:L105)))</f>
        <v>0</v>
      </c>
      <c r="E106" s="37">
        <f>MIN(E105,MAX(0,$E$90-SUM(F105:L105)))</f>
        <v>0</v>
      </c>
      <c r="F106" s="37">
        <f>MIN(F105,MAX(0,$E$90-SUM(G105:L105)))</f>
        <v>0</v>
      </c>
      <c r="G106" s="37">
        <f>MIN(G105,MAX(0,$E$90-SUM(H105:L105)))</f>
        <v>0</v>
      </c>
      <c r="H106" s="37">
        <f>MIN(H105,MAX(0,$E$90-SUM(I105:L105)))</f>
        <v>0</v>
      </c>
      <c r="I106" s="37">
        <f>MIN(I105,MAX(0,$E$90-SUM(J105:L105)))</f>
        <v>0</v>
      </c>
      <c r="J106" s="37">
        <f>MIN(J105,MAX(0,$E$90-SUM(K105:L105)))</f>
        <v>0</v>
      </c>
      <c r="K106" s="37">
        <f>MIN(K105,MAX(0,$E$90-SUM(L105)))</f>
        <v>0.01</v>
      </c>
      <c r="L106" s="37">
        <f>MIN(L105,MAX(0,$E$90-0))</f>
        <v>0.02</v>
      </c>
      <c r="M106" s="37">
        <v>0.0</v>
      </c>
      <c r="N106" s="37">
        <f t="shared" si="21"/>
        <v>0.03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 customHeight="1">
      <c r="A107" s="33" t="s">
        <v>185</v>
      </c>
      <c r="B107" s="34">
        <f>MIN(B104,$B$85)</f>
        <v>0.09</v>
      </c>
      <c r="C107" s="34">
        <f t="shared" ref="C107:L107" si="22">C104+C106</f>
        <v>0.08</v>
      </c>
      <c r="D107" s="34">
        <f t="shared" si="22"/>
        <v>0.085</v>
      </c>
      <c r="E107" s="34">
        <f t="shared" si="22"/>
        <v>0.085</v>
      </c>
      <c r="F107" s="34">
        <f t="shared" si="22"/>
        <v>0.08</v>
      </c>
      <c r="G107" s="34">
        <f t="shared" si="22"/>
        <v>0.075</v>
      </c>
      <c r="H107" s="34">
        <f t="shared" si="22"/>
        <v>0.08</v>
      </c>
      <c r="I107" s="34">
        <f t="shared" si="22"/>
        <v>0.08</v>
      </c>
      <c r="J107" s="34">
        <f t="shared" si="22"/>
        <v>0.08</v>
      </c>
      <c r="K107" s="34">
        <f t="shared" si="22"/>
        <v>0.085</v>
      </c>
      <c r="L107" s="34">
        <f t="shared" si="22"/>
        <v>0.09</v>
      </c>
      <c r="M107" s="34">
        <f>MIN(M104,$B$85)</f>
        <v>0.09</v>
      </c>
      <c r="N107" s="39">
        <f t="shared" si="21"/>
        <v>1</v>
      </c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 customHeight="1">
      <c r="A108" s="36" t="s">
        <v>188</v>
      </c>
      <c r="B108" s="36" t="s">
        <v>5</v>
      </c>
      <c r="C108" s="36" t="s">
        <v>6</v>
      </c>
      <c r="D108" s="36" t="s">
        <v>7</v>
      </c>
      <c r="E108" s="36" t="s">
        <v>8</v>
      </c>
      <c r="F108" s="36" t="s">
        <v>9</v>
      </c>
      <c r="G108" s="36" t="s">
        <v>10</v>
      </c>
      <c r="H108" s="36" t="s">
        <v>12</v>
      </c>
      <c r="I108" s="36" t="s">
        <v>13</v>
      </c>
      <c r="J108" s="36" t="s">
        <v>15</v>
      </c>
      <c r="K108" s="36" t="s">
        <v>16</v>
      </c>
      <c r="L108" s="36" t="s">
        <v>17</v>
      </c>
      <c r="M108" s="36" t="s">
        <v>18</v>
      </c>
      <c r="N108" s="36" t="s">
        <v>44</v>
      </c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 customHeight="1">
      <c r="A109" s="5" t="s">
        <v>182</v>
      </c>
      <c r="B109" s="37">
        <f t="shared" ref="B109:M109" si="23">B15</f>
        <v>0.1</v>
      </c>
      <c r="C109" s="37">
        <f t="shared" si="23"/>
        <v>0.08</v>
      </c>
      <c r="D109" s="37">
        <f t="shared" si="23"/>
        <v>0.085</v>
      </c>
      <c r="E109" s="37">
        <f t="shared" si="23"/>
        <v>0.085</v>
      </c>
      <c r="F109" s="37">
        <f t="shared" si="23"/>
        <v>0.08</v>
      </c>
      <c r="G109" s="37">
        <f t="shared" si="23"/>
        <v>0.075</v>
      </c>
      <c r="H109" s="37">
        <f t="shared" si="23"/>
        <v>0.08</v>
      </c>
      <c r="I109" s="37">
        <f t="shared" si="23"/>
        <v>0.08</v>
      </c>
      <c r="J109" s="37">
        <f t="shared" si="23"/>
        <v>0.08</v>
      </c>
      <c r="K109" s="37">
        <f t="shared" si="23"/>
        <v>0.075</v>
      </c>
      <c r="L109" s="37">
        <f t="shared" si="23"/>
        <v>0.07</v>
      </c>
      <c r="M109" s="37">
        <f t="shared" si="23"/>
        <v>0.11</v>
      </c>
      <c r="N109" s="37">
        <f t="shared" ref="N109:N112" si="25">SUM(B109:M109)</f>
        <v>1</v>
      </c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 customHeight="1">
      <c r="A110" s="5" t="s">
        <v>183</v>
      </c>
      <c r="B110" s="37">
        <v>0.0</v>
      </c>
      <c r="C110" s="37">
        <f t="shared" ref="C110:L110" si="24">MAX(0,$B$85-C109)</f>
        <v>0.01</v>
      </c>
      <c r="D110" s="37">
        <f t="shared" si="24"/>
        <v>0.005</v>
      </c>
      <c r="E110" s="37">
        <f t="shared" si="24"/>
        <v>0.005</v>
      </c>
      <c r="F110" s="37">
        <f t="shared" si="24"/>
        <v>0.01</v>
      </c>
      <c r="G110" s="37">
        <f t="shared" si="24"/>
        <v>0.015</v>
      </c>
      <c r="H110" s="37">
        <f t="shared" si="24"/>
        <v>0.01</v>
      </c>
      <c r="I110" s="37">
        <f t="shared" si="24"/>
        <v>0.01</v>
      </c>
      <c r="J110" s="37">
        <f t="shared" si="24"/>
        <v>0.01</v>
      </c>
      <c r="K110" s="37">
        <f t="shared" si="24"/>
        <v>0.015</v>
      </c>
      <c r="L110" s="37">
        <f t="shared" si="24"/>
        <v>0.02</v>
      </c>
      <c r="M110" s="37">
        <v>0.0</v>
      </c>
      <c r="N110" s="37">
        <f t="shared" si="25"/>
        <v>0.11</v>
      </c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 customHeight="1">
      <c r="A111" s="5" t="s">
        <v>184</v>
      </c>
      <c r="B111" s="37">
        <v>0.0</v>
      </c>
      <c r="C111" s="37">
        <f>MIN(C110,MAX(0,$E$91-SUM(D110:L110)))</f>
        <v>0</v>
      </c>
      <c r="D111" s="37">
        <f>MIN(D110,MAX(0,$E$91-SUM(E110:L110)))</f>
        <v>0</v>
      </c>
      <c r="E111" s="37">
        <f>MIN(E110,MAX(0,$E$91-SUM(F110:L110)))</f>
        <v>0</v>
      </c>
      <c r="F111" s="37">
        <f>MIN(F110,MAX(0,$E$91-SUM(G110:L110)))</f>
        <v>0</v>
      </c>
      <c r="G111" s="37">
        <f>MIN(G110,MAX(0,$E$91-SUM(H110:L110)))</f>
        <v>0</v>
      </c>
      <c r="H111" s="37">
        <f>MIN(H110,MAX(0,$E$91-SUM(I110:L110)))</f>
        <v>0</v>
      </c>
      <c r="I111" s="37">
        <f>MIN(I110,MAX(0,$E$91-SUM(J110:L110)))</f>
        <v>0</v>
      </c>
      <c r="J111" s="37">
        <f>MIN(J110,MAX(0,$E$91-SUM(K110:L110)))</f>
        <v>0</v>
      </c>
      <c r="K111" s="37">
        <f>MIN(K110,MAX(0,$E$91-SUM(L110)))</f>
        <v>0.01</v>
      </c>
      <c r="L111" s="37">
        <f>MIN(L110,MAX(0,$E$91-0))</f>
        <v>0.02</v>
      </c>
      <c r="M111" s="37">
        <v>0.0</v>
      </c>
      <c r="N111" s="37">
        <f t="shared" si="25"/>
        <v>0.03</v>
      </c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 customHeight="1">
      <c r="A112" s="33" t="s">
        <v>185</v>
      </c>
      <c r="B112" s="34">
        <f>MIN(B109,$B$85)</f>
        <v>0.09</v>
      </c>
      <c r="C112" s="34">
        <f t="shared" ref="C112:L112" si="26">C109+C111</f>
        <v>0.08</v>
      </c>
      <c r="D112" s="34">
        <f t="shared" si="26"/>
        <v>0.085</v>
      </c>
      <c r="E112" s="34">
        <f t="shared" si="26"/>
        <v>0.085</v>
      </c>
      <c r="F112" s="34">
        <f t="shared" si="26"/>
        <v>0.08</v>
      </c>
      <c r="G112" s="34">
        <f t="shared" si="26"/>
        <v>0.075</v>
      </c>
      <c r="H112" s="34">
        <f t="shared" si="26"/>
        <v>0.08</v>
      </c>
      <c r="I112" s="34">
        <f t="shared" si="26"/>
        <v>0.08</v>
      </c>
      <c r="J112" s="34">
        <f t="shared" si="26"/>
        <v>0.08</v>
      </c>
      <c r="K112" s="34">
        <f t="shared" si="26"/>
        <v>0.085</v>
      </c>
      <c r="L112" s="34">
        <f t="shared" si="26"/>
        <v>0.09</v>
      </c>
      <c r="M112" s="34">
        <f>MIN(M109,$B$85)</f>
        <v>0.09</v>
      </c>
      <c r="N112" s="39">
        <f t="shared" si="25"/>
        <v>1</v>
      </c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 customHeight="1">
      <c r="A114" s="26" t="s">
        <v>189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4.25" customHeight="1">
      <c r="A117" s="40" t="s">
        <v>190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 customHeight="1">
      <c r="A118" s="2" t="s">
        <v>191</v>
      </c>
      <c r="B118" s="41">
        <v>20.0</v>
      </c>
      <c r="C118" s="2" t="s">
        <v>192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 customHeight="1">
      <c r="A119" s="2" t="s">
        <v>193</v>
      </c>
      <c r="B119" s="42">
        <v>20.0</v>
      </c>
      <c r="C119" s="2" t="s">
        <v>194</v>
      </c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 customHeight="1">
      <c r="A120" s="2" t="s">
        <v>195</v>
      </c>
      <c r="B120" s="41">
        <v>13.0</v>
      </c>
      <c r="C120" s="2" t="s">
        <v>196</v>
      </c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 customHeight="1">
      <c r="A121" s="2" t="s">
        <v>197</v>
      </c>
      <c r="B121" s="41">
        <v>10.0</v>
      </c>
      <c r="C121" s="2" t="s">
        <v>198</v>
      </c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 customHeight="1">
      <c r="A123" s="17" t="s">
        <v>42</v>
      </c>
      <c r="B123" s="17" t="s">
        <v>199</v>
      </c>
      <c r="C123" s="17" t="s">
        <v>200</v>
      </c>
      <c r="D123" s="17" t="s">
        <v>201</v>
      </c>
      <c r="E123" s="17" t="s">
        <v>202</v>
      </c>
      <c r="F123" s="17" t="s">
        <v>203</v>
      </c>
      <c r="G123" s="17" t="s">
        <v>204</v>
      </c>
      <c r="H123" s="17" t="s">
        <v>205</v>
      </c>
      <c r="I123" s="17" t="s">
        <v>206</v>
      </c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4.25" customHeight="1">
      <c r="A124" s="2" t="s">
        <v>45</v>
      </c>
      <c r="B124" s="2" t="s">
        <v>207</v>
      </c>
      <c r="C124" s="2">
        <v>45.0</v>
      </c>
      <c r="D124" s="2">
        <v>9.0</v>
      </c>
      <c r="E124" s="2">
        <v>5.0</v>
      </c>
      <c r="F124" s="2">
        <v>1.0</v>
      </c>
      <c r="G124" s="43">
        <f t="shared" ref="G124:G127" si="27">(D124/$B$118+$B$120)*60/C124</f>
        <v>17.93333333</v>
      </c>
      <c r="H124" s="43">
        <f t="shared" ref="H124:H127" si="28">(E124/$B$119+F124*$B$121)*60/C124</f>
        <v>13.66666667</v>
      </c>
      <c r="I124" s="44">
        <f>datos_base!$K$2+datos_base!$K$9</f>
        <v>202621</v>
      </c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4.25" customHeight="1">
      <c r="A125" s="2" t="s">
        <v>48</v>
      </c>
      <c r="B125" s="2" t="s">
        <v>207</v>
      </c>
      <c r="C125" s="2">
        <v>27.0</v>
      </c>
      <c r="D125" s="2">
        <v>9.0</v>
      </c>
      <c r="E125" s="2">
        <v>3.0</v>
      </c>
      <c r="F125" s="2">
        <v>1.0</v>
      </c>
      <c r="G125" s="43">
        <f t="shared" si="27"/>
        <v>29.88888889</v>
      </c>
      <c r="H125" s="43">
        <f t="shared" si="28"/>
        <v>22.55555556</v>
      </c>
      <c r="I125" s="44">
        <f>datos_base!$K$3+datos_base!$K$10</f>
        <v>14383</v>
      </c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4.25" customHeight="1">
      <c r="A126" s="2" t="s">
        <v>50</v>
      </c>
      <c r="B126" s="2" t="s">
        <v>208</v>
      </c>
      <c r="C126" s="2">
        <v>12.0</v>
      </c>
      <c r="D126" s="2">
        <v>4.0</v>
      </c>
      <c r="E126" s="2">
        <v>3.0</v>
      </c>
      <c r="F126" s="2">
        <v>1.0</v>
      </c>
      <c r="G126" s="43">
        <f t="shared" si="27"/>
        <v>66</v>
      </c>
      <c r="H126" s="43">
        <f t="shared" si="28"/>
        <v>50.75</v>
      </c>
      <c r="I126" s="44">
        <f>datos_base!$K$4+datos_base!$K$11</f>
        <v>65173</v>
      </c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4.25" customHeight="1">
      <c r="A127" s="2" t="s">
        <v>51</v>
      </c>
      <c r="B127" s="2" t="s">
        <v>209</v>
      </c>
      <c r="C127" s="2">
        <v>15.0</v>
      </c>
      <c r="D127" s="2">
        <v>5.0</v>
      </c>
      <c r="E127" s="2">
        <v>3.75</v>
      </c>
      <c r="F127" s="2">
        <v>1.25</v>
      </c>
      <c r="G127" s="43">
        <f t="shared" si="27"/>
        <v>53</v>
      </c>
      <c r="H127" s="43">
        <f t="shared" si="28"/>
        <v>50.75</v>
      </c>
      <c r="I127" s="44">
        <f>datos_base!$K$5+datos_base!$K$12</f>
        <v>3966</v>
      </c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4.25" customHeight="1">
      <c r="A128" s="40" t="s">
        <v>210</v>
      </c>
      <c r="B128" s="2"/>
      <c r="C128" s="2"/>
      <c r="D128" s="2"/>
      <c r="E128" s="2"/>
      <c r="F128" s="2"/>
      <c r="G128" s="45">
        <f t="shared" ref="G128:H128" si="29">SUMPRODUCT(G124:G127,$I$124:$I$127)/SUM($I$124:$I$127)</f>
        <v>29.96815516</v>
      </c>
      <c r="H128" s="45">
        <f t="shared" si="29"/>
        <v>23.07368858</v>
      </c>
      <c r="I128" s="44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4.25" customHeight="1">
      <c r="A129" s="2" t="s">
        <v>211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4.25" customHeight="1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 ht="14.25" customHeight="1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 ht="14.25" customHeight="1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 ht="14.25" customHeight="1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 ht="14.25" customHeight="1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 ht="14.25" customHeight="1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 ht="14.25" customHeight="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ht="14.25" customHeight="1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 ht="14.25" customHeight="1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 ht="14.25" customHeight="1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 ht="14.25" customHeight="1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 ht="14.25" customHeight="1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 ht="14.25" customHeight="1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 ht="14.25" customHeight="1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 ht="14.25" customHeight="1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ht="15.75" customHeight="1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ht="15.75" customHeight="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ht="15.75" customHeight="1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ht="15.7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ht="15.75" customHeight="1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ht="15.75" customHeight="1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ht="15.75" customHeight="1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ht="15.75" customHeight="1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ht="15.75" customHeight="1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ht="15.7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ht="15.75" customHeight="1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ht="15.75" customHeight="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ht="15.75" customHeight="1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ht="15.75" customHeigh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ht="15.75" customHeight="1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ht="15.7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ht="15.75" customHeight="1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ht="15.75" customHeight="1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ht="15.75" customHeight="1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ht="15.75" customHeight="1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ht="15.75" customHeight="1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ht="15.75" customHeight="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 ht="15.75" customHeight="1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 ht="15.75" customHeight="1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 ht="15.75" customHeight="1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 ht="15.75" customHeight="1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 ht="15.75" customHeight="1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 ht="15.75" customHeight="1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 ht="15.75" customHeight="1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 ht="15.75" customHeight="1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 ht="15.75" customHeight="1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 ht="15.75" customHeight="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 ht="15.75" customHeight="1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 ht="15.75" customHeight="1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 ht="15.75" customHeight="1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 ht="15.75" customHeigh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ht="15.75" customHeight="1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 ht="15.75" customHeight="1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 ht="15.75" customHeight="1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 ht="15.75" customHeight="1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 ht="15.75" customHeight="1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 ht="15.75" customHeight="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 ht="15.75" customHeight="1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 ht="15.75" customHeight="1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 ht="15.75" customHeight="1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 ht="15.75" customHeight="1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 ht="15.75" customHeight="1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 ht="15.75" customHeight="1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 ht="15.75" customHeight="1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 ht="15.75" customHeight="1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 ht="15.75" customHeight="1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 ht="15.75" customHeight="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 ht="15.75" customHeight="1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 ht="15.75" customHeight="1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 ht="15.75" customHeight="1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 ht="15.75" customHeight="1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 ht="15.75" customHeight="1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 ht="15.75" customHeight="1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 ht="15.75" customHeight="1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 ht="15.75" customHeigh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 ht="15.75" customHeight="1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 ht="15.75" customHeight="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 ht="15.75" customHeight="1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 ht="15.75" customHeight="1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 ht="15.75" customHeight="1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 ht="15.75" customHeight="1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 ht="15.75" customHeight="1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 ht="15.75" customHeight="1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 ht="15.75" customHeight="1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 ht="15.75" customHeight="1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 ht="15.75" customHeight="1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 ht="15.75" customHeight="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 ht="15.75" customHeight="1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 ht="15.75" customHeight="1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 ht="15.75" customHeight="1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 ht="15.75" customHeight="1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 ht="15.75" customHeight="1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 ht="15.75" customHeight="1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 ht="15.75" customHeight="1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 ht="15.75" customHeight="1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 ht="15.75" customHeight="1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 ht="15.75" customHeight="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 ht="15.75" customHeight="1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 ht="15.75" customHeight="1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 ht="15.75" customHeight="1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 ht="15.75" customHeight="1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 ht="15.75" customHeight="1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 ht="15.75" customHeight="1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 ht="15.75" customHeight="1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 ht="15.75" customHeight="1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 ht="15.75" customHeight="1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 ht="15.75" customHeight="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 ht="15.75" customHeight="1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 ht="15.75" customHeight="1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 ht="15.75" customHeight="1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 ht="15.75" customHeight="1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 ht="15.75" customHeight="1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 ht="15.75" customHeight="1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 ht="15.75" customHeight="1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 ht="15.75" customHeight="1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 ht="15.75" customHeight="1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 ht="15.75" customHeight="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 ht="15.75" customHeight="1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 ht="15.75" customHeight="1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 ht="15.75" customHeight="1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 ht="15.75" customHeigh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 ht="15.75" customHeight="1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 ht="15.75" customHeight="1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 ht="15.75" customHeight="1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 ht="15.75" customHeight="1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 ht="15.75" customHeight="1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 ht="15.75" customHeight="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 ht="15.75" customHeight="1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 ht="15.75" customHeight="1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 ht="15.75" customHeight="1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 ht="15.75" customHeight="1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 ht="15.75" customHeight="1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 ht="15.75" customHeight="1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 ht="15.75" customHeight="1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 ht="15.75" customHeight="1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 ht="15.75" customHeight="1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 ht="15.75" customHeight="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 ht="15.75" customHeight="1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 ht="15.75" customHeight="1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 ht="15.75" customHeight="1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 ht="15.75" customHeight="1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 ht="15.75" customHeight="1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 ht="15.75" customHeight="1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 ht="15.75" customHeight="1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 ht="15.75" customHeight="1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 ht="15.75" customHeight="1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 ht="15.75" customHeight="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 ht="15.75" customHeight="1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 ht="15.75" customHeight="1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 ht="15.75" customHeight="1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 ht="15.75" customHeight="1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 ht="15.75" customHeight="1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 ht="15.75" customHeight="1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 ht="15.75" customHeight="1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 ht="15.75" customHeight="1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 ht="15.75" customHeight="1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 ht="15.75" customHeight="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 ht="15.75" customHeight="1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 ht="15.75" customHeight="1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 ht="15.75" customHeight="1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 ht="15.75" customHeight="1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 ht="15.75" customHeight="1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 ht="15.75" customHeight="1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 ht="15.75" customHeight="1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 ht="15.75" customHeight="1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 ht="15.75" customHeight="1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 ht="15.75" customHeight="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 ht="15.75" customHeight="1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 ht="15.75" customHeight="1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 ht="15.75" customHeight="1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 ht="15.75" customHeight="1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 ht="15.75" customHeight="1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 ht="15.75" customHeight="1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 ht="15.75" customHeight="1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 ht="15.75" customHeight="1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ht="15.75" customHeight="1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 ht="15.75" customHeight="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 ht="15.75" customHeight="1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 ht="15.75" customHeight="1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 ht="15.75" customHeight="1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 ht="15.75" customHeight="1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 ht="15.75" customHeight="1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 ht="15.75" customHeight="1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 ht="15.75" customHeight="1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 ht="15.75" customHeight="1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 ht="15.75" customHeight="1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 ht="15.75" customHeight="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 ht="15.75" customHeight="1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 ht="15.75" customHeight="1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 ht="15.75" customHeight="1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 ht="15.75" customHeight="1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 ht="15.75" customHeight="1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 ht="15.75" customHeight="1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 ht="15.75" customHeight="1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 ht="15.75" customHeight="1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 ht="15.75" customHeight="1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 ht="15.75" customHeight="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 ht="15.75" customHeight="1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 ht="15.75" customHeight="1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 ht="15.75" customHeight="1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 ht="15.75" customHeight="1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 ht="15.75" customHeight="1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 ht="15.75" customHeight="1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 ht="15.75" customHeight="1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 ht="15.75" customHeight="1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 ht="15.7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 ht="15.75" customHeight="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 ht="15.75" customHeight="1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 ht="15.75" customHeight="1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 ht="15.75" customHeight="1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 ht="15.75" customHeight="1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 ht="15.75" customHeight="1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 ht="15.75" customHeight="1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 ht="15.75" customHeight="1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 ht="15.75" customHeight="1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 ht="15.75" customHeight="1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 ht="15.75" customHeight="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 ht="15.75" customHeight="1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 ht="15.75" customHeight="1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 ht="15.75" customHeight="1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 ht="15.75" customHeight="1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 ht="15.75" customHeight="1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 ht="15.75" customHeight="1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 ht="15.75" customHeight="1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 ht="15.75" customHeight="1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 ht="15.75" customHeight="1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 ht="15.75" customHeight="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 ht="15.75" customHeight="1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 ht="15.75" customHeight="1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 ht="15.75" customHeight="1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 ht="15.75" customHeight="1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 ht="15.75" customHeight="1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 ht="15.75" customHeight="1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 ht="15.75" customHeight="1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 ht="15.75" customHeight="1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 ht="15.75" customHeight="1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 ht="15.75" customHeight="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 ht="15.75" customHeight="1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 ht="15.75" customHeight="1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 ht="15.75" customHeight="1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 ht="15.75" customHeight="1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 ht="15.75" customHeight="1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 ht="15.75" customHeight="1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 ht="15.75" customHeight="1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 ht="15.75" customHeight="1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 ht="15.75" customHeight="1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 ht="15.75" customHeight="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 ht="15.75" customHeight="1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 ht="15.75" customHeight="1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 ht="15.75" customHeight="1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 ht="15.75" customHeight="1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 ht="15.75" customHeight="1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 ht="15.75" customHeight="1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 ht="15.75" customHeight="1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 ht="15.75" customHeight="1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 ht="15.75" customHeight="1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 ht="15.75" customHeight="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 ht="15.75" customHeight="1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 ht="15.75" customHeigh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 ht="15.75" customHeight="1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 ht="15.75" customHeight="1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 ht="15.75" customHeight="1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 ht="15.75" customHeight="1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 ht="15.75" customHeight="1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 ht="15.75" customHeight="1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 ht="15.75" customHeight="1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 ht="15.75" customHeight="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 ht="15.75" customHeight="1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 ht="15.75" customHeight="1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 ht="15.75" customHeight="1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 ht="15.75" customHeigh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 ht="15.75" customHeight="1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 ht="15.75" customHeight="1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 ht="15.75" customHeight="1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 ht="15.75" customHeight="1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 ht="15.75" customHeight="1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 ht="15.75" customHeight="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 ht="15.75" customHeight="1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 ht="15.75" customHeight="1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 ht="15.75" customHeight="1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 ht="15.75" customHeight="1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 ht="15.75" customHeight="1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 ht="15.75" customHeight="1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 ht="15.75" customHeight="1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 ht="15.75" customHeight="1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 ht="15.75" customHeight="1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 ht="15.75" customHeight="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 ht="15.75" customHeight="1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 ht="15.75" customHeight="1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 ht="15.75" customHeight="1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 ht="15.75" customHeight="1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 ht="15.75" customHeight="1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 ht="15.75" customHeight="1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 ht="15.75" customHeight="1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 ht="15.75" customHeigh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 ht="15.75" customHeight="1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 ht="15.75" customHeight="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 ht="15.75" customHeight="1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 ht="15.75" customHeight="1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 ht="15.75" customHeight="1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 ht="15.7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 ht="15.75" customHeight="1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 ht="15.7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 ht="15.75" customHeight="1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 ht="15.7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 ht="15.75" customHeight="1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 ht="15.7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 ht="15.75" customHeight="1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 ht="15.7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 ht="15.75" customHeight="1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 ht="15.7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 ht="15.75" customHeight="1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 ht="15.7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 ht="15.75" customHeight="1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 ht="15.7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 ht="15.75" customHeight="1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 ht="15.7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 ht="15.75" customHeight="1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 ht="15.7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 ht="15.75" customHeight="1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 ht="15.7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 ht="15.75" customHeight="1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 ht="15.7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 ht="15.75" customHeight="1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 ht="15.7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 ht="15.75" customHeight="1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 ht="15.7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 ht="15.75" customHeight="1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 ht="15.7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 ht="15.75" customHeight="1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 ht="15.7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 ht="15.75" customHeight="1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 ht="15.7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 ht="15.75" customHeight="1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 ht="15.7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 ht="15.75" customHeight="1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 ht="15.7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 ht="15.75" customHeight="1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 ht="15.7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 ht="15.75" customHeight="1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 ht="15.7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 ht="15.75" customHeight="1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 ht="15.7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 ht="15.75" customHeight="1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 ht="15.7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 ht="15.75" customHeight="1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 ht="15.7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 ht="15.75" customHeight="1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 ht="15.7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 ht="15.75" customHeight="1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 ht="15.7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 ht="15.75" customHeight="1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 ht="15.7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 ht="15.75" customHeight="1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 ht="15.7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 ht="15.75" customHeight="1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 ht="15.7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 ht="15.75" customHeight="1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 ht="15.7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 ht="15.75" customHeight="1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 ht="15.7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 ht="15.75" customHeight="1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 ht="15.7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 ht="15.75" customHeight="1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 ht="15.7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 ht="15.75" customHeight="1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 ht="15.7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 ht="15.75" customHeight="1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 ht="15.7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 ht="15.75" customHeight="1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 ht="15.7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 ht="15.75" customHeight="1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 ht="15.7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 ht="15.75" customHeight="1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 ht="15.7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 ht="15.75" customHeight="1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 ht="15.7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 ht="15.75" customHeight="1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 ht="15.7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 ht="15.75" customHeight="1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 ht="15.7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 ht="15.75" customHeight="1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 ht="15.7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 ht="15.75" customHeight="1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 ht="15.7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 ht="15.75" customHeight="1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 ht="15.7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 ht="15.75" customHeight="1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 ht="15.7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 ht="15.75" customHeight="1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 ht="15.7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 ht="15.75" customHeight="1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 ht="15.7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 ht="15.75" customHeight="1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 ht="15.7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 ht="15.75" customHeight="1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 ht="15.7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 ht="15.75" customHeight="1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 ht="15.7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 ht="15.75" customHeight="1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 ht="15.7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 ht="15.75" customHeight="1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 ht="15.7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 ht="15.75" customHeight="1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 ht="15.7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 ht="15.75" customHeight="1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 ht="15.7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 ht="15.75" customHeight="1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 ht="15.7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 ht="15.75" customHeight="1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 ht="15.7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 ht="15.75" customHeight="1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ht="15.7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 ht="15.75" customHeight="1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 ht="15.7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 ht="15.75" customHeight="1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 ht="15.7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 ht="15.75" customHeight="1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 ht="15.7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 ht="15.75" customHeight="1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 ht="15.7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 ht="15.75" customHeight="1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 ht="15.7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 ht="15.75" customHeight="1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 ht="15.7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 ht="15.75" customHeight="1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 ht="15.7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 ht="15.75" customHeight="1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 ht="15.7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 ht="15.75" customHeight="1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 ht="15.7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 ht="15.75" customHeight="1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 ht="15.7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 ht="15.75" customHeight="1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 ht="15.7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 ht="15.75" customHeight="1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 ht="15.7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 ht="15.75" customHeight="1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 ht="15.7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 ht="15.75" customHeight="1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 ht="15.7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 ht="15.75" customHeight="1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 ht="15.7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 ht="15.75" customHeight="1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 ht="15.7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 ht="15.75" customHeight="1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 ht="15.7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 ht="15.75" customHeight="1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 ht="15.7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 ht="15.75" customHeight="1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 ht="15.7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 ht="15.75" customHeight="1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 ht="15.7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 ht="15.75" customHeight="1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 ht="15.7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 ht="15.75" customHeight="1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 ht="15.7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 ht="15.75" customHeight="1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 ht="15.7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 ht="15.75" customHeight="1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 ht="15.7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 ht="15.75" customHeight="1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 ht="15.7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 ht="15.75" customHeight="1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 ht="15.7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 ht="15.75" customHeight="1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 ht="15.7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 ht="15.75" customHeight="1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 ht="15.7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 ht="15.75" customHeight="1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 ht="15.7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 ht="15.75" customHeight="1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 ht="15.7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ht="15.75" customHeight="1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 ht="15.7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 ht="15.75" customHeight="1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 ht="15.7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 ht="15.75" customHeight="1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 ht="15.7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 ht="15.75" customHeight="1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 ht="15.7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 ht="15.75" customHeight="1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 ht="15.7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 ht="15.75" customHeight="1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 ht="15.7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ht="15.7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ht="15.7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ht="15.7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ht="15.7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ht="15.75" customHeight="1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 ht="15.7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 ht="15.75" customHeight="1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 ht="15.7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 ht="15.75" customHeight="1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 ht="15.7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 ht="15.75" customHeight="1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 ht="15.7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 ht="15.75" customHeight="1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 ht="15.7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 ht="15.7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ht="15.7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ht="15.7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ht="15.7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ht="15.75" customHeight="1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 ht="15.7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 ht="15.75" customHeight="1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 ht="15.7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ht="15.75" customHeight="1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 ht="15.7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 ht="15.75" customHeight="1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 ht="15.7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 ht="15.75" customHeight="1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 ht="15.7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 ht="15.7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ht="15.7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ht="15.7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ht="15.7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ht="15.7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ht="15.7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 ht="15.75" customHeight="1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 ht="15.7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 ht="15.75" customHeight="1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 ht="15.7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 ht="15.75" customHeight="1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 ht="15.7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 ht="15.75" customHeight="1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 ht="15.7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 ht="15.75" customHeight="1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ht="15.7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ht="15.7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ht="15.7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ht="15.7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ht="15.7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ht="15.75" customHeight="1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ht="15.7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 ht="15.75" customHeight="1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 ht="15.7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 ht="15.75" customHeight="1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 ht="15.7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 ht="15.75" customHeight="1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 ht="15.7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ht="15.75" customHeight="1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 ht="15.7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 ht="15.75" customHeight="1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 ht="15.7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ht="15.7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ht="15.7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ht="15.7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ht="15.7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ht="15.75" customHeight="1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 ht="15.7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 ht="15.75" customHeight="1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 ht="15.7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 ht="15.75" customHeight="1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 ht="15.7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ht="15.75" customHeight="1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 ht="15.7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 ht="15.75" customHeight="1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 ht="15.7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 ht="15.7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ht="15.7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ht="15.75" customHeight="1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ht="15.7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ht="15.75" customHeight="1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ht="15.7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 ht="15.75" customHeight="1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 ht="15.7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 ht="15.75" customHeight="1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 ht="15.7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 ht="15.75" customHeight="1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 ht="15.7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 ht="15.75" customHeight="1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 ht="15.7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 ht="15.75" customHeight="1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 ht="15.7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ht="15.7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ht="15.7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ht="15.7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ht="15.7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ht="15.7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ht="15.7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ht="15.7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ht="15.7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 ht="15.75" customHeight="1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 ht="15.7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 ht="15.75" customHeight="1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 ht="15.7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 ht="15.75" customHeight="1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 ht="15.7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 ht="15.75" customHeight="1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 ht="15.7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 ht="15.75" customHeight="1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 ht="15.7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ht="15.7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ht="15.7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ht="15.7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ht="15.7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 ht="15.75" customHeight="1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 ht="15.7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 ht="15.75" customHeight="1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 ht="15.7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 ht="15.75" customHeight="1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 ht="15.7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 ht="15.75" customHeight="1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 ht="15.7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 ht="15.75" customHeight="1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 ht="15.7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 ht="15.75" customHeight="1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 ht="15.7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 ht="15.75" customHeight="1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 ht="15.7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 ht="15.75" customHeight="1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 ht="15.7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 ht="15.75" customHeight="1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 ht="15.7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 ht="15.75" customHeight="1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 ht="15.7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 ht="15.75" customHeight="1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ht="15.7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 ht="15.75" customHeight="1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 ht="15.7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 ht="15.75" customHeight="1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 ht="15.7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 ht="15.75" customHeight="1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 ht="15.7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 ht="15.75" customHeight="1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 ht="15.7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 ht="15.75" customHeight="1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ht="15.7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 ht="15.75" customHeight="1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 ht="15.7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 ht="15.75" customHeight="1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 ht="15.7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 ht="15.75" customHeight="1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 ht="15.7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 ht="15.75" customHeight="1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 ht="15.7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 ht="15.75" customHeight="1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ht="15.7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 ht="15.75" customHeight="1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 ht="15.7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 ht="15.75" customHeight="1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 ht="15.7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 ht="15.75" customHeight="1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 ht="15.7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 ht="15.75" customHeight="1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 ht="15.7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 ht="15.75" customHeight="1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 ht="15.7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ht="15.75" customHeight="1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 ht="15.7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 ht="15.75" customHeight="1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 ht="15.7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 ht="15.75" customHeight="1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 ht="15.7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 ht="15.75" customHeight="1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 ht="15.7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 ht="15.75" customHeight="1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 ht="15.7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ht="15.75" customHeight="1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ht="15.7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 ht="15.75" customHeight="1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 ht="15.7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 ht="15.75" customHeight="1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 ht="15.7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 ht="15.75" customHeight="1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 ht="15.75" customHeight="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 ht="15.75" customHeight="1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 ht="15.75" customHeight="1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 ht="15.75" customHeight="1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 ht="15.75" customHeight="1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ht="15.75" customHeight="1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 ht="15.75" customHeight="1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 ht="15.75" customHeight="1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 ht="15.75" customHeight="1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 ht="15.75" customHeight="1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 ht="15.75" customHeight="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 ht="15.75" customHeight="1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 ht="15.75" customHeight="1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 ht="15.75" customHeight="1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 ht="15.75" customHeight="1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 ht="15.75" customHeight="1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 ht="15.75" customHeight="1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 ht="15.75" customHeight="1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 ht="15.75" customHeight="1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 ht="15.75" customHeight="1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mergeCells count="4">
    <mergeCell ref="A46:C46"/>
    <mergeCell ref="A47:C47"/>
    <mergeCell ref="A48:C48"/>
    <mergeCell ref="A50:D5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8.57"/>
    <col customWidth="1" min="2" max="2" width="24.0"/>
    <col customWidth="1" min="3" max="3" width="11.0"/>
    <col customWidth="1" min="4" max="16" width="9.0"/>
  </cols>
  <sheetData>
    <row r="1" ht="14.25" customHeight="1">
      <c r="A1" s="1">
        <v>2026.0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12</v>
      </c>
      <c r="K1" s="1" t="s">
        <v>13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</row>
    <row r="2" ht="14.25" customHeight="1">
      <c r="A2" s="3">
        <v>2026.0</v>
      </c>
      <c r="B2" s="4" t="s">
        <v>23</v>
      </c>
      <c r="C2" s="4" t="s">
        <v>24</v>
      </c>
      <c r="D2" s="9">
        <f>datos_base!$B$2*parametros_manuales!B$12</f>
        <v>501.48</v>
      </c>
      <c r="E2" s="9">
        <f>datos_base!$B$2*parametros_manuales!C$12</f>
        <v>376.11</v>
      </c>
      <c r="F2" s="9">
        <f>datos_base!$B$2*parametros_manuales!D$12</f>
        <v>334.32</v>
      </c>
      <c r="G2" s="9">
        <f>datos_base!$B$2*parametros_manuales!E$12</f>
        <v>313.425</v>
      </c>
      <c r="H2" s="9">
        <f>datos_base!$B$2*parametros_manuales!F$12</f>
        <v>292.53</v>
      </c>
      <c r="I2" s="9">
        <f>datos_base!$B$2*parametros_manuales!G$12</f>
        <v>292.53</v>
      </c>
      <c r="J2" s="9">
        <f>datos_base!$B$2*parametros_manuales!H$12</f>
        <v>313.425</v>
      </c>
      <c r="K2" s="9">
        <f>datos_base!$B$2*parametros_manuales!I$12</f>
        <v>313.425</v>
      </c>
      <c r="L2" s="9">
        <f>datos_base!$B$2*parametros_manuales!J$12</f>
        <v>313.425</v>
      </c>
      <c r="M2" s="9">
        <f>datos_base!$B$2*parametros_manuales!K$12</f>
        <v>313.425</v>
      </c>
      <c r="N2" s="9">
        <f>datos_base!$B$2*parametros_manuales!L$12</f>
        <v>313.425</v>
      </c>
      <c r="O2" s="9">
        <f>datos_base!$B$2*parametros_manuales!M$12</f>
        <v>501.48</v>
      </c>
      <c r="P2" s="8">
        <f t="shared" ref="P2:P9" si="1">SUM(D2:O2)</f>
        <v>4179</v>
      </c>
    </row>
    <row r="3" ht="14.25" customHeight="1">
      <c r="A3" s="3">
        <v>2026.0</v>
      </c>
      <c r="B3" s="4" t="s">
        <v>33</v>
      </c>
      <c r="C3" s="4" t="s">
        <v>24</v>
      </c>
      <c r="D3" s="9">
        <f>datos_base!$B$3*parametros_manuales!B$13</f>
        <v>29.8</v>
      </c>
      <c r="E3" s="9">
        <f>datos_base!$B$3*parametros_manuales!C$13</f>
        <v>23.84</v>
      </c>
      <c r="F3" s="9">
        <f>datos_base!$B$3*parametros_manuales!D$13</f>
        <v>25.33</v>
      </c>
      <c r="G3" s="9">
        <f>datos_base!$B$3*parametros_manuales!E$13</f>
        <v>25.33</v>
      </c>
      <c r="H3" s="9">
        <f>datos_base!$B$3*parametros_manuales!F$13</f>
        <v>23.84</v>
      </c>
      <c r="I3" s="9">
        <f>datos_base!$B$3*parametros_manuales!G$13</f>
        <v>22.35</v>
      </c>
      <c r="J3" s="9">
        <f>datos_base!$B$3*parametros_manuales!H$13</f>
        <v>23.84</v>
      </c>
      <c r="K3" s="9">
        <f>datos_base!$B$3*parametros_manuales!I$13</f>
        <v>23.84</v>
      </c>
      <c r="L3" s="9">
        <f>datos_base!$B$3*parametros_manuales!J$13</f>
        <v>23.84</v>
      </c>
      <c r="M3" s="9">
        <f>datos_base!$B$3*parametros_manuales!K$13</f>
        <v>22.35</v>
      </c>
      <c r="N3" s="9">
        <f>datos_base!$B$3*parametros_manuales!L$13</f>
        <v>20.86</v>
      </c>
      <c r="O3" s="9">
        <f>datos_base!$B$3*parametros_manuales!M$13</f>
        <v>32.78</v>
      </c>
      <c r="P3" s="8">
        <f t="shared" si="1"/>
        <v>298</v>
      </c>
    </row>
    <row r="4" ht="14.25" customHeight="1">
      <c r="A4" s="3">
        <v>2026.0</v>
      </c>
      <c r="B4" s="4" t="s">
        <v>38</v>
      </c>
      <c r="C4" s="4" t="s">
        <v>24</v>
      </c>
      <c r="D4" s="9">
        <f>datos_base!$B$4*parametros_manuales!B$14</f>
        <v>226.7</v>
      </c>
      <c r="E4" s="9">
        <f>datos_base!$B$4*parametros_manuales!C$14</f>
        <v>181.36</v>
      </c>
      <c r="F4" s="9">
        <f>datos_base!$B$4*parametros_manuales!D$14</f>
        <v>192.695</v>
      </c>
      <c r="G4" s="9">
        <f>datos_base!$B$4*parametros_manuales!E$14</f>
        <v>192.695</v>
      </c>
      <c r="H4" s="9">
        <f>datos_base!$B$4*parametros_manuales!F$14</f>
        <v>181.36</v>
      </c>
      <c r="I4" s="9">
        <f>datos_base!$B$4*parametros_manuales!G$14</f>
        <v>170.025</v>
      </c>
      <c r="J4" s="9">
        <f>datos_base!$B$4*parametros_manuales!H$14</f>
        <v>181.36</v>
      </c>
      <c r="K4" s="9">
        <f>datos_base!$B$4*parametros_manuales!I$14</f>
        <v>181.36</v>
      </c>
      <c r="L4" s="9">
        <f>datos_base!$B$4*parametros_manuales!J$14</f>
        <v>181.36</v>
      </c>
      <c r="M4" s="9">
        <f>datos_base!$B$4*parametros_manuales!K$14</f>
        <v>170.025</v>
      </c>
      <c r="N4" s="9">
        <f>datos_base!$B$4*parametros_manuales!L$14</f>
        <v>158.69</v>
      </c>
      <c r="O4" s="9">
        <f>datos_base!$B$4*parametros_manuales!M$14</f>
        <v>249.37</v>
      </c>
      <c r="P4" s="8">
        <f t="shared" si="1"/>
        <v>2267</v>
      </c>
    </row>
    <row r="5" ht="14.25" customHeight="1">
      <c r="A5" s="3">
        <v>2026.0</v>
      </c>
      <c r="B5" s="4" t="s">
        <v>43</v>
      </c>
      <c r="C5" s="4" t="s">
        <v>24</v>
      </c>
      <c r="D5" s="9">
        <f>datos_base!$B$5*parametros_manuales!B$15</f>
        <v>9.3</v>
      </c>
      <c r="E5" s="9">
        <f>datos_base!$B$5*parametros_manuales!C$15</f>
        <v>7.44</v>
      </c>
      <c r="F5" s="9">
        <f>datos_base!$B$5*parametros_manuales!D$15</f>
        <v>7.905</v>
      </c>
      <c r="G5" s="9">
        <f>datos_base!$B$5*parametros_manuales!E$15</f>
        <v>7.905</v>
      </c>
      <c r="H5" s="9">
        <f>datos_base!$B$5*parametros_manuales!F$15</f>
        <v>7.44</v>
      </c>
      <c r="I5" s="9">
        <f>datos_base!$B$5*parametros_manuales!G$15</f>
        <v>6.975</v>
      </c>
      <c r="J5" s="9">
        <f>datos_base!$B$5*parametros_manuales!H$15</f>
        <v>7.44</v>
      </c>
      <c r="K5" s="9">
        <f>datos_base!$B$5*parametros_manuales!I$15</f>
        <v>7.44</v>
      </c>
      <c r="L5" s="9">
        <f>datos_base!$B$5*parametros_manuales!J$15</f>
        <v>7.44</v>
      </c>
      <c r="M5" s="9">
        <f>datos_base!$B$5*parametros_manuales!K$15</f>
        <v>6.975</v>
      </c>
      <c r="N5" s="9">
        <f>datos_base!$B$5*parametros_manuales!L$15</f>
        <v>6.51</v>
      </c>
      <c r="O5" s="9">
        <f>datos_base!$B$5*parametros_manuales!M$15</f>
        <v>10.23</v>
      </c>
      <c r="P5" s="8">
        <f t="shared" si="1"/>
        <v>93</v>
      </c>
    </row>
    <row r="6" ht="14.25" customHeight="1">
      <c r="A6" s="3">
        <v>2026.0</v>
      </c>
      <c r="B6" s="4" t="s">
        <v>64</v>
      </c>
      <c r="C6" s="4" t="s">
        <v>117</v>
      </c>
      <c r="D6" s="9">
        <f>datos_base!$B$9*parametros_manuales!B$12</f>
        <v>0</v>
      </c>
      <c r="E6" s="9">
        <f>datos_base!$B$9*parametros_manuales!C$12</f>
        <v>0</v>
      </c>
      <c r="F6" s="9">
        <f>datos_base!$B$9*parametros_manuales!D$12</f>
        <v>0</v>
      </c>
      <c r="G6" s="9">
        <f>datos_base!$B$9*parametros_manuales!E$12</f>
        <v>0</v>
      </c>
      <c r="H6" s="9">
        <f>datos_base!$B$9*parametros_manuales!F$12</f>
        <v>0</v>
      </c>
      <c r="I6" s="9">
        <f>datos_base!$B$9*parametros_manuales!G$12</f>
        <v>0</v>
      </c>
      <c r="J6" s="9">
        <f>datos_base!$B$9*parametros_manuales!H$12</f>
        <v>0</v>
      </c>
      <c r="K6" s="9">
        <f>datos_base!$B$9*parametros_manuales!I$12</f>
        <v>0</v>
      </c>
      <c r="L6" s="9">
        <f>datos_base!$B$9*parametros_manuales!J$12</f>
        <v>0</v>
      </c>
      <c r="M6" s="9">
        <f>datos_base!$B$9*parametros_manuales!K$12</f>
        <v>0</v>
      </c>
      <c r="N6" s="9">
        <f>datos_base!$B$9*parametros_manuales!L$12</f>
        <v>0</v>
      </c>
      <c r="O6" s="9">
        <f>datos_base!$B$9*parametros_manuales!M$12</f>
        <v>0</v>
      </c>
      <c r="P6" s="8">
        <f t="shared" si="1"/>
        <v>0</v>
      </c>
    </row>
    <row r="7" ht="14.25" customHeight="1">
      <c r="A7" s="3">
        <v>2026.0</v>
      </c>
      <c r="B7" s="4" t="s">
        <v>69</v>
      </c>
      <c r="C7" s="4" t="s">
        <v>117</v>
      </c>
      <c r="D7" s="9">
        <f>datos_base!$B$10*parametros_manuales!B$13</f>
        <v>0.4</v>
      </c>
      <c r="E7" s="9">
        <f>datos_base!$B$10*parametros_manuales!C$13</f>
        <v>0.32</v>
      </c>
      <c r="F7" s="9">
        <f>datos_base!$B$10*parametros_manuales!D$13</f>
        <v>0.34</v>
      </c>
      <c r="G7" s="9">
        <f>datos_base!$B$10*parametros_manuales!E$13</f>
        <v>0.34</v>
      </c>
      <c r="H7" s="9">
        <f>datos_base!$B$10*parametros_manuales!F$13</f>
        <v>0.32</v>
      </c>
      <c r="I7" s="9">
        <f>datos_base!$B$10*parametros_manuales!G$13</f>
        <v>0.3</v>
      </c>
      <c r="J7" s="9">
        <f>datos_base!$B$10*parametros_manuales!H$13</f>
        <v>0.32</v>
      </c>
      <c r="K7" s="9">
        <f>datos_base!$B$10*parametros_manuales!I$13</f>
        <v>0.32</v>
      </c>
      <c r="L7" s="9">
        <f>datos_base!$B$10*parametros_manuales!J$13</f>
        <v>0.32</v>
      </c>
      <c r="M7" s="9">
        <f>datos_base!$B$10*parametros_manuales!K$13</f>
        <v>0.3</v>
      </c>
      <c r="N7" s="9">
        <f>datos_base!$B$10*parametros_manuales!L$13</f>
        <v>0.28</v>
      </c>
      <c r="O7" s="9">
        <f>datos_base!$B$10*parametros_manuales!M$13</f>
        <v>0.44</v>
      </c>
      <c r="P7" s="8">
        <f t="shared" si="1"/>
        <v>4</v>
      </c>
    </row>
    <row r="8" ht="14.25" customHeight="1">
      <c r="A8" s="3">
        <v>2026.0</v>
      </c>
      <c r="B8" s="4" t="s">
        <v>70</v>
      </c>
      <c r="C8" s="4" t="s">
        <v>117</v>
      </c>
      <c r="D8" s="9">
        <f>datos_base!$B$11*parametros_manuales!B$14</f>
        <v>2</v>
      </c>
      <c r="E8" s="9">
        <f>datos_base!$B$11*parametros_manuales!C$14</f>
        <v>1.6</v>
      </c>
      <c r="F8" s="9">
        <f>datos_base!$B$11*parametros_manuales!D$14</f>
        <v>1.7</v>
      </c>
      <c r="G8" s="9">
        <f>datos_base!$B$11*parametros_manuales!E$14</f>
        <v>1.7</v>
      </c>
      <c r="H8" s="9">
        <f>datos_base!$B$11*parametros_manuales!F$14</f>
        <v>1.6</v>
      </c>
      <c r="I8" s="9">
        <f>datos_base!$B$11*parametros_manuales!G$14</f>
        <v>1.5</v>
      </c>
      <c r="J8" s="9">
        <f>datos_base!$B$11*parametros_manuales!H$14</f>
        <v>1.6</v>
      </c>
      <c r="K8" s="9">
        <f>datos_base!$B$11*parametros_manuales!I$14</f>
        <v>1.6</v>
      </c>
      <c r="L8" s="9">
        <f>datos_base!$B$11*parametros_manuales!J$14</f>
        <v>1.6</v>
      </c>
      <c r="M8" s="9">
        <f>datos_base!$B$11*parametros_manuales!K$14</f>
        <v>1.5</v>
      </c>
      <c r="N8" s="9">
        <f>datos_base!$B$11*parametros_manuales!L$14</f>
        <v>1.4</v>
      </c>
      <c r="O8" s="9">
        <f>datos_base!$B$11*parametros_manuales!M$14</f>
        <v>2.2</v>
      </c>
      <c r="P8" s="8">
        <f t="shared" si="1"/>
        <v>20</v>
      </c>
    </row>
    <row r="9" ht="14.25" customHeight="1">
      <c r="A9" s="3">
        <v>2026.0</v>
      </c>
      <c r="B9" s="4" t="s">
        <v>72</v>
      </c>
      <c r="C9" s="4" t="s">
        <v>117</v>
      </c>
      <c r="D9" s="9">
        <f>datos_base!$B$12*parametros_manuales!B$15</f>
        <v>0.2</v>
      </c>
      <c r="E9" s="9">
        <f>datos_base!$B$12*parametros_manuales!C$15</f>
        <v>0.16</v>
      </c>
      <c r="F9" s="9">
        <f>datos_base!$B$12*parametros_manuales!D$15</f>
        <v>0.17</v>
      </c>
      <c r="G9" s="9">
        <f>datos_base!$B$12*parametros_manuales!E$15</f>
        <v>0.17</v>
      </c>
      <c r="H9" s="9">
        <f>datos_base!$B$12*parametros_manuales!F$15</f>
        <v>0.16</v>
      </c>
      <c r="I9" s="9">
        <f>datos_base!$B$12*parametros_manuales!G$15</f>
        <v>0.15</v>
      </c>
      <c r="J9" s="9">
        <f>datos_base!$B$12*parametros_manuales!H$15</f>
        <v>0.16</v>
      </c>
      <c r="K9" s="9">
        <f>datos_base!$B$12*parametros_manuales!I$15</f>
        <v>0.16</v>
      </c>
      <c r="L9" s="9">
        <f>datos_base!$B$12*parametros_manuales!J$15</f>
        <v>0.16</v>
      </c>
      <c r="M9" s="9">
        <f>datos_base!$B$12*parametros_manuales!K$15</f>
        <v>0.15</v>
      </c>
      <c r="N9" s="9">
        <f>datos_base!$B$12*parametros_manuales!L$15</f>
        <v>0.14</v>
      </c>
      <c r="O9" s="9">
        <f>datos_base!$B$12*parametros_manuales!M$15</f>
        <v>0.22</v>
      </c>
      <c r="P9" s="8">
        <f t="shared" si="1"/>
        <v>2</v>
      </c>
    </row>
    <row r="10" ht="14.25" customHeight="1">
      <c r="A10" s="16"/>
      <c r="B10" s="14" t="s">
        <v>167</v>
      </c>
      <c r="C10" s="16"/>
      <c r="D10" s="15">
        <f t="shared" ref="D10:P10" si="2">SUM(D2:D9)</f>
        <v>769.88</v>
      </c>
      <c r="E10" s="15">
        <f t="shared" si="2"/>
        <v>590.83</v>
      </c>
      <c r="F10" s="15">
        <f t="shared" si="2"/>
        <v>562.46</v>
      </c>
      <c r="G10" s="15">
        <f t="shared" si="2"/>
        <v>541.565</v>
      </c>
      <c r="H10" s="15">
        <f t="shared" si="2"/>
        <v>507.25</v>
      </c>
      <c r="I10" s="15">
        <f t="shared" si="2"/>
        <v>493.83</v>
      </c>
      <c r="J10" s="15">
        <f t="shared" si="2"/>
        <v>528.145</v>
      </c>
      <c r="K10" s="15">
        <f t="shared" si="2"/>
        <v>528.145</v>
      </c>
      <c r="L10" s="15">
        <f t="shared" si="2"/>
        <v>528.145</v>
      </c>
      <c r="M10" s="15">
        <f t="shared" si="2"/>
        <v>514.725</v>
      </c>
      <c r="N10" s="15">
        <f t="shared" si="2"/>
        <v>501.305</v>
      </c>
      <c r="O10" s="15">
        <f t="shared" si="2"/>
        <v>796.72</v>
      </c>
      <c r="P10" s="15">
        <f t="shared" si="2"/>
        <v>6863</v>
      </c>
    </row>
    <row r="11" ht="14.25" customHeight="1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</row>
    <row r="12" ht="14.25" customHeight="1">
      <c r="A12" s="1">
        <v>2027.0</v>
      </c>
      <c r="B12" s="1" t="s">
        <v>3</v>
      </c>
      <c r="C12" s="1" t="s">
        <v>4</v>
      </c>
      <c r="D12" s="1" t="s">
        <v>5</v>
      </c>
      <c r="E12" s="1" t="s">
        <v>6</v>
      </c>
      <c r="F12" s="1" t="s">
        <v>7</v>
      </c>
      <c r="G12" s="1" t="s">
        <v>8</v>
      </c>
      <c r="H12" s="1" t="s">
        <v>9</v>
      </c>
      <c r="I12" s="1" t="s">
        <v>10</v>
      </c>
      <c r="J12" s="1" t="s">
        <v>12</v>
      </c>
      <c r="K12" s="1" t="s">
        <v>13</v>
      </c>
      <c r="L12" s="1" t="s">
        <v>15</v>
      </c>
      <c r="M12" s="1" t="s">
        <v>16</v>
      </c>
      <c r="N12" s="1" t="s">
        <v>17</v>
      </c>
      <c r="O12" s="1" t="s">
        <v>18</v>
      </c>
      <c r="P12" s="1" t="s">
        <v>19</v>
      </c>
    </row>
    <row r="13" ht="14.25" customHeight="1">
      <c r="A13" s="3">
        <v>2027.0</v>
      </c>
      <c r="B13" s="4" t="s">
        <v>23</v>
      </c>
      <c r="C13" s="4" t="s">
        <v>24</v>
      </c>
      <c r="D13" s="9">
        <f>datos_base!$C$2*parametros_manuales!B$12</f>
        <v>719.64</v>
      </c>
      <c r="E13" s="9">
        <f>datos_base!$C$2*parametros_manuales!C$12</f>
        <v>539.73</v>
      </c>
      <c r="F13" s="9">
        <f>datos_base!$C$2*parametros_manuales!D$12</f>
        <v>479.76</v>
      </c>
      <c r="G13" s="9">
        <f>datos_base!$C$2*parametros_manuales!E$12</f>
        <v>449.775</v>
      </c>
      <c r="H13" s="9">
        <f>datos_base!$C$2*parametros_manuales!F$12</f>
        <v>419.79</v>
      </c>
      <c r="I13" s="9">
        <f>datos_base!$C$2*parametros_manuales!G$12</f>
        <v>419.79</v>
      </c>
      <c r="J13" s="9">
        <f>datos_base!$C$2*parametros_manuales!H$12</f>
        <v>449.775</v>
      </c>
      <c r="K13" s="9">
        <f>datos_base!$C$2*parametros_manuales!I$12</f>
        <v>449.775</v>
      </c>
      <c r="L13" s="9">
        <f>datos_base!$C$2*parametros_manuales!J$12</f>
        <v>449.775</v>
      </c>
      <c r="M13" s="9">
        <f>datos_base!$C$2*parametros_manuales!K$12</f>
        <v>449.775</v>
      </c>
      <c r="N13" s="9">
        <f>datos_base!$C$2*parametros_manuales!L$12</f>
        <v>449.775</v>
      </c>
      <c r="O13" s="9">
        <f>datos_base!$C$2*parametros_manuales!M$12</f>
        <v>719.64</v>
      </c>
      <c r="P13" s="8">
        <f t="shared" ref="P13:P20" si="3">SUM(D13:O13)</f>
        <v>5997</v>
      </c>
    </row>
    <row r="14" ht="14.25" customHeight="1">
      <c r="A14" s="3">
        <v>2027.0</v>
      </c>
      <c r="B14" s="4" t="s">
        <v>33</v>
      </c>
      <c r="C14" s="4" t="s">
        <v>24</v>
      </c>
      <c r="D14" s="9">
        <f>datos_base!$C$3*parametros_manuales!B$13</f>
        <v>71.8</v>
      </c>
      <c r="E14" s="9">
        <f>datos_base!$C$3*parametros_manuales!C$13</f>
        <v>57.44</v>
      </c>
      <c r="F14" s="9">
        <f>datos_base!$C$3*parametros_manuales!D$13</f>
        <v>61.03</v>
      </c>
      <c r="G14" s="9">
        <f>datos_base!$C$3*parametros_manuales!E$13</f>
        <v>61.03</v>
      </c>
      <c r="H14" s="9">
        <f>datos_base!$C$3*parametros_manuales!F$13</f>
        <v>57.44</v>
      </c>
      <c r="I14" s="9">
        <f>datos_base!$C$3*parametros_manuales!G$13</f>
        <v>53.85</v>
      </c>
      <c r="J14" s="9">
        <f>datos_base!$C$3*parametros_manuales!H$13</f>
        <v>57.44</v>
      </c>
      <c r="K14" s="9">
        <f>datos_base!$C$3*parametros_manuales!I$13</f>
        <v>57.44</v>
      </c>
      <c r="L14" s="9">
        <f>datos_base!$C$3*parametros_manuales!J$13</f>
        <v>57.44</v>
      </c>
      <c r="M14" s="9">
        <f>datos_base!$C$3*parametros_manuales!K$13</f>
        <v>53.85</v>
      </c>
      <c r="N14" s="9">
        <f>datos_base!$C$3*parametros_manuales!L$13</f>
        <v>50.26</v>
      </c>
      <c r="O14" s="9">
        <f>datos_base!$C$3*parametros_manuales!M$13</f>
        <v>78.98</v>
      </c>
      <c r="P14" s="8">
        <f t="shared" si="3"/>
        <v>718</v>
      </c>
    </row>
    <row r="15" ht="14.25" customHeight="1">
      <c r="A15" s="3">
        <v>2027.0</v>
      </c>
      <c r="B15" s="4" t="s">
        <v>38</v>
      </c>
      <c r="C15" s="4" t="s">
        <v>24</v>
      </c>
      <c r="D15" s="9">
        <f>datos_base!$C$4*parametros_manuales!B$14</f>
        <v>389.1</v>
      </c>
      <c r="E15" s="9">
        <f>datos_base!$C$4*parametros_manuales!C$14</f>
        <v>311.28</v>
      </c>
      <c r="F15" s="9">
        <f>datos_base!$C$4*parametros_manuales!D$14</f>
        <v>330.735</v>
      </c>
      <c r="G15" s="9">
        <f>datos_base!$C$4*parametros_manuales!E$14</f>
        <v>330.735</v>
      </c>
      <c r="H15" s="9">
        <f>datos_base!$C$4*parametros_manuales!F$14</f>
        <v>311.28</v>
      </c>
      <c r="I15" s="9">
        <f>datos_base!$C$4*parametros_manuales!G$14</f>
        <v>291.825</v>
      </c>
      <c r="J15" s="9">
        <f>datos_base!$C$4*parametros_manuales!H$14</f>
        <v>311.28</v>
      </c>
      <c r="K15" s="9">
        <f>datos_base!$C$4*parametros_manuales!I$14</f>
        <v>311.28</v>
      </c>
      <c r="L15" s="9">
        <f>datos_base!$C$4*parametros_manuales!J$14</f>
        <v>311.28</v>
      </c>
      <c r="M15" s="9">
        <f>datos_base!$C$4*parametros_manuales!K$14</f>
        <v>291.825</v>
      </c>
      <c r="N15" s="9">
        <f>datos_base!$C$4*parametros_manuales!L$14</f>
        <v>272.37</v>
      </c>
      <c r="O15" s="9">
        <f>datos_base!$C$4*parametros_manuales!M$14</f>
        <v>428.01</v>
      </c>
      <c r="P15" s="8">
        <f t="shared" si="3"/>
        <v>3891</v>
      </c>
    </row>
    <row r="16" ht="14.25" customHeight="1">
      <c r="A16" s="3">
        <v>2027.0</v>
      </c>
      <c r="B16" s="4" t="s">
        <v>43</v>
      </c>
      <c r="C16" s="4" t="s">
        <v>24</v>
      </c>
      <c r="D16" s="9">
        <f>datos_base!$C$5*parametros_manuales!B$15</f>
        <v>18.1</v>
      </c>
      <c r="E16" s="9">
        <f>datos_base!$C$5*parametros_manuales!C$15</f>
        <v>14.48</v>
      </c>
      <c r="F16" s="9">
        <f>datos_base!$C$5*parametros_manuales!D$15</f>
        <v>15.385</v>
      </c>
      <c r="G16" s="9">
        <f>datos_base!$C$5*parametros_manuales!E$15</f>
        <v>15.385</v>
      </c>
      <c r="H16" s="9">
        <f>datos_base!$C$5*parametros_manuales!F$15</f>
        <v>14.48</v>
      </c>
      <c r="I16" s="9">
        <f>datos_base!$C$5*parametros_manuales!G$15</f>
        <v>13.575</v>
      </c>
      <c r="J16" s="9">
        <f>datos_base!$C$5*parametros_manuales!H$15</f>
        <v>14.48</v>
      </c>
      <c r="K16" s="9">
        <f>datos_base!$C$5*parametros_manuales!I$15</f>
        <v>14.48</v>
      </c>
      <c r="L16" s="9">
        <f>datos_base!$C$5*parametros_manuales!J$15</f>
        <v>14.48</v>
      </c>
      <c r="M16" s="9">
        <f>datos_base!$C$5*parametros_manuales!K$15</f>
        <v>13.575</v>
      </c>
      <c r="N16" s="9">
        <f>datos_base!$C$5*parametros_manuales!L$15</f>
        <v>12.67</v>
      </c>
      <c r="O16" s="9">
        <f>datos_base!$C$5*parametros_manuales!M$15</f>
        <v>19.91</v>
      </c>
      <c r="P16" s="8">
        <f t="shared" si="3"/>
        <v>181</v>
      </c>
    </row>
    <row r="17" ht="14.25" customHeight="1">
      <c r="A17" s="3">
        <v>2027.0</v>
      </c>
      <c r="B17" s="4" t="s">
        <v>64</v>
      </c>
      <c r="C17" s="4" t="s">
        <v>117</v>
      </c>
      <c r="D17" s="9">
        <f>datos_base!$C$9*parametros_manuales!B$12</f>
        <v>0</v>
      </c>
      <c r="E17" s="9">
        <f>datos_base!$C$9*parametros_manuales!C$12</f>
        <v>0</v>
      </c>
      <c r="F17" s="9">
        <f>datos_base!$C$9*parametros_manuales!D$12</f>
        <v>0</v>
      </c>
      <c r="G17" s="9">
        <f>datos_base!$C$9*parametros_manuales!E$12</f>
        <v>0</v>
      </c>
      <c r="H17" s="9">
        <f>datos_base!$C$9*parametros_manuales!F$12</f>
        <v>0</v>
      </c>
      <c r="I17" s="9">
        <f>datos_base!$C$9*parametros_manuales!G$12</f>
        <v>0</v>
      </c>
      <c r="J17" s="9">
        <f>datos_base!$C$9*parametros_manuales!H$12</f>
        <v>0</v>
      </c>
      <c r="K17" s="9">
        <f>datos_base!$C$9*parametros_manuales!I$12</f>
        <v>0</v>
      </c>
      <c r="L17" s="9">
        <f>datos_base!$C$9*parametros_manuales!J$12</f>
        <v>0</v>
      </c>
      <c r="M17" s="9">
        <f>datos_base!$C$9*parametros_manuales!K$12</f>
        <v>0</v>
      </c>
      <c r="N17" s="9">
        <f>datos_base!$C$9*parametros_manuales!L$12</f>
        <v>0</v>
      </c>
      <c r="O17" s="9">
        <f>datos_base!$C$9*parametros_manuales!M$12</f>
        <v>0</v>
      </c>
      <c r="P17" s="8">
        <f t="shared" si="3"/>
        <v>0</v>
      </c>
    </row>
    <row r="18" ht="14.25" customHeight="1">
      <c r="A18" s="3">
        <v>2027.0</v>
      </c>
      <c r="B18" s="4" t="s">
        <v>69</v>
      </c>
      <c r="C18" s="4" t="s">
        <v>117</v>
      </c>
      <c r="D18" s="9">
        <f>datos_base!$C$10*parametros_manuales!B$13</f>
        <v>1.5</v>
      </c>
      <c r="E18" s="9">
        <f>datos_base!$C$10*parametros_manuales!C$13</f>
        <v>1.2</v>
      </c>
      <c r="F18" s="9">
        <f>datos_base!$C$10*parametros_manuales!D$13</f>
        <v>1.275</v>
      </c>
      <c r="G18" s="9">
        <f>datos_base!$C$10*parametros_manuales!E$13</f>
        <v>1.275</v>
      </c>
      <c r="H18" s="9">
        <f>datos_base!$C$10*parametros_manuales!F$13</f>
        <v>1.2</v>
      </c>
      <c r="I18" s="9">
        <f>datos_base!$C$10*parametros_manuales!G$13</f>
        <v>1.125</v>
      </c>
      <c r="J18" s="9">
        <f>datos_base!$C$10*parametros_manuales!H$13</f>
        <v>1.2</v>
      </c>
      <c r="K18" s="9">
        <f>datos_base!$C$10*parametros_manuales!I$13</f>
        <v>1.2</v>
      </c>
      <c r="L18" s="9">
        <f>datos_base!$C$10*parametros_manuales!J$13</f>
        <v>1.2</v>
      </c>
      <c r="M18" s="9">
        <f>datos_base!$C$10*parametros_manuales!K$13</f>
        <v>1.125</v>
      </c>
      <c r="N18" s="9">
        <f>datos_base!$C$10*parametros_manuales!L$13</f>
        <v>1.05</v>
      </c>
      <c r="O18" s="9">
        <f>datos_base!$C$10*parametros_manuales!M$13</f>
        <v>1.65</v>
      </c>
      <c r="P18" s="8">
        <f t="shared" si="3"/>
        <v>15</v>
      </c>
    </row>
    <row r="19" ht="14.25" customHeight="1">
      <c r="A19" s="3">
        <v>2027.0</v>
      </c>
      <c r="B19" s="4" t="s">
        <v>70</v>
      </c>
      <c r="C19" s="4" t="s">
        <v>117</v>
      </c>
      <c r="D19" s="9">
        <f>datos_base!$C$11*parametros_manuales!B$14</f>
        <v>7.8</v>
      </c>
      <c r="E19" s="9">
        <f>datos_base!$C$11*parametros_manuales!C$14</f>
        <v>6.24</v>
      </c>
      <c r="F19" s="9">
        <f>datos_base!$C$11*parametros_manuales!D$14</f>
        <v>6.63</v>
      </c>
      <c r="G19" s="9">
        <f>datos_base!$C$11*parametros_manuales!E$14</f>
        <v>6.63</v>
      </c>
      <c r="H19" s="9">
        <f>datos_base!$C$11*parametros_manuales!F$14</f>
        <v>6.24</v>
      </c>
      <c r="I19" s="9">
        <f>datos_base!$C$11*parametros_manuales!G$14</f>
        <v>5.85</v>
      </c>
      <c r="J19" s="9">
        <f>datos_base!$C$11*parametros_manuales!H$14</f>
        <v>6.24</v>
      </c>
      <c r="K19" s="9">
        <f>datos_base!$C$11*parametros_manuales!I$14</f>
        <v>6.24</v>
      </c>
      <c r="L19" s="9">
        <f>datos_base!$C$11*parametros_manuales!J$14</f>
        <v>6.24</v>
      </c>
      <c r="M19" s="9">
        <f>datos_base!$C$11*parametros_manuales!K$14</f>
        <v>5.85</v>
      </c>
      <c r="N19" s="9">
        <f>datos_base!$C$11*parametros_manuales!L$14</f>
        <v>5.46</v>
      </c>
      <c r="O19" s="9">
        <f>datos_base!$C$11*parametros_manuales!M$14</f>
        <v>8.58</v>
      </c>
      <c r="P19" s="8">
        <f t="shared" si="3"/>
        <v>78</v>
      </c>
    </row>
    <row r="20" ht="14.25" customHeight="1">
      <c r="A20" s="3">
        <v>2027.0</v>
      </c>
      <c r="B20" s="4" t="s">
        <v>72</v>
      </c>
      <c r="C20" s="4" t="s">
        <v>117</v>
      </c>
      <c r="D20" s="9">
        <f>datos_base!$C$12*parametros_manuales!B$15</f>
        <v>0.6</v>
      </c>
      <c r="E20" s="9">
        <f>datos_base!$C$12*parametros_manuales!C$15</f>
        <v>0.48</v>
      </c>
      <c r="F20" s="9">
        <f>datos_base!$C$12*parametros_manuales!D$15</f>
        <v>0.51</v>
      </c>
      <c r="G20" s="9">
        <f>datos_base!$C$12*parametros_manuales!E$15</f>
        <v>0.51</v>
      </c>
      <c r="H20" s="9">
        <f>datos_base!$C$12*parametros_manuales!F$15</f>
        <v>0.48</v>
      </c>
      <c r="I20" s="9">
        <f>datos_base!$C$12*parametros_manuales!G$15</f>
        <v>0.45</v>
      </c>
      <c r="J20" s="9">
        <f>datos_base!$C$12*parametros_manuales!H$15</f>
        <v>0.48</v>
      </c>
      <c r="K20" s="9">
        <f>datos_base!$C$12*parametros_manuales!I$15</f>
        <v>0.48</v>
      </c>
      <c r="L20" s="9">
        <f>datos_base!$C$12*parametros_manuales!J$15</f>
        <v>0.48</v>
      </c>
      <c r="M20" s="9">
        <f>datos_base!$C$12*parametros_manuales!K$15</f>
        <v>0.45</v>
      </c>
      <c r="N20" s="9">
        <f>datos_base!$C$12*parametros_manuales!L$15</f>
        <v>0.42</v>
      </c>
      <c r="O20" s="9">
        <f>datos_base!$C$12*parametros_manuales!M$15</f>
        <v>0.66</v>
      </c>
      <c r="P20" s="8">
        <f t="shared" si="3"/>
        <v>6</v>
      </c>
    </row>
    <row r="21" ht="14.25" customHeight="1">
      <c r="A21" s="16"/>
      <c r="B21" s="14" t="s">
        <v>167</v>
      </c>
      <c r="C21" s="16"/>
      <c r="D21" s="15">
        <f t="shared" ref="D21:P21" si="4">SUM(D13:D20)</f>
        <v>1208.54</v>
      </c>
      <c r="E21" s="15">
        <f t="shared" si="4"/>
        <v>930.85</v>
      </c>
      <c r="F21" s="15">
        <f t="shared" si="4"/>
        <v>895.325</v>
      </c>
      <c r="G21" s="15">
        <f t="shared" si="4"/>
        <v>865.34</v>
      </c>
      <c r="H21" s="15">
        <f t="shared" si="4"/>
        <v>810.91</v>
      </c>
      <c r="I21" s="15">
        <f t="shared" si="4"/>
        <v>786.465</v>
      </c>
      <c r="J21" s="15">
        <f t="shared" si="4"/>
        <v>840.895</v>
      </c>
      <c r="K21" s="15">
        <f t="shared" si="4"/>
        <v>840.895</v>
      </c>
      <c r="L21" s="15">
        <f t="shared" si="4"/>
        <v>840.895</v>
      </c>
      <c r="M21" s="15">
        <f t="shared" si="4"/>
        <v>816.45</v>
      </c>
      <c r="N21" s="15">
        <f t="shared" si="4"/>
        <v>792.005</v>
      </c>
      <c r="O21" s="15">
        <f t="shared" si="4"/>
        <v>1257.43</v>
      </c>
      <c r="P21" s="15">
        <f t="shared" si="4"/>
        <v>10886</v>
      </c>
    </row>
    <row r="22" ht="14.25" customHeight="1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</row>
    <row r="23" ht="14.25" customHeight="1">
      <c r="A23" s="1">
        <v>2028.0</v>
      </c>
      <c r="B23" s="1" t="s">
        <v>3</v>
      </c>
      <c r="C23" s="1" t="s">
        <v>4</v>
      </c>
      <c r="D23" s="1" t="s">
        <v>5</v>
      </c>
      <c r="E23" s="1" t="s">
        <v>6</v>
      </c>
      <c r="F23" s="1" t="s">
        <v>7</v>
      </c>
      <c r="G23" s="1" t="s">
        <v>8</v>
      </c>
      <c r="H23" s="1" t="s">
        <v>9</v>
      </c>
      <c r="I23" s="1" t="s">
        <v>10</v>
      </c>
      <c r="J23" s="1" t="s">
        <v>12</v>
      </c>
      <c r="K23" s="1" t="s">
        <v>13</v>
      </c>
      <c r="L23" s="1" t="s">
        <v>15</v>
      </c>
      <c r="M23" s="1" t="s">
        <v>16</v>
      </c>
      <c r="N23" s="1" t="s">
        <v>17</v>
      </c>
      <c r="O23" s="1" t="s">
        <v>18</v>
      </c>
      <c r="P23" s="1" t="s">
        <v>19</v>
      </c>
    </row>
    <row r="24" ht="14.25" customHeight="1">
      <c r="A24" s="3">
        <v>2028.0</v>
      </c>
      <c r="B24" s="4" t="s">
        <v>23</v>
      </c>
      <c r="C24" s="4" t="s">
        <v>24</v>
      </c>
      <c r="D24" s="9">
        <f>datos_base!$D$2*parametros_manuales!B$12</f>
        <v>822.24</v>
      </c>
      <c r="E24" s="9">
        <f>datos_base!$D$2*parametros_manuales!C$12</f>
        <v>616.68</v>
      </c>
      <c r="F24" s="9">
        <f>datos_base!$D$2*parametros_manuales!D$12</f>
        <v>548.16</v>
      </c>
      <c r="G24" s="9">
        <f>datos_base!$D$2*parametros_manuales!E$12</f>
        <v>513.9</v>
      </c>
      <c r="H24" s="9">
        <f>datos_base!$D$2*parametros_manuales!F$12</f>
        <v>479.64</v>
      </c>
      <c r="I24" s="9">
        <f>datos_base!$D$2*parametros_manuales!G$12</f>
        <v>479.64</v>
      </c>
      <c r="J24" s="9">
        <f>datos_base!$D$2*parametros_manuales!H$12</f>
        <v>513.9</v>
      </c>
      <c r="K24" s="9">
        <f>datos_base!$D$2*parametros_manuales!I$12</f>
        <v>513.9</v>
      </c>
      <c r="L24" s="9">
        <f>datos_base!$D$2*parametros_manuales!J$12</f>
        <v>513.9</v>
      </c>
      <c r="M24" s="9">
        <f>datos_base!$D$2*parametros_manuales!K$12</f>
        <v>513.9</v>
      </c>
      <c r="N24" s="9">
        <f>datos_base!$D$2*parametros_manuales!L$12</f>
        <v>513.9</v>
      </c>
      <c r="O24" s="9">
        <f>datos_base!$D$2*parametros_manuales!M$12</f>
        <v>822.24</v>
      </c>
      <c r="P24" s="8">
        <f t="shared" ref="P24:P31" si="5">SUM(D24:O24)</f>
        <v>6852</v>
      </c>
    </row>
    <row r="25" ht="14.25" customHeight="1">
      <c r="A25" s="3">
        <v>2028.0</v>
      </c>
      <c r="B25" s="4" t="s">
        <v>33</v>
      </c>
      <c r="C25" s="4" t="s">
        <v>24</v>
      </c>
      <c r="D25" s="9">
        <f>datos_base!$D$3*parametros_manuales!B$13</f>
        <v>100.6</v>
      </c>
      <c r="E25" s="9">
        <f>datos_base!$D$3*parametros_manuales!C$13</f>
        <v>80.48</v>
      </c>
      <c r="F25" s="9">
        <f>datos_base!$D$3*parametros_manuales!D$13</f>
        <v>85.51</v>
      </c>
      <c r="G25" s="9">
        <f>datos_base!$D$3*parametros_manuales!E$13</f>
        <v>85.51</v>
      </c>
      <c r="H25" s="9">
        <f>datos_base!$D$3*parametros_manuales!F$13</f>
        <v>80.48</v>
      </c>
      <c r="I25" s="9">
        <f>datos_base!$D$3*parametros_manuales!G$13</f>
        <v>75.45</v>
      </c>
      <c r="J25" s="9">
        <f>datos_base!$D$3*parametros_manuales!H$13</f>
        <v>80.48</v>
      </c>
      <c r="K25" s="9">
        <f>datos_base!$D$3*parametros_manuales!I$13</f>
        <v>80.48</v>
      </c>
      <c r="L25" s="9">
        <f>datos_base!$D$3*parametros_manuales!J$13</f>
        <v>80.48</v>
      </c>
      <c r="M25" s="9">
        <f>datos_base!$D$3*parametros_manuales!K$13</f>
        <v>75.45</v>
      </c>
      <c r="N25" s="9">
        <f>datos_base!$D$3*parametros_manuales!L$13</f>
        <v>70.42</v>
      </c>
      <c r="O25" s="9">
        <f>datos_base!$D$3*parametros_manuales!M$13</f>
        <v>110.66</v>
      </c>
      <c r="P25" s="8">
        <f t="shared" si="5"/>
        <v>1006</v>
      </c>
    </row>
    <row r="26" ht="14.25" customHeight="1">
      <c r="A26" s="3">
        <v>2028.0</v>
      </c>
      <c r="B26" s="4" t="s">
        <v>38</v>
      </c>
      <c r="C26" s="4" t="s">
        <v>24</v>
      </c>
      <c r="D26" s="9">
        <f>datos_base!$D$4*parametros_manuales!B$14</f>
        <v>519.2</v>
      </c>
      <c r="E26" s="9">
        <f>datos_base!$D$4*parametros_manuales!C$14</f>
        <v>415.36</v>
      </c>
      <c r="F26" s="9">
        <f>datos_base!$D$4*parametros_manuales!D$14</f>
        <v>441.32</v>
      </c>
      <c r="G26" s="9">
        <f>datos_base!$D$4*parametros_manuales!E$14</f>
        <v>441.32</v>
      </c>
      <c r="H26" s="9">
        <f>datos_base!$D$4*parametros_manuales!F$14</f>
        <v>415.36</v>
      </c>
      <c r="I26" s="9">
        <f>datos_base!$D$4*parametros_manuales!G$14</f>
        <v>389.4</v>
      </c>
      <c r="J26" s="9">
        <f>datos_base!$D$4*parametros_manuales!H$14</f>
        <v>415.36</v>
      </c>
      <c r="K26" s="9">
        <f>datos_base!$D$4*parametros_manuales!I$14</f>
        <v>415.36</v>
      </c>
      <c r="L26" s="9">
        <f>datos_base!$D$4*parametros_manuales!J$14</f>
        <v>415.36</v>
      </c>
      <c r="M26" s="9">
        <f>datos_base!$D$4*parametros_manuales!K$14</f>
        <v>389.4</v>
      </c>
      <c r="N26" s="9">
        <f>datos_base!$D$4*parametros_manuales!L$14</f>
        <v>363.44</v>
      </c>
      <c r="O26" s="9">
        <f>datos_base!$D$4*parametros_manuales!M$14</f>
        <v>571.12</v>
      </c>
      <c r="P26" s="8">
        <f t="shared" si="5"/>
        <v>5192</v>
      </c>
    </row>
    <row r="27" ht="14.25" customHeight="1">
      <c r="A27" s="3">
        <v>2028.0</v>
      </c>
      <c r="B27" s="4" t="s">
        <v>43</v>
      </c>
      <c r="C27" s="4" t="s">
        <v>24</v>
      </c>
      <c r="D27" s="9">
        <f>datos_base!$D$5*parametros_manuales!B$15</f>
        <v>26.1</v>
      </c>
      <c r="E27" s="9">
        <f>datos_base!$D$5*parametros_manuales!C$15</f>
        <v>20.88</v>
      </c>
      <c r="F27" s="9">
        <f>datos_base!$D$5*parametros_manuales!D$15</f>
        <v>22.185</v>
      </c>
      <c r="G27" s="9">
        <f>datos_base!$D$5*parametros_manuales!E$15</f>
        <v>22.185</v>
      </c>
      <c r="H27" s="9">
        <f>datos_base!$D$5*parametros_manuales!F$15</f>
        <v>20.88</v>
      </c>
      <c r="I27" s="9">
        <f>datos_base!$D$5*parametros_manuales!G$15</f>
        <v>19.575</v>
      </c>
      <c r="J27" s="9">
        <f>datos_base!$D$5*parametros_manuales!H$15</f>
        <v>20.88</v>
      </c>
      <c r="K27" s="9">
        <f>datos_base!$D$5*parametros_manuales!I$15</f>
        <v>20.88</v>
      </c>
      <c r="L27" s="9">
        <f>datos_base!$D$5*parametros_manuales!J$15</f>
        <v>20.88</v>
      </c>
      <c r="M27" s="9">
        <f>datos_base!$D$5*parametros_manuales!K$15</f>
        <v>19.575</v>
      </c>
      <c r="N27" s="9">
        <f>datos_base!$D$5*parametros_manuales!L$15</f>
        <v>18.27</v>
      </c>
      <c r="O27" s="9">
        <f>datos_base!$D$5*parametros_manuales!M$15</f>
        <v>28.71</v>
      </c>
      <c r="P27" s="8">
        <f t="shared" si="5"/>
        <v>261</v>
      </c>
    </row>
    <row r="28" ht="14.25" customHeight="1">
      <c r="A28" s="3">
        <v>2028.0</v>
      </c>
      <c r="B28" s="4" t="s">
        <v>64</v>
      </c>
      <c r="C28" s="4" t="s">
        <v>117</v>
      </c>
      <c r="D28" s="9">
        <f>datos_base!$D$9*parametros_manuales!B$12</f>
        <v>919.44</v>
      </c>
      <c r="E28" s="9">
        <f>datos_base!$D$9*parametros_manuales!C$12</f>
        <v>689.58</v>
      </c>
      <c r="F28" s="9">
        <f>datos_base!$D$9*parametros_manuales!D$12</f>
        <v>612.96</v>
      </c>
      <c r="G28" s="9">
        <f>datos_base!$D$9*parametros_manuales!E$12</f>
        <v>574.65</v>
      </c>
      <c r="H28" s="9">
        <f>datos_base!$D$9*parametros_manuales!F$12</f>
        <v>536.34</v>
      </c>
      <c r="I28" s="9">
        <f>datos_base!$D$9*parametros_manuales!G$12</f>
        <v>536.34</v>
      </c>
      <c r="J28" s="9">
        <f>datos_base!$D$9*parametros_manuales!H$12</f>
        <v>574.65</v>
      </c>
      <c r="K28" s="9">
        <f>datos_base!$D$9*parametros_manuales!I$12</f>
        <v>574.65</v>
      </c>
      <c r="L28" s="9">
        <f>datos_base!$D$9*parametros_manuales!J$12</f>
        <v>574.65</v>
      </c>
      <c r="M28" s="9">
        <f>datos_base!$D$9*parametros_manuales!K$12</f>
        <v>574.65</v>
      </c>
      <c r="N28" s="9">
        <f>datos_base!$D$9*parametros_manuales!L$12</f>
        <v>574.65</v>
      </c>
      <c r="O28" s="9">
        <f>datos_base!$D$9*parametros_manuales!M$12</f>
        <v>919.44</v>
      </c>
      <c r="P28" s="8">
        <f t="shared" si="5"/>
        <v>7662</v>
      </c>
    </row>
    <row r="29" ht="14.25" customHeight="1">
      <c r="A29" s="3">
        <v>2028.0</v>
      </c>
      <c r="B29" s="4" t="s">
        <v>69</v>
      </c>
      <c r="C29" s="4" t="s">
        <v>117</v>
      </c>
      <c r="D29" s="9">
        <f>datos_base!$D$10*parametros_manuales!B$13</f>
        <v>33.4</v>
      </c>
      <c r="E29" s="9">
        <f>datos_base!$D$10*parametros_manuales!C$13</f>
        <v>26.72</v>
      </c>
      <c r="F29" s="9">
        <f>datos_base!$D$10*parametros_manuales!D$13</f>
        <v>28.39</v>
      </c>
      <c r="G29" s="9">
        <f>datos_base!$D$10*parametros_manuales!E$13</f>
        <v>28.39</v>
      </c>
      <c r="H29" s="9">
        <f>datos_base!$D$10*parametros_manuales!F$13</f>
        <v>26.72</v>
      </c>
      <c r="I29" s="9">
        <f>datos_base!$D$10*parametros_manuales!G$13</f>
        <v>25.05</v>
      </c>
      <c r="J29" s="9">
        <f>datos_base!$D$10*parametros_manuales!H$13</f>
        <v>26.72</v>
      </c>
      <c r="K29" s="9">
        <f>datos_base!$D$10*parametros_manuales!I$13</f>
        <v>26.72</v>
      </c>
      <c r="L29" s="9">
        <f>datos_base!$D$10*parametros_manuales!J$13</f>
        <v>26.72</v>
      </c>
      <c r="M29" s="9">
        <f>datos_base!$D$10*parametros_manuales!K$13</f>
        <v>25.05</v>
      </c>
      <c r="N29" s="9">
        <f>datos_base!$D$10*parametros_manuales!L$13</f>
        <v>23.38</v>
      </c>
      <c r="O29" s="9">
        <f>datos_base!$D$10*parametros_manuales!M$13</f>
        <v>36.74</v>
      </c>
      <c r="P29" s="8">
        <f t="shared" si="5"/>
        <v>334</v>
      </c>
    </row>
    <row r="30" ht="14.25" customHeight="1">
      <c r="A30" s="3">
        <v>2028.0</v>
      </c>
      <c r="B30" s="4" t="s">
        <v>70</v>
      </c>
      <c r="C30" s="4" t="s">
        <v>117</v>
      </c>
      <c r="D30" s="9">
        <f>datos_base!$D$11*parametros_manuales!B$14</f>
        <v>165.4</v>
      </c>
      <c r="E30" s="9">
        <f>datos_base!$D$11*parametros_manuales!C$14</f>
        <v>132.32</v>
      </c>
      <c r="F30" s="9">
        <f>datos_base!$D$11*parametros_manuales!D$14</f>
        <v>140.59</v>
      </c>
      <c r="G30" s="9">
        <f>datos_base!$D$11*parametros_manuales!E$14</f>
        <v>140.59</v>
      </c>
      <c r="H30" s="9">
        <f>datos_base!$D$11*parametros_manuales!F$14</f>
        <v>132.32</v>
      </c>
      <c r="I30" s="9">
        <f>datos_base!$D$11*parametros_manuales!G$14</f>
        <v>124.05</v>
      </c>
      <c r="J30" s="9">
        <f>datos_base!$D$11*parametros_manuales!H$14</f>
        <v>132.32</v>
      </c>
      <c r="K30" s="9">
        <f>datos_base!$D$11*parametros_manuales!I$14</f>
        <v>132.32</v>
      </c>
      <c r="L30" s="9">
        <f>datos_base!$D$11*parametros_manuales!J$14</f>
        <v>132.32</v>
      </c>
      <c r="M30" s="9">
        <f>datos_base!$D$11*parametros_manuales!K$14</f>
        <v>124.05</v>
      </c>
      <c r="N30" s="9">
        <f>datos_base!$D$11*parametros_manuales!L$14</f>
        <v>115.78</v>
      </c>
      <c r="O30" s="9">
        <f>datos_base!$D$11*parametros_manuales!M$14</f>
        <v>181.94</v>
      </c>
      <c r="P30" s="8">
        <f t="shared" si="5"/>
        <v>1654</v>
      </c>
    </row>
    <row r="31" ht="14.25" customHeight="1">
      <c r="A31" s="3">
        <v>2028.0</v>
      </c>
      <c r="B31" s="4" t="s">
        <v>72</v>
      </c>
      <c r="C31" s="4" t="s">
        <v>117</v>
      </c>
      <c r="D31" s="9">
        <f>datos_base!$D$12*parametros_manuales!B$15</f>
        <v>10.4</v>
      </c>
      <c r="E31" s="9">
        <f>datos_base!$D$12*parametros_manuales!C$15</f>
        <v>8.32</v>
      </c>
      <c r="F31" s="9">
        <f>datos_base!$D$12*parametros_manuales!D$15</f>
        <v>8.84</v>
      </c>
      <c r="G31" s="9">
        <f>datos_base!$D$12*parametros_manuales!E$15</f>
        <v>8.84</v>
      </c>
      <c r="H31" s="9">
        <f>datos_base!$D$12*parametros_manuales!F$15</f>
        <v>8.32</v>
      </c>
      <c r="I31" s="9">
        <f>datos_base!$D$12*parametros_manuales!G$15</f>
        <v>7.8</v>
      </c>
      <c r="J31" s="9">
        <f>datos_base!$D$12*parametros_manuales!H$15</f>
        <v>8.32</v>
      </c>
      <c r="K31" s="9">
        <f>datos_base!$D$12*parametros_manuales!I$15</f>
        <v>8.32</v>
      </c>
      <c r="L31" s="9">
        <f>datos_base!$D$12*parametros_manuales!J$15</f>
        <v>8.32</v>
      </c>
      <c r="M31" s="9">
        <f>datos_base!$D$12*parametros_manuales!K$15</f>
        <v>7.8</v>
      </c>
      <c r="N31" s="9">
        <f>datos_base!$D$12*parametros_manuales!L$15</f>
        <v>7.28</v>
      </c>
      <c r="O31" s="9">
        <f>datos_base!$D$12*parametros_manuales!M$15</f>
        <v>11.44</v>
      </c>
      <c r="P31" s="8">
        <f t="shared" si="5"/>
        <v>104</v>
      </c>
    </row>
    <row r="32" ht="14.25" customHeight="1">
      <c r="A32" s="16"/>
      <c r="B32" s="14" t="s">
        <v>167</v>
      </c>
      <c r="C32" s="16"/>
      <c r="D32" s="15">
        <f t="shared" ref="D32:P32" si="6">SUM(D24:D31)</f>
        <v>2596.78</v>
      </c>
      <c r="E32" s="15">
        <f t="shared" si="6"/>
        <v>1990.34</v>
      </c>
      <c r="F32" s="15">
        <f t="shared" si="6"/>
        <v>1887.955</v>
      </c>
      <c r="G32" s="15">
        <f t="shared" si="6"/>
        <v>1815.385</v>
      </c>
      <c r="H32" s="15">
        <f t="shared" si="6"/>
        <v>1700.06</v>
      </c>
      <c r="I32" s="15">
        <f t="shared" si="6"/>
        <v>1657.305</v>
      </c>
      <c r="J32" s="15">
        <f t="shared" si="6"/>
        <v>1772.63</v>
      </c>
      <c r="K32" s="15">
        <f t="shared" si="6"/>
        <v>1772.63</v>
      </c>
      <c r="L32" s="15">
        <f t="shared" si="6"/>
        <v>1772.63</v>
      </c>
      <c r="M32" s="15">
        <f t="shared" si="6"/>
        <v>1729.875</v>
      </c>
      <c r="N32" s="15">
        <f t="shared" si="6"/>
        <v>1687.12</v>
      </c>
      <c r="O32" s="15">
        <f t="shared" si="6"/>
        <v>2682.29</v>
      </c>
      <c r="P32" s="15">
        <f t="shared" si="6"/>
        <v>23065</v>
      </c>
    </row>
    <row r="33" ht="14.25" customHeight="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</row>
    <row r="34" ht="14.25" customHeight="1">
      <c r="A34" s="1">
        <v>2029.0</v>
      </c>
      <c r="B34" s="1" t="s">
        <v>3</v>
      </c>
      <c r="C34" s="1" t="s">
        <v>4</v>
      </c>
      <c r="D34" s="1" t="s">
        <v>5</v>
      </c>
      <c r="E34" s="1" t="s">
        <v>6</v>
      </c>
      <c r="F34" s="1" t="s">
        <v>7</v>
      </c>
      <c r="G34" s="1" t="s">
        <v>8</v>
      </c>
      <c r="H34" s="1" t="s">
        <v>9</v>
      </c>
      <c r="I34" s="1" t="s">
        <v>10</v>
      </c>
      <c r="J34" s="1" t="s">
        <v>12</v>
      </c>
      <c r="K34" s="1" t="s">
        <v>13</v>
      </c>
      <c r="L34" s="1" t="s">
        <v>15</v>
      </c>
      <c r="M34" s="1" t="s">
        <v>16</v>
      </c>
      <c r="N34" s="1" t="s">
        <v>17</v>
      </c>
      <c r="O34" s="1" t="s">
        <v>18</v>
      </c>
      <c r="P34" s="1" t="s">
        <v>19</v>
      </c>
    </row>
    <row r="35" ht="14.25" customHeight="1">
      <c r="A35" s="3">
        <v>2029.0</v>
      </c>
      <c r="B35" s="4" t="s">
        <v>23</v>
      </c>
      <c r="C35" s="4" t="s">
        <v>24</v>
      </c>
      <c r="D35" s="9">
        <f>datos_base!$E$2*parametros_manuales!B$12</f>
        <v>1016.04</v>
      </c>
      <c r="E35" s="9">
        <f>datos_base!$E$2*parametros_manuales!C$12</f>
        <v>762.03</v>
      </c>
      <c r="F35" s="9">
        <f>datos_base!$E$2*parametros_manuales!D$12</f>
        <v>677.36</v>
      </c>
      <c r="G35" s="9">
        <f>datos_base!$E$2*parametros_manuales!E$12</f>
        <v>635.025</v>
      </c>
      <c r="H35" s="9">
        <f>datos_base!$E$2*parametros_manuales!F$12</f>
        <v>592.69</v>
      </c>
      <c r="I35" s="9">
        <f>datos_base!$E$2*parametros_manuales!G$12</f>
        <v>592.69</v>
      </c>
      <c r="J35" s="9">
        <f>datos_base!$E$2*parametros_manuales!H$12</f>
        <v>635.025</v>
      </c>
      <c r="K35" s="9">
        <f>datos_base!$E$2*parametros_manuales!I$12</f>
        <v>635.025</v>
      </c>
      <c r="L35" s="9">
        <f>datos_base!$E$2*parametros_manuales!J$12</f>
        <v>635.025</v>
      </c>
      <c r="M35" s="9">
        <f>datos_base!$E$2*parametros_manuales!K$12</f>
        <v>635.025</v>
      </c>
      <c r="N35" s="9">
        <f>datos_base!$E$2*parametros_manuales!L$12</f>
        <v>635.025</v>
      </c>
      <c r="O35" s="9">
        <f>datos_base!$E$2*parametros_manuales!M$12</f>
        <v>1016.04</v>
      </c>
      <c r="P35" s="8">
        <f t="shared" ref="P35:P42" si="7">SUM(D35:O35)</f>
        <v>8467</v>
      </c>
    </row>
    <row r="36" ht="14.25" customHeight="1">
      <c r="A36" s="3">
        <v>2029.0</v>
      </c>
      <c r="B36" s="4" t="s">
        <v>33</v>
      </c>
      <c r="C36" s="4" t="s">
        <v>24</v>
      </c>
      <c r="D36" s="9">
        <f>datos_base!$E$3*parametros_manuales!B$13</f>
        <v>153.6</v>
      </c>
      <c r="E36" s="9">
        <f>datos_base!$E$3*parametros_manuales!C$13</f>
        <v>122.88</v>
      </c>
      <c r="F36" s="9">
        <f>datos_base!$E$3*parametros_manuales!D$13</f>
        <v>130.56</v>
      </c>
      <c r="G36" s="9">
        <f>datos_base!$E$3*parametros_manuales!E$13</f>
        <v>130.56</v>
      </c>
      <c r="H36" s="9">
        <f>datos_base!$E$3*parametros_manuales!F$13</f>
        <v>122.88</v>
      </c>
      <c r="I36" s="9">
        <f>datos_base!$E$3*parametros_manuales!G$13</f>
        <v>115.2</v>
      </c>
      <c r="J36" s="9">
        <f>datos_base!$E$3*parametros_manuales!H$13</f>
        <v>122.88</v>
      </c>
      <c r="K36" s="9">
        <f>datos_base!$E$3*parametros_manuales!I$13</f>
        <v>122.88</v>
      </c>
      <c r="L36" s="9">
        <f>datos_base!$E$3*parametros_manuales!J$13</f>
        <v>122.88</v>
      </c>
      <c r="M36" s="9">
        <f>datos_base!$E$3*parametros_manuales!K$13</f>
        <v>115.2</v>
      </c>
      <c r="N36" s="9">
        <f>datos_base!$E$3*parametros_manuales!L$13</f>
        <v>107.52</v>
      </c>
      <c r="O36" s="9">
        <f>datos_base!$E$3*parametros_manuales!M$13</f>
        <v>168.96</v>
      </c>
      <c r="P36" s="8">
        <f t="shared" si="7"/>
        <v>1536</v>
      </c>
    </row>
    <row r="37" ht="14.25" customHeight="1">
      <c r="A37" s="3">
        <v>2029.0</v>
      </c>
      <c r="B37" s="4" t="s">
        <v>38</v>
      </c>
      <c r="C37" s="4" t="s">
        <v>24</v>
      </c>
      <c r="D37" s="9">
        <f>datos_base!$E$4*parametros_manuales!B$14</f>
        <v>700.9</v>
      </c>
      <c r="E37" s="9">
        <f>datos_base!$E$4*parametros_manuales!C$14</f>
        <v>560.72</v>
      </c>
      <c r="F37" s="9">
        <f>datos_base!$E$4*parametros_manuales!D$14</f>
        <v>595.765</v>
      </c>
      <c r="G37" s="9">
        <f>datos_base!$E$4*parametros_manuales!E$14</f>
        <v>595.765</v>
      </c>
      <c r="H37" s="9">
        <f>datos_base!$E$4*parametros_manuales!F$14</f>
        <v>560.72</v>
      </c>
      <c r="I37" s="9">
        <f>datos_base!$E$4*parametros_manuales!G$14</f>
        <v>525.675</v>
      </c>
      <c r="J37" s="9">
        <f>datos_base!$E$4*parametros_manuales!H$14</f>
        <v>560.72</v>
      </c>
      <c r="K37" s="9">
        <f>datos_base!$E$4*parametros_manuales!I$14</f>
        <v>560.72</v>
      </c>
      <c r="L37" s="9">
        <f>datos_base!$E$4*parametros_manuales!J$14</f>
        <v>560.72</v>
      </c>
      <c r="M37" s="9">
        <f>datos_base!$E$4*parametros_manuales!K$14</f>
        <v>525.675</v>
      </c>
      <c r="N37" s="9">
        <f>datos_base!$E$4*parametros_manuales!L$14</f>
        <v>490.63</v>
      </c>
      <c r="O37" s="9">
        <f>datos_base!$E$4*parametros_manuales!M$14</f>
        <v>770.99</v>
      </c>
      <c r="P37" s="8">
        <f t="shared" si="7"/>
        <v>7009</v>
      </c>
    </row>
    <row r="38" ht="14.25" customHeight="1">
      <c r="A38" s="3">
        <v>2029.0</v>
      </c>
      <c r="B38" s="4" t="s">
        <v>43</v>
      </c>
      <c r="C38" s="4" t="s">
        <v>24</v>
      </c>
      <c r="D38" s="9">
        <f>datos_base!$E$5*parametros_manuales!B$15</f>
        <v>37.3</v>
      </c>
      <c r="E38" s="9">
        <f>datos_base!$E$5*parametros_manuales!C$15</f>
        <v>29.84</v>
      </c>
      <c r="F38" s="9">
        <f>datos_base!$E$5*parametros_manuales!D$15</f>
        <v>31.705</v>
      </c>
      <c r="G38" s="9">
        <f>datos_base!$E$5*parametros_manuales!E$15</f>
        <v>31.705</v>
      </c>
      <c r="H38" s="9">
        <f>datos_base!$E$5*parametros_manuales!F$15</f>
        <v>29.84</v>
      </c>
      <c r="I38" s="9">
        <f>datos_base!$E$5*parametros_manuales!G$15</f>
        <v>27.975</v>
      </c>
      <c r="J38" s="9">
        <f>datos_base!$E$5*parametros_manuales!H$15</f>
        <v>29.84</v>
      </c>
      <c r="K38" s="9">
        <f>datos_base!$E$5*parametros_manuales!I$15</f>
        <v>29.84</v>
      </c>
      <c r="L38" s="9">
        <f>datos_base!$E$5*parametros_manuales!J$15</f>
        <v>29.84</v>
      </c>
      <c r="M38" s="9">
        <f>datos_base!$E$5*parametros_manuales!K$15</f>
        <v>27.975</v>
      </c>
      <c r="N38" s="9">
        <f>datos_base!$E$5*parametros_manuales!L$15</f>
        <v>26.11</v>
      </c>
      <c r="O38" s="9">
        <f>datos_base!$E$5*parametros_manuales!M$15</f>
        <v>41.03</v>
      </c>
      <c r="P38" s="8">
        <f t="shared" si="7"/>
        <v>373</v>
      </c>
    </row>
    <row r="39" ht="14.25" customHeight="1">
      <c r="A39" s="3">
        <v>2029.0</v>
      </c>
      <c r="B39" s="4" t="s">
        <v>64</v>
      </c>
      <c r="C39" s="4" t="s">
        <v>117</v>
      </c>
      <c r="D39" s="9">
        <f>datos_base!$E$9*parametros_manuales!B$12</f>
        <v>3203.4</v>
      </c>
      <c r="E39" s="9">
        <f>datos_base!$E$9*parametros_manuales!C$12</f>
        <v>2402.55</v>
      </c>
      <c r="F39" s="9">
        <f>datos_base!$E$9*parametros_manuales!D$12</f>
        <v>2135.6</v>
      </c>
      <c r="G39" s="9">
        <f>datos_base!$E$9*parametros_manuales!E$12</f>
        <v>2002.125</v>
      </c>
      <c r="H39" s="9">
        <f>datos_base!$E$9*parametros_manuales!F$12</f>
        <v>1868.65</v>
      </c>
      <c r="I39" s="9">
        <f>datos_base!$E$9*parametros_manuales!G$12</f>
        <v>1868.65</v>
      </c>
      <c r="J39" s="9">
        <f>datos_base!$E$9*parametros_manuales!H$12</f>
        <v>2002.125</v>
      </c>
      <c r="K39" s="9">
        <f>datos_base!$E$9*parametros_manuales!I$12</f>
        <v>2002.125</v>
      </c>
      <c r="L39" s="9">
        <f>datos_base!$E$9*parametros_manuales!J$12</f>
        <v>2002.125</v>
      </c>
      <c r="M39" s="9">
        <f>datos_base!$E$9*parametros_manuales!K$12</f>
        <v>2002.125</v>
      </c>
      <c r="N39" s="9">
        <f>datos_base!$E$9*parametros_manuales!L$12</f>
        <v>2002.125</v>
      </c>
      <c r="O39" s="9">
        <f>datos_base!$E$9*parametros_manuales!M$12</f>
        <v>3203.4</v>
      </c>
      <c r="P39" s="8">
        <f t="shared" si="7"/>
        <v>26695</v>
      </c>
    </row>
    <row r="40" ht="14.25" customHeight="1">
      <c r="A40" s="3">
        <v>2029.0</v>
      </c>
      <c r="B40" s="4" t="s">
        <v>69</v>
      </c>
      <c r="C40" s="4" t="s">
        <v>117</v>
      </c>
      <c r="D40" s="9">
        <f>datos_base!$E$10*parametros_manuales!B$13</f>
        <v>110.6</v>
      </c>
      <c r="E40" s="9">
        <f>datos_base!$E$10*parametros_manuales!C$13</f>
        <v>88.48</v>
      </c>
      <c r="F40" s="9">
        <f>datos_base!$E$10*parametros_manuales!D$13</f>
        <v>94.01</v>
      </c>
      <c r="G40" s="9">
        <f>datos_base!$E$10*parametros_manuales!E$13</f>
        <v>94.01</v>
      </c>
      <c r="H40" s="9">
        <f>datos_base!$E$10*parametros_manuales!F$13</f>
        <v>88.48</v>
      </c>
      <c r="I40" s="9">
        <f>datos_base!$E$10*parametros_manuales!G$13</f>
        <v>82.95</v>
      </c>
      <c r="J40" s="9">
        <f>datos_base!$E$10*parametros_manuales!H$13</f>
        <v>88.48</v>
      </c>
      <c r="K40" s="9">
        <f>datos_base!$E$10*parametros_manuales!I$13</f>
        <v>88.48</v>
      </c>
      <c r="L40" s="9">
        <f>datos_base!$E$10*parametros_manuales!J$13</f>
        <v>88.48</v>
      </c>
      <c r="M40" s="9">
        <f>datos_base!$E$10*parametros_manuales!K$13</f>
        <v>82.95</v>
      </c>
      <c r="N40" s="9">
        <f>datos_base!$E$10*parametros_manuales!L$13</f>
        <v>77.42</v>
      </c>
      <c r="O40" s="9">
        <f>datos_base!$E$10*parametros_manuales!M$13</f>
        <v>121.66</v>
      </c>
      <c r="P40" s="8">
        <f t="shared" si="7"/>
        <v>1106</v>
      </c>
    </row>
    <row r="41" ht="14.25" customHeight="1">
      <c r="A41" s="3">
        <v>2029.0</v>
      </c>
      <c r="B41" s="4" t="s">
        <v>70</v>
      </c>
      <c r="C41" s="4" t="s">
        <v>117</v>
      </c>
      <c r="D41" s="9">
        <f>datos_base!$E$11*parametros_manuales!B$14</f>
        <v>548.3</v>
      </c>
      <c r="E41" s="9">
        <f>datos_base!$E$11*parametros_manuales!C$14</f>
        <v>438.64</v>
      </c>
      <c r="F41" s="9">
        <f>datos_base!$E$11*parametros_manuales!D$14</f>
        <v>466.055</v>
      </c>
      <c r="G41" s="9">
        <f>datos_base!$E$11*parametros_manuales!E$14</f>
        <v>466.055</v>
      </c>
      <c r="H41" s="9">
        <f>datos_base!$E$11*parametros_manuales!F$14</f>
        <v>438.64</v>
      </c>
      <c r="I41" s="9">
        <f>datos_base!$E$11*parametros_manuales!G$14</f>
        <v>411.225</v>
      </c>
      <c r="J41" s="9">
        <f>datos_base!$E$11*parametros_manuales!H$14</f>
        <v>438.64</v>
      </c>
      <c r="K41" s="9">
        <f>datos_base!$E$11*parametros_manuales!I$14</f>
        <v>438.64</v>
      </c>
      <c r="L41" s="9">
        <f>datos_base!$E$11*parametros_manuales!J$14</f>
        <v>438.64</v>
      </c>
      <c r="M41" s="9">
        <f>datos_base!$E$11*parametros_manuales!K$14</f>
        <v>411.225</v>
      </c>
      <c r="N41" s="9">
        <f>datos_base!$E$11*parametros_manuales!L$14</f>
        <v>383.81</v>
      </c>
      <c r="O41" s="9">
        <f>datos_base!$E$11*parametros_manuales!M$14</f>
        <v>603.13</v>
      </c>
      <c r="P41" s="8">
        <f t="shared" si="7"/>
        <v>5483</v>
      </c>
    </row>
    <row r="42" ht="14.25" customHeight="1">
      <c r="A42" s="3">
        <v>2029.0</v>
      </c>
      <c r="B42" s="4" t="s">
        <v>72</v>
      </c>
      <c r="C42" s="4" t="s">
        <v>117</v>
      </c>
      <c r="D42" s="9">
        <f>datos_base!$E$12*parametros_manuales!B$15</f>
        <v>34.1</v>
      </c>
      <c r="E42" s="9">
        <f>datos_base!$E$12*parametros_manuales!C$15</f>
        <v>27.28</v>
      </c>
      <c r="F42" s="9">
        <f>datos_base!$E$12*parametros_manuales!D$15</f>
        <v>28.985</v>
      </c>
      <c r="G42" s="9">
        <f>datos_base!$E$12*parametros_manuales!E$15</f>
        <v>28.985</v>
      </c>
      <c r="H42" s="9">
        <f>datos_base!$E$12*parametros_manuales!F$15</f>
        <v>27.28</v>
      </c>
      <c r="I42" s="9">
        <f>datos_base!$E$12*parametros_manuales!G$15</f>
        <v>25.575</v>
      </c>
      <c r="J42" s="9">
        <f>datos_base!$E$12*parametros_manuales!H$15</f>
        <v>27.28</v>
      </c>
      <c r="K42" s="9">
        <f>datos_base!$E$12*parametros_manuales!I$15</f>
        <v>27.28</v>
      </c>
      <c r="L42" s="9">
        <f>datos_base!$E$12*parametros_manuales!J$15</f>
        <v>27.28</v>
      </c>
      <c r="M42" s="9">
        <f>datos_base!$E$12*parametros_manuales!K$15</f>
        <v>25.575</v>
      </c>
      <c r="N42" s="9">
        <f>datos_base!$E$12*parametros_manuales!L$15</f>
        <v>23.87</v>
      </c>
      <c r="O42" s="9">
        <f>datos_base!$E$12*parametros_manuales!M$15</f>
        <v>37.51</v>
      </c>
      <c r="P42" s="8">
        <f t="shared" si="7"/>
        <v>341</v>
      </c>
    </row>
    <row r="43" ht="14.25" customHeight="1">
      <c r="A43" s="16"/>
      <c r="B43" s="14" t="s">
        <v>167</v>
      </c>
      <c r="C43" s="16"/>
      <c r="D43" s="15">
        <f t="shared" ref="D43:P43" si="8">SUM(D35:D42)</f>
        <v>5804.24</v>
      </c>
      <c r="E43" s="15">
        <f t="shared" si="8"/>
        <v>4432.42</v>
      </c>
      <c r="F43" s="15">
        <f t="shared" si="8"/>
        <v>4160.04</v>
      </c>
      <c r="G43" s="15">
        <f t="shared" si="8"/>
        <v>3984.23</v>
      </c>
      <c r="H43" s="15">
        <f t="shared" si="8"/>
        <v>3729.18</v>
      </c>
      <c r="I43" s="15">
        <f t="shared" si="8"/>
        <v>3649.94</v>
      </c>
      <c r="J43" s="15">
        <f t="shared" si="8"/>
        <v>3904.99</v>
      </c>
      <c r="K43" s="15">
        <f t="shared" si="8"/>
        <v>3904.99</v>
      </c>
      <c r="L43" s="15">
        <f t="shared" si="8"/>
        <v>3904.99</v>
      </c>
      <c r="M43" s="15">
        <f t="shared" si="8"/>
        <v>3825.75</v>
      </c>
      <c r="N43" s="15">
        <f t="shared" si="8"/>
        <v>3746.51</v>
      </c>
      <c r="O43" s="15">
        <f t="shared" si="8"/>
        <v>5962.72</v>
      </c>
      <c r="P43" s="15">
        <f t="shared" si="8"/>
        <v>51010</v>
      </c>
    </row>
    <row r="44" ht="14.25" customHeight="1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</row>
    <row r="45" ht="14.25" customHeight="1">
      <c r="A45" s="1">
        <v>2030.0</v>
      </c>
      <c r="B45" s="1" t="s">
        <v>3</v>
      </c>
      <c r="C45" s="1" t="s">
        <v>4</v>
      </c>
      <c r="D45" s="1" t="s">
        <v>5</v>
      </c>
      <c r="E45" s="1" t="s">
        <v>6</v>
      </c>
      <c r="F45" s="1" t="s">
        <v>7</v>
      </c>
      <c r="G45" s="1" t="s">
        <v>8</v>
      </c>
      <c r="H45" s="1" t="s">
        <v>9</v>
      </c>
      <c r="I45" s="1" t="s">
        <v>10</v>
      </c>
      <c r="J45" s="1" t="s">
        <v>12</v>
      </c>
      <c r="K45" s="1" t="s">
        <v>13</v>
      </c>
      <c r="L45" s="1" t="s">
        <v>15</v>
      </c>
      <c r="M45" s="1" t="s">
        <v>16</v>
      </c>
      <c r="N45" s="1" t="s">
        <v>17</v>
      </c>
      <c r="O45" s="1" t="s">
        <v>18</v>
      </c>
      <c r="P45" s="1" t="s">
        <v>19</v>
      </c>
    </row>
    <row r="46" ht="14.25" customHeight="1">
      <c r="A46" s="3">
        <v>2030.0</v>
      </c>
      <c r="B46" s="4" t="s">
        <v>23</v>
      </c>
      <c r="C46" s="4" t="s">
        <v>24</v>
      </c>
      <c r="D46" s="9">
        <f>datos_base!$F$2*parametros_manuales!B$12</f>
        <v>1521.72</v>
      </c>
      <c r="E46" s="9">
        <f>datos_base!$F$2*parametros_manuales!C$12</f>
        <v>1141.29</v>
      </c>
      <c r="F46" s="9">
        <f>datos_base!$F$2*parametros_manuales!D$12</f>
        <v>1014.48</v>
      </c>
      <c r="G46" s="9">
        <f>datos_base!$F$2*parametros_manuales!E$12</f>
        <v>951.075</v>
      </c>
      <c r="H46" s="9">
        <f>datos_base!$F$2*parametros_manuales!F$12</f>
        <v>887.67</v>
      </c>
      <c r="I46" s="9">
        <f>datos_base!$F$2*parametros_manuales!G$12</f>
        <v>887.67</v>
      </c>
      <c r="J46" s="9">
        <f>datos_base!$F$2*parametros_manuales!H$12</f>
        <v>951.075</v>
      </c>
      <c r="K46" s="9">
        <f>datos_base!$F$2*parametros_manuales!I$12</f>
        <v>951.075</v>
      </c>
      <c r="L46" s="9">
        <f>datos_base!$F$2*parametros_manuales!J$12</f>
        <v>951.075</v>
      </c>
      <c r="M46" s="9">
        <f>datos_base!$F$2*parametros_manuales!K$12</f>
        <v>951.075</v>
      </c>
      <c r="N46" s="9">
        <f>datos_base!$F$2*parametros_manuales!L$12</f>
        <v>951.075</v>
      </c>
      <c r="O46" s="9">
        <f>datos_base!$F$2*parametros_manuales!M$12</f>
        <v>1521.72</v>
      </c>
      <c r="P46" s="8">
        <f t="shared" ref="P46:P53" si="9">SUM(D46:O46)</f>
        <v>12681</v>
      </c>
    </row>
    <row r="47" ht="14.25" customHeight="1">
      <c r="A47" s="3">
        <v>2030.0</v>
      </c>
      <c r="B47" s="4" t="s">
        <v>33</v>
      </c>
      <c r="C47" s="4" t="s">
        <v>24</v>
      </c>
      <c r="D47" s="9">
        <f>datos_base!$F$3*parametros_manuales!B$13</f>
        <v>236.3</v>
      </c>
      <c r="E47" s="9">
        <f>datos_base!$F$3*parametros_manuales!C$13</f>
        <v>189.04</v>
      </c>
      <c r="F47" s="9">
        <f>datos_base!$F$3*parametros_manuales!D$13</f>
        <v>200.855</v>
      </c>
      <c r="G47" s="9">
        <f>datos_base!$F$3*parametros_manuales!E$13</f>
        <v>200.855</v>
      </c>
      <c r="H47" s="9">
        <f>datos_base!$F$3*parametros_manuales!F$13</f>
        <v>189.04</v>
      </c>
      <c r="I47" s="9">
        <f>datos_base!$F$3*parametros_manuales!G$13</f>
        <v>177.225</v>
      </c>
      <c r="J47" s="9">
        <f>datos_base!$F$3*parametros_manuales!H$13</f>
        <v>189.04</v>
      </c>
      <c r="K47" s="9">
        <f>datos_base!$F$3*parametros_manuales!I$13</f>
        <v>189.04</v>
      </c>
      <c r="L47" s="9">
        <f>datos_base!$F$3*parametros_manuales!J$13</f>
        <v>189.04</v>
      </c>
      <c r="M47" s="9">
        <f>datos_base!$F$3*parametros_manuales!K$13</f>
        <v>177.225</v>
      </c>
      <c r="N47" s="9">
        <f>datos_base!$F$3*parametros_manuales!L$13</f>
        <v>165.41</v>
      </c>
      <c r="O47" s="9">
        <f>datos_base!$F$3*parametros_manuales!M$13</f>
        <v>259.93</v>
      </c>
      <c r="P47" s="8">
        <f t="shared" si="9"/>
        <v>2363</v>
      </c>
    </row>
    <row r="48" ht="14.25" customHeight="1">
      <c r="A48" s="3">
        <v>2030.0</v>
      </c>
      <c r="B48" s="4" t="s">
        <v>38</v>
      </c>
      <c r="C48" s="4" t="s">
        <v>24</v>
      </c>
      <c r="D48" s="9">
        <f>datos_base!$F$4*parametros_manuales!B$14</f>
        <v>1108.6</v>
      </c>
      <c r="E48" s="9">
        <f>datos_base!$F$4*parametros_manuales!C$14</f>
        <v>886.88</v>
      </c>
      <c r="F48" s="9">
        <f>datos_base!$F$4*parametros_manuales!D$14</f>
        <v>942.31</v>
      </c>
      <c r="G48" s="9">
        <f>datos_base!$F$4*parametros_manuales!E$14</f>
        <v>942.31</v>
      </c>
      <c r="H48" s="9">
        <f>datos_base!$F$4*parametros_manuales!F$14</f>
        <v>886.88</v>
      </c>
      <c r="I48" s="9">
        <f>datos_base!$F$4*parametros_manuales!G$14</f>
        <v>831.45</v>
      </c>
      <c r="J48" s="9">
        <f>datos_base!$F$4*parametros_manuales!H$14</f>
        <v>886.88</v>
      </c>
      <c r="K48" s="9">
        <f>datos_base!$F$4*parametros_manuales!I$14</f>
        <v>886.88</v>
      </c>
      <c r="L48" s="9">
        <f>datos_base!$F$4*parametros_manuales!J$14</f>
        <v>886.88</v>
      </c>
      <c r="M48" s="9">
        <f>datos_base!$F$4*parametros_manuales!K$14</f>
        <v>831.45</v>
      </c>
      <c r="N48" s="9">
        <f>datos_base!$F$4*parametros_manuales!L$14</f>
        <v>776.02</v>
      </c>
      <c r="O48" s="9">
        <f>datos_base!$F$4*parametros_manuales!M$14</f>
        <v>1219.46</v>
      </c>
      <c r="P48" s="8">
        <f t="shared" si="9"/>
        <v>11086</v>
      </c>
    </row>
    <row r="49" ht="14.25" customHeight="1">
      <c r="A49" s="3">
        <v>2030.0</v>
      </c>
      <c r="B49" s="4" t="s">
        <v>43</v>
      </c>
      <c r="C49" s="4" t="s">
        <v>24</v>
      </c>
      <c r="D49" s="9">
        <f>datos_base!$F$5*parametros_manuales!B$15</f>
        <v>62.4</v>
      </c>
      <c r="E49" s="9">
        <f>datos_base!$F$5*parametros_manuales!C$15</f>
        <v>49.92</v>
      </c>
      <c r="F49" s="9">
        <f>datos_base!$F$5*parametros_manuales!D$15</f>
        <v>53.04</v>
      </c>
      <c r="G49" s="9">
        <f>datos_base!$F$5*parametros_manuales!E$15</f>
        <v>53.04</v>
      </c>
      <c r="H49" s="9">
        <f>datos_base!$F$5*parametros_manuales!F$15</f>
        <v>49.92</v>
      </c>
      <c r="I49" s="9">
        <f>datos_base!$F$5*parametros_manuales!G$15</f>
        <v>46.8</v>
      </c>
      <c r="J49" s="9">
        <f>datos_base!$F$5*parametros_manuales!H$15</f>
        <v>49.92</v>
      </c>
      <c r="K49" s="9">
        <f>datos_base!$F$5*parametros_manuales!I$15</f>
        <v>49.92</v>
      </c>
      <c r="L49" s="9">
        <f>datos_base!$F$5*parametros_manuales!J$15</f>
        <v>49.92</v>
      </c>
      <c r="M49" s="9">
        <f>datos_base!$F$5*parametros_manuales!K$15</f>
        <v>46.8</v>
      </c>
      <c r="N49" s="9">
        <f>datos_base!$F$5*parametros_manuales!L$15</f>
        <v>43.68</v>
      </c>
      <c r="O49" s="9">
        <f>datos_base!$F$5*parametros_manuales!M$15</f>
        <v>68.64</v>
      </c>
      <c r="P49" s="8">
        <f t="shared" si="9"/>
        <v>624</v>
      </c>
    </row>
    <row r="50" ht="14.25" customHeight="1">
      <c r="A50" s="3">
        <v>2030.0</v>
      </c>
      <c r="B50" s="4" t="s">
        <v>64</v>
      </c>
      <c r="C50" s="4" t="s">
        <v>117</v>
      </c>
      <c r="D50" s="9">
        <f>datos_base!$F$9*parametros_manuales!B$12</f>
        <v>5932.2</v>
      </c>
      <c r="E50" s="9">
        <f>datos_base!$F$9*parametros_manuales!C$12</f>
        <v>4449.15</v>
      </c>
      <c r="F50" s="9">
        <f>datos_base!$F$9*parametros_manuales!D$12</f>
        <v>3954.8</v>
      </c>
      <c r="G50" s="9">
        <f>datos_base!$F$9*parametros_manuales!E$12</f>
        <v>3707.625</v>
      </c>
      <c r="H50" s="9">
        <f>datos_base!$F$9*parametros_manuales!F$12</f>
        <v>3460.45</v>
      </c>
      <c r="I50" s="9">
        <f>datos_base!$F$9*parametros_manuales!G$12</f>
        <v>3460.45</v>
      </c>
      <c r="J50" s="9">
        <f>datos_base!$F$9*parametros_manuales!H$12</f>
        <v>3707.625</v>
      </c>
      <c r="K50" s="9">
        <f>datos_base!$F$9*parametros_manuales!I$12</f>
        <v>3707.625</v>
      </c>
      <c r="L50" s="9">
        <f>datos_base!$F$9*parametros_manuales!J$12</f>
        <v>3707.625</v>
      </c>
      <c r="M50" s="9">
        <f>datos_base!$F$9*parametros_manuales!K$12</f>
        <v>3707.625</v>
      </c>
      <c r="N50" s="9">
        <f>datos_base!$F$9*parametros_manuales!L$12</f>
        <v>3707.625</v>
      </c>
      <c r="O50" s="9">
        <f>datos_base!$F$9*parametros_manuales!M$12</f>
        <v>5932.2</v>
      </c>
      <c r="P50" s="8">
        <f t="shared" si="9"/>
        <v>49435</v>
      </c>
    </row>
    <row r="51" ht="14.25" customHeight="1">
      <c r="A51" s="3">
        <v>2030.0</v>
      </c>
      <c r="B51" s="4" t="s">
        <v>69</v>
      </c>
      <c r="C51" s="4" t="s">
        <v>117</v>
      </c>
      <c r="D51" s="9">
        <f>datos_base!$F$10*parametros_manuales!B$13</f>
        <v>202.3</v>
      </c>
      <c r="E51" s="9">
        <f>datos_base!$F$10*parametros_manuales!C$13</f>
        <v>161.84</v>
      </c>
      <c r="F51" s="9">
        <f>datos_base!$F$10*parametros_manuales!D$13</f>
        <v>171.955</v>
      </c>
      <c r="G51" s="9">
        <f>datos_base!$F$10*parametros_manuales!E$13</f>
        <v>171.955</v>
      </c>
      <c r="H51" s="9">
        <f>datos_base!$F$10*parametros_manuales!F$13</f>
        <v>161.84</v>
      </c>
      <c r="I51" s="9">
        <f>datos_base!$F$10*parametros_manuales!G$13</f>
        <v>151.725</v>
      </c>
      <c r="J51" s="9">
        <f>datos_base!$F$10*parametros_manuales!H$13</f>
        <v>161.84</v>
      </c>
      <c r="K51" s="9">
        <f>datos_base!$F$10*parametros_manuales!I$13</f>
        <v>161.84</v>
      </c>
      <c r="L51" s="9">
        <f>datos_base!$F$10*parametros_manuales!J$13</f>
        <v>161.84</v>
      </c>
      <c r="M51" s="9">
        <f>datos_base!$F$10*parametros_manuales!K$13</f>
        <v>151.725</v>
      </c>
      <c r="N51" s="9">
        <f>datos_base!$F$10*parametros_manuales!L$13</f>
        <v>141.61</v>
      </c>
      <c r="O51" s="9">
        <f>datos_base!$F$10*parametros_manuales!M$13</f>
        <v>222.53</v>
      </c>
      <c r="P51" s="8">
        <f t="shared" si="9"/>
        <v>2023</v>
      </c>
    </row>
    <row r="52" ht="14.25" customHeight="1">
      <c r="A52" s="3">
        <v>2030.0</v>
      </c>
      <c r="B52" s="4" t="s">
        <v>70</v>
      </c>
      <c r="C52" s="4" t="s">
        <v>117</v>
      </c>
      <c r="D52" s="9">
        <f>datos_base!$F$11*parametros_manuales!B$14</f>
        <v>1001.8</v>
      </c>
      <c r="E52" s="9">
        <f>datos_base!$F$11*parametros_manuales!C$14</f>
        <v>801.44</v>
      </c>
      <c r="F52" s="9">
        <f>datos_base!$F$11*parametros_manuales!D$14</f>
        <v>851.53</v>
      </c>
      <c r="G52" s="9">
        <f>datos_base!$F$11*parametros_manuales!E$14</f>
        <v>851.53</v>
      </c>
      <c r="H52" s="9">
        <f>datos_base!$F$11*parametros_manuales!F$14</f>
        <v>801.44</v>
      </c>
      <c r="I52" s="9">
        <f>datos_base!$F$11*parametros_manuales!G$14</f>
        <v>751.35</v>
      </c>
      <c r="J52" s="9">
        <f>datos_base!$F$11*parametros_manuales!H$14</f>
        <v>801.44</v>
      </c>
      <c r="K52" s="9">
        <f>datos_base!$F$11*parametros_manuales!I$14</f>
        <v>801.44</v>
      </c>
      <c r="L52" s="9">
        <f>datos_base!$F$11*parametros_manuales!J$14</f>
        <v>801.44</v>
      </c>
      <c r="M52" s="9">
        <f>datos_base!$F$11*parametros_manuales!K$14</f>
        <v>751.35</v>
      </c>
      <c r="N52" s="9">
        <f>datos_base!$F$11*parametros_manuales!L$14</f>
        <v>701.26</v>
      </c>
      <c r="O52" s="9">
        <f>datos_base!$F$11*parametros_manuales!M$14</f>
        <v>1101.98</v>
      </c>
      <c r="P52" s="8">
        <f t="shared" si="9"/>
        <v>10018</v>
      </c>
    </row>
    <row r="53" ht="14.25" customHeight="1">
      <c r="A53" s="3">
        <v>2030.0</v>
      </c>
      <c r="B53" s="4" t="s">
        <v>72</v>
      </c>
      <c r="C53" s="4" t="s">
        <v>117</v>
      </c>
      <c r="D53" s="9">
        <f>datos_base!$F$12*parametros_manuales!B$15</f>
        <v>62</v>
      </c>
      <c r="E53" s="9">
        <f>datos_base!$F$12*parametros_manuales!C$15</f>
        <v>49.6</v>
      </c>
      <c r="F53" s="9">
        <f>datos_base!$F$12*parametros_manuales!D$15</f>
        <v>52.7</v>
      </c>
      <c r="G53" s="9">
        <f>datos_base!$F$12*parametros_manuales!E$15</f>
        <v>52.7</v>
      </c>
      <c r="H53" s="9">
        <f>datos_base!$F$12*parametros_manuales!F$15</f>
        <v>49.6</v>
      </c>
      <c r="I53" s="9">
        <f>datos_base!$F$12*parametros_manuales!G$15</f>
        <v>46.5</v>
      </c>
      <c r="J53" s="9">
        <f>datos_base!$F$12*parametros_manuales!H$15</f>
        <v>49.6</v>
      </c>
      <c r="K53" s="9">
        <f>datos_base!$F$12*parametros_manuales!I$15</f>
        <v>49.6</v>
      </c>
      <c r="L53" s="9">
        <f>datos_base!$F$12*parametros_manuales!J$15</f>
        <v>49.6</v>
      </c>
      <c r="M53" s="9">
        <f>datos_base!$F$12*parametros_manuales!K$15</f>
        <v>46.5</v>
      </c>
      <c r="N53" s="9">
        <f>datos_base!$F$12*parametros_manuales!L$15</f>
        <v>43.4</v>
      </c>
      <c r="O53" s="9">
        <f>datos_base!$F$12*parametros_manuales!M$15</f>
        <v>68.2</v>
      </c>
      <c r="P53" s="8">
        <f t="shared" si="9"/>
        <v>620</v>
      </c>
    </row>
    <row r="54" ht="14.25" customHeight="1">
      <c r="A54" s="16"/>
      <c r="B54" s="14" t="s">
        <v>167</v>
      </c>
      <c r="C54" s="16"/>
      <c r="D54" s="15">
        <f t="shared" ref="D54:P54" si="10">SUM(D46:D53)</f>
        <v>10127.32</v>
      </c>
      <c r="E54" s="15">
        <f t="shared" si="10"/>
        <v>7729.16</v>
      </c>
      <c r="F54" s="15">
        <f t="shared" si="10"/>
        <v>7241.67</v>
      </c>
      <c r="G54" s="15">
        <f t="shared" si="10"/>
        <v>6931.09</v>
      </c>
      <c r="H54" s="15">
        <f t="shared" si="10"/>
        <v>6486.84</v>
      </c>
      <c r="I54" s="15">
        <f t="shared" si="10"/>
        <v>6353.17</v>
      </c>
      <c r="J54" s="15">
        <f t="shared" si="10"/>
        <v>6797.42</v>
      </c>
      <c r="K54" s="15">
        <f t="shared" si="10"/>
        <v>6797.42</v>
      </c>
      <c r="L54" s="15">
        <f t="shared" si="10"/>
        <v>6797.42</v>
      </c>
      <c r="M54" s="15">
        <f t="shared" si="10"/>
        <v>6663.75</v>
      </c>
      <c r="N54" s="15">
        <f t="shared" si="10"/>
        <v>6530.08</v>
      </c>
      <c r="O54" s="15">
        <f t="shared" si="10"/>
        <v>10394.66</v>
      </c>
      <c r="P54" s="15">
        <f t="shared" si="10"/>
        <v>88850</v>
      </c>
    </row>
    <row r="55" ht="14.25" customHeight="1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</row>
    <row r="56" ht="14.25" customHeight="1">
      <c r="A56" s="1">
        <v>2031.0</v>
      </c>
      <c r="B56" s="1" t="s">
        <v>3</v>
      </c>
      <c r="C56" s="1" t="s">
        <v>4</v>
      </c>
      <c r="D56" s="1" t="s">
        <v>5</v>
      </c>
      <c r="E56" s="1" t="s">
        <v>6</v>
      </c>
      <c r="F56" s="1" t="s">
        <v>7</v>
      </c>
      <c r="G56" s="1" t="s">
        <v>8</v>
      </c>
      <c r="H56" s="1" t="s">
        <v>9</v>
      </c>
      <c r="I56" s="1" t="s">
        <v>10</v>
      </c>
      <c r="J56" s="1" t="s">
        <v>12</v>
      </c>
      <c r="K56" s="1" t="s">
        <v>13</v>
      </c>
      <c r="L56" s="1" t="s">
        <v>15</v>
      </c>
      <c r="M56" s="1" t="s">
        <v>16</v>
      </c>
      <c r="N56" s="1" t="s">
        <v>17</v>
      </c>
      <c r="O56" s="1" t="s">
        <v>18</v>
      </c>
      <c r="P56" s="1" t="s">
        <v>19</v>
      </c>
    </row>
    <row r="57" ht="14.25" customHeight="1">
      <c r="A57" s="3">
        <v>2031.0</v>
      </c>
      <c r="B57" s="4" t="s">
        <v>23</v>
      </c>
      <c r="C57" s="4" t="s">
        <v>24</v>
      </c>
      <c r="D57" s="9">
        <f>datos_base!$G$2*parametros_manuales!B$12</f>
        <v>1874.4</v>
      </c>
      <c r="E57" s="9">
        <f>datos_base!$G$2*parametros_manuales!C$12</f>
        <v>1405.8</v>
      </c>
      <c r="F57" s="9">
        <f>datos_base!$G$2*parametros_manuales!D$12</f>
        <v>1249.6</v>
      </c>
      <c r="G57" s="9">
        <f>datos_base!$G$2*parametros_manuales!E$12</f>
        <v>1171.5</v>
      </c>
      <c r="H57" s="9">
        <f>datos_base!$G$2*parametros_manuales!F$12</f>
        <v>1093.4</v>
      </c>
      <c r="I57" s="9">
        <f>datos_base!$G$2*parametros_manuales!G$12</f>
        <v>1093.4</v>
      </c>
      <c r="J57" s="9">
        <f>datos_base!$G$2*parametros_manuales!H$12</f>
        <v>1171.5</v>
      </c>
      <c r="K57" s="9">
        <f>datos_base!$G$2*parametros_manuales!I$12</f>
        <v>1171.5</v>
      </c>
      <c r="L57" s="9">
        <f>datos_base!$G$2*parametros_manuales!J$12</f>
        <v>1171.5</v>
      </c>
      <c r="M57" s="9">
        <f>datos_base!$G$2*parametros_manuales!K$12</f>
        <v>1171.5</v>
      </c>
      <c r="N57" s="9">
        <f>datos_base!$G$2*parametros_manuales!L$12</f>
        <v>1171.5</v>
      </c>
      <c r="O57" s="9">
        <f>datos_base!$G$2*parametros_manuales!M$12</f>
        <v>1874.4</v>
      </c>
      <c r="P57" s="8">
        <f t="shared" ref="P57:P64" si="11">SUM(D57:O57)</f>
        <v>15620</v>
      </c>
    </row>
    <row r="58" ht="14.25" customHeight="1">
      <c r="A58" s="3">
        <v>2031.0</v>
      </c>
      <c r="B58" s="4" t="s">
        <v>33</v>
      </c>
      <c r="C58" s="4" t="s">
        <v>24</v>
      </c>
      <c r="D58" s="9">
        <f>datos_base!$G$3*parametros_manuales!B$13</f>
        <v>332</v>
      </c>
      <c r="E58" s="9">
        <f>datos_base!$G$3*parametros_manuales!C$13</f>
        <v>265.6</v>
      </c>
      <c r="F58" s="9">
        <f>datos_base!$G$3*parametros_manuales!D$13</f>
        <v>282.2</v>
      </c>
      <c r="G58" s="9">
        <f>datos_base!$G$3*parametros_manuales!E$13</f>
        <v>282.2</v>
      </c>
      <c r="H58" s="9">
        <f>datos_base!$G$3*parametros_manuales!F$13</f>
        <v>265.6</v>
      </c>
      <c r="I58" s="9">
        <f>datos_base!$G$3*parametros_manuales!G$13</f>
        <v>249</v>
      </c>
      <c r="J58" s="9">
        <f>datos_base!$G$3*parametros_manuales!H$13</f>
        <v>265.6</v>
      </c>
      <c r="K58" s="9">
        <f>datos_base!$G$3*parametros_manuales!I$13</f>
        <v>265.6</v>
      </c>
      <c r="L58" s="9">
        <f>datos_base!$G$3*parametros_manuales!J$13</f>
        <v>265.6</v>
      </c>
      <c r="M58" s="9">
        <f>datos_base!$G$3*parametros_manuales!K$13</f>
        <v>249</v>
      </c>
      <c r="N58" s="9">
        <f>datos_base!$G$3*parametros_manuales!L$13</f>
        <v>232.4</v>
      </c>
      <c r="O58" s="9">
        <f>datos_base!$G$3*parametros_manuales!M$13</f>
        <v>365.2</v>
      </c>
      <c r="P58" s="8">
        <f t="shared" si="11"/>
        <v>3320</v>
      </c>
    </row>
    <row r="59" ht="14.25" customHeight="1">
      <c r="A59" s="3">
        <v>2031.0</v>
      </c>
      <c r="B59" s="4" t="s">
        <v>38</v>
      </c>
      <c r="C59" s="4" t="s">
        <v>24</v>
      </c>
      <c r="D59" s="9">
        <f>datos_base!$G$4*parametros_manuales!B$14</f>
        <v>1496.1</v>
      </c>
      <c r="E59" s="9">
        <f>datos_base!$G$4*parametros_manuales!C$14</f>
        <v>1196.88</v>
      </c>
      <c r="F59" s="9">
        <f>datos_base!$G$4*parametros_manuales!D$14</f>
        <v>1271.685</v>
      </c>
      <c r="G59" s="9">
        <f>datos_base!$G$4*parametros_manuales!E$14</f>
        <v>1271.685</v>
      </c>
      <c r="H59" s="9">
        <f>datos_base!$G$4*parametros_manuales!F$14</f>
        <v>1196.88</v>
      </c>
      <c r="I59" s="9">
        <f>datos_base!$G$4*parametros_manuales!G$14</f>
        <v>1122.075</v>
      </c>
      <c r="J59" s="9">
        <f>datos_base!$G$4*parametros_manuales!H$14</f>
        <v>1196.88</v>
      </c>
      <c r="K59" s="9">
        <f>datos_base!$G$4*parametros_manuales!I$14</f>
        <v>1196.88</v>
      </c>
      <c r="L59" s="9">
        <f>datos_base!$G$4*parametros_manuales!J$14</f>
        <v>1196.88</v>
      </c>
      <c r="M59" s="9">
        <f>datos_base!$G$4*parametros_manuales!K$14</f>
        <v>1122.075</v>
      </c>
      <c r="N59" s="9">
        <f>datos_base!$G$4*parametros_manuales!L$14</f>
        <v>1047.27</v>
      </c>
      <c r="O59" s="9">
        <f>datos_base!$G$4*parametros_manuales!M$14</f>
        <v>1645.71</v>
      </c>
      <c r="P59" s="8">
        <f t="shared" si="11"/>
        <v>14961</v>
      </c>
    </row>
    <row r="60" ht="14.25" customHeight="1">
      <c r="A60" s="3">
        <v>2031.0</v>
      </c>
      <c r="B60" s="4" t="s">
        <v>43</v>
      </c>
      <c r="C60" s="4" t="s">
        <v>24</v>
      </c>
      <c r="D60" s="9">
        <f>datos_base!$G$5*parametros_manuales!B$15</f>
        <v>90</v>
      </c>
      <c r="E60" s="9">
        <f>datos_base!$G$5*parametros_manuales!C$15</f>
        <v>72</v>
      </c>
      <c r="F60" s="9">
        <f>datos_base!$G$5*parametros_manuales!D$15</f>
        <v>76.5</v>
      </c>
      <c r="G60" s="9">
        <f>datos_base!$G$5*parametros_manuales!E$15</f>
        <v>76.5</v>
      </c>
      <c r="H60" s="9">
        <f>datos_base!$G$5*parametros_manuales!F$15</f>
        <v>72</v>
      </c>
      <c r="I60" s="9">
        <f>datos_base!$G$5*parametros_manuales!G$15</f>
        <v>67.5</v>
      </c>
      <c r="J60" s="9">
        <f>datos_base!$G$5*parametros_manuales!H$15</f>
        <v>72</v>
      </c>
      <c r="K60" s="9">
        <f>datos_base!$G$5*parametros_manuales!I$15</f>
        <v>72</v>
      </c>
      <c r="L60" s="9">
        <f>datos_base!$G$5*parametros_manuales!J$15</f>
        <v>72</v>
      </c>
      <c r="M60" s="9">
        <f>datos_base!$G$5*parametros_manuales!K$15</f>
        <v>67.5</v>
      </c>
      <c r="N60" s="9">
        <f>datos_base!$G$5*parametros_manuales!L$15</f>
        <v>63</v>
      </c>
      <c r="O60" s="9">
        <f>datos_base!$G$5*parametros_manuales!M$15</f>
        <v>99</v>
      </c>
      <c r="P60" s="8">
        <f t="shared" si="11"/>
        <v>900</v>
      </c>
    </row>
    <row r="61" ht="14.25" customHeight="1">
      <c r="A61" s="3">
        <v>2031.0</v>
      </c>
      <c r="B61" s="4" t="s">
        <v>64</v>
      </c>
      <c r="C61" s="4" t="s">
        <v>117</v>
      </c>
      <c r="D61" s="9">
        <f>datos_base!$G$9*parametros_manuales!B$12</f>
        <v>8601.6</v>
      </c>
      <c r="E61" s="9">
        <f>datos_base!$G$9*parametros_manuales!C$12</f>
        <v>6451.2</v>
      </c>
      <c r="F61" s="9">
        <f>datos_base!$G$9*parametros_manuales!D$12</f>
        <v>5734.4</v>
      </c>
      <c r="G61" s="9">
        <f>datos_base!$G$9*parametros_manuales!E$12</f>
        <v>5376</v>
      </c>
      <c r="H61" s="9">
        <f>datos_base!$G$9*parametros_manuales!F$12</f>
        <v>5017.6</v>
      </c>
      <c r="I61" s="9">
        <f>datos_base!$G$9*parametros_manuales!G$12</f>
        <v>5017.6</v>
      </c>
      <c r="J61" s="9">
        <f>datos_base!$G$9*parametros_manuales!H$12</f>
        <v>5376</v>
      </c>
      <c r="K61" s="9">
        <f>datos_base!$G$9*parametros_manuales!I$12</f>
        <v>5376</v>
      </c>
      <c r="L61" s="9">
        <f>datos_base!$G$9*parametros_manuales!J$12</f>
        <v>5376</v>
      </c>
      <c r="M61" s="9">
        <f>datos_base!$G$9*parametros_manuales!K$12</f>
        <v>5376</v>
      </c>
      <c r="N61" s="9">
        <f>datos_base!$G$9*parametros_manuales!L$12</f>
        <v>5376</v>
      </c>
      <c r="O61" s="9">
        <f>datos_base!$G$9*parametros_manuales!M$12</f>
        <v>8601.6</v>
      </c>
      <c r="P61" s="8">
        <f t="shared" si="11"/>
        <v>71680</v>
      </c>
    </row>
    <row r="62" ht="14.25" customHeight="1">
      <c r="A62" s="3">
        <v>2031.0</v>
      </c>
      <c r="B62" s="4" t="s">
        <v>69</v>
      </c>
      <c r="C62" s="4" t="s">
        <v>117</v>
      </c>
      <c r="D62" s="9">
        <f>datos_base!$G$10*parametros_manuales!B$13</f>
        <v>292.2</v>
      </c>
      <c r="E62" s="9">
        <f>datos_base!$G$10*parametros_manuales!C$13</f>
        <v>233.76</v>
      </c>
      <c r="F62" s="9">
        <f>datos_base!$G$10*parametros_manuales!D$13</f>
        <v>248.37</v>
      </c>
      <c r="G62" s="9">
        <f>datos_base!$G$10*parametros_manuales!E$13</f>
        <v>248.37</v>
      </c>
      <c r="H62" s="9">
        <f>datos_base!$G$10*parametros_manuales!F$13</f>
        <v>233.76</v>
      </c>
      <c r="I62" s="9">
        <f>datos_base!$G$10*parametros_manuales!G$13</f>
        <v>219.15</v>
      </c>
      <c r="J62" s="9">
        <f>datos_base!$G$10*parametros_manuales!H$13</f>
        <v>233.76</v>
      </c>
      <c r="K62" s="9">
        <f>datos_base!$G$10*parametros_manuales!I$13</f>
        <v>233.76</v>
      </c>
      <c r="L62" s="9">
        <f>datos_base!$G$10*parametros_manuales!J$13</f>
        <v>233.76</v>
      </c>
      <c r="M62" s="9">
        <f>datos_base!$G$10*parametros_manuales!K$13</f>
        <v>219.15</v>
      </c>
      <c r="N62" s="9">
        <f>datos_base!$G$10*parametros_manuales!L$13</f>
        <v>204.54</v>
      </c>
      <c r="O62" s="9">
        <f>datos_base!$G$10*parametros_manuales!M$13</f>
        <v>321.42</v>
      </c>
      <c r="P62" s="8">
        <f t="shared" si="11"/>
        <v>2922</v>
      </c>
    </row>
    <row r="63" ht="14.25" customHeight="1">
      <c r="A63" s="3">
        <v>2031.0</v>
      </c>
      <c r="B63" s="4" t="s">
        <v>70</v>
      </c>
      <c r="C63" s="4" t="s">
        <v>117</v>
      </c>
      <c r="D63" s="9">
        <f>datos_base!$G$11*parametros_manuales!B$14</f>
        <v>1446.8</v>
      </c>
      <c r="E63" s="9">
        <f>datos_base!$G$11*parametros_manuales!C$14</f>
        <v>1157.44</v>
      </c>
      <c r="F63" s="9">
        <f>datos_base!$G$11*parametros_manuales!D$14</f>
        <v>1229.78</v>
      </c>
      <c r="G63" s="9">
        <f>datos_base!$G$11*parametros_manuales!E$14</f>
        <v>1229.78</v>
      </c>
      <c r="H63" s="9">
        <f>datos_base!$G$11*parametros_manuales!F$14</f>
        <v>1157.44</v>
      </c>
      <c r="I63" s="9">
        <f>datos_base!$G$11*parametros_manuales!G$14</f>
        <v>1085.1</v>
      </c>
      <c r="J63" s="9">
        <f>datos_base!$G$11*parametros_manuales!H$14</f>
        <v>1157.44</v>
      </c>
      <c r="K63" s="9">
        <f>datos_base!$G$11*parametros_manuales!I$14</f>
        <v>1157.44</v>
      </c>
      <c r="L63" s="9">
        <f>datos_base!$G$11*parametros_manuales!J$14</f>
        <v>1157.44</v>
      </c>
      <c r="M63" s="9">
        <f>datos_base!$G$11*parametros_manuales!K$14</f>
        <v>1085.1</v>
      </c>
      <c r="N63" s="9">
        <f>datos_base!$G$11*parametros_manuales!L$14</f>
        <v>1012.76</v>
      </c>
      <c r="O63" s="9">
        <f>datos_base!$G$11*parametros_manuales!M$14</f>
        <v>1591.48</v>
      </c>
      <c r="P63" s="8">
        <f t="shared" si="11"/>
        <v>14468</v>
      </c>
    </row>
    <row r="64" ht="14.25" customHeight="1">
      <c r="A64" s="3">
        <v>2031.0</v>
      </c>
      <c r="B64" s="4" t="s">
        <v>72</v>
      </c>
      <c r="C64" s="4" t="s">
        <v>117</v>
      </c>
      <c r="D64" s="9">
        <f>datos_base!$G$12*parametros_manuales!B$15</f>
        <v>89.6</v>
      </c>
      <c r="E64" s="9">
        <f>datos_base!$G$12*parametros_manuales!C$15</f>
        <v>71.68</v>
      </c>
      <c r="F64" s="9">
        <f>datos_base!$G$12*parametros_manuales!D$15</f>
        <v>76.16</v>
      </c>
      <c r="G64" s="9">
        <f>datos_base!$G$12*parametros_manuales!E$15</f>
        <v>76.16</v>
      </c>
      <c r="H64" s="9">
        <f>datos_base!$G$12*parametros_manuales!F$15</f>
        <v>71.68</v>
      </c>
      <c r="I64" s="9">
        <f>datos_base!$G$12*parametros_manuales!G$15</f>
        <v>67.2</v>
      </c>
      <c r="J64" s="9">
        <f>datos_base!$G$12*parametros_manuales!H$15</f>
        <v>71.68</v>
      </c>
      <c r="K64" s="9">
        <f>datos_base!$G$12*parametros_manuales!I$15</f>
        <v>71.68</v>
      </c>
      <c r="L64" s="9">
        <f>datos_base!$G$12*parametros_manuales!J$15</f>
        <v>71.68</v>
      </c>
      <c r="M64" s="9">
        <f>datos_base!$G$12*parametros_manuales!K$15</f>
        <v>67.2</v>
      </c>
      <c r="N64" s="9">
        <f>datos_base!$G$12*parametros_manuales!L$15</f>
        <v>62.72</v>
      </c>
      <c r="O64" s="9">
        <f>datos_base!$G$12*parametros_manuales!M$15</f>
        <v>98.56</v>
      </c>
      <c r="P64" s="8">
        <f t="shared" si="11"/>
        <v>896</v>
      </c>
    </row>
    <row r="65" ht="14.25" customHeight="1">
      <c r="A65" s="16"/>
      <c r="B65" s="14" t="s">
        <v>167</v>
      </c>
      <c r="C65" s="16"/>
      <c r="D65" s="15">
        <f t="shared" ref="D65:P65" si="12">SUM(D57:D64)</f>
        <v>14222.7</v>
      </c>
      <c r="E65" s="15">
        <f t="shared" si="12"/>
        <v>10854.36</v>
      </c>
      <c r="F65" s="15">
        <f t="shared" si="12"/>
        <v>10168.695</v>
      </c>
      <c r="G65" s="15">
        <f t="shared" si="12"/>
        <v>9732.195</v>
      </c>
      <c r="H65" s="15">
        <f t="shared" si="12"/>
        <v>9108.36</v>
      </c>
      <c r="I65" s="15">
        <f t="shared" si="12"/>
        <v>8921.025</v>
      </c>
      <c r="J65" s="15">
        <f t="shared" si="12"/>
        <v>9544.86</v>
      </c>
      <c r="K65" s="15">
        <f t="shared" si="12"/>
        <v>9544.86</v>
      </c>
      <c r="L65" s="15">
        <f t="shared" si="12"/>
        <v>9544.86</v>
      </c>
      <c r="M65" s="15">
        <f t="shared" si="12"/>
        <v>9357.525</v>
      </c>
      <c r="N65" s="15">
        <f t="shared" si="12"/>
        <v>9170.19</v>
      </c>
      <c r="O65" s="15">
        <f t="shared" si="12"/>
        <v>14597.37</v>
      </c>
      <c r="P65" s="15">
        <f t="shared" si="12"/>
        <v>124767</v>
      </c>
    </row>
    <row r="66" ht="14.25" customHeight="1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</row>
    <row r="67" ht="14.25" customHeight="1">
      <c r="A67" s="1">
        <v>2032.0</v>
      </c>
      <c r="B67" s="1" t="s">
        <v>3</v>
      </c>
      <c r="C67" s="1" t="s">
        <v>4</v>
      </c>
      <c r="D67" s="1" t="s">
        <v>5</v>
      </c>
      <c r="E67" s="1" t="s">
        <v>6</v>
      </c>
      <c r="F67" s="1" t="s">
        <v>7</v>
      </c>
      <c r="G67" s="1" t="s">
        <v>8</v>
      </c>
      <c r="H67" s="1" t="s">
        <v>9</v>
      </c>
      <c r="I67" s="1" t="s">
        <v>10</v>
      </c>
      <c r="J67" s="1" t="s">
        <v>12</v>
      </c>
      <c r="K67" s="1" t="s">
        <v>13</v>
      </c>
      <c r="L67" s="1" t="s">
        <v>15</v>
      </c>
      <c r="M67" s="1" t="s">
        <v>16</v>
      </c>
      <c r="N67" s="1" t="s">
        <v>17</v>
      </c>
      <c r="O67" s="1" t="s">
        <v>18</v>
      </c>
      <c r="P67" s="1" t="s">
        <v>19</v>
      </c>
    </row>
    <row r="68" ht="14.25" customHeight="1">
      <c r="A68" s="3">
        <v>2032.0</v>
      </c>
      <c r="B68" s="4" t="s">
        <v>23</v>
      </c>
      <c r="C68" s="4" t="s">
        <v>24</v>
      </c>
      <c r="D68" s="9">
        <f>datos_base!$H$2*parametros_manuales!B$12</f>
        <v>2439.96</v>
      </c>
      <c r="E68" s="9">
        <f>datos_base!$H$2*parametros_manuales!C$12</f>
        <v>1829.97</v>
      </c>
      <c r="F68" s="9">
        <f>datos_base!$H$2*parametros_manuales!D$12</f>
        <v>1626.64</v>
      </c>
      <c r="G68" s="9">
        <f>datos_base!$H$2*parametros_manuales!E$12</f>
        <v>1524.975</v>
      </c>
      <c r="H68" s="9">
        <f>datos_base!$H$2*parametros_manuales!F$12</f>
        <v>1423.31</v>
      </c>
      <c r="I68" s="9">
        <f>datos_base!$H$2*parametros_manuales!G$12</f>
        <v>1423.31</v>
      </c>
      <c r="J68" s="9">
        <f>datos_base!$H$2*parametros_manuales!H$12</f>
        <v>1524.975</v>
      </c>
      <c r="K68" s="9">
        <f>datos_base!$H$2*parametros_manuales!I$12</f>
        <v>1524.975</v>
      </c>
      <c r="L68" s="9">
        <f>datos_base!$H$2*parametros_manuales!J$12</f>
        <v>1524.975</v>
      </c>
      <c r="M68" s="9">
        <f>datos_base!$H$2*parametros_manuales!K$12</f>
        <v>1524.975</v>
      </c>
      <c r="N68" s="9">
        <f>datos_base!$H$2*parametros_manuales!L$12</f>
        <v>1524.975</v>
      </c>
      <c r="O68" s="9">
        <f>datos_base!$H$2*parametros_manuales!M$12</f>
        <v>2439.96</v>
      </c>
      <c r="P68" s="8">
        <f t="shared" ref="P68:P75" si="13">SUM(D68:O68)</f>
        <v>20333</v>
      </c>
    </row>
    <row r="69" ht="14.25" customHeight="1">
      <c r="A69" s="3">
        <v>2032.0</v>
      </c>
      <c r="B69" s="4" t="s">
        <v>33</v>
      </c>
      <c r="C69" s="4" t="s">
        <v>24</v>
      </c>
      <c r="D69" s="9">
        <f>datos_base!$H$3*parametros_manuales!B$13</f>
        <v>418.4</v>
      </c>
      <c r="E69" s="9">
        <f>datos_base!$H$3*parametros_manuales!C$13</f>
        <v>334.72</v>
      </c>
      <c r="F69" s="9">
        <f>datos_base!$H$3*parametros_manuales!D$13</f>
        <v>355.64</v>
      </c>
      <c r="G69" s="9">
        <f>datos_base!$H$3*parametros_manuales!E$13</f>
        <v>355.64</v>
      </c>
      <c r="H69" s="9">
        <f>datos_base!$H$3*parametros_manuales!F$13</f>
        <v>334.72</v>
      </c>
      <c r="I69" s="9">
        <f>datos_base!$H$3*parametros_manuales!G$13</f>
        <v>313.8</v>
      </c>
      <c r="J69" s="9">
        <f>datos_base!$H$3*parametros_manuales!H$13</f>
        <v>334.72</v>
      </c>
      <c r="K69" s="9">
        <f>datos_base!$H$3*parametros_manuales!I$13</f>
        <v>334.72</v>
      </c>
      <c r="L69" s="9">
        <f>datos_base!$H$3*parametros_manuales!J$13</f>
        <v>334.72</v>
      </c>
      <c r="M69" s="9">
        <f>datos_base!$H$3*parametros_manuales!K$13</f>
        <v>313.8</v>
      </c>
      <c r="N69" s="9">
        <f>datos_base!$H$3*parametros_manuales!L$13</f>
        <v>292.88</v>
      </c>
      <c r="O69" s="9">
        <f>datos_base!$H$3*parametros_manuales!M$13</f>
        <v>460.24</v>
      </c>
      <c r="P69" s="8">
        <f t="shared" si="13"/>
        <v>4184</v>
      </c>
    </row>
    <row r="70" ht="14.25" customHeight="1">
      <c r="A70" s="3">
        <v>2032.0</v>
      </c>
      <c r="B70" s="4" t="s">
        <v>38</v>
      </c>
      <c r="C70" s="4" t="s">
        <v>24</v>
      </c>
      <c r="D70" s="9">
        <f>datos_base!$H$4*parametros_manuales!B$14</f>
        <v>1929.8</v>
      </c>
      <c r="E70" s="9">
        <f>datos_base!$H$4*parametros_manuales!C$14</f>
        <v>1543.84</v>
      </c>
      <c r="F70" s="9">
        <f>datos_base!$H$4*parametros_manuales!D$14</f>
        <v>1640.33</v>
      </c>
      <c r="G70" s="9">
        <f>datos_base!$H$4*parametros_manuales!E$14</f>
        <v>1640.33</v>
      </c>
      <c r="H70" s="9">
        <f>datos_base!$H$4*parametros_manuales!F$14</f>
        <v>1543.84</v>
      </c>
      <c r="I70" s="9">
        <f>datos_base!$H$4*parametros_manuales!G$14</f>
        <v>1447.35</v>
      </c>
      <c r="J70" s="9">
        <f>datos_base!$H$4*parametros_manuales!H$14</f>
        <v>1543.84</v>
      </c>
      <c r="K70" s="9">
        <f>datos_base!$H$4*parametros_manuales!I$14</f>
        <v>1543.84</v>
      </c>
      <c r="L70" s="9">
        <f>datos_base!$H$4*parametros_manuales!J$14</f>
        <v>1543.84</v>
      </c>
      <c r="M70" s="9">
        <f>datos_base!$H$4*parametros_manuales!K$14</f>
        <v>1447.35</v>
      </c>
      <c r="N70" s="9">
        <f>datos_base!$H$4*parametros_manuales!L$14</f>
        <v>1350.86</v>
      </c>
      <c r="O70" s="9">
        <f>datos_base!$H$4*parametros_manuales!M$14</f>
        <v>2122.78</v>
      </c>
      <c r="P70" s="8">
        <f t="shared" si="13"/>
        <v>19298</v>
      </c>
    </row>
    <row r="71" ht="14.25" customHeight="1">
      <c r="A71" s="3">
        <v>2032.0</v>
      </c>
      <c r="B71" s="4" t="s">
        <v>43</v>
      </c>
      <c r="C71" s="4" t="s">
        <v>24</v>
      </c>
      <c r="D71" s="9">
        <f>datos_base!$H$5*parametros_manuales!B$15</f>
        <v>115.9</v>
      </c>
      <c r="E71" s="9">
        <f>datos_base!$H$5*parametros_manuales!C$15</f>
        <v>92.72</v>
      </c>
      <c r="F71" s="9">
        <f>datos_base!$H$5*parametros_manuales!D$15</f>
        <v>98.515</v>
      </c>
      <c r="G71" s="9">
        <f>datos_base!$H$5*parametros_manuales!E$15</f>
        <v>98.515</v>
      </c>
      <c r="H71" s="9">
        <f>datos_base!$H$5*parametros_manuales!F$15</f>
        <v>92.72</v>
      </c>
      <c r="I71" s="9">
        <f>datos_base!$H$5*parametros_manuales!G$15</f>
        <v>86.925</v>
      </c>
      <c r="J71" s="9">
        <f>datos_base!$H$5*parametros_manuales!H$15</f>
        <v>92.72</v>
      </c>
      <c r="K71" s="9">
        <f>datos_base!$H$5*parametros_manuales!I$15</f>
        <v>92.72</v>
      </c>
      <c r="L71" s="9">
        <f>datos_base!$H$5*parametros_manuales!J$15</f>
        <v>92.72</v>
      </c>
      <c r="M71" s="9">
        <f>datos_base!$H$5*parametros_manuales!K$15</f>
        <v>86.925</v>
      </c>
      <c r="N71" s="9">
        <f>datos_base!$H$5*parametros_manuales!L$15</f>
        <v>81.13</v>
      </c>
      <c r="O71" s="9">
        <f>datos_base!$H$5*parametros_manuales!M$15</f>
        <v>127.49</v>
      </c>
      <c r="P71" s="8">
        <f t="shared" si="13"/>
        <v>1159</v>
      </c>
    </row>
    <row r="72" ht="14.25" customHeight="1">
      <c r="A72" s="3">
        <v>2032.0</v>
      </c>
      <c r="B72" s="4" t="s">
        <v>64</v>
      </c>
      <c r="C72" s="4" t="s">
        <v>117</v>
      </c>
      <c r="D72" s="9">
        <f>datos_base!$H$9*parametros_manuales!B$12</f>
        <v>12160.92</v>
      </c>
      <c r="E72" s="9">
        <f>datos_base!$H$9*parametros_manuales!C$12</f>
        <v>9120.69</v>
      </c>
      <c r="F72" s="9">
        <f>datos_base!$H$9*parametros_manuales!D$12</f>
        <v>8107.28</v>
      </c>
      <c r="G72" s="9">
        <f>datos_base!$H$9*parametros_manuales!E$12</f>
        <v>7600.575</v>
      </c>
      <c r="H72" s="9">
        <f>datos_base!$H$9*parametros_manuales!F$12</f>
        <v>7093.87</v>
      </c>
      <c r="I72" s="9">
        <f>datos_base!$H$9*parametros_manuales!G$12</f>
        <v>7093.87</v>
      </c>
      <c r="J72" s="9">
        <f>datos_base!$H$9*parametros_manuales!H$12</f>
        <v>7600.575</v>
      </c>
      <c r="K72" s="9">
        <f>datos_base!$H$9*parametros_manuales!I$12</f>
        <v>7600.575</v>
      </c>
      <c r="L72" s="9">
        <f>datos_base!$H$9*parametros_manuales!J$12</f>
        <v>7600.575</v>
      </c>
      <c r="M72" s="9">
        <f>datos_base!$H$9*parametros_manuales!K$12</f>
        <v>7600.575</v>
      </c>
      <c r="N72" s="9">
        <f>datos_base!$H$9*parametros_manuales!L$12</f>
        <v>7600.575</v>
      </c>
      <c r="O72" s="9">
        <f>datos_base!$H$9*parametros_manuales!M$12</f>
        <v>12160.92</v>
      </c>
      <c r="P72" s="8">
        <f t="shared" si="13"/>
        <v>101341</v>
      </c>
    </row>
    <row r="73" ht="14.25" customHeight="1">
      <c r="A73" s="3">
        <v>2032.0</v>
      </c>
      <c r="B73" s="4" t="s">
        <v>69</v>
      </c>
      <c r="C73" s="4" t="s">
        <v>117</v>
      </c>
      <c r="D73" s="9">
        <f>datos_base!$H$10*parametros_manuales!B$13</f>
        <v>410.6</v>
      </c>
      <c r="E73" s="9">
        <f>datos_base!$H$10*parametros_manuales!C$13</f>
        <v>328.48</v>
      </c>
      <c r="F73" s="9">
        <f>datos_base!$H$10*parametros_manuales!D$13</f>
        <v>349.01</v>
      </c>
      <c r="G73" s="9">
        <f>datos_base!$H$10*parametros_manuales!E$13</f>
        <v>349.01</v>
      </c>
      <c r="H73" s="9">
        <f>datos_base!$H$10*parametros_manuales!F$13</f>
        <v>328.48</v>
      </c>
      <c r="I73" s="9">
        <f>datos_base!$H$10*parametros_manuales!G$13</f>
        <v>307.95</v>
      </c>
      <c r="J73" s="9">
        <f>datos_base!$H$10*parametros_manuales!H$13</f>
        <v>328.48</v>
      </c>
      <c r="K73" s="9">
        <f>datos_base!$H$10*parametros_manuales!I$13</f>
        <v>328.48</v>
      </c>
      <c r="L73" s="9">
        <f>datos_base!$H$10*parametros_manuales!J$13</f>
        <v>328.48</v>
      </c>
      <c r="M73" s="9">
        <f>datos_base!$H$10*parametros_manuales!K$13</f>
        <v>307.95</v>
      </c>
      <c r="N73" s="9">
        <f>datos_base!$H$10*parametros_manuales!L$13</f>
        <v>287.42</v>
      </c>
      <c r="O73" s="9">
        <f>datos_base!$H$10*parametros_manuales!M$13</f>
        <v>451.66</v>
      </c>
      <c r="P73" s="8">
        <f t="shared" si="13"/>
        <v>4106</v>
      </c>
    </row>
    <row r="74" ht="14.25" customHeight="1">
      <c r="A74" s="3">
        <v>2032.0</v>
      </c>
      <c r="B74" s="4" t="s">
        <v>70</v>
      </c>
      <c r="C74" s="4" t="s">
        <v>117</v>
      </c>
      <c r="D74" s="9">
        <f>datos_base!$H$11*parametros_manuales!B$14</f>
        <v>2031.2</v>
      </c>
      <c r="E74" s="9">
        <f>datos_base!$H$11*parametros_manuales!C$14</f>
        <v>1624.96</v>
      </c>
      <c r="F74" s="9">
        <f>datos_base!$H$11*parametros_manuales!D$14</f>
        <v>1726.52</v>
      </c>
      <c r="G74" s="9">
        <f>datos_base!$H$11*parametros_manuales!E$14</f>
        <v>1726.52</v>
      </c>
      <c r="H74" s="9">
        <f>datos_base!$H$11*parametros_manuales!F$14</f>
        <v>1624.96</v>
      </c>
      <c r="I74" s="9">
        <f>datos_base!$H$11*parametros_manuales!G$14</f>
        <v>1523.4</v>
      </c>
      <c r="J74" s="9">
        <f>datos_base!$H$11*parametros_manuales!H$14</f>
        <v>1624.96</v>
      </c>
      <c r="K74" s="9">
        <f>datos_base!$H$11*parametros_manuales!I$14</f>
        <v>1624.96</v>
      </c>
      <c r="L74" s="9">
        <f>datos_base!$H$11*parametros_manuales!J$14</f>
        <v>1624.96</v>
      </c>
      <c r="M74" s="9">
        <f>datos_base!$H$11*parametros_manuales!K$14</f>
        <v>1523.4</v>
      </c>
      <c r="N74" s="9">
        <f>datos_base!$H$11*parametros_manuales!L$14</f>
        <v>1421.84</v>
      </c>
      <c r="O74" s="9">
        <f>datos_base!$H$11*parametros_manuales!M$14</f>
        <v>2234.32</v>
      </c>
      <c r="P74" s="8">
        <f t="shared" si="13"/>
        <v>20312</v>
      </c>
    </row>
    <row r="75" ht="14.25" customHeight="1">
      <c r="A75" s="3">
        <v>2032.0</v>
      </c>
      <c r="B75" s="4" t="s">
        <v>72</v>
      </c>
      <c r="C75" s="4" t="s">
        <v>117</v>
      </c>
      <c r="D75" s="9">
        <f>datos_base!$H$12*parametros_manuales!B$15</f>
        <v>125.2</v>
      </c>
      <c r="E75" s="9">
        <f>datos_base!$H$12*parametros_manuales!C$15</f>
        <v>100.16</v>
      </c>
      <c r="F75" s="9">
        <f>datos_base!$H$12*parametros_manuales!D$15</f>
        <v>106.42</v>
      </c>
      <c r="G75" s="9">
        <f>datos_base!$H$12*parametros_manuales!E$15</f>
        <v>106.42</v>
      </c>
      <c r="H75" s="9">
        <f>datos_base!$H$12*parametros_manuales!F$15</f>
        <v>100.16</v>
      </c>
      <c r="I75" s="9">
        <f>datos_base!$H$12*parametros_manuales!G$15</f>
        <v>93.9</v>
      </c>
      <c r="J75" s="9">
        <f>datos_base!$H$12*parametros_manuales!H$15</f>
        <v>100.16</v>
      </c>
      <c r="K75" s="9">
        <f>datos_base!$H$12*parametros_manuales!I$15</f>
        <v>100.16</v>
      </c>
      <c r="L75" s="9">
        <f>datos_base!$H$12*parametros_manuales!J$15</f>
        <v>100.16</v>
      </c>
      <c r="M75" s="9">
        <f>datos_base!$H$12*parametros_manuales!K$15</f>
        <v>93.9</v>
      </c>
      <c r="N75" s="9">
        <f>datos_base!$H$12*parametros_manuales!L$15</f>
        <v>87.64</v>
      </c>
      <c r="O75" s="9">
        <f>datos_base!$H$12*parametros_manuales!M$15</f>
        <v>137.72</v>
      </c>
      <c r="P75" s="8">
        <f t="shared" si="13"/>
        <v>1252</v>
      </c>
    </row>
    <row r="76" ht="14.25" customHeight="1">
      <c r="A76" s="16"/>
      <c r="B76" s="14" t="s">
        <v>167</v>
      </c>
      <c r="C76" s="16"/>
      <c r="D76" s="15">
        <f t="shared" ref="D76:P76" si="14">SUM(D68:D75)</f>
        <v>19631.98</v>
      </c>
      <c r="E76" s="15">
        <f t="shared" si="14"/>
        <v>14975.54</v>
      </c>
      <c r="F76" s="15">
        <f t="shared" si="14"/>
        <v>14010.355</v>
      </c>
      <c r="G76" s="15">
        <f t="shared" si="14"/>
        <v>13401.985</v>
      </c>
      <c r="H76" s="15">
        <f t="shared" si="14"/>
        <v>12542.06</v>
      </c>
      <c r="I76" s="15">
        <f t="shared" si="14"/>
        <v>12290.505</v>
      </c>
      <c r="J76" s="15">
        <f t="shared" si="14"/>
        <v>13150.43</v>
      </c>
      <c r="K76" s="15">
        <f t="shared" si="14"/>
        <v>13150.43</v>
      </c>
      <c r="L76" s="15">
        <f t="shared" si="14"/>
        <v>13150.43</v>
      </c>
      <c r="M76" s="15">
        <f t="shared" si="14"/>
        <v>12898.875</v>
      </c>
      <c r="N76" s="15">
        <f t="shared" si="14"/>
        <v>12647.32</v>
      </c>
      <c r="O76" s="15">
        <f t="shared" si="14"/>
        <v>20135.09</v>
      </c>
      <c r="P76" s="15">
        <f t="shared" si="14"/>
        <v>171985</v>
      </c>
    </row>
    <row r="77" ht="14.25" customHeight="1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</row>
    <row r="78" ht="14.25" customHeight="1">
      <c r="A78" s="1">
        <v>2033.0</v>
      </c>
      <c r="B78" s="1" t="s">
        <v>3</v>
      </c>
      <c r="C78" s="1" t="s">
        <v>4</v>
      </c>
      <c r="D78" s="1" t="s">
        <v>5</v>
      </c>
      <c r="E78" s="1" t="s">
        <v>6</v>
      </c>
      <c r="F78" s="1" t="s">
        <v>7</v>
      </c>
      <c r="G78" s="1" t="s">
        <v>8</v>
      </c>
      <c r="H78" s="1" t="s">
        <v>9</v>
      </c>
      <c r="I78" s="1" t="s">
        <v>10</v>
      </c>
      <c r="J78" s="1" t="s">
        <v>12</v>
      </c>
      <c r="K78" s="1" t="s">
        <v>13</v>
      </c>
      <c r="L78" s="1" t="s">
        <v>15</v>
      </c>
      <c r="M78" s="1" t="s">
        <v>16</v>
      </c>
      <c r="N78" s="1" t="s">
        <v>17</v>
      </c>
      <c r="O78" s="1" t="s">
        <v>18</v>
      </c>
      <c r="P78" s="1" t="s">
        <v>19</v>
      </c>
    </row>
    <row r="79" ht="14.25" customHeight="1">
      <c r="A79" s="3">
        <v>2033.0</v>
      </c>
      <c r="B79" s="4" t="s">
        <v>23</v>
      </c>
      <c r="C79" s="4" t="s">
        <v>24</v>
      </c>
      <c r="D79" s="9">
        <f>datos_base!$I$2*parametros_manuales!B$12</f>
        <v>3015.84</v>
      </c>
      <c r="E79" s="9">
        <f>datos_base!$I$2*parametros_manuales!C$12</f>
        <v>2261.88</v>
      </c>
      <c r="F79" s="9">
        <f>datos_base!$I$2*parametros_manuales!D$12</f>
        <v>2010.56</v>
      </c>
      <c r="G79" s="9">
        <f>datos_base!$I$2*parametros_manuales!E$12</f>
        <v>1884.9</v>
      </c>
      <c r="H79" s="9">
        <f>datos_base!$I$2*parametros_manuales!F$12</f>
        <v>1759.24</v>
      </c>
      <c r="I79" s="9">
        <f>datos_base!$I$2*parametros_manuales!G$12</f>
        <v>1759.24</v>
      </c>
      <c r="J79" s="9">
        <f>datos_base!$I$2*parametros_manuales!H$12</f>
        <v>1884.9</v>
      </c>
      <c r="K79" s="9">
        <f>datos_base!$I$2*parametros_manuales!I$12</f>
        <v>1884.9</v>
      </c>
      <c r="L79" s="9">
        <f>datos_base!$I$2*parametros_manuales!J$12</f>
        <v>1884.9</v>
      </c>
      <c r="M79" s="9">
        <f>datos_base!$I$2*parametros_manuales!K$12</f>
        <v>1884.9</v>
      </c>
      <c r="N79" s="9">
        <f>datos_base!$I$2*parametros_manuales!L$12</f>
        <v>1884.9</v>
      </c>
      <c r="O79" s="9">
        <f>datos_base!$I$2*parametros_manuales!M$12</f>
        <v>3015.84</v>
      </c>
      <c r="P79" s="8">
        <f t="shared" ref="P79:P86" si="15">SUM(D79:O79)</f>
        <v>25132</v>
      </c>
    </row>
    <row r="80" ht="14.25" customHeight="1">
      <c r="A80" s="3">
        <v>2033.0</v>
      </c>
      <c r="B80" s="4" t="s">
        <v>33</v>
      </c>
      <c r="C80" s="4" t="s">
        <v>24</v>
      </c>
      <c r="D80" s="9">
        <f>datos_base!$I$3*parametros_manuales!B$13</f>
        <v>519.5</v>
      </c>
      <c r="E80" s="9">
        <f>datos_base!$I$3*parametros_manuales!C$13</f>
        <v>415.6</v>
      </c>
      <c r="F80" s="9">
        <f>datos_base!$I$3*parametros_manuales!D$13</f>
        <v>441.575</v>
      </c>
      <c r="G80" s="9">
        <f>datos_base!$I$3*parametros_manuales!E$13</f>
        <v>441.575</v>
      </c>
      <c r="H80" s="9">
        <f>datos_base!$I$3*parametros_manuales!F$13</f>
        <v>415.6</v>
      </c>
      <c r="I80" s="9">
        <f>datos_base!$I$3*parametros_manuales!G$13</f>
        <v>389.625</v>
      </c>
      <c r="J80" s="9">
        <f>datos_base!$I$3*parametros_manuales!H$13</f>
        <v>415.6</v>
      </c>
      <c r="K80" s="9">
        <f>datos_base!$I$3*parametros_manuales!I$13</f>
        <v>415.6</v>
      </c>
      <c r="L80" s="9">
        <f>datos_base!$I$3*parametros_manuales!J$13</f>
        <v>415.6</v>
      </c>
      <c r="M80" s="9">
        <f>datos_base!$I$3*parametros_manuales!K$13</f>
        <v>389.625</v>
      </c>
      <c r="N80" s="9">
        <f>datos_base!$I$3*parametros_manuales!L$13</f>
        <v>363.65</v>
      </c>
      <c r="O80" s="9">
        <f>datos_base!$I$3*parametros_manuales!M$13</f>
        <v>571.45</v>
      </c>
      <c r="P80" s="8">
        <f t="shared" si="15"/>
        <v>5195</v>
      </c>
    </row>
    <row r="81" ht="14.25" customHeight="1">
      <c r="A81" s="3">
        <v>2033.0</v>
      </c>
      <c r="B81" s="4" t="s">
        <v>38</v>
      </c>
      <c r="C81" s="4" t="s">
        <v>24</v>
      </c>
      <c r="D81" s="9">
        <f>datos_base!$I$4*parametros_manuales!B$14</f>
        <v>2383.4</v>
      </c>
      <c r="E81" s="9">
        <f>datos_base!$I$4*parametros_manuales!C$14</f>
        <v>1906.72</v>
      </c>
      <c r="F81" s="9">
        <f>datos_base!$I$4*parametros_manuales!D$14</f>
        <v>2025.89</v>
      </c>
      <c r="G81" s="9">
        <f>datos_base!$I$4*parametros_manuales!E$14</f>
        <v>2025.89</v>
      </c>
      <c r="H81" s="9">
        <f>datos_base!$I$4*parametros_manuales!F$14</f>
        <v>1906.72</v>
      </c>
      <c r="I81" s="9">
        <f>datos_base!$I$4*parametros_manuales!G$14</f>
        <v>1787.55</v>
      </c>
      <c r="J81" s="9">
        <f>datos_base!$I$4*parametros_manuales!H$14</f>
        <v>1906.72</v>
      </c>
      <c r="K81" s="9">
        <f>datos_base!$I$4*parametros_manuales!I$14</f>
        <v>1906.72</v>
      </c>
      <c r="L81" s="9">
        <f>datos_base!$I$4*parametros_manuales!J$14</f>
        <v>1906.72</v>
      </c>
      <c r="M81" s="9">
        <f>datos_base!$I$4*parametros_manuales!K$14</f>
        <v>1787.55</v>
      </c>
      <c r="N81" s="9">
        <f>datos_base!$I$4*parametros_manuales!L$14</f>
        <v>1668.38</v>
      </c>
      <c r="O81" s="9">
        <f>datos_base!$I$4*parametros_manuales!M$14</f>
        <v>2621.74</v>
      </c>
      <c r="P81" s="8">
        <f t="shared" si="15"/>
        <v>23834</v>
      </c>
    </row>
    <row r="82" ht="14.25" customHeight="1">
      <c r="A82" s="3">
        <v>2033.0</v>
      </c>
      <c r="B82" s="4" t="s">
        <v>43</v>
      </c>
      <c r="C82" s="4" t="s">
        <v>24</v>
      </c>
      <c r="D82" s="9">
        <f>datos_base!$I$5*parametros_manuales!B$15</f>
        <v>143.1</v>
      </c>
      <c r="E82" s="9">
        <f>datos_base!$I$5*parametros_manuales!C$15</f>
        <v>114.48</v>
      </c>
      <c r="F82" s="9">
        <f>datos_base!$I$5*parametros_manuales!D$15</f>
        <v>121.635</v>
      </c>
      <c r="G82" s="9">
        <f>datos_base!$I$5*parametros_manuales!E$15</f>
        <v>121.635</v>
      </c>
      <c r="H82" s="9">
        <f>datos_base!$I$5*parametros_manuales!F$15</f>
        <v>114.48</v>
      </c>
      <c r="I82" s="9">
        <f>datos_base!$I$5*parametros_manuales!G$15</f>
        <v>107.325</v>
      </c>
      <c r="J82" s="9">
        <f>datos_base!$I$5*parametros_manuales!H$15</f>
        <v>114.48</v>
      </c>
      <c r="K82" s="9">
        <f>datos_base!$I$5*parametros_manuales!I$15</f>
        <v>114.48</v>
      </c>
      <c r="L82" s="9">
        <f>datos_base!$I$5*parametros_manuales!J$15</f>
        <v>114.48</v>
      </c>
      <c r="M82" s="9">
        <f>datos_base!$I$5*parametros_manuales!K$15</f>
        <v>107.325</v>
      </c>
      <c r="N82" s="9">
        <f>datos_base!$I$5*parametros_manuales!L$15</f>
        <v>100.17</v>
      </c>
      <c r="O82" s="9">
        <f>datos_base!$I$5*parametros_manuales!M$15</f>
        <v>157.41</v>
      </c>
      <c r="P82" s="8">
        <f t="shared" si="15"/>
        <v>1431</v>
      </c>
    </row>
    <row r="83" ht="14.25" customHeight="1">
      <c r="A83" s="3">
        <v>2033.0</v>
      </c>
      <c r="B83" s="4" t="s">
        <v>64</v>
      </c>
      <c r="C83" s="4" t="s">
        <v>117</v>
      </c>
      <c r="D83" s="9">
        <f>datos_base!$I$9*parametros_manuales!B$12</f>
        <v>15720.12</v>
      </c>
      <c r="E83" s="9">
        <f>datos_base!$I$9*parametros_manuales!C$12</f>
        <v>11790.09</v>
      </c>
      <c r="F83" s="9">
        <f>datos_base!$I$9*parametros_manuales!D$12</f>
        <v>10480.08</v>
      </c>
      <c r="G83" s="9">
        <f>datos_base!$I$9*parametros_manuales!E$12</f>
        <v>9825.075</v>
      </c>
      <c r="H83" s="9">
        <f>datos_base!$I$9*parametros_manuales!F$12</f>
        <v>9170.07</v>
      </c>
      <c r="I83" s="9">
        <f>datos_base!$I$9*parametros_manuales!G$12</f>
        <v>9170.07</v>
      </c>
      <c r="J83" s="9">
        <f>datos_base!$I$9*parametros_manuales!H$12</f>
        <v>9825.075</v>
      </c>
      <c r="K83" s="9">
        <f>datos_base!$I$9*parametros_manuales!I$12</f>
        <v>9825.075</v>
      </c>
      <c r="L83" s="9">
        <f>datos_base!$I$9*parametros_manuales!J$12</f>
        <v>9825.075</v>
      </c>
      <c r="M83" s="9">
        <f>datos_base!$I$9*parametros_manuales!K$12</f>
        <v>9825.075</v>
      </c>
      <c r="N83" s="9">
        <f>datos_base!$I$9*parametros_manuales!L$12</f>
        <v>9825.075</v>
      </c>
      <c r="O83" s="9">
        <f>datos_base!$I$9*parametros_manuales!M$12</f>
        <v>15720.12</v>
      </c>
      <c r="P83" s="8">
        <f t="shared" si="15"/>
        <v>131001</v>
      </c>
    </row>
    <row r="84" ht="14.25" customHeight="1">
      <c r="A84" s="3">
        <v>2033.0</v>
      </c>
      <c r="B84" s="4" t="s">
        <v>69</v>
      </c>
      <c r="C84" s="4" t="s">
        <v>117</v>
      </c>
      <c r="D84" s="9">
        <f>datos_base!$I$10*parametros_manuales!B$13</f>
        <v>528.2</v>
      </c>
      <c r="E84" s="9">
        <f>datos_base!$I$10*parametros_manuales!C$13</f>
        <v>422.56</v>
      </c>
      <c r="F84" s="9">
        <f>datos_base!$I$10*parametros_manuales!D$13</f>
        <v>448.97</v>
      </c>
      <c r="G84" s="9">
        <f>datos_base!$I$10*parametros_manuales!E$13</f>
        <v>448.97</v>
      </c>
      <c r="H84" s="9">
        <f>datos_base!$I$10*parametros_manuales!F$13</f>
        <v>422.56</v>
      </c>
      <c r="I84" s="9">
        <f>datos_base!$I$10*parametros_manuales!G$13</f>
        <v>396.15</v>
      </c>
      <c r="J84" s="9">
        <f>datos_base!$I$10*parametros_manuales!H$13</f>
        <v>422.56</v>
      </c>
      <c r="K84" s="9">
        <f>datos_base!$I$10*parametros_manuales!I$13</f>
        <v>422.56</v>
      </c>
      <c r="L84" s="9">
        <f>datos_base!$I$10*parametros_manuales!J$13</f>
        <v>422.56</v>
      </c>
      <c r="M84" s="9">
        <f>datos_base!$I$10*parametros_manuales!K$13</f>
        <v>396.15</v>
      </c>
      <c r="N84" s="9">
        <f>datos_base!$I$10*parametros_manuales!L$13</f>
        <v>369.74</v>
      </c>
      <c r="O84" s="9">
        <f>datos_base!$I$10*parametros_manuales!M$13</f>
        <v>581.02</v>
      </c>
      <c r="P84" s="8">
        <f t="shared" si="15"/>
        <v>5282</v>
      </c>
    </row>
    <row r="85" ht="14.25" customHeight="1">
      <c r="A85" s="3">
        <v>2033.0</v>
      </c>
      <c r="B85" s="4" t="s">
        <v>70</v>
      </c>
      <c r="C85" s="4" t="s">
        <v>117</v>
      </c>
      <c r="D85" s="9">
        <f>datos_base!$I$11*parametros_manuales!B$14</f>
        <v>2611.7</v>
      </c>
      <c r="E85" s="9">
        <f>datos_base!$I$11*parametros_manuales!C$14</f>
        <v>2089.36</v>
      </c>
      <c r="F85" s="9">
        <f>datos_base!$I$11*parametros_manuales!D$14</f>
        <v>2219.945</v>
      </c>
      <c r="G85" s="9">
        <f>datos_base!$I$11*parametros_manuales!E$14</f>
        <v>2219.945</v>
      </c>
      <c r="H85" s="9">
        <f>datos_base!$I$11*parametros_manuales!F$14</f>
        <v>2089.36</v>
      </c>
      <c r="I85" s="9">
        <f>datos_base!$I$11*parametros_manuales!G$14</f>
        <v>1958.775</v>
      </c>
      <c r="J85" s="9">
        <f>datos_base!$I$11*parametros_manuales!H$14</f>
        <v>2089.36</v>
      </c>
      <c r="K85" s="9">
        <f>datos_base!$I$11*parametros_manuales!I$14</f>
        <v>2089.36</v>
      </c>
      <c r="L85" s="9">
        <f>datos_base!$I$11*parametros_manuales!J$14</f>
        <v>2089.36</v>
      </c>
      <c r="M85" s="9">
        <f>datos_base!$I$11*parametros_manuales!K$14</f>
        <v>1958.775</v>
      </c>
      <c r="N85" s="9">
        <f>datos_base!$I$11*parametros_manuales!L$14</f>
        <v>1828.19</v>
      </c>
      <c r="O85" s="9">
        <f>datos_base!$I$11*parametros_manuales!M$14</f>
        <v>2872.87</v>
      </c>
      <c r="P85" s="8">
        <f t="shared" si="15"/>
        <v>26117</v>
      </c>
    </row>
    <row r="86" ht="14.25" customHeight="1">
      <c r="A86" s="3">
        <v>2033.0</v>
      </c>
      <c r="B86" s="4" t="s">
        <v>72</v>
      </c>
      <c r="C86" s="4" t="s">
        <v>117</v>
      </c>
      <c r="D86" s="9">
        <f>datos_base!$I$12*parametros_manuales!B$15</f>
        <v>160.8</v>
      </c>
      <c r="E86" s="9">
        <f>datos_base!$I$12*parametros_manuales!C$15</f>
        <v>128.64</v>
      </c>
      <c r="F86" s="9">
        <f>datos_base!$I$12*parametros_manuales!D$15</f>
        <v>136.68</v>
      </c>
      <c r="G86" s="9">
        <f>datos_base!$I$12*parametros_manuales!E$15</f>
        <v>136.68</v>
      </c>
      <c r="H86" s="9">
        <f>datos_base!$I$12*parametros_manuales!F$15</f>
        <v>128.64</v>
      </c>
      <c r="I86" s="9">
        <f>datos_base!$I$12*parametros_manuales!G$15</f>
        <v>120.6</v>
      </c>
      <c r="J86" s="9">
        <f>datos_base!$I$12*parametros_manuales!H$15</f>
        <v>128.64</v>
      </c>
      <c r="K86" s="9">
        <f>datos_base!$I$12*parametros_manuales!I$15</f>
        <v>128.64</v>
      </c>
      <c r="L86" s="9">
        <f>datos_base!$I$12*parametros_manuales!J$15</f>
        <v>128.64</v>
      </c>
      <c r="M86" s="9">
        <f>datos_base!$I$12*parametros_manuales!K$15</f>
        <v>120.6</v>
      </c>
      <c r="N86" s="9">
        <f>datos_base!$I$12*parametros_manuales!L$15</f>
        <v>112.56</v>
      </c>
      <c r="O86" s="9">
        <f>datos_base!$I$12*parametros_manuales!M$15</f>
        <v>176.88</v>
      </c>
      <c r="P86" s="8">
        <f t="shared" si="15"/>
        <v>1608</v>
      </c>
    </row>
    <row r="87" ht="14.25" customHeight="1">
      <c r="A87" s="16"/>
      <c r="B87" s="14" t="s">
        <v>167</v>
      </c>
      <c r="C87" s="16"/>
      <c r="D87" s="15">
        <f t="shared" ref="D87:P87" si="16">SUM(D79:D86)</f>
        <v>25082.66</v>
      </c>
      <c r="E87" s="15">
        <f t="shared" si="16"/>
        <v>19129.33</v>
      </c>
      <c r="F87" s="15">
        <f t="shared" si="16"/>
        <v>17885.335</v>
      </c>
      <c r="G87" s="15">
        <f t="shared" si="16"/>
        <v>17104.67</v>
      </c>
      <c r="H87" s="15">
        <f t="shared" si="16"/>
        <v>16006.67</v>
      </c>
      <c r="I87" s="15">
        <f t="shared" si="16"/>
        <v>15689.335</v>
      </c>
      <c r="J87" s="15">
        <f t="shared" si="16"/>
        <v>16787.335</v>
      </c>
      <c r="K87" s="15">
        <f t="shared" si="16"/>
        <v>16787.335</v>
      </c>
      <c r="L87" s="15">
        <f t="shared" si="16"/>
        <v>16787.335</v>
      </c>
      <c r="M87" s="15">
        <f t="shared" si="16"/>
        <v>16470</v>
      </c>
      <c r="N87" s="15">
        <f t="shared" si="16"/>
        <v>16152.665</v>
      </c>
      <c r="O87" s="15">
        <f t="shared" si="16"/>
        <v>25717.33</v>
      </c>
      <c r="P87" s="15">
        <f t="shared" si="16"/>
        <v>219600</v>
      </c>
    </row>
    <row r="88" ht="14.2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</row>
    <row r="89" ht="14.25" customHeight="1">
      <c r="A89" s="1">
        <v>2034.0</v>
      </c>
      <c r="B89" s="1" t="s">
        <v>3</v>
      </c>
      <c r="C89" s="1" t="s">
        <v>4</v>
      </c>
      <c r="D89" s="1" t="s">
        <v>5</v>
      </c>
      <c r="E89" s="1" t="s">
        <v>6</v>
      </c>
      <c r="F89" s="1" t="s">
        <v>7</v>
      </c>
      <c r="G89" s="1" t="s">
        <v>8</v>
      </c>
      <c r="H89" s="1" t="s">
        <v>9</v>
      </c>
      <c r="I89" s="1" t="s">
        <v>10</v>
      </c>
      <c r="J89" s="1" t="s">
        <v>12</v>
      </c>
      <c r="K89" s="1" t="s">
        <v>13</v>
      </c>
      <c r="L89" s="1" t="s">
        <v>15</v>
      </c>
      <c r="M89" s="1" t="s">
        <v>16</v>
      </c>
      <c r="N89" s="1" t="s">
        <v>17</v>
      </c>
      <c r="O89" s="1" t="s">
        <v>18</v>
      </c>
      <c r="P89" s="1" t="s">
        <v>19</v>
      </c>
    </row>
    <row r="90" ht="14.25" customHeight="1">
      <c r="A90" s="3">
        <v>2034.0</v>
      </c>
      <c r="B90" s="4" t="s">
        <v>23</v>
      </c>
      <c r="C90" s="4" t="s">
        <v>24</v>
      </c>
      <c r="D90" s="9">
        <f>datos_base!$J$2*parametros_manuales!B$12</f>
        <v>3428.76</v>
      </c>
      <c r="E90" s="9">
        <f>datos_base!$J$2*parametros_manuales!C$12</f>
        <v>2571.57</v>
      </c>
      <c r="F90" s="9">
        <f>datos_base!$J$2*parametros_manuales!D$12</f>
        <v>2285.84</v>
      </c>
      <c r="G90" s="9">
        <f>datos_base!$J$2*parametros_manuales!E$12</f>
        <v>2142.975</v>
      </c>
      <c r="H90" s="9">
        <f>datos_base!$J$2*parametros_manuales!F$12</f>
        <v>2000.11</v>
      </c>
      <c r="I90" s="9">
        <f>datos_base!$J$2*parametros_manuales!G$12</f>
        <v>2000.11</v>
      </c>
      <c r="J90" s="9">
        <f>datos_base!$J$2*parametros_manuales!H$12</f>
        <v>2142.975</v>
      </c>
      <c r="K90" s="9">
        <f>datos_base!$J$2*parametros_manuales!I$12</f>
        <v>2142.975</v>
      </c>
      <c r="L90" s="9">
        <f>datos_base!$J$2*parametros_manuales!J$12</f>
        <v>2142.975</v>
      </c>
      <c r="M90" s="9">
        <f>datos_base!$J$2*parametros_manuales!K$12</f>
        <v>2142.975</v>
      </c>
      <c r="N90" s="9">
        <f>datos_base!$J$2*parametros_manuales!L$12</f>
        <v>2142.975</v>
      </c>
      <c r="O90" s="9">
        <f>datos_base!$J$2*parametros_manuales!M$12</f>
        <v>3428.76</v>
      </c>
      <c r="P90" s="8">
        <f t="shared" ref="P90:P97" si="17">SUM(D90:O90)</f>
        <v>28573</v>
      </c>
    </row>
    <row r="91" ht="14.25" customHeight="1">
      <c r="A91" s="3">
        <v>2034.0</v>
      </c>
      <c r="B91" s="4" t="s">
        <v>33</v>
      </c>
      <c r="C91" s="4" t="s">
        <v>24</v>
      </c>
      <c r="D91" s="9">
        <f>datos_base!$J$3*parametros_manuales!B$13</f>
        <v>629.2</v>
      </c>
      <c r="E91" s="9">
        <f>datos_base!$J$3*parametros_manuales!C$13</f>
        <v>503.36</v>
      </c>
      <c r="F91" s="9">
        <f>datos_base!$J$3*parametros_manuales!D$13</f>
        <v>534.82</v>
      </c>
      <c r="G91" s="9">
        <f>datos_base!$J$3*parametros_manuales!E$13</f>
        <v>534.82</v>
      </c>
      <c r="H91" s="9">
        <f>datos_base!$J$3*parametros_manuales!F$13</f>
        <v>503.36</v>
      </c>
      <c r="I91" s="9">
        <f>datos_base!$J$3*parametros_manuales!G$13</f>
        <v>471.9</v>
      </c>
      <c r="J91" s="9">
        <f>datos_base!$J$3*parametros_manuales!H$13</f>
        <v>503.36</v>
      </c>
      <c r="K91" s="9">
        <f>datos_base!$J$3*parametros_manuales!I$13</f>
        <v>503.36</v>
      </c>
      <c r="L91" s="9">
        <f>datos_base!$J$3*parametros_manuales!J$13</f>
        <v>503.36</v>
      </c>
      <c r="M91" s="9">
        <f>datos_base!$J$3*parametros_manuales!K$13</f>
        <v>471.9</v>
      </c>
      <c r="N91" s="9">
        <f>datos_base!$J$3*parametros_manuales!L$13</f>
        <v>440.44</v>
      </c>
      <c r="O91" s="9">
        <f>datos_base!$J$3*parametros_manuales!M$13</f>
        <v>692.12</v>
      </c>
      <c r="P91" s="8">
        <f t="shared" si="17"/>
        <v>6292</v>
      </c>
    </row>
    <row r="92" ht="14.25" customHeight="1">
      <c r="A92" s="3">
        <v>2034.0</v>
      </c>
      <c r="B92" s="4" t="s">
        <v>38</v>
      </c>
      <c r="C92" s="4" t="s">
        <v>24</v>
      </c>
      <c r="D92" s="9">
        <f>datos_base!$J$4*parametros_manuales!B$14</f>
        <v>2747</v>
      </c>
      <c r="E92" s="9">
        <f>datos_base!$J$4*parametros_manuales!C$14</f>
        <v>2197.6</v>
      </c>
      <c r="F92" s="9">
        <f>datos_base!$J$4*parametros_manuales!D$14</f>
        <v>2334.95</v>
      </c>
      <c r="G92" s="9">
        <f>datos_base!$J$4*parametros_manuales!E$14</f>
        <v>2334.95</v>
      </c>
      <c r="H92" s="9">
        <f>datos_base!$J$4*parametros_manuales!F$14</f>
        <v>2197.6</v>
      </c>
      <c r="I92" s="9">
        <f>datos_base!$J$4*parametros_manuales!G$14</f>
        <v>2060.25</v>
      </c>
      <c r="J92" s="9">
        <f>datos_base!$J$4*parametros_manuales!H$14</f>
        <v>2197.6</v>
      </c>
      <c r="K92" s="9">
        <f>datos_base!$J$4*parametros_manuales!I$14</f>
        <v>2197.6</v>
      </c>
      <c r="L92" s="9">
        <f>datos_base!$J$4*parametros_manuales!J$14</f>
        <v>2197.6</v>
      </c>
      <c r="M92" s="9">
        <f>datos_base!$J$4*parametros_manuales!K$14</f>
        <v>2060.25</v>
      </c>
      <c r="N92" s="9">
        <f>datos_base!$J$4*parametros_manuales!L$14</f>
        <v>1922.9</v>
      </c>
      <c r="O92" s="9">
        <f>datos_base!$J$4*parametros_manuales!M$14</f>
        <v>3021.7</v>
      </c>
      <c r="P92" s="8">
        <f t="shared" si="17"/>
        <v>27470</v>
      </c>
    </row>
    <row r="93" ht="14.25" customHeight="1">
      <c r="A93" s="3">
        <v>2034.0</v>
      </c>
      <c r="B93" s="4" t="s">
        <v>43</v>
      </c>
      <c r="C93" s="4" t="s">
        <v>24</v>
      </c>
      <c r="D93" s="9">
        <f>datos_base!$J$5*parametros_manuales!B$15</f>
        <v>165</v>
      </c>
      <c r="E93" s="9">
        <f>datos_base!$J$5*parametros_manuales!C$15</f>
        <v>132</v>
      </c>
      <c r="F93" s="9">
        <f>datos_base!$J$5*parametros_manuales!D$15</f>
        <v>140.25</v>
      </c>
      <c r="G93" s="9">
        <f>datos_base!$J$5*parametros_manuales!E$15</f>
        <v>140.25</v>
      </c>
      <c r="H93" s="9">
        <f>datos_base!$J$5*parametros_manuales!F$15</f>
        <v>132</v>
      </c>
      <c r="I93" s="9">
        <f>datos_base!$J$5*parametros_manuales!G$15</f>
        <v>123.75</v>
      </c>
      <c r="J93" s="9">
        <f>datos_base!$J$5*parametros_manuales!H$15</f>
        <v>132</v>
      </c>
      <c r="K93" s="9">
        <f>datos_base!$J$5*parametros_manuales!I$15</f>
        <v>132</v>
      </c>
      <c r="L93" s="9">
        <f>datos_base!$J$5*parametros_manuales!J$15</f>
        <v>132</v>
      </c>
      <c r="M93" s="9">
        <f>datos_base!$J$5*parametros_manuales!K$15</f>
        <v>123.75</v>
      </c>
      <c r="N93" s="9">
        <f>datos_base!$J$5*parametros_manuales!L$15</f>
        <v>115.5</v>
      </c>
      <c r="O93" s="9">
        <f>datos_base!$J$5*parametros_manuales!M$15</f>
        <v>181.5</v>
      </c>
      <c r="P93" s="8">
        <f t="shared" si="17"/>
        <v>1650</v>
      </c>
    </row>
    <row r="94" ht="14.25" customHeight="1">
      <c r="A94" s="3">
        <v>2034.0</v>
      </c>
      <c r="B94" s="4" t="s">
        <v>64</v>
      </c>
      <c r="C94" s="4" t="s">
        <v>117</v>
      </c>
      <c r="D94" s="9">
        <f>datos_base!$J$9*parametros_manuales!B$12</f>
        <v>17618.4</v>
      </c>
      <c r="E94" s="9">
        <f>datos_base!$J$9*parametros_manuales!C$12</f>
        <v>13213.8</v>
      </c>
      <c r="F94" s="9">
        <f>datos_base!$J$9*parametros_manuales!D$12</f>
        <v>11745.6</v>
      </c>
      <c r="G94" s="9">
        <f>datos_base!$J$9*parametros_manuales!E$12</f>
        <v>11011.5</v>
      </c>
      <c r="H94" s="9">
        <f>datos_base!$J$9*parametros_manuales!F$12</f>
        <v>10277.4</v>
      </c>
      <c r="I94" s="9">
        <f>datos_base!$J$9*parametros_manuales!G$12</f>
        <v>10277.4</v>
      </c>
      <c r="J94" s="9">
        <f>datos_base!$J$9*parametros_manuales!H$12</f>
        <v>11011.5</v>
      </c>
      <c r="K94" s="9">
        <f>datos_base!$J$9*parametros_manuales!I$12</f>
        <v>11011.5</v>
      </c>
      <c r="L94" s="9">
        <f>datos_base!$J$9*parametros_manuales!J$12</f>
        <v>11011.5</v>
      </c>
      <c r="M94" s="9">
        <f>datos_base!$J$9*parametros_manuales!K$12</f>
        <v>11011.5</v>
      </c>
      <c r="N94" s="9">
        <f>datos_base!$J$9*parametros_manuales!L$12</f>
        <v>11011.5</v>
      </c>
      <c r="O94" s="9">
        <f>datos_base!$J$9*parametros_manuales!M$12</f>
        <v>17618.4</v>
      </c>
      <c r="P94" s="8">
        <f t="shared" si="17"/>
        <v>146820</v>
      </c>
    </row>
    <row r="95" ht="14.25" customHeight="1">
      <c r="A95" s="3">
        <v>2034.0</v>
      </c>
      <c r="B95" s="4" t="s">
        <v>69</v>
      </c>
      <c r="C95" s="4" t="s">
        <v>117</v>
      </c>
      <c r="D95" s="9">
        <f>datos_base!$J$10*parametros_manuales!B$13</f>
        <v>591.3</v>
      </c>
      <c r="E95" s="9">
        <f>datos_base!$J$10*parametros_manuales!C$13</f>
        <v>473.04</v>
      </c>
      <c r="F95" s="9">
        <f>datos_base!$J$10*parametros_manuales!D$13</f>
        <v>502.605</v>
      </c>
      <c r="G95" s="9">
        <f>datos_base!$J$10*parametros_manuales!E$13</f>
        <v>502.605</v>
      </c>
      <c r="H95" s="9">
        <f>datos_base!$J$10*parametros_manuales!F$13</f>
        <v>473.04</v>
      </c>
      <c r="I95" s="9">
        <f>datos_base!$J$10*parametros_manuales!G$13</f>
        <v>443.475</v>
      </c>
      <c r="J95" s="9">
        <f>datos_base!$J$10*parametros_manuales!H$13</f>
        <v>473.04</v>
      </c>
      <c r="K95" s="9">
        <f>datos_base!$J$10*parametros_manuales!I$13</f>
        <v>473.04</v>
      </c>
      <c r="L95" s="9">
        <f>datos_base!$J$10*parametros_manuales!J$13</f>
        <v>473.04</v>
      </c>
      <c r="M95" s="9">
        <f>datos_base!$J$10*parametros_manuales!K$13</f>
        <v>443.475</v>
      </c>
      <c r="N95" s="9">
        <f>datos_base!$J$10*parametros_manuales!L$13</f>
        <v>413.91</v>
      </c>
      <c r="O95" s="9">
        <f>datos_base!$J$10*parametros_manuales!M$13</f>
        <v>650.43</v>
      </c>
      <c r="P95" s="8">
        <f t="shared" si="17"/>
        <v>5913</v>
      </c>
    </row>
    <row r="96" ht="14.25" customHeight="1">
      <c r="A96" s="3">
        <v>2034.0</v>
      </c>
      <c r="B96" s="4" t="s">
        <v>70</v>
      </c>
      <c r="C96" s="4" t="s">
        <v>117</v>
      </c>
      <c r="D96" s="9">
        <f>datos_base!$J$11*parametros_manuales!B$14</f>
        <v>2923.6</v>
      </c>
      <c r="E96" s="9">
        <f>datos_base!$J$11*parametros_manuales!C$14</f>
        <v>2338.88</v>
      </c>
      <c r="F96" s="9">
        <f>datos_base!$J$11*parametros_manuales!D$14</f>
        <v>2485.06</v>
      </c>
      <c r="G96" s="9">
        <f>datos_base!$J$11*parametros_manuales!E$14</f>
        <v>2485.06</v>
      </c>
      <c r="H96" s="9">
        <f>datos_base!$J$11*parametros_manuales!F$14</f>
        <v>2338.88</v>
      </c>
      <c r="I96" s="9">
        <f>datos_base!$J$11*parametros_manuales!G$14</f>
        <v>2192.7</v>
      </c>
      <c r="J96" s="9">
        <f>datos_base!$J$11*parametros_manuales!H$14</f>
        <v>2338.88</v>
      </c>
      <c r="K96" s="9">
        <f>datos_base!$J$11*parametros_manuales!I$14</f>
        <v>2338.88</v>
      </c>
      <c r="L96" s="9">
        <f>datos_base!$J$11*parametros_manuales!J$14</f>
        <v>2338.88</v>
      </c>
      <c r="M96" s="9">
        <f>datos_base!$J$11*parametros_manuales!K$14</f>
        <v>2192.7</v>
      </c>
      <c r="N96" s="9">
        <f>datos_base!$J$11*parametros_manuales!L$14</f>
        <v>2046.52</v>
      </c>
      <c r="O96" s="9">
        <f>datos_base!$J$11*parametros_manuales!M$14</f>
        <v>3215.96</v>
      </c>
      <c r="P96" s="8">
        <f t="shared" si="17"/>
        <v>29236</v>
      </c>
    </row>
    <row r="97" ht="14.25" customHeight="1">
      <c r="A97" s="3">
        <v>2034.0</v>
      </c>
      <c r="B97" s="4" t="s">
        <v>72</v>
      </c>
      <c r="C97" s="4" t="s">
        <v>117</v>
      </c>
      <c r="D97" s="9">
        <f>datos_base!$J$12*parametros_manuales!B$15</f>
        <v>179.9</v>
      </c>
      <c r="E97" s="9">
        <f>datos_base!$J$12*parametros_manuales!C$15</f>
        <v>143.92</v>
      </c>
      <c r="F97" s="9">
        <f>datos_base!$J$12*parametros_manuales!D$15</f>
        <v>152.915</v>
      </c>
      <c r="G97" s="9">
        <f>datos_base!$J$12*parametros_manuales!E$15</f>
        <v>152.915</v>
      </c>
      <c r="H97" s="9">
        <f>datos_base!$J$12*parametros_manuales!F$15</f>
        <v>143.92</v>
      </c>
      <c r="I97" s="9">
        <f>datos_base!$J$12*parametros_manuales!G$15</f>
        <v>134.925</v>
      </c>
      <c r="J97" s="9">
        <f>datos_base!$J$12*parametros_manuales!H$15</f>
        <v>143.92</v>
      </c>
      <c r="K97" s="9">
        <f>datos_base!$J$12*parametros_manuales!I$15</f>
        <v>143.92</v>
      </c>
      <c r="L97" s="9">
        <f>datos_base!$J$12*parametros_manuales!J$15</f>
        <v>143.92</v>
      </c>
      <c r="M97" s="9">
        <f>datos_base!$J$12*parametros_manuales!K$15</f>
        <v>134.925</v>
      </c>
      <c r="N97" s="9">
        <f>datos_base!$J$12*parametros_manuales!L$15</f>
        <v>125.93</v>
      </c>
      <c r="O97" s="9">
        <f>datos_base!$J$12*parametros_manuales!M$15</f>
        <v>197.89</v>
      </c>
      <c r="P97" s="8">
        <f t="shared" si="17"/>
        <v>1799</v>
      </c>
    </row>
    <row r="98" ht="14.25" customHeight="1">
      <c r="A98" s="16"/>
      <c r="B98" s="14" t="s">
        <v>167</v>
      </c>
      <c r="C98" s="16"/>
      <c r="D98" s="15">
        <f t="shared" ref="D98:P98" si="18">SUM(D90:D97)</f>
        <v>28283.16</v>
      </c>
      <c r="E98" s="15">
        <f t="shared" si="18"/>
        <v>21574.17</v>
      </c>
      <c r="F98" s="15">
        <f t="shared" si="18"/>
        <v>20182.04</v>
      </c>
      <c r="G98" s="15">
        <f t="shared" si="18"/>
        <v>19305.075</v>
      </c>
      <c r="H98" s="15">
        <f t="shared" si="18"/>
        <v>18066.31</v>
      </c>
      <c r="I98" s="15">
        <f t="shared" si="18"/>
        <v>17704.51</v>
      </c>
      <c r="J98" s="15">
        <f t="shared" si="18"/>
        <v>18943.275</v>
      </c>
      <c r="K98" s="15">
        <f t="shared" si="18"/>
        <v>18943.275</v>
      </c>
      <c r="L98" s="15">
        <f t="shared" si="18"/>
        <v>18943.275</v>
      </c>
      <c r="M98" s="15">
        <f t="shared" si="18"/>
        <v>18581.475</v>
      </c>
      <c r="N98" s="15">
        <f t="shared" si="18"/>
        <v>18219.675</v>
      </c>
      <c r="O98" s="15">
        <f t="shared" si="18"/>
        <v>29006.76</v>
      </c>
      <c r="P98" s="15">
        <f t="shared" si="18"/>
        <v>247753</v>
      </c>
    </row>
    <row r="99" ht="14.2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</row>
    <row r="100" ht="14.25" customHeight="1">
      <c r="A100" s="1">
        <v>2035.0</v>
      </c>
      <c r="B100" s="1" t="s">
        <v>3</v>
      </c>
      <c r="C100" s="1" t="s">
        <v>4</v>
      </c>
      <c r="D100" s="1" t="s">
        <v>5</v>
      </c>
      <c r="E100" s="1" t="s">
        <v>6</v>
      </c>
      <c r="F100" s="1" t="s">
        <v>7</v>
      </c>
      <c r="G100" s="1" t="s">
        <v>8</v>
      </c>
      <c r="H100" s="1" t="s">
        <v>9</v>
      </c>
      <c r="I100" s="1" t="s">
        <v>10</v>
      </c>
      <c r="J100" s="1" t="s">
        <v>12</v>
      </c>
      <c r="K100" s="1" t="s">
        <v>13</v>
      </c>
      <c r="L100" s="1" t="s">
        <v>15</v>
      </c>
      <c r="M100" s="1" t="s">
        <v>16</v>
      </c>
      <c r="N100" s="1" t="s">
        <v>17</v>
      </c>
      <c r="O100" s="1" t="s">
        <v>18</v>
      </c>
      <c r="P100" s="1" t="s">
        <v>19</v>
      </c>
    </row>
    <row r="101" ht="14.25" customHeight="1">
      <c r="A101" s="3">
        <v>2035.0</v>
      </c>
      <c r="B101" s="4" t="s">
        <v>23</v>
      </c>
      <c r="C101" s="4" t="s">
        <v>24</v>
      </c>
      <c r="D101" s="9">
        <f>datos_base!$K$2*parametros_manuales!B$12</f>
        <v>3848.76</v>
      </c>
      <c r="E101" s="9">
        <f>datos_base!$K$2*parametros_manuales!C$12</f>
        <v>2886.57</v>
      </c>
      <c r="F101" s="9">
        <f>datos_base!$K$2*parametros_manuales!D$12</f>
        <v>2565.84</v>
      </c>
      <c r="G101" s="9">
        <f>datos_base!$K$2*parametros_manuales!E$12</f>
        <v>2405.475</v>
      </c>
      <c r="H101" s="9">
        <f>datos_base!$K$2*parametros_manuales!F$12</f>
        <v>2245.11</v>
      </c>
      <c r="I101" s="9">
        <f>datos_base!$K$2*parametros_manuales!G$12</f>
        <v>2245.11</v>
      </c>
      <c r="J101" s="9">
        <f>datos_base!$K$2*parametros_manuales!H$12</f>
        <v>2405.475</v>
      </c>
      <c r="K101" s="9">
        <f>datos_base!$K$2*parametros_manuales!I$12</f>
        <v>2405.475</v>
      </c>
      <c r="L101" s="9">
        <f>datos_base!$K$2*parametros_manuales!J$12</f>
        <v>2405.475</v>
      </c>
      <c r="M101" s="9">
        <f>datos_base!$K$2*parametros_manuales!K$12</f>
        <v>2405.475</v>
      </c>
      <c r="N101" s="9">
        <f>datos_base!$K$2*parametros_manuales!L$12</f>
        <v>2405.475</v>
      </c>
      <c r="O101" s="9">
        <f>datos_base!$K$2*parametros_manuales!M$12</f>
        <v>3848.76</v>
      </c>
      <c r="P101" s="8">
        <f t="shared" ref="P101:P108" si="19">SUM(D101:O101)</f>
        <v>32073</v>
      </c>
    </row>
    <row r="102" ht="14.25" customHeight="1">
      <c r="A102" s="3">
        <v>2035.0</v>
      </c>
      <c r="B102" s="4" t="s">
        <v>33</v>
      </c>
      <c r="C102" s="4" t="s">
        <v>24</v>
      </c>
      <c r="D102" s="9">
        <f>datos_base!$K$3*parametros_manuales!B$13</f>
        <v>752.9</v>
      </c>
      <c r="E102" s="9">
        <f>datos_base!$K$3*parametros_manuales!C$13</f>
        <v>602.32</v>
      </c>
      <c r="F102" s="9">
        <f>datos_base!$K$3*parametros_manuales!D$13</f>
        <v>639.965</v>
      </c>
      <c r="G102" s="9">
        <f>datos_base!$K$3*parametros_manuales!E$13</f>
        <v>639.965</v>
      </c>
      <c r="H102" s="9">
        <f>datos_base!$K$3*parametros_manuales!F$13</f>
        <v>602.32</v>
      </c>
      <c r="I102" s="9">
        <f>datos_base!$K$3*parametros_manuales!G$13</f>
        <v>564.675</v>
      </c>
      <c r="J102" s="9">
        <f>datos_base!$K$3*parametros_manuales!H$13</f>
        <v>602.32</v>
      </c>
      <c r="K102" s="9">
        <f>datos_base!$K$3*parametros_manuales!I$13</f>
        <v>602.32</v>
      </c>
      <c r="L102" s="9">
        <f>datos_base!$K$3*parametros_manuales!J$13</f>
        <v>602.32</v>
      </c>
      <c r="M102" s="9">
        <f>datos_base!$K$3*parametros_manuales!K$13</f>
        <v>564.675</v>
      </c>
      <c r="N102" s="9">
        <f>datos_base!$K$3*parametros_manuales!L$13</f>
        <v>527.03</v>
      </c>
      <c r="O102" s="9">
        <f>datos_base!$K$3*parametros_manuales!M$13</f>
        <v>828.19</v>
      </c>
      <c r="P102" s="8">
        <f t="shared" si="19"/>
        <v>7529</v>
      </c>
    </row>
    <row r="103" ht="14.25" customHeight="1">
      <c r="A103" s="3">
        <v>2035.0</v>
      </c>
      <c r="B103" s="4" t="s">
        <v>38</v>
      </c>
      <c r="C103" s="4" t="s">
        <v>24</v>
      </c>
      <c r="D103" s="9">
        <f>datos_base!$K$4*parametros_manuales!B$14</f>
        <v>3129.1</v>
      </c>
      <c r="E103" s="9">
        <f>datos_base!$K$4*parametros_manuales!C$14</f>
        <v>2503.28</v>
      </c>
      <c r="F103" s="9">
        <f>datos_base!$K$4*parametros_manuales!D$14</f>
        <v>2659.735</v>
      </c>
      <c r="G103" s="9">
        <f>datos_base!$K$4*parametros_manuales!E$14</f>
        <v>2659.735</v>
      </c>
      <c r="H103" s="9">
        <f>datos_base!$K$4*parametros_manuales!F$14</f>
        <v>2503.28</v>
      </c>
      <c r="I103" s="9">
        <f>datos_base!$K$4*parametros_manuales!G$14</f>
        <v>2346.825</v>
      </c>
      <c r="J103" s="9">
        <f>datos_base!$K$4*parametros_manuales!H$14</f>
        <v>2503.28</v>
      </c>
      <c r="K103" s="9">
        <f>datos_base!$K$4*parametros_manuales!I$14</f>
        <v>2503.28</v>
      </c>
      <c r="L103" s="9">
        <f>datos_base!$K$4*parametros_manuales!J$14</f>
        <v>2503.28</v>
      </c>
      <c r="M103" s="9">
        <f>datos_base!$K$4*parametros_manuales!K$14</f>
        <v>2346.825</v>
      </c>
      <c r="N103" s="9">
        <f>datos_base!$K$4*parametros_manuales!L$14</f>
        <v>2190.37</v>
      </c>
      <c r="O103" s="9">
        <f>datos_base!$K$4*parametros_manuales!M$14</f>
        <v>3442.01</v>
      </c>
      <c r="P103" s="8">
        <f t="shared" si="19"/>
        <v>31291</v>
      </c>
    </row>
    <row r="104" ht="14.25" customHeight="1">
      <c r="A104" s="3">
        <v>2035.0</v>
      </c>
      <c r="B104" s="4" t="s">
        <v>43</v>
      </c>
      <c r="C104" s="4" t="s">
        <v>24</v>
      </c>
      <c r="D104" s="9">
        <f>datos_base!$K$5*parametros_manuales!B$15</f>
        <v>188.2</v>
      </c>
      <c r="E104" s="9">
        <f>datos_base!$K$5*parametros_manuales!C$15</f>
        <v>150.56</v>
      </c>
      <c r="F104" s="9">
        <f>datos_base!$K$5*parametros_manuales!D$15</f>
        <v>159.97</v>
      </c>
      <c r="G104" s="9">
        <f>datos_base!$K$5*parametros_manuales!E$15</f>
        <v>159.97</v>
      </c>
      <c r="H104" s="9">
        <f>datos_base!$K$5*parametros_manuales!F$15</f>
        <v>150.56</v>
      </c>
      <c r="I104" s="9">
        <f>datos_base!$K$5*parametros_manuales!G$15</f>
        <v>141.15</v>
      </c>
      <c r="J104" s="9">
        <f>datos_base!$K$5*parametros_manuales!H$15</f>
        <v>150.56</v>
      </c>
      <c r="K104" s="9">
        <f>datos_base!$K$5*parametros_manuales!I$15</f>
        <v>150.56</v>
      </c>
      <c r="L104" s="9">
        <f>datos_base!$K$5*parametros_manuales!J$15</f>
        <v>150.56</v>
      </c>
      <c r="M104" s="9">
        <f>datos_base!$K$5*parametros_manuales!K$15</f>
        <v>141.15</v>
      </c>
      <c r="N104" s="9">
        <f>datos_base!$K$5*parametros_manuales!L$15</f>
        <v>131.74</v>
      </c>
      <c r="O104" s="9">
        <f>datos_base!$K$5*parametros_manuales!M$15</f>
        <v>207.02</v>
      </c>
      <c r="P104" s="8">
        <f t="shared" si="19"/>
        <v>1882</v>
      </c>
    </row>
    <row r="105" ht="14.25" customHeight="1">
      <c r="A105" s="3">
        <v>2035.0</v>
      </c>
      <c r="B105" s="4" t="s">
        <v>64</v>
      </c>
      <c r="C105" s="4" t="s">
        <v>117</v>
      </c>
      <c r="D105" s="9">
        <f>datos_base!$K$9*parametros_manuales!B$12</f>
        <v>20465.76</v>
      </c>
      <c r="E105" s="9">
        <f>datos_base!$K$9*parametros_manuales!C$12</f>
        <v>15349.32</v>
      </c>
      <c r="F105" s="9">
        <f>datos_base!$K$9*parametros_manuales!D$12</f>
        <v>13643.84</v>
      </c>
      <c r="G105" s="9">
        <f>datos_base!$K$9*parametros_manuales!E$12</f>
        <v>12791.1</v>
      </c>
      <c r="H105" s="9">
        <f>datos_base!$K$9*parametros_manuales!F$12</f>
        <v>11938.36</v>
      </c>
      <c r="I105" s="9">
        <f>datos_base!$K$9*parametros_manuales!G$12</f>
        <v>11938.36</v>
      </c>
      <c r="J105" s="9">
        <f>datos_base!$K$9*parametros_manuales!H$12</f>
        <v>12791.1</v>
      </c>
      <c r="K105" s="9">
        <f>datos_base!$K$9*parametros_manuales!I$12</f>
        <v>12791.1</v>
      </c>
      <c r="L105" s="9">
        <f>datos_base!$K$9*parametros_manuales!J$12</f>
        <v>12791.1</v>
      </c>
      <c r="M105" s="9">
        <f>datos_base!$K$9*parametros_manuales!K$12</f>
        <v>12791.1</v>
      </c>
      <c r="N105" s="9">
        <f>datos_base!$K$9*parametros_manuales!L$12</f>
        <v>12791.1</v>
      </c>
      <c r="O105" s="9">
        <f>datos_base!$K$9*parametros_manuales!M$12</f>
        <v>20465.76</v>
      </c>
      <c r="P105" s="8">
        <f t="shared" si="19"/>
        <v>170548</v>
      </c>
    </row>
    <row r="106" ht="14.25" customHeight="1">
      <c r="A106" s="3">
        <v>2035.0</v>
      </c>
      <c r="B106" s="4" t="s">
        <v>69</v>
      </c>
      <c r="C106" s="4" t="s">
        <v>117</v>
      </c>
      <c r="D106" s="9">
        <f>datos_base!$K$10*parametros_manuales!B$13</f>
        <v>685.4</v>
      </c>
      <c r="E106" s="9">
        <f>datos_base!$K$10*parametros_manuales!C$13</f>
        <v>548.32</v>
      </c>
      <c r="F106" s="9">
        <f>datos_base!$K$10*parametros_manuales!D$13</f>
        <v>582.59</v>
      </c>
      <c r="G106" s="9">
        <f>datos_base!$K$10*parametros_manuales!E$13</f>
        <v>582.59</v>
      </c>
      <c r="H106" s="9">
        <f>datos_base!$K$10*parametros_manuales!F$13</f>
        <v>548.32</v>
      </c>
      <c r="I106" s="9">
        <f>datos_base!$K$10*parametros_manuales!G$13</f>
        <v>514.05</v>
      </c>
      <c r="J106" s="9">
        <f>datos_base!$K$10*parametros_manuales!H$13</f>
        <v>548.32</v>
      </c>
      <c r="K106" s="9">
        <f>datos_base!$K$10*parametros_manuales!I$13</f>
        <v>548.32</v>
      </c>
      <c r="L106" s="9">
        <f>datos_base!$K$10*parametros_manuales!J$13</f>
        <v>548.32</v>
      </c>
      <c r="M106" s="9">
        <f>datos_base!$K$10*parametros_manuales!K$13</f>
        <v>514.05</v>
      </c>
      <c r="N106" s="9">
        <f>datos_base!$K$10*parametros_manuales!L$13</f>
        <v>479.78</v>
      </c>
      <c r="O106" s="9">
        <f>datos_base!$K$10*parametros_manuales!M$13</f>
        <v>753.94</v>
      </c>
      <c r="P106" s="8">
        <f t="shared" si="19"/>
        <v>6854</v>
      </c>
    </row>
    <row r="107" ht="14.25" customHeight="1">
      <c r="A107" s="3">
        <v>2035.0</v>
      </c>
      <c r="B107" s="4" t="s">
        <v>70</v>
      </c>
      <c r="C107" s="4" t="s">
        <v>117</v>
      </c>
      <c r="D107" s="9">
        <f>datos_base!$K$11*parametros_manuales!B$14</f>
        <v>3388.2</v>
      </c>
      <c r="E107" s="9">
        <f>datos_base!$K$11*parametros_manuales!C$14</f>
        <v>2710.56</v>
      </c>
      <c r="F107" s="9">
        <f>datos_base!$K$11*parametros_manuales!D$14</f>
        <v>2879.97</v>
      </c>
      <c r="G107" s="9">
        <f>datos_base!$K$11*parametros_manuales!E$14</f>
        <v>2879.97</v>
      </c>
      <c r="H107" s="9">
        <f>datos_base!$K$11*parametros_manuales!F$14</f>
        <v>2710.56</v>
      </c>
      <c r="I107" s="9">
        <f>datos_base!$K$11*parametros_manuales!G$14</f>
        <v>2541.15</v>
      </c>
      <c r="J107" s="9">
        <f>datos_base!$K$11*parametros_manuales!H$14</f>
        <v>2710.56</v>
      </c>
      <c r="K107" s="9">
        <f>datos_base!$K$11*parametros_manuales!I$14</f>
        <v>2710.56</v>
      </c>
      <c r="L107" s="9">
        <f>datos_base!$K$11*parametros_manuales!J$14</f>
        <v>2710.56</v>
      </c>
      <c r="M107" s="9">
        <f>datos_base!$K$11*parametros_manuales!K$14</f>
        <v>2541.15</v>
      </c>
      <c r="N107" s="9">
        <f>datos_base!$K$11*parametros_manuales!L$14</f>
        <v>2371.74</v>
      </c>
      <c r="O107" s="9">
        <f>datos_base!$K$11*parametros_manuales!M$14</f>
        <v>3727.02</v>
      </c>
      <c r="P107" s="8">
        <f t="shared" si="19"/>
        <v>33882</v>
      </c>
    </row>
    <row r="108" ht="14.25" customHeight="1">
      <c r="A108" s="3">
        <v>2035.0</v>
      </c>
      <c r="B108" s="4" t="s">
        <v>72</v>
      </c>
      <c r="C108" s="4" t="s">
        <v>117</v>
      </c>
      <c r="D108" s="9">
        <f>datos_base!$K$12*parametros_manuales!B$15</f>
        <v>208.4</v>
      </c>
      <c r="E108" s="9">
        <f>datos_base!$K$12*parametros_manuales!C$15</f>
        <v>166.72</v>
      </c>
      <c r="F108" s="9">
        <f>datos_base!$K$12*parametros_manuales!D$15</f>
        <v>177.14</v>
      </c>
      <c r="G108" s="9">
        <f>datos_base!$K$12*parametros_manuales!E$15</f>
        <v>177.14</v>
      </c>
      <c r="H108" s="9">
        <f>datos_base!$K$12*parametros_manuales!F$15</f>
        <v>166.72</v>
      </c>
      <c r="I108" s="9">
        <f>datos_base!$K$12*parametros_manuales!G$15</f>
        <v>156.3</v>
      </c>
      <c r="J108" s="9">
        <f>datos_base!$K$12*parametros_manuales!H$15</f>
        <v>166.72</v>
      </c>
      <c r="K108" s="9">
        <f>datos_base!$K$12*parametros_manuales!I$15</f>
        <v>166.72</v>
      </c>
      <c r="L108" s="9">
        <f>datos_base!$K$12*parametros_manuales!J$15</f>
        <v>166.72</v>
      </c>
      <c r="M108" s="9">
        <f>datos_base!$K$12*parametros_manuales!K$15</f>
        <v>156.3</v>
      </c>
      <c r="N108" s="9">
        <f>datos_base!$K$12*parametros_manuales!L$15</f>
        <v>145.88</v>
      </c>
      <c r="O108" s="9">
        <f>datos_base!$K$12*parametros_manuales!M$15</f>
        <v>229.24</v>
      </c>
      <c r="P108" s="8">
        <f t="shared" si="19"/>
        <v>2084</v>
      </c>
    </row>
    <row r="109" ht="14.25" customHeight="1">
      <c r="A109" s="16"/>
      <c r="B109" s="14" t="s">
        <v>167</v>
      </c>
      <c r="C109" s="16"/>
      <c r="D109" s="15">
        <f t="shared" ref="D109:P109" si="20">SUM(D101:D108)</f>
        <v>32666.72</v>
      </c>
      <c r="E109" s="15">
        <f t="shared" si="20"/>
        <v>24917.65</v>
      </c>
      <c r="F109" s="15">
        <f t="shared" si="20"/>
        <v>23309.05</v>
      </c>
      <c r="G109" s="15">
        <f t="shared" si="20"/>
        <v>22295.945</v>
      </c>
      <c r="H109" s="15">
        <f t="shared" si="20"/>
        <v>20865.23</v>
      </c>
      <c r="I109" s="15">
        <f t="shared" si="20"/>
        <v>20447.62</v>
      </c>
      <c r="J109" s="15">
        <f t="shared" si="20"/>
        <v>21878.335</v>
      </c>
      <c r="K109" s="15">
        <f t="shared" si="20"/>
        <v>21878.335</v>
      </c>
      <c r="L109" s="15">
        <f t="shared" si="20"/>
        <v>21878.335</v>
      </c>
      <c r="M109" s="15">
        <f t="shared" si="20"/>
        <v>21460.725</v>
      </c>
      <c r="N109" s="15">
        <f t="shared" si="20"/>
        <v>21043.115</v>
      </c>
      <c r="O109" s="15">
        <f t="shared" si="20"/>
        <v>33501.94</v>
      </c>
      <c r="P109" s="15">
        <f t="shared" si="20"/>
        <v>286143</v>
      </c>
    </row>
    <row r="110" ht="14.2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</row>
    <row r="111" ht="14.2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</row>
    <row r="112" ht="14.2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</row>
    <row r="113" ht="14.2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</row>
    <row r="114" ht="14.2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</row>
    <row r="115" ht="14.2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</row>
    <row r="116" ht="14.2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</row>
    <row r="117" ht="14.2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</row>
    <row r="118" ht="14.2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</row>
    <row r="119" ht="14.2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</row>
    <row r="120" ht="14.2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</row>
    <row r="121" ht="14.2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</row>
    <row r="122" ht="14.2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</row>
    <row r="123" ht="14.2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</row>
    <row r="124" ht="14.2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</row>
    <row r="125" ht="14.2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</row>
    <row r="126" ht="14.2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</row>
    <row r="127" ht="14.2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</row>
    <row r="128" ht="14.2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</row>
    <row r="129" ht="14.2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</row>
    <row r="130" ht="14.2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</row>
    <row r="131" ht="14.2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</row>
    <row r="132" ht="14.2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</row>
    <row r="133" ht="14.2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</row>
    <row r="134" ht="14.2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</row>
    <row r="135" ht="14.2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</row>
    <row r="136" ht="14.2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</row>
    <row r="137" ht="14.2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</row>
    <row r="138" ht="14.2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</row>
    <row r="139" ht="14.2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</row>
    <row r="140" ht="14.2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</row>
    <row r="141" ht="14.2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</row>
    <row r="142" ht="14.2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</row>
    <row r="143" ht="14.2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</row>
    <row r="144" ht="14.2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</row>
    <row r="145" ht="14.2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</row>
    <row r="146" ht="14.2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</row>
    <row r="147" ht="14.2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</row>
    <row r="148" ht="14.2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</row>
    <row r="149" ht="14.2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</row>
    <row r="150" ht="14.2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</row>
    <row r="151" ht="14.25" customHeight="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</row>
    <row r="152" ht="14.25" customHeight="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</row>
    <row r="153" ht="14.2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</row>
    <row r="154" ht="14.2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</row>
    <row r="155" ht="14.2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</row>
    <row r="156" ht="14.2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</row>
    <row r="157" ht="14.2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</row>
    <row r="158" ht="14.2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</row>
    <row r="159" ht="14.2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</row>
    <row r="160" ht="14.2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</row>
    <row r="161" ht="14.2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</row>
    <row r="162" ht="14.2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</row>
    <row r="163" ht="14.2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</row>
    <row r="164" ht="14.2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</row>
    <row r="165" ht="14.2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</row>
    <row r="166" ht="14.25" customHeight="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</row>
    <row r="167" ht="14.2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</row>
    <row r="168" ht="14.2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</row>
    <row r="169" ht="14.25" customHeight="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</row>
    <row r="170" ht="14.2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</row>
    <row r="171" ht="14.2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</row>
    <row r="172" ht="14.2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</row>
    <row r="173" ht="14.2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</row>
    <row r="174" ht="14.2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</row>
    <row r="175" ht="14.2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</row>
    <row r="176" ht="14.25" customHeight="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</row>
    <row r="177" ht="14.25" customHeight="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</row>
    <row r="178" ht="14.25" customHeight="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</row>
    <row r="179" ht="14.2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</row>
    <row r="180" ht="14.2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</row>
    <row r="181" ht="14.25" customHeight="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</row>
    <row r="182" ht="14.25" customHeight="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</row>
    <row r="183" ht="14.25" customHeight="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</row>
    <row r="184" ht="14.25" customHeight="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</row>
    <row r="185" ht="14.2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</row>
    <row r="186" ht="14.25" customHeight="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</row>
    <row r="187" ht="14.25" customHeight="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</row>
    <row r="188" ht="14.25" customHeight="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</row>
    <row r="189" ht="14.25" customHeight="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</row>
    <row r="190" ht="14.25" customHeight="1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</row>
    <row r="191" ht="14.25" customHeight="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</row>
    <row r="192" ht="14.25" customHeight="1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</row>
    <row r="193" ht="14.25" customHeight="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</row>
    <row r="194" ht="14.25" customHeight="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</row>
    <row r="195" ht="14.25" customHeight="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</row>
    <row r="196" ht="14.2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</row>
    <row r="197" ht="14.25" customHeight="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</row>
    <row r="198" ht="14.25" customHeight="1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</row>
    <row r="199" ht="14.25" customHeight="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</row>
    <row r="200" ht="14.25" customHeight="1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</row>
    <row r="201" ht="14.25" customHeight="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</row>
    <row r="202" ht="14.2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</row>
    <row r="203" ht="14.25" customHeight="1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</row>
    <row r="204" ht="14.25" customHeight="1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</row>
    <row r="205" ht="14.25" customHeight="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</row>
    <row r="206" ht="14.25" customHeight="1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</row>
    <row r="207" ht="14.25" customHeight="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</row>
    <row r="208" ht="14.25" customHeight="1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</row>
    <row r="209" ht="14.25" customHeight="1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</row>
    <row r="210" ht="14.25" customHeight="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</row>
    <row r="211" ht="14.25" customHeight="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</row>
    <row r="212" ht="14.25" customHeight="1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</row>
    <row r="213" ht="14.25" customHeight="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</row>
    <row r="214" ht="14.25" customHeight="1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</row>
    <row r="215" ht="14.25" customHeight="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</row>
    <row r="216" ht="14.25" customHeight="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</row>
    <row r="217" ht="14.2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</row>
    <row r="218" ht="14.25" customHeight="1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</row>
    <row r="219" ht="14.25" customHeight="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</row>
    <row r="220" ht="14.25" customHeight="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</row>
    <row r="221" ht="14.25" customHeight="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</row>
    <row r="222" ht="14.25" customHeight="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</row>
    <row r="223" ht="14.25" customHeight="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</row>
    <row r="224" ht="14.2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</row>
    <row r="225" ht="14.2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</row>
    <row r="226" ht="14.25" customHeight="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</row>
    <row r="227" ht="14.2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</row>
    <row r="228" ht="14.2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</row>
    <row r="229" ht="14.2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</row>
    <row r="230" ht="14.25" customHeight="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</row>
    <row r="231" ht="14.2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</row>
    <row r="232" ht="14.25" customHeight="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</row>
    <row r="233" ht="14.25" customHeight="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</row>
    <row r="234" ht="14.25" customHeight="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</row>
    <row r="235" ht="14.25" customHeight="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</row>
    <row r="236" ht="14.25" customHeight="1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</row>
    <row r="237" ht="14.25" customHeight="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</row>
    <row r="238" ht="14.25" customHeight="1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</row>
    <row r="239" ht="14.25" customHeight="1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</row>
    <row r="240" ht="14.25" customHeight="1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</row>
    <row r="241" ht="14.25" customHeight="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</row>
    <row r="242" ht="14.25" customHeight="1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</row>
    <row r="243" ht="14.25" customHeight="1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</row>
    <row r="244" ht="14.25" customHeight="1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</row>
    <row r="245" ht="14.25" customHeight="1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</row>
    <row r="246" ht="14.25" customHeight="1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</row>
    <row r="247" ht="14.25" customHeight="1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</row>
    <row r="248" ht="14.25" customHeight="1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</row>
    <row r="249" ht="14.25" customHeight="1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</row>
    <row r="250" ht="14.25" customHeight="1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</row>
    <row r="251" ht="14.25" customHeight="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</row>
    <row r="252" ht="14.25" customHeight="1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</row>
    <row r="253" ht="14.25" customHeight="1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</row>
    <row r="254" ht="14.25" customHeight="1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</row>
    <row r="255" ht="14.25" customHeight="1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</row>
    <row r="256" ht="14.25" customHeight="1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</row>
    <row r="257" ht="14.25" customHeight="1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</row>
    <row r="258" ht="14.25" customHeight="1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</row>
    <row r="259" ht="14.25" customHeight="1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</row>
    <row r="260" ht="14.25" customHeight="1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</row>
    <row r="261" ht="14.25" customHeight="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</row>
    <row r="262" ht="14.25" customHeight="1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</row>
    <row r="263" ht="14.25" customHeight="1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</row>
    <row r="264" ht="14.25" customHeight="1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</row>
    <row r="265" ht="14.25" customHeight="1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</row>
    <row r="266" ht="14.25" customHeight="1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</row>
    <row r="267" ht="14.25" customHeight="1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</row>
    <row r="268" ht="14.25" customHeight="1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</row>
    <row r="269" ht="14.25" customHeight="1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</row>
    <row r="270" ht="14.25" customHeight="1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</row>
    <row r="271" ht="14.25" customHeight="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</row>
    <row r="272" ht="14.25" customHeight="1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</row>
    <row r="273" ht="14.25" customHeight="1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</row>
    <row r="274" ht="14.25" customHeight="1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</row>
    <row r="275" ht="14.25" customHeight="1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</row>
    <row r="276" ht="14.25" customHeight="1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</row>
    <row r="277" ht="14.25" customHeight="1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</row>
    <row r="278" ht="14.25" customHeight="1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</row>
    <row r="279" ht="14.25" customHeight="1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</row>
    <row r="280" ht="14.25" customHeight="1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</row>
    <row r="281" ht="14.25" customHeight="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</row>
    <row r="282" ht="14.25" customHeight="1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</row>
    <row r="283" ht="14.25" customHeight="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</row>
    <row r="284" ht="14.25" customHeight="1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</row>
    <row r="285" ht="14.25" customHeight="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</row>
    <row r="286" ht="14.25" customHeight="1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</row>
    <row r="287" ht="14.25" customHeight="1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</row>
    <row r="288" ht="14.25" customHeight="1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</row>
    <row r="289" ht="14.25" customHeight="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</row>
    <row r="290" ht="14.25" customHeight="1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</row>
    <row r="291" ht="14.25" customHeight="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</row>
    <row r="292" ht="14.25" customHeight="1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</row>
    <row r="293" ht="14.25" customHeight="1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</row>
    <row r="294" ht="14.25" customHeight="1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</row>
    <row r="295" ht="14.25" customHeight="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</row>
    <row r="296" ht="14.25" customHeight="1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</row>
    <row r="297" ht="14.25" customHeight="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</row>
    <row r="298" ht="14.25" customHeight="1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</row>
    <row r="299" ht="14.25" customHeight="1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</row>
    <row r="300" ht="14.25" customHeight="1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</row>
    <row r="301" ht="14.25" customHeight="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</row>
    <row r="302" ht="14.25" customHeight="1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</row>
    <row r="303" ht="14.25" customHeight="1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</row>
    <row r="304" ht="14.25" customHeight="1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</row>
    <row r="305" ht="14.25" customHeight="1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</row>
    <row r="306" ht="14.25" customHeight="1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</row>
    <row r="307" ht="14.25" customHeight="1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</row>
    <row r="308" ht="14.25" customHeight="1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</row>
    <row r="309" ht="14.25" customHeight="1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</row>
    <row r="310" ht="15.75" customHeight="1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</row>
    <row r="311" ht="15.75" customHeight="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</row>
    <row r="312" ht="15.75" customHeight="1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</row>
    <row r="313" ht="15.75" customHeight="1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</row>
    <row r="314" ht="15.75" customHeight="1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</row>
    <row r="315" ht="15.75" customHeight="1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</row>
    <row r="316" ht="15.75" customHeight="1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</row>
    <row r="317" ht="15.75" customHeight="1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</row>
    <row r="318" ht="15.75" customHeight="1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</row>
    <row r="319" ht="15.75" customHeight="1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</row>
    <row r="320" ht="15.75" customHeight="1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</row>
    <row r="321" ht="15.75" customHeight="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</row>
    <row r="322" ht="15.75" customHeight="1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</row>
    <row r="323" ht="15.75" customHeight="1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</row>
    <row r="324" ht="15.75" customHeight="1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</row>
    <row r="325" ht="15.75" customHeight="1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</row>
    <row r="326" ht="15.75" customHeight="1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</row>
    <row r="327" ht="15.75" customHeight="1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</row>
    <row r="328" ht="15.75" customHeight="1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</row>
    <row r="329" ht="15.75" customHeight="1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</row>
    <row r="330" ht="15.75" customHeight="1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</row>
    <row r="331" ht="15.75" customHeight="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</row>
    <row r="332" ht="15.75" customHeight="1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</row>
    <row r="333" ht="15.7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</row>
    <row r="334" ht="15.75" customHeight="1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</row>
    <row r="335" ht="15.75" customHeight="1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</row>
    <row r="336" ht="15.75" customHeight="1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</row>
    <row r="337" ht="15.75" customHeight="1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</row>
    <row r="338" ht="15.75" customHeight="1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</row>
    <row r="339" ht="15.7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</row>
    <row r="340" ht="15.75" customHeight="1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</row>
    <row r="341" ht="15.75" customHeight="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</row>
    <row r="342" ht="15.75" customHeight="1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</row>
    <row r="343" ht="15.75" customHeigh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</row>
    <row r="344" ht="15.75" customHeight="1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</row>
    <row r="345" ht="15.7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</row>
    <row r="346" ht="15.75" customHeight="1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</row>
    <row r="347" ht="15.75" customHeight="1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</row>
    <row r="348" ht="15.75" customHeight="1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</row>
    <row r="349" ht="15.75" customHeight="1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</row>
    <row r="350" ht="15.75" customHeight="1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</row>
    <row r="351" ht="15.75" customHeight="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</row>
    <row r="352" ht="15.75" customHeight="1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</row>
    <row r="353" ht="15.75" customHeight="1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</row>
    <row r="354" ht="15.75" customHeight="1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</row>
    <row r="355" ht="15.75" customHeight="1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</row>
    <row r="356" ht="15.75" customHeight="1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</row>
    <row r="357" ht="15.75" customHeight="1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</row>
    <row r="358" ht="15.75" customHeight="1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</row>
    <row r="359" ht="15.75" customHeight="1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</row>
    <row r="360" ht="15.75" customHeight="1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</row>
    <row r="361" ht="15.75" customHeight="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</row>
    <row r="362" ht="15.75" customHeight="1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</row>
    <row r="363" ht="15.75" customHeight="1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</row>
    <row r="364" ht="15.75" customHeight="1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</row>
    <row r="365" ht="15.75" customHeigh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</row>
    <row r="366" ht="15.75" customHeight="1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</row>
    <row r="367" ht="15.75" customHeight="1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</row>
    <row r="368" ht="15.75" customHeight="1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</row>
    <row r="369" ht="15.75" customHeight="1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</row>
    <row r="370" ht="15.75" customHeight="1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</row>
    <row r="371" ht="15.75" customHeight="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</row>
    <row r="372" ht="15.75" customHeight="1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</row>
    <row r="373" ht="15.75" customHeight="1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</row>
    <row r="374" ht="15.75" customHeight="1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</row>
    <row r="375" ht="15.75" customHeight="1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</row>
    <row r="376" ht="15.75" customHeight="1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</row>
    <row r="377" ht="15.75" customHeight="1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</row>
    <row r="378" ht="15.75" customHeight="1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</row>
    <row r="379" ht="15.75" customHeight="1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</row>
    <row r="380" ht="15.75" customHeight="1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</row>
    <row r="381" ht="15.75" customHeight="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</row>
    <row r="382" ht="15.75" customHeight="1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</row>
    <row r="383" ht="15.75" customHeight="1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</row>
    <row r="384" ht="15.75" customHeight="1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</row>
    <row r="385" ht="15.75" customHeight="1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</row>
    <row r="386" ht="15.75" customHeight="1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</row>
    <row r="387" ht="15.75" customHeight="1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</row>
    <row r="388" ht="15.75" customHeight="1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</row>
    <row r="389" ht="15.75" customHeigh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</row>
    <row r="390" ht="15.75" customHeight="1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</row>
    <row r="391" ht="15.75" customHeight="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</row>
    <row r="392" ht="15.75" customHeight="1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</row>
    <row r="393" ht="15.75" customHeight="1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</row>
    <row r="394" ht="15.75" customHeight="1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</row>
    <row r="395" ht="15.75" customHeight="1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</row>
    <row r="396" ht="15.75" customHeight="1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</row>
    <row r="397" ht="15.75" customHeight="1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</row>
    <row r="398" ht="15.75" customHeight="1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</row>
    <row r="399" ht="15.75" customHeight="1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</row>
    <row r="400" ht="15.75" customHeight="1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</row>
    <row r="401" ht="15.75" customHeight="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</row>
    <row r="402" ht="15.75" customHeight="1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</row>
    <row r="403" ht="15.75" customHeight="1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</row>
    <row r="404" ht="15.75" customHeight="1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</row>
    <row r="405" ht="15.75" customHeight="1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</row>
    <row r="406" ht="15.75" customHeight="1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</row>
    <row r="407" ht="15.75" customHeight="1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</row>
    <row r="408" ht="15.75" customHeight="1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</row>
    <row r="409" ht="15.75" customHeight="1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</row>
    <row r="410" ht="15.75" customHeight="1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</row>
    <row r="411" ht="15.75" customHeight="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</row>
    <row r="412" ht="15.75" customHeight="1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</row>
    <row r="413" ht="15.75" customHeight="1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</row>
    <row r="414" ht="15.75" customHeight="1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</row>
    <row r="415" ht="15.75" customHeight="1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</row>
    <row r="416" ht="15.75" customHeight="1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</row>
    <row r="417" ht="15.75" customHeight="1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</row>
    <row r="418" ht="15.75" customHeight="1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</row>
    <row r="419" ht="15.75" customHeight="1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</row>
    <row r="420" ht="15.75" customHeight="1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</row>
    <row r="421" ht="15.75" customHeight="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</row>
    <row r="422" ht="15.75" customHeight="1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</row>
    <row r="423" ht="15.75" customHeight="1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</row>
    <row r="424" ht="15.75" customHeight="1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</row>
    <row r="425" ht="15.75" customHeight="1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</row>
    <row r="426" ht="15.75" customHeight="1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</row>
    <row r="427" ht="15.75" customHeight="1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</row>
    <row r="428" ht="15.75" customHeight="1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</row>
    <row r="429" ht="15.75" customHeight="1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</row>
    <row r="430" ht="15.75" customHeight="1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</row>
    <row r="431" ht="15.75" customHeight="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</row>
    <row r="432" ht="15.75" customHeight="1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</row>
    <row r="433" ht="15.75" customHeight="1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</row>
    <row r="434" ht="15.75" customHeight="1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</row>
    <row r="435" ht="15.75" customHeigh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</row>
    <row r="436" ht="15.75" customHeight="1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</row>
    <row r="437" ht="15.75" customHeight="1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</row>
    <row r="438" ht="15.75" customHeight="1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</row>
    <row r="439" ht="15.75" customHeight="1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</row>
    <row r="440" ht="15.75" customHeight="1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</row>
    <row r="441" ht="15.75" customHeight="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</row>
    <row r="442" ht="15.75" customHeight="1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</row>
    <row r="443" ht="15.75" customHeight="1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</row>
    <row r="444" ht="15.75" customHeight="1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</row>
    <row r="445" ht="15.75" customHeight="1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</row>
    <row r="446" ht="15.75" customHeight="1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</row>
    <row r="447" ht="15.75" customHeight="1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</row>
    <row r="448" ht="15.75" customHeight="1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</row>
    <row r="449" ht="15.75" customHeight="1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</row>
    <row r="450" ht="15.75" customHeight="1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</row>
    <row r="451" ht="15.75" customHeight="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</row>
    <row r="452" ht="15.75" customHeight="1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</row>
    <row r="453" ht="15.75" customHeight="1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</row>
    <row r="454" ht="15.75" customHeight="1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</row>
    <row r="455" ht="15.75" customHeight="1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</row>
    <row r="456" ht="15.75" customHeight="1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</row>
    <row r="457" ht="15.75" customHeight="1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</row>
    <row r="458" ht="15.75" customHeight="1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</row>
    <row r="459" ht="15.75" customHeight="1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</row>
    <row r="460" ht="15.75" customHeight="1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</row>
    <row r="461" ht="15.75" customHeight="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</row>
    <row r="462" ht="15.75" customHeight="1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</row>
    <row r="463" ht="15.75" customHeight="1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</row>
    <row r="464" ht="15.75" customHeight="1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</row>
    <row r="465" ht="15.75" customHeight="1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</row>
    <row r="466" ht="15.75" customHeight="1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</row>
    <row r="467" ht="15.75" customHeight="1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</row>
    <row r="468" ht="15.75" customHeight="1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</row>
    <row r="469" ht="15.75" customHeight="1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</row>
    <row r="470" ht="15.75" customHeight="1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</row>
    <row r="471" ht="15.75" customHeight="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</row>
    <row r="472" ht="15.75" customHeight="1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</row>
    <row r="473" ht="15.75" customHeight="1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</row>
    <row r="474" ht="15.75" customHeight="1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</row>
    <row r="475" ht="15.75" customHeight="1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</row>
    <row r="476" ht="15.75" customHeight="1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</row>
    <row r="477" ht="15.75" customHeight="1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</row>
    <row r="478" ht="15.75" customHeight="1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</row>
    <row r="479" ht="15.75" customHeight="1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</row>
    <row r="480" ht="15.75" customHeight="1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</row>
    <row r="481" ht="15.75" customHeight="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</row>
    <row r="482" ht="15.75" customHeight="1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</row>
    <row r="483" ht="15.75" customHeight="1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</row>
    <row r="484" ht="15.75" customHeight="1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</row>
    <row r="485" ht="15.75" customHeight="1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</row>
    <row r="486" ht="15.75" customHeight="1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</row>
    <row r="487" ht="15.75" customHeight="1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</row>
    <row r="488" ht="15.75" customHeight="1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</row>
    <row r="489" ht="15.75" customHeight="1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</row>
    <row r="490" ht="15.75" customHeight="1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</row>
    <row r="491" ht="15.75" customHeight="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</row>
    <row r="492" ht="15.75" customHeight="1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</row>
    <row r="493" ht="15.75" customHeight="1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</row>
    <row r="494" ht="15.75" customHeight="1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</row>
    <row r="495" ht="15.75" customHeight="1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</row>
    <row r="496" ht="15.75" customHeight="1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</row>
    <row r="497" ht="15.75" customHeight="1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</row>
    <row r="498" ht="15.75" customHeight="1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</row>
    <row r="499" ht="15.75" customHeight="1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</row>
    <row r="500" ht="15.75" customHeight="1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</row>
    <row r="501" ht="15.75" customHeight="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</row>
    <row r="502" ht="15.75" customHeight="1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</row>
    <row r="503" ht="15.75" customHeight="1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</row>
    <row r="504" ht="15.75" customHeight="1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</row>
    <row r="505" ht="15.75" customHeight="1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</row>
    <row r="506" ht="15.75" customHeight="1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</row>
    <row r="507" ht="15.75" customHeight="1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</row>
    <row r="508" ht="15.75" customHeight="1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</row>
    <row r="509" ht="15.75" customHeight="1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</row>
    <row r="510" ht="15.75" customHeight="1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</row>
    <row r="511" ht="15.75" customHeight="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</row>
    <row r="512" ht="15.75" customHeight="1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</row>
    <row r="513" ht="15.75" customHeight="1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</row>
    <row r="514" ht="15.75" customHeight="1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</row>
    <row r="515" ht="15.75" customHeight="1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</row>
    <row r="516" ht="15.75" customHeight="1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</row>
    <row r="517" ht="15.75" customHeight="1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</row>
    <row r="518" ht="15.75" customHeight="1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</row>
    <row r="519" ht="15.75" customHeight="1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</row>
    <row r="520" ht="15.7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</row>
    <row r="521" ht="15.75" customHeight="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</row>
    <row r="522" ht="15.75" customHeight="1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</row>
    <row r="523" ht="15.75" customHeight="1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</row>
    <row r="524" ht="15.75" customHeight="1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</row>
    <row r="525" ht="15.75" customHeight="1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</row>
    <row r="526" ht="15.75" customHeight="1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</row>
    <row r="527" ht="15.75" customHeight="1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</row>
    <row r="528" ht="15.75" customHeight="1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</row>
    <row r="529" ht="15.75" customHeight="1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</row>
    <row r="530" ht="15.75" customHeight="1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</row>
    <row r="531" ht="15.75" customHeight="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</row>
    <row r="532" ht="15.75" customHeight="1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</row>
    <row r="533" ht="15.75" customHeight="1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</row>
    <row r="534" ht="15.75" customHeight="1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</row>
    <row r="535" ht="15.75" customHeight="1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</row>
    <row r="536" ht="15.75" customHeight="1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</row>
    <row r="537" ht="15.75" customHeight="1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</row>
    <row r="538" ht="15.75" customHeight="1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</row>
    <row r="539" ht="15.75" customHeight="1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</row>
    <row r="540" ht="15.75" customHeight="1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</row>
    <row r="541" ht="15.75" customHeight="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</row>
    <row r="542" ht="15.75" customHeight="1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</row>
    <row r="543" ht="15.75" customHeight="1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</row>
    <row r="544" ht="15.75" customHeight="1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</row>
    <row r="545" ht="15.75" customHeight="1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</row>
    <row r="546" ht="15.75" customHeight="1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</row>
    <row r="547" ht="15.75" customHeight="1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</row>
    <row r="548" ht="15.75" customHeight="1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</row>
    <row r="549" ht="15.75" customHeight="1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</row>
    <row r="550" ht="15.75" customHeight="1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</row>
    <row r="551" ht="15.75" customHeight="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</row>
    <row r="552" ht="15.75" customHeight="1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</row>
    <row r="553" ht="15.75" customHeight="1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</row>
    <row r="554" ht="15.75" customHeight="1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</row>
    <row r="555" ht="15.75" customHeight="1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</row>
    <row r="556" ht="15.75" customHeight="1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</row>
    <row r="557" ht="15.75" customHeight="1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</row>
    <row r="558" ht="15.75" customHeight="1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</row>
    <row r="559" ht="15.75" customHeight="1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</row>
    <row r="560" ht="15.75" customHeight="1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</row>
    <row r="561" ht="15.75" customHeight="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</row>
    <row r="562" ht="15.75" customHeight="1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</row>
    <row r="563" ht="15.75" customHeight="1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</row>
    <row r="564" ht="15.75" customHeight="1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</row>
    <row r="565" ht="15.75" customHeight="1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</row>
    <row r="566" ht="15.75" customHeight="1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</row>
    <row r="567" ht="15.75" customHeight="1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</row>
    <row r="568" ht="15.75" customHeight="1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</row>
    <row r="569" ht="15.75" customHeight="1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</row>
    <row r="570" ht="15.75" customHeight="1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</row>
    <row r="571" ht="15.75" customHeight="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</row>
    <row r="572" ht="15.75" customHeight="1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</row>
    <row r="573" ht="15.75" customHeigh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</row>
    <row r="574" ht="15.75" customHeight="1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</row>
    <row r="575" ht="15.75" customHeight="1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</row>
    <row r="576" ht="15.75" customHeight="1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</row>
    <row r="577" ht="15.75" customHeight="1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</row>
    <row r="578" ht="15.75" customHeight="1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</row>
    <row r="579" ht="15.75" customHeight="1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</row>
    <row r="580" ht="15.75" customHeight="1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</row>
    <row r="581" ht="15.75" customHeight="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</row>
    <row r="582" ht="15.75" customHeight="1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</row>
    <row r="583" ht="15.75" customHeight="1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</row>
    <row r="584" ht="15.75" customHeight="1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</row>
    <row r="585" ht="15.75" customHeigh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</row>
    <row r="586" ht="15.75" customHeight="1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</row>
    <row r="587" ht="15.75" customHeight="1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</row>
    <row r="588" ht="15.75" customHeight="1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</row>
    <row r="589" ht="15.75" customHeight="1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</row>
    <row r="590" ht="15.75" customHeight="1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</row>
    <row r="591" ht="15.75" customHeight="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</row>
    <row r="592" ht="15.75" customHeight="1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</row>
    <row r="593" ht="15.75" customHeight="1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</row>
    <row r="594" ht="15.75" customHeight="1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</row>
    <row r="595" ht="15.75" customHeight="1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</row>
    <row r="596" ht="15.75" customHeight="1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</row>
    <row r="597" ht="15.75" customHeight="1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</row>
    <row r="598" ht="15.75" customHeight="1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</row>
    <row r="599" ht="15.75" customHeight="1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</row>
    <row r="600" ht="15.75" customHeight="1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</row>
    <row r="601" ht="15.75" customHeight="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</row>
    <row r="602" ht="15.75" customHeight="1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</row>
    <row r="603" ht="15.75" customHeight="1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</row>
    <row r="604" ht="15.75" customHeight="1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</row>
    <row r="605" ht="15.75" customHeight="1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</row>
    <row r="606" ht="15.75" customHeight="1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</row>
    <row r="607" ht="15.75" customHeight="1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</row>
    <row r="608" ht="15.75" customHeight="1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</row>
    <row r="609" ht="15.75" customHeigh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</row>
    <row r="610" ht="15.75" customHeight="1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</row>
    <row r="611" ht="15.75" customHeight="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</row>
    <row r="612" ht="15.75" customHeight="1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</row>
    <row r="613" ht="15.75" customHeight="1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</row>
    <row r="614" ht="15.75" customHeight="1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</row>
    <row r="615" ht="15.7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</row>
    <row r="616" ht="15.75" customHeight="1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</row>
    <row r="617" ht="15.7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</row>
    <row r="618" ht="15.75" customHeight="1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</row>
    <row r="619" ht="15.7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</row>
    <row r="620" ht="15.75" customHeight="1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</row>
    <row r="621" ht="15.7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</row>
    <row r="622" ht="15.75" customHeight="1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</row>
    <row r="623" ht="15.7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</row>
    <row r="624" ht="15.75" customHeight="1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</row>
    <row r="625" ht="15.7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</row>
    <row r="626" ht="15.75" customHeight="1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</row>
    <row r="627" ht="15.7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</row>
    <row r="628" ht="15.75" customHeight="1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</row>
    <row r="629" ht="15.7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</row>
    <row r="630" ht="15.75" customHeight="1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</row>
    <row r="631" ht="15.7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</row>
    <row r="632" ht="15.75" customHeight="1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</row>
    <row r="633" ht="15.7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</row>
    <row r="634" ht="15.75" customHeight="1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</row>
    <row r="635" ht="15.7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</row>
    <row r="636" ht="15.75" customHeight="1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</row>
    <row r="637" ht="15.7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</row>
    <row r="638" ht="15.75" customHeight="1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</row>
    <row r="639" ht="15.7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</row>
    <row r="640" ht="15.75" customHeight="1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</row>
    <row r="641" ht="15.7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</row>
    <row r="642" ht="15.75" customHeight="1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</row>
    <row r="643" ht="15.7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</row>
    <row r="644" ht="15.75" customHeight="1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</row>
    <row r="645" ht="15.7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</row>
    <row r="646" ht="15.75" customHeight="1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</row>
    <row r="647" ht="15.7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</row>
    <row r="648" ht="15.75" customHeight="1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</row>
    <row r="649" ht="15.7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</row>
    <row r="650" ht="15.75" customHeight="1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</row>
    <row r="651" ht="15.7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</row>
    <row r="652" ht="15.75" customHeight="1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</row>
    <row r="653" ht="15.7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</row>
    <row r="654" ht="15.75" customHeight="1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</row>
    <row r="655" ht="15.7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</row>
    <row r="656" ht="15.75" customHeight="1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</row>
    <row r="657" ht="15.7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</row>
    <row r="658" ht="15.75" customHeight="1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</row>
    <row r="659" ht="15.7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</row>
    <row r="660" ht="15.75" customHeight="1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</row>
    <row r="661" ht="15.7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</row>
    <row r="662" ht="15.75" customHeight="1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</row>
    <row r="663" ht="15.7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</row>
    <row r="664" ht="15.75" customHeight="1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</row>
    <row r="665" ht="15.7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</row>
    <row r="666" ht="15.75" customHeight="1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</row>
    <row r="667" ht="15.7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</row>
    <row r="668" ht="15.75" customHeight="1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</row>
    <row r="669" ht="15.7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</row>
    <row r="670" ht="15.75" customHeight="1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</row>
    <row r="671" ht="15.7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</row>
    <row r="672" ht="15.75" customHeight="1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</row>
    <row r="673" ht="15.7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</row>
    <row r="674" ht="15.75" customHeight="1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</row>
    <row r="675" ht="15.7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</row>
    <row r="676" ht="15.75" customHeight="1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</row>
    <row r="677" ht="15.7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</row>
    <row r="678" ht="15.75" customHeight="1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</row>
    <row r="679" ht="15.7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</row>
    <row r="680" ht="15.75" customHeight="1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</row>
    <row r="681" ht="15.7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</row>
    <row r="682" ht="15.75" customHeight="1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</row>
    <row r="683" ht="15.7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</row>
    <row r="684" ht="15.75" customHeight="1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</row>
    <row r="685" ht="15.7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</row>
    <row r="686" ht="15.75" customHeight="1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</row>
    <row r="687" ht="15.7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</row>
    <row r="688" ht="15.75" customHeight="1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</row>
    <row r="689" ht="15.7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</row>
    <row r="690" ht="15.75" customHeight="1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</row>
    <row r="691" ht="15.7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</row>
    <row r="692" ht="15.75" customHeight="1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</row>
    <row r="693" ht="15.7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</row>
    <row r="694" ht="15.75" customHeight="1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</row>
    <row r="695" ht="15.7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</row>
    <row r="696" ht="15.75" customHeight="1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</row>
    <row r="697" ht="15.7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</row>
    <row r="698" ht="15.75" customHeight="1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</row>
    <row r="699" ht="15.7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</row>
    <row r="700" ht="15.75" customHeight="1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</row>
    <row r="701" ht="15.7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</row>
    <row r="702" ht="15.75" customHeight="1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</row>
    <row r="703" ht="15.7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</row>
    <row r="704" ht="15.75" customHeight="1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</row>
    <row r="705" ht="15.7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</row>
    <row r="706" ht="15.75" customHeight="1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</row>
    <row r="707" ht="15.7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</row>
    <row r="708" ht="15.75" customHeight="1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</row>
    <row r="709" ht="15.7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</row>
    <row r="710" ht="15.75" customHeight="1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</row>
    <row r="711" ht="15.7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</row>
    <row r="712" ht="15.75" customHeight="1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</row>
    <row r="713" ht="15.7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</row>
    <row r="714" ht="15.75" customHeight="1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</row>
    <row r="715" ht="15.7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</row>
    <row r="716" ht="15.75" customHeight="1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</row>
    <row r="717" ht="15.7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</row>
    <row r="718" ht="15.75" customHeight="1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</row>
    <row r="719" ht="15.7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</row>
    <row r="720" ht="15.75" customHeight="1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</row>
    <row r="721" ht="15.7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</row>
    <row r="722" ht="15.75" customHeight="1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</row>
    <row r="723" ht="15.7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</row>
    <row r="724" ht="15.75" customHeight="1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</row>
    <row r="725" ht="15.7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</row>
    <row r="726" ht="15.75" customHeight="1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</row>
    <row r="727" ht="15.7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</row>
    <row r="728" ht="15.75" customHeight="1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</row>
    <row r="729" ht="15.7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</row>
    <row r="730" ht="15.75" customHeight="1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</row>
    <row r="731" ht="15.7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</row>
    <row r="732" ht="15.75" customHeight="1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</row>
    <row r="733" ht="15.7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</row>
    <row r="734" ht="15.75" customHeight="1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</row>
    <row r="735" ht="15.7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</row>
    <row r="736" ht="15.75" customHeight="1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</row>
    <row r="737" ht="15.7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</row>
    <row r="738" ht="15.75" customHeight="1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</row>
    <row r="739" ht="15.7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</row>
    <row r="740" ht="15.75" customHeight="1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</row>
    <row r="741" ht="15.7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</row>
    <row r="742" ht="15.75" customHeight="1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</row>
    <row r="743" ht="15.7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</row>
    <row r="744" ht="15.75" customHeight="1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</row>
    <row r="745" ht="15.7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</row>
    <row r="746" ht="15.75" customHeight="1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</row>
    <row r="747" ht="15.7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</row>
    <row r="748" ht="15.75" customHeight="1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</row>
    <row r="749" ht="15.7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</row>
    <row r="750" ht="15.75" customHeight="1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</row>
    <row r="751" ht="15.7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</row>
    <row r="752" ht="15.75" customHeight="1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</row>
    <row r="753" ht="15.7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</row>
    <row r="754" ht="15.75" customHeight="1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</row>
    <row r="755" ht="15.7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</row>
    <row r="756" ht="15.75" customHeight="1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</row>
    <row r="757" ht="15.7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</row>
    <row r="758" ht="15.75" customHeight="1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</row>
    <row r="759" ht="15.7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</row>
    <row r="760" ht="15.75" customHeight="1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</row>
    <row r="761" ht="15.7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</row>
    <row r="762" ht="15.75" customHeight="1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</row>
    <row r="763" ht="15.7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</row>
    <row r="764" ht="15.75" customHeight="1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</row>
    <row r="765" ht="15.7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</row>
    <row r="766" ht="15.75" customHeight="1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</row>
    <row r="767" ht="15.7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</row>
    <row r="768" ht="15.75" customHeight="1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</row>
    <row r="769" ht="15.7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</row>
    <row r="770" ht="15.75" customHeight="1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</row>
    <row r="771" ht="15.7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</row>
    <row r="772" ht="15.75" customHeight="1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</row>
    <row r="773" ht="15.7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</row>
    <row r="774" ht="15.75" customHeight="1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</row>
    <row r="775" ht="15.7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</row>
    <row r="776" ht="15.75" customHeight="1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</row>
    <row r="777" ht="15.7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</row>
    <row r="778" ht="15.75" customHeight="1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</row>
    <row r="779" ht="15.7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</row>
    <row r="780" ht="15.75" customHeight="1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</row>
    <row r="781" ht="15.7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</row>
    <row r="782" ht="15.75" customHeight="1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</row>
    <row r="783" ht="15.7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</row>
    <row r="784" ht="15.75" customHeight="1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</row>
    <row r="785" ht="15.7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</row>
    <row r="786" ht="15.75" customHeight="1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</row>
    <row r="787" ht="15.7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</row>
    <row r="788" ht="15.75" customHeight="1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</row>
    <row r="789" ht="15.7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</row>
    <row r="790" ht="15.75" customHeight="1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</row>
    <row r="791" ht="15.7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</row>
    <row r="792" ht="15.75" customHeight="1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</row>
    <row r="793" ht="15.7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</row>
    <row r="794" ht="15.75" customHeight="1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</row>
    <row r="795" ht="15.7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</row>
    <row r="796" ht="15.75" customHeight="1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</row>
    <row r="797" ht="15.7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</row>
    <row r="798" ht="15.75" customHeight="1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</row>
    <row r="799" ht="15.7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</row>
    <row r="800" ht="15.7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</row>
    <row r="801" ht="15.7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</row>
    <row r="802" ht="15.7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</row>
    <row r="803" ht="15.7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</row>
    <row r="804" ht="15.75" customHeight="1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</row>
    <row r="805" ht="15.7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</row>
    <row r="806" ht="15.75" customHeight="1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</row>
    <row r="807" ht="15.7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</row>
    <row r="808" ht="15.75" customHeight="1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</row>
    <row r="809" ht="15.7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</row>
    <row r="810" ht="15.75" customHeight="1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</row>
    <row r="811" ht="15.7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</row>
    <row r="812" ht="15.75" customHeight="1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</row>
    <row r="813" ht="15.7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</row>
    <row r="814" ht="15.7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</row>
    <row r="815" ht="15.7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</row>
    <row r="816" ht="15.7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</row>
    <row r="817" ht="15.7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</row>
    <row r="818" ht="15.75" customHeight="1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</row>
    <row r="819" ht="15.7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</row>
    <row r="820" ht="15.75" customHeight="1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</row>
    <row r="821" ht="15.7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</row>
    <row r="822" ht="15.75" customHeight="1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</row>
    <row r="823" ht="15.7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</row>
    <row r="824" ht="15.75" customHeight="1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</row>
    <row r="825" ht="15.7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</row>
    <row r="826" ht="15.75" customHeight="1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</row>
    <row r="827" ht="15.7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</row>
    <row r="828" ht="15.7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</row>
    <row r="829" ht="15.7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</row>
    <row r="830" ht="15.7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</row>
    <row r="831" ht="15.7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</row>
    <row r="832" ht="15.7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</row>
    <row r="833" ht="15.7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</row>
    <row r="834" ht="15.75" customHeight="1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</row>
    <row r="835" ht="15.7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</row>
    <row r="836" ht="15.75" customHeight="1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</row>
    <row r="837" ht="15.7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</row>
    <row r="838" ht="15.75" customHeight="1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</row>
    <row r="839" ht="15.7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</row>
    <row r="840" ht="15.75" customHeight="1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</row>
    <row r="841" ht="15.7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</row>
    <row r="842" ht="15.75" customHeight="1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</row>
    <row r="843" ht="15.7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</row>
    <row r="844" ht="15.7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</row>
    <row r="845" ht="15.7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</row>
    <row r="846" ht="15.7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</row>
    <row r="847" ht="15.7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</row>
    <row r="848" ht="15.75" customHeight="1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</row>
    <row r="849" ht="15.7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</row>
    <row r="850" ht="15.75" customHeight="1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</row>
    <row r="851" ht="15.7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</row>
    <row r="852" ht="15.75" customHeight="1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</row>
    <row r="853" ht="15.7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</row>
    <row r="854" ht="15.75" customHeight="1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</row>
    <row r="855" ht="15.7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</row>
    <row r="856" ht="15.75" customHeight="1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</row>
    <row r="857" ht="15.7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</row>
    <row r="858" ht="15.75" customHeight="1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</row>
    <row r="859" ht="15.7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</row>
    <row r="860" ht="15.7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</row>
    <row r="861" ht="15.7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</row>
    <row r="862" ht="15.7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</row>
    <row r="863" ht="15.7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</row>
    <row r="864" ht="15.75" customHeight="1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</row>
    <row r="865" ht="15.7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</row>
    <row r="866" ht="15.75" customHeight="1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</row>
    <row r="867" ht="15.7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</row>
    <row r="868" ht="15.75" customHeight="1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</row>
    <row r="869" ht="15.7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</row>
    <row r="870" ht="15.75" customHeight="1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</row>
    <row r="871" ht="15.7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</row>
    <row r="872" ht="15.75" customHeight="1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</row>
    <row r="873" ht="15.7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</row>
    <row r="874" ht="15.7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</row>
    <row r="875" ht="15.7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</row>
    <row r="876" ht="15.75" customHeight="1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</row>
    <row r="877" ht="15.7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</row>
    <row r="878" ht="15.75" customHeight="1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</row>
    <row r="879" ht="15.7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</row>
    <row r="880" ht="15.75" customHeight="1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</row>
    <row r="881" ht="15.7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</row>
    <row r="882" ht="15.75" customHeight="1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</row>
    <row r="883" ht="15.7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</row>
    <row r="884" ht="15.75" customHeight="1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</row>
    <row r="885" ht="15.7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</row>
    <row r="886" ht="15.75" customHeight="1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</row>
    <row r="887" ht="15.7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</row>
    <row r="888" ht="15.75" customHeight="1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</row>
    <row r="889" ht="15.7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</row>
    <row r="890" ht="15.7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</row>
    <row r="891" ht="15.7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</row>
    <row r="892" ht="15.7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</row>
    <row r="893" ht="15.7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</row>
    <row r="894" ht="15.7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</row>
    <row r="895" ht="15.7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</row>
    <row r="896" ht="15.7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</row>
    <row r="897" ht="15.7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</row>
    <row r="898" ht="15.75" customHeight="1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</row>
    <row r="899" ht="15.7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</row>
    <row r="900" ht="15.75" customHeight="1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</row>
    <row r="901" ht="15.7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</row>
    <row r="902" ht="15.75" customHeight="1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</row>
    <row r="903" ht="15.7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</row>
    <row r="904" ht="15.75" customHeight="1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</row>
    <row r="905" ht="15.7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</row>
    <row r="906" ht="15.75" customHeight="1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</row>
    <row r="907" ht="15.7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</row>
    <row r="908" ht="15.7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</row>
    <row r="909" ht="15.7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</row>
    <row r="910" ht="15.7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</row>
    <row r="911" ht="15.7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</row>
    <row r="912" ht="15.75" customHeight="1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</row>
    <row r="913" ht="15.7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</row>
    <row r="914" ht="15.75" customHeight="1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</row>
    <row r="915" ht="15.7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</row>
    <row r="916" ht="15.75" customHeight="1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</row>
    <row r="917" ht="15.7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</row>
    <row r="918" ht="15.75" customHeight="1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</row>
    <row r="919" ht="15.7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</row>
    <row r="920" ht="15.75" customHeight="1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</row>
    <row r="921" ht="15.7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</row>
    <row r="922" ht="15.75" customHeight="1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</row>
    <row r="923" ht="15.7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</row>
    <row r="924" ht="15.75" customHeight="1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</row>
    <row r="925" ht="15.7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</row>
    <row r="926" ht="15.75" customHeight="1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</row>
    <row r="927" ht="15.7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</row>
    <row r="928" ht="15.75" customHeight="1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</row>
    <row r="929" ht="15.7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</row>
    <row r="930" ht="15.75" customHeight="1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</row>
    <row r="931" ht="15.7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</row>
    <row r="932" ht="15.75" customHeight="1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</row>
    <row r="933" ht="15.7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</row>
    <row r="934" ht="15.75" customHeight="1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</row>
    <row r="935" ht="15.7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</row>
    <row r="936" ht="15.75" customHeight="1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</row>
    <row r="937" ht="15.7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</row>
    <row r="938" ht="15.75" customHeight="1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</row>
    <row r="939" ht="15.7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</row>
    <row r="940" ht="15.75" customHeight="1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</row>
    <row r="941" ht="15.7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</row>
    <row r="942" ht="15.75" customHeight="1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</row>
    <row r="943" ht="15.7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</row>
    <row r="944" ht="15.75" customHeight="1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</row>
    <row r="945" ht="15.7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</row>
    <row r="946" ht="15.75" customHeight="1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</row>
    <row r="947" ht="15.7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</row>
    <row r="948" ht="15.75" customHeight="1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</row>
    <row r="949" ht="15.7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</row>
    <row r="950" ht="15.75" customHeight="1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</row>
    <row r="951" ht="15.7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</row>
    <row r="952" ht="15.75" customHeight="1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</row>
    <row r="953" ht="15.7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</row>
    <row r="954" ht="15.75" customHeight="1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</row>
    <row r="955" ht="15.7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</row>
    <row r="956" ht="15.75" customHeight="1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</row>
    <row r="957" ht="15.7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</row>
    <row r="958" ht="15.75" customHeight="1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</row>
    <row r="959" ht="15.7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</row>
    <row r="960" ht="15.75" customHeight="1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</row>
    <row r="961" ht="15.7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</row>
    <row r="962" ht="15.75" customHeight="1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</row>
    <row r="963" ht="15.7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</row>
    <row r="964" ht="15.75" customHeight="1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</row>
    <row r="965" ht="15.7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</row>
    <row r="966" ht="15.75" customHeight="1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</row>
    <row r="967" ht="15.7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</row>
    <row r="968" ht="15.75" customHeight="1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</row>
    <row r="969" ht="15.7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</row>
    <row r="970" ht="15.75" customHeight="1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</row>
    <row r="971" ht="15.7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</row>
    <row r="972" ht="15.75" customHeight="1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</row>
    <row r="973" ht="15.7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</row>
    <row r="974" ht="15.75" customHeight="1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</row>
    <row r="975" ht="15.7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</row>
    <row r="976" ht="15.75" customHeight="1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</row>
    <row r="977" ht="15.7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</row>
    <row r="978" ht="15.75" customHeight="1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</row>
    <row r="979" ht="15.7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</row>
    <row r="980" ht="15.75" customHeight="1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</row>
    <row r="981" ht="15.75" customHeight="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</row>
    <row r="982" ht="15.75" customHeight="1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</row>
    <row r="983" ht="15.75" customHeight="1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</row>
    <row r="984" ht="15.75" customHeight="1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</row>
    <row r="985" ht="15.75" customHeight="1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</row>
    <row r="986" ht="15.75" customHeight="1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</row>
    <row r="987" ht="15.75" customHeight="1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</row>
    <row r="988" ht="15.75" customHeight="1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</row>
    <row r="989" ht="15.75" customHeight="1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</row>
    <row r="990" ht="15.75" customHeight="1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</row>
    <row r="991" ht="15.75" customHeight="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</row>
    <row r="992" ht="15.75" customHeight="1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</row>
    <row r="993" ht="15.75" customHeight="1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</row>
    <row r="994" ht="15.75" customHeight="1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</row>
    <row r="995" ht="15.75" customHeight="1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</row>
    <row r="996" ht="15.75" customHeight="1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</row>
    <row r="997" ht="15.75" customHeight="1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</row>
    <row r="998" ht="15.75" customHeight="1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</row>
    <row r="999" ht="15.75" customHeight="1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</row>
    <row r="1000" ht="15.75" customHeight="1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42.0"/>
    <col customWidth="1" min="2" max="14" width="9.0"/>
    <col customWidth="1" min="15" max="16" width="12.0"/>
    <col customWidth="1" min="17" max="17" width="9.0"/>
  </cols>
  <sheetData>
    <row r="1" ht="14.25" customHeight="1">
      <c r="A1" s="1" t="s">
        <v>0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12</v>
      </c>
      <c r="I1" s="1" t="s">
        <v>13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ht="14.25" customHeight="1">
      <c r="A2" s="4" t="str">
        <f>parametros_manuales!$B$19</f>
        <v>Recepción de materia prima</v>
      </c>
      <c r="B2" s="8">
        <f>(parametros_manuales!$D$19*('Plan mensual'!D2+IF(parametros_manuales!$H$19="Todos",'Plan mensual'!D6,0))+parametros_manuales!$E$19*('Plan mensual'!D3+IF(parametros_manuales!$H$19="Todos",'Plan mensual'!D7,0))+parametros_manuales!$F$19*('Plan mensual'!D4+IF(parametros_manuales!$H$19="Todos",'Plan mensual'!D8,0))+parametros_manuales!$G$19*('Plan mensual'!D5+IF(parametros_manuales!$H$19="Todos",'Plan mensual'!D9,0)))*parametros_manuales!$I$19*parametros_manuales!$J$19</f>
        <v>769.88</v>
      </c>
      <c r="C2" s="8">
        <f>(parametros_manuales!$D$19*('Plan mensual'!E2+IF(parametros_manuales!$H$19="Todos",'Plan mensual'!E6,0))+parametros_manuales!$E$19*('Plan mensual'!E3+IF(parametros_manuales!$H$19="Todos",'Plan mensual'!E7,0))+parametros_manuales!$F$19*('Plan mensual'!E4+IF(parametros_manuales!$H$19="Todos",'Plan mensual'!E8,0))+parametros_manuales!$G$19*('Plan mensual'!E5+IF(parametros_manuales!$H$19="Todos",'Plan mensual'!E9,0)))*parametros_manuales!$I$19*parametros_manuales!$J$19</f>
        <v>590.83</v>
      </c>
      <c r="D2" s="8">
        <f>(parametros_manuales!$D$19*('Plan mensual'!F2+IF(parametros_manuales!$H$19="Todos",'Plan mensual'!F6,0))+parametros_manuales!$E$19*('Plan mensual'!F3+IF(parametros_manuales!$H$19="Todos",'Plan mensual'!F7,0))+parametros_manuales!$F$19*('Plan mensual'!F4+IF(parametros_manuales!$H$19="Todos",'Plan mensual'!F8,0))+parametros_manuales!$G$19*('Plan mensual'!F5+IF(parametros_manuales!$H$19="Todos",'Plan mensual'!F9,0)))*parametros_manuales!$I$19*parametros_manuales!$J$19</f>
        <v>562.46</v>
      </c>
      <c r="E2" s="8">
        <f>(parametros_manuales!$D$19*('Plan mensual'!G2+IF(parametros_manuales!$H$19="Todos",'Plan mensual'!G6,0))+parametros_manuales!$E$19*('Plan mensual'!G3+IF(parametros_manuales!$H$19="Todos",'Plan mensual'!G7,0))+parametros_manuales!$F$19*('Plan mensual'!G4+IF(parametros_manuales!$H$19="Todos",'Plan mensual'!G8,0))+parametros_manuales!$G$19*('Plan mensual'!G5+IF(parametros_manuales!$H$19="Todos",'Plan mensual'!G9,0)))*parametros_manuales!$I$19*parametros_manuales!$J$19</f>
        <v>541.565</v>
      </c>
      <c r="F2" s="8">
        <f>(parametros_manuales!$D$19*('Plan mensual'!H2+IF(parametros_manuales!$H$19="Todos",'Plan mensual'!H6,0))+parametros_manuales!$E$19*('Plan mensual'!H3+IF(parametros_manuales!$H$19="Todos",'Plan mensual'!H7,0))+parametros_manuales!$F$19*('Plan mensual'!H4+IF(parametros_manuales!$H$19="Todos",'Plan mensual'!H8,0))+parametros_manuales!$G$19*('Plan mensual'!H5+IF(parametros_manuales!$H$19="Todos",'Plan mensual'!H9,0)))*parametros_manuales!$I$19*parametros_manuales!$J$19</f>
        <v>507.25</v>
      </c>
      <c r="G2" s="8">
        <f>(parametros_manuales!$D$19*('Plan mensual'!I2+IF(parametros_manuales!$H$19="Todos",'Plan mensual'!I6,0))+parametros_manuales!$E$19*('Plan mensual'!I3+IF(parametros_manuales!$H$19="Todos",'Plan mensual'!I7,0))+parametros_manuales!$F$19*('Plan mensual'!I4+IF(parametros_manuales!$H$19="Todos",'Plan mensual'!I8,0))+parametros_manuales!$G$19*('Plan mensual'!I5+IF(parametros_manuales!$H$19="Todos",'Plan mensual'!I9,0)))*parametros_manuales!$I$19*parametros_manuales!$J$19</f>
        <v>493.83</v>
      </c>
      <c r="H2" s="8">
        <f>(parametros_manuales!$D$19*('Plan mensual'!J2+IF(parametros_manuales!$H$19="Todos",'Plan mensual'!J6,0))+parametros_manuales!$E$19*('Plan mensual'!J3+IF(parametros_manuales!$H$19="Todos",'Plan mensual'!J7,0))+parametros_manuales!$F$19*('Plan mensual'!J4+IF(parametros_manuales!$H$19="Todos",'Plan mensual'!J8,0))+parametros_manuales!$G$19*('Plan mensual'!J5+IF(parametros_manuales!$H$19="Todos",'Plan mensual'!J9,0)))*parametros_manuales!$I$19*parametros_manuales!$J$19</f>
        <v>528.145</v>
      </c>
      <c r="I2" s="8">
        <f>(parametros_manuales!$D$19*('Plan mensual'!K2+IF(parametros_manuales!$H$19="Todos",'Plan mensual'!K6,0))+parametros_manuales!$E$19*('Plan mensual'!K3+IF(parametros_manuales!$H$19="Todos",'Plan mensual'!K7,0))+parametros_manuales!$F$19*('Plan mensual'!K4+IF(parametros_manuales!$H$19="Todos",'Plan mensual'!K8,0))+parametros_manuales!$G$19*('Plan mensual'!K5+IF(parametros_manuales!$H$19="Todos",'Plan mensual'!K9,0)))*parametros_manuales!$I$19*parametros_manuales!$J$19</f>
        <v>528.145</v>
      </c>
      <c r="J2" s="8">
        <f>(parametros_manuales!$D$19*('Plan mensual'!L2+IF(parametros_manuales!$H$19="Todos",'Plan mensual'!L6,0))+parametros_manuales!$E$19*('Plan mensual'!L3+IF(parametros_manuales!$H$19="Todos",'Plan mensual'!L7,0))+parametros_manuales!$F$19*('Plan mensual'!L4+IF(parametros_manuales!$H$19="Todos",'Plan mensual'!L8,0))+parametros_manuales!$G$19*('Plan mensual'!L5+IF(parametros_manuales!$H$19="Todos",'Plan mensual'!L9,0)))*parametros_manuales!$I$19*parametros_manuales!$J$19</f>
        <v>528.145</v>
      </c>
      <c r="K2" s="8">
        <f>(parametros_manuales!$D$19*('Plan mensual'!M2+IF(parametros_manuales!$H$19="Todos",'Plan mensual'!M6,0))+parametros_manuales!$E$19*('Plan mensual'!M3+IF(parametros_manuales!$H$19="Todos",'Plan mensual'!M7,0))+parametros_manuales!$F$19*('Plan mensual'!M4+IF(parametros_manuales!$H$19="Todos",'Plan mensual'!M8,0))+parametros_manuales!$G$19*('Plan mensual'!M5+IF(parametros_manuales!$H$19="Todos",'Plan mensual'!M9,0)))*parametros_manuales!$I$19*parametros_manuales!$J$19</f>
        <v>514.725</v>
      </c>
      <c r="L2" s="8">
        <f>(parametros_manuales!$D$19*('Plan mensual'!N2+IF(parametros_manuales!$H$19="Todos",'Plan mensual'!N6,0))+parametros_manuales!$E$19*('Plan mensual'!N3+IF(parametros_manuales!$H$19="Todos",'Plan mensual'!N7,0))+parametros_manuales!$F$19*('Plan mensual'!N4+IF(parametros_manuales!$H$19="Todos",'Plan mensual'!N8,0))+parametros_manuales!$G$19*('Plan mensual'!N5+IF(parametros_manuales!$H$19="Todos",'Plan mensual'!N9,0)))*parametros_manuales!$I$19*parametros_manuales!$J$19</f>
        <v>501.305</v>
      </c>
      <c r="M2" s="8">
        <f>(parametros_manuales!$D$19*('Plan mensual'!O2+IF(parametros_manuales!$H$19="Todos",'Plan mensual'!O6,0))+parametros_manuales!$E$19*('Plan mensual'!O3+IF(parametros_manuales!$H$19="Todos",'Plan mensual'!O7,0))+parametros_manuales!$F$19*('Plan mensual'!O4+IF(parametros_manuales!$H$19="Todos",'Plan mensual'!O8,0))+parametros_manuales!$G$19*('Plan mensual'!O5+IF(parametros_manuales!$H$19="Todos",'Plan mensual'!O9,0)))*parametros_manuales!$I$19*parametros_manuales!$J$19</f>
        <v>796.72</v>
      </c>
      <c r="N2" s="8">
        <f t="shared" ref="N2:N27" si="1">SUM(B2:M2)</f>
        <v>6863</v>
      </c>
      <c r="O2" s="8">
        <f t="shared" ref="O2:O27" si="2">MAX(B2:M2)</f>
        <v>796.72</v>
      </c>
      <c r="P2" s="27">
        <f>O2/(parametros_manuales!$B$7)</f>
        <v>5.311466667</v>
      </c>
      <c r="Q2" s="4" t="str">
        <f t="shared" ref="Q2:Q27" si="3">IF(O2=0,"-",INDEX($B$1:$M$1,MATCH(O2,B2:M2,0)))</f>
        <v>Dic</v>
      </c>
    </row>
    <row r="3" ht="14.25" customHeight="1">
      <c r="A3" s="4" t="str">
        <f>parametros_manuales!$B$20</f>
        <v>Corte de chapa — 1.er corte en franjas (guillotina 1)</v>
      </c>
      <c r="B3" s="8">
        <f>(parametros_manuales!$D$20*('Plan mensual'!D2+IF(parametros_manuales!$H$20="Todos",'Plan mensual'!D6,0))+parametros_manuales!$E$20*('Plan mensual'!D3+IF(parametros_manuales!$H$20="Todos",'Plan mensual'!D7,0))+parametros_manuales!$F$20*('Plan mensual'!D4+IF(parametros_manuales!$H$20="Todos",'Plan mensual'!D8,0))+parametros_manuales!$G$20*('Plan mensual'!D5+IF(parametros_manuales!$H$20="Todos",'Plan mensual'!D9,0)))*parametros_manuales!$I$20*parametros_manuales!$J$20</f>
        <v>769.88</v>
      </c>
      <c r="C3" s="8">
        <f>(parametros_manuales!$D$20*('Plan mensual'!E2+IF(parametros_manuales!$H$20="Todos",'Plan mensual'!E6,0))+parametros_manuales!$E$20*('Plan mensual'!E3+IF(parametros_manuales!$H$20="Todos",'Plan mensual'!E7,0))+parametros_manuales!$F$20*('Plan mensual'!E4+IF(parametros_manuales!$H$20="Todos",'Plan mensual'!E8,0))+parametros_manuales!$G$20*('Plan mensual'!E5+IF(parametros_manuales!$H$20="Todos",'Plan mensual'!E9,0)))*parametros_manuales!$I$20*parametros_manuales!$J$20</f>
        <v>590.83</v>
      </c>
      <c r="D3" s="8">
        <f>(parametros_manuales!$D$20*('Plan mensual'!F2+IF(parametros_manuales!$H$20="Todos",'Plan mensual'!F6,0))+parametros_manuales!$E$20*('Plan mensual'!F3+IF(parametros_manuales!$H$20="Todos",'Plan mensual'!F7,0))+parametros_manuales!$F$20*('Plan mensual'!F4+IF(parametros_manuales!$H$20="Todos",'Plan mensual'!F8,0))+parametros_manuales!$G$20*('Plan mensual'!F5+IF(parametros_manuales!$H$20="Todos",'Plan mensual'!F9,0)))*parametros_manuales!$I$20*parametros_manuales!$J$20</f>
        <v>562.46</v>
      </c>
      <c r="E3" s="8">
        <f>(parametros_manuales!$D$20*('Plan mensual'!G2+IF(parametros_manuales!$H$20="Todos",'Plan mensual'!G6,0))+parametros_manuales!$E$20*('Plan mensual'!G3+IF(parametros_manuales!$H$20="Todos",'Plan mensual'!G7,0))+parametros_manuales!$F$20*('Plan mensual'!G4+IF(parametros_manuales!$H$20="Todos",'Plan mensual'!G8,0))+parametros_manuales!$G$20*('Plan mensual'!G5+IF(parametros_manuales!$H$20="Todos",'Plan mensual'!G9,0)))*parametros_manuales!$I$20*parametros_manuales!$J$20</f>
        <v>541.565</v>
      </c>
      <c r="F3" s="8">
        <f>(parametros_manuales!$D$20*('Plan mensual'!H2+IF(parametros_manuales!$H$20="Todos",'Plan mensual'!H6,0))+parametros_manuales!$E$20*('Plan mensual'!H3+IF(parametros_manuales!$H$20="Todos",'Plan mensual'!H7,0))+parametros_manuales!$F$20*('Plan mensual'!H4+IF(parametros_manuales!$H$20="Todos",'Plan mensual'!H8,0))+parametros_manuales!$G$20*('Plan mensual'!H5+IF(parametros_manuales!$H$20="Todos",'Plan mensual'!H9,0)))*parametros_manuales!$I$20*parametros_manuales!$J$20</f>
        <v>507.25</v>
      </c>
      <c r="G3" s="8">
        <f>(parametros_manuales!$D$20*('Plan mensual'!I2+IF(parametros_manuales!$H$20="Todos",'Plan mensual'!I6,0))+parametros_manuales!$E$20*('Plan mensual'!I3+IF(parametros_manuales!$H$20="Todos",'Plan mensual'!I7,0))+parametros_manuales!$F$20*('Plan mensual'!I4+IF(parametros_manuales!$H$20="Todos",'Plan mensual'!I8,0))+parametros_manuales!$G$20*('Plan mensual'!I5+IF(parametros_manuales!$H$20="Todos",'Plan mensual'!I9,0)))*parametros_manuales!$I$20*parametros_manuales!$J$20</f>
        <v>493.83</v>
      </c>
      <c r="H3" s="8">
        <f>(parametros_manuales!$D$20*('Plan mensual'!J2+IF(parametros_manuales!$H$20="Todos",'Plan mensual'!J6,0))+parametros_manuales!$E$20*('Plan mensual'!J3+IF(parametros_manuales!$H$20="Todos",'Plan mensual'!J7,0))+parametros_manuales!$F$20*('Plan mensual'!J4+IF(parametros_manuales!$H$20="Todos",'Plan mensual'!J8,0))+parametros_manuales!$G$20*('Plan mensual'!J5+IF(parametros_manuales!$H$20="Todos",'Plan mensual'!J9,0)))*parametros_manuales!$I$20*parametros_manuales!$J$20</f>
        <v>528.145</v>
      </c>
      <c r="I3" s="8">
        <f>(parametros_manuales!$D$20*('Plan mensual'!K2+IF(parametros_manuales!$H$20="Todos",'Plan mensual'!K6,0))+parametros_manuales!$E$20*('Plan mensual'!K3+IF(parametros_manuales!$H$20="Todos",'Plan mensual'!K7,0))+parametros_manuales!$F$20*('Plan mensual'!K4+IF(parametros_manuales!$H$20="Todos",'Plan mensual'!K8,0))+parametros_manuales!$G$20*('Plan mensual'!K5+IF(parametros_manuales!$H$20="Todos",'Plan mensual'!K9,0)))*parametros_manuales!$I$20*parametros_manuales!$J$20</f>
        <v>528.145</v>
      </c>
      <c r="J3" s="8">
        <f>(parametros_manuales!$D$20*('Plan mensual'!L2+IF(parametros_manuales!$H$20="Todos",'Plan mensual'!L6,0))+parametros_manuales!$E$20*('Plan mensual'!L3+IF(parametros_manuales!$H$20="Todos",'Plan mensual'!L7,0))+parametros_manuales!$F$20*('Plan mensual'!L4+IF(parametros_manuales!$H$20="Todos",'Plan mensual'!L8,0))+parametros_manuales!$G$20*('Plan mensual'!L5+IF(parametros_manuales!$H$20="Todos",'Plan mensual'!L9,0)))*parametros_manuales!$I$20*parametros_manuales!$J$20</f>
        <v>528.145</v>
      </c>
      <c r="K3" s="8">
        <f>(parametros_manuales!$D$20*('Plan mensual'!M2+IF(parametros_manuales!$H$20="Todos",'Plan mensual'!M6,0))+parametros_manuales!$E$20*('Plan mensual'!M3+IF(parametros_manuales!$H$20="Todos",'Plan mensual'!M7,0))+parametros_manuales!$F$20*('Plan mensual'!M4+IF(parametros_manuales!$H$20="Todos",'Plan mensual'!M8,0))+parametros_manuales!$G$20*('Plan mensual'!M5+IF(parametros_manuales!$H$20="Todos",'Plan mensual'!M9,0)))*parametros_manuales!$I$20*parametros_manuales!$J$20</f>
        <v>514.725</v>
      </c>
      <c r="L3" s="8">
        <f>(parametros_manuales!$D$20*('Plan mensual'!N2+IF(parametros_manuales!$H$20="Todos",'Plan mensual'!N6,0))+parametros_manuales!$E$20*('Plan mensual'!N3+IF(parametros_manuales!$H$20="Todos",'Plan mensual'!N7,0))+parametros_manuales!$F$20*('Plan mensual'!N4+IF(parametros_manuales!$H$20="Todos",'Plan mensual'!N8,0))+parametros_manuales!$G$20*('Plan mensual'!N5+IF(parametros_manuales!$H$20="Todos",'Plan mensual'!N9,0)))*parametros_manuales!$I$20*parametros_manuales!$J$20</f>
        <v>501.305</v>
      </c>
      <c r="M3" s="8">
        <f>(parametros_manuales!$D$20*('Plan mensual'!O2+IF(parametros_manuales!$H$20="Todos",'Plan mensual'!O6,0))+parametros_manuales!$E$20*('Plan mensual'!O3+IF(parametros_manuales!$H$20="Todos",'Plan mensual'!O7,0))+parametros_manuales!$F$20*('Plan mensual'!O4+IF(parametros_manuales!$H$20="Todos",'Plan mensual'!O8,0))+parametros_manuales!$G$20*('Plan mensual'!O5+IF(parametros_manuales!$H$20="Todos",'Plan mensual'!O9,0)))*parametros_manuales!$I$20*parametros_manuales!$J$20</f>
        <v>796.72</v>
      </c>
      <c r="N3" s="8">
        <f t="shared" si="1"/>
        <v>6863</v>
      </c>
      <c r="O3" s="8">
        <f t="shared" si="2"/>
        <v>796.72</v>
      </c>
      <c r="P3" s="27">
        <f>O3/(parametros_manuales!$B$7)</f>
        <v>5.311466667</v>
      </c>
      <c r="Q3" s="4" t="str">
        <f t="shared" si="3"/>
        <v>Dic</v>
      </c>
    </row>
    <row r="4" ht="14.25" customHeight="1">
      <c r="A4" s="4" t="str">
        <f>parametros_manuales!$B$21</f>
        <v>Corte de chapa — 2.º corte en piezas (guillotina 2)</v>
      </c>
      <c r="B4" s="8">
        <f>(parametros_manuales!$D$21*('Plan mensual'!D2+IF(parametros_manuales!$H$21="Todos",'Plan mensual'!D6,0))+parametros_manuales!$E$21*('Plan mensual'!D3+IF(parametros_manuales!$H$21="Todos",'Plan mensual'!D7,0))+parametros_manuales!$F$21*('Plan mensual'!D4+IF(parametros_manuales!$H$21="Todos",'Plan mensual'!D8,0))+parametros_manuales!$G$21*('Plan mensual'!D5+IF(parametros_manuales!$H$21="Todos",'Plan mensual'!D9,0)))*parametros_manuales!$I$21*parametros_manuales!$J$21</f>
        <v>769.88</v>
      </c>
      <c r="C4" s="8">
        <f>(parametros_manuales!$D$21*('Plan mensual'!E2+IF(parametros_manuales!$H$21="Todos",'Plan mensual'!E6,0))+parametros_manuales!$E$21*('Plan mensual'!E3+IF(parametros_manuales!$H$21="Todos",'Plan mensual'!E7,0))+parametros_manuales!$F$21*('Plan mensual'!E4+IF(parametros_manuales!$H$21="Todos",'Plan mensual'!E8,0))+parametros_manuales!$G$21*('Plan mensual'!E5+IF(parametros_manuales!$H$21="Todos",'Plan mensual'!E9,0)))*parametros_manuales!$I$21*parametros_manuales!$J$21</f>
        <v>590.83</v>
      </c>
      <c r="D4" s="8">
        <f>(parametros_manuales!$D$21*('Plan mensual'!F2+IF(parametros_manuales!$H$21="Todos",'Plan mensual'!F6,0))+parametros_manuales!$E$21*('Plan mensual'!F3+IF(parametros_manuales!$H$21="Todos",'Plan mensual'!F7,0))+parametros_manuales!$F$21*('Plan mensual'!F4+IF(parametros_manuales!$H$21="Todos",'Plan mensual'!F8,0))+parametros_manuales!$G$21*('Plan mensual'!F5+IF(parametros_manuales!$H$21="Todos",'Plan mensual'!F9,0)))*parametros_manuales!$I$21*parametros_manuales!$J$21</f>
        <v>562.46</v>
      </c>
      <c r="E4" s="8">
        <f>(parametros_manuales!$D$21*('Plan mensual'!G2+IF(parametros_manuales!$H$21="Todos",'Plan mensual'!G6,0))+parametros_manuales!$E$21*('Plan mensual'!G3+IF(parametros_manuales!$H$21="Todos",'Plan mensual'!G7,0))+parametros_manuales!$F$21*('Plan mensual'!G4+IF(parametros_manuales!$H$21="Todos",'Plan mensual'!G8,0))+parametros_manuales!$G$21*('Plan mensual'!G5+IF(parametros_manuales!$H$21="Todos",'Plan mensual'!G9,0)))*parametros_manuales!$I$21*parametros_manuales!$J$21</f>
        <v>541.565</v>
      </c>
      <c r="F4" s="8">
        <f>(parametros_manuales!$D$21*('Plan mensual'!H2+IF(parametros_manuales!$H$21="Todos",'Plan mensual'!H6,0))+parametros_manuales!$E$21*('Plan mensual'!H3+IF(parametros_manuales!$H$21="Todos",'Plan mensual'!H7,0))+parametros_manuales!$F$21*('Plan mensual'!H4+IF(parametros_manuales!$H$21="Todos",'Plan mensual'!H8,0))+parametros_manuales!$G$21*('Plan mensual'!H5+IF(parametros_manuales!$H$21="Todos",'Plan mensual'!H9,0)))*parametros_manuales!$I$21*parametros_manuales!$J$21</f>
        <v>507.25</v>
      </c>
      <c r="G4" s="8">
        <f>(parametros_manuales!$D$21*('Plan mensual'!I2+IF(parametros_manuales!$H$21="Todos",'Plan mensual'!I6,0))+parametros_manuales!$E$21*('Plan mensual'!I3+IF(parametros_manuales!$H$21="Todos",'Plan mensual'!I7,0))+parametros_manuales!$F$21*('Plan mensual'!I4+IF(parametros_manuales!$H$21="Todos",'Plan mensual'!I8,0))+parametros_manuales!$G$21*('Plan mensual'!I5+IF(parametros_manuales!$H$21="Todos",'Plan mensual'!I9,0)))*parametros_manuales!$I$21*parametros_manuales!$J$21</f>
        <v>493.83</v>
      </c>
      <c r="H4" s="8">
        <f>(parametros_manuales!$D$21*('Plan mensual'!J2+IF(parametros_manuales!$H$21="Todos",'Plan mensual'!J6,0))+parametros_manuales!$E$21*('Plan mensual'!J3+IF(parametros_manuales!$H$21="Todos",'Plan mensual'!J7,0))+parametros_manuales!$F$21*('Plan mensual'!J4+IF(parametros_manuales!$H$21="Todos",'Plan mensual'!J8,0))+parametros_manuales!$G$21*('Plan mensual'!J5+IF(parametros_manuales!$H$21="Todos",'Plan mensual'!J9,0)))*parametros_manuales!$I$21*parametros_manuales!$J$21</f>
        <v>528.145</v>
      </c>
      <c r="I4" s="8">
        <f>(parametros_manuales!$D$21*('Plan mensual'!K2+IF(parametros_manuales!$H$21="Todos",'Plan mensual'!K6,0))+parametros_manuales!$E$21*('Plan mensual'!K3+IF(parametros_manuales!$H$21="Todos",'Plan mensual'!K7,0))+parametros_manuales!$F$21*('Plan mensual'!K4+IF(parametros_manuales!$H$21="Todos",'Plan mensual'!K8,0))+parametros_manuales!$G$21*('Plan mensual'!K5+IF(parametros_manuales!$H$21="Todos",'Plan mensual'!K9,0)))*parametros_manuales!$I$21*parametros_manuales!$J$21</f>
        <v>528.145</v>
      </c>
      <c r="J4" s="8">
        <f>(parametros_manuales!$D$21*('Plan mensual'!L2+IF(parametros_manuales!$H$21="Todos",'Plan mensual'!L6,0))+parametros_manuales!$E$21*('Plan mensual'!L3+IF(parametros_manuales!$H$21="Todos",'Plan mensual'!L7,0))+parametros_manuales!$F$21*('Plan mensual'!L4+IF(parametros_manuales!$H$21="Todos",'Plan mensual'!L8,0))+parametros_manuales!$G$21*('Plan mensual'!L5+IF(parametros_manuales!$H$21="Todos",'Plan mensual'!L9,0)))*parametros_manuales!$I$21*parametros_manuales!$J$21</f>
        <v>528.145</v>
      </c>
      <c r="K4" s="8">
        <f>(parametros_manuales!$D$21*('Plan mensual'!M2+IF(parametros_manuales!$H$21="Todos",'Plan mensual'!M6,0))+parametros_manuales!$E$21*('Plan mensual'!M3+IF(parametros_manuales!$H$21="Todos",'Plan mensual'!M7,0))+parametros_manuales!$F$21*('Plan mensual'!M4+IF(parametros_manuales!$H$21="Todos",'Plan mensual'!M8,0))+parametros_manuales!$G$21*('Plan mensual'!M5+IF(parametros_manuales!$H$21="Todos",'Plan mensual'!M9,0)))*parametros_manuales!$I$21*parametros_manuales!$J$21</f>
        <v>514.725</v>
      </c>
      <c r="L4" s="8">
        <f>(parametros_manuales!$D$21*('Plan mensual'!N2+IF(parametros_manuales!$H$21="Todos",'Plan mensual'!N6,0))+parametros_manuales!$E$21*('Plan mensual'!N3+IF(parametros_manuales!$H$21="Todos",'Plan mensual'!N7,0))+parametros_manuales!$F$21*('Plan mensual'!N4+IF(parametros_manuales!$H$21="Todos",'Plan mensual'!N8,0))+parametros_manuales!$G$21*('Plan mensual'!N5+IF(parametros_manuales!$H$21="Todos",'Plan mensual'!N9,0)))*parametros_manuales!$I$21*parametros_manuales!$J$21</f>
        <v>501.305</v>
      </c>
      <c r="M4" s="8">
        <f>(parametros_manuales!$D$21*('Plan mensual'!O2+IF(parametros_manuales!$H$21="Todos",'Plan mensual'!O6,0))+parametros_manuales!$E$21*('Plan mensual'!O3+IF(parametros_manuales!$H$21="Todos",'Plan mensual'!O7,0))+parametros_manuales!$F$21*('Plan mensual'!O4+IF(parametros_manuales!$H$21="Todos",'Plan mensual'!O8,0))+parametros_manuales!$G$21*('Plan mensual'!O5+IF(parametros_manuales!$H$21="Todos",'Plan mensual'!O9,0)))*parametros_manuales!$I$21*parametros_manuales!$J$21</f>
        <v>796.72</v>
      </c>
      <c r="N4" s="8">
        <f t="shared" si="1"/>
        <v>6863</v>
      </c>
      <c r="O4" s="8">
        <f t="shared" si="2"/>
        <v>796.72</v>
      </c>
      <c r="P4" s="27">
        <f>O4/(parametros_manuales!$B$7)</f>
        <v>5.311466667</v>
      </c>
      <c r="Q4" s="4" t="str">
        <f t="shared" si="3"/>
        <v>Dic</v>
      </c>
    </row>
    <row r="5" ht="14.25" customHeight="1">
      <c r="A5" s="4" t="str">
        <f>parametros_manuales!$B$22</f>
        <v>Corte de disco y embutido (cúpula y fondo)</v>
      </c>
      <c r="B5" s="8">
        <f>(parametros_manuales!$D$22*('Plan mensual'!D2+IF(parametros_manuales!$H$22="Todos",'Plan mensual'!D6,0))+parametros_manuales!$E$22*('Plan mensual'!D3+IF(parametros_manuales!$H$22="Todos",'Plan mensual'!D7,0))+parametros_manuales!$F$22*('Plan mensual'!D4+IF(parametros_manuales!$H$22="Todos",'Plan mensual'!D8,0))+parametros_manuales!$G$22*('Plan mensual'!D5+IF(parametros_manuales!$H$22="Todos",'Plan mensual'!D9,0)))*parametros_manuales!$I$22*parametros_manuales!$J$22</f>
        <v>1539.76</v>
      </c>
      <c r="C5" s="8">
        <f>(parametros_manuales!$D$22*('Plan mensual'!E2+IF(parametros_manuales!$H$22="Todos",'Plan mensual'!E6,0))+parametros_manuales!$E$22*('Plan mensual'!E3+IF(parametros_manuales!$H$22="Todos",'Plan mensual'!E7,0))+parametros_manuales!$F$22*('Plan mensual'!E4+IF(parametros_manuales!$H$22="Todos",'Plan mensual'!E8,0))+parametros_manuales!$G$22*('Plan mensual'!E5+IF(parametros_manuales!$H$22="Todos",'Plan mensual'!E9,0)))*parametros_manuales!$I$22*parametros_manuales!$J$22</f>
        <v>1181.66</v>
      </c>
      <c r="D5" s="8">
        <f>(parametros_manuales!$D$22*('Plan mensual'!F2+IF(parametros_manuales!$H$22="Todos",'Plan mensual'!F6,0))+parametros_manuales!$E$22*('Plan mensual'!F3+IF(parametros_manuales!$H$22="Todos",'Plan mensual'!F7,0))+parametros_manuales!$F$22*('Plan mensual'!F4+IF(parametros_manuales!$H$22="Todos",'Plan mensual'!F8,0))+parametros_manuales!$G$22*('Plan mensual'!F5+IF(parametros_manuales!$H$22="Todos",'Plan mensual'!F9,0)))*parametros_manuales!$I$22*parametros_manuales!$J$22</f>
        <v>1124.92</v>
      </c>
      <c r="E5" s="8">
        <f>(parametros_manuales!$D$22*('Plan mensual'!G2+IF(parametros_manuales!$H$22="Todos",'Plan mensual'!G6,0))+parametros_manuales!$E$22*('Plan mensual'!G3+IF(parametros_manuales!$H$22="Todos",'Plan mensual'!G7,0))+parametros_manuales!$F$22*('Plan mensual'!G4+IF(parametros_manuales!$H$22="Todos",'Plan mensual'!G8,0))+parametros_manuales!$G$22*('Plan mensual'!G5+IF(parametros_manuales!$H$22="Todos",'Plan mensual'!G9,0)))*parametros_manuales!$I$22*parametros_manuales!$J$22</f>
        <v>1083.13</v>
      </c>
      <c r="F5" s="8">
        <f>(parametros_manuales!$D$22*('Plan mensual'!H2+IF(parametros_manuales!$H$22="Todos",'Plan mensual'!H6,0))+parametros_manuales!$E$22*('Plan mensual'!H3+IF(parametros_manuales!$H$22="Todos",'Plan mensual'!H7,0))+parametros_manuales!$F$22*('Plan mensual'!H4+IF(parametros_manuales!$H$22="Todos",'Plan mensual'!H8,0))+parametros_manuales!$G$22*('Plan mensual'!H5+IF(parametros_manuales!$H$22="Todos",'Plan mensual'!H9,0)))*parametros_manuales!$I$22*parametros_manuales!$J$22</f>
        <v>1014.5</v>
      </c>
      <c r="G5" s="8">
        <f>(parametros_manuales!$D$22*('Plan mensual'!I2+IF(parametros_manuales!$H$22="Todos",'Plan mensual'!I6,0))+parametros_manuales!$E$22*('Plan mensual'!I3+IF(parametros_manuales!$H$22="Todos",'Plan mensual'!I7,0))+parametros_manuales!$F$22*('Plan mensual'!I4+IF(parametros_manuales!$H$22="Todos",'Plan mensual'!I8,0))+parametros_manuales!$G$22*('Plan mensual'!I5+IF(parametros_manuales!$H$22="Todos",'Plan mensual'!I9,0)))*parametros_manuales!$I$22*parametros_manuales!$J$22</f>
        <v>987.66</v>
      </c>
      <c r="H5" s="8">
        <f>(parametros_manuales!$D$22*('Plan mensual'!J2+IF(parametros_manuales!$H$22="Todos",'Plan mensual'!J6,0))+parametros_manuales!$E$22*('Plan mensual'!J3+IF(parametros_manuales!$H$22="Todos",'Plan mensual'!J7,0))+parametros_manuales!$F$22*('Plan mensual'!J4+IF(parametros_manuales!$H$22="Todos",'Plan mensual'!J8,0))+parametros_manuales!$G$22*('Plan mensual'!J5+IF(parametros_manuales!$H$22="Todos",'Plan mensual'!J9,0)))*parametros_manuales!$I$22*parametros_manuales!$J$22</f>
        <v>1056.29</v>
      </c>
      <c r="I5" s="8">
        <f>(parametros_manuales!$D$22*('Plan mensual'!K2+IF(parametros_manuales!$H$22="Todos",'Plan mensual'!K6,0))+parametros_manuales!$E$22*('Plan mensual'!K3+IF(parametros_manuales!$H$22="Todos",'Plan mensual'!K7,0))+parametros_manuales!$F$22*('Plan mensual'!K4+IF(parametros_manuales!$H$22="Todos",'Plan mensual'!K8,0))+parametros_manuales!$G$22*('Plan mensual'!K5+IF(parametros_manuales!$H$22="Todos",'Plan mensual'!K9,0)))*parametros_manuales!$I$22*parametros_manuales!$J$22</f>
        <v>1056.29</v>
      </c>
      <c r="J5" s="8">
        <f>(parametros_manuales!$D$22*('Plan mensual'!L2+IF(parametros_manuales!$H$22="Todos",'Plan mensual'!L6,0))+parametros_manuales!$E$22*('Plan mensual'!L3+IF(parametros_manuales!$H$22="Todos",'Plan mensual'!L7,0))+parametros_manuales!$F$22*('Plan mensual'!L4+IF(parametros_manuales!$H$22="Todos",'Plan mensual'!L8,0))+parametros_manuales!$G$22*('Plan mensual'!L5+IF(parametros_manuales!$H$22="Todos",'Plan mensual'!L9,0)))*parametros_manuales!$I$22*parametros_manuales!$J$22</f>
        <v>1056.29</v>
      </c>
      <c r="K5" s="8">
        <f>(parametros_manuales!$D$22*('Plan mensual'!M2+IF(parametros_manuales!$H$22="Todos",'Plan mensual'!M6,0))+parametros_manuales!$E$22*('Plan mensual'!M3+IF(parametros_manuales!$H$22="Todos",'Plan mensual'!M7,0))+parametros_manuales!$F$22*('Plan mensual'!M4+IF(parametros_manuales!$H$22="Todos",'Plan mensual'!M8,0))+parametros_manuales!$G$22*('Plan mensual'!M5+IF(parametros_manuales!$H$22="Todos",'Plan mensual'!M9,0)))*parametros_manuales!$I$22*parametros_manuales!$J$22</f>
        <v>1029.45</v>
      </c>
      <c r="L5" s="8">
        <f>(parametros_manuales!$D$22*('Plan mensual'!N2+IF(parametros_manuales!$H$22="Todos",'Plan mensual'!N6,0))+parametros_manuales!$E$22*('Plan mensual'!N3+IF(parametros_manuales!$H$22="Todos",'Plan mensual'!N7,0))+parametros_manuales!$F$22*('Plan mensual'!N4+IF(parametros_manuales!$H$22="Todos",'Plan mensual'!N8,0))+parametros_manuales!$G$22*('Plan mensual'!N5+IF(parametros_manuales!$H$22="Todos",'Plan mensual'!N9,0)))*parametros_manuales!$I$22*parametros_manuales!$J$22</f>
        <v>1002.61</v>
      </c>
      <c r="M5" s="8">
        <f>(parametros_manuales!$D$22*('Plan mensual'!O2+IF(parametros_manuales!$H$22="Todos",'Plan mensual'!O6,0))+parametros_manuales!$E$22*('Plan mensual'!O3+IF(parametros_manuales!$H$22="Todos",'Plan mensual'!O7,0))+parametros_manuales!$F$22*('Plan mensual'!O4+IF(parametros_manuales!$H$22="Todos",'Plan mensual'!O8,0))+parametros_manuales!$G$22*('Plan mensual'!O5+IF(parametros_manuales!$H$22="Todos",'Plan mensual'!O9,0)))*parametros_manuales!$I$22*parametros_manuales!$J$22</f>
        <v>1593.44</v>
      </c>
      <c r="N5" s="8">
        <f t="shared" si="1"/>
        <v>13726</v>
      </c>
      <c r="O5" s="8">
        <f t="shared" si="2"/>
        <v>1593.44</v>
      </c>
      <c r="P5" s="27">
        <f>O5/(parametros_manuales!$B$7)</f>
        <v>10.62293333</v>
      </c>
      <c r="Q5" s="4" t="str">
        <f t="shared" si="3"/>
        <v>Dic</v>
      </c>
    </row>
    <row r="6" ht="14.25" customHeight="1">
      <c r="A6" s="4" t="str">
        <f>parametros_manuales!$B$23</f>
        <v>Preparación de cuello</v>
      </c>
      <c r="B6" s="8">
        <f>(parametros_manuales!$D$23*('Plan mensual'!D2+IF(parametros_manuales!$H$23="Todos",'Plan mensual'!D6,0))+parametros_manuales!$E$23*('Plan mensual'!D3+IF(parametros_manuales!$H$23="Todos",'Plan mensual'!D7,0))+parametros_manuales!$F$23*('Plan mensual'!D4+IF(parametros_manuales!$H$23="Todos",'Plan mensual'!D8,0))+parametros_manuales!$G$23*('Plan mensual'!D5+IF(parametros_manuales!$H$23="Todos",'Plan mensual'!D9,0)))*parametros_manuales!$I$23*parametros_manuales!$J$23</f>
        <v>769.88</v>
      </c>
      <c r="C6" s="8">
        <f>(parametros_manuales!$D$23*('Plan mensual'!E2+IF(parametros_manuales!$H$23="Todos",'Plan mensual'!E6,0))+parametros_manuales!$E$23*('Plan mensual'!E3+IF(parametros_manuales!$H$23="Todos",'Plan mensual'!E7,0))+parametros_manuales!$F$23*('Plan mensual'!E4+IF(parametros_manuales!$H$23="Todos",'Plan mensual'!E8,0))+parametros_manuales!$G$23*('Plan mensual'!E5+IF(parametros_manuales!$H$23="Todos",'Plan mensual'!E9,0)))*parametros_manuales!$I$23*parametros_manuales!$J$23</f>
        <v>590.83</v>
      </c>
      <c r="D6" s="8">
        <f>(parametros_manuales!$D$23*('Plan mensual'!F2+IF(parametros_manuales!$H$23="Todos",'Plan mensual'!F6,0))+parametros_manuales!$E$23*('Plan mensual'!F3+IF(parametros_manuales!$H$23="Todos",'Plan mensual'!F7,0))+parametros_manuales!$F$23*('Plan mensual'!F4+IF(parametros_manuales!$H$23="Todos",'Plan mensual'!F8,0))+parametros_manuales!$G$23*('Plan mensual'!F5+IF(parametros_manuales!$H$23="Todos",'Plan mensual'!F9,0)))*parametros_manuales!$I$23*parametros_manuales!$J$23</f>
        <v>562.46</v>
      </c>
      <c r="E6" s="8">
        <f>(parametros_manuales!$D$23*('Plan mensual'!G2+IF(parametros_manuales!$H$23="Todos",'Plan mensual'!G6,0))+parametros_manuales!$E$23*('Plan mensual'!G3+IF(parametros_manuales!$H$23="Todos",'Plan mensual'!G7,0))+parametros_manuales!$F$23*('Plan mensual'!G4+IF(parametros_manuales!$H$23="Todos",'Plan mensual'!G8,0))+parametros_manuales!$G$23*('Plan mensual'!G5+IF(parametros_manuales!$H$23="Todos",'Plan mensual'!G9,0)))*parametros_manuales!$I$23*parametros_manuales!$J$23</f>
        <v>541.565</v>
      </c>
      <c r="F6" s="8">
        <f>(parametros_manuales!$D$23*('Plan mensual'!H2+IF(parametros_manuales!$H$23="Todos",'Plan mensual'!H6,0))+parametros_manuales!$E$23*('Plan mensual'!H3+IF(parametros_manuales!$H$23="Todos",'Plan mensual'!H7,0))+parametros_manuales!$F$23*('Plan mensual'!H4+IF(parametros_manuales!$H$23="Todos",'Plan mensual'!H8,0))+parametros_manuales!$G$23*('Plan mensual'!H5+IF(parametros_manuales!$H$23="Todos",'Plan mensual'!H9,0)))*parametros_manuales!$I$23*parametros_manuales!$J$23</f>
        <v>507.25</v>
      </c>
      <c r="G6" s="8">
        <f>(parametros_manuales!$D$23*('Plan mensual'!I2+IF(parametros_manuales!$H$23="Todos",'Plan mensual'!I6,0))+parametros_manuales!$E$23*('Plan mensual'!I3+IF(parametros_manuales!$H$23="Todos",'Plan mensual'!I7,0))+parametros_manuales!$F$23*('Plan mensual'!I4+IF(parametros_manuales!$H$23="Todos",'Plan mensual'!I8,0))+parametros_manuales!$G$23*('Plan mensual'!I5+IF(parametros_manuales!$H$23="Todos",'Plan mensual'!I9,0)))*parametros_manuales!$I$23*parametros_manuales!$J$23</f>
        <v>493.83</v>
      </c>
      <c r="H6" s="8">
        <f>(parametros_manuales!$D$23*('Plan mensual'!J2+IF(parametros_manuales!$H$23="Todos",'Plan mensual'!J6,0))+parametros_manuales!$E$23*('Plan mensual'!J3+IF(parametros_manuales!$H$23="Todos",'Plan mensual'!J7,0))+parametros_manuales!$F$23*('Plan mensual'!J4+IF(parametros_manuales!$H$23="Todos",'Plan mensual'!J8,0))+parametros_manuales!$G$23*('Plan mensual'!J5+IF(parametros_manuales!$H$23="Todos",'Plan mensual'!J9,0)))*parametros_manuales!$I$23*parametros_manuales!$J$23</f>
        <v>528.145</v>
      </c>
      <c r="I6" s="8">
        <f>(parametros_manuales!$D$23*('Plan mensual'!K2+IF(parametros_manuales!$H$23="Todos",'Plan mensual'!K6,0))+parametros_manuales!$E$23*('Plan mensual'!K3+IF(parametros_manuales!$H$23="Todos",'Plan mensual'!K7,0))+parametros_manuales!$F$23*('Plan mensual'!K4+IF(parametros_manuales!$H$23="Todos",'Plan mensual'!K8,0))+parametros_manuales!$G$23*('Plan mensual'!K5+IF(parametros_manuales!$H$23="Todos",'Plan mensual'!K9,0)))*parametros_manuales!$I$23*parametros_manuales!$J$23</f>
        <v>528.145</v>
      </c>
      <c r="J6" s="8">
        <f>(parametros_manuales!$D$23*('Plan mensual'!L2+IF(parametros_manuales!$H$23="Todos",'Plan mensual'!L6,0))+parametros_manuales!$E$23*('Plan mensual'!L3+IF(parametros_manuales!$H$23="Todos",'Plan mensual'!L7,0))+parametros_manuales!$F$23*('Plan mensual'!L4+IF(parametros_manuales!$H$23="Todos",'Plan mensual'!L8,0))+parametros_manuales!$G$23*('Plan mensual'!L5+IF(parametros_manuales!$H$23="Todos",'Plan mensual'!L9,0)))*parametros_manuales!$I$23*parametros_manuales!$J$23</f>
        <v>528.145</v>
      </c>
      <c r="K6" s="8">
        <f>(parametros_manuales!$D$23*('Plan mensual'!M2+IF(parametros_manuales!$H$23="Todos",'Plan mensual'!M6,0))+parametros_manuales!$E$23*('Plan mensual'!M3+IF(parametros_manuales!$H$23="Todos",'Plan mensual'!M7,0))+parametros_manuales!$F$23*('Plan mensual'!M4+IF(parametros_manuales!$H$23="Todos",'Plan mensual'!M8,0))+parametros_manuales!$G$23*('Plan mensual'!M5+IF(parametros_manuales!$H$23="Todos",'Plan mensual'!M9,0)))*parametros_manuales!$I$23*parametros_manuales!$J$23</f>
        <v>514.725</v>
      </c>
      <c r="L6" s="8">
        <f>(parametros_manuales!$D$23*('Plan mensual'!N2+IF(parametros_manuales!$H$23="Todos",'Plan mensual'!N6,0))+parametros_manuales!$E$23*('Plan mensual'!N3+IF(parametros_manuales!$H$23="Todos",'Plan mensual'!N7,0))+parametros_manuales!$F$23*('Plan mensual'!N4+IF(parametros_manuales!$H$23="Todos",'Plan mensual'!N8,0))+parametros_manuales!$G$23*('Plan mensual'!N5+IF(parametros_manuales!$H$23="Todos",'Plan mensual'!N9,0)))*parametros_manuales!$I$23*parametros_manuales!$J$23</f>
        <v>501.305</v>
      </c>
      <c r="M6" s="8">
        <f>(parametros_manuales!$D$23*('Plan mensual'!O2+IF(parametros_manuales!$H$23="Todos",'Plan mensual'!O6,0))+parametros_manuales!$E$23*('Plan mensual'!O3+IF(parametros_manuales!$H$23="Todos",'Plan mensual'!O7,0))+parametros_manuales!$F$23*('Plan mensual'!O4+IF(parametros_manuales!$H$23="Todos",'Plan mensual'!O8,0))+parametros_manuales!$G$23*('Plan mensual'!O5+IF(parametros_manuales!$H$23="Todos",'Plan mensual'!O9,0)))*parametros_manuales!$I$23*parametros_manuales!$J$23</f>
        <v>796.72</v>
      </c>
      <c r="N6" s="8">
        <f t="shared" si="1"/>
        <v>6863</v>
      </c>
      <c r="O6" s="8">
        <f t="shared" si="2"/>
        <v>796.72</v>
      </c>
      <c r="P6" s="27">
        <f>O6/(parametros_manuales!$B$7)</f>
        <v>5.311466667</v>
      </c>
      <c r="Q6" s="4" t="str">
        <f t="shared" si="3"/>
        <v>Dic</v>
      </c>
    </row>
    <row r="7" ht="14.25" customHeight="1">
      <c r="A7" s="4" t="str">
        <f>parametros_manuales!$B$24</f>
        <v>Numerado de cúpula</v>
      </c>
      <c r="B7" s="8">
        <f>(parametros_manuales!$D$24*('Plan mensual'!D2+IF(parametros_manuales!$H$24="Todos",'Plan mensual'!D6,0))+parametros_manuales!$E$24*('Plan mensual'!D3+IF(parametros_manuales!$H$24="Todos",'Plan mensual'!D7,0))+parametros_manuales!$F$24*('Plan mensual'!D4+IF(parametros_manuales!$H$24="Todos",'Plan mensual'!D8,0))+parametros_manuales!$G$24*('Plan mensual'!D5+IF(parametros_manuales!$H$24="Todos",'Plan mensual'!D9,0)))*parametros_manuales!$I$24*parametros_manuales!$J$24</f>
        <v>769.88</v>
      </c>
      <c r="C7" s="8">
        <f>(parametros_manuales!$D$24*('Plan mensual'!E2+IF(parametros_manuales!$H$24="Todos",'Plan mensual'!E6,0))+parametros_manuales!$E$24*('Plan mensual'!E3+IF(parametros_manuales!$H$24="Todos",'Plan mensual'!E7,0))+parametros_manuales!$F$24*('Plan mensual'!E4+IF(parametros_manuales!$H$24="Todos",'Plan mensual'!E8,0))+parametros_manuales!$G$24*('Plan mensual'!E5+IF(parametros_manuales!$H$24="Todos",'Plan mensual'!E9,0)))*parametros_manuales!$I$24*parametros_manuales!$J$24</f>
        <v>590.83</v>
      </c>
      <c r="D7" s="8">
        <f>(parametros_manuales!$D$24*('Plan mensual'!F2+IF(parametros_manuales!$H$24="Todos",'Plan mensual'!F6,0))+parametros_manuales!$E$24*('Plan mensual'!F3+IF(parametros_manuales!$H$24="Todos",'Plan mensual'!F7,0))+parametros_manuales!$F$24*('Plan mensual'!F4+IF(parametros_manuales!$H$24="Todos",'Plan mensual'!F8,0))+parametros_manuales!$G$24*('Plan mensual'!F5+IF(parametros_manuales!$H$24="Todos",'Plan mensual'!F9,0)))*parametros_manuales!$I$24*parametros_manuales!$J$24</f>
        <v>562.46</v>
      </c>
      <c r="E7" s="8">
        <f>(parametros_manuales!$D$24*('Plan mensual'!G2+IF(parametros_manuales!$H$24="Todos",'Plan mensual'!G6,0))+parametros_manuales!$E$24*('Plan mensual'!G3+IF(parametros_manuales!$H$24="Todos",'Plan mensual'!G7,0))+parametros_manuales!$F$24*('Plan mensual'!G4+IF(parametros_manuales!$H$24="Todos",'Plan mensual'!G8,0))+parametros_manuales!$G$24*('Plan mensual'!G5+IF(parametros_manuales!$H$24="Todos",'Plan mensual'!G9,0)))*parametros_manuales!$I$24*parametros_manuales!$J$24</f>
        <v>541.565</v>
      </c>
      <c r="F7" s="8">
        <f>(parametros_manuales!$D$24*('Plan mensual'!H2+IF(parametros_manuales!$H$24="Todos",'Plan mensual'!H6,0))+parametros_manuales!$E$24*('Plan mensual'!H3+IF(parametros_manuales!$H$24="Todos",'Plan mensual'!H7,0))+parametros_manuales!$F$24*('Plan mensual'!H4+IF(parametros_manuales!$H$24="Todos",'Plan mensual'!H8,0))+parametros_manuales!$G$24*('Plan mensual'!H5+IF(parametros_manuales!$H$24="Todos",'Plan mensual'!H9,0)))*parametros_manuales!$I$24*parametros_manuales!$J$24</f>
        <v>507.25</v>
      </c>
      <c r="G7" s="8">
        <f>(parametros_manuales!$D$24*('Plan mensual'!I2+IF(parametros_manuales!$H$24="Todos",'Plan mensual'!I6,0))+parametros_manuales!$E$24*('Plan mensual'!I3+IF(parametros_manuales!$H$24="Todos",'Plan mensual'!I7,0))+parametros_manuales!$F$24*('Plan mensual'!I4+IF(parametros_manuales!$H$24="Todos",'Plan mensual'!I8,0))+parametros_manuales!$G$24*('Plan mensual'!I5+IF(parametros_manuales!$H$24="Todos",'Plan mensual'!I9,0)))*parametros_manuales!$I$24*parametros_manuales!$J$24</f>
        <v>493.83</v>
      </c>
      <c r="H7" s="8">
        <f>(parametros_manuales!$D$24*('Plan mensual'!J2+IF(parametros_manuales!$H$24="Todos",'Plan mensual'!J6,0))+parametros_manuales!$E$24*('Plan mensual'!J3+IF(parametros_manuales!$H$24="Todos",'Plan mensual'!J7,0))+parametros_manuales!$F$24*('Plan mensual'!J4+IF(parametros_manuales!$H$24="Todos",'Plan mensual'!J8,0))+parametros_manuales!$G$24*('Plan mensual'!J5+IF(parametros_manuales!$H$24="Todos",'Plan mensual'!J9,0)))*parametros_manuales!$I$24*parametros_manuales!$J$24</f>
        <v>528.145</v>
      </c>
      <c r="I7" s="8">
        <f>(parametros_manuales!$D$24*('Plan mensual'!K2+IF(parametros_manuales!$H$24="Todos",'Plan mensual'!K6,0))+parametros_manuales!$E$24*('Plan mensual'!K3+IF(parametros_manuales!$H$24="Todos",'Plan mensual'!K7,0))+parametros_manuales!$F$24*('Plan mensual'!K4+IF(parametros_manuales!$H$24="Todos",'Plan mensual'!K8,0))+parametros_manuales!$G$24*('Plan mensual'!K5+IF(parametros_manuales!$H$24="Todos",'Plan mensual'!K9,0)))*parametros_manuales!$I$24*parametros_manuales!$J$24</f>
        <v>528.145</v>
      </c>
      <c r="J7" s="8">
        <f>(parametros_manuales!$D$24*('Plan mensual'!L2+IF(parametros_manuales!$H$24="Todos",'Plan mensual'!L6,0))+parametros_manuales!$E$24*('Plan mensual'!L3+IF(parametros_manuales!$H$24="Todos",'Plan mensual'!L7,0))+parametros_manuales!$F$24*('Plan mensual'!L4+IF(parametros_manuales!$H$24="Todos",'Plan mensual'!L8,0))+parametros_manuales!$G$24*('Plan mensual'!L5+IF(parametros_manuales!$H$24="Todos",'Plan mensual'!L9,0)))*parametros_manuales!$I$24*parametros_manuales!$J$24</f>
        <v>528.145</v>
      </c>
      <c r="K7" s="8">
        <f>(parametros_manuales!$D$24*('Plan mensual'!M2+IF(parametros_manuales!$H$24="Todos",'Plan mensual'!M6,0))+parametros_manuales!$E$24*('Plan mensual'!M3+IF(parametros_manuales!$H$24="Todos",'Plan mensual'!M7,0))+parametros_manuales!$F$24*('Plan mensual'!M4+IF(parametros_manuales!$H$24="Todos",'Plan mensual'!M8,0))+parametros_manuales!$G$24*('Plan mensual'!M5+IF(parametros_manuales!$H$24="Todos",'Plan mensual'!M9,0)))*parametros_manuales!$I$24*parametros_manuales!$J$24</f>
        <v>514.725</v>
      </c>
      <c r="L7" s="8">
        <f>(parametros_manuales!$D$24*('Plan mensual'!N2+IF(parametros_manuales!$H$24="Todos",'Plan mensual'!N6,0))+parametros_manuales!$E$24*('Plan mensual'!N3+IF(parametros_manuales!$H$24="Todos",'Plan mensual'!N7,0))+parametros_manuales!$F$24*('Plan mensual'!N4+IF(parametros_manuales!$H$24="Todos",'Plan mensual'!N8,0))+parametros_manuales!$G$24*('Plan mensual'!N5+IF(parametros_manuales!$H$24="Todos",'Plan mensual'!N9,0)))*parametros_manuales!$I$24*parametros_manuales!$J$24</f>
        <v>501.305</v>
      </c>
      <c r="M7" s="8">
        <f>(parametros_manuales!$D$24*('Plan mensual'!O2+IF(parametros_manuales!$H$24="Todos",'Plan mensual'!O6,0))+parametros_manuales!$E$24*('Plan mensual'!O3+IF(parametros_manuales!$H$24="Todos",'Plan mensual'!O7,0))+parametros_manuales!$F$24*('Plan mensual'!O4+IF(parametros_manuales!$H$24="Todos",'Plan mensual'!O8,0))+parametros_manuales!$G$24*('Plan mensual'!O5+IF(parametros_manuales!$H$24="Todos",'Plan mensual'!O9,0)))*parametros_manuales!$I$24*parametros_manuales!$J$24</f>
        <v>796.72</v>
      </c>
      <c r="N7" s="8">
        <f t="shared" si="1"/>
        <v>6863</v>
      </c>
      <c r="O7" s="8">
        <f t="shared" si="2"/>
        <v>796.72</v>
      </c>
      <c r="P7" s="27">
        <f>O7/(parametros_manuales!$B$7)</f>
        <v>5.311466667</v>
      </c>
      <c r="Q7" s="4" t="str">
        <f t="shared" si="3"/>
        <v>Dic</v>
      </c>
    </row>
    <row r="8" ht="14.25" customHeight="1">
      <c r="A8" s="4" t="str">
        <f>parametros_manuales!$B$25</f>
        <v>Soldadura del cuello a la cúpula</v>
      </c>
      <c r="B8" s="8">
        <f>(parametros_manuales!$D$25*('Plan mensual'!D2+IF(parametros_manuales!$H$25="Todos",'Plan mensual'!D6,0))+parametros_manuales!$E$25*('Plan mensual'!D3+IF(parametros_manuales!$H$25="Todos",'Plan mensual'!D7,0))+parametros_manuales!$F$25*('Plan mensual'!D4+IF(parametros_manuales!$H$25="Todos",'Plan mensual'!D8,0))+parametros_manuales!$G$25*('Plan mensual'!D5+IF(parametros_manuales!$H$25="Todos",'Plan mensual'!D9,0)))*parametros_manuales!$I$25*parametros_manuales!$J$25</f>
        <v>769.88</v>
      </c>
      <c r="C8" s="8">
        <f>(parametros_manuales!$D$25*('Plan mensual'!E2+IF(parametros_manuales!$H$25="Todos",'Plan mensual'!E6,0))+parametros_manuales!$E$25*('Plan mensual'!E3+IF(parametros_manuales!$H$25="Todos",'Plan mensual'!E7,0))+parametros_manuales!$F$25*('Plan mensual'!E4+IF(parametros_manuales!$H$25="Todos",'Plan mensual'!E8,0))+parametros_manuales!$G$25*('Plan mensual'!E5+IF(parametros_manuales!$H$25="Todos",'Plan mensual'!E9,0)))*parametros_manuales!$I$25*parametros_manuales!$J$25</f>
        <v>590.83</v>
      </c>
      <c r="D8" s="8">
        <f>(parametros_manuales!$D$25*('Plan mensual'!F2+IF(parametros_manuales!$H$25="Todos",'Plan mensual'!F6,0))+parametros_manuales!$E$25*('Plan mensual'!F3+IF(parametros_manuales!$H$25="Todos",'Plan mensual'!F7,0))+parametros_manuales!$F$25*('Plan mensual'!F4+IF(parametros_manuales!$H$25="Todos",'Plan mensual'!F8,0))+parametros_manuales!$G$25*('Plan mensual'!F5+IF(parametros_manuales!$H$25="Todos",'Plan mensual'!F9,0)))*parametros_manuales!$I$25*parametros_manuales!$J$25</f>
        <v>562.46</v>
      </c>
      <c r="E8" s="8">
        <f>(parametros_manuales!$D$25*('Plan mensual'!G2+IF(parametros_manuales!$H$25="Todos",'Plan mensual'!G6,0))+parametros_manuales!$E$25*('Plan mensual'!G3+IF(parametros_manuales!$H$25="Todos",'Plan mensual'!G7,0))+parametros_manuales!$F$25*('Plan mensual'!G4+IF(parametros_manuales!$H$25="Todos",'Plan mensual'!G8,0))+parametros_manuales!$G$25*('Plan mensual'!G5+IF(parametros_manuales!$H$25="Todos",'Plan mensual'!G9,0)))*parametros_manuales!$I$25*parametros_manuales!$J$25</f>
        <v>541.565</v>
      </c>
      <c r="F8" s="8">
        <f>(parametros_manuales!$D$25*('Plan mensual'!H2+IF(parametros_manuales!$H$25="Todos",'Plan mensual'!H6,0))+parametros_manuales!$E$25*('Plan mensual'!H3+IF(parametros_manuales!$H$25="Todos",'Plan mensual'!H7,0))+parametros_manuales!$F$25*('Plan mensual'!H4+IF(parametros_manuales!$H$25="Todos",'Plan mensual'!H8,0))+parametros_manuales!$G$25*('Plan mensual'!H5+IF(parametros_manuales!$H$25="Todos",'Plan mensual'!H9,0)))*parametros_manuales!$I$25*parametros_manuales!$J$25</f>
        <v>507.25</v>
      </c>
      <c r="G8" s="8">
        <f>(parametros_manuales!$D$25*('Plan mensual'!I2+IF(parametros_manuales!$H$25="Todos",'Plan mensual'!I6,0))+parametros_manuales!$E$25*('Plan mensual'!I3+IF(parametros_manuales!$H$25="Todos",'Plan mensual'!I7,0))+parametros_manuales!$F$25*('Plan mensual'!I4+IF(parametros_manuales!$H$25="Todos",'Plan mensual'!I8,0))+parametros_manuales!$G$25*('Plan mensual'!I5+IF(parametros_manuales!$H$25="Todos",'Plan mensual'!I9,0)))*parametros_manuales!$I$25*parametros_manuales!$J$25</f>
        <v>493.83</v>
      </c>
      <c r="H8" s="8">
        <f>(parametros_manuales!$D$25*('Plan mensual'!J2+IF(parametros_manuales!$H$25="Todos",'Plan mensual'!J6,0))+parametros_manuales!$E$25*('Plan mensual'!J3+IF(parametros_manuales!$H$25="Todos",'Plan mensual'!J7,0))+parametros_manuales!$F$25*('Plan mensual'!J4+IF(parametros_manuales!$H$25="Todos",'Plan mensual'!J8,0))+parametros_manuales!$G$25*('Plan mensual'!J5+IF(parametros_manuales!$H$25="Todos",'Plan mensual'!J9,0)))*parametros_manuales!$I$25*parametros_manuales!$J$25</f>
        <v>528.145</v>
      </c>
      <c r="I8" s="8">
        <f>(parametros_manuales!$D$25*('Plan mensual'!K2+IF(parametros_manuales!$H$25="Todos",'Plan mensual'!K6,0))+parametros_manuales!$E$25*('Plan mensual'!K3+IF(parametros_manuales!$H$25="Todos",'Plan mensual'!K7,0))+parametros_manuales!$F$25*('Plan mensual'!K4+IF(parametros_manuales!$H$25="Todos",'Plan mensual'!K8,0))+parametros_manuales!$G$25*('Plan mensual'!K5+IF(parametros_manuales!$H$25="Todos",'Plan mensual'!K9,0)))*parametros_manuales!$I$25*parametros_manuales!$J$25</f>
        <v>528.145</v>
      </c>
      <c r="J8" s="8">
        <f>(parametros_manuales!$D$25*('Plan mensual'!L2+IF(parametros_manuales!$H$25="Todos",'Plan mensual'!L6,0))+parametros_manuales!$E$25*('Plan mensual'!L3+IF(parametros_manuales!$H$25="Todos",'Plan mensual'!L7,0))+parametros_manuales!$F$25*('Plan mensual'!L4+IF(parametros_manuales!$H$25="Todos",'Plan mensual'!L8,0))+parametros_manuales!$G$25*('Plan mensual'!L5+IF(parametros_manuales!$H$25="Todos",'Plan mensual'!L9,0)))*parametros_manuales!$I$25*parametros_manuales!$J$25</f>
        <v>528.145</v>
      </c>
      <c r="K8" s="8">
        <f>(parametros_manuales!$D$25*('Plan mensual'!M2+IF(parametros_manuales!$H$25="Todos",'Plan mensual'!M6,0))+parametros_manuales!$E$25*('Plan mensual'!M3+IF(parametros_manuales!$H$25="Todos",'Plan mensual'!M7,0))+parametros_manuales!$F$25*('Plan mensual'!M4+IF(parametros_manuales!$H$25="Todos",'Plan mensual'!M8,0))+parametros_manuales!$G$25*('Plan mensual'!M5+IF(parametros_manuales!$H$25="Todos",'Plan mensual'!M9,0)))*parametros_manuales!$I$25*parametros_manuales!$J$25</f>
        <v>514.725</v>
      </c>
      <c r="L8" s="8">
        <f>(parametros_manuales!$D$25*('Plan mensual'!N2+IF(parametros_manuales!$H$25="Todos",'Plan mensual'!N6,0))+parametros_manuales!$E$25*('Plan mensual'!N3+IF(parametros_manuales!$H$25="Todos",'Plan mensual'!N7,0))+parametros_manuales!$F$25*('Plan mensual'!N4+IF(parametros_manuales!$H$25="Todos",'Plan mensual'!N8,0))+parametros_manuales!$G$25*('Plan mensual'!N5+IF(parametros_manuales!$H$25="Todos",'Plan mensual'!N9,0)))*parametros_manuales!$I$25*parametros_manuales!$J$25</f>
        <v>501.305</v>
      </c>
      <c r="M8" s="8">
        <f>(parametros_manuales!$D$25*('Plan mensual'!O2+IF(parametros_manuales!$H$25="Todos",'Plan mensual'!O6,0))+parametros_manuales!$E$25*('Plan mensual'!O3+IF(parametros_manuales!$H$25="Todos",'Plan mensual'!O7,0))+parametros_manuales!$F$25*('Plan mensual'!O4+IF(parametros_manuales!$H$25="Todos",'Plan mensual'!O8,0))+parametros_manuales!$G$25*('Plan mensual'!O5+IF(parametros_manuales!$H$25="Todos",'Plan mensual'!O9,0)))*parametros_manuales!$I$25*parametros_manuales!$J$25</f>
        <v>796.72</v>
      </c>
      <c r="N8" s="8">
        <f t="shared" si="1"/>
        <v>6863</v>
      </c>
      <c r="O8" s="8">
        <f t="shared" si="2"/>
        <v>796.72</v>
      </c>
      <c r="P8" s="27">
        <f>O8/(parametros_manuales!$B$7)</f>
        <v>5.311466667</v>
      </c>
      <c r="Q8" s="4" t="str">
        <f t="shared" si="3"/>
        <v>Dic</v>
      </c>
    </row>
    <row r="9" ht="14.25" customHeight="1">
      <c r="A9" s="4" t="str">
        <f>parametros_manuales!$B$26</f>
        <v>Cilindrado</v>
      </c>
      <c r="B9" s="8">
        <f>(parametros_manuales!$D$26*('Plan mensual'!D2+IF(parametros_manuales!$H$26="Todos",'Plan mensual'!D6,0))+parametros_manuales!$E$26*('Plan mensual'!D3+IF(parametros_manuales!$H$26="Todos",'Plan mensual'!D7,0))+parametros_manuales!$F$26*('Plan mensual'!D4+IF(parametros_manuales!$H$26="Todos",'Plan mensual'!D8,0))+parametros_manuales!$G$26*('Plan mensual'!D5+IF(parametros_manuales!$H$26="Todos",'Plan mensual'!D9,0)))*parametros_manuales!$I$26*parametros_manuales!$J$26</f>
        <v>769.88</v>
      </c>
      <c r="C9" s="8">
        <f>(parametros_manuales!$D$26*('Plan mensual'!E2+IF(parametros_manuales!$H$26="Todos",'Plan mensual'!E6,0))+parametros_manuales!$E$26*('Plan mensual'!E3+IF(parametros_manuales!$H$26="Todos",'Plan mensual'!E7,0))+parametros_manuales!$F$26*('Plan mensual'!E4+IF(parametros_manuales!$H$26="Todos",'Plan mensual'!E8,0))+parametros_manuales!$G$26*('Plan mensual'!E5+IF(parametros_manuales!$H$26="Todos",'Plan mensual'!E9,0)))*parametros_manuales!$I$26*parametros_manuales!$J$26</f>
        <v>590.83</v>
      </c>
      <c r="D9" s="8">
        <f>(parametros_manuales!$D$26*('Plan mensual'!F2+IF(parametros_manuales!$H$26="Todos",'Plan mensual'!F6,0))+parametros_manuales!$E$26*('Plan mensual'!F3+IF(parametros_manuales!$H$26="Todos",'Plan mensual'!F7,0))+parametros_manuales!$F$26*('Plan mensual'!F4+IF(parametros_manuales!$H$26="Todos",'Plan mensual'!F8,0))+parametros_manuales!$G$26*('Plan mensual'!F5+IF(parametros_manuales!$H$26="Todos",'Plan mensual'!F9,0)))*parametros_manuales!$I$26*parametros_manuales!$J$26</f>
        <v>562.46</v>
      </c>
      <c r="E9" s="8">
        <f>(parametros_manuales!$D$26*('Plan mensual'!G2+IF(parametros_manuales!$H$26="Todos",'Plan mensual'!G6,0))+parametros_manuales!$E$26*('Plan mensual'!G3+IF(parametros_manuales!$H$26="Todos",'Plan mensual'!G7,0))+parametros_manuales!$F$26*('Plan mensual'!G4+IF(parametros_manuales!$H$26="Todos",'Plan mensual'!G8,0))+parametros_manuales!$G$26*('Plan mensual'!G5+IF(parametros_manuales!$H$26="Todos",'Plan mensual'!G9,0)))*parametros_manuales!$I$26*parametros_manuales!$J$26</f>
        <v>541.565</v>
      </c>
      <c r="F9" s="8">
        <f>(parametros_manuales!$D$26*('Plan mensual'!H2+IF(parametros_manuales!$H$26="Todos",'Plan mensual'!H6,0))+parametros_manuales!$E$26*('Plan mensual'!H3+IF(parametros_manuales!$H$26="Todos",'Plan mensual'!H7,0))+parametros_manuales!$F$26*('Plan mensual'!H4+IF(parametros_manuales!$H$26="Todos",'Plan mensual'!H8,0))+parametros_manuales!$G$26*('Plan mensual'!H5+IF(parametros_manuales!$H$26="Todos",'Plan mensual'!H9,0)))*parametros_manuales!$I$26*parametros_manuales!$J$26</f>
        <v>507.25</v>
      </c>
      <c r="G9" s="8">
        <f>(parametros_manuales!$D$26*('Plan mensual'!I2+IF(parametros_manuales!$H$26="Todos",'Plan mensual'!I6,0))+parametros_manuales!$E$26*('Plan mensual'!I3+IF(parametros_manuales!$H$26="Todos",'Plan mensual'!I7,0))+parametros_manuales!$F$26*('Plan mensual'!I4+IF(parametros_manuales!$H$26="Todos",'Plan mensual'!I8,0))+parametros_manuales!$G$26*('Plan mensual'!I5+IF(parametros_manuales!$H$26="Todos",'Plan mensual'!I9,0)))*parametros_manuales!$I$26*parametros_manuales!$J$26</f>
        <v>493.83</v>
      </c>
      <c r="H9" s="8">
        <f>(parametros_manuales!$D$26*('Plan mensual'!J2+IF(parametros_manuales!$H$26="Todos",'Plan mensual'!J6,0))+parametros_manuales!$E$26*('Plan mensual'!J3+IF(parametros_manuales!$H$26="Todos",'Plan mensual'!J7,0))+parametros_manuales!$F$26*('Plan mensual'!J4+IF(parametros_manuales!$H$26="Todos",'Plan mensual'!J8,0))+parametros_manuales!$G$26*('Plan mensual'!J5+IF(parametros_manuales!$H$26="Todos",'Plan mensual'!J9,0)))*parametros_manuales!$I$26*parametros_manuales!$J$26</f>
        <v>528.145</v>
      </c>
      <c r="I9" s="8">
        <f>(parametros_manuales!$D$26*('Plan mensual'!K2+IF(parametros_manuales!$H$26="Todos",'Plan mensual'!K6,0))+parametros_manuales!$E$26*('Plan mensual'!K3+IF(parametros_manuales!$H$26="Todos",'Plan mensual'!K7,0))+parametros_manuales!$F$26*('Plan mensual'!K4+IF(parametros_manuales!$H$26="Todos",'Plan mensual'!K8,0))+parametros_manuales!$G$26*('Plan mensual'!K5+IF(parametros_manuales!$H$26="Todos",'Plan mensual'!K9,0)))*parametros_manuales!$I$26*parametros_manuales!$J$26</f>
        <v>528.145</v>
      </c>
      <c r="J9" s="8">
        <f>(parametros_manuales!$D$26*('Plan mensual'!L2+IF(parametros_manuales!$H$26="Todos",'Plan mensual'!L6,0))+parametros_manuales!$E$26*('Plan mensual'!L3+IF(parametros_manuales!$H$26="Todos",'Plan mensual'!L7,0))+parametros_manuales!$F$26*('Plan mensual'!L4+IF(parametros_manuales!$H$26="Todos",'Plan mensual'!L8,0))+parametros_manuales!$G$26*('Plan mensual'!L5+IF(parametros_manuales!$H$26="Todos",'Plan mensual'!L9,0)))*parametros_manuales!$I$26*parametros_manuales!$J$26</f>
        <v>528.145</v>
      </c>
      <c r="K9" s="8">
        <f>(parametros_manuales!$D$26*('Plan mensual'!M2+IF(parametros_manuales!$H$26="Todos",'Plan mensual'!M6,0))+parametros_manuales!$E$26*('Plan mensual'!M3+IF(parametros_manuales!$H$26="Todos",'Plan mensual'!M7,0))+parametros_manuales!$F$26*('Plan mensual'!M4+IF(parametros_manuales!$H$26="Todos",'Plan mensual'!M8,0))+parametros_manuales!$G$26*('Plan mensual'!M5+IF(parametros_manuales!$H$26="Todos",'Plan mensual'!M9,0)))*parametros_manuales!$I$26*parametros_manuales!$J$26</f>
        <v>514.725</v>
      </c>
      <c r="L9" s="8">
        <f>(parametros_manuales!$D$26*('Plan mensual'!N2+IF(parametros_manuales!$H$26="Todos",'Plan mensual'!N6,0))+parametros_manuales!$E$26*('Plan mensual'!N3+IF(parametros_manuales!$H$26="Todos",'Plan mensual'!N7,0))+parametros_manuales!$F$26*('Plan mensual'!N4+IF(parametros_manuales!$H$26="Todos",'Plan mensual'!N8,0))+parametros_manuales!$G$26*('Plan mensual'!N5+IF(parametros_manuales!$H$26="Todos",'Plan mensual'!N9,0)))*parametros_manuales!$I$26*parametros_manuales!$J$26</f>
        <v>501.305</v>
      </c>
      <c r="M9" s="8">
        <f>(parametros_manuales!$D$26*('Plan mensual'!O2+IF(parametros_manuales!$H$26="Todos",'Plan mensual'!O6,0))+parametros_manuales!$E$26*('Plan mensual'!O3+IF(parametros_manuales!$H$26="Todos",'Plan mensual'!O7,0))+parametros_manuales!$F$26*('Plan mensual'!O4+IF(parametros_manuales!$H$26="Todos",'Plan mensual'!O8,0))+parametros_manuales!$G$26*('Plan mensual'!O5+IF(parametros_manuales!$H$26="Todos",'Plan mensual'!O9,0)))*parametros_manuales!$I$26*parametros_manuales!$J$26</f>
        <v>796.72</v>
      </c>
      <c r="N9" s="8">
        <f t="shared" si="1"/>
        <v>6863</v>
      </c>
      <c r="O9" s="8">
        <f t="shared" si="2"/>
        <v>796.72</v>
      </c>
      <c r="P9" s="27">
        <f>O9/(parametros_manuales!$B$7)</f>
        <v>5.311466667</v>
      </c>
      <c r="Q9" s="4" t="str">
        <f t="shared" si="3"/>
        <v>Dic</v>
      </c>
    </row>
    <row r="10" ht="14.25" customHeight="1">
      <c r="A10" s="4" t="str">
        <f>parametros_manuales!$B$27</f>
        <v>Soldadura longitudinal — 2,5 a 10 kg</v>
      </c>
      <c r="B10" s="8">
        <f>(parametros_manuales!$D$27*('Plan mensual'!D2+IF(parametros_manuales!$H$27="Todos",'Plan mensual'!D6,0))+parametros_manuales!$E$27*('Plan mensual'!D3+IF(parametros_manuales!$H$27="Todos",'Plan mensual'!D7,0))+parametros_manuales!$F$27*('Plan mensual'!D4+IF(parametros_manuales!$H$27="Todos",'Plan mensual'!D8,0))+parametros_manuales!$G$27*('Plan mensual'!D5+IF(parametros_manuales!$H$27="Todos",'Plan mensual'!D9,0)))*parametros_manuales!$I$27*parametros_manuales!$J$27</f>
        <v>268.4</v>
      </c>
      <c r="C10" s="8">
        <f>(parametros_manuales!$D$27*('Plan mensual'!E2+IF(parametros_manuales!$H$27="Todos",'Plan mensual'!E6,0))+parametros_manuales!$E$27*('Plan mensual'!E3+IF(parametros_manuales!$H$27="Todos",'Plan mensual'!E7,0))+parametros_manuales!$F$27*('Plan mensual'!E4+IF(parametros_manuales!$H$27="Todos",'Plan mensual'!E8,0))+parametros_manuales!$G$27*('Plan mensual'!E5+IF(parametros_manuales!$H$27="Todos",'Plan mensual'!E9,0)))*parametros_manuales!$I$27*parametros_manuales!$J$27</f>
        <v>214.72</v>
      </c>
      <c r="D10" s="8">
        <f>(parametros_manuales!$D$27*('Plan mensual'!F2+IF(parametros_manuales!$H$27="Todos",'Plan mensual'!F6,0))+parametros_manuales!$E$27*('Plan mensual'!F3+IF(parametros_manuales!$H$27="Todos",'Plan mensual'!F7,0))+parametros_manuales!$F$27*('Plan mensual'!F4+IF(parametros_manuales!$H$27="Todos",'Plan mensual'!F8,0))+parametros_manuales!$G$27*('Plan mensual'!F5+IF(parametros_manuales!$H$27="Todos",'Plan mensual'!F9,0)))*parametros_manuales!$I$27*parametros_manuales!$J$27</f>
        <v>228.14</v>
      </c>
      <c r="E10" s="8">
        <f>(parametros_manuales!$D$27*('Plan mensual'!G2+IF(parametros_manuales!$H$27="Todos",'Plan mensual'!G6,0))+parametros_manuales!$E$27*('Plan mensual'!G3+IF(parametros_manuales!$H$27="Todos",'Plan mensual'!G7,0))+parametros_manuales!$F$27*('Plan mensual'!G4+IF(parametros_manuales!$H$27="Todos",'Plan mensual'!G8,0))+parametros_manuales!$G$27*('Plan mensual'!G5+IF(parametros_manuales!$H$27="Todos",'Plan mensual'!G9,0)))*parametros_manuales!$I$27*parametros_manuales!$J$27</f>
        <v>228.14</v>
      </c>
      <c r="F10" s="8">
        <f>(parametros_manuales!$D$27*('Plan mensual'!H2+IF(parametros_manuales!$H$27="Todos",'Plan mensual'!H6,0))+parametros_manuales!$E$27*('Plan mensual'!H3+IF(parametros_manuales!$H$27="Todos",'Plan mensual'!H7,0))+parametros_manuales!$F$27*('Plan mensual'!H4+IF(parametros_manuales!$H$27="Todos",'Plan mensual'!H8,0))+parametros_manuales!$G$27*('Plan mensual'!H5+IF(parametros_manuales!$H$27="Todos",'Plan mensual'!H9,0)))*parametros_manuales!$I$27*parametros_manuales!$J$27</f>
        <v>214.72</v>
      </c>
      <c r="G10" s="8">
        <f>(parametros_manuales!$D$27*('Plan mensual'!I2+IF(parametros_manuales!$H$27="Todos",'Plan mensual'!I6,0))+parametros_manuales!$E$27*('Plan mensual'!I3+IF(parametros_manuales!$H$27="Todos",'Plan mensual'!I7,0))+parametros_manuales!$F$27*('Plan mensual'!I4+IF(parametros_manuales!$H$27="Todos",'Plan mensual'!I8,0))+parametros_manuales!$G$27*('Plan mensual'!I5+IF(parametros_manuales!$H$27="Todos",'Plan mensual'!I9,0)))*parametros_manuales!$I$27*parametros_manuales!$J$27</f>
        <v>201.3</v>
      </c>
      <c r="H10" s="8">
        <f>(parametros_manuales!$D$27*('Plan mensual'!J2+IF(parametros_manuales!$H$27="Todos",'Plan mensual'!J6,0))+parametros_manuales!$E$27*('Plan mensual'!J3+IF(parametros_manuales!$H$27="Todos",'Plan mensual'!J7,0))+parametros_manuales!$F$27*('Plan mensual'!J4+IF(parametros_manuales!$H$27="Todos",'Plan mensual'!J8,0))+parametros_manuales!$G$27*('Plan mensual'!J5+IF(parametros_manuales!$H$27="Todos",'Plan mensual'!J9,0)))*parametros_manuales!$I$27*parametros_manuales!$J$27</f>
        <v>214.72</v>
      </c>
      <c r="I10" s="8">
        <f>(parametros_manuales!$D$27*('Plan mensual'!K2+IF(parametros_manuales!$H$27="Todos",'Plan mensual'!K6,0))+parametros_manuales!$E$27*('Plan mensual'!K3+IF(parametros_manuales!$H$27="Todos",'Plan mensual'!K7,0))+parametros_manuales!$F$27*('Plan mensual'!K4+IF(parametros_manuales!$H$27="Todos",'Plan mensual'!K8,0))+parametros_manuales!$G$27*('Plan mensual'!K5+IF(parametros_manuales!$H$27="Todos",'Plan mensual'!K9,0)))*parametros_manuales!$I$27*parametros_manuales!$J$27</f>
        <v>214.72</v>
      </c>
      <c r="J10" s="8">
        <f>(parametros_manuales!$D$27*('Plan mensual'!L2+IF(parametros_manuales!$H$27="Todos",'Plan mensual'!L6,0))+parametros_manuales!$E$27*('Plan mensual'!L3+IF(parametros_manuales!$H$27="Todos",'Plan mensual'!L7,0))+parametros_manuales!$F$27*('Plan mensual'!L4+IF(parametros_manuales!$H$27="Todos",'Plan mensual'!L8,0))+parametros_manuales!$G$27*('Plan mensual'!L5+IF(parametros_manuales!$H$27="Todos",'Plan mensual'!L9,0)))*parametros_manuales!$I$27*parametros_manuales!$J$27</f>
        <v>214.72</v>
      </c>
      <c r="K10" s="8">
        <f>(parametros_manuales!$D$27*('Plan mensual'!M2+IF(parametros_manuales!$H$27="Todos",'Plan mensual'!M6,0))+parametros_manuales!$E$27*('Plan mensual'!M3+IF(parametros_manuales!$H$27="Todos",'Plan mensual'!M7,0))+parametros_manuales!$F$27*('Plan mensual'!M4+IF(parametros_manuales!$H$27="Todos",'Plan mensual'!M8,0))+parametros_manuales!$G$27*('Plan mensual'!M5+IF(parametros_manuales!$H$27="Todos",'Plan mensual'!M9,0)))*parametros_manuales!$I$27*parametros_manuales!$J$27</f>
        <v>201.3</v>
      </c>
      <c r="L10" s="8">
        <f>(parametros_manuales!$D$27*('Plan mensual'!N2+IF(parametros_manuales!$H$27="Todos",'Plan mensual'!N6,0))+parametros_manuales!$E$27*('Plan mensual'!N3+IF(parametros_manuales!$H$27="Todos",'Plan mensual'!N7,0))+parametros_manuales!$F$27*('Plan mensual'!N4+IF(parametros_manuales!$H$27="Todos",'Plan mensual'!N8,0))+parametros_manuales!$G$27*('Plan mensual'!N5+IF(parametros_manuales!$H$27="Todos",'Plan mensual'!N9,0)))*parametros_manuales!$I$27*parametros_manuales!$J$27</f>
        <v>187.88</v>
      </c>
      <c r="M10" s="8">
        <f>(parametros_manuales!$D$27*('Plan mensual'!O2+IF(parametros_manuales!$H$27="Todos",'Plan mensual'!O6,0))+parametros_manuales!$E$27*('Plan mensual'!O3+IF(parametros_manuales!$H$27="Todos",'Plan mensual'!O7,0))+parametros_manuales!$F$27*('Plan mensual'!O4+IF(parametros_manuales!$H$27="Todos",'Plan mensual'!O8,0))+parametros_manuales!$G$27*('Plan mensual'!O5+IF(parametros_manuales!$H$27="Todos",'Plan mensual'!O9,0)))*parametros_manuales!$I$27*parametros_manuales!$J$27</f>
        <v>295.24</v>
      </c>
      <c r="N10" s="8">
        <f t="shared" si="1"/>
        <v>2684</v>
      </c>
      <c r="O10" s="8">
        <f t="shared" si="2"/>
        <v>295.24</v>
      </c>
      <c r="P10" s="27">
        <f>O10/(parametros_manuales!$B$7)</f>
        <v>1.968266667</v>
      </c>
      <c r="Q10" s="4" t="str">
        <f t="shared" si="3"/>
        <v>Dic</v>
      </c>
    </row>
    <row r="11" ht="14.25" customHeight="1">
      <c r="A11" s="4" t="str">
        <f>parametros_manuales!$B$28</f>
        <v>Soldadura longitudinal TIG — 1 kg</v>
      </c>
      <c r="B11" s="8">
        <f>(parametros_manuales!$D$28*('Plan mensual'!D2+IF(parametros_manuales!$H$28="Todos",'Plan mensual'!D6,0))+parametros_manuales!$E$28*('Plan mensual'!D3+IF(parametros_manuales!$H$28="Todos",'Plan mensual'!D7,0))+parametros_manuales!$F$28*('Plan mensual'!D4+IF(parametros_manuales!$H$28="Todos",'Plan mensual'!D8,0))+parametros_manuales!$G$28*('Plan mensual'!D5+IF(parametros_manuales!$H$28="Todos",'Plan mensual'!D9,0)))*parametros_manuales!$I$28*parametros_manuales!$J$28</f>
        <v>501.48</v>
      </c>
      <c r="C11" s="8">
        <f>(parametros_manuales!$D$28*('Plan mensual'!E2+IF(parametros_manuales!$H$28="Todos",'Plan mensual'!E6,0))+parametros_manuales!$E$28*('Plan mensual'!E3+IF(parametros_manuales!$H$28="Todos",'Plan mensual'!E7,0))+parametros_manuales!$F$28*('Plan mensual'!E4+IF(parametros_manuales!$H$28="Todos",'Plan mensual'!E8,0))+parametros_manuales!$G$28*('Plan mensual'!E5+IF(parametros_manuales!$H$28="Todos",'Plan mensual'!E9,0)))*parametros_manuales!$I$28*parametros_manuales!$J$28</f>
        <v>376.11</v>
      </c>
      <c r="D11" s="8">
        <f>(parametros_manuales!$D$28*('Plan mensual'!F2+IF(parametros_manuales!$H$28="Todos",'Plan mensual'!F6,0))+parametros_manuales!$E$28*('Plan mensual'!F3+IF(parametros_manuales!$H$28="Todos",'Plan mensual'!F7,0))+parametros_manuales!$F$28*('Plan mensual'!F4+IF(parametros_manuales!$H$28="Todos",'Plan mensual'!F8,0))+parametros_manuales!$G$28*('Plan mensual'!F5+IF(parametros_manuales!$H$28="Todos",'Plan mensual'!F9,0)))*parametros_manuales!$I$28*parametros_manuales!$J$28</f>
        <v>334.32</v>
      </c>
      <c r="E11" s="8">
        <f>(parametros_manuales!$D$28*('Plan mensual'!G2+IF(parametros_manuales!$H$28="Todos",'Plan mensual'!G6,0))+parametros_manuales!$E$28*('Plan mensual'!G3+IF(parametros_manuales!$H$28="Todos",'Plan mensual'!G7,0))+parametros_manuales!$F$28*('Plan mensual'!G4+IF(parametros_manuales!$H$28="Todos",'Plan mensual'!G8,0))+parametros_manuales!$G$28*('Plan mensual'!G5+IF(parametros_manuales!$H$28="Todos",'Plan mensual'!G9,0)))*parametros_manuales!$I$28*parametros_manuales!$J$28</f>
        <v>313.425</v>
      </c>
      <c r="F11" s="8">
        <f>(parametros_manuales!$D$28*('Plan mensual'!H2+IF(parametros_manuales!$H$28="Todos",'Plan mensual'!H6,0))+parametros_manuales!$E$28*('Plan mensual'!H3+IF(parametros_manuales!$H$28="Todos",'Plan mensual'!H7,0))+parametros_manuales!$F$28*('Plan mensual'!H4+IF(parametros_manuales!$H$28="Todos",'Plan mensual'!H8,0))+parametros_manuales!$G$28*('Plan mensual'!H5+IF(parametros_manuales!$H$28="Todos",'Plan mensual'!H9,0)))*parametros_manuales!$I$28*parametros_manuales!$J$28</f>
        <v>292.53</v>
      </c>
      <c r="G11" s="8">
        <f>(parametros_manuales!$D$28*('Plan mensual'!I2+IF(parametros_manuales!$H$28="Todos",'Plan mensual'!I6,0))+parametros_manuales!$E$28*('Plan mensual'!I3+IF(parametros_manuales!$H$28="Todos",'Plan mensual'!I7,0))+parametros_manuales!$F$28*('Plan mensual'!I4+IF(parametros_manuales!$H$28="Todos",'Plan mensual'!I8,0))+parametros_manuales!$G$28*('Plan mensual'!I5+IF(parametros_manuales!$H$28="Todos",'Plan mensual'!I9,0)))*parametros_manuales!$I$28*parametros_manuales!$J$28</f>
        <v>292.53</v>
      </c>
      <c r="H11" s="8">
        <f>(parametros_manuales!$D$28*('Plan mensual'!J2+IF(parametros_manuales!$H$28="Todos",'Plan mensual'!J6,0))+parametros_manuales!$E$28*('Plan mensual'!J3+IF(parametros_manuales!$H$28="Todos",'Plan mensual'!J7,0))+parametros_manuales!$F$28*('Plan mensual'!J4+IF(parametros_manuales!$H$28="Todos",'Plan mensual'!J8,0))+parametros_manuales!$G$28*('Plan mensual'!J5+IF(parametros_manuales!$H$28="Todos",'Plan mensual'!J9,0)))*parametros_manuales!$I$28*parametros_manuales!$J$28</f>
        <v>313.425</v>
      </c>
      <c r="I11" s="8">
        <f>(parametros_manuales!$D$28*('Plan mensual'!K2+IF(parametros_manuales!$H$28="Todos",'Plan mensual'!K6,0))+parametros_manuales!$E$28*('Plan mensual'!K3+IF(parametros_manuales!$H$28="Todos",'Plan mensual'!K7,0))+parametros_manuales!$F$28*('Plan mensual'!K4+IF(parametros_manuales!$H$28="Todos",'Plan mensual'!K8,0))+parametros_manuales!$G$28*('Plan mensual'!K5+IF(parametros_manuales!$H$28="Todos",'Plan mensual'!K9,0)))*parametros_manuales!$I$28*parametros_manuales!$J$28</f>
        <v>313.425</v>
      </c>
      <c r="J11" s="8">
        <f>(parametros_manuales!$D$28*('Plan mensual'!L2+IF(parametros_manuales!$H$28="Todos",'Plan mensual'!L6,0))+parametros_manuales!$E$28*('Plan mensual'!L3+IF(parametros_manuales!$H$28="Todos",'Plan mensual'!L7,0))+parametros_manuales!$F$28*('Plan mensual'!L4+IF(parametros_manuales!$H$28="Todos",'Plan mensual'!L8,0))+parametros_manuales!$G$28*('Plan mensual'!L5+IF(parametros_manuales!$H$28="Todos",'Plan mensual'!L9,0)))*parametros_manuales!$I$28*parametros_manuales!$J$28</f>
        <v>313.425</v>
      </c>
      <c r="K11" s="8">
        <f>(parametros_manuales!$D$28*('Plan mensual'!M2+IF(parametros_manuales!$H$28="Todos",'Plan mensual'!M6,0))+parametros_manuales!$E$28*('Plan mensual'!M3+IF(parametros_manuales!$H$28="Todos",'Plan mensual'!M7,0))+parametros_manuales!$F$28*('Plan mensual'!M4+IF(parametros_manuales!$H$28="Todos",'Plan mensual'!M8,0))+parametros_manuales!$G$28*('Plan mensual'!M5+IF(parametros_manuales!$H$28="Todos",'Plan mensual'!M9,0)))*parametros_manuales!$I$28*parametros_manuales!$J$28</f>
        <v>313.425</v>
      </c>
      <c r="L11" s="8">
        <f>(parametros_manuales!$D$28*('Plan mensual'!N2+IF(parametros_manuales!$H$28="Todos",'Plan mensual'!N6,0))+parametros_manuales!$E$28*('Plan mensual'!N3+IF(parametros_manuales!$H$28="Todos",'Plan mensual'!N7,0))+parametros_manuales!$F$28*('Plan mensual'!N4+IF(parametros_manuales!$H$28="Todos",'Plan mensual'!N8,0))+parametros_manuales!$G$28*('Plan mensual'!N5+IF(parametros_manuales!$H$28="Todos",'Plan mensual'!N9,0)))*parametros_manuales!$I$28*parametros_manuales!$J$28</f>
        <v>313.425</v>
      </c>
      <c r="M11" s="8">
        <f>(parametros_manuales!$D$28*('Plan mensual'!O2+IF(parametros_manuales!$H$28="Todos",'Plan mensual'!O6,0))+parametros_manuales!$E$28*('Plan mensual'!O3+IF(parametros_manuales!$H$28="Todos",'Plan mensual'!O7,0))+parametros_manuales!$F$28*('Plan mensual'!O4+IF(parametros_manuales!$H$28="Todos",'Plan mensual'!O8,0))+parametros_manuales!$G$28*('Plan mensual'!O5+IF(parametros_manuales!$H$28="Todos",'Plan mensual'!O9,0)))*parametros_manuales!$I$28*parametros_manuales!$J$28</f>
        <v>501.48</v>
      </c>
      <c r="N11" s="8">
        <f t="shared" si="1"/>
        <v>4179</v>
      </c>
      <c r="O11" s="8">
        <f t="shared" si="2"/>
        <v>501.48</v>
      </c>
      <c r="P11" s="27">
        <f>O11/(parametros_manuales!$B$7)</f>
        <v>3.3432</v>
      </c>
      <c r="Q11" s="4" t="str">
        <f t="shared" si="3"/>
        <v>Ene</v>
      </c>
    </row>
    <row r="12" ht="14.25" customHeight="1">
      <c r="A12" s="4" t="str">
        <f>parametros_manuales!$B$29</f>
        <v>Encastre de fondo</v>
      </c>
      <c r="B12" s="8">
        <f>(parametros_manuales!$D$29*('Plan mensual'!D2+IF(parametros_manuales!$H$29="Todos",'Plan mensual'!D6,0))+parametros_manuales!$E$29*('Plan mensual'!D3+IF(parametros_manuales!$H$29="Todos",'Plan mensual'!D7,0))+parametros_manuales!$F$29*('Plan mensual'!D4+IF(parametros_manuales!$H$29="Todos",'Plan mensual'!D8,0))+parametros_manuales!$G$29*('Plan mensual'!D5+IF(parametros_manuales!$H$29="Todos",'Plan mensual'!D9,0)))*parametros_manuales!$I$29*parametros_manuales!$J$29</f>
        <v>769.88</v>
      </c>
      <c r="C12" s="8">
        <f>(parametros_manuales!$D$29*('Plan mensual'!E2+IF(parametros_manuales!$H$29="Todos",'Plan mensual'!E6,0))+parametros_manuales!$E$29*('Plan mensual'!E3+IF(parametros_manuales!$H$29="Todos",'Plan mensual'!E7,0))+parametros_manuales!$F$29*('Plan mensual'!E4+IF(parametros_manuales!$H$29="Todos",'Plan mensual'!E8,0))+parametros_manuales!$G$29*('Plan mensual'!E5+IF(parametros_manuales!$H$29="Todos",'Plan mensual'!E9,0)))*parametros_manuales!$I$29*parametros_manuales!$J$29</f>
        <v>590.83</v>
      </c>
      <c r="D12" s="8">
        <f>(parametros_manuales!$D$29*('Plan mensual'!F2+IF(parametros_manuales!$H$29="Todos",'Plan mensual'!F6,0))+parametros_manuales!$E$29*('Plan mensual'!F3+IF(parametros_manuales!$H$29="Todos",'Plan mensual'!F7,0))+parametros_manuales!$F$29*('Plan mensual'!F4+IF(parametros_manuales!$H$29="Todos",'Plan mensual'!F8,0))+parametros_manuales!$G$29*('Plan mensual'!F5+IF(parametros_manuales!$H$29="Todos",'Plan mensual'!F9,0)))*parametros_manuales!$I$29*parametros_manuales!$J$29</f>
        <v>562.46</v>
      </c>
      <c r="E12" s="8">
        <f>(parametros_manuales!$D$29*('Plan mensual'!G2+IF(parametros_manuales!$H$29="Todos",'Plan mensual'!G6,0))+parametros_manuales!$E$29*('Plan mensual'!G3+IF(parametros_manuales!$H$29="Todos",'Plan mensual'!G7,0))+parametros_manuales!$F$29*('Plan mensual'!G4+IF(parametros_manuales!$H$29="Todos",'Plan mensual'!G8,0))+parametros_manuales!$G$29*('Plan mensual'!G5+IF(parametros_manuales!$H$29="Todos",'Plan mensual'!G9,0)))*parametros_manuales!$I$29*parametros_manuales!$J$29</f>
        <v>541.565</v>
      </c>
      <c r="F12" s="8">
        <f>(parametros_manuales!$D$29*('Plan mensual'!H2+IF(parametros_manuales!$H$29="Todos",'Plan mensual'!H6,0))+parametros_manuales!$E$29*('Plan mensual'!H3+IF(parametros_manuales!$H$29="Todos",'Plan mensual'!H7,0))+parametros_manuales!$F$29*('Plan mensual'!H4+IF(parametros_manuales!$H$29="Todos",'Plan mensual'!H8,0))+parametros_manuales!$G$29*('Plan mensual'!H5+IF(parametros_manuales!$H$29="Todos",'Plan mensual'!H9,0)))*parametros_manuales!$I$29*parametros_manuales!$J$29</f>
        <v>507.25</v>
      </c>
      <c r="G12" s="8">
        <f>(parametros_manuales!$D$29*('Plan mensual'!I2+IF(parametros_manuales!$H$29="Todos",'Plan mensual'!I6,0))+parametros_manuales!$E$29*('Plan mensual'!I3+IF(parametros_manuales!$H$29="Todos",'Plan mensual'!I7,0))+parametros_manuales!$F$29*('Plan mensual'!I4+IF(parametros_manuales!$H$29="Todos",'Plan mensual'!I8,0))+parametros_manuales!$G$29*('Plan mensual'!I5+IF(parametros_manuales!$H$29="Todos",'Plan mensual'!I9,0)))*parametros_manuales!$I$29*parametros_manuales!$J$29</f>
        <v>493.83</v>
      </c>
      <c r="H12" s="8">
        <f>(parametros_manuales!$D$29*('Plan mensual'!J2+IF(parametros_manuales!$H$29="Todos",'Plan mensual'!J6,0))+parametros_manuales!$E$29*('Plan mensual'!J3+IF(parametros_manuales!$H$29="Todos",'Plan mensual'!J7,0))+parametros_manuales!$F$29*('Plan mensual'!J4+IF(parametros_manuales!$H$29="Todos",'Plan mensual'!J8,0))+parametros_manuales!$G$29*('Plan mensual'!J5+IF(parametros_manuales!$H$29="Todos",'Plan mensual'!J9,0)))*parametros_manuales!$I$29*parametros_manuales!$J$29</f>
        <v>528.145</v>
      </c>
      <c r="I12" s="8">
        <f>(parametros_manuales!$D$29*('Plan mensual'!K2+IF(parametros_manuales!$H$29="Todos",'Plan mensual'!K6,0))+parametros_manuales!$E$29*('Plan mensual'!K3+IF(parametros_manuales!$H$29="Todos",'Plan mensual'!K7,0))+parametros_manuales!$F$29*('Plan mensual'!K4+IF(parametros_manuales!$H$29="Todos",'Plan mensual'!K8,0))+parametros_manuales!$G$29*('Plan mensual'!K5+IF(parametros_manuales!$H$29="Todos",'Plan mensual'!K9,0)))*parametros_manuales!$I$29*parametros_manuales!$J$29</f>
        <v>528.145</v>
      </c>
      <c r="J12" s="8">
        <f>(parametros_manuales!$D$29*('Plan mensual'!L2+IF(parametros_manuales!$H$29="Todos",'Plan mensual'!L6,0))+parametros_manuales!$E$29*('Plan mensual'!L3+IF(parametros_manuales!$H$29="Todos",'Plan mensual'!L7,0))+parametros_manuales!$F$29*('Plan mensual'!L4+IF(parametros_manuales!$H$29="Todos",'Plan mensual'!L8,0))+parametros_manuales!$G$29*('Plan mensual'!L5+IF(parametros_manuales!$H$29="Todos",'Plan mensual'!L9,0)))*parametros_manuales!$I$29*parametros_manuales!$J$29</f>
        <v>528.145</v>
      </c>
      <c r="K12" s="8">
        <f>(parametros_manuales!$D$29*('Plan mensual'!M2+IF(parametros_manuales!$H$29="Todos",'Plan mensual'!M6,0))+parametros_manuales!$E$29*('Plan mensual'!M3+IF(parametros_manuales!$H$29="Todos",'Plan mensual'!M7,0))+parametros_manuales!$F$29*('Plan mensual'!M4+IF(parametros_manuales!$H$29="Todos",'Plan mensual'!M8,0))+parametros_manuales!$G$29*('Plan mensual'!M5+IF(parametros_manuales!$H$29="Todos",'Plan mensual'!M9,0)))*parametros_manuales!$I$29*parametros_manuales!$J$29</f>
        <v>514.725</v>
      </c>
      <c r="L12" s="8">
        <f>(parametros_manuales!$D$29*('Plan mensual'!N2+IF(parametros_manuales!$H$29="Todos",'Plan mensual'!N6,0))+parametros_manuales!$E$29*('Plan mensual'!N3+IF(parametros_manuales!$H$29="Todos",'Plan mensual'!N7,0))+parametros_manuales!$F$29*('Plan mensual'!N4+IF(parametros_manuales!$H$29="Todos",'Plan mensual'!N8,0))+parametros_manuales!$G$29*('Plan mensual'!N5+IF(parametros_manuales!$H$29="Todos",'Plan mensual'!N9,0)))*parametros_manuales!$I$29*parametros_manuales!$J$29</f>
        <v>501.305</v>
      </c>
      <c r="M12" s="8">
        <f>(parametros_manuales!$D$29*('Plan mensual'!O2+IF(parametros_manuales!$H$29="Todos",'Plan mensual'!O6,0))+parametros_manuales!$E$29*('Plan mensual'!O3+IF(parametros_manuales!$H$29="Todos",'Plan mensual'!O7,0))+parametros_manuales!$F$29*('Plan mensual'!O4+IF(parametros_manuales!$H$29="Todos",'Plan mensual'!O8,0))+parametros_manuales!$G$29*('Plan mensual'!O5+IF(parametros_manuales!$H$29="Todos",'Plan mensual'!O9,0)))*parametros_manuales!$I$29*parametros_manuales!$J$29</f>
        <v>796.72</v>
      </c>
      <c r="N12" s="8">
        <f t="shared" si="1"/>
        <v>6863</v>
      </c>
      <c r="O12" s="8">
        <f t="shared" si="2"/>
        <v>796.72</v>
      </c>
      <c r="P12" s="27">
        <f>O12/(parametros_manuales!$B$7)</f>
        <v>5.311466667</v>
      </c>
      <c r="Q12" s="4" t="str">
        <f t="shared" si="3"/>
        <v>Dic</v>
      </c>
    </row>
    <row r="13" ht="14.25" customHeight="1">
      <c r="A13" s="4" t="str">
        <f>parametros_manuales!$B$30</f>
        <v>Bordoneado</v>
      </c>
      <c r="B13" s="8">
        <f>(parametros_manuales!$D$30*('Plan mensual'!D2+IF(parametros_manuales!$H$30="Todos",'Plan mensual'!D6,0))+parametros_manuales!$E$30*('Plan mensual'!D3+IF(parametros_manuales!$H$30="Todos",'Plan mensual'!D7,0))+parametros_manuales!$F$30*('Plan mensual'!D4+IF(parametros_manuales!$H$30="Todos",'Plan mensual'!D8,0))+parametros_manuales!$G$30*('Plan mensual'!D5+IF(parametros_manuales!$H$30="Todos",'Plan mensual'!D9,0)))*parametros_manuales!$I$30*parametros_manuales!$J$30</f>
        <v>769.88</v>
      </c>
      <c r="C13" s="8">
        <f>(parametros_manuales!$D$30*('Plan mensual'!E2+IF(parametros_manuales!$H$30="Todos",'Plan mensual'!E6,0))+parametros_manuales!$E$30*('Plan mensual'!E3+IF(parametros_manuales!$H$30="Todos",'Plan mensual'!E7,0))+parametros_manuales!$F$30*('Plan mensual'!E4+IF(parametros_manuales!$H$30="Todos",'Plan mensual'!E8,0))+parametros_manuales!$G$30*('Plan mensual'!E5+IF(parametros_manuales!$H$30="Todos",'Plan mensual'!E9,0)))*parametros_manuales!$I$30*parametros_manuales!$J$30</f>
        <v>590.83</v>
      </c>
      <c r="D13" s="8">
        <f>(parametros_manuales!$D$30*('Plan mensual'!F2+IF(parametros_manuales!$H$30="Todos",'Plan mensual'!F6,0))+parametros_manuales!$E$30*('Plan mensual'!F3+IF(parametros_manuales!$H$30="Todos",'Plan mensual'!F7,0))+parametros_manuales!$F$30*('Plan mensual'!F4+IF(parametros_manuales!$H$30="Todos",'Plan mensual'!F8,0))+parametros_manuales!$G$30*('Plan mensual'!F5+IF(parametros_manuales!$H$30="Todos",'Plan mensual'!F9,0)))*parametros_manuales!$I$30*parametros_manuales!$J$30</f>
        <v>562.46</v>
      </c>
      <c r="E13" s="8">
        <f>(parametros_manuales!$D$30*('Plan mensual'!G2+IF(parametros_manuales!$H$30="Todos",'Plan mensual'!G6,0))+parametros_manuales!$E$30*('Plan mensual'!G3+IF(parametros_manuales!$H$30="Todos",'Plan mensual'!G7,0))+parametros_manuales!$F$30*('Plan mensual'!G4+IF(parametros_manuales!$H$30="Todos",'Plan mensual'!G8,0))+parametros_manuales!$G$30*('Plan mensual'!G5+IF(parametros_manuales!$H$30="Todos",'Plan mensual'!G9,0)))*parametros_manuales!$I$30*parametros_manuales!$J$30</f>
        <v>541.565</v>
      </c>
      <c r="F13" s="8">
        <f>(parametros_manuales!$D$30*('Plan mensual'!H2+IF(parametros_manuales!$H$30="Todos",'Plan mensual'!H6,0))+parametros_manuales!$E$30*('Plan mensual'!H3+IF(parametros_manuales!$H$30="Todos",'Plan mensual'!H7,0))+parametros_manuales!$F$30*('Plan mensual'!H4+IF(parametros_manuales!$H$30="Todos",'Plan mensual'!H8,0))+parametros_manuales!$G$30*('Plan mensual'!H5+IF(parametros_manuales!$H$30="Todos",'Plan mensual'!H9,0)))*parametros_manuales!$I$30*parametros_manuales!$J$30</f>
        <v>507.25</v>
      </c>
      <c r="G13" s="8">
        <f>(parametros_manuales!$D$30*('Plan mensual'!I2+IF(parametros_manuales!$H$30="Todos",'Plan mensual'!I6,0))+parametros_manuales!$E$30*('Plan mensual'!I3+IF(parametros_manuales!$H$30="Todos",'Plan mensual'!I7,0))+parametros_manuales!$F$30*('Plan mensual'!I4+IF(parametros_manuales!$H$30="Todos",'Plan mensual'!I8,0))+parametros_manuales!$G$30*('Plan mensual'!I5+IF(parametros_manuales!$H$30="Todos",'Plan mensual'!I9,0)))*parametros_manuales!$I$30*parametros_manuales!$J$30</f>
        <v>493.83</v>
      </c>
      <c r="H13" s="8">
        <f>(parametros_manuales!$D$30*('Plan mensual'!J2+IF(parametros_manuales!$H$30="Todos",'Plan mensual'!J6,0))+parametros_manuales!$E$30*('Plan mensual'!J3+IF(parametros_manuales!$H$30="Todos",'Plan mensual'!J7,0))+parametros_manuales!$F$30*('Plan mensual'!J4+IF(parametros_manuales!$H$30="Todos",'Plan mensual'!J8,0))+parametros_manuales!$G$30*('Plan mensual'!J5+IF(parametros_manuales!$H$30="Todos",'Plan mensual'!J9,0)))*parametros_manuales!$I$30*parametros_manuales!$J$30</f>
        <v>528.145</v>
      </c>
      <c r="I13" s="8">
        <f>(parametros_manuales!$D$30*('Plan mensual'!K2+IF(parametros_manuales!$H$30="Todos",'Plan mensual'!K6,0))+parametros_manuales!$E$30*('Plan mensual'!K3+IF(parametros_manuales!$H$30="Todos",'Plan mensual'!K7,0))+parametros_manuales!$F$30*('Plan mensual'!K4+IF(parametros_manuales!$H$30="Todos",'Plan mensual'!K8,0))+parametros_manuales!$G$30*('Plan mensual'!K5+IF(parametros_manuales!$H$30="Todos",'Plan mensual'!K9,0)))*parametros_manuales!$I$30*parametros_manuales!$J$30</f>
        <v>528.145</v>
      </c>
      <c r="J13" s="8">
        <f>(parametros_manuales!$D$30*('Plan mensual'!L2+IF(parametros_manuales!$H$30="Todos",'Plan mensual'!L6,0))+parametros_manuales!$E$30*('Plan mensual'!L3+IF(parametros_manuales!$H$30="Todos",'Plan mensual'!L7,0))+parametros_manuales!$F$30*('Plan mensual'!L4+IF(parametros_manuales!$H$30="Todos",'Plan mensual'!L8,0))+parametros_manuales!$G$30*('Plan mensual'!L5+IF(parametros_manuales!$H$30="Todos",'Plan mensual'!L9,0)))*parametros_manuales!$I$30*parametros_manuales!$J$30</f>
        <v>528.145</v>
      </c>
      <c r="K13" s="8">
        <f>(parametros_manuales!$D$30*('Plan mensual'!M2+IF(parametros_manuales!$H$30="Todos",'Plan mensual'!M6,0))+parametros_manuales!$E$30*('Plan mensual'!M3+IF(parametros_manuales!$H$30="Todos",'Plan mensual'!M7,0))+parametros_manuales!$F$30*('Plan mensual'!M4+IF(parametros_manuales!$H$30="Todos",'Plan mensual'!M8,0))+parametros_manuales!$G$30*('Plan mensual'!M5+IF(parametros_manuales!$H$30="Todos",'Plan mensual'!M9,0)))*parametros_manuales!$I$30*parametros_manuales!$J$30</f>
        <v>514.725</v>
      </c>
      <c r="L13" s="8">
        <f>(parametros_manuales!$D$30*('Plan mensual'!N2+IF(parametros_manuales!$H$30="Todos",'Plan mensual'!N6,0))+parametros_manuales!$E$30*('Plan mensual'!N3+IF(parametros_manuales!$H$30="Todos",'Plan mensual'!N7,0))+parametros_manuales!$F$30*('Plan mensual'!N4+IF(parametros_manuales!$H$30="Todos",'Plan mensual'!N8,0))+parametros_manuales!$G$30*('Plan mensual'!N5+IF(parametros_manuales!$H$30="Todos",'Plan mensual'!N9,0)))*parametros_manuales!$I$30*parametros_manuales!$J$30</f>
        <v>501.305</v>
      </c>
      <c r="M13" s="8">
        <f>(parametros_manuales!$D$30*('Plan mensual'!O2+IF(parametros_manuales!$H$30="Todos",'Plan mensual'!O6,0))+parametros_manuales!$E$30*('Plan mensual'!O3+IF(parametros_manuales!$H$30="Todos",'Plan mensual'!O7,0))+parametros_manuales!$F$30*('Plan mensual'!O4+IF(parametros_manuales!$H$30="Todos",'Plan mensual'!O8,0))+parametros_manuales!$G$30*('Plan mensual'!O5+IF(parametros_manuales!$H$30="Todos",'Plan mensual'!O9,0)))*parametros_manuales!$I$30*parametros_manuales!$J$30</f>
        <v>796.72</v>
      </c>
      <c r="N13" s="8">
        <f t="shared" si="1"/>
        <v>6863</v>
      </c>
      <c r="O13" s="8">
        <f t="shared" si="2"/>
        <v>796.72</v>
      </c>
      <c r="P13" s="27">
        <f>O13/(parametros_manuales!$B$7)</f>
        <v>5.311466667</v>
      </c>
      <c r="Q13" s="4" t="str">
        <f t="shared" si="3"/>
        <v>Dic</v>
      </c>
    </row>
    <row r="14" ht="14.25" customHeight="1">
      <c r="A14" s="4" t="str">
        <f>parametros_manuales!$B$31</f>
        <v>Soldadura circunferencial de cúpula y fondo</v>
      </c>
      <c r="B14" s="8">
        <f>(parametros_manuales!$D$31*('Plan mensual'!D2+IF(parametros_manuales!$H$31="Todos",'Plan mensual'!D6,0))+parametros_manuales!$E$31*('Plan mensual'!D3+IF(parametros_manuales!$H$31="Todos",'Plan mensual'!D7,0))+parametros_manuales!$F$31*('Plan mensual'!D4+IF(parametros_manuales!$H$31="Todos",'Plan mensual'!D8,0))+parametros_manuales!$G$31*('Plan mensual'!D5+IF(parametros_manuales!$H$31="Todos",'Plan mensual'!D9,0)))*parametros_manuales!$I$31*parametros_manuales!$J$31</f>
        <v>769.88</v>
      </c>
      <c r="C14" s="8">
        <f>(parametros_manuales!$D$31*('Plan mensual'!E2+IF(parametros_manuales!$H$31="Todos",'Plan mensual'!E6,0))+parametros_manuales!$E$31*('Plan mensual'!E3+IF(parametros_manuales!$H$31="Todos",'Plan mensual'!E7,0))+parametros_manuales!$F$31*('Plan mensual'!E4+IF(parametros_manuales!$H$31="Todos",'Plan mensual'!E8,0))+parametros_manuales!$G$31*('Plan mensual'!E5+IF(parametros_manuales!$H$31="Todos",'Plan mensual'!E9,0)))*parametros_manuales!$I$31*parametros_manuales!$J$31</f>
        <v>590.83</v>
      </c>
      <c r="D14" s="8">
        <f>(parametros_manuales!$D$31*('Plan mensual'!F2+IF(parametros_manuales!$H$31="Todos",'Plan mensual'!F6,0))+parametros_manuales!$E$31*('Plan mensual'!F3+IF(parametros_manuales!$H$31="Todos",'Plan mensual'!F7,0))+parametros_manuales!$F$31*('Plan mensual'!F4+IF(parametros_manuales!$H$31="Todos",'Plan mensual'!F8,0))+parametros_manuales!$G$31*('Plan mensual'!F5+IF(parametros_manuales!$H$31="Todos",'Plan mensual'!F9,0)))*parametros_manuales!$I$31*parametros_manuales!$J$31</f>
        <v>562.46</v>
      </c>
      <c r="E14" s="8">
        <f>(parametros_manuales!$D$31*('Plan mensual'!G2+IF(parametros_manuales!$H$31="Todos",'Plan mensual'!G6,0))+parametros_manuales!$E$31*('Plan mensual'!G3+IF(parametros_manuales!$H$31="Todos",'Plan mensual'!G7,0))+parametros_manuales!$F$31*('Plan mensual'!G4+IF(parametros_manuales!$H$31="Todos",'Plan mensual'!G8,0))+parametros_manuales!$G$31*('Plan mensual'!G5+IF(parametros_manuales!$H$31="Todos",'Plan mensual'!G9,0)))*parametros_manuales!$I$31*parametros_manuales!$J$31</f>
        <v>541.565</v>
      </c>
      <c r="F14" s="8">
        <f>(parametros_manuales!$D$31*('Plan mensual'!H2+IF(parametros_manuales!$H$31="Todos",'Plan mensual'!H6,0))+parametros_manuales!$E$31*('Plan mensual'!H3+IF(parametros_manuales!$H$31="Todos",'Plan mensual'!H7,0))+parametros_manuales!$F$31*('Plan mensual'!H4+IF(parametros_manuales!$H$31="Todos",'Plan mensual'!H8,0))+parametros_manuales!$G$31*('Plan mensual'!H5+IF(parametros_manuales!$H$31="Todos",'Plan mensual'!H9,0)))*parametros_manuales!$I$31*parametros_manuales!$J$31</f>
        <v>507.25</v>
      </c>
      <c r="G14" s="8">
        <f>(parametros_manuales!$D$31*('Plan mensual'!I2+IF(parametros_manuales!$H$31="Todos",'Plan mensual'!I6,0))+parametros_manuales!$E$31*('Plan mensual'!I3+IF(parametros_manuales!$H$31="Todos",'Plan mensual'!I7,0))+parametros_manuales!$F$31*('Plan mensual'!I4+IF(parametros_manuales!$H$31="Todos",'Plan mensual'!I8,0))+parametros_manuales!$G$31*('Plan mensual'!I5+IF(parametros_manuales!$H$31="Todos",'Plan mensual'!I9,0)))*parametros_manuales!$I$31*parametros_manuales!$J$31</f>
        <v>493.83</v>
      </c>
      <c r="H14" s="8">
        <f>(parametros_manuales!$D$31*('Plan mensual'!J2+IF(parametros_manuales!$H$31="Todos",'Plan mensual'!J6,0))+parametros_manuales!$E$31*('Plan mensual'!J3+IF(parametros_manuales!$H$31="Todos",'Plan mensual'!J7,0))+parametros_manuales!$F$31*('Plan mensual'!J4+IF(parametros_manuales!$H$31="Todos",'Plan mensual'!J8,0))+parametros_manuales!$G$31*('Plan mensual'!J5+IF(parametros_manuales!$H$31="Todos",'Plan mensual'!J9,0)))*parametros_manuales!$I$31*parametros_manuales!$J$31</f>
        <v>528.145</v>
      </c>
      <c r="I14" s="8">
        <f>(parametros_manuales!$D$31*('Plan mensual'!K2+IF(parametros_manuales!$H$31="Todos",'Plan mensual'!K6,0))+parametros_manuales!$E$31*('Plan mensual'!K3+IF(parametros_manuales!$H$31="Todos",'Plan mensual'!K7,0))+parametros_manuales!$F$31*('Plan mensual'!K4+IF(parametros_manuales!$H$31="Todos",'Plan mensual'!K8,0))+parametros_manuales!$G$31*('Plan mensual'!K5+IF(parametros_manuales!$H$31="Todos",'Plan mensual'!K9,0)))*parametros_manuales!$I$31*parametros_manuales!$J$31</f>
        <v>528.145</v>
      </c>
      <c r="J14" s="8">
        <f>(parametros_manuales!$D$31*('Plan mensual'!L2+IF(parametros_manuales!$H$31="Todos",'Plan mensual'!L6,0))+parametros_manuales!$E$31*('Plan mensual'!L3+IF(parametros_manuales!$H$31="Todos",'Plan mensual'!L7,0))+parametros_manuales!$F$31*('Plan mensual'!L4+IF(parametros_manuales!$H$31="Todos",'Plan mensual'!L8,0))+parametros_manuales!$G$31*('Plan mensual'!L5+IF(parametros_manuales!$H$31="Todos",'Plan mensual'!L9,0)))*parametros_manuales!$I$31*parametros_manuales!$J$31</f>
        <v>528.145</v>
      </c>
      <c r="K14" s="8">
        <f>(parametros_manuales!$D$31*('Plan mensual'!M2+IF(parametros_manuales!$H$31="Todos",'Plan mensual'!M6,0))+parametros_manuales!$E$31*('Plan mensual'!M3+IF(parametros_manuales!$H$31="Todos",'Plan mensual'!M7,0))+parametros_manuales!$F$31*('Plan mensual'!M4+IF(parametros_manuales!$H$31="Todos",'Plan mensual'!M8,0))+parametros_manuales!$G$31*('Plan mensual'!M5+IF(parametros_manuales!$H$31="Todos",'Plan mensual'!M9,0)))*parametros_manuales!$I$31*parametros_manuales!$J$31</f>
        <v>514.725</v>
      </c>
      <c r="L14" s="8">
        <f>(parametros_manuales!$D$31*('Plan mensual'!N2+IF(parametros_manuales!$H$31="Todos",'Plan mensual'!N6,0))+parametros_manuales!$E$31*('Plan mensual'!N3+IF(parametros_manuales!$H$31="Todos",'Plan mensual'!N7,0))+parametros_manuales!$F$31*('Plan mensual'!N4+IF(parametros_manuales!$H$31="Todos",'Plan mensual'!N8,0))+parametros_manuales!$G$31*('Plan mensual'!N5+IF(parametros_manuales!$H$31="Todos",'Plan mensual'!N9,0)))*parametros_manuales!$I$31*parametros_manuales!$J$31</f>
        <v>501.305</v>
      </c>
      <c r="M14" s="8">
        <f>(parametros_manuales!$D$31*('Plan mensual'!O2+IF(parametros_manuales!$H$31="Todos",'Plan mensual'!O6,0))+parametros_manuales!$E$31*('Plan mensual'!O3+IF(parametros_manuales!$H$31="Todos",'Plan mensual'!O7,0))+parametros_manuales!$F$31*('Plan mensual'!O4+IF(parametros_manuales!$H$31="Todos",'Plan mensual'!O8,0))+parametros_manuales!$G$31*('Plan mensual'!O5+IF(parametros_manuales!$H$31="Todos",'Plan mensual'!O9,0)))*parametros_manuales!$I$31*parametros_manuales!$J$31</f>
        <v>796.72</v>
      </c>
      <c r="N14" s="8">
        <f t="shared" si="1"/>
        <v>6863</v>
      </c>
      <c r="O14" s="8">
        <f t="shared" si="2"/>
        <v>796.72</v>
      </c>
      <c r="P14" s="27">
        <f>O14/(parametros_manuales!$B$7)</f>
        <v>5.311466667</v>
      </c>
      <c r="Q14" s="4" t="str">
        <f t="shared" si="3"/>
        <v>Dic</v>
      </c>
    </row>
    <row r="15" ht="14.25" customHeight="1">
      <c r="A15" s="4" t="str">
        <f>parametros_manuales!$B$32</f>
        <v>Control de calidad — Espesor</v>
      </c>
      <c r="B15" s="8">
        <f>(parametros_manuales!$D$32*('Plan mensual'!D2+IF(parametros_manuales!$H$32="Todos",'Plan mensual'!D6,0))+parametros_manuales!$E$32*('Plan mensual'!D3+IF(parametros_manuales!$H$32="Todos",'Plan mensual'!D7,0))+parametros_manuales!$F$32*('Plan mensual'!D4+IF(parametros_manuales!$H$32="Todos",'Plan mensual'!D8,0))+parametros_manuales!$G$32*('Plan mensual'!D5+IF(parametros_manuales!$H$32="Todos",'Plan mensual'!D9,0)))*parametros_manuales!$I$32*parametros_manuales!$J$32</f>
        <v>15.3976</v>
      </c>
      <c r="C15" s="8">
        <f>(parametros_manuales!$D$32*('Plan mensual'!E2+IF(parametros_manuales!$H$32="Todos",'Plan mensual'!E6,0))+parametros_manuales!$E$32*('Plan mensual'!E3+IF(parametros_manuales!$H$32="Todos",'Plan mensual'!E7,0))+parametros_manuales!$F$32*('Plan mensual'!E4+IF(parametros_manuales!$H$32="Todos",'Plan mensual'!E8,0))+parametros_manuales!$G$32*('Plan mensual'!E5+IF(parametros_manuales!$H$32="Todos",'Plan mensual'!E9,0)))*parametros_manuales!$I$32*parametros_manuales!$J$32</f>
        <v>11.8166</v>
      </c>
      <c r="D15" s="8">
        <f>(parametros_manuales!$D$32*('Plan mensual'!F2+IF(parametros_manuales!$H$32="Todos",'Plan mensual'!F6,0))+parametros_manuales!$E$32*('Plan mensual'!F3+IF(parametros_manuales!$H$32="Todos",'Plan mensual'!F7,0))+parametros_manuales!$F$32*('Plan mensual'!F4+IF(parametros_manuales!$H$32="Todos",'Plan mensual'!F8,0))+parametros_manuales!$G$32*('Plan mensual'!F5+IF(parametros_manuales!$H$32="Todos",'Plan mensual'!F9,0)))*parametros_manuales!$I$32*parametros_manuales!$J$32</f>
        <v>11.2492</v>
      </c>
      <c r="E15" s="8">
        <f>(parametros_manuales!$D$32*('Plan mensual'!G2+IF(parametros_manuales!$H$32="Todos",'Plan mensual'!G6,0))+parametros_manuales!$E$32*('Plan mensual'!G3+IF(parametros_manuales!$H$32="Todos",'Plan mensual'!G7,0))+parametros_manuales!$F$32*('Plan mensual'!G4+IF(parametros_manuales!$H$32="Todos",'Plan mensual'!G8,0))+parametros_manuales!$G$32*('Plan mensual'!G5+IF(parametros_manuales!$H$32="Todos",'Plan mensual'!G9,0)))*parametros_manuales!$I$32*parametros_manuales!$J$32</f>
        <v>10.8313</v>
      </c>
      <c r="F15" s="8">
        <f>(parametros_manuales!$D$32*('Plan mensual'!H2+IF(parametros_manuales!$H$32="Todos",'Plan mensual'!H6,0))+parametros_manuales!$E$32*('Plan mensual'!H3+IF(parametros_manuales!$H$32="Todos",'Plan mensual'!H7,0))+parametros_manuales!$F$32*('Plan mensual'!H4+IF(parametros_manuales!$H$32="Todos",'Plan mensual'!H8,0))+parametros_manuales!$G$32*('Plan mensual'!H5+IF(parametros_manuales!$H$32="Todos",'Plan mensual'!H9,0)))*parametros_manuales!$I$32*parametros_manuales!$J$32</f>
        <v>10.145</v>
      </c>
      <c r="G15" s="8">
        <f>(parametros_manuales!$D$32*('Plan mensual'!I2+IF(parametros_manuales!$H$32="Todos",'Plan mensual'!I6,0))+parametros_manuales!$E$32*('Plan mensual'!I3+IF(parametros_manuales!$H$32="Todos",'Plan mensual'!I7,0))+parametros_manuales!$F$32*('Plan mensual'!I4+IF(parametros_manuales!$H$32="Todos",'Plan mensual'!I8,0))+parametros_manuales!$G$32*('Plan mensual'!I5+IF(parametros_manuales!$H$32="Todos",'Plan mensual'!I9,0)))*parametros_manuales!$I$32*parametros_manuales!$J$32</f>
        <v>9.8766</v>
      </c>
      <c r="H15" s="8">
        <f>(parametros_manuales!$D$32*('Plan mensual'!J2+IF(parametros_manuales!$H$32="Todos",'Plan mensual'!J6,0))+parametros_manuales!$E$32*('Plan mensual'!J3+IF(parametros_manuales!$H$32="Todos",'Plan mensual'!J7,0))+parametros_manuales!$F$32*('Plan mensual'!J4+IF(parametros_manuales!$H$32="Todos",'Plan mensual'!J8,0))+parametros_manuales!$G$32*('Plan mensual'!J5+IF(parametros_manuales!$H$32="Todos",'Plan mensual'!J9,0)))*parametros_manuales!$I$32*parametros_manuales!$J$32</f>
        <v>10.5629</v>
      </c>
      <c r="I15" s="8">
        <f>(parametros_manuales!$D$32*('Plan mensual'!K2+IF(parametros_manuales!$H$32="Todos",'Plan mensual'!K6,0))+parametros_manuales!$E$32*('Plan mensual'!K3+IF(parametros_manuales!$H$32="Todos",'Plan mensual'!K7,0))+parametros_manuales!$F$32*('Plan mensual'!K4+IF(parametros_manuales!$H$32="Todos",'Plan mensual'!K8,0))+parametros_manuales!$G$32*('Plan mensual'!K5+IF(parametros_manuales!$H$32="Todos",'Plan mensual'!K9,0)))*parametros_manuales!$I$32*parametros_manuales!$J$32</f>
        <v>10.5629</v>
      </c>
      <c r="J15" s="8">
        <f>(parametros_manuales!$D$32*('Plan mensual'!L2+IF(parametros_manuales!$H$32="Todos",'Plan mensual'!L6,0))+parametros_manuales!$E$32*('Plan mensual'!L3+IF(parametros_manuales!$H$32="Todos",'Plan mensual'!L7,0))+parametros_manuales!$F$32*('Plan mensual'!L4+IF(parametros_manuales!$H$32="Todos",'Plan mensual'!L8,0))+parametros_manuales!$G$32*('Plan mensual'!L5+IF(parametros_manuales!$H$32="Todos",'Plan mensual'!L9,0)))*parametros_manuales!$I$32*parametros_manuales!$J$32</f>
        <v>10.5629</v>
      </c>
      <c r="K15" s="8">
        <f>(parametros_manuales!$D$32*('Plan mensual'!M2+IF(parametros_manuales!$H$32="Todos",'Plan mensual'!M6,0))+parametros_manuales!$E$32*('Plan mensual'!M3+IF(parametros_manuales!$H$32="Todos",'Plan mensual'!M7,0))+parametros_manuales!$F$32*('Plan mensual'!M4+IF(parametros_manuales!$H$32="Todos",'Plan mensual'!M8,0))+parametros_manuales!$G$32*('Plan mensual'!M5+IF(parametros_manuales!$H$32="Todos",'Plan mensual'!M9,0)))*parametros_manuales!$I$32*parametros_manuales!$J$32</f>
        <v>10.2945</v>
      </c>
      <c r="L15" s="8">
        <f>(parametros_manuales!$D$32*('Plan mensual'!N2+IF(parametros_manuales!$H$32="Todos",'Plan mensual'!N6,0))+parametros_manuales!$E$32*('Plan mensual'!N3+IF(parametros_manuales!$H$32="Todos",'Plan mensual'!N7,0))+parametros_manuales!$F$32*('Plan mensual'!N4+IF(parametros_manuales!$H$32="Todos",'Plan mensual'!N8,0))+parametros_manuales!$G$32*('Plan mensual'!N5+IF(parametros_manuales!$H$32="Todos",'Plan mensual'!N9,0)))*parametros_manuales!$I$32*parametros_manuales!$J$32</f>
        <v>10.0261</v>
      </c>
      <c r="M15" s="8">
        <f>(parametros_manuales!$D$32*('Plan mensual'!O2+IF(parametros_manuales!$H$32="Todos",'Plan mensual'!O6,0))+parametros_manuales!$E$32*('Plan mensual'!O3+IF(parametros_manuales!$H$32="Todos",'Plan mensual'!O7,0))+parametros_manuales!$F$32*('Plan mensual'!O4+IF(parametros_manuales!$H$32="Todos",'Plan mensual'!O8,0))+parametros_manuales!$G$32*('Plan mensual'!O5+IF(parametros_manuales!$H$32="Todos",'Plan mensual'!O9,0)))*parametros_manuales!$I$32*parametros_manuales!$J$32</f>
        <v>15.9344</v>
      </c>
      <c r="N15" s="8">
        <f t="shared" si="1"/>
        <v>137.26</v>
      </c>
      <c r="O15" s="8">
        <f t="shared" si="2"/>
        <v>15.9344</v>
      </c>
      <c r="P15" s="27">
        <f>O15/(parametros_manuales!$B$7)</f>
        <v>0.1062293333</v>
      </c>
      <c r="Q15" s="4" t="str">
        <f t="shared" si="3"/>
        <v>Dic</v>
      </c>
    </row>
    <row r="16" ht="14.25" customHeight="1">
      <c r="A16" s="4" t="str">
        <f>parametros_manuales!$B$33</f>
        <v>Prueba hidráulica</v>
      </c>
      <c r="B16" s="8">
        <f>(parametros_manuales!$D$33*('Plan mensual'!D2+IF(parametros_manuales!$H$33="Todos",'Plan mensual'!D6,0))+parametros_manuales!$E$33*('Plan mensual'!D3+IF(parametros_manuales!$H$33="Todos",'Plan mensual'!D7,0))+parametros_manuales!$F$33*('Plan mensual'!D4+IF(parametros_manuales!$H$33="Todos",'Plan mensual'!D8,0))+parametros_manuales!$G$33*('Plan mensual'!D5+IF(parametros_manuales!$H$33="Todos",'Plan mensual'!D9,0)))*parametros_manuales!$I$33*parametros_manuales!$J$33</f>
        <v>769.88</v>
      </c>
      <c r="C16" s="8">
        <f>(parametros_manuales!$D$33*('Plan mensual'!E2+IF(parametros_manuales!$H$33="Todos",'Plan mensual'!E6,0))+parametros_manuales!$E$33*('Plan mensual'!E3+IF(parametros_manuales!$H$33="Todos",'Plan mensual'!E7,0))+parametros_manuales!$F$33*('Plan mensual'!E4+IF(parametros_manuales!$H$33="Todos",'Plan mensual'!E8,0))+parametros_manuales!$G$33*('Plan mensual'!E5+IF(parametros_manuales!$H$33="Todos",'Plan mensual'!E9,0)))*parametros_manuales!$I$33*parametros_manuales!$J$33</f>
        <v>590.83</v>
      </c>
      <c r="D16" s="8">
        <f>(parametros_manuales!$D$33*('Plan mensual'!F2+IF(parametros_manuales!$H$33="Todos",'Plan mensual'!F6,0))+parametros_manuales!$E$33*('Plan mensual'!F3+IF(parametros_manuales!$H$33="Todos",'Plan mensual'!F7,0))+parametros_manuales!$F$33*('Plan mensual'!F4+IF(parametros_manuales!$H$33="Todos",'Plan mensual'!F8,0))+parametros_manuales!$G$33*('Plan mensual'!F5+IF(parametros_manuales!$H$33="Todos",'Plan mensual'!F9,0)))*parametros_manuales!$I$33*parametros_manuales!$J$33</f>
        <v>562.46</v>
      </c>
      <c r="E16" s="8">
        <f>(parametros_manuales!$D$33*('Plan mensual'!G2+IF(parametros_manuales!$H$33="Todos",'Plan mensual'!G6,0))+parametros_manuales!$E$33*('Plan mensual'!G3+IF(parametros_manuales!$H$33="Todos",'Plan mensual'!G7,0))+parametros_manuales!$F$33*('Plan mensual'!G4+IF(parametros_manuales!$H$33="Todos",'Plan mensual'!G8,0))+parametros_manuales!$G$33*('Plan mensual'!G5+IF(parametros_manuales!$H$33="Todos",'Plan mensual'!G9,0)))*parametros_manuales!$I$33*parametros_manuales!$J$33</f>
        <v>541.565</v>
      </c>
      <c r="F16" s="8">
        <f>(parametros_manuales!$D$33*('Plan mensual'!H2+IF(parametros_manuales!$H$33="Todos",'Plan mensual'!H6,0))+parametros_manuales!$E$33*('Plan mensual'!H3+IF(parametros_manuales!$H$33="Todos",'Plan mensual'!H7,0))+parametros_manuales!$F$33*('Plan mensual'!H4+IF(parametros_manuales!$H$33="Todos",'Plan mensual'!H8,0))+parametros_manuales!$G$33*('Plan mensual'!H5+IF(parametros_manuales!$H$33="Todos",'Plan mensual'!H9,0)))*parametros_manuales!$I$33*parametros_manuales!$J$33</f>
        <v>507.25</v>
      </c>
      <c r="G16" s="8">
        <f>(parametros_manuales!$D$33*('Plan mensual'!I2+IF(parametros_manuales!$H$33="Todos",'Plan mensual'!I6,0))+parametros_manuales!$E$33*('Plan mensual'!I3+IF(parametros_manuales!$H$33="Todos",'Plan mensual'!I7,0))+parametros_manuales!$F$33*('Plan mensual'!I4+IF(parametros_manuales!$H$33="Todos",'Plan mensual'!I8,0))+parametros_manuales!$G$33*('Plan mensual'!I5+IF(parametros_manuales!$H$33="Todos",'Plan mensual'!I9,0)))*parametros_manuales!$I$33*parametros_manuales!$J$33</f>
        <v>493.83</v>
      </c>
      <c r="H16" s="8">
        <f>(parametros_manuales!$D$33*('Plan mensual'!J2+IF(parametros_manuales!$H$33="Todos",'Plan mensual'!J6,0))+parametros_manuales!$E$33*('Plan mensual'!J3+IF(parametros_manuales!$H$33="Todos",'Plan mensual'!J7,0))+parametros_manuales!$F$33*('Plan mensual'!J4+IF(parametros_manuales!$H$33="Todos",'Plan mensual'!J8,0))+parametros_manuales!$G$33*('Plan mensual'!J5+IF(parametros_manuales!$H$33="Todos",'Plan mensual'!J9,0)))*parametros_manuales!$I$33*parametros_manuales!$J$33</f>
        <v>528.145</v>
      </c>
      <c r="I16" s="8">
        <f>(parametros_manuales!$D$33*('Plan mensual'!K2+IF(parametros_manuales!$H$33="Todos",'Plan mensual'!K6,0))+parametros_manuales!$E$33*('Plan mensual'!K3+IF(parametros_manuales!$H$33="Todos",'Plan mensual'!K7,0))+parametros_manuales!$F$33*('Plan mensual'!K4+IF(parametros_manuales!$H$33="Todos",'Plan mensual'!K8,0))+parametros_manuales!$G$33*('Plan mensual'!K5+IF(parametros_manuales!$H$33="Todos",'Plan mensual'!K9,0)))*parametros_manuales!$I$33*parametros_manuales!$J$33</f>
        <v>528.145</v>
      </c>
      <c r="J16" s="8">
        <f>(parametros_manuales!$D$33*('Plan mensual'!L2+IF(parametros_manuales!$H$33="Todos",'Plan mensual'!L6,0))+parametros_manuales!$E$33*('Plan mensual'!L3+IF(parametros_manuales!$H$33="Todos",'Plan mensual'!L7,0))+parametros_manuales!$F$33*('Plan mensual'!L4+IF(parametros_manuales!$H$33="Todos",'Plan mensual'!L8,0))+parametros_manuales!$G$33*('Plan mensual'!L5+IF(parametros_manuales!$H$33="Todos",'Plan mensual'!L9,0)))*parametros_manuales!$I$33*parametros_manuales!$J$33</f>
        <v>528.145</v>
      </c>
      <c r="K16" s="8">
        <f>(parametros_manuales!$D$33*('Plan mensual'!M2+IF(parametros_manuales!$H$33="Todos",'Plan mensual'!M6,0))+parametros_manuales!$E$33*('Plan mensual'!M3+IF(parametros_manuales!$H$33="Todos",'Plan mensual'!M7,0))+parametros_manuales!$F$33*('Plan mensual'!M4+IF(parametros_manuales!$H$33="Todos",'Plan mensual'!M8,0))+parametros_manuales!$G$33*('Plan mensual'!M5+IF(parametros_manuales!$H$33="Todos",'Plan mensual'!M9,0)))*parametros_manuales!$I$33*parametros_manuales!$J$33</f>
        <v>514.725</v>
      </c>
      <c r="L16" s="8">
        <f>(parametros_manuales!$D$33*('Plan mensual'!N2+IF(parametros_manuales!$H$33="Todos",'Plan mensual'!N6,0))+parametros_manuales!$E$33*('Plan mensual'!N3+IF(parametros_manuales!$H$33="Todos",'Plan mensual'!N7,0))+parametros_manuales!$F$33*('Plan mensual'!N4+IF(parametros_manuales!$H$33="Todos",'Plan mensual'!N8,0))+parametros_manuales!$G$33*('Plan mensual'!N5+IF(parametros_manuales!$H$33="Todos",'Plan mensual'!N9,0)))*parametros_manuales!$I$33*parametros_manuales!$J$33</f>
        <v>501.305</v>
      </c>
      <c r="M16" s="8">
        <f>(parametros_manuales!$D$33*('Plan mensual'!O2+IF(parametros_manuales!$H$33="Todos",'Plan mensual'!O6,0))+parametros_manuales!$E$33*('Plan mensual'!O3+IF(parametros_manuales!$H$33="Todos",'Plan mensual'!O7,0))+parametros_manuales!$F$33*('Plan mensual'!O4+IF(parametros_manuales!$H$33="Todos",'Plan mensual'!O8,0))+parametros_manuales!$G$33*('Plan mensual'!O5+IF(parametros_manuales!$H$33="Todos",'Plan mensual'!O9,0)))*parametros_manuales!$I$33*parametros_manuales!$J$33</f>
        <v>796.72</v>
      </c>
      <c r="N16" s="8">
        <f t="shared" si="1"/>
        <v>6863</v>
      </c>
      <c r="O16" s="8">
        <f t="shared" si="2"/>
        <v>796.72</v>
      </c>
      <c r="P16" s="27">
        <f>O16/(parametros_manuales!$B$7)</f>
        <v>5.311466667</v>
      </c>
      <c r="Q16" s="4" t="str">
        <f t="shared" si="3"/>
        <v>Dic</v>
      </c>
    </row>
    <row r="17" ht="14.25" customHeight="1">
      <c r="A17" s="4" t="str">
        <f>parametros_manuales!$B$34</f>
        <v>Secado</v>
      </c>
      <c r="B17" s="8">
        <f>(parametros_manuales!$D$34*('Plan mensual'!D2+IF(parametros_manuales!$H$34="Todos",'Plan mensual'!D6,0))+parametros_manuales!$E$34*('Plan mensual'!D3+IF(parametros_manuales!$H$34="Todos",'Plan mensual'!D7,0))+parametros_manuales!$F$34*('Plan mensual'!D4+IF(parametros_manuales!$H$34="Todos",'Plan mensual'!D8,0))+parametros_manuales!$G$34*('Plan mensual'!D5+IF(parametros_manuales!$H$34="Todos",'Plan mensual'!D9,0)))*parametros_manuales!$I$34*parametros_manuales!$J$34</f>
        <v>769.88</v>
      </c>
      <c r="C17" s="8">
        <f>(parametros_manuales!$D$34*('Plan mensual'!E2+IF(parametros_manuales!$H$34="Todos",'Plan mensual'!E6,0))+parametros_manuales!$E$34*('Plan mensual'!E3+IF(parametros_manuales!$H$34="Todos",'Plan mensual'!E7,0))+parametros_manuales!$F$34*('Plan mensual'!E4+IF(parametros_manuales!$H$34="Todos",'Plan mensual'!E8,0))+parametros_manuales!$G$34*('Plan mensual'!E5+IF(parametros_manuales!$H$34="Todos",'Plan mensual'!E9,0)))*parametros_manuales!$I$34*parametros_manuales!$J$34</f>
        <v>590.83</v>
      </c>
      <c r="D17" s="8">
        <f>(parametros_manuales!$D$34*('Plan mensual'!F2+IF(parametros_manuales!$H$34="Todos",'Plan mensual'!F6,0))+parametros_manuales!$E$34*('Plan mensual'!F3+IF(parametros_manuales!$H$34="Todos",'Plan mensual'!F7,0))+parametros_manuales!$F$34*('Plan mensual'!F4+IF(parametros_manuales!$H$34="Todos",'Plan mensual'!F8,0))+parametros_manuales!$G$34*('Plan mensual'!F5+IF(parametros_manuales!$H$34="Todos",'Plan mensual'!F9,0)))*parametros_manuales!$I$34*parametros_manuales!$J$34</f>
        <v>562.46</v>
      </c>
      <c r="E17" s="8">
        <f>(parametros_manuales!$D$34*('Plan mensual'!G2+IF(parametros_manuales!$H$34="Todos",'Plan mensual'!G6,0))+parametros_manuales!$E$34*('Plan mensual'!G3+IF(parametros_manuales!$H$34="Todos",'Plan mensual'!G7,0))+parametros_manuales!$F$34*('Plan mensual'!G4+IF(parametros_manuales!$H$34="Todos",'Plan mensual'!G8,0))+parametros_manuales!$G$34*('Plan mensual'!G5+IF(parametros_manuales!$H$34="Todos",'Plan mensual'!G9,0)))*parametros_manuales!$I$34*parametros_manuales!$J$34</f>
        <v>541.565</v>
      </c>
      <c r="F17" s="8">
        <f>(parametros_manuales!$D$34*('Plan mensual'!H2+IF(parametros_manuales!$H$34="Todos",'Plan mensual'!H6,0))+parametros_manuales!$E$34*('Plan mensual'!H3+IF(parametros_manuales!$H$34="Todos",'Plan mensual'!H7,0))+parametros_manuales!$F$34*('Plan mensual'!H4+IF(parametros_manuales!$H$34="Todos",'Plan mensual'!H8,0))+parametros_manuales!$G$34*('Plan mensual'!H5+IF(parametros_manuales!$H$34="Todos",'Plan mensual'!H9,0)))*parametros_manuales!$I$34*parametros_manuales!$J$34</f>
        <v>507.25</v>
      </c>
      <c r="G17" s="8">
        <f>(parametros_manuales!$D$34*('Plan mensual'!I2+IF(parametros_manuales!$H$34="Todos",'Plan mensual'!I6,0))+parametros_manuales!$E$34*('Plan mensual'!I3+IF(parametros_manuales!$H$34="Todos",'Plan mensual'!I7,0))+parametros_manuales!$F$34*('Plan mensual'!I4+IF(parametros_manuales!$H$34="Todos",'Plan mensual'!I8,0))+parametros_manuales!$G$34*('Plan mensual'!I5+IF(parametros_manuales!$H$34="Todos",'Plan mensual'!I9,0)))*parametros_manuales!$I$34*parametros_manuales!$J$34</f>
        <v>493.83</v>
      </c>
      <c r="H17" s="8">
        <f>(parametros_manuales!$D$34*('Plan mensual'!J2+IF(parametros_manuales!$H$34="Todos",'Plan mensual'!J6,0))+parametros_manuales!$E$34*('Plan mensual'!J3+IF(parametros_manuales!$H$34="Todos",'Plan mensual'!J7,0))+parametros_manuales!$F$34*('Plan mensual'!J4+IF(parametros_manuales!$H$34="Todos",'Plan mensual'!J8,0))+parametros_manuales!$G$34*('Plan mensual'!J5+IF(parametros_manuales!$H$34="Todos",'Plan mensual'!J9,0)))*parametros_manuales!$I$34*parametros_manuales!$J$34</f>
        <v>528.145</v>
      </c>
      <c r="I17" s="8">
        <f>(parametros_manuales!$D$34*('Plan mensual'!K2+IF(parametros_manuales!$H$34="Todos",'Plan mensual'!K6,0))+parametros_manuales!$E$34*('Plan mensual'!K3+IF(parametros_manuales!$H$34="Todos",'Plan mensual'!K7,0))+parametros_manuales!$F$34*('Plan mensual'!K4+IF(parametros_manuales!$H$34="Todos",'Plan mensual'!K8,0))+parametros_manuales!$G$34*('Plan mensual'!K5+IF(parametros_manuales!$H$34="Todos",'Plan mensual'!K9,0)))*parametros_manuales!$I$34*parametros_manuales!$J$34</f>
        <v>528.145</v>
      </c>
      <c r="J17" s="8">
        <f>(parametros_manuales!$D$34*('Plan mensual'!L2+IF(parametros_manuales!$H$34="Todos",'Plan mensual'!L6,0))+parametros_manuales!$E$34*('Plan mensual'!L3+IF(parametros_manuales!$H$34="Todos",'Plan mensual'!L7,0))+parametros_manuales!$F$34*('Plan mensual'!L4+IF(parametros_manuales!$H$34="Todos",'Plan mensual'!L8,0))+parametros_manuales!$G$34*('Plan mensual'!L5+IF(parametros_manuales!$H$34="Todos",'Plan mensual'!L9,0)))*parametros_manuales!$I$34*parametros_manuales!$J$34</f>
        <v>528.145</v>
      </c>
      <c r="K17" s="8">
        <f>(parametros_manuales!$D$34*('Plan mensual'!M2+IF(parametros_manuales!$H$34="Todos",'Plan mensual'!M6,0))+parametros_manuales!$E$34*('Plan mensual'!M3+IF(parametros_manuales!$H$34="Todos",'Plan mensual'!M7,0))+parametros_manuales!$F$34*('Plan mensual'!M4+IF(parametros_manuales!$H$34="Todos",'Plan mensual'!M8,0))+parametros_manuales!$G$34*('Plan mensual'!M5+IF(parametros_manuales!$H$34="Todos",'Plan mensual'!M9,0)))*parametros_manuales!$I$34*parametros_manuales!$J$34</f>
        <v>514.725</v>
      </c>
      <c r="L17" s="8">
        <f>(parametros_manuales!$D$34*('Plan mensual'!N2+IF(parametros_manuales!$H$34="Todos",'Plan mensual'!N6,0))+parametros_manuales!$E$34*('Plan mensual'!N3+IF(parametros_manuales!$H$34="Todos",'Plan mensual'!N7,0))+parametros_manuales!$F$34*('Plan mensual'!N4+IF(parametros_manuales!$H$34="Todos",'Plan mensual'!N8,0))+parametros_manuales!$G$34*('Plan mensual'!N5+IF(parametros_manuales!$H$34="Todos",'Plan mensual'!N9,0)))*parametros_manuales!$I$34*parametros_manuales!$J$34</f>
        <v>501.305</v>
      </c>
      <c r="M17" s="8">
        <f>(parametros_manuales!$D$34*('Plan mensual'!O2+IF(parametros_manuales!$H$34="Todos",'Plan mensual'!O6,0))+parametros_manuales!$E$34*('Plan mensual'!O3+IF(parametros_manuales!$H$34="Todos",'Plan mensual'!O7,0))+parametros_manuales!$F$34*('Plan mensual'!O4+IF(parametros_manuales!$H$34="Todos",'Plan mensual'!O8,0))+parametros_manuales!$G$34*('Plan mensual'!O5+IF(parametros_manuales!$H$34="Todos",'Plan mensual'!O9,0)))*parametros_manuales!$I$34*parametros_manuales!$J$34</f>
        <v>796.72</v>
      </c>
      <c r="N17" s="8">
        <f t="shared" si="1"/>
        <v>6863</v>
      </c>
      <c r="O17" s="8">
        <f t="shared" si="2"/>
        <v>796.72</v>
      </c>
      <c r="P17" s="27">
        <f>O17/(parametros_manuales!$B$7)</f>
        <v>5.311466667</v>
      </c>
      <c r="Q17" s="4" t="str">
        <f t="shared" si="3"/>
        <v>Dic</v>
      </c>
    </row>
    <row r="18" ht="14.25" customHeight="1">
      <c r="A18" s="4" t="str">
        <f>parametros_manuales!$B$35</f>
        <v>Granallado</v>
      </c>
      <c r="B18" s="8">
        <f>(parametros_manuales!$D$35*('Plan mensual'!D2+IF(parametros_manuales!$H$35="Todos",'Plan mensual'!D6,0))+parametros_manuales!$E$35*('Plan mensual'!D3+IF(parametros_manuales!$H$35="Todos",'Plan mensual'!D7,0))+parametros_manuales!$F$35*('Plan mensual'!D4+IF(parametros_manuales!$H$35="Todos",'Plan mensual'!D8,0))+parametros_manuales!$G$35*('Plan mensual'!D5+IF(parametros_manuales!$H$35="Todos",'Plan mensual'!D9,0)))*parametros_manuales!$I$35*parametros_manuales!$J$35</f>
        <v>769.88</v>
      </c>
      <c r="C18" s="8">
        <f>(parametros_manuales!$D$35*('Plan mensual'!E2+IF(parametros_manuales!$H$35="Todos",'Plan mensual'!E6,0))+parametros_manuales!$E$35*('Plan mensual'!E3+IF(parametros_manuales!$H$35="Todos",'Plan mensual'!E7,0))+parametros_manuales!$F$35*('Plan mensual'!E4+IF(parametros_manuales!$H$35="Todos",'Plan mensual'!E8,0))+parametros_manuales!$G$35*('Plan mensual'!E5+IF(parametros_manuales!$H$35="Todos",'Plan mensual'!E9,0)))*parametros_manuales!$I$35*parametros_manuales!$J$35</f>
        <v>590.83</v>
      </c>
      <c r="D18" s="8">
        <f>(parametros_manuales!$D$35*('Plan mensual'!F2+IF(parametros_manuales!$H$35="Todos",'Plan mensual'!F6,0))+parametros_manuales!$E$35*('Plan mensual'!F3+IF(parametros_manuales!$H$35="Todos",'Plan mensual'!F7,0))+parametros_manuales!$F$35*('Plan mensual'!F4+IF(parametros_manuales!$H$35="Todos",'Plan mensual'!F8,0))+parametros_manuales!$G$35*('Plan mensual'!F5+IF(parametros_manuales!$H$35="Todos",'Plan mensual'!F9,0)))*parametros_manuales!$I$35*parametros_manuales!$J$35</f>
        <v>562.46</v>
      </c>
      <c r="E18" s="8">
        <f>(parametros_manuales!$D$35*('Plan mensual'!G2+IF(parametros_manuales!$H$35="Todos",'Plan mensual'!G6,0))+parametros_manuales!$E$35*('Plan mensual'!G3+IF(parametros_manuales!$H$35="Todos",'Plan mensual'!G7,0))+parametros_manuales!$F$35*('Plan mensual'!G4+IF(parametros_manuales!$H$35="Todos",'Plan mensual'!G8,0))+parametros_manuales!$G$35*('Plan mensual'!G5+IF(parametros_manuales!$H$35="Todos",'Plan mensual'!G9,0)))*parametros_manuales!$I$35*parametros_manuales!$J$35</f>
        <v>541.565</v>
      </c>
      <c r="F18" s="8">
        <f>(parametros_manuales!$D$35*('Plan mensual'!H2+IF(parametros_manuales!$H$35="Todos",'Plan mensual'!H6,0))+parametros_manuales!$E$35*('Plan mensual'!H3+IF(parametros_manuales!$H$35="Todos",'Plan mensual'!H7,0))+parametros_manuales!$F$35*('Plan mensual'!H4+IF(parametros_manuales!$H$35="Todos",'Plan mensual'!H8,0))+parametros_manuales!$G$35*('Plan mensual'!H5+IF(parametros_manuales!$H$35="Todos",'Plan mensual'!H9,0)))*parametros_manuales!$I$35*parametros_manuales!$J$35</f>
        <v>507.25</v>
      </c>
      <c r="G18" s="8">
        <f>(parametros_manuales!$D$35*('Plan mensual'!I2+IF(parametros_manuales!$H$35="Todos",'Plan mensual'!I6,0))+parametros_manuales!$E$35*('Plan mensual'!I3+IF(parametros_manuales!$H$35="Todos",'Plan mensual'!I7,0))+parametros_manuales!$F$35*('Plan mensual'!I4+IF(parametros_manuales!$H$35="Todos",'Plan mensual'!I8,0))+parametros_manuales!$G$35*('Plan mensual'!I5+IF(parametros_manuales!$H$35="Todos",'Plan mensual'!I9,0)))*parametros_manuales!$I$35*parametros_manuales!$J$35</f>
        <v>493.83</v>
      </c>
      <c r="H18" s="8">
        <f>(parametros_manuales!$D$35*('Plan mensual'!J2+IF(parametros_manuales!$H$35="Todos",'Plan mensual'!J6,0))+parametros_manuales!$E$35*('Plan mensual'!J3+IF(parametros_manuales!$H$35="Todos",'Plan mensual'!J7,0))+parametros_manuales!$F$35*('Plan mensual'!J4+IF(parametros_manuales!$H$35="Todos",'Plan mensual'!J8,0))+parametros_manuales!$G$35*('Plan mensual'!J5+IF(parametros_manuales!$H$35="Todos",'Plan mensual'!J9,0)))*parametros_manuales!$I$35*parametros_manuales!$J$35</f>
        <v>528.145</v>
      </c>
      <c r="I18" s="8">
        <f>(parametros_manuales!$D$35*('Plan mensual'!K2+IF(parametros_manuales!$H$35="Todos",'Plan mensual'!K6,0))+parametros_manuales!$E$35*('Plan mensual'!K3+IF(parametros_manuales!$H$35="Todos",'Plan mensual'!K7,0))+parametros_manuales!$F$35*('Plan mensual'!K4+IF(parametros_manuales!$H$35="Todos",'Plan mensual'!K8,0))+parametros_manuales!$G$35*('Plan mensual'!K5+IF(parametros_manuales!$H$35="Todos",'Plan mensual'!K9,0)))*parametros_manuales!$I$35*parametros_manuales!$J$35</f>
        <v>528.145</v>
      </c>
      <c r="J18" s="8">
        <f>(parametros_manuales!$D$35*('Plan mensual'!L2+IF(parametros_manuales!$H$35="Todos",'Plan mensual'!L6,0))+parametros_manuales!$E$35*('Plan mensual'!L3+IF(parametros_manuales!$H$35="Todos",'Plan mensual'!L7,0))+parametros_manuales!$F$35*('Plan mensual'!L4+IF(parametros_manuales!$H$35="Todos",'Plan mensual'!L8,0))+parametros_manuales!$G$35*('Plan mensual'!L5+IF(parametros_manuales!$H$35="Todos",'Plan mensual'!L9,0)))*parametros_manuales!$I$35*parametros_manuales!$J$35</f>
        <v>528.145</v>
      </c>
      <c r="K18" s="8">
        <f>(parametros_manuales!$D$35*('Plan mensual'!M2+IF(parametros_manuales!$H$35="Todos",'Plan mensual'!M6,0))+parametros_manuales!$E$35*('Plan mensual'!M3+IF(parametros_manuales!$H$35="Todos",'Plan mensual'!M7,0))+parametros_manuales!$F$35*('Plan mensual'!M4+IF(parametros_manuales!$H$35="Todos",'Plan mensual'!M8,0))+parametros_manuales!$G$35*('Plan mensual'!M5+IF(parametros_manuales!$H$35="Todos",'Plan mensual'!M9,0)))*parametros_manuales!$I$35*parametros_manuales!$J$35</f>
        <v>514.725</v>
      </c>
      <c r="L18" s="8">
        <f>(parametros_manuales!$D$35*('Plan mensual'!N2+IF(parametros_manuales!$H$35="Todos",'Plan mensual'!N6,0))+parametros_manuales!$E$35*('Plan mensual'!N3+IF(parametros_manuales!$H$35="Todos",'Plan mensual'!N7,0))+parametros_manuales!$F$35*('Plan mensual'!N4+IF(parametros_manuales!$H$35="Todos",'Plan mensual'!N8,0))+parametros_manuales!$G$35*('Plan mensual'!N5+IF(parametros_manuales!$H$35="Todos",'Plan mensual'!N9,0)))*parametros_manuales!$I$35*parametros_manuales!$J$35</f>
        <v>501.305</v>
      </c>
      <c r="M18" s="8">
        <f>(parametros_manuales!$D$35*('Plan mensual'!O2+IF(parametros_manuales!$H$35="Todos",'Plan mensual'!O6,0))+parametros_manuales!$E$35*('Plan mensual'!O3+IF(parametros_manuales!$H$35="Todos",'Plan mensual'!O7,0))+parametros_manuales!$F$35*('Plan mensual'!O4+IF(parametros_manuales!$H$35="Todos",'Plan mensual'!O8,0))+parametros_manuales!$G$35*('Plan mensual'!O5+IF(parametros_manuales!$H$35="Todos",'Plan mensual'!O9,0)))*parametros_manuales!$I$35*parametros_manuales!$J$35</f>
        <v>796.72</v>
      </c>
      <c r="N18" s="8">
        <f t="shared" si="1"/>
        <v>6863</v>
      </c>
      <c r="O18" s="8">
        <f t="shared" si="2"/>
        <v>796.72</v>
      </c>
      <c r="P18" s="27">
        <f>O18/(parametros_manuales!$B$7)</f>
        <v>5.311466667</v>
      </c>
      <c r="Q18" s="4" t="str">
        <f t="shared" si="3"/>
        <v>Dic</v>
      </c>
    </row>
    <row r="19" ht="14.25" customHeight="1">
      <c r="A19" s="4" t="str">
        <f>parametros_manuales!$B$36</f>
        <v>Detección de defectos</v>
      </c>
      <c r="B19" s="8">
        <f>(parametros_manuales!$D$36*('Plan mensual'!D2+IF(parametros_manuales!$H$36="Todos",'Plan mensual'!D6,0))+parametros_manuales!$E$36*('Plan mensual'!D3+IF(parametros_manuales!$H$36="Todos",'Plan mensual'!D7,0))+parametros_manuales!$F$36*('Plan mensual'!D4+IF(parametros_manuales!$H$36="Todos",'Plan mensual'!D8,0))+parametros_manuales!$G$36*('Plan mensual'!D5+IF(parametros_manuales!$H$36="Todos",'Plan mensual'!D9,0)))*parametros_manuales!$I$36*parametros_manuales!$J$36</f>
        <v>769.88</v>
      </c>
      <c r="C19" s="8">
        <f>(parametros_manuales!$D$36*('Plan mensual'!E2+IF(parametros_manuales!$H$36="Todos",'Plan mensual'!E6,0))+parametros_manuales!$E$36*('Plan mensual'!E3+IF(parametros_manuales!$H$36="Todos",'Plan mensual'!E7,0))+parametros_manuales!$F$36*('Plan mensual'!E4+IF(parametros_manuales!$H$36="Todos",'Plan mensual'!E8,0))+parametros_manuales!$G$36*('Plan mensual'!E5+IF(parametros_manuales!$H$36="Todos",'Plan mensual'!E9,0)))*parametros_manuales!$I$36*parametros_manuales!$J$36</f>
        <v>590.83</v>
      </c>
      <c r="D19" s="8">
        <f>(parametros_manuales!$D$36*('Plan mensual'!F2+IF(parametros_manuales!$H$36="Todos",'Plan mensual'!F6,0))+parametros_manuales!$E$36*('Plan mensual'!F3+IF(parametros_manuales!$H$36="Todos",'Plan mensual'!F7,0))+parametros_manuales!$F$36*('Plan mensual'!F4+IF(parametros_manuales!$H$36="Todos",'Plan mensual'!F8,0))+parametros_manuales!$G$36*('Plan mensual'!F5+IF(parametros_manuales!$H$36="Todos",'Plan mensual'!F9,0)))*parametros_manuales!$I$36*parametros_manuales!$J$36</f>
        <v>562.46</v>
      </c>
      <c r="E19" s="8">
        <f>(parametros_manuales!$D$36*('Plan mensual'!G2+IF(parametros_manuales!$H$36="Todos",'Plan mensual'!G6,0))+parametros_manuales!$E$36*('Plan mensual'!G3+IF(parametros_manuales!$H$36="Todos",'Plan mensual'!G7,0))+parametros_manuales!$F$36*('Plan mensual'!G4+IF(parametros_manuales!$H$36="Todos",'Plan mensual'!G8,0))+parametros_manuales!$G$36*('Plan mensual'!G5+IF(parametros_manuales!$H$36="Todos",'Plan mensual'!G9,0)))*parametros_manuales!$I$36*parametros_manuales!$J$36</f>
        <v>541.565</v>
      </c>
      <c r="F19" s="8">
        <f>(parametros_manuales!$D$36*('Plan mensual'!H2+IF(parametros_manuales!$H$36="Todos",'Plan mensual'!H6,0))+parametros_manuales!$E$36*('Plan mensual'!H3+IF(parametros_manuales!$H$36="Todos",'Plan mensual'!H7,0))+parametros_manuales!$F$36*('Plan mensual'!H4+IF(parametros_manuales!$H$36="Todos",'Plan mensual'!H8,0))+parametros_manuales!$G$36*('Plan mensual'!H5+IF(parametros_manuales!$H$36="Todos",'Plan mensual'!H9,0)))*parametros_manuales!$I$36*parametros_manuales!$J$36</f>
        <v>507.25</v>
      </c>
      <c r="G19" s="8">
        <f>(parametros_manuales!$D$36*('Plan mensual'!I2+IF(parametros_manuales!$H$36="Todos",'Plan mensual'!I6,0))+parametros_manuales!$E$36*('Plan mensual'!I3+IF(parametros_manuales!$H$36="Todos",'Plan mensual'!I7,0))+parametros_manuales!$F$36*('Plan mensual'!I4+IF(parametros_manuales!$H$36="Todos",'Plan mensual'!I8,0))+parametros_manuales!$G$36*('Plan mensual'!I5+IF(parametros_manuales!$H$36="Todos",'Plan mensual'!I9,0)))*parametros_manuales!$I$36*parametros_manuales!$J$36</f>
        <v>493.83</v>
      </c>
      <c r="H19" s="8">
        <f>(parametros_manuales!$D$36*('Plan mensual'!J2+IF(parametros_manuales!$H$36="Todos",'Plan mensual'!J6,0))+parametros_manuales!$E$36*('Plan mensual'!J3+IF(parametros_manuales!$H$36="Todos",'Plan mensual'!J7,0))+parametros_manuales!$F$36*('Plan mensual'!J4+IF(parametros_manuales!$H$36="Todos",'Plan mensual'!J8,0))+parametros_manuales!$G$36*('Plan mensual'!J5+IF(parametros_manuales!$H$36="Todos",'Plan mensual'!J9,0)))*parametros_manuales!$I$36*parametros_manuales!$J$36</f>
        <v>528.145</v>
      </c>
      <c r="I19" s="8">
        <f>(parametros_manuales!$D$36*('Plan mensual'!K2+IF(parametros_manuales!$H$36="Todos",'Plan mensual'!K6,0))+parametros_manuales!$E$36*('Plan mensual'!K3+IF(parametros_manuales!$H$36="Todos",'Plan mensual'!K7,0))+parametros_manuales!$F$36*('Plan mensual'!K4+IF(parametros_manuales!$H$36="Todos",'Plan mensual'!K8,0))+parametros_manuales!$G$36*('Plan mensual'!K5+IF(parametros_manuales!$H$36="Todos",'Plan mensual'!K9,0)))*parametros_manuales!$I$36*parametros_manuales!$J$36</f>
        <v>528.145</v>
      </c>
      <c r="J19" s="8">
        <f>(parametros_manuales!$D$36*('Plan mensual'!L2+IF(parametros_manuales!$H$36="Todos",'Plan mensual'!L6,0))+parametros_manuales!$E$36*('Plan mensual'!L3+IF(parametros_manuales!$H$36="Todos",'Plan mensual'!L7,0))+parametros_manuales!$F$36*('Plan mensual'!L4+IF(parametros_manuales!$H$36="Todos",'Plan mensual'!L8,0))+parametros_manuales!$G$36*('Plan mensual'!L5+IF(parametros_manuales!$H$36="Todos",'Plan mensual'!L9,0)))*parametros_manuales!$I$36*parametros_manuales!$J$36</f>
        <v>528.145</v>
      </c>
      <c r="K19" s="8">
        <f>(parametros_manuales!$D$36*('Plan mensual'!M2+IF(parametros_manuales!$H$36="Todos",'Plan mensual'!M6,0))+parametros_manuales!$E$36*('Plan mensual'!M3+IF(parametros_manuales!$H$36="Todos",'Plan mensual'!M7,0))+parametros_manuales!$F$36*('Plan mensual'!M4+IF(parametros_manuales!$H$36="Todos",'Plan mensual'!M8,0))+parametros_manuales!$G$36*('Plan mensual'!M5+IF(parametros_manuales!$H$36="Todos",'Plan mensual'!M9,0)))*parametros_manuales!$I$36*parametros_manuales!$J$36</f>
        <v>514.725</v>
      </c>
      <c r="L19" s="8">
        <f>(parametros_manuales!$D$36*('Plan mensual'!N2+IF(parametros_manuales!$H$36="Todos",'Plan mensual'!N6,0))+parametros_manuales!$E$36*('Plan mensual'!N3+IF(parametros_manuales!$H$36="Todos",'Plan mensual'!N7,0))+parametros_manuales!$F$36*('Plan mensual'!N4+IF(parametros_manuales!$H$36="Todos",'Plan mensual'!N8,0))+parametros_manuales!$G$36*('Plan mensual'!N5+IF(parametros_manuales!$H$36="Todos",'Plan mensual'!N9,0)))*parametros_manuales!$I$36*parametros_manuales!$J$36</f>
        <v>501.305</v>
      </c>
      <c r="M19" s="8">
        <f>(parametros_manuales!$D$36*('Plan mensual'!O2+IF(parametros_manuales!$H$36="Todos",'Plan mensual'!O6,0))+parametros_manuales!$E$36*('Plan mensual'!O3+IF(parametros_manuales!$H$36="Todos",'Plan mensual'!O7,0))+parametros_manuales!$F$36*('Plan mensual'!O4+IF(parametros_manuales!$H$36="Todos",'Plan mensual'!O8,0))+parametros_manuales!$G$36*('Plan mensual'!O5+IF(parametros_manuales!$H$36="Todos",'Plan mensual'!O9,0)))*parametros_manuales!$I$36*parametros_manuales!$J$36</f>
        <v>796.72</v>
      </c>
      <c r="N19" s="8">
        <f t="shared" si="1"/>
        <v>6863</v>
      </c>
      <c r="O19" s="8">
        <f t="shared" si="2"/>
        <v>796.72</v>
      </c>
      <c r="P19" s="27">
        <f>O19/(parametros_manuales!$B$7)</f>
        <v>5.311466667</v>
      </c>
      <c r="Q19" s="4" t="str">
        <f t="shared" si="3"/>
        <v>Dic</v>
      </c>
    </row>
    <row r="20" ht="14.25" customHeight="1">
      <c r="A20" s="4" t="str">
        <f>parametros_manuales!$B$37</f>
        <v>Corrección de defectos</v>
      </c>
      <c r="B20" s="8">
        <f>(parametros_manuales!$D$37*('Plan mensual'!D2+IF(parametros_manuales!$H$37="Todos",'Plan mensual'!D6,0))+parametros_manuales!$E$37*('Plan mensual'!D3+IF(parametros_manuales!$H$37="Todos",'Plan mensual'!D7,0))+parametros_manuales!$F$37*('Plan mensual'!D4+IF(parametros_manuales!$H$37="Todos",'Plan mensual'!D8,0))+parametros_manuales!$G$37*('Plan mensual'!D5+IF(parametros_manuales!$H$37="Todos",'Plan mensual'!D9,0)))*parametros_manuales!$I$37*parametros_manuales!$J$37</f>
        <v>38.494</v>
      </c>
      <c r="C20" s="8">
        <f>(parametros_manuales!$D$37*('Plan mensual'!E2+IF(parametros_manuales!$H$37="Todos",'Plan mensual'!E6,0))+parametros_manuales!$E$37*('Plan mensual'!E3+IF(parametros_manuales!$H$37="Todos",'Plan mensual'!E7,0))+parametros_manuales!$F$37*('Plan mensual'!E4+IF(parametros_manuales!$H$37="Todos",'Plan mensual'!E8,0))+parametros_manuales!$G$37*('Plan mensual'!E5+IF(parametros_manuales!$H$37="Todos",'Plan mensual'!E9,0)))*parametros_manuales!$I$37*parametros_manuales!$J$37</f>
        <v>29.5415</v>
      </c>
      <c r="D20" s="8">
        <f>(parametros_manuales!$D$37*('Plan mensual'!F2+IF(parametros_manuales!$H$37="Todos",'Plan mensual'!F6,0))+parametros_manuales!$E$37*('Plan mensual'!F3+IF(parametros_manuales!$H$37="Todos",'Plan mensual'!F7,0))+parametros_manuales!$F$37*('Plan mensual'!F4+IF(parametros_manuales!$H$37="Todos",'Plan mensual'!F8,0))+parametros_manuales!$G$37*('Plan mensual'!F5+IF(parametros_manuales!$H$37="Todos",'Plan mensual'!F9,0)))*parametros_manuales!$I$37*parametros_manuales!$J$37</f>
        <v>28.123</v>
      </c>
      <c r="E20" s="8">
        <f>(parametros_manuales!$D$37*('Plan mensual'!G2+IF(parametros_manuales!$H$37="Todos",'Plan mensual'!G6,0))+parametros_manuales!$E$37*('Plan mensual'!G3+IF(parametros_manuales!$H$37="Todos",'Plan mensual'!G7,0))+parametros_manuales!$F$37*('Plan mensual'!G4+IF(parametros_manuales!$H$37="Todos",'Plan mensual'!G8,0))+parametros_manuales!$G$37*('Plan mensual'!G5+IF(parametros_manuales!$H$37="Todos",'Plan mensual'!G9,0)))*parametros_manuales!$I$37*parametros_manuales!$J$37</f>
        <v>27.07825</v>
      </c>
      <c r="F20" s="8">
        <f>(parametros_manuales!$D$37*('Plan mensual'!H2+IF(parametros_manuales!$H$37="Todos",'Plan mensual'!H6,0))+parametros_manuales!$E$37*('Plan mensual'!H3+IF(parametros_manuales!$H$37="Todos",'Plan mensual'!H7,0))+parametros_manuales!$F$37*('Plan mensual'!H4+IF(parametros_manuales!$H$37="Todos",'Plan mensual'!H8,0))+parametros_manuales!$G$37*('Plan mensual'!H5+IF(parametros_manuales!$H$37="Todos",'Plan mensual'!H9,0)))*parametros_manuales!$I$37*parametros_manuales!$J$37</f>
        <v>25.3625</v>
      </c>
      <c r="G20" s="8">
        <f>(parametros_manuales!$D$37*('Plan mensual'!I2+IF(parametros_manuales!$H$37="Todos",'Plan mensual'!I6,0))+parametros_manuales!$E$37*('Plan mensual'!I3+IF(parametros_manuales!$H$37="Todos",'Plan mensual'!I7,0))+parametros_manuales!$F$37*('Plan mensual'!I4+IF(parametros_manuales!$H$37="Todos",'Plan mensual'!I8,0))+parametros_manuales!$G$37*('Plan mensual'!I5+IF(parametros_manuales!$H$37="Todos",'Plan mensual'!I9,0)))*parametros_manuales!$I$37*parametros_manuales!$J$37</f>
        <v>24.6915</v>
      </c>
      <c r="H20" s="8">
        <f>(parametros_manuales!$D$37*('Plan mensual'!J2+IF(parametros_manuales!$H$37="Todos",'Plan mensual'!J6,0))+parametros_manuales!$E$37*('Plan mensual'!J3+IF(parametros_manuales!$H$37="Todos",'Plan mensual'!J7,0))+parametros_manuales!$F$37*('Plan mensual'!J4+IF(parametros_manuales!$H$37="Todos",'Plan mensual'!J8,0))+parametros_manuales!$G$37*('Plan mensual'!J5+IF(parametros_manuales!$H$37="Todos",'Plan mensual'!J9,0)))*parametros_manuales!$I$37*parametros_manuales!$J$37</f>
        <v>26.40725</v>
      </c>
      <c r="I20" s="8">
        <f>(parametros_manuales!$D$37*('Plan mensual'!K2+IF(parametros_manuales!$H$37="Todos",'Plan mensual'!K6,0))+parametros_manuales!$E$37*('Plan mensual'!K3+IF(parametros_manuales!$H$37="Todos",'Plan mensual'!K7,0))+parametros_manuales!$F$37*('Plan mensual'!K4+IF(parametros_manuales!$H$37="Todos",'Plan mensual'!K8,0))+parametros_manuales!$G$37*('Plan mensual'!K5+IF(parametros_manuales!$H$37="Todos",'Plan mensual'!K9,0)))*parametros_manuales!$I$37*parametros_manuales!$J$37</f>
        <v>26.40725</v>
      </c>
      <c r="J20" s="8">
        <f>(parametros_manuales!$D$37*('Plan mensual'!L2+IF(parametros_manuales!$H$37="Todos",'Plan mensual'!L6,0))+parametros_manuales!$E$37*('Plan mensual'!L3+IF(parametros_manuales!$H$37="Todos",'Plan mensual'!L7,0))+parametros_manuales!$F$37*('Plan mensual'!L4+IF(parametros_manuales!$H$37="Todos",'Plan mensual'!L8,0))+parametros_manuales!$G$37*('Plan mensual'!L5+IF(parametros_manuales!$H$37="Todos",'Plan mensual'!L9,0)))*parametros_manuales!$I$37*parametros_manuales!$J$37</f>
        <v>26.40725</v>
      </c>
      <c r="K20" s="8">
        <f>(parametros_manuales!$D$37*('Plan mensual'!M2+IF(parametros_manuales!$H$37="Todos",'Plan mensual'!M6,0))+parametros_manuales!$E$37*('Plan mensual'!M3+IF(parametros_manuales!$H$37="Todos",'Plan mensual'!M7,0))+parametros_manuales!$F$37*('Plan mensual'!M4+IF(parametros_manuales!$H$37="Todos",'Plan mensual'!M8,0))+parametros_manuales!$G$37*('Plan mensual'!M5+IF(parametros_manuales!$H$37="Todos",'Plan mensual'!M9,0)))*parametros_manuales!$I$37*parametros_manuales!$J$37</f>
        <v>25.73625</v>
      </c>
      <c r="L20" s="8">
        <f>(parametros_manuales!$D$37*('Plan mensual'!N2+IF(parametros_manuales!$H$37="Todos",'Plan mensual'!N6,0))+parametros_manuales!$E$37*('Plan mensual'!N3+IF(parametros_manuales!$H$37="Todos",'Plan mensual'!N7,0))+parametros_manuales!$F$37*('Plan mensual'!N4+IF(parametros_manuales!$H$37="Todos",'Plan mensual'!N8,0))+parametros_manuales!$G$37*('Plan mensual'!N5+IF(parametros_manuales!$H$37="Todos",'Plan mensual'!N9,0)))*parametros_manuales!$I$37*parametros_manuales!$J$37</f>
        <v>25.06525</v>
      </c>
      <c r="M20" s="8">
        <f>(parametros_manuales!$D$37*('Plan mensual'!O2+IF(parametros_manuales!$H$37="Todos",'Plan mensual'!O6,0))+parametros_manuales!$E$37*('Plan mensual'!O3+IF(parametros_manuales!$H$37="Todos",'Plan mensual'!O7,0))+parametros_manuales!$F$37*('Plan mensual'!O4+IF(parametros_manuales!$H$37="Todos",'Plan mensual'!O8,0))+parametros_manuales!$G$37*('Plan mensual'!O5+IF(parametros_manuales!$H$37="Todos",'Plan mensual'!O9,0)))*parametros_manuales!$I$37*parametros_manuales!$J$37</f>
        <v>39.836</v>
      </c>
      <c r="N20" s="8">
        <f t="shared" si="1"/>
        <v>343.15</v>
      </c>
      <c r="O20" s="8">
        <f t="shared" si="2"/>
        <v>39.836</v>
      </c>
      <c r="P20" s="27">
        <f>O20/(parametros_manuales!$B$7)</f>
        <v>0.2655733333</v>
      </c>
      <c r="Q20" s="4" t="str">
        <f t="shared" si="3"/>
        <v>Dic</v>
      </c>
    </row>
    <row r="21" ht="14.25" customHeight="1">
      <c r="A21" s="4" t="str">
        <f>parametros_manuales!$B$38</f>
        <v>Pintura en polvo + horno</v>
      </c>
      <c r="B21" s="8">
        <f>(parametros_manuales!$D$38*('Plan mensual'!D2+IF(parametros_manuales!$H$38="Todos",'Plan mensual'!D6,0))+parametros_manuales!$E$38*('Plan mensual'!D3+IF(parametros_manuales!$H$38="Todos",'Plan mensual'!D7,0))+parametros_manuales!$F$38*('Plan mensual'!D4+IF(parametros_manuales!$H$38="Todos",'Plan mensual'!D8,0))+parametros_manuales!$G$38*('Plan mensual'!D5+IF(parametros_manuales!$H$38="Todos",'Plan mensual'!D9,0)))*parametros_manuales!$I$38*parametros_manuales!$J$38</f>
        <v>769.88</v>
      </c>
      <c r="C21" s="8">
        <f>(parametros_manuales!$D$38*('Plan mensual'!E2+IF(parametros_manuales!$H$38="Todos",'Plan mensual'!E6,0))+parametros_manuales!$E$38*('Plan mensual'!E3+IF(parametros_manuales!$H$38="Todos",'Plan mensual'!E7,0))+parametros_manuales!$F$38*('Plan mensual'!E4+IF(parametros_manuales!$H$38="Todos",'Plan mensual'!E8,0))+parametros_manuales!$G$38*('Plan mensual'!E5+IF(parametros_manuales!$H$38="Todos",'Plan mensual'!E9,0)))*parametros_manuales!$I$38*parametros_manuales!$J$38</f>
        <v>590.83</v>
      </c>
      <c r="D21" s="8">
        <f>(parametros_manuales!$D$38*('Plan mensual'!F2+IF(parametros_manuales!$H$38="Todos",'Plan mensual'!F6,0))+parametros_manuales!$E$38*('Plan mensual'!F3+IF(parametros_manuales!$H$38="Todos",'Plan mensual'!F7,0))+parametros_manuales!$F$38*('Plan mensual'!F4+IF(parametros_manuales!$H$38="Todos",'Plan mensual'!F8,0))+parametros_manuales!$G$38*('Plan mensual'!F5+IF(parametros_manuales!$H$38="Todos",'Plan mensual'!F9,0)))*parametros_manuales!$I$38*parametros_manuales!$J$38</f>
        <v>562.46</v>
      </c>
      <c r="E21" s="8">
        <f>(parametros_manuales!$D$38*('Plan mensual'!G2+IF(parametros_manuales!$H$38="Todos",'Plan mensual'!G6,0))+parametros_manuales!$E$38*('Plan mensual'!G3+IF(parametros_manuales!$H$38="Todos",'Plan mensual'!G7,0))+parametros_manuales!$F$38*('Plan mensual'!G4+IF(parametros_manuales!$H$38="Todos",'Plan mensual'!G8,0))+parametros_manuales!$G$38*('Plan mensual'!G5+IF(parametros_manuales!$H$38="Todos",'Plan mensual'!G9,0)))*parametros_manuales!$I$38*parametros_manuales!$J$38</f>
        <v>541.565</v>
      </c>
      <c r="F21" s="8">
        <f>(parametros_manuales!$D$38*('Plan mensual'!H2+IF(parametros_manuales!$H$38="Todos",'Plan mensual'!H6,0))+parametros_manuales!$E$38*('Plan mensual'!H3+IF(parametros_manuales!$H$38="Todos",'Plan mensual'!H7,0))+parametros_manuales!$F$38*('Plan mensual'!H4+IF(parametros_manuales!$H$38="Todos",'Plan mensual'!H8,0))+parametros_manuales!$G$38*('Plan mensual'!H5+IF(parametros_manuales!$H$38="Todos",'Plan mensual'!H9,0)))*parametros_manuales!$I$38*parametros_manuales!$J$38</f>
        <v>507.25</v>
      </c>
      <c r="G21" s="8">
        <f>(parametros_manuales!$D$38*('Plan mensual'!I2+IF(parametros_manuales!$H$38="Todos",'Plan mensual'!I6,0))+parametros_manuales!$E$38*('Plan mensual'!I3+IF(parametros_manuales!$H$38="Todos",'Plan mensual'!I7,0))+parametros_manuales!$F$38*('Plan mensual'!I4+IF(parametros_manuales!$H$38="Todos",'Plan mensual'!I8,0))+parametros_manuales!$G$38*('Plan mensual'!I5+IF(parametros_manuales!$H$38="Todos",'Plan mensual'!I9,0)))*parametros_manuales!$I$38*parametros_manuales!$J$38</f>
        <v>493.83</v>
      </c>
      <c r="H21" s="8">
        <f>(parametros_manuales!$D$38*('Plan mensual'!J2+IF(parametros_manuales!$H$38="Todos",'Plan mensual'!J6,0))+parametros_manuales!$E$38*('Plan mensual'!J3+IF(parametros_manuales!$H$38="Todos",'Plan mensual'!J7,0))+parametros_manuales!$F$38*('Plan mensual'!J4+IF(parametros_manuales!$H$38="Todos",'Plan mensual'!J8,0))+parametros_manuales!$G$38*('Plan mensual'!J5+IF(parametros_manuales!$H$38="Todos",'Plan mensual'!J9,0)))*parametros_manuales!$I$38*parametros_manuales!$J$38</f>
        <v>528.145</v>
      </c>
      <c r="I21" s="8">
        <f>(parametros_manuales!$D$38*('Plan mensual'!K2+IF(parametros_manuales!$H$38="Todos",'Plan mensual'!K6,0))+parametros_manuales!$E$38*('Plan mensual'!K3+IF(parametros_manuales!$H$38="Todos",'Plan mensual'!K7,0))+parametros_manuales!$F$38*('Plan mensual'!K4+IF(parametros_manuales!$H$38="Todos",'Plan mensual'!K8,0))+parametros_manuales!$G$38*('Plan mensual'!K5+IF(parametros_manuales!$H$38="Todos",'Plan mensual'!K9,0)))*parametros_manuales!$I$38*parametros_manuales!$J$38</f>
        <v>528.145</v>
      </c>
      <c r="J21" s="8">
        <f>(parametros_manuales!$D$38*('Plan mensual'!L2+IF(parametros_manuales!$H$38="Todos",'Plan mensual'!L6,0))+parametros_manuales!$E$38*('Plan mensual'!L3+IF(parametros_manuales!$H$38="Todos",'Plan mensual'!L7,0))+parametros_manuales!$F$38*('Plan mensual'!L4+IF(parametros_manuales!$H$38="Todos",'Plan mensual'!L8,0))+parametros_manuales!$G$38*('Plan mensual'!L5+IF(parametros_manuales!$H$38="Todos",'Plan mensual'!L9,0)))*parametros_manuales!$I$38*parametros_manuales!$J$38</f>
        <v>528.145</v>
      </c>
      <c r="K21" s="8">
        <f>(parametros_manuales!$D$38*('Plan mensual'!M2+IF(parametros_manuales!$H$38="Todos",'Plan mensual'!M6,0))+parametros_manuales!$E$38*('Plan mensual'!M3+IF(parametros_manuales!$H$38="Todos",'Plan mensual'!M7,0))+parametros_manuales!$F$38*('Plan mensual'!M4+IF(parametros_manuales!$H$38="Todos",'Plan mensual'!M8,0))+parametros_manuales!$G$38*('Plan mensual'!M5+IF(parametros_manuales!$H$38="Todos",'Plan mensual'!M9,0)))*parametros_manuales!$I$38*parametros_manuales!$J$38</f>
        <v>514.725</v>
      </c>
      <c r="L21" s="8">
        <f>(parametros_manuales!$D$38*('Plan mensual'!N2+IF(parametros_manuales!$H$38="Todos",'Plan mensual'!N6,0))+parametros_manuales!$E$38*('Plan mensual'!N3+IF(parametros_manuales!$H$38="Todos",'Plan mensual'!N7,0))+parametros_manuales!$F$38*('Plan mensual'!N4+IF(parametros_manuales!$H$38="Todos",'Plan mensual'!N8,0))+parametros_manuales!$G$38*('Plan mensual'!N5+IF(parametros_manuales!$H$38="Todos",'Plan mensual'!N9,0)))*parametros_manuales!$I$38*parametros_manuales!$J$38</f>
        <v>501.305</v>
      </c>
      <c r="M21" s="8">
        <f>(parametros_manuales!$D$38*('Plan mensual'!O2+IF(parametros_manuales!$H$38="Todos",'Plan mensual'!O6,0))+parametros_manuales!$E$38*('Plan mensual'!O3+IF(parametros_manuales!$H$38="Todos",'Plan mensual'!O7,0))+parametros_manuales!$F$38*('Plan mensual'!O4+IF(parametros_manuales!$H$38="Todos",'Plan mensual'!O8,0))+parametros_manuales!$G$38*('Plan mensual'!O5+IF(parametros_manuales!$H$38="Todos",'Plan mensual'!O9,0)))*parametros_manuales!$I$38*parametros_manuales!$J$38</f>
        <v>796.72</v>
      </c>
      <c r="N21" s="8">
        <f t="shared" si="1"/>
        <v>6863</v>
      </c>
      <c r="O21" s="8">
        <f t="shared" si="2"/>
        <v>796.72</v>
      </c>
      <c r="P21" s="27">
        <f>O21/(parametros_manuales!$B$7)</f>
        <v>5.311466667</v>
      </c>
      <c r="Q21" s="4" t="str">
        <f t="shared" si="3"/>
        <v>Dic</v>
      </c>
    </row>
    <row r="22" ht="14.25" customHeight="1">
      <c r="A22" s="4" t="str">
        <f>parametros_manuales!$B$39</f>
        <v>Carga de polvo</v>
      </c>
      <c r="B22" s="8">
        <f>(parametros_manuales!$D$39*('Plan mensual'!D2+IF(parametros_manuales!$H$39="Todos",'Plan mensual'!D6,0))+parametros_manuales!$E$39*('Plan mensual'!D3+IF(parametros_manuales!$H$39="Todos",'Plan mensual'!D7,0))+parametros_manuales!$F$39*('Plan mensual'!D4+IF(parametros_manuales!$H$39="Todos",'Plan mensual'!D8,0))+parametros_manuales!$G$39*('Plan mensual'!D5+IF(parametros_manuales!$H$39="Todos",'Plan mensual'!D9,0)))*parametros_manuales!$I$39*parametros_manuales!$J$39</f>
        <v>767.28</v>
      </c>
      <c r="C22" s="8">
        <f>(parametros_manuales!$D$39*('Plan mensual'!E2+IF(parametros_manuales!$H$39="Todos",'Plan mensual'!E6,0))+parametros_manuales!$E$39*('Plan mensual'!E3+IF(parametros_manuales!$H$39="Todos",'Plan mensual'!E7,0))+parametros_manuales!$F$39*('Plan mensual'!E4+IF(parametros_manuales!$H$39="Todos",'Plan mensual'!E8,0))+parametros_manuales!$G$39*('Plan mensual'!E5+IF(parametros_manuales!$H$39="Todos",'Plan mensual'!E9,0)))*parametros_manuales!$I$39*parametros_manuales!$J$39</f>
        <v>588.75</v>
      </c>
      <c r="D22" s="8">
        <f>(parametros_manuales!$D$39*('Plan mensual'!F2+IF(parametros_manuales!$H$39="Todos",'Plan mensual'!F6,0))+parametros_manuales!$E$39*('Plan mensual'!F3+IF(parametros_manuales!$H$39="Todos",'Plan mensual'!F7,0))+parametros_manuales!$F$39*('Plan mensual'!F4+IF(parametros_manuales!$H$39="Todos",'Plan mensual'!F8,0))+parametros_manuales!$G$39*('Plan mensual'!F5+IF(parametros_manuales!$H$39="Todos",'Plan mensual'!F9,0)))*parametros_manuales!$I$39*parametros_manuales!$J$39</f>
        <v>560.25</v>
      </c>
      <c r="E22" s="8">
        <f>(parametros_manuales!$D$39*('Plan mensual'!G2+IF(parametros_manuales!$H$39="Todos",'Plan mensual'!G6,0))+parametros_manuales!$E$39*('Plan mensual'!G3+IF(parametros_manuales!$H$39="Todos",'Plan mensual'!G7,0))+parametros_manuales!$F$39*('Plan mensual'!G4+IF(parametros_manuales!$H$39="Todos",'Plan mensual'!G8,0))+parametros_manuales!$G$39*('Plan mensual'!G5+IF(parametros_manuales!$H$39="Todos",'Plan mensual'!G9,0)))*parametros_manuales!$I$39*parametros_manuales!$J$39</f>
        <v>539.355</v>
      </c>
      <c r="F22" s="8">
        <f>(parametros_manuales!$D$39*('Plan mensual'!H2+IF(parametros_manuales!$H$39="Todos",'Plan mensual'!H6,0))+parametros_manuales!$E$39*('Plan mensual'!H3+IF(parametros_manuales!$H$39="Todos",'Plan mensual'!H7,0))+parametros_manuales!$F$39*('Plan mensual'!H4+IF(parametros_manuales!$H$39="Todos",'Plan mensual'!H8,0))+parametros_manuales!$G$39*('Plan mensual'!H5+IF(parametros_manuales!$H$39="Todos",'Plan mensual'!H9,0)))*parametros_manuales!$I$39*parametros_manuales!$J$39</f>
        <v>505.17</v>
      </c>
      <c r="G22" s="8">
        <f>(parametros_manuales!$D$39*('Plan mensual'!I2+IF(parametros_manuales!$H$39="Todos",'Plan mensual'!I6,0))+parametros_manuales!$E$39*('Plan mensual'!I3+IF(parametros_manuales!$H$39="Todos",'Plan mensual'!I7,0))+parametros_manuales!$F$39*('Plan mensual'!I4+IF(parametros_manuales!$H$39="Todos",'Plan mensual'!I8,0))+parametros_manuales!$G$39*('Plan mensual'!I5+IF(parametros_manuales!$H$39="Todos",'Plan mensual'!I9,0)))*parametros_manuales!$I$39*parametros_manuales!$J$39</f>
        <v>491.88</v>
      </c>
      <c r="H22" s="8">
        <f>(parametros_manuales!$D$39*('Plan mensual'!J2+IF(parametros_manuales!$H$39="Todos",'Plan mensual'!J6,0))+parametros_manuales!$E$39*('Plan mensual'!J3+IF(parametros_manuales!$H$39="Todos",'Plan mensual'!J7,0))+parametros_manuales!$F$39*('Plan mensual'!J4+IF(parametros_manuales!$H$39="Todos",'Plan mensual'!J8,0))+parametros_manuales!$G$39*('Plan mensual'!J5+IF(parametros_manuales!$H$39="Todos",'Plan mensual'!J9,0)))*parametros_manuales!$I$39*parametros_manuales!$J$39</f>
        <v>526.065</v>
      </c>
      <c r="I22" s="8">
        <f>(parametros_manuales!$D$39*('Plan mensual'!K2+IF(parametros_manuales!$H$39="Todos",'Plan mensual'!K6,0))+parametros_manuales!$E$39*('Plan mensual'!K3+IF(parametros_manuales!$H$39="Todos",'Plan mensual'!K7,0))+parametros_manuales!$F$39*('Plan mensual'!K4+IF(parametros_manuales!$H$39="Todos",'Plan mensual'!K8,0))+parametros_manuales!$G$39*('Plan mensual'!K5+IF(parametros_manuales!$H$39="Todos",'Plan mensual'!K9,0)))*parametros_manuales!$I$39*parametros_manuales!$J$39</f>
        <v>526.065</v>
      </c>
      <c r="J22" s="8">
        <f>(parametros_manuales!$D$39*('Plan mensual'!L2+IF(parametros_manuales!$H$39="Todos",'Plan mensual'!L6,0))+parametros_manuales!$E$39*('Plan mensual'!L3+IF(parametros_manuales!$H$39="Todos",'Plan mensual'!L7,0))+parametros_manuales!$F$39*('Plan mensual'!L4+IF(parametros_manuales!$H$39="Todos",'Plan mensual'!L8,0))+parametros_manuales!$G$39*('Plan mensual'!L5+IF(parametros_manuales!$H$39="Todos",'Plan mensual'!L9,0)))*parametros_manuales!$I$39*parametros_manuales!$J$39</f>
        <v>526.065</v>
      </c>
      <c r="K22" s="8">
        <f>(parametros_manuales!$D$39*('Plan mensual'!M2+IF(parametros_manuales!$H$39="Todos",'Plan mensual'!M6,0))+parametros_manuales!$E$39*('Plan mensual'!M3+IF(parametros_manuales!$H$39="Todos",'Plan mensual'!M7,0))+parametros_manuales!$F$39*('Plan mensual'!M4+IF(parametros_manuales!$H$39="Todos",'Plan mensual'!M8,0))+parametros_manuales!$G$39*('Plan mensual'!M5+IF(parametros_manuales!$H$39="Todos",'Plan mensual'!M9,0)))*parametros_manuales!$I$39*parametros_manuales!$J$39</f>
        <v>512.775</v>
      </c>
      <c r="L22" s="8">
        <f>(parametros_manuales!$D$39*('Plan mensual'!N2+IF(parametros_manuales!$H$39="Todos",'Plan mensual'!N6,0))+parametros_manuales!$E$39*('Plan mensual'!N3+IF(parametros_manuales!$H$39="Todos",'Plan mensual'!N7,0))+parametros_manuales!$F$39*('Plan mensual'!N4+IF(parametros_manuales!$H$39="Todos",'Plan mensual'!N8,0))+parametros_manuales!$G$39*('Plan mensual'!N5+IF(parametros_manuales!$H$39="Todos",'Plan mensual'!N9,0)))*parametros_manuales!$I$39*parametros_manuales!$J$39</f>
        <v>499.485</v>
      </c>
      <c r="M22" s="8">
        <f>(parametros_manuales!$D$39*('Plan mensual'!O2+IF(parametros_manuales!$H$39="Todos",'Plan mensual'!O6,0))+parametros_manuales!$E$39*('Plan mensual'!O3+IF(parametros_manuales!$H$39="Todos",'Plan mensual'!O7,0))+parametros_manuales!$F$39*('Plan mensual'!O4+IF(parametros_manuales!$H$39="Todos",'Plan mensual'!O8,0))+parametros_manuales!$G$39*('Plan mensual'!O5+IF(parametros_manuales!$H$39="Todos",'Plan mensual'!O9,0)))*parametros_manuales!$I$39*parametros_manuales!$J$39</f>
        <v>793.86</v>
      </c>
      <c r="N22" s="8">
        <f t="shared" si="1"/>
        <v>6837</v>
      </c>
      <c r="O22" s="8">
        <f t="shared" si="2"/>
        <v>793.86</v>
      </c>
      <c r="P22" s="27">
        <f>O22/(parametros_manuales!$B$7)</f>
        <v>5.2924</v>
      </c>
      <c r="Q22" s="4" t="str">
        <f t="shared" si="3"/>
        <v>Dic</v>
      </c>
    </row>
    <row r="23" ht="14.25" customHeight="1">
      <c r="A23" s="4" t="str">
        <f>parametros_manuales!$B$40</f>
        <v>Ensamblaje</v>
      </c>
      <c r="B23" s="8">
        <f>(parametros_manuales!$D$40*('Plan mensual'!D2+IF(parametros_manuales!$H$40="Todos",'Plan mensual'!D6,0))+parametros_manuales!$E$40*('Plan mensual'!D3+IF(parametros_manuales!$H$40="Todos",'Plan mensual'!D7,0))+parametros_manuales!$F$40*('Plan mensual'!D4+IF(parametros_manuales!$H$40="Todos",'Plan mensual'!D8,0))+parametros_manuales!$G$40*('Plan mensual'!D5+IF(parametros_manuales!$H$40="Todos",'Plan mensual'!D9,0)))*parametros_manuales!$I$40*parametros_manuales!$J$40</f>
        <v>767.28</v>
      </c>
      <c r="C23" s="8">
        <f>(parametros_manuales!$D$40*('Plan mensual'!E2+IF(parametros_manuales!$H$40="Todos",'Plan mensual'!E6,0))+parametros_manuales!$E$40*('Plan mensual'!E3+IF(parametros_manuales!$H$40="Todos",'Plan mensual'!E7,0))+parametros_manuales!$F$40*('Plan mensual'!E4+IF(parametros_manuales!$H$40="Todos",'Plan mensual'!E8,0))+parametros_manuales!$G$40*('Plan mensual'!E5+IF(parametros_manuales!$H$40="Todos",'Plan mensual'!E9,0)))*parametros_manuales!$I$40*parametros_manuales!$J$40</f>
        <v>588.75</v>
      </c>
      <c r="D23" s="8">
        <f>(parametros_manuales!$D$40*('Plan mensual'!F2+IF(parametros_manuales!$H$40="Todos",'Plan mensual'!F6,0))+parametros_manuales!$E$40*('Plan mensual'!F3+IF(parametros_manuales!$H$40="Todos",'Plan mensual'!F7,0))+parametros_manuales!$F$40*('Plan mensual'!F4+IF(parametros_manuales!$H$40="Todos",'Plan mensual'!F8,0))+parametros_manuales!$G$40*('Plan mensual'!F5+IF(parametros_manuales!$H$40="Todos",'Plan mensual'!F9,0)))*parametros_manuales!$I$40*parametros_manuales!$J$40</f>
        <v>560.25</v>
      </c>
      <c r="E23" s="8">
        <f>(parametros_manuales!$D$40*('Plan mensual'!G2+IF(parametros_manuales!$H$40="Todos",'Plan mensual'!G6,0))+parametros_manuales!$E$40*('Plan mensual'!G3+IF(parametros_manuales!$H$40="Todos",'Plan mensual'!G7,0))+parametros_manuales!$F$40*('Plan mensual'!G4+IF(parametros_manuales!$H$40="Todos",'Plan mensual'!G8,0))+parametros_manuales!$G$40*('Plan mensual'!G5+IF(parametros_manuales!$H$40="Todos",'Plan mensual'!G9,0)))*parametros_manuales!$I$40*parametros_manuales!$J$40</f>
        <v>539.355</v>
      </c>
      <c r="F23" s="8">
        <f>(parametros_manuales!$D$40*('Plan mensual'!H2+IF(parametros_manuales!$H$40="Todos",'Plan mensual'!H6,0))+parametros_manuales!$E$40*('Plan mensual'!H3+IF(parametros_manuales!$H$40="Todos",'Plan mensual'!H7,0))+parametros_manuales!$F$40*('Plan mensual'!H4+IF(parametros_manuales!$H$40="Todos",'Plan mensual'!H8,0))+parametros_manuales!$G$40*('Plan mensual'!H5+IF(parametros_manuales!$H$40="Todos",'Plan mensual'!H9,0)))*parametros_manuales!$I$40*parametros_manuales!$J$40</f>
        <v>505.17</v>
      </c>
      <c r="G23" s="8">
        <f>(parametros_manuales!$D$40*('Plan mensual'!I2+IF(parametros_manuales!$H$40="Todos",'Plan mensual'!I6,0))+parametros_manuales!$E$40*('Plan mensual'!I3+IF(parametros_manuales!$H$40="Todos",'Plan mensual'!I7,0))+parametros_manuales!$F$40*('Plan mensual'!I4+IF(parametros_manuales!$H$40="Todos",'Plan mensual'!I8,0))+parametros_manuales!$G$40*('Plan mensual'!I5+IF(parametros_manuales!$H$40="Todos",'Plan mensual'!I9,0)))*parametros_manuales!$I$40*parametros_manuales!$J$40</f>
        <v>491.88</v>
      </c>
      <c r="H23" s="8">
        <f>(parametros_manuales!$D$40*('Plan mensual'!J2+IF(parametros_manuales!$H$40="Todos",'Plan mensual'!J6,0))+parametros_manuales!$E$40*('Plan mensual'!J3+IF(parametros_manuales!$H$40="Todos",'Plan mensual'!J7,0))+parametros_manuales!$F$40*('Plan mensual'!J4+IF(parametros_manuales!$H$40="Todos",'Plan mensual'!J8,0))+parametros_manuales!$G$40*('Plan mensual'!J5+IF(parametros_manuales!$H$40="Todos",'Plan mensual'!J9,0)))*parametros_manuales!$I$40*parametros_manuales!$J$40</f>
        <v>526.065</v>
      </c>
      <c r="I23" s="8">
        <f>(parametros_manuales!$D$40*('Plan mensual'!K2+IF(parametros_manuales!$H$40="Todos",'Plan mensual'!K6,0))+parametros_manuales!$E$40*('Plan mensual'!K3+IF(parametros_manuales!$H$40="Todos",'Plan mensual'!K7,0))+parametros_manuales!$F$40*('Plan mensual'!K4+IF(parametros_manuales!$H$40="Todos",'Plan mensual'!K8,0))+parametros_manuales!$G$40*('Plan mensual'!K5+IF(parametros_manuales!$H$40="Todos",'Plan mensual'!K9,0)))*parametros_manuales!$I$40*parametros_manuales!$J$40</f>
        <v>526.065</v>
      </c>
      <c r="J23" s="8">
        <f>(parametros_manuales!$D$40*('Plan mensual'!L2+IF(parametros_manuales!$H$40="Todos",'Plan mensual'!L6,0))+parametros_manuales!$E$40*('Plan mensual'!L3+IF(parametros_manuales!$H$40="Todos",'Plan mensual'!L7,0))+parametros_manuales!$F$40*('Plan mensual'!L4+IF(parametros_manuales!$H$40="Todos",'Plan mensual'!L8,0))+parametros_manuales!$G$40*('Plan mensual'!L5+IF(parametros_manuales!$H$40="Todos",'Plan mensual'!L9,0)))*parametros_manuales!$I$40*parametros_manuales!$J$40</f>
        <v>526.065</v>
      </c>
      <c r="K23" s="8">
        <f>(parametros_manuales!$D$40*('Plan mensual'!M2+IF(parametros_manuales!$H$40="Todos",'Plan mensual'!M6,0))+parametros_manuales!$E$40*('Plan mensual'!M3+IF(parametros_manuales!$H$40="Todos",'Plan mensual'!M7,0))+parametros_manuales!$F$40*('Plan mensual'!M4+IF(parametros_manuales!$H$40="Todos",'Plan mensual'!M8,0))+parametros_manuales!$G$40*('Plan mensual'!M5+IF(parametros_manuales!$H$40="Todos",'Plan mensual'!M9,0)))*parametros_manuales!$I$40*parametros_manuales!$J$40</f>
        <v>512.775</v>
      </c>
      <c r="L23" s="8">
        <f>(parametros_manuales!$D$40*('Plan mensual'!N2+IF(parametros_manuales!$H$40="Todos",'Plan mensual'!N6,0))+parametros_manuales!$E$40*('Plan mensual'!N3+IF(parametros_manuales!$H$40="Todos",'Plan mensual'!N7,0))+parametros_manuales!$F$40*('Plan mensual'!N4+IF(parametros_manuales!$H$40="Todos",'Plan mensual'!N8,0))+parametros_manuales!$G$40*('Plan mensual'!N5+IF(parametros_manuales!$H$40="Todos",'Plan mensual'!N9,0)))*parametros_manuales!$I$40*parametros_manuales!$J$40</f>
        <v>499.485</v>
      </c>
      <c r="M23" s="8">
        <f>(parametros_manuales!$D$40*('Plan mensual'!O2+IF(parametros_manuales!$H$40="Todos",'Plan mensual'!O6,0))+parametros_manuales!$E$40*('Plan mensual'!O3+IF(parametros_manuales!$H$40="Todos",'Plan mensual'!O7,0))+parametros_manuales!$F$40*('Plan mensual'!O4+IF(parametros_manuales!$H$40="Todos",'Plan mensual'!O8,0))+parametros_manuales!$G$40*('Plan mensual'!O5+IF(parametros_manuales!$H$40="Todos",'Plan mensual'!O9,0)))*parametros_manuales!$I$40*parametros_manuales!$J$40</f>
        <v>793.86</v>
      </c>
      <c r="N23" s="8">
        <f t="shared" si="1"/>
        <v>6837</v>
      </c>
      <c r="O23" s="8">
        <f t="shared" si="2"/>
        <v>793.86</v>
      </c>
      <c r="P23" s="27">
        <f>O23/(parametros_manuales!$B$7)</f>
        <v>5.2924</v>
      </c>
      <c r="Q23" s="4" t="str">
        <f t="shared" si="3"/>
        <v>Dic</v>
      </c>
    </row>
    <row r="24" ht="14.25" customHeight="1">
      <c r="A24" s="4" t="str">
        <f>parametros_manuales!$B$41</f>
        <v>Presurización</v>
      </c>
      <c r="B24" s="8">
        <f>(parametros_manuales!$D$41*('Plan mensual'!D2+IF(parametros_manuales!$H$41="Todos",'Plan mensual'!D6,0))+parametros_manuales!$E$41*('Plan mensual'!D3+IF(parametros_manuales!$H$41="Todos",'Plan mensual'!D7,0))+parametros_manuales!$F$41*('Plan mensual'!D4+IF(parametros_manuales!$H$41="Todos",'Plan mensual'!D8,0))+parametros_manuales!$G$41*('Plan mensual'!D5+IF(parametros_manuales!$H$41="Todos",'Plan mensual'!D9,0)))*parametros_manuales!$I$41*parametros_manuales!$J$41</f>
        <v>767.28</v>
      </c>
      <c r="C24" s="8">
        <f>(parametros_manuales!$D$41*('Plan mensual'!E2+IF(parametros_manuales!$H$41="Todos",'Plan mensual'!E6,0))+parametros_manuales!$E$41*('Plan mensual'!E3+IF(parametros_manuales!$H$41="Todos",'Plan mensual'!E7,0))+parametros_manuales!$F$41*('Plan mensual'!E4+IF(parametros_manuales!$H$41="Todos",'Plan mensual'!E8,0))+parametros_manuales!$G$41*('Plan mensual'!E5+IF(parametros_manuales!$H$41="Todos",'Plan mensual'!E9,0)))*parametros_manuales!$I$41*parametros_manuales!$J$41</f>
        <v>588.75</v>
      </c>
      <c r="D24" s="8">
        <f>(parametros_manuales!$D$41*('Plan mensual'!F2+IF(parametros_manuales!$H$41="Todos",'Plan mensual'!F6,0))+parametros_manuales!$E$41*('Plan mensual'!F3+IF(parametros_manuales!$H$41="Todos",'Plan mensual'!F7,0))+parametros_manuales!$F$41*('Plan mensual'!F4+IF(parametros_manuales!$H$41="Todos",'Plan mensual'!F8,0))+parametros_manuales!$G$41*('Plan mensual'!F5+IF(parametros_manuales!$H$41="Todos",'Plan mensual'!F9,0)))*parametros_manuales!$I$41*parametros_manuales!$J$41</f>
        <v>560.25</v>
      </c>
      <c r="E24" s="8">
        <f>(parametros_manuales!$D$41*('Plan mensual'!G2+IF(parametros_manuales!$H$41="Todos",'Plan mensual'!G6,0))+parametros_manuales!$E$41*('Plan mensual'!G3+IF(parametros_manuales!$H$41="Todos",'Plan mensual'!G7,0))+parametros_manuales!$F$41*('Plan mensual'!G4+IF(parametros_manuales!$H$41="Todos",'Plan mensual'!G8,0))+parametros_manuales!$G$41*('Plan mensual'!G5+IF(parametros_manuales!$H$41="Todos",'Plan mensual'!G9,0)))*parametros_manuales!$I$41*parametros_manuales!$J$41</f>
        <v>539.355</v>
      </c>
      <c r="F24" s="8">
        <f>(parametros_manuales!$D$41*('Plan mensual'!H2+IF(parametros_manuales!$H$41="Todos",'Plan mensual'!H6,0))+parametros_manuales!$E$41*('Plan mensual'!H3+IF(parametros_manuales!$H$41="Todos",'Plan mensual'!H7,0))+parametros_manuales!$F$41*('Plan mensual'!H4+IF(parametros_manuales!$H$41="Todos",'Plan mensual'!H8,0))+parametros_manuales!$G$41*('Plan mensual'!H5+IF(parametros_manuales!$H$41="Todos",'Plan mensual'!H9,0)))*parametros_manuales!$I$41*parametros_manuales!$J$41</f>
        <v>505.17</v>
      </c>
      <c r="G24" s="8">
        <f>(parametros_manuales!$D$41*('Plan mensual'!I2+IF(parametros_manuales!$H$41="Todos",'Plan mensual'!I6,0))+parametros_manuales!$E$41*('Plan mensual'!I3+IF(parametros_manuales!$H$41="Todos",'Plan mensual'!I7,0))+parametros_manuales!$F$41*('Plan mensual'!I4+IF(parametros_manuales!$H$41="Todos",'Plan mensual'!I8,0))+parametros_manuales!$G$41*('Plan mensual'!I5+IF(parametros_manuales!$H$41="Todos",'Plan mensual'!I9,0)))*parametros_manuales!$I$41*parametros_manuales!$J$41</f>
        <v>491.88</v>
      </c>
      <c r="H24" s="8">
        <f>(parametros_manuales!$D$41*('Plan mensual'!J2+IF(parametros_manuales!$H$41="Todos",'Plan mensual'!J6,0))+parametros_manuales!$E$41*('Plan mensual'!J3+IF(parametros_manuales!$H$41="Todos",'Plan mensual'!J7,0))+parametros_manuales!$F$41*('Plan mensual'!J4+IF(parametros_manuales!$H$41="Todos",'Plan mensual'!J8,0))+parametros_manuales!$G$41*('Plan mensual'!J5+IF(parametros_manuales!$H$41="Todos",'Plan mensual'!J9,0)))*parametros_manuales!$I$41*parametros_manuales!$J$41</f>
        <v>526.065</v>
      </c>
      <c r="I24" s="8">
        <f>(parametros_manuales!$D$41*('Plan mensual'!K2+IF(parametros_manuales!$H$41="Todos",'Plan mensual'!K6,0))+parametros_manuales!$E$41*('Plan mensual'!K3+IF(parametros_manuales!$H$41="Todos",'Plan mensual'!K7,0))+parametros_manuales!$F$41*('Plan mensual'!K4+IF(parametros_manuales!$H$41="Todos",'Plan mensual'!K8,0))+parametros_manuales!$G$41*('Plan mensual'!K5+IF(parametros_manuales!$H$41="Todos",'Plan mensual'!K9,0)))*parametros_manuales!$I$41*parametros_manuales!$J$41</f>
        <v>526.065</v>
      </c>
      <c r="J24" s="8">
        <f>(parametros_manuales!$D$41*('Plan mensual'!L2+IF(parametros_manuales!$H$41="Todos",'Plan mensual'!L6,0))+parametros_manuales!$E$41*('Plan mensual'!L3+IF(parametros_manuales!$H$41="Todos",'Plan mensual'!L7,0))+parametros_manuales!$F$41*('Plan mensual'!L4+IF(parametros_manuales!$H$41="Todos",'Plan mensual'!L8,0))+parametros_manuales!$G$41*('Plan mensual'!L5+IF(parametros_manuales!$H$41="Todos",'Plan mensual'!L9,0)))*parametros_manuales!$I$41*parametros_manuales!$J$41</f>
        <v>526.065</v>
      </c>
      <c r="K24" s="8">
        <f>(parametros_manuales!$D$41*('Plan mensual'!M2+IF(parametros_manuales!$H$41="Todos",'Plan mensual'!M6,0))+parametros_manuales!$E$41*('Plan mensual'!M3+IF(parametros_manuales!$H$41="Todos",'Plan mensual'!M7,0))+parametros_manuales!$F$41*('Plan mensual'!M4+IF(parametros_manuales!$H$41="Todos",'Plan mensual'!M8,0))+parametros_manuales!$G$41*('Plan mensual'!M5+IF(parametros_manuales!$H$41="Todos",'Plan mensual'!M9,0)))*parametros_manuales!$I$41*parametros_manuales!$J$41</f>
        <v>512.775</v>
      </c>
      <c r="L24" s="8">
        <f>(parametros_manuales!$D$41*('Plan mensual'!N2+IF(parametros_manuales!$H$41="Todos",'Plan mensual'!N6,0))+parametros_manuales!$E$41*('Plan mensual'!N3+IF(parametros_manuales!$H$41="Todos",'Plan mensual'!N7,0))+parametros_manuales!$F$41*('Plan mensual'!N4+IF(parametros_manuales!$H$41="Todos",'Plan mensual'!N8,0))+parametros_manuales!$G$41*('Plan mensual'!N5+IF(parametros_manuales!$H$41="Todos",'Plan mensual'!N9,0)))*parametros_manuales!$I$41*parametros_manuales!$J$41</f>
        <v>499.485</v>
      </c>
      <c r="M24" s="8">
        <f>(parametros_manuales!$D$41*('Plan mensual'!O2+IF(parametros_manuales!$H$41="Todos",'Plan mensual'!O6,0))+parametros_manuales!$E$41*('Plan mensual'!O3+IF(parametros_manuales!$H$41="Todos",'Plan mensual'!O7,0))+parametros_manuales!$F$41*('Plan mensual'!O4+IF(parametros_manuales!$H$41="Todos",'Plan mensual'!O8,0))+parametros_manuales!$G$41*('Plan mensual'!O5+IF(parametros_manuales!$H$41="Todos",'Plan mensual'!O9,0)))*parametros_manuales!$I$41*parametros_manuales!$J$41</f>
        <v>793.86</v>
      </c>
      <c r="N24" s="8">
        <f t="shared" si="1"/>
        <v>6837</v>
      </c>
      <c r="O24" s="8">
        <f t="shared" si="2"/>
        <v>793.86</v>
      </c>
      <c r="P24" s="27">
        <f>O24/(parametros_manuales!$B$7)</f>
        <v>5.2924</v>
      </c>
      <c r="Q24" s="4" t="str">
        <f t="shared" si="3"/>
        <v>Dic</v>
      </c>
    </row>
    <row r="25" ht="14.25" customHeight="1">
      <c r="A25" s="4" t="str">
        <f>parametros_manuales!$B$42</f>
        <v>Control de calidad — Ensayo de pérdidas</v>
      </c>
      <c r="B25" s="8">
        <f>(parametros_manuales!$D$42*('Plan mensual'!D2+IF(parametros_manuales!$H$42="Todos",'Plan mensual'!D6,0))+parametros_manuales!$E$42*('Plan mensual'!D3+IF(parametros_manuales!$H$42="Todos",'Plan mensual'!D7,0))+parametros_manuales!$F$42*('Plan mensual'!D4+IF(parametros_manuales!$H$42="Todos",'Plan mensual'!D8,0))+parametros_manuales!$G$42*('Plan mensual'!D5+IF(parametros_manuales!$H$42="Todos",'Plan mensual'!D9,0)))*parametros_manuales!$I$42*parametros_manuales!$J$42</f>
        <v>767.28</v>
      </c>
      <c r="C25" s="8">
        <f>(parametros_manuales!$D$42*('Plan mensual'!E2+IF(parametros_manuales!$H$42="Todos",'Plan mensual'!E6,0))+parametros_manuales!$E$42*('Plan mensual'!E3+IF(parametros_manuales!$H$42="Todos",'Plan mensual'!E7,0))+parametros_manuales!$F$42*('Plan mensual'!E4+IF(parametros_manuales!$H$42="Todos",'Plan mensual'!E8,0))+parametros_manuales!$G$42*('Plan mensual'!E5+IF(parametros_manuales!$H$42="Todos",'Plan mensual'!E9,0)))*parametros_manuales!$I$42*parametros_manuales!$J$42</f>
        <v>588.75</v>
      </c>
      <c r="D25" s="8">
        <f>(parametros_manuales!$D$42*('Plan mensual'!F2+IF(parametros_manuales!$H$42="Todos",'Plan mensual'!F6,0))+parametros_manuales!$E$42*('Plan mensual'!F3+IF(parametros_manuales!$H$42="Todos",'Plan mensual'!F7,0))+parametros_manuales!$F$42*('Plan mensual'!F4+IF(parametros_manuales!$H$42="Todos",'Plan mensual'!F8,0))+parametros_manuales!$G$42*('Plan mensual'!F5+IF(parametros_manuales!$H$42="Todos",'Plan mensual'!F9,0)))*parametros_manuales!$I$42*parametros_manuales!$J$42</f>
        <v>560.25</v>
      </c>
      <c r="E25" s="8">
        <f>(parametros_manuales!$D$42*('Plan mensual'!G2+IF(parametros_manuales!$H$42="Todos",'Plan mensual'!G6,0))+parametros_manuales!$E$42*('Plan mensual'!G3+IF(parametros_manuales!$H$42="Todos",'Plan mensual'!G7,0))+parametros_manuales!$F$42*('Plan mensual'!G4+IF(parametros_manuales!$H$42="Todos",'Plan mensual'!G8,0))+parametros_manuales!$G$42*('Plan mensual'!G5+IF(parametros_manuales!$H$42="Todos",'Plan mensual'!G9,0)))*parametros_manuales!$I$42*parametros_manuales!$J$42</f>
        <v>539.355</v>
      </c>
      <c r="F25" s="8">
        <f>(parametros_manuales!$D$42*('Plan mensual'!H2+IF(parametros_manuales!$H$42="Todos",'Plan mensual'!H6,0))+parametros_manuales!$E$42*('Plan mensual'!H3+IF(parametros_manuales!$H$42="Todos",'Plan mensual'!H7,0))+parametros_manuales!$F$42*('Plan mensual'!H4+IF(parametros_manuales!$H$42="Todos",'Plan mensual'!H8,0))+parametros_manuales!$G$42*('Plan mensual'!H5+IF(parametros_manuales!$H$42="Todos",'Plan mensual'!H9,0)))*parametros_manuales!$I$42*parametros_manuales!$J$42</f>
        <v>505.17</v>
      </c>
      <c r="G25" s="8">
        <f>(parametros_manuales!$D$42*('Plan mensual'!I2+IF(parametros_manuales!$H$42="Todos",'Plan mensual'!I6,0))+parametros_manuales!$E$42*('Plan mensual'!I3+IF(parametros_manuales!$H$42="Todos",'Plan mensual'!I7,0))+parametros_manuales!$F$42*('Plan mensual'!I4+IF(parametros_manuales!$H$42="Todos",'Plan mensual'!I8,0))+parametros_manuales!$G$42*('Plan mensual'!I5+IF(parametros_manuales!$H$42="Todos",'Plan mensual'!I9,0)))*parametros_manuales!$I$42*parametros_manuales!$J$42</f>
        <v>491.88</v>
      </c>
      <c r="H25" s="8">
        <f>(parametros_manuales!$D$42*('Plan mensual'!J2+IF(parametros_manuales!$H$42="Todos",'Plan mensual'!J6,0))+parametros_manuales!$E$42*('Plan mensual'!J3+IF(parametros_manuales!$H$42="Todos",'Plan mensual'!J7,0))+parametros_manuales!$F$42*('Plan mensual'!J4+IF(parametros_manuales!$H$42="Todos",'Plan mensual'!J8,0))+parametros_manuales!$G$42*('Plan mensual'!J5+IF(parametros_manuales!$H$42="Todos",'Plan mensual'!J9,0)))*parametros_manuales!$I$42*parametros_manuales!$J$42</f>
        <v>526.065</v>
      </c>
      <c r="I25" s="8">
        <f>(parametros_manuales!$D$42*('Plan mensual'!K2+IF(parametros_manuales!$H$42="Todos",'Plan mensual'!K6,0))+parametros_manuales!$E$42*('Plan mensual'!K3+IF(parametros_manuales!$H$42="Todos",'Plan mensual'!K7,0))+parametros_manuales!$F$42*('Plan mensual'!K4+IF(parametros_manuales!$H$42="Todos",'Plan mensual'!K8,0))+parametros_manuales!$G$42*('Plan mensual'!K5+IF(parametros_manuales!$H$42="Todos",'Plan mensual'!K9,0)))*parametros_manuales!$I$42*parametros_manuales!$J$42</f>
        <v>526.065</v>
      </c>
      <c r="J25" s="8">
        <f>(parametros_manuales!$D$42*('Plan mensual'!L2+IF(parametros_manuales!$H$42="Todos",'Plan mensual'!L6,0))+parametros_manuales!$E$42*('Plan mensual'!L3+IF(parametros_manuales!$H$42="Todos",'Plan mensual'!L7,0))+parametros_manuales!$F$42*('Plan mensual'!L4+IF(parametros_manuales!$H$42="Todos",'Plan mensual'!L8,0))+parametros_manuales!$G$42*('Plan mensual'!L5+IF(parametros_manuales!$H$42="Todos",'Plan mensual'!L9,0)))*parametros_manuales!$I$42*parametros_manuales!$J$42</f>
        <v>526.065</v>
      </c>
      <c r="K25" s="8">
        <f>(parametros_manuales!$D$42*('Plan mensual'!M2+IF(parametros_manuales!$H$42="Todos",'Plan mensual'!M6,0))+parametros_manuales!$E$42*('Plan mensual'!M3+IF(parametros_manuales!$H$42="Todos",'Plan mensual'!M7,0))+parametros_manuales!$F$42*('Plan mensual'!M4+IF(parametros_manuales!$H$42="Todos",'Plan mensual'!M8,0))+parametros_manuales!$G$42*('Plan mensual'!M5+IF(parametros_manuales!$H$42="Todos",'Plan mensual'!M9,0)))*parametros_manuales!$I$42*parametros_manuales!$J$42</f>
        <v>512.775</v>
      </c>
      <c r="L25" s="8">
        <f>(parametros_manuales!$D$42*('Plan mensual'!N2+IF(parametros_manuales!$H$42="Todos",'Plan mensual'!N6,0))+parametros_manuales!$E$42*('Plan mensual'!N3+IF(parametros_manuales!$H$42="Todos",'Plan mensual'!N7,0))+parametros_manuales!$F$42*('Plan mensual'!N4+IF(parametros_manuales!$H$42="Todos",'Plan mensual'!N8,0))+parametros_manuales!$G$42*('Plan mensual'!N5+IF(parametros_manuales!$H$42="Todos",'Plan mensual'!N9,0)))*parametros_manuales!$I$42*parametros_manuales!$J$42</f>
        <v>499.485</v>
      </c>
      <c r="M25" s="8">
        <f>(parametros_manuales!$D$42*('Plan mensual'!O2+IF(parametros_manuales!$H$42="Todos",'Plan mensual'!O6,0))+parametros_manuales!$E$42*('Plan mensual'!O3+IF(parametros_manuales!$H$42="Todos",'Plan mensual'!O7,0))+parametros_manuales!$F$42*('Plan mensual'!O4+IF(parametros_manuales!$H$42="Todos",'Plan mensual'!O8,0))+parametros_manuales!$G$42*('Plan mensual'!O5+IF(parametros_manuales!$H$42="Todos",'Plan mensual'!O9,0)))*parametros_manuales!$I$42*parametros_manuales!$J$42</f>
        <v>793.86</v>
      </c>
      <c r="N25" s="8">
        <f t="shared" si="1"/>
        <v>6837</v>
      </c>
      <c r="O25" s="8">
        <f t="shared" si="2"/>
        <v>793.86</v>
      </c>
      <c r="P25" s="27">
        <f>O25/(parametros_manuales!$B$7)</f>
        <v>5.2924</v>
      </c>
      <c r="Q25" s="4" t="str">
        <f t="shared" si="3"/>
        <v>Dic</v>
      </c>
    </row>
    <row r="26" ht="14.25" customHeight="1">
      <c r="A26" s="4" t="str">
        <f>parametros_manuales!$B$43</f>
        <v>Etiquetado</v>
      </c>
      <c r="B26" s="8">
        <f>(parametros_manuales!$D$43*('Plan mensual'!D2+IF(parametros_manuales!$H$43="Todos",'Plan mensual'!D6,0))+parametros_manuales!$E$43*('Plan mensual'!D3+IF(parametros_manuales!$H$43="Todos",'Plan mensual'!D7,0))+parametros_manuales!$F$43*('Plan mensual'!D4+IF(parametros_manuales!$H$43="Todos",'Plan mensual'!D8,0))+parametros_manuales!$G$43*('Plan mensual'!D5+IF(parametros_manuales!$H$43="Todos",'Plan mensual'!D9,0)))*parametros_manuales!$I$43*parametros_manuales!$J$43</f>
        <v>767.28</v>
      </c>
      <c r="C26" s="8">
        <f>(parametros_manuales!$D$43*('Plan mensual'!E2+IF(parametros_manuales!$H$43="Todos",'Plan mensual'!E6,0))+parametros_manuales!$E$43*('Plan mensual'!E3+IF(parametros_manuales!$H$43="Todos",'Plan mensual'!E7,0))+parametros_manuales!$F$43*('Plan mensual'!E4+IF(parametros_manuales!$H$43="Todos",'Plan mensual'!E8,0))+parametros_manuales!$G$43*('Plan mensual'!E5+IF(parametros_manuales!$H$43="Todos",'Plan mensual'!E9,0)))*parametros_manuales!$I$43*parametros_manuales!$J$43</f>
        <v>588.75</v>
      </c>
      <c r="D26" s="8">
        <f>(parametros_manuales!$D$43*('Plan mensual'!F2+IF(parametros_manuales!$H$43="Todos",'Plan mensual'!F6,0))+parametros_manuales!$E$43*('Plan mensual'!F3+IF(parametros_manuales!$H$43="Todos",'Plan mensual'!F7,0))+parametros_manuales!$F$43*('Plan mensual'!F4+IF(parametros_manuales!$H$43="Todos",'Plan mensual'!F8,0))+parametros_manuales!$G$43*('Plan mensual'!F5+IF(parametros_manuales!$H$43="Todos",'Plan mensual'!F9,0)))*parametros_manuales!$I$43*parametros_manuales!$J$43</f>
        <v>560.25</v>
      </c>
      <c r="E26" s="8">
        <f>(parametros_manuales!$D$43*('Plan mensual'!G2+IF(parametros_manuales!$H$43="Todos",'Plan mensual'!G6,0))+parametros_manuales!$E$43*('Plan mensual'!G3+IF(parametros_manuales!$H$43="Todos",'Plan mensual'!G7,0))+parametros_manuales!$F$43*('Plan mensual'!G4+IF(parametros_manuales!$H$43="Todos",'Plan mensual'!G8,0))+parametros_manuales!$G$43*('Plan mensual'!G5+IF(parametros_manuales!$H$43="Todos",'Plan mensual'!G9,0)))*parametros_manuales!$I$43*parametros_manuales!$J$43</f>
        <v>539.355</v>
      </c>
      <c r="F26" s="8">
        <f>(parametros_manuales!$D$43*('Plan mensual'!H2+IF(parametros_manuales!$H$43="Todos",'Plan mensual'!H6,0))+parametros_manuales!$E$43*('Plan mensual'!H3+IF(parametros_manuales!$H$43="Todos",'Plan mensual'!H7,0))+parametros_manuales!$F$43*('Plan mensual'!H4+IF(parametros_manuales!$H$43="Todos",'Plan mensual'!H8,0))+parametros_manuales!$G$43*('Plan mensual'!H5+IF(parametros_manuales!$H$43="Todos",'Plan mensual'!H9,0)))*parametros_manuales!$I$43*parametros_manuales!$J$43</f>
        <v>505.17</v>
      </c>
      <c r="G26" s="8">
        <f>(parametros_manuales!$D$43*('Plan mensual'!I2+IF(parametros_manuales!$H$43="Todos",'Plan mensual'!I6,0))+parametros_manuales!$E$43*('Plan mensual'!I3+IF(parametros_manuales!$H$43="Todos",'Plan mensual'!I7,0))+parametros_manuales!$F$43*('Plan mensual'!I4+IF(parametros_manuales!$H$43="Todos",'Plan mensual'!I8,0))+parametros_manuales!$G$43*('Plan mensual'!I5+IF(parametros_manuales!$H$43="Todos",'Plan mensual'!I9,0)))*parametros_manuales!$I$43*parametros_manuales!$J$43</f>
        <v>491.88</v>
      </c>
      <c r="H26" s="8">
        <f>(parametros_manuales!$D$43*('Plan mensual'!J2+IF(parametros_manuales!$H$43="Todos",'Plan mensual'!J6,0))+parametros_manuales!$E$43*('Plan mensual'!J3+IF(parametros_manuales!$H$43="Todos",'Plan mensual'!J7,0))+parametros_manuales!$F$43*('Plan mensual'!J4+IF(parametros_manuales!$H$43="Todos",'Plan mensual'!J8,0))+parametros_manuales!$G$43*('Plan mensual'!J5+IF(parametros_manuales!$H$43="Todos",'Plan mensual'!J9,0)))*parametros_manuales!$I$43*parametros_manuales!$J$43</f>
        <v>526.065</v>
      </c>
      <c r="I26" s="8">
        <f>(parametros_manuales!$D$43*('Plan mensual'!K2+IF(parametros_manuales!$H$43="Todos",'Plan mensual'!K6,0))+parametros_manuales!$E$43*('Plan mensual'!K3+IF(parametros_manuales!$H$43="Todos",'Plan mensual'!K7,0))+parametros_manuales!$F$43*('Plan mensual'!K4+IF(parametros_manuales!$H$43="Todos",'Plan mensual'!K8,0))+parametros_manuales!$G$43*('Plan mensual'!K5+IF(parametros_manuales!$H$43="Todos",'Plan mensual'!K9,0)))*parametros_manuales!$I$43*parametros_manuales!$J$43</f>
        <v>526.065</v>
      </c>
      <c r="J26" s="8">
        <f>(parametros_manuales!$D$43*('Plan mensual'!L2+IF(parametros_manuales!$H$43="Todos",'Plan mensual'!L6,0))+parametros_manuales!$E$43*('Plan mensual'!L3+IF(parametros_manuales!$H$43="Todos",'Plan mensual'!L7,0))+parametros_manuales!$F$43*('Plan mensual'!L4+IF(parametros_manuales!$H$43="Todos",'Plan mensual'!L8,0))+parametros_manuales!$G$43*('Plan mensual'!L5+IF(parametros_manuales!$H$43="Todos",'Plan mensual'!L9,0)))*parametros_manuales!$I$43*parametros_manuales!$J$43</f>
        <v>526.065</v>
      </c>
      <c r="K26" s="8">
        <f>(parametros_manuales!$D$43*('Plan mensual'!M2+IF(parametros_manuales!$H$43="Todos",'Plan mensual'!M6,0))+parametros_manuales!$E$43*('Plan mensual'!M3+IF(parametros_manuales!$H$43="Todos",'Plan mensual'!M7,0))+parametros_manuales!$F$43*('Plan mensual'!M4+IF(parametros_manuales!$H$43="Todos",'Plan mensual'!M8,0))+parametros_manuales!$G$43*('Plan mensual'!M5+IF(parametros_manuales!$H$43="Todos",'Plan mensual'!M9,0)))*parametros_manuales!$I$43*parametros_manuales!$J$43</f>
        <v>512.775</v>
      </c>
      <c r="L26" s="8">
        <f>(parametros_manuales!$D$43*('Plan mensual'!N2+IF(parametros_manuales!$H$43="Todos",'Plan mensual'!N6,0))+parametros_manuales!$E$43*('Plan mensual'!N3+IF(parametros_manuales!$H$43="Todos",'Plan mensual'!N7,0))+parametros_manuales!$F$43*('Plan mensual'!N4+IF(parametros_manuales!$H$43="Todos",'Plan mensual'!N8,0))+parametros_manuales!$G$43*('Plan mensual'!N5+IF(parametros_manuales!$H$43="Todos",'Plan mensual'!N9,0)))*parametros_manuales!$I$43*parametros_manuales!$J$43</f>
        <v>499.485</v>
      </c>
      <c r="M26" s="8">
        <f>(parametros_manuales!$D$43*('Plan mensual'!O2+IF(parametros_manuales!$H$43="Todos",'Plan mensual'!O6,0))+parametros_manuales!$E$43*('Plan mensual'!O3+IF(parametros_manuales!$H$43="Todos",'Plan mensual'!O7,0))+parametros_manuales!$F$43*('Plan mensual'!O4+IF(parametros_manuales!$H$43="Todos",'Plan mensual'!O8,0))+parametros_manuales!$G$43*('Plan mensual'!O5+IF(parametros_manuales!$H$43="Todos",'Plan mensual'!O9,0)))*parametros_manuales!$I$43*parametros_manuales!$J$43</f>
        <v>793.86</v>
      </c>
      <c r="N26" s="8">
        <f t="shared" si="1"/>
        <v>6837</v>
      </c>
      <c r="O26" s="8">
        <f t="shared" si="2"/>
        <v>793.86</v>
      </c>
      <c r="P26" s="27">
        <f>O26/(parametros_manuales!$B$7)</f>
        <v>5.2924</v>
      </c>
      <c r="Q26" s="4" t="str">
        <f t="shared" si="3"/>
        <v>Dic</v>
      </c>
    </row>
    <row r="27" ht="14.25" customHeight="1">
      <c r="A27" s="4" t="str">
        <f>parametros_manuales!$B$44</f>
        <v>Embalaje y paletizado</v>
      </c>
      <c r="B27" s="8">
        <f>(parametros_manuales!$D$44*('Plan mensual'!D2+IF(parametros_manuales!$H$44="Todos",'Plan mensual'!D6,0))+parametros_manuales!$E$44*('Plan mensual'!D3+IF(parametros_manuales!$H$44="Todos",'Plan mensual'!D7,0))+parametros_manuales!$F$44*('Plan mensual'!D4+IF(parametros_manuales!$H$44="Todos",'Plan mensual'!D8,0))+parametros_manuales!$G$44*('Plan mensual'!D5+IF(parametros_manuales!$H$44="Todos",'Plan mensual'!D9,0)))*parametros_manuales!$I$44*parametros_manuales!$J$44</f>
        <v>769.88</v>
      </c>
      <c r="C27" s="8">
        <f>(parametros_manuales!$D$44*('Plan mensual'!E2+IF(parametros_manuales!$H$44="Todos",'Plan mensual'!E6,0))+parametros_manuales!$E$44*('Plan mensual'!E3+IF(parametros_manuales!$H$44="Todos",'Plan mensual'!E7,0))+parametros_manuales!$F$44*('Plan mensual'!E4+IF(parametros_manuales!$H$44="Todos",'Plan mensual'!E8,0))+parametros_manuales!$G$44*('Plan mensual'!E5+IF(parametros_manuales!$H$44="Todos",'Plan mensual'!E9,0)))*parametros_manuales!$I$44*parametros_manuales!$J$44</f>
        <v>590.83</v>
      </c>
      <c r="D27" s="8">
        <f>(parametros_manuales!$D$44*('Plan mensual'!F2+IF(parametros_manuales!$H$44="Todos",'Plan mensual'!F6,0))+parametros_manuales!$E$44*('Plan mensual'!F3+IF(parametros_manuales!$H$44="Todos",'Plan mensual'!F7,0))+parametros_manuales!$F$44*('Plan mensual'!F4+IF(parametros_manuales!$H$44="Todos",'Plan mensual'!F8,0))+parametros_manuales!$G$44*('Plan mensual'!F5+IF(parametros_manuales!$H$44="Todos",'Plan mensual'!F9,0)))*parametros_manuales!$I$44*parametros_manuales!$J$44</f>
        <v>562.46</v>
      </c>
      <c r="E27" s="8">
        <f>(parametros_manuales!$D$44*('Plan mensual'!G2+IF(parametros_manuales!$H$44="Todos",'Plan mensual'!G6,0))+parametros_manuales!$E$44*('Plan mensual'!G3+IF(parametros_manuales!$H$44="Todos",'Plan mensual'!G7,0))+parametros_manuales!$F$44*('Plan mensual'!G4+IF(parametros_manuales!$H$44="Todos",'Plan mensual'!G8,0))+parametros_manuales!$G$44*('Plan mensual'!G5+IF(parametros_manuales!$H$44="Todos",'Plan mensual'!G9,0)))*parametros_manuales!$I$44*parametros_manuales!$J$44</f>
        <v>541.565</v>
      </c>
      <c r="F27" s="8">
        <f>(parametros_manuales!$D$44*('Plan mensual'!H2+IF(parametros_manuales!$H$44="Todos",'Plan mensual'!H6,0))+parametros_manuales!$E$44*('Plan mensual'!H3+IF(parametros_manuales!$H$44="Todos",'Plan mensual'!H7,0))+parametros_manuales!$F$44*('Plan mensual'!H4+IF(parametros_manuales!$H$44="Todos",'Plan mensual'!H8,0))+parametros_manuales!$G$44*('Plan mensual'!H5+IF(parametros_manuales!$H$44="Todos",'Plan mensual'!H9,0)))*parametros_manuales!$I$44*parametros_manuales!$J$44</f>
        <v>507.25</v>
      </c>
      <c r="G27" s="8">
        <f>(parametros_manuales!$D$44*('Plan mensual'!I2+IF(parametros_manuales!$H$44="Todos",'Plan mensual'!I6,0))+parametros_manuales!$E$44*('Plan mensual'!I3+IF(parametros_manuales!$H$44="Todos",'Plan mensual'!I7,0))+parametros_manuales!$F$44*('Plan mensual'!I4+IF(parametros_manuales!$H$44="Todos",'Plan mensual'!I8,0))+parametros_manuales!$G$44*('Plan mensual'!I5+IF(parametros_manuales!$H$44="Todos",'Plan mensual'!I9,0)))*parametros_manuales!$I$44*parametros_manuales!$J$44</f>
        <v>493.83</v>
      </c>
      <c r="H27" s="8">
        <f>(parametros_manuales!$D$44*('Plan mensual'!J2+IF(parametros_manuales!$H$44="Todos",'Plan mensual'!J6,0))+parametros_manuales!$E$44*('Plan mensual'!J3+IF(parametros_manuales!$H$44="Todos",'Plan mensual'!J7,0))+parametros_manuales!$F$44*('Plan mensual'!J4+IF(parametros_manuales!$H$44="Todos",'Plan mensual'!J8,0))+parametros_manuales!$G$44*('Plan mensual'!J5+IF(parametros_manuales!$H$44="Todos",'Plan mensual'!J9,0)))*parametros_manuales!$I$44*parametros_manuales!$J$44</f>
        <v>528.145</v>
      </c>
      <c r="I27" s="8">
        <f>(parametros_manuales!$D$44*('Plan mensual'!K2+IF(parametros_manuales!$H$44="Todos",'Plan mensual'!K6,0))+parametros_manuales!$E$44*('Plan mensual'!K3+IF(parametros_manuales!$H$44="Todos",'Plan mensual'!K7,0))+parametros_manuales!$F$44*('Plan mensual'!K4+IF(parametros_manuales!$H$44="Todos",'Plan mensual'!K8,0))+parametros_manuales!$G$44*('Plan mensual'!K5+IF(parametros_manuales!$H$44="Todos",'Plan mensual'!K9,0)))*parametros_manuales!$I$44*parametros_manuales!$J$44</f>
        <v>528.145</v>
      </c>
      <c r="J27" s="8">
        <f>(parametros_manuales!$D$44*('Plan mensual'!L2+IF(parametros_manuales!$H$44="Todos",'Plan mensual'!L6,0))+parametros_manuales!$E$44*('Plan mensual'!L3+IF(parametros_manuales!$H$44="Todos",'Plan mensual'!L7,0))+parametros_manuales!$F$44*('Plan mensual'!L4+IF(parametros_manuales!$H$44="Todos",'Plan mensual'!L8,0))+parametros_manuales!$G$44*('Plan mensual'!L5+IF(parametros_manuales!$H$44="Todos",'Plan mensual'!L9,0)))*parametros_manuales!$I$44*parametros_manuales!$J$44</f>
        <v>528.145</v>
      </c>
      <c r="K27" s="8">
        <f>(parametros_manuales!$D$44*('Plan mensual'!M2+IF(parametros_manuales!$H$44="Todos",'Plan mensual'!M6,0))+parametros_manuales!$E$44*('Plan mensual'!M3+IF(parametros_manuales!$H$44="Todos",'Plan mensual'!M7,0))+parametros_manuales!$F$44*('Plan mensual'!M4+IF(parametros_manuales!$H$44="Todos",'Plan mensual'!M8,0))+parametros_manuales!$G$44*('Plan mensual'!M5+IF(parametros_manuales!$H$44="Todos",'Plan mensual'!M9,0)))*parametros_manuales!$I$44*parametros_manuales!$J$44</f>
        <v>514.725</v>
      </c>
      <c r="L27" s="8">
        <f>(parametros_manuales!$D$44*('Plan mensual'!N2+IF(parametros_manuales!$H$44="Todos",'Plan mensual'!N6,0))+parametros_manuales!$E$44*('Plan mensual'!N3+IF(parametros_manuales!$H$44="Todos",'Plan mensual'!N7,0))+parametros_manuales!$F$44*('Plan mensual'!N4+IF(parametros_manuales!$H$44="Todos",'Plan mensual'!N8,0))+parametros_manuales!$G$44*('Plan mensual'!N5+IF(parametros_manuales!$H$44="Todos",'Plan mensual'!N9,0)))*parametros_manuales!$I$44*parametros_manuales!$J$44</f>
        <v>501.305</v>
      </c>
      <c r="M27" s="8">
        <f>(parametros_manuales!$D$44*('Plan mensual'!O2+IF(parametros_manuales!$H$44="Todos",'Plan mensual'!O6,0))+parametros_manuales!$E$44*('Plan mensual'!O3+IF(parametros_manuales!$H$44="Todos",'Plan mensual'!O7,0))+parametros_manuales!$F$44*('Plan mensual'!O4+IF(parametros_manuales!$H$44="Todos",'Plan mensual'!O8,0))+parametros_manuales!$G$44*('Plan mensual'!O5+IF(parametros_manuales!$H$44="Todos",'Plan mensual'!O9,0)))*parametros_manuales!$I$44*parametros_manuales!$J$44</f>
        <v>796.72</v>
      </c>
      <c r="N27" s="8">
        <f t="shared" si="1"/>
        <v>6863</v>
      </c>
      <c r="O27" s="8">
        <f t="shared" si="2"/>
        <v>796.72</v>
      </c>
      <c r="P27" s="27">
        <f>O27/(parametros_manuales!$B$7)</f>
        <v>5.311466667</v>
      </c>
      <c r="Q27" s="4" t="str">
        <f t="shared" si="3"/>
        <v>Dic</v>
      </c>
    </row>
    <row r="28" ht="14.25" customHeight="1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</row>
    <row r="29" ht="14.25" customHeight="1">
      <c r="A29" s="1" t="s">
        <v>225</v>
      </c>
      <c r="B29" s="1" t="s">
        <v>5</v>
      </c>
      <c r="C29" s="1" t="s">
        <v>6</v>
      </c>
      <c r="D29" s="1" t="s">
        <v>7</v>
      </c>
      <c r="E29" s="1" t="s">
        <v>8</v>
      </c>
      <c r="F29" s="1" t="s">
        <v>9</v>
      </c>
      <c r="G29" s="1" t="s">
        <v>10</v>
      </c>
      <c r="H29" s="1" t="s">
        <v>12</v>
      </c>
      <c r="I29" s="1" t="s">
        <v>13</v>
      </c>
      <c r="J29" s="1" t="s">
        <v>15</v>
      </c>
      <c r="K29" s="1" t="s">
        <v>16</v>
      </c>
      <c r="L29" s="1" t="s">
        <v>17</v>
      </c>
      <c r="M29" s="1" t="s">
        <v>18</v>
      </c>
      <c r="N29" s="1" t="s">
        <v>19</v>
      </c>
      <c r="O29" s="1" t="s">
        <v>20</v>
      </c>
      <c r="P29" s="1" t="s">
        <v>21</v>
      </c>
      <c r="Q29" s="1" t="s">
        <v>22</v>
      </c>
    </row>
    <row r="30" ht="14.25" customHeight="1">
      <c r="A30" s="4" t="str">
        <f>parametros_manuales!$B$19</f>
        <v>Recepción de materia prima</v>
      </c>
      <c r="B30" s="8">
        <f>(parametros_manuales!$D$19*('Plan mensual'!D13+IF(parametros_manuales!$H$19="Todos",'Plan mensual'!D17,0))+parametros_manuales!$E$19*('Plan mensual'!D14+IF(parametros_manuales!$H$19="Todos",'Plan mensual'!D18,0))+parametros_manuales!$F$19*('Plan mensual'!D15+IF(parametros_manuales!$H$19="Todos",'Plan mensual'!D19,0))+parametros_manuales!$G$19*('Plan mensual'!D16+IF(parametros_manuales!$H$19="Todos",'Plan mensual'!D20,0)))*parametros_manuales!$I$19*parametros_manuales!$J$19</f>
        <v>1208.54</v>
      </c>
      <c r="C30" s="8">
        <f>(parametros_manuales!$D$19*('Plan mensual'!E13+IF(parametros_manuales!$H$19="Todos",'Plan mensual'!E17,0))+parametros_manuales!$E$19*('Plan mensual'!E14+IF(parametros_manuales!$H$19="Todos",'Plan mensual'!E18,0))+parametros_manuales!$F$19*('Plan mensual'!E15+IF(parametros_manuales!$H$19="Todos",'Plan mensual'!E19,0))+parametros_manuales!$G$19*('Plan mensual'!E16+IF(parametros_manuales!$H$19="Todos",'Plan mensual'!E20,0)))*parametros_manuales!$I$19*parametros_manuales!$J$19</f>
        <v>930.85</v>
      </c>
      <c r="D30" s="8">
        <f>(parametros_manuales!$D$19*('Plan mensual'!F13+IF(parametros_manuales!$H$19="Todos",'Plan mensual'!F17,0))+parametros_manuales!$E$19*('Plan mensual'!F14+IF(parametros_manuales!$H$19="Todos",'Plan mensual'!F18,0))+parametros_manuales!$F$19*('Plan mensual'!F15+IF(parametros_manuales!$H$19="Todos",'Plan mensual'!F19,0))+parametros_manuales!$G$19*('Plan mensual'!F16+IF(parametros_manuales!$H$19="Todos",'Plan mensual'!F20,0)))*parametros_manuales!$I$19*parametros_manuales!$J$19</f>
        <v>895.325</v>
      </c>
      <c r="E30" s="8">
        <f>(parametros_manuales!$D$19*('Plan mensual'!G13+IF(parametros_manuales!$H$19="Todos",'Plan mensual'!G17,0))+parametros_manuales!$E$19*('Plan mensual'!G14+IF(parametros_manuales!$H$19="Todos",'Plan mensual'!G18,0))+parametros_manuales!$F$19*('Plan mensual'!G15+IF(parametros_manuales!$H$19="Todos",'Plan mensual'!G19,0))+parametros_manuales!$G$19*('Plan mensual'!G16+IF(parametros_manuales!$H$19="Todos",'Plan mensual'!G20,0)))*parametros_manuales!$I$19*parametros_manuales!$J$19</f>
        <v>865.34</v>
      </c>
      <c r="F30" s="8">
        <f>(parametros_manuales!$D$19*('Plan mensual'!H13+IF(parametros_manuales!$H$19="Todos",'Plan mensual'!H17,0))+parametros_manuales!$E$19*('Plan mensual'!H14+IF(parametros_manuales!$H$19="Todos",'Plan mensual'!H18,0))+parametros_manuales!$F$19*('Plan mensual'!H15+IF(parametros_manuales!$H$19="Todos",'Plan mensual'!H19,0))+parametros_manuales!$G$19*('Plan mensual'!H16+IF(parametros_manuales!$H$19="Todos",'Plan mensual'!H20,0)))*parametros_manuales!$I$19*parametros_manuales!$J$19</f>
        <v>810.91</v>
      </c>
      <c r="G30" s="8">
        <f>(parametros_manuales!$D$19*('Plan mensual'!I13+IF(parametros_manuales!$H$19="Todos",'Plan mensual'!I17,0))+parametros_manuales!$E$19*('Plan mensual'!I14+IF(parametros_manuales!$H$19="Todos",'Plan mensual'!I18,0))+parametros_manuales!$F$19*('Plan mensual'!I15+IF(parametros_manuales!$H$19="Todos",'Plan mensual'!I19,0))+parametros_manuales!$G$19*('Plan mensual'!I16+IF(parametros_manuales!$H$19="Todos",'Plan mensual'!I20,0)))*parametros_manuales!$I$19*parametros_manuales!$J$19</f>
        <v>786.465</v>
      </c>
      <c r="H30" s="8">
        <f>(parametros_manuales!$D$19*('Plan mensual'!J13+IF(parametros_manuales!$H$19="Todos",'Plan mensual'!J17,0))+parametros_manuales!$E$19*('Plan mensual'!J14+IF(parametros_manuales!$H$19="Todos",'Plan mensual'!J18,0))+parametros_manuales!$F$19*('Plan mensual'!J15+IF(parametros_manuales!$H$19="Todos",'Plan mensual'!J19,0))+parametros_manuales!$G$19*('Plan mensual'!J16+IF(parametros_manuales!$H$19="Todos",'Plan mensual'!J20,0)))*parametros_manuales!$I$19*parametros_manuales!$J$19</f>
        <v>840.895</v>
      </c>
      <c r="I30" s="8">
        <f>(parametros_manuales!$D$19*('Plan mensual'!K13+IF(parametros_manuales!$H$19="Todos",'Plan mensual'!K17,0))+parametros_manuales!$E$19*('Plan mensual'!K14+IF(parametros_manuales!$H$19="Todos",'Plan mensual'!K18,0))+parametros_manuales!$F$19*('Plan mensual'!K15+IF(parametros_manuales!$H$19="Todos",'Plan mensual'!K19,0))+parametros_manuales!$G$19*('Plan mensual'!K16+IF(parametros_manuales!$H$19="Todos",'Plan mensual'!K20,0)))*parametros_manuales!$I$19*parametros_manuales!$J$19</f>
        <v>840.895</v>
      </c>
      <c r="J30" s="8">
        <f>(parametros_manuales!$D$19*('Plan mensual'!L13+IF(parametros_manuales!$H$19="Todos",'Plan mensual'!L17,0))+parametros_manuales!$E$19*('Plan mensual'!L14+IF(parametros_manuales!$H$19="Todos",'Plan mensual'!L18,0))+parametros_manuales!$F$19*('Plan mensual'!L15+IF(parametros_manuales!$H$19="Todos",'Plan mensual'!L19,0))+parametros_manuales!$G$19*('Plan mensual'!L16+IF(parametros_manuales!$H$19="Todos",'Plan mensual'!L20,0)))*parametros_manuales!$I$19*parametros_manuales!$J$19</f>
        <v>840.895</v>
      </c>
      <c r="K30" s="8">
        <f>(parametros_manuales!$D$19*('Plan mensual'!M13+IF(parametros_manuales!$H$19="Todos",'Plan mensual'!M17,0))+parametros_manuales!$E$19*('Plan mensual'!M14+IF(parametros_manuales!$H$19="Todos",'Plan mensual'!M18,0))+parametros_manuales!$F$19*('Plan mensual'!M15+IF(parametros_manuales!$H$19="Todos",'Plan mensual'!M19,0))+parametros_manuales!$G$19*('Plan mensual'!M16+IF(parametros_manuales!$H$19="Todos",'Plan mensual'!M20,0)))*parametros_manuales!$I$19*parametros_manuales!$J$19</f>
        <v>816.45</v>
      </c>
      <c r="L30" s="8">
        <f>(parametros_manuales!$D$19*('Plan mensual'!N13+IF(parametros_manuales!$H$19="Todos",'Plan mensual'!N17,0))+parametros_manuales!$E$19*('Plan mensual'!N14+IF(parametros_manuales!$H$19="Todos",'Plan mensual'!N18,0))+parametros_manuales!$F$19*('Plan mensual'!N15+IF(parametros_manuales!$H$19="Todos",'Plan mensual'!N19,0))+parametros_manuales!$G$19*('Plan mensual'!N16+IF(parametros_manuales!$H$19="Todos",'Plan mensual'!N20,0)))*parametros_manuales!$I$19*parametros_manuales!$J$19</f>
        <v>792.005</v>
      </c>
      <c r="M30" s="8">
        <f>(parametros_manuales!$D$19*('Plan mensual'!O13+IF(parametros_manuales!$H$19="Todos",'Plan mensual'!O17,0))+parametros_manuales!$E$19*('Plan mensual'!O14+IF(parametros_manuales!$H$19="Todos",'Plan mensual'!O18,0))+parametros_manuales!$F$19*('Plan mensual'!O15+IF(parametros_manuales!$H$19="Todos",'Plan mensual'!O19,0))+parametros_manuales!$G$19*('Plan mensual'!O16+IF(parametros_manuales!$H$19="Todos",'Plan mensual'!O20,0)))*parametros_manuales!$I$19*parametros_manuales!$J$19</f>
        <v>1257.43</v>
      </c>
      <c r="N30" s="8">
        <f t="shared" ref="N30:N55" si="4">SUM(B30:M30)</f>
        <v>10886</v>
      </c>
      <c r="O30" s="8">
        <f t="shared" ref="O30:O55" si="5">MAX(B30:M30)</f>
        <v>1257.43</v>
      </c>
      <c r="P30" s="27">
        <f>O30/(parametros_manuales!$B$7)</f>
        <v>8.382866667</v>
      </c>
      <c r="Q30" s="4" t="str">
        <f t="shared" ref="Q30:Q55" si="6">IF(O30=0,"-",INDEX($B$29:$M$29,MATCH(O30,B30:M30,0)))</f>
        <v>Dic</v>
      </c>
    </row>
    <row r="31" ht="14.25" customHeight="1">
      <c r="A31" s="4" t="str">
        <f>parametros_manuales!$B$20</f>
        <v>Corte de chapa — 1.er corte en franjas (guillotina 1)</v>
      </c>
      <c r="B31" s="8">
        <f>(parametros_manuales!$D$20*('Plan mensual'!D13+IF(parametros_manuales!$H$20="Todos",'Plan mensual'!D17,0))+parametros_manuales!$E$20*('Plan mensual'!D14+IF(parametros_manuales!$H$20="Todos",'Plan mensual'!D18,0))+parametros_manuales!$F$20*('Plan mensual'!D15+IF(parametros_manuales!$H$20="Todos",'Plan mensual'!D19,0))+parametros_manuales!$G$20*('Plan mensual'!D16+IF(parametros_manuales!$H$20="Todos",'Plan mensual'!D20,0)))*parametros_manuales!$I$20*parametros_manuales!$J$20</f>
        <v>1208.54</v>
      </c>
      <c r="C31" s="8">
        <f>(parametros_manuales!$D$20*('Plan mensual'!E13+IF(parametros_manuales!$H$20="Todos",'Plan mensual'!E17,0))+parametros_manuales!$E$20*('Plan mensual'!E14+IF(parametros_manuales!$H$20="Todos",'Plan mensual'!E18,0))+parametros_manuales!$F$20*('Plan mensual'!E15+IF(parametros_manuales!$H$20="Todos",'Plan mensual'!E19,0))+parametros_manuales!$G$20*('Plan mensual'!E16+IF(parametros_manuales!$H$20="Todos",'Plan mensual'!E20,0)))*parametros_manuales!$I$20*parametros_manuales!$J$20</f>
        <v>930.85</v>
      </c>
      <c r="D31" s="8">
        <f>(parametros_manuales!$D$20*('Plan mensual'!F13+IF(parametros_manuales!$H$20="Todos",'Plan mensual'!F17,0))+parametros_manuales!$E$20*('Plan mensual'!F14+IF(parametros_manuales!$H$20="Todos",'Plan mensual'!F18,0))+parametros_manuales!$F$20*('Plan mensual'!F15+IF(parametros_manuales!$H$20="Todos",'Plan mensual'!F19,0))+parametros_manuales!$G$20*('Plan mensual'!F16+IF(parametros_manuales!$H$20="Todos",'Plan mensual'!F20,0)))*parametros_manuales!$I$20*parametros_manuales!$J$20</f>
        <v>895.325</v>
      </c>
      <c r="E31" s="8">
        <f>(parametros_manuales!$D$20*('Plan mensual'!G13+IF(parametros_manuales!$H$20="Todos",'Plan mensual'!G17,0))+parametros_manuales!$E$20*('Plan mensual'!G14+IF(parametros_manuales!$H$20="Todos",'Plan mensual'!G18,0))+parametros_manuales!$F$20*('Plan mensual'!G15+IF(parametros_manuales!$H$20="Todos",'Plan mensual'!G19,0))+parametros_manuales!$G$20*('Plan mensual'!G16+IF(parametros_manuales!$H$20="Todos",'Plan mensual'!G20,0)))*parametros_manuales!$I$20*parametros_manuales!$J$20</f>
        <v>865.34</v>
      </c>
      <c r="F31" s="8">
        <f>(parametros_manuales!$D$20*('Plan mensual'!H13+IF(parametros_manuales!$H$20="Todos",'Plan mensual'!H17,0))+parametros_manuales!$E$20*('Plan mensual'!H14+IF(parametros_manuales!$H$20="Todos",'Plan mensual'!H18,0))+parametros_manuales!$F$20*('Plan mensual'!H15+IF(parametros_manuales!$H$20="Todos",'Plan mensual'!H19,0))+parametros_manuales!$G$20*('Plan mensual'!H16+IF(parametros_manuales!$H$20="Todos",'Plan mensual'!H20,0)))*parametros_manuales!$I$20*parametros_manuales!$J$20</f>
        <v>810.91</v>
      </c>
      <c r="G31" s="8">
        <f>(parametros_manuales!$D$20*('Plan mensual'!I13+IF(parametros_manuales!$H$20="Todos",'Plan mensual'!I17,0))+parametros_manuales!$E$20*('Plan mensual'!I14+IF(parametros_manuales!$H$20="Todos",'Plan mensual'!I18,0))+parametros_manuales!$F$20*('Plan mensual'!I15+IF(parametros_manuales!$H$20="Todos",'Plan mensual'!I19,0))+parametros_manuales!$G$20*('Plan mensual'!I16+IF(parametros_manuales!$H$20="Todos",'Plan mensual'!I20,0)))*parametros_manuales!$I$20*parametros_manuales!$J$20</f>
        <v>786.465</v>
      </c>
      <c r="H31" s="8">
        <f>(parametros_manuales!$D$20*('Plan mensual'!J13+IF(parametros_manuales!$H$20="Todos",'Plan mensual'!J17,0))+parametros_manuales!$E$20*('Plan mensual'!J14+IF(parametros_manuales!$H$20="Todos",'Plan mensual'!J18,0))+parametros_manuales!$F$20*('Plan mensual'!J15+IF(parametros_manuales!$H$20="Todos",'Plan mensual'!J19,0))+parametros_manuales!$G$20*('Plan mensual'!J16+IF(parametros_manuales!$H$20="Todos",'Plan mensual'!J20,0)))*parametros_manuales!$I$20*parametros_manuales!$J$20</f>
        <v>840.895</v>
      </c>
      <c r="I31" s="8">
        <f>(parametros_manuales!$D$20*('Plan mensual'!K13+IF(parametros_manuales!$H$20="Todos",'Plan mensual'!K17,0))+parametros_manuales!$E$20*('Plan mensual'!K14+IF(parametros_manuales!$H$20="Todos",'Plan mensual'!K18,0))+parametros_manuales!$F$20*('Plan mensual'!K15+IF(parametros_manuales!$H$20="Todos",'Plan mensual'!K19,0))+parametros_manuales!$G$20*('Plan mensual'!K16+IF(parametros_manuales!$H$20="Todos",'Plan mensual'!K20,0)))*parametros_manuales!$I$20*parametros_manuales!$J$20</f>
        <v>840.895</v>
      </c>
      <c r="J31" s="8">
        <f>(parametros_manuales!$D$20*('Plan mensual'!L13+IF(parametros_manuales!$H$20="Todos",'Plan mensual'!L17,0))+parametros_manuales!$E$20*('Plan mensual'!L14+IF(parametros_manuales!$H$20="Todos",'Plan mensual'!L18,0))+parametros_manuales!$F$20*('Plan mensual'!L15+IF(parametros_manuales!$H$20="Todos",'Plan mensual'!L19,0))+parametros_manuales!$G$20*('Plan mensual'!L16+IF(parametros_manuales!$H$20="Todos",'Plan mensual'!L20,0)))*parametros_manuales!$I$20*parametros_manuales!$J$20</f>
        <v>840.895</v>
      </c>
      <c r="K31" s="8">
        <f>(parametros_manuales!$D$20*('Plan mensual'!M13+IF(parametros_manuales!$H$20="Todos",'Plan mensual'!M17,0))+parametros_manuales!$E$20*('Plan mensual'!M14+IF(parametros_manuales!$H$20="Todos",'Plan mensual'!M18,0))+parametros_manuales!$F$20*('Plan mensual'!M15+IF(parametros_manuales!$H$20="Todos",'Plan mensual'!M19,0))+parametros_manuales!$G$20*('Plan mensual'!M16+IF(parametros_manuales!$H$20="Todos",'Plan mensual'!M20,0)))*parametros_manuales!$I$20*parametros_manuales!$J$20</f>
        <v>816.45</v>
      </c>
      <c r="L31" s="8">
        <f>(parametros_manuales!$D$20*('Plan mensual'!N13+IF(parametros_manuales!$H$20="Todos",'Plan mensual'!N17,0))+parametros_manuales!$E$20*('Plan mensual'!N14+IF(parametros_manuales!$H$20="Todos",'Plan mensual'!N18,0))+parametros_manuales!$F$20*('Plan mensual'!N15+IF(parametros_manuales!$H$20="Todos",'Plan mensual'!N19,0))+parametros_manuales!$G$20*('Plan mensual'!N16+IF(parametros_manuales!$H$20="Todos",'Plan mensual'!N20,0)))*parametros_manuales!$I$20*parametros_manuales!$J$20</f>
        <v>792.005</v>
      </c>
      <c r="M31" s="8">
        <f>(parametros_manuales!$D$20*('Plan mensual'!O13+IF(parametros_manuales!$H$20="Todos",'Plan mensual'!O17,0))+parametros_manuales!$E$20*('Plan mensual'!O14+IF(parametros_manuales!$H$20="Todos",'Plan mensual'!O18,0))+parametros_manuales!$F$20*('Plan mensual'!O15+IF(parametros_manuales!$H$20="Todos",'Plan mensual'!O19,0))+parametros_manuales!$G$20*('Plan mensual'!O16+IF(parametros_manuales!$H$20="Todos",'Plan mensual'!O20,0)))*parametros_manuales!$I$20*parametros_manuales!$J$20</f>
        <v>1257.43</v>
      </c>
      <c r="N31" s="8">
        <f t="shared" si="4"/>
        <v>10886</v>
      </c>
      <c r="O31" s="8">
        <f t="shared" si="5"/>
        <v>1257.43</v>
      </c>
      <c r="P31" s="27">
        <f>O31/(parametros_manuales!$B$7)</f>
        <v>8.382866667</v>
      </c>
      <c r="Q31" s="4" t="str">
        <f t="shared" si="6"/>
        <v>Dic</v>
      </c>
    </row>
    <row r="32" ht="14.25" customHeight="1">
      <c r="A32" s="4" t="str">
        <f>parametros_manuales!$B$21</f>
        <v>Corte de chapa — 2.º corte en piezas (guillotina 2)</v>
      </c>
      <c r="B32" s="8">
        <f>(parametros_manuales!$D$21*('Plan mensual'!D13+IF(parametros_manuales!$H$21="Todos",'Plan mensual'!D17,0))+parametros_manuales!$E$21*('Plan mensual'!D14+IF(parametros_manuales!$H$21="Todos",'Plan mensual'!D18,0))+parametros_manuales!$F$21*('Plan mensual'!D15+IF(parametros_manuales!$H$21="Todos",'Plan mensual'!D19,0))+parametros_manuales!$G$21*('Plan mensual'!D16+IF(parametros_manuales!$H$21="Todos",'Plan mensual'!D20,0)))*parametros_manuales!$I$21*parametros_manuales!$J$21</f>
        <v>1208.54</v>
      </c>
      <c r="C32" s="8">
        <f>(parametros_manuales!$D$21*('Plan mensual'!E13+IF(parametros_manuales!$H$21="Todos",'Plan mensual'!E17,0))+parametros_manuales!$E$21*('Plan mensual'!E14+IF(parametros_manuales!$H$21="Todos",'Plan mensual'!E18,0))+parametros_manuales!$F$21*('Plan mensual'!E15+IF(parametros_manuales!$H$21="Todos",'Plan mensual'!E19,0))+parametros_manuales!$G$21*('Plan mensual'!E16+IF(parametros_manuales!$H$21="Todos",'Plan mensual'!E20,0)))*parametros_manuales!$I$21*parametros_manuales!$J$21</f>
        <v>930.85</v>
      </c>
      <c r="D32" s="8">
        <f>(parametros_manuales!$D$21*('Plan mensual'!F13+IF(parametros_manuales!$H$21="Todos",'Plan mensual'!F17,0))+parametros_manuales!$E$21*('Plan mensual'!F14+IF(parametros_manuales!$H$21="Todos",'Plan mensual'!F18,0))+parametros_manuales!$F$21*('Plan mensual'!F15+IF(parametros_manuales!$H$21="Todos",'Plan mensual'!F19,0))+parametros_manuales!$G$21*('Plan mensual'!F16+IF(parametros_manuales!$H$21="Todos",'Plan mensual'!F20,0)))*parametros_manuales!$I$21*parametros_manuales!$J$21</f>
        <v>895.325</v>
      </c>
      <c r="E32" s="8">
        <f>(parametros_manuales!$D$21*('Plan mensual'!G13+IF(parametros_manuales!$H$21="Todos",'Plan mensual'!G17,0))+parametros_manuales!$E$21*('Plan mensual'!G14+IF(parametros_manuales!$H$21="Todos",'Plan mensual'!G18,0))+parametros_manuales!$F$21*('Plan mensual'!G15+IF(parametros_manuales!$H$21="Todos",'Plan mensual'!G19,0))+parametros_manuales!$G$21*('Plan mensual'!G16+IF(parametros_manuales!$H$21="Todos",'Plan mensual'!G20,0)))*parametros_manuales!$I$21*parametros_manuales!$J$21</f>
        <v>865.34</v>
      </c>
      <c r="F32" s="8">
        <f>(parametros_manuales!$D$21*('Plan mensual'!H13+IF(parametros_manuales!$H$21="Todos",'Plan mensual'!H17,0))+parametros_manuales!$E$21*('Plan mensual'!H14+IF(parametros_manuales!$H$21="Todos",'Plan mensual'!H18,0))+parametros_manuales!$F$21*('Plan mensual'!H15+IF(parametros_manuales!$H$21="Todos",'Plan mensual'!H19,0))+parametros_manuales!$G$21*('Plan mensual'!H16+IF(parametros_manuales!$H$21="Todos",'Plan mensual'!H20,0)))*parametros_manuales!$I$21*parametros_manuales!$J$21</f>
        <v>810.91</v>
      </c>
      <c r="G32" s="8">
        <f>(parametros_manuales!$D$21*('Plan mensual'!I13+IF(parametros_manuales!$H$21="Todos",'Plan mensual'!I17,0))+parametros_manuales!$E$21*('Plan mensual'!I14+IF(parametros_manuales!$H$21="Todos",'Plan mensual'!I18,0))+parametros_manuales!$F$21*('Plan mensual'!I15+IF(parametros_manuales!$H$21="Todos",'Plan mensual'!I19,0))+parametros_manuales!$G$21*('Plan mensual'!I16+IF(parametros_manuales!$H$21="Todos",'Plan mensual'!I20,0)))*parametros_manuales!$I$21*parametros_manuales!$J$21</f>
        <v>786.465</v>
      </c>
      <c r="H32" s="8">
        <f>(parametros_manuales!$D$21*('Plan mensual'!J13+IF(parametros_manuales!$H$21="Todos",'Plan mensual'!J17,0))+parametros_manuales!$E$21*('Plan mensual'!J14+IF(parametros_manuales!$H$21="Todos",'Plan mensual'!J18,0))+parametros_manuales!$F$21*('Plan mensual'!J15+IF(parametros_manuales!$H$21="Todos",'Plan mensual'!J19,0))+parametros_manuales!$G$21*('Plan mensual'!J16+IF(parametros_manuales!$H$21="Todos",'Plan mensual'!J20,0)))*parametros_manuales!$I$21*parametros_manuales!$J$21</f>
        <v>840.895</v>
      </c>
      <c r="I32" s="8">
        <f>(parametros_manuales!$D$21*('Plan mensual'!K13+IF(parametros_manuales!$H$21="Todos",'Plan mensual'!K17,0))+parametros_manuales!$E$21*('Plan mensual'!K14+IF(parametros_manuales!$H$21="Todos",'Plan mensual'!K18,0))+parametros_manuales!$F$21*('Plan mensual'!K15+IF(parametros_manuales!$H$21="Todos",'Plan mensual'!K19,0))+parametros_manuales!$G$21*('Plan mensual'!K16+IF(parametros_manuales!$H$21="Todos",'Plan mensual'!K20,0)))*parametros_manuales!$I$21*parametros_manuales!$J$21</f>
        <v>840.895</v>
      </c>
      <c r="J32" s="8">
        <f>(parametros_manuales!$D$21*('Plan mensual'!L13+IF(parametros_manuales!$H$21="Todos",'Plan mensual'!L17,0))+parametros_manuales!$E$21*('Plan mensual'!L14+IF(parametros_manuales!$H$21="Todos",'Plan mensual'!L18,0))+parametros_manuales!$F$21*('Plan mensual'!L15+IF(parametros_manuales!$H$21="Todos",'Plan mensual'!L19,0))+parametros_manuales!$G$21*('Plan mensual'!L16+IF(parametros_manuales!$H$21="Todos",'Plan mensual'!L20,0)))*parametros_manuales!$I$21*parametros_manuales!$J$21</f>
        <v>840.895</v>
      </c>
      <c r="K32" s="8">
        <f>(parametros_manuales!$D$21*('Plan mensual'!M13+IF(parametros_manuales!$H$21="Todos",'Plan mensual'!M17,0))+parametros_manuales!$E$21*('Plan mensual'!M14+IF(parametros_manuales!$H$21="Todos",'Plan mensual'!M18,0))+parametros_manuales!$F$21*('Plan mensual'!M15+IF(parametros_manuales!$H$21="Todos",'Plan mensual'!M19,0))+parametros_manuales!$G$21*('Plan mensual'!M16+IF(parametros_manuales!$H$21="Todos",'Plan mensual'!M20,0)))*parametros_manuales!$I$21*parametros_manuales!$J$21</f>
        <v>816.45</v>
      </c>
      <c r="L32" s="8">
        <f>(parametros_manuales!$D$21*('Plan mensual'!N13+IF(parametros_manuales!$H$21="Todos",'Plan mensual'!N17,0))+parametros_manuales!$E$21*('Plan mensual'!N14+IF(parametros_manuales!$H$21="Todos",'Plan mensual'!N18,0))+parametros_manuales!$F$21*('Plan mensual'!N15+IF(parametros_manuales!$H$21="Todos",'Plan mensual'!N19,0))+parametros_manuales!$G$21*('Plan mensual'!N16+IF(parametros_manuales!$H$21="Todos",'Plan mensual'!N20,0)))*parametros_manuales!$I$21*parametros_manuales!$J$21</f>
        <v>792.005</v>
      </c>
      <c r="M32" s="8">
        <f>(parametros_manuales!$D$21*('Plan mensual'!O13+IF(parametros_manuales!$H$21="Todos",'Plan mensual'!O17,0))+parametros_manuales!$E$21*('Plan mensual'!O14+IF(parametros_manuales!$H$21="Todos",'Plan mensual'!O18,0))+parametros_manuales!$F$21*('Plan mensual'!O15+IF(parametros_manuales!$H$21="Todos",'Plan mensual'!O19,0))+parametros_manuales!$G$21*('Plan mensual'!O16+IF(parametros_manuales!$H$21="Todos",'Plan mensual'!O20,0)))*parametros_manuales!$I$21*parametros_manuales!$J$21</f>
        <v>1257.43</v>
      </c>
      <c r="N32" s="8">
        <f t="shared" si="4"/>
        <v>10886</v>
      </c>
      <c r="O32" s="8">
        <f t="shared" si="5"/>
        <v>1257.43</v>
      </c>
      <c r="P32" s="27">
        <f>O32/(parametros_manuales!$B$7)</f>
        <v>8.382866667</v>
      </c>
      <c r="Q32" s="4" t="str">
        <f t="shared" si="6"/>
        <v>Dic</v>
      </c>
    </row>
    <row r="33" ht="14.25" customHeight="1">
      <c r="A33" s="4" t="str">
        <f>parametros_manuales!$B$22</f>
        <v>Corte de disco y embutido (cúpula y fondo)</v>
      </c>
      <c r="B33" s="8">
        <f>(parametros_manuales!$D$22*('Plan mensual'!D13+IF(parametros_manuales!$H$22="Todos",'Plan mensual'!D17,0))+parametros_manuales!$E$22*('Plan mensual'!D14+IF(parametros_manuales!$H$22="Todos",'Plan mensual'!D18,0))+parametros_manuales!$F$22*('Plan mensual'!D15+IF(parametros_manuales!$H$22="Todos",'Plan mensual'!D19,0))+parametros_manuales!$G$22*('Plan mensual'!D16+IF(parametros_manuales!$H$22="Todos",'Plan mensual'!D20,0)))*parametros_manuales!$I$22*parametros_manuales!$J$22</f>
        <v>2417.08</v>
      </c>
      <c r="C33" s="8">
        <f>(parametros_manuales!$D$22*('Plan mensual'!E13+IF(parametros_manuales!$H$22="Todos",'Plan mensual'!E17,0))+parametros_manuales!$E$22*('Plan mensual'!E14+IF(parametros_manuales!$H$22="Todos",'Plan mensual'!E18,0))+parametros_manuales!$F$22*('Plan mensual'!E15+IF(parametros_manuales!$H$22="Todos",'Plan mensual'!E19,0))+parametros_manuales!$G$22*('Plan mensual'!E16+IF(parametros_manuales!$H$22="Todos",'Plan mensual'!E20,0)))*parametros_manuales!$I$22*parametros_manuales!$J$22</f>
        <v>1861.7</v>
      </c>
      <c r="D33" s="8">
        <f>(parametros_manuales!$D$22*('Plan mensual'!F13+IF(parametros_manuales!$H$22="Todos",'Plan mensual'!F17,0))+parametros_manuales!$E$22*('Plan mensual'!F14+IF(parametros_manuales!$H$22="Todos",'Plan mensual'!F18,0))+parametros_manuales!$F$22*('Plan mensual'!F15+IF(parametros_manuales!$H$22="Todos",'Plan mensual'!F19,0))+parametros_manuales!$G$22*('Plan mensual'!F16+IF(parametros_manuales!$H$22="Todos",'Plan mensual'!F20,0)))*parametros_manuales!$I$22*parametros_manuales!$J$22</f>
        <v>1790.65</v>
      </c>
      <c r="E33" s="8">
        <f>(parametros_manuales!$D$22*('Plan mensual'!G13+IF(parametros_manuales!$H$22="Todos",'Plan mensual'!G17,0))+parametros_manuales!$E$22*('Plan mensual'!G14+IF(parametros_manuales!$H$22="Todos",'Plan mensual'!G18,0))+parametros_manuales!$F$22*('Plan mensual'!G15+IF(parametros_manuales!$H$22="Todos",'Plan mensual'!G19,0))+parametros_manuales!$G$22*('Plan mensual'!G16+IF(parametros_manuales!$H$22="Todos",'Plan mensual'!G20,0)))*parametros_manuales!$I$22*parametros_manuales!$J$22</f>
        <v>1730.68</v>
      </c>
      <c r="F33" s="8">
        <f>(parametros_manuales!$D$22*('Plan mensual'!H13+IF(parametros_manuales!$H$22="Todos",'Plan mensual'!H17,0))+parametros_manuales!$E$22*('Plan mensual'!H14+IF(parametros_manuales!$H$22="Todos",'Plan mensual'!H18,0))+parametros_manuales!$F$22*('Plan mensual'!H15+IF(parametros_manuales!$H$22="Todos",'Plan mensual'!H19,0))+parametros_manuales!$G$22*('Plan mensual'!H16+IF(parametros_manuales!$H$22="Todos",'Plan mensual'!H20,0)))*parametros_manuales!$I$22*parametros_manuales!$J$22</f>
        <v>1621.82</v>
      </c>
      <c r="G33" s="8">
        <f>(parametros_manuales!$D$22*('Plan mensual'!I13+IF(parametros_manuales!$H$22="Todos",'Plan mensual'!I17,0))+parametros_manuales!$E$22*('Plan mensual'!I14+IF(parametros_manuales!$H$22="Todos",'Plan mensual'!I18,0))+parametros_manuales!$F$22*('Plan mensual'!I15+IF(parametros_manuales!$H$22="Todos",'Plan mensual'!I19,0))+parametros_manuales!$G$22*('Plan mensual'!I16+IF(parametros_manuales!$H$22="Todos",'Plan mensual'!I20,0)))*parametros_manuales!$I$22*parametros_manuales!$J$22</f>
        <v>1572.93</v>
      </c>
      <c r="H33" s="8">
        <f>(parametros_manuales!$D$22*('Plan mensual'!J13+IF(parametros_manuales!$H$22="Todos",'Plan mensual'!J17,0))+parametros_manuales!$E$22*('Plan mensual'!J14+IF(parametros_manuales!$H$22="Todos",'Plan mensual'!J18,0))+parametros_manuales!$F$22*('Plan mensual'!J15+IF(parametros_manuales!$H$22="Todos",'Plan mensual'!J19,0))+parametros_manuales!$G$22*('Plan mensual'!J16+IF(parametros_manuales!$H$22="Todos",'Plan mensual'!J20,0)))*parametros_manuales!$I$22*parametros_manuales!$J$22</f>
        <v>1681.79</v>
      </c>
      <c r="I33" s="8">
        <f>(parametros_manuales!$D$22*('Plan mensual'!K13+IF(parametros_manuales!$H$22="Todos",'Plan mensual'!K17,0))+parametros_manuales!$E$22*('Plan mensual'!K14+IF(parametros_manuales!$H$22="Todos",'Plan mensual'!K18,0))+parametros_manuales!$F$22*('Plan mensual'!K15+IF(parametros_manuales!$H$22="Todos",'Plan mensual'!K19,0))+parametros_manuales!$G$22*('Plan mensual'!K16+IF(parametros_manuales!$H$22="Todos",'Plan mensual'!K20,0)))*parametros_manuales!$I$22*parametros_manuales!$J$22</f>
        <v>1681.79</v>
      </c>
      <c r="J33" s="8">
        <f>(parametros_manuales!$D$22*('Plan mensual'!L13+IF(parametros_manuales!$H$22="Todos",'Plan mensual'!L17,0))+parametros_manuales!$E$22*('Plan mensual'!L14+IF(parametros_manuales!$H$22="Todos",'Plan mensual'!L18,0))+parametros_manuales!$F$22*('Plan mensual'!L15+IF(parametros_manuales!$H$22="Todos",'Plan mensual'!L19,0))+parametros_manuales!$G$22*('Plan mensual'!L16+IF(parametros_manuales!$H$22="Todos",'Plan mensual'!L20,0)))*parametros_manuales!$I$22*parametros_manuales!$J$22</f>
        <v>1681.79</v>
      </c>
      <c r="K33" s="8">
        <f>(parametros_manuales!$D$22*('Plan mensual'!M13+IF(parametros_manuales!$H$22="Todos",'Plan mensual'!M17,0))+parametros_manuales!$E$22*('Plan mensual'!M14+IF(parametros_manuales!$H$22="Todos",'Plan mensual'!M18,0))+parametros_manuales!$F$22*('Plan mensual'!M15+IF(parametros_manuales!$H$22="Todos",'Plan mensual'!M19,0))+parametros_manuales!$G$22*('Plan mensual'!M16+IF(parametros_manuales!$H$22="Todos",'Plan mensual'!M20,0)))*parametros_manuales!$I$22*parametros_manuales!$J$22</f>
        <v>1632.9</v>
      </c>
      <c r="L33" s="8">
        <f>(parametros_manuales!$D$22*('Plan mensual'!N13+IF(parametros_manuales!$H$22="Todos",'Plan mensual'!N17,0))+parametros_manuales!$E$22*('Plan mensual'!N14+IF(parametros_manuales!$H$22="Todos",'Plan mensual'!N18,0))+parametros_manuales!$F$22*('Plan mensual'!N15+IF(parametros_manuales!$H$22="Todos",'Plan mensual'!N19,0))+parametros_manuales!$G$22*('Plan mensual'!N16+IF(parametros_manuales!$H$22="Todos",'Plan mensual'!N20,0)))*parametros_manuales!$I$22*parametros_manuales!$J$22</f>
        <v>1584.01</v>
      </c>
      <c r="M33" s="8">
        <f>(parametros_manuales!$D$22*('Plan mensual'!O13+IF(parametros_manuales!$H$22="Todos",'Plan mensual'!O17,0))+parametros_manuales!$E$22*('Plan mensual'!O14+IF(parametros_manuales!$H$22="Todos",'Plan mensual'!O18,0))+parametros_manuales!$F$22*('Plan mensual'!O15+IF(parametros_manuales!$H$22="Todos",'Plan mensual'!O19,0))+parametros_manuales!$G$22*('Plan mensual'!O16+IF(parametros_manuales!$H$22="Todos",'Plan mensual'!O20,0)))*parametros_manuales!$I$22*parametros_manuales!$J$22</f>
        <v>2514.86</v>
      </c>
      <c r="N33" s="8">
        <f t="shared" si="4"/>
        <v>21772</v>
      </c>
      <c r="O33" s="8">
        <f t="shared" si="5"/>
        <v>2514.86</v>
      </c>
      <c r="P33" s="27">
        <f>O33/(parametros_manuales!$B$7)</f>
        <v>16.76573333</v>
      </c>
      <c r="Q33" s="4" t="str">
        <f t="shared" si="6"/>
        <v>Dic</v>
      </c>
    </row>
    <row r="34" ht="14.25" customHeight="1">
      <c r="A34" s="4" t="str">
        <f>parametros_manuales!$B$23</f>
        <v>Preparación de cuello</v>
      </c>
      <c r="B34" s="8">
        <f>(parametros_manuales!$D$23*('Plan mensual'!D13+IF(parametros_manuales!$H$23="Todos",'Plan mensual'!D17,0))+parametros_manuales!$E$23*('Plan mensual'!D14+IF(parametros_manuales!$H$23="Todos",'Plan mensual'!D18,0))+parametros_manuales!$F$23*('Plan mensual'!D15+IF(parametros_manuales!$H$23="Todos",'Plan mensual'!D19,0))+parametros_manuales!$G$23*('Plan mensual'!D16+IF(parametros_manuales!$H$23="Todos",'Plan mensual'!D20,0)))*parametros_manuales!$I$23*parametros_manuales!$J$23</f>
        <v>1208.54</v>
      </c>
      <c r="C34" s="8">
        <f>(parametros_manuales!$D$23*('Plan mensual'!E13+IF(parametros_manuales!$H$23="Todos",'Plan mensual'!E17,0))+parametros_manuales!$E$23*('Plan mensual'!E14+IF(parametros_manuales!$H$23="Todos",'Plan mensual'!E18,0))+parametros_manuales!$F$23*('Plan mensual'!E15+IF(parametros_manuales!$H$23="Todos",'Plan mensual'!E19,0))+parametros_manuales!$G$23*('Plan mensual'!E16+IF(parametros_manuales!$H$23="Todos",'Plan mensual'!E20,0)))*parametros_manuales!$I$23*parametros_manuales!$J$23</f>
        <v>930.85</v>
      </c>
      <c r="D34" s="8">
        <f>(parametros_manuales!$D$23*('Plan mensual'!F13+IF(parametros_manuales!$H$23="Todos",'Plan mensual'!F17,0))+parametros_manuales!$E$23*('Plan mensual'!F14+IF(parametros_manuales!$H$23="Todos",'Plan mensual'!F18,0))+parametros_manuales!$F$23*('Plan mensual'!F15+IF(parametros_manuales!$H$23="Todos",'Plan mensual'!F19,0))+parametros_manuales!$G$23*('Plan mensual'!F16+IF(parametros_manuales!$H$23="Todos",'Plan mensual'!F20,0)))*parametros_manuales!$I$23*parametros_manuales!$J$23</f>
        <v>895.325</v>
      </c>
      <c r="E34" s="8">
        <f>(parametros_manuales!$D$23*('Plan mensual'!G13+IF(parametros_manuales!$H$23="Todos",'Plan mensual'!G17,0))+parametros_manuales!$E$23*('Plan mensual'!G14+IF(parametros_manuales!$H$23="Todos",'Plan mensual'!G18,0))+parametros_manuales!$F$23*('Plan mensual'!G15+IF(parametros_manuales!$H$23="Todos",'Plan mensual'!G19,0))+parametros_manuales!$G$23*('Plan mensual'!G16+IF(parametros_manuales!$H$23="Todos",'Plan mensual'!G20,0)))*parametros_manuales!$I$23*parametros_manuales!$J$23</f>
        <v>865.34</v>
      </c>
      <c r="F34" s="8">
        <f>(parametros_manuales!$D$23*('Plan mensual'!H13+IF(parametros_manuales!$H$23="Todos",'Plan mensual'!H17,0))+parametros_manuales!$E$23*('Plan mensual'!H14+IF(parametros_manuales!$H$23="Todos",'Plan mensual'!H18,0))+parametros_manuales!$F$23*('Plan mensual'!H15+IF(parametros_manuales!$H$23="Todos",'Plan mensual'!H19,0))+parametros_manuales!$G$23*('Plan mensual'!H16+IF(parametros_manuales!$H$23="Todos",'Plan mensual'!H20,0)))*parametros_manuales!$I$23*parametros_manuales!$J$23</f>
        <v>810.91</v>
      </c>
      <c r="G34" s="8">
        <f>(parametros_manuales!$D$23*('Plan mensual'!I13+IF(parametros_manuales!$H$23="Todos",'Plan mensual'!I17,0))+parametros_manuales!$E$23*('Plan mensual'!I14+IF(parametros_manuales!$H$23="Todos",'Plan mensual'!I18,0))+parametros_manuales!$F$23*('Plan mensual'!I15+IF(parametros_manuales!$H$23="Todos",'Plan mensual'!I19,0))+parametros_manuales!$G$23*('Plan mensual'!I16+IF(parametros_manuales!$H$23="Todos",'Plan mensual'!I20,0)))*parametros_manuales!$I$23*parametros_manuales!$J$23</f>
        <v>786.465</v>
      </c>
      <c r="H34" s="8">
        <f>(parametros_manuales!$D$23*('Plan mensual'!J13+IF(parametros_manuales!$H$23="Todos",'Plan mensual'!J17,0))+parametros_manuales!$E$23*('Plan mensual'!J14+IF(parametros_manuales!$H$23="Todos",'Plan mensual'!J18,0))+parametros_manuales!$F$23*('Plan mensual'!J15+IF(parametros_manuales!$H$23="Todos",'Plan mensual'!J19,0))+parametros_manuales!$G$23*('Plan mensual'!J16+IF(parametros_manuales!$H$23="Todos",'Plan mensual'!J20,0)))*parametros_manuales!$I$23*parametros_manuales!$J$23</f>
        <v>840.895</v>
      </c>
      <c r="I34" s="8">
        <f>(parametros_manuales!$D$23*('Plan mensual'!K13+IF(parametros_manuales!$H$23="Todos",'Plan mensual'!K17,0))+parametros_manuales!$E$23*('Plan mensual'!K14+IF(parametros_manuales!$H$23="Todos",'Plan mensual'!K18,0))+parametros_manuales!$F$23*('Plan mensual'!K15+IF(parametros_manuales!$H$23="Todos",'Plan mensual'!K19,0))+parametros_manuales!$G$23*('Plan mensual'!K16+IF(parametros_manuales!$H$23="Todos",'Plan mensual'!K20,0)))*parametros_manuales!$I$23*parametros_manuales!$J$23</f>
        <v>840.895</v>
      </c>
      <c r="J34" s="8">
        <f>(parametros_manuales!$D$23*('Plan mensual'!L13+IF(parametros_manuales!$H$23="Todos",'Plan mensual'!L17,0))+parametros_manuales!$E$23*('Plan mensual'!L14+IF(parametros_manuales!$H$23="Todos",'Plan mensual'!L18,0))+parametros_manuales!$F$23*('Plan mensual'!L15+IF(parametros_manuales!$H$23="Todos",'Plan mensual'!L19,0))+parametros_manuales!$G$23*('Plan mensual'!L16+IF(parametros_manuales!$H$23="Todos",'Plan mensual'!L20,0)))*parametros_manuales!$I$23*parametros_manuales!$J$23</f>
        <v>840.895</v>
      </c>
      <c r="K34" s="8">
        <f>(parametros_manuales!$D$23*('Plan mensual'!M13+IF(parametros_manuales!$H$23="Todos",'Plan mensual'!M17,0))+parametros_manuales!$E$23*('Plan mensual'!M14+IF(parametros_manuales!$H$23="Todos",'Plan mensual'!M18,0))+parametros_manuales!$F$23*('Plan mensual'!M15+IF(parametros_manuales!$H$23="Todos",'Plan mensual'!M19,0))+parametros_manuales!$G$23*('Plan mensual'!M16+IF(parametros_manuales!$H$23="Todos",'Plan mensual'!M20,0)))*parametros_manuales!$I$23*parametros_manuales!$J$23</f>
        <v>816.45</v>
      </c>
      <c r="L34" s="8">
        <f>(parametros_manuales!$D$23*('Plan mensual'!N13+IF(parametros_manuales!$H$23="Todos",'Plan mensual'!N17,0))+parametros_manuales!$E$23*('Plan mensual'!N14+IF(parametros_manuales!$H$23="Todos",'Plan mensual'!N18,0))+parametros_manuales!$F$23*('Plan mensual'!N15+IF(parametros_manuales!$H$23="Todos",'Plan mensual'!N19,0))+parametros_manuales!$G$23*('Plan mensual'!N16+IF(parametros_manuales!$H$23="Todos",'Plan mensual'!N20,0)))*parametros_manuales!$I$23*parametros_manuales!$J$23</f>
        <v>792.005</v>
      </c>
      <c r="M34" s="8">
        <f>(parametros_manuales!$D$23*('Plan mensual'!O13+IF(parametros_manuales!$H$23="Todos",'Plan mensual'!O17,0))+parametros_manuales!$E$23*('Plan mensual'!O14+IF(parametros_manuales!$H$23="Todos",'Plan mensual'!O18,0))+parametros_manuales!$F$23*('Plan mensual'!O15+IF(parametros_manuales!$H$23="Todos",'Plan mensual'!O19,0))+parametros_manuales!$G$23*('Plan mensual'!O16+IF(parametros_manuales!$H$23="Todos",'Plan mensual'!O20,0)))*parametros_manuales!$I$23*parametros_manuales!$J$23</f>
        <v>1257.43</v>
      </c>
      <c r="N34" s="8">
        <f t="shared" si="4"/>
        <v>10886</v>
      </c>
      <c r="O34" s="8">
        <f t="shared" si="5"/>
        <v>1257.43</v>
      </c>
      <c r="P34" s="27">
        <f>O34/(parametros_manuales!$B$7)</f>
        <v>8.382866667</v>
      </c>
      <c r="Q34" s="4" t="str">
        <f t="shared" si="6"/>
        <v>Dic</v>
      </c>
    </row>
    <row r="35" ht="14.25" customHeight="1">
      <c r="A35" s="4" t="str">
        <f>parametros_manuales!$B$24</f>
        <v>Numerado de cúpula</v>
      </c>
      <c r="B35" s="8">
        <f>(parametros_manuales!$D$24*('Plan mensual'!D13+IF(parametros_manuales!$H$24="Todos",'Plan mensual'!D17,0))+parametros_manuales!$E$24*('Plan mensual'!D14+IF(parametros_manuales!$H$24="Todos",'Plan mensual'!D18,0))+parametros_manuales!$F$24*('Plan mensual'!D15+IF(parametros_manuales!$H$24="Todos",'Plan mensual'!D19,0))+parametros_manuales!$G$24*('Plan mensual'!D16+IF(parametros_manuales!$H$24="Todos",'Plan mensual'!D20,0)))*parametros_manuales!$I$24*parametros_manuales!$J$24</f>
        <v>1208.54</v>
      </c>
      <c r="C35" s="8">
        <f>(parametros_manuales!$D$24*('Plan mensual'!E13+IF(parametros_manuales!$H$24="Todos",'Plan mensual'!E17,0))+parametros_manuales!$E$24*('Plan mensual'!E14+IF(parametros_manuales!$H$24="Todos",'Plan mensual'!E18,0))+parametros_manuales!$F$24*('Plan mensual'!E15+IF(parametros_manuales!$H$24="Todos",'Plan mensual'!E19,0))+parametros_manuales!$G$24*('Plan mensual'!E16+IF(parametros_manuales!$H$24="Todos",'Plan mensual'!E20,0)))*parametros_manuales!$I$24*parametros_manuales!$J$24</f>
        <v>930.85</v>
      </c>
      <c r="D35" s="8">
        <f>(parametros_manuales!$D$24*('Plan mensual'!F13+IF(parametros_manuales!$H$24="Todos",'Plan mensual'!F17,0))+parametros_manuales!$E$24*('Plan mensual'!F14+IF(parametros_manuales!$H$24="Todos",'Plan mensual'!F18,0))+parametros_manuales!$F$24*('Plan mensual'!F15+IF(parametros_manuales!$H$24="Todos",'Plan mensual'!F19,0))+parametros_manuales!$G$24*('Plan mensual'!F16+IF(parametros_manuales!$H$24="Todos",'Plan mensual'!F20,0)))*parametros_manuales!$I$24*parametros_manuales!$J$24</f>
        <v>895.325</v>
      </c>
      <c r="E35" s="8">
        <f>(parametros_manuales!$D$24*('Plan mensual'!G13+IF(parametros_manuales!$H$24="Todos",'Plan mensual'!G17,0))+parametros_manuales!$E$24*('Plan mensual'!G14+IF(parametros_manuales!$H$24="Todos",'Plan mensual'!G18,0))+parametros_manuales!$F$24*('Plan mensual'!G15+IF(parametros_manuales!$H$24="Todos",'Plan mensual'!G19,0))+parametros_manuales!$G$24*('Plan mensual'!G16+IF(parametros_manuales!$H$24="Todos",'Plan mensual'!G20,0)))*parametros_manuales!$I$24*parametros_manuales!$J$24</f>
        <v>865.34</v>
      </c>
      <c r="F35" s="8">
        <f>(parametros_manuales!$D$24*('Plan mensual'!H13+IF(parametros_manuales!$H$24="Todos",'Plan mensual'!H17,0))+parametros_manuales!$E$24*('Plan mensual'!H14+IF(parametros_manuales!$H$24="Todos",'Plan mensual'!H18,0))+parametros_manuales!$F$24*('Plan mensual'!H15+IF(parametros_manuales!$H$24="Todos",'Plan mensual'!H19,0))+parametros_manuales!$G$24*('Plan mensual'!H16+IF(parametros_manuales!$H$24="Todos",'Plan mensual'!H20,0)))*parametros_manuales!$I$24*parametros_manuales!$J$24</f>
        <v>810.91</v>
      </c>
      <c r="G35" s="8">
        <f>(parametros_manuales!$D$24*('Plan mensual'!I13+IF(parametros_manuales!$H$24="Todos",'Plan mensual'!I17,0))+parametros_manuales!$E$24*('Plan mensual'!I14+IF(parametros_manuales!$H$24="Todos",'Plan mensual'!I18,0))+parametros_manuales!$F$24*('Plan mensual'!I15+IF(parametros_manuales!$H$24="Todos",'Plan mensual'!I19,0))+parametros_manuales!$G$24*('Plan mensual'!I16+IF(parametros_manuales!$H$24="Todos",'Plan mensual'!I20,0)))*parametros_manuales!$I$24*parametros_manuales!$J$24</f>
        <v>786.465</v>
      </c>
      <c r="H35" s="8">
        <f>(parametros_manuales!$D$24*('Plan mensual'!J13+IF(parametros_manuales!$H$24="Todos",'Plan mensual'!J17,0))+parametros_manuales!$E$24*('Plan mensual'!J14+IF(parametros_manuales!$H$24="Todos",'Plan mensual'!J18,0))+parametros_manuales!$F$24*('Plan mensual'!J15+IF(parametros_manuales!$H$24="Todos",'Plan mensual'!J19,0))+parametros_manuales!$G$24*('Plan mensual'!J16+IF(parametros_manuales!$H$24="Todos",'Plan mensual'!J20,0)))*parametros_manuales!$I$24*parametros_manuales!$J$24</f>
        <v>840.895</v>
      </c>
      <c r="I35" s="8">
        <f>(parametros_manuales!$D$24*('Plan mensual'!K13+IF(parametros_manuales!$H$24="Todos",'Plan mensual'!K17,0))+parametros_manuales!$E$24*('Plan mensual'!K14+IF(parametros_manuales!$H$24="Todos",'Plan mensual'!K18,0))+parametros_manuales!$F$24*('Plan mensual'!K15+IF(parametros_manuales!$H$24="Todos",'Plan mensual'!K19,0))+parametros_manuales!$G$24*('Plan mensual'!K16+IF(parametros_manuales!$H$24="Todos",'Plan mensual'!K20,0)))*parametros_manuales!$I$24*parametros_manuales!$J$24</f>
        <v>840.895</v>
      </c>
      <c r="J35" s="8">
        <f>(parametros_manuales!$D$24*('Plan mensual'!L13+IF(parametros_manuales!$H$24="Todos",'Plan mensual'!L17,0))+parametros_manuales!$E$24*('Plan mensual'!L14+IF(parametros_manuales!$H$24="Todos",'Plan mensual'!L18,0))+parametros_manuales!$F$24*('Plan mensual'!L15+IF(parametros_manuales!$H$24="Todos",'Plan mensual'!L19,0))+parametros_manuales!$G$24*('Plan mensual'!L16+IF(parametros_manuales!$H$24="Todos",'Plan mensual'!L20,0)))*parametros_manuales!$I$24*parametros_manuales!$J$24</f>
        <v>840.895</v>
      </c>
      <c r="K35" s="8">
        <f>(parametros_manuales!$D$24*('Plan mensual'!M13+IF(parametros_manuales!$H$24="Todos",'Plan mensual'!M17,0))+parametros_manuales!$E$24*('Plan mensual'!M14+IF(parametros_manuales!$H$24="Todos",'Plan mensual'!M18,0))+parametros_manuales!$F$24*('Plan mensual'!M15+IF(parametros_manuales!$H$24="Todos",'Plan mensual'!M19,0))+parametros_manuales!$G$24*('Plan mensual'!M16+IF(parametros_manuales!$H$24="Todos",'Plan mensual'!M20,0)))*parametros_manuales!$I$24*parametros_manuales!$J$24</f>
        <v>816.45</v>
      </c>
      <c r="L35" s="8">
        <f>(parametros_manuales!$D$24*('Plan mensual'!N13+IF(parametros_manuales!$H$24="Todos",'Plan mensual'!N17,0))+parametros_manuales!$E$24*('Plan mensual'!N14+IF(parametros_manuales!$H$24="Todos",'Plan mensual'!N18,0))+parametros_manuales!$F$24*('Plan mensual'!N15+IF(parametros_manuales!$H$24="Todos",'Plan mensual'!N19,0))+parametros_manuales!$G$24*('Plan mensual'!N16+IF(parametros_manuales!$H$24="Todos",'Plan mensual'!N20,0)))*parametros_manuales!$I$24*parametros_manuales!$J$24</f>
        <v>792.005</v>
      </c>
      <c r="M35" s="8">
        <f>(parametros_manuales!$D$24*('Plan mensual'!O13+IF(parametros_manuales!$H$24="Todos",'Plan mensual'!O17,0))+parametros_manuales!$E$24*('Plan mensual'!O14+IF(parametros_manuales!$H$24="Todos",'Plan mensual'!O18,0))+parametros_manuales!$F$24*('Plan mensual'!O15+IF(parametros_manuales!$H$24="Todos",'Plan mensual'!O19,0))+parametros_manuales!$G$24*('Plan mensual'!O16+IF(parametros_manuales!$H$24="Todos",'Plan mensual'!O20,0)))*parametros_manuales!$I$24*parametros_manuales!$J$24</f>
        <v>1257.43</v>
      </c>
      <c r="N35" s="8">
        <f t="shared" si="4"/>
        <v>10886</v>
      </c>
      <c r="O35" s="8">
        <f t="shared" si="5"/>
        <v>1257.43</v>
      </c>
      <c r="P35" s="27">
        <f>O35/(parametros_manuales!$B$7)</f>
        <v>8.382866667</v>
      </c>
      <c r="Q35" s="4" t="str">
        <f t="shared" si="6"/>
        <v>Dic</v>
      </c>
    </row>
    <row r="36" ht="14.25" customHeight="1">
      <c r="A36" s="4" t="str">
        <f>parametros_manuales!$B$25</f>
        <v>Soldadura del cuello a la cúpula</v>
      </c>
      <c r="B36" s="8">
        <f>(parametros_manuales!$D$25*('Plan mensual'!D13+IF(parametros_manuales!$H$25="Todos",'Plan mensual'!D17,0))+parametros_manuales!$E$25*('Plan mensual'!D14+IF(parametros_manuales!$H$25="Todos",'Plan mensual'!D18,0))+parametros_manuales!$F$25*('Plan mensual'!D15+IF(parametros_manuales!$H$25="Todos",'Plan mensual'!D19,0))+parametros_manuales!$G$25*('Plan mensual'!D16+IF(parametros_manuales!$H$25="Todos",'Plan mensual'!D20,0)))*parametros_manuales!$I$25*parametros_manuales!$J$25</f>
        <v>1208.54</v>
      </c>
      <c r="C36" s="8">
        <f>(parametros_manuales!$D$25*('Plan mensual'!E13+IF(parametros_manuales!$H$25="Todos",'Plan mensual'!E17,0))+parametros_manuales!$E$25*('Plan mensual'!E14+IF(parametros_manuales!$H$25="Todos",'Plan mensual'!E18,0))+parametros_manuales!$F$25*('Plan mensual'!E15+IF(parametros_manuales!$H$25="Todos",'Plan mensual'!E19,0))+parametros_manuales!$G$25*('Plan mensual'!E16+IF(parametros_manuales!$H$25="Todos",'Plan mensual'!E20,0)))*parametros_manuales!$I$25*parametros_manuales!$J$25</f>
        <v>930.85</v>
      </c>
      <c r="D36" s="8">
        <f>(parametros_manuales!$D$25*('Plan mensual'!F13+IF(parametros_manuales!$H$25="Todos",'Plan mensual'!F17,0))+parametros_manuales!$E$25*('Plan mensual'!F14+IF(parametros_manuales!$H$25="Todos",'Plan mensual'!F18,0))+parametros_manuales!$F$25*('Plan mensual'!F15+IF(parametros_manuales!$H$25="Todos",'Plan mensual'!F19,0))+parametros_manuales!$G$25*('Plan mensual'!F16+IF(parametros_manuales!$H$25="Todos",'Plan mensual'!F20,0)))*parametros_manuales!$I$25*parametros_manuales!$J$25</f>
        <v>895.325</v>
      </c>
      <c r="E36" s="8">
        <f>(parametros_manuales!$D$25*('Plan mensual'!G13+IF(parametros_manuales!$H$25="Todos",'Plan mensual'!G17,0))+parametros_manuales!$E$25*('Plan mensual'!G14+IF(parametros_manuales!$H$25="Todos",'Plan mensual'!G18,0))+parametros_manuales!$F$25*('Plan mensual'!G15+IF(parametros_manuales!$H$25="Todos",'Plan mensual'!G19,0))+parametros_manuales!$G$25*('Plan mensual'!G16+IF(parametros_manuales!$H$25="Todos",'Plan mensual'!G20,0)))*parametros_manuales!$I$25*parametros_manuales!$J$25</f>
        <v>865.34</v>
      </c>
      <c r="F36" s="8">
        <f>(parametros_manuales!$D$25*('Plan mensual'!H13+IF(parametros_manuales!$H$25="Todos",'Plan mensual'!H17,0))+parametros_manuales!$E$25*('Plan mensual'!H14+IF(parametros_manuales!$H$25="Todos",'Plan mensual'!H18,0))+parametros_manuales!$F$25*('Plan mensual'!H15+IF(parametros_manuales!$H$25="Todos",'Plan mensual'!H19,0))+parametros_manuales!$G$25*('Plan mensual'!H16+IF(parametros_manuales!$H$25="Todos",'Plan mensual'!H20,0)))*parametros_manuales!$I$25*parametros_manuales!$J$25</f>
        <v>810.91</v>
      </c>
      <c r="G36" s="8">
        <f>(parametros_manuales!$D$25*('Plan mensual'!I13+IF(parametros_manuales!$H$25="Todos",'Plan mensual'!I17,0))+parametros_manuales!$E$25*('Plan mensual'!I14+IF(parametros_manuales!$H$25="Todos",'Plan mensual'!I18,0))+parametros_manuales!$F$25*('Plan mensual'!I15+IF(parametros_manuales!$H$25="Todos",'Plan mensual'!I19,0))+parametros_manuales!$G$25*('Plan mensual'!I16+IF(parametros_manuales!$H$25="Todos",'Plan mensual'!I20,0)))*parametros_manuales!$I$25*parametros_manuales!$J$25</f>
        <v>786.465</v>
      </c>
      <c r="H36" s="8">
        <f>(parametros_manuales!$D$25*('Plan mensual'!J13+IF(parametros_manuales!$H$25="Todos",'Plan mensual'!J17,0))+parametros_manuales!$E$25*('Plan mensual'!J14+IF(parametros_manuales!$H$25="Todos",'Plan mensual'!J18,0))+parametros_manuales!$F$25*('Plan mensual'!J15+IF(parametros_manuales!$H$25="Todos",'Plan mensual'!J19,0))+parametros_manuales!$G$25*('Plan mensual'!J16+IF(parametros_manuales!$H$25="Todos",'Plan mensual'!J20,0)))*parametros_manuales!$I$25*parametros_manuales!$J$25</f>
        <v>840.895</v>
      </c>
      <c r="I36" s="8">
        <f>(parametros_manuales!$D$25*('Plan mensual'!K13+IF(parametros_manuales!$H$25="Todos",'Plan mensual'!K17,0))+parametros_manuales!$E$25*('Plan mensual'!K14+IF(parametros_manuales!$H$25="Todos",'Plan mensual'!K18,0))+parametros_manuales!$F$25*('Plan mensual'!K15+IF(parametros_manuales!$H$25="Todos",'Plan mensual'!K19,0))+parametros_manuales!$G$25*('Plan mensual'!K16+IF(parametros_manuales!$H$25="Todos",'Plan mensual'!K20,0)))*parametros_manuales!$I$25*parametros_manuales!$J$25</f>
        <v>840.895</v>
      </c>
      <c r="J36" s="8">
        <f>(parametros_manuales!$D$25*('Plan mensual'!L13+IF(parametros_manuales!$H$25="Todos",'Plan mensual'!L17,0))+parametros_manuales!$E$25*('Plan mensual'!L14+IF(parametros_manuales!$H$25="Todos",'Plan mensual'!L18,0))+parametros_manuales!$F$25*('Plan mensual'!L15+IF(parametros_manuales!$H$25="Todos",'Plan mensual'!L19,0))+parametros_manuales!$G$25*('Plan mensual'!L16+IF(parametros_manuales!$H$25="Todos",'Plan mensual'!L20,0)))*parametros_manuales!$I$25*parametros_manuales!$J$25</f>
        <v>840.895</v>
      </c>
      <c r="K36" s="8">
        <f>(parametros_manuales!$D$25*('Plan mensual'!M13+IF(parametros_manuales!$H$25="Todos",'Plan mensual'!M17,0))+parametros_manuales!$E$25*('Plan mensual'!M14+IF(parametros_manuales!$H$25="Todos",'Plan mensual'!M18,0))+parametros_manuales!$F$25*('Plan mensual'!M15+IF(parametros_manuales!$H$25="Todos",'Plan mensual'!M19,0))+parametros_manuales!$G$25*('Plan mensual'!M16+IF(parametros_manuales!$H$25="Todos",'Plan mensual'!M20,0)))*parametros_manuales!$I$25*parametros_manuales!$J$25</f>
        <v>816.45</v>
      </c>
      <c r="L36" s="8">
        <f>(parametros_manuales!$D$25*('Plan mensual'!N13+IF(parametros_manuales!$H$25="Todos",'Plan mensual'!N17,0))+parametros_manuales!$E$25*('Plan mensual'!N14+IF(parametros_manuales!$H$25="Todos",'Plan mensual'!N18,0))+parametros_manuales!$F$25*('Plan mensual'!N15+IF(parametros_manuales!$H$25="Todos",'Plan mensual'!N19,0))+parametros_manuales!$G$25*('Plan mensual'!N16+IF(parametros_manuales!$H$25="Todos",'Plan mensual'!N20,0)))*parametros_manuales!$I$25*parametros_manuales!$J$25</f>
        <v>792.005</v>
      </c>
      <c r="M36" s="8">
        <f>(parametros_manuales!$D$25*('Plan mensual'!O13+IF(parametros_manuales!$H$25="Todos",'Plan mensual'!O17,0))+parametros_manuales!$E$25*('Plan mensual'!O14+IF(parametros_manuales!$H$25="Todos",'Plan mensual'!O18,0))+parametros_manuales!$F$25*('Plan mensual'!O15+IF(parametros_manuales!$H$25="Todos",'Plan mensual'!O19,0))+parametros_manuales!$G$25*('Plan mensual'!O16+IF(parametros_manuales!$H$25="Todos",'Plan mensual'!O20,0)))*parametros_manuales!$I$25*parametros_manuales!$J$25</f>
        <v>1257.43</v>
      </c>
      <c r="N36" s="8">
        <f t="shared" si="4"/>
        <v>10886</v>
      </c>
      <c r="O36" s="8">
        <f t="shared" si="5"/>
        <v>1257.43</v>
      </c>
      <c r="P36" s="27">
        <f>O36/(parametros_manuales!$B$7)</f>
        <v>8.382866667</v>
      </c>
      <c r="Q36" s="4" t="str">
        <f t="shared" si="6"/>
        <v>Dic</v>
      </c>
    </row>
    <row r="37" ht="14.25" customHeight="1">
      <c r="A37" s="4" t="str">
        <f>parametros_manuales!$B$26</f>
        <v>Cilindrado</v>
      </c>
      <c r="B37" s="8">
        <f>(parametros_manuales!$D$26*('Plan mensual'!D13+IF(parametros_manuales!$H$26="Todos",'Plan mensual'!D17,0))+parametros_manuales!$E$26*('Plan mensual'!D14+IF(parametros_manuales!$H$26="Todos",'Plan mensual'!D18,0))+parametros_manuales!$F$26*('Plan mensual'!D15+IF(parametros_manuales!$H$26="Todos",'Plan mensual'!D19,0))+parametros_manuales!$G$26*('Plan mensual'!D16+IF(parametros_manuales!$H$26="Todos",'Plan mensual'!D20,0)))*parametros_manuales!$I$26*parametros_manuales!$J$26</f>
        <v>1208.54</v>
      </c>
      <c r="C37" s="8">
        <f>(parametros_manuales!$D$26*('Plan mensual'!E13+IF(parametros_manuales!$H$26="Todos",'Plan mensual'!E17,0))+parametros_manuales!$E$26*('Plan mensual'!E14+IF(parametros_manuales!$H$26="Todos",'Plan mensual'!E18,0))+parametros_manuales!$F$26*('Plan mensual'!E15+IF(parametros_manuales!$H$26="Todos",'Plan mensual'!E19,0))+parametros_manuales!$G$26*('Plan mensual'!E16+IF(parametros_manuales!$H$26="Todos",'Plan mensual'!E20,0)))*parametros_manuales!$I$26*parametros_manuales!$J$26</f>
        <v>930.85</v>
      </c>
      <c r="D37" s="8">
        <f>(parametros_manuales!$D$26*('Plan mensual'!F13+IF(parametros_manuales!$H$26="Todos",'Plan mensual'!F17,0))+parametros_manuales!$E$26*('Plan mensual'!F14+IF(parametros_manuales!$H$26="Todos",'Plan mensual'!F18,0))+parametros_manuales!$F$26*('Plan mensual'!F15+IF(parametros_manuales!$H$26="Todos",'Plan mensual'!F19,0))+parametros_manuales!$G$26*('Plan mensual'!F16+IF(parametros_manuales!$H$26="Todos",'Plan mensual'!F20,0)))*parametros_manuales!$I$26*parametros_manuales!$J$26</f>
        <v>895.325</v>
      </c>
      <c r="E37" s="8">
        <f>(parametros_manuales!$D$26*('Plan mensual'!G13+IF(parametros_manuales!$H$26="Todos",'Plan mensual'!G17,0))+parametros_manuales!$E$26*('Plan mensual'!G14+IF(parametros_manuales!$H$26="Todos",'Plan mensual'!G18,0))+parametros_manuales!$F$26*('Plan mensual'!G15+IF(parametros_manuales!$H$26="Todos",'Plan mensual'!G19,0))+parametros_manuales!$G$26*('Plan mensual'!G16+IF(parametros_manuales!$H$26="Todos",'Plan mensual'!G20,0)))*parametros_manuales!$I$26*parametros_manuales!$J$26</f>
        <v>865.34</v>
      </c>
      <c r="F37" s="8">
        <f>(parametros_manuales!$D$26*('Plan mensual'!H13+IF(parametros_manuales!$H$26="Todos",'Plan mensual'!H17,0))+parametros_manuales!$E$26*('Plan mensual'!H14+IF(parametros_manuales!$H$26="Todos",'Plan mensual'!H18,0))+parametros_manuales!$F$26*('Plan mensual'!H15+IF(parametros_manuales!$H$26="Todos",'Plan mensual'!H19,0))+parametros_manuales!$G$26*('Plan mensual'!H16+IF(parametros_manuales!$H$26="Todos",'Plan mensual'!H20,0)))*parametros_manuales!$I$26*parametros_manuales!$J$26</f>
        <v>810.91</v>
      </c>
      <c r="G37" s="8">
        <f>(parametros_manuales!$D$26*('Plan mensual'!I13+IF(parametros_manuales!$H$26="Todos",'Plan mensual'!I17,0))+parametros_manuales!$E$26*('Plan mensual'!I14+IF(parametros_manuales!$H$26="Todos",'Plan mensual'!I18,0))+parametros_manuales!$F$26*('Plan mensual'!I15+IF(parametros_manuales!$H$26="Todos",'Plan mensual'!I19,0))+parametros_manuales!$G$26*('Plan mensual'!I16+IF(parametros_manuales!$H$26="Todos",'Plan mensual'!I20,0)))*parametros_manuales!$I$26*parametros_manuales!$J$26</f>
        <v>786.465</v>
      </c>
      <c r="H37" s="8">
        <f>(parametros_manuales!$D$26*('Plan mensual'!J13+IF(parametros_manuales!$H$26="Todos",'Plan mensual'!J17,0))+parametros_manuales!$E$26*('Plan mensual'!J14+IF(parametros_manuales!$H$26="Todos",'Plan mensual'!J18,0))+parametros_manuales!$F$26*('Plan mensual'!J15+IF(parametros_manuales!$H$26="Todos",'Plan mensual'!J19,0))+parametros_manuales!$G$26*('Plan mensual'!J16+IF(parametros_manuales!$H$26="Todos",'Plan mensual'!J20,0)))*parametros_manuales!$I$26*parametros_manuales!$J$26</f>
        <v>840.895</v>
      </c>
      <c r="I37" s="8">
        <f>(parametros_manuales!$D$26*('Plan mensual'!K13+IF(parametros_manuales!$H$26="Todos",'Plan mensual'!K17,0))+parametros_manuales!$E$26*('Plan mensual'!K14+IF(parametros_manuales!$H$26="Todos",'Plan mensual'!K18,0))+parametros_manuales!$F$26*('Plan mensual'!K15+IF(parametros_manuales!$H$26="Todos",'Plan mensual'!K19,0))+parametros_manuales!$G$26*('Plan mensual'!K16+IF(parametros_manuales!$H$26="Todos",'Plan mensual'!K20,0)))*parametros_manuales!$I$26*parametros_manuales!$J$26</f>
        <v>840.895</v>
      </c>
      <c r="J37" s="8">
        <f>(parametros_manuales!$D$26*('Plan mensual'!L13+IF(parametros_manuales!$H$26="Todos",'Plan mensual'!L17,0))+parametros_manuales!$E$26*('Plan mensual'!L14+IF(parametros_manuales!$H$26="Todos",'Plan mensual'!L18,0))+parametros_manuales!$F$26*('Plan mensual'!L15+IF(parametros_manuales!$H$26="Todos",'Plan mensual'!L19,0))+parametros_manuales!$G$26*('Plan mensual'!L16+IF(parametros_manuales!$H$26="Todos",'Plan mensual'!L20,0)))*parametros_manuales!$I$26*parametros_manuales!$J$26</f>
        <v>840.895</v>
      </c>
      <c r="K37" s="8">
        <f>(parametros_manuales!$D$26*('Plan mensual'!M13+IF(parametros_manuales!$H$26="Todos",'Plan mensual'!M17,0))+parametros_manuales!$E$26*('Plan mensual'!M14+IF(parametros_manuales!$H$26="Todos",'Plan mensual'!M18,0))+parametros_manuales!$F$26*('Plan mensual'!M15+IF(parametros_manuales!$H$26="Todos",'Plan mensual'!M19,0))+parametros_manuales!$G$26*('Plan mensual'!M16+IF(parametros_manuales!$H$26="Todos",'Plan mensual'!M20,0)))*parametros_manuales!$I$26*parametros_manuales!$J$26</f>
        <v>816.45</v>
      </c>
      <c r="L37" s="8">
        <f>(parametros_manuales!$D$26*('Plan mensual'!N13+IF(parametros_manuales!$H$26="Todos",'Plan mensual'!N17,0))+parametros_manuales!$E$26*('Plan mensual'!N14+IF(parametros_manuales!$H$26="Todos",'Plan mensual'!N18,0))+parametros_manuales!$F$26*('Plan mensual'!N15+IF(parametros_manuales!$H$26="Todos",'Plan mensual'!N19,0))+parametros_manuales!$G$26*('Plan mensual'!N16+IF(parametros_manuales!$H$26="Todos",'Plan mensual'!N20,0)))*parametros_manuales!$I$26*parametros_manuales!$J$26</f>
        <v>792.005</v>
      </c>
      <c r="M37" s="8">
        <f>(parametros_manuales!$D$26*('Plan mensual'!O13+IF(parametros_manuales!$H$26="Todos",'Plan mensual'!O17,0))+parametros_manuales!$E$26*('Plan mensual'!O14+IF(parametros_manuales!$H$26="Todos",'Plan mensual'!O18,0))+parametros_manuales!$F$26*('Plan mensual'!O15+IF(parametros_manuales!$H$26="Todos",'Plan mensual'!O19,0))+parametros_manuales!$G$26*('Plan mensual'!O16+IF(parametros_manuales!$H$26="Todos",'Plan mensual'!O20,0)))*parametros_manuales!$I$26*parametros_manuales!$J$26</f>
        <v>1257.43</v>
      </c>
      <c r="N37" s="8">
        <f t="shared" si="4"/>
        <v>10886</v>
      </c>
      <c r="O37" s="8">
        <f t="shared" si="5"/>
        <v>1257.43</v>
      </c>
      <c r="P37" s="27">
        <f>O37/(parametros_manuales!$B$7)</f>
        <v>8.382866667</v>
      </c>
      <c r="Q37" s="4" t="str">
        <f t="shared" si="6"/>
        <v>Dic</v>
      </c>
    </row>
    <row r="38" ht="14.25" customHeight="1">
      <c r="A38" s="4" t="str">
        <f>parametros_manuales!$B$27</f>
        <v>Soldadura longitudinal — 2,5 a 10 kg</v>
      </c>
      <c r="B38" s="8">
        <f>(parametros_manuales!$D$27*('Plan mensual'!D13+IF(parametros_manuales!$H$27="Todos",'Plan mensual'!D17,0))+parametros_manuales!$E$27*('Plan mensual'!D14+IF(parametros_manuales!$H$27="Todos",'Plan mensual'!D18,0))+parametros_manuales!$F$27*('Plan mensual'!D15+IF(parametros_manuales!$H$27="Todos",'Plan mensual'!D19,0))+parametros_manuales!$G$27*('Plan mensual'!D16+IF(parametros_manuales!$H$27="Todos",'Plan mensual'!D20,0)))*parametros_manuales!$I$27*parametros_manuales!$J$27</f>
        <v>488.9</v>
      </c>
      <c r="C38" s="8">
        <f>(parametros_manuales!$D$27*('Plan mensual'!E13+IF(parametros_manuales!$H$27="Todos",'Plan mensual'!E17,0))+parametros_manuales!$E$27*('Plan mensual'!E14+IF(parametros_manuales!$H$27="Todos",'Plan mensual'!E18,0))+parametros_manuales!$F$27*('Plan mensual'!E15+IF(parametros_manuales!$H$27="Todos",'Plan mensual'!E19,0))+parametros_manuales!$G$27*('Plan mensual'!E16+IF(parametros_manuales!$H$27="Todos",'Plan mensual'!E20,0)))*parametros_manuales!$I$27*parametros_manuales!$J$27</f>
        <v>391.12</v>
      </c>
      <c r="D38" s="8">
        <f>(parametros_manuales!$D$27*('Plan mensual'!F13+IF(parametros_manuales!$H$27="Todos",'Plan mensual'!F17,0))+parametros_manuales!$E$27*('Plan mensual'!F14+IF(parametros_manuales!$H$27="Todos",'Plan mensual'!F18,0))+parametros_manuales!$F$27*('Plan mensual'!F15+IF(parametros_manuales!$H$27="Todos",'Plan mensual'!F19,0))+parametros_manuales!$G$27*('Plan mensual'!F16+IF(parametros_manuales!$H$27="Todos",'Plan mensual'!F20,0)))*parametros_manuales!$I$27*parametros_manuales!$J$27</f>
        <v>415.565</v>
      </c>
      <c r="E38" s="8">
        <f>(parametros_manuales!$D$27*('Plan mensual'!G13+IF(parametros_manuales!$H$27="Todos",'Plan mensual'!G17,0))+parametros_manuales!$E$27*('Plan mensual'!G14+IF(parametros_manuales!$H$27="Todos",'Plan mensual'!G18,0))+parametros_manuales!$F$27*('Plan mensual'!G15+IF(parametros_manuales!$H$27="Todos",'Plan mensual'!G19,0))+parametros_manuales!$G$27*('Plan mensual'!G16+IF(parametros_manuales!$H$27="Todos",'Plan mensual'!G20,0)))*parametros_manuales!$I$27*parametros_manuales!$J$27</f>
        <v>415.565</v>
      </c>
      <c r="F38" s="8">
        <f>(parametros_manuales!$D$27*('Plan mensual'!H13+IF(parametros_manuales!$H$27="Todos",'Plan mensual'!H17,0))+parametros_manuales!$E$27*('Plan mensual'!H14+IF(parametros_manuales!$H$27="Todos",'Plan mensual'!H18,0))+parametros_manuales!$F$27*('Plan mensual'!H15+IF(parametros_manuales!$H$27="Todos",'Plan mensual'!H19,0))+parametros_manuales!$G$27*('Plan mensual'!H16+IF(parametros_manuales!$H$27="Todos",'Plan mensual'!H20,0)))*parametros_manuales!$I$27*parametros_manuales!$J$27</f>
        <v>391.12</v>
      </c>
      <c r="G38" s="8">
        <f>(parametros_manuales!$D$27*('Plan mensual'!I13+IF(parametros_manuales!$H$27="Todos",'Plan mensual'!I17,0))+parametros_manuales!$E$27*('Plan mensual'!I14+IF(parametros_manuales!$H$27="Todos",'Plan mensual'!I18,0))+parametros_manuales!$F$27*('Plan mensual'!I15+IF(parametros_manuales!$H$27="Todos",'Plan mensual'!I19,0))+parametros_manuales!$G$27*('Plan mensual'!I16+IF(parametros_manuales!$H$27="Todos",'Plan mensual'!I20,0)))*parametros_manuales!$I$27*parametros_manuales!$J$27</f>
        <v>366.675</v>
      </c>
      <c r="H38" s="8">
        <f>(parametros_manuales!$D$27*('Plan mensual'!J13+IF(parametros_manuales!$H$27="Todos",'Plan mensual'!J17,0))+parametros_manuales!$E$27*('Plan mensual'!J14+IF(parametros_manuales!$H$27="Todos",'Plan mensual'!J18,0))+parametros_manuales!$F$27*('Plan mensual'!J15+IF(parametros_manuales!$H$27="Todos",'Plan mensual'!J19,0))+parametros_manuales!$G$27*('Plan mensual'!J16+IF(parametros_manuales!$H$27="Todos",'Plan mensual'!J20,0)))*parametros_manuales!$I$27*parametros_manuales!$J$27</f>
        <v>391.12</v>
      </c>
      <c r="I38" s="8">
        <f>(parametros_manuales!$D$27*('Plan mensual'!K13+IF(parametros_manuales!$H$27="Todos",'Plan mensual'!K17,0))+parametros_manuales!$E$27*('Plan mensual'!K14+IF(parametros_manuales!$H$27="Todos",'Plan mensual'!K18,0))+parametros_manuales!$F$27*('Plan mensual'!K15+IF(parametros_manuales!$H$27="Todos",'Plan mensual'!K19,0))+parametros_manuales!$G$27*('Plan mensual'!K16+IF(parametros_manuales!$H$27="Todos",'Plan mensual'!K20,0)))*parametros_manuales!$I$27*parametros_manuales!$J$27</f>
        <v>391.12</v>
      </c>
      <c r="J38" s="8">
        <f>(parametros_manuales!$D$27*('Plan mensual'!L13+IF(parametros_manuales!$H$27="Todos",'Plan mensual'!L17,0))+parametros_manuales!$E$27*('Plan mensual'!L14+IF(parametros_manuales!$H$27="Todos",'Plan mensual'!L18,0))+parametros_manuales!$F$27*('Plan mensual'!L15+IF(parametros_manuales!$H$27="Todos",'Plan mensual'!L19,0))+parametros_manuales!$G$27*('Plan mensual'!L16+IF(parametros_manuales!$H$27="Todos",'Plan mensual'!L20,0)))*parametros_manuales!$I$27*parametros_manuales!$J$27</f>
        <v>391.12</v>
      </c>
      <c r="K38" s="8">
        <f>(parametros_manuales!$D$27*('Plan mensual'!M13+IF(parametros_manuales!$H$27="Todos",'Plan mensual'!M17,0))+parametros_manuales!$E$27*('Plan mensual'!M14+IF(parametros_manuales!$H$27="Todos",'Plan mensual'!M18,0))+parametros_manuales!$F$27*('Plan mensual'!M15+IF(parametros_manuales!$H$27="Todos",'Plan mensual'!M19,0))+parametros_manuales!$G$27*('Plan mensual'!M16+IF(parametros_manuales!$H$27="Todos",'Plan mensual'!M20,0)))*parametros_manuales!$I$27*parametros_manuales!$J$27</f>
        <v>366.675</v>
      </c>
      <c r="L38" s="8">
        <f>(parametros_manuales!$D$27*('Plan mensual'!N13+IF(parametros_manuales!$H$27="Todos",'Plan mensual'!N17,0))+parametros_manuales!$E$27*('Plan mensual'!N14+IF(parametros_manuales!$H$27="Todos",'Plan mensual'!N18,0))+parametros_manuales!$F$27*('Plan mensual'!N15+IF(parametros_manuales!$H$27="Todos",'Plan mensual'!N19,0))+parametros_manuales!$G$27*('Plan mensual'!N16+IF(parametros_manuales!$H$27="Todos",'Plan mensual'!N20,0)))*parametros_manuales!$I$27*parametros_manuales!$J$27</f>
        <v>342.23</v>
      </c>
      <c r="M38" s="8">
        <f>(parametros_manuales!$D$27*('Plan mensual'!O13+IF(parametros_manuales!$H$27="Todos",'Plan mensual'!O17,0))+parametros_manuales!$E$27*('Plan mensual'!O14+IF(parametros_manuales!$H$27="Todos",'Plan mensual'!O18,0))+parametros_manuales!$F$27*('Plan mensual'!O15+IF(parametros_manuales!$H$27="Todos",'Plan mensual'!O19,0))+parametros_manuales!$G$27*('Plan mensual'!O16+IF(parametros_manuales!$H$27="Todos",'Plan mensual'!O20,0)))*parametros_manuales!$I$27*parametros_manuales!$J$27</f>
        <v>537.79</v>
      </c>
      <c r="N38" s="8">
        <f t="shared" si="4"/>
        <v>4889</v>
      </c>
      <c r="O38" s="8">
        <f t="shared" si="5"/>
        <v>537.79</v>
      </c>
      <c r="P38" s="27">
        <f>O38/(parametros_manuales!$B$7)</f>
        <v>3.585266667</v>
      </c>
      <c r="Q38" s="4" t="str">
        <f t="shared" si="6"/>
        <v>Dic</v>
      </c>
    </row>
    <row r="39" ht="14.25" customHeight="1">
      <c r="A39" s="4" t="str">
        <f>parametros_manuales!$B$28</f>
        <v>Soldadura longitudinal TIG — 1 kg</v>
      </c>
      <c r="B39" s="8">
        <f>(parametros_manuales!$D$28*('Plan mensual'!D13+IF(parametros_manuales!$H$28="Todos",'Plan mensual'!D17,0))+parametros_manuales!$E$28*('Plan mensual'!D14+IF(parametros_manuales!$H$28="Todos",'Plan mensual'!D18,0))+parametros_manuales!$F$28*('Plan mensual'!D15+IF(parametros_manuales!$H$28="Todos",'Plan mensual'!D19,0))+parametros_manuales!$G$28*('Plan mensual'!D16+IF(parametros_manuales!$H$28="Todos",'Plan mensual'!D20,0)))*parametros_manuales!$I$28*parametros_manuales!$J$28</f>
        <v>719.64</v>
      </c>
      <c r="C39" s="8">
        <f>(parametros_manuales!$D$28*('Plan mensual'!E13+IF(parametros_manuales!$H$28="Todos",'Plan mensual'!E17,0))+parametros_manuales!$E$28*('Plan mensual'!E14+IF(parametros_manuales!$H$28="Todos",'Plan mensual'!E18,0))+parametros_manuales!$F$28*('Plan mensual'!E15+IF(parametros_manuales!$H$28="Todos",'Plan mensual'!E19,0))+parametros_manuales!$G$28*('Plan mensual'!E16+IF(parametros_manuales!$H$28="Todos",'Plan mensual'!E20,0)))*parametros_manuales!$I$28*parametros_manuales!$J$28</f>
        <v>539.73</v>
      </c>
      <c r="D39" s="8">
        <f>(parametros_manuales!$D$28*('Plan mensual'!F13+IF(parametros_manuales!$H$28="Todos",'Plan mensual'!F17,0))+parametros_manuales!$E$28*('Plan mensual'!F14+IF(parametros_manuales!$H$28="Todos",'Plan mensual'!F18,0))+parametros_manuales!$F$28*('Plan mensual'!F15+IF(parametros_manuales!$H$28="Todos",'Plan mensual'!F19,0))+parametros_manuales!$G$28*('Plan mensual'!F16+IF(parametros_manuales!$H$28="Todos",'Plan mensual'!F20,0)))*parametros_manuales!$I$28*parametros_manuales!$J$28</f>
        <v>479.76</v>
      </c>
      <c r="E39" s="8">
        <f>(parametros_manuales!$D$28*('Plan mensual'!G13+IF(parametros_manuales!$H$28="Todos",'Plan mensual'!G17,0))+parametros_manuales!$E$28*('Plan mensual'!G14+IF(parametros_manuales!$H$28="Todos",'Plan mensual'!G18,0))+parametros_manuales!$F$28*('Plan mensual'!G15+IF(parametros_manuales!$H$28="Todos",'Plan mensual'!G19,0))+parametros_manuales!$G$28*('Plan mensual'!G16+IF(parametros_manuales!$H$28="Todos",'Plan mensual'!G20,0)))*parametros_manuales!$I$28*parametros_manuales!$J$28</f>
        <v>449.775</v>
      </c>
      <c r="F39" s="8">
        <f>(parametros_manuales!$D$28*('Plan mensual'!H13+IF(parametros_manuales!$H$28="Todos",'Plan mensual'!H17,0))+parametros_manuales!$E$28*('Plan mensual'!H14+IF(parametros_manuales!$H$28="Todos",'Plan mensual'!H18,0))+parametros_manuales!$F$28*('Plan mensual'!H15+IF(parametros_manuales!$H$28="Todos",'Plan mensual'!H19,0))+parametros_manuales!$G$28*('Plan mensual'!H16+IF(parametros_manuales!$H$28="Todos",'Plan mensual'!H20,0)))*parametros_manuales!$I$28*parametros_manuales!$J$28</f>
        <v>419.79</v>
      </c>
      <c r="G39" s="8">
        <f>(parametros_manuales!$D$28*('Plan mensual'!I13+IF(parametros_manuales!$H$28="Todos",'Plan mensual'!I17,0))+parametros_manuales!$E$28*('Plan mensual'!I14+IF(parametros_manuales!$H$28="Todos",'Plan mensual'!I18,0))+parametros_manuales!$F$28*('Plan mensual'!I15+IF(parametros_manuales!$H$28="Todos",'Plan mensual'!I19,0))+parametros_manuales!$G$28*('Plan mensual'!I16+IF(parametros_manuales!$H$28="Todos",'Plan mensual'!I20,0)))*parametros_manuales!$I$28*parametros_manuales!$J$28</f>
        <v>419.79</v>
      </c>
      <c r="H39" s="8">
        <f>(parametros_manuales!$D$28*('Plan mensual'!J13+IF(parametros_manuales!$H$28="Todos",'Plan mensual'!J17,0))+parametros_manuales!$E$28*('Plan mensual'!J14+IF(parametros_manuales!$H$28="Todos",'Plan mensual'!J18,0))+parametros_manuales!$F$28*('Plan mensual'!J15+IF(parametros_manuales!$H$28="Todos",'Plan mensual'!J19,0))+parametros_manuales!$G$28*('Plan mensual'!J16+IF(parametros_manuales!$H$28="Todos",'Plan mensual'!J20,0)))*parametros_manuales!$I$28*parametros_manuales!$J$28</f>
        <v>449.775</v>
      </c>
      <c r="I39" s="8">
        <f>(parametros_manuales!$D$28*('Plan mensual'!K13+IF(parametros_manuales!$H$28="Todos",'Plan mensual'!K17,0))+parametros_manuales!$E$28*('Plan mensual'!K14+IF(parametros_manuales!$H$28="Todos",'Plan mensual'!K18,0))+parametros_manuales!$F$28*('Plan mensual'!K15+IF(parametros_manuales!$H$28="Todos",'Plan mensual'!K19,0))+parametros_manuales!$G$28*('Plan mensual'!K16+IF(parametros_manuales!$H$28="Todos",'Plan mensual'!K20,0)))*parametros_manuales!$I$28*parametros_manuales!$J$28</f>
        <v>449.775</v>
      </c>
      <c r="J39" s="8">
        <f>(parametros_manuales!$D$28*('Plan mensual'!L13+IF(parametros_manuales!$H$28="Todos",'Plan mensual'!L17,0))+parametros_manuales!$E$28*('Plan mensual'!L14+IF(parametros_manuales!$H$28="Todos",'Plan mensual'!L18,0))+parametros_manuales!$F$28*('Plan mensual'!L15+IF(parametros_manuales!$H$28="Todos",'Plan mensual'!L19,0))+parametros_manuales!$G$28*('Plan mensual'!L16+IF(parametros_manuales!$H$28="Todos",'Plan mensual'!L20,0)))*parametros_manuales!$I$28*parametros_manuales!$J$28</f>
        <v>449.775</v>
      </c>
      <c r="K39" s="8">
        <f>(parametros_manuales!$D$28*('Plan mensual'!M13+IF(parametros_manuales!$H$28="Todos",'Plan mensual'!M17,0))+parametros_manuales!$E$28*('Plan mensual'!M14+IF(parametros_manuales!$H$28="Todos",'Plan mensual'!M18,0))+parametros_manuales!$F$28*('Plan mensual'!M15+IF(parametros_manuales!$H$28="Todos",'Plan mensual'!M19,0))+parametros_manuales!$G$28*('Plan mensual'!M16+IF(parametros_manuales!$H$28="Todos",'Plan mensual'!M20,0)))*parametros_manuales!$I$28*parametros_manuales!$J$28</f>
        <v>449.775</v>
      </c>
      <c r="L39" s="8">
        <f>(parametros_manuales!$D$28*('Plan mensual'!N13+IF(parametros_manuales!$H$28="Todos",'Plan mensual'!N17,0))+parametros_manuales!$E$28*('Plan mensual'!N14+IF(parametros_manuales!$H$28="Todos",'Plan mensual'!N18,0))+parametros_manuales!$F$28*('Plan mensual'!N15+IF(parametros_manuales!$H$28="Todos",'Plan mensual'!N19,0))+parametros_manuales!$G$28*('Plan mensual'!N16+IF(parametros_manuales!$H$28="Todos",'Plan mensual'!N20,0)))*parametros_manuales!$I$28*parametros_manuales!$J$28</f>
        <v>449.775</v>
      </c>
      <c r="M39" s="8">
        <f>(parametros_manuales!$D$28*('Plan mensual'!O13+IF(parametros_manuales!$H$28="Todos",'Plan mensual'!O17,0))+parametros_manuales!$E$28*('Plan mensual'!O14+IF(parametros_manuales!$H$28="Todos",'Plan mensual'!O18,0))+parametros_manuales!$F$28*('Plan mensual'!O15+IF(parametros_manuales!$H$28="Todos",'Plan mensual'!O19,0))+parametros_manuales!$G$28*('Plan mensual'!O16+IF(parametros_manuales!$H$28="Todos",'Plan mensual'!O20,0)))*parametros_manuales!$I$28*parametros_manuales!$J$28</f>
        <v>719.64</v>
      </c>
      <c r="N39" s="8">
        <f t="shared" si="4"/>
        <v>5997</v>
      </c>
      <c r="O39" s="8">
        <f t="shared" si="5"/>
        <v>719.64</v>
      </c>
      <c r="P39" s="27">
        <f>O39/(parametros_manuales!$B$7)</f>
        <v>4.7976</v>
      </c>
      <c r="Q39" s="4" t="str">
        <f t="shared" si="6"/>
        <v>Ene</v>
      </c>
    </row>
    <row r="40" ht="14.25" customHeight="1">
      <c r="A40" s="4" t="str">
        <f>parametros_manuales!$B$29</f>
        <v>Encastre de fondo</v>
      </c>
      <c r="B40" s="8">
        <f>(parametros_manuales!$D$29*('Plan mensual'!D13+IF(parametros_manuales!$H$29="Todos",'Plan mensual'!D17,0))+parametros_manuales!$E$29*('Plan mensual'!D14+IF(parametros_manuales!$H$29="Todos",'Plan mensual'!D18,0))+parametros_manuales!$F$29*('Plan mensual'!D15+IF(parametros_manuales!$H$29="Todos",'Plan mensual'!D19,0))+parametros_manuales!$G$29*('Plan mensual'!D16+IF(parametros_manuales!$H$29="Todos",'Plan mensual'!D20,0)))*parametros_manuales!$I$29*parametros_manuales!$J$29</f>
        <v>1208.54</v>
      </c>
      <c r="C40" s="8">
        <f>(parametros_manuales!$D$29*('Plan mensual'!E13+IF(parametros_manuales!$H$29="Todos",'Plan mensual'!E17,0))+parametros_manuales!$E$29*('Plan mensual'!E14+IF(parametros_manuales!$H$29="Todos",'Plan mensual'!E18,0))+parametros_manuales!$F$29*('Plan mensual'!E15+IF(parametros_manuales!$H$29="Todos",'Plan mensual'!E19,0))+parametros_manuales!$G$29*('Plan mensual'!E16+IF(parametros_manuales!$H$29="Todos",'Plan mensual'!E20,0)))*parametros_manuales!$I$29*parametros_manuales!$J$29</f>
        <v>930.85</v>
      </c>
      <c r="D40" s="8">
        <f>(parametros_manuales!$D$29*('Plan mensual'!F13+IF(parametros_manuales!$H$29="Todos",'Plan mensual'!F17,0))+parametros_manuales!$E$29*('Plan mensual'!F14+IF(parametros_manuales!$H$29="Todos",'Plan mensual'!F18,0))+parametros_manuales!$F$29*('Plan mensual'!F15+IF(parametros_manuales!$H$29="Todos",'Plan mensual'!F19,0))+parametros_manuales!$G$29*('Plan mensual'!F16+IF(parametros_manuales!$H$29="Todos",'Plan mensual'!F20,0)))*parametros_manuales!$I$29*parametros_manuales!$J$29</f>
        <v>895.325</v>
      </c>
      <c r="E40" s="8">
        <f>(parametros_manuales!$D$29*('Plan mensual'!G13+IF(parametros_manuales!$H$29="Todos",'Plan mensual'!G17,0))+parametros_manuales!$E$29*('Plan mensual'!G14+IF(parametros_manuales!$H$29="Todos",'Plan mensual'!G18,0))+parametros_manuales!$F$29*('Plan mensual'!G15+IF(parametros_manuales!$H$29="Todos",'Plan mensual'!G19,0))+parametros_manuales!$G$29*('Plan mensual'!G16+IF(parametros_manuales!$H$29="Todos",'Plan mensual'!G20,0)))*parametros_manuales!$I$29*parametros_manuales!$J$29</f>
        <v>865.34</v>
      </c>
      <c r="F40" s="8">
        <f>(parametros_manuales!$D$29*('Plan mensual'!H13+IF(parametros_manuales!$H$29="Todos",'Plan mensual'!H17,0))+parametros_manuales!$E$29*('Plan mensual'!H14+IF(parametros_manuales!$H$29="Todos",'Plan mensual'!H18,0))+parametros_manuales!$F$29*('Plan mensual'!H15+IF(parametros_manuales!$H$29="Todos",'Plan mensual'!H19,0))+parametros_manuales!$G$29*('Plan mensual'!H16+IF(parametros_manuales!$H$29="Todos",'Plan mensual'!H20,0)))*parametros_manuales!$I$29*parametros_manuales!$J$29</f>
        <v>810.91</v>
      </c>
      <c r="G40" s="8">
        <f>(parametros_manuales!$D$29*('Plan mensual'!I13+IF(parametros_manuales!$H$29="Todos",'Plan mensual'!I17,0))+parametros_manuales!$E$29*('Plan mensual'!I14+IF(parametros_manuales!$H$29="Todos",'Plan mensual'!I18,0))+parametros_manuales!$F$29*('Plan mensual'!I15+IF(parametros_manuales!$H$29="Todos",'Plan mensual'!I19,0))+parametros_manuales!$G$29*('Plan mensual'!I16+IF(parametros_manuales!$H$29="Todos",'Plan mensual'!I20,0)))*parametros_manuales!$I$29*parametros_manuales!$J$29</f>
        <v>786.465</v>
      </c>
      <c r="H40" s="8">
        <f>(parametros_manuales!$D$29*('Plan mensual'!J13+IF(parametros_manuales!$H$29="Todos",'Plan mensual'!J17,0))+parametros_manuales!$E$29*('Plan mensual'!J14+IF(parametros_manuales!$H$29="Todos",'Plan mensual'!J18,0))+parametros_manuales!$F$29*('Plan mensual'!J15+IF(parametros_manuales!$H$29="Todos",'Plan mensual'!J19,0))+parametros_manuales!$G$29*('Plan mensual'!J16+IF(parametros_manuales!$H$29="Todos",'Plan mensual'!J20,0)))*parametros_manuales!$I$29*parametros_manuales!$J$29</f>
        <v>840.895</v>
      </c>
      <c r="I40" s="8">
        <f>(parametros_manuales!$D$29*('Plan mensual'!K13+IF(parametros_manuales!$H$29="Todos",'Plan mensual'!K17,0))+parametros_manuales!$E$29*('Plan mensual'!K14+IF(parametros_manuales!$H$29="Todos",'Plan mensual'!K18,0))+parametros_manuales!$F$29*('Plan mensual'!K15+IF(parametros_manuales!$H$29="Todos",'Plan mensual'!K19,0))+parametros_manuales!$G$29*('Plan mensual'!K16+IF(parametros_manuales!$H$29="Todos",'Plan mensual'!K20,0)))*parametros_manuales!$I$29*parametros_manuales!$J$29</f>
        <v>840.895</v>
      </c>
      <c r="J40" s="8">
        <f>(parametros_manuales!$D$29*('Plan mensual'!L13+IF(parametros_manuales!$H$29="Todos",'Plan mensual'!L17,0))+parametros_manuales!$E$29*('Plan mensual'!L14+IF(parametros_manuales!$H$29="Todos",'Plan mensual'!L18,0))+parametros_manuales!$F$29*('Plan mensual'!L15+IF(parametros_manuales!$H$29="Todos",'Plan mensual'!L19,0))+parametros_manuales!$G$29*('Plan mensual'!L16+IF(parametros_manuales!$H$29="Todos",'Plan mensual'!L20,0)))*parametros_manuales!$I$29*parametros_manuales!$J$29</f>
        <v>840.895</v>
      </c>
      <c r="K40" s="8">
        <f>(parametros_manuales!$D$29*('Plan mensual'!M13+IF(parametros_manuales!$H$29="Todos",'Plan mensual'!M17,0))+parametros_manuales!$E$29*('Plan mensual'!M14+IF(parametros_manuales!$H$29="Todos",'Plan mensual'!M18,0))+parametros_manuales!$F$29*('Plan mensual'!M15+IF(parametros_manuales!$H$29="Todos",'Plan mensual'!M19,0))+parametros_manuales!$G$29*('Plan mensual'!M16+IF(parametros_manuales!$H$29="Todos",'Plan mensual'!M20,0)))*parametros_manuales!$I$29*parametros_manuales!$J$29</f>
        <v>816.45</v>
      </c>
      <c r="L40" s="8">
        <f>(parametros_manuales!$D$29*('Plan mensual'!N13+IF(parametros_manuales!$H$29="Todos",'Plan mensual'!N17,0))+parametros_manuales!$E$29*('Plan mensual'!N14+IF(parametros_manuales!$H$29="Todos",'Plan mensual'!N18,0))+parametros_manuales!$F$29*('Plan mensual'!N15+IF(parametros_manuales!$H$29="Todos",'Plan mensual'!N19,0))+parametros_manuales!$G$29*('Plan mensual'!N16+IF(parametros_manuales!$H$29="Todos",'Plan mensual'!N20,0)))*parametros_manuales!$I$29*parametros_manuales!$J$29</f>
        <v>792.005</v>
      </c>
      <c r="M40" s="8">
        <f>(parametros_manuales!$D$29*('Plan mensual'!O13+IF(parametros_manuales!$H$29="Todos",'Plan mensual'!O17,0))+parametros_manuales!$E$29*('Plan mensual'!O14+IF(parametros_manuales!$H$29="Todos",'Plan mensual'!O18,0))+parametros_manuales!$F$29*('Plan mensual'!O15+IF(parametros_manuales!$H$29="Todos",'Plan mensual'!O19,0))+parametros_manuales!$G$29*('Plan mensual'!O16+IF(parametros_manuales!$H$29="Todos",'Plan mensual'!O20,0)))*parametros_manuales!$I$29*parametros_manuales!$J$29</f>
        <v>1257.43</v>
      </c>
      <c r="N40" s="8">
        <f t="shared" si="4"/>
        <v>10886</v>
      </c>
      <c r="O40" s="8">
        <f t="shared" si="5"/>
        <v>1257.43</v>
      </c>
      <c r="P40" s="27">
        <f>O40/(parametros_manuales!$B$7)</f>
        <v>8.382866667</v>
      </c>
      <c r="Q40" s="4" t="str">
        <f t="shared" si="6"/>
        <v>Dic</v>
      </c>
    </row>
    <row r="41" ht="14.25" customHeight="1">
      <c r="A41" s="4" t="str">
        <f>parametros_manuales!$B$30</f>
        <v>Bordoneado</v>
      </c>
      <c r="B41" s="8">
        <f>(parametros_manuales!$D$30*('Plan mensual'!D13+IF(parametros_manuales!$H$30="Todos",'Plan mensual'!D17,0))+parametros_manuales!$E$30*('Plan mensual'!D14+IF(parametros_manuales!$H$30="Todos",'Plan mensual'!D18,0))+parametros_manuales!$F$30*('Plan mensual'!D15+IF(parametros_manuales!$H$30="Todos",'Plan mensual'!D19,0))+parametros_manuales!$G$30*('Plan mensual'!D16+IF(parametros_manuales!$H$30="Todos",'Plan mensual'!D20,0)))*parametros_manuales!$I$30*parametros_manuales!$J$30</f>
        <v>1208.54</v>
      </c>
      <c r="C41" s="8">
        <f>(parametros_manuales!$D$30*('Plan mensual'!E13+IF(parametros_manuales!$H$30="Todos",'Plan mensual'!E17,0))+parametros_manuales!$E$30*('Plan mensual'!E14+IF(parametros_manuales!$H$30="Todos",'Plan mensual'!E18,0))+parametros_manuales!$F$30*('Plan mensual'!E15+IF(parametros_manuales!$H$30="Todos",'Plan mensual'!E19,0))+parametros_manuales!$G$30*('Plan mensual'!E16+IF(parametros_manuales!$H$30="Todos",'Plan mensual'!E20,0)))*parametros_manuales!$I$30*parametros_manuales!$J$30</f>
        <v>930.85</v>
      </c>
      <c r="D41" s="8">
        <f>(parametros_manuales!$D$30*('Plan mensual'!F13+IF(parametros_manuales!$H$30="Todos",'Plan mensual'!F17,0))+parametros_manuales!$E$30*('Plan mensual'!F14+IF(parametros_manuales!$H$30="Todos",'Plan mensual'!F18,0))+parametros_manuales!$F$30*('Plan mensual'!F15+IF(parametros_manuales!$H$30="Todos",'Plan mensual'!F19,0))+parametros_manuales!$G$30*('Plan mensual'!F16+IF(parametros_manuales!$H$30="Todos",'Plan mensual'!F20,0)))*parametros_manuales!$I$30*parametros_manuales!$J$30</f>
        <v>895.325</v>
      </c>
      <c r="E41" s="8">
        <f>(parametros_manuales!$D$30*('Plan mensual'!G13+IF(parametros_manuales!$H$30="Todos",'Plan mensual'!G17,0))+parametros_manuales!$E$30*('Plan mensual'!G14+IF(parametros_manuales!$H$30="Todos",'Plan mensual'!G18,0))+parametros_manuales!$F$30*('Plan mensual'!G15+IF(parametros_manuales!$H$30="Todos",'Plan mensual'!G19,0))+parametros_manuales!$G$30*('Plan mensual'!G16+IF(parametros_manuales!$H$30="Todos",'Plan mensual'!G20,0)))*parametros_manuales!$I$30*parametros_manuales!$J$30</f>
        <v>865.34</v>
      </c>
      <c r="F41" s="8">
        <f>(parametros_manuales!$D$30*('Plan mensual'!H13+IF(parametros_manuales!$H$30="Todos",'Plan mensual'!H17,0))+parametros_manuales!$E$30*('Plan mensual'!H14+IF(parametros_manuales!$H$30="Todos",'Plan mensual'!H18,0))+parametros_manuales!$F$30*('Plan mensual'!H15+IF(parametros_manuales!$H$30="Todos",'Plan mensual'!H19,0))+parametros_manuales!$G$30*('Plan mensual'!H16+IF(parametros_manuales!$H$30="Todos",'Plan mensual'!H20,0)))*parametros_manuales!$I$30*parametros_manuales!$J$30</f>
        <v>810.91</v>
      </c>
      <c r="G41" s="8">
        <f>(parametros_manuales!$D$30*('Plan mensual'!I13+IF(parametros_manuales!$H$30="Todos",'Plan mensual'!I17,0))+parametros_manuales!$E$30*('Plan mensual'!I14+IF(parametros_manuales!$H$30="Todos",'Plan mensual'!I18,0))+parametros_manuales!$F$30*('Plan mensual'!I15+IF(parametros_manuales!$H$30="Todos",'Plan mensual'!I19,0))+parametros_manuales!$G$30*('Plan mensual'!I16+IF(parametros_manuales!$H$30="Todos",'Plan mensual'!I20,0)))*parametros_manuales!$I$30*parametros_manuales!$J$30</f>
        <v>786.465</v>
      </c>
      <c r="H41" s="8">
        <f>(parametros_manuales!$D$30*('Plan mensual'!J13+IF(parametros_manuales!$H$30="Todos",'Plan mensual'!J17,0))+parametros_manuales!$E$30*('Plan mensual'!J14+IF(parametros_manuales!$H$30="Todos",'Plan mensual'!J18,0))+parametros_manuales!$F$30*('Plan mensual'!J15+IF(parametros_manuales!$H$30="Todos",'Plan mensual'!J19,0))+parametros_manuales!$G$30*('Plan mensual'!J16+IF(parametros_manuales!$H$30="Todos",'Plan mensual'!J20,0)))*parametros_manuales!$I$30*parametros_manuales!$J$30</f>
        <v>840.895</v>
      </c>
      <c r="I41" s="8">
        <f>(parametros_manuales!$D$30*('Plan mensual'!K13+IF(parametros_manuales!$H$30="Todos",'Plan mensual'!K17,0))+parametros_manuales!$E$30*('Plan mensual'!K14+IF(parametros_manuales!$H$30="Todos",'Plan mensual'!K18,0))+parametros_manuales!$F$30*('Plan mensual'!K15+IF(parametros_manuales!$H$30="Todos",'Plan mensual'!K19,0))+parametros_manuales!$G$30*('Plan mensual'!K16+IF(parametros_manuales!$H$30="Todos",'Plan mensual'!K20,0)))*parametros_manuales!$I$30*parametros_manuales!$J$30</f>
        <v>840.895</v>
      </c>
      <c r="J41" s="8">
        <f>(parametros_manuales!$D$30*('Plan mensual'!L13+IF(parametros_manuales!$H$30="Todos",'Plan mensual'!L17,0))+parametros_manuales!$E$30*('Plan mensual'!L14+IF(parametros_manuales!$H$30="Todos",'Plan mensual'!L18,0))+parametros_manuales!$F$30*('Plan mensual'!L15+IF(parametros_manuales!$H$30="Todos",'Plan mensual'!L19,0))+parametros_manuales!$G$30*('Plan mensual'!L16+IF(parametros_manuales!$H$30="Todos",'Plan mensual'!L20,0)))*parametros_manuales!$I$30*parametros_manuales!$J$30</f>
        <v>840.895</v>
      </c>
      <c r="K41" s="8">
        <f>(parametros_manuales!$D$30*('Plan mensual'!M13+IF(parametros_manuales!$H$30="Todos",'Plan mensual'!M17,0))+parametros_manuales!$E$30*('Plan mensual'!M14+IF(parametros_manuales!$H$30="Todos",'Plan mensual'!M18,0))+parametros_manuales!$F$30*('Plan mensual'!M15+IF(parametros_manuales!$H$30="Todos",'Plan mensual'!M19,0))+parametros_manuales!$G$30*('Plan mensual'!M16+IF(parametros_manuales!$H$30="Todos",'Plan mensual'!M20,0)))*parametros_manuales!$I$30*parametros_manuales!$J$30</f>
        <v>816.45</v>
      </c>
      <c r="L41" s="8">
        <f>(parametros_manuales!$D$30*('Plan mensual'!N13+IF(parametros_manuales!$H$30="Todos",'Plan mensual'!N17,0))+parametros_manuales!$E$30*('Plan mensual'!N14+IF(parametros_manuales!$H$30="Todos",'Plan mensual'!N18,0))+parametros_manuales!$F$30*('Plan mensual'!N15+IF(parametros_manuales!$H$30="Todos",'Plan mensual'!N19,0))+parametros_manuales!$G$30*('Plan mensual'!N16+IF(parametros_manuales!$H$30="Todos",'Plan mensual'!N20,0)))*parametros_manuales!$I$30*parametros_manuales!$J$30</f>
        <v>792.005</v>
      </c>
      <c r="M41" s="8">
        <f>(parametros_manuales!$D$30*('Plan mensual'!O13+IF(parametros_manuales!$H$30="Todos",'Plan mensual'!O17,0))+parametros_manuales!$E$30*('Plan mensual'!O14+IF(parametros_manuales!$H$30="Todos",'Plan mensual'!O18,0))+parametros_manuales!$F$30*('Plan mensual'!O15+IF(parametros_manuales!$H$30="Todos",'Plan mensual'!O19,0))+parametros_manuales!$G$30*('Plan mensual'!O16+IF(parametros_manuales!$H$30="Todos",'Plan mensual'!O20,0)))*parametros_manuales!$I$30*parametros_manuales!$J$30</f>
        <v>1257.43</v>
      </c>
      <c r="N41" s="8">
        <f t="shared" si="4"/>
        <v>10886</v>
      </c>
      <c r="O41" s="8">
        <f t="shared" si="5"/>
        <v>1257.43</v>
      </c>
      <c r="P41" s="27">
        <f>O41/(parametros_manuales!$B$7)</f>
        <v>8.382866667</v>
      </c>
      <c r="Q41" s="4" t="str">
        <f t="shared" si="6"/>
        <v>Dic</v>
      </c>
    </row>
    <row r="42" ht="14.25" customHeight="1">
      <c r="A42" s="4" t="str">
        <f>parametros_manuales!$B$31</f>
        <v>Soldadura circunferencial de cúpula y fondo</v>
      </c>
      <c r="B42" s="8">
        <f>(parametros_manuales!$D$31*('Plan mensual'!D13+IF(parametros_manuales!$H$31="Todos",'Plan mensual'!D17,0))+parametros_manuales!$E$31*('Plan mensual'!D14+IF(parametros_manuales!$H$31="Todos",'Plan mensual'!D18,0))+parametros_manuales!$F$31*('Plan mensual'!D15+IF(parametros_manuales!$H$31="Todos",'Plan mensual'!D19,0))+parametros_manuales!$G$31*('Plan mensual'!D16+IF(parametros_manuales!$H$31="Todos",'Plan mensual'!D20,0)))*parametros_manuales!$I$31*parametros_manuales!$J$31</f>
        <v>1208.54</v>
      </c>
      <c r="C42" s="8">
        <f>(parametros_manuales!$D$31*('Plan mensual'!E13+IF(parametros_manuales!$H$31="Todos",'Plan mensual'!E17,0))+parametros_manuales!$E$31*('Plan mensual'!E14+IF(parametros_manuales!$H$31="Todos",'Plan mensual'!E18,0))+parametros_manuales!$F$31*('Plan mensual'!E15+IF(parametros_manuales!$H$31="Todos",'Plan mensual'!E19,0))+parametros_manuales!$G$31*('Plan mensual'!E16+IF(parametros_manuales!$H$31="Todos",'Plan mensual'!E20,0)))*parametros_manuales!$I$31*parametros_manuales!$J$31</f>
        <v>930.85</v>
      </c>
      <c r="D42" s="8">
        <f>(parametros_manuales!$D$31*('Plan mensual'!F13+IF(parametros_manuales!$H$31="Todos",'Plan mensual'!F17,0))+parametros_manuales!$E$31*('Plan mensual'!F14+IF(parametros_manuales!$H$31="Todos",'Plan mensual'!F18,0))+parametros_manuales!$F$31*('Plan mensual'!F15+IF(parametros_manuales!$H$31="Todos",'Plan mensual'!F19,0))+parametros_manuales!$G$31*('Plan mensual'!F16+IF(parametros_manuales!$H$31="Todos",'Plan mensual'!F20,0)))*parametros_manuales!$I$31*parametros_manuales!$J$31</f>
        <v>895.325</v>
      </c>
      <c r="E42" s="8">
        <f>(parametros_manuales!$D$31*('Plan mensual'!G13+IF(parametros_manuales!$H$31="Todos",'Plan mensual'!G17,0))+parametros_manuales!$E$31*('Plan mensual'!G14+IF(parametros_manuales!$H$31="Todos",'Plan mensual'!G18,0))+parametros_manuales!$F$31*('Plan mensual'!G15+IF(parametros_manuales!$H$31="Todos",'Plan mensual'!G19,0))+parametros_manuales!$G$31*('Plan mensual'!G16+IF(parametros_manuales!$H$31="Todos",'Plan mensual'!G20,0)))*parametros_manuales!$I$31*parametros_manuales!$J$31</f>
        <v>865.34</v>
      </c>
      <c r="F42" s="8">
        <f>(parametros_manuales!$D$31*('Plan mensual'!H13+IF(parametros_manuales!$H$31="Todos",'Plan mensual'!H17,0))+parametros_manuales!$E$31*('Plan mensual'!H14+IF(parametros_manuales!$H$31="Todos",'Plan mensual'!H18,0))+parametros_manuales!$F$31*('Plan mensual'!H15+IF(parametros_manuales!$H$31="Todos",'Plan mensual'!H19,0))+parametros_manuales!$G$31*('Plan mensual'!H16+IF(parametros_manuales!$H$31="Todos",'Plan mensual'!H20,0)))*parametros_manuales!$I$31*parametros_manuales!$J$31</f>
        <v>810.91</v>
      </c>
      <c r="G42" s="8">
        <f>(parametros_manuales!$D$31*('Plan mensual'!I13+IF(parametros_manuales!$H$31="Todos",'Plan mensual'!I17,0))+parametros_manuales!$E$31*('Plan mensual'!I14+IF(parametros_manuales!$H$31="Todos",'Plan mensual'!I18,0))+parametros_manuales!$F$31*('Plan mensual'!I15+IF(parametros_manuales!$H$31="Todos",'Plan mensual'!I19,0))+parametros_manuales!$G$31*('Plan mensual'!I16+IF(parametros_manuales!$H$31="Todos",'Plan mensual'!I20,0)))*parametros_manuales!$I$31*parametros_manuales!$J$31</f>
        <v>786.465</v>
      </c>
      <c r="H42" s="8">
        <f>(parametros_manuales!$D$31*('Plan mensual'!J13+IF(parametros_manuales!$H$31="Todos",'Plan mensual'!J17,0))+parametros_manuales!$E$31*('Plan mensual'!J14+IF(parametros_manuales!$H$31="Todos",'Plan mensual'!J18,0))+parametros_manuales!$F$31*('Plan mensual'!J15+IF(parametros_manuales!$H$31="Todos",'Plan mensual'!J19,0))+parametros_manuales!$G$31*('Plan mensual'!J16+IF(parametros_manuales!$H$31="Todos",'Plan mensual'!J20,0)))*parametros_manuales!$I$31*parametros_manuales!$J$31</f>
        <v>840.895</v>
      </c>
      <c r="I42" s="8">
        <f>(parametros_manuales!$D$31*('Plan mensual'!K13+IF(parametros_manuales!$H$31="Todos",'Plan mensual'!K17,0))+parametros_manuales!$E$31*('Plan mensual'!K14+IF(parametros_manuales!$H$31="Todos",'Plan mensual'!K18,0))+parametros_manuales!$F$31*('Plan mensual'!K15+IF(parametros_manuales!$H$31="Todos",'Plan mensual'!K19,0))+parametros_manuales!$G$31*('Plan mensual'!K16+IF(parametros_manuales!$H$31="Todos",'Plan mensual'!K20,0)))*parametros_manuales!$I$31*parametros_manuales!$J$31</f>
        <v>840.895</v>
      </c>
      <c r="J42" s="8">
        <f>(parametros_manuales!$D$31*('Plan mensual'!L13+IF(parametros_manuales!$H$31="Todos",'Plan mensual'!L17,0))+parametros_manuales!$E$31*('Plan mensual'!L14+IF(parametros_manuales!$H$31="Todos",'Plan mensual'!L18,0))+parametros_manuales!$F$31*('Plan mensual'!L15+IF(parametros_manuales!$H$31="Todos",'Plan mensual'!L19,0))+parametros_manuales!$G$31*('Plan mensual'!L16+IF(parametros_manuales!$H$31="Todos",'Plan mensual'!L20,0)))*parametros_manuales!$I$31*parametros_manuales!$J$31</f>
        <v>840.895</v>
      </c>
      <c r="K42" s="8">
        <f>(parametros_manuales!$D$31*('Plan mensual'!M13+IF(parametros_manuales!$H$31="Todos",'Plan mensual'!M17,0))+parametros_manuales!$E$31*('Plan mensual'!M14+IF(parametros_manuales!$H$31="Todos",'Plan mensual'!M18,0))+parametros_manuales!$F$31*('Plan mensual'!M15+IF(parametros_manuales!$H$31="Todos",'Plan mensual'!M19,0))+parametros_manuales!$G$31*('Plan mensual'!M16+IF(parametros_manuales!$H$31="Todos",'Plan mensual'!M20,0)))*parametros_manuales!$I$31*parametros_manuales!$J$31</f>
        <v>816.45</v>
      </c>
      <c r="L42" s="8">
        <f>(parametros_manuales!$D$31*('Plan mensual'!N13+IF(parametros_manuales!$H$31="Todos",'Plan mensual'!N17,0))+parametros_manuales!$E$31*('Plan mensual'!N14+IF(parametros_manuales!$H$31="Todos",'Plan mensual'!N18,0))+parametros_manuales!$F$31*('Plan mensual'!N15+IF(parametros_manuales!$H$31="Todos",'Plan mensual'!N19,0))+parametros_manuales!$G$31*('Plan mensual'!N16+IF(parametros_manuales!$H$31="Todos",'Plan mensual'!N20,0)))*parametros_manuales!$I$31*parametros_manuales!$J$31</f>
        <v>792.005</v>
      </c>
      <c r="M42" s="8">
        <f>(parametros_manuales!$D$31*('Plan mensual'!O13+IF(parametros_manuales!$H$31="Todos",'Plan mensual'!O17,0))+parametros_manuales!$E$31*('Plan mensual'!O14+IF(parametros_manuales!$H$31="Todos",'Plan mensual'!O18,0))+parametros_manuales!$F$31*('Plan mensual'!O15+IF(parametros_manuales!$H$31="Todos",'Plan mensual'!O19,0))+parametros_manuales!$G$31*('Plan mensual'!O16+IF(parametros_manuales!$H$31="Todos",'Plan mensual'!O20,0)))*parametros_manuales!$I$31*parametros_manuales!$J$31</f>
        <v>1257.43</v>
      </c>
      <c r="N42" s="8">
        <f t="shared" si="4"/>
        <v>10886</v>
      </c>
      <c r="O42" s="8">
        <f t="shared" si="5"/>
        <v>1257.43</v>
      </c>
      <c r="P42" s="27">
        <f>O42/(parametros_manuales!$B$7)</f>
        <v>8.382866667</v>
      </c>
      <c r="Q42" s="4" t="str">
        <f t="shared" si="6"/>
        <v>Dic</v>
      </c>
    </row>
    <row r="43" ht="14.25" customHeight="1">
      <c r="A43" s="4" t="str">
        <f>parametros_manuales!$B$32</f>
        <v>Control de calidad — Espesor</v>
      </c>
      <c r="B43" s="8">
        <f>(parametros_manuales!$D$32*('Plan mensual'!D13+IF(parametros_manuales!$H$32="Todos",'Plan mensual'!D17,0))+parametros_manuales!$E$32*('Plan mensual'!D14+IF(parametros_manuales!$H$32="Todos",'Plan mensual'!D18,0))+parametros_manuales!$F$32*('Plan mensual'!D15+IF(parametros_manuales!$H$32="Todos",'Plan mensual'!D19,0))+parametros_manuales!$G$32*('Plan mensual'!D16+IF(parametros_manuales!$H$32="Todos",'Plan mensual'!D20,0)))*parametros_manuales!$I$32*parametros_manuales!$J$32</f>
        <v>24.1708</v>
      </c>
      <c r="C43" s="8">
        <f>(parametros_manuales!$D$32*('Plan mensual'!E13+IF(parametros_manuales!$H$32="Todos",'Plan mensual'!E17,0))+parametros_manuales!$E$32*('Plan mensual'!E14+IF(parametros_manuales!$H$32="Todos",'Plan mensual'!E18,0))+parametros_manuales!$F$32*('Plan mensual'!E15+IF(parametros_manuales!$H$32="Todos",'Plan mensual'!E19,0))+parametros_manuales!$G$32*('Plan mensual'!E16+IF(parametros_manuales!$H$32="Todos",'Plan mensual'!E20,0)))*parametros_manuales!$I$32*parametros_manuales!$J$32</f>
        <v>18.617</v>
      </c>
      <c r="D43" s="8">
        <f>(parametros_manuales!$D$32*('Plan mensual'!F13+IF(parametros_manuales!$H$32="Todos",'Plan mensual'!F17,0))+parametros_manuales!$E$32*('Plan mensual'!F14+IF(parametros_manuales!$H$32="Todos",'Plan mensual'!F18,0))+parametros_manuales!$F$32*('Plan mensual'!F15+IF(parametros_manuales!$H$32="Todos",'Plan mensual'!F19,0))+parametros_manuales!$G$32*('Plan mensual'!F16+IF(parametros_manuales!$H$32="Todos",'Plan mensual'!F20,0)))*parametros_manuales!$I$32*parametros_manuales!$J$32</f>
        <v>17.9065</v>
      </c>
      <c r="E43" s="8">
        <f>(parametros_manuales!$D$32*('Plan mensual'!G13+IF(parametros_manuales!$H$32="Todos",'Plan mensual'!G17,0))+parametros_manuales!$E$32*('Plan mensual'!G14+IF(parametros_manuales!$H$32="Todos",'Plan mensual'!G18,0))+parametros_manuales!$F$32*('Plan mensual'!G15+IF(parametros_manuales!$H$32="Todos",'Plan mensual'!G19,0))+parametros_manuales!$G$32*('Plan mensual'!G16+IF(parametros_manuales!$H$32="Todos",'Plan mensual'!G20,0)))*parametros_manuales!$I$32*parametros_manuales!$J$32</f>
        <v>17.3068</v>
      </c>
      <c r="F43" s="8">
        <f>(parametros_manuales!$D$32*('Plan mensual'!H13+IF(parametros_manuales!$H$32="Todos",'Plan mensual'!H17,0))+parametros_manuales!$E$32*('Plan mensual'!H14+IF(parametros_manuales!$H$32="Todos",'Plan mensual'!H18,0))+parametros_manuales!$F$32*('Plan mensual'!H15+IF(parametros_manuales!$H$32="Todos",'Plan mensual'!H19,0))+parametros_manuales!$G$32*('Plan mensual'!H16+IF(parametros_manuales!$H$32="Todos",'Plan mensual'!H20,0)))*parametros_manuales!$I$32*parametros_manuales!$J$32</f>
        <v>16.2182</v>
      </c>
      <c r="G43" s="8">
        <f>(parametros_manuales!$D$32*('Plan mensual'!I13+IF(parametros_manuales!$H$32="Todos",'Plan mensual'!I17,0))+parametros_manuales!$E$32*('Plan mensual'!I14+IF(parametros_manuales!$H$32="Todos",'Plan mensual'!I18,0))+parametros_manuales!$F$32*('Plan mensual'!I15+IF(parametros_manuales!$H$32="Todos",'Plan mensual'!I19,0))+parametros_manuales!$G$32*('Plan mensual'!I16+IF(parametros_manuales!$H$32="Todos",'Plan mensual'!I20,0)))*parametros_manuales!$I$32*parametros_manuales!$J$32</f>
        <v>15.7293</v>
      </c>
      <c r="H43" s="8">
        <f>(parametros_manuales!$D$32*('Plan mensual'!J13+IF(parametros_manuales!$H$32="Todos",'Plan mensual'!J17,0))+parametros_manuales!$E$32*('Plan mensual'!J14+IF(parametros_manuales!$H$32="Todos",'Plan mensual'!J18,0))+parametros_manuales!$F$32*('Plan mensual'!J15+IF(parametros_manuales!$H$32="Todos",'Plan mensual'!J19,0))+parametros_manuales!$G$32*('Plan mensual'!J16+IF(parametros_manuales!$H$32="Todos",'Plan mensual'!J20,0)))*parametros_manuales!$I$32*parametros_manuales!$J$32</f>
        <v>16.8179</v>
      </c>
      <c r="I43" s="8">
        <f>(parametros_manuales!$D$32*('Plan mensual'!K13+IF(parametros_manuales!$H$32="Todos",'Plan mensual'!K17,0))+parametros_manuales!$E$32*('Plan mensual'!K14+IF(parametros_manuales!$H$32="Todos",'Plan mensual'!K18,0))+parametros_manuales!$F$32*('Plan mensual'!K15+IF(parametros_manuales!$H$32="Todos",'Plan mensual'!K19,0))+parametros_manuales!$G$32*('Plan mensual'!K16+IF(parametros_manuales!$H$32="Todos",'Plan mensual'!K20,0)))*parametros_manuales!$I$32*parametros_manuales!$J$32</f>
        <v>16.8179</v>
      </c>
      <c r="J43" s="8">
        <f>(parametros_manuales!$D$32*('Plan mensual'!L13+IF(parametros_manuales!$H$32="Todos",'Plan mensual'!L17,0))+parametros_manuales!$E$32*('Plan mensual'!L14+IF(parametros_manuales!$H$32="Todos",'Plan mensual'!L18,0))+parametros_manuales!$F$32*('Plan mensual'!L15+IF(parametros_manuales!$H$32="Todos",'Plan mensual'!L19,0))+parametros_manuales!$G$32*('Plan mensual'!L16+IF(parametros_manuales!$H$32="Todos",'Plan mensual'!L20,0)))*parametros_manuales!$I$32*parametros_manuales!$J$32</f>
        <v>16.8179</v>
      </c>
      <c r="K43" s="8">
        <f>(parametros_manuales!$D$32*('Plan mensual'!M13+IF(parametros_manuales!$H$32="Todos",'Plan mensual'!M17,0))+parametros_manuales!$E$32*('Plan mensual'!M14+IF(parametros_manuales!$H$32="Todos",'Plan mensual'!M18,0))+parametros_manuales!$F$32*('Plan mensual'!M15+IF(parametros_manuales!$H$32="Todos",'Plan mensual'!M19,0))+parametros_manuales!$G$32*('Plan mensual'!M16+IF(parametros_manuales!$H$32="Todos",'Plan mensual'!M20,0)))*parametros_manuales!$I$32*parametros_manuales!$J$32</f>
        <v>16.329</v>
      </c>
      <c r="L43" s="8">
        <f>(parametros_manuales!$D$32*('Plan mensual'!N13+IF(parametros_manuales!$H$32="Todos",'Plan mensual'!N17,0))+parametros_manuales!$E$32*('Plan mensual'!N14+IF(parametros_manuales!$H$32="Todos",'Plan mensual'!N18,0))+parametros_manuales!$F$32*('Plan mensual'!N15+IF(parametros_manuales!$H$32="Todos",'Plan mensual'!N19,0))+parametros_manuales!$G$32*('Plan mensual'!N16+IF(parametros_manuales!$H$32="Todos",'Plan mensual'!N20,0)))*parametros_manuales!$I$32*parametros_manuales!$J$32</f>
        <v>15.8401</v>
      </c>
      <c r="M43" s="8">
        <f>(parametros_manuales!$D$32*('Plan mensual'!O13+IF(parametros_manuales!$H$32="Todos",'Plan mensual'!O17,0))+parametros_manuales!$E$32*('Plan mensual'!O14+IF(parametros_manuales!$H$32="Todos",'Plan mensual'!O18,0))+parametros_manuales!$F$32*('Plan mensual'!O15+IF(parametros_manuales!$H$32="Todos",'Plan mensual'!O19,0))+parametros_manuales!$G$32*('Plan mensual'!O16+IF(parametros_manuales!$H$32="Todos",'Plan mensual'!O20,0)))*parametros_manuales!$I$32*parametros_manuales!$J$32</f>
        <v>25.1486</v>
      </c>
      <c r="N43" s="8">
        <f t="shared" si="4"/>
        <v>217.72</v>
      </c>
      <c r="O43" s="8">
        <f t="shared" si="5"/>
        <v>25.1486</v>
      </c>
      <c r="P43" s="27">
        <f>O43/(parametros_manuales!$B$7)</f>
        <v>0.1676573333</v>
      </c>
      <c r="Q43" s="4" t="str">
        <f t="shared" si="6"/>
        <v>Dic</v>
      </c>
    </row>
    <row r="44" ht="14.25" customHeight="1">
      <c r="A44" s="4" t="str">
        <f>parametros_manuales!$B$33</f>
        <v>Prueba hidráulica</v>
      </c>
      <c r="B44" s="8">
        <f>(parametros_manuales!$D$33*('Plan mensual'!D13+IF(parametros_manuales!$H$33="Todos",'Plan mensual'!D17,0))+parametros_manuales!$E$33*('Plan mensual'!D14+IF(parametros_manuales!$H$33="Todos",'Plan mensual'!D18,0))+parametros_manuales!$F$33*('Plan mensual'!D15+IF(parametros_manuales!$H$33="Todos",'Plan mensual'!D19,0))+parametros_manuales!$G$33*('Plan mensual'!D16+IF(parametros_manuales!$H$33="Todos",'Plan mensual'!D20,0)))*parametros_manuales!$I$33*parametros_manuales!$J$33</f>
        <v>1208.54</v>
      </c>
      <c r="C44" s="8">
        <f>(parametros_manuales!$D$33*('Plan mensual'!E13+IF(parametros_manuales!$H$33="Todos",'Plan mensual'!E17,0))+parametros_manuales!$E$33*('Plan mensual'!E14+IF(parametros_manuales!$H$33="Todos",'Plan mensual'!E18,0))+parametros_manuales!$F$33*('Plan mensual'!E15+IF(parametros_manuales!$H$33="Todos",'Plan mensual'!E19,0))+parametros_manuales!$G$33*('Plan mensual'!E16+IF(parametros_manuales!$H$33="Todos",'Plan mensual'!E20,0)))*parametros_manuales!$I$33*parametros_manuales!$J$33</f>
        <v>930.85</v>
      </c>
      <c r="D44" s="8">
        <f>(parametros_manuales!$D$33*('Plan mensual'!F13+IF(parametros_manuales!$H$33="Todos",'Plan mensual'!F17,0))+parametros_manuales!$E$33*('Plan mensual'!F14+IF(parametros_manuales!$H$33="Todos",'Plan mensual'!F18,0))+parametros_manuales!$F$33*('Plan mensual'!F15+IF(parametros_manuales!$H$33="Todos",'Plan mensual'!F19,0))+parametros_manuales!$G$33*('Plan mensual'!F16+IF(parametros_manuales!$H$33="Todos",'Plan mensual'!F20,0)))*parametros_manuales!$I$33*parametros_manuales!$J$33</f>
        <v>895.325</v>
      </c>
      <c r="E44" s="8">
        <f>(parametros_manuales!$D$33*('Plan mensual'!G13+IF(parametros_manuales!$H$33="Todos",'Plan mensual'!G17,0))+parametros_manuales!$E$33*('Plan mensual'!G14+IF(parametros_manuales!$H$33="Todos",'Plan mensual'!G18,0))+parametros_manuales!$F$33*('Plan mensual'!G15+IF(parametros_manuales!$H$33="Todos",'Plan mensual'!G19,0))+parametros_manuales!$G$33*('Plan mensual'!G16+IF(parametros_manuales!$H$33="Todos",'Plan mensual'!G20,0)))*parametros_manuales!$I$33*parametros_manuales!$J$33</f>
        <v>865.34</v>
      </c>
      <c r="F44" s="8">
        <f>(parametros_manuales!$D$33*('Plan mensual'!H13+IF(parametros_manuales!$H$33="Todos",'Plan mensual'!H17,0))+parametros_manuales!$E$33*('Plan mensual'!H14+IF(parametros_manuales!$H$33="Todos",'Plan mensual'!H18,0))+parametros_manuales!$F$33*('Plan mensual'!H15+IF(parametros_manuales!$H$33="Todos",'Plan mensual'!H19,0))+parametros_manuales!$G$33*('Plan mensual'!H16+IF(parametros_manuales!$H$33="Todos",'Plan mensual'!H20,0)))*parametros_manuales!$I$33*parametros_manuales!$J$33</f>
        <v>810.91</v>
      </c>
      <c r="G44" s="8">
        <f>(parametros_manuales!$D$33*('Plan mensual'!I13+IF(parametros_manuales!$H$33="Todos",'Plan mensual'!I17,0))+parametros_manuales!$E$33*('Plan mensual'!I14+IF(parametros_manuales!$H$33="Todos",'Plan mensual'!I18,0))+parametros_manuales!$F$33*('Plan mensual'!I15+IF(parametros_manuales!$H$33="Todos",'Plan mensual'!I19,0))+parametros_manuales!$G$33*('Plan mensual'!I16+IF(parametros_manuales!$H$33="Todos",'Plan mensual'!I20,0)))*parametros_manuales!$I$33*parametros_manuales!$J$33</f>
        <v>786.465</v>
      </c>
      <c r="H44" s="8">
        <f>(parametros_manuales!$D$33*('Plan mensual'!J13+IF(parametros_manuales!$H$33="Todos",'Plan mensual'!J17,0))+parametros_manuales!$E$33*('Plan mensual'!J14+IF(parametros_manuales!$H$33="Todos",'Plan mensual'!J18,0))+parametros_manuales!$F$33*('Plan mensual'!J15+IF(parametros_manuales!$H$33="Todos",'Plan mensual'!J19,0))+parametros_manuales!$G$33*('Plan mensual'!J16+IF(parametros_manuales!$H$33="Todos",'Plan mensual'!J20,0)))*parametros_manuales!$I$33*parametros_manuales!$J$33</f>
        <v>840.895</v>
      </c>
      <c r="I44" s="8">
        <f>(parametros_manuales!$D$33*('Plan mensual'!K13+IF(parametros_manuales!$H$33="Todos",'Plan mensual'!K17,0))+parametros_manuales!$E$33*('Plan mensual'!K14+IF(parametros_manuales!$H$33="Todos",'Plan mensual'!K18,0))+parametros_manuales!$F$33*('Plan mensual'!K15+IF(parametros_manuales!$H$33="Todos",'Plan mensual'!K19,0))+parametros_manuales!$G$33*('Plan mensual'!K16+IF(parametros_manuales!$H$33="Todos",'Plan mensual'!K20,0)))*parametros_manuales!$I$33*parametros_manuales!$J$33</f>
        <v>840.895</v>
      </c>
      <c r="J44" s="8">
        <f>(parametros_manuales!$D$33*('Plan mensual'!L13+IF(parametros_manuales!$H$33="Todos",'Plan mensual'!L17,0))+parametros_manuales!$E$33*('Plan mensual'!L14+IF(parametros_manuales!$H$33="Todos",'Plan mensual'!L18,0))+parametros_manuales!$F$33*('Plan mensual'!L15+IF(parametros_manuales!$H$33="Todos",'Plan mensual'!L19,0))+parametros_manuales!$G$33*('Plan mensual'!L16+IF(parametros_manuales!$H$33="Todos",'Plan mensual'!L20,0)))*parametros_manuales!$I$33*parametros_manuales!$J$33</f>
        <v>840.895</v>
      </c>
      <c r="K44" s="8">
        <f>(parametros_manuales!$D$33*('Plan mensual'!M13+IF(parametros_manuales!$H$33="Todos",'Plan mensual'!M17,0))+parametros_manuales!$E$33*('Plan mensual'!M14+IF(parametros_manuales!$H$33="Todos",'Plan mensual'!M18,0))+parametros_manuales!$F$33*('Plan mensual'!M15+IF(parametros_manuales!$H$33="Todos",'Plan mensual'!M19,0))+parametros_manuales!$G$33*('Plan mensual'!M16+IF(parametros_manuales!$H$33="Todos",'Plan mensual'!M20,0)))*parametros_manuales!$I$33*parametros_manuales!$J$33</f>
        <v>816.45</v>
      </c>
      <c r="L44" s="8">
        <f>(parametros_manuales!$D$33*('Plan mensual'!N13+IF(parametros_manuales!$H$33="Todos",'Plan mensual'!N17,0))+parametros_manuales!$E$33*('Plan mensual'!N14+IF(parametros_manuales!$H$33="Todos",'Plan mensual'!N18,0))+parametros_manuales!$F$33*('Plan mensual'!N15+IF(parametros_manuales!$H$33="Todos",'Plan mensual'!N19,0))+parametros_manuales!$G$33*('Plan mensual'!N16+IF(parametros_manuales!$H$33="Todos",'Plan mensual'!N20,0)))*parametros_manuales!$I$33*parametros_manuales!$J$33</f>
        <v>792.005</v>
      </c>
      <c r="M44" s="8">
        <f>(parametros_manuales!$D$33*('Plan mensual'!O13+IF(parametros_manuales!$H$33="Todos",'Plan mensual'!O17,0))+parametros_manuales!$E$33*('Plan mensual'!O14+IF(parametros_manuales!$H$33="Todos",'Plan mensual'!O18,0))+parametros_manuales!$F$33*('Plan mensual'!O15+IF(parametros_manuales!$H$33="Todos",'Plan mensual'!O19,0))+parametros_manuales!$G$33*('Plan mensual'!O16+IF(parametros_manuales!$H$33="Todos",'Plan mensual'!O20,0)))*parametros_manuales!$I$33*parametros_manuales!$J$33</f>
        <v>1257.43</v>
      </c>
      <c r="N44" s="8">
        <f t="shared" si="4"/>
        <v>10886</v>
      </c>
      <c r="O44" s="8">
        <f t="shared" si="5"/>
        <v>1257.43</v>
      </c>
      <c r="P44" s="27">
        <f>O44/(parametros_manuales!$B$7)</f>
        <v>8.382866667</v>
      </c>
      <c r="Q44" s="4" t="str">
        <f t="shared" si="6"/>
        <v>Dic</v>
      </c>
    </row>
    <row r="45" ht="14.25" customHeight="1">
      <c r="A45" s="4" t="str">
        <f>parametros_manuales!$B$34</f>
        <v>Secado</v>
      </c>
      <c r="B45" s="8">
        <f>(parametros_manuales!$D$34*('Plan mensual'!D13+IF(parametros_manuales!$H$34="Todos",'Plan mensual'!D17,0))+parametros_manuales!$E$34*('Plan mensual'!D14+IF(parametros_manuales!$H$34="Todos",'Plan mensual'!D18,0))+parametros_manuales!$F$34*('Plan mensual'!D15+IF(parametros_manuales!$H$34="Todos",'Plan mensual'!D19,0))+parametros_manuales!$G$34*('Plan mensual'!D16+IF(parametros_manuales!$H$34="Todos",'Plan mensual'!D20,0)))*parametros_manuales!$I$34*parametros_manuales!$J$34</f>
        <v>1208.54</v>
      </c>
      <c r="C45" s="8">
        <f>(parametros_manuales!$D$34*('Plan mensual'!E13+IF(parametros_manuales!$H$34="Todos",'Plan mensual'!E17,0))+parametros_manuales!$E$34*('Plan mensual'!E14+IF(parametros_manuales!$H$34="Todos",'Plan mensual'!E18,0))+parametros_manuales!$F$34*('Plan mensual'!E15+IF(parametros_manuales!$H$34="Todos",'Plan mensual'!E19,0))+parametros_manuales!$G$34*('Plan mensual'!E16+IF(parametros_manuales!$H$34="Todos",'Plan mensual'!E20,0)))*parametros_manuales!$I$34*parametros_manuales!$J$34</f>
        <v>930.85</v>
      </c>
      <c r="D45" s="8">
        <f>(parametros_manuales!$D$34*('Plan mensual'!F13+IF(parametros_manuales!$H$34="Todos",'Plan mensual'!F17,0))+parametros_manuales!$E$34*('Plan mensual'!F14+IF(parametros_manuales!$H$34="Todos",'Plan mensual'!F18,0))+parametros_manuales!$F$34*('Plan mensual'!F15+IF(parametros_manuales!$H$34="Todos",'Plan mensual'!F19,0))+parametros_manuales!$G$34*('Plan mensual'!F16+IF(parametros_manuales!$H$34="Todos",'Plan mensual'!F20,0)))*parametros_manuales!$I$34*parametros_manuales!$J$34</f>
        <v>895.325</v>
      </c>
      <c r="E45" s="8">
        <f>(parametros_manuales!$D$34*('Plan mensual'!G13+IF(parametros_manuales!$H$34="Todos",'Plan mensual'!G17,0))+parametros_manuales!$E$34*('Plan mensual'!G14+IF(parametros_manuales!$H$34="Todos",'Plan mensual'!G18,0))+parametros_manuales!$F$34*('Plan mensual'!G15+IF(parametros_manuales!$H$34="Todos",'Plan mensual'!G19,0))+parametros_manuales!$G$34*('Plan mensual'!G16+IF(parametros_manuales!$H$34="Todos",'Plan mensual'!G20,0)))*parametros_manuales!$I$34*parametros_manuales!$J$34</f>
        <v>865.34</v>
      </c>
      <c r="F45" s="8">
        <f>(parametros_manuales!$D$34*('Plan mensual'!H13+IF(parametros_manuales!$H$34="Todos",'Plan mensual'!H17,0))+parametros_manuales!$E$34*('Plan mensual'!H14+IF(parametros_manuales!$H$34="Todos",'Plan mensual'!H18,0))+parametros_manuales!$F$34*('Plan mensual'!H15+IF(parametros_manuales!$H$34="Todos",'Plan mensual'!H19,0))+parametros_manuales!$G$34*('Plan mensual'!H16+IF(parametros_manuales!$H$34="Todos",'Plan mensual'!H20,0)))*parametros_manuales!$I$34*parametros_manuales!$J$34</f>
        <v>810.91</v>
      </c>
      <c r="G45" s="8">
        <f>(parametros_manuales!$D$34*('Plan mensual'!I13+IF(parametros_manuales!$H$34="Todos",'Plan mensual'!I17,0))+parametros_manuales!$E$34*('Plan mensual'!I14+IF(parametros_manuales!$H$34="Todos",'Plan mensual'!I18,0))+parametros_manuales!$F$34*('Plan mensual'!I15+IF(parametros_manuales!$H$34="Todos",'Plan mensual'!I19,0))+parametros_manuales!$G$34*('Plan mensual'!I16+IF(parametros_manuales!$H$34="Todos",'Plan mensual'!I20,0)))*parametros_manuales!$I$34*parametros_manuales!$J$34</f>
        <v>786.465</v>
      </c>
      <c r="H45" s="8">
        <f>(parametros_manuales!$D$34*('Plan mensual'!J13+IF(parametros_manuales!$H$34="Todos",'Plan mensual'!J17,0))+parametros_manuales!$E$34*('Plan mensual'!J14+IF(parametros_manuales!$H$34="Todos",'Plan mensual'!J18,0))+parametros_manuales!$F$34*('Plan mensual'!J15+IF(parametros_manuales!$H$34="Todos",'Plan mensual'!J19,0))+parametros_manuales!$G$34*('Plan mensual'!J16+IF(parametros_manuales!$H$34="Todos",'Plan mensual'!J20,0)))*parametros_manuales!$I$34*parametros_manuales!$J$34</f>
        <v>840.895</v>
      </c>
      <c r="I45" s="8">
        <f>(parametros_manuales!$D$34*('Plan mensual'!K13+IF(parametros_manuales!$H$34="Todos",'Plan mensual'!K17,0))+parametros_manuales!$E$34*('Plan mensual'!K14+IF(parametros_manuales!$H$34="Todos",'Plan mensual'!K18,0))+parametros_manuales!$F$34*('Plan mensual'!K15+IF(parametros_manuales!$H$34="Todos",'Plan mensual'!K19,0))+parametros_manuales!$G$34*('Plan mensual'!K16+IF(parametros_manuales!$H$34="Todos",'Plan mensual'!K20,0)))*parametros_manuales!$I$34*parametros_manuales!$J$34</f>
        <v>840.895</v>
      </c>
      <c r="J45" s="8">
        <f>(parametros_manuales!$D$34*('Plan mensual'!L13+IF(parametros_manuales!$H$34="Todos",'Plan mensual'!L17,0))+parametros_manuales!$E$34*('Plan mensual'!L14+IF(parametros_manuales!$H$34="Todos",'Plan mensual'!L18,0))+parametros_manuales!$F$34*('Plan mensual'!L15+IF(parametros_manuales!$H$34="Todos",'Plan mensual'!L19,0))+parametros_manuales!$G$34*('Plan mensual'!L16+IF(parametros_manuales!$H$34="Todos",'Plan mensual'!L20,0)))*parametros_manuales!$I$34*parametros_manuales!$J$34</f>
        <v>840.895</v>
      </c>
      <c r="K45" s="8">
        <f>(parametros_manuales!$D$34*('Plan mensual'!M13+IF(parametros_manuales!$H$34="Todos",'Plan mensual'!M17,0))+parametros_manuales!$E$34*('Plan mensual'!M14+IF(parametros_manuales!$H$34="Todos",'Plan mensual'!M18,0))+parametros_manuales!$F$34*('Plan mensual'!M15+IF(parametros_manuales!$H$34="Todos",'Plan mensual'!M19,0))+parametros_manuales!$G$34*('Plan mensual'!M16+IF(parametros_manuales!$H$34="Todos",'Plan mensual'!M20,0)))*parametros_manuales!$I$34*parametros_manuales!$J$34</f>
        <v>816.45</v>
      </c>
      <c r="L45" s="8">
        <f>(parametros_manuales!$D$34*('Plan mensual'!N13+IF(parametros_manuales!$H$34="Todos",'Plan mensual'!N17,0))+parametros_manuales!$E$34*('Plan mensual'!N14+IF(parametros_manuales!$H$34="Todos",'Plan mensual'!N18,0))+parametros_manuales!$F$34*('Plan mensual'!N15+IF(parametros_manuales!$H$34="Todos",'Plan mensual'!N19,0))+parametros_manuales!$G$34*('Plan mensual'!N16+IF(parametros_manuales!$H$34="Todos",'Plan mensual'!N20,0)))*parametros_manuales!$I$34*parametros_manuales!$J$34</f>
        <v>792.005</v>
      </c>
      <c r="M45" s="8">
        <f>(parametros_manuales!$D$34*('Plan mensual'!O13+IF(parametros_manuales!$H$34="Todos",'Plan mensual'!O17,0))+parametros_manuales!$E$34*('Plan mensual'!O14+IF(parametros_manuales!$H$34="Todos",'Plan mensual'!O18,0))+parametros_manuales!$F$34*('Plan mensual'!O15+IF(parametros_manuales!$H$34="Todos",'Plan mensual'!O19,0))+parametros_manuales!$G$34*('Plan mensual'!O16+IF(parametros_manuales!$H$34="Todos",'Plan mensual'!O20,0)))*parametros_manuales!$I$34*parametros_manuales!$J$34</f>
        <v>1257.43</v>
      </c>
      <c r="N45" s="8">
        <f t="shared" si="4"/>
        <v>10886</v>
      </c>
      <c r="O45" s="8">
        <f t="shared" si="5"/>
        <v>1257.43</v>
      </c>
      <c r="P45" s="27">
        <f>O45/(parametros_manuales!$B$7)</f>
        <v>8.382866667</v>
      </c>
      <c r="Q45" s="4" t="str">
        <f t="shared" si="6"/>
        <v>Dic</v>
      </c>
    </row>
    <row r="46" ht="14.25" customHeight="1">
      <c r="A46" s="4" t="str">
        <f>parametros_manuales!$B$35</f>
        <v>Granallado</v>
      </c>
      <c r="B46" s="8">
        <f>(parametros_manuales!$D$35*('Plan mensual'!D13+IF(parametros_manuales!$H$35="Todos",'Plan mensual'!D17,0))+parametros_manuales!$E$35*('Plan mensual'!D14+IF(parametros_manuales!$H$35="Todos",'Plan mensual'!D18,0))+parametros_manuales!$F$35*('Plan mensual'!D15+IF(parametros_manuales!$H$35="Todos",'Plan mensual'!D19,0))+parametros_manuales!$G$35*('Plan mensual'!D16+IF(parametros_manuales!$H$35="Todos",'Plan mensual'!D20,0)))*parametros_manuales!$I$35*parametros_manuales!$J$35</f>
        <v>1208.54</v>
      </c>
      <c r="C46" s="8">
        <f>(parametros_manuales!$D$35*('Plan mensual'!E13+IF(parametros_manuales!$H$35="Todos",'Plan mensual'!E17,0))+parametros_manuales!$E$35*('Plan mensual'!E14+IF(parametros_manuales!$H$35="Todos",'Plan mensual'!E18,0))+parametros_manuales!$F$35*('Plan mensual'!E15+IF(parametros_manuales!$H$35="Todos",'Plan mensual'!E19,0))+parametros_manuales!$G$35*('Plan mensual'!E16+IF(parametros_manuales!$H$35="Todos",'Plan mensual'!E20,0)))*parametros_manuales!$I$35*parametros_manuales!$J$35</f>
        <v>930.85</v>
      </c>
      <c r="D46" s="8">
        <f>(parametros_manuales!$D$35*('Plan mensual'!F13+IF(parametros_manuales!$H$35="Todos",'Plan mensual'!F17,0))+parametros_manuales!$E$35*('Plan mensual'!F14+IF(parametros_manuales!$H$35="Todos",'Plan mensual'!F18,0))+parametros_manuales!$F$35*('Plan mensual'!F15+IF(parametros_manuales!$H$35="Todos",'Plan mensual'!F19,0))+parametros_manuales!$G$35*('Plan mensual'!F16+IF(parametros_manuales!$H$35="Todos",'Plan mensual'!F20,0)))*parametros_manuales!$I$35*parametros_manuales!$J$35</f>
        <v>895.325</v>
      </c>
      <c r="E46" s="8">
        <f>(parametros_manuales!$D$35*('Plan mensual'!G13+IF(parametros_manuales!$H$35="Todos",'Plan mensual'!G17,0))+parametros_manuales!$E$35*('Plan mensual'!G14+IF(parametros_manuales!$H$35="Todos",'Plan mensual'!G18,0))+parametros_manuales!$F$35*('Plan mensual'!G15+IF(parametros_manuales!$H$35="Todos",'Plan mensual'!G19,0))+parametros_manuales!$G$35*('Plan mensual'!G16+IF(parametros_manuales!$H$35="Todos",'Plan mensual'!G20,0)))*parametros_manuales!$I$35*parametros_manuales!$J$35</f>
        <v>865.34</v>
      </c>
      <c r="F46" s="8">
        <f>(parametros_manuales!$D$35*('Plan mensual'!H13+IF(parametros_manuales!$H$35="Todos",'Plan mensual'!H17,0))+parametros_manuales!$E$35*('Plan mensual'!H14+IF(parametros_manuales!$H$35="Todos",'Plan mensual'!H18,0))+parametros_manuales!$F$35*('Plan mensual'!H15+IF(parametros_manuales!$H$35="Todos",'Plan mensual'!H19,0))+parametros_manuales!$G$35*('Plan mensual'!H16+IF(parametros_manuales!$H$35="Todos",'Plan mensual'!H20,0)))*parametros_manuales!$I$35*parametros_manuales!$J$35</f>
        <v>810.91</v>
      </c>
      <c r="G46" s="8">
        <f>(parametros_manuales!$D$35*('Plan mensual'!I13+IF(parametros_manuales!$H$35="Todos",'Plan mensual'!I17,0))+parametros_manuales!$E$35*('Plan mensual'!I14+IF(parametros_manuales!$H$35="Todos",'Plan mensual'!I18,0))+parametros_manuales!$F$35*('Plan mensual'!I15+IF(parametros_manuales!$H$35="Todos",'Plan mensual'!I19,0))+parametros_manuales!$G$35*('Plan mensual'!I16+IF(parametros_manuales!$H$35="Todos",'Plan mensual'!I20,0)))*parametros_manuales!$I$35*parametros_manuales!$J$35</f>
        <v>786.465</v>
      </c>
      <c r="H46" s="8">
        <f>(parametros_manuales!$D$35*('Plan mensual'!J13+IF(parametros_manuales!$H$35="Todos",'Plan mensual'!J17,0))+parametros_manuales!$E$35*('Plan mensual'!J14+IF(parametros_manuales!$H$35="Todos",'Plan mensual'!J18,0))+parametros_manuales!$F$35*('Plan mensual'!J15+IF(parametros_manuales!$H$35="Todos",'Plan mensual'!J19,0))+parametros_manuales!$G$35*('Plan mensual'!J16+IF(parametros_manuales!$H$35="Todos",'Plan mensual'!J20,0)))*parametros_manuales!$I$35*parametros_manuales!$J$35</f>
        <v>840.895</v>
      </c>
      <c r="I46" s="8">
        <f>(parametros_manuales!$D$35*('Plan mensual'!K13+IF(parametros_manuales!$H$35="Todos",'Plan mensual'!K17,0))+parametros_manuales!$E$35*('Plan mensual'!K14+IF(parametros_manuales!$H$35="Todos",'Plan mensual'!K18,0))+parametros_manuales!$F$35*('Plan mensual'!K15+IF(parametros_manuales!$H$35="Todos",'Plan mensual'!K19,0))+parametros_manuales!$G$35*('Plan mensual'!K16+IF(parametros_manuales!$H$35="Todos",'Plan mensual'!K20,0)))*parametros_manuales!$I$35*parametros_manuales!$J$35</f>
        <v>840.895</v>
      </c>
      <c r="J46" s="8">
        <f>(parametros_manuales!$D$35*('Plan mensual'!L13+IF(parametros_manuales!$H$35="Todos",'Plan mensual'!L17,0))+parametros_manuales!$E$35*('Plan mensual'!L14+IF(parametros_manuales!$H$35="Todos",'Plan mensual'!L18,0))+parametros_manuales!$F$35*('Plan mensual'!L15+IF(parametros_manuales!$H$35="Todos",'Plan mensual'!L19,0))+parametros_manuales!$G$35*('Plan mensual'!L16+IF(parametros_manuales!$H$35="Todos",'Plan mensual'!L20,0)))*parametros_manuales!$I$35*parametros_manuales!$J$35</f>
        <v>840.895</v>
      </c>
      <c r="K46" s="8">
        <f>(parametros_manuales!$D$35*('Plan mensual'!M13+IF(parametros_manuales!$H$35="Todos",'Plan mensual'!M17,0))+parametros_manuales!$E$35*('Plan mensual'!M14+IF(parametros_manuales!$H$35="Todos",'Plan mensual'!M18,0))+parametros_manuales!$F$35*('Plan mensual'!M15+IF(parametros_manuales!$H$35="Todos",'Plan mensual'!M19,0))+parametros_manuales!$G$35*('Plan mensual'!M16+IF(parametros_manuales!$H$35="Todos",'Plan mensual'!M20,0)))*parametros_manuales!$I$35*parametros_manuales!$J$35</f>
        <v>816.45</v>
      </c>
      <c r="L46" s="8">
        <f>(parametros_manuales!$D$35*('Plan mensual'!N13+IF(parametros_manuales!$H$35="Todos",'Plan mensual'!N17,0))+parametros_manuales!$E$35*('Plan mensual'!N14+IF(parametros_manuales!$H$35="Todos",'Plan mensual'!N18,0))+parametros_manuales!$F$35*('Plan mensual'!N15+IF(parametros_manuales!$H$35="Todos",'Plan mensual'!N19,0))+parametros_manuales!$G$35*('Plan mensual'!N16+IF(parametros_manuales!$H$35="Todos",'Plan mensual'!N20,0)))*parametros_manuales!$I$35*parametros_manuales!$J$35</f>
        <v>792.005</v>
      </c>
      <c r="M46" s="8">
        <f>(parametros_manuales!$D$35*('Plan mensual'!O13+IF(parametros_manuales!$H$35="Todos",'Plan mensual'!O17,0))+parametros_manuales!$E$35*('Plan mensual'!O14+IF(parametros_manuales!$H$35="Todos",'Plan mensual'!O18,0))+parametros_manuales!$F$35*('Plan mensual'!O15+IF(parametros_manuales!$H$35="Todos",'Plan mensual'!O19,0))+parametros_manuales!$G$35*('Plan mensual'!O16+IF(parametros_manuales!$H$35="Todos",'Plan mensual'!O20,0)))*parametros_manuales!$I$35*parametros_manuales!$J$35</f>
        <v>1257.43</v>
      </c>
      <c r="N46" s="8">
        <f t="shared" si="4"/>
        <v>10886</v>
      </c>
      <c r="O46" s="8">
        <f t="shared" si="5"/>
        <v>1257.43</v>
      </c>
      <c r="P46" s="27">
        <f>O46/(parametros_manuales!$B$7)</f>
        <v>8.382866667</v>
      </c>
      <c r="Q46" s="4" t="str">
        <f t="shared" si="6"/>
        <v>Dic</v>
      </c>
    </row>
    <row r="47" ht="14.25" customHeight="1">
      <c r="A47" s="4" t="str">
        <f>parametros_manuales!$B$36</f>
        <v>Detección de defectos</v>
      </c>
      <c r="B47" s="8">
        <f>(parametros_manuales!$D$36*('Plan mensual'!D13+IF(parametros_manuales!$H$36="Todos",'Plan mensual'!D17,0))+parametros_manuales!$E$36*('Plan mensual'!D14+IF(parametros_manuales!$H$36="Todos",'Plan mensual'!D18,0))+parametros_manuales!$F$36*('Plan mensual'!D15+IF(parametros_manuales!$H$36="Todos",'Plan mensual'!D19,0))+parametros_manuales!$G$36*('Plan mensual'!D16+IF(parametros_manuales!$H$36="Todos",'Plan mensual'!D20,0)))*parametros_manuales!$I$36*parametros_manuales!$J$36</f>
        <v>1208.54</v>
      </c>
      <c r="C47" s="8">
        <f>(parametros_manuales!$D$36*('Plan mensual'!E13+IF(parametros_manuales!$H$36="Todos",'Plan mensual'!E17,0))+parametros_manuales!$E$36*('Plan mensual'!E14+IF(parametros_manuales!$H$36="Todos",'Plan mensual'!E18,0))+parametros_manuales!$F$36*('Plan mensual'!E15+IF(parametros_manuales!$H$36="Todos",'Plan mensual'!E19,0))+parametros_manuales!$G$36*('Plan mensual'!E16+IF(parametros_manuales!$H$36="Todos",'Plan mensual'!E20,0)))*parametros_manuales!$I$36*parametros_manuales!$J$36</f>
        <v>930.85</v>
      </c>
      <c r="D47" s="8">
        <f>(parametros_manuales!$D$36*('Plan mensual'!F13+IF(parametros_manuales!$H$36="Todos",'Plan mensual'!F17,0))+parametros_manuales!$E$36*('Plan mensual'!F14+IF(parametros_manuales!$H$36="Todos",'Plan mensual'!F18,0))+parametros_manuales!$F$36*('Plan mensual'!F15+IF(parametros_manuales!$H$36="Todos",'Plan mensual'!F19,0))+parametros_manuales!$G$36*('Plan mensual'!F16+IF(parametros_manuales!$H$36="Todos",'Plan mensual'!F20,0)))*parametros_manuales!$I$36*parametros_manuales!$J$36</f>
        <v>895.325</v>
      </c>
      <c r="E47" s="8">
        <f>(parametros_manuales!$D$36*('Plan mensual'!G13+IF(parametros_manuales!$H$36="Todos",'Plan mensual'!G17,0))+parametros_manuales!$E$36*('Plan mensual'!G14+IF(parametros_manuales!$H$36="Todos",'Plan mensual'!G18,0))+parametros_manuales!$F$36*('Plan mensual'!G15+IF(parametros_manuales!$H$36="Todos",'Plan mensual'!G19,0))+parametros_manuales!$G$36*('Plan mensual'!G16+IF(parametros_manuales!$H$36="Todos",'Plan mensual'!G20,0)))*parametros_manuales!$I$36*parametros_manuales!$J$36</f>
        <v>865.34</v>
      </c>
      <c r="F47" s="8">
        <f>(parametros_manuales!$D$36*('Plan mensual'!H13+IF(parametros_manuales!$H$36="Todos",'Plan mensual'!H17,0))+parametros_manuales!$E$36*('Plan mensual'!H14+IF(parametros_manuales!$H$36="Todos",'Plan mensual'!H18,0))+parametros_manuales!$F$36*('Plan mensual'!H15+IF(parametros_manuales!$H$36="Todos",'Plan mensual'!H19,0))+parametros_manuales!$G$36*('Plan mensual'!H16+IF(parametros_manuales!$H$36="Todos",'Plan mensual'!H20,0)))*parametros_manuales!$I$36*parametros_manuales!$J$36</f>
        <v>810.91</v>
      </c>
      <c r="G47" s="8">
        <f>(parametros_manuales!$D$36*('Plan mensual'!I13+IF(parametros_manuales!$H$36="Todos",'Plan mensual'!I17,0))+parametros_manuales!$E$36*('Plan mensual'!I14+IF(parametros_manuales!$H$36="Todos",'Plan mensual'!I18,0))+parametros_manuales!$F$36*('Plan mensual'!I15+IF(parametros_manuales!$H$36="Todos",'Plan mensual'!I19,0))+parametros_manuales!$G$36*('Plan mensual'!I16+IF(parametros_manuales!$H$36="Todos",'Plan mensual'!I20,0)))*parametros_manuales!$I$36*parametros_manuales!$J$36</f>
        <v>786.465</v>
      </c>
      <c r="H47" s="8">
        <f>(parametros_manuales!$D$36*('Plan mensual'!J13+IF(parametros_manuales!$H$36="Todos",'Plan mensual'!J17,0))+parametros_manuales!$E$36*('Plan mensual'!J14+IF(parametros_manuales!$H$36="Todos",'Plan mensual'!J18,0))+parametros_manuales!$F$36*('Plan mensual'!J15+IF(parametros_manuales!$H$36="Todos",'Plan mensual'!J19,0))+parametros_manuales!$G$36*('Plan mensual'!J16+IF(parametros_manuales!$H$36="Todos",'Plan mensual'!J20,0)))*parametros_manuales!$I$36*parametros_manuales!$J$36</f>
        <v>840.895</v>
      </c>
      <c r="I47" s="8">
        <f>(parametros_manuales!$D$36*('Plan mensual'!K13+IF(parametros_manuales!$H$36="Todos",'Plan mensual'!K17,0))+parametros_manuales!$E$36*('Plan mensual'!K14+IF(parametros_manuales!$H$36="Todos",'Plan mensual'!K18,0))+parametros_manuales!$F$36*('Plan mensual'!K15+IF(parametros_manuales!$H$36="Todos",'Plan mensual'!K19,0))+parametros_manuales!$G$36*('Plan mensual'!K16+IF(parametros_manuales!$H$36="Todos",'Plan mensual'!K20,0)))*parametros_manuales!$I$36*parametros_manuales!$J$36</f>
        <v>840.895</v>
      </c>
      <c r="J47" s="8">
        <f>(parametros_manuales!$D$36*('Plan mensual'!L13+IF(parametros_manuales!$H$36="Todos",'Plan mensual'!L17,0))+parametros_manuales!$E$36*('Plan mensual'!L14+IF(parametros_manuales!$H$36="Todos",'Plan mensual'!L18,0))+parametros_manuales!$F$36*('Plan mensual'!L15+IF(parametros_manuales!$H$36="Todos",'Plan mensual'!L19,0))+parametros_manuales!$G$36*('Plan mensual'!L16+IF(parametros_manuales!$H$36="Todos",'Plan mensual'!L20,0)))*parametros_manuales!$I$36*parametros_manuales!$J$36</f>
        <v>840.895</v>
      </c>
      <c r="K47" s="8">
        <f>(parametros_manuales!$D$36*('Plan mensual'!M13+IF(parametros_manuales!$H$36="Todos",'Plan mensual'!M17,0))+parametros_manuales!$E$36*('Plan mensual'!M14+IF(parametros_manuales!$H$36="Todos",'Plan mensual'!M18,0))+parametros_manuales!$F$36*('Plan mensual'!M15+IF(parametros_manuales!$H$36="Todos",'Plan mensual'!M19,0))+parametros_manuales!$G$36*('Plan mensual'!M16+IF(parametros_manuales!$H$36="Todos",'Plan mensual'!M20,0)))*parametros_manuales!$I$36*parametros_manuales!$J$36</f>
        <v>816.45</v>
      </c>
      <c r="L47" s="8">
        <f>(parametros_manuales!$D$36*('Plan mensual'!N13+IF(parametros_manuales!$H$36="Todos",'Plan mensual'!N17,0))+parametros_manuales!$E$36*('Plan mensual'!N14+IF(parametros_manuales!$H$36="Todos",'Plan mensual'!N18,0))+parametros_manuales!$F$36*('Plan mensual'!N15+IF(parametros_manuales!$H$36="Todos",'Plan mensual'!N19,0))+parametros_manuales!$G$36*('Plan mensual'!N16+IF(parametros_manuales!$H$36="Todos",'Plan mensual'!N20,0)))*parametros_manuales!$I$36*parametros_manuales!$J$36</f>
        <v>792.005</v>
      </c>
      <c r="M47" s="8">
        <f>(parametros_manuales!$D$36*('Plan mensual'!O13+IF(parametros_manuales!$H$36="Todos",'Plan mensual'!O17,0))+parametros_manuales!$E$36*('Plan mensual'!O14+IF(parametros_manuales!$H$36="Todos",'Plan mensual'!O18,0))+parametros_manuales!$F$36*('Plan mensual'!O15+IF(parametros_manuales!$H$36="Todos",'Plan mensual'!O19,0))+parametros_manuales!$G$36*('Plan mensual'!O16+IF(parametros_manuales!$H$36="Todos",'Plan mensual'!O20,0)))*parametros_manuales!$I$36*parametros_manuales!$J$36</f>
        <v>1257.43</v>
      </c>
      <c r="N47" s="8">
        <f t="shared" si="4"/>
        <v>10886</v>
      </c>
      <c r="O47" s="8">
        <f t="shared" si="5"/>
        <v>1257.43</v>
      </c>
      <c r="P47" s="27">
        <f>O47/(parametros_manuales!$B$7)</f>
        <v>8.382866667</v>
      </c>
      <c r="Q47" s="4" t="str">
        <f t="shared" si="6"/>
        <v>Dic</v>
      </c>
    </row>
    <row r="48" ht="14.25" customHeight="1">
      <c r="A48" s="4" t="str">
        <f>parametros_manuales!$B$37</f>
        <v>Corrección de defectos</v>
      </c>
      <c r="B48" s="8">
        <f>(parametros_manuales!$D$37*('Plan mensual'!D13+IF(parametros_manuales!$H$37="Todos",'Plan mensual'!D17,0))+parametros_manuales!$E$37*('Plan mensual'!D14+IF(parametros_manuales!$H$37="Todos",'Plan mensual'!D18,0))+parametros_manuales!$F$37*('Plan mensual'!D15+IF(parametros_manuales!$H$37="Todos",'Plan mensual'!D19,0))+parametros_manuales!$G$37*('Plan mensual'!D16+IF(parametros_manuales!$H$37="Todos",'Plan mensual'!D20,0)))*parametros_manuales!$I$37*parametros_manuales!$J$37</f>
        <v>60.427</v>
      </c>
      <c r="C48" s="8">
        <f>(parametros_manuales!$D$37*('Plan mensual'!E13+IF(parametros_manuales!$H$37="Todos",'Plan mensual'!E17,0))+parametros_manuales!$E$37*('Plan mensual'!E14+IF(parametros_manuales!$H$37="Todos",'Plan mensual'!E18,0))+parametros_manuales!$F$37*('Plan mensual'!E15+IF(parametros_manuales!$H$37="Todos",'Plan mensual'!E19,0))+parametros_manuales!$G$37*('Plan mensual'!E16+IF(parametros_manuales!$H$37="Todos",'Plan mensual'!E20,0)))*parametros_manuales!$I$37*parametros_manuales!$J$37</f>
        <v>46.5425</v>
      </c>
      <c r="D48" s="8">
        <f>(parametros_manuales!$D$37*('Plan mensual'!F13+IF(parametros_manuales!$H$37="Todos",'Plan mensual'!F17,0))+parametros_manuales!$E$37*('Plan mensual'!F14+IF(parametros_manuales!$H$37="Todos",'Plan mensual'!F18,0))+parametros_manuales!$F$37*('Plan mensual'!F15+IF(parametros_manuales!$H$37="Todos",'Plan mensual'!F19,0))+parametros_manuales!$G$37*('Plan mensual'!F16+IF(parametros_manuales!$H$37="Todos",'Plan mensual'!F20,0)))*parametros_manuales!$I$37*parametros_manuales!$J$37</f>
        <v>44.76625</v>
      </c>
      <c r="E48" s="8">
        <f>(parametros_manuales!$D$37*('Plan mensual'!G13+IF(parametros_manuales!$H$37="Todos",'Plan mensual'!G17,0))+parametros_manuales!$E$37*('Plan mensual'!G14+IF(parametros_manuales!$H$37="Todos",'Plan mensual'!G18,0))+parametros_manuales!$F$37*('Plan mensual'!G15+IF(parametros_manuales!$H$37="Todos",'Plan mensual'!G19,0))+parametros_manuales!$G$37*('Plan mensual'!G16+IF(parametros_manuales!$H$37="Todos",'Plan mensual'!G20,0)))*parametros_manuales!$I$37*parametros_manuales!$J$37</f>
        <v>43.267</v>
      </c>
      <c r="F48" s="8">
        <f>(parametros_manuales!$D$37*('Plan mensual'!H13+IF(parametros_manuales!$H$37="Todos",'Plan mensual'!H17,0))+parametros_manuales!$E$37*('Plan mensual'!H14+IF(parametros_manuales!$H$37="Todos",'Plan mensual'!H18,0))+parametros_manuales!$F$37*('Plan mensual'!H15+IF(parametros_manuales!$H$37="Todos",'Plan mensual'!H19,0))+parametros_manuales!$G$37*('Plan mensual'!H16+IF(parametros_manuales!$H$37="Todos",'Plan mensual'!H20,0)))*parametros_manuales!$I$37*parametros_manuales!$J$37</f>
        <v>40.5455</v>
      </c>
      <c r="G48" s="8">
        <f>(parametros_manuales!$D$37*('Plan mensual'!I13+IF(parametros_manuales!$H$37="Todos",'Plan mensual'!I17,0))+parametros_manuales!$E$37*('Plan mensual'!I14+IF(parametros_manuales!$H$37="Todos",'Plan mensual'!I18,0))+parametros_manuales!$F$37*('Plan mensual'!I15+IF(parametros_manuales!$H$37="Todos",'Plan mensual'!I19,0))+parametros_manuales!$G$37*('Plan mensual'!I16+IF(parametros_manuales!$H$37="Todos",'Plan mensual'!I20,0)))*parametros_manuales!$I$37*parametros_manuales!$J$37</f>
        <v>39.32325</v>
      </c>
      <c r="H48" s="8">
        <f>(parametros_manuales!$D$37*('Plan mensual'!J13+IF(parametros_manuales!$H$37="Todos",'Plan mensual'!J17,0))+parametros_manuales!$E$37*('Plan mensual'!J14+IF(parametros_manuales!$H$37="Todos",'Plan mensual'!J18,0))+parametros_manuales!$F$37*('Plan mensual'!J15+IF(parametros_manuales!$H$37="Todos",'Plan mensual'!J19,0))+parametros_manuales!$G$37*('Plan mensual'!J16+IF(parametros_manuales!$H$37="Todos",'Plan mensual'!J20,0)))*parametros_manuales!$I$37*parametros_manuales!$J$37</f>
        <v>42.04475</v>
      </c>
      <c r="I48" s="8">
        <f>(parametros_manuales!$D$37*('Plan mensual'!K13+IF(parametros_manuales!$H$37="Todos",'Plan mensual'!K17,0))+parametros_manuales!$E$37*('Plan mensual'!K14+IF(parametros_manuales!$H$37="Todos",'Plan mensual'!K18,0))+parametros_manuales!$F$37*('Plan mensual'!K15+IF(parametros_manuales!$H$37="Todos",'Plan mensual'!K19,0))+parametros_manuales!$G$37*('Plan mensual'!K16+IF(parametros_manuales!$H$37="Todos",'Plan mensual'!K20,0)))*parametros_manuales!$I$37*parametros_manuales!$J$37</f>
        <v>42.04475</v>
      </c>
      <c r="J48" s="8">
        <f>(parametros_manuales!$D$37*('Plan mensual'!L13+IF(parametros_manuales!$H$37="Todos",'Plan mensual'!L17,0))+parametros_manuales!$E$37*('Plan mensual'!L14+IF(parametros_manuales!$H$37="Todos",'Plan mensual'!L18,0))+parametros_manuales!$F$37*('Plan mensual'!L15+IF(parametros_manuales!$H$37="Todos",'Plan mensual'!L19,0))+parametros_manuales!$G$37*('Plan mensual'!L16+IF(parametros_manuales!$H$37="Todos",'Plan mensual'!L20,0)))*parametros_manuales!$I$37*parametros_manuales!$J$37</f>
        <v>42.04475</v>
      </c>
      <c r="K48" s="8">
        <f>(parametros_manuales!$D$37*('Plan mensual'!M13+IF(parametros_manuales!$H$37="Todos",'Plan mensual'!M17,0))+parametros_manuales!$E$37*('Plan mensual'!M14+IF(parametros_manuales!$H$37="Todos",'Plan mensual'!M18,0))+parametros_manuales!$F$37*('Plan mensual'!M15+IF(parametros_manuales!$H$37="Todos",'Plan mensual'!M19,0))+parametros_manuales!$G$37*('Plan mensual'!M16+IF(parametros_manuales!$H$37="Todos",'Plan mensual'!M20,0)))*parametros_manuales!$I$37*parametros_manuales!$J$37</f>
        <v>40.8225</v>
      </c>
      <c r="L48" s="8">
        <f>(parametros_manuales!$D$37*('Plan mensual'!N13+IF(parametros_manuales!$H$37="Todos",'Plan mensual'!N17,0))+parametros_manuales!$E$37*('Plan mensual'!N14+IF(parametros_manuales!$H$37="Todos",'Plan mensual'!N18,0))+parametros_manuales!$F$37*('Plan mensual'!N15+IF(parametros_manuales!$H$37="Todos",'Plan mensual'!N19,0))+parametros_manuales!$G$37*('Plan mensual'!N16+IF(parametros_manuales!$H$37="Todos",'Plan mensual'!N20,0)))*parametros_manuales!$I$37*parametros_manuales!$J$37</f>
        <v>39.60025</v>
      </c>
      <c r="M48" s="8">
        <f>(parametros_manuales!$D$37*('Plan mensual'!O13+IF(parametros_manuales!$H$37="Todos",'Plan mensual'!O17,0))+parametros_manuales!$E$37*('Plan mensual'!O14+IF(parametros_manuales!$H$37="Todos",'Plan mensual'!O18,0))+parametros_manuales!$F$37*('Plan mensual'!O15+IF(parametros_manuales!$H$37="Todos",'Plan mensual'!O19,0))+parametros_manuales!$G$37*('Plan mensual'!O16+IF(parametros_manuales!$H$37="Todos",'Plan mensual'!O20,0)))*parametros_manuales!$I$37*parametros_manuales!$J$37</f>
        <v>62.8715</v>
      </c>
      <c r="N48" s="8">
        <f t="shared" si="4"/>
        <v>544.3</v>
      </c>
      <c r="O48" s="8">
        <f t="shared" si="5"/>
        <v>62.8715</v>
      </c>
      <c r="P48" s="27">
        <f>O48/(parametros_manuales!$B$7)</f>
        <v>0.4191433333</v>
      </c>
      <c r="Q48" s="4" t="str">
        <f t="shared" si="6"/>
        <v>Dic</v>
      </c>
    </row>
    <row r="49" ht="14.25" customHeight="1">
      <c r="A49" s="4" t="str">
        <f>parametros_manuales!$B$38</f>
        <v>Pintura en polvo + horno</v>
      </c>
      <c r="B49" s="8">
        <f>(parametros_manuales!$D$38*('Plan mensual'!D13+IF(parametros_manuales!$H$38="Todos",'Plan mensual'!D17,0))+parametros_manuales!$E$38*('Plan mensual'!D14+IF(parametros_manuales!$H$38="Todos",'Plan mensual'!D18,0))+parametros_manuales!$F$38*('Plan mensual'!D15+IF(parametros_manuales!$H$38="Todos",'Plan mensual'!D19,0))+parametros_manuales!$G$38*('Plan mensual'!D16+IF(parametros_manuales!$H$38="Todos",'Plan mensual'!D20,0)))*parametros_manuales!$I$38*parametros_manuales!$J$38</f>
        <v>1208.54</v>
      </c>
      <c r="C49" s="8">
        <f>(parametros_manuales!$D$38*('Plan mensual'!E13+IF(parametros_manuales!$H$38="Todos",'Plan mensual'!E17,0))+parametros_manuales!$E$38*('Plan mensual'!E14+IF(parametros_manuales!$H$38="Todos",'Plan mensual'!E18,0))+parametros_manuales!$F$38*('Plan mensual'!E15+IF(parametros_manuales!$H$38="Todos",'Plan mensual'!E19,0))+parametros_manuales!$G$38*('Plan mensual'!E16+IF(parametros_manuales!$H$38="Todos",'Plan mensual'!E20,0)))*parametros_manuales!$I$38*parametros_manuales!$J$38</f>
        <v>930.85</v>
      </c>
      <c r="D49" s="8">
        <f>(parametros_manuales!$D$38*('Plan mensual'!F13+IF(parametros_manuales!$H$38="Todos",'Plan mensual'!F17,0))+parametros_manuales!$E$38*('Plan mensual'!F14+IF(parametros_manuales!$H$38="Todos",'Plan mensual'!F18,0))+parametros_manuales!$F$38*('Plan mensual'!F15+IF(parametros_manuales!$H$38="Todos",'Plan mensual'!F19,0))+parametros_manuales!$G$38*('Plan mensual'!F16+IF(parametros_manuales!$H$38="Todos",'Plan mensual'!F20,0)))*parametros_manuales!$I$38*parametros_manuales!$J$38</f>
        <v>895.325</v>
      </c>
      <c r="E49" s="8">
        <f>(parametros_manuales!$D$38*('Plan mensual'!G13+IF(parametros_manuales!$H$38="Todos",'Plan mensual'!G17,0))+parametros_manuales!$E$38*('Plan mensual'!G14+IF(parametros_manuales!$H$38="Todos",'Plan mensual'!G18,0))+parametros_manuales!$F$38*('Plan mensual'!G15+IF(parametros_manuales!$H$38="Todos",'Plan mensual'!G19,0))+parametros_manuales!$G$38*('Plan mensual'!G16+IF(parametros_manuales!$H$38="Todos",'Plan mensual'!G20,0)))*parametros_manuales!$I$38*parametros_manuales!$J$38</f>
        <v>865.34</v>
      </c>
      <c r="F49" s="8">
        <f>(parametros_manuales!$D$38*('Plan mensual'!H13+IF(parametros_manuales!$H$38="Todos",'Plan mensual'!H17,0))+parametros_manuales!$E$38*('Plan mensual'!H14+IF(parametros_manuales!$H$38="Todos",'Plan mensual'!H18,0))+parametros_manuales!$F$38*('Plan mensual'!H15+IF(parametros_manuales!$H$38="Todos",'Plan mensual'!H19,0))+parametros_manuales!$G$38*('Plan mensual'!H16+IF(parametros_manuales!$H$38="Todos",'Plan mensual'!H20,0)))*parametros_manuales!$I$38*parametros_manuales!$J$38</f>
        <v>810.91</v>
      </c>
      <c r="G49" s="8">
        <f>(parametros_manuales!$D$38*('Plan mensual'!I13+IF(parametros_manuales!$H$38="Todos",'Plan mensual'!I17,0))+parametros_manuales!$E$38*('Plan mensual'!I14+IF(parametros_manuales!$H$38="Todos",'Plan mensual'!I18,0))+parametros_manuales!$F$38*('Plan mensual'!I15+IF(parametros_manuales!$H$38="Todos",'Plan mensual'!I19,0))+parametros_manuales!$G$38*('Plan mensual'!I16+IF(parametros_manuales!$H$38="Todos",'Plan mensual'!I20,0)))*parametros_manuales!$I$38*parametros_manuales!$J$38</f>
        <v>786.465</v>
      </c>
      <c r="H49" s="8">
        <f>(parametros_manuales!$D$38*('Plan mensual'!J13+IF(parametros_manuales!$H$38="Todos",'Plan mensual'!J17,0))+parametros_manuales!$E$38*('Plan mensual'!J14+IF(parametros_manuales!$H$38="Todos",'Plan mensual'!J18,0))+parametros_manuales!$F$38*('Plan mensual'!J15+IF(parametros_manuales!$H$38="Todos",'Plan mensual'!J19,0))+parametros_manuales!$G$38*('Plan mensual'!J16+IF(parametros_manuales!$H$38="Todos",'Plan mensual'!J20,0)))*parametros_manuales!$I$38*parametros_manuales!$J$38</f>
        <v>840.895</v>
      </c>
      <c r="I49" s="8">
        <f>(parametros_manuales!$D$38*('Plan mensual'!K13+IF(parametros_manuales!$H$38="Todos",'Plan mensual'!K17,0))+parametros_manuales!$E$38*('Plan mensual'!K14+IF(parametros_manuales!$H$38="Todos",'Plan mensual'!K18,0))+parametros_manuales!$F$38*('Plan mensual'!K15+IF(parametros_manuales!$H$38="Todos",'Plan mensual'!K19,0))+parametros_manuales!$G$38*('Plan mensual'!K16+IF(parametros_manuales!$H$38="Todos",'Plan mensual'!K20,0)))*parametros_manuales!$I$38*parametros_manuales!$J$38</f>
        <v>840.895</v>
      </c>
      <c r="J49" s="8">
        <f>(parametros_manuales!$D$38*('Plan mensual'!L13+IF(parametros_manuales!$H$38="Todos",'Plan mensual'!L17,0))+parametros_manuales!$E$38*('Plan mensual'!L14+IF(parametros_manuales!$H$38="Todos",'Plan mensual'!L18,0))+parametros_manuales!$F$38*('Plan mensual'!L15+IF(parametros_manuales!$H$38="Todos",'Plan mensual'!L19,0))+parametros_manuales!$G$38*('Plan mensual'!L16+IF(parametros_manuales!$H$38="Todos",'Plan mensual'!L20,0)))*parametros_manuales!$I$38*parametros_manuales!$J$38</f>
        <v>840.895</v>
      </c>
      <c r="K49" s="8">
        <f>(parametros_manuales!$D$38*('Plan mensual'!M13+IF(parametros_manuales!$H$38="Todos",'Plan mensual'!M17,0))+parametros_manuales!$E$38*('Plan mensual'!M14+IF(parametros_manuales!$H$38="Todos",'Plan mensual'!M18,0))+parametros_manuales!$F$38*('Plan mensual'!M15+IF(parametros_manuales!$H$38="Todos",'Plan mensual'!M19,0))+parametros_manuales!$G$38*('Plan mensual'!M16+IF(parametros_manuales!$H$38="Todos",'Plan mensual'!M20,0)))*parametros_manuales!$I$38*parametros_manuales!$J$38</f>
        <v>816.45</v>
      </c>
      <c r="L49" s="8">
        <f>(parametros_manuales!$D$38*('Plan mensual'!N13+IF(parametros_manuales!$H$38="Todos",'Plan mensual'!N17,0))+parametros_manuales!$E$38*('Plan mensual'!N14+IF(parametros_manuales!$H$38="Todos",'Plan mensual'!N18,0))+parametros_manuales!$F$38*('Plan mensual'!N15+IF(parametros_manuales!$H$38="Todos",'Plan mensual'!N19,0))+parametros_manuales!$G$38*('Plan mensual'!N16+IF(parametros_manuales!$H$38="Todos",'Plan mensual'!N20,0)))*parametros_manuales!$I$38*parametros_manuales!$J$38</f>
        <v>792.005</v>
      </c>
      <c r="M49" s="8">
        <f>(parametros_manuales!$D$38*('Plan mensual'!O13+IF(parametros_manuales!$H$38="Todos",'Plan mensual'!O17,0))+parametros_manuales!$E$38*('Plan mensual'!O14+IF(parametros_manuales!$H$38="Todos",'Plan mensual'!O18,0))+parametros_manuales!$F$38*('Plan mensual'!O15+IF(parametros_manuales!$H$38="Todos",'Plan mensual'!O19,0))+parametros_manuales!$G$38*('Plan mensual'!O16+IF(parametros_manuales!$H$38="Todos",'Plan mensual'!O20,0)))*parametros_manuales!$I$38*parametros_manuales!$J$38</f>
        <v>1257.43</v>
      </c>
      <c r="N49" s="8">
        <f t="shared" si="4"/>
        <v>10886</v>
      </c>
      <c r="O49" s="8">
        <f t="shared" si="5"/>
        <v>1257.43</v>
      </c>
      <c r="P49" s="27">
        <f>O49/(parametros_manuales!$B$7)</f>
        <v>8.382866667</v>
      </c>
      <c r="Q49" s="4" t="str">
        <f t="shared" si="6"/>
        <v>Dic</v>
      </c>
    </row>
    <row r="50" ht="14.25" customHeight="1">
      <c r="A50" s="4" t="str">
        <f>parametros_manuales!$B$39</f>
        <v>Carga de polvo</v>
      </c>
      <c r="B50" s="8">
        <f>(parametros_manuales!$D$39*('Plan mensual'!D13+IF(parametros_manuales!$H$39="Todos",'Plan mensual'!D17,0))+parametros_manuales!$E$39*('Plan mensual'!D14+IF(parametros_manuales!$H$39="Todos",'Plan mensual'!D18,0))+parametros_manuales!$F$39*('Plan mensual'!D15+IF(parametros_manuales!$H$39="Todos",'Plan mensual'!D19,0))+parametros_manuales!$G$39*('Plan mensual'!D16+IF(parametros_manuales!$H$39="Todos",'Plan mensual'!D20,0)))*parametros_manuales!$I$39*parametros_manuales!$J$39</f>
        <v>1198.64</v>
      </c>
      <c r="C50" s="8">
        <f>(parametros_manuales!$D$39*('Plan mensual'!E13+IF(parametros_manuales!$H$39="Todos",'Plan mensual'!E17,0))+parametros_manuales!$E$39*('Plan mensual'!E14+IF(parametros_manuales!$H$39="Todos",'Plan mensual'!E18,0))+parametros_manuales!$F$39*('Plan mensual'!E15+IF(parametros_manuales!$H$39="Todos",'Plan mensual'!E19,0))+parametros_manuales!$G$39*('Plan mensual'!E16+IF(parametros_manuales!$H$39="Todos",'Plan mensual'!E20,0)))*parametros_manuales!$I$39*parametros_manuales!$J$39</f>
        <v>922.93</v>
      </c>
      <c r="D50" s="8">
        <f>(parametros_manuales!$D$39*('Plan mensual'!F13+IF(parametros_manuales!$H$39="Todos",'Plan mensual'!F17,0))+parametros_manuales!$E$39*('Plan mensual'!F14+IF(parametros_manuales!$H$39="Todos",'Plan mensual'!F18,0))+parametros_manuales!$F$39*('Plan mensual'!F15+IF(parametros_manuales!$H$39="Todos",'Plan mensual'!F19,0))+parametros_manuales!$G$39*('Plan mensual'!F16+IF(parametros_manuales!$H$39="Todos",'Plan mensual'!F20,0)))*parametros_manuales!$I$39*parametros_manuales!$J$39</f>
        <v>886.91</v>
      </c>
      <c r="E50" s="8">
        <f>(parametros_manuales!$D$39*('Plan mensual'!G13+IF(parametros_manuales!$H$39="Todos",'Plan mensual'!G17,0))+parametros_manuales!$E$39*('Plan mensual'!G14+IF(parametros_manuales!$H$39="Todos",'Plan mensual'!G18,0))+parametros_manuales!$F$39*('Plan mensual'!G15+IF(parametros_manuales!$H$39="Todos",'Plan mensual'!G19,0))+parametros_manuales!$G$39*('Plan mensual'!G16+IF(parametros_manuales!$H$39="Todos",'Plan mensual'!G20,0)))*parametros_manuales!$I$39*parametros_manuales!$J$39</f>
        <v>856.925</v>
      </c>
      <c r="F50" s="8">
        <f>(parametros_manuales!$D$39*('Plan mensual'!H13+IF(parametros_manuales!$H$39="Todos",'Plan mensual'!H17,0))+parametros_manuales!$E$39*('Plan mensual'!H14+IF(parametros_manuales!$H$39="Todos",'Plan mensual'!H18,0))+parametros_manuales!$F$39*('Plan mensual'!H15+IF(parametros_manuales!$H$39="Todos",'Plan mensual'!H19,0))+parametros_manuales!$G$39*('Plan mensual'!H16+IF(parametros_manuales!$H$39="Todos",'Plan mensual'!H20,0)))*parametros_manuales!$I$39*parametros_manuales!$J$39</f>
        <v>802.99</v>
      </c>
      <c r="G50" s="8">
        <f>(parametros_manuales!$D$39*('Plan mensual'!I13+IF(parametros_manuales!$H$39="Todos",'Plan mensual'!I17,0))+parametros_manuales!$E$39*('Plan mensual'!I14+IF(parametros_manuales!$H$39="Todos",'Plan mensual'!I18,0))+parametros_manuales!$F$39*('Plan mensual'!I15+IF(parametros_manuales!$H$39="Todos",'Plan mensual'!I19,0))+parametros_manuales!$G$39*('Plan mensual'!I16+IF(parametros_manuales!$H$39="Todos",'Plan mensual'!I20,0)))*parametros_manuales!$I$39*parametros_manuales!$J$39</f>
        <v>779.04</v>
      </c>
      <c r="H50" s="8">
        <f>(parametros_manuales!$D$39*('Plan mensual'!J13+IF(parametros_manuales!$H$39="Todos",'Plan mensual'!J17,0))+parametros_manuales!$E$39*('Plan mensual'!J14+IF(parametros_manuales!$H$39="Todos",'Plan mensual'!J18,0))+parametros_manuales!$F$39*('Plan mensual'!J15+IF(parametros_manuales!$H$39="Todos",'Plan mensual'!J19,0))+parametros_manuales!$G$39*('Plan mensual'!J16+IF(parametros_manuales!$H$39="Todos",'Plan mensual'!J20,0)))*parametros_manuales!$I$39*parametros_manuales!$J$39</f>
        <v>832.975</v>
      </c>
      <c r="I50" s="8">
        <f>(parametros_manuales!$D$39*('Plan mensual'!K13+IF(parametros_manuales!$H$39="Todos",'Plan mensual'!K17,0))+parametros_manuales!$E$39*('Plan mensual'!K14+IF(parametros_manuales!$H$39="Todos",'Plan mensual'!K18,0))+parametros_manuales!$F$39*('Plan mensual'!K15+IF(parametros_manuales!$H$39="Todos",'Plan mensual'!K19,0))+parametros_manuales!$G$39*('Plan mensual'!K16+IF(parametros_manuales!$H$39="Todos",'Plan mensual'!K20,0)))*parametros_manuales!$I$39*parametros_manuales!$J$39</f>
        <v>832.975</v>
      </c>
      <c r="J50" s="8">
        <f>(parametros_manuales!$D$39*('Plan mensual'!L13+IF(parametros_manuales!$H$39="Todos",'Plan mensual'!L17,0))+parametros_manuales!$E$39*('Plan mensual'!L14+IF(parametros_manuales!$H$39="Todos",'Plan mensual'!L18,0))+parametros_manuales!$F$39*('Plan mensual'!L15+IF(parametros_manuales!$H$39="Todos",'Plan mensual'!L19,0))+parametros_manuales!$G$39*('Plan mensual'!L16+IF(parametros_manuales!$H$39="Todos",'Plan mensual'!L20,0)))*parametros_manuales!$I$39*parametros_manuales!$J$39</f>
        <v>832.975</v>
      </c>
      <c r="K50" s="8">
        <f>(parametros_manuales!$D$39*('Plan mensual'!M13+IF(parametros_manuales!$H$39="Todos",'Plan mensual'!M17,0))+parametros_manuales!$E$39*('Plan mensual'!M14+IF(parametros_manuales!$H$39="Todos",'Plan mensual'!M18,0))+parametros_manuales!$F$39*('Plan mensual'!M15+IF(parametros_manuales!$H$39="Todos",'Plan mensual'!M19,0))+parametros_manuales!$G$39*('Plan mensual'!M16+IF(parametros_manuales!$H$39="Todos",'Plan mensual'!M20,0)))*parametros_manuales!$I$39*parametros_manuales!$J$39</f>
        <v>809.025</v>
      </c>
      <c r="L50" s="8">
        <f>(parametros_manuales!$D$39*('Plan mensual'!N13+IF(parametros_manuales!$H$39="Todos",'Plan mensual'!N17,0))+parametros_manuales!$E$39*('Plan mensual'!N14+IF(parametros_manuales!$H$39="Todos",'Plan mensual'!N18,0))+parametros_manuales!$F$39*('Plan mensual'!N15+IF(parametros_manuales!$H$39="Todos",'Plan mensual'!N19,0))+parametros_manuales!$G$39*('Plan mensual'!N16+IF(parametros_manuales!$H$39="Todos",'Plan mensual'!N20,0)))*parametros_manuales!$I$39*parametros_manuales!$J$39</f>
        <v>785.075</v>
      </c>
      <c r="M50" s="8">
        <f>(parametros_manuales!$D$39*('Plan mensual'!O13+IF(parametros_manuales!$H$39="Todos",'Plan mensual'!O17,0))+parametros_manuales!$E$39*('Plan mensual'!O14+IF(parametros_manuales!$H$39="Todos",'Plan mensual'!O18,0))+parametros_manuales!$F$39*('Plan mensual'!O15+IF(parametros_manuales!$H$39="Todos",'Plan mensual'!O19,0))+parametros_manuales!$G$39*('Plan mensual'!O16+IF(parametros_manuales!$H$39="Todos",'Plan mensual'!O20,0)))*parametros_manuales!$I$39*parametros_manuales!$J$39</f>
        <v>1246.54</v>
      </c>
      <c r="N50" s="8">
        <f t="shared" si="4"/>
        <v>10787</v>
      </c>
      <c r="O50" s="8">
        <f t="shared" si="5"/>
        <v>1246.54</v>
      </c>
      <c r="P50" s="27">
        <f>O50/(parametros_manuales!$B$7)</f>
        <v>8.310266667</v>
      </c>
      <c r="Q50" s="4" t="str">
        <f t="shared" si="6"/>
        <v>Dic</v>
      </c>
    </row>
    <row r="51" ht="14.25" customHeight="1">
      <c r="A51" s="4" t="str">
        <f>parametros_manuales!$B$40</f>
        <v>Ensamblaje</v>
      </c>
      <c r="B51" s="8">
        <f>(parametros_manuales!$D$40*('Plan mensual'!D13+IF(parametros_manuales!$H$40="Todos",'Plan mensual'!D17,0))+parametros_manuales!$E$40*('Plan mensual'!D14+IF(parametros_manuales!$H$40="Todos",'Plan mensual'!D18,0))+parametros_manuales!$F$40*('Plan mensual'!D15+IF(parametros_manuales!$H$40="Todos",'Plan mensual'!D19,0))+parametros_manuales!$G$40*('Plan mensual'!D16+IF(parametros_manuales!$H$40="Todos",'Plan mensual'!D20,0)))*parametros_manuales!$I$40*parametros_manuales!$J$40</f>
        <v>1198.64</v>
      </c>
      <c r="C51" s="8">
        <f>(parametros_manuales!$D$40*('Plan mensual'!E13+IF(parametros_manuales!$H$40="Todos",'Plan mensual'!E17,0))+parametros_manuales!$E$40*('Plan mensual'!E14+IF(parametros_manuales!$H$40="Todos",'Plan mensual'!E18,0))+parametros_manuales!$F$40*('Plan mensual'!E15+IF(parametros_manuales!$H$40="Todos",'Plan mensual'!E19,0))+parametros_manuales!$G$40*('Plan mensual'!E16+IF(parametros_manuales!$H$40="Todos",'Plan mensual'!E20,0)))*parametros_manuales!$I$40*parametros_manuales!$J$40</f>
        <v>922.93</v>
      </c>
      <c r="D51" s="8">
        <f>(parametros_manuales!$D$40*('Plan mensual'!F13+IF(parametros_manuales!$H$40="Todos",'Plan mensual'!F17,0))+parametros_manuales!$E$40*('Plan mensual'!F14+IF(parametros_manuales!$H$40="Todos",'Plan mensual'!F18,0))+parametros_manuales!$F$40*('Plan mensual'!F15+IF(parametros_manuales!$H$40="Todos",'Plan mensual'!F19,0))+parametros_manuales!$G$40*('Plan mensual'!F16+IF(parametros_manuales!$H$40="Todos",'Plan mensual'!F20,0)))*parametros_manuales!$I$40*parametros_manuales!$J$40</f>
        <v>886.91</v>
      </c>
      <c r="E51" s="8">
        <f>(parametros_manuales!$D$40*('Plan mensual'!G13+IF(parametros_manuales!$H$40="Todos",'Plan mensual'!G17,0))+parametros_manuales!$E$40*('Plan mensual'!G14+IF(parametros_manuales!$H$40="Todos",'Plan mensual'!G18,0))+parametros_manuales!$F$40*('Plan mensual'!G15+IF(parametros_manuales!$H$40="Todos",'Plan mensual'!G19,0))+parametros_manuales!$G$40*('Plan mensual'!G16+IF(parametros_manuales!$H$40="Todos",'Plan mensual'!G20,0)))*parametros_manuales!$I$40*parametros_manuales!$J$40</f>
        <v>856.925</v>
      </c>
      <c r="F51" s="8">
        <f>(parametros_manuales!$D$40*('Plan mensual'!H13+IF(parametros_manuales!$H$40="Todos",'Plan mensual'!H17,0))+parametros_manuales!$E$40*('Plan mensual'!H14+IF(parametros_manuales!$H$40="Todos",'Plan mensual'!H18,0))+parametros_manuales!$F$40*('Plan mensual'!H15+IF(parametros_manuales!$H$40="Todos",'Plan mensual'!H19,0))+parametros_manuales!$G$40*('Plan mensual'!H16+IF(parametros_manuales!$H$40="Todos",'Plan mensual'!H20,0)))*parametros_manuales!$I$40*parametros_manuales!$J$40</f>
        <v>802.99</v>
      </c>
      <c r="G51" s="8">
        <f>(parametros_manuales!$D$40*('Plan mensual'!I13+IF(parametros_manuales!$H$40="Todos",'Plan mensual'!I17,0))+parametros_manuales!$E$40*('Plan mensual'!I14+IF(parametros_manuales!$H$40="Todos",'Plan mensual'!I18,0))+parametros_manuales!$F$40*('Plan mensual'!I15+IF(parametros_manuales!$H$40="Todos",'Plan mensual'!I19,0))+parametros_manuales!$G$40*('Plan mensual'!I16+IF(parametros_manuales!$H$40="Todos",'Plan mensual'!I20,0)))*parametros_manuales!$I$40*parametros_manuales!$J$40</f>
        <v>779.04</v>
      </c>
      <c r="H51" s="8">
        <f>(parametros_manuales!$D$40*('Plan mensual'!J13+IF(parametros_manuales!$H$40="Todos",'Plan mensual'!J17,0))+parametros_manuales!$E$40*('Plan mensual'!J14+IF(parametros_manuales!$H$40="Todos",'Plan mensual'!J18,0))+parametros_manuales!$F$40*('Plan mensual'!J15+IF(parametros_manuales!$H$40="Todos",'Plan mensual'!J19,0))+parametros_manuales!$G$40*('Plan mensual'!J16+IF(parametros_manuales!$H$40="Todos",'Plan mensual'!J20,0)))*parametros_manuales!$I$40*parametros_manuales!$J$40</f>
        <v>832.975</v>
      </c>
      <c r="I51" s="8">
        <f>(parametros_manuales!$D$40*('Plan mensual'!K13+IF(parametros_manuales!$H$40="Todos",'Plan mensual'!K17,0))+parametros_manuales!$E$40*('Plan mensual'!K14+IF(parametros_manuales!$H$40="Todos",'Plan mensual'!K18,0))+parametros_manuales!$F$40*('Plan mensual'!K15+IF(parametros_manuales!$H$40="Todos",'Plan mensual'!K19,0))+parametros_manuales!$G$40*('Plan mensual'!K16+IF(parametros_manuales!$H$40="Todos",'Plan mensual'!K20,0)))*parametros_manuales!$I$40*parametros_manuales!$J$40</f>
        <v>832.975</v>
      </c>
      <c r="J51" s="8">
        <f>(parametros_manuales!$D$40*('Plan mensual'!L13+IF(parametros_manuales!$H$40="Todos",'Plan mensual'!L17,0))+parametros_manuales!$E$40*('Plan mensual'!L14+IF(parametros_manuales!$H$40="Todos",'Plan mensual'!L18,0))+parametros_manuales!$F$40*('Plan mensual'!L15+IF(parametros_manuales!$H$40="Todos",'Plan mensual'!L19,0))+parametros_manuales!$G$40*('Plan mensual'!L16+IF(parametros_manuales!$H$40="Todos",'Plan mensual'!L20,0)))*parametros_manuales!$I$40*parametros_manuales!$J$40</f>
        <v>832.975</v>
      </c>
      <c r="K51" s="8">
        <f>(parametros_manuales!$D$40*('Plan mensual'!M13+IF(parametros_manuales!$H$40="Todos",'Plan mensual'!M17,0))+parametros_manuales!$E$40*('Plan mensual'!M14+IF(parametros_manuales!$H$40="Todos",'Plan mensual'!M18,0))+parametros_manuales!$F$40*('Plan mensual'!M15+IF(parametros_manuales!$H$40="Todos",'Plan mensual'!M19,0))+parametros_manuales!$G$40*('Plan mensual'!M16+IF(parametros_manuales!$H$40="Todos",'Plan mensual'!M20,0)))*parametros_manuales!$I$40*parametros_manuales!$J$40</f>
        <v>809.025</v>
      </c>
      <c r="L51" s="8">
        <f>(parametros_manuales!$D$40*('Plan mensual'!N13+IF(parametros_manuales!$H$40="Todos",'Plan mensual'!N17,0))+parametros_manuales!$E$40*('Plan mensual'!N14+IF(parametros_manuales!$H$40="Todos",'Plan mensual'!N18,0))+parametros_manuales!$F$40*('Plan mensual'!N15+IF(parametros_manuales!$H$40="Todos",'Plan mensual'!N19,0))+parametros_manuales!$G$40*('Plan mensual'!N16+IF(parametros_manuales!$H$40="Todos",'Plan mensual'!N20,0)))*parametros_manuales!$I$40*parametros_manuales!$J$40</f>
        <v>785.075</v>
      </c>
      <c r="M51" s="8">
        <f>(parametros_manuales!$D$40*('Plan mensual'!O13+IF(parametros_manuales!$H$40="Todos",'Plan mensual'!O17,0))+parametros_manuales!$E$40*('Plan mensual'!O14+IF(parametros_manuales!$H$40="Todos",'Plan mensual'!O18,0))+parametros_manuales!$F$40*('Plan mensual'!O15+IF(parametros_manuales!$H$40="Todos",'Plan mensual'!O19,0))+parametros_manuales!$G$40*('Plan mensual'!O16+IF(parametros_manuales!$H$40="Todos",'Plan mensual'!O20,0)))*parametros_manuales!$I$40*parametros_manuales!$J$40</f>
        <v>1246.54</v>
      </c>
      <c r="N51" s="8">
        <f t="shared" si="4"/>
        <v>10787</v>
      </c>
      <c r="O51" s="8">
        <f t="shared" si="5"/>
        <v>1246.54</v>
      </c>
      <c r="P51" s="27">
        <f>O51/(parametros_manuales!$B$7)</f>
        <v>8.310266667</v>
      </c>
      <c r="Q51" s="4" t="str">
        <f t="shared" si="6"/>
        <v>Dic</v>
      </c>
    </row>
    <row r="52" ht="14.25" customHeight="1">
      <c r="A52" s="4" t="str">
        <f>parametros_manuales!$B$41</f>
        <v>Presurización</v>
      </c>
      <c r="B52" s="8">
        <f>(parametros_manuales!$D$41*('Plan mensual'!D13+IF(parametros_manuales!$H$41="Todos",'Plan mensual'!D17,0))+parametros_manuales!$E$41*('Plan mensual'!D14+IF(parametros_manuales!$H$41="Todos",'Plan mensual'!D18,0))+parametros_manuales!$F$41*('Plan mensual'!D15+IF(parametros_manuales!$H$41="Todos",'Plan mensual'!D19,0))+parametros_manuales!$G$41*('Plan mensual'!D16+IF(parametros_manuales!$H$41="Todos",'Plan mensual'!D20,0)))*parametros_manuales!$I$41*parametros_manuales!$J$41</f>
        <v>1198.64</v>
      </c>
      <c r="C52" s="8">
        <f>(parametros_manuales!$D$41*('Plan mensual'!E13+IF(parametros_manuales!$H$41="Todos",'Plan mensual'!E17,0))+parametros_manuales!$E$41*('Plan mensual'!E14+IF(parametros_manuales!$H$41="Todos",'Plan mensual'!E18,0))+parametros_manuales!$F$41*('Plan mensual'!E15+IF(parametros_manuales!$H$41="Todos",'Plan mensual'!E19,0))+parametros_manuales!$G$41*('Plan mensual'!E16+IF(parametros_manuales!$H$41="Todos",'Plan mensual'!E20,0)))*parametros_manuales!$I$41*parametros_manuales!$J$41</f>
        <v>922.93</v>
      </c>
      <c r="D52" s="8">
        <f>(parametros_manuales!$D$41*('Plan mensual'!F13+IF(parametros_manuales!$H$41="Todos",'Plan mensual'!F17,0))+parametros_manuales!$E$41*('Plan mensual'!F14+IF(parametros_manuales!$H$41="Todos",'Plan mensual'!F18,0))+parametros_manuales!$F$41*('Plan mensual'!F15+IF(parametros_manuales!$H$41="Todos",'Plan mensual'!F19,0))+parametros_manuales!$G$41*('Plan mensual'!F16+IF(parametros_manuales!$H$41="Todos",'Plan mensual'!F20,0)))*parametros_manuales!$I$41*parametros_manuales!$J$41</f>
        <v>886.91</v>
      </c>
      <c r="E52" s="8">
        <f>(parametros_manuales!$D$41*('Plan mensual'!G13+IF(parametros_manuales!$H$41="Todos",'Plan mensual'!G17,0))+parametros_manuales!$E$41*('Plan mensual'!G14+IF(parametros_manuales!$H$41="Todos",'Plan mensual'!G18,0))+parametros_manuales!$F$41*('Plan mensual'!G15+IF(parametros_manuales!$H$41="Todos",'Plan mensual'!G19,0))+parametros_manuales!$G$41*('Plan mensual'!G16+IF(parametros_manuales!$H$41="Todos",'Plan mensual'!G20,0)))*parametros_manuales!$I$41*parametros_manuales!$J$41</f>
        <v>856.925</v>
      </c>
      <c r="F52" s="8">
        <f>(parametros_manuales!$D$41*('Plan mensual'!H13+IF(parametros_manuales!$H$41="Todos",'Plan mensual'!H17,0))+parametros_manuales!$E$41*('Plan mensual'!H14+IF(parametros_manuales!$H$41="Todos",'Plan mensual'!H18,0))+parametros_manuales!$F$41*('Plan mensual'!H15+IF(parametros_manuales!$H$41="Todos",'Plan mensual'!H19,0))+parametros_manuales!$G$41*('Plan mensual'!H16+IF(parametros_manuales!$H$41="Todos",'Plan mensual'!H20,0)))*parametros_manuales!$I$41*parametros_manuales!$J$41</f>
        <v>802.99</v>
      </c>
      <c r="G52" s="8">
        <f>(parametros_manuales!$D$41*('Plan mensual'!I13+IF(parametros_manuales!$H$41="Todos",'Plan mensual'!I17,0))+parametros_manuales!$E$41*('Plan mensual'!I14+IF(parametros_manuales!$H$41="Todos",'Plan mensual'!I18,0))+parametros_manuales!$F$41*('Plan mensual'!I15+IF(parametros_manuales!$H$41="Todos",'Plan mensual'!I19,0))+parametros_manuales!$G$41*('Plan mensual'!I16+IF(parametros_manuales!$H$41="Todos",'Plan mensual'!I20,0)))*parametros_manuales!$I$41*parametros_manuales!$J$41</f>
        <v>779.04</v>
      </c>
      <c r="H52" s="8">
        <f>(parametros_manuales!$D$41*('Plan mensual'!J13+IF(parametros_manuales!$H$41="Todos",'Plan mensual'!J17,0))+parametros_manuales!$E$41*('Plan mensual'!J14+IF(parametros_manuales!$H$41="Todos",'Plan mensual'!J18,0))+parametros_manuales!$F$41*('Plan mensual'!J15+IF(parametros_manuales!$H$41="Todos",'Plan mensual'!J19,0))+parametros_manuales!$G$41*('Plan mensual'!J16+IF(parametros_manuales!$H$41="Todos",'Plan mensual'!J20,0)))*parametros_manuales!$I$41*parametros_manuales!$J$41</f>
        <v>832.975</v>
      </c>
      <c r="I52" s="8">
        <f>(parametros_manuales!$D$41*('Plan mensual'!K13+IF(parametros_manuales!$H$41="Todos",'Plan mensual'!K17,0))+parametros_manuales!$E$41*('Plan mensual'!K14+IF(parametros_manuales!$H$41="Todos",'Plan mensual'!K18,0))+parametros_manuales!$F$41*('Plan mensual'!K15+IF(parametros_manuales!$H$41="Todos",'Plan mensual'!K19,0))+parametros_manuales!$G$41*('Plan mensual'!K16+IF(parametros_manuales!$H$41="Todos",'Plan mensual'!K20,0)))*parametros_manuales!$I$41*parametros_manuales!$J$41</f>
        <v>832.975</v>
      </c>
      <c r="J52" s="8">
        <f>(parametros_manuales!$D$41*('Plan mensual'!L13+IF(parametros_manuales!$H$41="Todos",'Plan mensual'!L17,0))+parametros_manuales!$E$41*('Plan mensual'!L14+IF(parametros_manuales!$H$41="Todos",'Plan mensual'!L18,0))+parametros_manuales!$F$41*('Plan mensual'!L15+IF(parametros_manuales!$H$41="Todos",'Plan mensual'!L19,0))+parametros_manuales!$G$41*('Plan mensual'!L16+IF(parametros_manuales!$H$41="Todos",'Plan mensual'!L20,0)))*parametros_manuales!$I$41*parametros_manuales!$J$41</f>
        <v>832.975</v>
      </c>
      <c r="K52" s="8">
        <f>(parametros_manuales!$D$41*('Plan mensual'!M13+IF(parametros_manuales!$H$41="Todos",'Plan mensual'!M17,0))+parametros_manuales!$E$41*('Plan mensual'!M14+IF(parametros_manuales!$H$41="Todos",'Plan mensual'!M18,0))+parametros_manuales!$F$41*('Plan mensual'!M15+IF(parametros_manuales!$H$41="Todos",'Plan mensual'!M19,0))+parametros_manuales!$G$41*('Plan mensual'!M16+IF(parametros_manuales!$H$41="Todos",'Plan mensual'!M20,0)))*parametros_manuales!$I$41*parametros_manuales!$J$41</f>
        <v>809.025</v>
      </c>
      <c r="L52" s="8">
        <f>(parametros_manuales!$D$41*('Plan mensual'!N13+IF(parametros_manuales!$H$41="Todos",'Plan mensual'!N17,0))+parametros_manuales!$E$41*('Plan mensual'!N14+IF(parametros_manuales!$H$41="Todos",'Plan mensual'!N18,0))+parametros_manuales!$F$41*('Plan mensual'!N15+IF(parametros_manuales!$H$41="Todos",'Plan mensual'!N19,0))+parametros_manuales!$G$41*('Plan mensual'!N16+IF(parametros_manuales!$H$41="Todos",'Plan mensual'!N20,0)))*parametros_manuales!$I$41*parametros_manuales!$J$41</f>
        <v>785.075</v>
      </c>
      <c r="M52" s="8">
        <f>(parametros_manuales!$D$41*('Plan mensual'!O13+IF(parametros_manuales!$H$41="Todos",'Plan mensual'!O17,0))+parametros_manuales!$E$41*('Plan mensual'!O14+IF(parametros_manuales!$H$41="Todos",'Plan mensual'!O18,0))+parametros_manuales!$F$41*('Plan mensual'!O15+IF(parametros_manuales!$H$41="Todos",'Plan mensual'!O19,0))+parametros_manuales!$G$41*('Plan mensual'!O16+IF(parametros_manuales!$H$41="Todos",'Plan mensual'!O20,0)))*parametros_manuales!$I$41*parametros_manuales!$J$41</f>
        <v>1246.54</v>
      </c>
      <c r="N52" s="8">
        <f t="shared" si="4"/>
        <v>10787</v>
      </c>
      <c r="O52" s="8">
        <f t="shared" si="5"/>
        <v>1246.54</v>
      </c>
      <c r="P52" s="27">
        <f>O52/(parametros_manuales!$B$7)</f>
        <v>8.310266667</v>
      </c>
      <c r="Q52" s="4" t="str">
        <f t="shared" si="6"/>
        <v>Dic</v>
      </c>
    </row>
    <row r="53" ht="14.25" customHeight="1">
      <c r="A53" s="4" t="str">
        <f>parametros_manuales!$B$42</f>
        <v>Control de calidad — Ensayo de pérdidas</v>
      </c>
      <c r="B53" s="8">
        <f>(parametros_manuales!$D$42*('Plan mensual'!D13+IF(parametros_manuales!$H$42="Todos",'Plan mensual'!D17,0))+parametros_manuales!$E$42*('Plan mensual'!D14+IF(parametros_manuales!$H$42="Todos",'Plan mensual'!D18,0))+parametros_manuales!$F$42*('Plan mensual'!D15+IF(parametros_manuales!$H$42="Todos",'Plan mensual'!D19,0))+parametros_manuales!$G$42*('Plan mensual'!D16+IF(parametros_manuales!$H$42="Todos",'Plan mensual'!D20,0)))*parametros_manuales!$I$42*parametros_manuales!$J$42</f>
        <v>1198.64</v>
      </c>
      <c r="C53" s="8">
        <f>(parametros_manuales!$D$42*('Plan mensual'!E13+IF(parametros_manuales!$H$42="Todos",'Plan mensual'!E17,0))+parametros_manuales!$E$42*('Plan mensual'!E14+IF(parametros_manuales!$H$42="Todos",'Plan mensual'!E18,0))+parametros_manuales!$F$42*('Plan mensual'!E15+IF(parametros_manuales!$H$42="Todos",'Plan mensual'!E19,0))+parametros_manuales!$G$42*('Plan mensual'!E16+IF(parametros_manuales!$H$42="Todos",'Plan mensual'!E20,0)))*parametros_manuales!$I$42*parametros_manuales!$J$42</f>
        <v>922.93</v>
      </c>
      <c r="D53" s="8">
        <f>(parametros_manuales!$D$42*('Plan mensual'!F13+IF(parametros_manuales!$H$42="Todos",'Plan mensual'!F17,0))+parametros_manuales!$E$42*('Plan mensual'!F14+IF(parametros_manuales!$H$42="Todos",'Plan mensual'!F18,0))+parametros_manuales!$F$42*('Plan mensual'!F15+IF(parametros_manuales!$H$42="Todos",'Plan mensual'!F19,0))+parametros_manuales!$G$42*('Plan mensual'!F16+IF(parametros_manuales!$H$42="Todos",'Plan mensual'!F20,0)))*parametros_manuales!$I$42*parametros_manuales!$J$42</f>
        <v>886.91</v>
      </c>
      <c r="E53" s="8">
        <f>(parametros_manuales!$D$42*('Plan mensual'!G13+IF(parametros_manuales!$H$42="Todos",'Plan mensual'!G17,0))+parametros_manuales!$E$42*('Plan mensual'!G14+IF(parametros_manuales!$H$42="Todos",'Plan mensual'!G18,0))+parametros_manuales!$F$42*('Plan mensual'!G15+IF(parametros_manuales!$H$42="Todos",'Plan mensual'!G19,0))+parametros_manuales!$G$42*('Plan mensual'!G16+IF(parametros_manuales!$H$42="Todos",'Plan mensual'!G20,0)))*parametros_manuales!$I$42*parametros_manuales!$J$42</f>
        <v>856.925</v>
      </c>
      <c r="F53" s="8">
        <f>(parametros_manuales!$D$42*('Plan mensual'!H13+IF(parametros_manuales!$H$42="Todos",'Plan mensual'!H17,0))+parametros_manuales!$E$42*('Plan mensual'!H14+IF(parametros_manuales!$H$42="Todos",'Plan mensual'!H18,0))+parametros_manuales!$F$42*('Plan mensual'!H15+IF(parametros_manuales!$H$42="Todos",'Plan mensual'!H19,0))+parametros_manuales!$G$42*('Plan mensual'!H16+IF(parametros_manuales!$H$42="Todos",'Plan mensual'!H20,0)))*parametros_manuales!$I$42*parametros_manuales!$J$42</f>
        <v>802.99</v>
      </c>
      <c r="G53" s="8">
        <f>(parametros_manuales!$D$42*('Plan mensual'!I13+IF(parametros_manuales!$H$42="Todos",'Plan mensual'!I17,0))+parametros_manuales!$E$42*('Plan mensual'!I14+IF(parametros_manuales!$H$42="Todos",'Plan mensual'!I18,0))+parametros_manuales!$F$42*('Plan mensual'!I15+IF(parametros_manuales!$H$42="Todos",'Plan mensual'!I19,0))+parametros_manuales!$G$42*('Plan mensual'!I16+IF(parametros_manuales!$H$42="Todos",'Plan mensual'!I20,0)))*parametros_manuales!$I$42*parametros_manuales!$J$42</f>
        <v>779.04</v>
      </c>
      <c r="H53" s="8">
        <f>(parametros_manuales!$D$42*('Plan mensual'!J13+IF(parametros_manuales!$H$42="Todos",'Plan mensual'!J17,0))+parametros_manuales!$E$42*('Plan mensual'!J14+IF(parametros_manuales!$H$42="Todos",'Plan mensual'!J18,0))+parametros_manuales!$F$42*('Plan mensual'!J15+IF(parametros_manuales!$H$42="Todos",'Plan mensual'!J19,0))+parametros_manuales!$G$42*('Plan mensual'!J16+IF(parametros_manuales!$H$42="Todos",'Plan mensual'!J20,0)))*parametros_manuales!$I$42*parametros_manuales!$J$42</f>
        <v>832.975</v>
      </c>
      <c r="I53" s="8">
        <f>(parametros_manuales!$D$42*('Plan mensual'!K13+IF(parametros_manuales!$H$42="Todos",'Plan mensual'!K17,0))+parametros_manuales!$E$42*('Plan mensual'!K14+IF(parametros_manuales!$H$42="Todos",'Plan mensual'!K18,0))+parametros_manuales!$F$42*('Plan mensual'!K15+IF(parametros_manuales!$H$42="Todos",'Plan mensual'!K19,0))+parametros_manuales!$G$42*('Plan mensual'!K16+IF(parametros_manuales!$H$42="Todos",'Plan mensual'!K20,0)))*parametros_manuales!$I$42*parametros_manuales!$J$42</f>
        <v>832.975</v>
      </c>
      <c r="J53" s="8">
        <f>(parametros_manuales!$D$42*('Plan mensual'!L13+IF(parametros_manuales!$H$42="Todos",'Plan mensual'!L17,0))+parametros_manuales!$E$42*('Plan mensual'!L14+IF(parametros_manuales!$H$42="Todos",'Plan mensual'!L18,0))+parametros_manuales!$F$42*('Plan mensual'!L15+IF(parametros_manuales!$H$42="Todos",'Plan mensual'!L19,0))+parametros_manuales!$G$42*('Plan mensual'!L16+IF(parametros_manuales!$H$42="Todos",'Plan mensual'!L20,0)))*parametros_manuales!$I$42*parametros_manuales!$J$42</f>
        <v>832.975</v>
      </c>
      <c r="K53" s="8">
        <f>(parametros_manuales!$D$42*('Plan mensual'!M13+IF(parametros_manuales!$H$42="Todos",'Plan mensual'!M17,0))+parametros_manuales!$E$42*('Plan mensual'!M14+IF(parametros_manuales!$H$42="Todos",'Plan mensual'!M18,0))+parametros_manuales!$F$42*('Plan mensual'!M15+IF(parametros_manuales!$H$42="Todos",'Plan mensual'!M19,0))+parametros_manuales!$G$42*('Plan mensual'!M16+IF(parametros_manuales!$H$42="Todos",'Plan mensual'!M20,0)))*parametros_manuales!$I$42*parametros_manuales!$J$42</f>
        <v>809.025</v>
      </c>
      <c r="L53" s="8">
        <f>(parametros_manuales!$D$42*('Plan mensual'!N13+IF(parametros_manuales!$H$42="Todos",'Plan mensual'!N17,0))+parametros_manuales!$E$42*('Plan mensual'!N14+IF(parametros_manuales!$H$42="Todos",'Plan mensual'!N18,0))+parametros_manuales!$F$42*('Plan mensual'!N15+IF(parametros_manuales!$H$42="Todos",'Plan mensual'!N19,0))+parametros_manuales!$G$42*('Plan mensual'!N16+IF(parametros_manuales!$H$42="Todos",'Plan mensual'!N20,0)))*parametros_manuales!$I$42*parametros_manuales!$J$42</f>
        <v>785.075</v>
      </c>
      <c r="M53" s="8">
        <f>(parametros_manuales!$D$42*('Plan mensual'!O13+IF(parametros_manuales!$H$42="Todos",'Plan mensual'!O17,0))+parametros_manuales!$E$42*('Plan mensual'!O14+IF(parametros_manuales!$H$42="Todos",'Plan mensual'!O18,0))+parametros_manuales!$F$42*('Plan mensual'!O15+IF(parametros_manuales!$H$42="Todos",'Plan mensual'!O19,0))+parametros_manuales!$G$42*('Plan mensual'!O16+IF(parametros_manuales!$H$42="Todos",'Plan mensual'!O20,0)))*parametros_manuales!$I$42*parametros_manuales!$J$42</f>
        <v>1246.54</v>
      </c>
      <c r="N53" s="8">
        <f t="shared" si="4"/>
        <v>10787</v>
      </c>
      <c r="O53" s="8">
        <f t="shared" si="5"/>
        <v>1246.54</v>
      </c>
      <c r="P53" s="27">
        <f>O53/(parametros_manuales!$B$7)</f>
        <v>8.310266667</v>
      </c>
      <c r="Q53" s="4" t="str">
        <f t="shared" si="6"/>
        <v>Dic</v>
      </c>
    </row>
    <row r="54" ht="14.25" customHeight="1">
      <c r="A54" s="4" t="str">
        <f>parametros_manuales!$B$43</f>
        <v>Etiquetado</v>
      </c>
      <c r="B54" s="8">
        <f>(parametros_manuales!$D$43*('Plan mensual'!D13+IF(parametros_manuales!$H$43="Todos",'Plan mensual'!D17,0))+parametros_manuales!$E$43*('Plan mensual'!D14+IF(parametros_manuales!$H$43="Todos",'Plan mensual'!D18,0))+parametros_manuales!$F$43*('Plan mensual'!D15+IF(parametros_manuales!$H$43="Todos",'Plan mensual'!D19,0))+parametros_manuales!$G$43*('Plan mensual'!D16+IF(parametros_manuales!$H$43="Todos",'Plan mensual'!D20,0)))*parametros_manuales!$I$43*parametros_manuales!$J$43</f>
        <v>1198.64</v>
      </c>
      <c r="C54" s="8">
        <f>(parametros_manuales!$D$43*('Plan mensual'!E13+IF(parametros_manuales!$H$43="Todos",'Plan mensual'!E17,0))+parametros_manuales!$E$43*('Plan mensual'!E14+IF(parametros_manuales!$H$43="Todos",'Plan mensual'!E18,0))+parametros_manuales!$F$43*('Plan mensual'!E15+IF(parametros_manuales!$H$43="Todos",'Plan mensual'!E19,0))+parametros_manuales!$G$43*('Plan mensual'!E16+IF(parametros_manuales!$H$43="Todos",'Plan mensual'!E20,0)))*parametros_manuales!$I$43*parametros_manuales!$J$43</f>
        <v>922.93</v>
      </c>
      <c r="D54" s="8">
        <f>(parametros_manuales!$D$43*('Plan mensual'!F13+IF(parametros_manuales!$H$43="Todos",'Plan mensual'!F17,0))+parametros_manuales!$E$43*('Plan mensual'!F14+IF(parametros_manuales!$H$43="Todos",'Plan mensual'!F18,0))+parametros_manuales!$F$43*('Plan mensual'!F15+IF(parametros_manuales!$H$43="Todos",'Plan mensual'!F19,0))+parametros_manuales!$G$43*('Plan mensual'!F16+IF(parametros_manuales!$H$43="Todos",'Plan mensual'!F20,0)))*parametros_manuales!$I$43*parametros_manuales!$J$43</f>
        <v>886.91</v>
      </c>
      <c r="E54" s="8">
        <f>(parametros_manuales!$D$43*('Plan mensual'!G13+IF(parametros_manuales!$H$43="Todos",'Plan mensual'!G17,0))+parametros_manuales!$E$43*('Plan mensual'!G14+IF(parametros_manuales!$H$43="Todos",'Plan mensual'!G18,0))+parametros_manuales!$F$43*('Plan mensual'!G15+IF(parametros_manuales!$H$43="Todos",'Plan mensual'!G19,0))+parametros_manuales!$G$43*('Plan mensual'!G16+IF(parametros_manuales!$H$43="Todos",'Plan mensual'!G20,0)))*parametros_manuales!$I$43*parametros_manuales!$J$43</f>
        <v>856.925</v>
      </c>
      <c r="F54" s="8">
        <f>(parametros_manuales!$D$43*('Plan mensual'!H13+IF(parametros_manuales!$H$43="Todos",'Plan mensual'!H17,0))+parametros_manuales!$E$43*('Plan mensual'!H14+IF(parametros_manuales!$H$43="Todos",'Plan mensual'!H18,0))+parametros_manuales!$F$43*('Plan mensual'!H15+IF(parametros_manuales!$H$43="Todos",'Plan mensual'!H19,0))+parametros_manuales!$G$43*('Plan mensual'!H16+IF(parametros_manuales!$H$43="Todos",'Plan mensual'!H20,0)))*parametros_manuales!$I$43*parametros_manuales!$J$43</f>
        <v>802.99</v>
      </c>
      <c r="G54" s="8">
        <f>(parametros_manuales!$D$43*('Plan mensual'!I13+IF(parametros_manuales!$H$43="Todos",'Plan mensual'!I17,0))+parametros_manuales!$E$43*('Plan mensual'!I14+IF(parametros_manuales!$H$43="Todos",'Plan mensual'!I18,0))+parametros_manuales!$F$43*('Plan mensual'!I15+IF(parametros_manuales!$H$43="Todos",'Plan mensual'!I19,0))+parametros_manuales!$G$43*('Plan mensual'!I16+IF(parametros_manuales!$H$43="Todos",'Plan mensual'!I20,0)))*parametros_manuales!$I$43*parametros_manuales!$J$43</f>
        <v>779.04</v>
      </c>
      <c r="H54" s="8">
        <f>(parametros_manuales!$D$43*('Plan mensual'!J13+IF(parametros_manuales!$H$43="Todos",'Plan mensual'!J17,0))+parametros_manuales!$E$43*('Plan mensual'!J14+IF(parametros_manuales!$H$43="Todos",'Plan mensual'!J18,0))+parametros_manuales!$F$43*('Plan mensual'!J15+IF(parametros_manuales!$H$43="Todos",'Plan mensual'!J19,0))+parametros_manuales!$G$43*('Plan mensual'!J16+IF(parametros_manuales!$H$43="Todos",'Plan mensual'!J20,0)))*parametros_manuales!$I$43*parametros_manuales!$J$43</f>
        <v>832.975</v>
      </c>
      <c r="I54" s="8">
        <f>(parametros_manuales!$D$43*('Plan mensual'!K13+IF(parametros_manuales!$H$43="Todos",'Plan mensual'!K17,0))+parametros_manuales!$E$43*('Plan mensual'!K14+IF(parametros_manuales!$H$43="Todos",'Plan mensual'!K18,0))+parametros_manuales!$F$43*('Plan mensual'!K15+IF(parametros_manuales!$H$43="Todos",'Plan mensual'!K19,0))+parametros_manuales!$G$43*('Plan mensual'!K16+IF(parametros_manuales!$H$43="Todos",'Plan mensual'!K20,0)))*parametros_manuales!$I$43*parametros_manuales!$J$43</f>
        <v>832.975</v>
      </c>
      <c r="J54" s="8">
        <f>(parametros_manuales!$D$43*('Plan mensual'!L13+IF(parametros_manuales!$H$43="Todos",'Plan mensual'!L17,0))+parametros_manuales!$E$43*('Plan mensual'!L14+IF(parametros_manuales!$H$43="Todos",'Plan mensual'!L18,0))+parametros_manuales!$F$43*('Plan mensual'!L15+IF(parametros_manuales!$H$43="Todos",'Plan mensual'!L19,0))+parametros_manuales!$G$43*('Plan mensual'!L16+IF(parametros_manuales!$H$43="Todos",'Plan mensual'!L20,0)))*parametros_manuales!$I$43*parametros_manuales!$J$43</f>
        <v>832.975</v>
      </c>
      <c r="K54" s="8">
        <f>(parametros_manuales!$D$43*('Plan mensual'!M13+IF(parametros_manuales!$H$43="Todos",'Plan mensual'!M17,0))+parametros_manuales!$E$43*('Plan mensual'!M14+IF(parametros_manuales!$H$43="Todos",'Plan mensual'!M18,0))+parametros_manuales!$F$43*('Plan mensual'!M15+IF(parametros_manuales!$H$43="Todos",'Plan mensual'!M19,0))+parametros_manuales!$G$43*('Plan mensual'!M16+IF(parametros_manuales!$H$43="Todos",'Plan mensual'!M20,0)))*parametros_manuales!$I$43*parametros_manuales!$J$43</f>
        <v>809.025</v>
      </c>
      <c r="L54" s="8">
        <f>(parametros_manuales!$D$43*('Plan mensual'!N13+IF(parametros_manuales!$H$43="Todos",'Plan mensual'!N17,0))+parametros_manuales!$E$43*('Plan mensual'!N14+IF(parametros_manuales!$H$43="Todos",'Plan mensual'!N18,0))+parametros_manuales!$F$43*('Plan mensual'!N15+IF(parametros_manuales!$H$43="Todos",'Plan mensual'!N19,0))+parametros_manuales!$G$43*('Plan mensual'!N16+IF(parametros_manuales!$H$43="Todos",'Plan mensual'!N20,0)))*parametros_manuales!$I$43*parametros_manuales!$J$43</f>
        <v>785.075</v>
      </c>
      <c r="M54" s="8">
        <f>(parametros_manuales!$D$43*('Plan mensual'!O13+IF(parametros_manuales!$H$43="Todos",'Plan mensual'!O17,0))+parametros_manuales!$E$43*('Plan mensual'!O14+IF(parametros_manuales!$H$43="Todos",'Plan mensual'!O18,0))+parametros_manuales!$F$43*('Plan mensual'!O15+IF(parametros_manuales!$H$43="Todos",'Plan mensual'!O19,0))+parametros_manuales!$G$43*('Plan mensual'!O16+IF(parametros_manuales!$H$43="Todos",'Plan mensual'!O20,0)))*parametros_manuales!$I$43*parametros_manuales!$J$43</f>
        <v>1246.54</v>
      </c>
      <c r="N54" s="8">
        <f t="shared" si="4"/>
        <v>10787</v>
      </c>
      <c r="O54" s="8">
        <f t="shared" si="5"/>
        <v>1246.54</v>
      </c>
      <c r="P54" s="27">
        <f>O54/(parametros_manuales!$B$7)</f>
        <v>8.310266667</v>
      </c>
      <c r="Q54" s="4" t="str">
        <f t="shared" si="6"/>
        <v>Dic</v>
      </c>
    </row>
    <row r="55" ht="14.25" customHeight="1">
      <c r="A55" s="4" t="str">
        <f>parametros_manuales!$B$44</f>
        <v>Embalaje y paletizado</v>
      </c>
      <c r="B55" s="8">
        <f>(parametros_manuales!$D$44*('Plan mensual'!D13+IF(parametros_manuales!$H$44="Todos",'Plan mensual'!D17,0))+parametros_manuales!$E$44*('Plan mensual'!D14+IF(parametros_manuales!$H$44="Todos",'Plan mensual'!D18,0))+parametros_manuales!$F$44*('Plan mensual'!D15+IF(parametros_manuales!$H$44="Todos",'Plan mensual'!D19,0))+parametros_manuales!$G$44*('Plan mensual'!D16+IF(parametros_manuales!$H$44="Todos",'Plan mensual'!D20,0)))*parametros_manuales!$I$44*parametros_manuales!$J$44</f>
        <v>1208.54</v>
      </c>
      <c r="C55" s="8">
        <f>(parametros_manuales!$D$44*('Plan mensual'!E13+IF(parametros_manuales!$H$44="Todos",'Plan mensual'!E17,0))+parametros_manuales!$E$44*('Plan mensual'!E14+IF(parametros_manuales!$H$44="Todos",'Plan mensual'!E18,0))+parametros_manuales!$F$44*('Plan mensual'!E15+IF(parametros_manuales!$H$44="Todos",'Plan mensual'!E19,0))+parametros_manuales!$G$44*('Plan mensual'!E16+IF(parametros_manuales!$H$44="Todos",'Plan mensual'!E20,0)))*parametros_manuales!$I$44*parametros_manuales!$J$44</f>
        <v>930.85</v>
      </c>
      <c r="D55" s="8">
        <f>(parametros_manuales!$D$44*('Plan mensual'!F13+IF(parametros_manuales!$H$44="Todos",'Plan mensual'!F17,0))+parametros_manuales!$E$44*('Plan mensual'!F14+IF(parametros_manuales!$H$44="Todos",'Plan mensual'!F18,0))+parametros_manuales!$F$44*('Plan mensual'!F15+IF(parametros_manuales!$H$44="Todos",'Plan mensual'!F19,0))+parametros_manuales!$G$44*('Plan mensual'!F16+IF(parametros_manuales!$H$44="Todos",'Plan mensual'!F20,0)))*parametros_manuales!$I$44*parametros_manuales!$J$44</f>
        <v>895.325</v>
      </c>
      <c r="E55" s="8">
        <f>(parametros_manuales!$D$44*('Plan mensual'!G13+IF(parametros_manuales!$H$44="Todos",'Plan mensual'!G17,0))+parametros_manuales!$E$44*('Plan mensual'!G14+IF(parametros_manuales!$H$44="Todos",'Plan mensual'!G18,0))+parametros_manuales!$F$44*('Plan mensual'!G15+IF(parametros_manuales!$H$44="Todos",'Plan mensual'!G19,0))+parametros_manuales!$G$44*('Plan mensual'!G16+IF(parametros_manuales!$H$44="Todos",'Plan mensual'!G20,0)))*parametros_manuales!$I$44*parametros_manuales!$J$44</f>
        <v>865.34</v>
      </c>
      <c r="F55" s="8">
        <f>(parametros_manuales!$D$44*('Plan mensual'!H13+IF(parametros_manuales!$H$44="Todos",'Plan mensual'!H17,0))+parametros_manuales!$E$44*('Plan mensual'!H14+IF(parametros_manuales!$H$44="Todos",'Plan mensual'!H18,0))+parametros_manuales!$F$44*('Plan mensual'!H15+IF(parametros_manuales!$H$44="Todos",'Plan mensual'!H19,0))+parametros_manuales!$G$44*('Plan mensual'!H16+IF(parametros_manuales!$H$44="Todos",'Plan mensual'!H20,0)))*parametros_manuales!$I$44*parametros_manuales!$J$44</f>
        <v>810.91</v>
      </c>
      <c r="G55" s="8">
        <f>(parametros_manuales!$D$44*('Plan mensual'!I13+IF(parametros_manuales!$H$44="Todos",'Plan mensual'!I17,0))+parametros_manuales!$E$44*('Plan mensual'!I14+IF(parametros_manuales!$H$44="Todos",'Plan mensual'!I18,0))+parametros_manuales!$F$44*('Plan mensual'!I15+IF(parametros_manuales!$H$44="Todos",'Plan mensual'!I19,0))+parametros_manuales!$G$44*('Plan mensual'!I16+IF(parametros_manuales!$H$44="Todos",'Plan mensual'!I20,0)))*parametros_manuales!$I$44*parametros_manuales!$J$44</f>
        <v>786.465</v>
      </c>
      <c r="H55" s="8">
        <f>(parametros_manuales!$D$44*('Plan mensual'!J13+IF(parametros_manuales!$H$44="Todos",'Plan mensual'!J17,0))+parametros_manuales!$E$44*('Plan mensual'!J14+IF(parametros_manuales!$H$44="Todos",'Plan mensual'!J18,0))+parametros_manuales!$F$44*('Plan mensual'!J15+IF(parametros_manuales!$H$44="Todos",'Plan mensual'!J19,0))+parametros_manuales!$G$44*('Plan mensual'!J16+IF(parametros_manuales!$H$44="Todos",'Plan mensual'!J20,0)))*parametros_manuales!$I$44*parametros_manuales!$J$44</f>
        <v>840.895</v>
      </c>
      <c r="I55" s="8">
        <f>(parametros_manuales!$D$44*('Plan mensual'!K13+IF(parametros_manuales!$H$44="Todos",'Plan mensual'!K17,0))+parametros_manuales!$E$44*('Plan mensual'!K14+IF(parametros_manuales!$H$44="Todos",'Plan mensual'!K18,0))+parametros_manuales!$F$44*('Plan mensual'!K15+IF(parametros_manuales!$H$44="Todos",'Plan mensual'!K19,0))+parametros_manuales!$G$44*('Plan mensual'!K16+IF(parametros_manuales!$H$44="Todos",'Plan mensual'!K20,0)))*parametros_manuales!$I$44*parametros_manuales!$J$44</f>
        <v>840.895</v>
      </c>
      <c r="J55" s="8">
        <f>(parametros_manuales!$D$44*('Plan mensual'!L13+IF(parametros_manuales!$H$44="Todos",'Plan mensual'!L17,0))+parametros_manuales!$E$44*('Plan mensual'!L14+IF(parametros_manuales!$H$44="Todos",'Plan mensual'!L18,0))+parametros_manuales!$F$44*('Plan mensual'!L15+IF(parametros_manuales!$H$44="Todos",'Plan mensual'!L19,0))+parametros_manuales!$G$44*('Plan mensual'!L16+IF(parametros_manuales!$H$44="Todos",'Plan mensual'!L20,0)))*parametros_manuales!$I$44*parametros_manuales!$J$44</f>
        <v>840.895</v>
      </c>
      <c r="K55" s="8">
        <f>(parametros_manuales!$D$44*('Plan mensual'!M13+IF(parametros_manuales!$H$44="Todos",'Plan mensual'!M17,0))+parametros_manuales!$E$44*('Plan mensual'!M14+IF(parametros_manuales!$H$44="Todos",'Plan mensual'!M18,0))+parametros_manuales!$F$44*('Plan mensual'!M15+IF(parametros_manuales!$H$44="Todos",'Plan mensual'!M19,0))+parametros_manuales!$G$44*('Plan mensual'!M16+IF(parametros_manuales!$H$44="Todos",'Plan mensual'!M20,0)))*parametros_manuales!$I$44*parametros_manuales!$J$44</f>
        <v>816.45</v>
      </c>
      <c r="L55" s="8">
        <f>(parametros_manuales!$D$44*('Plan mensual'!N13+IF(parametros_manuales!$H$44="Todos",'Plan mensual'!N17,0))+parametros_manuales!$E$44*('Plan mensual'!N14+IF(parametros_manuales!$H$44="Todos",'Plan mensual'!N18,0))+parametros_manuales!$F$44*('Plan mensual'!N15+IF(parametros_manuales!$H$44="Todos",'Plan mensual'!N19,0))+parametros_manuales!$G$44*('Plan mensual'!N16+IF(parametros_manuales!$H$44="Todos",'Plan mensual'!N20,0)))*parametros_manuales!$I$44*parametros_manuales!$J$44</f>
        <v>792.005</v>
      </c>
      <c r="M55" s="8">
        <f>(parametros_manuales!$D$44*('Plan mensual'!O13+IF(parametros_manuales!$H$44="Todos",'Plan mensual'!O17,0))+parametros_manuales!$E$44*('Plan mensual'!O14+IF(parametros_manuales!$H$44="Todos",'Plan mensual'!O18,0))+parametros_manuales!$F$44*('Plan mensual'!O15+IF(parametros_manuales!$H$44="Todos",'Plan mensual'!O19,0))+parametros_manuales!$G$44*('Plan mensual'!O16+IF(parametros_manuales!$H$44="Todos",'Plan mensual'!O20,0)))*parametros_manuales!$I$44*parametros_manuales!$J$44</f>
        <v>1257.43</v>
      </c>
      <c r="N55" s="8">
        <f t="shared" si="4"/>
        <v>10886</v>
      </c>
      <c r="O55" s="8">
        <f t="shared" si="5"/>
        <v>1257.43</v>
      </c>
      <c r="P55" s="27">
        <f>O55/(parametros_manuales!$B$7)</f>
        <v>8.382866667</v>
      </c>
      <c r="Q55" s="4" t="str">
        <f t="shared" si="6"/>
        <v>Dic</v>
      </c>
    </row>
    <row r="56" ht="14.25" customHeight="1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</row>
    <row r="57" ht="14.25" customHeight="1">
      <c r="A57" s="1" t="s">
        <v>229</v>
      </c>
      <c r="B57" s="1" t="s">
        <v>5</v>
      </c>
      <c r="C57" s="1" t="s">
        <v>6</v>
      </c>
      <c r="D57" s="1" t="s">
        <v>7</v>
      </c>
      <c r="E57" s="1" t="s">
        <v>8</v>
      </c>
      <c r="F57" s="1" t="s">
        <v>9</v>
      </c>
      <c r="G57" s="1" t="s">
        <v>10</v>
      </c>
      <c r="H57" s="1" t="s">
        <v>12</v>
      </c>
      <c r="I57" s="1" t="s">
        <v>13</v>
      </c>
      <c r="J57" s="1" t="s">
        <v>15</v>
      </c>
      <c r="K57" s="1" t="s">
        <v>16</v>
      </c>
      <c r="L57" s="1" t="s">
        <v>17</v>
      </c>
      <c r="M57" s="1" t="s">
        <v>18</v>
      </c>
      <c r="N57" s="1" t="s">
        <v>19</v>
      </c>
      <c r="O57" s="1" t="s">
        <v>20</v>
      </c>
      <c r="P57" s="1" t="s">
        <v>21</v>
      </c>
      <c r="Q57" s="1" t="s">
        <v>22</v>
      </c>
    </row>
    <row r="58" ht="14.25" customHeight="1">
      <c r="A58" s="4" t="str">
        <f>parametros_manuales!$B$19</f>
        <v>Recepción de materia prima</v>
      </c>
      <c r="B58" s="8">
        <f>(parametros_manuales!$D$19*('Plan mensual'!D24+IF(parametros_manuales!$H$19="Todos",'Plan mensual'!D28,0))+parametros_manuales!$E$19*('Plan mensual'!D25+IF(parametros_manuales!$H$19="Todos",'Plan mensual'!D29,0))+parametros_manuales!$F$19*('Plan mensual'!D26+IF(parametros_manuales!$H$19="Todos",'Plan mensual'!D30,0))+parametros_manuales!$G$19*('Plan mensual'!D27+IF(parametros_manuales!$H$19="Todos",'Plan mensual'!D31,0)))*parametros_manuales!$I$19*parametros_manuales!$J$19</f>
        <v>2596.78</v>
      </c>
      <c r="C58" s="8">
        <f>(parametros_manuales!$D$19*('Plan mensual'!E24+IF(parametros_manuales!$H$19="Todos",'Plan mensual'!E28,0))+parametros_manuales!$E$19*('Plan mensual'!E25+IF(parametros_manuales!$H$19="Todos",'Plan mensual'!E29,0))+parametros_manuales!$F$19*('Plan mensual'!E26+IF(parametros_manuales!$H$19="Todos",'Plan mensual'!E30,0))+parametros_manuales!$G$19*('Plan mensual'!E27+IF(parametros_manuales!$H$19="Todos",'Plan mensual'!E31,0)))*parametros_manuales!$I$19*parametros_manuales!$J$19</f>
        <v>1990.34</v>
      </c>
      <c r="D58" s="8">
        <f>(parametros_manuales!$D$19*('Plan mensual'!F24+IF(parametros_manuales!$H$19="Todos",'Plan mensual'!F28,0))+parametros_manuales!$E$19*('Plan mensual'!F25+IF(parametros_manuales!$H$19="Todos",'Plan mensual'!F29,0))+parametros_manuales!$F$19*('Plan mensual'!F26+IF(parametros_manuales!$H$19="Todos",'Plan mensual'!F30,0))+parametros_manuales!$G$19*('Plan mensual'!F27+IF(parametros_manuales!$H$19="Todos",'Plan mensual'!F31,0)))*parametros_manuales!$I$19*parametros_manuales!$J$19</f>
        <v>1887.955</v>
      </c>
      <c r="E58" s="8">
        <f>(parametros_manuales!$D$19*('Plan mensual'!G24+IF(parametros_manuales!$H$19="Todos",'Plan mensual'!G28,0))+parametros_manuales!$E$19*('Plan mensual'!G25+IF(parametros_manuales!$H$19="Todos",'Plan mensual'!G29,0))+parametros_manuales!$F$19*('Plan mensual'!G26+IF(parametros_manuales!$H$19="Todos",'Plan mensual'!G30,0))+parametros_manuales!$G$19*('Plan mensual'!G27+IF(parametros_manuales!$H$19="Todos",'Plan mensual'!G31,0)))*parametros_manuales!$I$19*parametros_manuales!$J$19</f>
        <v>1815.385</v>
      </c>
      <c r="F58" s="8">
        <f>(parametros_manuales!$D$19*('Plan mensual'!H24+IF(parametros_manuales!$H$19="Todos",'Plan mensual'!H28,0))+parametros_manuales!$E$19*('Plan mensual'!H25+IF(parametros_manuales!$H$19="Todos",'Plan mensual'!H29,0))+parametros_manuales!$F$19*('Plan mensual'!H26+IF(parametros_manuales!$H$19="Todos",'Plan mensual'!H30,0))+parametros_manuales!$G$19*('Plan mensual'!H27+IF(parametros_manuales!$H$19="Todos",'Plan mensual'!H31,0)))*parametros_manuales!$I$19*parametros_manuales!$J$19</f>
        <v>1700.06</v>
      </c>
      <c r="G58" s="8">
        <f>(parametros_manuales!$D$19*('Plan mensual'!I24+IF(parametros_manuales!$H$19="Todos",'Plan mensual'!I28,0))+parametros_manuales!$E$19*('Plan mensual'!I25+IF(parametros_manuales!$H$19="Todos",'Plan mensual'!I29,0))+parametros_manuales!$F$19*('Plan mensual'!I26+IF(parametros_manuales!$H$19="Todos",'Plan mensual'!I30,0))+parametros_manuales!$G$19*('Plan mensual'!I27+IF(parametros_manuales!$H$19="Todos",'Plan mensual'!I31,0)))*parametros_manuales!$I$19*parametros_manuales!$J$19</f>
        <v>1657.305</v>
      </c>
      <c r="H58" s="8">
        <f>(parametros_manuales!$D$19*('Plan mensual'!J24+IF(parametros_manuales!$H$19="Todos",'Plan mensual'!J28,0))+parametros_manuales!$E$19*('Plan mensual'!J25+IF(parametros_manuales!$H$19="Todos",'Plan mensual'!J29,0))+parametros_manuales!$F$19*('Plan mensual'!J26+IF(parametros_manuales!$H$19="Todos",'Plan mensual'!J30,0))+parametros_manuales!$G$19*('Plan mensual'!J27+IF(parametros_manuales!$H$19="Todos",'Plan mensual'!J31,0)))*parametros_manuales!$I$19*parametros_manuales!$J$19</f>
        <v>1772.63</v>
      </c>
      <c r="I58" s="8">
        <f>(parametros_manuales!$D$19*('Plan mensual'!K24+IF(parametros_manuales!$H$19="Todos",'Plan mensual'!K28,0))+parametros_manuales!$E$19*('Plan mensual'!K25+IF(parametros_manuales!$H$19="Todos",'Plan mensual'!K29,0))+parametros_manuales!$F$19*('Plan mensual'!K26+IF(parametros_manuales!$H$19="Todos",'Plan mensual'!K30,0))+parametros_manuales!$G$19*('Plan mensual'!K27+IF(parametros_manuales!$H$19="Todos",'Plan mensual'!K31,0)))*parametros_manuales!$I$19*parametros_manuales!$J$19</f>
        <v>1772.63</v>
      </c>
      <c r="J58" s="8">
        <f>(parametros_manuales!$D$19*('Plan mensual'!L24+IF(parametros_manuales!$H$19="Todos",'Plan mensual'!L28,0))+parametros_manuales!$E$19*('Plan mensual'!L25+IF(parametros_manuales!$H$19="Todos",'Plan mensual'!L29,0))+parametros_manuales!$F$19*('Plan mensual'!L26+IF(parametros_manuales!$H$19="Todos",'Plan mensual'!L30,0))+parametros_manuales!$G$19*('Plan mensual'!L27+IF(parametros_manuales!$H$19="Todos",'Plan mensual'!L31,0)))*parametros_manuales!$I$19*parametros_manuales!$J$19</f>
        <v>1772.63</v>
      </c>
      <c r="K58" s="8">
        <f>(parametros_manuales!$D$19*('Plan mensual'!M24+IF(parametros_manuales!$H$19="Todos",'Plan mensual'!M28,0))+parametros_manuales!$E$19*('Plan mensual'!M25+IF(parametros_manuales!$H$19="Todos",'Plan mensual'!M29,0))+parametros_manuales!$F$19*('Plan mensual'!M26+IF(parametros_manuales!$H$19="Todos",'Plan mensual'!M30,0))+parametros_manuales!$G$19*('Plan mensual'!M27+IF(parametros_manuales!$H$19="Todos",'Plan mensual'!M31,0)))*parametros_manuales!$I$19*parametros_manuales!$J$19</f>
        <v>1729.875</v>
      </c>
      <c r="L58" s="8">
        <f>(parametros_manuales!$D$19*('Plan mensual'!N24+IF(parametros_manuales!$H$19="Todos",'Plan mensual'!N28,0))+parametros_manuales!$E$19*('Plan mensual'!N25+IF(parametros_manuales!$H$19="Todos",'Plan mensual'!N29,0))+parametros_manuales!$F$19*('Plan mensual'!N26+IF(parametros_manuales!$H$19="Todos",'Plan mensual'!N30,0))+parametros_manuales!$G$19*('Plan mensual'!N27+IF(parametros_manuales!$H$19="Todos",'Plan mensual'!N31,0)))*parametros_manuales!$I$19*parametros_manuales!$J$19</f>
        <v>1687.12</v>
      </c>
      <c r="M58" s="8">
        <f>(parametros_manuales!$D$19*('Plan mensual'!O24+IF(parametros_manuales!$H$19="Todos",'Plan mensual'!O28,0))+parametros_manuales!$E$19*('Plan mensual'!O25+IF(parametros_manuales!$H$19="Todos",'Plan mensual'!O29,0))+parametros_manuales!$F$19*('Plan mensual'!O26+IF(parametros_manuales!$H$19="Todos",'Plan mensual'!O30,0))+parametros_manuales!$G$19*('Plan mensual'!O27+IF(parametros_manuales!$H$19="Todos",'Plan mensual'!O31,0)))*parametros_manuales!$I$19*parametros_manuales!$J$19</f>
        <v>2682.29</v>
      </c>
      <c r="N58" s="8">
        <f t="shared" ref="N58:N83" si="7">SUM(B58:M58)</f>
        <v>23065</v>
      </c>
      <c r="O58" s="8">
        <f t="shared" ref="O58:O83" si="8">MAX(B58:M58)</f>
        <v>2682.29</v>
      </c>
      <c r="P58" s="27">
        <f>O58/(parametros_manuales!$B$7)</f>
        <v>17.88193333</v>
      </c>
      <c r="Q58" s="4" t="str">
        <f t="shared" ref="Q58:Q83" si="9">IF(O58=0,"-",INDEX($B$57:$M$57,MATCH(O58,B58:M58,0)))</f>
        <v>Dic</v>
      </c>
    </row>
    <row r="59" ht="14.25" customHeight="1">
      <c r="A59" s="4" t="str">
        <f>parametros_manuales!$B$20</f>
        <v>Corte de chapa — 1.er corte en franjas (guillotina 1)</v>
      </c>
      <c r="B59" s="8">
        <f>(parametros_manuales!$D$20*('Plan mensual'!D24+IF(parametros_manuales!$H$20="Todos",'Plan mensual'!D28,0))+parametros_manuales!$E$20*('Plan mensual'!D25+IF(parametros_manuales!$H$20="Todos",'Plan mensual'!D29,0))+parametros_manuales!$F$20*('Plan mensual'!D26+IF(parametros_manuales!$H$20="Todos",'Plan mensual'!D30,0))+parametros_manuales!$G$20*('Plan mensual'!D27+IF(parametros_manuales!$H$20="Todos",'Plan mensual'!D31,0)))*parametros_manuales!$I$20*parametros_manuales!$J$20</f>
        <v>2596.78</v>
      </c>
      <c r="C59" s="8">
        <f>(parametros_manuales!$D$20*('Plan mensual'!E24+IF(parametros_manuales!$H$20="Todos",'Plan mensual'!E28,0))+parametros_manuales!$E$20*('Plan mensual'!E25+IF(parametros_manuales!$H$20="Todos",'Plan mensual'!E29,0))+parametros_manuales!$F$20*('Plan mensual'!E26+IF(parametros_manuales!$H$20="Todos",'Plan mensual'!E30,0))+parametros_manuales!$G$20*('Plan mensual'!E27+IF(parametros_manuales!$H$20="Todos",'Plan mensual'!E31,0)))*parametros_manuales!$I$20*parametros_manuales!$J$20</f>
        <v>1990.34</v>
      </c>
      <c r="D59" s="8">
        <f>(parametros_manuales!$D$20*('Plan mensual'!F24+IF(parametros_manuales!$H$20="Todos",'Plan mensual'!F28,0))+parametros_manuales!$E$20*('Plan mensual'!F25+IF(parametros_manuales!$H$20="Todos",'Plan mensual'!F29,0))+parametros_manuales!$F$20*('Plan mensual'!F26+IF(parametros_manuales!$H$20="Todos",'Plan mensual'!F30,0))+parametros_manuales!$G$20*('Plan mensual'!F27+IF(parametros_manuales!$H$20="Todos",'Plan mensual'!F31,0)))*parametros_manuales!$I$20*parametros_manuales!$J$20</f>
        <v>1887.955</v>
      </c>
      <c r="E59" s="8">
        <f>(parametros_manuales!$D$20*('Plan mensual'!G24+IF(parametros_manuales!$H$20="Todos",'Plan mensual'!G28,0))+parametros_manuales!$E$20*('Plan mensual'!G25+IF(parametros_manuales!$H$20="Todos",'Plan mensual'!G29,0))+parametros_manuales!$F$20*('Plan mensual'!G26+IF(parametros_manuales!$H$20="Todos",'Plan mensual'!G30,0))+parametros_manuales!$G$20*('Plan mensual'!G27+IF(parametros_manuales!$H$20="Todos",'Plan mensual'!G31,0)))*parametros_manuales!$I$20*parametros_manuales!$J$20</f>
        <v>1815.385</v>
      </c>
      <c r="F59" s="8">
        <f>(parametros_manuales!$D$20*('Plan mensual'!H24+IF(parametros_manuales!$H$20="Todos",'Plan mensual'!H28,0))+parametros_manuales!$E$20*('Plan mensual'!H25+IF(parametros_manuales!$H$20="Todos",'Plan mensual'!H29,0))+parametros_manuales!$F$20*('Plan mensual'!H26+IF(parametros_manuales!$H$20="Todos",'Plan mensual'!H30,0))+parametros_manuales!$G$20*('Plan mensual'!H27+IF(parametros_manuales!$H$20="Todos",'Plan mensual'!H31,0)))*parametros_manuales!$I$20*parametros_manuales!$J$20</f>
        <v>1700.06</v>
      </c>
      <c r="G59" s="8">
        <f>(parametros_manuales!$D$20*('Plan mensual'!I24+IF(parametros_manuales!$H$20="Todos",'Plan mensual'!I28,0))+parametros_manuales!$E$20*('Plan mensual'!I25+IF(parametros_manuales!$H$20="Todos",'Plan mensual'!I29,0))+parametros_manuales!$F$20*('Plan mensual'!I26+IF(parametros_manuales!$H$20="Todos",'Plan mensual'!I30,0))+parametros_manuales!$G$20*('Plan mensual'!I27+IF(parametros_manuales!$H$20="Todos",'Plan mensual'!I31,0)))*parametros_manuales!$I$20*parametros_manuales!$J$20</f>
        <v>1657.305</v>
      </c>
      <c r="H59" s="8">
        <f>(parametros_manuales!$D$20*('Plan mensual'!J24+IF(parametros_manuales!$H$20="Todos",'Plan mensual'!J28,0))+parametros_manuales!$E$20*('Plan mensual'!J25+IF(parametros_manuales!$H$20="Todos",'Plan mensual'!J29,0))+parametros_manuales!$F$20*('Plan mensual'!J26+IF(parametros_manuales!$H$20="Todos",'Plan mensual'!J30,0))+parametros_manuales!$G$20*('Plan mensual'!J27+IF(parametros_manuales!$H$20="Todos",'Plan mensual'!J31,0)))*parametros_manuales!$I$20*parametros_manuales!$J$20</f>
        <v>1772.63</v>
      </c>
      <c r="I59" s="8">
        <f>(parametros_manuales!$D$20*('Plan mensual'!K24+IF(parametros_manuales!$H$20="Todos",'Plan mensual'!K28,0))+parametros_manuales!$E$20*('Plan mensual'!K25+IF(parametros_manuales!$H$20="Todos",'Plan mensual'!K29,0))+parametros_manuales!$F$20*('Plan mensual'!K26+IF(parametros_manuales!$H$20="Todos",'Plan mensual'!K30,0))+parametros_manuales!$G$20*('Plan mensual'!K27+IF(parametros_manuales!$H$20="Todos",'Plan mensual'!K31,0)))*parametros_manuales!$I$20*parametros_manuales!$J$20</f>
        <v>1772.63</v>
      </c>
      <c r="J59" s="8">
        <f>(parametros_manuales!$D$20*('Plan mensual'!L24+IF(parametros_manuales!$H$20="Todos",'Plan mensual'!L28,0))+parametros_manuales!$E$20*('Plan mensual'!L25+IF(parametros_manuales!$H$20="Todos",'Plan mensual'!L29,0))+parametros_manuales!$F$20*('Plan mensual'!L26+IF(parametros_manuales!$H$20="Todos",'Plan mensual'!L30,0))+parametros_manuales!$G$20*('Plan mensual'!L27+IF(parametros_manuales!$H$20="Todos",'Plan mensual'!L31,0)))*parametros_manuales!$I$20*parametros_manuales!$J$20</f>
        <v>1772.63</v>
      </c>
      <c r="K59" s="8">
        <f>(parametros_manuales!$D$20*('Plan mensual'!M24+IF(parametros_manuales!$H$20="Todos",'Plan mensual'!M28,0))+parametros_manuales!$E$20*('Plan mensual'!M25+IF(parametros_manuales!$H$20="Todos",'Plan mensual'!M29,0))+parametros_manuales!$F$20*('Plan mensual'!M26+IF(parametros_manuales!$H$20="Todos",'Plan mensual'!M30,0))+parametros_manuales!$G$20*('Plan mensual'!M27+IF(parametros_manuales!$H$20="Todos",'Plan mensual'!M31,0)))*parametros_manuales!$I$20*parametros_manuales!$J$20</f>
        <v>1729.875</v>
      </c>
      <c r="L59" s="8">
        <f>(parametros_manuales!$D$20*('Plan mensual'!N24+IF(parametros_manuales!$H$20="Todos",'Plan mensual'!N28,0))+parametros_manuales!$E$20*('Plan mensual'!N25+IF(parametros_manuales!$H$20="Todos",'Plan mensual'!N29,0))+parametros_manuales!$F$20*('Plan mensual'!N26+IF(parametros_manuales!$H$20="Todos",'Plan mensual'!N30,0))+parametros_manuales!$G$20*('Plan mensual'!N27+IF(parametros_manuales!$H$20="Todos",'Plan mensual'!N31,0)))*parametros_manuales!$I$20*parametros_manuales!$J$20</f>
        <v>1687.12</v>
      </c>
      <c r="M59" s="8">
        <f>(parametros_manuales!$D$20*('Plan mensual'!O24+IF(parametros_manuales!$H$20="Todos",'Plan mensual'!O28,0))+parametros_manuales!$E$20*('Plan mensual'!O25+IF(parametros_manuales!$H$20="Todos",'Plan mensual'!O29,0))+parametros_manuales!$F$20*('Plan mensual'!O26+IF(parametros_manuales!$H$20="Todos",'Plan mensual'!O30,0))+parametros_manuales!$G$20*('Plan mensual'!O27+IF(parametros_manuales!$H$20="Todos",'Plan mensual'!O31,0)))*parametros_manuales!$I$20*parametros_manuales!$J$20</f>
        <v>2682.29</v>
      </c>
      <c r="N59" s="8">
        <f t="shared" si="7"/>
        <v>23065</v>
      </c>
      <c r="O59" s="8">
        <f t="shared" si="8"/>
        <v>2682.29</v>
      </c>
      <c r="P59" s="27">
        <f>O59/(parametros_manuales!$B$7)</f>
        <v>17.88193333</v>
      </c>
      <c r="Q59" s="4" t="str">
        <f t="shared" si="9"/>
        <v>Dic</v>
      </c>
    </row>
    <row r="60" ht="14.25" customHeight="1">
      <c r="A60" s="4" t="str">
        <f>parametros_manuales!$B$21</f>
        <v>Corte de chapa — 2.º corte en piezas (guillotina 2)</v>
      </c>
      <c r="B60" s="8">
        <f>(parametros_manuales!$D$21*('Plan mensual'!D24+IF(parametros_manuales!$H$21="Todos",'Plan mensual'!D28,0))+parametros_manuales!$E$21*('Plan mensual'!D25+IF(parametros_manuales!$H$21="Todos",'Plan mensual'!D29,0))+parametros_manuales!$F$21*('Plan mensual'!D26+IF(parametros_manuales!$H$21="Todos",'Plan mensual'!D30,0))+parametros_manuales!$G$21*('Plan mensual'!D27+IF(parametros_manuales!$H$21="Todos",'Plan mensual'!D31,0)))*parametros_manuales!$I$21*parametros_manuales!$J$21</f>
        <v>2596.78</v>
      </c>
      <c r="C60" s="8">
        <f>(parametros_manuales!$D$21*('Plan mensual'!E24+IF(parametros_manuales!$H$21="Todos",'Plan mensual'!E28,0))+parametros_manuales!$E$21*('Plan mensual'!E25+IF(parametros_manuales!$H$21="Todos",'Plan mensual'!E29,0))+parametros_manuales!$F$21*('Plan mensual'!E26+IF(parametros_manuales!$H$21="Todos",'Plan mensual'!E30,0))+parametros_manuales!$G$21*('Plan mensual'!E27+IF(parametros_manuales!$H$21="Todos",'Plan mensual'!E31,0)))*parametros_manuales!$I$21*parametros_manuales!$J$21</f>
        <v>1990.34</v>
      </c>
      <c r="D60" s="8">
        <f>(parametros_manuales!$D$21*('Plan mensual'!F24+IF(parametros_manuales!$H$21="Todos",'Plan mensual'!F28,0))+parametros_manuales!$E$21*('Plan mensual'!F25+IF(parametros_manuales!$H$21="Todos",'Plan mensual'!F29,0))+parametros_manuales!$F$21*('Plan mensual'!F26+IF(parametros_manuales!$H$21="Todos",'Plan mensual'!F30,0))+parametros_manuales!$G$21*('Plan mensual'!F27+IF(parametros_manuales!$H$21="Todos",'Plan mensual'!F31,0)))*parametros_manuales!$I$21*parametros_manuales!$J$21</f>
        <v>1887.955</v>
      </c>
      <c r="E60" s="8">
        <f>(parametros_manuales!$D$21*('Plan mensual'!G24+IF(parametros_manuales!$H$21="Todos",'Plan mensual'!G28,0))+parametros_manuales!$E$21*('Plan mensual'!G25+IF(parametros_manuales!$H$21="Todos",'Plan mensual'!G29,0))+parametros_manuales!$F$21*('Plan mensual'!G26+IF(parametros_manuales!$H$21="Todos",'Plan mensual'!G30,0))+parametros_manuales!$G$21*('Plan mensual'!G27+IF(parametros_manuales!$H$21="Todos",'Plan mensual'!G31,0)))*parametros_manuales!$I$21*parametros_manuales!$J$21</f>
        <v>1815.385</v>
      </c>
      <c r="F60" s="8">
        <f>(parametros_manuales!$D$21*('Plan mensual'!H24+IF(parametros_manuales!$H$21="Todos",'Plan mensual'!H28,0))+parametros_manuales!$E$21*('Plan mensual'!H25+IF(parametros_manuales!$H$21="Todos",'Plan mensual'!H29,0))+parametros_manuales!$F$21*('Plan mensual'!H26+IF(parametros_manuales!$H$21="Todos",'Plan mensual'!H30,0))+parametros_manuales!$G$21*('Plan mensual'!H27+IF(parametros_manuales!$H$21="Todos",'Plan mensual'!H31,0)))*parametros_manuales!$I$21*parametros_manuales!$J$21</f>
        <v>1700.06</v>
      </c>
      <c r="G60" s="8">
        <f>(parametros_manuales!$D$21*('Plan mensual'!I24+IF(parametros_manuales!$H$21="Todos",'Plan mensual'!I28,0))+parametros_manuales!$E$21*('Plan mensual'!I25+IF(parametros_manuales!$H$21="Todos",'Plan mensual'!I29,0))+parametros_manuales!$F$21*('Plan mensual'!I26+IF(parametros_manuales!$H$21="Todos",'Plan mensual'!I30,0))+parametros_manuales!$G$21*('Plan mensual'!I27+IF(parametros_manuales!$H$21="Todos",'Plan mensual'!I31,0)))*parametros_manuales!$I$21*parametros_manuales!$J$21</f>
        <v>1657.305</v>
      </c>
      <c r="H60" s="8">
        <f>(parametros_manuales!$D$21*('Plan mensual'!J24+IF(parametros_manuales!$H$21="Todos",'Plan mensual'!J28,0))+parametros_manuales!$E$21*('Plan mensual'!J25+IF(parametros_manuales!$H$21="Todos",'Plan mensual'!J29,0))+parametros_manuales!$F$21*('Plan mensual'!J26+IF(parametros_manuales!$H$21="Todos",'Plan mensual'!J30,0))+parametros_manuales!$G$21*('Plan mensual'!J27+IF(parametros_manuales!$H$21="Todos",'Plan mensual'!J31,0)))*parametros_manuales!$I$21*parametros_manuales!$J$21</f>
        <v>1772.63</v>
      </c>
      <c r="I60" s="8">
        <f>(parametros_manuales!$D$21*('Plan mensual'!K24+IF(parametros_manuales!$H$21="Todos",'Plan mensual'!K28,0))+parametros_manuales!$E$21*('Plan mensual'!K25+IF(parametros_manuales!$H$21="Todos",'Plan mensual'!K29,0))+parametros_manuales!$F$21*('Plan mensual'!K26+IF(parametros_manuales!$H$21="Todos",'Plan mensual'!K30,0))+parametros_manuales!$G$21*('Plan mensual'!K27+IF(parametros_manuales!$H$21="Todos",'Plan mensual'!K31,0)))*parametros_manuales!$I$21*parametros_manuales!$J$21</f>
        <v>1772.63</v>
      </c>
      <c r="J60" s="8">
        <f>(parametros_manuales!$D$21*('Plan mensual'!L24+IF(parametros_manuales!$H$21="Todos",'Plan mensual'!L28,0))+parametros_manuales!$E$21*('Plan mensual'!L25+IF(parametros_manuales!$H$21="Todos",'Plan mensual'!L29,0))+parametros_manuales!$F$21*('Plan mensual'!L26+IF(parametros_manuales!$H$21="Todos",'Plan mensual'!L30,0))+parametros_manuales!$G$21*('Plan mensual'!L27+IF(parametros_manuales!$H$21="Todos",'Plan mensual'!L31,0)))*parametros_manuales!$I$21*parametros_manuales!$J$21</f>
        <v>1772.63</v>
      </c>
      <c r="K60" s="8">
        <f>(parametros_manuales!$D$21*('Plan mensual'!M24+IF(parametros_manuales!$H$21="Todos",'Plan mensual'!M28,0))+parametros_manuales!$E$21*('Plan mensual'!M25+IF(parametros_manuales!$H$21="Todos",'Plan mensual'!M29,0))+parametros_manuales!$F$21*('Plan mensual'!M26+IF(parametros_manuales!$H$21="Todos",'Plan mensual'!M30,0))+parametros_manuales!$G$21*('Plan mensual'!M27+IF(parametros_manuales!$H$21="Todos",'Plan mensual'!M31,0)))*parametros_manuales!$I$21*parametros_manuales!$J$21</f>
        <v>1729.875</v>
      </c>
      <c r="L60" s="8">
        <f>(parametros_manuales!$D$21*('Plan mensual'!N24+IF(parametros_manuales!$H$21="Todos",'Plan mensual'!N28,0))+parametros_manuales!$E$21*('Plan mensual'!N25+IF(parametros_manuales!$H$21="Todos",'Plan mensual'!N29,0))+parametros_manuales!$F$21*('Plan mensual'!N26+IF(parametros_manuales!$H$21="Todos",'Plan mensual'!N30,0))+parametros_manuales!$G$21*('Plan mensual'!N27+IF(parametros_manuales!$H$21="Todos",'Plan mensual'!N31,0)))*parametros_manuales!$I$21*parametros_manuales!$J$21</f>
        <v>1687.12</v>
      </c>
      <c r="M60" s="8">
        <f>(parametros_manuales!$D$21*('Plan mensual'!O24+IF(parametros_manuales!$H$21="Todos",'Plan mensual'!O28,0))+parametros_manuales!$E$21*('Plan mensual'!O25+IF(parametros_manuales!$H$21="Todos",'Plan mensual'!O29,0))+parametros_manuales!$F$21*('Plan mensual'!O26+IF(parametros_manuales!$H$21="Todos",'Plan mensual'!O30,0))+parametros_manuales!$G$21*('Plan mensual'!O27+IF(parametros_manuales!$H$21="Todos",'Plan mensual'!O31,0)))*parametros_manuales!$I$21*parametros_manuales!$J$21</f>
        <v>2682.29</v>
      </c>
      <c r="N60" s="8">
        <f t="shared" si="7"/>
        <v>23065</v>
      </c>
      <c r="O60" s="8">
        <f t="shared" si="8"/>
        <v>2682.29</v>
      </c>
      <c r="P60" s="27">
        <f>O60/(parametros_manuales!$B$7)</f>
        <v>17.88193333</v>
      </c>
      <c r="Q60" s="4" t="str">
        <f t="shared" si="9"/>
        <v>Dic</v>
      </c>
    </row>
    <row r="61" ht="14.25" customHeight="1">
      <c r="A61" s="4" t="str">
        <f>parametros_manuales!$B$22</f>
        <v>Corte de disco y embutido (cúpula y fondo)</v>
      </c>
      <c r="B61" s="8">
        <f>(parametros_manuales!$D$22*('Plan mensual'!D24+IF(parametros_manuales!$H$22="Todos",'Plan mensual'!D28,0))+parametros_manuales!$E$22*('Plan mensual'!D25+IF(parametros_manuales!$H$22="Todos",'Plan mensual'!D29,0))+parametros_manuales!$F$22*('Plan mensual'!D26+IF(parametros_manuales!$H$22="Todos",'Plan mensual'!D30,0))+parametros_manuales!$G$22*('Plan mensual'!D27+IF(parametros_manuales!$H$22="Todos",'Plan mensual'!D31,0)))*parametros_manuales!$I$22*parametros_manuales!$J$22</f>
        <v>5193.56</v>
      </c>
      <c r="C61" s="8">
        <f>(parametros_manuales!$D$22*('Plan mensual'!E24+IF(parametros_manuales!$H$22="Todos",'Plan mensual'!E28,0))+parametros_manuales!$E$22*('Plan mensual'!E25+IF(parametros_manuales!$H$22="Todos",'Plan mensual'!E29,0))+parametros_manuales!$F$22*('Plan mensual'!E26+IF(parametros_manuales!$H$22="Todos",'Plan mensual'!E30,0))+parametros_manuales!$G$22*('Plan mensual'!E27+IF(parametros_manuales!$H$22="Todos",'Plan mensual'!E31,0)))*parametros_manuales!$I$22*parametros_manuales!$J$22</f>
        <v>3980.68</v>
      </c>
      <c r="D61" s="8">
        <f>(parametros_manuales!$D$22*('Plan mensual'!F24+IF(parametros_manuales!$H$22="Todos",'Plan mensual'!F28,0))+parametros_manuales!$E$22*('Plan mensual'!F25+IF(parametros_manuales!$H$22="Todos",'Plan mensual'!F29,0))+parametros_manuales!$F$22*('Plan mensual'!F26+IF(parametros_manuales!$H$22="Todos",'Plan mensual'!F30,0))+parametros_manuales!$G$22*('Plan mensual'!F27+IF(parametros_manuales!$H$22="Todos",'Plan mensual'!F31,0)))*parametros_manuales!$I$22*parametros_manuales!$J$22</f>
        <v>3775.91</v>
      </c>
      <c r="E61" s="8">
        <f>(parametros_manuales!$D$22*('Plan mensual'!G24+IF(parametros_manuales!$H$22="Todos",'Plan mensual'!G28,0))+parametros_manuales!$E$22*('Plan mensual'!G25+IF(parametros_manuales!$H$22="Todos",'Plan mensual'!G29,0))+parametros_manuales!$F$22*('Plan mensual'!G26+IF(parametros_manuales!$H$22="Todos",'Plan mensual'!G30,0))+parametros_manuales!$G$22*('Plan mensual'!G27+IF(parametros_manuales!$H$22="Todos",'Plan mensual'!G31,0)))*parametros_manuales!$I$22*parametros_manuales!$J$22</f>
        <v>3630.77</v>
      </c>
      <c r="F61" s="8">
        <f>(parametros_manuales!$D$22*('Plan mensual'!H24+IF(parametros_manuales!$H$22="Todos",'Plan mensual'!H28,0))+parametros_manuales!$E$22*('Plan mensual'!H25+IF(parametros_manuales!$H$22="Todos",'Plan mensual'!H29,0))+parametros_manuales!$F$22*('Plan mensual'!H26+IF(parametros_manuales!$H$22="Todos",'Plan mensual'!H30,0))+parametros_manuales!$G$22*('Plan mensual'!H27+IF(parametros_manuales!$H$22="Todos",'Plan mensual'!H31,0)))*parametros_manuales!$I$22*parametros_manuales!$J$22</f>
        <v>3400.12</v>
      </c>
      <c r="G61" s="8">
        <f>(parametros_manuales!$D$22*('Plan mensual'!I24+IF(parametros_manuales!$H$22="Todos",'Plan mensual'!I28,0))+parametros_manuales!$E$22*('Plan mensual'!I25+IF(parametros_manuales!$H$22="Todos",'Plan mensual'!I29,0))+parametros_manuales!$F$22*('Plan mensual'!I26+IF(parametros_manuales!$H$22="Todos",'Plan mensual'!I30,0))+parametros_manuales!$G$22*('Plan mensual'!I27+IF(parametros_manuales!$H$22="Todos",'Plan mensual'!I31,0)))*parametros_manuales!$I$22*parametros_manuales!$J$22</f>
        <v>3314.61</v>
      </c>
      <c r="H61" s="8">
        <f>(parametros_manuales!$D$22*('Plan mensual'!J24+IF(parametros_manuales!$H$22="Todos",'Plan mensual'!J28,0))+parametros_manuales!$E$22*('Plan mensual'!J25+IF(parametros_manuales!$H$22="Todos",'Plan mensual'!J29,0))+parametros_manuales!$F$22*('Plan mensual'!J26+IF(parametros_manuales!$H$22="Todos",'Plan mensual'!J30,0))+parametros_manuales!$G$22*('Plan mensual'!J27+IF(parametros_manuales!$H$22="Todos",'Plan mensual'!J31,0)))*parametros_manuales!$I$22*parametros_manuales!$J$22</f>
        <v>3545.26</v>
      </c>
      <c r="I61" s="8">
        <f>(parametros_manuales!$D$22*('Plan mensual'!K24+IF(parametros_manuales!$H$22="Todos",'Plan mensual'!K28,0))+parametros_manuales!$E$22*('Plan mensual'!K25+IF(parametros_manuales!$H$22="Todos",'Plan mensual'!K29,0))+parametros_manuales!$F$22*('Plan mensual'!K26+IF(parametros_manuales!$H$22="Todos",'Plan mensual'!K30,0))+parametros_manuales!$G$22*('Plan mensual'!K27+IF(parametros_manuales!$H$22="Todos",'Plan mensual'!K31,0)))*parametros_manuales!$I$22*parametros_manuales!$J$22</f>
        <v>3545.26</v>
      </c>
      <c r="J61" s="8">
        <f>(parametros_manuales!$D$22*('Plan mensual'!L24+IF(parametros_manuales!$H$22="Todos",'Plan mensual'!L28,0))+parametros_manuales!$E$22*('Plan mensual'!L25+IF(parametros_manuales!$H$22="Todos",'Plan mensual'!L29,0))+parametros_manuales!$F$22*('Plan mensual'!L26+IF(parametros_manuales!$H$22="Todos",'Plan mensual'!L30,0))+parametros_manuales!$G$22*('Plan mensual'!L27+IF(parametros_manuales!$H$22="Todos",'Plan mensual'!L31,0)))*parametros_manuales!$I$22*parametros_manuales!$J$22</f>
        <v>3545.26</v>
      </c>
      <c r="K61" s="8">
        <f>(parametros_manuales!$D$22*('Plan mensual'!M24+IF(parametros_manuales!$H$22="Todos",'Plan mensual'!M28,0))+parametros_manuales!$E$22*('Plan mensual'!M25+IF(parametros_manuales!$H$22="Todos",'Plan mensual'!M29,0))+parametros_manuales!$F$22*('Plan mensual'!M26+IF(parametros_manuales!$H$22="Todos",'Plan mensual'!M30,0))+parametros_manuales!$G$22*('Plan mensual'!M27+IF(parametros_manuales!$H$22="Todos",'Plan mensual'!M31,0)))*parametros_manuales!$I$22*parametros_manuales!$J$22</f>
        <v>3459.75</v>
      </c>
      <c r="L61" s="8">
        <f>(parametros_manuales!$D$22*('Plan mensual'!N24+IF(parametros_manuales!$H$22="Todos",'Plan mensual'!N28,0))+parametros_manuales!$E$22*('Plan mensual'!N25+IF(parametros_manuales!$H$22="Todos",'Plan mensual'!N29,0))+parametros_manuales!$F$22*('Plan mensual'!N26+IF(parametros_manuales!$H$22="Todos",'Plan mensual'!N30,0))+parametros_manuales!$G$22*('Plan mensual'!N27+IF(parametros_manuales!$H$22="Todos",'Plan mensual'!N31,0)))*parametros_manuales!$I$22*parametros_manuales!$J$22</f>
        <v>3374.24</v>
      </c>
      <c r="M61" s="8">
        <f>(parametros_manuales!$D$22*('Plan mensual'!O24+IF(parametros_manuales!$H$22="Todos",'Plan mensual'!O28,0))+parametros_manuales!$E$22*('Plan mensual'!O25+IF(parametros_manuales!$H$22="Todos",'Plan mensual'!O29,0))+parametros_manuales!$F$22*('Plan mensual'!O26+IF(parametros_manuales!$H$22="Todos",'Plan mensual'!O30,0))+parametros_manuales!$G$22*('Plan mensual'!O27+IF(parametros_manuales!$H$22="Todos",'Plan mensual'!O31,0)))*parametros_manuales!$I$22*parametros_manuales!$J$22</f>
        <v>5364.58</v>
      </c>
      <c r="N61" s="8">
        <f t="shared" si="7"/>
        <v>46130</v>
      </c>
      <c r="O61" s="8">
        <f t="shared" si="8"/>
        <v>5364.58</v>
      </c>
      <c r="P61" s="27">
        <f>O61/(parametros_manuales!$B$7)</f>
        <v>35.76386667</v>
      </c>
      <c r="Q61" s="4" t="str">
        <f t="shared" si="9"/>
        <v>Dic</v>
      </c>
    </row>
    <row r="62" ht="14.25" customHeight="1">
      <c r="A62" s="4" t="str">
        <f>parametros_manuales!$B$23</f>
        <v>Preparación de cuello</v>
      </c>
      <c r="B62" s="8">
        <f>(parametros_manuales!$D$23*('Plan mensual'!D24+IF(parametros_manuales!$H$23="Todos",'Plan mensual'!D28,0))+parametros_manuales!$E$23*('Plan mensual'!D25+IF(parametros_manuales!$H$23="Todos",'Plan mensual'!D29,0))+parametros_manuales!$F$23*('Plan mensual'!D26+IF(parametros_manuales!$H$23="Todos",'Plan mensual'!D30,0))+parametros_manuales!$G$23*('Plan mensual'!D27+IF(parametros_manuales!$H$23="Todos",'Plan mensual'!D31,0)))*parametros_manuales!$I$23*parametros_manuales!$J$23</f>
        <v>2596.78</v>
      </c>
      <c r="C62" s="8">
        <f>(parametros_manuales!$D$23*('Plan mensual'!E24+IF(parametros_manuales!$H$23="Todos",'Plan mensual'!E28,0))+parametros_manuales!$E$23*('Plan mensual'!E25+IF(parametros_manuales!$H$23="Todos",'Plan mensual'!E29,0))+parametros_manuales!$F$23*('Plan mensual'!E26+IF(parametros_manuales!$H$23="Todos",'Plan mensual'!E30,0))+parametros_manuales!$G$23*('Plan mensual'!E27+IF(parametros_manuales!$H$23="Todos",'Plan mensual'!E31,0)))*parametros_manuales!$I$23*parametros_manuales!$J$23</f>
        <v>1990.34</v>
      </c>
      <c r="D62" s="8">
        <f>(parametros_manuales!$D$23*('Plan mensual'!F24+IF(parametros_manuales!$H$23="Todos",'Plan mensual'!F28,0))+parametros_manuales!$E$23*('Plan mensual'!F25+IF(parametros_manuales!$H$23="Todos",'Plan mensual'!F29,0))+parametros_manuales!$F$23*('Plan mensual'!F26+IF(parametros_manuales!$H$23="Todos",'Plan mensual'!F30,0))+parametros_manuales!$G$23*('Plan mensual'!F27+IF(parametros_manuales!$H$23="Todos",'Plan mensual'!F31,0)))*parametros_manuales!$I$23*parametros_manuales!$J$23</f>
        <v>1887.955</v>
      </c>
      <c r="E62" s="8">
        <f>(parametros_manuales!$D$23*('Plan mensual'!G24+IF(parametros_manuales!$H$23="Todos",'Plan mensual'!G28,0))+parametros_manuales!$E$23*('Plan mensual'!G25+IF(parametros_manuales!$H$23="Todos",'Plan mensual'!G29,0))+parametros_manuales!$F$23*('Plan mensual'!G26+IF(parametros_manuales!$H$23="Todos",'Plan mensual'!G30,0))+parametros_manuales!$G$23*('Plan mensual'!G27+IF(parametros_manuales!$H$23="Todos",'Plan mensual'!G31,0)))*parametros_manuales!$I$23*parametros_manuales!$J$23</f>
        <v>1815.385</v>
      </c>
      <c r="F62" s="8">
        <f>(parametros_manuales!$D$23*('Plan mensual'!H24+IF(parametros_manuales!$H$23="Todos",'Plan mensual'!H28,0))+parametros_manuales!$E$23*('Plan mensual'!H25+IF(parametros_manuales!$H$23="Todos",'Plan mensual'!H29,0))+parametros_manuales!$F$23*('Plan mensual'!H26+IF(parametros_manuales!$H$23="Todos",'Plan mensual'!H30,0))+parametros_manuales!$G$23*('Plan mensual'!H27+IF(parametros_manuales!$H$23="Todos",'Plan mensual'!H31,0)))*parametros_manuales!$I$23*parametros_manuales!$J$23</f>
        <v>1700.06</v>
      </c>
      <c r="G62" s="8">
        <f>(parametros_manuales!$D$23*('Plan mensual'!I24+IF(parametros_manuales!$H$23="Todos",'Plan mensual'!I28,0))+parametros_manuales!$E$23*('Plan mensual'!I25+IF(parametros_manuales!$H$23="Todos",'Plan mensual'!I29,0))+parametros_manuales!$F$23*('Plan mensual'!I26+IF(parametros_manuales!$H$23="Todos",'Plan mensual'!I30,0))+parametros_manuales!$G$23*('Plan mensual'!I27+IF(parametros_manuales!$H$23="Todos",'Plan mensual'!I31,0)))*parametros_manuales!$I$23*parametros_manuales!$J$23</f>
        <v>1657.305</v>
      </c>
      <c r="H62" s="8">
        <f>(parametros_manuales!$D$23*('Plan mensual'!J24+IF(parametros_manuales!$H$23="Todos",'Plan mensual'!J28,0))+parametros_manuales!$E$23*('Plan mensual'!J25+IF(parametros_manuales!$H$23="Todos",'Plan mensual'!J29,0))+parametros_manuales!$F$23*('Plan mensual'!J26+IF(parametros_manuales!$H$23="Todos",'Plan mensual'!J30,0))+parametros_manuales!$G$23*('Plan mensual'!J27+IF(parametros_manuales!$H$23="Todos",'Plan mensual'!J31,0)))*parametros_manuales!$I$23*parametros_manuales!$J$23</f>
        <v>1772.63</v>
      </c>
      <c r="I62" s="8">
        <f>(parametros_manuales!$D$23*('Plan mensual'!K24+IF(parametros_manuales!$H$23="Todos",'Plan mensual'!K28,0))+parametros_manuales!$E$23*('Plan mensual'!K25+IF(parametros_manuales!$H$23="Todos",'Plan mensual'!K29,0))+parametros_manuales!$F$23*('Plan mensual'!K26+IF(parametros_manuales!$H$23="Todos",'Plan mensual'!K30,0))+parametros_manuales!$G$23*('Plan mensual'!K27+IF(parametros_manuales!$H$23="Todos",'Plan mensual'!K31,0)))*parametros_manuales!$I$23*parametros_manuales!$J$23</f>
        <v>1772.63</v>
      </c>
      <c r="J62" s="8">
        <f>(parametros_manuales!$D$23*('Plan mensual'!L24+IF(parametros_manuales!$H$23="Todos",'Plan mensual'!L28,0))+parametros_manuales!$E$23*('Plan mensual'!L25+IF(parametros_manuales!$H$23="Todos",'Plan mensual'!L29,0))+parametros_manuales!$F$23*('Plan mensual'!L26+IF(parametros_manuales!$H$23="Todos",'Plan mensual'!L30,0))+parametros_manuales!$G$23*('Plan mensual'!L27+IF(parametros_manuales!$H$23="Todos",'Plan mensual'!L31,0)))*parametros_manuales!$I$23*parametros_manuales!$J$23</f>
        <v>1772.63</v>
      </c>
      <c r="K62" s="8">
        <f>(parametros_manuales!$D$23*('Plan mensual'!M24+IF(parametros_manuales!$H$23="Todos",'Plan mensual'!M28,0))+parametros_manuales!$E$23*('Plan mensual'!M25+IF(parametros_manuales!$H$23="Todos",'Plan mensual'!M29,0))+parametros_manuales!$F$23*('Plan mensual'!M26+IF(parametros_manuales!$H$23="Todos",'Plan mensual'!M30,0))+parametros_manuales!$G$23*('Plan mensual'!M27+IF(parametros_manuales!$H$23="Todos",'Plan mensual'!M31,0)))*parametros_manuales!$I$23*parametros_manuales!$J$23</f>
        <v>1729.875</v>
      </c>
      <c r="L62" s="8">
        <f>(parametros_manuales!$D$23*('Plan mensual'!N24+IF(parametros_manuales!$H$23="Todos",'Plan mensual'!N28,0))+parametros_manuales!$E$23*('Plan mensual'!N25+IF(parametros_manuales!$H$23="Todos",'Plan mensual'!N29,0))+parametros_manuales!$F$23*('Plan mensual'!N26+IF(parametros_manuales!$H$23="Todos",'Plan mensual'!N30,0))+parametros_manuales!$G$23*('Plan mensual'!N27+IF(parametros_manuales!$H$23="Todos",'Plan mensual'!N31,0)))*parametros_manuales!$I$23*parametros_manuales!$J$23</f>
        <v>1687.12</v>
      </c>
      <c r="M62" s="8">
        <f>(parametros_manuales!$D$23*('Plan mensual'!O24+IF(parametros_manuales!$H$23="Todos",'Plan mensual'!O28,0))+parametros_manuales!$E$23*('Plan mensual'!O25+IF(parametros_manuales!$H$23="Todos",'Plan mensual'!O29,0))+parametros_manuales!$F$23*('Plan mensual'!O26+IF(parametros_manuales!$H$23="Todos",'Plan mensual'!O30,0))+parametros_manuales!$G$23*('Plan mensual'!O27+IF(parametros_manuales!$H$23="Todos",'Plan mensual'!O31,0)))*parametros_manuales!$I$23*parametros_manuales!$J$23</f>
        <v>2682.29</v>
      </c>
      <c r="N62" s="8">
        <f t="shared" si="7"/>
        <v>23065</v>
      </c>
      <c r="O62" s="8">
        <f t="shared" si="8"/>
        <v>2682.29</v>
      </c>
      <c r="P62" s="27">
        <f>O62/(parametros_manuales!$B$7)</f>
        <v>17.88193333</v>
      </c>
      <c r="Q62" s="4" t="str">
        <f t="shared" si="9"/>
        <v>Dic</v>
      </c>
    </row>
    <row r="63" ht="14.25" customHeight="1">
      <c r="A63" s="4" t="str">
        <f>parametros_manuales!$B$24</f>
        <v>Numerado de cúpula</v>
      </c>
      <c r="B63" s="8">
        <f>(parametros_manuales!$D$24*('Plan mensual'!D24+IF(parametros_manuales!$H$24="Todos",'Plan mensual'!D28,0))+parametros_manuales!$E$24*('Plan mensual'!D25+IF(parametros_manuales!$H$24="Todos",'Plan mensual'!D29,0))+parametros_manuales!$F$24*('Plan mensual'!D26+IF(parametros_manuales!$H$24="Todos",'Plan mensual'!D30,0))+parametros_manuales!$G$24*('Plan mensual'!D27+IF(parametros_manuales!$H$24="Todos",'Plan mensual'!D31,0)))*parametros_manuales!$I$24*parametros_manuales!$J$24</f>
        <v>2596.78</v>
      </c>
      <c r="C63" s="8">
        <f>(parametros_manuales!$D$24*('Plan mensual'!E24+IF(parametros_manuales!$H$24="Todos",'Plan mensual'!E28,0))+parametros_manuales!$E$24*('Plan mensual'!E25+IF(parametros_manuales!$H$24="Todos",'Plan mensual'!E29,0))+parametros_manuales!$F$24*('Plan mensual'!E26+IF(parametros_manuales!$H$24="Todos",'Plan mensual'!E30,0))+parametros_manuales!$G$24*('Plan mensual'!E27+IF(parametros_manuales!$H$24="Todos",'Plan mensual'!E31,0)))*parametros_manuales!$I$24*parametros_manuales!$J$24</f>
        <v>1990.34</v>
      </c>
      <c r="D63" s="8">
        <f>(parametros_manuales!$D$24*('Plan mensual'!F24+IF(parametros_manuales!$H$24="Todos",'Plan mensual'!F28,0))+parametros_manuales!$E$24*('Plan mensual'!F25+IF(parametros_manuales!$H$24="Todos",'Plan mensual'!F29,0))+parametros_manuales!$F$24*('Plan mensual'!F26+IF(parametros_manuales!$H$24="Todos",'Plan mensual'!F30,0))+parametros_manuales!$G$24*('Plan mensual'!F27+IF(parametros_manuales!$H$24="Todos",'Plan mensual'!F31,0)))*parametros_manuales!$I$24*parametros_manuales!$J$24</f>
        <v>1887.955</v>
      </c>
      <c r="E63" s="8">
        <f>(parametros_manuales!$D$24*('Plan mensual'!G24+IF(parametros_manuales!$H$24="Todos",'Plan mensual'!G28,0))+parametros_manuales!$E$24*('Plan mensual'!G25+IF(parametros_manuales!$H$24="Todos",'Plan mensual'!G29,0))+parametros_manuales!$F$24*('Plan mensual'!G26+IF(parametros_manuales!$H$24="Todos",'Plan mensual'!G30,0))+parametros_manuales!$G$24*('Plan mensual'!G27+IF(parametros_manuales!$H$24="Todos",'Plan mensual'!G31,0)))*parametros_manuales!$I$24*parametros_manuales!$J$24</f>
        <v>1815.385</v>
      </c>
      <c r="F63" s="8">
        <f>(parametros_manuales!$D$24*('Plan mensual'!H24+IF(parametros_manuales!$H$24="Todos",'Plan mensual'!H28,0))+parametros_manuales!$E$24*('Plan mensual'!H25+IF(parametros_manuales!$H$24="Todos",'Plan mensual'!H29,0))+parametros_manuales!$F$24*('Plan mensual'!H26+IF(parametros_manuales!$H$24="Todos",'Plan mensual'!H30,0))+parametros_manuales!$G$24*('Plan mensual'!H27+IF(parametros_manuales!$H$24="Todos",'Plan mensual'!H31,0)))*parametros_manuales!$I$24*parametros_manuales!$J$24</f>
        <v>1700.06</v>
      </c>
      <c r="G63" s="8">
        <f>(parametros_manuales!$D$24*('Plan mensual'!I24+IF(parametros_manuales!$H$24="Todos",'Plan mensual'!I28,0))+parametros_manuales!$E$24*('Plan mensual'!I25+IF(parametros_manuales!$H$24="Todos",'Plan mensual'!I29,0))+parametros_manuales!$F$24*('Plan mensual'!I26+IF(parametros_manuales!$H$24="Todos",'Plan mensual'!I30,0))+parametros_manuales!$G$24*('Plan mensual'!I27+IF(parametros_manuales!$H$24="Todos",'Plan mensual'!I31,0)))*parametros_manuales!$I$24*parametros_manuales!$J$24</f>
        <v>1657.305</v>
      </c>
      <c r="H63" s="8">
        <f>(parametros_manuales!$D$24*('Plan mensual'!J24+IF(parametros_manuales!$H$24="Todos",'Plan mensual'!J28,0))+parametros_manuales!$E$24*('Plan mensual'!J25+IF(parametros_manuales!$H$24="Todos",'Plan mensual'!J29,0))+parametros_manuales!$F$24*('Plan mensual'!J26+IF(parametros_manuales!$H$24="Todos",'Plan mensual'!J30,0))+parametros_manuales!$G$24*('Plan mensual'!J27+IF(parametros_manuales!$H$24="Todos",'Plan mensual'!J31,0)))*parametros_manuales!$I$24*parametros_manuales!$J$24</f>
        <v>1772.63</v>
      </c>
      <c r="I63" s="8">
        <f>(parametros_manuales!$D$24*('Plan mensual'!K24+IF(parametros_manuales!$H$24="Todos",'Plan mensual'!K28,0))+parametros_manuales!$E$24*('Plan mensual'!K25+IF(parametros_manuales!$H$24="Todos",'Plan mensual'!K29,0))+parametros_manuales!$F$24*('Plan mensual'!K26+IF(parametros_manuales!$H$24="Todos",'Plan mensual'!K30,0))+parametros_manuales!$G$24*('Plan mensual'!K27+IF(parametros_manuales!$H$24="Todos",'Plan mensual'!K31,0)))*parametros_manuales!$I$24*parametros_manuales!$J$24</f>
        <v>1772.63</v>
      </c>
      <c r="J63" s="8">
        <f>(parametros_manuales!$D$24*('Plan mensual'!L24+IF(parametros_manuales!$H$24="Todos",'Plan mensual'!L28,0))+parametros_manuales!$E$24*('Plan mensual'!L25+IF(parametros_manuales!$H$24="Todos",'Plan mensual'!L29,0))+parametros_manuales!$F$24*('Plan mensual'!L26+IF(parametros_manuales!$H$24="Todos",'Plan mensual'!L30,0))+parametros_manuales!$G$24*('Plan mensual'!L27+IF(parametros_manuales!$H$24="Todos",'Plan mensual'!L31,0)))*parametros_manuales!$I$24*parametros_manuales!$J$24</f>
        <v>1772.63</v>
      </c>
      <c r="K63" s="8">
        <f>(parametros_manuales!$D$24*('Plan mensual'!M24+IF(parametros_manuales!$H$24="Todos",'Plan mensual'!M28,0))+parametros_manuales!$E$24*('Plan mensual'!M25+IF(parametros_manuales!$H$24="Todos",'Plan mensual'!M29,0))+parametros_manuales!$F$24*('Plan mensual'!M26+IF(parametros_manuales!$H$24="Todos",'Plan mensual'!M30,0))+parametros_manuales!$G$24*('Plan mensual'!M27+IF(parametros_manuales!$H$24="Todos",'Plan mensual'!M31,0)))*parametros_manuales!$I$24*parametros_manuales!$J$24</f>
        <v>1729.875</v>
      </c>
      <c r="L63" s="8">
        <f>(parametros_manuales!$D$24*('Plan mensual'!N24+IF(parametros_manuales!$H$24="Todos",'Plan mensual'!N28,0))+parametros_manuales!$E$24*('Plan mensual'!N25+IF(parametros_manuales!$H$24="Todos",'Plan mensual'!N29,0))+parametros_manuales!$F$24*('Plan mensual'!N26+IF(parametros_manuales!$H$24="Todos",'Plan mensual'!N30,0))+parametros_manuales!$G$24*('Plan mensual'!N27+IF(parametros_manuales!$H$24="Todos",'Plan mensual'!N31,0)))*parametros_manuales!$I$24*parametros_manuales!$J$24</f>
        <v>1687.12</v>
      </c>
      <c r="M63" s="8">
        <f>(parametros_manuales!$D$24*('Plan mensual'!O24+IF(parametros_manuales!$H$24="Todos",'Plan mensual'!O28,0))+parametros_manuales!$E$24*('Plan mensual'!O25+IF(parametros_manuales!$H$24="Todos",'Plan mensual'!O29,0))+parametros_manuales!$F$24*('Plan mensual'!O26+IF(parametros_manuales!$H$24="Todos",'Plan mensual'!O30,0))+parametros_manuales!$G$24*('Plan mensual'!O27+IF(parametros_manuales!$H$24="Todos",'Plan mensual'!O31,0)))*parametros_manuales!$I$24*parametros_manuales!$J$24</f>
        <v>2682.29</v>
      </c>
      <c r="N63" s="8">
        <f t="shared" si="7"/>
        <v>23065</v>
      </c>
      <c r="O63" s="8">
        <f t="shared" si="8"/>
        <v>2682.29</v>
      </c>
      <c r="P63" s="27">
        <f>O63/(parametros_manuales!$B$7)</f>
        <v>17.88193333</v>
      </c>
      <c r="Q63" s="4" t="str">
        <f t="shared" si="9"/>
        <v>Dic</v>
      </c>
    </row>
    <row r="64" ht="14.25" customHeight="1">
      <c r="A64" s="4" t="str">
        <f>parametros_manuales!$B$25</f>
        <v>Soldadura del cuello a la cúpula</v>
      </c>
      <c r="B64" s="8">
        <f>(parametros_manuales!$D$25*('Plan mensual'!D24+IF(parametros_manuales!$H$25="Todos",'Plan mensual'!D28,0))+parametros_manuales!$E$25*('Plan mensual'!D25+IF(parametros_manuales!$H$25="Todos",'Plan mensual'!D29,0))+parametros_manuales!$F$25*('Plan mensual'!D26+IF(parametros_manuales!$H$25="Todos",'Plan mensual'!D30,0))+parametros_manuales!$G$25*('Plan mensual'!D27+IF(parametros_manuales!$H$25="Todos",'Plan mensual'!D31,0)))*parametros_manuales!$I$25*parametros_manuales!$J$25</f>
        <v>2596.78</v>
      </c>
      <c r="C64" s="8">
        <f>(parametros_manuales!$D$25*('Plan mensual'!E24+IF(parametros_manuales!$H$25="Todos",'Plan mensual'!E28,0))+parametros_manuales!$E$25*('Plan mensual'!E25+IF(parametros_manuales!$H$25="Todos",'Plan mensual'!E29,0))+parametros_manuales!$F$25*('Plan mensual'!E26+IF(parametros_manuales!$H$25="Todos",'Plan mensual'!E30,0))+parametros_manuales!$G$25*('Plan mensual'!E27+IF(parametros_manuales!$H$25="Todos",'Plan mensual'!E31,0)))*parametros_manuales!$I$25*parametros_manuales!$J$25</f>
        <v>1990.34</v>
      </c>
      <c r="D64" s="8">
        <f>(parametros_manuales!$D$25*('Plan mensual'!F24+IF(parametros_manuales!$H$25="Todos",'Plan mensual'!F28,0))+parametros_manuales!$E$25*('Plan mensual'!F25+IF(parametros_manuales!$H$25="Todos",'Plan mensual'!F29,0))+parametros_manuales!$F$25*('Plan mensual'!F26+IF(parametros_manuales!$H$25="Todos",'Plan mensual'!F30,0))+parametros_manuales!$G$25*('Plan mensual'!F27+IF(parametros_manuales!$H$25="Todos",'Plan mensual'!F31,0)))*parametros_manuales!$I$25*parametros_manuales!$J$25</f>
        <v>1887.955</v>
      </c>
      <c r="E64" s="8">
        <f>(parametros_manuales!$D$25*('Plan mensual'!G24+IF(parametros_manuales!$H$25="Todos",'Plan mensual'!G28,0))+parametros_manuales!$E$25*('Plan mensual'!G25+IF(parametros_manuales!$H$25="Todos",'Plan mensual'!G29,0))+parametros_manuales!$F$25*('Plan mensual'!G26+IF(parametros_manuales!$H$25="Todos",'Plan mensual'!G30,0))+parametros_manuales!$G$25*('Plan mensual'!G27+IF(parametros_manuales!$H$25="Todos",'Plan mensual'!G31,0)))*parametros_manuales!$I$25*parametros_manuales!$J$25</f>
        <v>1815.385</v>
      </c>
      <c r="F64" s="8">
        <f>(parametros_manuales!$D$25*('Plan mensual'!H24+IF(parametros_manuales!$H$25="Todos",'Plan mensual'!H28,0))+parametros_manuales!$E$25*('Plan mensual'!H25+IF(parametros_manuales!$H$25="Todos",'Plan mensual'!H29,0))+parametros_manuales!$F$25*('Plan mensual'!H26+IF(parametros_manuales!$H$25="Todos",'Plan mensual'!H30,0))+parametros_manuales!$G$25*('Plan mensual'!H27+IF(parametros_manuales!$H$25="Todos",'Plan mensual'!H31,0)))*parametros_manuales!$I$25*parametros_manuales!$J$25</f>
        <v>1700.06</v>
      </c>
      <c r="G64" s="8">
        <f>(parametros_manuales!$D$25*('Plan mensual'!I24+IF(parametros_manuales!$H$25="Todos",'Plan mensual'!I28,0))+parametros_manuales!$E$25*('Plan mensual'!I25+IF(parametros_manuales!$H$25="Todos",'Plan mensual'!I29,0))+parametros_manuales!$F$25*('Plan mensual'!I26+IF(parametros_manuales!$H$25="Todos",'Plan mensual'!I30,0))+parametros_manuales!$G$25*('Plan mensual'!I27+IF(parametros_manuales!$H$25="Todos",'Plan mensual'!I31,0)))*parametros_manuales!$I$25*parametros_manuales!$J$25</f>
        <v>1657.305</v>
      </c>
      <c r="H64" s="8">
        <f>(parametros_manuales!$D$25*('Plan mensual'!J24+IF(parametros_manuales!$H$25="Todos",'Plan mensual'!J28,0))+parametros_manuales!$E$25*('Plan mensual'!J25+IF(parametros_manuales!$H$25="Todos",'Plan mensual'!J29,0))+parametros_manuales!$F$25*('Plan mensual'!J26+IF(parametros_manuales!$H$25="Todos",'Plan mensual'!J30,0))+parametros_manuales!$G$25*('Plan mensual'!J27+IF(parametros_manuales!$H$25="Todos",'Plan mensual'!J31,0)))*parametros_manuales!$I$25*parametros_manuales!$J$25</f>
        <v>1772.63</v>
      </c>
      <c r="I64" s="8">
        <f>(parametros_manuales!$D$25*('Plan mensual'!K24+IF(parametros_manuales!$H$25="Todos",'Plan mensual'!K28,0))+parametros_manuales!$E$25*('Plan mensual'!K25+IF(parametros_manuales!$H$25="Todos",'Plan mensual'!K29,0))+parametros_manuales!$F$25*('Plan mensual'!K26+IF(parametros_manuales!$H$25="Todos",'Plan mensual'!K30,0))+parametros_manuales!$G$25*('Plan mensual'!K27+IF(parametros_manuales!$H$25="Todos",'Plan mensual'!K31,0)))*parametros_manuales!$I$25*parametros_manuales!$J$25</f>
        <v>1772.63</v>
      </c>
      <c r="J64" s="8">
        <f>(parametros_manuales!$D$25*('Plan mensual'!L24+IF(parametros_manuales!$H$25="Todos",'Plan mensual'!L28,0))+parametros_manuales!$E$25*('Plan mensual'!L25+IF(parametros_manuales!$H$25="Todos",'Plan mensual'!L29,0))+parametros_manuales!$F$25*('Plan mensual'!L26+IF(parametros_manuales!$H$25="Todos",'Plan mensual'!L30,0))+parametros_manuales!$G$25*('Plan mensual'!L27+IF(parametros_manuales!$H$25="Todos",'Plan mensual'!L31,0)))*parametros_manuales!$I$25*parametros_manuales!$J$25</f>
        <v>1772.63</v>
      </c>
      <c r="K64" s="8">
        <f>(parametros_manuales!$D$25*('Plan mensual'!M24+IF(parametros_manuales!$H$25="Todos",'Plan mensual'!M28,0))+parametros_manuales!$E$25*('Plan mensual'!M25+IF(parametros_manuales!$H$25="Todos",'Plan mensual'!M29,0))+parametros_manuales!$F$25*('Plan mensual'!M26+IF(parametros_manuales!$H$25="Todos",'Plan mensual'!M30,0))+parametros_manuales!$G$25*('Plan mensual'!M27+IF(parametros_manuales!$H$25="Todos",'Plan mensual'!M31,0)))*parametros_manuales!$I$25*parametros_manuales!$J$25</f>
        <v>1729.875</v>
      </c>
      <c r="L64" s="8">
        <f>(parametros_manuales!$D$25*('Plan mensual'!N24+IF(parametros_manuales!$H$25="Todos",'Plan mensual'!N28,0))+parametros_manuales!$E$25*('Plan mensual'!N25+IF(parametros_manuales!$H$25="Todos",'Plan mensual'!N29,0))+parametros_manuales!$F$25*('Plan mensual'!N26+IF(parametros_manuales!$H$25="Todos",'Plan mensual'!N30,0))+parametros_manuales!$G$25*('Plan mensual'!N27+IF(parametros_manuales!$H$25="Todos",'Plan mensual'!N31,0)))*parametros_manuales!$I$25*parametros_manuales!$J$25</f>
        <v>1687.12</v>
      </c>
      <c r="M64" s="8">
        <f>(parametros_manuales!$D$25*('Plan mensual'!O24+IF(parametros_manuales!$H$25="Todos",'Plan mensual'!O28,0))+parametros_manuales!$E$25*('Plan mensual'!O25+IF(parametros_manuales!$H$25="Todos",'Plan mensual'!O29,0))+parametros_manuales!$F$25*('Plan mensual'!O26+IF(parametros_manuales!$H$25="Todos",'Plan mensual'!O30,0))+parametros_manuales!$G$25*('Plan mensual'!O27+IF(parametros_manuales!$H$25="Todos",'Plan mensual'!O31,0)))*parametros_manuales!$I$25*parametros_manuales!$J$25</f>
        <v>2682.29</v>
      </c>
      <c r="N64" s="8">
        <f t="shared" si="7"/>
        <v>23065</v>
      </c>
      <c r="O64" s="8">
        <f t="shared" si="8"/>
        <v>2682.29</v>
      </c>
      <c r="P64" s="27">
        <f>O64/(parametros_manuales!$B$7)</f>
        <v>17.88193333</v>
      </c>
      <c r="Q64" s="4" t="str">
        <f t="shared" si="9"/>
        <v>Dic</v>
      </c>
    </row>
    <row r="65" ht="14.25" customHeight="1">
      <c r="A65" s="4" t="str">
        <f>parametros_manuales!$B$26</f>
        <v>Cilindrado</v>
      </c>
      <c r="B65" s="8">
        <f>(parametros_manuales!$D$26*('Plan mensual'!D24+IF(parametros_manuales!$H$26="Todos",'Plan mensual'!D28,0))+parametros_manuales!$E$26*('Plan mensual'!D25+IF(parametros_manuales!$H$26="Todos",'Plan mensual'!D29,0))+parametros_manuales!$F$26*('Plan mensual'!D26+IF(parametros_manuales!$H$26="Todos",'Plan mensual'!D30,0))+parametros_manuales!$G$26*('Plan mensual'!D27+IF(parametros_manuales!$H$26="Todos",'Plan mensual'!D31,0)))*parametros_manuales!$I$26*parametros_manuales!$J$26</f>
        <v>2596.78</v>
      </c>
      <c r="C65" s="8">
        <f>(parametros_manuales!$D$26*('Plan mensual'!E24+IF(parametros_manuales!$H$26="Todos",'Plan mensual'!E28,0))+parametros_manuales!$E$26*('Plan mensual'!E25+IF(parametros_manuales!$H$26="Todos",'Plan mensual'!E29,0))+parametros_manuales!$F$26*('Plan mensual'!E26+IF(parametros_manuales!$H$26="Todos",'Plan mensual'!E30,0))+parametros_manuales!$G$26*('Plan mensual'!E27+IF(parametros_manuales!$H$26="Todos",'Plan mensual'!E31,0)))*parametros_manuales!$I$26*parametros_manuales!$J$26</f>
        <v>1990.34</v>
      </c>
      <c r="D65" s="8">
        <f>(parametros_manuales!$D$26*('Plan mensual'!F24+IF(parametros_manuales!$H$26="Todos",'Plan mensual'!F28,0))+parametros_manuales!$E$26*('Plan mensual'!F25+IF(parametros_manuales!$H$26="Todos",'Plan mensual'!F29,0))+parametros_manuales!$F$26*('Plan mensual'!F26+IF(parametros_manuales!$H$26="Todos",'Plan mensual'!F30,0))+parametros_manuales!$G$26*('Plan mensual'!F27+IF(parametros_manuales!$H$26="Todos",'Plan mensual'!F31,0)))*parametros_manuales!$I$26*parametros_manuales!$J$26</f>
        <v>1887.955</v>
      </c>
      <c r="E65" s="8">
        <f>(parametros_manuales!$D$26*('Plan mensual'!G24+IF(parametros_manuales!$H$26="Todos",'Plan mensual'!G28,0))+parametros_manuales!$E$26*('Plan mensual'!G25+IF(parametros_manuales!$H$26="Todos",'Plan mensual'!G29,0))+parametros_manuales!$F$26*('Plan mensual'!G26+IF(parametros_manuales!$H$26="Todos",'Plan mensual'!G30,0))+parametros_manuales!$G$26*('Plan mensual'!G27+IF(parametros_manuales!$H$26="Todos",'Plan mensual'!G31,0)))*parametros_manuales!$I$26*parametros_manuales!$J$26</f>
        <v>1815.385</v>
      </c>
      <c r="F65" s="8">
        <f>(parametros_manuales!$D$26*('Plan mensual'!H24+IF(parametros_manuales!$H$26="Todos",'Plan mensual'!H28,0))+parametros_manuales!$E$26*('Plan mensual'!H25+IF(parametros_manuales!$H$26="Todos",'Plan mensual'!H29,0))+parametros_manuales!$F$26*('Plan mensual'!H26+IF(parametros_manuales!$H$26="Todos",'Plan mensual'!H30,0))+parametros_manuales!$G$26*('Plan mensual'!H27+IF(parametros_manuales!$H$26="Todos",'Plan mensual'!H31,0)))*parametros_manuales!$I$26*parametros_manuales!$J$26</f>
        <v>1700.06</v>
      </c>
      <c r="G65" s="8">
        <f>(parametros_manuales!$D$26*('Plan mensual'!I24+IF(parametros_manuales!$H$26="Todos",'Plan mensual'!I28,0))+parametros_manuales!$E$26*('Plan mensual'!I25+IF(parametros_manuales!$H$26="Todos",'Plan mensual'!I29,0))+parametros_manuales!$F$26*('Plan mensual'!I26+IF(parametros_manuales!$H$26="Todos",'Plan mensual'!I30,0))+parametros_manuales!$G$26*('Plan mensual'!I27+IF(parametros_manuales!$H$26="Todos",'Plan mensual'!I31,0)))*parametros_manuales!$I$26*parametros_manuales!$J$26</f>
        <v>1657.305</v>
      </c>
      <c r="H65" s="8">
        <f>(parametros_manuales!$D$26*('Plan mensual'!J24+IF(parametros_manuales!$H$26="Todos",'Plan mensual'!J28,0))+parametros_manuales!$E$26*('Plan mensual'!J25+IF(parametros_manuales!$H$26="Todos",'Plan mensual'!J29,0))+parametros_manuales!$F$26*('Plan mensual'!J26+IF(parametros_manuales!$H$26="Todos",'Plan mensual'!J30,0))+parametros_manuales!$G$26*('Plan mensual'!J27+IF(parametros_manuales!$H$26="Todos",'Plan mensual'!J31,0)))*parametros_manuales!$I$26*parametros_manuales!$J$26</f>
        <v>1772.63</v>
      </c>
      <c r="I65" s="8">
        <f>(parametros_manuales!$D$26*('Plan mensual'!K24+IF(parametros_manuales!$H$26="Todos",'Plan mensual'!K28,0))+parametros_manuales!$E$26*('Plan mensual'!K25+IF(parametros_manuales!$H$26="Todos",'Plan mensual'!K29,0))+parametros_manuales!$F$26*('Plan mensual'!K26+IF(parametros_manuales!$H$26="Todos",'Plan mensual'!K30,0))+parametros_manuales!$G$26*('Plan mensual'!K27+IF(parametros_manuales!$H$26="Todos",'Plan mensual'!K31,0)))*parametros_manuales!$I$26*parametros_manuales!$J$26</f>
        <v>1772.63</v>
      </c>
      <c r="J65" s="8">
        <f>(parametros_manuales!$D$26*('Plan mensual'!L24+IF(parametros_manuales!$H$26="Todos",'Plan mensual'!L28,0))+parametros_manuales!$E$26*('Plan mensual'!L25+IF(parametros_manuales!$H$26="Todos",'Plan mensual'!L29,0))+parametros_manuales!$F$26*('Plan mensual'!L26+IF(parametros_manuales!$H$26="Todos",'Plan mensual'!L30,0))+parametros_manuales!$G$26*('Plan mensual'!L27+IF(parametros_manuales!$H$26="Todos",'Plan mensual'!L31,0)))*parametros_manuales!$I$26*parametros_manuales!$J$26</f>
        <v>1772.63</v>
      </c>
      <c r="K65" s="8">
        <f>(parametros_manuales!$D$26*('Plan mensual'!M24+IF(parametros_manuales!$H$26="Todos",'Plan mensual'!M28,0))+parametros_manuales!$E$26*('Plan mensual'!M25+IF(parametros_manuales!$H$26="Todos",'Plan mensual'!M29,0))+parametros_manuales!$F$26*('Plan mensual'!M26+IF(parametros_manuales!$H$26="Todos",'Plan mensual'!M30,0))+parametros_manuales!$G$26*('Plan mensual'!M27+IF(parametros_manuales!$H$26="Todos",'Plan mensual'!M31,0)))*parametros_manuales!$I$26*parametros_manuales!$J$26</f>
        <v>1729.875</v>
      </c>
      <c r="L65" s="8">
        <f>(parametros_manuales!$D$26*('Plan mensual'!N24+IF(parametros_manuales!$H$26="Todos",'Plan mensual'!N28,0))+parametros_manuales!$E$26*('Plan mensual'!N25+IF(parametros_manuales!$H$26="Todos",'Plan mensual'!N29,0))+parametros_manuales!$F$26*('Plan mensual'!N26+IF(parametros_manuales!$H$26="Todos",'Plan mensual'!N30,0))+parametros_manuales!$G$26*('Plan mensual'!N27+IF(parametros_manuales!$H$26="Todos",'Plan mensual'!N31,0)))*parametros_manuales!$I$26*parametros_manuales!$J$26</f>
        <v>1687.12</v>
      </c>
      <c r="M65" s="8">
        <f>(parametros_manuales!$D$26*('Plan mensual'!O24+IF(parametros_manuales!$H$26="Todos",'Plan mensual'!O28,0))+parametros_manuales!$E$26*('Plan mensual'!O25+IF(parametros_manuales!$H$26="Todos",'Plan mensual'!O29,0))+parametros_manuales!$F$26*('Plan mensual'!O26+IF(parametros_manuales!$H$26="Todos",'Plan mensual'!O30,0))+parametros_manuales!$G$26*('Plan mensual'!O27+IF(parametros_manuales!$H$26="Todos",'Plan mensual'!O31,0)))*parametros_manuales!$I$26*parametros_manuales!$J$26</f>
        <v>2682.29</v>
      </c>
      <c r="N65" s="8">
        <f t="shared" si="7"/>
        <v>23065</v>
      </c>
      <c r="O65" s="8">
        <f t="shared" si="8"/>
        <v>2682.29</v>
      </c>
      <c r="P65" s="27">
        <f>O65/(parametros_manuales!$B$7)</f>
        <v>17.88193333</v>
      </c>
      <c r="Q65" s="4" t="str">
        <f t="shared" si="9"/>
        <v>Dic</v>
      </c>
    </row>
    <row r="66" ht="14.25" customHeight="1">
      <c r="A66" s="4" t="str">
        <f>parametros_manuales!$B$27</f>
        <v>Soldadura longitudinal — 2,5 a 10 kg</v>
      </c>
      <c r="B66" s="8">
        <f>(parametros_manuales!$D$27*('Plan mensual'!D24+IF(parametros_manuales!$H$27="Todos",'Plan mensual'!D28,0))+parametros_manuales!$E$27*('Plan mensual'!D25+IF(parametros_manuales!$H$27="Todos",'Plan mensual'!D29,0))+parametros_manuales!$F$27*('Plan mensual'!D26+IF(parametros_manuales!$H$27="Todos",'Plan mensual'!D30,0))+parametros_manuales!$G$27*('Plan mensual'!D27+IF(parametros_manuales!$H$27="Todos",'Plan mensual'!D31,0)))*parametros_manuales!$I$27*parametros_manuales!$J$27</f>
        <v>855.1</v>
      </c>
      <c r="C66" s="8">
        <f>(parametros_manuales!$D$27*('Plan mensual'!E24+IF(parametros_manuales!$H$27="Todos",'Plan mensual'!E28,0))+parametros_manuales!$E$27*('Plan mensual'!E25+IF(parametros_manuales!$H$27="Todos",'Plan mensual'!E29,0))+parametros_manuales!$F$27*('Plan mensual'!E26+IF(parametros_manuales!$H$27="Todos",'Plan mensual'!E30,0))+parametros_manuales!$G$27*('Plan mensual'!E27+IF(parametros_manuales!$H$27="Todos",'Plan mensual'!E31,0)))*parametros_manuales!$I$27*parametros_manuales!$J$27</f>
        <v>684.08</v>
      </c>
      <c r="D66" s="8">
        <f>(parametros_manuales!$D$27*('Plan mensual'!F24+IF(parametros_manuales!$H$27="Todos",'Plan mensual'!F28,0))+parametros_manuales!$E$27*('Plan mensual'!F25+IF(parametros_manuales!$H$27="Todos",'Plan mensual'!F29,0))+parametros_manuales!$F$27*('Plan mensual'!F26+IF(parametros_manuales!$H$27="Todos",'Plan mensual'!F30,0))+parametros_manuales!$G$27*('Plan mensual'!F27+IF(parametros_manuales!$H$27="Todos",'Plan mensual'!F31,0)))*parametros_manuales!$I$27*parametros_manuales!$J$27</f>
        <v>726.835</v>
      </c>
      <c r="E66" s="8">
        <f>(parametros_manuales!$D$27*('Plan mensual'!G24+IF(parametros_manuales!$H$27="Todos",'Plan mensual'!G28,0))+parametros_manuales!$E$27*('Plan mensual'!G25+IF(parametros_manuales!$H$27="Todos",'Plan mensual'!G29,0))+parametros_manuales!$F$27*('Plan mensual'!G26+IF(parametros_manuales!$H$27="Todos",'Plan mensual'!G30,0))+parametros_manuales!$G$27*('Plan mensual'!G27+IF(parametros_manuales!$H$27="Todos",'Plan mensual'!G31,0)))*parametros_manuales!$I$27*parametros_manuales!$J$27</f>
        <v>726.835</v>
      </c>
      <c r="F66" s="8">
        <f>(parametros_manuales!$D$27*('Plan mensual'!H24+IF(parametros_manuales!$H$27="Todos",'Plan mensual'!H28,0))+parametros_manuales!$E$27*('Plan mensual'!H25+IF(parametros_manuales!$H$27="Todos",'Plan mensual'!H29,0))+parametros_manuales!$F$27*('Plan mensual'!H26+IF(parametros_manuales!$H$27="Todos",'Plan mensual'!H30,0))+parametros_manuales!$G$27*('Plan mensual'!H27+IF(parametros_manuales!$H$27="Todos",'Plan mensual'!H31,0)))*parametros_manuales!$I$27*parametros_manuales!$J$27</f>
        <v>684.08</v>
      </c>
      <c r="G66" s="8">
        <f>(parametros_manuales!$D$27*('Plan mensual'!I24+IF(parametros_manuales!$H$27="Todos",'Plan mensual'!I28,0))+parametros_manuales!$E$27*('Plan mensual'!I25+IF(parametros_manuales!$H$27="Todos",'Plan mensual'!I29,0))+parametros_manuales!$F$27*('Plan mensual'!I26+IF(parametros_manuales!$H$27="Todos",'Plan mensual'!I30,0))+parametros_manuales!$G$27*('Plan mensual'!I27+IF(parametros_manuales!$H$27="Todos",'Plan mensual'!I31,0)))*parametros_manuales!$I$27*parametros_manuales!$J$27</f>
        <v>641.325</v>
      </c>
      <c r="H66" s="8">
        <f>(parametros_manuales!$D$27*('Plan mensual'!J24+IF(parametros_manuales!$H$27="Todos",'Plan mensual'!J28,0))+parametros_manuales!$E$27*('Plan mensual'!J25+IF(parametros_manuales!$H$27="Todos",'Plan mensual'!J29,0))+parametros_manuales!$F$27*('Plan mensual'!J26+IF(parametros_manuales!$H$27="Todos",'Plan mensual'!J30,0))+parametros_manuales!$G$27*('Plan mensual'!J27+IF(parametros_manuales!$H$27="Todos",'Plan mensual'!J31,0)))*parametros_manuales!$I$27*parametros_manuales!$J$27</f>
        <v>684.08</v>
      </c>
      <c r="I66" s="8">
        <f>(parametros_manuales!$D$27*('Plan mensual'!K24+IF(parametros_manuales!$H$27="Todos",'Plan mensual'!K28,0))+parametros_manuales!$E$27*('Plan mensual'!K25+IF(parametros_manuales!$H$27="Todos",'Plan mensual'!K29,0))+parametros_manuales!$F$27*('Plan mensual'!K26+IF(parametros_manuales!$H$27="Todos",'Plan mensual'!K30,0))+parametros_manuales!$G$27*('Plan mensual'!K27+IF(parametros_manuales!$H$27="Todos",'Plan mensual'!K31,0)))*parametros_manuales!$I$27*parametros_manuales!$J$27</f>
        <v>684.08</v>
      </c>
      <c r="J66" s="8">
        <f>(parametros_manuales!$D$27*('Plan mensual'!L24+IF(parametros_manuales!$H$27="Todos",'Plan mensual'!L28,0))+parametros_manuales!$E$27*('Plan mensual'!L25+IF(parametros_manuales!$H$27="Todos",'Plan mensual'!L29,0))+parametros_manuales!$F$27*('Plan mensual'!L26+IF(parametros_manuales!$H$27="Todos",'Plan mensual'!L30,0))+parametros_manuales!$G$27*('Plan mensual'!L27+IF(parametros_manuales!$H$27="Todos",'Plan mensual'!L31,0)))*parametros_manuales!$I$27*parametros_manuales!$J$27</f>
        <v>684.08</v>
      </c>
      <c r="K66" s="8">
        <f>(parametros_manuales!$D$27*('Plan mensual'!M24+IF(parametros_manuales!$H$27="Todos",'Plan mensual'!M28,0))+parametros_manuales!$E$27*('Plan mensual'!M25+IF(parametros_manuales!$H$27="Todos",'Plan mensual'!M29,0))+parametros_manuales!$F$27*('Plan mensual'!M26+IF(parametros_manuales!$H$27="Todos",'Plan mensual'!M30,0))+parametros_manuales!$G$27*('Plan mensual'!M27+IF(parametros_manuales!$H$27="Todos",'Plan mensual'!M31,0)))*parametros_manuales!$I$27*parametros_manuales!$J$27</f>
        <v>641.325</v>
      </c>
      <c r="L66" s="8">
        <f>(parametros_manuales!$D$27*('Plan mensual'!N24+IF(parametros_manuales!$H$27="Todos",'Plan mensual'!N28,0))+parametros_manuales!$E$27*('Plan mensual'!N25+IF(parametros_manuales!$H$27="Todos",'Plan mensual'!N29,0))+parametros_manuales!$F$27*('Plan mensual'!N26+IF(parametros_manuales!$H$27="Todos",'Plan mensual'!N30,0))+parametros_manuales!$G$27*('Plan mensual'!N27+IF(parametros_manuales!$H$27="Todos",'Plan mensual'!N31,0)))*parametros_manuales!$I$27*parametros_manuales!$J$27</f>
        <v>598.57</v>
      </c>
      <c r="M66" s="8">
        <f>(parametros_manuales!$D$27*('Plan mensual'!O24+IF(parametros_manuales!$H$27="Todos",'Plan mensual'!O28,0))+parametros_manuales!$E$27*('Plan mensual'!O25+IF(parametros_manuales!$H$27="Todos",'Plan mensual'!O29,0))+parametros_manuales!$F$27*('Plan mensual'!O26+IF(parametros_manuales!$H$27="Todos",'Plan mensual'!O30,0))+parametros_manuales!$G$27*('Plan mensual'!O27+IF(parametros_manuales!$H$27="Todos",'Plan mensual'!O31,0)))*parametros_manuales!$I$27*parametros_manuales!$J$27</f>
        <v>940.61</v>
      </c>
      <c r="N66" s="8">
        <f t="shared" si="7"/>
        <v>8551</v>
      </c>
      <c r="O66" s="8">
        <f t="shared" si="8"/>
        <v>940.61</v>
      </c>
      <c r="P66" s="27">
        <f>O66/(parametros_manuales!$B$7)</f>
        <v>6.270733333</v>
      </c>
      <c r="Q66" s="4" t="str">
        <f t="shared" si="9"/>
        <v>Dic</v>
      </c>
    </row>
    <row r="67" ht="14.25" customHeight="1">
      <c r="A67" s="4" t="str">
        <f>parametros_manuales!$B$28</f>
        <v>Soldadura longitudinal TIG — 1 kg</v>
      </c>
      <c r="B67" s="8">
        <f>(parametros_manuales!$D$28*('Plan mensual'!D24+IF(parametros_manuales!$H$28="Todos",'Plan mensual'!D28,0))+parametros_manuales!$E$28*('Plan mensual'!D25+IF(parametros_manuales!$H$28="Todos",'Plan mensual'!D29,0))+parametros_manuales!$F$28*('Plan mensual'!D26+IF(parametros_manuales!$H$28="Todos",'Plan mensual'!D30,0))+parametros_manuales!$G$28*('Plan mensual'!D27+IF(parametros_manuales!$H$28="Todos",'Plan mensual'!D31,0)))*parametros_manuales!$I$28*parametros_manuales!$J$28</f>
        <v>1741.68</v>
      </c>
      <c r="C67" s="8">
        <f>(parametros_manuales!$D$28*('Plan mensual'!E24+IF(parametros_manuales!$H$28="Todos",'Plan mensual'!E28,0))+parametros_manuales!$E$28*('Plan mensual'!E25+IF(parametros_manuales!$H$28="Todos",'Plan mensual'!E29,0))+parametros_manuales!$F$28*('Plan mensual'!E26+IF(parametros_manuales!$H$28="Todos",'Plan mensual'!E30,0))+parametros_manuales!$G$28*('Plan mensual'!E27+IF(parametros_manuales!$H$28="Todos",'Plan mensual'!E31,0)))*parametros_manuales!$I$28*parametros_manuales!$J$28</f>
        <v>1306.26</v>
      </c>
      <c r="D67" s="8">
        <f>(parametros_manuales!$D$28*('Plan mensual'!F24+IF(parametros_manuales!$H$28="Todos",'Plan mensual'!F28,0))+parametros_manuales!$E$28*('Plan mensual'!F25+IF(parametros_manuales!$H$28="Todos",'Plan mensual'!F29,0))+parametros_manuales!$F$28*('Plan mensual'!F26+IF(parametros_manuales!$H$28="Todos",'Plan mensual'!F30,0))+parametros_manuales!$G$28*('Plan mensual'!F27+IF(parametros_manuales!$H$28="Todos",'Plan mensual'!F31,0)))*parametros_manuales!$I$28*parametros_manuales!$J$28</f>
        <v>1161.12</v>
      </c>
      <c r="E67" s="8">
        <f>(parametros_manuales!$D$28*('Plan mensual'!G24+IF(parametros_manuales!$H$28="Todos",'Plan mensual'!G28,0))+parametros_manuales!$E$28*('Plan mensual'!G25+IF(parametros_manuales!$H$28="Todos",'Plan mensual'!G29,0))+parametros_manuales!$F$28*('Plan mensual'!G26+IF(parametros_manuales!$H$28="Todos",'Plan mensual'!G30,0))+parametros_manuales!$G$28*('Plan mensual'!G27+IF(parametros_manuales!$H$28="Todos",'Plan mensual'!G31,0)))*parametros_manuales!$I$28*parametros_manuales!$J$28</f>
        <v>1088.55</v>
      </c>
      <c r="F67" s="8">
        <f>(parametros_manuales!$D$28*('Plan mensual'!H24+IF(parametros_manuales!$H$28="Todos",'Plan mensual'!H28,0))+parametros_manuales!$E$28*('Plan mensual'!H25+IF(parametros_manuales!$H$28="Todos",'Plan mensual'!H29,0))+parametros_manuales!$F$28*('Plan mensual'!H26+IF(parametros_manuales!$H$28="Todos",'Plan mensual'!H30,0))+parametros_manuales!$G$28*('Plan mensual'!H27+IF(parametros_manuales!$H$28="Todos",'Plan mensual'!H31,0)))*parametros_manuales!$I$28*parametros_manuales!$J$28</f>
        <v>1015.98</v>
      </c>
      <c r="G67" s="8">
        <f>(parametros_manuales!$D$28*('Plan mensual'!I24+IF(parametros_manuales!$H$28="Todos",'Plan mensual'!I28,0))+parametros_manuales!$E$28*('Plan mensual'!I25+IF(parametros_manuales!$H$28="Todos",'Plan mensual'!I29,0))+parametros_manuales!$F$28*('Plan mensual'!I26+IF(parametros_manuales!$H$28="Todos",'Plan mensual'!I30,0))+parametros_manuales!$G$28*('Plan mensual'!I27+IF(parametros_manuales!$H$28="Todos",'Plan mensual'!I31,0)))*parametros_manuales!$I$28*parametros_manuales!$J$28</f>
        <v>1015.98</v>
      </c>
      <c r="H67" s="8">
        <f>(parametros_manuales!$D$28*('Plan mensual'!J24+IF(parametros_manuales!$H$28="Todos",'Plan mensual'!J28,0))+parametros_manuales!$E$28*('Plan mensual'!J25+IF(parametros_manuales!$H$28="Todos",'Plan mensual'!J29,0))+parametros_manuales!$F$28*('Plan mensual'!J26+IF(parametros_manuales!$H$28="Todos",'Plan mensual'!J30,0))+parametros_manuales!$G$28*('Plan mensual'!J27+IF(parametros_manuales!$H$28="Todos",'Plan mensual'!J31,0)))*parametros_manuales!$I$28*parametros_manuales!$J$28</f>
        <v>1088.55</v>
      </c>
      <c r="I67" s="8">
        <f>(parametros_manuales!$D$28*('Plan mensual'!K24+IF(parametros_manuales!$H$28="Todos",'Plan mensual'!K28,0))+parametros_manuales!$E$28*('Plan mensual'!K25+IF(parametros_manuales!$H$28="Todos",'Plan mensual'!K29,0))+parametros_manuales!$F$28*('Plan mensual'!K26+IF(parametros_manuales!$H$28="Todos",'Plan mensual'!K30,0))+parametros_manuales!$G$28*('Plan mensual'!K27+IF(parametros_manuales!$H$28="Todos",'Plan mensual'!K31,0)))*parametros_manuales!$I$28*parametros_manuales!$J$28</f>
        <v>1088.55</v>
      </c>
      <c r="J67" s="8">
        <f>(parametros_manuales!$D$28*('Plan mensual'!L24+IF(parametros_manuales!$H$28="Todos",'Plan mensual'!L28,0))+parametros_manuales!$E$28*('Plan mensual'!L25+IF(parametros_manuales!$H$28="Todos",'Plan mensual'!L29,0))+parametros_manuales!$F$28*('Plan mensual'!L26+IF(parametros_manuales!$H$28="Todos",'Plan mensual'!L30,0))+parametros_manuales!$G$28*('Plan mensual'!L27+IF(parametros_manuales!$H$28="Todos",'Plan mensual'!L31,0)))*parametros_manuales!$I$28*parametros_manuales!$J$28</f>
        <v>1088.55</v>
      </c>
      <c r="K67" s="8">
        <f>(parametros_manuales!$D$28*('Plan mensual'!M24+IF(parametros_manuales!$H$28="Todos",'Plan mensual'!M28,0))+parametros_manuales!$E$28*('Plan mensual'!M25+IF(parametros_manuales!$H$28="Todos",'Plan mensual'!M29,0))+parametros_manuales!$F$28*('Plan mensual'!M26+IF(parametros_manuales!$H$28="Todos",'Plan mensual'!M30,0))+parametros_manuales!$G$28*('Plan mensual'!M27+IF(parametros_manuales!$H$28="Todos",'Plan mensual'!M31,0)))*parametros_manuales!$I$28*parametros_manuales!$J$28</f>
        <v>1088.55</v>
      </c>
      <c r="L67" s="8">
        <f>(parametros_manuales!$D$28*('Plan mensual'!N24+IF(parametros_manuales!$H$28="Todos",'Plan mensual'!N28,0))+parametros_manuales!$E$28*('Plan mensual'!N25+IF(parametros_manuales!$H$28="Todos",'Plan mensual'!N29,0))+parametros_manuales!$F$28*('Plan mensual'!N26+IF(parametros_manuales!$H$28="Todos",'Plan mensual'!N30,0))+parametros_manuales!$G$28*('Plan mensual'!N27+IF(parametros_manuales!$H$28="Todos",'Plan mensual'!N31,0)))*parametros_manuales!$I$28*parametros_manuales!$J$28</f>
        <v>1088.55</v>
      </c>
      <c r="M67" s="8">
        <f>(parametros_manuales!$D$28*('Plan mensual'!O24+IF(parametros_manuales!$H$28="Todos",'Plan mensual'!O28,0))+parametros_manuales!$E$28*('Plan mensual'!O25+IF(parametros_manuales!$H$28="Todos",'Plan mensual'!O29,0))+parametros_manuales!$F$28*('Plan mensual'!O26+IF(parametros_manuales!$H$28="Todos",'Plan mensual'!O30,0))+parametros_manuales!$G$28*('Plan mensual'!O27+IF(parametros_manuales!$H$28="Todos",'Plan mensual'!O31,0)))*parametros_manuales!$I$28*parametros_manuales!$J$28</f>
        <v>1741.68</v>
      </c>
      <c r="N67" s="8">
        <f t="shared" si="7"/>
        <v>14514</v>
      </c>
      <c r="O67" s="8">
        <f t="shared" si="8"/>
        <v>1741.68</v>
      </c>
      <c r="P67" s="27">
        <f>O67/(parametros_manuales!$B$7)</f>
        <v>11.6112</v>
      </c>
      <c r="Q67" s="4" t="str">
        <f t="shared" si="9"/>
        <v>Ene</v>
      </c>
    </row>
    <row r="68" ht="14.25" customHeight="1">
      <c r="A68" s="4" t="str">
        <f>parametros_manuales!$B$29</f>
        <v>Encastre de fondo</v>
      </c>
      <c r="B68" s="8">
        <f>(parametros_manuales!$D$29*('Plan mensual'!D24+IF(parametros_manuales!$H$29="Todos",'Plan mensual'!D28,0))+parametros_manuales!$E$29*('Plan mensual'!D25+IF(parametros_manuales!$H$29="Todos",'Plan mensual'!D29,0))+parametros_manuales!$F$29*('Plan mensual'!D26+IF(parametros_manuales!$H$29="Todos",'Plan mensual'!D30,0))+parametros_manuales!$G$29*('Plan mensual'!D27+IF(parametros_manuales!$H$29="Todos",'Plan mensual'!D31,0)))*parametros_manuales!$I$29*parametros_manuales!$J$29</f>
        <v>2596.78</v>
      </c>
      <c r="C68" s="8">
        <f>(parametros_manuales!$D$29*('Plan mensual'!E24+IF(parametros_manuales!$H$29="Todos",'Plan mensual'!E28,0))+parametros_manuales!$E$29*('Plan mensual'!E25+IF(parametros_manuales!$H$29="Todos",'Plan mensual'!E29,0))+parametros_manuales!$F$29*('Plan mensual'!E26+IF(parametros_manuales!$H$29="Todos",'Plan mensual'!E30,0))+parametros_manuales!$G$29*('Plan mensual'!E27+IF(parametros_manuales!$H$29="Todos",'Plan mensual'!E31,0)))*parametros_manuales!$I$29*parametros_manuales!$J$29</f>
        <v>1990.34</v>
      </c>
      <c r="D68" s="8">
        <f>(parametros_manuales!$D$29*('Plan mensual'!F24+IF(parametros_manuales!$H$29="Todos",'Plan mensual'!F28,0))+parametros_manuales!$E$29*('Plan mensual'!F25+IF(parametros_manuales!$H$29="Todos",'Plan mensual'!F29,0))+parametros_manuales!$F$29*('Plan mensual'!F26+IF(parametros_manuales!$H$29="Todos",'Plan mensual'!F30,0))+parametros_manuales!$G$29*('Plan mensual'!F27+IF(parametros_manuales!$H$29="Todos",'Plan mensual'!F31,0)))*parametros_manuales!$I$29*parametros_manuales!$J$29</f>
        <v>1887.955</v>
      </c>
      <c r="E68" s="8">
        <f>(parametros_manuales!$D$29*('Plan mensual'!G24+IF(parametros_manuales!$H$29="Todos",'Plan mensual'!G28,0))+parametros_manuales!$E$29*('Plan mensual'!G25+IF(parametros_manuales!$H$29="Todos",'Plan mensual'!G29,0))+parametros_manuales!$F$29*('Plan mensual'!G26+IF(parametros_manuales!$H$29="Todos",'Plan mensual'!G30,0))+parametros_manuales!$G$29*('Plan mensual'!G27+IF(parametros_manuales!$H$29="Todos",'Plan mensual'!G31,0)))*parametros_manuales!$I$29*parametros_manuales!$J$29</f>
        <v>1815.385</v>
      </c>
      <c r="F68" s="8">
        <f>(parametros_manuales!$D$29*('Plan mensual'!H24+IF(parametros_manuales!$H$29="Todos",'Plan mensual'!H28,0))+parametros_manuales!$E$29*('Plan mensual'!H25+IF(parametros_manuales!$H$29="Todos",'Plan mensual'!H29,0))+parametros_manuales!$F$29*('Plan mensual'!H26+IF(parametros_manuales!$H$29="Todos",'Plan mensual'!H30,0))+parametros_manuales!$G$29*('Plan mensual'!H27+IF(parametros_manuales!$H$29="Todos",'Plan mensual'!H31,0)))*parametros_manuales!$I$29*parametros_manuales!$J$29</f>
        <v>1700.06</v>
      </c>
      <c r="G68" s="8">
        <f>(parametros_manuales!$D$29*('Plan mensual'!I24+IF(parametros_manuales!$H$29="Todos",'Plan mensual'!I28,0))+parametros_manuales!$E$29*('Plan mensual'!I25+IF(parametros_manuales!$H$29="Todos",'Plan mensual'!I29,0))+parametros_manuales!$F$29*('Plan mensual'!I26+IF(parametros_manuales!$H$29="Todos",'Plan mensual'!I30,0))+parametros_manuales!$G$29*('Plan mensual'!I27+IF(parametros_manuales!$H$29="Todos",'Plan mensual'!I31,0)))*parametros_manuales!$I$29*parametros_manuales!$J$29</f>
        <v>1657.305</v>
      </c>
      <c r="H68" s="8">
        <f>(parametros_manuales!$D$29*('Plan mensual'!J24+IF(parametros_manuales!$H$29="Todos",'Plan mensual'!J28,0))+parametros_manuales!$E$29*('Plan mensual'!J25+IF(parametros_manuales!$H$29="Todos",'Plan mensual'!J29,0))+parametros_manuales!$F$29*('Plan mensual'!J26+IF(parametros_manuales!$H$29="Todos",'Plan mensual'!J30,0))+parametros_manuales!$G$29*('Plan mensual'!J27+IF(parametros_manuales!$H$29="Todos",'Plan mensual'!J31,0)))*parametros_manuales!$I$29*parametros_manuales!$J$29</f>
        <v>1772.63</v>
      </c>
      <c r="I68" s="8">
        <f>(parametros_manuales!$D$29*('Plan mensual'!K24+IF(parametros_manuales!$H$29="Todos",'Plan mensual'!K28,0))+parametros_manuales!$E$29*('Plan mensual'!K25+IF(parametros_manuales!$H$29="Todos",'Plan mensual'!K29,0))+parametros_manuales!$F$29*('Plan mensual'!K26+IF(parametros_manuales!$H$29="Todos",'Plan mensual'!K30,0))+parametros_manuales!$G$29*('Plan mensual'!K27+IF(parametros_manuales!$H$29="Todos",'Plan mensual'!K31,0)))*parametros_manuales!$I$29*parametros_manuales!$J$29</f>
        <v>1772.63</v>
      </c>
      <c r="J68" s="8">
        <f>(parametros_manuales!$D$29*('Plan mensual'!L24+IF(parametros_manuales!$H$29="Todos",'Plan mensual'!L28,0))+parametros_manuales!$E$29*('Plan mensual'!L25+IF(parametros_manuales!$H$29="Todos",'Plan mensual'!L29,0))+parametros_manuales!$F$29*('Plan mensual'!L26+IF(parametros_manuales!$H$29="Todos",'Plan mensual'!L30,0))+parametros_manuales!$G$29*('Plan mensual'!L27+IF(parametros_manuales!$H$29="Todos",'Plan mensual'!L31,0)))*parametros_manuales!$I$29*parametros_manuales!$J$29</f>
        <v>1772.63</v>
      </c>
      <c r="K68" s="8">
        <f>(parametros_manuales!$D$29*('Plan mensual'!M24+IF(parametros_manuales!$H$29="Todos",'Plan mensual'!M28,0))+parametros_manuales!$E$29*('Plan mensual'!M25+IF(parametros_manuales!$H$29="Todos",'Plan mensual'!M29,0))+parametros_manuales!$F$29*('Plan mensual'!M26+IF(parametros_manuales!$H$29="Todos",'Plan mensual'!M30,0))+parametros_manuales!$G$29*('Plan mensual'!M27+IF(parametros_manuales!$H$29="Todos",'Plan mensual'!M31,0)))*parametros_manuales!$I$29*parametros_manuales!$J$29</f>
        <v>1729.875</v>
      </c>
      <c r="L68" s="8">
        <f>(parametros_manuales!$D$29*('Plan mensual'!N24+IF(parametros_manuales!$H$29="Todos",'Plan mensual'!N28,0))+parametros_manuales!$E$29*('Plan mensual'!N25+IF(parametros_manuales!$H$29="Todos",'Plan mensual'!N29,0))+parametros_manuales!$F$29*('Plan mensual'!N26+IF(parametros_manuales!$H$29="Todos",'Plan mensual'!N30,0))+parametros_manuales!$G$29*('Plan mensual'!N27+IF(parametros_manuales!$H$29="Todos",'Plan mensual'!N31,0)))*parametros_manuales!$I$29*parametros_manuales!$J$29</f>
        <v>1687.12</v>
      </c>
      <c r="M68" s="8">
        <f>(parametros_manuales!$D$29*('Plan mensual'!O24+IF(parametros_manuales!$H$29="Todos",'Plan mensual'!O28,0))+parametros_manuales!$E$29*('Plan mensual'!O25+IF(parametros_manuales!$H$29="Todos",'Plan mensual'!O29,0))+parametros_manuales!$F$29*('Plan mensual'!O26+IF(parametros_manuales!$H$29="Todos",'Plan mensual'!O30,0))+parametros_manuales!$G$29*('Plan mensual'!O27+IF(parametros_manuales!$H$29="Todos",'Plan mensual'!O31,0)))*parametros_manuales!$I$29*parametros_manuales!$J$29</f>
        <v>2682.29</v>
      </c>
      <c r="N68" s="8">
        <f t="shared" si="7"/>
        <v>23065</v>
      </c>
      <c r="O68" s="8">
        <f t="shared" si="8"/>
        <v>2682.29</v>
      </c>
      <c r="P68" s="27">
        <f>O68/(parametros_manuales!$B$7)</f>
        <v>17.88193333</v>
      </c>
      <c r="Q68" s="4" t="str">
        <f t="shared" si="9"/>
        <v>Dic</v>
      </c>
    </row>
    <row r="69" ht="14.25" customHeight="1">
      <c r="A69" s="4" t="str">
        <f>parametros_manuales!$B$30</f>
        <v>Bordoneado</v>
      </c>
      <c r="B69" s="8">
        <f>(parametros_manuales!$D$30*('Plan mensual'!D24+IF(parametros_manuales!$H$30="Todos",'Plan mensual'!D28,0))+parametros_manuales!$E$30*('Plan mensual'!D25+IF(parametros_manuales!$H$30="Todos",'Plan mensual'!D29,0))+parametros_manuales!$F$30*('Plan mensual'!D26+IF(parametros_manuales!$H$30="Todos",'Plan mensual'!D30,0))+parametros_manuales!$G$30*('Plan mensual'!D27+IF(parametros_manuales!$H$30="Todos",'Plan mensual'!D31,0)))*parametros_manuales!$I$30*parametros_manuales!$J$30</f>
        <v>2596.78</v>
      </c>
      <c r="C69" s="8">
        <f>(parametros_manuales!$D$30*('Plan mensual'!E24+IF(parametros_manuales!$H$30="Todos",'Plan mensual'!E28,0))+parametros_manuales!$E$30*('Plan mensual'!E25+IF(parametros_manuales!$H$30="Todos",'Plan mensual'!E29,0))+parametros_manuales!$F$30*('Plan mensual'!E26+IF(parametros_manuales!$H$30="Todos",'Plan mensual'!E30,0))+parametros_manuales!$G$30*('Plan mensual'!E27+IF(parametros_manuales!$H$30="Todos",'Plan mensual'!E31,0)))*parametros_manuales!$I$30*parametros_manuales!$J$30</f>
        <v>1990.34</v>
      </c>
      <c r="D69" s="8">
        <f>(parametros_manuales!$D$30*('Plan mensual'!F24+IF(parametros_manuales!$H$30="Todos",'Plan mensual'!F28,0))+parametros_manuales!$E$30*('Plan mensual'!F25+IF(parametros_manuales!$H$30="Todos",'Plan mensual'!F29,0))+parametros_manuales!$F$30*('Plan mensual'!F26+IF(parametros_manuales!$H$30="Todos",'Plan mensual'!F30,0))+parametros_manuales!$G$30*('Plan mensual'!F27+IF(parametros_manuales!$H$30="Todos",'Plan mensual'!F31,0)))*parametros_manuales!$I$30*parametros_manuales!$J$30</f>
        <v>1887.955</v>
      </c>
      <c r="E69" s="8">
        <f>(parametros_manuales!$D$30*('Plan mensual'!G24+IF(parametros_manuales!$H$30="Todos",'Plan mensual'!G28,0))+parametros_manuales!$E$30*('Plan mensual'!G25+IF(parametros_manuales!$H$30="Todos",'Plan mensual'!G29,0))+parametros_manuales!$F$30*('Plan mensual'!G26+IF(parametros_manuales!$H$30="Todos",'Plan mensual'!G30,0))+parametros_manuales!$G$30*('Plan mensual'!G27+IF(parametros_manuales!$H$30="Todos",'Plan mensual'!G31,0)))*parametros_manuales!$I$30*parametros_manuales!$J$30</f>
        <v>1815.385</v>
      </c>
      <c r="F69" s="8">
        <f>(parametros_manuales!$D$30*('Plan mensual'!H24+IF(parametros_manuales!$H$30="Todos",'Plan mensual'!H28,0))+parametros_manuales!$E$30*('Plan mensual'!H25+IF(parametros_manuales!$H$30="Todos",'Plan mensual'!H29,0))+parametros_manuales!$F$30*('Plan mensual'!H26+IF(parametros_manuales!$H$30="Todos",'Plan mensual'!H30,0))+parametros_manuales!$G$30*('Plan mensual'!H27+IF(parametros_manuales!$H$30="Todos",'Plan mensual'!H31,0)))*parametros_manuales!$I$30*parametros_manuales!$J$30</f>
        <v>1700.06</v>
      </c>
      <c r="G69" s="8">
        <f>(parametros_manuales!$D$30*('Plan mensual'!I24+IF(parametros_manuales!$H$30="Todos",'Plan mensual'!I28,0))+parametros_manuales!$E$30*('Plan mensual'!I25+IF(parametros_manuales!$H$30="Todos",'Plan mensual'!I29,0))+parametros_manuales!$F$30*('Plan mensual'!I26+IF(parametros_manuales!$H$30="Todos",'Plan mensual'!I30,0))+parametros_manuales!$G$30*('Plan mensual'!I27+IF(parametros_manuales!$H$30="Todos",'Plan mensual'!I31,0)))*parametros_manuales!$I$30*parametros_manuales!$J$30</f>
        <v>1657.305</v>
      </c>
      <c r="H69" s="8">
        <f>(parametros_manuales!$D$30*('Plan mensual'!J24+IF(parametros_manuales!$H$30="Todos",'Plan mensual'!J28,0))+parametros_manuales!$E$30*('Plan mensual'!J25+IF(parametros_manuales!$H$30="Todos",'Plan mensual'!J29,0))+parametros_manuales!$F$30*('Plan mensual'!J26+IF(parametros_manuales!$H$30="Todos",'Plan mensual'!J30,0))+parametros_manuales!$G$30*('Plan mensual'!J27+IF(parametros_manuales!$H$30="Todos",'Plan mensual'!J31,0)))*parametros_manuales!$I$30*parametros_manuales!$J$30</f>
        <v>1772.63</v>
      </c>
      <c r="I69" s="8">
        <f>(parametros_manuales!$D$30*('Plan mensual'!K24+IF(parametros_manuales!$H$30="Todos",'Plan mensual'!K28,0))+parametros_manuales!$E$30*('Plan mensual'!K25+IF(parametros_manuales!$H$30="Todos",'Plan mensual'!K29,0))+parametros_manuales!$F$30*('Plan mensual'!K26+IF(parametros_manuales!$H$30="Todos",'Plan mensual'!K30,0))+parametros_manuales!$G$30*('Plan mensual'!K27+IF(parametros_manuales!$H$30="Todos",'Plan mensual'!K31,0)))*parametros_manuales!$I$30*parametros_manuales!$J$30</f>
        <v>1772.63</v>
      </c>
      <c r="J69" s="8">
        <f>(parametros_manuales!$D$30*('Plan mensual'!L24+IF(parametros_manuales!$H$30="Todos",'Plan mensual'!L28,0))+parametros_manuales!$E$30*('Plan mensual'!L25+IF(parametros_manuales!$H$30="Todos",'Plan mensual'!L29,0))+parametros_manuales!$F$30*('Plan mensual'!L26+IF(parametros_manuales!$H$30="Todos",'Plan mensual'!L30,0))+parametros_manuales!$G$30*('Plan mensual'!L27+IF(parametros_manuales!$H$30="Todos",'Plan mensual'!L31,0)))*parametros_manuales!$I$30*parametros_manuales!$J$30</f>
        <v>1772.63</v>
      </c>
      <c r="K69" s="8">
        <f>(parametros_manuales!$D$30*('Plan mensual'!M24+IF(parametros_manuales!$H$30="Todos",'Plan mensual'!M28,0))+parametros_manuales!$E$30*('Plan mensual'!M25+IF(parametros_manuales!$H$30="Todos",'Plan mensual'!M29,0))+parametros_manuales!$F$30*('Plan mensual'!M26+IF(parametros_manuales!$H$30="Todos",'Plan mensual'!M30,0))+parametros_manuales!$G$30*('Plan mensual'!M27+IF(parametros_manuales!$H$30="Todos",'Plan mensual'!M31,0)))*parametros_manuales!$I$30*parametros_manuales!$J$30</f>
        <v>1729.875</v>
      </c>
      <c r="L69" s="8">
        <f>(parametros_manuales!$D$30*('Plan mensual'!N24+IF(parametros_manuales!$H$30="Todos",'Plan mensual'!N28,0))+parametros_manuales!$E$30*('Plan mensual'!N25+IF(parametros_manuales!$H$30="Todos",'Plan mensual'!N29,0))+parametros_manuales!$F$30*('Plan mensual'!N26+IF(parametros_manuales!$H$30="Todos",'Plan mensual'!N30,0))+parametros_manuales!$G$30*('Plan mensual'!N27+IF(parametros_manuales!$H$30="Todos",'Plan mensual'!N31,0)))*parametros_manuales!$I$30*parametros_manuales!$J$30</f>
        <v>1687.12</v>
      </c>
      <c r="M69" s="8">
        <f>(parametros_manuales!$D$30*('Plan mensual'!O24+IF(parametros_manuales!$H$30="Todos",'Plan mensual'!O28,0))+parametros_manuales!$E$30*('Plan mensual'!O25+IF(parametros_manuales!$H$30="Todos",'Plan mensual'!O29,0))+parametros_manuales!$F$30*('Plan mensual'!O26+IF(parametros_manuales!$H$30="Todos",'Plan mensual'!O30,0))+parametros_manuales!$G$30*('Plan mensual'!O27+IF(parametros_manuales!$H$30="Todos",'Plan mensual'!O31,0)))*parametros_manuales!$I$30*parametros_manuales!$J$30</f>
        <v>2682.29</v>
      </c>
      <c r="N69" s="8">
        <f t="shared" si="7"/>
        <v>23065</v>
      </c>
      <c r="O69" s="8">
        <f t="shared" si="8"/>
        <v>2682.29</v>
      </c>
      <c r="P69" s="27">
        <f>O69/(parametros_manuales!$B$7)</f>
        <v>17.88193333</v>
      </c>
      <c r="Q69" s="4" t="str">
        <f t="shared" si="9"/>
        <v>Dic</v>
      </c>
    </row>
    <row r="70" ht="14.25" customHeight="1">
      <c r="A70" s="4" t="str">
        <f>parametros_manuales!$B$31</f>
        <v>Soldadura circunferencial de cúpula y fondo</v>
      </c>
      <c r="B70" s="8">
        <f>(parametros_manuales!$D$31*('Plan mensual'!D24+IF(parametros_manuales!$H$31="Todos",'Plan mensual'!D28,0))+parametros_manuales!$E$31*('Plan mensual'!D25+IF(parametros_manuales!$H$31="Todos",'Plan mensual'!D29,0))+parametros_manuales!$F$31*('Plan mensual'!D26+IF(parametros_manuales!$H$31="Todos",'Plan mensual'!D30,0))+parametros_manuales!$G$31*('Plan mensual'!D27+IF(parametros_manuales!$H$31="Todos",'Plan mensual'!D31,0)))*parametros_manuales!$I$31*parametros_manuales!$J$31</f>
        <v>2596.78</v>
      </c>
      <c r="C70" s="8">
        <f>(parametros_manuales!$D$31*('Plan mensual'!E24+IF(parametros_manuales!$H$31="Todos",'Plan mensual'!E28,0))+parametros_manuales!$E$31*('Plan mensual'!E25+IF(parametros_manuales!$H$31="Todos",'Plan mensual'!E29,0))+parametros_manuales!$F$31*('Plan mensual'!E26+IF(parametros_manuales!$H$31="Todos",'Plan mensual'!E30,0))+parametros_manuales!$G$31*('Plan mensual'!E27+IF(parametros_manuales!$H$31="Todos",'Plan mensual'!E31,0)))*parametros_manuales!$I$31*parametros_manuales!$J$31</f>
        <v>1990.34</v>
      </c>
      <c r="D70" s="8">
        <f>(parametros_manuales!$D$31*('Plan mensual'!F24+IF(parametros_manuales!$H$31="Todos",'Plan mensual'!F28,0))+parametros_manuales!$E$31*('Plan mensual'!F25+IF(parametros_manuales!$H$31="Todos",'Plan mensual'!F29,0))+parametros_manuales!$F$31*('Plan mensual'!F26+IF(parametros_manuales!$H$31="Todos",'Plan mensual'!F30,0))+parametros_manuales!$G$31*('Plan mensual'!F27+IF(parametros_manuales!$H$31="Todos",'Plan mensual'!F31,0)))*parametros_manuales!$I$31*parametros_manuales!$J$31</f>
        <v>1887.955</v>
      </c>
      <c r="E70" s="8">
        <f>(parametros_manuales!$D$31*('Plan mensual'!G24+IF(parametros_manuales!$H$31="Todos",'Plan mensual'!G28,0))+parametros_manuales!$E$31*('Plan mensual'!G25+IF(parametros_manuales!$H$31="Todos",'Plan mensual'!G29,0))+parametros_manuales!$F$31*('Plan mensual'!G26+IF(parametros_manuales!$H$31="Todos",'Plan mensual'!G30,0))+parametros_manuales!$G$31*('Plan mensual'!G27+IF(parametros_manuales!$H$31="Todos",'Plan mensual'!G31,0)))*parametros_manuales!$I$31*parametros_manuales!$J$31</f>
        <v>1815.385</v>
      </c>
      <c r="F70" s="8">
        <f>(parametros_manuales!$D$31*('Plan mensual'!H24+IF(parametros_manuales!$H$31="Todos",'Plan mensual'!H28,0))+parametros_manuales!$E$31*('Plan mensual'!H25+IF(parametros_manuales!$H$31="Todos",'Plan mensual'!H29,0))+parametros_manuales!$F$31*('Plan mensual'!H26+IF(parametros_manuales!$H$31="Todos",'Plan mensual'!H30,0))+parametros_manuales!$G$31*('Plan mensual'!H27+IF(parametros_manuales!$H$31="Todos",'Plan mensual'!H31,0)))*parametros_manuales!$I$31*parametros_manuales!$J$31</f>
        <v>1700.06</v>
      </c>
      <c r="G70" s="8">
        <f>(parametros_manuales!$D$31*('Plan mensual'!I24+IF(parametros_manuales!$H$31="Todos",'Plan mensual'!I28,0))+parametros_manuales!$E$31*('Plan mensual'!I25+IF(parametros_manuales!$H$31="Todos",'Plan mensual'!I29,0))+parametros_manuales!$F$31*('Plan mensual'!I26+IF(parametros_manuales!$H$31="Todos",'Plan mensual'!I30,0))+parametros_manuales!$G$31*('Plan mensual'!I27+IF(parametros_manuales!$H$31="Todos",'Plan mensual'!I31,0)))*parametros_manuales!$I$31*parametros_manuales!$J$31</f>
        <v>1657.305</v>
      </c>
      <c r="H70" s="8">
        <f>(parametros_manuales!$D$31*('Plan mensual'!J24+IF(parametros_manuales!$H$31="Todos",'Plan mensual'!J28,0))+parametros_manuales!$E$31*('Plan mensual'!J25+IF(parametros_manuales!$H$31="Todos",'Plan mensual'!J29,0))+parametros_manuales!$F$31*('Plan mensual'!J26+IF(parametros_manuales!$H$31="Todos",'Plan mensual'!J30,0))+parametros_manuales!$G$31*('Plan mensual'!J27+IF(parametros_manuales!$H$31="Todos",'Plan mensual'!J31,0)))*parametros_manuales!$I$31*parametros_manuales!$J$31</f>
        <v>1772.63</v>
      </c>
      <c r="I70" s="8">
        <f>(parametros_manuales!$D$31*('Plan mensual'!K24+IF(parametros_manuales!$H$31="Todos",'Plan mensual'!K28,0))+parametros_manuales!$E$31*('Plan mensual'!K25+IF(parametros_manuales!$H$31="Todos",'Plan mensual'!K29,0))+parametros_manuales!$F$31*('Plan mensual'!K26+IF(parametros_manuales!$H$31="Todos",'Plan mensual'!K30,0))+parametros_manuales!$G$31*('Plan mensual'!K27+IF(parametros_manuales!$H$31="Todos",'Plan mensual'!K31,0)))*parametros_manuales!$I$31*parametros_manuales!$J$31</f>
        <v>1772.63</v>
      </c>
      <c r="J70" s="8">
        <f>(parametros_manuales!$D$31*('Plan mensual'!L24+IF(parametros_manuales!$H$31="Todos",'Plan mensual'!L28,0))+parametros_manuales!$E$31*('Plan mensual'!L25+IF(parametros_manuales!$H$31="Todos",'Plan mensual'!L29,0))+parametros_manuales!$F$31*('Plan mensual'!L26+IF(parametros_manuales!$H$31="Todos",'Plan mensual'!L30,0))+parametros_manuales!$G$31*('Plan mensual'!L27+IF(parametros_manuales!$H$31="Todos",'Plan mensual'!L31,0)))*parametros_manuales!$I$31*parametros_manuales!$J$31</f>
        <v>1772.63</v>
      </c>
      <c r="K70" s="8">
        <f>(parametros_manuales!$D$31*('Plan mensual'!M24+IF(parametros_manuales!$H$31="Todos",'Plan mensual'!M28,0))+parametros_manuales!$E$31*('Plan mensual'!M25+IF(parametros_manuales!$H$31="Todos",'Plan mensual'!M29,0))+parametros_manuales!$F$31*('Plan mensual'!M26+IF(parametros_manuales!$H$31="Todos",'Plan mensual'!M30,0))+parametros_manuales!$G$31*('Plan mensual'!M27+IF(parametros_manuales!$H$31="Todos",'Plan mensual'!M31,0)))*parametros_manuales!$I$31*parametros_manuales!$J$31</f>
        <v>1729.875</v>
      </c>
      <c r="L70" s="8">
        <f>(parametros_manuales!$D$31*('Plan mensual'!N24+IF(parametros_manuales!$H$31="Todos",'Plan mensual'!N28,0))+parametros_manuales!$E$31*('Plan mensual'!N25+IF(parametros_manuales!$H$31="Todos",'Plan mensual'!N29,0))+parametros_manuales!$F$31*('Plan mensual'!N26+IF(parametros_manuales!$H$31="Todos",'Plan mensual'!N30,0))+parametros_manuales!$G$31*('Plan mensual'!N27+IF(parametros_manuales!$H$31="Todos",'Plan mensual'!N31,0)))*parametros_manuales!$I$31*parametros_manuales!$J$31</f>
        <v>1687.12</v>
      </c>
      <c r="M70" s="8">
        <f>(parametros_manuales!$D$31*('Plan mensual'!O24+IF(parametros_manuales!$H$31="Todos",'Plan mensual'!O28,0))+parametros_manuales!$E$31*('Plan mensual'!O25+IF(parametros_manuales!$H$31="Todos",'Plan mensual'!O29,0))+parametros_manuales!$F$31*('Plan mensual'!O26+IF(parametros_manuales!$H$31="Todos",'Plan mensual'!O30,0))+parametros_manuales!$G$31*('Plan mensual'!O27+IF(parametros_manuales!$H$31="Todos",'Plan mensual'!O31,0)))*parametros_manuales!$I$31*parametros_manuales!$J$31</f>
        <v>2682.29</v>
      </c>
      <c r="N70" s="8">
        <f t="shared" si="7"/>
        <v>23065</v>
      </c>
      <c r="O70" s="8">
        <f t="shared" si="8"/>
        <v>2682.29</v>
      </c>
      <c r="P70" s="27">
        <f>O70/(parametros_manuales!$B$7)</f>
        <v>17.88193333</v>
      </c>
      <c r="Q70" s="4" t="str">
        <f t="shared" si="9"/>
        <v>Dic</v>
      </c>
    </row>
    <row r="71" ht="14.25" customHeight="1">
      <c r="A71" s="4" t="str">
        <f>parametros_manuales!$B$32</f>
        <v>Control de calidad — Espesor</v>
      </c>
      <c r="B71" s="8">
        <f>(parametros_manuales!$D$32*('Plan mensual'!D24+IF(parametros_manuales!$H$32="Todos",'Plan mensual'!D28,0))+parametros_manuales!$E$32*('Plan mensual'!D25+IF(parametros_manuales!$H$32="Todos",'Plan mensual'!D29,0))+parametros_manuales!$F$32*('Plan mensual'!D26+IF(parametros_manuales!$H$32="Todos",'Plan mensual'!D30,0))+parametros_manuales!$G$32*('Plan mensual'!D27+IF(parametros_manuales!$H$32="Todos",'Plan mensual'!D31,0)))*parametros_manuales!$I$32*parametros_manuales!$J$32</f>
        <v>51.9356</v>
      </c>
      <c r="C71" s="8">
        <f>(parametros_manuales!$D$32*('Plan mensual'!E24+IF(parametros_manuales!$H$32="Todos",'Plan mensual'!E28,0))+parametros_manuales!$E$32*('Plan mensual'!E25+IF(parametros_manuales!$H$32="Todos",'Plan mensual'!E29,0))+parametros_manuales!$F$32*('Plan mensual'!E26+IF(parametros_manuales!$H$32="Todos",'Plan mensual'!E30,0))+parametros_manuales!$G$32*('Plan mensual'!E27+IF(parametros_manuales!$H$32="Todos",'Plan mensual'!E31,0)))*parametros_manuales!$I$32*parametros_manuales!$J$32</f>
        <v>39.8068</v>
      </c>
      <c r="D71" s="8">
        <f>(parametros_manuales!$D$32*('Plan mensual'!F24+IF(parametros_manuales!$H$32="Todos",'Plan mensual'!F28,0))+parametros_manuales!$E$32*('Plan mensual'!F25+IF(parametros_manuales!$H$32="Todos",'Plan mensual'!F29,0))+parametros_manuales!$F$32*('Plan mensual'!F26+IF(parametros_manuales!$H$32="Todos",'Plan mensual'!F30,0))+parametros_manuales!$G$32*('Plan mensual'!F27+IF(parametros_manuales!$H$32="Todos",'Plan mensual'!F31,0)))*parametros_manuales!$I$32*parametros_manuales!$J$32</f>
        <v>37.7591</v>
      </c>
      <c r="E71" s="8">
        <f>(parametros_manuales!$D$32*('Plan mensual'!G24+IF(parametros_manuales!$H$32="Todos",'Plan mensual'!G28,0))+parametros_manuales!$E$32*('Plan mensual'!G25+IF(parametros_manuales!$H$32="Todos",'Plan mensual'!G29,0))+parametros_manuales!$F$32*('Plan mensual'!G26+IF(parametros_manuales!$H$32="Todos",'Plan mensual'!G30,0))+parametros_manuales!$G$32*('Plan mensual'!G27+IF(parametros_manuales!$H$32="Todos",'Plan mensual'!G31,0)))*parametros_manuales!$I$32*parametros_manuales!$J$32</f>
        <v>36.3077</v>
      </c>
      <c r="F71" s="8">
        <f>(parametros_manuales!$D$32*('Plan mensual'!H24+IF(parametros_manuales!$H$32="Todos",'Plan mensual'!H28,0))+parametros_manuales!$E$32*('Plan mensual'!H25+IF(parametros_manuales!$H$32="Todos",'Plan mensual'!H29,0))+parametros_manuales!$F$32*('Plan mensual'!H26+IF(parametros_manuales!$H$32="Todos",'Plan mensual'!H30,0))+parametros_manuales!$G$32*('Plan mensual'!H27+IF(parametros_manuales!$H$32="Todos",'Plan mensual'!H31,0)))*parametros_manuales!$I$32*parametros_manuales!$J$32</f>
        <v>34.0012</v>
      </c>
      <c r="G71" s="8">
        <f>(parametros_manuales!$D$32*('Plan mensual'!I24+IF(parametros_manuales!$H$32="Todos",'Plan mensual'!I28,0))+parametros_manuales!$E$32*('Plan mensual'!I25+IF(parametros_manuales!$H$32="Todos",'Plan mensual'!I29,0))+parametros_manuales!$F$32*('Plan mensual'!I26+IF(parametros_manuales!$H$32="Todos",'Plan mensual'!I30,0))+parametros_manuales!$G$32*('Plan mensual'!I27+IF(parametros_manuales!$H$32="Todos",'Plan mensual'!I31,0)))*parametros_manuales!$I$32*parametros_manuales!$J$32</f>
        <v>33.1461</v>
      </c>
      <c r="H71" s="8">
        <f>(parametros_manuales!$D$32*('Plan mensual'!J24+IF(parametros_manuales!$H$32="Todos",'Plan mensual'!J28,0))+parametros_manuales!$E$32*('Plan mensual'!J25+IF(parametros_manuales!$H$32="Todos",'Plan mensual'!J29,0))+parametros_manuales!$F$32*('Plan mensual'!J26+IF(parametros_manuales!$H$32="Todos",'Plan mensual'!J30,0))+parametros_manuales!$G$32*('Plan mensual'!J27+IF(parametros_manuales!$H$32="Todos",'Plan mensual'!J31,0)))*parametros_manuales!$I$32*parametros_manuales!$J$32</f>
        <v>35.4526</v>
      </c>
      <c r="I71" s="8">
        <f>(parametros_manuales!$D$32*('Plan mensual'!K24+IF(parametros_manuales!$H$32="Todos",'Plan mensual'!K28,0))+parametros_manuales!$E$32*('Plan mensual'!K25+IF(parametros_manuales!$H$32="Todos",'Plan mensual'!K29,0))+parametros_manuales!$F$32*('Plan mensual'!K26+IF(parametros_manuales!$H$32="Todos",'Plan mensual'!K30,0))+parametros_manuales!$G$32*('Plan mensual'!K27+IF(parametros_manuales!$H$32="Todos",'Plan mensual'!K31,0)))*parametros_manuales!$I$32*parametros_manuales!$J$32</f>
        <v>35.4526</v>
      </c>
      <c r="J71" s="8">
        <f>(parametros_manuales!$D$32*('Plan mensual'!L24+IF(parametros_manuales!$H$32="Todos",'Plan mensual'!L28,0))+parametros_manuales!$E$32*('Plan mensual'!L25+IF(parametros_manuales!$H$32="Todos",'Plan mensual'!L29,0))+parametros_manuales!$F$32*('Plan mensual'!L26+IF(parametros_manuales!$H$32="Todos",'Plan mensual'!L30,0))+parametros_manuales!$G$32*('Plan mensual'!L27+IF(parametros_manuales!$H$32="Todos",'Plan mensual'!L31,0)))*parametros_manuales!$I$32*parametros_manuales!$J$32</f>
        <v>35.4526</v>
      </c>
      <c r="K71" s="8">
        <f>(parametros_manuales!$D$32*('Plan mensual'!M24+IF(parametros_manuales!$H$32="Todos",'Plan mensual'!M28,0))+parametros_manuales!$E$32*('Plan mensual'!M25+IF(parametros_manuales!$H$32="Todos",'Plan mensual'!M29,0))+parametros_manuales!$F$32*('Plan mensual'!M26+IF(parametros_manuales!$H$32="Todos",'Plan mensual'!M30,0))+parametros_manuales!$G$32*('Plan mensual'!M27+IF(parametros_manuales!$H$32="Todos",'Plan mensual'!M31,0)))*parametros_manuales!$I$32*parametros_manuales!$J$32</f>
        <v>34.5975</v>
      </c>
      <c r="L71" s="8">
        <f>(parametros_manuales!$D$32*('Plan mensual'!N24+IF(parametros_manuales!$H$32="Todos",'Plan mensual'!N28,0))+parametros_manuales!$E$32*('Plan mensual'!N25+IF(parametros_manuales!$H$32="Todos",'Plan mensual'!N29,0))+parametros_manuales!$F$32*('Plan mensual'!N26+IF(parametros_manuales!$H$32="Todos",'Plan mensual'!N30,0))+parametros_manuales!$G$32*('Plan mensual'!N27+IF(parametros_manuales!$H$32="Todos",'Plan mensual'!N31,0)))*parametros_manuales!$I$32*parametros_manuales!$J$32</f>
        <v>33.7424</v>
      </c>
      <c r="M71" s="8">
        <f>(parametros_manuales!$D$32*('Plan mensual'!O24+IF(parametros_manuales!$H$32="Todos",'Plan mensual'!O28,0))+parametros_manuales!$E$32*('Plan mensual'!O25+IF(parametros_manuales!$H$32="Todos",'Plan mensual'!O29,0))+parametros_manuales!$F$32*('Plan mensual'!O26+IF(parametros_manuales!$H$32="Todos",'Plan mensual'!O30,0))+parametros_manuales!$G$32*('Plan mensual'!O27+IF(parametros_manuales!$H$32="Todos",'Plan mensual'!O31,0)))*parametros_manuales!$I$32*parametros_manuales!$J$32</f>
        <v>53.6458</v>
      </c>
      <c r="N71" s="8">
        <f t="shared" si="7"/>
        <v>461.3</v>
      </c>
      <c r="O71" s="8">
        <f t="shared" si="8"/>
        <v>53.6458</v>
      </c>
      <c r="P71" s="27">
        <f>O71/(parametros_manuales!$B$7)</f>
        <v>0.3576386667</v>
      </c>
      <c r="Q71" s="4" t="str">
        <f t="shared" si="9"/>
        <v>Dic</v>
      </c>
    </row>
    <row r="72" ht="14.25" customHeight="1">
      <c r="A72" s="4" t="str">
        <f>parametros_manuales!$B$33</f>
        <v>Prueba hidráulica</v>
      </c>
      <c r="B72" s="8">
        <f>(parametros_manuales!$D$33*('Plan mensual'!D24+IF(parametros_manuales!$H$33="Todos",'Plan mensual'!D28,0))+parametros_manuales!$E$33*('Plan mensual'!D25+IF(parametros_manuales!$H$33="Todos",'Plan mensual'!D29,0))+parametros_manuales!$F$33*('Plan mensual'!D26+IF(parametros_manuales!$H$33="Todos",'Plan mensual'!D30,0))+parametros_manuales!$G$33*('Plan mensual'!D27+IF(parametros_manuales!$H$33="Todos",'Plan mensual'!D31,0)))*parametros_manuales!$I$33*parametros_manuales!$J$33</f>
        <v>2596.78</v>
      </c>
      <c r="C72" s="8">
        <f>(parametros_manuales!$D$33*('Plan mensual'!E24+IF(parametros_manuales!$H$33="Todos",'Plan mensual'!E28,0))+parametros_manuales!$E$33*('Plan mensual'!E25+IF(parametros_manuales!$H$33="Todos",'Plan mensual'!E29,0))+parametros_manuales!$F$33*('Plan mensual'!E26+IF(parametros_manuales!$H$33="Todos",'Plan mensual'!E30,0))+parametros_manuales!$G$33*('Plan mensual'!E27+IF(parametros_manuales!$H$33="Todos",'Plan mensual'!E31,0)))*parametros_manuales!$I$33*parametros_manuales!$J$33</f>
        <v>1990.34</v>
      </c>
      <c r="D72" s="8">
        <f>(parametros_manuales!$D$33*('Plan mensual'!F24+IF(parametros_manuales!$H$33="Todos",'Plan mensual'!F28,0))+parametros_manuales!$E$33*('Plan mensual'!F25+IF(parametros_manuales!$H$33="Todos",'Plan mensual'!F29,0))+parametros_manuales!$F$33*('Plan mensual'!F26+IF(parametros_manuales!$H$33="Todos",'Plan mensual'!F30,0))+parametros_manuales!$G$33*('Plan mensual'!F27+IF(parametros_manuales!$H$33="Todos",'Plan mensual'!F31,0)))*parametros_manuales!$I$33*parametros_manuales!$J$33</f>
        <v>1887.955</v>
      </c>
      <c r="E72" s="8">
        <f>(parametros_manuales!$D$33*('Plan mensual'!G24+IF(parametros_manuales!$H$33="Todos",'Plan mensual'!G28,0))+parametros_manuales!$E$33*('Plan mensual'!G25+IF(parametros_manuales!$H$33="Todos",'Plan mensual'!G29,0))+parametros_manuales!$F$33*('Plan mensual'!G26+IF(parametros_manuales!$H$33="Todos",'Plan mensual'!G30,0))+parametros_manuales!$G$33*('Plan mensual'!G27+IF(parametros_manuales!$H$33="Todos",'Plan mensual'!G31,0)))*parametros_manuales!$I$33*parametros_manuales!$J$33</f>
        <v>1815.385</v>
      </c>
      <c r="F72" s="8">
        <f>(parametros_manuales!$D$33*('Plan mensual'!H24+IF(parametros_manuales!$H$33="Todos",'Plan mensual'!H28,0))+parametros_manuales!$E$33*('Plan mensual'!H25+IF(parametros_manuales!$H$33="Todos",'Plan mensual'!H29,0))+parametros_manuales!$F$33*('Plan mensual'!H26+IF(parametros_manuales!$H$33="Todos",'Plan mensual'!H30,0))+parametros_manuales!$G$33*('Plan mensual'!H27+IF(parametros_manuales!$H$33="Todos",'Plan mensual'!H31,0)))*parametros_manuales!$I$33*parametros_manuales!$J$33</f>
        <v>1700.06</v>
      </c>
      <c r="G72" s="8">
        <f>(parametros_manuales!$D$33*('Plan mensual'!I24+IF(parametros_manuales!$H$33="Todos",'Plan mensual'!I28,0))+parametros_manuales!$E$33*('Plan mensual'!I25+IF(parametros_manuales!$H$33="Todos",'Plan mensual'!I29,0))+parametros_manuales!$F$33*('Plan mensual'!I26+IF(parametros_manuales!$H$33="Todos",'Plan mensual'!I30,0))+parametros_manuales!$G$33*('Plan mensual'!I27+IF(parametros_manuales!$H$33="Todos",'Plan mensual'!I31,0)))*parametros_manuales!$I$33*parametros_manuales!$J$33</f>
        <v>1657.305</v>
      </c>
      <c r="H72" s="8">
        <f>(parametros_manuales!$D$33*('Plan mensual'!J24+IF(parametros_manuales!$H$33="Todos",'Plan mensual'!J28,0))+parametros_manuales!$E$33*('Plan mensual'!J25+IF(parametros_manuales!$H$33="Todos",'Plan mensual'!J29,0))+parametros_manuales!$F$33*('Plan mensual'!J26+IF(parametros_manuales!$H$33="Todos",'Plan mensual'!J30,0))+parametros_manuales!$G$33*('Plan mensual'!J27+IF(parametros_manuales!$H$33="Todos",'Plan mensual'!J31,0)))*parametros_manuales!$I$33*parametros_manuales!$J$33</f>
        <v>1772.63</v>
      </c>
      <c r="I72" s="8">
        <f>(parametros_manuales!$D$33*('Plan mensual'!K24+IF(parametros_manuales!$H$33="Todos",'Plan mensual'!K28,0))+parametros_manuales!$E$33*('Plan mensual'!K25+IF(parametros_manuales!$H$33="Todos",'Plan mensual'!K29,0))+parametros_manuales!$F$33*('Plan mensual'!K26+IF(parametros_manuales!$H$33="Todos",'Plan mensual'!K30,0))+parametros_manuales!$G$33*('Plan mensual'!K27+IF(parametros_manuales!$H$33="Todos",'Plan mensual'!K31,0)))*parametros_manuales!$I$33*parametros_manuales!$J$33</f>
        <v>1772.63</v>
      </c>
      <c r="J72" s="8">
        <f>(parametros_manuales!$D$33*('Plan mensual'!L24+IF(parametros_manuales!$H$33="Todos",'Plan mensual'!L28,0))+parametros_manuales!$E$33*('Plan mensual'!L25+IF(parametros_manuales!$H$33="Todos",'Plan mensual'!L29,0))+parametros_manuales!$F$33*('Plan mensual'!L26+IF(parametros_manuales!$H$33="Todos",'Plan mensual'!L30,0))+parametros_manuales!$G$33*('Plan mensual'!L27+IF(parametros_manuales!$H$33="Todos",'Plan mensual'!L31,0)))*parametros_manuales!$I$33*parametros_manuales!$J$33</f>
        <v>1772.63</v>
      </c>
      <c r="K72" s="8">
        <f>(parametros_manuales!$D$33*('Plan mensual'!M24+IF(parametros_manuales!$H$33="Todos",'Plan mensual'!M28,0))+parametros_manuales!$E$33*('Plan mensual'!M25+IF(parametros_manuales!$H$33="Todos",'Plan mensual'!M29,0))+parametros_manuales!$F$33*('Plan mensual'!M26+IF(parametros_manuales!$H$33="Todos",'Plan mensual'!M30,0))+parametros_manuales!$G$33*('Plan mensual'!M27+IF(parametros_manuales!$H$33="Todos",'Plan mensual'!M31,0)))*parametros_manuales!$I$33*parametros_manuales!$J$33</f>
        <v>1729.875</v>
      </c>
      <c r="L72" s="8">
        <f>(parametros_manuales!$D$33*('Plan mensual'!N24+IF(parametros_manuales!$H$33="Todos",'Plan mensual'!N28,0))+parametros_manuales!$E$33*('Plan mensual'!N25+IF(parametros_manuales!$H$33="Todos",'Plan mensual'!N29,0))+parametros_manuales!$F$33*('Plan mensual'!N26+IF(parametros_manuales!$H$33="Todos",'Plan mensual'!N30,0))+parametros_manuales!$G$33*('Plan mensual'!N27+IF(parametros_manuales!$H$33="Todos",'Plan mensual'!N31,0)))*parametros_manuales!$I$33*parametros_manuales!$J$33</f>
        <v>1687.12</v>
      </c>
      <c r="M72" s="8">
        <f>(parametros_manuales!$D$33*('Plan mensual'!O24+IF(parametros_manuales!$H$33="Todos",'Plan mensual'!O28,0))+parametros_manuales!$E$33*('Plan mensual'!O25+IF(parametros_manuales!$H$33="Todos",'Plan mensual'!O29,0))+parametros_manuales!$F$33*('Plan mensual'!O26+IF(parametros_manuales!$H$33="Todos",'Plan mensual'!O30,0))+parametros_manuales!$G$33*('Plan mensual'!O27+IF(parametros_manuales!$H$33="Todos",'Plan mensual'!O31,0)))*parametros_manuales!$I$33*parametros_manuales!$J$33</f>
        <v>2682.29</v>
      </c>
      <c r="N72" s="8">
        <f t="shared" si="7"/>
        <v>23065</v>
      </c>
      <c r="O72" s="8">
        <f t="shared" si="8"/>
        <v>2682.29</v>
      </c>
      <c r="P72" s="27">
        <f>O72/(parametros_manuales!$B$7)</f>
        <v>17.88193333</v>
      </c>
      <c r="Q72" s="4" t="str">
        <f t="shared" si="9"/>
        <v>Dic</v>
      </c>
    </row>
    <row r="73" ht="14.25" customHeight="1">
      <c r="A73" s="4" t="str">
        <f>parametros_manuales!$B$34</f>
        <v>Secado</v>
      </c>
      <c r="B73" s="8">
        <f>(parametros_manuales!$D$34*('Plan mensual'!D24+IF(parametros_manuales!$H$34="Todos",'Plan mensual'!D28,0))+parametros_manuales!$E$34*('Plan mensual'!D25+IF(parametros_manuales!$H$34="Todos",'Plan mensual'!D29,0))+parametros_manuales!$F$34*('Plan mensual'!D26+IF(parametros_manuales!$H$34="Todos",'Plan mensual'!D30,0))+parametros_manuales!$G$34*('Plan mensual'!D27+IF(parametros_manuales!$H$34="Todos",'Plan mensual'!D31,0)))*parametros_manuales!$I$34*parametros_manuales!$J$34</f>
        <v>2596.78</v>
      </c>
      <c r="C73" s="8">
        <f>(parametros_manuales!$D$34*('Plan mensual'!E24+IF(parametros_manuales!$H$34="Todos",'Plan mensual'!E28,0))+parametros_manuales!$E$34*('Plan mensual'!E25+IF(parametros_manuales!$H$34="Todos",'Plan mensual'!E29,0))+parametros_manuales!$F$34*('Plan mensual'!E26+IF(parametros_manuales!$H$34="Todos",'Plan mensual'!E30,0))+parametros_manuales!$G$34*('Plan mensual'!E27+IF(parametros_manuales!$H$34="Todos",'Plan mensual'!E31,0)))*parametros_manuales!$I$34*parametros_manuales!$J$34</f>
        <v>1990.34</v>
      </c>
      <c r="D73" s="8">
        <f>(parametros_manuales!$D$34*('Plan mensual'!F24+IF(parametros_manuales!$H$34="Todos",'Plan mensual'!F28,0))+parametros_manuales!$E$34*('Plan mensual'!F25+IF(parametros_manuales!$H$34="Todos",'Plan mensual'!F29,0))+parametros_manuales!$F$34*('Plan mensual'!F26+IF(parametros_manuales!$H$34="Todos",'Plan mensual'!F30,0))+parametros_manuales!$G$34*('Plan mensual'!F27+IF(parametros_manuales!$H$34="Todos",'Plan mensual'!F31,0)))*parametros_manuales!$I$34*parametros_manuales!$J$34</f>
        <v>1887.955</v>
      </c>
      <c r="E73" s="8">
        <f>(parametros_manuales!$D$34*('Plan mensual'!G24+IF(parametros_manuales!$H$34="Todos",'Plan mensual'!G28,0))+parametros_manuales!$E$34*('Plan mensual'!G25+IF(parametros_manuales!$H$34="Todos",'Plan mensual'!G29,0))+parametros_manuales!$F$34*('Plan mensual'!G26+IF(parametros_manuales!$H$34="Todos",'Plan mensual'!G30,0))+parametros_manuales!$G$34*('Plan mensual'!G27+IF(parametros_manuales!$H$34="Todos",'Plan mensual'!G31,0)))*parametros_manuales!$I$34*parametros_manuales!$J$34</f>
        <v>1815.385</v>
      </c>
      <c r="F73" s="8">
        <f>(parametros_manuales!$D$34*('Plan mensual'!H24+IF(parametros_manuales!$H$34="Todos",'Plan mensual'!H28,0))+parametros_manuales!$E$34*('Plan mensual'!H25+IF(parametros_manuales!$H$34="Todos",'Plan mensual'!H29,0))+parametros_manuales!$F$34*('Plan mensual'!H26+IF(parametros_manuales!$H$34="Todos",'Plan mensual'!H30,0))+parametros_manuales!$G$34*('Plan mensual'!H27+IF(parametros_manuales!$H$34="Todos",'Plan mensual'!H31,0)))*parametros_manuales!$I$34*parametros_manuales!$J$34</f>
        <v>1700.06</v>
      </c>
      <c r="G73" s="8">
        <f>(parametros_manuales!$D$34*('Plan mensual'!I24+IF(parametros_manuales!$H$34="Todos",'Plan mensual'!I28,0))+parametros_manuales!$E$34*('Plan mensual'!I25+IF(parametros_manuales!$H$34="Todos",'Plan mensual'!I29,0))+parametros_manuales!$F$34*('Plan mensual'!I26+IF(parametros_manuales!$H$34="Todos",'Plan mensual'!I30,0))+parametros_manuales!$G$34*('Plan mensual'!I27+IF(parametros_manuales!$H$34="Todos",'Plan mensual'!I31,0)))*parametros_manuales!$I$34*parametros_manuales!$J$34</f>
        <v>1657.305</v>
      </c>
      <c r="H73" s="8">
        <f>(parametros_manuales!$D$34*('Plan mensual'!J24+IF(parametros_manuales!$H$34="Todos",'Plan mensual'!J28,0))+parametros_manuales!$E$34*('Plan mensual'!J25+IF(parametros_manuales!$H$34="Todos",'Plan mensual'!J29,0))+parametros_manuales!$F$34*('Plan mensual'!J26+IF(parametros_manuales!$H$34="Todos",'Plan mensual'!J30,0))+parametros_manuales!$G$34*('Plan mensual'!J27+IF(parametros_manuales!$H$34="Todos",'Plan mensual'!J31,0)))*parametros_manuales!$I$34*parametros_manuales!$J$34</f>
        <v>1772.63</v>
      </c>
      <c r="I73" s="8">
        <f>(parametros_manuales!$D$34*('Plan mensual'!K24+IF(parametros_manuales!$H$34="Todos",'Plan mensual'!K28,0))+parametros_manuales!$E$34*('Plan mensual'!K25+IF(parametros_manuales!$H$34="Todos",'Plan mensual'!K29,0))+parametros_manuales!$F$34*('Plan mensual'!K26+IF(parametros_manuales!$H$34="Todos",'Plan mensual'!K30,0))+parametros_manuales!$G$34*('Plan mensual'!K27+IF(parametros_manuales!$H$34="Todos",'Plan mensual'!K31,0)))*parametros_manuales!$I$34*parametros_manuales!$J$34</f>
        <v>1772.63</v>
      </c>
      <c r="J73" s="8">
        <f>(parametros_manuales!$D$34*('Plan mensual'!L24+IF(parametros_manuales!$H$34="Todos",'Plan mensual'!L28,0))+parametros_manuales!$E$34*('Plan mensual'!L25+IF(parametros_manuales!$H$34="Todos",'Plan mensual'!L29,0))+parametros_manuales!$F$34*('Plan mensual'!L26+IF(parametros_manuales!$H$34="Todos",'Plan mensual'!L30,0))+parametros_manuales!$G$34*('Plan mensual'!L27+IF(parametros_manuales!$H$34="Todos",'Plan mensual'!L31,0)))*parametros_manuales!$I$34*parametros_manuales!$J$34</f>
        <v>1772.63</v>
      </c>
      <c r="K73" s="8">
        <f>(parametros_manuales!$D$34*('Plan mensual'!M24+IF(parametros_manuales!$H$34="Todos",'Plan mensual'!M28,0))+parametros_manuales!$E$34*('Plan mensual'!M25+IF(parametros_manuales!$H$34="Todos",'Plan mensual'!M29,0))+parametros_manuales!$F$34*('Plan mensual'!M26+IF(parametros_manuales!$H$34="Todos",'Plan mensual'!M30,0))+parametros_manuales!$G$34*('Plan mensual'!M27+IF(parametros_manuales!$H$34="Todos",'Plan mensual'!M31,0)))*parametros_manuales!$I$34*parametros_manuales!$J$34</f>
        <v>1729.875</v>
      </c>
      <c r="L73" s="8">
        <f>(parametros_manuales!$D$34*('Plan mensual'!N24+IF(parametros_manuales!$H$34="Todos",'Plan mensual'!N28,0))+parametros_manuales!$E$34*('Plan mensual'!N25+IF(parametros_manuales!$H$34="Todos",'Plan mensual'!N29,0))+parametros_manuales!$F$34*('Plan mensual'!N26+IF(parametros_manuales!$H$34="Todos",'Plan mensual'!N30,0))+parametros_manuales!$G$34*('Plan mensual'!N27+IF(parametros_manuales!$H$34="Todos",'Plan mensual'!N31,0)))*parametros_manuales!$I$34*parametros_manuales!$J$34</f>
        <v>1687.12</v>
      </c>
      <c r="M73" s="8">
        <f>(parametros_manuales!$D$34*('Plan mensual'!O24+IF(parametros_manuales!$H$34="Todos",'Plan mensual'!O28,0))+parametros_manuales!$E$34*('Plan mensual'!O25+IF(parametros_manuales!$H$34="Todos",'Plan mensual'!O29,0))+parametros_manuales!$F$34*('Plan mensual'!O26+IF(parametros_manuales!$H$34="Todos",'Plan mensual'!O30,0))+parametros_manuales!$G$34*('Plan mensual'!O27+IF(parametros_manuales!$H$34="Todos",'Plan mensual'!O31,0)))*parametros_manuales!$I$34*parametros_manuales!$J$34</f>
        <v>2682.29</v>
      </c>
      <c r="N73" s="8">
        <f t="shared" si="7"/>
        <v>23065</v>
      </c>
      <c r="O73" s="8">
        <f t="shared" si="8"/>
        <v>2682.29</v>
      </c>
      <c r="P73" s="27">
        <f>O73/(parametros_manuales!$B$7)</f>
        <v>17.88193333</v>
      </c>
      <c r="Q73" s="4" t="str">
        <f t="shared" si="9"/>
        <v>Dic</v>
      </c>
    </row>
    <row r="74" ht="14.25" customHeight="1">
      <c r="A74" s="4" t="str">
        <f>parametros_manuales!$B$35</f>
        <v>Granallado</v>
      </c>
      <c r="B74" s="8">
        <f>(parametros_manuales!$D$35*('Plan mensual'!D24+IF(parametros_manuales!$H$35="Todos",'Plan mensual'!D28,0))+parametros_manuales!$E$35*('Plan mensual'!D25+IF(parametros_manuales!$H$35="Todos",'Plan mensual'!D29,0))+parametros_manuales!$F$35*('Plan mensual'!D26+IF(parametros_manuales!$H$35="Todos",'Plan mensual'!D30,0))+parametros_manuales!$G$35*('Plan mensual'!D27+IF(parametros_manuales!$H$35="Todos",'Plan mensual'!D31,0)))*parametros_manuales!$I$35*parametros_manuales!$J$35</f>
        <v>2596.78</v>
      </c>
      <c r="C74" s="8">
        <f>(parametros_manuales!$D$35*('Plan mensual'!E24+IF(parametros_manuales!$H$35="Todos",'Plan mensual'!E28,0))+parametros_manuales!$E$35*('Plan mensual'!E25+IF(parametros_manuales!$H$35="Todos",'Plan mensual'!E29,0))+parametros_manuales!$F$35*('Plan mensual'!E26+IF(parametros_manuales!$H$35="Todos",'Plan mensual'!E30,0))+parametros_manuales!$G$35*('Plan mensual'!E27+IF(parametros_manuales!$H$35="Todos",'Plan mensual'!E31,0)))*parametros_manuales!$I$35*parametros_manuales!$J$35</f>
        <v>1990.34</v>
      </c>
      <c r="D74" s="8">
        <f>(parametros_manuales!$D$35*('Plan mensual'!F24+IF(parametros_manuales!$H$35="Todos",'Plan mensual'!F28,0))+parametros_manuales!$E$35*('Plan mensual'!F25+IF(parametros_manuales!$H$35="Todos",'Plan mensual'!F29,0))+parametros_manuales!$F$35*('Plan mensual'!F26+IF(parametros_manuales!$H$35="Todos",'Plan mensual'!F30,0))+parametros_manuales!$G$35*('Plan mensual'!F27+IF(parametros_manuales!$H$35="Todos",'Plan mensual'!F31,0)))*parametros_manuales!$I$35*parametros_manuales!$J$35</f>
        <v>1887.955</v>
      </c>
      <c r="E74" s="8">
        <f>(parametros_manuales!$D$35*('Plan mensual'!G24+IF(parametros_manuales!$H$35="Todos",'Plan mensual'!G28,0))+parametros_manuales!$E$35*('Plan mensual'!G25+IF(parametros_manuales!$H$35="Todos",'Plan mensual'!G29,0))+parametros_manuales!$F$35*('Plan mensual'!G26+IF(parametros_manuales!$H$35="Todos",'Plan mensual'!G30,0))+parametros_manuales!$G$35*('Plan mensual'!G27+IF(parametros_manuales!$H$35="Todos",'Plan mensual'!G31,0)))*parametros_manuales!$I$35*parametros_manuales!$J$35</f>
        <v>1815.385</v>
      </c>
      <c r="F74" s="8">
        <f>(parametros_manuales!$D$35*('Plan mensual'!H24+IF(parametros_manuales!$H$35="Todos",'Plan mensual'!H28,0))+parametros_manuales!$E$35*('Plan mensual'!H25+IF(parametros_manuales!$H$35="Todos",'Plan mensual'!H29,0))+parametros_manuales!$F$35*('Plan mensual'!H26+IF(parametros_manuales!$H$35="Todos",'Plan mensual'!H30,0))+parametros_manuales!$G$35*('Plan mensual'!H27+IF(parametros_manuales!$H$35="Todos",'Plan mensual'!H31,0)))*parametros_manuales!$I$35*parametros_manuales!$J$35</f>
        <v>1700.06</v>
      </c>
      <c r="G74" s="8">
        <f>(parametros_manuales!$D$35*('Plan mensual'!I24+IF(parametros_manuales!$H$35="Todos",'Plan mensual'!I28,0))+parametros_manuales!$E$35*('Plan mensual'!I25+IF(parametros_manuales!$H$35="Todos",'Plan mensual'!I29,0))+parametros_manuales!$F$35*('Plan mensual'!I26+IF(parametros_manuales!$H$35="Todos",'Plan mensual'!I30,0))+parametros_manuales!$G$35*('Plan mensual'!I27+IF(parametros_manuales!$H$35="Todos",'Plan mensual'!I31,0)))*parametros_manuales!$I$35*parametros_manuales!$J$35</f>
        <v>1657.305</v>
      </c>
      <c r="H74" s="8">
        <f>(parametros_manuales!$D$35*('Plan mensual'!J24+IF(parametros_manuales!$H$35="Todos",'Plan mensual'!J28,0))+parametros_manuales!$E$35*('Plan mensual'!J25+IF(parametros_manuales!$H$35="Todos",'Plan mensual'!J29,0))+parametros_manuales!$F$35*('Plan mensual'!J26+IF(parametros_manuales!$H$35="Todos",'Plan mensual'!J30,0))+parametros_manuales!$G$35*('Plan mensual'!J27+IF(parametros_manuales!$H$35="Todos",'Plan mensual'!J31,0)))*parametros_manuales!$I$35*parametros_manuales!$J$35</f>
        <v>1772.63</v>
      </c>
      <c r="I74" s="8">
        <f>(parametros_manuales!$D$35*('Plan mensual'!K24+IF(parametros_manuales!$H$35="Todos",'Plan mensual'!K28,0))+parametros_manuales!$E$35*('Plan mensual'!K25+IF(parametros_manuales!$H$35="Todos",'Plan mensual'!K29,0))+parametros_manuales!$F$35*('Plan mensual'!K26+IF(parametros_manuales!$H$35="Todos",'Plan mensual'!K30,0))+parametros_manuales!$G$35*('Plan mensual'!K27+IF(parametros_manuales!$H$35="Todos",'Plan mensual'!K31,0)))*parametros_manuales!$I$35*parametros_manuales!$J$35</f>
        <v>1772.63</v>
      </c>
      <c r="J74" s="8">
        <f>(parametros_manuales!$D$35*('Plan mensual'!L24+IF(parametros_manuales!$H$35="Todos",'Plan mensual'!L28,0))+parametros_manuales!$E$35*('Plan mensual'!L25+IF(parametros_manuales!$H$35="Todos",'Plan mensual'!L29,0))+parametros_manuales!$F$35*('Plan mensual'!L26+IF(parametros_manuales!$H$35="Todos",'Plan mensual'!L30,0))+parametros_manuales!$G$35*('Plan mensual'!L27+IF(parametros_manuales!$H$35="Todos",'Plan mensual'!L31,0)))*parametros_manuales!$I$35*parametros_manuales!$J$35</f>
        <v>1772.63</v>
      </c>
      <c r="K74" s="8">
        <f>(parametros_manuales!$D$35*('Plan mensual'!M24+IF(parametros_manuales!$H$35="Todos",'Plan mensual'!M28,0))+parametros_manuales!$E$35*('Plan mensual'!M25+IF(parametros_manuales!$H$35="Todos",'Plan mensual'!M29,0))+parametros_manuales!$F$35*('Plan mensual'!M26+IF(parametros_manuales!$H$35="Todos",'Plan mensual'!M30,0))+parametros_manuales!$G$35*('Plan mensual'!M27+IF(parametros_manuales!$H$35="Todos",'Plan mensual'!M31,0)))*parametros_manuales!$I$35*parametros_manuales!$J$35</f>
        <v>1729.875</v>
      </c>
      <c r="L74" s="8">
        <f>(parametros_manuales!$D$35*('Plan mensual'!N24+IF(parametros_manuales!$H$35="Todos",'Plan mensual'!N28,0))+parametros_manuales!$E$35*('Plan mensual'!N25+IF(parametros_manuales!$H$35="Todos",'Plan mensual'!N29,0))+parametros_manuales!$F$35*('Plan mensual'!N26+IF(parametros_manuales!$H$35="Todos",'Plan mensual'!N30,0))+parametros_manuales!$G$35*('Plan mensual'!N27+IF(parametros_manuales!$H$35="Todos",'Plan mensual'!N31,0)))*parametros_manuales!$I$35*parametros_manuales!$J$35</f>
        <v>1687.12</v>
      </c>
      <c r="M74" s="8">
        <f>(parametros_manuales!$D$35*('Plan mensual'!O24+IF(parametros_manuales!$H$35="Todos",'Plan mensual'!O28,0))+parametros_manuales!$E$35*('Plan mensual'!O25+IF(parametros_manuales!$H$35="Todos",'Plan mensual'!O29,0))+parametros_manuales!$F$35*('Plan mensual'!O26+IF(parametros_manuales!$H$35="Todos",'Plan mensual'!O30,0))+parametros_manuales!$G$35*('Plan mensual'!O27+IF(parametros_manuales!$H$35="Todos",'Plan mensual'!O31,0)))*parametros_manuales!$I$35*parametros_manuales!$J$35</f>
        <v>2682.29</v>
      </c>
      <c r="N74" s="8">
        <f t="shared" si="7"/>
        <v>23065</v>
      </c>
      <c r="O74" s="8">
        <f t="shared" si="8"/>
        <v>2682.29</v>
      </c>
      <c r="P74" s="27">
        <f>O74/(parametros_manuales!$B$7)</f>
        <v>17.88193333</v>
      </c>
      <c r="Q74" s="4" t="str">
        <f t="shared" si="9"/>
        <v>Dic</v>
      </c>
    </row>
    <row r="75" ht="14.25" customHeight="1">
      <c r="A75" s="4" t="str">
        <f>parametros_manuales!$B$36</f>
        <v>Detección de defectos</v>
      </c>
      <c r="B75" s="8">
        <f>(parametros_manuales!$D$36*('Plan mensual'!D24+IF(parametros_manuales!$H$36="Todos",'Plan mensual'!D28,0))+parametros_manuales!$E$36*('Plan mensual'!D25+IF(parametros_manuales!$H$36="Todos",'Plan mensual'!D29,0))+parametros_manuales!$F$36*('Plan mensual'!D26+IF(parametros_manuales!$H$36="Todos",'Plan mensual'!D30,0))+parametros_manuales!$G$36*('Plan mensual'!D27+IF(parametros_manuales!$H$36="Todos",'Plan mensual'!D31,0)))*parametros_manuales!$I$36*parametros_manuales!$J$36</f>
        <v>2596.78</v>
      </c>
      <c r="C75" s="8">
        <f>(parametros_manuales!$D$36*('Plan mensual'!E24+IF(parametros_manuales!$H$36="Todos",'Plan mensual'!E28,0))+parametros_manuales!$E$36*('Plan mensual'!E25+IF(parametros_manuales!$H$36="Todos",'Plan mensual'!E29,0))+parametros_manuales!$F$36*('Plan mensual'!E26+IF(parametros_manuales!$H$36="Todos",'Plan mensual'!E30,0))+parametros_manuales!$G$36*('Plan mensual'!E27+IF(parametros_manuales!$H$36="Todos",'Plan mensual'!E31,0)))*parametros_manuales!$I$36*parametros_manuales!$J$36</f>
        <v>1990.34</v>
      </c>
      <c r="D75" s="8">
        <f>(parametros_manuales!$D$36*('Plan mensual'!F24+IF(parametros_manuales!$H$36="Todos",'Plan mensual'!F28,0))+parametros_manuales!$E$36*('Plan mensual'!F25+IF(parametros_manuales!$H$36="Todos",'Plan mensual'!F29,0))+parametros_manuales!$F$36*('Plan mensual'!F26+IF(parametros_manuales!$H$36="Todos",'Plan mensual'!F30,0))+parametros_manuales!$G$36*('Plan mensual'!F27+IF(parametros_manuales!$H$36="Todos",'Plan mensual'!F31,0)))*parametros_manuales!$I$36*parametros_manuales!$J$36</f>
        <v>1887.955</v>
      </c>
      <c r="E75" s="8">
        <f>(parametros_manuales!$D$36*('Plan mensual'!G24+IF(parametros_manuales!$H$36="Todos",'Plan mensual'!G28,0))+parametros_manuales!$E$36*('Plan mensual'!G25+IF(parametros_manuales!$H$36="Todos",'Plan mensual'!G29,0))+parametros_manuales!$F$36*('Plan mensual'!G26+IF(parametros_manuales!$H$36="Todos",'Plan mensual'!G30,0))+parametros_manuales!$G$36*('Plan mensual'!G27+IF(parametros_manuales!$H$36="Todos",'Plan mensual'!G31,0)))*parametros_manuales!$I$36*parametros_manuales!$J$36</f>
        <v>1815.385</v>
      </c>
      <c r="F75" s="8">
        <f>(parametros_manuales!$D$36*('Plan mensual'!H24+IF(parametros_manuales!$H$36="Todos",'Plan mensual'!H28,0))+parametros_manuales!$E$36*('Plan mensual'!H25+IF(parametros_manuales!$H$36="Todos",'Plan mensual'!H29,0))+parametros_manuales!$F$36*('Plan mensual'!H26+IF(parametros_manuales!$H$36="Todos",'Plan mensual'!H30,0))+parametros_manuales!$G$36*('Plan mensual'!H27+IF(parametros_manuales!$H$36="Todos",'Plan mensual'!H31,0)))*parametros_manuales!$I$36*parametros_manuales!$J$36</f>
        <v>1700.06</v>
      </c>
      <c r="G75" s="8">
        <f>(parametros_manuales!$D$36*('Plan mensual'!I24+IF(parametros_manuales!$H$36="Todos",'Plan mensual'!I28,0))+parametros_manuales!$E$36*('Plan mensual'!I25+IF(parametros_manuales!$H$36="Todos",'Plan mensual'!I29,0))+parametros_manuales!$F$36*('Plan mensual'!I26+IF(parametros_manuales!$H$36="Todos",'Plan mensual'!I30,0))+parametros_manuales!$G$36*('Plan mensual'!I27+IF(parametros_manuales!$H$36="Todos",'Plan mensual'!I31,0)))*parametros_manuales!$I$36*parametros_manuales!$J$36</f>
        <v>1657.305</v>
      </c>
      <c r="H75" s="8">
        <f>(parametros_manuales!$D$36*('Plan mensual'!J24+IF(parametros_manuales!$H$36="Todos",'Plan mensual'!J28,0))+parametros_manuales!$E$36*('Plan mensual'!J25+IF(parametros_manuales!$H$36="Todos",'Plan mensual'!J29,0))+parametros_manuales!$F$36*('Plan mensual'!J26+IF(parametros_manuales!$H$36="Todos",'Plan mensual'!J30,0))+parametros_manuales!$G$36*('Plan mensual'!J27+IF(parametros_manuales!$H$36="Todos",'Plan mensual'!J31,0)))*parametros_manuales!$I$36*parametros_manuales!$J$36</f>
        <v>1772.63</v>
      </c>
      <c r="I75" s="8">
        <f>(parametros_manuales!$D$36*('Plan mensual'!K24+IF(parametros_manuales!$H$36="Todos",'Plan mensual'!K28,0))+parametros_manuales!$E$36*('Plan mensual'!K25+IF(parametros_manuales!$H$36="Todos",'Plan mensual'!K29,0))+parametros_manuales!$F$36*('Plan mensual'!K26+IF(parametros_manuales!$H$36="Todos",'Plan mensual'!K30,0))+parametros_manuales!$G$36*('Plan mensual'!K27+IF(parametros_manuales!$H$36="Todos",'Plan mensual'!K31,0)))*parametros_manuales!$I$36*parametros_manuales!$J$36</f>
        <v>1772.63</v>
      </c>
      <c r="J75" s="8">
        <f>(parametros_manuales!$D$36*('Plan mensual'!L24+IF(parametros_manuales!$H$36="Todos",'Plan mensual'!L28,0))+parametros_manuales!$E$36*('Plan mensual'!L25+IF(parametros_manuales!$H$36="Todos",'Plan mensual'!L29,0))+parametros_manuales!$F$36*('Plan mensual'!L26+IF(parametros_manuales!$H$36="Todos",'Plan mensual'!L30,0))+parametros_manuales!$G$36*('Plan mensual'!L27+IF(parametros_manuales!$H$36="Todos",'Plan mensual'!L31,0)))*parametros_manuales!$I$36*parametros_manuales!$J$36</f>
        <v>1772.63</v>
      </c>
      <c r="K75" s="8">
        <f>(parametros_manuales!$D$36*('Plan mensual'!M24+IF(parametros_manuales!$H$36="Todos",'Plan mensual'!M28,0))+parametros_manuales!$E$36*('Plan mensual'!M25+IF(parametros_manuales!$H$36="Todos",'Plan mensual'!M29,0))+parametros_manuales!$F$36*('Plan mensual'!M26+IF(parametros_manuales!$H$36="Todos",'Plan mensual'!M30,0))+parametros_manuales!$G$36*('Plan mensual'!M27+IF(parametros_manuales!$H$36="Todos",'Plan mensual'!M31,0)))*parametros_manuales!$I$36*parametros_manuales!$J$36</f>
        <v>1729.875</v>
      </c>
      <c r="L75" s="8">
        <f>(parametros_manuales!$D$36*('Plan mensual'!N24+IF(parametros_manuales!$H$36="Todos",'Plan mensual'!N28,0))+parametros_manuales!$E$36*('Plan mensual'!N25+IF(parametros_manuales!$H$36="Todos",'Plan mensual'!N29,0))+parametros_manuales!$F$36*('Plan mensual'!N26+IF(parametros_manuales!$H$36="Todos",'Plan mensual'!N30,0))+parametros_manuales!$G$36*('Plan mensual'!N27+IF(parametros_manuales!$H$36="Todos",'Plan mensual'!N31,0)))*parametros_manuales!$I$36*parametros_manuales!$J$36</f>
        <v>1687.12</v>
      </c>
      <c r="M75" s="8">
        <f>(parametros_manuales!$D$36*('Plan mensual'!O24+IF(parametros_manuales!$H$36="Todos",'Plan mensual'!O28,0))+parametros_manuales!$E$36*('Plan mensual'!O25+IF(parametros_manuales!$H$36="Todos",'Plan mensual'!O29,0))+parametros_manuales!$F$36*('Plan mensual'!O26+IF(parametros_manuales!$H$36="Todos",'Plan mensual'!O30,0))+parametros_manuales!$G$36*('Plan mensual'!O27+IF(parametros_manuales!$H$36="Todos",'Plan mensual'!O31,0)))*parametros_manuales!$I$36*parametros_manuales!$J$36</f>
        <v>2682.29</v>
      </c>
      <c r="N75" s="8">
        <f t="shared" si="7"/>
        <v>23065</v>
      </c>
      <c r="O75" s="8">
        <f t="shared" si="8"/>
        <v>2682.29</v>
      </c>
      <c r="P75" s="27">
        <f>O75/(parametros_manuales!$B$7)</f>
        <v>17.88193333</v>
      </c>
      <c r="Q75" s="4" t="str">
        <f t="shared" si="9"/>
        <v>Dic</v>
      </c>
    </row>
    <row r="76" ht="14.25" customHeight="1">
      <c r="A76" s="4" t="str">
        <f>parametros_manuales!$B$37</f>
        <v>Corrección de defectos</v>
      </c>
      <c r="B76" s="8">
        <f>(parametros_manuales!$D$37*('Plan mensual'!D24+IF(parametros_manuales!$H$37="Todos",'Plan mensual'!D28,0))+parametros_manuales!$E$37*('Plan mensual'!D25+IF(parametros_manuales!$H$37="Todos",'Plan mensual'!D29,0))+parametros_manuales!$F$37*('Plan mensual'!D26+IF(parametros_manuales!$H$37="Todos",'Plan mensual'!D30,0))+parametros_manuales!$G$37*('Plan mensual'!D27+IF(parametros_manuales!$H$37="Todos",'Plan mensual'!D31,0)))*parametros_manuales!$I$37*parametros_manuales!$J$37</f>
        <v>129.839</v>
      </c>
      <c r="C76" s="8">
        <f>(parametros_manuales!$D$37*('Plan mensual'!E24+IF(parametros_manuales!$H$37="Todos",'Plan mensual'!E28,0))+parametros_manuales!$E$37*('Plan mensual'!E25+IF(parametros_manuales!$H$37="Todos",'Plan mensual'!E29,0))+parametros_manuales!$F$37*('Plan mensual'!E26+IF(parametros_manuales!$H$37="Todos",'Plan mensual'!E30,0))+parametros_manuales!$G$37*('Plan mensual'!E27+IF(parametros_manuales!$H$37="Todos",'Plan mensual'!E31,0)))*parametros_manuales!$I$37*parametros_manuales!$J$37</f>
        <v>99.517</v>
      </c>
      <c r="D76" s="8">
        <f>(parametros_manuales!$D$37*('Plan mensual'!F24+IF(parametros_manuales!$H$37="Todos",'Plan mensual'!F28,0))+parametros_manuales!$E$37*('Plan mensual'!F25+IF(parametros_manuales!$H$37="Todos",'Plan mensual'!F29,0))+parametros_manuales!$F$37*('Plan mensual'!F26+IF(parametros_manuales!$H$37="Todos",'Plan mensual'!F30,0))+parametros_manuales!$G$37*('Plan mensual'!F27+IF(parametros_manuales!$H$37="Todos",'Plan mensual'!F31,0)))*parametros_manuales!$I$37*parametros_manuales!$J$37</f>
        <v>94.39775</v>
      </c>
      <c r="E76" s="8">
        <f>(parametros_manuales!$D$37*('Plan mensual'!G24+IF(parametros_manuales!$H$37="Todos",'Plan mensual'!G28,0))+parametros_manuales!$E$37*('Plan mensual'!G25+IF(parametros_manuales!$H$37="Todos",'Plan mensual'!G29,0))+parametros_manuales!$F$37*('Plan mensual'!G26+IF(parametros_manuales!$H$37="Todos",'Plan mensual'!G30,0))+parametros_manuales!$G$37*('Plan mensual'!G27+IF(parametros_manuales!$H$37="Todos",'Plan mensual'!G31,0)))*parametros_manuales!$I$37*parametros_manuales!$J$37</f>
        <v>90.76925</v>
      </c>
      <c r="F76" s="8">
        <f>(parametros_manuales!$D$37*('Plan mensual'!H24+IF(parametros_manuales!$H$37="Todos",'Plan mensual'!H28,0))+parametros_manuales!$E$37*('Plan mensual'!H25+IF(parametros_manuales!$H$37="Todos",'Plan mensual'!H29,0))+parametros_manuales!$F$37*('Plan mensual'!H26+IF(parametros_manuales!$H$37="Todos",'Plan mensual'!H30,0))+parametros_manuales!$G$37*('Plan mensual'!H27+IF(parametros_manuales!$H$37="Todos",'Plan mensual'!H31,0)))*parametros_manuales!$I$37*parametros_manuales!$J$37</f>
        <v>85.003</v>
      </c>
      <c r="G76" s="8">
        <f>(parametros_manuales!$D$37*('Plan mensual'!I24+IF(parametros_manuales!$H$37="Todos",'Plan mensual'!I28,0))+parametros_manuales!$E$37*('Plan mensual'!I25+IF(parametros_manuales!$H$37="Todos",'Plan mensual'!I29,0))+parametros_manuales!$F$37*('Plan mensual'!I26+IF(parametros_manuales!$H$37="Todos",'Plan mensual'!I30,0))+parametros_manuales!$G$37*('Plan mensual'!I27+IF(parametros_manuales!$H$37="Todos",'Plan mensual'!I31,0)))*parametros_manuales!$I$37*parametros_manuales!$J$37</f>
        <v>82.86525</v>
      </c>
      <c r="H76" s="8">
        <f>(parametros_manuales!$D$37*('Plan mensual'!J24+IF(parametros_manuales!$H$37="Todos",'Plan mensual'!J28,0))+parametros_manuales!$E$37*('Plan mensual'!J25+IF(parametros_manuales!$H$37="Todos",'Plan mensual'!J29,0))+parametros_manuales!$F$37*('Plan mensual'!J26+IF(parametros_manuales!$H$37="Todos",'Plan mensual'!J30,0))+parametros_manuales!$G$37*('Plan mensual'!J27+IF(parametros_manuales!$H$37="Todos",'Plan mensual'!J31,0)))*parametros_manuales!$I$37*parametros_manuales!$J$37</f>
        <v>88.6315</v>
      </c>
      <c r="I76" s="8">
        <f>(parametros_manuales!$D$37*('Plan mensual'!K24+IF(parametros_manuales!$H$37="Todos",'Plan mensual'!K28,0))+parametros_manuales!$E$37*('Plan mensual'!K25+IF(parametros_manuales!$H$37="Todos",'Plan mensual'!K29,0))+parametros_manuales!$F$37*('Plan mensual'!K26+IF(parametros_manuales!$H$37="Todos",'Plan mensual'!K30,0))+parametros_manuales!$G$37*('Plan mensual'!K27+IF(parametros_manuales!$H$37="Todos",'Plan mensual'!K31,0)))*parametros_manuales!$I$37*parametros_manuales!$J$37</f>
        <v>88.6315</v>
      </c>
      <c r="J76" s="8">
        <f>(parametros_manuales!$D$37*('Plan mensual'!L24+IF(parametros_manuales!$H$37="Todos",'Plan mensual'!L28,0))+parametros_manuales!$E$37*('Plan mensual'!L25+IF(parametros_manuales!$H$37="Todos",'Plan mensual'!L29,0))+parametros_manuales!$F$37*('Plan mensual'!L26+IF(parametros_manuales!$H$37="Todos",'Plan mensual'!L30,0))+parametros_manuales!$G$37*('Plan mensual'!L27+IF(parametros_manuales!$H$37="Todos",'Plan mensual'!L31,0)))*parametros_manuales!$I$37*parametros_manuales!$J$37</f>
        <v>88.6315</v>
      </c>
      <c r="K76" s="8">
        <f>(parametros_manuales!$D$37*('Plan mensual'!M24+IF(parametros_manuales!$H$37="Todos",'Plan mensual'!M28,0))+parametros_manuales!$E$37*('Plan mensual'!M25+IF(parametros_manuales!$H$37="Todos",'Plan mensual'!M29,0))+parametros_manuales!$F$37*('Plan mensual'!M26+IF(parametros_manuales!$H$37="Todos",'Plan mensual'!M30,0))+parametros_manuales!$G$37*('Plan mensual'!M27+IF(parametros_manuales!$H$37="Todos",'Plan mensual'!M31,0)))*parametros_manuales!$I$37*parametros_manuales!$J$37</f>
        <v>86.49375</v>
      </c>
      <c r="L76" s="8">
        <f>(parametros_manuales!$D$37*('Plan mensual'!N24+IF(parametros_manuales!$H$37="Todos",'Plan mensual'!N28,0))+parametros_manuales!$E$37*('Plan mensual'!N25+IF(parametros_manuales!$H$37="Todos",'Plan mensual'!N29,0))+parametros_manuales!$F$37*('Plan mensual'!N26+IF(parametros_manuales!$H$37="Todos",'Plan mensual'!N30,0))+parametros_manuales!$G$37*('Plan mensual'!N27+IF(parametros_manuales!$H$37="Todos",'Plan mensual'!N31,0)))*parametros_manuales!$I$37*parametros_manuales!$J$37</f>
        <v>84.356</v>
      </c>
      <c r="M76" s="8">
        <f>(parametros_manuales!$D$37*('Plan mensual'!O24+IF(parametros_manuales!$H$37="Todos",'Plan mensual'!O28,0))+parametros_manuales!$E$37*('Plan mensual'!O25+IF(parametros_manuales!$H$37="Todos",'Plan mensual'!O29,0))+parametros_manuales!$F$37*('Plan mensual'!O26+IF(parametros_manuales!$H$37="Todos",'Plan mensual'!O30,0))+parametros_manuales!$G$37*('Plan mensual'!O27+IF(parametros_manuales!$H$37="Todos",'Plan mensual'!O31,0)))*parametros_manuales!$I$37*parametros_manuales!$J$37</f>
        <v>134.1145</v>
      </c>
      <c r="N76" s="8">
        <f t="shared" si="7"/>
        <v>1153.25</v>
      </c>
      <c r="O76" s="8">
        <f t="shared" si="8"/>
        <v>134.1145</v>
      </c>
      <c r="P76" s="27">
        <f>O76/(parametros_manuales!$B$7)</f>
        <v>0.8940966667</v>
      </c>
      <c r="Q76" s="4" t="str">
        <f t="shared" si="9"/>
        <v>Dic</v>
      </c>
    </row>
    <row r="77" ht="14.25" customHeight="1">
      <c r="A77" s="4" t="str">
        <f>parametros_manuales!$B$38</f>
        <v>Pintura en polvo + horno</v>
      </c>
      <c r="B77" s="8">
        <f>(parametros_manuales!$D$38*('Plan mensual'!D24+IF(parametros_manuales!$H$38="Todos",'Plan mensual'!D28,0))+parametros_manuales!$E$38*('Plan mensual'!D25+IF(parametros_manuales!$H$38="Todos",'Plan mensual'!D29,0))+parametros_manuales!$F$38*('Plan mensual'!D26+IF(parametros_manuales!$H$38="Todos",'Plan mensual'!D30,0))+parametros_manuales!$G$38*('Plan mensual'!D27+IF(parametros_manuales!$H$38="Todos",'Plan mensual'!D31,0)))*parametros_manuales!$I$38*parametros_manuales!$J$38</f>
        <v>2596.78</v>
      </c>
      <c r="C77" s="8">
        <f>(parametros_manuales!$D$38*('Plan mensual'!E24+IF(parametros_manuales!$H$38="Todos",'Plan mensual'!E28,0))+parametros_manuales!$E$38*('Plan mensual'!E25+IF(parametros_manuales!$H$38="Todos",'Plan mensual'!E29,0))+parametros_manuales!$F$38*('Plan mensual'!E26+IF(parametros_manuales!$H$38="Todos",'Plan mensual'!E30,0))+parametros_manuales!$G$38*('Plan mensual'!E27+IF(parametros_manuales!$H$38="Todos",'Plan mensual'!E31,0)))*parametros_manuales!$I$38*parametros_manuales!$J$38</f>
        <v>1990.34</v>
      </c>
      <c r="D77" s="8">
        <f>(parametros_manuales!$D$38*('Plan mensual'!F24+IF(parametros_manuales!$H$38="Todos",'Plan mensual'!F28,0))+parametros_manuales!$E$38*('Plan mensual'!F25+IF(parametros_manuales!$H$38="Todos",'Plan mensual'!F29,0))+parametros_manuales!$F$38*('Plan mensual'!F26+IF(parametros_manuales!$H$38="Todos",'Plan mensual'!F30,0))+parametros_manuales!$G$38*('Plan mensual'!F27+IF(parametros_manuales!$H$38="Todos",'Plan mensual'!F31,0)))*parametros_manuales!$I$38*parametros_manuales!$J$38</f>
        <v>1887.955</v>
      </c>
      <c r="E77" s="8">
        <f>(parametros_manuales!$D$38*('Plan mensual'!G24+IF(parametros_manuales!$H$38="Todos",'Plan mensual'!G28,0))+parametros_manuales!$E$38*('Plan mensual'!G25+IF(parametros_manuales!$H$38="Todos",'Plan mensual'!G29,0))+parametros_manuales!$F$38*('Plan mensual'!G26+IF(parametros_manuales!$H$38="Todos",'Plan mensual'!G30,0))+parametros_manuales!$G$38*('Plan mensual'!G27+IF(parametros_manuales!$H$38="Todos",'Plan mensual'!G31,0)))*parametros_manuales!$I$38*parametros_manuales!$J$38</f>
        <v>1815.385</v>
      </c>
      <c r="F77" s="8">
        <f>(parametros_manuales!$D$38*('Plan mensual'!H24+IF(parametros_manuales!$H$38="Todos",'Plan mensual'!H28,0))+parametros_manuales!$E$38*('Plan mensual'!H25+IF(parametros_manuales!$H$38="Todos",'Plan mensual'!H29,0))+parametros_manuales!$F$38*('Plan mensual'!H26+IF(parametros_manuales!$H$38="Todos",'Plan mensual'!H30,0))+parametros_manuales!$G$38*('Plan mensual'!H27+IF(parametros_manuales!$H$38="Todos",'Plan mensual'!H31,0)))*parametros_manuales!$I$38*parametros_manuales!$J$38</f>
        <v>1700.06</v>
      </c>
      <c r="G77" s="8">
        <f>(parametros_manuales!$D$38*('Plan mensual'!I24+IF(parametros_manuales!$H$38="Todos",'Plan mensual'!I28,0))+parametros_manuales!$E$38*('Plan mensual'!I25+IF(parametros_manuales!$H$38="Todos",'Plan mensual'!I29,0))+parametros_manuales!$F$38*('Plan mensual'!I26+IF(parametros_manuales!$H$38="Todos",'Plan mensual'!I30,0))+parametros_manuales!$G$38*('Plan mensual'!I27+IF(parametros_manuales!$H$38="Todos",'Plan mensual'!I31,0)))*parametros_manuales!$I$38*parametros_manuales!$J$38</f>
        <v>1657.305</v>
      </c>
      <c r="H77" s="8">
        <f>(parametros_manuales!$D$38*('Plan mensual'!J24+IF(parametros_manuales!$H$38="Todos",'Plan mensual'!J28,0))+parametros_manuales!$E$38*('Plan mensual'!J25+IF(parametros_manuales!$H$38="Todos",'Plan mensual'!J29,0))+parametros_manuales!$F$38*('Plan mensual'!J26+IF(parametros_manuales!$H$38="Todos",'Plan mensual'!J30,0))+parametros_manuales!$G$38*('Plan mensual'!J27+IF(parametros_manuales!$H$38="Todos",'Plan mensual'!J31,0)))*parametros_manuales!$I$38*parametros_manuales!$J$38</f>
        <v>1772.63</v>
      </c>
      <c r="I77" s="8">
        <f>(parametros_manuales!$D$38*('Plan mensual'!K24+IF(parametros_manuales!$H$38="Todos",'Plan mensual'!K28,0))+parametros_manuales!$E$38*('Plan mensual'!K25+IF(parametros_manuales!$H$38="Todos",'Plan mensual'!K29,0))+parametros_manuales!$F$38*('Plan mensual'!K26+IF(parametros_manuales!$H$38="Todos",'Plan mensual'!K30,0))+parametros_manuales!$G$38*('Plan mensual'!K27+IF(parametros_manuales!$H$38="Todos",'Plan mensual'!K31,0)))*parametros_manuales!$I$38*parametros_manuales!$J$38</f>
        <v>1772.63</v>
      </c>
      <c r="J77" s="8">
        <f>(parametros_manuales!$D$38*('Plan mensual'!L24+IF(parametros_manuales!$H$38="Todos",'Plan mensual'!L28,0))+parametros_manuales!$E$38*('Plan mensual'!L25+IF(parametros_manuales!$H$38="Todos",'Plan mensual'!L29,0))+parametros_manuales!$F$38*('Plan mensual'!L26+IF(parametros_manuales!$H$38="Todos",'Plan mensual'!L30,0))+parametros_manuales!$G$38*('Plan mensual'!L27+IF(parametros_manuales!$H$38="Todos",'Plan mensual'!L31,0)))*parametros_manuales!$I$38*parametros_manuales!$J$38</f>
        <v>1772.63</v>
      </c>
      <c r="K77" s="8">
        <f>(parametros_manuales!$D$38*('Plan mensual'!M24+IF(parametros_manuales!$H$38="Todos",'Plan mensual'!M28,0))+parametros_manuales!$E$38*('Plan mensual'!M25+IF(parametros_manuales!$H$38="Todos",'Plan mensual'!M29,0))+parametros_manuales!$F$38*('Plan mensual'!M26+IF(parametros_manuales!$H$38="Todos",'Plan mensual'!M30,0))+parametros_manuales!$G$38*('Plan mensual'!M27+IF(parametros_manuales!$H$38="Todos",'Plan mensual'!M31,0)))*parametros_manuales!$I$38*parametros_manuales!$J$38</f>
        <v>1729.875</v>
      </c>
      <c r="L77" s="8">
        <f>(parametros_manuales!$D$38*('Plan mensual'!N24+IF(parametros_manuales!$H$38="Todos",'Plan mensual'!N28,0))+parametros_manuales!$E$38*('Plan mensual'!N25+IF(parametros_manuales!$H$38="Todos",'Plan mensual'!N29,0))+parametros_manuales!$F$38*('Plan mensual'!N26+IF(parametros_manuales!$H$38="Todos",'Plan mensual'!N30,0))+parametros_manuales!$G$38*('Plan mensual'!N27+IF(parametros_manuales!$H$38="Todos",'Plan mensual'!N31,0)))*parametros_manuales!$I$38*parametros_manuales!$J$38</f>
        <v>1687.12</v>
      </c>
      <c r="M77" s="8">
        <f>(parametros_manuales!$D$38*('Plan mensual'!O24+IF(parametros_manuales!$H$38="Todos",'Plan mensual'!O28,0))+parametros_manuales!$E$38*('Plan mensual'!O25+IF(parametros_manuales!$H$38="Todos",'Plan mensual'!O29,0))+parametros_manuales!$F$38*('Plan mensual'!O26+IF(parametros_manuales!$H$38="Todos",'Plan mensual'!O30,0))+parametros_manuales!$G$38*('Plan mensual'!O27+IF(parametros_manuales!$H$38="Todos",'Plan mensual'!O31,0)))*parametros_manuales!$I$38*parametros_manuales!$J$38</f>
        <v>2682.29</v>
      </c>
      <c r="N77" s="8">
        <f t="shared" si="7"/>
        <v>23065</v>
      </c>
      <c r="O77" s="8">
        <f t="shared" si="8"/>
        <v>2682.29</v>
      </c>
      <c r="P77" s="27">
        <f>O77/(parametros_manuales!$B$7)</f>
        <v>17.88193333</v>
      </c>
      <c r="Q77" s="4" t="str">
        <f t="shared" si="9"/>
        <v>Dic</v>
      </c>
    </row>
    <row r="78" ht="14.25" customHeight="1">
      <c r="A78" s="4" t="str">
        <f>parametros_manuales!$B$39</f>
        <v>Carga de polvo</v>
      </c>
      <c r="B78" s="8">
        <f>(parametros_manuales!$D$39*('Plan mensual'!D24+IF(parametros_manuales!$H$39="Todos",'Plan mensual'!D28,0))+parametros_manuales!$E$39*('Plan mensual'!D25+IF(parametros_manuales!$H$39="Todos",'Plan mensual'!D29,0))+parametros_manuales!$F$39*('Plan mensual'!D26+IF(parametros_manuales!$H$39="Todos",'Plan mensual'!D30,0))+parametros_manuales!$G$39*('Plan mensual'!D27+IF(parametros_manuales!$H$39="Todos",'Plan mensual'!D31,0)))*parametros_manuales!$I$39*parametros_manuales!$J$39</f>
        <v>1468.14</v>
      </c>
      <c r="C78" s="8">
        <f>(parametros_manuales!$D$39*('Plan mensual'!E24+IF(parametros_manuales!$H$39="Todos",'Plan mensual'!E28,0))+parametros_manuales!$E$39*('Plan mensual'!E25+IF(parametros_manuales!$H$39="Todos",'Plan mensual'!E29,0))+parametros_manuales!$F$39*('Plan mensual'!E26+IF(parametros_manuales!$H$39="Todos",'Plan mensual'!E30,0))+parametros_manuales!$G$39*('Plan mensual'!E27+IF(parametros_manuales!$H$39="Todos",'Plan mensual'!E31,0)))*parametros_manuales!$I$39*parametros_manuales!$J$39</f>
        <v>1133.4</v>
      </c>
      <c r="D78" s="8">
        <f>(parametros_manuales!$D$39*('Plan mensual'!F24+IF(parametros_manuales!$H$39="Todos",'Plan mensual'!F28,0))+parametros_manuales!$E$39*('Plan mensual'!F25+IF(parametros_manuales!$H$39="Todos",'Plan mensual'!F29,0))+parametros_manuales!$F$39*('Plan mensual'!F26+IF(parametros_manuales!$H$39="Todos",'Plan mensual'!F30,0))+parametros_manuales!$G$39*('Plan mensual'!F27+IF(parametros_manuales!$H$39="Todos",'Plan mensual'!F31,0)))*parametros_manuales!$I$39*parametros_manuales!$J$39</f>
        <v>1097.175</v>
      </c>
      <c r="E78" s="8">
        <f>(parametros_manuales!$D$39*('Plan mensual'!G24+IF(parametros_manuales!$H$39="Todos",'Plan mensual'!G28,0))+parametros_manuales!$E$39*('Plan mensual'!G25+IF(parametros_manuales!$H$39="Todos",'Plan mensual'!G29,0))+parametros_manuales!$F$39*('Plan mensual'!G26+IF(parametros_manuales!$H$39="Todos",'Plan mensual'!G30,0))+parametros_manuales!$G$39*('Plan mensual'!G27+IF(parametros_manuales!$H$39="Todos",'Plan mensual'!G31,0)))*parametros_manuales!$I$39*parametros_manuales!$J$39</f>
        <v>1062.915</v>
      </c>
      <c r="F78" s="8">
        <f>(parametros_manuales!$D$39*('Plan mensual'!H24+IF(parametros_manuales!$H$39="Todos",'Plan mensual'!H28,0))+parametros_manuales!$E$39*('Plan mensual'!H25+IF(parametros_manuales!$H$39="Todos",'Plan mensual'!H29,0))+parametros_manuales!$F$39*('Plan mensual'!H26+IF(parametros_manuales!$H$39="Todos",'Plan mensual'!H30,0))+parametros_manuales!$G$39*('Plan mensual'!H27+IF(parametros_manuales!$H$39="Todos",'Plan mensual'!H31,0)))*parametros_manuales!$I$39*parametros_manuales!$J$39</f>
        <v>996.36</v>
      </c>
      <c r="G78" s="8">
        <f>(parametros_manuales!$D$39*('Plan mensual'!I24+IF(parametros_manuales!$H$39="Todos",'Plan mensual'!I28,0))+parametros_manuales!$E$39*('Plan mensual'!I25+IF(parametros_manuales!$H$39="Todos",'Plan mensual'!I29,0))+parametros_manuales!$F$39*('Plan mensual'!I26+IF(parametros_manuales!$H$39="Todos",'Plan mensual'!I30,0))+parametros_manuales!$G$39*('Plan mensual'!I27+IF(parametros_manuales!$H$39="Todos",'Plan mensual'!I31,0)))*parametros_manuales!$I$39*parametros_manuales!$J$39</f>
        <v>964.065</v>
      </c>
      <c r="H78" s="8">
        <f>(parametros_manuales!$D$39*('Plan mensual'!J24+IF(parametros_manuales!$H$39="Todos",'Plan mensual'!J28,0))+parametros_manuales!$E$39*('Plan mensual'!J25+IF(parametros_manuales!$H$39="Todos",'Plan mensual'!J29,0))+parametros_manuales!$F$39*('Plan mensual'!J26+IF(parametros_manuales!$H$39="Todos",'Plan mensual'!J30,0))+parametros_manuales!$G$39*('Plan mensual'!J27+IF(parametros_manuales!$H$39="Todos",'Plan mensual'!J31,0)))*parametros_manuales!$I$39*parametros_manuales!$J$39</f>
        <v>1030.62</v>
      </c>
      <c r="I78" s="8">
        <f>(parametros_manuales!$D$39*('Plan mensual'!K24+IF(parametros_manuales!$H$39="Todos",'Plan mensual'!K28,0))+parametros_manuales!$E$39*('Plan mensual'!K25+IF(parametros_manuales!$H$39="Todos",'Plan mensual'!K29,0))+parametros_manuales!$F$39*('Plan mensual'!K26+IF(parametros_manuales!$H$39="Todos",'Plan mensual'!K30,0))+parametros_manuales!$G$39*('Plan mensual'!K27+IF(parametros_manuales!$H$39="Todos",'Plan mensual'!K31,0)))*parametros_manuales!$I$39*parametros_manuales!$J$39</f>
        <v>1030.62</v>
      </c>
      <c r="J78" s="8">
        <f>(parametros_manuales!$D$39*('Plan mensual'!L24+IF(parametros_manuales!$H$39="Todos",'Plan mensual'!L28,0))+parametros_manuales!$E$39*('Plan mensual'!L25+IF(parametros_manuales!$H$39="Todos",'Plan mensual'!L29,0))+parametros_manuales!$F$39*('Plan mensual'!L26+IF(parametros_manuales!$H$39="Todos",'Plan mensual'!L30,0))+parametros_manuales!$G$39*('Plan mensual'!L27+IF(parametros_manuales!$H$39="Todos",'Plan mensual'!L31,0)))*parametros_manuales!$I$39*parametros_manuales!$J$39</f>
        <v>1030.62</v>
      </c>
      <c r="K78" s="8">
        <f>(parametros_manuales!$D$39*('Plan mensual'!M24+IF(parametros_manuales!$H$39="Todos",'Plan mensual'!M28,0))+parametros_manuales!$E$39*('Plan mensual'!M25+IF(parametros_manuales!$H$39="Todos",'Plan mensual'!M29,0))+parametros_manuales!$F$39*('Plan mensual'!M26+IF(parametros_manuales!$H$39="Todos",'Plan mensual'!M30,0))+parametros_manuales!$G$39*('Plan mensual'!M27+IF(parametros_manuales!$H$39="Todos",'Plan mensual'!M31,0)))*parametros_manuales!$I$39*parametros_manuales!$J$39</f>
        <v>998.325</v>
      </c>
      <c r="L78" s="8">
        <f>(parametros_manuales!$D$39*('Plan mensual'!N24+IF(parametros_manuales!$H$39="Todos",'Plan mensual'!N28,0))+parametros_manuales!$E$39*('Plan mensual'!N25+IF(parametros_manuales!$H$39="Todos",'Plan mensual'!N29,0))+parametros_manuales!$F$39*('Plan mensual'!N26+IF(parametros_manuales!$H$39="Todos",'Plan mensual'!N30,0))+parametros_manuales!$G$39*('Plan mensual'!N27+IF(parametros_manuales!$H$39="Todos",'Plan mensual'!N31,0)))*parametros_manuales!$I$39*parametros_manuales!$J$39</f>
        <v>966.03</v>
      </c>
      <c r="M78" s="8">
        <f>(parametros_manuales!$D$39*('Plan mensual'!O24+IF(parametros_manuales!$H$39="Todos",'Plan mensual'!O28,0))+parametros_manuales!$E$39*('Plan mensual'!O25+IF(parametros_manuales!$H$39="Todos",'Plan mensual'!O29,0))+parametros_manuales!$F$39*('Plan mensual'!O26+IF(parametros_manuales!$H$39="Todos",'Plan mensual'!O30,0))+parametros_manuales!$G$39*('Plan mensual'!O27+IF(parametros_manuales!$H$39="Todos",'Plan mensual'!O31,0)))*parametros_manuales!$I$39*parametros_manuales!$J$39</f>
        <v>1532.73</v>
      </c>
      <c r="N78" s="8">
        <f t="shared" si="7"/>
        <v>13311</v>
      </c>
      <c r="O78" s="8">
        <f t="shared" si="8"/>
        <v>1532.73</v>
      </c>
      <c r="P78" s="27">
        <f>O78/(parametros_manuales!$B$7)</f>
        <v>10.2182</v>
      </c>
      <c r="Q78" s="4" t="str">
        <f t="shared" si="9"/>
        <v>Dic</v>
      </c>
    </row>
    <row r="79" ht="14.25" customHeight="1">
      <c r="A79" s="4" t="str">
        <f>parametros_manuales!$B$40</f>
        <v>Ensamblaje</v>
      </c>
      <c r="B79" s="8">
        <f>(parametros_manuales!$D$40*('Plan mensual'!D24+IF(parametros_manuales!$H$40="Todos",'Plan mensual'!D28,0))+parametros_manuales!$E$40*('Plan mensual'!D25+IF(parametros_manuales!$H$40="Todos",'Plan mensual'!D29,0))+parametros_manuales!$F$40*('Plan mensual'!D26+IF(parametros_manuales!$H$40="Todos",'Plan mensual'!D30,0))+parametros_manuales!$G$40*('Plan mensual'!D27+IF(parametros_manuales!$H$40="Todos",'Plan mensual'!D31,0)))*parametros_manuales!$I$40*parametros_manuales!$J$40</f>
        <v>1468.14</v>
      </c>
      <c r="C79" s="8">
        <f>(parametros_manuales!$D$40*('Plan mensual'!E24+IF(parametros_manuales!$H$40="Todos",'Plan mensual'!E28,0))+parametros_manuales!$E$40*('Plan mensual'!E25+IF(parametros_manuales!$H$40="Todos",'Plan mensual'!E29,0))+parametros_manuales!$F$40*('Plan mensual'!E26+IF(parametros_manuales!$H$40="Todos",'Plan mensual'!E30,0))+parametros_manuales!$G$40*('Plan mensual'!E27+IF(parametros_manuales!$H$40="Todos",'Plan mensual'!E31,0)))*parametros_manuales!$I$40*parametros_manuales!$J$40</f>
        <v>1133.4</v>
      </c>
      <c r="D79" s="8">
        <f>(parametros_manuales!$D$40*('Plan mensual'!F24+IF(parametros_manuales!$H$40="Todos",'Plan mensual'!F28,0))+parametros_manuales!$E$40*('Plan mensual'!F25+IF(parametros_manuales!$H$40="Todos",'Plan mensual'!F29,0))+parametros_manuales!$F$40*('Plan mensual'!F26+IF(parametros_manuales!$H$40="Todos",'Plan mensual'!F30,0))+parametros_manuales!$G$40*('Plan mensual'!F27+IF(parametros_manuales!$H$40="Todos",'Plan mensual'!F31,0)))*parametros_manuales!$I$40*parametros_manuales!$J$40</f>
        <v>1097.175</v>
      </c>
      <c r="E79" s="8">
        <f>(parametros_manuales!$D$40*('Plan mensual'!G24+IF(parametros_manuales!$H$40="Todos",'Plan mensual'!G28,0))+parametros_manuales!$E$40*('Plan mensual'!G25+IF(parametros_manuales!$H$40="Todos",'Plan mensual'!G29,0))+parametros_manuales!$F$40*('Plan mensual'!G26+IF(parametros_manuales!$H$40="Todos",'Plan mensual'!G30,0))+parametros_manuales!$G$40*('Plan mensual'!G27+IF(parametros_manuales!$H$40="Todos",'Plan mensual'!G31,0)))*parametros_manuales!$I$40*parametros_manuales!$J$40</f>
        <v>1062.915</v>
      </c>
      <c r="F79" s="8">
        <f>(parametros_manuales!$D$40*('Plan mensual'!H24+IF(parametros_manuales!$H$40="Todos",'Plan mensual'!H28,0))+parametros_manuales!$E$40*('Plan mensual'!H25+IF(parametros_manuales!$H$40="Todos",'Plan mensual'!H29,0))+parametros_manuales!$F$40*('Plan mensual'!H26+IF(parametros_manuales!$H$40="Todos",'Plan mensual'!H30,0))+parametros_manuales!$G$40*('Plan mensual'!H27+IF(parametros_manuales!$H$40="Todos",'Plan mensual'!H31,0)))*parametros_manuales!$I$40*parametros_manuales!$J$40</f>
        <v>996.36</v>
      </c>
      <c r="G79" s="8">
        <f>(parametros_manuales!$D$40*('Plan mensual'!I24+IF(parametros_manuales!$H$40="Todos",'Plan mensual'!I28,0))+parametros_manuales!$E$40*('Plan mensual'!I25+IF(parametros_manuales!$H$40="Todos",'Plan mensual'!I29,0))+parametros_manuales!$F$40*('Plan mensual'!I26+IF(parametros_manuales!$H$40="Todos",'Plan mensual'!I30,0))+parametros_manuales!$G$40*('Plan mensual'!I27+IF(parametros_manuales!$H$40="Todos",'Plan mensual'!I31,0)))*parametros_manuales!$I$40*parametros_manuales!$J$40</f>
        <v>964.065</v>
      </c>
      <c r="H79" s="8">
        <f>(parametros_manuales!$D$40*('Plan mensual'!J24+IF(parametros_manuales!$H$40="Todos",'Plan mensual'!J28,0))+parametros_manuales!$E$40*('Plan mensual'!J25+IF(parametros_manuales!$H$40="Todos",'Plan mensual'!J29,0))+parametros_manuales!$F$40*('Plan mensual'!J26+IF(parametros_manuales!$H$40="Todos",'Plan mensual'!J30,0))+parametros_manuales!$G$40*('Plan mensual'!J27+IF(parametros_manuales!$H$40="Todos",'Plan mensual'!J31,0)))*parametros_manuales!$I$40*parametros_manuales!$J$40</f>
        <v>1030.62</v>
      </c>
      <c r="I79" s="8">
        <f>(parametros_manuales!$D$40*('Plan mensual'!K24+IF(parametros_manuales!$H$40="Todos",'Plan mensual'!K28,0))+parametros_manuales!$E$40*('Plan mensual'!K25+IF(parametros_manuales!$H$40="Todos",'Plan mensual'!K29,0))+parametros_manuales!$F$40*('Plan mensual'!K26+IF(parametros_manuales!$H$40="Todos",'Plan mensual'!K30,0))+parametros_manuales!$G$40*('Plan mensual'!K27+IF(parametros_manuales!$H$40="Todos",'Plan mensual'!K31,0)))*parametros_manuales!$I$40*parametros_manuales!$J$40</f>
        <v>1030.62</v>
      </c>
      <c r="J79" s="8">
        <f>(parametros_manuales!$D$40*('Plan mensual'!L24+IF(parametros_manuales!$H$40="Todos",'Plan mensual'!L28,0))+parametros_manuales!$E$40*('Plan mensual'!L25+IF(parametros_manuales!$H$40="Todos",'Plan mensual'!L29,0))+parametros_manuales!$F$40*('Plan mensual'!L26+IF(parametros_manuales!$H$40="Todos",'Plan mensual'!L30,0))+parametros_manuales!$G$40*('Plan mensual'!L27+IF(parametros_manuales!$H$40="Todos",'Plan mensual'!L31,0)))*parametros_manuales!$I$40*parametros_manuales!$J$40</f>
        <v>1030.62</v>
      </c>
      <c r="K79" s="8">
        <f>(parametros_manuales!$D$40*('Plan mensual'!M24+IF(parametros_manuales!$H$40="Todos",'Plan mensual'!M28,0))+parametros_manuales!$E$40*('Plan mensual'!M25+IF(parametros_manuales!$H$40="Todos",'Plan mensual'!M29,0))+parametros_manuales!$F$40*('Plan mensual'!M26+IF(parametros_manuales!$H$40="Todos",'Plan mensual'!M30,0))+parametros_manuales!$G$40*('Plan mensual'!M27+IF(parametros_manuales!$H$40="Todos",'Plan mensual'!M31,0)))*parametros_manuales!$I$40*parametros_manuales!$J$40</f>
        <v>998.325</v>
      </c>
      <c r="L79" s="8">
        <f>(parametros_manuales!$D$40*('Plan mensual'!N24+IF(parametros_manuales!$H$40="Todos",'Plan mensual'!N28,0))+parametros_manuales!$E$40*('Plan mensual'!N25+IF(parametros_manuales!$H$40="Todos",'Plan mensual'!N29,0))+parametros_manuales!$F$40*('Plan mensual'!N26+IF(parametros_manuales!$H$40="Todos",'Plan mensual'!N30,0))+parametros_manuales!$G$40*('Plan mensual'!N27+IF(parametros_manuales!$H$40="Todos",'Plan mensual'!N31,0)))*parametros_manuales!$I$40*parametros_manuales!$J$40</f>
        <v>966.03</v>
      </c>
      <c r="M79" s="8">
        <f>(parametros_manuales!$D$40*('Plan mensual'!O24+IF(parametros_manuales!$H$40="Todos",'Plan mensual'!O28,0))+parametros_manuales!$E$40*('Plan mensual'!O25+IF(parametros_manuales!$H$40="Todos",'Plan mensual'!O29,0))+parametros_manuales!$F$40*('Plan mensual'!O26+IF(parametros_manuales!$H$40="Todos",'Plan mensual'!O30,0))+parametros_manuales!$G$40*('Plan mensual'!O27+IF(parametros_manuales!$H$40="Todos",'Plan mensual'!O31,0)))*parametros_manuales!$I$40*parametros_manuales!$J$40</f>
        <v>1532.73</v>
      </c>
      <c r="N79" s="8">
        <f t="shared" si="7"/>
        <v>13311</v>
      </c>
      <c r="O79" s="8">
        <f t="shared" si="8"/>
        <v>1532.73</v>
      </c>
      <c r="P79" s="27">
        <f>O79/(parametros_manuales!$B$7)</f>
        <v>10.2182</v>
      </c>
      <c r="Q79" s="4" t="str">
        <f t="shared" si="9"/>
        <v>Dic</v>
      </c>
    </row>
    <row r="80" ht="14.25" customHeight="1">
      <c r="A80" s="4" t="str">
        <f>parametros_manuales!$B$41</f>
        <v>Presurización</v>
      </c>
      <c r="B80" s="8">
        <f>(parametros_manuales!$D$41*('Plan mensual'!D24+IF(parametros_manuales!$H$41="Todos",'Plan mensual'!D28,0))+parametros_manuales!$E$41*('Plan mensual'!D25+IF(parametros_manuales!$H$41="Todos",'Plan mensual'!D29,0))+parametros_manuales!$F$41*('Plan mensual'!D26+IF(parametros_manuales!$H$41="Todos",'Plan mensual'!D30,0))+parametros_manuales!$G$41*('Plan mensual'!D27+IF(parametros_manuales!$H$41="Todos",'Plan mensual'!D31,0)))*parametros_manuales!$I$41*parametros_manuales!$J$41</f>
        <v>1468.14</v>
      </c>
      <c r="C80" s="8">
        <f>(parametros_manuales!$D$41*('Plan mensual'!E24+IF(parametros_manuales!$H$41="Todos",'Plan mensual'!E28,0))+parametros_manuales!$E$41*('Plan mensual'!E25+IF(parametros_manuales!$H$41="Todos",'Plan mensual'!E29,0))+parametros_manuales!$F$41*('Plan mensual'!E26+IF(parametros_manuales!$H$41="Todos",'Plan mensual'!E30,0))+parametros_manuales!$G$41*('Plan mensual'!E27+IF(parametros_manuales!$H$41="Todos",'Plan mensual'!E31,0)))*parametros_manuales!$I$41*parametros_manuales!$J$41</f>
        <v>1133.4</v>
      </c>
      <c r="D80" s="8">
        <f>(parametros_manuales!$D$41*('Plan mensual'!F24+IF(parametros_manuales!$H$41="Todos",'Plan mensual'!F28,0))+parametros_manuales!$E$41*('Plan mensual'!F25+IF(parametros_manuales!$H$41="Todos",'Plan mensual'!F29,0))+parametros_manuales!$F$41*('Plan mensual'!F26+IF(parametros_manuales!$H$41="Todos",'Plan mensual'!F30,0))+parametros_manuales!$G$41*('Plan mensual'!F27+IF(parametros_manuales!$H$41="Todos",'Plan mensual'!F31,0)))*parametros_manuales!$I$41*parametros_manuales!$J$41</f>
        <v>1097.175</v>
      </c>
      <c r="E80" s="8">
        <f>(parametros_manuales!$D$41*('Plan mensual'!G24+IF(parametros_manuales!$H$41="Todos",'Plan mensual'!G28,0))+parametros_manuales!$E$41*('Plan mensual'!G25+IF(parametros_manuales!$H$41="Todos",'Plan mensual'!G29,0))+parametros_manuales!$F$41*('Plan mensual'!G26+IF(parametros_manuales!$H$41="Todos",'Plan mensual'!G30,0))+parametros_manuales!$G$41*('Plan mensual'!G27+IF(parametros_manuales!$H$41="Todos",'Plan mensual'!G31,0)))*parametros_manuales!$I$41*parametros_manuales!$J$41</f>
        <v>1062.915</v>
      </c>
      <c r="F80" s="8">
        <f>(parametros_manuales!$D$41*('Plan mensual'!H24+IF(parametros_manuales!$H$41="Todos",'Plan mensual'!H28,0))+parametros_manuales!$E$41*('Plan mensual'!H25+IF(parametros_manuales!$H$41="Todos",'Plan mensual'!H29,0))+parametros_manuales!$F$41*('Plan mensual'!H26+IF(parametros_manuales!$H$41="Todos",'Plan mensual'!H30,0))+parametros_manuales!$G$41*('Plan mensual'!H27+IF(parametros_manuales!$H$41="Todos",'Plan mensual'!H31,0)))*parametros_manuales!$I$41*parametros_manuales!$J$41</f>
        <v>996.36</v>
      </c>
      <c r="G80" s="8">
        <f>(parametros_manuales!$D$41*('Plan mensual'!I24+IF(parametros_manuales!$H$41="Todos",'Plan mensual'!I28,0))+parametros_manuales!$E$41*('Plan mensual'!I25+IF(parametros_manuales!$H$41="Todos",'Plan mensual'!I29,0))+parametros_manuales!$F$41*('Plan mensual'!I26+IF(parametros_manuales!$H$41="Todos",'Plan mensual'!I30,0))+parametros_manuales!$G$41*('Plan mensual'!I27+IF(parametros_manuales!$H$41="Todos",'Plan mensual'!I31,0)))*parametros_manuales!$I$41*parametros_manuales!$J$41</f>
        <v>964.065</v>
      </c>
      <c r="H80" s="8">
        <f>(parametros_manuales!$D$41*('Plan mensual'!J24+IF(parametros_manuales!$H$41="Todos",'Plan mensual'!J28,0))+parametros_manuales!$E$41*('Plan mensual'!J25+IF(parametros_manuales!$H$41="Todos",'Plan mensual'!J29,0))+parametros_manuales!$F$41*('Plan mensual'!J26+IF(parametros_manuales!$H$41="Todos",'Plan mensual'!J30,0))+parametros_manuales!$G$41*('Plan mensual'!J27+IF(parametros_manuales!$H$41="Todos",'Plan mensual'!J31,0)))*parametros_manuales!$I$41*parametros_manuales!$J$41</f>
        <v>1030.62</v>
      </c>
      <c r="I80" s="8">
        <f>(parametros_manuales!$D$41*('Plan mensual'!K24+IF(parametros_manuales!$H$41="Todos",'Plan mensual'!K28,0))+parametros_manuales!$E$41*('Plan mensual'!K25+IF(parametros_manuales!$H$41="Todos",'Plan mensual'!K29,0))+parametros_manuales!$F$41*('Plan mensual'!K26+IF(parametros_manuales!$H$41="Todos",'Plan mensual'!K30,0))+parametros_manuales!$G$41*('Plan mensual'!K27+IF(parametros_manuales!$H$41="Todos",'Plan mensual'!K31,0)))*parametros_manuales!$I$41*parametros_manuales!$J$41</f>
        <v>1030.62</v>
      </c>
      <c r="J80" s="8">
        <f>(parametros_manuales!$D$41*('Plan mensual'!L24+IF(parametros_manuales!$H$41="Todos",'Plan mensual'!L28,0))+parametros_manuales!$E$41*('Plan mensual'!L25+IF(parametros_manuales!$H$41="Todos",'Plan mensual'!L29,0))+parametros_manuales!$F$41*('Plan mensual'!L26+IF(parametros_manuales!$H$41="Todos",'Plan mensual'!L30,0))+parametros_manuales!$G$41*('Plan mensual'!L27+IF(parametros_manuales!$H$41="Todos",'Plan mensual'!L31,0)))*parametros_manuales!$I$41*parametros_manuales!$J$41</f>
        <v>1030.62</v>
      </c>
      <c r="K80" s="8">
        <f>(parametros_manuales!$D$41*('Plan mensual'!M24+IF(parametros_manuales!$H$41="Todos",'Plan mensual'!M28,0))+parametros_manuales!$E$41*('Plan mensual'!M25+IF(parametros_manuales!$H$41="Todos",'Plan mensual'!M29,0))+parametros_manuales!$F$41*('Plan mensual'!M26+IF(parametros_manuales!$H$41="Todos",'Plan mensual'!M30,0))+parametros_manuales!$G$41*('Plan mensual'!M27+IF(parametros_manuales!$H$41="Todos",'Plan mensual'!M31,0)))*parametros_manuales!$I$41*parametros_manuales!$J$41</f>
        <v>998.325</v>
      </c>
      <c r="L80" s="8">
        <f>(parametros_manuales!$D$41*('Plan mensual'!N24+IF(parametros_manuales!$H$41="Todos",'Plan mensual'!N28,0))+parametros_manuales!$E$41*('Plan mensual'!N25+IF(parametros_manuales!$H$41="Todos",'Plan mensual'!N29,0))+parametros_manuales!$F$41*('Plan mensual'!N26+IF(parametros_manuales!$H$41="Todos",'Plan mensual'!N30,0))+parametros_manuales!$G$41*('Plan mensual'!N27+IF(parametros_manuales!$H$41="Todos",'Plan mensual'!N31,0)))*parametros_manuales!$I$41*parametros_manuales!$J$41</f>
        <v>966.03</v>
      </c>
      <c r="M80" s="8">
        <f>(parametros_manuales!$D$41*('Plan mensual'!O24+IF(parametros_manuales!$H$41="Todos",'Plan mensual'!O28,0))+parametros_manuales!$E$41*('Plan mensual'!O25+IF(parametros_manuales!$H$41="Todos",'Plan mensual'!O29,0))+parametros_manuales!$F$41*('Plan mensual'!O26+IF(parametros_manuales!$H$41="Todos",'Plan mensual'!O30,0))+parametros_manuales!$G$41*('Plan mensual'!O27+IF(parametros_manuales!$H$41="Todos",'Plan mensual'!O31,0)))*parametros_manuales!$I$41*parametros_manuales!$J$41</f>
        <v>1532.73</v>
      </c>
      <c r="N80" s="8">
        <f t="shared" si="7"/>
        <v>13311</v>
      </c>
      <c r="O80" s="8">
        <f t="shared" si="8"/>
        <v>1532.73</v>
      </c>
      <c r="P80" s="27">
        <f>O80/(parametros_manuales!$B$7)</f>
        <v>10.2182</v>
      </c>
      <c r="Q80" s="4" t="str">
        <f t="shared" si="9"/>
        <v>Dic</v>
      </c>
    </row>
    <row r="81" ht="14.25" customHeight="1">
      <c r="A81" s="4" t="str">
        <f>parametros_manuales!$B$42</f>
        <v>Control de calidad — Ensayo de pérdidas</v>
      </c>
      <c r="B81" s="8">
        <f>(parametros_manuales!$D$42*('Plan mensual'!D24+IF(parametros_manuales!$H$42="Todos",'Plan mensual'!D28,0))+parametros_manuales!$E$42*('Plan mensual'!D25+IF(parametros_manuales!$H$42="Todos",'Plan mensual'!D29,0))+parametros_manuales!$F$42*('Plan mensual'!D26+IF(parametros_manuales!$H$42="Todos",'Plan mensual'!D30,0))+parametros_manuales!$G$42*('Plan mensual'!D27+IF(parametros_manuales!$H$42="Todos",'Plan mensual'!D31,0)))*parametros_manuales!$I$42*parametros_manuales!$J$42</f>
        <v>1468.14</v>
      </c>
      <c r="C81" s="8">
        <f>(parametros_manuales!$D$42*('Plan mensual'!E24+IF(parametros_manuales!$H$42="Todos",'Plan mensual'!E28,0))+parametros_manuales!$E$42*('Plan mensual'!E25+IF(parametros_manuales!$H$42="Todos",'Plan mensual'!E29,0))+parametros_manuales!$F$42*('Plan mensual'!E26+IF(parametros_manuales!$H$42="Todos",'Plan mensual'!E30,0))+parametros_manuales!$G$42*('Plan mensual'!E27+IF(parametros_manuales!$H$42="Todos",'Plan mensual'!E31,0)))*parametros_manuales!$I$42*parametros_manuales!$J$42</f>
        <v>1133.4</v>
      </c>
      <c r="D81" s="8">
        <f>(parametros_manuales!$D$42*('Plan mensual'!F24+IF(parametros_manuales!$H$42="Todos",'Plan mensual'!F28,0))+parametros_manuales!$E$42*('Plan mensual'!F25+IF(parametros_manuales!$H$42="Todos",'Plan mensual'!F29,0))+parametros_manuales!$F$42*('Plan mensual'!F26+IF(parametros_manuales!$H$42="Todos",'Plan mensual'!F30,0))+parametros_manuales!$G$42*('Plan mensual'!F27+IF(parametros_manuales!$H$42="Todos",'Plan mensual'!F31,0)))*parametros_manuales!$I$42*parametros_manuales!$J$42</f>
        <v>1097.175</v>
      </c>
      <c r="E81" s="8">
        <f>(parametros_manuales!$D$42*('Plan mensual'!G24+IF(parametros_manuales!$H$42="Todos",'Plan mensual'!G28,0))+parametros_manuales!$E$42*('Plan mensual'!G25+IF(parametros_manuales!$H$42="Todos",'Plan mensual'!G29,0))+parametros_manuales!$F$42*('Plan mensual'!G26+IF(parametros_manuales!$H$42="Todos",'Plan mensual'!G30,0))+parametros_manuales!$G$42*('Plan mensual'!G27+IF(parametros_manuales!$H$42="Todos",'Plan mensual'!G31,0)))*parametros_manuales!$I$42*parametros_manuales!$J$42</f>
        <v>1062.915</v>
      </c>
      <c r="F81" s="8">
        <f>(parametros_manuales!$D$42*('Plan mensual'!H24+IF(parametros_manuales!$H$42="Todos",'Plan mensual'!H28,0))+parametros_manuales!$E$42*('Plan mensual'!H25+IF(parametros_manuales!$H$42="Todos",'Plan mensual'!H29,0))+parametros_manuales!$F$42*('Plan mensual'!H26+IF(parametros_manuales!$H$42="Todos",'Plan mensual'!H30,0))+parametros_manuales!$G$42*('Plan mensual'!H27+IF(parametros_manuales!$H$42="Todos",'Plan mensual'!H31,0)))*parametros_manuales!$I$42*parametros_manuales!$J$42</f>
        <v>996.36</v>
      </c>
      <c r="G81" s="8">
        <f>(parametros_manuales!$D$42*('Plan mensual'!I24+IF(parametros_manuales!$H$42="Todos",'Plan mensual'!I28,0))+parametros_manuales!$E$42*('Plan mensual'!I25+IF(parametros_manuales!$H$42="Todos",'Plan mensual'!I29,0))+parametros_manuales!$F$42*('Plan mensual'!I26+IF(parametros_manuales!$H$42="Todos",'Plan mensual'!I30,0))+parametros_manuales!$G$42*('Plan mensual'!I27+IF(parametros_manuales!$H$42="Todos",'Plan mensual'!I31,0)))*parametros_manuales!$I$42*parametros_manuales!$J$42</f>
        <v>964.065</v>
      </c>
      <c r="H81" s="8">
        <f>(parametros_manuales!$D$42*('Plan mensual'!J24+IF(parametros_manuales!$H$42="Todos",'Plan mensual'!J28,0))+parametros_manuales!$E$42*('Plan mensual'!J25+IF(parametros_manuales!$H$42="Todos",'Plan mensual'!J29,0))+parametros_manuales!$F$42*('Plan mensual'!J26+IF(parametros_manuales!$H$42="Todos",'Plan mensual'!J30,0))+parametros_manuales!$G$42*('Plan mensual'!J27+IF(parametros_manuales!$H$42="Todos",'Plan mensual'!J31,0)))*parametros_manuales!$I$42*parametros_manuales!$J$42</f>
        <v>1030.62</v>
      </c>
      <c r="I81" s="8">
        <f>(parametros_manuales!$D$42*('Plan mensual'!K24+IF(parametros_manuales!$H$42="Todos",'Plan mensual'!K28,0))+parametros_manuales!$E$42*('Plan mensual'!K25+IF(parametros_manuales!$H$42="Todos",'Plan mensual'!K29,0))+parametros_manuales!$F$42*('Plan mensual'!K26+IF(parametros_manuales!$H$42="Todos",'Plan mensual'!K30,0))+parametros_manuales!$G$42*('Plan mensual'!K27+IF(parametros_manuales!$H$42="Todos",'Plan mensual'!K31,0)))*parametros_manuales!$I$42*parametros_manuales!$J$42</f>
        <v>1030.62</v>
      </c>
      <c r="J81" s="8">
        <f>(parametros_manuales!$D$42*('Plan mensual'!L24+IF(parametros_manuales!$H$42="Todos",'Plan mensual'!L28,0))+parametros_manuales!$E$42*('Plan mensual'!L25+IF(parametros_manuales!$H$42="Todos",'Plan mensual'!L29,0))+parametros_manuales!$F$42*('Plan mensual'!L26+IF(parametros_manuales!$H$42="Todos",'Plan mensual'!L30,0))+parametros_manuales!$G$42*('Plan mensual'!L27+IF(parametros_manuales!$H$42="Todos",'Plan mensual'!L31,0)))*parametros_manuales!$I$42*parametros_manuales!$J$42</f>
        <v>1030.62</v>
      </c>
      <c r="K81" s="8">
        <f>(parametros_manuales!$D$42*('Plan mensual'!M24+IF(parametros_manuales!$H$42="Todos",'Plan mensual'!M28,0))+parametros_manuales!$E$42*('Plan mensual'!M25+IF(parametros_manuales!$H$42="Todos",'Plan mensual'!M29,0))+parametros_manuales!$F$42*('Plan mensual'!M26+IF(parametros_manuales!$H$42="Todos",'Plan mensual'!M30,0))+parametros_manuales!$G$42*('Plan mensual'!M27+IF(parametros_manuales!$H$42="Todos",'Plan mensual'!M31,0)))*parametros_manuales!$I$42*parametros_manuales!$J$42</f>
        <v>998.325</v>
      </c>
      <c r="L81" s="8">
        <f>(parametros_manuales!$D$42*('Plan mensual'!N24+IF(parametros_manuales!$H$42="Todos",'Plan mensual'!N28,0))+parametros_manuales!$E$42*('Plan mensual'!N25+IF(parametros_manuales!$H$42="Todos",'Plan mensual'!N29,0))+parametros_manuales!$F$42*('Plan mensual'!N26+IF(parametros_manuales!$H$42="Todos",'Plan mensual'!N30,0))+parametros_manuales!$G$42*('Plan mensual'!N27+IF(parametros_manuales!$H$42="Todos",'Plan mensual'!N31,0)))*parametros_manuales!$I$42*parametros_manuales!$J$42</f>
        <v>966.03</v>
      </c>
      <c r="M81" s="8">
        <f>(parametros_manuales!$D$42*('Plan mensual'!O24+IF(parametros_manuales!$H$42="Todos",'Plan mensual'!O28,0))+parametros_manuales!$E$42*('Plan mensual'!O25+IF(parametros_manuales!$H$42="Todos",'Plan mensual'!O29,0))+parametros_manuales!$F$42*('Plan mensual'!O26+IF(parametros_manuales!$H$42="Todos",'Plan mensual'!O30,0))+parametros_manuales!$G$42*('Plan mensual'!O27+IF(parametros_manuales!$H$42="Todos",'Plan mensual'!O31,0)))*parametros_manuales!$I$42*parametros_manuales!$J$42</f>
        <v>1532.73</v>
      </c>
      <c r="N81" s="8">
        <f t="shared" si="7"/>
        <v>13311</v>
      </c>
      <c r="O81" s="8">
        <f t="shared" si="8"/>
        <v>1532.73</v>
      </c>
      <c r="P81" s="27">
        <f>O81/(parametros_manuales!$B$7)</f>
        <v>10.2182</v>
      </c>
      <c r="Q81" s="4" t="str">
        <f t="shared" si="9"/>
        <v>Dic</v>
      </c>
    </row>
    <row r="82" ht="14.25" customHeight="1">
      <c r="A82" s="4" t="str">
        <f>parametros_manuales!$B$43</f>
        <v>Etiquetado</v>
      </c>
      <c r="B82" s="8">
        <f>(parametros_manuales!$D$43*('Plan mensual'!D24+IF(parametros_manuales!$H$43="Todos",'Plan mensual'!D28,0))+parametros_manuales!$E$43*('Plan mensual'!D25+IF(parametros_manuales!$H$43="Todos",'Plan mensual'!D29,0))+parametros_manuales!$F$43*('Plan mensual'!D26+IF(parametros_manuales!$H$43="Todos",'Plan mensual'!D30,0))+parametros_manuales!$G$43*('Plan mensual'!D27+IF(parametros_manuales!$H$43="Todos",'Plan mensual'!D31,0)))*parametros_manuales!$I$43*parametros_manuales!$J$43</f>
        <v>1468.14</v>
      </c>
      <c r="C82" s="8">
        <f>(parametros_manuales!$D$43*('Plan mensual'!E24+IF(parametros_manuales!$H$43="Todos",'Plan mensual'!E28,0))+parametros_manuales!$E$43*('Plan mensual'!E25+IF(parametros_manuales!$H$43="Todos",'Plan mensual'!E29,0))+parametros_manuales!$F$43*('Plan mensual'!E26+IF(parametros_manuales!$H$43="Todos",'Plan mensual'!E30,0))+parametros_manuales!$G$43*('Plan mensual'!E27+IF(parametros_manuales!$H$43="Todos",'Plan mensual'!E31,0)))*parametros_manuales!$I$43*parametros_manuales!$J$43</f>
        <v>1133.4</v>
      </c>
      <c r="D82" s="8">
        <f>(parametros_manuales!$D$43*('Plan mensual'!F24+IF(parametros_manuales!$H$43="Todos",'Plan mensual'!F28,0))+parametros_manuales!$E$43*('Plan mensual'!F25+IF(parametros_manuales!$H$43="Todos",'Plan mensual'!F29,0))+parametros_manuales!$F$43*('Plan mensual'!F26+IF(parametros_manuales!$H$43="Todos",'Plan mensual'!F30,0))+parametros_manuales!$G$43*('Plan mensual'!F27+IF(parametros_manuales!$H$43="Todos",'Plan mensual'!F31,0)))*parametros_manuales!$I$43*parametros_manuales!$J$43</f>
        <v>1097.175</v>
      </c>
      <c r="E82" s="8">
        <f>(parametros_manuales!$D$43*('Plan mensual'!G24+IF(parametros_manuales!$H$43="Todos",'Plan mensual'!G28,0))+parametros_manuales!$E$43*('Plan mensual'!G25+IF(parametros_manuales!$H$43="Todos",'Plan mensual'!G29,0))+parametros_manuales!$F$43*('Plan mensual'!G26+IF(parametros_manuales!$H$43="Todos",'Plan mensual'!G30,0))+parametros_manuales!$G$43*('Plan mensual'!G27+IF(parametros_manuales!$H$43="Todos",'Plan mensual'!G31,0)))*parametros_manuales!$I$43*parametros_manuales!$J$43</f>
        <v>1062.915</v>
      </c>
      <c r="F82" s="8">
        <f>(parametros_manuales!$D$43*('Plan mensual'!H24+IF(parametros_manuales!$H$43="Todos",'Plan mensual'!H28,0))+parametros_manuales!$E$43*('Plan mensual'!H25+IF(parametros_manuales!$H$43="Todos",'Plan mensual'!H29,0))+parametros_manuales!$F$43*('Plan mensual'!H26+IF(parametros_manuales!$H$43="Todos",'Plan mensual'!H30,0))+parametros_manuales!$G$43*('Plan mensual'!H27+IF(parametros_manuales!$H$43="Todos",'Plan mensual'!H31,0)))*parametros_manuales!$I$43*parametros_manuales!$J$43</f>
        <v>996.36</v>
      </c>
      <c r="G82" s="8">
        <f>(parametros_manuales!$D$43*('Plan mensual'!I24+IF(parametros_manuales!$H$43="Todos",'Plan mensual'!I28,0))+parametros_manuales!$E$43*('Plan mensual'!I25+IF(parametros_manuales!$H$43="Todos",'Plan mensual'!I29,0))+parametros_manuales!$F$43*('Plan mensual'!I26+IF(parametros_manuales!$H$43="Todos",'Plan mensual'!I30,0))+parametros_manuales!$G$43*('Plan mensual'!I27+IF(parametros_manuales!$H$43="Todos",'Plan mensual'!I31,0)))*parametros_manuales!$I$43*parametros_manuales!$J$43</f>
        <v>964.065</v>
      </c>
      <c r="H82" s="8">
        <f>(parametros_manuales!$D$43*('Plan mensual'!J24+IF(parametros_manuales!$H$43="Todos",'Plan mensual'!J28,0))+parametros_manuales!$E$43*('Plan mensual'!J25+IF(parametros_manuales!$H$43="Todos",'Plan mensual'!J29,0))+parametros_manuales!$F$43*('Plan mensual'!J26+IF(parametros_manuales!$H$43="Todos",'Plan mensual'!J30,0))+parametros_manuales!$G$43*('Plan mensual'!J27+IF(parametros_manuales!$H$43="Todos",'Plan mensual'!J31,0)))*parametros_manuales!$I$43*parametros_manuales!$J$43</f>
        <v>1030.62</v>
      </c>
      <c r="I82" s="8">
        <f>(parametros_manuales!$D$43*('Plan mensual'!K24+IF(parametros_manuales!$H$43="Todos",'Plan mensual'!K28,0))+parametros_manuales!$E$43*('Plan mensual'!K25+IF(parametros_manuales!$H$43="Todos",'Plan mensual'!K29,0))+parametros_manuales!$F$43*('Plan mensual'!K26+IF(parametros_manuales!$H$43="Todos",'Plan mensual'!K30,0))+parametros_manuales!$G$43*('Plan mensual'!K27+IF(parametros_manuales!$H$43="Todos",'Plan mensual'!K31,0)))*parametros_manuales!$I$43*parametros_manuales!$J$43</f>
        <v>1030.62</v>
      </c>
      <c r="J82" s="8">
        <f>(parametros_manuales!$D$43*('Plan mensual'!L24+IF(parametros_manuales!$H$43="Todos",'Plan mensual'!L28,0))+parametros_manuales!$E$43*('Plan mensual'!L25+IF(parametros_manuales!$H$43="Todos",'Plan mensual'!L29,0))+parametros_manuales!$F$43*('Plan mensual'!L26+IF(parametros_manuales!$H$43="Todos",'Plan mensual'!L30,0))+parametros_manuales!$G$43*('Plan mensual'!L27+IF(parametros_manuales!$H$43="Todos",'Plan mensual'!L31,0)))*parametros_manuales!$I$43*parametros_manuales!$J$43</f>
        <v>1030.62</v>
      </c>
      <c r="K82" s="8">
        <f>(parametros_manuales!$D$43*('Plan mensual'!M24+IF(parametros_manuales!$H$43="Todos",'Plan mensual'!M28,0))+parametros_manuales!$E$43*('Plan mensual'!M25+IF(parametros_manuales!$H$43="Todos",'Plan mensual'!M29,0))+parametros_manuales!$F$43*('Plan mensual'!M26+IF(parametros_manuales!$H$43="Todos",'Plan mensual'!M30,0))+parametros_manuales!$G$43*('Plan mensual'!M27+IF(parametros_manuales!$H$43="Todos",'Plan mensual'!M31,0)))*parametros_manuales!$I$43*parametros_manuales!$J$43</f>
        <v>998.325</v>
      </c>
      <c r="L82" s="8">
        <f>(parametros_manuales!$D$43*('Plan mensual'!N24+IF(parametros_manuales!$H$43="Todos",'Plan mensual'!N28,0))+parametros_manuales!$E$43*('Plan mensual'!N25+IF(parametros_manuales!$H$43="Todos",'Plan mensual'!N29,0))+parametros_manuales!$F$43*('Plan mensual'!N26+IF(parametros_manuales!$H$43="Todos",'Plan mensual'!N30,0))+parametros_manuales!$G$43*('Plan mensual'!N27+IF(parametros_manuales!$H$43="Todos",'Plan mensual'!N31,0)))*parametros_manuales!$I$43*parametros_manuales!$J$43</f>
        <v>966.03</v>
      </c>
      <c r="M82" s="8">
        <f>(parametros_manuales!$D$43*('Plan mensual'!O24+IF(parametros_manuales!$H$43="Todos",'Plan mensual'!O28,0))+parametros_manuales!$E$43*('Plan mensual'!O25+IF(parametros_manuales!$H$43="Todos",'Plan mensual'!O29,0))+parametros_manuales!$F$43*('Plan mensual'!O26+IF(parametros_manuales!$H$43="Todos",'Plan mensual'!O30,0))+parametros_manuales!$G$43*('Plan mensual'!O27+IF(parametros_manuales!$H$43="Todos",'Plan mensual'!O31,0)))*parametros_manuales!$I$43*parametros_manuales!$J$43</f>
        <v>1532.73</v>
      </c>
      <c r="N82" s="8">
        <f t="shared" si="7"/>
        <v>13311</v>
      </c>
      <c r="O82" s="8">
        <f t="shared" si="8"/>
        <v>1532.73</v>
      </c>
      <c r="P82" s="27">
        <f>O82/(parametros_manuales!$B$7)</f>
        <v>10.2182</v>
      </c>
      <c r="Q82" s="4" t="str">
        <f t="shared" si="9"/>
        <v>Dic</v>
      </c>
    </row>
    <row r="83" ht="14.25" customHeight="1">
      <c r="A83" s="4" t="str">
        <f>parametros_manuales!$B$44</f>
        <v>Embalaje y paletizado</v>
      </c>
      <c r="B83" s="8">
        <f>(parametros_manuales!$D$44*('Plan mensual'!D24+IF(parametros_manuales!$H$44="Todos",'Plan mensual'!D28,0))+parametros_manuales!$E$44*('Plan mensual'!D25+IF(parametros_manuales!$H$44="Todos",'Plan mensual'!D29,0))+parametros_manuales!$F$44*('Plan mensual'!D26+IF(parametros_manuales!$H$44="Todos",'Plan mensual'!D30,0))+parametros_manuales!$G$44*('Plan mensual'!D27+IF(parametros_manuales!$H$44="Todos",'Plan mensual'!D31,0)))*parametros_manuales!$I$44*parametros_manuales!$J$44</f>
        <v>2596.78</v>
      </c>
      <c r="C83" s="8">
        <f>(parametros_manuales!$D$44*('Plan mensual'!E24+IF(parametros_manuales!$H$44="Todos",'Plan mensual'!E28,0))+parametros_manuales!$E$44*('Plan mensual'!E25+IF(parametros_manuales!$H$44="Todos",'Plan mensual'!E29,0))+parametros_manuales!$F$44*('Plan mensual'!E26+IF(parametros_manuales!$H$44="Todos",'Plan mensual'!E30,0))+parametros_manuales!$G$44*('Plan mensual'!E27+IF(parametros_manuales!$H$44="Todos",'Plan mensual'!E31,0)))*parametros_manuales!$I$44*parametros_manuales!$J$44</f>
        <v>1990.34</v>
      </c>
      <c r="D83" s="8">
        <f>(parametros_manuales!$D$44*('Plan mensual'!F24+IF(parametros_manuales!$H$44="Todos",'Plan mensual'!F28,0))+parametros_manuales!$E$44*('Plan mensual'!F25+IF(parametros_manuales!$H$44="Todos",'Plan mensual'!F29,0))+parametros_manuales!$F$44*('Plan mensual'!F26+IF(parametros_manuales!$H$44="Todos",'Plan mensual'!F30,0))+parametros_manuales!$G$44*('Plan mensual'!F27+IF(parametros_manuales!$H$44="Todos",'Plan mensual'!F31,0)))*parametros_manuales!$I$44*parametros_manuales!$J$44</f>
        <v>1887.955</v>
      </c>
      <c r="E83" s="8">
        <f>(parametros_manuales!$D$44*('Plan mensual'!G24+IF(parametros_manuales!$H$44="Todos",'Plan mensual'!G28,0))+parametros_manuales!$E$44*('Plan mensual'!G25+IF(parametros_manuales!$H$44="Todos",'Plan mensual'!G29,0))+parametros_manuales!$F$44*('Plan mensual'!G26+IF(parametros_manuales!$H$44="Todos",'Plan mensual'!G30,0))+parametros_manuales!$G$44*('Plan mensual'!G27+IF(parametros_manuales!$H$44="Todos",'Plan mensual'!G31,0)))*parametros_manuales!$I$44*parametros_manuales!$J$44</f>
        <v>1815.385</v>
      </c>
      <c r="F83" s="8">
        <f>(parametros_manuales!$D$44*('Plan mensual'!H24+IF(parametros_manuales!$H$44="Todos",'Plan mensual'!H28,0))+parametros_manuales!$E$44*('Plan mensual'!H25+IF(parametros_manuales!$H$44="Todos",'Plan mensual'!H29,0))+parametros_manuales!$F$44*('Plan mensual'!H26+IF(parametros_manuales!$H$44="Todos",'Plan mensual'!H30,0))+parametros_manuales!$G$44*('Plan mensual'!H27+IF(parametros_manuales!$H$44="Todos",'Plan mensual'!H31,0)))*parametros_manuales!$I$44*parametros_manuales!$J$44</f>
        <v>1700.06</v>
      </c>
      <c r="G83" s="8">
        <f>(parametros_manuales!$D$44*('Plan mensual'!I24+IF(parametros_manuales!$H$44="Todos",'Plan mensual'!I28,0))+parametros_manuales!$E$44*('Plan mensual'!I25+IF(parametros_manuales!$H$44="Todos",'Plan mensual'!I29,0))+parametros_manuales!$F$44*('Plan mensual'!I26+IF(parametros_manuales!$H$44="Todos",'Plan mensual'!I30,0))+parametros_manuales!$G$44*('Plan mensual'!I27+IF(parametros_manuales!$H$44="Todos",'Plan mensual'!I31,0)))*parametros_manuales!$I$44*parametros_manuales!$J$44</f>
        <v>1657.305</v>
      </c>
      <c r="H83" s="8">
        <f>(parametros_manuales!$D$44*('Plan mensual'!J24+IF(parametros_manuales!$H$44="Todos",'Plan mensual'!J28,0))+parametros_manuales!$E$44*('Plan mensual'!J25+IF(parametros_manuales!$H$44="Todos",'Plan mensual'!J29,0))+parametros_manuales!$F$44*('Plan mensual'!J26+IF(parametros_manuales!$H$44="Todos",'Plan mensual'!J30,0))+parametros_manuales!$G$44*('Plan mensual'!J27+IF(parametros_manuales!$H$44="Todos",'Plan mensual'!J31,0)))*parametros_manuales!$I$44*parametros_manuales!$J$44</f>
        <v>1772.63</v>
      </c>
      <c r="I83" s="8">
        <f>(parametros_manuales!$D$44*('Plan mensual'!K24+IF(parametros_manuales!$H$44="Todos",'Plan mensual'!K28,0))+parametros_manuales!$E$44*('Plan mensual'!K25+IF(parametros_manuales!$H$44="Todos",'Plan mensual'!K29,0))+parametros_manuales!$F$44*('Plan mensual'!K26+IF(parametros_manuales!$H$44="Todos",'Plan mensual'!K30,0))+parametros_manuales!$G$44*('Plan mensual'!K27+IF(parametros_manuales!$H$44="Todos",'Plan mensual'!K31,0)))*parametros_manuales!$I$44*parametros_manuales!$J$44</f>
        <v>1772.63</v>
      </c>
      <c r="J83" s="8">
        <f>(parametros_manuales!$D$44*('Plan mensual'!L24+IF(parametros_manuales!$H$44="Todos",'Plan mensual'!L28,0))+parametros_manuales!$E$44*('Plan mensual'!L25+IF(parametros_manuales!$H$44="Todos",'Plan mensual'!L29,0))+parametros_manuales!$F$44*('Plan mensual'!L26+IF(parametros_manuales!$H$44="Todos",'Plan mensual'!L30,0))+parametros_manuales!$G$44*('Plan mensual'!L27+IF(parametros_manuales!$H$44="Todos",'Plan mensual'!L31,0)))*parametros_manuales!$I$44*parametros_manuales!$J$44</f>
        <v>1772.63</v>
      </c>
      <c r="K83" s="8">
        <f>(parametros_manuales!$D$44*('Plan mensual'!M24+IF(parametros_manuales!$H$44="Todos",'Plan mensual'!M28,0))+parametros_manuales!$E$44*('Plan mensual'!M25+IF(parametros_manuales!$H$44="Todos",'Plan mensual'!M29,0))+parametros_manuales!$F$44*('Plan mensual'!M26+IF(parametros_manuales!$H$44="Todos",'Plan mensual'!M30,0))+parametros_manuales!$G$44*('Plan mensual'!M27+IF(parametros_manuales!$H$44="Todos",'Plan mensual'!M31,0)))*parametros_manuales!$I$44*parametros_manuales!$J$44</f>
        <v>1729.875</v>
      </c>
      <c r="L83" s="8">
        <f>(parametros_manuales!$D$44*('Plan mensual'!N24+IF(parametros_manuales!$H$44="Todos",'Plan mensual'!N28,0))+parametros_manuales!$E$44*('Plan mensual'!N25+IF(parametros_manuales!$H$44="Todos",'Plan mensual'!N29,0))+parametros_manuales!$F$44*('Plan mensual'!N26+IF(parametros_manuales!$H$44="Todos",'Plan mensual'!N30,0))+parametros_manuales!$G$44*('Plan mensual'!N27+IF(parametros_manuales!$H$44="Todos",'Plan mensual'!N31,0)))*parametros_manuales!$I$44*parametros_manuales!$J$44</f>
        <v>1687.12</v>
      </c>
      <c r="M83" s="8">
        <f>(parametros_manuales!$D$44*('Plan mensual'!O24+IF(parametros_manuales!$H$44="Todos",'Plan mensual'!O28,0))+parametros_manuales!$E$44*('Plan mensual'!O25+IF(parametros_manuales!$H$44="Todos",'Plan mensual'!O29,0))+parametros_manuales!$F$44*('Plan mensual'!O26+IF(parametros_manuales!$H$44="Todos",'Plan mensual'!O30,0))+parametros_manuales!$G$44*('Plan mensual'!O27+IF(parametros_manuales!$H$44="Todos",'Plan mensual'!O31,0)))*parametros_manuales!$I$44*parametros_manuales!$J$44</f>
        <v>2682.29</v>
      </c>
      <c r="N83" s="8">
        <f t="shared" si="7"/>
        <v>23065</v>
      </c>
      <c r="O83" s="8">
        <f t="shared" si="8"/>
        <v>2682.29</v>
      </c>
      <c r="P83" s="27">
        <f>O83/(parametros_manuales!$B$7)</f>
        <v>17.88193333</v>
      </c>
      <c r="Q83" s="4" t="str">
        <f t="shared" si="9"/>
        <v>Dic</v>
      </c>
    </row>
    <row r="84" ht="14.25" customHeight="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</row>
    <row r="85" ht="14.25" customHeight="1">
      <c r="A85" s="1" t="s">
        <v>230</v>
      </c>
      <c r="B85" s="1" t="s">
        <v>5</v>
      </c>
      <c r="C85" s="1" t="s">
        <v>6</v>
      </c>
      <c r="D85" s="1" t="s">
        <v>7</v>
      </c>
      <c r="E85" s="1" t="s">
        <v>8</v>
      </c>
      <c r="F85" s="1" t="s">
        <v>9</v>
      </c>
      <c r="G85" s="1" t="s">
        <v>10</v>
      </c>
      <c r="H85" s="1" t="s">
        <v>12</v>
      </c>
      <c r="I85" s="1" t="s">
        <v>13</v>
      </c>
      <c r="J85" s="1" t="s">
        <v>15</v>
      </c>
      <c r="K85" s="1" t="s">
        <v>16</v>
      </c>
      <c r="L85" s="1" t="s">
        <v>17</v>
      </c>
      <c r="M85" s="1" t="s">
        <v>18</v>
      </c>
      <c r="N85" s="1" t="s">
        <v>19</v>
      </c>
      <c r="O85" s="1" t="s">
        <v>20</v>
      </c>
      <c r="P85" s="1" t="s">
        <v>21</v>
      </c>
      <c r="Q85" s="1" t="s">
        <v>22</v>
      </c>
    </row>
    <row r="86" ht="14.25" customHeight="1">
      <c r="A86" s="4" t="str">
        <f>parametros_manuales!$B$19</f>
        <v>Recepción de materia prima</v>
      </c>
      <c r="B86" s="8">
        <f>(parametros_manuales!$D$19*('Plan mensual'!D35+IF(parametros_manuales!$H$19="Todos",'Plan mensual'!D39,0))+parametros_manuales!$E$19*('Plan mensual'!D36+IF(parametros_manuales!$H$19="Todos",'Plan mensual'!D40,0))+parametros_manuales!$F$19*('Plan mensual'!D37+IF(parametros_manuales!$H$19="Todos",'Plan mensual'!D41,0))+parametros_manuales!$G$19*('Plan mensual'!D38+IF(parametros_manuales!$H$19="Todos",'Plan mensual'!D42,0)))*parametros_manuales!$I$19*parametros_manuales!$J$19</f>
        <v>5804.24</v>
      </c>
      <c r="C86" s="8">
        <f>(parametros_manuales!$D$19*('Plan mensual'!E35+IF(parametros_manuales!$H$19="Todos",'Plan mensual'!E39,0))+parametros_manuales!$E$19*('Plan mensual'!E36+IF(parametros_manuales!$H$19="Todos",'Plan mensual'!E40,0))+parametros_manuales!$F$19*('Plan mensual'!E37+IF(parametros_manuales!$H$19="Todos",'Plan mensual'!E41,0))+parametros_manuales!$G$19*('Plan mensual'!E38+IF(parametros_manuales!$H$19="Todos",'Plan mensual'!E42,0)))*parametros_manuales!$I$19*parametros_manuales!$J$19</f>
        <v>4432.42</v>
      </c>
      <c r="D86" s="8">
        <f>(parametros_manuales!$D$19*('Plan mensual'!F35+IF(parametros_manuales!$H$19="Todos",'Plan mensual'!F39,0))+parametros_manuales!$E$19*('Plan mensual'!F36+IF(parametros_manuales!$H$19="Todos",'Plan mensual'!F40,0))+parametros_manuales!$F$19*('Plan mensual'!F37+IF(parametros_manuales!$H$19="Todos",'Plan mensual'!F41,0))+parametros_manuales!$G$19*('Plan mensual'!F38+IF(parametros_manuales!$H$19="Todos",'Plan mensual'!F42,0)))*parametros_manuales!$I$19*parametros_manuales!$J$19</f>
        <v>4160.04</v>
      </c>
      <c r="E86" s="8">
        <f>(parametros_manuales!$D$19*('Plan mensual'!G35+IF(parametros_manuales!$H$19="Todos",'Plan mensual'!G39,0))+parametros_manuales!$E$19*('Plan mensual'!G36+IF(parametros_manuales!$H$19="Todos",'Plan mensual'!G40,0))+parametros_manuales!$F$19*('Plan mensual'!G37+IF(parametros_manuales!$H$19="Todos",'Plan mensual'!G41,0))+parametros_manuales!$G$19*('Plan mensual'!G38+IF(parametros_manuales!$H$19="Todos",'Plan mensual'!G42,0)))*parametros_manuales!$I$19*parametros_manuales!$J$19</f>
        <v>3984.23</v>
      </c>
      <c r="F86" s="8">
        <f>(parametros_manuales!$D$19*('Plan mensual'!H35+IF(parametros_manuales!$H$19="Todos",'Plan mensual'!H39,0))+parametros_manuales!$E$19*('Plan mensual'!H36+IF(parametros_manuales!$H$19="Todos",'Plan mensual'!H40,0))+parametros_manuales!$F$19*('Plan mensual'!H37+IF(parametros_manuales!$H$19="Todos",'Plan mensual'!H41,0))+parametros_manuales!$G$19*('Plan mensual'!H38+IF(parametros_manuales!$H$19="Todos",'Plan mensual'!H42,0)))*parametros_manuales!$I$19*parametros_manuales!$J$19</f>
        <v>3729.18</v>
      </c>
      <c r="G86" s="8">
        <f>(parametros_manuales!$D$19*('Plan mensual'!I35+IF(parametros_manuales!$H$19="Todos",'Plan mensual'!I39,0))+parametros_manuales!$E$19*('Plan mensual'!I36+IF(parametros_manuales!$H$19="Todos",'Plan mensual'!I40,0))+parametros_manuales!$F$19*('Plan mensual'!I37+IF(parametros_manuales!$H$19="Todos",'Plan mensual'!I41,0))+parametros_manuales!$G$19*('Plan mensual'!I38+IF(parametros_manuales!$H$19="Todos",'Plan mensual'!I42,0)))*parametros_manuales!$I$19*parametros_manuales!$J$19</f>
        <v>3649.94</v>
      </c>
      <c r="H86" s="8">
        <f>(parametros_manuales!$D$19*('Plan mensual'!J35+IF(parametros_manuales!$H$19="Todos",'Plan mensual'!J39,0))+parametros_manuales!$E$19*('Plan mensual'!J36+IF(parametros_manuales!$H$19="Todos",'Plan mensual'!J40,0))+parametros_manuales!$F$19*('Plan mensual'!J37+IF(parametros_manuales!$H$19="Todos",'Plan mensual'!J41,0))+parametros_manuales!$G$19*('Plan mensual'!J38+IF(parametros_manuales!$H$19="Todos",'Plan mensual'!J42,0)))*parametros_manuales!$I$19*parametros_manuales!$J$19</f>
        <v>3904.99</v>
      </c>
      <c r="I86" s="8">
        <f>(parametros_manuales!$D$19*('Plan mensual'!K35+IF(parametros_manuales!$H$19="Todos",'Plan mensual'!K39,0))+parametros_manuales!$E$19*('Plan mensual'!K36+IF(parametros_manuales!$H$19="Todos",'Plan mensual'!K40,0))+parametros_manuales!$F$19*('Plan mensual'!K37+IF(parametros_manuales!$H$19="Todos",'Plan mensual'!K41,0))+parametros_manuales!$G$19*('Plan mensual'!K38+IF(parametros_manuales!$H$19="Todos",'Plan mensual'!K42,0)))*parametros_manuales!$I$19*parametros_manuales!$J$19</f>
        <v>3904.99</v>
      </c>
      <c r="J86" s="8">
        <f>(parametros_manuales!$D$19*('Plan mensual'!L35+IF(parametros_manuales!$H$19="Todos",'Plan mensual'!L39,0))+parametros_manuales!$E$19*('Plan mensual'!L36+IF(parametros_manuales!$H$19="Todos",'Plan mensual'!L40,0))+parametros_manuales!$F$19*('Plan mensual'!L37+IF(parametros_manuales!$H$19="Todos",'Plan mensual'!L41,0))+parametros_manuales!$G$19*('Plan mensual'!L38+IF(parametros_manuales!$H$19="Todos",'Plan mensual'!L42,0)))*parametros_manuales!$I$19*parametros_manuales!$J$19</f>
        <v>3904.99</v>
      </c>
      <c r="K86" s="8">
        <f>(parametros_manuales!$D$19*('Plan mensual'!M35+IF(parametros_manuales!$H$19="Todos",'Plan mensual'!M39,0))+parametros_manuales!$E$19*('Plan mensual'!M36+IF(parametros_manuales!$H$19="Todos",'Plan mensual'!M40,0))+parametros_manuales!$F$19*('Plan mensual'!M37+IF(parametros_manuales!$H$19="Todos",'Plan mensual'!M41,0))+parametros_manuales!$G$19*('Plan mensual'!M38+IF(parametros_manuales!$H$19="Todos",'Plan mensual'!M42,0)))*parametros_manuales!$I$19*parametros_manuales!$J$19</f>
        <v>3825.75</v>
      </c>
      <c r="L86" s="8">
        <f>(parametros_manuales!$D$19*('Plan mensual'!N35+IF(parametros_manuales!$H$19="Todos",'Plan mensual'!N39,0))+parametros_manuales!$E$19*('Plan mensual'!N36+IF(parametros_manuales!$H$19="Todos",'Plan mensual'!N40,0))+parametros_manuales!$F$19*('Plan mensual'!N37+IF(parametros_manuales!$H$19="Todos",'Plan mensual'!N41,0))+parametros_manuales!$G$19*('Plan mensual'!N38+IF(parametros_manuales!$H$19="Todos",'Plan mensual'!N42,0)))*parametros_manuales!$I$19*parametros_manuales!$J$19</f>
        <v>3746.51</v>
      </c>
      <c r="M86" s="8">
        <f>(parametros_manuales!$D$19*('Plan mensual'!O35+IF(parametros_manuales!$H$19="Todos",'Plan mensual'!O39,0))+parametros_manuales!$E$19*('Plan mensual'!O36+IF(parametros_manuales!$H$19="Todos",'Plan mensual'!O40,0))+parametros_manuales!$F$19*('Plan mensual'!O37+IF(parametros_manuales!$H$19="Todos",'Plan mensual'!O41,0))+parametros_manuales!$G$19*('Plan mensual'!O38+IF(parametros_manuales!$H$19="Todos",'Plan mensual'!O42,0)))*parametros_manuales!$I$19*parametros_manuales!$J$19</f>
        <v>5962.72</v>
      </c>
      <c r="N86" s="8">
        <f t="shared" ref="N86:N111" si="10">SUM(B86:M86)</f>
        <v>51010</v>
      </c>
      <c r="O86" s="8">
        <f t="shared" ref="O86:O111" si="11">MAX(B86:M86)</f>
        <v>5962.72</v>
      </c>
      <c r="P86" s="27">
        <f>O86/(parametros_manuales!$B$7)</f>
        <v>39.75146667</v>
      </c>
      <c r="Q86" s="4" t="str">
        <f t="shared" ref="Q86:Q111" si="12">IF(O86=0,"-",INDEX($B$85:$M$85,MATCH(O86,B86:M86,0)))</f>
        <v>Dic</v>
      </c>
    </row>
    <row r="87" ht="14.25" customHeight="1">
      <c r="A87" s="4" t="str">
        <f>parametros_manuales!$B$20</f>
        <v>Corte de chapa — 1.er corte en franjas (guillotina 1)</v>
      </c>
      <c r="B87" s="8">
        <f>(parametros_manuales!$D$20*('Plan mensual'!D35+IF(parametros_manuales!$H$20="Todos",'Plan mensual'!D39,0))+parametros_manuales!$E$20*('Plan mensual'!D36+IF(parametros_manuales!$H$20="Todos",'Plan mensual'!D40,0))+parametros_manuales!$F$20*('Plan mensual'!D37+IF(parametros_manuales!$H$20="Todos",'Plan mensual'!D41,0))+parametros_manuales!$G$20*('Plan mensual'!D38+IF(parametros_manuales!$H$20="Todos",'Plan mensual'!D42,0)))*parametros_manuales!$I$20*parametros_manuales!$J$20</f>
        <v>5804.24</v>
      </c>
      <c r="C87" s="8">
        <f>(parametros_manuales!$D$20*('Plan mensual'!E35+IF(parametros_manuales!$H$20="Todos",'Plan mensual'!E39,0))+parametros_manuales!$E$20*('Plan mensual'!E36+IF(parametros_manuales!$H$20="Todos",'Plan mensual'!E40,0))+parametros_manuales!$F$20*('Plan mensual'!E37+IF(parametros_manuales!$H$20="Todos",'Plan mensual'!E41,0))+parametros_manuales!$G$20*('Plan mensual'!E38+IF(parametros_manuales!$H$20="Todos",'Plan mensual'!E42,0)))*parametros_manuales!$I$20*parametros_manuales!$J$20</f>
        <v>4432.42</v>
      </c>
      <c r="D87" s="8">
        <f>(parametros_manuales!$D$20*('Plan mensual'!F35+IF(parametros_manuales!$H$20="Todos",'Plan mensual'!F39,0))+parametros_manuales!$E$20*('Plan mensual'!F36+IF(parametros_manuales!$H$20="Todos",'Plan mensual'!F40,0))+parametros_manuales!$F$20*('Plan mensual'!F37+IF(parametros_manuales!$H$20="Todos",'Plan mensual'!F41,0))+parametros_manuales!$G$20*('Plan mensual'!F38+IF(parametros_manuales!$H$20="Todos",'Plan mensual'!F42,0)))*parametros_manuales!$I$20*parametros_manuales!$J$20</f>
        <v>4160.04</v>
      </c>
      <c r="E87" s="8">
        <f>(parametros_manuales!$D$20*('Plan mensual'!G35+IF(parametros_manuales!$H$20="Todos",'Plan mensual'!G39,0))+parametros_manuales!$E$20*('Plan mensual'!G36+IF(parametros_manuales!$H$20="Todos",'Plan mensual'!G40,0))+parametros_manuales!$F$20*('Plan mensual'!G37+IF(parametros_manuales!$H$20="Todos",'Plan mensual'!G41,0))+parametros_manuales!$G$20*('Plan mensual'!G38+IF(parametros_manuales!$H$20="Todos",'Plan mensual'!G42,0)))*parametros_manuales!$I$20*parametros_manuales!$J$20</f>
        <v>3984.23</v>
      </c>
      <c r="F87" s="8">
        <f>(parametros_manuales!$D$20*('Plan mensual'!H35+IF(parametros_manuales!$H$20="Todos",'Plan mensual'!H39,0))+parametros_manuales!$E$20*('Plan mensual'!H36+IF(parametros_manuales!$H$20="Todos",'Plan mensual'!H40,0))+parametros_manuales!$F$20*('Plan mensual'!H37+IF(parametros_manuales!$H$20="Todos",'Plan mensual'!H41,0))+parametros_manuales!$G$20*('Plan mensual'!H38+IF(parametros_manuales!$H$20="Todos",'Plan mensual'!H42,0)))*parametros_manuales!$I$20*parametros_manuales!$J$20</f>
        <v>3729.18</v>
      </c>
      <c r="G87" s="8">
        <f>(parametros_manuales!$D$20*('Plan mensual'!I35+IF(parametros_manuales!$H$20="Todos",'Plan mensual'!I39,0))+parametros_manuales!$E$20*('Plan mensual'!I36+IF(parametros_manuales!$H$20="Todos",'Plan mensual'!I40,0))+parametros_manuales!$F$20*('Plan mensual'!I37+IF(parametros_manuales!$H$20="Todos",'Plan mensual'!I41,0))+parametros_manuales!$G$20*('Plan mensual'!I38+IF(parametros_manuales!$H$20="Todos",'Plan mensual'!I42,0)))*parametros_manuales!$I$20*parametros_manuales!$J$20</f>
        <v>3649.94</v>
      </c>
      <c r="H87" s="8">
        <f>(parametros_manuales!$D$20*('Plan mensual'!J35+IF(parametros_manuales!$H$20="Todos",'Plan mensual'!J39,0))+parametros_manuales!$E$20*('Plan mensual'!J36+IF(parametros_manuales!$H$20="Todos",'Plan mensual'!J40,0))+parametros_manuales!$F$20*('Plan mensual'!J37+IF(parametros_manuales!$H$20="Todos",'Plan mensual'!J41,0))+parametros_manuales!$G$20*('Plan mensual'!J38+IF(parametros_manuales!$H$20="Todos",'Plan mensual'!J42,0)))*parametros_manuales!$I$20*parametros_manuales!$J$20</f>
        <v>3904.99</v>
      </c>
      <c r="I87" s="8">
        <f>(parametros_manuales!$D$20*('Plan mensual'!K35+IF(parametros_manuales!$H$20="Todos",'Plan mensual'!K39,0))+parametros_manuales!$E$20*('Plan mensual'!K36+IF(parametros_manuales!$H$20="Todos",'Plan mensual'!K40,0))+parametros_manuales!$F$20*('Plan mensual'!K37+IF(parametros_manuales!$H$20="Todos",'Plan mensual'!K41,0))+parametros_manuales!$G$20*('Plan mensual'!K38+IF(parametros_manuales!$H$20="Todos",'Plan mensual'!K42,0)))*parametros_manuales!$I$20*parametros_manuales!$J$20</f>
        <v>3904.99</v>
      </c>
      <c r="J87" s="8">
        <f>(parametros_manuales!$D$20*('Plan mensual'!L35+IF(parametros_manuales!$H$20="Todos",'Plan mensual'!L39,0))+parametros_manuales!$E$20*('Plan mensual'!L36+IF(parametros_manuales!$H$20="Todos",'Plan mensual'!L40,0))+parametros_manuales!$F$20*('Plan mensual'!L37+IF(parametros_manuales!$H$20="Todos",'Plan mensual'!L41,0))+parametros_manuales!$G$20*('Plan mensual'!L38+IF(parametros_manuales!$H$20="Todos",'Plan mensual'!L42,0)))*parametros_manuales!$I$20*parametros_manuales!$J$20</f>
        <v>3904.99</v>
      </c>
      <c r="K87" s="8">
        <f>(parametros_manuales!$D$20*('Plan mensual'!M35+IF(parametros_manuales!$H$20="Todos",'Plan mensual'!M39,0))+parametros_manuales!$E$20*('Plan mensual'!M36+IF(parametros_manuales!$H$20="Todos",'Plan mensual'!M40,0))+parametros_manuales!$F$20*('Plan mensual'!M37+IF(parametros_manuales!$H$20="Todos",'Plan mensual'!M41,0))+parametros_manuales!$G$20*('Plan mensual'!M38+IF(parametros_manuales!$H$20="Todos",'Plan mensual'!M42,0)))*parametros_manuales!$I$20*parametros_manuales!$J$20</f>
        <v>3825.75</v>
      </c>
      <c r="L87" s="8">
        <f>(parametros_manuales!$D$20*('Plan mensual'!N35+IF(parametros_manuales!$H$20="Todos",'Plan mensual'!N39,0))+parametros_manuales!$E$20*('Plan mensual'!N36+IF(parametros_manuales!$H$20="Todos",'Plan mensual'!N40,0))+parametros_manuales!$F$20*('Plan mensual'!N37+IF(parametros_manuales!$H$20="Todos",'Plan mensual'!N41,0))+parametros_manuales!$G$20*('Plan mensual'!N38+IF(parametros_manuales!$H$20="Todos",'Plan mensual'!N42,0)))*parametros_manuales!$I$20*parametros_manuales!$J$20</f>
        <v>3746.51</v>
      </c>
      <c r="M87" s="8">
        <f>(parametros_manuales!$D$20*('Plan mensual'!O35+IF(parametros_manuales!$H$20="Todos",'Plan mensual'!O39,0))+parametros_manuales!$E$20*('Plan mensual'!O36+IF(parametros_manuales!$H$20="Todos",'Plan mensual'!O40,0))+parametros_manuales!$F$20*('Plan mensual'!O37+IF(parametros_manuales!$H$20="Todos",'Plan mensual'!O41,0))+parametros_manuales!$G$20*('Plan mensual'!O38+IF(parametros_manuales!$H$20="Todos",'Plan mensual'!O42,0)))*parametros_manuales!$I$20*parametros_manuales!$J$20</f>
        <v>5962.72</v>
      </c>
      <c r="N87" s="8">
        <f t="shared" si="10"/>
        <v>51010</v>
      </c>
      <c r="O87" s="8">
        <f t="shared" si="11"/>
        <v>5962.72</v>
      </c>
      <c r="P87" s="27">
        <f>O87/(parametros_manuales!$B$7)</f>
        <v>39.75146667</v>
      </c>
      <c r="Q87" s="4" t="str">
        <f t="shared" si="12"/>
        <v>Dic</v>
      </c>
    </row>
    <row r="88" ht="14.25" customHeight="1">
      <c r="A88" s="4" t="str">
        <f>parametros_manuales!$B$21</f>
        <v>Corte de chapa — 2.º corte en piezas (guillotina 2)</v>
      </c>
      <c r="B88" s="8">
        <f>(parametros_manuales!$D$21*('Plan mensual'!D35+IF(parametros_manuales!$H$21="Todos",'Plan mensual'!D39,0))+parametros_manuales!$E$21*('Plan mensual'!D36+IF(parametros_manuales!$H$21="Todos",'Plan mensual'!D40,0))+parametros_manuales!$F$21*('Plan mensual'!D37+IF(parametros_manuales!$H$21="Todos",'Plan mensual'!D41,0))+parametros_manuales!$G$21*('Plan mensual'!D38+IF(parametros_manuales!$H$21="Todos",'Plan mensual'!D42,0)))*parametros_manuales!$I$21*parametros_manuales!$J$21</f>
        <v>5804.24</v>
      </c>
      <c r="C88" s="8">
        <f>(parametros_manuales!$D$21*('Plan mensual'!E35+IF(parametros_manuales!$H$21="Todos",'Plan mensual'!E39,0))+parametros_manuales!$E$21*('Plan mensual'!E36+IF(parametros_manuales!$H$21="Todos",'Plan mensual'!E40,0))+parametros_manuales!$F$21*('Plan mensual'!E37+IF(parametros_manuales!$H$21="Todos",'Plan mensual'!E41,0))+parametros_manuales!$G$21*('Plan mensual'!E38+IF(parametros_manuales!$H$21="Todos",'Plan mensual'!E42,0)))*parametros_manuales!$I$21*parametros_manuales!$J$21</f>
        <v>4432.42</v>
      </c>
      <c r="D88" s="8">
        <f>(parametros_manuales!$D$21*('Plan mensual'!F35+IF(parametros_manuales!$H$21="Todos",'Plan mensual'!F39,0))+parametros_manuales!$E$21*('Plan mensual'!F36+IF(parametros_manuales!$H$21="Todos",'Plan mensual'!F40,0))+parametros_manuales!$F$21*('Plan mensual'!F37+IF(parametros_manuales!$H$21="Todos",'Plan mensual'!F41,0))+parametros_manuales!$G$21*('Plan mensual'!F38+IF(parametros_manuales!$H$21="Todos",'Plan mensual'!F42,0)))*parametros_manuales!$I$21*parametros_manuales!$J$21</f>
        <v>4160.04</v>
      </c>
      <c r="E88" s="8">
        <f>(parametros_manuales!$D$21*('Plan mensual'!G35+IF(parametros_manuales!$H$21="Todos",'Plan mensual'!G39,0))+parametros_manuales!$E$21*('Plan mensual'!G36+IF(parametros_manuales!$H$21="Todos",'Plan mensual'!G40,0))+parametros_manuales!$F$21*('Plan mensual'!G37+IF(parametros_manuales!$H$21="Todos",'Plan mensual'!G41,0))+parametros_manuales!$G$21*('Plan mensual'!G38+IF(parametros_manuales!$H$21="Todos",'Plan mensual'!G42,0)))*parametros_manuales!$I$21*parametros_manuales!$J$21</f>
        <v>3984.23</v>
      </c>
      <c r="F88" s="8">
        <f>(parametros_manuales!$D$21*('Plan mensual'!H35+IF(parametros_manuales!$H$21="Todos",'Plan mensual'!H39,0))+parametros_manuales!$E$21*('Plan mensual'!H36+IF(parametros_manuales!$H$21="Todos",'Plan mensual'!H40,0))+parametros_manuales!$F$21*('Plan mensual'!H37+IF(parametros_manuales!$H$21="Todos",'Plan mensual'!H41,0))+parametros_manuales!$G$21*('Plan mensual'!H38+IF(parametros_manuales!$H$21="Todos",'Plan mensual'!H42,0)))*parametros_manuales!$I$21*parametros_manuales!$J$21</f>
        <v>3729.18</v>
      </c>
      <c r="G88" s="8">
        <f>(parametros_manuales!$D$21*('Plan mensual'!I35+IF(parametros_manuales!$H$21="Todos",'Plan mensual'!I39,0))+parametros_manuales!$E$21*('Plan mensual'!I36+IF(parametros_manuales!$H$21="Todos",'Plan mensual'!I40,0))+parametros_manuales!$F$21*('Plan mensual'!I37+IF(parametros_manuales!$H$21="Todos",'Plan mensual'!I41,0))+parametros_manuales!$G$21*('Plan mensual'!I38+IF(parametros_manuales!$H$21="Todos",'Plan mensual'!I42,0)))*parametros_manuales!$I$21*parametros_manuales!$J$21</f>
        <v>3649.94</v>
      </c>
      <c r="H88" s="8">
        <f>(parametros_manuales!$D$21*('Plan mensual'!J35+IF(parametros_manuales!$H$21="Todos",'Plan mensual'!J39,0))+parametros_manuales!$E$21*('Plan mensual'!J36+IF(parametros_manuales!$H$21="Todos",'Plan mensual'!J40,0))+parametros_manuales!$F$21*('Plan mensual'!J37+IF(parametros_manuales!$H$21="Todos",'Plan mensual'!J41,0))+parametros_manuales!$G$21*('Plan mensual'!J38+IF(parametros_manuales!$H$21="Todos",'Plan mensual'!J42,0)))*parametros_manuales!$I$21*parametros_manuales!$J$21</f>
        <v>3904.99</v>
      </c>
      <c r="I88" s="8">
        <f>(parametros_manuales!$D$21*('Plan mensual'!K35+IF(parametros_manuales!$H$21="Todos",'Plan mensual'!K39,0))+parametros_manuales!$E$21*('Plan mensual'!K36+IF(parametros_manuales!$H$21="Todos",'Plan mensual'!K40,0))+parametros_manuales!$F$21*('Plan mensual'!K37+IF(parametros_manuales!$H$21="Todos",'Plan mensual'!K41,0))+parametros_manuales!$G$21*('Plan mensual'!K38+IF(parametros_manuales!$H$21="Todos",'Plan mensual'!K42,0)))*parametros_manuales!$I$21*parametros_manuales!$J$21</f>
        <v>3904.99</v>
      </c>
      <c r="J88" s="8">
        <f>(parametros_manuales!$D$21*('Plan mensual'!L35+IF(parametros_manuales!$H$21="Todos",'Plan mensual'!L39,0))+parametros_manuales!$E$21*('Plan mensual'!L36+IF(parametros_manuales!$H$21="Todos",'Plan mensual'!L40,0))+parametros_manuales!$F$21*('Plan mensual'!L37+IF(parametros_manuales!$H$21="Todos",'Plan mensual'!L41,0))+parametros_manuales!$G$21*('Plan mensual'!L38+IF(parametros_manuales!$H$21="Todos",'Plan mensual'!L42,0)))*parametros_manuales!$I$21*parametros_manuales!$J$21</f>
        <v>3904.99</v>
      </c>
      <c r="K88" s="8">
        <f>(parametros_manuales!$D$21*('Plan mensual'!M35+IF(parametros_manuales!$H$21="Todos",'Plan mensual'!M39,0))+parametros_manuales!$E$21*('Plan mensual'!M36+IF(parametros_manuales!$H$21="Todos",'Plan mensual'!M40,0))+parametros_manuales!$F$21*('Plan mensual'!M37+IF(parametros_manuales!$H$21="Todos",'Plan mensual'!M41,0))+parametros_manuales!$G$21*('Plan mensual'!M38+IF(parametros_manuales!$H$21="Todos",'Plan mensual'!M42,0)))*parametros_manuales!$I$21*parametros_manuales!$J$21</f>
        <v>3825.75</v>
      </c>
      <c r="L88" s="8">
        <f>(parametros_manuales!$D$21*('Plan mensual'!N35+IF(parametros_manuales!$H$21="Todos",'Plan mensual'!N39,0))+parametros_manuales!$E$21*('Plan mensual'!N36+IF(parametros_manuales!$H$21="Todos",'Plan mensual'!N40,0))+parametros_manuales!$F$21*('Plan mensual'!N37+IF(parametros_manuales!$H$21="Todos",'Plan mensual'!N41,0))+parametros_manuales!$G$21*('Plan mensual'!N38+IF(parametros_manuales!$H$21="Todos",'Plan mensual'!N42,0)))*parametros_manuales!$I$21*parametros_manuales!$J$21</f>
        <v>3746.51</v>
      </c>
      <c r="M88" s="8">
        <f>(parametros_manuales!$D$21*('Plan mensual'!O35+IF(parametros_manuales!$H$21="Todos",'Plan mensual'!O39,0))+parametros_manuales!$E$21*('Plan mensual'!O36+IF(parametros_manuales!$H$21="Todos",'Plan mensual'!O40,0))+parametros_manuales!$F$21*('Plan mensual'!O37+IF(parametros_manuales!$H$21="Todos",'Plan mensual'!O41,0))+parametros_manuales!$G$21*('Plan mensual'!O38+IF(parametros_manuales!$H$21="Todos",'Plan mensual'!O42,0)))*parametros_manuales!$I$21*parametros_manuales!$J$21</f>
        <v>5962.72</v>
      </c>
      <c r="N88" s="8">
        <f t="shared" si="10"/>
        <v>51010</v>
      </c>
      <c r="O88" s="8">
        <f t="shared" si="11"/>
        <v>5962.72</v>
      </c>
      <c r="P88" s="27">
        <f>O88/(parametros_manuales!$B$7)</f>
        <v>39.75146667</v>
      </c>
      <c r="Q88" s="4" t="str">
        <f t="shared" si="12"/>
        <v>Dic</v>
      </c>
    </row>
    <row r="89" ht="14.25" customHeight="1">
      <c r="A89" s="4" t="str">
        <f>parametros_manuales!$B$22</f>
        <v>Corte de disco y embutido (cúpula y fondo)</v>
      </c>
      <c r="B89" s="8">
        <f>(parametros_manuales!$D$22*('Plan mensual'!D35+IF(parametros_manuales!$H$22="Todos",'Plan mensual'!D39,0))+parametros_manuales!$E$22*('Plan mensual'!D36+IF(parametros_manuales!$H$22="Todos",'Plan mensual'!D40,0))+parametros_manuales!$F$22*('Plan mensual'!D37+IF(parametros_manuales!$H$22="Todos",'Plan mensual'!D41,0))+parametros_manuales!$G$22*('Plan mensual'!D38+IF(parametros_manuales!$H$22="Todos",'Plan mensual'!D42,0)))*parametros_manuales!$I$22*parametros_manuales!$J$22</f>
        <v>11608.48</v>
      </c>
      <c r="C89" s="8">
        <f>(parametros_manuales!$D$22*('Plan mensual'!E35+IF(parametros_manuales!$H$22="Todos",'Plan mensual'!E39,0))+parametros_manuales!$E$22*('Plan mensual'!E36+IF(parametros_manuales!$H$22="Todos",'Plan mensual'!E40,0))+parametros_manuales!$F$22*('Plan mensual'!E37+IF(parametros_manuales!$H$22="Todos",'Plan mensual'!E41,0))+parametros_manuales!$G$22*('Plan mensual'!E38+IF(parametros_manuales!$H$22="Todos",'Plan mensual'!E42,0)))*parametros_manuales!$I$22*parametros_manuales!$J$22</f>
        <v>8864.84</v>
      </c>
      <c r="D89" s="8">
        <f>(parametros_manuales!$D$22*('Plan mensual'!F35+IF(parametros_manuales!$H$22="Todos",'Plan mensual'!F39,0))+parametros_manuales!$E$22*('Plan mensual'!F36+IF(parametros_manuales!$H$22="Todos",'Plan mensual'!F40,0))+parametros_manuales!$F$22*('Plan mensual'!F37+IF(parametros_manuales!$H$22="Todos",'Plan mensual'!F41,0))+parametros_manuales!$G$22*('Plan mensual'!F38+IF(parametros_manuales!$H$22="Todos",'Plan mensual'!F42,0)))*parametros_manuales!$I$22*parametros_manuales!$J$22</f>
        <v>8320.08</v>
      </c>
      <c r="E89" s="8">
        <f>(parametros_manuales!$D$22*('Plan mensual'!G35+IF(parametros_manuales!$H$22="Todos",'Plan mensual'!G39,0))+parametros_manuales!$E$22*('Plan mensual'!G36+IF(parametros_manuales!$H$22="Todos",'Plan mensual'!G40,0))+parametros_manuales!$F$22*('Plan mensual'!G37+IF(parametros_manuales!$H$22="Todos",'Plan mensual'!G41,0))+parametros_manuales!$G$22*('Plan mensual'!G38+IF(parametros_manuales!$H$22="Todos",'Plan mensual'!G42,0)))*parametros_manuales!$I$22*parametros_manuales!$J$22</f>
        <v>7968.46</v>
      </c>
      <c r="F89" s="8">
        <f>(parametros_manuales!$D$22*('Plan mensual'!H35+IF(parametros_manuales!$H$22="Todos",'Plan mensual'!H39,0))+parametros_manuales!$E$22*('Plan mensual'!H36+IF(parametros_manuales!$H$22="Todos",'Plan mensual'!H40,0))+parametros_manuales!$F$22*('Plan mensual'!H37+IF(parametros_manuales!$H$22="Todos",'Plan mensual'!H41,0))+parametros_manuales!$G$22*('Plan mensual'!H38+IF(parametros_manuales!$H$22="Todos",'Plan mensual'!H42,0)))*parametros_manuales!$I$22*parametros_manuales!$J$22</f>
        <v>7458.36</v>
      </c>
      <c r="G89" s="8">
        <f>(parametros_manuales!$D$22*('Plan mensual'!I35+IF(parametros_manuales!$H$22="Todos",'Plan mensual'!I39,0))+parametros_manuales!$E$22*('Plan mensual'!I36+IF(parametros_manuales!$H$22="Todos",'Plan mensual'!I40,0))+parametros_manuales!$F$22*('Plan mensual'!I37+IF(parametros_manuales!$H$22="Todos",'Plan mensual'!I41,0))+parametros_manuales!$G$22*('Plan mensual'!I38+IF(parametros_manuales!$H$22="Todos",'Plan mensual'!I42,0)))*parametros_manuales!$I$22*parametros_manuales!$J$22</f>
        <v>7299.88</v>
      </c>
      <c r="H89" s="8">
        <f>(parametros_manuales!$D$22*('Plan mensual'!J35+IF(parametros_manuales!$H$22="Todos",'Plan mensual'!J39,0))+parametros_manuales!$E$22*('Plan mensual'!J36+IF(parametros_manuales!$H$22="Todos",'Plan mensual'!J40,0))+parametros_manuales!$F$22*('Plan mensual'!J37+IF(parametros_manuales!$H$22="Todos",'Plan mensual'!J41,0))+parametros_manuales!$G$22*('Plan mensual'!J38+IF(parametros_manuales!$H$22="Todos",'Plan mensual'!J42,0)))*parametros_manuales!$I$22*parametros_manuales!$J$22</f>
        <v>7809.98</v>
      </c>
      <c r="I89" s="8">
        <f>(parametros_manuales!$D$22*('Plan mensual'!K35+IF(parametros_manuales!$H$22="Todos",'Plan mensual'!K39,0))+parametros_manuales!$E$22*('Plan mensual'!K36+IF(parametros_manuales!$H$22="Todos",'Plan mensual'!K40,0))+parametros_manuales!$F$22*('Plan mensual'!K37+IF(parametros_manuales!$H$22="Todos",'Plan mensual'!K41,0))+parametros_manuales!$G$22*('Plan mensual'!K38+IF(parametros_manuales!$H$22="Todos",'Plan mensual'!K42,0)))*parametros_manuales!$I$22*parametros_manuales!$J$22</f>
        <v>7809.98</v>
      </c>
      <c r="J89" s="8">
        <f>(parametros_manuales!$D$22*('Plan mensual'!L35+IF(parametros_manuales!$H$22="Todos",'Plan mensual'!L39,0))+parametros_manuales!$E$22*('Plan mensual'!L36+IF(parametros_manuales!$H$22="Todos",'Plan mensual'!L40,0))+parametros_manuales!$F$22*('Plan mensual'!L37+IF(parametros_manuales!$H$22="Todos",'Plan mensual'!L41,0))+parametros_manuales!$G$22*('Plan mensual'!L38+IF(parametros_manuales!$H$22="Todos",'Plan mensual'!L42,0)))*parametros_manuales!$I$22*parametros_manuales!$J$22</f>
        <v>7809.98</v>
      </c>
      <c r="K89" s="8">
        <f>(parametros_manuales!$D$22*('Plan mensual'!M35+IF(parametros_manuales!$H$22="Todos",'Plan mensual'!M39,0))+parametros_manuales!$E$22*('Plan mensual'!M36+IF(parametros_manuales!$H$22="Todos",'Plan mensual'!M40,0))+parametros_manuales!$F$22*('Plan mensual'!M37+IF(parametros_manuales!$H$22="Todos",'Plan mensual'!M41,0))+parametros_manuales!$G$22*('Plan mensual'!M38+IF(parametros_manuales!$H$22="Todos",'Plan mensual'!M42,0)))*parametros_manuales!$I$22*parametros_manuales!$J$22</f>
        <v>7651.5</v>
      </c>
      <c r="L89" s="8">
        <f>(parametros_manuales!$D$22*('Plan mensual'!N35+IF(parametros_manuales!$H$22="Todos",'Plan mensual'!N39,0))+parametros_manuales!$E$22*('Plan mensual'!N36+IF(parametros_manuales!$H$22="Todos",'Plan mensual'!N40,0))+parametros_manuales!$F$22*('Plan mensual'!N37+IF(parametros_manuales!$H$22="Todos",'Plan mensual'!N41,0))+parametros_manuales!$G$22*('Plan mensual'!N38+IF(parametros_manuales!$H$22="Todos",'Plan mensual'!N42,0)))*parametros_manuales!$I$22*parametros_manuales!$J$22</f>
        <v>7493.02</v>
      </c>
      <c r="M89" s="8">
        <f>(parametros_manuales!$D$22*('Plan mensual'!O35+IF(parametros_manuales!$H$22="Todos",'Plan mensual'!O39,0))+parametros_manuales!$E$22*('Plan mensual'!O36+IF(parametros_manuales!$H$22="Todos",'Plan mensual'!O40,0))+parametros_manuales!$F$22*('Plan mensual'!O37+IF(parametros_manuales!$H$22="Todos",'Plan mensual'!O41,0))+parametros_manuales!$G$22*('Plan mensual'!O38+IF(parametros_manuales!$H$22="Todos",'Plan mensual'!O42,0)))*parametros_manuales!$I$22*parametros_manuales!$J$22</f>
        <v>11925.44</v>
      </c>
      <c r="N89" s="8">
        <f t="shared" si="10"/>
        <v>102020</v>
      </c>
      <c r="O89" s="8">
        <f t="shared" si="11"/>
        <v>11925.44</v>
      </c>
      <c r="P89" s="27">
        <f>O89/(parametros_manuales!$B$7)</f>
        <v>79.50293333</v>
      </c>
      <c r="Q89" s="4" t="str">
        <f t="shared" si="12"/>
        <v>Dic</v>
      </c>
    </row>
    <row r="90" ht="14.25" customHeight="1">
      <c r="A90" s="4" t="str">
        <f>parametros_manuales!$B$23</f>
        <v>Preparación de cuello</v>
      </c>
      <c r="B90" s="8">
        <f>(parametros_manuales!$D$23*('Plan mensual'!D35+IF(parametros_manuales!$H$23="Todos",'Plan mensual'!D39,0))+parametros_manuales!$E$23*('Plan mensual'!D36+IF(parametros_manuales!$H$23="Todos",'Plan mensual'!D40,0))+parametros_manuales!$F$23*('Plan mensual'!D37+IF(parametros_manuales!$H$23="Todos",'Plan mensual'!D41,0))+parametros_manuales!$G$23*('Plan mensual'!D38+IF(parametros_manuales!$H$23="Todos",'Plan mensual'!D42,0)))*parametros_manuales!$I$23*parametros_manuales!$J$23</f>
        <v>5804.24</v>
      </c>
      <c r="C90" s="8">
        <f>(parametros_manuales!$D$23*('Plan mensual'!E35+IF(parametros_manuales!$H$23="Todos",'Plan mensual'!E39,0))+parametros_manuales!$E$23*('Plan mensual'!E36+IF(parametros_manuales!$H$23="Todos",'Plan mensual'!E40,0))+parametros_manuales!$F$23*('Plan mensual'!E37+IF(parametros_manuales!$H$23="Todos",'Plan mensual'!E41,0))+parametros_manuales!$G$23*('Plan mensual'!E38+IF(parametros_manuales!$H$23="Todos",'Plan mensual'!E42,0)))*parametros_manuales!$I$23*parametros_manuales!$J$23</f>
        <v>4432.42</v>
      </c>
      <c r="D90" s="8">
        <f>(parametros_manuales!$D$23*('Plan mensual'!F35+IF(parametros_manuales!$H$23="Todos",'Plan mensual'!F39,0))+parametros_manuales!$E$23*('Plan mensual'!F36+IF(parametros_manuales!$H$23="Todos",'Plan mensual'!F40,0))+parametros_manuales!$F$23*('Plan mensual'!F37+IF(parametros_manuales!$H$23="Todos",'Plan mensual'!F41,0))+parametros_manuales!$G$23*('Plan mensual'!F38+IF(parametros_manuales!$H$23="Todos",'Plan mensual'!F42,0)))*parametros_manuales!$I$23*parametros_manuales!$J$23</f>
        <v>4160.04</v>
      </c>
      <c r="E90" s="8">
        <f>(parametros_manuales!$D$23*('Plan mensual'!G35+IF(parametros_manuales!$H$23="Todos",'Plan mensual'!G39,0))+parametros_manuales!$E$23*('Plan mensual'!G36+IF(parametros_manuales!$H$23="Todos",'Plan mensual'!G40,0))+parametros_manuales!$F$23*('Plan mensual'!G37+IF(parametros_manuales!$H$23="Todos",'Plan mensual'!G41,0))+parametros_manuales!$G$23*('Plan mensual'!G38+IF(parametros_manuales!$H$23="Todos",'Plan mensual'!G42,0)))*parametros_manuales!$I$23*parametros_manuales!$J$23</f>
        <v>3984.23</v>
      </c>
      <c r="F90" s="8">
        <f>(parametros_manuales!$D$23*('Plan mensual'!H35+IF(parametros_manuales!$H$23="Todos",'Plan mensual'!H39,0))+parametros_manuales!$E$23*('Plan mensual'!H36+IF(parametros_manuales!$H$23="Todos",'Plan mensual'!H40,0))+parametros_manuales!$F$23*('Plan mensual'!H37+IF(parametros_manuales!$H$23="Todos",'Plan mensual'!H41,0))+parametros_manuales!$G$23*('Plan mensual'!H38+IF(parametros_manuales!$H$23="Todos",'Plan mensual'!H42,0)))*parametros_manuales!$I$23*parametros_manuales!$J$23</f>
        <v>3729.18</v>
      </c>
      <c r="G90" s="8">
        <f>(parametros_manuales!$D$23*('Plan mensual'!I35+IF(parametros_manuales!$H$23="Todos",'Plan mensual'!I39,0))+parametros_manuales!$E$23*('Plan mensual'!I36+IF(parametros_manuales!$H$23="Todos",'Plan mensual'!I40,0))+parametros_manuales!$F$23*('Plan mensual'!I37+IF(parametros_manuales!$H$23="Todos",'Plan mensual'!I41,0))+parametros_manuales!$G$23*('Plan mensual'!I38+IF(parametros_manuales!$H$23="Todos",'Plan mensual'!I42,0)))*parametros_manuales!$I$23*parametros_manuales!$J$23</f>
        <v>3649.94</v>
      </c>
      <c r="H90" s="8">
        <f>(parametros_manuales!$D$23*('Plan mensual'!J35+IF(parametros_manuales!$H$23="Todos",'Plan mensual'!J39,0))+parametros_manuales!$E$23*('Plan mensual'!J36+IF(parametros_manuales!$H$23="Todos",'Plan mensual'!J40,0))+parametros_manuales!$F$23*('Plan mensual'!J37+IF(parametros_manuales!$H$23="Todos",'Plan mensual'!J41,0))+parametros_manuales!$G$23*('Plan mensual'!J38+IF(parametros_manuales!$H$23="Todos",'Plan mensual'!J42,0)))*parametros_manuales!$I$23*parametros_manuales!$J$23</f>
        <v>3904.99</v>
      </c>
      <c r="I90" s="8">
        <f>(parametros_manuales!$D$23*('Plan mensual'!K35+IF(parametros_manuales!$H$23="Todos",'Plan mensual'!K39,0))+parametros_manuales!$E$23*('Plan mensual'!K36+IF(parametros_manuales!$H$23="Todos",'Plan mensual'!K40,0))+parametros_manuales!$F$23*('Plan mensual'!K37+IF(parametros_manuales!$H$23="Todos",'Plan mensual'!K41,0))+parametros_manuales!$G$23*('Plan mensual'!K38+IF(parametros_manuales!$H$23="Todos",'Plan mensual'!K42,0)))*parametros_manuales!$I$23*parametros_manuales!$J$23</f>
        <v>3904.99</v>
      </c>
      <c r="J90" s="8">
        <f>(parametros_manuales!$D$23*('Plan mensual'!L35+IF(parametros_manuales!$H$23="Todos",'Plan mensual'!L39,0))+parametros_manuales!$E$23*('Plan mensual'!L36+IF(parametros_manuales!$H$23="Todos",'Plan mensual'!L40,0))+parametros_manuales!$F$23*('Plan mensual'!L37+IF(parametros_manuales!$H$23="Todos",'Plan mensual'!L41,0))+parametros_manuales!$G$23*('Plan mensual'!L38+IF(parametros_manuales!$H$23="Todos",'Plan mensual'!L42,0)))*parametros_manuales!$I$23*parametros_manuales!$J$23</f>
        <v>3904.99</v>
      </c>
      <c r="K90" s="8">
        <f>(parametros_manuales!$D$23*('Plan mensual'!M35+IF(parametros_manuales!$H$23="Todos",'Plan mensual'!M39,0))+parametros_manuales!$E$23*('Plan mensual'!M36+IF(parametros_manuales!$H$23="Todos",'Plan mensual'!M40,0))+parametros_manuales!$F$23*('Plan mensual'!M37+IF(parametros_manuales!$H$23="Todos",'Plan mensual'!M41,0))+parametros_manuales!$G$23*('Plan mensual'!M38+IF(parametros_manuales!$H$23="Todos",'Plan mensual'!M42,0)))*parametros_manuales!$I$23*parametros_manuales!$J$23</f>
        <v>3825.75</v>
      </c>
      <c r="L90" s="8">
        <f>(parametros_manuales!$D$23*('Plan mensual'!N35+IF(parametros_manuales!$H$23="Todos",'Plan mensual'!N39,0))+parametros_manuales!$E$23*('Plan mensual'!N36+IF(parametros_manuales!$H$23="Todos",'Plan mensual'!N40,0))+parametros_manuales!$F$23*('Plan mensual'!N37+IF(parametros_manuales!$H$23="Todos",'Plan mensual'!N41,0))+parametros_manuales!$G$23*('Plan mensual'!N38+IF(parametros_manuales!$H$23="Todos",'Plan mensual'!N42,0)))*parametros_manuales!$I$23*parametros_manuales!$J$23</f>
        <v>3746.51</v>
      </c>
      <c r="M90" s="8">
        <f>(parametros_manuales!$D$23*('Plan mensual'!O35+IF(parametros_manuales!$H$23="Todos",'Plan mensual'!O39,0))+parametros_manuales!$E$23*('Plan mensual'!O36+IF(parametros_manuales!$H$23="Todos",'Plan mensual'!O40,0))+parametros_manuales!$F$23*('Plan mensual'!O37+IF(parametros_manuales!$H$23="Todos",'Plan mensual'!O41,0))+parametros_manuales!$G$23*('Plan mensual'!O38+IF(parametros_manuales!$H$23="Todos",'Plan mensual'!O42,0)))*parametros_manuales!$I$23*parametros_manuales!$J$23</f>
        <v>5962.72</v>
      </c>
      <c r="N90" s="8">
        <f t="shared" si="10"/>
        <v>51010</v>
      </c>
      <c r="O90" s="8">
        <f t="shared" si="11"/>
        <v>5962.72</v>
      </c>
      <c r="P90" s="27">
        <f>O90/(parametros_manuales!$B$7)</f>
        <v>39.75146667</v>
      </c>
      <c r="Q90" s="4" t="str">
        <f t="shared" si="12"/>
        <v>Dic</v>
      </c>
    </row>
    <row r="91" ht="14.25" customHeight="1">
      <c r="A91" s="4" t="str">
        <f>parametros_manuales!$B$24</f>
        <v>Numerado de cúpula</v>
      </c>
      <c r="B91" s="8">
        <f>(parametros_manuales!$D$24*('Plan mensual'!D35+IF(parametros_manuales!$H$24="Todos",'Plan mensual'!D39,0))+parametros_manuales!$E$24*('Plan mensual'!D36+IF(parametros_manuales!$H$24="Todos",'Plan mensual'!D40,0))+parametros_manuales!$F$24*('Plan mensual'!D37+IF(parametros_manuales!$H$24="Todos",'Plan mensual'!D41,0))+parametros_manuales!$G$24*('Plan mensual'!D38+IF(parametros_manuales!$H$24="Todos",'Plan mensual'!D42,0)))*parametros_manuales!$I$24*parametros_manuales!$J$24</f>
        <v>5804.24</v>
      </c>
      <c r="C91" s="8">
        <f>(parametros_manuales!$D$24*('Plan mensual'!E35+IF(parametros_manuales!$H$24="Todos",'Plan mensual'!E39,0))+parametros_manuales!$E$24*('Plan mensual'!E36+IF(parametros_manuales!$H$24="Todos",'Plan mensual'!E40,0))+parametros_manuales!$F$24*('Plan mensual'!E37+IF(parametros_manuales!$H$24="Todos",'Plan mensual'!E41,0))+parametros_manuales!$G$24*('Plan mensual'!E38+IF(parametros_manuales!$H$24="Todos",'Plan mensual'!E42,0)))*parametros_manuales!$I$24*parametros_manuales!$J$24</f>
        <v>4432.42</v>
      </c>
      <c r="D91" s="8">
        <f>(parametros_manuales!$D$24*('Plan mensual'!F35+IF(parametros_manuales!$H$24="Todos",'Plan mensual'!F39,0))+parametros_manuales!$E$24*('Plan mensual'!F36+IF(parametros_manuales!$H$24="Todos",'Plan mensual'!F40,0))+parametros_manuales!$F$24*('Plan mensual'!F37+IF(parametros_manuales!$H$24="Todos",'Plan mensual'!F41,0))+parametros_manuales!$G$24*('Plan mensual'!F38+IF(parametros_manuales!$H$24="Todos",'Plan mensual'!F42,0)))*parametros_manuales!$I$24*parametros_manuales!$J$24</f>
        <v>4160.04</v>
      </c>
      <c r="E91" s="8">
        <f>(parametros_manuales!$D$24*('Plan mensual'!G35+IF(parametros_manuales!$H$24="Todos",'Plan mensual'!G39,0))+parametros_manuales!$E$24*('Plan mensual'!G36+IF(parametros_manuales!$H$24="Todos",'Plan mensual'!G40,0))+parametros_manuales!$F$24*('Plan mensual'!G37+IF(parametros_manuales!$H$24="Todos",'Plan mensual'!G41,0))+parametros_manuales!$G$24*('Plan mensual'!G38+IF(parametros_manuales!$H$24="Todos",'Plan mensual'!G42,0)))*parametros_manuales!$I$24*parametros_manuales!$J$24</f>
        <v>3984.23</v>
      </c>
      <c r="F91" s="8">
        <f>(parametros_manuales!$D$24*('Plan mensual'!H35+IF(parametros_manuales!$H$24="Todos",'Plan mensual'!H39,0))+parametros_manuales!$E$24*('Plan mensual'!H36+IF(parametros_manuales!$H$24="Todos",'Plan mensual'!H40,0))+parametros_manuales!$F$24*('Plan mensual'!H37+IF(parametros_manuales!$H$24="Todos",'Plan mensual'!H41,0))+parametros_manuales!$G$24*('Plan mensual'!H38+IF(parametros_manuales!$H$24="Todos",'Plan mensual'!H42,0)))*parametros_manuales!$I$24*parametros_manuales!$J$24</f>
        <v>3729.18</v>
      </c>
      <c r="G91" s="8">
        <f>(parametros_manuales!$D$24*('Plan mensual'!I35+IF(parametros_manuales!$H$24="Todos",'Plan mensual'!I39,0))+parametros_manuales!$E$24*('Plan mensual'!I36+IF(parametros_manuales!$H$24="Todos",'Plan mensual'!I40,0))+parametros_manuales!$F$24*('Plan mensual'!I37+IF(parametros_manuales!$H$24="Todos",'Plan mensual'!I41,0))+parametros_manuales!$G$24*('Plan mensual'!I38+IF(parametros_manuales!$H$24="Todos",'Plan mensual'!I42,0)))*parametros_manuales!$I$24*parametros_manuales!$J$24</f>
        <v>3649.94</v>
      </c>
      <c r="H91" s="8">
        <f>(parametros_manuales!$D$24*('Plan mensual'!J35+IF(parametros_manuales!$H$24="Todos",'Plan mensual'!J39,0))+parametros_manuales!$E$24*('Plan mensual'!J36+IF(parametros_manuales!$H$24="Todos",'Plan mensual'!J40,0))+parametros_manuales!$F$24*('Plan mensual'!J37+IF(parametros_manuales!$H$24="Todos",'Plan mensual'!J41,0))+parametros_manuales!$G$24*('Plan mensual'!J38+IF(parametros_manuales!$H$24="Todos",'Plan mensual'!J42,0)))*parametros_manuales!$I$24*parametros_manuales!$J$24</f>
        <v>3904.99</v>
      </c>
      <c r="I91" s="8">
        <f>(parametros_manuales!$D$24*('Plan mensual'!K35+IF(parametros_manuales!$H$24="Todos",'Plan mensual'!K39,0))+parametros_manuales!$E$24*('Plan mensual'!K36+IF(parametros_manuales!$H$24="Todos",'Plan mensual'!K40,0))+parametros_manuales!$F$24*('Plan mensual'!K37+IF(parametros_manuales!$H$24="Todos",'Plan mensual'!K41,0))+parametros_manuales!$G$24*('Plan mensual'!K38+IF(parametros_manuales!$H$24="Todos",'Plan mensual'!K42,0)))*parametros_manuales!$I$24*parametros_manuales!$J$24</f>
        <v>3904.99</v>
      </c>
      <c r="J91" s="8">
        <f>(parametros_manuales!$D$24*('Plan mensual'!L35+IF(parametros_manuales!$H$24="Todos",'Plan mensual'!L39,0))+parametros_manuales!$E$24*('Plan mensual'!L36+IF(parametros_manuales!$H$24="Todos",'Plan mensual'!L40,0))+parametros_manuales!$F$24*('Plan mensual'!L37+IF(parametros_manuales!$H$24="Todos",'Plan mensual'!L41,0))+parametros_manuales!$G$24*('Plan mensual'!L38+IF(parametros_manuales!$H$24="Todos",'Plan mensual'!L42,0)))*parametros_manuales!$I$24*parametros_manuales!$J$24</f>
        <v>3904.99</v>
      </c>
      <c r="K91" s="8">
        <f>(parametros_manuales!$D$24*('Plan mensual'!M35+IF(parametros_manuales!$H$24="Todos",'Plan mensual'!M39,0))+parametros_manuales!$E$24*('Plan mensual'!M36+IF(parametros_manuales!$H$24="Todos",'Plan mensual'!M40,0))+parametros_manuales!$F$24*('Plan mensual'!M37+IF(parametros_manuales!$H$24="Todos",'Plan mensual'!M41,0))+parametros_manuales!$G$24*('Plan mensual'!M38+IF(parametros_manuales!$H$24="Todos",'Plan mensual'!M42,0)))*parametros_manuales!$I$24*parametros_manuales!$J$24</f>
        <v>3825.75</v>
      </c>
      <c r="L91" s="8">
        <f>(parametros_manuales!$D$24*('Plan mensual'!N35+IF(parametros_manuales!$H$24="Todos",'Plan mensual'!N39,0))+parametros_manuales!$E$24*('Plan mensual'!N36+IF(parametros_manuales!$H$24="Todos",'Plan mensual'!N40,0))+parametros_manuales!$F$24*('Plan mensual'!N37+IF(parametros_manuales!$H$24="Todos",'Plan mensual'!N41,0))+parametros_manuales!$G$24*('Plan mensual'!N38+IF(parametros_manuales!$H$24="Todos",'Plan mensual'!N42,0)))*parametros_manuales!$I$24*parametros_manuales!$J$24</f>
        <v>3746.51</v>
      </c>
      <c r="M91" s="8">
        <f>(parametros_manuales!$D$24*('Plan mensual'!O35+IF(parametros_manuales!$H$24="Todos",'Plan mensual'!O39,0))+parametros_manuales!$E$24*('Plan mensual'!O36+IF(parametros_manuales!$H$24="Todos",'Plan mensual'!O40,0))+parametros_manuales!$F$24*('Plan mensual'!O37+IF(parametros_manuales!$H$24="Todos",'Plan mensual'!O41,0))+parametros_manuales!$G$24*('Plan mensual'!O38+IF(parametros_manuales!$H$24="Todos",'Plan mensual'!O42,0)))*parametros_manuales!$I$24*parametros_manuales!$J$24</f>
        <v>5962.72</v>
      </c>
      <c r="N91" s="8">
        <f t="shared" si="10"/>
        <v>51010</v>
      </c>
      <c r="O91" s="8">
        <f t="shared" si="11"/>
        <v>5962.72</v>
      </c>
      <c r="P91" s="27">
        <f>O91/(parametros_manuales!$B$7)</f>
        <v>39.75146667</v>
      </c>
      <c r="Q91" s="4" t="str">
        <f t="shared" si="12"/>
        <v>Dic</v>
      </c>
    </row>
    <row r="92" ht="14.25" customHeight="1">
      <c r="A92" s="4" t="str">
        <f>parametros_manuales!$B$25</f>
        <v>Soldadura del cuello a la cúpula</v>
      </c>
      <c r="B92" s="8">
        <f>(parametros_manuales!$D$25*('Plan mensual'!D35+IF(parametros_manuales!$H$25="Todos",'Plan mensual'!D39,0))+parametros_manuales!$E$25*('Plan mensual'!D36+IF(parametros_manuales!$H$25="Todos",'Plan mensual'!D40,0))+parametros_manuales!$F$25*('Plan mensual'!D37+IF(parametros_manuales!$H$25="Todos",'Plan mensual'!D41,0))+parametros_manuales!$G$25*('Plan mensual'!D38+IF(parametros_manuales!$H$25="Todos",'Plan mensual'!D42,0)))*parametros_manuales!$I$25*parametros_manuales!$J$25</f>
        <v>5804.24</v>
      </c>
      <c r="C92" s="8">
        <f>(parametros_manuales!$D$25*('Plan mensual'!E35+IF(parametros_manuales!$H$25="Todos",'Plan mensual'!E39,0))+parametros_manuales!$E$25*('Plan mensual'!E36+IF(parametros_manuales!$H$25="Todos",'Plan mensual'!E40,0))+parametros_manuales!$F$25*('Plan mensual'!E37+IF(parametros_manuales!$H$25="Todos",'Plan mensual'!E41,0))+parametros_manuales!$G$25*('Plan mensual'!E38+IF(parametros_manuales!$H$25="Todos",'Plan mensual'!E42,0)))*parametros_manuales!$I$25*parametros_manuales!$J$25</f>
        <v>4432.42</v>
      </c>
      <c r="D92" s="8">
        <f>(parametros_manuales!$D$25*('Plan mensual'!F35+IF(parametros_manuales!$H$25="Todos",'Plan mensual'!F39,0))+parametros_manuales!$E$25*('Plan mensual'!F36+IF(parametros_manuales!$H$25="Todos",'Plan mensual'!F40,0))+parametros_manuales!$F$25*('Plan mensual'!F37+IF(parametros_manuales!$H$25="Todos",'Plan mensual'!F41,0))+parametros_manuales!$G$25*('Plan mensual'!F38+IF(parametros_manuales!$H$25="Todos",'Plan mensual'!F42,0)))*parametros_manuales!$I$25*parametros_manuales!$J$25</f>
        <v>4160.04</v>
      </c>
      <c r="E92" s="8">
        <f>(parametros_manuales!$D$25*('Plan mensual'!G35+IF(parametros_manuales!$H$25="Todos",'Plan mensual'!G39,0))+parametros_manuales!$E$25*('Plan mensual'!G36+IF(parametros_manuales!$H$25="Todos",'Plan mensual'!G40,0))+parametros_manuales!$F$25*('Plan mensual'!G37+IF(parametros_manuales!$H$25="Todos",'Plan mensual'!G41,0))+parametros_manuales!$G$25*('Plan mensual'!G38+IF(parametros_manuales!$H$25="Todos",'Plan mensual'!G42,0)))*parametros_manuales!$I$25*parametros_manuales!$J$25</f>
        <v>3984.23</v>
      </c>
      <c r="F92" s="8">
        <f>(parametros_manuales!$D$25*('Plan mensual'!H35+IF(parametros_manuales!$H$25="Todos",'Plan mensual'!H39,0))+parametros_manuales!$E$25*('Plan mensual'!H36+IF(parametros_manuales!$H$25="Todos",'Plan mensual'!H40,0))+parametros_manuales!$F$25*('Plan mensual'!H37+IF(parametros_manuales!$H$25="Todos",'Plan mensual'!H41,0))+parametros_manuales!$G$25*('Plan mensual'!H38+IF(parametros_manuales!$H$25="Todos",'Plan mensual'!H42,0)))*parametros_manuales!$I$25*parametros_manuales!$J$25</f>
        <v>3729.18</v>
      </c>
      <c r="G92" s="8">
        <f>(parametros_manuales!$D$25*('Plan mensual'!I35+IF(parametros_manuales!$H$25="Todos",'Plan mensual'!I39,0))+parametros_manuales!$E$25*('Plan mensual'!I36+IF(parametros_manuales!$H$25="Todos",'Plan mensual'!I40,0))+parametros_manuales!$F$25*('Plan mensual'!I37+IF(parametros_manuales!$H$25="Todos",'Plan mensual'!I41,0))+parametros_manuales!$G$25*('Plan mensual'!I38+IF(parametros_manuales!$H$25="Todos",'Plan mensual'!I42,0)))*parametros_manuales!$I$25*parametros_manuales!$J$25</f>
        <v>3649.94</v>
      </c>
      <c r="H92" s="8">
        <f>(parametros_manuales!$D$25*('Plan mensual'!J35+IF(parametros_manuales!$H$25="Todos",'Plan mensual'!J39,0))+parametros_manuales!$E$25*('Plan mensual'!J36+IF(parametros_manuales!$H$25="Todos",'Plan mensual'!J40,0))+parametros_manuales!$F$25*('Plan mensual'!J37+IF(parametros_manuales!$H$25="Todos",'Plan mensual'!J41,0))+parametros_manuales!$G$25*('Plan mensual'!J38+IF(parametros_manuales!$H$25="Todos",'Plan mensual'!J42,0)))*parametros_manuales!$I$25*parametros_manuales!$J$25</f>
        <v>3904.99</v>
      </c>
      <c r="I92" s="8">
        <f>(parametros_manuales!$D$25*('Plan mensual'!K35+IF(parametros_manuales!$H$25="Todos",'Plan mensual'!K39,0))+parametros_manuales!$E$25*('Plan mensual'!K36+IF(parametros_manuales!$H$25="Todos",'Plan mensual'!K40,0))+parametros_manuales!$F$25*('Plan mensual'!K37+IF(parametros_manuales!$H$25="Todos",'Plan mensual'!K41,0))+parametros_manuales!$G$25*('Plan mensual'!K38+IF(parametros_manuales!$H$25="Todos",'Plan mensual'!K42,0)))*parametros_manuales!$I$25*parametros_manuales!$J$25</f>
        <v>3904.99</v>
      </c>
      <c r="J92" s="8">
        <f>(parametros_manuales!$D$25*('Plan mensual'!L35+IF(parametros_manuales!$H$25="Todos",'Plan mensual'!L39,0))+parametros_manuales!$E$25*('Plan mensual'!L36+IF(parametros_manuales!$H$25="Todos",'Plan mensual'!L40,0))+parametros_manuales!$F$25*('Plan mensual'!L37+IF(parametros_manuales!$H$25="Todos",'Plan mensual'!L41,0))+parametros_manuales!$G$25*('Plan mensual'!L38+IF(parametros_manuales!$H$25="Todos",'Plan mensual'!L42,0)))*parametros_manuales!$I$25*parametros_manuales!$J$25</f>
        <v>3904.99</v>
      </c>
      <c r="K92" s="8">
        <f>(parametros_manuales!$D$25*('Plan mensual'!M35+IF(parametros_manuales!$H$25="Todos",'Plan mensual'!M39,0))+parametros_manuales!$E$25*('Plan mensual'!M36+IF(parametros_manuales!$H$25="Todos",'Plan mensual'!M40,0))+parametros_manuales!$F$25*('Plan mensual'!M37+IF(parametros_manuales!$H$25="Todos",'Plan mensual'!M41,0))+parametros_manuales!$G$25*('Plan mensual'!M38+IF(parametros_manuales!$H$25="Todos",'Plan mensual'!M42,0)))*parametros_manuales!$I$25*parametros_manuales!$J$25</f>
        <v>3825.75</v>
      </c>
      <c r="L92" s="8">
        <f>(parametros_manuales!$D$25*('Plan mensual'!N35+IF(parametros_manuales!$H$25="Todos",'Plan mensual'!N39,0))+parametros_manuales!$E$25*('Plan mensual'!N36+IF(parametros_manuales!$H$25="Todos",'Plan mensual'!N40,0))+parametros_manuales!$F$25*('Plan mensual'!N37+IF(parametros_manuales!$H$25="Todos",'Plan mensual'!N41,0))+parametros_manuales!$G$25*('Plan mensual'!N38+IF(parametros_manuales!$H$25="Todos",'Plan mensual'!N42,0)))*parametros_manuales!$I$25*parametros_manuales!$J$25</f>
        <v>3746.51</v>
      </c>
      <c r="M92" s="8">
        <f>(parametros_manuales!$D$25*('Plan mensual'!O35+IF(parametros_manuales!$H$25="Todos",'Plan mensual'!O39,0))+parametros_manuales!$E$25*('Plan mensual'!O36+IF(parametros_manuales!$H$25="Todos",'Plan mensual'!O40,0))+parametros_manuales!$F$25*('Plan mensual'!O37+IF(parametros_manuales!$H$25="Todos",'Plan mensual'!O41,0))+parametros_manuales!$G$25*('Plan mensual'!O38+IF(parametros_manuales!$H$25="Todos",'Plan mensual'!O42,0)))*parametros_manuales!$I$25*parametros_manuales!$J$25</f>
        <v>5962.72</v>
      </c>
      <c r="N92" s="8">
        <f t="shared" si="10"/>
        <v>51010</v>
      </c>
      <c r="O92" s="8">
        <f t="shared" si="11"/>
        <v>5962.72</v>
      </c>
      <c r="P92" s="27">
        <f>O92/(parametros_manuales!$B$7)</f>
        <v>39.75146667</v>
      </c>
      <c r="Q92" s="4" t="str">
        <f t="shared" si="12"/>
        <v>Dic</v>
      </c>
    </row>
    <row r="93" ht="14.25" customHeight="1">
      <c r="A93" s="4" t="str">
        <f>parametros_manuales!$B$26</f>
        <v>Cilindrado</v>
      </c>
      <c r="B93" s="8">
        <f>(parametros_manuales!$D$26*('Plan mensual'!D35+IF(parametros_manuales!$H$26="Todos",'Plan mensual'!D39,0))+parametros_manuales!$E$26*('Plan mensual'!D36+IF(parametros_manuales!$H$26="Todos",'Plan mensual'!D40,0))+parametros_manuales!$F$26*('Plan mensual'!D37+IF(parametros_manuales!$H$26="Todos",'Plan mensual'!D41,0))+parametros_manuales!$G$26*('Plan mensual'!D38+IF(parametros_manuales!$H$26="Todos",'Plan mensual'!D42,0)))*parametros_manuales!$I$26*parametros_manuales!$J$26</f>
        <v>5804.24</v>
      </c>
      <c r="C93" s="8">
        <f>(parametros_manuales!$D$26*('Plan mensual'!E35+IF(parametros_manuales!$H$26="Todos",'Plan mensual'!E39,0))+parametros_manuales!$E$26*('Plan mensual'!E36+IF(parametros_manuales!$H$26="Todos",'Plan mensual'!E40,0))+parametros_manuales!$F$26*('Plan mensual'!E37+IF(parametros_manuales!$H$26="Todos",'Plan mensual'!E41,0))+parametros_manuales!$G$26*('Plan mensual'!E38+IF(parametros_manuales!$H$26="Todos",'Plan mensual'!E42,0)))*parametros_manuales!$I$26*parametros_manuales!$J$26</f>
        <v>4432.42</v>
      </c>
      <c r="D93" s="8">
        <f>(parametros_manuales!$D$26*('Plan mensual'!F35+IF(parametros_manuales!$H$26="Todos",'Plan mensual'!F39,0))+parametros_manuales!$E$26*('Plan mensual'!F36+IF(parametros_manuales!$H$26="Todos",'Plan mensual'!F40,0))+parametros_manuales!$F$26*('Plan mensual'!F37+IF(parametros_manuales!$H$26="Todos",'Plan mensual'!F41,0))+parametros_manuales!$G$26*('Plan mensual'!F38+IF(parametros_manuales!$H$26="Todos",'Plan mensual'!F42,0)))*parametros_manuales!$I$26*parametros_manuales!$J$26</f>
        <v>4160.04</v>
      </c>
      <c r="E93" s="8">
        <f>(parametros_manuales!$D$26*('Plan mensual'!G35+IF(parametros_manuales!$H$26="Todos",'Plan mensual'!G39,0))+parametros_manuales!$E$26*('Plan mensual'!G36+IF(parametros_manuales!$H$26="Todos",'Plan mensual'!G40,0))+parametros_manuales!$F$26*('Plan mensual'!G37+IF(parametros_manuales!$H$26="Todos",'Plan mensual'!G41,0))+parametros_manuales!$G$26*('Plan mensual'!G38+IF(parametros_manuales!$H$26="Todos",'Plan mensual'!G42,0)))*parametros_manuales!$I$26*parametros_manuales!$J$26</f>
        <v>3984.23</v>
      </c>
      <c r="F93" s="8">
        <f>(parametros_manuales!$D$26*('Plan mensual'!H35+IF(parametros_manuales!$H$26="Todos",'Plan mensual'!H39,0))+parametros_manuales!$E$26*('Plan mensual'!H36+IF(parametros_manuales!$H$26="Todos",'Plan mensual'!H40,0))+parametros_manuales!$F$26*('Plan mensual'!H37+IF(parametros_manuales!$H$26="Todos",'Plan mensual'!H41,0))+parametros_manuales!$G$26*('Plan mensual'!H38+IF(parametros_manuales!$H$26="Todos",'Plan mensual'!H42,0)))*parametros_manuales!$I$26*parametros_manuales!$J$26</f>
        <v>3729.18</v>
      </c>
      <c r="G93" s="8">
        <f>(parametros_manuales!$D$26*('Plan mensual'!I35+IF(parametros_manuales!$H$26="Todos",'Plan mensual'!I39,0))+parametros_manuales!$E$26*('Plan mensual'!I36+IF(parametros_manuales!$H$26="Todos",'Plan mensual'!I40,0))+parametros_manuales!$F$26*('Plan mensual'!I37+IF(parametros_manuales!$H$26="Todos",'Plan mensual'!I41,0))+parametros_manuales!$G$26*('Plan mensual'!I38+IF(parametros_manuales!$H$26="Todos",'Plan mensual'!I42,0)))*parametros_manuales!$I$26*parametros_manuales!$J$26</f>
        <v>3649.94</v>
      </c>
      <c r="H93" s="8">
        <f>(parametros_manuales!$D$26*('Plan mensual'!J35+IF(parametros_manuales!$H$26="Todos",'Plan mensual'!J39,0))+parametros_manuales!$E$26*('Plan mensual'!J36+IF(parametros_manuales!$H$26="Todos",'Plan mensual'!J40,0))+parametros_manuales!$F$26*('Plan mensual'!J37+IF(parametros_manuales!$H$26="Todos",'Plan mensual'!J41,0))+parametros_manuales!$G$26*('Plan mensual'!J38+IF(parametros_manuales!$H$26="Todos",'Plan mensual'!J42,0)))*parametros_manuales!$I$26*parametros_manuales!$J$26</f>
        <v>3904.99</v>
      </c>
      <c r="I93" s="8">
        <f>(parametros_manuales!$D$26*('Plan mensual'!K35+IF(parametros_manuales!$H$26="Todos",'Plan mensual'!K39,0))+parametros_manuales!$E$26*('Plan mensual'!K36+IF(parametros_manuales!$H$26="Todos",'Plan mensual'!K40,0))+parametros_manuales!$F$26*('Plan mensual'!K37+IF(parametros_manuales!$H$26="Todos",'Plan mensual'!K41,0))+parametros_manuales!$G$26*('Plan mensual'!K38+IF(parametros_manuales!$H$26="Todos",'Plan mensual'!K42,0)))*parametros_manuales!$I$26*parametros_manuales!$J$26</f>
        <v>3904.99</v>
      </c>
      <c r="J93" s="8">
        <f>(parametros_manuales!$D$26*('Plan mensual'!L35+IF(parametros_manuales!$H$26="Todos",'Plan mensual'!L39,0))+parametros_manuales!$E$26*('Plan mensual'!L36+IF(parametros_manuales!$H$26="Todos",'Plan mensual'!L40,0))+parametros_manuales!$F$26*('Plan mensual'!L37+IF(parametros_manuales!$H$26="Todos",'Plan mensual'!L41,0))+parametros_manuales!$G$26*('Plan mensual'!L38+IF(parametros_manuales!$H$26="Todos",'Plan mensual'!L42,0)))*parametros_manuales!$I$26*parametros_manuales!$J$26</f>
        <v>3904.99</v>
      </c>
      <c r="K93" s="8">
        <f>(parametros_manuales!$D$26*('Plan mensual'!M35+IF(parametros_manuales!$H$26="Todos",'Plan mensual'!M39,0))+parametros_manuales!$E$26*('Plan mensual'!M36+IF(parametros_manuales!$H$26="Todos",'Plan mensual'!M40,0))+parametros_manuales!$F$26*('Plan mensual'!M37+IF(parametros_manuales!$H$26="Todos",'Plan mensual'!M41,0))+parametros_manuales!$G$26*('Plan mensual'!M38+IF(parametros_manuales!$H$26="Todos",'Plan mensual'!M42,0)))*parametros_manuales!$I$26*parametros_manuales!$J$26</f>
        <v>3825.75</v>
      </c>
      <c r="L93" s="8">
        <f>(parametros_manuales!$D$26*('Plan mensual'!N35+IF(parametros_manuales!$H$26="Todos",'Plan mensual'!N39,0))+parametros_manuales!$E$26*('Plan mensual'!N36+IF(parametros_manuales!$H$26="Todos",'Plan mensual'!N40,0))+parametros_manuales!$F$26*('Plan mensual'!N37+IF(parametros_manuales!$H$26="Todos",'Plan mensual'!N41,0))+parametros_manuales!$G$26*('Plan mensual'!N38+IF(parametros_manuales!$H$26="Todos",'Plan mensual'!N42,0)))*parametros_manuales!$I$26*parametros_manuales!$J$26</f>
        <v>3746.51</v>
      </c>
      <c r="M93" s="8">
        <f>(parametros_manuales!$D$26*('Plan mensual'!O35+IF(parametros_manuales!$H$26="Todos",'Plan mensual'!O39,0))+parametros_manuales!$E$26*('Plan mensual'!O36+IF(parametros_manuales!$H$26="Todos",'Plan mensual'!O40,0))+parametros_manuales!$F$26*('Plan mensual'!O37+IF(parametros_manuales!$H$26="Todos",'Plan mensual'!O41,0))+parametros_manuales!$G$26*('Plan mensual'!O38+IF(parametros_manuales!$H$26="Todos",'Plan mensual'!O42,0)))*parametros_manuales!$I$26*parametros_manuales!$J$26</f>
        <v>5962.72</v>
      </c>
      <c r="N93" s="8">
        <f t="shared" si="10"/>
        <v>51010</v>
      </c>
      <c r="O93" s="8">
        <f t="shared" si="11"/>
        <v>5962.72</v>
      </c>
      <c r="P93" s="27">
        <f>O93/(parametros_manuales!$B$7)</f>
        <v>39.75146667</v>
      </c>
      <c r="Q93" s="4" t="str">
        <f t="shared" si="12"/>
        <v>Dic</v>
      </c>
    </row>
    <row r="94" ht="14.25" customHeight="1">
      <c r="A94" s="4" t="str">
        <f>parametros_manuales!$B$27</f>
        <v>Soldadura longitudinal — 2,5 a 10 kg</v>
      </c>
      <c r="B94" s="8">
        <f>(parametros_manuales!$D$27*('Plan mensual'!D35+IF(parametros_manuales!$H$27="Todos",'Plan mensual'!D39,0))+parametros_manuales!$E$27*('Plan mensual'!D36+IF(parametros_manuales!$H$27="Todos",'Plan mensual'!D40,0))+parametros_manuales!$F$27*('Plan mensual'!D37+IF(parametros_manuales!$H$27="Todos",'Plan mensual'!D41,0))+parametros_manuales!$G$27*('Plan mensual'!D38+IF(parametros_manuales!$H$27="Todos",'Plan mensual'!D42,0)))*parametros_manuales!$I$27*parametros_manuales!$J$27</f>
        <v>1584.8</v>
      </c>
      <c r="C94" s="8">
        <f>(parametros_manuales!$D$27*('Plan mensual'!E35+IF(parametros_manuales!$H$27="Todos",'Plan mensual'!E39,0))+parametros_manuales!$E$27*('Plan mensual'!E36+IF(parametros_manuales!$H$27="Todos",'Plan mensual'!E40,0))+parametros_manuales!$F$27*('Plan mensual'!E37+IF(parametros_manuales!$H$27="Todos",'Plan mensual'!E41,0))+parametros_manuales!$G$27*('Plan mensual'!E38+IF(parametros_manuales!$H$27="Todos",'Plan mensual'!E42,0)))*parametros_manuales!$I$27*parametros_manuales!$J$27</f>
        <v>1267.84</v>
      </c>
      <c r="D94" s="8">
        <f>(parametros_manuales!$D$27*('Plan mensual'!F35+IF(parametros_manuales!$H$27="Todos",'Plan mensual'!F39,0))+parametros_manuales!$E$27*('Plan mensual'!F36+IF(parametros_manuales!$H$27="Todos",'Plan mensual'!F40,0))+parametros_manuales!$F$27*('Plan mensual'!F37+IF(parametros_manuales!$H$27="Todos",'Plan mensual'!F41,0))+parametros_manuales!$G$27*('Plan mensual'!F38+IF(parametros_manuales!$H$27="Todos",'Plan mensual'!F42,0)))*parametros_manuales!$I$27*parametros_manuales!$J$27</f>
        <v>1347.08</v>
      </c>
      <c r="E94" s="8">
        <f>(parametros_manuales!$D$27*('Plan mensual'!G35+IF(parametros_manuales!$H$27="Todos",'Plan mensual'!G39,0))+parametros_manuales!$E$27*('Plan mensual'!G36+IF(parametros_manuales!$H$27="Todos",'Plan mensual'!G40,0))+parametros_manuales!$F$27*('Plan mensual'!G37+IF(parametros_manuales!$H$27="Todos",'Plan mensual'!G41,0))+parametros_manuales!$G$27*('Plan mensual'!G38+IF(parametros_manuales!$H$27="Todos",'Plan mensual'!G42,0)))*parametros_manuales!$I$27*parametros_manuales!$J$27</f>
        <v>1347.08</v>
      </c>
      <c r="F94" s="8">
        <f>(parametros_manuales!$D$27*('Plan mensual'!H35+IF(parametros_manuales!$H$27="Todos",'Plan mensual'!H39,0))+parametros_manuales!$E$27*('Plan mensual'!H36+IF(parametros_manuales!$H$27="Todos",'Plan mensual'!H40,0))+parametros_manuales!$F$27*('Plan mensual'!H37+IF(parametros_manuales!$H$27="Todos",'Plan mensual'!H41,0))+parametros_manuales!$G$27*('Plan mensual'!H38+IF(parametros_manuales!$H$27="Todos",'Plan mensual'!H42,0)))*parametros_manuales!$I$27*parametros_manuales!$J$27</f>
        <v>1267.84</v>
      </c>
      <c r="G94" s="8">
        <f>(parametros_manuales!$D$27*('Plan mensual'!I35+IF(parametros_manuales!$H$27="Todos",'Plan mensual'!I39,0))+parametros_manuales!$E$27*('Plan mensual'!I36+IF(parametros_manuales!$H$27="Todos",'Plan mensual'!I40,0))+parametros_manuales!$F$27*('Plan mensual'!I37+IF(parametros_manuales!$H$27="Todos",'Plan mensual'!I41,0))+parametros_manuales!$G$27*('Plan mensual'!I38+IF(parametros_manuales!$H$27="Todos",'Plan mensual'!I42,0)))*parametros_manuales!$I$27*parametros_manuales!$J$27</f>
        <v>1188.6</v>
      </c>
      <c r="H94" s="8">
        <f>(parametros_manuales!$D$27*('Plan mensual'!J35+IF(parametros_manuales!$H$27="Todos",'Plan mensual'!J39,0))+parametros_manuales!$E$27*('Plan mensual'!J36+IF(parametros_manuales!$H$27="Todos",'Plan mensual'!J40,0))+parametros_manuales!$F$27*('Plan mensual'!J37+IF(parametros_manuales!$H$27="Todos",'Plan mensual'!J41,0))+parametros_manuales!$G$27*('Plan mensual'!J38+IF(parametros_manuales!$H$27="Todos",'Plan mensual'!J42,0)))*parametros_manuales!$I$27*parametros_manuales!$J$27</f>
        <v>1267.84</v>
      </c>
      <c r="I94" s="8">
        <f>(parametros_manuales!$D$27*('Plan mensual'!K35+IF(parametros_manuales!$H$27="Todos",'Plan mensual'!K39,0))+parametros_manuales!$E$27*('Plan mensual'!K36+IF(parametros_manuales!$H$27="Todos",'Plan mensual'!K40,0))+parametros_manuales!$F$27*('Plan mensual'!K37+IF(parametros_manuales!$H$27="Todos",'Plan mensual'!K41,0))+parametros_manuales!$G$27*('Plan mensual'!K38+IF(parametros_manuales!$H$27="Todos",'Plan mensual'!K42,0)))*parametros_manuales!$I$27*parametros_manuales!$J$27</f>
        <v>1267.84</v>
      </c>
      <c r="J94" s="8">
        <f>(parametros_manuales!$D$27*('Plan mensual'!L35+IF(parametros_manuales!$H$27="Todos",'Plan mensual'!L39,0))+parametros_manuales!$E$27*('Plan mensual'!L36+IF(parametros_manuales!$H$27="Todos",'Plan mensual'!L40,0))+parametros_manuales!$F$27*('Plan mensual'!L37+IF(parametros_manuales!$H$27="Todos",'Plan mensual'!L41,0))+parametros_manuales!$G$27*('Plan mensual'!L38+IF(parametros_manuales!$H$27="Todos",'Plan mensual'!L42,0)))*parametros_manuales!$I$27*parametros_manuales!$J$27</f>
        <v>1267.84</v>
      </c>
      <c r="K94" s="8">
        <f>(parametros_manuales!$D$27*('Plan mensual'!M35+IF(parametros_manuales!$H$27="Todos",'Plan mensual'!M39,0))+parametros_manuales!$E$27*('Plan mensual'!M36+IF(parametros_manuales!$H$27="Todos",'Plan mensual'!M40,0))+parametros_manuales!$F$27*('Plan mensual'!M37+IF(parametros_manuales!$H$27="Todos",'Plan mensual'!M41,0))+parametros_manuales!$G$27*('Plan mensual'!M38+IF(parametros_manuales!$H$27="Todos",'Plan mensual'!M42,0)))*parametros_manuales!$I$27*parametros_manuales!$J$27</f>
        <v>1188.6</v>
      </c>
      <c r="L94" s="8">
        <f>(parametros_manuales!$D$27*('Plan mensual'!N35+IF(parametros_manuales!$H$27="Todos",'Plan mensual'!N39,0))+parametros_manuales!$E$27*('Plan mensual'!N36+IF(parametros_manuales!$H$27="Todos",'Plan mensual'!N40,0))+parametros_manuales!$F$27*('Plan mensual'!N37+IF(parametros_manuales!$H$27="Todos",'Plan mensual'!N41,0))+parametros_manuales!$G$27*('Plan mensual'!N38+IF(parametros_manuales!$H$27="Todos",'Plan mensual'!N42,0)))*parametros_manuales!$I$27*parametros_manuales!$J$27</f>
        <v>1109.36</v>
      </c>
      <c r="M94" s="8">
        <f>(parametros_manuales!$D$27*('Plan mensual'!O35+IF(parametros_manuales!$H$27="Todos",'Plan mensual'!O39,0))+parametros_manuales!$E$27*('Plan mensual'!O36+IF(parametros_manuales!$H$27="Todos",'Plan mensual'!O40,0))+parametros_manuales!$F$27*('Plan mensual'!O37+IF(parametros_manuales!$H$27="Todos",'Plan mensual'!O41,0))+parametros_manuales!$G$27*('Plan mensual'!O38+IF(parametros_manuales!$H$27="Todos",'Plan mensual'!O42,0)))*parametros_manuales!$I$27*parametros_manuales!$J$27</f>
        <v>1743.28</v>
      </c>
      <c r="N94" s="8">
        <f t="shared" si="10"/>
        <v>15848</v>
      </c>
      <c r="O94" s="8">
        <f t="shared" si="11"/>
        <v>1743.28</v>
      </c>
      <c r="P94" s="27">
        <f>O94/(parametros_manuales!$B$7)</f>
        <v>11.62186667</v>
      </c>
      <c r="Q94" s="4" t="str">
        <f t="shared" si="12"/>
        <v>Dic</v>
      </c>
    </row>
    <row r="95" ht="14.25" customHeight="1">
      <c r="A95" s="4" t="str">
        <f>parametros_manuales!$B$28</f>
        <v>Soldadura longitudinal TIG — 1 kg</v>
      </c>
      <c r="B95" s="8">
        <f>(parametros_manuales!$D$28*('Plan mensual'!D35+IF(parametros_manuales!$H$28="Todos",'Plan mensual'!D39,0))+parametros_manuales!$E$28*('Plan mensual'!D36+IF(parametros_manuales!$H$28="Todos",'Plan mensual'!D40,0))+parametros_manuales!$F$28*('Plan mensual'!D37+IF(parametros_manuales!$H$28="Todos",'Plan mensual'!D41,0))+parametros_manuales!$G$28*('Plan mensual'!D38+IF(parametros_manuales!$H$28="Todos",'Plan mensual'!D42,0)))*parametros_manuales!$I$28*parametros_manuales!$J$28</f>
        <v>4219.44</v>
      </c>
      <c r="C95" s="8">
        <f>(parametros_manuales!$D$28*('Plan mensual'!E35+IF(parametros_manuales!$H$28="Todos",'Plan mensual'!E39,0))+parametros_manuales!$E$28*('Plan mensual'!E36+IF(parametros_manuales!$H$28="Todos",'Plan mensual'!E40,0))+parametros_manuales!$F$28*('Plan mensual'!E37+IF(parametros_manuales!$H$28="Todos",'Plan mensual'!E41,0))+parametros_manuales!$G$28*('Plan mensual'!E38+IF(parametros_manuales!$H$28="Todos",'Plan mensual'!E42,0)))*parametros_manuales!$I$28*parametros_manuales!$J$28</f>
        <v>3164.58</v>
      </c>
      <c r="D95" s="8">
        <f>(parametros_manuales!$D$28*('Plan mensual'!F35+IF(parametros_manuales!$H$28="Todos",'Plan mensual'!F39,0))+parametros_manuales!$E$28*('Plan mensual'!F36+IF(parametros_manuales!$H$28="Todos",'Plan mensual'!F40,0))+parametros_manuales!$F$28*('Plan mensual'!F37+IF(parametros_manuales!$H$28="Todos",'Plan mensual'!F41,0))+parametros_manuales!$G$28*('Plan mensual'!F38+IF(parametros_manuales!$H$28="Todos",'Plan mensual'!F42,0)))*parametros_manuales!$I$28*parametros_manuales!$J$28</f>
        <v>2812.96</v>
      </c>
      <c r="E95" s="8">
        <f>(parametros_manuales!$D$28*('Plan mensual'!G35+IF(parametros_manuales!$H$28="Todos",'Plan mensual'!G39,0))+parametros_manuales!$E$28*('Plan mensual'!G36+IF(parametros_manuales!$H$28="Todos",'Plan mensual'!G40,0))+parametros_manuales!$F$28*('Plan mensual'!G37+IF(parametros_manuales!$H$28="Todos",'Plan mensual'!G41,0))+parametros_manuales!$G$28*('Plan mensual'!G38+IF(parametros_manuales!$H$28="Todos",'Plan mensual'!G42,0)))*parametros_manuales!$I$28*parametros_manuales!$J$28</f>
        <v>2637.15</v>
      </c>
      <c r="F95" s="8">
        <f>(parametros_manuales!$D$28*('Plan mensual'!H35+IF(parametros_manuales!$H$28="Todos",'Plan mensual'!H39,0))+parametros_manuales!$E$28*('Plan mensual'!H36+IF(parametros_manuales!$H$28="Todos",'Plan mensual'!H40,0))+parametros_manuales!$F$28*('Plan mensual'!H37+IF(parametros_manuales!$H$28="Todos",'Plan mensual'!H41,0))+parametros_manuales!$G$28*('Plan mensual'!H38+IF(parametros_manuales!$H$28="Todos",'Plan mensual'!H42,0)))*parametros_manuales!$I$28*parametros_manuales!$J$28</f>
        <v>2461.34</v>
      </c>
      <c r="G95" s="8">
        <f>(parametros_manuales!$D$28*('Plan mensual'!I35+IF(parametros_manuales!$H$28="Todos",'Plan mensual'!I39,0))+parametros_manuales!$E$28*('Plan mensual'!I36+IF(parametros_manuales!$H$28="Todos",'Plan mensual'!I40,0))+parametros_manuales!$F$28*('Plan mensual'!I37+IF(parametros_manuales!$H$28="Todos",'Plan mensual'!I41,0))+parametros_manuales!$G$28*('Plan mensual'!I38+IF(parametros_manuales!$H$28="Todos",'Plan mensual'!I42,0)))*parametros_manuales!$I$28*parametros_manuales!$J$28</f>
        <v>2461.34</v>
      </c>
      <c r="H95" s="8">
        <f>(parametros_manuales!$D$28*('Plan mensual'!J35+IF(parametros_manuales!$H$28="Todos",'Plan mensual'!J39,0))+parametros_manuales!$E$28*('Plan mensual'!J36+IF(parametros_manuales!$H$28="Todos",'Plan mensual'!J40,0))+parametros_manuales!$F$28*('Plan mensual'!J37+IF(parametros_manuales!$H$28="Todos",'Plan mensual'!J41,0))+parametros_manuales!$G$28*('Plan mensual'!J38+IF(parametros_manuales!$H$28="Todos",'Plan mensual'!J42,0)))*parametros_manuales!$I$28*parametros_manuales!$J$28</f>
        <v>2637.15</v>
      </c>
      <c r="I95" s="8">
        <f>(parametros_manuales!$D$28*('Plan mensual'!K35+IF(parametros_manuales!$H$28="Todos",'Plan mensual'!K39,0))+parametros_manuales!$E$28*('Plan mensual'!K36+IF(parametros_manuales!$H$28="Todos",'Plan mensual'!K40,0))+parametros_manuales!$F$28*('Plan mensual'!K37+IF(parametros_manuales!$H$28="Todos",'Plan mensual'!K41,0))+parametros_manuales!$G$28*('Plan mensual'!K38+IF(parametros_manuales!$H$28="Todos",'Plan mensual'!K42,0)))*parametros_manuales!$I$28*parametros_manuales!$J$28</f>
        <v>2637.15</v>
      </c>
      <c r="J95" s="8">
        <f>(parametros_manuales!$D$28*('Plan mensual'!L35+IF(parametros_manuales!$H$28="Todos",'Plan mensual'!L39,0))+parametros_manuales!$E$28*('Plan mensual'!L36+IF(parametros_manuales!$H$28="Todos",'Plan mensual'!L40,0))+parametros_manuales!$F$28*('Plan mensual'!L37+IF(parametros_manuales!$H$28="Todos",'Plan mensual'!L41,0))+parametros_manuales!$G$28*('Plan mensual'!L38+IF(parametros_manuales!$H$28="Todos",'Plan mensual'!L42,0)))*parametros_manuales!$I$28*parametros_manuales!$J$28</f>
        <v>2637.15</v>
      </c>
      <c r="K95" s="8">
        <f>(parametros_manuales!$D$28*('Plan mensual'!M35+IF(parametros_manuales!$H$28="Todos",'Plan mensual'!M39,0))+parametros_manuales!$E$28*('Plan mensual'!M36+IF(parametros_manuales!$H$28="Todos",'Plan mensual'!M40,0))+parametros_manuales!$F$28*('Plan mensual'!M37+IF(parametros_manuales!$H$28="Todos",'Plan mensual'!M41,0))+parametros_manuales!$G$28*('Plan mensual'!M38+IF(parametros_manuales!$H$28="Todos",'Plan mensual'!M42,0)))*parametros_manuales!$I$28*parametros_manuales!$J$28</f>
        <v>2637.15</v>
      </c>
      <c r="L95" s="8">
        <f>(parametros_manuales!$D$28*('Plan mensual'!N35+IF(parametros_manuales!$H$28="Todos",'Plan mensual'!N39,0))+parametros_manuales!$E$28*('Plan mensual'!N36+IF(parametros_manuales!$H$28="Todos",'Plan mensual'!N40,0))+parametros_manuales!$F$28*('Plan mensual'!N37+IF(parametros_manuales!$H$28="Todos",'Plan mensual'!N41,0))+parametros_manuales!$G$28*('Plan mensual'!N38+IF(parametros_manuales!$H$28="Todos",'Plan mensual'!N42,0)))*parametros_manuales!$I$28*parametros_manuales!$J$28</f>
        <v>2637.15</v>
      </c>
      <c r="M95" s="8">
        <f>(parametros_manuales!$D$28*('Plan mensual'!O35+IF(parametros_manuales!$H$28="Todos",'Plan mensual'!O39,0))+parametros_manuales!$E$28*('Plan mensual'!O36+IF(parametros_manuales!$H$28="Todos",'Plan mensual'!O40,0))+parametros_manuales!$F$28*('Plan mensual'!O37+IF(parametros_manuales!$H$28="Todos",'Plan mensual'!O41,0))+parametros_manuales!$G$28*('Plan mensual'!O38+IF(parametros_manuales!$H$28="Todos",'Plan mensual'!O42,0)))*parametros_manuales!$I$28*parametros_manuales!$J$28</f>
        <v>4219.44</v>
      </c>
      <c r="N95" s="8">
        <f t="shared" si="10"/>
        <v>35162</v>
      </c>
      <c r="O95" s="8">
        <f t="shared" si="11"/>
        <v>4219.44</v>
      </c>
      <c r="P95" s="27">
        <f>O95/(parametros_manuales!$B$7)</f>
        <v>28.1296</v>
      </c>
      <c r="Q95" s="4" t="str">
        <f t="shared" si="12"/>
        <v>Ene</v>
      </c>
    </row>
    <row r="96" ht="14.25" customHeight="1">
      <c r="A96" s="4" t="str">
        <f>parametros_manuales!$B$29</f>
        <v>Encastre de fondo</v>
      </c>
      <c r="B96" s="8">
        <f>(parametros_manuales!$D$29*('Plan mensual'!D35+IF(parametros_manuales!$H$29="Todos",'Plan mensual'!D39,0))+parametros_manuales!$E$29*('Plan mensual'!D36+IF(parametros_manuales!$H$29="Todos",'Plan mensual'!D40,0))+parametros_manuales!$F$29*('Plan mensual'!D37+IF(parametros_manuales!$H$29="Todos",'Plan mensual'!D41,0))+parametros_manuales!$G$29*('Plan mensual'!D38+IF(parametros_manuales!$H$29="Todos",'Plan mensual'!D42,0)))*parametros_manuales!$I$29*parametros_manuales!$J$29</f>
        <v>5804.24</v>
      </c>
      <c r="C96" s="8">
        <f>(parametros_manuales!$D$29*('Plan mensual'!E35+IF(parametros_manuales!$H$29="Todos",'Plan mensual'!E39,0))+parametros_manuales!$E$29*('Plan mensual'!E36+IF(parametros_manuales!$H$29="Todos",'Plan mensual'!E40,0))+parametros_manuales!$F$29*('Plan mensual'!E37+IF(parametros_manuales!$H$29="Todos",'Plan mensual'!E41,0))+parametros_manuales!$G$29*('Plan mensual'!E38+IF(parametros_manuales!$H$29="Todos",'Plan mensual'!E42,0)))*parametros_manuales!$I$29*parametros_manuales!$J$29</f>
        <v>4432.42</v>
      </c>
      <c r="D96" s="8">
        <f>(parametros_manuales!$D$29*('Plan mensual'!F35+IF(parametros_manuales!$H$29="Todos",'Plan mensual'!F39,0))+parametros_manuales!$E$29*('Plan mensual'!F36+IF(parametros_manuales!$H$29="Todos",'Plan mensual'!F40,0))+parametros_manuales!$F$29*('Plan mensual'!F37+IF(parametros_manuales!$H$29="Todos",'Plan mensual'!F41,0))+parametros_manuales!$G$29*('Plan mensual'!F38+IF(parametros_manuales!$H$29="Todos",'Plan mensual'!F42,0)))*parametros_manuales!$I$29*parametros_manuales!$J$29</f>
        <v>4160.04</v>
      </c>
      <c r="E96" s="8">
        <f>(parametros_manuales!$D$29*('Plan mensual'!G35+IF(parametros_manuales!$H$29="Todos",'Plan mensual'!G39,0))+parametros_manuales!$E$29*('Plan mensual'!G36+IF(parametros_manuales!$H$29="Todos",'Plan mensual'!G40,0))+parametros_manuales!$F$29*('Plan mensual'!G37+IF(parametros_manuales!$H$29="Todos",'Plan mensual'!G41,0))+parametros_manuales!$G$29*('Plan mensual'!G38+IF(parametros_manuales!$H$29="Todos",'Plan mensual'!G42,0)))*parametros_manuales!$I$29*parametros_manuales!$J$29</f>
        <v>3984.23</v>
      </c>
      <c r="F96" s="8">
        <f>(parametros_manuales!$D$29*('Plan mensual'!H35+IF(parametros_manuales!$H$29="Todos",'Plan mensual'!H39,0))+parametros_manuales!$E$29*('Plan mensual'!H36+IF(parametros_manuales!$H$29="Todos",'Plan mensual'!H40,0))+parametros_manuales!$F$29*('Plan mensual'!H37+IF(parametros_manuales!$H$29="Todos",'Plan mensual'!H41,0))+parametros_manuales!$G$29*('Plan mensual'!H38+IF(parametros_manuales!$H$29="Todos",'Plan mensual'!H42,0)))*parametros_manuales!$I$29*parametros_manuales!$J$29</f>
        <v>3729.18</v>
      </c>
      <c r="G96" s="8">
        <f>(parametros_manuales!$D$29*('Plan mensual'!I35+IF(parametros_manuales!$H$29="Todos",'Plan mensual'!I39,0))+parametros_manuales!$E$29*('Plan mensual'!I36+IF(parametros_manuales!$H$29="Todos",'Plan mensual'!I40,0))+parametros_manuales!$F$29*('Plan mensual'!I37+IF(parametros_manuales!$H$29="Todos",'Plan mensual'!I41,0))+parametros_manuales!$G$29*('Plan mensual'!I38+IF(parametros_manuales!$H$29="Todos",'Plan mensual'!I42,0)))*parametros_manuales!$I$29*parametros_manuales!$J$29</f>
        <v>3649.94</v>
      </c>
      <c r="H96" s="8">
        <f>(parametros_manuales!$D$29*('Plan mensual'!J35+IF(parametros_manuales!$H$29="Todos",'Plan mensual'!J39,0))+parametros_manuales!$E$29*('Plan mensual'!J36+IF(parametros_manuales!$H$29="Todos",'Plan mensual'!J40,0))+parametros_manuales!$F$29*('Plan mensual'!J37+IF(parametros_manuales!$H$29="Todos",'Plan mensual'!J41,0))+parametros_manuales!$G$29*('Plan mensual'!J38+IF(parametros_manuales!$H$29="Todos",'Plan mensual'!J42,0)))*parametros_manuales!$I$29*parametros_manuales!$J$29</f>
        <v>3904.99</v>
      </c>
      <c r="I96" s="8">
        <f>(parametros_manuales!$D$29*('Plan mensual'!K35+IF(parametros_manuales!$H$29="Todos",'Plan mensual'!K39,0))+parametros_manuales!$E$29*('Plan mensual'!K36+IF(parametros_manuales!$H$29="Todos",'Plan mensual'!K40,0))+parametros_manuales!$F$29*('Plan mensual'!K37+IF(parametros_manuales!$H$29="Todos",'Plan mensual'!K41,0))+parametros_manuales!$G$29*('Plan mensual'!K38+IF(parametros_manuales!$H$29="Todos",'Plan mensual'!K42,0)))*parametros_manuales!$I$29*parametros_manuales!$J$29</f>
        <v>3904.99</v>
      </c>
      <c r="J96" s="8">
        <f>(parametros_manuales!$D$29*('Plan mensual'!L35+IF(parametros_manuales!$H$29="Todos",'Plan mensual'!L39,0))+parametros_manuales!$E$29*('Plan mensual'!L36+IF(parametros_manuales!$H$29="Todos",'Plan mensual'!L40,0))+parametros_manuales!$F$29*('Plan mensual'!L37+IF(parametros_manuales!$H$29="Todos",'Plan mensual'!L41,0))+parametros_manuales!$G$29*('Plan mensual'!L38+IF(parametros_manuales!$H$29="Todos",'Plan mensual'!L42,0)))*parametros_manuales!$I$29*parametros_manuales!$J$29</f>
        <v>3904.99</v>
      </c>
      <c r="K96" s="8">
        <f>(parametros_manuales!$D$29*('Plan mensual'!M35+IF(parametros_manuales!$H$29="Todos",'Plan mensual'!M39,0))+parametros_manuales!$E$29*('Plan mensual'!M36+IF(parametros_manuales!$H$29="Todos",'Plan mensual'!M40,0))+parametros_manuales!$F$29*('Plan mensual'!M37+IF(parametros_manuales!$H$29="Todos",'Plan mensual'!M41,0))+parametros_manuales!$G$29*('Plan mensual'!M38+IF(parametros_manuales!$H$29="Todos",'Plan mensual'!M42,0)))*parametros_manuales!$I$29*parametros_manuales!$J$29</f>
        <v>3825.75</v>
      </c>
      <c r="L96" s="8">
        <f>(parametros_manuales!$D$29*('Plan mensual'!N35+IF(parametros_manuales!$H$29="Todos",'Plan mensual'!N39,0))+parametros_manuales!$E$29*('Plan mensual'!N36+IF(parametros_manuales!$H$29="Todos",'Plan mensual'!N40,0))+parametros_manuales!$F$29*('Plan mensual'!N37+IF(parametros_manuales!$H$29="Todos",'Plan mensual'!N41,0))+parametros_manuales!$G$29*('Plan mensual'!N38+IF(parametros_manuales!$H$29="Todos",'Plan mensual'!N42,0)))*parametros_manuales!$I$29*parametros_manuales!$J$29</f>
        <v>3746.51</v>
      </c>
      <c r="M96" s="8">
        <f>(parametros_manuales!$D$29*('Plan mensual'!O35+IF(parametros_manuales!$H$29="Todos",'Plan mensual'!O39,0))+parametros_manuales!$E$29*('Plan mensual'!O36+IF(parametros_manuales!$H$29="Todos",'Plan mensual'!O40,0))+parametros_manuales!$F$29*('Plan mensual'!O37+IF(parametros_manuales!$H$29="Todos",'Plan mensual'!O41,0))+parametros_manuales!$G$29*('Plan mensual'!O38+IF(parametros_manuales!$H$29="Todos",'Plan mensual'!O42,0)))*parametros_manuales!$I$29*parametros_manuales!$J$29</f>
        <v>5962.72</v>
      </c>
      <c r="N96" s="8">
        <f t="shared" si="10"/>
        <v>51010</v>
      </c>
      <c r="O96" s="8">
        <f t="shared" si="11"/>
        <v>5962.72</v>
      </c>
      <c r="P96" s="27">
        <f>O96/(parametros_manuales!$B$7)</f>
        <v>39.75146667</v>
      </c>
      <c r="Q96" s="4" t="str">
        <f t="shared" si="12"/>
        <v>Dic</v>
      </c>
    </row>
    <row r="97" ht="14.25" customHeight="1">
      <c r="A97" s="4" t="str">
        <f>parametros_manuales!$B$30</f>
        <v>Bordoneado</v>
      </c>
      <c r="B97" s="8">
        <f>(parametros_manuales!$D$30*('Plan mensual'!D35+IF(parametros_manuales!$H$30="Todos",'Plan mensual'!D39,0))+parametros_manuales!$E$30*('Plan mensual'!D36+IF(parametros_manuales!$H$30="Todos",'Plan mensual'!D40,0))+parametros_manuales!$F$30*('Plan mensual'!D37+IF(parametros_manuales!$H$30="Todos",'Plan mensual'!D41,0))+parametros_manuales!$G$30*('Plan mensual'!D38+IF(parametros_manuales!$H$30="Todos",'Plan mensual'!D42,0)))*parametros_manuales!$I$30*parametros_manuales!$J$30</f>
        <v>5804.24</v>
      </c>
      <c r="C97" s="8">
        <f>(parametros_manuales!$D$30*('Plan mensual'!E35+IF(parametros_manuales!$H$30="Todos",'Plan mensual'!E39,0))+parametros_manuales!$E$30*('Plan mensual'!E36+IF(parametros_manuales!$H$30="Todos",'Plan mensual'!E40,0))+parametros_manuales!$F$30*('Plan mensual'!E37+IF(parametros_manuales!$H$30="Todos",'Plan mensual'!E41,0))+parametros_manuales!$G$30*('Plan mensual'!E38+IF(parametros_manuales!$H$30="Todos",'Plan mensual'!E42,0)))*parametros_manuales!$I$30*parametros_manuales!$J$30</f>
        <v>4432.42</v>
      </c>
      <c r="D97" s="8">
        <f>(parametros_manuales!$D$30*('Plan mensual'!F35+IF(parametros_manuales!$H$30="Todos",'Plan mensual'!F39,0))+parametros_manuales!$E$30*('Plan mensual'!F36+IF(parametros_manuales!$H$30="Todos",'Plan mensual'!F40,0))+parametros_manuales!$F$30*('Plan mensual'!F37+IF(parametros_manuales!$H$30="Todos",'Plan mensual'!F41,0))+parametros_manuales!$G$30*('Plan mensual'!F38+IF(parametros_manuales!$H$30="Todos",'Plan mensual'!F42,0)))*parametros_manuales!$I$30*parametros_manuales!$J$30</f>
        <v>4160.04</v>
      </c>
      <c r="E97" s="8">
        <f>(parametros_manuales!$D$30*('Plan mensual'!G35+IF(parametros_manuales!$H$30="Todos",'Plan mensual'!G39,0))+parametros_manuales!$E$30*('Plan mensual'!G36+IF(parametros_manuales!$H$30="Todos",'Plan mensual'!G40,0))+parametros_manuales!$F$30*('Plan mensual'!G37+IF(parametros_manuales!$H$30="Todos",'Plan mensual'!G41,0))+parametros_manuales!$G$30*('Plan mensual'!G38+IF(parametros_manuales!$H$30="Todos",'Plan mensual'!G42,0)))*parametros_manuales!$I$30*parametros_manuales!$J$30</f>
        <v>3984.23</v>
      </c>
      <c r="F97" s="8">
        <f>(parametros_manuales!$D$30*('Plan mensual'!H35+IF(parametros_manuales!$H$30="Todos",'Plan mensual'!H39,0))+parametros_manuales!$E$30*('Plan mensual'!H36+IF(parametros_manuales!$H$30="Todos",'Plan mensual'!H40,0))+parametros_manuales!$F$30*('Plan mensual'!H37+IF(parametros_manuales!$H$30="Todos",'Plan mensual'!H41,0))+parametros_manuales!$G$30*('Plan mensual'!H38+IF(parametros_manuales!$H$30="Todos",'Plan mensual'!H42,0)))*parametros_manuales!$I$30*parametros_manuales!$J$30</f>
        <v>3729.18</v>
      </c>
      <c r="G97" s="8">
        <f>(parametros_manuales!$D$30*('Plan mensual'!I35+IF(parametros_manuales!$H$30="Todos",'Plan mensual'!I39,0))+parametros_manuales!$E$30*('Plan mensual'!I36+IF(parametros_manuales!$H$30="Todos",'Plan mensual'!I40,0))+parametros_manuales!$F$30*('Plan mensual'!I37+IF(parametros_manuales!$H$30="Todos",'Plan mensual'!I41,0))+parametros_manuales!$G$30*('Plan mensual'!I38+IF(parametros_manuales!$H$30="Todos",'Plan mensual'!I42,0)))*parametros_manuales!$I$30*parametros_manuales!$J$30</f>
        <v>3649.94</v>
      </c>
      <c r="H97" s="8">
        <f>(parametros_manuales!$D$30*('Plan mensual'!J35+IF(parametros_manuales!$H$30="Todos",'Plan mensual'!J39,0))+parametros_manuales!$E$30*('Plan mensual'!J36+IF(parametros_manuales!$H$30="Todos",'Plan mensual'!J40,0))+parametros_manuales!$F$30*('Plan mensual'!J37+IF(parametros_manuales!$H$30="Todos",'Plan mensual'!J41,0))+parametros_manuales!$G$30*('Plan mensual'!J38+IF(parametros_manuales!$H$30="Todos",'Plan mensual'!J42,0)))*parametros_manuales!$I$30*parametros_manuales!$J$30</f>
        <v>3904.99</v>
      </c>
      <c r="I97" s="8">
        <f>(parametros_manuales!$D$30*('Plan mensual'!K35+IF(parametros_manuales!$H$30="Todos",'Plan mensual'!K39,0))+parametros_manuales!$E$30*('Plan mensual'!K36+IF(parametros_manuales!$H$30="Todos",'Plan mensual'!K40,0))+parametros_manuales!$F$30*('Plan mensual'!K37+IF(parametros_manuales!$H$30="Todos",'Plan mensual'!K41,0))+parametros_manuales!$G$30*('Plan mensual'!K38+IF(parametros_manuales!$H$30="Todos",'Plan mensual'!K42,0)))*parametros_manuales!$I$30*parametros_manuales!$J$30</f>
        <v>3904.99</v>
      </c>
      <c r="J97" s="8">
        <f>(parametros_manuales!$D$30*('Plan mensual'!L35+IF(parametros_manuales!$H$30="Todos",'Plan mensual'!L39,0))+parametros_manuales!$E$30*('Plan mensual'!L36+IF(parametros_manuales!$H$30="Todos",'Plan mensual'!L40,0))+parametros_manuales!$F$30*('Plan mensual'!L37+IF(parametros_manuales!$H$30="Todos",'Plan mensual'!L41,0))+parametros_manuales!$G$30*('Plan mensual'!L38+IF(parametros_manuales!$H$30="Todos",'Plan mensual'!L42,0)))*parametros_manuales!$I$30*parametros_manuales!$J$30</f>
        <v>3904.99</v>
      </c>
      <c r="K97" s="8">
        <f>(parametros_manuales!$D$30*('Plan mensual'!M35+IF(parametros_manuales!$H$30="Todos",'Plan mensual'!M39,0))+parametros_manuales!$E$30*('Plan mensual'!M36+IF(parametros_manuales!$H$30="Todos",'Plan mensual'!M40,0))+parametros_manuales!$F$30*('Plan mensual'!M37+IF(parametros_manuales!$H$30="Todos",'Plan mensual'!M41,0))+parametros_manuales!$G$30*('Plan mensual'!M38+IF(parametros_manuales!$H$30="Todos",'Plan mensual'!M42,0)))*parametros_manuales!$I$30*parametros_manuales!$J$30</f>
        <v>3825.75</v>
      </c>
      <c r="L97" s="8">
        <f>(parametros_manuales!$D$30*('Plan mensual'!N35+IF(parametros_manuales!$H$30="Todos",'Plan mensual'!N39,0))+parametros_manuales!$E$30*('Plan mensual'!N36+IF(parametros_manuales!$H$30="Todos",'Plan mensual'!N40,0))+parametros_manuales!$F$30*('Plan mensual'!N37+IF(parametros_manuales!$H$30="Todos",'Plan mensual'!N41,0))+parametros_manuales!$G$30*('Plan mensual'!N38+IF(parametros_manuales!$H$30="Todos",'Plan mensual'!N42,0)))*parametros_manuales!$I$30*parametros_manuales!$J$30</f>
        <v>3746.51</v>
      </c>
      <c r="M97" s="8">
        <f>(parametros_manuales!$D$30*('Plan mensual'!O35+IF(parametros_manuales!$H$30="Todos",'Plan mensual'!O39,0))+parametros_manuales!$E$30*('Plan mensual'!O36+IF(parametros_manuales!$H$30="Todos",'Plan mensual'!O40,0))+parametros_manuales!$F$30*('Plan mensual'!O37+IF(parametros_manuales!$H$30="Todos",'Plan mensual'!O41,0))+parametros_manuales!$G$30*('Plan mensual'!O38+IF(parametros_manuales!$H$30="Todos",'Plan mensual'!O42,0)))*parametros_manuales!$I$30*parametros_manuales!$J$30</f>
        <v>5962.72</v>
      </c>
      <c r="N97" s="8">
        <f t="shared" si="10"/>
        <v>51010</v>
      </c>
      <c r="O97" s="8">
        <f t="shared" si="11"/>
        <v>5962.72</v>
      </c>
      <c r="P97" s="27">
        <f>O97/(parametros_manuales!$B$7)</f>
        <v>39.75146667</v>
      </c>
      <c r="Q97" s="4" t="str">
        <f t="shared" si="12"/>
        <v>Dic</v>
      </c>
    </row>
    <row r="98" ht="14.25" customHeight="1">
      <c r="A98" s="4" t="str">
        <f>parametros_manuales!$B$31</f>
        <v>Soldadura circunferencial de cúpula y fondo</v>
      </c>
      <c r="B98" s="8">
        <f>(parametros_manuales!$D$31*('Plan mensual'!D35+IF(parametros_manuales!$H$31="Todos",'Plan mensual'!D39,0))+parametros_manuales!$E$31*('Plan mensual'!D36+IF(parametros_manuales!$H$31="Todos",'Plan mensual'!D40,0))+parametros_manuales!$F$31*('Plan mensual'!D37+IF(parametros_manuales!$H$31="Todos",'Plan mensual'!D41,0))+parametros_manuales!$G$31*('Plan mensual'!D38+IF(parametros_manuales!$H$31="Todos",'Plan mensual'!D42,0)))*parametros_manuales!$I$31*parametros_manuales!$J$31</f>
        <v>5804.24</v>
      </c>
      <c r="C98" s="8">
        <f>(parametros_manuales!$D$31*('Plan mensual'!E35+IF(parametros_manuales!$H$31="Todos",'Plan mensual'!E39,0))+parametros_manuales!$E$31*('Plan mensual'!E36+IF(parametros_manuales!$H$31="Todos",'Plan mensual'!E40,0))+parametros_manuales!$F$31*('Plan mensual'!E37+IF(parametros_manuales!$H$31="Todos",'Plan mensual'!E41,0))+parametros_manuales!$G$31*('Plan mensual'!E38+IF(parametros_manuales!$H$31="Todos",'Plan mensual'!E42,0)))*parametros_manuales!$I$31*parametros_manuales!$J$31</f>
        <v>4432.42</v>
      </c>
      <c r="D98" s="8">
        <f>(parametros_manuales!$D$31*('Plan mensual'!F35+IF(parametros_manuales!$H$31="Todos",'Plan mensual'!F39,0))+parametros_manuales!$E$31*('Plan mensual'!F36+IF(parametros_manuales!$H$31="Todos",'Plan mensual'!F40,0))+parametros_manuales!$F$31*('Plan mensual'!F37+IF(parametros_manuales!$H$31="Todos",'Plan mensual'!F41,0))+parametros_manuales!$G$31*('Plan mensual'!F38+IF(parametros_manuales!$H$31="Todos",'Plan mensual'!F42,0)))*parametros_manuales!$I$31*parametros_manuales!$J$31</f>
        <v>4160.04</v>
      </c>
      <c r="E98" s="8">
        <f>(parametros_manuales!$D$31*('Plan mensual'!G35+IF(parametros_manuales!$H$31="Todos",'Plan mensual'!G39,0))+parametros_manuales!$E$31*('Plan mensual'!G36+IF(parametros_manuales!$H$31="Todos",'Plan mensual'!G40,0))+parametros_manuales!$F$31*('Plan mensual'!G37+IF(parametros_manuales!$H$31="Todos",'Plan mensual'!G41,0))+parametros_manuales!$G$31*('Plan mensual'!G38+IF(parametros_manuales!$H$31="Todos",'Plan mensual'!G42,0)))*parametros_manuales!$I$31*parametros_manuales!$J$31</f>
        <v>3984.23</v>
      </c>
      <c r="F98" s="8">
        <f>(parametros_manuales!$D$31*('Plan mensual'!H35+IF(parametros_manuales!$H$31="Todos",'Plan mensual'!H39,0))+parametros_manuales!$E$31*('Plan mensual'!H36+IF(parametros_manuales!$H$31="Todos",'Plan mensual'!H40,0))+parametros_manuales!$F$31*('Plan mensual'!H37+IF(parametros_manuales!$H$31="Todos",'Plan mensual'!H41,0))+parametros_manuales!$G$31*('Plan mensual'!H38+IF(parametros_manuales!$H$31="Todos",'Plan mensual'!H42,0)))*parametros_manuales!$I$31*parametros_manuales!$J$31</f>
        <v>3729.18</v>
      </c>
      <c r="G98" s="8">
        <f>(parametros_manuales!$D$31*('Plan mensual'!I35+IF(parametros_manuales!$H$31="Todos",'Plan mensual'!I39,0))+parametros_manuales!$E$31*('Plan mensual'!I36+IF(parametros_manuales!$H$31="Todos",'Plan mensual'!I40,0))+parametros_manuales!$F$31*('Plan mensual'!I37+IF(parametros_manuales!$H$31="Todos",'Plan mensual'!I41,0))+parametros_manuales!$G$31*('Plan mensual'!I38+IF(parametros_manuales!$H$31="Todos",'Plan mensual'!I42,0)))*parametros_manuales!$I$31*parametros_manuales!$J$31</f>
        <v>3649.94</v>
      </c>
      <c r="H98" s="8">
        <f>(parametros_manuales!$D$31*('Plan mensual'!J35+IF(parametros_manuales!$H$31="Todos",'Plan mensual'!J39,0))+parametros_manuales!$E$31*('Plan mensual'!J36+IF(parametros_manuales!$H$31="Todos",'Plan mensual'!J40,0))+parametros_manuales!$F$31*('Plan mensual'!J37+IF(parametros_manuales!$H$31="Todos",'Plan mensual'!J41,0))+parametros_manuales!$G$31*('Plan mensual'!J38+IF(parametros_manuales!$H$31="Todos",'Plan mensual'!J42,0)))*parametros_manuales!$I$31*parametros_manuales!$J$31</f>
        <v>3904.99</v>
      </c>
      <c r="I98" s="8">
        <f>(parametros_manuales!$D$31*('Plan mensual'!K35+IF(parametros_manuales!$H$31="Todos",'Plan mensual'!K39,0))+parametros_manuales!$E$31*('Plan mensual'!K36+IF(parametros_manuales!$H$31="Todos",'Plan mensual'!K40,0))+parametros_manuales!$F$31*('Plan mensual'!K37+IF(parametros_manuales!$H$31="Todos",'Plan mensual'!K41,0))+parametros_manuales!$G$31*('Plan mensual'!K38+IF(parametros_manuales!$H$31="Todos",'Plan mensual'!K42,0)))*parametros_manuales!$I$31*parametros_manuales!$J$31</f>
        <v>3904.99</v>
      </c>
      <c r="J98" s="8">
        <f>(parametros_manuales!$D$31*('Plan mensual'!L35+IF(parametros_manuales!$H$31="Todos",'Plan mensual'!L39,0))+parametros_manuales!$E$31*('Plan mensual'!L36+IF(parametros_manuales!$H$31="Todos",'Plan mensual'!L40,0))+parametros_manuales!$F$31*('Plan mensual'!L37+IF(parametros_manuales!$H$31="Todos",'Plan mensual'!L41,0))+parametros_manuales!$G$31*('Plan mensual'!L38+IF(parametros_manuales!$H$31="Todos",'Plan mensual'!L42,0)))*parametros_manuales!$I$31*parametros_manuales!$J$31</f>
        <v>3904.99</v>
      </c>
      <c r="K98" s="8">
        <f>(parametros_manuales!$D$31*('Plan mensual'!M35+IF(parametros_manuales!$H$31="Todos",'Plan mensual'!M39,0))+parametros_manuales!$E$31*('Plan mensual'!M36+IF(parametros_manuales!$H$31="Todos",'Plan mensual'!M40,0))+parametros_manuales!$F$31*('Plan mensual'!M37+IF(parametros_manuales!$H$31="Todos",'Plan mensual'!M41,0))+parametros_manuales!$G$31*('Plan mensual'!M38+IF(parametros_manuales!$H$31="Todos",'Plan mensual'!M42,0)))*parametros_manuales!$I$31*parametros_manuales!$J$31</f>
        <v>3825.75</v>
      </c>
      <c r="L98" s="8">
        <f>(parametros_manuales!$D$31*('Plan mensual'!N35+IF(parametros_manuales!$H$31="Todos",'Plan mensual'!N39,0))+parametros_manuales!$E$31*('Plan mensual'!N36+IF(parametros_manuales!$H$31="Todos",'Plan mensual'!N40,0))+parametros_manuales!$F$31*('Plan mensual'!N37+IF(parametros_manuales!$H$31="Todos",'Plan mensual'!N41,0))+parametros_manuales!$G$31*('Plan mensual'!N38+IF(parametros_manuales!$H$31="Todos",'Plan mensual'!N42,0)))*parametros_manuales!$I$31*parametros_manuales!$J$31</f>
        <v>3746.51</v>
      </c>
      <c r="M98" s="8">
        <f>(parametros_manuales!$D$31*('Plan mensual'!O35+IF(parametros_manuales!$H$31="Todos",'Plan mensual'!O39,0))+parametros_manuales!$E$31*('Plan mensual'!O36+IF(parametros_manuales!$H$31="Todos",'Plan mensual'!O40,0))+parametros_manuales!$F$31*('Plan mensual'!O37+IF(parametros_manuales!$H$31="Todos",'Plan mensual'!O41,0))+parametros_manuales!$G$31*('Plan mensual'!O38+IF(parametros_manuales!$H$31="Todos",'Plan mensual'!O42,0)))*parametros_manuales!$I$31*parametros_manuales!$J$31</f>
        <v>5962.72</v>
      </c>
      <c r="N98" s="8">
        <f t="shared" si="10"/>
        <v>51010</v>
      </c>
      <c r="O98" s="8">
        <f t="shared" si="11"/>
        <v>5962.72</v>
      </c>
      <c r="P98" s="27">
        <f>O98/(parametros_manuales!$B$7)</f>
        <v>39.75146667</v>
      </c>
      <c r="Q98" s="4" t="str">
        <f t="shared" si="12"/>
        <v>Dic</v>
      </c>
    </row>
    <row r="99" ht="14.25" customHeight="1">
      <c r="A99" s="4" t="str">
        <f>parametros_manuales!$B$32</f>
        <v>Control de calidad — Espesor</v>
      </c>
      <c r="B99" s="8">
        <f>(parametros_manuales!$D$32*('Plan mensual'!D35+IF(parametros_manuales!$H$32="Todos",'Plan mensual'!D39,0))+parametros_manuales!$E$32*('Plan mensual'!D36+IF(parametros_manuales!$H$32="Todos",'Plan mensual'!D40,0))+parametros_manuales!$F$32*('Plan mensual'!D37+IF(parametros_manuales!$H$32="Todos",'Plan mensual'!D41,0))+parametros_manuales!$G$32*('Plan mensual'!D38+IF(parametros_manuales!$H$32="Todos",'Plan mensual'!D42,0)))*parametros_manuales!$I$32*parametros_manuales!$J$32</f>
        <v>116.0848</v>
      </c>
      <c r="C99" s="8">
        <f>(parametros_manuales!$D$32*('Plan mensual'!E35+IF(parametros_manuales!$H$32="Todos",'Plan mensual'!E39,0))+parametros_manuales!$E$32*('Plan mensual'!E36+IF(parametros_manuales!$H$32="Todos",'Plan mensual'!E40,0))+parametros_manuales!$F$32*('Plan mensual'!E37+IF(parametros_manuales!$H$32="Todos",'Plan mensual'!E41,0))+parametros_manuales!$G$32*('Plan mensual'!E38+IF(parametros_manuales!$H$32="Todos",'Plan mensual'!E42,0)))*parametros_manuales!$I$32*parametros_manuales!$J$32</f>
        <v>88.6484</v>
      </c>
      <c r="D99" s="8">
        <f>(parametros_manuales!$D$32*('Plan mensual'!F35+IF(parametros_manuales!$H$32="Todos",'Plan mensual'!F39,0))+parametros_manuales!$E$32*('Plan mensual'!F36+IF(parametros_manuales!$H$32="Todos",'Plan mensual'!F40,0))+parametros_manuales!$F$32*('Plan mensual'!F37+IF(parametros_manuales!$H$32="Todos",'Plan mensual'!F41,0))+parametros_manuales!$G$32*('Plan mensual'!F38+IF(parametros_manuales!$H$32="Todos",'Plan mensual'!F42,0)))*parametros_manuales!$I$32*parametros_manuales!$J$32</f>
        <v>83.2008</v>
      </c>
      <c r="E99" s="8">
        <f>(parametros_manuales!$D$32*('Plan mensual'!G35+IF(parametros_manuales!$H$32="Todos",'Plan mensual'!G39,0))+parametros_manuales!$E$32*('Plan mensual'!G36+IF(parametros_manuales!$H$32="Todos",'Plan mensual'!G40,0))+parametros_manuales!$F$32*('Plan mensual'!G37+IF(parametros_manuales!$H$32="Todos",'Plan mensual'!G41,0))+parametros_manuales!$G$32*('Plan mensual'!G38+IF(parametros_manuales!$H$32="Todos",'Plan mensual'!G42,0)))*parametros_manuales!$I$32*parametros_manuales!$J$32</f>
        <v>79.6846</v>
      </c>
      <c r="F99" s="8">
        <f>(parametros_manuales!$D$32*('Plan mensual'!H35+IF(parametros_manuales!$H$32="Todos",'Plan mensual'!H39,0))+parametros_manuales!$E$32*('Plan mensual'!H36+IF(parametros_manuales!$H$32="Todos",'Plan mensual'!H40,0))+parametros_manuales!$F$32*('Plan mensual'!H37+IF(parametros_manuales!$H$32="Todos",'Plan mensual'!H41,0))+parametros_manuales!$G$32*('Plan mensual'!H38+IF(parametros_manuales!$H$32="Todos",'Plan mensual'!H42,0)))*parametros_manuales!$I$32*parametros_manuales!$J$32</f>
        <v>74.5836</v>
      </c>
      <c r="G99" s="8">
        <f>(parametros_manuales!$D$32*('Plan mensual'!I35+IF(parametros_manuales!$H$32="Todos",'Plan mensual'!I39,0))+parametros_manuales!$E$32*('Plan mensual'!I36+IF(parametros_manuales!$H$32="Todos",'Plan mensual'!I40,0))+parametros_manuales!$F$32*('Plan mensual'!I37+IF(parametros_manuales!$H$32="Todos",'Plan mensual'!I41,0))+parametros_manuales!$G$32*('Plan mensual'!I38+IF(parametros_manuales!$H$32="Todos",'Plan mensual'!I42,0)))*parametros_manuales!$I$32*parametros_manuales!$J$32</f>
        <v>72.9988</v>
      </c>
      <c r="H99" s="8">
        <f>(parametros_manuales!$D$32*('Plan mensual'!J35+IF(parametros_manuales!$H$32="Todos",'Plan mensual'!J39,0))+parametros_manuales!$E$32*('Plan mensual'!J36+IF(parametros_manuales!$H$32="Todos",'Plan mensual'!J40,0))+parametros_manuales!$F$32*('Plan mensual'!J37+IF(parametros_manuales!$H$32="Todos",'Plan mensual'!J41,0))+parametros_manuales!$G$32*('Plan mensual'!J38+IF(parametros_manuales!$H$32="Todos",'Plan mensual'!J42,0)))*parametros_manuales!$I$32*parametros_manuales!$J$32</f>
        <v>78.0998</v>
      </c>
      <c r="I99" s="8">
        <f>(parametros_manuales!$D$32*('Plan mensual'!K35+IF(parametros_manuales!$H$32="Todos",'Plan mensual'!K39,0))+parametros_manuales!$E$32*('Plan mensual'!K36+IF(parametros_manuales!$H$32="Todos",'Plan mensual'!K40,0))+parametros_manuales!$F$32*('Plan mensual'!K37+IF(parametros_manuales!$H$32="Todos",'Plan mensual'!K41,0))+parametros_manuales!$G$32*('Plan mensual'!K38+IF(parametros_manuales!$H$32="Todos",'Plan mensual'!K42,0)))*parametros_manuales!$I$32*parametros_manuales!$J$32</f>
        <v>78.0998</v>
      </c>
      <c r="J99" s="8">
        <f>(parametros_manuales!$D$32*('Plan mensual'!L35+IF(parametros_manuales!$H$32="Todos",'Plan mensual'!L39,0))+parametros_manuales!$E$32*('Plan mensual'!L36+IF(parametros_manuales!$H$32="Todos",'Plan mensual'!L40,0))+parametros_manuales!$F$32*('Plan mensual'!L37+IF(parametros_manuales!$H$32="Todos",'Plan mensual'!L41,0))+parametros_manuales!$G$32*('Plan mensual'!L38+IF(parametros_manuales!$H$32="Todos",'Plan mensual'!L42,0)))*parametros_manuales!$I$32*parametros_manuales!$J$32</f>
        <v>78.0998</v>
      </c>
      <c r="K99" s="8">
        <f>(parametros_manuales!$D$32*('Plan mensual'!M35+IF(parametros_manuales!$H$32="Todos",'Plan mensual'!M39,0))+parametros_manuales!$E$32*('Plan mensual'!M36+IF(parametros_manuales!$H$32="Todos",'Plan mensual'!M40,0))+parametros_manuales!$F$32*('Plan mensual'!M37+IF(parametros_manuales!$H$32="Todos",'Plan mensual'!M41,0))+parametros_manuales!$G$32*('Plan mensual'!M38+IF(parametros_manuales!$H$32="Todos",'Plan mensual'!M42,0)))*parametros_manuales!$I$32*parametros_manuales!$J$32</f>
        <v>76.515</v>
      </c>
      <c r="L99" s="8">
        <f>(parametros_manuales!$D$32*('Plan mensual'!N35+IF(parametros_manuales!$H$32="Todos",'Plan mensual'!N39,0))+parametros_manuales!$E$32*('Plan mensual'!N36+IF(parametros_manuales!$H$32="Todos",'Plan mensual'!N40,0))+parametros_manuales!$F$32*('Plan mensual'!N37+IF(parametros_manuales!$H$32="Todos",'Plan mensual'!N41,0))+parametros_manuales!$G$32*('Plan mensual'!N38+IF(parametros_manuales!$H$32="Todos",'Plan mensual'!N42,0)))*parametros_manuales!$I$32*parametros_manuales!$J$32</f>
        <v>74.9302</v>
      </c>
      <c r="M99" s="8">
        <f>(parametros_manuales!$D$32*('Plan mensual'!O35+IF(parametros_manuales!$H$32="Todos",'Plan mensual'!O39,0))+parametros_manuales!$E$32*('Plan mensual'!O36+IF(parametros_manuales!$H$32="Todos",'Plan mensual'!O40,0))+parametros_manuales!$F$32*('Plan mensual'!O37+IF(parametros_manuales!$H$32="Todos",'Plan mensual'!O41,0))+parametros_manuales!$G$32*('Plan mensual'!O38+IF(parametros_manuales!$H$32="Todos",'Plan mensual'!O42,0)))*parametros_manuales!$I$32*parametros_manuales!$J$32</f>
        <v>119.2544</v>
      </c>
      <c r="N99" s="8">
        <f t="shared" si="10"/>
        <v>1020.2</v>
      </c>
      <c r="O99" s="8">
        <f t="shared" si="11"/>
        <v>119.2544</v>
      </c>
      <c r="P99" s="27">
        <f>O99/(parametros_manuales!$B$7)</f>
        <v>0.7950293333</v>
      </c>
      <c r="Q99" s="4" t="str">
        <f t="shared" si="12"/>
        <v>Dic</v>
      </c>
    </row>
    <row r="100" ht="14.25" customHeight="1">
      <c r="A100" s="4" t="str">
        <f>parametros_manuales!$B$33</f>
        <v>Prueba hidráulica</v>
      </c>
      <c r="B100" s="8">
        <f>(parametros_manuales!$D$33*('Plan mensual'!D35+IF(parametros_manuales!$H$33="Todos",'Plan mensual'!D39,0))+parametros_manuales!$E$33*('Plan mensual'!D36+IF(parametros_manuales!$H$33="Todos",'Plan mensual'!D40,0))+parametros_manuales!$F$33*('Plan mensual'!D37+IF(parametros_manuales!$H$33="Todos",'Plan mensual'!D41,0))+parametros_manuales!$G$33*('Plan mensual'!D38+IF(parametros_manuales!$H$33="Todos",'Plan mensual'!D42,0)))*parametros_manuales!$I$33*parametros_manuales!$J$33</f>
        <v>5804.24</v>
      </c>
      <c r="C100" s="8">
        <f>(parametros_manuales!$D$33*('Plan mensual'!E35+IF(parametros_manuales!$H$33="Todos",'Plan mensual'!E39,0))+parametros_manuales!$E$33*('Plan mensual'!E36+IF(parametros_manuales!$H$33="Todos",'Plan mensual'!E40,0))+parametros_manuales!$F$33*('Plan mensual'!E37+IF(parametros_manuales!$H$33="Todos",'Plan mensual'!E41,0))+parametros_manuales!$G$33*('Plan mensual'!E38+IF(parametros_manuales!$H$33="Todos",'Plan mensual'!E42,0)))*parametros_manuales!$I$33*parametros_manuales!$J$33</f>
        <v>4432.42</v>
      </c>
      <c r="D100" s="8">
        <f>(parametros_manuales!$D$33*('Plan mensual'!F35+IF(parametros_manuales!$H$33="Todos",'Plan mensual'!F39,0))+parametros_manuales!$E$33*('Plan mensual'!F36+IF(parametros_manuales!$H$33="Todos",'Plan mensual'!F40,0))+parametros_manuales!$F$33*('Plan mensual'!F37+IF(parametros_manuales!$H$33="Todos",'Plan mensual'!F41,0))+parametros_manuales!$G$33*('Plan mensual'!F38+IF(parametros_manuales!$H$33="Todos",'Plan mensual'!F42,0)))*parametros_manuales!$I$33*parametros_manuales!$J$33</f>
        <v>4160.04</v>
      </c>
      <c r="E100" s="8">
        <f>(parametros_manuales!$D$33*('Plan mensual'!G35+IF(parametros_manuales!$H$33="Todos",'Plan mensual'!G39,0))+parametros_manuales!$E$33*('Plan mensual'!G36+IF(parametros_manuales!$H$33="Todos",'Plan mensual'!G40,0))+parametros_manuales!$F$33*('Plan mensual'!G37+IF(parametros_manuales!$H$33="Todos",'Plan mensual'!G41,0))+parametros_manuales!$G$33*('Plan mensual'!G38+IF(parametros_manuales!$H$33="Todos",'Plan mensual'!G42,0)))*parametros_manuales!$I$33*parametros_manuales!$J$33</f>
        <v>3984.23</v>
      </c>
      <c r="F100" s="8">
        <f>(parametros_manuales!$D$33*('Plan mensual'!H35+IF(parametros_manuales!$H$33="Todos",'Plan mensual'!H39,0))+parametros_manuales!$E$33*('Plan mensual'!H36+IF(parametros_manuales!$H$33="Todos",'Plan mensual'!H40,0))+parametros_manuales!$F$33*('Plan mensual'!H37+IF(parametros_manuales!$H$33="Todos",'Plan mensual'!H41,0))+parametros_manuales!$G$33*('Plan mensual'!H38+IF(parametros_manuales!$H$33="Todos",'Plan mensual'!H42,0)))*parametros_manuales!$I$33*parametros_manuales!$J$33</f>
        <v>3729.18</v>
      </c>
      <c r="G100" s="8">
        <f>(parametros_manuales!$D$33*('Plan mensual'!I35+IF(parametros_manuales!$H$33="Todos",'Plan mensual'!I39,0))+parametros_manuales!$E$33*('Plan mensual'!I36+IF(parametros_manuales!$H$33="Todos",'Plan mensual'!I40,0))+parametros_manuales!$F$33*('Plan mensual'!I37+IF(parametros_manuales!$H$33="Todos",'Plan mensual'!I41,0))+parametros_manuales!$G$33*('Plan mensual'!I38+IF(parametros_manuales!$H$33="Todos",'Plan mensual'!I42,0)))*parametros_manuales!$I$33*parametros_manuales!$J$33</f>
        <v>3649.94</v>
      </c>
      <c r="H100" s="8">
        <f>(parametros_manuales!$D$33*('Plan mensual'!J35+IF(parametros_manuales!$H$33="Todos",'Plan mensual'!J39,0))+parametros_manuales!$E$33*('Plan mensual'!J36+IF(parametros_manuales!$H$33="Todos",'Plan mensual'!J40,0))+parametros_manuales!$F$33*('Plan mensual'!J37+IF(parametros_manuales!$H$33="Todos",'Plan mensual'!J41,0))+parametros_manuales!$G$33*('Plan mensual'!J38+IF(parametros_manuales!$H$33="Todos",'Plan mensual'!J42,0)))*parametros_manuales!$I$33*parametros_manuales!$J$33</f>
        <v>3904.99</v>
      </c>
      <c r="I100" s="8">
        <f>(parametros_manuales!$D$33*('Plan mensual'!K35+IF(parametros_manuales!$H$33="Todos",'Plan mensual'!K39,0))+parametros_manuales!$E$33*('Plan mensual'!K36+IF(parametros_manuales!$H$33="Todos",'Plan mensual'!K40,0))+parametros_manuales!$F$33*('Plan mensual'!K37+IF(parametros_manuales!$H$33="Todos",'Plan mensual'!K41,0))+parametros_manuales!$G$33*('Plan mensual'!K38+IF(parametros_manuales!$H$33="Todos",'Plan mensual'!K42,0)))*parametros_manuales!$I$33*parametros_manuales!$J$33</f>
        <v>3904.99</v>
      </c>
      <c r="J100" s="8">
        <f>(parametros_manuales!$D$33*('Plan mensual'!L35+IF(parametros_manuales!$H$33="Todos",'Plan mensual'!L39,0))+parametros_manuales!$E$33*('Plan mensual'!L36+IF(parametros_manuales!$H$33="Todos",'Plan mensual'!L40,0))+parametros_manuales!$F$33*('Plan mensual'!L37+IF(parametros_manuales!$H$33="Todos",'Plan mensual'!L41,0))+parametros_manuales!$G$33*('Plan mensual'!L38+IF(parametros_manuales!$H$33="Todos",'Plan mensual'!L42,0)))*parametros_manuales!$I$33*parametros_manuales!$J$33</f>
        <v>3904.99</v>
      </c>
      <c r="K100" s="8">
        <f>(parametros_manuales!$D$33*('Plan mensual'!M35+IF(parametros_manuales!$H$33="Todos",'Plan mensual'!M39,0))+parametros_manuales!$E$33*('Plan mensual'!M36+IF(parametros_manuales!$H$33="Todos",'Plan mensual'!M40,0))+parametros_manuales!$F$33*('Plan mensual'!M37+IF(parametros_manuales!$H$33="Todos",'Plan mensual'!M41,0))+parametros_manuales!$G$33*('Plan mensual'!M38+IF(parametros_manuales!$H$33="Todos",'Plan mensual'!M42,0)))*parametros_manuales!$I$33*parametros_manuales!$J$33</f>
        <v>3825.75</v>
      </c>
      <c r="L100" s="8">
        <f>(parametros_manuales!$D$33*('Plan mensual'!N35+IF(parametros_manuales!$H$33="Todos",'Plan mensual'!N39,0))+parametros_manuales!$E$33*('Plan mensual'!N36+IF(parametros_manuales!$H$33="Todos",'Plan mensual'!N40,0))+parametros_manuales!$F$33*('Plan mensual'!N37+IF(parametros_manuales!$H$33="Todos",'Plan mensual'!N41,0))+parametros_manuales!$G$33*('Plan mensual'!N38+IF(parametros_manuales!$H$33="Todos",'Plan mensual'!N42,0)))*parametros_manuales!$I$33*parametros_manuales!$J$33</f>
        <v>3746.51</v>
      </c>
      <c r="M100" s="8">
        <f>(parametros_manuales!$D$33*('Plan mensual'!O35+IF(parametros_manuales!$H$33="Todos",'Plan mensual'!O39,0))+parametros_manuales!$E$33*('Plan mensual'!O36+IF(parametros_manuales!$H$33="Todos",'Plan mensual'!O40,0))+parametros_manuales!$F$33*('Plan mensual'!O37+IF(parametros_manuales!$H$33="Todos",'Plan mensual'!O41,0))+parametros_manuales!$G$33*('Plan mensual'!O38+IF(parametros_manuales!$H$33="Todos",'Plan mensual'!O42,0)))*parametros_manuales!$I$33*parametros_manuales!$J$33</f>
        <v>5962.72</v>
      </c>
      <c r="N100" s="8">
        <f t="shared" si="10"/>
        <v>51010</v>
      </c>
      <c r="O100" s="8">
        <f t="shared" si="11"/>
        <v>5962.72</v>
      </c>
      <c r="P100" s="27">
        <f>O100/(parametros_manuales!$B$7)</f>
        <v>39.75146667</v>
      </c>
      <c r="Q100" s="4" t="str">
        <f t="shared" si="12"/>
        <v>Dic</v>
      </c>
    </row>
    <row r="101" ht="14.25" customHeight="1">
      <c r="A101" s="4" t="str">
        <f>parametros_manuales!$B$34</f>
        <v>Secado</v>
      </c>
      <c r="B101" s="8">
        <f>(parametros_manuales!$D$34*('Plan mensual'!D35+IF(parametros_manuales!$H$34="Todos",'Plan mensual'!D39,0))+parametros_manuales!$E$34*('Plan mensual'!D36+IF(parametros_manuales!$H$34="Todos",'Plan mensual'!D40,0))+parametros_manuales!$F$34*('Plan mensual'!D37+IF(parametros_manuales!$H$34="Todos",'Plan mensual'!D41,0))+parametros_manuales!$G$34*('Plan mensual'!D38+IF(parametros_manuales!$H$34="Todos",'Plan mensual'!D42,0)))*parametros_manuales!$I$34*parametros_manuales!$J$34</f>
        <v>5804.24</v>
      </c>
      <c r="C101" s="8">
        <f>(parametros_manuales!$D$34*('Plan mensual'!E35+IF(parametros_manuales!$H$34="Todos",'Plan mensual'!E39,0))+parametros_manuales!$E$34*('Plan mensual'!E36+IF(parametros_manuales!$H$34="Todos",'Plan mensual'!E40,0))+parametros_manuales!$F$34*('Plan mensual'!E37+IF(parametros_manuales!$H$34="Todos",'Plan mensual'!E41,0))+parametros_manuales!$G$34*('Plan mensual'!E38+IF(parametros_manuales!$H$34="Todos",'Plan mensual'!E42,0)))*parametros_manuales!$I$34*parametros_manuales!$J$34</f>
        <v>4432.42</v>
      </c>
      <c r="D101" s="8">
        <f>(parametros_manuales!$D$34*('Plan mensual'!F35+IF(parametros_manuales!$H$34="Todos",'Plan mensual'!F39,0))+parametros_manuales!$E$34*('Plan mensual'!F36+IF(parametros_manuales!$H$34="Todos",'Plan mensual'!F40,0))+parametros_manuales!$F$34*('Plan mensual'!F37+IF(parametros_manuales!$H$34="Todos",'Plan mensual'!F41,0))+parametros_manuales!$G$34*('Plan mensual'!F38+IF(parametros_manuales!$H$34="Todos",'Plan mensual'!F42,0)))*parametros_manuales!$I$34*parametros_manuales!$J$34</f>
        <v>4160.04</v>
      </c>
      <c r="E101" s="8">
        <f>(parametros_manuales!$D$34*('Plan mensual'!G35+IF(parametros_manuales!$H$34="Todos",'Plan mensual'!G39,0))+parametros_manuales!$E$34*('Plan mensual'!G36+IF(parametros_manuales!$H$34="Todos",'Plan mensual'!G40,0))+parametros_manuales!$F$34*('Plan mensual'!G37+IF(parametros_manuales!$H$34="Todos",'Plan mensual'!G41,0))+parametros_manuales!$G$34*('Plan mensual'!G38+IF(parametros_manuales!$H$34="Todos",'Plan mensual'!G42,0)))*parametros_manuales!$I$34*parametros_manuales!$J$34</f>
        <v>3984.23</v>
      </c>
      <c r="F101" s="8">
        <f>(parametros_manuales!$D$34*('Plan mensual'!H35+IF(parametros_manuales!$H$34="Todos",'Plan mensual'!H39,0))+parametros_manuales!$E$34*('Plan mensual'!H36+IF(parametros_manuales!$H$34="Todos",'Plan mensual'!H40,0))+parametros_manuales!$F$34*('Plan mensual'!H37+IF(parametros_manuales!$H$34="Todos",'Plan mensual'!H41,0))+parametros_manuales!$G$34*('Plan mensual'!H38+IF(parametros_manuales!$H$34="Todos",'Plan mensual'!H42,0)))*parametros_manuales!$I$34*parametros_manuales!$J$34</f>
        <v>3729.18</v>
      </c>
      <c r="G101" s="8">
        <f>(parametros_manuales!$D$34*('Plan mensual'!I35+IF(parametros_manuales!$H$34="Todos",'Plan mensual'!I39,0))+parametros_manuales!$E$34*('Plan mensual'!I36+IF(parametros_manuales!$H$34="Todos",'Plan mensual'!I40,0))+parametros_manuales!$F$34*('Plan mensual'!I37+IF(parametros_manuales!$H$34="Todos",'Plan mensual'!I41,0))+parametros_manuales!$G$34*('Plan mensual'!I38+IF(parametros_manuales!$H$34="Todos",'Plan mensual'!I42,0)))*parametros_manuales!$I$34*parametros_manuales!$J$34</f>
        <v>3649.94</v>
      </c>
      <c r="H101" s="8">
        <f>(parametros_manuales!$D$34*('Plan mensual'!J35+IF(parametros_manuales!$H$34="Todos",'Plan mensual'!J39,0))+parametros_manuales!$E$34*('Plan mensual'!J36+IF(parametros_manuales!$H$34="Todos",'Plan mensual'!J40,0))+parametros_manuales!$F$34*('Plan mensual'!J37+IF(parametros_manuales!$H$34="Todos",'Plan mensual'!J41,0))+parametros_manuales!$G$34*('Plan mensual'!J38+IF(parametros_manuales!$H$34="Todos",'Plan mensual'!J42,0)))*parametros_manuales!$I$34*parametros_manuales!$J$34</f>
        <v>3904.99</v>
      </c>
      <c r="I101" s="8">
        <f>(parametros_manuales!$D$34*('Plan mensual'!K35+IF(parametros_manuales!$H$34="Todos",'Plan mensual'!K39,0))+parametros_manuales!$E$34*('Plan mensual'!K36+IF(parametros_manuales!$H$34="Todos",'Plan mensual'!K40,0))+parametros_manuales!$F$34*('Plan mensual'!K37+IF(parametros_manuales!$H$34="Todos",'Plan mensual'!K41,0))+parametros_manuales!$G$34*('Plan mensual'!K38+IF(parametros_manuales!$H$34="Todos",'Plan mensual'!K42,0)))*parametros_manuales!$I$34*parametros_manuales!$J$34</f>
        <v>3904.99</v>
      </c>
      <c r="J101" s="8">
        <f>(parametros_manuales!$D$34*('Plan mensual'!L35+IF(parametros_manuales!$H$34="Todos",'Plan mensual'!L39,0))+parametros_manuales!$E$34*('Plan mensual'!L36+IF(parametros_manuales!$H$34="Todos",'Plan mensual'!L40,0))+parametros_manuales!$F$34*('Plan mensual'!L37+IF(parametros_manuales!$H$34="Todos",'Plan mensual'!L41,0))+parametros_manuales!$G$34*('Plan mensual'!L38+IF(parametros_manuales!$H$34="Todos",'Plan mensual'!L42,0)))*parametros_manuales!$I$34*parametros_manuales!$J$34</f>
        <v>3904.99</v>
      </c>
      <c r="K101" s="8">
        <f>(parametros_manuales!$D$34*('Plan mensual'!M35+IF(parametros_manuales!$H$34="Todos",'Plan mensual'!M39,0))+parametros_manuales!$E$34*('Plan mensual'!M36+IF(parametros_manuales!$H$34="Todos",'Plan mensual'!M40,0))+parametros_manuales!$F$34*('Plan mensual'!M37+IF(parametros_manuales!$H$34="Todos",'Plan mensual'!M41,0))+parametros_manuales!$G$34*('Plan mensual'!M38+IF(parametros_manuales!$H$34="Todos",'Plan mensual'!M42,0)))*parametros_manuales!$I$34*parametros_manuales!$J$34</f>
        <v>3825.75</v>
      </c>
      <c r="L101" s="8">
        <f>(parametros_manuales!$D$34*('Plan mensual'!N35+IF(parametros_manuales!$H$34="Todos",'Plan mensual'!N39,0))+parametros_manuales!$E$34*('Plan mensual'!N36+IF(parametros_manuales!$H$34="Todos",'Plan mensual'!N40,0))+parametros_manuales!$F$34*('Plan mensual'!N37+IF(parametros_manuales!$H$34="Todos",'Plan mensual'!N41,0))+parametros_manuales!$G$34*('Plan mensual'!N38+IF(parametros_manuales!$H$34="Todos",'Plan mensual'!N42,0)))*parametros_manuales!$I$34*parametros_manuales!$J$34</f>
        <v>3746.51</v>
      </c>
      <c r="M101" s="8">
        <f>(parametros_manuales!$D$34*('Plan mensual'!O35+IF(parametros_manuales!$H$34="Todos",'Plan mensual'!O39,0))+parametros_manuales!$E$34*('Plan mensual'!O36+IF(parametros_manuales!$H$34="Todos",'Plan mensual'!O40,0))+parametros_manuales!$F$34*('Plan mensual'!O37+IF(parametros_manuales!$H$34="Todos",'Plan mensual'!O41,0))+parametros_manuales!$G$34*('Plan mensual'!O38+IF(parametros_manuales!$H$34="Todos",'Plan mensual'!O42,0)))*parametros_manuales!$I$34*parametros_manuales!$J$34</f>
        <v>5962.72</v>
      </c>
      <c r="N101" s="8">
        <f t="shared" si="10"/>
        <v>51010</v>
      </c>
      <c r="O101" s="8">
        <f t="shared" si="11"/>
        <v>5962.72</v>
      </c>
      <c r="P101" s="27">
        <f>O101/(parametros_manuales!$B$7)</f>
        <v>39.75146667</v>
      </c>
      <c r="Q101" s="4" t="str">
        <f t="shared" si="12"/>
        <v>Dic</v>
      </c>
    </row>
    <row r="102" ht="14.25" customHeight="1">
      <c r="A102" s="4" t="str">
        <f>parametros_manuales!$B$35</f>
        <v>Granallado</v>
      </c>
      <c r="B102" s="8">
        <f>(parametros_manuales!$D$35*('Plan mensual'!D35+IF(parametros_manuales!$H$35="Todos",'Plan mensual'!D39,0))+parametros_manuales!$E$35*('Plan mensual'!D36+IF(parametros_manuales!$H$35="Todos",'Plan mensual'!D40,0))+parametros_manuales!$F$35*('Plan mensual'!D37+IF(parametros_manuales!$H$35="Todos",'Plan mensual'!D41,0))+parametros_manuales!$G$35*('Plan mensual'!D38+IF(parametros_manuales!$H$35="Todos",'Plan mensual'!D42,0)))*parametros_manuales!$I$35*parametros_manuales!$J$35</f>
        <v>5804.24</v>
      </c>
      <c r="C102" s="8">
        <f>(parametros_manuales!$D$35*('Plan mensual'!E35+IF(parametros_manuales!$H$35="Todos",'Plan mensual'!E39,0))+parametros_manuales!$E$35*('Plan mensual'!E36+IF(parametros_manuales!$H$35="Todos",'Plan mensual'!E40,0))+parametros_manuales!$F$35*('Plan mensual'!E37+IF(parametros_manuales!$H$35="Todos",'Plan mensual'!E41,0))+parametros_manuales!$G$35*('Plan mensual'!E38+IF(parametros_manuales!$H$35="Todos",'Plan mensual'!E42,0)))*parametros_manuales!$I$35*parametros_manuales!$J$35</f>
        <v>4432.42</v>
      </c>
      <c r="D102" s="8">
        <f>(parametros_manuales!$D$35*('Plan mensual'!F35+IF(parametros_manuales!$H$35="Todos",'Plan mensual'!F39,0))+parametros_manuales!$E$35*('Plan mensual'!F36+IF(parametros_manuales!$H$35="Todos",'Plan mensual'!F40,0))+parametros_manuales!$F$35*('Plan mensual'!F37+IF(parametros_manuales!$H$35="Todos",'Plan mensual'!F41,0))+parametros_manuales!$G$35*('Plan mensual'!F38+IF(parametros_manuales!$H$35="Todos",'Plan mensual'!F42,0)))*parametros_manuales!$I$35*parametros_manuales!$J$35</f>
        <v>4160.04</v>
      </c>
      <c r="E102" s="8">
        <f>(parametros_manuales!$D$35*('Plan mensual'!G35+IF(parametros_manuales!$H$35="Todos",'Plan mensual'!G39,0))+parametros_manuales!$E$35*('Plan mensual'!G36+IF(parametros_manuales!$H$35="Todos",'Plan mensual'!G40,0))+parametros_manuales!$F$35*('Plan mensual'!G37+IF(parametros_manuales!$H$35="Todos",'Plan mensual'!G41,0))+parametros_manuales!$G$35*('Plan mensual'!G38+IF(parametros_manuales!$H$35="Todos",'Plan mensual'!G42,0)))*parametros_manuales!$I$35*parametros_manuales!$J$35</f>
        <v>3984.23</v>
      </c>
      <c r="F102" s="8">
        <f>(parametros_manuales!$D$35*('Plan mensual'!H35+IF(parametros_manuales!$H$35="Todos",'Plan mensual'!H39,0))+parametros_manuales!$E$35*('Plan mensual'!H36+IF(parametros_manuales!$H$35="Todos",'Plan mensual'!H40,0))+parametros_manuales!$F$35*('Plan mensual'!H37+IF(parametros_manuales!$H$35="Todos",'Plan mensual'!H41,0))+parametros_manuales!$G$35*('Plan mensual'!H38+IF(parametros_manuales!$H$35="Todos",'Plan mensual'!H42,0)))*parametros_manuales!$I$35*parametros_manuales!$J$35</f>
        <v>3729.18</v>
      </c>
      <c r="G102" s="8">
        <f>(parametros_manuales!$D$35*('Plan mensual'!I35+IF(parametros_manuales!$H$35="Todos",'Plan mensual'!I39,0))+parametros_manuales!$E$35*('Plan mensual'!I36+IF(parametros_manuales!$H$35="Todos",'Plan mensual'!I40,0))+parametros_manuales!$F$35*('Plan mensual'!I37+IF(parametros_manuales!$H$35="Todos",'Plan mensual'!I41,0))+parametros_manuales!$G$35*('Plan mensual'!I38+IF(parametros_manuales!$H$35="Todos",'Plan mensual'!I42,0)))*parametros_manuales!$I$35*parametros_manuales!$J$35</f>
        <v>3649.94</v>
      </c>
      <c r="H102" s="8">
        <f>(parametros_manuales!$D$35*('Plan mensual'!J35+IF(parametros_manuales!$H$35="Todos",'Plan mensual'!J39,0))+parametros_manuales!$E$35*('Plan mensual'!J36+IF(parametros_manuales!$H$35="Todos",'Plan mensual'!J40,0))+parametros_manuales!$F$35*('Plan mensual'!J37+IF(parametros_manuales!$H$35="Todos",'Plan mensual'!J41,0))+parametros_manuales!$G$35*('Plan mensual'!J38+IF(parametros_manuales!$H$35="Todos",'Plan mensual'!J42,0)))*parametros_manuales!$I$35*parametros_manuales!$J$35</f>
        <v>3904.99</v>
      </c>
      <c r="I102" s="8">
        <f>(parametros_manuales!$D$35*('Plan mensual'!K35+IF(parametros_manuales!$H$35="Todos",'Plan mensual'!K39,0))+parametros_manuales!$E$35*('Plan mensual'!K36+IF(parametros_manuales!$H$35="Todos",'Plan mensual'!K40,0))+parametros_manuales!$F$35*('Plan mensual'!K37+IF(parametros_manuales!$H$35="Todos",'Plan mensual'!K41,0))+parametros_manuales!$G$35*('Plan mensual'!K38+IF(parametros_manuales!$H$35="Todos",'Plan mensual'!K42,0)))*parametros_manuales!$I$35*parametros_manuales!$J$35</f>
        <v>3904.99</v>
      </c>
      <c r="J102" s="8">
        <f>(parametros_manuales!$D$35*('Plan mensual'!L35+IF(parametros_manuales!$H$35="Todos",'Plan mensual'!L39,0))+parametros_manuales!$E$35*('Plan mensual'!L36+IF(parametros_manuales!$H$35="Todos",'Plan mensual'!L40,0))+parametros_manuales!$F$35*('Plan mensual'!L37+IF(parametros_manuales!$H$35="Todos",'Plan mensual'!L41,0))+parametros_manuales!$G$35*('Plan mensual'!L38+IF(parametros_manuales!$H$35="Todos",'Plan mensual'!L42,0)))*parametros_manuales!$I$35*parametros_manuales!$J$35</f>
        <v>3904.99</v>
      </c>
      <c r="K102" s="8">
        <f>(parametros_manuales!$D$35*('Plan mensual'!M35+IF(parametros_manuales!$H$35="Todos",'Plan mensual'!M39,0))+parametros_manuales!$E$35*('Plan mensual'!M36+IF(parametros_manuales!$H$35="Todos",'Plan mensual'!M40,0))+parametros_manuales!$F$35*('Plan mensual'!M37+IF(parametros_manuales!$H$35="Todos",'Plan mensual'!M41,0))+parametros_manuales!$G$35*('Plan mensual'!M38+IF(parametros_manuales!$H$35="Todos",'Plan mensual'!M42,0)))*parametros_manuales!$I$35*parametros_manuales!$J$35</f>
        <v>3825.75</v>
      </c>
      <c r="L102" s="8">
        <f>(parametros_manuales!$D$35*('Plan mensual'!N35+IF(parametros_manuales!$H$35="Todos",'Plan mensual'!N39,0))+parametros_manuales!$E$35*('Plan mensual'!N36+IF(parametros_manuales!$H$35="Todos",'Plan mensual'!N40,0))+parametros_manuales!$F$35*('Plan mensual'!N37+IF(parametros_manuales!$H$35="Todos",'Plan mensual'!N41,0))+parametros_manuales!$G$35*('Plan mensual'!N38+IF(parametros_manuales!$H$35="Todos",'Plan mensual'!N42,0)))*parametros_manuales!$I$35*parametros_manuales!$J$35</f>
        <v>3746.51</v>
      </c>
      <c r="M102" s="8">
        <f>(parametros_manuales!$D$35*('Plan mensual'!O35+IF(parametros_manuales!$H$35="Todos",'Plan mensual'!O39,0))+parametros_manuales!$E$35*('Plan mensual'!O36+IF(parametros_manuales!$H$35="Todos",'Plan mensual'!O40,0))+parametros_manuales!$F$35*('Plan mensual'!O37+IF(parametros_manuales!$H$35="Todos",'Plan mensual'!O41,0))+parametros_manuales!$G$35*('Plan mensual'!O38+IF(parametros_manuales!$H$35="Todos",'Plan mensual'!O42,0)))*parametros_manuales!$I$35*parametros_manuales!$J$35</f>
        <v>5962.72</v>
      </c>
      <c r="N102" s="8">
        <f t="shared" si="10"/>
        <v>51010</v>
      </c>
      <c r="O102" s="8">
        <f t="shared" si="11"/>
        <v>5962.72</v>
      </c>
      <c r="P102" s="27">
        <f>O102/(parametros_manuales!$B$7)</f>
        <v>39.75146667</v>
      </c>
      <c r="Q102" s="4" t="str">
        <f t="shared" si="12"/>
        <v>Dic</v>
      </c>
    </row>
    <row r="103" ht="14.25" customHeight="1">
      <c r="A103" s="4" t="str">
        <f>parametros_manuales!$B$36</f>
        <v>Detección de defectos</v>
      </c>
      <c r="B103" s="8">
        <f>(parametros_manuales!$D$36*('Plan mensual'!D35+IF(parametros_manuales!$H$36="Todos",'Plan mensual'!D39,0))+parametros_manuales!$E$36*('Plan mensual'!D36+IF(parametros_manuales!$H$36="Todos",'Plan mensual'!D40,0))+parametros_manuales!$F$36*('Plan mensual'!D37+IF(parametros_manuales!$H$36="Todos",'Plan mensual'!D41,0))+parametros_manuales!$G$36*('Plan mensual'!D38+IF(parametros_manuales!$H$36="Todos",'Plan mensual'!D42,0)))*parametros_manuales!$I$36*parametros_manuales!$J$36</f>
        <v>5804.24</v>
      </c>
      <c r="C103" s="8">
        <f>(parametros_manuales!$D$36*('Plan mensual'!E35+IF(parametros_manuales!$H$36="Todos",'Plan mensual'!E39,0))+parametros_manuales!$E$36*('Plan mensual'!E36+IF(parametros_manuales!$H$36="Todos",'Plan mensual'!E40,0))+parametros_manuales!$F$36*('Plan mensual'!E37+IF(parametros_manuales!$H$36="Todos",'Plan mensual'!E41,0))+parametros_manuales!$G$36*('Plan mensual'!E38+IF(parametros_manuales!$H$36="Todos",'Plan mensual'!E42,0)))*parametros_manuales!$I$36*parametros_manuales!$J$36</f>
        <v>4432.42</v>
      </c>
      <c r="D103" s="8">
        <f>(parametros_manuales!$D$36*('Plan mensual'!F35+IF(parametros_manuales!$H$36="Todos",'Plan mensual'!F39,0))+parametros_manuales!$E$36*('Plan mensual'!F36+IF(parametros_manuales!$H$36="Todos",'Plan mensual'!F40,0))+parametros_manuales!$F$36*('Plan mensual'!F37+IF(parametros_manuales!$H$36="Todos",'Plan mensual'!F41,0))+parametros_manuales!$G$36*('Plan mensual'!F38+IF(parametros_manuales!$H$36="Todos",'Plan mensual'!F42,0)))*parametros_manuales!$I$36*parametros_manuales!$J$36</f>
        <v>4160.04</v>
      </c>
      <c r="E103" s="8">
        <f>(parametros_manuales!$D$36*('Plan mensual'!G35+IF(parametros_manuales!$H$36="Todos",'Plan mensual'!G39,0))+parametros_manuales!$E$36*('Plan mensual'!G36+IF(parametros_manuales!$H$36="Todos",'Plan mensual'!G40,0))+parametros_manuales!$F$36*('Plan mensual'!G37+IF(parametros_manuales!$H$36="Todos",'Plan mensual'!G41,0))+parametros_manuales!$G$36*('Plan mensual'!G38+IF(parametros_manuales!$H$36="Todos",'Plan mensual'!G42,0)))*parametros_manuales!$I$36*parametros_manuales!$J$36</f>
        <v>3984.23</v>
      </c>
      <c r="F103" s="8">
        <f>(parametros_manuales!$D$36*('Plan mensual'!H35+IF(parametros_manuales!$H$36="Todos",'Plan mensual'!H39,0))+parametros_manuales!$E$36*('Plan mensual'!H36+IF(parametros_manuales!$H$36="Todos",'Plan mensual'!H40,0))+parametros_manuales!$F$36*('Plan mensual'!H37+IF(parametros_manuales!$H$36="Todos",'Plan mensual'!H41,0))+parametros_manuales!$G$36*('Plan mensual'!H38+IF(parametros_manuales!$H$36="Todos",'Plan mensual'!H42,0)))*parametros_manuales!$I$36*parametros_manuales!$J$36</f>
        <v>3729.18</v>
      </c>
      <c r="G103" s="8">
        <f>(parametros_manuales!$D$36*('Plan mensual'!I35+IF(parametros_manuales!$H$36="Todos",'Plan mensual'!I39,0))+parametros_manuales!$E$36*('Plan mensual'!I36+IF(parametros_manuales!$H$36="Todos",'Plan mensual'!I40,0))+parametros_manuales!$F$36*('Plan mensual'!I37+IF(parametros_manuales!$H$36="Todos",'Plan mensual'!I41,0))+parametros_manuales!$G$36*('Plan mensual'!I38+IF(parametros_manuales!$H$36="Todos",'Plan mensual'!I42,0)))*parametros_manuales!$I$36*parametros_manuales!$J$36</f>
        <v>3649.94</v>
      </c>
      <c r="H103" s="8">
        <f>(parametros_manuales!$D$36*('Plan mensual'!J35+IF(parametros_manuales!$H$36="Todos",'Plan mensual'!J39,0))+parametros_manuales!$E$36*('Plan mensual'!J36+IF(parametros_manuales!$H$36="Todos",'Plan mensual'!J40,0))+parametros_manuales!$F$36*('Plan mensual'!J37+IF(parametros_manuales!$H$36="Todos",'Plan mensual'!J41,0))+parametros_manuales!$G$36*('Plan mensual'!J38+IF(parametros_manuales!$H$36="Todos",'Plan mensual'!J42,0)))*parametros_manuales!$I$36*parametros_manuales!$J$36</f>
        <v>3904.99</v>
      </c>
      <c r="I103" s="8">
        <f>(parametros_manuales!$D$36*('Plan mensual'!K35+IF(parametros_manuales!$H$36="Todos",'Plan mensual'!K39,0))+parametros_manuales!$E$36*('Plan mensual'!K36+IF(parametros_manuales!$H$36="Todos",'Plan mensual'!K40,0))+parametros_manuales!$F$36*('Plan mensual'!K37+IF(parametros_manuales!$H$36="Todos",'Plan mensual'!K41,0))+parametros_manuales!$G$36*('Plan mensual'!K38+IF(parametros_manuales!$H$36="Todos",'Plan mensual'!K42,0)))*parametros_manuales!$I$36*parametros_manuales!$J$36</f>
        <v>3904.99</v>
      </c>
      <c r="J103" s="8">
        <f>(parametros_manuales!$D$36*('Plan mensual'!L35+IF(parametros_manuales!$H$36="Todos",'Plan mensual'!L39,0))+parametros_manuales!$E$36*('Plan mensual'!L36+IF(parametros_manuales!$H$36="Todos",'Plan mensual'!L40,0))+parametros_manuales!$F$36*('Plan mensual'!L37+IF(parametros_manuales!$H$36="Todos",'Plan mensual'!L41,0))+parametros_manuales!$G$36*('Plan mensual'!L38+IF(parametros_manuales!$H$36="Todos",'Plan mensual'!L42,0)))*parametros_manuales!$I$36*parametros_manuales!$J$36</f>
        <v>3904.99</v>
      </c>
      <c r="K103" s="8">
        <f>(parametros_manuales!$D$36*('Plan mensual'!M35+IF(parametros_manuales!$H$36="Todos",'Plan mensual'!M39,0))+parametros_manuales!$E$36*('Plan mensual'!M36+IF(parametros_manuales!$H$36="Todos",'Plan mensual'!M40,0))+parametros_manuales!$F$36*('Plan mensual'!M37+IF(parametros_manuales!$H$36="Todos",'Plan mensual'!M41,0))+parametros_manuales!$G$36*('Plan mensual'!M38+IF(parametros_manuales!$H$36="Todos",'Plan mensual'!M42,0)))*parametros_manuales!$I$36*parametros_manuales!$J$36</f>
        <v>3825.75</v>
      </c>
      <c r="L103" s="8">
        <f>(parametros_manuales!$D$36*('Plan mensual'!N35+IF(parametros_manuales!$H$36="Todos",'Plan mensual'!N39,0))+parametros_manuales!$E$36*('Plan mensual'!N36+IF(parametros_manuales!$H$36="Todos",'Plan mensual'!N40,0))+parametros_manuales!$F$36*('Plan mensual'!N37+IF(parametros_manuales!$H$36="Todos",'Plan mensual'!N41,0))+parametros_manuales!$G$36*('Plan mensual'!N38+IF(parametros_manuales!$H$36="Todos",'Plan mensual'!N42,0)))*parametros_manuales!$I$36*parametros_manuales!$J$36</f>
        <v>3746.51</v>
      </c>
      <c r="M103" s="8">
        <f>(parametros_manuales!$D$36*('Plan mensual'!O35+IF(parametros_manuales!$H$36="Todos",'Plan mensual'!O39,0))+parametros_manuales!$E$36*('Plan mensual'!O36+IF(parametros_manuales!$H$36="Todos",'Plan mensual'!O40,0))+parametros_manuales!$F$36*('Plan mensual'!O37+IF(parametros_manuales!$H$36="Todos",'Plan mensual'!O41,0))+parametros_manuales!$G$36*('Plan mensual'!O38+IF(parametros_manuales!$H$36="Todos",'Plan mensual'!O42,0)))*parametros_manuales!$I$36*parametros_manuales!$J$36</f>
        <v>5962.72</v>
      </c>
      <c r="N103" s="8">
        <f t="shared" si="10"/>
        <v>51010</v>
      </c>
      <c r="O103" s="8">
        <f t="shared" si="11"/>
        <v>5962.72</v>
      </c>
      <c r="P103" s="27">
        <f>O103/(parametros_manuales!$B$7)</f>
        <v>39.75146667</v>
      </c>
      <c r="Q103" s="4" t="str">
        <f t="shared" si="12"/>
        <v>Dic</v>
      </c>
    </row>
    <row r="104" ht="14.25" customHeight="1">
      <c r="A104" s="4" t="str">
        <f>parametros_manuales!$B$37</f>
        <v>Corrección de defectos</v>
      </c>
      <c r="B104" s="8">
        <f>(parametros_manuales!$D$37*('Plan mensual'!D35+IF(parametros_manuales!$H$37="Todos",'Plan mensual'!D39,0))+parametros_manuales!$E$37*('Plan mensual'!D36+IF(parametros_manuales!$H$37="Todos",'Plan mensual'!D40,0))+parametros_manuales!$F$37*('Plan mensual'!D37+IF(parametros_manuales!$H$37="Todos",'Plan mensual'!D41,0))+parametros_manuales!$G$37*('Plan mensual'!D38+IF(parametros_manuales!$H$37="Todos",'Plan mensual'!D42,0)))*parametros_manuales!$I$37*parametros_manuales!$J$37</f>
        <v>290.212</v>
      </c>
      <c r="C104" s="8">
        <f>(parametros_manuales!$D$37*('Plan mensual'!E35+IF(parametros_manuales!$H$37="Todos",'Plan mensual'!E39,0))+parametros_manuales!$E$37*('Plan mensual'!E36+IF(parametros_manuales!$H$37="Todos",'Plan mensual'!E40,0))+parametros_manuales!$F$37*('Plan mensual'!E37+IF(parametros_manuales!$H$37="Todos",'Plan mensual'!E41,0))+parametros_manuales!$G$37*('Plan mensual'!E38+IF(parametros_manuales!$H$37="Todos",'Plan mensual'!E42,0)))*parametros_manuales!$I$37*parametros_manuales!$J$37</f>
        <v>221.621</v>
      </c>
      <c r="D104" s="8">
        <f>(parametros_manuales!$D$37*('Plan mensual'!F35+IF(parametros_manuales!$H$37="Todos",'Plan mensual'!F39,0))+parametros_manuales!$E$37*('Plan mensual'!F36+IF(parametros_manuales!$H$37="Todos",'Plan mensual'!F40,0))+parametros_manuales!$F$37*('Plan mensual'!F37+IF(parametros_manuales!$H$37="Todos",'Plan mensual'!F41,0))+parametros_manuales!$G$37*('Plan mensual'!F38+IF(parametros_manuales!$H$37="Todos",'Plan mensual'!F42,0)))*parametros_manuales!$I$37*parametros_manuales!$J$37</f>
        <v>208.002</v>
      </c>
      <c r="E104" s="8">
        <f>(parametros_manuales!$D$37*('Plan mensual'!G35+IF(parametros_manuales!$H$37="Todos",'Plan mensual'!G39,0))+parametros_manuales!$E$37*('Plan mensual'!G36+IF(parametros_manuales!$H$37="Todos",'Plan mensual'!G40,0))+parametros_manuales!$F$37*('Plan mensual'!G37+IF(parametros_manuales!$H$37="Todos",'Plan mensual'!G41,0))+parametros_manuales!$G$37*('Plan mensual'!G38+IF(parametros_manuales!$H$37="Todos",'Plan mensual'!G42,0)))*parametros_manuales!$I$37*parametros_manuales!$J$37</f>
        <v>199.2115</v>
      </c>
      <c r="F104" s="8">
        <f>(parametros_manuales!$D$37*('Plan mensual'!H35+IF(parametros_manuales!$H$37="Todos",'Plan mensual'!H39,0))+parametros_manuales!$E$37*('Plan mensual'!H36+IF(parametros_manuales!$H$37="Todos",'Plan mensual'!H40,0))+parametros_manuales!$F$37*('Plan mensual'!H37+IF(parametros_manuales!$H$37="Todos",'Plan mensual'!H41,0))+parametros_manuales!$G$37*('Plan mensual'!H38+IF(parametros_manuales!$H$37="Todos",'Plan mensual'!H42,0)))*parametros_manuales!$I$37*parametros_manuales!$J$37</f>
        <v>186.459</v>
      </c>
      <c r="G104" s="8">
        <f>(parametros_manuales!$D$37*('Plan mensual'!I35+IF(parametros_manuales!$H$37="Todos",'Plan mensual'!I39,0))+parametros_manuales!$E$37*('Plan mensual'!I36+IF(parametros_manuales!$H$37="Todos",'Plan mensual'!I40,0))+parametros_manuales!$F$37*('Plan mensual'!I37+IF(parametros_manuales!$H$37="Todos",'Plan mensual'!I41,0))+parametros_manuales!$G$37*('Plan mensual'!I38+IF(parametros_manuales!$H$37="Todos",'Plan mensual'!I42,0)))*parametros_manuales!$I$37*parametros_manuales!$J$37</f>
        <v>182.497</v>
      </c>
      <c r="H104" s="8">
        <f>(parametros_manuales!$D$37*('Plan mensual'!J35+IF(parametros_manuales!$H$37="Todos",'Plan mensual'!J39,0))+parametros_manuales!$E$37*('Plan mensual'!J36+IF(parametros_manuales!$H$37="Todos",'Plan mensual'!J40,0))+parametros_manuales!$F$37*('Plan mensual'!J37+IF(parametros_manuales!$H$37="Todos",'Plan mensual'!J41,0))+parametros_manuales!$G$37*('Plan mensual'!J38+IF(parametros_manuales!$H$37="Todos",'Plan mensual'!J42,0)))*parametros_manuales!$I$37*parametros_manuales!$J$37</f>
        <v>195.2495</v>
      </c>
      <c r="I104" s="8">
        <f>(parametros_manuales!$D$37*('Plan mensual'!K35+IF(parametros_manuales!$H$37="Todos",'Plan mensual'!K39,0))+parametros_manuales!$E$37*('Plan mensual'!K36+IF(parametros_manuales!$H$37="Todos",'Plan mensual'!K40,0))+parametros_manuales!$F$37*('Plan mensual'!K37+IF(parametros_manuales!$H$37="Todos",'Plan mensual'!K41,0))+parametros_manuales!$G$37*('Plan mensual'!K38+IF(parametros_manuales!$H$37="Todos",'Plan mensual'!K42,0)))*parametros_manuales!$I$37*parametros_manuales!$J$37</f>
        <v>195.2495</v>
      </c>
      <c r="J104" s="8">
        <f>(parametros_manuales!$D$37*('Plan mensual'!L35+IF(parametros_manuales!$H$37="Todos",'Plan mensual'!L39,0))+parametros_manuales!$E$37*('Plan mensual'!L36+IF(parametros_manuales!$H$37="Todos",'Plan mensual'!L40,0))+parametros_manuales!$F$37*('Plan mensual'!L37+IF(parametros_manuales!$H$37="Todos",'Plan mensual'!L41,0))+parametros_manuales!$G$37*('Plan mensual'!L38+IF(parametros_manuales!$H$37="Todos",'Plan mensual'!L42,0)))*parametros_manuales!$I$37*parametros_manuales!$J$37</f>
        <v>195.2495</v>
      </c>
      <c r="K104" s="8">
        <f>(parametros_manuales!$D$37*('Plan mensual'!M35+IF(parametros_manuales!$H$37="Todos",'Plan mensual'!M39,0))+parametros_manuales!$E$37*('Plan mensual'!M36+IF(parametros_manuales!$H$37="Todos",'Plan mensual'!M40,0))+parametros_manuales!$F$37*('Plan mensual'!M37+IF(parametros_manuales!$H$37="Todos",'Plan mensual'!M41,0))+parametros_manuales!$G$37*('Plan mensual'!M38+IF(parametros_manuales!$H$37="Todos",'Plan mensual'!M42,0)))*parametros_manuales!$I$37*parametros_manuales!$J$37</f>
        <v>191.2875</v>
      </c>
      <c r="L104" s="8">
        <f>(parametros_manuales!$D$37*('Plan mensual'!N35+IF(parametros_manuales!$H$37="Todos",'Plan mensual'!N39,0))+parametros_manuales!$E$37*('Plan mensual'!N36+IF(parametros_manuales!$H$37="Todos",'Plan mensual'!N40,0))+parametros_manuales!$F$37*('Plan mensual'!N37+IF(parametros_manuales!$H$37="Todos",'Plan mensual'!N41,0))+parametros_manuales!$G$37*('Plan mensual'!N38+IF(parametros_manuales!$H$37="Todos",'Plan mensual'!N42,0)))*parametros_manuales!$I$37*parametros_manuales!$J$37</f>
        <v>187.3255</v>
      </c>
      <c r="M104" s="8">
        <f>(parametros_manuales!$D$37*('Plan mensual'!O35+IF(parametros_manuales!$H$37="Todos",'Plan mensual'!O39,0))+parametros_manuales!$E$37*('Plan mensual'!O36+IF(parametros_manuales!$H$37="Todos",'Plan mensual'!O40,0))+parametros_manuales!$F$37*('Plan mensual'!O37+IF(parametros_manuales!$H$37="Todos",'Plan mensual'!O41,0))+parametros_manuales!$G$37*('Plan mensual'!O38+IF(parametros_manuales!$H$37="Todos",'Plan mensual'!O42,0)))*parametros_manuales!$I$37*parametros_manuales!$J$37</f>
        <v>298.136</v>
      </c>
      <c r="N104" s="8">
        <f t="shared" si="10"/>
        <v>2550.5</v>
      </c>
      <c r="O104" s="8">
        <f t="shared" si="11"/>
        <v>298.136</v>
      </c>
      <c r="P104" s="27">
        <f>O104/(parametros_manuales!$B$7)</f>
        <v>1.987573333</v>
      </c>
      <c r="Q104" s="4" t="str">
        <f t="shared" si="12"/>
        <v>Dic</v>
      </c>
    </row>
    <row r="105" ht="14.25" customHeight="1">
      <c r="A105" s="4" t="str">
        <f>parametros_manuales!$B$38</f>
        <v>Pintura en polvo + horno</v>
      </c>
      <c r="B105" s="8">
        <f>(parametros_manuales!$D$38*('Plan mensual'!D35+IF(parametros_manuales!$H$38="Todos",'Plan mensual'!D39,0))+parametros_manuales!$E$38*('Plan mensual'!D36+IF(parametros_manuales!$H$38="Todos",'Plan mensual'!D40,0))+parametros_manuales!$F$38*('Plan mensual'!D37+IF(parametros_manuales!$H$38="Todos",'Plan mensual'!D41,0))+parametros_manuales!$G$38*('Plan mensual'!D38+IF(parametros_manuales!$H$38="Todos",'Plan mensual'!D42,0)))*parametros_manuales!$I$38*parametros_manuales!$J$38</f>
        <v>5804.24</v>
      </c>
      <c r="C105" s="8">
        <f>(parametros_manuales!$D$38*('Plan mensual'!E35+IF(parametros_manuales!$H$38="Todos",'Plan mensual'!E39,0))+parametros_manuales!$E$38*('Plan mensual'!E36+IF(parametros_manuales!$H$38="Todos",'Plan mensual'!E40,0))+parametros_manuales!$F$38*('Plan mensual'!E37+IF(parametros_manuales!$H$38="Todos",'Plan mensual'!E41,0))+parametros_manuales!$G$38*('Plan mensual'!E38+IF(parametros_manuales!$H$38="Todos",'Plan mensual'!E42,0)))*parametros_manuales!$I$38*parametros_manuales!$J$38</f>
        <v>4432.42</v>
      </c>
      <c r="D105" s="8">
        <f>(parametros_manuales!$D$38*('Plan mensual'!F35+IF(parametros_manuales!$H$38="Todos",'Plan mensual'!F39,0))+parametros_manuales!$E$38*('Plan mensual'!F36+IF(parametros_manuales!$H$38="Todos",'Plan mensual'!F40,0))+parametros_manuales!$F$38*('Plan mensual'!F37+IF(parametros_manuales!$H$38="Todos",'Plan mensual'!F41,0))+parametros_manuales!$G$38*('Plan mensual'!F38+IF(parametros_manuales!$H$38="Todos",'Plan mensual'!F42,0)))*parametros_manuales!$I$38*parametros_manuales!$J$38</f>
        <v>4160.04</v>
      </c>
      <c r="E105" s="8">
        <f>(parametros_manuales!$D$38*('Plan mensual'!G35+IF(parametros_manuales!$H$38="Todos",'Plan mensual'!G39,0))+parametros_manuales!$E$38*('Plan mensual'!G36+IF(parametros_manuales!$H$38="Todos",'Plan mensual'!G40,0))+parametros_manuales!$F$38*('Plan mensual'!G37+IF(parametros_manuales!$H$38="Todos",'Plan mensual'!G41,0))+parametros_manuales!$G$38*('Plan mensual'!G38+IF(parametros_manuales!$H$38="Todos",'Plan mensual'!G42,0)))*parametros_manuales!$I$38*parametros_manuales!$J$38</f>
        <v>3984.23</v>
      </c>
      <c r="F105" s="8">
        <f>(parametros_manuales!$D$38*('Plan mensual'!H35+IF(parametros_manuales!$H$38="Todos",'Plan mensual'!H39,0))+parametros_manuales!$E$38*('Plan mensual'!H36+IF(parametros_manuales!$H$38="Todos",'Plan mensual'!H40,0))+parametros_manuales!$F$38*('Plan mensual'!H37+IF(parametros_manuales!$H$38="Todos",'Plan mensual'!H41,0))+parametros_manuales!$G$38*('Plan mensual'!H38+IF(parametros_manuales!$H$38="Todos",'Plan mensual'!H42,0)))*parametros_manuales!$I$38*parametros_manuales!$J$38</f>
        <v>3729.18</v>
      </c>
      <c r="G105" s="8">
        <f>(parametros_manuales!$D$38*('Plan mensual'!I35+IF(parametros_manuales!$H$38="Todos",'Plan mensual'!I39,0))+parametros_manuales!$E$38*('Plan mensual'!I36+IF(parametros_manuales!$H$38="Todos",'Plan mensual'!I40,0))+parametros_manuales!$F$38*('Plan mensual'!I37+IF(parametros_manuales!$H$38="Todos",'Plan mensual'!I41,0))+parametros_manuales!$G$38*('Plan mensual'!I38+IF(parametros_manuales!$H$38="Todos",'Plan mensual'!I42,0)))*parametros_manuales!$I$38*parametros_manuales!$J$38</f>
        <v>3649.94</v>
      </c>
      <c r="H105" s="8">
        <f>(parametros_manuales!$D$38*('Plan mensual'!J35+IF(parametros_manuales!$H$38="Todos",'Plan mensual'!J39,0))+parametros_manuales!$E$38*('Plan mensual'!J36+IF(parametros_manuales!$H$38="Todos",'Plan mensual'!J40,0))+parametros_manuales!$F$38*('Plan mensual'!J37+IF(parametros_manuales!$H$38="Todos",'Plan mensual'!J41,0))+parametros_manuales!$G$38*('Plan mensual'!J38+IF(parametros_manuales!$H$38="Todos",'Plan mensual'!J42,0)))*parametros_manuales!$I$38*parametros_manuales!$J$38</f>
        <v>3904.99</v>
      </c>
      <c r="I105" s="8">
        <f>(parametros_manuales!$D$38*('Plan mensual'!K35+IF(parametros_manuales!$H$38="Todos",'Plan mensual'!K39,0))+parametros_manuales!$E$38*('Plan mensual'!K36+IF(parametros_manuales!$H$38="Todos",'Plan mensual'!K40,0))+parametros_manuales!$F$38*('Plan mensual'!K37+IF(parametros_manuales!$H$38="Todos",'Plan mensual'!K41,0))+parametros_manuales!$G$38*('Plan mensual'!K38+IF(parametros_manuales!$H$38="Todos",'Plan mensual'!K42,0)))*parametros_manuales!$I$38*parametros_manuales!$J$38</f>
        <v>3904.99</v>
      </c>
      <c r="J105" s="8">
        <f>(parametros_manuales!$D$38*('Plan mensual'!L35+IF(parametros_manuales!$H$38="Todos",'Plan mensual'!L39,0))+parametros_manuales!$E$38*('Plan mensual'!L36+IF(parametros_manuales!$H$38="Todos",'Plan mensual'!L40,0))+parametros_manuales!$F$38*('Plan mensual'!L37+IF(parametros_manuales!$H$38="Todos",'Plan mensual'!L41,0))+parametros_manuales!$G$38*('Plan mensual'!L38+IF(parametros_manuales!$H$38="Todos",'Plan mensual'!L42,0)))*parametros_manuales!$I$38*parametros_manuales!$J$38</f>
        <v>3904.99</v>
      </c>
      <c r="K105" s="8">
        <f>(parametros_manuales!$D$38*('Plan mensual'!M35+IF(parametros_manuales!$H$38="Todos",'Plan mensual'!M39,0))+parametros_manuales!$E$38*('Plan mensual'!M36+IF(parametros_manuales!$H$38="Todos",'Plan mensual'!M40,0))+parametros_manuales!$F$38*('Plan mensual'!M37+IF(parametros_manuales!$H$38="Todos",'Plan mensual'!M41,0))+parametros_manuales!$G$38*('Plan mensual'!M38+IF(parametros_manuales!$H$38="Todos",'Plan mensual'!M42,0)))*parametros_manuales!$I$38*parametros_manuales!$J$38</f>
        <v>3825.75</v>
      </c>
      <c r="L105" s="8">
        <f>(parametros_manuales!$D$38*('Plan mensual'!N35+IF(parametros_manuales!$H$38="Todos",'Plan mensual'!N39,0))+parametros_manuales!$E$38*('Plan mensual'!N36+IF(parametros_manuales!$H$38="Todos",'Plan mensual'!N40,0))+parametros_manuales!$F$38*('Plan mensual'!N37+IF(parametros_manuales!$H$38="Todos",'Plan mensual'!N41,0))+parametros_manuales!$G$38*('Plan mensual'!N38+IF(parametros_manuales!$H$38="Todos",'Plan mensual'!N42,0)))*parametros_manuales!$I$38*parametros_manuales!$J$38</f>
        <v>3746.51</v>
      </c>
      <c r="M105" s="8">
        <f>(parametros_manuales!$D$38*('Plan mensual'!O35+IF(parametros_manuales!$H$38="Todos",'Plan mensual'!O39,0))+parametros_manuales!$E$38*('Plan mensual'!O36+IF(parametros_manuales!$H$38="Todos",'Plan mensual'!O40,0))+parametros_manuales!$F$38*('Plan mensual'!O37+IF(parametros_manuales!$H$38="Todos",'Plan mensual'!O41,0))+parametros_manuales!$G$38*('Plan mensual'!O38+IF(parametros_manuales!$H$38="Todos",'Plan mensual'!O42,0)))*parametros_manuales!$I$38*parametros_manuales!$J$38</f>
        <v>5962.72</v>
      </c>
      <c r="N105" s="8">
        <f t="shared" si="10"/>
        <v>51010</v>
      </c>
      <c r="O105" s="8">
        <f t="shared" si="11"/>
        <v>5962.72</v>
      </c>
      <c r="P105" s="27">
        <f>O105/(parametros_manuales!$B$7)</f>
        <v>39.75146667</v>
      </c>
      <c r="Q105" s="4" t="str">
        <f t="shared" si="12"/>
        <v>Dic</v>
      </c>
    </row>
    <row r="106" ht="14.25" customHeight="1">
      <c r="A106" s="4" t="str">
        <f>parametros_manuales!$B$39</f>
        <v>Carga de polvo</v>
      </c>
      <c r="B106" s="8">
        <f>(parametros_manuales!$D$39*('Plan mensual'!D35+IF(parametros_manuales!$H$39="Todos",'Plan mensual'!D39,0))+parametros_manuales!$E$39*('Plan mensual'!D36+IF(parametros_manuales!$H$39="Todos",'Plan mensual'!D40,0))+parametros_manuales!$F$39*('Plan mensual'!D37+IF(parametros_manuales!$H$39="Todos",'Plan mensual'!D41,0))+parametros_manuales!$G$39*('Plan mensual'!D38+IF(parametros_manuales!$H$39="Todos",'Plan mensual'!D42,0)))*parametros_manuales!$I$39*parametros_manuales!$J$39</f>
        <v>1907.84</v>
      </c>
      <c r="C106" s="8">
        <f>(parametros_manuales!$D$39*('Plan mensual'!E35+IF(parametros_manuales!$H$39="Todos",'Plan mensual'!E39,0))+parametros_manuales!$E$39*('Plan mensual'!E36+IF(parametros_manuales!$H$39="Todos",'Plan mensual'!E40,0))+parametros_manuales!$F$39*('Plan mensual'!E37+IF(parametros_manuales!$H$39="Todos",'Plan mensual'!E41,0))+parametros_manuales!$G$39*('Plan mensual'!E38+IF(parametros_manuales!$H$39="Todos",'Plan mensual'!E42,0)))*parametros_manuales!$I$39*parametros_manuales!$J$39</f>
        <v>1475.47</v>
      </c>
      <c r="D106" s="8">
        <f>(parametros_manuales!$D$39*('Plan mensual'!F35+IF(parametros_manuales!$H$39="Todos",'Plan mensual'!F39,0))+parametros_manuales!$E$39*('Plan mensual'!F36+IF(parametros_manuales!$H$39="Todos",'Plan mensual'!F40,0))+parametros_manuales!$F$39*('Plan mensual'!F37+IF(parametros_manuales!$H$39="Todos",'Plan mensual'!F41,0))+parametros_manuales!$G$39*('Plan mensual'!F38+IF(parametros_manuales!$H$39="Todos",'Plan mensual'!F42,0)))*parametros_manuales!$I$39*parametros_manuales!$J$39</f>
        <v>1435.39</v>
      </c>
      <c r="E106" s="8">
        <f>(parametros_manuales!$D$39*('Plan mensual'!G35+IF(parametros_manuales!$H$39="Todos",'Plan mensual'!G39,0))+parametros_manuales!$E$39*('Plan mensual'!G36+IF(parametros_manuales!$H$39="Todos",'Plan mensual'!G40,0))+parametros_manuales!$F$39*('Plan mensual'!G37+IF(parametros_manuales!$H$39="Todos",'Plan mensual'!G41,0))+parametros_manuales!$G$39*('Plan mensual'!G38+IF(parametros_manuales!$H$39="Todos",'Plan mensual'!G42,0)))*parametros_manuales!$I$39*parametros_manuales!$J$39</f>
        <v>1393.055</v>
      </c>
      <c r="F106" s="8">
        <f>(parametros_manuales!$D$39*('Plan mensual'!H35+IF(parametros_manuales!$H$39="Todos",'Plan mensual'!H39,0))+parametros_manuales!$E$39*('Plan mensual'!H36+IF(parametros_manuales!$H$39="Todos",'Plan mensual'!H40,0))+parametros_manuales!$F$39*('Plan mensual'!H37+IF(parametros_manuales!$H$39="Todos",'Plan mensual'!H41,0))+parametros_manuales!$G$39*('Plan mensual'!H38+IF(parametros_manuales!$H$39="Todos",'Plan mensual'!H42,0)))*parametros_manuales!$I$39*parametros_manuales!$J$39</f>
        <v>1306.13</v>
      </c>
      <c r="G106" s="8">
        <f>(parametros_manuales!$D$39*('Plan mensual'!I35+IF(parametros_manuales!$H$39="Todos",'Plan mensual'!I39,0))+parametros_manuales!$E$39*('Plan mensual'!I36+IF(parametros_manuales!$H$39="Todos",'Plan mensual'!I40,0))+parametros_manuales!$F$39*('Plan mensual'!I37+IF(parametros_manuales!$H$39="Todos",'Plan mensual'!I41,0))+parametros_manuales!$G$39*('Plan mensual'!I38+IF(parametros_manuales!$H$39="Todos",'Plan mensual'!I42,0)))*parametros_manuales!$I$39*parametros_manuales!$J$39</f>
        <v>1261.54</v>
      </c>
      <c r="H106" s="8">
        <f>(parametros_manuales!$D$39*('Plan mensual'!J35+IF(parametros_manuales!$H$39="Todos",'Plan mensual'!J39,0))+parametros_manuales!$E$39*('Plan mensual'!J36+IF(parametros_manuales!$H$39="Todos",'Plan mensual'!J40,0))+parametros_manuales!$F$39*('Plan mensual'!J37+IF(parametros_manuales!$H$39="Todos",'Plan mensual'!J41,0))+parametros_manuales!$G$39*('Plan mensual'!J38+IF(parametros_manuales!$H$39="Todos",'Plan mensual'!J42,0)))*parametros_manuales!$I$39*parametros_manuales!$J$39</f>
        <v>1348.465</v>
      </c>
      <c r="I106" s="8">
        <f>(parametros_manuales!$D$39*('Plan mensual'!K35+IF(parametros_manuales!$H$39="Todos",'Plan mensual'!K39,0))+parametros_manuales!$E$39*('Plan mensual'!K36+IF(parametros_manuales!$H$39="Todos",'Plan mensual'!K40,0))+parametros_manuales!$F$39*('Plan mensual'!K37+IF(parametros_manuales!$H$39="Todos",'Plan mensual'!K41,0))+parametros_manuales!$G$39*('Plan mensual'!K38+IF(parametros_manuales!$H$39="Todos",'Plan mensual'!K42,0)))*parametros_manuales!$I$39*parametros_manuales!$J$39</f>
        <v>1348.465</v>
      </c>
      <c r="J106" s="8">
        <f>(parametros_manuales!$D$39*('Plan mensual'!L35+IF(parametros_manuales!$H$39="Todos",'Plan mensual'!L39,0))+parametros_manuales!$E$39*('Plan mensual'!L36+IF(parametros_manuales!$H$39="Todos",'Plan mensual'!L40,0))+parametros_manuales!$F$39*('Plan mensual'!L37+IF(parametros_manuales!$H$39="Todos",'Plan mensual'!L41,0))+parametros_manuales!$G$39*('Plan mensual'!L38+IF(parametros_manuales!$H$39="Todos",'Plan mensual'!L42,0)))*parametros_manuales!$I$39*parametros_manuales!$J$39</f>
        <v>1348.465</v>
      </c>
      <c r="K106" s="8">
        <f>(parametros_manuales!$D$39*('Plan mensual'!M35+IF(parametros_manuales!$H$39="Todos",'Plan mensual'!M39,0))+parametros_manuales!$E$39*('Plan mensual'!M36+IF(parametros_manuales!$H$39="Todos",'Plan mensual'!M40,0))+parametros_manuales!$F$39*('Plan mensual'!M37+IF(parametros_manuales!$H$39="Todos",'Plan mensual'!M41,0))+parametros_manuales!$G$39*('Plan mensual'!M38+IF(parametros_manuales!$H$39="Todos",'Plan mensual'!M42,0)))*parametros_manuales!$I$39*parametros_manuales!$J$39</f>
        <v>1303.875</v>
      </c>
      <c r="L106" s="8">
        <f>(parametros_manuales!$D$39*('Plan mensual'!N35+IF(parametros_manuales!$H$39="Todos",'Plan mensual'!N39,0))+parametros_manuales!$E$39*('Plan mensual'!N36+IF(parametros_manuales!$H$39="Todos",'Plan mensual'!N40,0))+parametros_manuales!$F$39*('Plan mensual'!N37+IF(parametros_manuales!$H$39="Todos",'Plan mensual'!N41,0))+parametros_manuales!$G$39*('Plan mensual'!N38+IF(parametros_manuales!$H$39="Todos",'Plan mensual'!N42,0)))*parametros_manuales!$I$39*parametros_manuales!$J$39</f>
        <v>1259.285</v>
      </c>
      <c r="M106" s="8">
        <f>(parametros_manuales!$D$39*('Plan mensual'!O35+IF(parametros_manuales!$H$39="Todos",'Plan mensual'!O39,0))+parametros_manuales!$E$39*('Plan mensual'!O36+IF(parametros_manuales!$H$39="Todos",'Plan mensual'!O40,0))+parametros_manuales!$F$39*('Plan mensual'!O37+IF(parametros_manuales!$H$39="Todos",'Plan mensual'!O41,0))+parametros_manuales!$G$39*('Plan mensual'!O38+IF(parametros_manuales!$H$39="Todos",'Plan mensual'!O42,0)))*parametros_manuales!$I$39*parametros_manuales!$J$39</f>
        <v>1997.02</v>
      </c>
      <c r="N106" s="8">
        <f t="shared" si="10"/>
        <v>17385</v>
      </c>
      <c r="O106" s="8">
        <f t="shared" si="11"/>
        <v>1997.02</v>
      </c>
      <c r="P106" s="27">
        <f>O106/(parametros_manuales!$B$7)</f>
        <v>13.31346667</v>
      </c>
      <c r="Q106" s="4" t="str">
        <f t="shared" si="12"/>
        <v>Dic</v>
      </c>
    </row>
    <row r="107" ht="14.25" customHeight="1">
      <c r="A107" s="4" t="str">
        <f>parametros_manuales!$B$40</f>
        <v>Ensamblaje</v>
      </c>
      <c r="B107" s="8">
        <f>(parametros_manuales!$D$40*('Plan mensual'!D35+IF(parametros_manuales!$H$40="Todos",'Plan mensual'!D39,0))+parametros_manuales!$E$40*('Plan mensual'!D36+IF(parametros_manuales!$H$40="Todos",'Plan mensual'!D40,0))+parametros_manuales!$F$40*('Plan mensual'!D37+IF(parametros_manuales!$H$40="Todos",'Plan mensual'!D41,0))+parametros_manuales!$G$40*('Plan mensual'!D38+IF(parametros_manuales!$H$40="Todos",'Plan mensual'!D42,0)))*parametros_manuales!$I$40*parametros_manuales!$J$40</f>
        <v>1907.84</v>
      </c>
      <c r="C107" s="8">
        <f>(parametros_manuales!$D$40*('Plan mensual'!E35+IF(parametros_manuales!$H$40="Todos",'Plan mensual'!E39,0))+parametros_manuales!$E$40*('Plan mensual'!E36+IF(parametros_manuales!$H$40="Todos",'Plan mensual'!E40,0))+parametros_manuales!$F$40*('Plan mensual'!E37+IF(parametros_manuales!$H$40="Todos",'Plan mensual'!E41,0))+parametros_manuales!$G$40*('Plan mensual'!E38+IF(parametros_manuales!$H$40="Todos",'Plan mensual'!E42,0)))*parametros_manuales!$I$40*parametros_manuales!$J$40</f>
        <v>1475.47</v>
      </c>
      <c r="D107" s="8">
        <f>(parametros_manuales!$D$40*('Plan mensual'!F35+IF(parametros_manuales!$H$40="Todos",'Plan mensual'!F39,0))+parametros_manuales!$E$40*('Plan mensual'!F36+IF(parametros_manuales!$H$40="Todos",'Plan mensual'!F40,0))+parametros_manuales!$F$40*('Plan mensual'!F37+IF(parametros_manuales!$H$40="Todos",'Plan mensual'!F41,0))+parametros_manuales!$G$40*('Plan mensual'!F38+IF(parametros_manuales!$H$40="Todos",'Plan mensual'!F42,0)))*parametros_manuales!$I$40*parametros_manuales!$J$40</f>
        <v>1435.39</v>
      </c>
      <c r="E107" s="8">
        <f>(parametros_manuales!$D$40*('Plan mensual'!G35+IF(parametros_manuales!$H$40="Todos",'Plan mensual'!G39,0))+parametros_manuales!$E$40*('Plan mensual'!G36+IF(parametros_manuales!$H$40="Todos",'Plan mensual'!G40,0))+parametros_manuales!$F$40*('Plan mensual'!G37+IF(parametros_manuales!$H$40="Todos",'Plan mensual'!G41,0))+parametros_manuales!$G$40*('Plan mensual'!G38+IF(parametros_manuales!$H$40="Todos",'Plan mensual'!G42,0)))*parametros_manuales!$I$40*parametros_manuales!$J$40</f>
        <v>1393.055</v>
      </c>
      <c r="F107" s="8">
        <f>(parametros_manuales!$D$40*('Plan mensual'!H35+IF(parametros_manuales!$H$40="Todos",'Plan mensual'!H39,0))+parametros_manuales!$E$40*('Plan mensual'!H36+IF(parametros_manuales!$H$40="Todos",'Plan mensual'!H40,0))+parametros_manuales!$F$40*('Plan mensual'!H37+IF(parametros_manuales!$H$40="Todos",'Plan mensual'!H41,0))+parametros_manuales!$G$40*('Plan mensual'!H38+IF(parametros_manuales!$H$40="Todos",'Plan mensual'!H42,0)))*parametros_manuales!$I$40*parametros_manuales!$J$40</f>
        <v>1306.13</v>
      </c>
      <c r="G107" s="8">
        <f>(parametros_manuales!$D$40*('Plan mensual'!I35+IF(parametros_manuales!$H$40="Todos",'Plan mensual'!I39,0))+parametros_manuales!$E$40*('Plan mensual'!I36+IF(parametros_manuales!$H$40="Todos",'Plan mensual'!I40,0))+parametros_manuales!$F$40*('Plan mensual'!I37+IF(parametros_manuales!$H$40="Todos",'Plan mensual'!I41,0))+parametros_manuales!$G$40*('Plan mensual'!I38+IF(parametros_manuales!$H$40="Todos",'Plan mensual'!I42,0)))*parametros_manuales!$I$40*parametros_manuales!$J$40</f>
        <v>1261.54</v>
      </c>
      <c r="H107" s="8">
        <f>(parametros_manuales!$D$40*('Plan mensual'!J35+IF(parametros_manuales!$H$40="Todos",'Plan mensual'!J39,0))+parametros_manuales!$E$40*('Plan mensual'!J36+IF(parametros_manuales!$H$40="Todos",'Plan mensual'!J40,0))+parametros_manuales!$F$40*('Plan mensual'!J37+IF(parametros_manuales!$H$40="Todos",'Plan mensual'!J41,0))+parametros_manuales!$G$40*('Plan mensual'!J38+IF(parametros_manuales!$H$40="Todos",'Plan mensual'!J42,0)))*parametros_manuales!$I$40*parametros_manuales!$J$40</f>
        <v>1348.465</v>
      </c>
      <c r="I107" s="8">
        <f>(parametros_manuales!$D$40*('Plan mensual'!K35+IF(parametros_manuales!$H$40="Todos",'Plan mensual'!K39,0))+parametros_manuales!$E$40*('Plan mensual'!K36+IF(parametros_manuales!$H$40="Todos",'Plan mensual'!K40,0))+parametros_manuales!$F$40*('Plan mensual'!K37+IF(parametros_manuales!$H$40="Todos",'Plan mensual'!K41,0))+parametros_manuales!$G$40*('Plan mensual'!K38+IF(parametros_manuales!$H$40="Todos",'Plan mensual'!K42,0)))*parametros_manuales!$I$40*parametros_manuales!$J$40</f>
        <v>1348.465</v>
      </c>
      <c r="J107" s="8">
        <f>(parametros_manuales!$D$40*('Plan mensual'!L35+IF(parametros_manuales!$H$40="Todos",'Plan mensual'!L39,0))+parametros_manuales!$E$40*('Plan mensual'!L36+IF(parametros_manuales!$H$40="Todos",'Plan mensual'!L40,0))+parametros_manuales!$F$40*('Plan mensual'!L37+IF(parametros_manuales!$H$40="Todos",'Plan mensual'!L41,0))+parametros_manuales!$G$40*('Plan mensual'!L38+IF(parametros_manuales!$H$40="Todos",'Plan mensual'!L42,0)))*parametros_manuales!$I$40*parametros_manuales!$J$40</f>
        <v>1348.465</v>
      </c>
      <c r="K107" s="8">
        <f>(parametros_manuales!$D$40*('Plan mensual'!M35+IF(parametros_manuales!$H$40="Todos",'Plan mensual'!M39,0))+parametros_manuales!$E$40*('Plan mensual'!M36+IF(parametros_manuales!$H$40="Todos",'Plan mensual'!M40,0))+parametros_manuales!$F$40*('Plan mensual'!M37+IF(parametros_manuales!$H$40="Todos",'Plan mensual'!M41,0))+parametros_manuales!$G$40*('Plan mensual'!M38+IF(parametros_manuales!$H$40="Todos",'Plan mensual'!M42,0)))*parametros_manuales!$I$40*parametros_manuales!$J$40</f>
        <v>1303.875</v>
      </c>
      <c r="L107" s="8">
        <f>(parametros_manuales!$D$40*('Plan mensual'!N35+IF(parametros_manuales!$H$40="Todos",'Plan mensual'!N39,0))+parametros_manuales!$E$40*('Plan mensual'!N36+IF(parametros_manuales!$H$40="Todos",'Plan mensual'!N40,0))+parametros_manuales!$F$40*('Plan mensual'!N37+IF(parametros_manuales!$H$40="Todos",'Plan mensual'!N41,0))+parametros_manuales!$G$40*('Plan mensual'!N38+IF(parametros_manuales!$H$40="Todos",'Plan mensual'!N42,0)))*parametros_manuales!$I$40*parametros_manuales!$J$40</f>
        <v>1259.285</v>
      </c>
      <c r="M107" s="8">
        <f>(parametros_manuales!$D$40*('Plan mensual'!O35+IF(parametros_manuales!$H$40="Todos",'Plan mensual'!O39,0))+parametros_manuales!$E$40*('Plan mensual'!O36+IF(parametros_manuales!$H$40="Todos",'Plan mensual'!O40,0))+parametros_manuales!$F$40*('Plan mensual'!O37+IF(parametros_manuales!$H$40="Todos",'Plan mensual'!O41,0))+parametros_manuales!$G$40*('Plan mensual'!O38+IF(parametros_manuales!$H$40="Todos",'Plan mensual'!O42,0)))*parametros_manuales!$I$40*parametros_manuales!$J$40</f>
        <v>1997.02</v>
      </c>
      <c r="N107" s="8">
        <f t="shared" si="10"/>
        <v>17385</v>
      </c>
      <c r="O107" s="8">
        <f t="shared" si="11"/>
        <v>1997.02</v>
      </c>
      <c r="P107" s="27">
        <f>O107/(parametros_manuales!$B$7)</f>
        <v>13.31346667</v>
      </c>
      <c r="Q107" s="4" t="str">
        <f t="shared" si="12"/>
        <v>Dic</v>
      </c>
    </row>
    <row r="108" ht="14.25" customHeight="1">
      <c r="A108" s="4" t="str">
        <f>parametros_manuales!$B$41</f>
        <v>Presurización</v>
      </c>
      <c r="B108" s="8">
        <f>(parametros_manuales!$D$41*('Plan mensual'!D35+IF(parametros_manuales!$H$41="Todos",'Plan mensual'!D39,0))+parametros_manuales!$E$41*('Plan mensual'!D36+IF(parametros_manuales!$H$41="Todos",'Plan mensual'!D40,0))+parametros_manuales!$F$41*('Plan mensual'!D37+IF(parametros_manuales!$H$41="Todos",'Plan mensual'!D41,0))+parametros_manuales!$G$41*('Plan mensual'!D38+IF(parametros_manuales!$H$41="Todos",'Plan mensual'!D42,0)))*parametros_manuales!$I$41*parametros_manuales!$J$41</f>
        <v>1907.84</v>
      </c>
      <c r="C108" s="8">
        <f>(parametros_manuales!$D$41*('Plan mensual'!E35+IF(parametros_manuales!$H$41="Todos",'Plan mensual'!E39,0))+parametros_manuales!$E$41*('Plan mensual'!E36+IF(parametros_manuales!$H$41="Todos",'Plan mensual'!E40,0))+parametros_manuales!$F$41*('Plan mensual'!E37+IF(parametros_manuales!$H$41="Todos",'Plan mensual'!E41,0))+parametros_manuales!$G$41*('Plan mensual'!E38+IF(parametros_manuales!$H$41="Todos",'Plan mensual'!E42,0)))*parametros_manuales!$I$41*parametros_manuales!$J$41</f>
        <v>1475.47</v>
      </c>
      <c r="D108" s="8">
        <f>(parametros_manuales!$D$41*('Plan mensual'!F35+IF(parametros_manuales!$H$41="Todos",'Plan mensual'!F39,0))+parametros_manuales!$E$41*('Plan mensual'!F36+IF(parametros_manuales!$H$41="Todos",'Plan mensual'!F40,0))+parametros_manuales!$F$41*('Plan mensual'!F37+IF(parametros_manuales!$H$41="Todos",'Plan mensual'!F41,0))+parametros_manuales!$G$41*('Plan mensual'!F38+IF(parametros_manuales!$H$41="Todos",'Plan mensual'!F42,0)))*parametros_manuales!$I$41*parametros_manuales!$J$41</f>
        <v>1435.39</v>
      </c>
      <c r="E108" s="8">
        <f>(parametros_manuales!$D$41*('Plan mensual'!G35+IF(parametros_manuales!$H$41="Todos",'Plan mensual'!G39,0))+parametros_manuales!$E$41*('Plan mensual'!G36+IF(parametros_manuales!$H$41="Todos",'Plan mensual'!G40,0))+parametros_manuales!$F$41*('Plan mensual'!G37+IF(parametros_manuales!$H$41="Todos",'Plan mensual'!G41,0))+parametros_manuales!$G$41*('Plan mensual'!G38+IF(parametros_manuales!$H$41="Todos",'Plan mensual'!G42,0)))*parametros_manuales!$I$41*parametros_manuales!$J$41</f>
        <v>1393.055</v>
      </c>
      <c r="F108" s="8">
        <f>(parametros_manuales!$D$41*('Plan mensual'!H35+IF(parametros_manuales!$H$41="Todos",'Plan mensual'!H39,0))+parametros_manuales!$E$41*('Plan mensual'!H36+IF(parametros_manuales!$H$41="Todos",'Plan mensual'!H40,0))+parametros_manuales!$F$41*('Plan mensual'!H37+IF(parametros_manuales!$H$41="Todos",'Plan mensual'!H41,0))+parametros_manuales!$G$41*('Plan mensual'!H38+IF(parametros_manuales!$H$41="Todos",'Plan mensual'!H42,0)))*parametros_manuales!$I$41*parametros_manuales!$J$41</f>
        <v>1306.13</v>
      </c>
      <c r="G108" s="8">
        <f>(parametros_manuales!$D$41*('Plan mensual'!I35+IF(parametros_manuales!$H$41="Todos",'Plan mensual'!I39,0))+parametros_manuales!$E$41*('Plan mensual'!I36+IF(parametros_manuales!$H$41="Todos",'Plan mensual'!I40,0))+parametros_manuales!$F$41*('Plan mensual'!I37+IF(parametros_manuales!$H$41="Todos",'Plan mensual'!I41,0))+parametros_manuales!$G$41*('Plan mensual'!I38+IF(parametros_manuales!$H$41="Todos",'Plan mensual'!I42,0)))*parametros_manuales!$I$41*parametros_manuales!$J$41</f>
        <v>1261.54</v>
      </c>
      <c r="H108" s="8">
        <f>(parametros_manuales!$D$41*('Plan mensual'!J35+IF(parametros_manuales!$H$41="Todos",'Plan mensual'!J39,0))+parametros_manuales!$E$41*('Plan mensual'!J36+IF(parametros_manuales!$H$41="Todos",'Plan mensual'!J40,0))+parametros_manuales!$F$41*('Plan mensual'!J37+IF(parametros_manuales!$H$41="Todos",'Plan mensual'!J41,0))+parametros_manuales!$G$41*('Plan mensual'!J38+IF(parametros_manuales!$H$41="Todos",'Plan mensual'!J42,0)))*parametros_manuales!$I$41*parametros_manuales!$J$41</f>
        <v>1348.465</v>
      </c>
      <c r="I108" s="8">
        <f>(parametros_manuales!$D$41*('Plan mensual'!K35+IF(parametros_manuales!$H$41="Todos",'Plan mensual'!K39,0))+parametros_manuales!$E$41*('Plan mensual'!K36+IF(parametros_manuales!$H$41="Todos",'Plan mensual'!K40,0))+parametros_manuales!$F$41*('Plan mensual'!K37+IF(parametros_manuales!$H$41="Todos",'Plan mensual'!K41,0))+parametros_manuales!$G$41*('Plan mensual'!K38+IF(parametros_manuales!$H$41="Todos",'Plan mensual'!K42,0)))*parametros_manuales!$I$41*parametros_manuales!$J$41</f>
        <v>1348.465</v>
      </c>
      <c r="J108" s="8">
        <f>(parametros_manuales!$D$41*('Plan mensual'!L35+IF(parametros_manuales!$H$41="Todos",'Plan mensual'!L39,0))+parametros_manuales!$E$41*('Plan mensual'!L36+IF(parametros_manuales!$H$41="Todos",'Plan mensual'!L40,0))+parametros_manuales!$F$41*('Plan mensual'!L37+IF(parametros_manuales!$H$41="Todos",'Plan mensual'!L41,0))+parametros_manuales!$G$41*('Plan mensual'!L38+IF(parametros_manuales!$H$41="Todos",'Plan mensual'!L42,0)))*parametros_manuales!$I$41*parametros_manuales!$J$41</f>
        <v>1348.465</v>
      </c>
      <c r="K108" s="8">
        <f>(parametros_manuales!$D$41*('Plan mensual'!M35+IF(parametros_manuales!$H$41="Todos",'Plan mensual'!M39,0))+parametros_manuales!$E$41*('Plan mensual'!M36+IF(parametros_manuales!$H$41="Todos",'Plan mensual'!M40,0))+parametros_manuales!$F$41*('Plan mensual'!M37+IF(parametros_manuales!$H$41="Todos",'Plan mensual'!M41,0))+parametros_manuales!$G$41*('Plan mensual'!M38+IF(parametros_manuales!$H$41="Todos",'Plan mensual'!M42,0)))*parametros_manuales!$I$41*parametros_manuales!$J$41</f>
        <v>1303.875</v>
      </c>
      <c r="L108" s="8">
        <f>(parametros_manuales!$D$41*('Plan mensual'!N35+IF(parametros_manuales!$H$41="Todos",'Plan mensual'!N39,0))+parametros_manuales!$E$41*('Plan mensual'!N36+IF(parametros_manuales!$H$41="Todos",'Plan mensual'!N40,0))+parametros_manuales!$F$41*('Plan mensual'!N37+IF(parametros_manuales!$H$41="Todos",'Plan mensual'!N41,0))+parametros_manuales!$G$41*('Plan mensual'!N38+IF(parametros_manuales!$H$41="Todos",'Plan mensual'!N42,0)))*parametros_manuales!$I$41*parametros_manuales!$J$41</f>
        <v>1259.285</v>
      </c>
      <c r="M108" s="8">
        <f>(parametros_manuales!$D$41*('Plan mensual'!O35+IF(parametros_manuales!$H$41="Todos",'Plan mensual'!O39,0))+parametros_manuales!$E$41*('Plan mensual'!O36+IF(parametros_manuales!$H$41="Todos",'Plan mensual'!O40,0))+parametros_manuales!$F$41*('Plan mensual'!O37+IF(parametros_manuales!$H$41="Todos",'Plan mensual'!O41,0))+parametros_manuales!$G$41*('Plan mensual'!O38+IF(parametros_manuales!$H$41="Todos",'Plan mensual'!O42,0)))*parametros_manuales!$I$41*parametros_manuales!$J$41</f>
        <v>1997.02</v>
      </c>
      <c r="N108" s="8">
        <f t="shared" si="10"/>
        <v>17385</v>
      </c>
      <c r="O108" s="8">
        <f t="shared" si="11"/>
        <v>1997.02</v>
      </c>
      <c r="P108" s="27">
        <f>O108/(parametros_manuales!$B$7)</f>
        <v>13.31346667</v>
      </c>
      <c r="Q108" s="4" t="str">
        <f t="shared" si="12"/>
        <v>Dic</v>
      </c>
    </row>
    <row r="109" ht="14.25" customHeight="1">
      <c r="A109" s="4" t="str">
        <f>parametros_manuales!$B$42</f>
        <v>Control de calidad — Ensayo de pérdidas</v>
      </c>
      <c r="B109" s="8">
        <f>(parametros_manuales!$D$42*('Plan mensual'!D35+IF(parametros_manuales!$H$42="Todos",'Plan mensual'!D39,0))+parametros_manuales!$E$42*('Plan mensual'!D36+IF(parametros_manuales!$H$42="Todos",'Plan mensual'!D40,0))+parametros_manuales!$F$42*('Plan mensual'!D37+IF(parametros_manuales!$H$42="Todos",'Plan mensual'!D41,0))+parametros_manuales!$G$42*('Plan mensual'!D38+IF(parametros_manuales!$H$42="Todos",'Plan mensual'!D42,0)))*parametros_manuales!$I$42*parametros_manuales!$J$42</f>
        <v>1907.84</v>
      </c>
      <c r="C109" s="8">
        <f>(parametros_manuales!$D$42*('Plan mensual'!E35+IF(parametros_manuales!$H$42="Todos",'Plan mensual'!E39,0))+parametros_manuales!$E$42*('Plan mensual'!E36+IF(parametros_manuales!$H$42="Todos",'Plan mensual'!E40,0))+parametros_manuales!$F$42*('Plan mensual'!E37+IF(parametros_manuales!$H$42="Todos",'Plan mensual'!E41,0))+parametros_manuales!$G$42*('Plan mensual'!E38+IF(parametros_manuales!$H$42="Todos",'Plan mensual'!E42,0)))*parametros_manuales!$I$42*parametros_manuales!$J$42</f>
        <v>1475.47</v>
      </c>
      <c r="D109" s="8">
        <f>(parametros_manuales!$D$42*('Plan mensual'!F35+IF(parametros_manuales!$H$42="Todos",'Plan mensual'!F39,0))+parametros_manuales!$E$42*('Plan mensual'!F36+IF(parametros_manuales!$H$42="Todos",'Plan mensual'!F40,0))+parametros_manuales!$F$42*('Plan mensual'!F37+IF(parametros_manuales!$H$42="Todos",'Plan mensual'!F41,0))+parametros_manuales!$G$42*('Plan mensual'!F38+IF(parametros_manuales!$H$42="Todos",'Plan mensual'!F42,0)))*parametros_manuales!$I$42*parametros_manuales!$J$42</f>
        <v>1435.39</v>
      </c>
      <c r="E109" s="8">
        <f>(parametros_manuales!$D$42*('Plan mensual'!G35+IF(parametros_manuales!$H$42="Todos",'Plan mensual'!G39,0))+parametros_manuales!$E$42*('Plan mensual'!G36+IF(parametros_manuales!$H$42="Todos",'Plan mensual'!G40,0))+parametros_manuales!$F$42*('Plan mensual'!G37+IF(parametros_manuales!$H$42="Todos",'Plan mensual'!G41,0))+parametros_manuales!$G$42*('Plan mensual'!G38+IF(parametros_manuales!$H$42="Todos",'Plan mensual'!G42,0)))*parametros_manuales!$I$42*parametros_manuales!$J$42</f>
        <v>1393.055</v>
      </c>
      <c r="F109" s="8">
        <f>(parametros_manuales!$D$42*('Plan mensual'!H35+IF(parametros_manuales!$H$42="Todos",'Plan mensual'!H39,0))+parametros_manuales!$E$42*('Plan mensual'!H36+IF(parametros_manuales!$H$42="Todos",'Plan mensual'!H40,0))+parametros_manuales!$F$42*('Plan mensual'!H37+IF(parametros_manuales!$H$42="Todos",'Plan mensual'!H41,0))+parametros_manuales!$G$42*('Plan mensual'!H38+IF(parametros_manuales!$H$42="Todos",'Plan mensual'!H42,0)))*parametros_manuales!$I$42*parametros_manuales!$J$42</f>
        <v>1306.13</v>
      </c>
      <c r="G109" s="8">
        <f>(parametros_manuales!$D$42*('Plan mensual'!I35+IF(parametros_manuales!$H$42="Todos",'Plan mensual'!I39,0))+parametros_manuales!$E$42*('Plan mensual'!I36+IF(parametros_manuales!$H$42="Todos",'Plan mensual'!I40,0))+parametros_manuales!$F$42*('Plan mensual'!I37+IF(parametros_manuales!$H$42="Todos",'Plan mensual'!I41,0))+parametros_manuales!$G$42*('Plan mensual'!I38+IF(parametros_manuales!$H$42="Todos",'Plan mensual'!I42,0)))*parametros_manuales!$I$42*parametros_manuales!$J$42</f>
        <v>1261.54</v>
      </c>
      <c r="H109" s="8">
        <f>(parametros_manuales!$D$42*('Plan mensual'!J35+IF(parametros_manuales!$H$42="Todos",'Plan mensual'!J39,0))+parametros_manuales!$E$42*('Plan mensual'!J36+IF(parametros_manuales!$H$42="Todos",'Plan mensual'!J40,0))+parametros_manuales!$F$42*('Plan mensual'!J37+IF(parametros_manuales!$H$42="Todos",'Plan mensual'!J41,0))+parametros_manuales!$G$42*('Plan mensual'!J38+IF(parametros_manuales!$H$42="Todos",'Plan mensual'!J42,0)))*parametros_manuales!$I$42*parametros_manuales!$J$42</f>
        <v>1348.465</v>
      </c>
      <c r="I109" s="8">
        <f>(parametros_manuales!$D$42*('Plan mensual'!K35+IF(parametros_manuales!$H$42="Todos",'Plan mensual'!K39,0))+parametros_manuales!$E$42*('Plan mensual'!K36+IF(parametros_manuales!$H$42="Todos",'Plan mensual'!K40,0))+parametros_manuales!$F$42*('Plan mensual'!K37+IF(parametros_manuales!$H$42="Todos",'Plan mensual'!K41,0))+parametros_manuales!$G$42*('Plan mensual'!K38+IF(parametros_manuales!$H$42="Todos",'Plan mensual'!K42,0)))*parametros_manuales!$I$42*parametros_manuales!$J$42</f>
        <v>1348.465</v>
      </c>
      <c r="J109" s="8">
        <f>(parametros_manuales!$D$42*('Plan mensual'!L35+IF(parametros_manuales!$H$42="Todos",'Plan mensual'!L39,0))+parametros_manuales!$E$42*('Plan mensual'!L36+IF(parametros_manuales!$H$42="Todos",'Plan mensual'!L40,0))+parametros_manuales!$F$42*('Plan mensual'!L37+IF(parametros_manuales!$H$42="Todos",'Plan mensual'!L41,0))+parametros_manuales!$G$42*('Plan mensual'!L38+IF(parametros_manuales!$H$42="Todos",'Plan mensual'!L42,0)))*parametros_manuales!$I$42*parametros_manuales!$J$42</f>
        <v>1348.465</v>
      </c>
      <c r="K109" s="8">
        <f>(parametros_manuales!$D$42*('Plan mensual'!M35+IF(parametros_manuales!$H$42="Todos",'Plan mensual'!M39,0))+parametros_manuales!$E$42*('Plan mensual'!M36+IF(parametros_manuales!$H$42="Todos",'Plan mensual'!M40,0))+parametros_manuales!$F$42*('Plan mensual'!M37+IF(parametros_manuales!$H$42="Todos",'Plan mensual'!M41,0))+parametros_manuales!$G$42*('Plan mensual'!M38+IF(parametros_manuales!$H$42="Todos",'Plan mensual'!M42,0)))*parametros_manuales!$I$42*parametros_manuales!$J$42</f>
        <v>1303.875</v>
      </c>
      <c r="L109" s="8">
        <f>(parametros_manuales!$D$42*('Plan mensual'!N35+IF(parametros_manuales!$H$42="Todos",'Plan mensual'!N39,0))+parametros_manuales!$E$42*('Plan mensual'!N36+IF(parametros_manuales!$H$42="Todos",'Plan mensual'!N40,0))+parametros_manuales!$F$42*('Plan mensual'!N37+IF(parametros_manuales!$H$42="Todos",'Plan mensual'!N41,0))+parametros_manuales!$G$42*('Plan mensual'!N38+IF(parametros_manuales!$H$42="Todos",'Plan mensual'!N42,0)))*parametros_manuales!$I$42*parametros_manuales!$J$42</f>
        <v>1259.285</v>
      </c>
      <c r="M109" s="8">
        <f>(parametros_manuales!$D$42*('Plan mensual'!O35+IF(parametros_manuales!$H$42="Todos",'Plan mensual'!O39,0))+parametros_manuales!$E$42*('Plan mensual'!O36+IF(parametros_manuales!$H$42="Todos",'Plan mensual'!O40,0))+parametros_manuales!$F$42*('Plan mensual'!O37+IF(parametros_manuales!$H$42="Todos",'Plan mensual'!O41,0))+parametros_manuales!$G$42*('Plan mensual'!O38+IF(parametros_manuales!$H$42="Todos",'Plan mensual'!O42,0)))*parametros_manuales!$I$42*parametros_manuales!$J$42</f>
        <v>1997.02</v>
      </c>
      <c r="N109" s="8">
        <f t="shared" si="10"/>
        <v>17385</v>
      </c>
      <c r="O109" s="8">
        <f t="shared" si="11"/>
        <v>1997.02</v>
      </c>
      <c r="P109" s="27">
        <f>O109/(parametros_manuales!$B$7)</f>
        <v>13.31346667</v>
      </c>
      <c r="Q109" s="4" t="str">
        <f t="shared" si="12"/>
        <v>Dic</v>
      </c>
    </row>
    <row r="110" ht="14.25" customHeight="1">
      <c r="A110" s="4" t="str">
        <f>parametros_manuales!$B$43</f>
        <v>Etiquetado</v>
      </c>
      <c r="B110" s="8">
        <f>(parametros_manuales!$D$43*('Plan mensual'!D35+IF(parametros_manuales!$H$43="Todos",'Plan mensual'!D39,0))+parametros_manuales!$E$43*('Plan mensual'!D36+IF(parametros_manuales!$H$43="Todos",'Plan mensual'!D40,0))+parametros_manuales!$F$43*('Plan mensual'!D37+IF(parametros_manuales!$H$43="Todos",'Plan mensual'!D41,0))+parametros_manuales!$G$43*('Plan mensual'!D38+IF(parametros_manuales!$H$43="Todos",'Plan mensual'!D42,0)))*parametros_manuales!$I$43*parametros_manuales!$J$43</f>
        <v>1907.84</v>
      </c>
      <c r="C110" s="8">
        <f>(parametros_manuales!$D$43*('Plan mensual'!E35+IF(parametros_manuales!$H$43="Todos",'Plan mensual'!E39,0))+parametros_manuales!$E$43*('Plan mensual'!E36+IF(parametros_manuales!$H$43="Todos",'Plan mensual'!E40,0))+parametros_manuales!$F$43*('Plan mensual'!E37+IF(parametros_manuales!$H$43="Todos",'Plan mensual'!E41,0))+parametros_manuales!$G$43*('Plan mensual'!E38+IF(parametros_manuales!$H$43="Todos",'Plan mensual'!E42,0)))*parametros_manuales!$I$43*parametros_manuales!$J$43</f>
        <v>1475.47</v>
      </c>
      <c r="D110" s="8">
        <f>(parametros_manuales!$D$43*('Plan mensual'!F35+IF(parametros_manuales!$H$43="Todos",'Plan mensual'!F39,0))+parametros_manuales!$E$43*('Plan mensual'!F36+IF(parametros_manuales!$H$43="Todos",'Plan mensual'!F40,0))+parametros_manuales!$F$43*('Plan mensual'!F37+IF(parametros_manuales!$H$43="Todos",'Plan mensual'!F41,0))+parametros_manuales!$G$43*('Plan mensual'!F38+IF(parametros_manuales!$H$43="Todos",'Plan mensual'!F42,0)))*parametros_manuales!$I$43*parametros_manuales!$J$43</f>
        <v>1435.39</v>
      </c>
      <c r="E110" s="8">
        <f>(parametros_manuales!$D$43*('Plan mensual'!G35+IF(parametros_manuales!$H$43="Todos",'Plan mensual'!G39,0))+parametros_manuales!$E$43*('Plan mensual'!G36+IF(parametros_manuales!$H$43="Todos",'Plan mensual'!G40,0))+parametros_manuales!$F$43*('Plan mensual'!G37+IF(parametros_manuales!$H$43="Todos",'Plan mensual'!G41,0))+parametros_manuales!$G$43*('Plan mensual'!G38+IF(parametros_manuales!$H$43="Todos",'Plan mensual'!G42,0)))*parametros_manuales!$I$43*parametros_manuales!$J$43</f>
        <v>1393.055</v>
      </c>
      <c r="F110" s="8">
        <f>(parametros_manuales!$D$43*('Plan mensual'!H35+IF(parametros_manuales!$H$43="Todos",'Plan mensual'!H39,0))+parametros_manuales!$E$43*('Plan mensual'!H36+IF(parametros_manuales!$H$43="Todos",'Plan mensual'!H40,0))+parametros_manuales!$F$43*('Plan mensual'!H37+IF(parametros_manuales!$H$43="Todos",'Plan mensual'!H41,0))+parametros_manuales!$G$43*('Plan mensual'!H38+IF(parametros_manuales!$H$43="Todos",'Plan mensual'!H42,0)))*parametros_manuales!$I$43*parametros_manuales!$J$43</f>
        <v>1306.13</v>
      </c>
      <c r="G110" s="8">
        <f>(parametros_manuales!$D$43*('Plan mensual'!I35+IF(parametros_manuales!$H$43="Todos",'Plan mensual'!I39,0))+parametros_manuales!$E$43*('Plan mensual'!I36+IF(parametros_manuales!$H$43="Todos",'Plan mensual'!I40,0))+parametros_manuales!$F$43*('Plan mensual'!I37+IF(parametros_manuales!$H$43="Todos",'Plan mensual'!I41,0))+parametros_manuales!$G$43*('Plan mensual'!I38+IF(parametros_manuales!$H$43="Todos",'Plan mensual'!I42,0)))*parametros_manuales!$I$43*parametros_manuales!$J$43</f>
        <v>1261.54</v>
      </c>
      <c r="H110" s="8">
        <f>(parametros_manuales!$D$43*('Plan mensual'!J35+IF(parametros_manuales!$H$43="Todos",'Plan mensual'!J39,0))+parametros_manuales!$E$43*('Plan mensual'!J36+IF(parametros_manuales!$H$43="Todos",'Plan mensual'!J40,0))+parametros_manuales!$F$43*('Plan mensual'!J37+IF(parametros_manuales!$H$43="Todos",'Plan mensual'!J41,0))+parametros_manuales!$G$43*('Plan mensual'!J38+IF(parametros_manuales!$H$43="Todos",'Plan mensual'!J42,0)))*parametros_manuales!$I$43*parametros_manuales!$J$43</f>
        <v>1348.465</v>
      </c>
      <c r="I110" s="8">
        <f>(parametros_manuales!$D$43*('Plan mensual'!K35+IF(parametros_manuales!$H$43="Todos",'Plan mensual'!K39,0))+parametros_manuales!$E$43*('Plan mensual'!K36+IF(parametros_manuales!$H$43="Todos",'Plan mensual'!K40,0))+parametros_manuales!$F$43*('Plan mensual'!K37+IF(parametros_manuales!$H$43="Todos",'Plan mensual'!K41,0))+parametros_manuales!$G$43*('Plan mensual'!K38+IF(parametros_manuales!$H$43="Todos",'Plan mensual'!K42,0)))*parametros_manuales!$I$43*parametros_manuales!$J$43</f>
        <v>1348.465</v>
      </c>
      <c r="J110" s="8">
        <f>(parametros_manuales!$D$43*('Plan mensual'!L35+IF(parametros_manuales!$H$43="Todos",'Plan mensual'!L39,0))+parametros_manuales!$E$43*('Plan mensual'!L36+IF(parametros_manuales!$H$43="Todos",'Plan mensual'!L40,0))+parametros_manuales!$F$43*('Plan mensual'!L37+IF(parametros_manuales!$H$43="Todos",'Plan mensual'!L41,0))+parametros_manuales!$G$43*('Plan mensual'!L38+IF(parametros_manuales!$H$43="Todos",'Plan mensual'!L42,0)))*parametros_manuales!$I$43*parametros_manuales!$J$43</f>
        <v>1348.465</v>
      </c>
      <c r="K110" s="8">
        <f>(parametros_manuales!$D$43*('Plan mensual'!M35+IF(parametros_manuales!$H$43="Todos",'Plan mensual'!M39,0))+parametros_manuales!$E$43*('Plan mensual'!M36+IF(parametros_manuales!$H$43="Todos",'Plan mensual'!M40,0))+parametros_manuales!$F$43*('Plan mensual'!M37+IF(parametros_manuales!$H$43="Todos",'Plan mensual'!M41,0))+parametros_manuales!$G$43*('Plan mensual'!M38+IF(parametros_manuales!$H$43="Todos",'Plan mensual'!M42,0)))*parametros_manuales!$I$43*parametros_manuales!$J$43</f>
        <v>1303.875</v>
      </c>
      <c r="L110" s="8">
        <f>(parametros_manuales!$D$43*('Plan mensual'!N35+IF(parametros_manuales!$H$43="Todos",'Plan mensual'!N39,0))+parametros_manuales!$E$43*('Plan mensual'!N36+IF(parametros_manuales!$H$43="Todos",'Plan mensual'!N40,0))+parametros_manuales!$F$43*('Plan mensual'!N37+IF(parametros_manuales!$H$43="Todos",'Plan mensual'!N41,0))+parametros_manuales!$G$43*('Plan mensual'!N38+IF(parametros_manuales!$H$43="Todos",'Plan mensual'!N42,0)))*parametros_manuales!$I$43*parametros_manuales!$J$43</f>
        <v>1259.285</v>
      </c>
      <c r="M110" s="8">
        <f>(parametros_manuales!$D$43*('Plan mensual'!O35+IF(parametros_manuales!$H$43="Todos",'Plan mensual'!O39,0))+parametros_manuales!$E$43*('Plan mensual'!O36+IF(parametros_manuales!$H$43="Todos",'Plan mensual'!O40,0))+parametros_manuales!$F$43*('Plan mensual'!O37+IF(parametros_manuales!$H$43="Todos",'Plan mensual'!O41,0))+parametros_manuales!$G$43*('Plan mensual'!O38+IF(parametros_manuales!$H$43="Todos",'Plan mensual'!O42,0)))*parametros_manuales!$I$43*parametros_manuales!$J$43</f>
        <v>1997.02</v>
      </c>
      <c r="N110" s="8">
        <f t="shared" si="10"/>
        <v>17385</v>
      </c>
      <c r="O110" s="8">
        <f t="shared" si="11"/>
        <v>1997.02</v>
      </c>
      <c r="P110" s="27">
        <f>O110/(parametros_manuales!$B$7)</f>
        <v>13.31346667</v>
      </c>
      <c r="Q110" s="4" t="str">
        <f t="shared" si="12"/>
        <v>Dic</v>
      </c>
    </row>
    <row r="111" ht="14.25" customHeight="1">
      <c r="A111" s="4" t="str">
        <f>parametros_manuales!$B$44</f>
        <v>Embalaje y paletizado</v>
      </c>
      <c r="B111" s="8">
        <f>(parametros_manuales!$D$44*('Plan mensual'!D35+IF(parametros_manuales!$H$44="Todos",'Plan mensual'!D39,0))+parametros_manuales!$E$44*('Plan mensual'!D36+IF(parametros_manuales!$H$44="Todos",'Plan mensual'!D40,0))+parametros_manuales!$F$44*('Plan mensual'!D37+IF(parametros_manuales!$H$44="Todos",'Plan mensual'!D41,0))+parametros_manuales!$G$44*('Plan mensual'!D38+IF(parametros_manuales!$H$44="Todos",'Plan mensual'!D42,0)))*parametros_manuales!$I$44*parametros_manuales!$J$44</f>
        <v>5804.24</v>
      </c>
      <c r="C111" s="8">
        <f>(parametros_manuales!$D$44*('Plan mensual'!E35+IF(parametros_manuales!$H$44="Todos",'Plan mensual'!E39,0))+parametros_manuales!$E$44*('Plan mensual'!E36+IF(parametros_manuales!$H$44="Todos",'Plan mensual'!E40,0))+parametros_manuales!$F$44*('Plan mensual'!E37+IF(parametros_manuales!$H$44="Todos",'Plan mensual'!E41,0))+parametros_manuales!$G$44*('Plan mensual'!E38+IF(parametros_manuales!$H$44="Todos",'Plan mensual'!E42,0)))*parametros_manuales!$I$44*parametros_manuales!$J$44</f>
        <v>4432.42</v>
      </c>
      <c r="D111" s="8">
        <f>(parametros_manuales!$D$44*('Plan mensual'!F35+IF(parametros_manuales!$H$44="Todos",'Plan mensual'!F39,0))+parametros_manuales!$E$44*('Plan mensual'!F36+IF(parametros_manuales!$H$44="Todos",'Plan mensual'!F40,0))+parametros_manuales!$F$44*('Plan mensual'!F37+IF(parametros_manuales!$H$44="Todos",'Plan mensual'!F41,0))+parametros_manuales!$G$44*('Plan mensual'!F38+IF(parametros_manuales!$H$44="Todos",'Plan mensual'!F42,0)))*parametros_manuales!$I$44*parametros_manuales!$J$44</f>
        <v>4160.04</v>
      </c>
      <c r="E111" s="8">
        <f>(parametros_manuales!$D$44*('Plan mensual'!G35+IF(parametros_manuales!$H$44="Todos",'Plan mensual'!G39,0))+parametros_manuales!$E$44*('Plan mensual'!G36+IF(parametros_manuales!$H$44="Todos",'Plan mensual'!G40,0))+parametros_manuales!$F$44*('Plan mensual'!G37+IF(parametros_manuales!$H$44="Todos",'Plan mensual'!G41,0))+parametros_manuales!$G$44*('Plan mensual'!G38+IF(parametros_manuales!$H$44="Todos",'Plan mensual'!G42,0)))*parametros_manuales!$I$44*parametros_manuales!$J$44</f>
        <v>3984.23</v>
      </c>
      <c r="F111" s="8">
        <f>(parametros_manuales!$D$44*('Plan mensual'!H35+IF(parametros_manuales!$H$44="Todos",'Plan mensual'!H39,0))+parametros_manuales!$E$44*('Plan mensual'!H36+IF(parametros_manuales!$H$44="Todos",'Plan mensual'!H40,0))+parametros_manuales!$F$44*('Plan mensual'!H37+IF(parametros_manuales!$H$44="Todos",'Plan mensual'!H41,0))+parametros_manuales!$G$44*('Plan mensual'!H38+IF(parametros_manuales!$H$44="Todos",'Plan mensual'!H42,0)))*parametros_manuales!$I$44*parametros_manuales!$J$44</f>
        <v>3729.18</v>
      </c>
      <c r="G111" s="8">
        <f>(parametros_manuales!$D$44*('Plan mensual'!I35+IF(parametros_manuales!$H$44="Todos",'Plan mensual'!I39,0))+parametros_manuales!$E$44*('Plan mensual'!I36+IF(parametros_manuales!$H$44="Todos",'Plan mensual'!I40,0))+parametros_manuales!$F$44*('Plan mensual'!I37+IF(parametros_manuales!$H$44="Todos",'Plan mensual'!I41,0))+parametros_manuales!$G$44*('Plan mensual'!I38+IF(parametros_manuales!$H$44="Todos",'Plan mensual'!I42,0)))*parametros_manuales!$I$44*parametros_manuales!$J$44</f>
        <v>3649.94</v>
      </c>
      <c r="H111" s="8">
        <f>(parametros_manuales!$D$44*('Plan mensual'!J35+IF(parametros_manuales!$H$44="Todos",'Plan mensual'!J39,0))+parametros_manuales!$E$44*('Plan mensual'!J36+IF(parametros_manuales!$H$44="Todos",'Plan mensual'!J40,0))+parametros_manuales!$F$44*('Plan mensual'!J37+IF(parametros_manuales!$H$44="Todos",'Plan mensual'!J41,0))+parametros_manuales!$G$44*('Plan mensual'!J38+IF(parametros_manuales!$H$44="Todos",'Plan mensual'!J42,0)))*parametros_manuales!$I$44*parametros_manuales!$J$44</f>
        <v>3904.99</v>
      </c>
      <c r="I111" s="8">
        <f>(parametros_manuales!$D$44*('Plan mensual'!K35+IF(parametros_manuales!$H$44="Todos",'Plan mensual'!K39,0))+parametros_manuales!$E$44*('Plan mensual'!K36+IF(parametros_manuales!$H$44="Todos",'Plan mensual'!K40,0))+parametros_manuales!$F$44*('Plan mensual'!K37+IF(parametros_manuales!$H$44="Todos",'Plan mensual'!K41,0))+parametros_manuales!$G$44*('Plan mensual'!K38+IF(parametros_manuales!$H$44="Todos",'Plan mensual'!K42,0)))*parametros_manuales!$I$44*parametros_manuales!$J$44</f>
        <v>3904.99</v>
      </c>
      <c r="J111" s="8">
        <f>(parametros_manuales!$D$44*('Plan mensual'!L35+IF(parametros_manuales!$H$44="Todos",'Plan mensual'!L39,0))+parametros_manuales!$E$44*('Plan mensual'!L36+IF(parametros_manuales!$H$44="Todos",'Plan mensual'!L40,0))+parametros_manuales!$F$44*('Plan mensual'!L37+IF(parametros_manuales!$H$44="Todos",'Plan mensual'!L41,0))+parametros_manuales!$G$44*('Plan mensual'!L38+IF(parametros_manuales!$H$44="Todos",'Plan mensual'!L42,0)))*parametros_manuales!$I$44*parametros_manuales!$J$44</f>
        <v>3904.99</v>
      </c>
      <c r="K111" s="8">
        <f>(parametros_manuales!$D$44*('Plan mensual'!M35+IF(parametros_manuales!$H$44="Todos",'Plan mensual'!M39,0))+parametros_manuales!$E$44*('Plan mensual'!M36+IF(parametros_manuales!$H$44="Todos",'Plan mensual'!M40,0))+parametros_manuales!$F$44*('Plan mensual'!M37+IF(parametros_manuales!$H$44="Todos",'Plan mensual'!M41,0))+parametros_manuales!$G$44*('Plan mensual'!M38+IF(parametros_manuales!$H$44="Todos",'Plan mensual'!M42,0)))*parametros_manuales!$I$44*parametros_manuales!$J$44</f>
        <v>3825.75</v>
      </c>
      <c r="L111" s="8">
        <f>(parametros_manuales!$D$44*('Plan mensual'!N35+IF(parametros_manuales!$H$44="Todos",'Plan mensual'!N39,0))+parametros_manuales!$E$44*('Plan mensual'!N36+IF(parametros_manuales!$H$44="Todos",'Plan mensual'!N40,0))+parametros_manuales!$F$44*('Plan mensual'!N37+IF(parametros_manuales!$H$44="Todos",'Plan mensual'!N41,0))+parametros_manuales!$G$44*('Plan mensual'!N38+IF(parametros_manuales!$H$44="Todos",'Plan mensual'!N42,0)))*parametros_manuales!$I$44*parametros_manuales!$J$44</f>
        <v>3746.51</v>
      </c>
      <c r="M111" s="8">
        <f>(parametros_manuales!$D$44*('Plan mensual'!O35+IF(parametros_manuales!$H$44="Todos",'Plan mensual'!O39,0))+parametros_manuales!$E$44*('Plan mensual'!O36+IF(parametros_manuales!$H$44="Todos",'Plan mensual'!O40,0))+parametros_manuales!$F$44*('Plan mensual'!O37+IF(parametros_manuales!$H$44="Todos",'Plan mensual'!O41,0))+parametros_manuales!$G$44*('Plan mensual'!O38+IF(parametros_manuales!$H$44="Todos",'Plan mensual'!O42,0)))*parametros_manuales!$I$44*parametros_manuales!$J$44</f>
        <v>5962.72</v>
      </c>
      <c r="N111" s="8">
        <f t="shared" si="10"/>
        <v>51010</v>
      </c>
      <c r="O111" s="8">
        <f t="shared" si="11"/>
        <v>5962.72</v>
      </c>
      <c r="P111" s="27">
        <f>O111/(parametros_manuales!$B$7)</f>
        <v>39.75146667</v>
      </c>
      <c r="Q111" s="4" t="str">
        <f t="shared" si="12"/>
        <v>Dic</v>
      </c>
    </row>
    <row r="112" ht="14.2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</row>
    <row r="113" ht="14.25" customHeight="1">
      <c r="A113" s="1" t="s">
        <v>231</v>
      </c>
      <c r="B113" s="1" t="s">
        <v>5</v>
      </c>
      <c r="C113" s="1" t="s">
        <v>6</v>
      </c>
      <c r="D113" s="1" t="s">
        <v>7</v>
      </c>
      <c r="E113" s="1" t="s">
        <v>8</v>
      </c>
      <c r="F113" s="1" t="s">
        <v>9</v>
      </c>
      <c r="G113" s="1" t="s">
        <v>10</v>
      </c>
      <c r="H113" s="1" t="s">
        <v>12</v>
      </c>
      <c r="I113" s="1" t="s">
        <v>13</v>
      </c>
      <c r="J113" s="1" t="s">
        <v>15</v>
      </c>
      <c r="K113" s="1" t="s">
        <v>16</v>
      </c>
      <c r="L113" s="1" t="s">
        <v>17</v>
      </c>
      <c r="M113" s="1" t="s">
        <v>18</v>
      </c>
      <c r="N113" s="1" t="s">
        <v>19</v>
      </c>
      <c r="O113" s="1" t="s">
        <v>20</v>
      </c>
      <c r="P113" s="1" t="s">
        <v>21</v>
      </c>
      <c r="Q113" s="1" t="s">
        <v>22</v>
      </c>
    </row>
    <row r="114" ht="14.25" customHeight="1">
      <c r="A114" s="4" t="str">
        <f>parametros_manuales!$B$19</f>
        <v>Recepción de materia prima</v>
      </c>
      <c r="B114" s="8">
        <f>(parametros_manuales!$D$19*('Plan mensual'!D46+IF(parametros_manuales!$H$19="Todos",'Plan mensual'!D50,0))+parametros_manuales!$E$19*('Plan mensual'!D47+IF(parametros_manuales!$H$19="Todos",'Plan mensual'!D51,0))+parametros_manuales!$F$19*('Plan mensual'!D48+IF(parametros_manuales!$H$19="Todos",'Plan mensual'!D52,0))+parametros_manuales!$G$19*('Plan mensual'!D49+IF(parametros_manuales!$H$19="Todos",'Plan mensual'!D53,0)))*parametros_manuales!$I$19*parametros_manuales!$J$19</f>
        <v>10127.32</v>
      </c>
      <c r="C114" s="8">
        <f>(parametros_manuales!$D$19*('Plan mensual'!E46+IF(parametros_manuales!$H$19="Todos",'Plan mensual'!E50,0))+parametros_manuales!$E$19*('Plan mensual'!E47+IF(parametros_manuales!$H$19="Todos",'Plan mensual'!E51,0))+parametros_manuales!$F$19*('Plan mensual'!E48+IF(parametros_manuales!$H$19="Todos",'Plan mensual'!E52,0))+parametros_manuales!$G$19*('Plan mensual'!E49+IF(parametros_manuales!$H$19="Todos",'Plan mensual'!E53,0)))*parametros_manuales!$I$19*parametros_manuales!$J$19</f>
        <v>7729.16</v>
      </c>
      <c r="D114" s="8">
        <f>(parametros_manuales!$D$19*('Plan mensual'!F46+IF(parametros_manuales!$H$19="Todos",'Plan mensual'!F50,0))+parametros_manuales!$E$19*('Plan mensual'!F47+IF(parametros_manuales!$H$19="Todos",'Plan mensual'!F51,0))+parametros_manuales!$F$19*('Plan mensual'!F48+IF(parametros_manuales!$H$19="Todos",'Plan mensual'!F52,0))+parametros_manuales!$G$19*('Plan mensual'!F49+IF(parametros_manuales!$H$19="Todos",'Plan mensual'!F53,0)))*parametros_manuales!$I$19*parametros_manuales!$J$19</f>
        <v>7241.67</v>
      </c>
      <c r="E114" s="8">
        <f>(parametros_manuales!$D$19*('Plan mensual'!G46+IF(parametros_manuales!$H$19="Todos",'Plan mensual'!G50,0))+parametros_manuales!$E$19*('Plan mensual'!G47+IF(parametros_manuales!$H$19="Todos",'Plan mensual'!G51,0))+parametros_manuales!$F$19*('Plan mensual'!G48+IF(parametros_manuales!$H$19="Todos",'Plan mensual'!G52,0))+parametros_manuales!$G$19*('Plan mensual'!G49+IF(parametros_manuales!$H$19="Todos",'Plan mensual'!G53,0)))*parametros_manuales!$I$19*parametros_manuales!$J$19</f>
        <v>6931.09</v>
      </c>
      <c r="F114" s="8">
        <f>(parametros_manuales!$D$19*('Plan mensual'!H46+IF(parametros_manuales!$H$19="Todos",'Plan mensual'!H50,0))+parametros_manuales!$E$19*('Plan mensual'!H47+IF(parametros_manuales!$H$19="Todos",'Plan mensual'!H51,0))+parametros_manuales!$F$19*('Plan mensual'!H48+IF(parametros_manuales!$H$19="Todos",'Plan mensual'!H52,0))+parametros_manuales!$G$19*('Plan mensual'!H49+IF(parametros_manuales!$H$19="Todos",'Plan mensual'!H53,0)))*parametros_manuales!$I$19*parametros_manuales!$J$19</f>
        <v>6486.84</v>
      </c>
      <c r="G114" s="8">
        <f>(parametros_manuales!$D$19*('Plan mensual'!I46+IF(parametros_manuales!$H$19="Todos",'Plan mensual'!I50,0))+parametros_manuales!$E$19*('Plan mensual'!I47+IF(parametros_manuales!$H$19="Todos",'Plan mensual'!I51,0))+parametros_manuales!$F$19*('Plan mensual'!I48+IF(parametros_manuales!$H$19="Todos",'Plan mensual'!I52,0))+parametros_manuales!$G$19*('Plan mensual'!I49+IF(parametros_manuales!$H$19="Todos",'Plan mensual'!I53,0)))*parametros_manuales!$I$19*parametros_manuales!$J$19</f>
        <v>6353.17</v>
      </c>
      <c r="H114" s="8">
        <f>(parametros_manuales!$D$19*('Plan mensual'!J46+IF(parametros_manuales!$H$19="Todos",'Plan mensual'!J50,0))+parametros_manuales!$E$19*('Plan mensual'!J47+IF(parametros_manuales!$H$19="Todos",'Plan mensual'!J51,0))+parametros_manuales!$F$19*('Plan mensual'!J48+IF(parametros_manuales!$H$19="Todos",'Plan mensual'!J52,0))+parametros_manuales!$G$19*('Plan mensual'!J49+IF(parametros_manuales!$H$19="Todos",'Plan mensual'!J53,0)))*parametros_manuales!$I$19*parametros_manuales!$J$19</f>
        <v>6797.42</v>
      </c>
      <c r="I114" s="8">
        <f>(parametros_manuales!$D$19*('Plan mensual'!K46+IF(parametros_manuales!$H$19="Todos",'Plan mensual'!K50,0))+parametros_manuales!$E$19*('Plan mensual'!K47+IF(parametros_manuales!$H$19="Todos",'Plan mensual'!K51,0))+parametros_manuales!$F$19*('Plan mensual'!K48+IF(parametros_manuales!$H$19="Todos",'Plan mensual'!K52,0))+parametros_manuales!$G$19*('Plan mensual'!K49+IF(parametros_manuales!$H$19="Todos",'Plan mensual'!K53,0)))*parametros_manuales!$I$19*parametros_manuales!$J$19</f>
        <v>6797.42</v>
      </c>
      <c r="J114" s="8">
        <f>(parametros_manuales!$D$19*('Plan mensual'!L46+IF(parametros_manuales!$H$19="Todos",'Plan mensual'!L50,0))+parametros_manuales!$E$19*('Plan mensual'!L47+IF(parametros_manuales!$H$19="Todos",'Plan mensual'!L51,0))+parametros_manuales!$F$19*('Plan mensual'!L48+IF(parametros_manuales!$H$19="Todos",'Plan mensual'!L52,0))+parametros_manuales!$G$19*('Plan mensual'!L49+IF(parametros_manuales!$H$19="Todos",'Plan mensual'!L53,0)))*parametros_manuales!$I$19*parametros_manuales!$J$19</f>
        <v>6797.42</v>
      </c>
      <c r="K114" s="8">
        <f>(parametros_manuales!$D$19*('Plan mensual'!M46+IF(parametros_manuales!$H$19="Todos",'Plan mensual'!M50,0))+parametros_manuales!$E$19*('Plan mensual'!M47+IF(parametros_manuales!$H$19="Todos",'Plan mensual'!M51,0))+parametros_manuales!$F$19*('Plan mensual'!M48+IF(parametros_manuales!$H$19="Todos",'Plan mensual'!M52,0))+parametros_manuales!$G$19*('Plan mensual'!M49+IF(parametros_manuales!$H$19="Todos",'Plan mensual'!M53,0)))*parametros_manuales!$I$19*parametros_manuales!$J$19</f>
        <v>6663.75</v>
      </c>
      <c r="L114" s="8">
        <f>(parametros_manuales!$D$19*('Plan mensual'!N46+IF(parametros_manuales!$H$19="Todos",'Plan mensual'!N50,0))+parametros_manuales!$E$19*('Plan mensual'!N47+IF(parametros_manuales!$H$19="Todos",'Plan mensual'!N51,0))+parametros_manuales!$F$19*('Plan mensual'!N48+IF(parametros_manuales!$H$19="Todos",'Plan mensual'!N52,0))+parametros_manuales!$G$19*('Plan mensual'!N49+IF(parametros_manuales!$H$19="Todos",'Plan mensual'!N53,0)))*parametros_manuales!$I$19*parametros_manuales!$J$19</f>
        <v>6530.08</v>
      </c>
      <c r="M114" s="8">
        <f>(parametros_manuales!$D$19*('Plan mensual'!O46+IF(parametros_manuales!$H$19="Todos",'Plan mensual'!O50,0))+parametros_manuales!$E$19*('Plan mensual'!O47+IF(parametros_manuales!$H$19="Todos",'Plan mensual'!O51,0))+parametros_manuales!$F$19*('Plan mensual'!O48+IF(parametros_manuales!$H$19="Todos",'Plan mensual'!O52,0))+parametros_manuales!$G$19*('Plan mensual'!O49+IF(parametros_manuales!$H$19="Todos",'Plan mensual'!O53,0)))*parametros_manuales!$I$19*parametros_manuales!$J$19</f>
        <v>10394.66</v>
      </c>
      <c r="N114" s="8">
        <f t="shared" ref="N114:N139" si="13">SUM(B114:M114)</f>
        <v>88850</v>
      </c>
      <c r="O114" s="8">
        <f t="shared" ref="O114:O139" si="14">MAX(B114:M114)</f>
        <v>10394.66</v>
      </c>
      <c r="P114" s="27">
        <f>O114/(parametros_manuales!$B$7)</f>
        <v>69.29773333</v>
      </c>
      <c r="Q114" s="4" t="str">
        <f t="shared" ref="Q114:Q139" si="15">IF(O114=0,"-",INDEX($B$113:$M$113,MATCH(O114,B114:M114,0)))</f>
        <v>Dic</v>
      </c>
    </row>
    <row r="115" ht="14.25" customHeight="1">
      <c r="A115" s="4" t="str">
        <f>parametros_manuales!$B$20</f>
        <v>Corte de chapa — 1.er corte en franjas (guillotina 1)</v>
      </c>
      <c r="B115" s="8">
        <f>(parametros_manuales!$D$20*('Plan mensual'!D46+IF(parametros_manuales!$H$20="Todos",'Plan mensual'!D50,0))+parametros_manuales!$E$20*('Plan mensual'!D47+IF(parametros_manuales!$H$20="Todos",'Plan mensual'!D51,0))+parametros_manuales!$F$20*('Plan mensual'!D48+IF(parametros_manuales!$H$20="Todos",'Plan mensual'!D52,0))+parametros_manuales!$G$20*('Plan mensual'!D49+IF(parametros_manuales!$H$20="Todos",'Plan mensual'!D53,0)))*parametros_manuales!$I$20*parametros_manuales!$J$20</f>
        <v>10127.32</v>
      </c>
      <c r="C115" s="8">
        <f>(parametros_manuales!$D$20*('Plan mensual'!E46+IF(parametros_manuales!$H$20="Todos",'Plan mensual'!E50,0))+parametros_manuales!$E$20*('Plan mensual'!E47+IF(parametros_manuales!$H$20="Todos",'Plan mensual'!E51,0))+parametros_manuales!$F$20*('Plan mensual'!E48+IF(parametros_manuales!$H$20="Todos",'Plan mensual'!E52,0))+parametros_manuales!$G$20*('Plan mensual'!E49+IF(parametros_manuales!$H$20="Todos",'Plan mensual'!E53,0)))*parametros_manuales!$I$20*parametros_manuales!$J$20</f>
        <v>7729.16</v>
      </c>
      <c r="D115" s="8">
        <f>(parametros_manuales!$D$20*('Plan mensual'!F46+IF(parametros_manuales!$H$20="Todos",'Plan mensual'!F50,0))+parametros_manuales!$E$20*('Plan mensual'!F47+IF(parametros_manuales!$H$20="Todos",'Plan mensual'!F51,0))+parametros_manuales!$F$20*('Plan mensual'!F48+IF(parametros_manuales!$H$20="Todos",'Plan mensual'!F52,0))+parametros_manuales!$G$20*('Plan mensual'!F49+IF(parametros_manuales!$H$20="Todos",'Plan mensual'!F53,0)))*parametros_manuales!$I$20*parametros_manuales!$J$20</f>
        <v>7241.67</v>
      </c>
      <c r="E115" s="8">
        <f>(parametros_manuales!$D$20*('Plan mensual'!G46+IF(parametros_manuales!$H$20="Todos",'Plan mensual'!G50,0))+parametros_manuales!$E$20*('Plan mensual'!G47+IF(parametros_manuales!$H$20="Todos",'Plan mensual'!G51,0))+parametros_manuales!$F$20*('Plan mensual'!G48+IF(parametros_manuales!$H$20="Todos",'Plan mensual'!G52,0))+parametros_manuales!$G$20*('Plan mensual'!G49+IF(parametros_manuales!$H$20="Todos",'Plan mensual'!G53,0)))*parametros_manuales!$I$20*parametros_manuales!$J$20</f>
        <v>6931.09</v>
      </c>
      <c r="F115" s="8">
        <f>(parametros_manuales!$D$20*('Plan mensual'!H46+IF(parametros_manuales!$H$20="Todos",'Plan mensual'!H50,0))+parametros_manuales!$E$20*('Plan mensual'!H47+IF(parametros_manuales!$H$20="Todos",'Plan mensual'!H51,0))+parametros_manuales!$F$20*('Plan mensual'!H48+IF(parametros_manuales!$H$20="Todos",'Plan mensual'!H52,0))+parametros_manuales!$G$20*('Plan mensual'!H49+IF(parametros_manuales!$H$20="Todos",'Plan mensual'!H53,0)))*parametros_manuales!$I$20*parametros_manuales!$J$20</f>
        <v>6486.84</v>
      </c>
      <c r="G115" s="8">
        <f>(parametros_manuales!$D$20*('Plan mensual'!I46+IF(parametros_manuales!$H$20="Todos",'Plan mensual'!I50,0))+parametros_manuales!$E$20*('Plan mensual'!I47+IF(parametros_manuales!$H$20="Todos",'Plan mensual'!I51,0))+parametros_manuales!$F$20*('Plan mensual'!I48+IF(parametros_manuales!$H$20="Todos",'Plan mensual'!I52,0))+parametros_manuales!$G$20*('Plan mensual'!I49+IF(parametros_manuales!$H$20="Todos",'Plan mensual'!I53,0)))*parametros_manuales!$I$20*parametros_manuales!$J$20</f>
        <v>6353.17</v>
      </c>
      <c r="H115" s="8">
        <f>(parametros_manuales!$D$20*('Plan mensual'!J46+IF(parametros_manuales!$H$20="Todos",'Plan mensual'!J50,0))+parametros_manuales!$E$20*('Plan mensual'!J47+IF(parametros_manuales!$H$20="Todos",'Plan mensual'!J51,0))+parametros_manuales!$F$20*('Plan mensual'!J48+IF(parametros_manuales!$H$20="Todos",'Plan mensual'!J52,0))+parametros_manuales!$G$20*('Plan mensual'!J49+IF(parametros_manuales!$H$20="Todos",'Plan mensual'!J53,0)))*parametros_manuales!$I$20*parametros_manuales!$J$20</f>
        <v>6797.42</v>
      </c>
      <c r="I115" s="8">
        <f>(parametros_manuales!$D$20*('Plan mensual'!K46+IF(parametros_manuales!$H$20="Todos",'Plan mensual'!K50,0))+parametros_manuales!$E$20*('Plan mensual'!K47+IF(parametros_manuales!$H$20="Todos",'Plan mensual'!K51,0))+parametros_manuales!$F$20*('Plan mensual'!K48+IF(parametros_manuales!$H$20="Todos",'Plan mensual'!K52,0))+parametros_manuales!$G$20*('Plan mensual'!K49+IF(parametros_manuales!$H$20="Todos",'Plan mensual'!K53,0)))*parametros_manuales!$I$20*parametros_manuales!$J$20</f>
        <v>6797.42</v>
      </c>
      <c r="J115" s="8">
        <f>(parametros_manuales!$D$20*('Plan mensual'!L46+IF(parametros_manuales!$H$20="Todos",'Plan mensual'!L50,0))+parametros_manuales!$E$20*('Plan mensual'!L47+IF(parametros_manuales!$H$20="Todos",'Plan mensual'!L51,0))+parametros_manuales!$F$20*('Plan mensual'!L48+IF(parametros_manuales!$H$20="Todos",'Plan mensual'!L52,0))+parametros_manuales!$G$20*('Plan mensual'!L49+IF(parametros_manuales!$H$20="Todos",'Plan mensual'!L53,0)))*parametros_manuales!$I$20*parametros_manuales!$J$20</f>
        <v>6797.42</v>
      </c>
      <c r="K115" s="8">
        <f>(parametros_manuales!$D$20*('Plan mensual'!M46+IF(parametros_manuales!$H$20="Todos",'Plan mensual'!M50,0))+parametros_manuales!$E$20*('Plan mensual'!M47+IF(parametros_manuales!$H$20="Todos",'Plan mensual'!M51,0))+parametros_manuales!$F$20*('Plan mensual'!M48+IF(parametros_manuales!$H$20="Todos",'Plan mensual'!M52,0))+parametros_manuales!$G$20*('Plan mensual'!M49+IF(parametros_manuales!$H$20="Todos",'Plan mensual'!M53,0)))*parametros_manuales!$I$20*parametros_manuales!$J$20</f>
        <v>6663.75</v>
      </c>
      <c r="L115" s="8">
        <f>(parametros_manuales!$D$20*('Plan mensual'!N46+IF(parametros_manuales!$H$20="Todos",'Plan mensual'!N50,0))+parametros_manuales!$E$20*('Plan mensual'!N47+IF(parametros_manuales!$H$20="Todos",'Plan mensual'!N51,0))+parametros_manuales!$F$20*('Plan mensual'!N48+IF(parametros_manuales!$H$20="Todos",'Plan mensual'!N52,0))+parametros_manuales!$G$20*('Plan mensual'!N49+IF(parametros_manuales!$H$20="Todos",'Plan mensual'!N53,0)))*parametros_manuales!$I$20*parametros_manuales!$J$20</f>
        <v>6530.08</v>
      </c>
      <c r="M115" s="8">
        <f>(parametros_manuales!$D$20*('Plan mensual'!O46+IF(parametros_manuales!$H$20="Todos",'Plan mensual'!O50,0))+parametros_manuales!$E$20*('Plan mensual'!O47+IF(parametros_manuales!$H$20="Todos",'Plan mensual'!O51,0))+parametros_manuales!$F$20*('Plan mensual'!O48+IF(parametros_manuales!$H$20="Todos",'Plan mensual'!O52,0))+parametros_manuales!$G$20*('Plan mensual'!O49+IF(parametros_manuales!$H$20="Todos",'Plan mensual'!O53,0)))*parametros_manuales!$I$20*parametros_manuales!$J$20</f>
        <v>10394.66</v>
      </c>
      <c r="N115" s="8">
        <f t="shared" si="13"/>
        <v>88850</v>
      </c>
      <c r="O115" s="8">
        <f t="shared" si="14"/>
        <v>10394.66</v>
      </c>
      <c r="P115" s="27">
        <f>O115/(parametros_manuales!$B$7)</f>
        <v>69.29773333</v>
      </c>
      <c r="Q115" s="4" t="str">
        <f t="shared" si="15"/>
        <v>Dic</v>
      </c>
    </row>
    <row r="116" ht="14.25" customHeight="1">
      <c r="A116" s="4" t="str">
        <f>parametros_manuales!$B$21</f>
        <v>Corte de chapa — 2.º corte en piezas (guillotina 2)</v>
      </c>
      <c r="B116" s="8">
        <f>(parametros_manuales!$D$21*('Plan mensual'!D46+IF(parametros_manuales!$H$21="Todos",'Plan mensual'!D50,0))+parametros_manuales!$E$21*('Plan mensual'!D47+IF(parametros_manuales!$H$21="Todos",'Plan mensual'!D51,0))+parametros_manuales!$F$21*('Plan mensual'!D48+IF(parametros_manuales!$H$21="Todos",'Plan mensual'!D52,0))+parametros_manuales!$G$21*('Plan mensual'!D49+IF(parametros_manuales!$H$21="Todos",'Plan mensual'!D53,0)))*parametros_manuales!$I$21*parametros_manuales!$J$21</f>
        <v>10127.32</v>
      </c>
      <c r="C116" s="8">
        <f>(parametros_manuales!$D$21*('Plan mensual'!E46+IF(parametros_manuales!$H$21="Todos",'Plan mensual'!E50,0))+parametros_manuales!$E$21*('Plan mensual'!E47+IF(parametros_manuales!$H$21="Todos",'Plan mensual'!E51,0))+parametros_manuales!$F$21*('Plan mensual'!E48+IF(parametros_manuales!$H$21="Todos",'Plan mensual'!E52,0))+parametros_manuales!$G$21*('Plan mensual'!E49+IF(parametros_manuales!$H$21="Todos",'Plan mensual'!E53,0)))*parametros_manuales!$I$21*parametros_manuales!$J$21</f>
        <v>7729.16</v>
      </c>
      <c r="D116" s="8">
        <f>(parametros_manuales!$D$21*('Plan mensual'!F46+IF(parametros_manuales!$H$21="Todos",'Plan mensual'!F50,0))+parametros_manuales!$E$21*('Plan mensual'!F47+IF(parametros_manuales!$H$21="Todos",'Plan mensual'!F51,0))+parametros_manuales!$F$21*('Plan mensual'!F48+IF(parametros_manuales!$H$21="Todos",'Plan mensual'!F52,0))+parametros_manuales!$G$21*('Plan mensual'!F49+IF(parametros_manuales!$H$21="Todos",'Plan mensual'!F53,0)))*parametros_manuales!$I$21*parametros_manuales!$J$21</f>
        <v>7241.67</v>
      </c>
      <c r="E116" s="8">
        <f>(parametros_manuales!$D$21*('Plan mensual'!G46+IF(parametros_manuales!$H$21="Todos",'Plan mensual'!G50,0))+parametros_manuales!$E$21*('Plan mensual'!G47+IF(parametros_manuales!$H$21="Todos",'Plan mensual'!G51,0))+parametros_manuales!$F$21*('Plan mensual'!G48+IF(parametros_manuales!$H$21="Todos",'Plan mensual'!G52,0))+parametros_manuales!$G$21*('Plan mensual'!G49+IF(parametros_manuales!$H$21="Todos",'Plan mensual'!G53,0)))*parametros_manuales!$I$21*parametros_manuales!$J$21</f>
        <v>6931.09</v>
      </c>
      <c r="F116" s="8">
        <f>(parametros_manuales!$D$21*('Plan mensual'!H46+IF(parametros_manuales!$H$21="Todos",'Plan mensual'!H50,0))+parametros_manuales!$E$21*('Plan mensual'!H47+IF(parametros_manuales!$H$21="Todos",'Plan mensual'!H51,0))+parametros_manuales!$F$21*('Plan mensual'!H48+IF(parametros_manuales!$H$21="Todos",'Plan mensual'!H52,0))+parametros_manuales!$G$21*('Plan mensual'!H49+IF(parametros_manuales!$H$21="Todos",'Plan mensual'!H53,0)))*parametros_manuales!$I$21*parametros_manuales!$J$21</f>
        <v>6486.84</v>
      </c>
      <c r="G116" s="8">
        <f>(parametros_manuales!$D$21*('Plan mensual'!I46+IF(parametros_manuales!$H$21="Todos",'Plan mensual'!I50,0))+parametros_manuales!$E$21*('Plan mensual'!I47+IF(parametros_manuales!$H$21="Todos",'Plan mensual'!I51,0))+parametros_manuales!$F$21*('Plan mensual'!I48+IF(parametros_manuales!$H$21="Todos",'Plan mensual'!I52,0))+parametros_manuales!$G$21*('Plan mensual'!I49+IF(parametros_manuales!$H$21="Todos",'Plan mensual'!I53,0)))*parametros_manuales!$I$21*parametros_manuales!$J$21</f>
        <v>6353.17</v>
      </c>
      <c r="H116" s="8">
        <f>(parametros_manuales!$D$21*('Plan mensual'!J46+IF(parametros_manuales!$H$21="Todos",'Plan mensual'!J50,0))+parametros_manuales!$E$21*('Plan mensual'!J47+IF(parametros_manuales!$H$21="Todos",'Plan mensual'!J51,0))+parametros_manuales!$F$21*('Plan mensual'!J48+IF(parametros_manuales!$H$21="Todos",'Plan mensual'!J52,0))+parametros_manuales!$G$21*('Plan mensual'!J49+IF(parametros_manuales!$H$21="Todos",'Plan mensual'!J53,0)))*parametros_manuales!$I$21*parametros_manuales!$J$21</f>
        <v>6797.42</v>
      </c>
      <c r="I116" s="8">
        <f>(parametros_manuales!$D$21*('Plan mensual'!K46+IF(parametros_manuales!$H$21="Todos",'Plan mensual'!K50,0))+parametros_manuales!$E$21*('Plan mensual'!K47+IF(parametros_manuales!$H$21="Todos",'Plan mensual'!K51,0))+parametros_manuales!$F$21*('Plan mensual'!K48+IF(parametros_manuales!$H$21="Todos",'Plan mensual'!K52,0))+parametros_manuales!$G$21*('Plan mensual'!K49+IF(parametros_manuales!$H$21="Todos",'Plan mensual'!K53,0)))*parametros_manuales!$I$21*parametros_manuales!$J$21</f>
        <v>6797.42</v>
      </c>
      <c r="J116" s="8">
        <f>(parametros_manuales!$D$21*('Plan mensual'!L46+IF(parametros_manuales!$H$21="Todos",'Plan mensual'!L50,0))+parametros_manuales!$E$21*('Plan mensual'!L47+IF(parametros_manuales!$H$21="Todos",'Plan mensual'!L51,0))+parametros_manuales!$F$21*('Plan mensual'!L48+IF(parametros_manuales!$H$21="Todos",'Plan mensual'!L52,0))+parametros_manuales!$G$21*('Plan mensual'!L49+IF(parametros_manuales!$H$21="Todos",'Plan mensual'!L53,0)))*parametros_manuales!$I$21*parametros_manuales!$J$21</f>
        <v>6797.42</v>
      </c>
      <c r="K116" s="8">
        <f>(parametros_manuales!$D$21*('Plan mensual'!M46+IF(parametros_manuales!$H$21="Todos",'Plan mensual'!M50,0))+parametros_manuales!$E$21*('Plan mensual'!M47+IF(parametros_manuales!$H$21="Todos",'Plan mensual'!M51,0))+parametros_manuales!$F$21*('Plan mensual'!M48+IF(parametros_manuales!$H$21="Todos",'Plan mensual'!M52,0))+parametros_manuales!$G$21*('Plan mensual'!M49+IF(parametros_manuales!$H$21="Todos",'Plan mensual'!M53,0)))*parametros_manuales!$I$21*parametros_manuales!$J$21</f>
        <v>6663.75</v>
      </c>
      <c r="L116" s="8">
        <f>(parametros_manuales!$D$21*('Plan mensual'!N46+IF(parametros_manuales!$H$21="Todos",'Plan mensual'!N50,0))+parametros_manuales!$E$21*('Plan mensual'!N47+IF(parametros_manuales!$H$21="Todos",'Plan mensual'!N51,0))+parametros_manuales!$F$21*('Plan mensual'!N48+IF(parametros_manuales!$H$21="Todos",'Plan mensual'!N52,0))+parametros_manuales!$G$21*('Plan mensual'!N49+IF(parametros_manuales!$H$21="Todos",'Plan mensual'!N53,0)))*parametros_manuales!$I$21*parametros_manuales!$J$21</f>
        <v>6530.08</v>
      </c>
      <c r="M116" s="8">
        <f>(parametros_manuales!$D$21*('Plan mensual'!O46+IF(parametros_manuales!$H$21="Todos",'Plan mensual'!O50,0))+parametros_manuales!$E$21*('Plan mensual'!O47+IF(parametros_manuales!$H$21="Todos",'Plan mensual'!O51,0))+parametros_manuales!$F$21*('Plan mensual'!O48+IF(parametros_manuales!$H$21="Todos",'Plan mensual'!O52,0))+parametros_manuales!$G$21*('Plan mensual'!O49+IF(parametros_manuales!$H$21="Todos",'Plan mensual'!O53,0)))*parametros_manuales!$I$21*parametros_manuales!$J$21</f>
        <v>10394.66</v>
      </c>
      <c r="N116" s="8">
        <f t="shared" si="13"/>
        <v>88850</v>
      </c>
      <c r="O116" s="8">
        <f t="shared" si="14"/>
        <v>10394.66</v>
      </c>
      <c r="P116" s="27">
        <f>O116/(parametros_manuales!$B$7)</f>
        <v>69.29773333</v>
      </c>
      <c r="Q116" s="4" t="str">
        <f t="shared" si="15"/>
        <v>Dic</v>
      </c>
    </row>
    <row r="117" ht="14.25" customHeight="1">
      <c r="A117" s="4" t="str">
        <f>parametros_manuales!$B$22</f>
        <v>Corte de disco y embutido (cúpula y fondo)</v>
      </c>
      <c r="B117" s="8">
        <f>(parametros_manuales!$D$22*('Plan mensual'!D46+IF(parametros_manuales!$H$22="Todos",'Plan mensual'!D50,0))+parametros_manuales!$E$22*('Plan mensual'!D47+IF(parametros_manuales!$H$22="Todos",'Plan mensual'!D51,0))+parametros_manuales!$F$22*('Plan mensual'!D48+IF(parametros_manuales!$H$22="Todos",'Plan mensual'!D52,0))+parametros_manuales!$G$22*('Plan mensual'!D49+IF(parametros_manuales!$H$22="Todos",'Plan mensual'!D53,0)))*parametros_manuales!$I$22*parametros_manuales!$J$22</f>
        <v>20254.64</v>
      </c>
      <c r="C117" s="8">
        <f>(parametros_manuales!$D$22*('Plan mensual'!E46+IF(parametros_manuales!$H$22="Todos",'Plan mensual'!E50,0))+parametros_manuales!$E$22*('Plan mensual'!E47+IF(parametros_manuales!$H$22="Todos",'Plan mensual'!E51,0))+parametros_manuales!$F$22*('Plan mensual'!E48+IF(parametros_manuales!$H$22="Todos",'Plan mensual'!E52,0))+parametros_manuales!$G$22*('Plan mensual'!E49+IF(parametros_manuales!$H$22="Todos",'Plan mensual'!E53,0)))*parametros_manuales!$I$22*parametros_manuales!$J$22</f>
        <v>15458.32</v>
      </c>
      <c r="D117" s="8">
        <f>(parametros_manuales!$D$22*('Plan mensual'!F46+IF(parametros_manuales!$H$22="Todos",'Plan mensual'!F50,0))+parametros_manuales!$E$22*('Plan mensual'!F47+IF(parametros_manuales!$H$22="Todos",'Plan mensual'!F51,0))+parametros_manuales!$F$22*('Plan mensual'!F48+IF(parametros_manuales!$H$22="Todos",'Plan mensual'!F52,0))+parametros_manuales!$G$22*('Plan mensual'!F49+IF(parametros_manuales!$H$22="Todos",'Plan mensual'!F53,0)))*parametros_manuales!$I$22*parametros_manuales!$J$22</f>
        <v>14483.34</v>
      </c>
      <c r="E117" s="8">
        <f>(parametros_manuales!$D$22*('Plan mensual'!G46+IF(parametros_manuales!$H$22="Todos",'Plan mensual'!G50,0))+parametros_manuales!$E$22*('Plan mensual'!G47+IF(parametros_manuales!$H$22="Todos",'Plan mensual'!G51,0))+parametros_manuales!$F$22*('Plan mensual'!G48+IF(parametros_manuales!$H$22="Todos",'Plan mensual'!G52,0))+parametros_manuales!$G$22*('Plan mensual'!G49+IF(parametros_manuales!$H$22="Todos",'Plan mensual'!G53,0)))*parametros_manuales!$I$22*parametros_manuales!$J$22</f>
        <v>13862.18</v>
      </c>
      <c r="F117" s="8">
        <f>(parametros_manuales!$D$22*('Plan mensual'!H46+IF(parametros_manuales!$H$22="Todos",'Plan mensual'!H50,0))+parametros_manuales!$E$22*('Plan mensual'!H47+IF(parametros_manuales!$H$22="Todos",'Plan mensual'!H51,0))+parametros_manuales!$F$22*('Plan mensual'!H48+IF(parametros_manuales!$H$22="Todos",'Plan mensual'!H52,0))+parametros_manuales!$G$22*('Plan mensual'!H49+IF(parametros_manuales!$H$22="Todos",'Plan mensual'!H53,0)))*parametros_manuales!$I$22*parametros_manuales!$J$22</f>
        <v>12973.68</v>
      </c>
      <c r="G117" s="8">
        <f>(parametros_manuales!$D$22*('Plan mensual'!I46+IF(parametros_manuales!$H$22="Todos",'Plan mensual'!I50,0))+parametros_manuales!$E$22*('Plan mensual'!I47+IF(parametros_manuales!$H$22="Todos",'Plan mensual'!I51,0))+parametros_manuales!$F$22*('Plan mensual'!I48+IF(parametros_manuales!$H$22="Todos",'Plan mensual'!I52,0))+parametros_manuales!$G$22*('Plan mensual'!I49+IF(parametros_manuales!$H$22="Todos",'Plan mensual'!I53,0)))*parametros_manuales!$I$22*parametros_manuales!$J$22</f>
        <v>12706.34</v>
      </c>
      <c r="H117" s="8">
        <f>(parametros_manuales!$D$22*('Plan mensual'!J46+IF(parametros_manuales!$H$22="Todos",'Plan mensual'!J50,0))+parametros_manuales!$E$22*('Plan mensual'!J47+IF(parametros_manuales!$H$22="Todos",'Plan mensual'!J51,0))+parametros_manuales!$F$22*('Plan mensual'!J48+IF(parametros_manuales!$H$22="Todos",'Plan mensual'!J52,0))+parametros_manuales!$G$22*('Plan mensual'!J49+IF(parametros_manuales!$H$22="Todos",'Plan mensual'!J53,0)))*parametros_manuales!$I$22*parametros_manuales!$J$22</f>
        <v>13594.84</v>
      </c>
      <c r="I117" s="8">
        <f>(parametros_manuales!$D$22*('Plan mensual'!K46+IF(parametros_manuales!$H$22="Todos",'Plan mensual'!K50,0))+parametros_manuales!$E$22*('Plan mensual'!K47+IF(parametros_manuales!$H$22="Todos",'Plan mensual'!K51,0))+parametros_manuales!$F$22*('Plan mensual'!K48+IF(parametros_manuales!$H$22="Todos",'Plan mensual'!K52,0))+parametros_manuales!$G$22*('Plan mensual'!K49+IF(parametros_manuales!$H$22="Todos",'Plan mensual'!K53,0)))*parametros_manuales!$I$22*parametros_manuales!$J$22</f>
        <v>13594.84</v>
      </c>
      <c r="J117" s="8">
        <f>(parametros_manuales!$D$22*('Plan mensual'!L46+IF(parametros_manuales!$H$22="Todos",'Plan mensual'!L50,0))+parametros_manuales!$E$22*('Plan mensual'!L47+IF(parametros_manuales!$H$22="Todos",'Plan mensual'!L51,0))+parametros_manuales!$F$22*('Plan mensual'!L48+IF(parametros_manuales!$H$22="Todos",'Plan mensual'!L52,0))+parametros_manuales!$G$22*('Plan mensual'!L49+IF(parametros_manuales!$H$22="Todos",'Plan mensual'!L53,0)))*parametros_manuales!$I$22*parametros_manuales!$J$22</f>
        <v>13594.84</v>
      </c>
      <c r="K117" s="8">
        <f>(parametros_manuales!$D$22*('Plan mensual'!M46+IF(parametros_manuales!$H$22="Todos",'Plan mensual'!M50,0))+parametros_manuales!$E$22*('Plan mensual'!M47+IF(parametros_manuales!$H$22="Todos",'Plan mensual'!M51,0))+parametros_manuales!$F$22*('Plan mensual'!M48+IF(parametros_manuales!$H$22="Todos",'Plan mensual'!M52,0))+parametros_manuales!$G$22*('Plan mensual'!M49+IF(parametros_manuales!$H$22="Todos",'Plan mensual'!M53,0)))*parametros_manuales!$I$22*parametros_manuales!$J$22</f>
        <v>13327.5</v>
      </c>
      <c r="L117" s="8">
        <f>(parametros_manuales!$D$22*('Plan mensual'!N46+IF(parametros_manuales!$H$22="Todos",'Plan mensual'!N50,0))+parametros_manuales!$E$22*('Plan mensual'!N47+IF(parametros_manuales!$H$22="Todos",'Plan mensual'!N51,0))+parametros_manuales!$F$22*('Plan mensual'!N48+IF(parametros_manuales!$H$22="Todos",'Plan mensual'!N52,0))+parametros_manuales!$G$22*('Plan mensual'!N49+IF(parametros_manuales!$H$22="Todos",'Plan mensual'!N53,0)))*parametros_manuales!$I$22*parametros_manuales!$J$22</f>
        <v>13060.16</v>
      </c>
      <c r="M117" s="8">
        <f>(parametros_manuales!$D$22*('Plan mensual'!O46+IF(parametros_manuales!$H$22="Todos",'Plan mensual'!O50,0))+parametros_manuales!$E$22*('Plan mensual'!O47+IF(parametros_manuales!$H$22="Todos",'Plan mensual'!O51,0))+parametros_manuales!$F$22*('Plan mensual'!O48+IF(parametros_manuales!$H$22="Todos",'Plan mensual'!O52,0))+parametros_manuales!$G$22*('Plan mensual'!O49+IF(parametros_manuales!$H$22="Todos",'Plan mensual'!O53,0)))*parametros_manuales!$I$22*parametros_manuales!$J$22</f>
        <v>20789.32</v>
      </c>
      <c r="N117" s="8">
        <f t="shared" si="13"/>
        <v>177700</v>
      </c>
      <c r="O117" s="8">
        <f t="shared" si="14"/>
        <v>20789.32</v>
      </c>
      <c r="P117" s="27">
        <f>O117/(parametros_manuales!$B$7)</f>
        <v>138.5954667</v>
      </c>
      <c r="Q117" s="4" t="str">
        <f t="shared" si="15"/>
        <v>Dic</v>
      </c>
    </row>
    <row r="118" ht="14.25" customHeight="1">
      <c r="A118" s="4" t="str">
        <f>parametros_manuales!$B$23</f>
        <v>Preparación de cuello</v>
      </c>
      <c r="B118" s="8">
        <f>(parametros_manuales!$D$23*('Plan mensual'!D46+IF(parametros_manuales!$H$23="Todos",'Plan mensual'!D50,0))+parametros_manuales!$E$23*('Plan mensual'!D47+IF(parametros_manuales!$H$23="Todos",'Plan mensual'!D51,0))+parametros_manuales!$F$23*('Plan mensual'!D48+IF(parametros_manuales!$H$23="Todos",'Plan mensual'!D52,0))+parametros_manuales!$G$23*('Plan mensual'!D49+IF(parametros_manuales!$H$23="Todos",'Plan mensual'!D53,0)))*parametros_manuales!$I$23*parametros_manuales!$J$23</f>
        <v>10127.32</v>
      </c>
      <c r="C118" s="8">
        <f>(parametros_manuales!$D$23*('Plan mensual'!E46+IF(parametros_manuales!$H$23="Todos",'Plan mensual'!E50,0))+parametros_manuales!$E$23*('Plan mensual'!E47+IF(parametros_manuales!$H$23="Todos",'Plan mensual'!E51,0))+parametros_manuales!$F$23*('Plan mensual'!E48+IF(parametros_manuales!$H$23="Todos",'Plan mensual'!E52,0))+parametros_manuales!$G$23*('Plan mensual'!E49+IF(parametros_manuales!$H$23="Todos",'Plan mensual'!E53,0)))*parametros_manuales!$I$23*parametros_manuales!$J$23</f>
        <v>7729.16</v>
      </c>
      <c r="D118" s="8">
        <f>(parametros_manuales!$D$23*('Plan mensual'!F46+IF(parametros_manuales!$H$23="Todos",'Plan mensual'!F50,0))+parametros_manuales!$E$23*('Plan mensual'!F47+IF(parametros_manuales!$H$23="Todos",'Plan mensual'!F51,0))+parametros_manuales!$F$23*('Plan mensual'!F48+IF(parametros_manuales!$H$23="Todos",'Plan mensual'!F52,0))+parametros_manuales!$G$23*('Plan mensual'!F49+IF(parametros_manuales!$H$23="Todos",'Plan mensual'!F53,0)))*parametros_manuales!$I$23*parametros_manuales!$J$23</f>
        <v>7241.67</v>
      </c>
      <c r="E118" s="8">
        <f>(parametros_manuales!$D$23*('Plan mensual'!G46+IF(parametros_manuales!$H$23="Todos",'Plan mensual'!G50,0))+parametros_manuales!$E$23*('Plan mensual'!G47+IF(parametros_manuales!$H$23="Todos",'Plan mensual'!G51,0))+parametros_manuales!$F$23*('Plan mensual'!G48+IF(parametros_manuales!$H$23="Todos",'Plan mensual'!G52,0))+parametros_manuales!$G$23*('Plan mensual'!G49+IF(parametros_manuales!$H$23="Todos",'Plan mensual'!G53,0)))*parametros_manuales!$I$23*parametros_manuales!$J$23</f>
        <v>6931.09</v>
      </c>
      <c r="F118" s="8">
        <f>(parametros_manuales!$D$23*('Plan mensual'!H46+IF(parametros_manuales!$H$23="Todos",'Plan mensual'!H50,0))+parametros_manuales!$E$23*('Plan mensual'!H47+IF(parametros_manuales!$H$23="Todos",'Plan mensual'!H51,0))+parametros_manuales!$F$23*('Plan mensual'!H48+IF(parametros_manuales!$H$23="Todos",'Plan mensual'!H52,0))+parametros_manuales!$G$23*('Plan mensual'!H49+IF(parametros_manuales!$H$23="Todos",'Plan mensual'!H53,0)))*parametros_manuales!$I$23*parametros_manuales!$J$23</f>
        <v>6486.84</v>
      </c>
      <c r="G118" s="8">
        <f>(parametros_manuales!$D$23*('Plan mensual'!I46+IF(parametros_manuales!$H$23="Todos",'Plan mensual'!I50,0))+parametros_manuales!$E$23*('Plan mensual'!I47+IF(parametros_manuales!$H$23="Todos",'Plan mensual'!I51,0))+parametros_manuales!$F$23*('Plan mensual'!I48+IF(parametros_manuales!$H$23="Todos",'Plan mensual'!I52,0))+parametros_manuales!$G$23*('Plan mensual'!I49+IF(parametros_manuales!$H$23="Todos",'Plan mensual'!I53,0)))*parametros_manuales!$I$23*parametros_manuales!$J$23</f>
        <v>6353.17</v>
      </c>
      <c r="H118" s="8">
        <f>(parametros_manuales!$D$23*('Plan mensual'!J46+IF(parametros_manuales!$H$23="Todos",'Plan mensual'!J50,0))+parametros_manuales!$E$23*('Plan mensual'!J47+IF(parametros_manuales!$H$23="Todos",'Plan mensual'!J51,0))+parametros_manuales!$F$23*('Plan mensual'!J48+IF(parametros_manuales!$H$23="Todos",'Plan mensual'!J52,0))+parametros_manuales!$G$23*('Plan mensual'!J49+IF(parametros_manuales!$H$23="Todos",'Plan mensual'!J53,0)))*parametros_manuales!$I$23*parametros_manuales!$J$23</f>
        <v>6797.42</v>
      </c>
      <c r="I118" s="8">
        <f>(parametros_manuales!$D$23*('Plan mensual'!K46+IF(parametros_manuales!$H$23="Todos",'Plan mensual'!K50,0))+parametros_manuales!$E$23*('Plan mensual'!K47+IF(parametros_manuales!$H$23="Todos",'Plan mensual'!K51,0))+parametros_manuales!$F$23*('Plan mensual'!K48+IF(parametros_manuales!$H$23="Todos",'Plan mensual'!K52,0))+parametros_manuales!$G$23*('Plan mensual'!K49+IF(parametros_manuales!$H$23="Todos",'Plan mensual'!K53,0)))*parametros_manuales!$I$23*parametros_manuales!$J$23</f>
        <v>6797.42</v>
      </c>
      <c r="J118" s="8">
        <f>(parametros_manuales!$D$23*('Plan mensual'!L46+IF(parametros_manuales!$H$23="Todos",'Plan mensual'!L50,0))+parametros_manuales!$E$23*('Plan mensual'!L47+IF(parametros_manuales!$H$23="Todos",'Plan mensual'!L51,0))+parametros_manuales!$F$23*('Plan mensual'!L48+IF(parametros_manuales!$H$23="Todos",'Plan mensual'!L52,0))+parametros_manuales!$G$23*('Plan mensual'!L49+IF(parametros_manuales!$H$23="Todos",'Plan mensual'!L53,0)))*parametros_manuales!$I$23*parametros_manuales!$J$23</f>
        <v>6797.42</v>
      </c>
      <c r="K118" s="8">
        <f>(parametros_manuales!$D$23*('Plan mensual'!M46+IF(parametros_manuales!$H$23="Todos",'Plan mensual'!M50,0))+parametros_manuales!$E$23*('Plan mensual'!M47+IF(parametros_manuales!$H$23="Todos",'Plan mensual'!M51,0))+parametros_manuales!$F$23*('Plan mensual'!M48+IF(parametros_manuales!$H$23="Todos",'Plan mensual'!M52,0))+parametros_manuales!$G$23*('Plan mensual'!M49+IF(parametros_manuales!$H$23="Todos",'Plan mensual'!M53,0)))*parametros_manuales!$I$23*parametros_manuales!$J$23</f>
        <v>6663.75</v>
      </c>
      <c r="L118" s="8">
        <f>(parametros_manuales!$D$23*('Plan mensual'!N46+IF(parametros_manuales!$H$23="Todos",'Plan mensual'!N50,0))+parametros_manuales!$E$23*('Plan mensual'!N47+IF(parametros_manuales!$H$23="Todos",'Plan mensual'!N51,0))+parametros_manuales!$F$23*('Plan mensual'!N48+IF(parametros_manuales!$H$23="Todos",'Plan mensual'!N52,0))+parametros_manuales!$G$23*('Plan mensual'!N49+IF(parametros_manuales!$H$23="Todos",'Plan mensual'!N53,0)))*parametros_manuales!$I$23*parametros_manuales!$J$23</f>
        <v>6530.08</v>
      </c>
      <c r="M118" s="8">
        <f>(parametros_manuales!$D$23*('Plan mensual'!O46+IF(parametros_manuales!$H$23="Todos",'Plan mensual'!O50,0))+parametros_manuales!$E$23*('Plan mensual'!O47+IF(parametros_manuales!$H$23="Todos",'Plan mensual'!O51,0))+parametros_manuales!$F$23*('Plan mensual'!O48+IF(parametros_manuales!$H$23="Todos",'Plan mensual'!O52,0))+parametros_manuales!$G$23*('Plan mensual'!O49+IF(parametros_manuales!$H$23="Todos",'Plan mensual'!O53,0)))*parametros_manuales!$I$23*parametros_manuales!$J$23</f>
        <v>10394.66</v>
      </c>
      <c r="N118" s="8">
        <f t="shared" si="13"/>
        <v>88850</v>
      </c>
      <c r="O118" s="8">
        <f t="shared" si="14"/>
        <v>10394.66</v>
      </c>
      <c r="P118" s="27">
        <f>O118/(parametros_manuales!$B$7)</f>
        <v>69.29773333</v>
      </c>
      <c r="Q118" s="4" t="str">
        <f t="shared" si="15"/>
        <v>Dic</v>
      </c>
    </row>
    <row r="119" ht="14.25" customHeight="1">
      <c r="A119" s="4" t="str">
        <f>parametros_manuales!$B$24</f>
        <v>Numerado de cúpula</v>
      </c>
      <c r="B119" s="8">
        <f>(parametros_manuales!$D$24*('Plan mensual'!D46+IF(parametros_manuales!$H$24="Todos",'Plan mensual'!D50,0))+parametros_manuales!$E$24*('Plan mensual'!D47+IF(parametros_manuales!$H$24="Todos",'Plan mensual'!D51,0))+parametros_manuales!$F$24*('Plan mensual'!D48+IF(parametros_manuales!$H$24="Todos",'Plan mensual'!D52,0))+parametros_manuales!$G$24*('Plan mensual'!D49+IF(parametros_manuales!$H$24="Todos",'Plan mensual'!D53,0)))*parametros_manuales!$I$24*parametros_manuales!$J$24</f>
        <v>10127.32</v>
      </c>
      <c r="C119" s="8">
        <f>(parametros_manuales!$D$24*('Plan mensual'!E46+IF(parametros_manuales!$H$24="Todos",'Plan mensual'!E50,0))+parametros_manuales!$E$24*('Plan mensual'!E47+IF(parametros_manuales!$H$24="Todos",'Plan mensual'!E51,0))+parametros_manuales!$F$24*('Plan mensual'!E48+IF(parametros_manuales!$H$24="Todos",'Plan mensual'!E52,0))+parametros_manuales!$G$24*('Plan mensual'!E49+IF(parametros_manuales!$H$24="Todos",'Plan mensual'!E53,0)))*parametros_manuales!$I$24*parametros_manuales!$J$24</f>
        <v>7729.16</v>
      </c>
      <c r="D119" s="8">
        <f>(parametros_manuales!$D$24*('Plan mensual'!F46+IF(parametros_manuales!$H$24="Todos",'Plan mensual'!F50,0))+parametros_manuales!$E$24*('Plan mensual'!F47+IF(parametros_manuales!$H$24="Todos",'Plan mensual'!F51,0))+parametros_manuales!$F$24*('Plan mensual'!F48+IF(parametros_manuales!$H$24="Todos",'Plan mensual'!F52,0))+parametros_manuales!$G$24*('Plan mensual'!F49+IF(parametros_manuales!$H$24="Todos",'Plan mensual'!F53,0)))*parametros_manuales!$I$24*parametros_manuales!$J$24</f>
        <v>7241.67</v>
      </c>
      <c r="E119" s="8">
        <f>(parametros_manuales!$D$24*('Plan mensual'!G46+IF(parametros_manuales!$H$24="Todos",'Plan mensual'!G50,0))+parametros_manuales!$E$24*('Plan mensual'!G47+IF(parametros_manuales!$H$24="Todos",'Plan mensual'!G51,0))+parametros_manuales!$F$24*('Plan mensual'!G48+IF(parametros_manuales!$H$24="Todos",'Plan mensual'!G52,0))+parametros_manuales!$G$24*('Plan mensual'!G49+IF(parametros_manuales!$H$24="Todos",'Plan mensual'!G53,0)))*parametros_manuales!$I$24*parametros_manuales!$J$24</f>
        <v>6931.09</v>
      </c>
      <c r="F119" s="8">
        <f>(parametros_manuales!$D$24*('Plan mensual'!H46+IF(parametros_manuales!$H$24="Todos",'Plan mensual'!H50,0))+parametros_manuales!$E$24*('Plan mensual'!H47+IF(parametros_manuales!$H$24="Todos",'Plan mensual'!H51,0))+parametros_manuales!$F$24*('Plan mensual'!H48+IF(parametros_manuales!$H$24="Todos",'Plan mensual'!H52,0))+parametros_manuales!$G$24*('Plan mensual'!H49+IF(parametros_manuales!$H$24="Todos",'Plan mensual'!H53,0)))*parametros_manuales!$I$24*parametros_manuales!$J$24</f>
        <v>6486.84</v>
      </c>
      <c r="G119" s="8">
        <f>(parametros_manuales!$D$24*('Plan mensual'!I46+IF(parametros_manuales!$H$24="Todos",'Plan mensual'!I50,0))+parametros_manuales!$E$24*('Plan mensual'!I47+IF(parametros_manuales!$H$24="Todos",'Plan mensual'!I51,0))+parametros_manuales!$F$24*('Plan mensual'!I48+IF(parametros_manuales!$H$24="Todos",'Plan mensual'!I52,0))+parametros_manuales!$G$24*('Plan mensual'!I49+IF(parametros_manuales!$H$24="Todos",'Plan mensual'!I53,0)))*parametros_manuales!$I$24*parametros_manuales!$J$24</f>
        <v>6353.17</v>
      </c>
      <c r="H119" s="8">
        <f>(parametros_manuales!$D$24*('Plan mensual'!J46+IF(parametros_manuales!$H$24="Todos",'Plan mensual'!J50,0))+parametros_manuales!$E$24*('Plan mensual'!J47+IF(parametros_manuales!$H$24="Todos",'Plan mensual'!J51,0))+parametros_manuales!$F$24*('Plan mensual'!J48+IF(parametros_manuales!$H$24="Todos",'Plan mensual'!J52,0))+parametros_manuales!$G$24*('Plan mensual'!J49+IF(parametros_manuales!$H$24="Todos",'Plan mensual'!J53,0)))*parametros_manuales!$I$24*parametros_manuales!$J$24</f>
        <v>6797.42</v>
      </c>
      <c r="I119" s="8">
        <f>(parametros_manuales!$D$24*('Plan mensual'!K46+IF(parametros_manuales!$H$24="Todos",'Plan mensual'!K50,0))+parametros_manuales!$E$24*('Plan mensual'!K47+IF(parametros_manuales!$H$24="Todos",'Plan mensual'!K51,0))+parametros_manuales!$F$24*('Plan mensual'!K48+IF(parametros_manuales!$H$24="Todos",'Plan mensual'!K52,0))+parametros_manuales!$G$24*('Plan mensual'!K49+IF(parametros_manuales!$H$24="Todos",'Plan mensual'!K53,0)))*parametros_manuales!$I$24*parametros_manuales!$J$24</f>
        <v>6797.42</v>
      </c>
      <c r="J119" s="8">
        <f>(parametros_manuales!$D$24*('Plan mensual'!L46+IF(parametros_manuales!$H$24="Todos",'Plan mensual'!L50,0))+parametros_manuales!$E$24*('Plan mensual'!L47+IF(parametros_manuales!$H$24="Todos",'Plan mensual'!L51,0))+parametros_manuales!$F$24*('Plan mensual'!L48+IF(parametros_manuales!$H$24="Todos",'Plan mensual'!L52,0))+parametros_manuales!$G$24*('Plan mensual'!L49+IF(parametros_manuales!$H$24="Todos",'Plan mensual'!L53,0)))*parametros_manuales!$I$24*parametros_manuales!$J$24</f>
        <v>6797.42</v>
      </c>
      <c r="K119" s="8">
        <f>(parametros_manuales!$D$24*('Plan mensual'!M46+IF(parametros_manuales!$H$24="Todos",'Plan mensual'!M50,0))+parametros_manuales!$E$24*('Plan mensual'!M47+IF(parametros_manuales!$H$24="Todos",'Plan mensual'!M51,0))+parametros_manuales!$F$24*('Plan mensual'!M48+IF(parametros_manuales!$H$24="Todos",'Plan mensual'!M52,0))+parametros_manuales!$G$24*('Plan mensual'!M49+IF(parametros_manuales!$H$24="Todos",'Plan mensual'!M53,0)))*parametros_manuales!$I$24*parametros_manuales!$J$24</f>
        <v>6663.75</v>
      </c>
      <c r="L119" s="8">
        <f>(parametros_manuales!$D$24*('Plan mensual'!N46+IF(parametros_manuales!$H$24="Todos",'Plan mensual'!N50,0))+parametros_manuales!$E$24*('Plan mensual'!N47+IF(parametros_manuales!$H$24="Todos",'Plan mensual'!N51,0))+parametros_manuales!$F$24*('Plan mensual'!N48+IF(parametros_manuales!$H$24="Todos",'Plan mensual'!N52,0))+parametros_manuales!$G$24*('Plan mensual'!N49+IF(parametros_manuales!$H$24="Todos",'Plan mensual'!N53,0)))*parametros_manuales!$I$24*parametros_manuales!$J$24</f>
        <v>6530.08</v>
      </c>
      <c r="M119" s="8">
        <f>(parametros_manuales!$D$24*('Plan mensual'!O46+IF(parametros_manuales!$H$24="Todos",'Plan mensual'!O50,0))+parametros_manuales!$E$24*('Plan mensual'!O47+IF(parametros_manuales!$H$24="Todos",'Plan mensual'!O51,0))+parametros_manuales!$F$24*('Plan mensual'!O48+IF(parametros_manuales!$H$24="Todos",'Plan mensual'!O52,0))+parametros_manuales!$G$24*('Plan mensual'!O49+IF(parametros_manuales!$H$24="Todos",'Plan mensual'!O53,0)))*parametros_manuales!$I$24*parametros_manuales!$J$24</f>
        <v>10394.66</v>
      </c>
      <c r="N119" s="8">
        <f t="shared" si="13"/>
        <v>88850</v>
      </c>
      <c r="O119" s="8">
        <f t="shared" si="14"/>
        <v>10394.66</v>
      </c>
      <c r="P119" s="27">
        <f>O119/(parametros_manuales!$B$7)</f>
        <v>69.29773333</v>
      </c>
      <c r="Q119" s="4" t="str">
        <f t="shared" si="15"/>
        <v>Dic</v>
      </c>
    </row>
    <row r="120" ht="14.25" customHeight="1">
      <c r="A120" s="4" t="str">
        <f>parametros_manuales!$B$25</f>
        <v>Soldadura del cuello a la cúpula</v>
      </c>
      <c r="B120" s="8">
        <f>(parametros_manuales!$D$25*('Plan mensual'!D46+IF(parametros_manuales!$H$25="Todos",'Plan mensual'!D50,0))+parametros_manuales!$E$25*('Plan mensual'!D47+IF(parametros_manuales!$H$25="Todos",'Plan mensual'!D51,0))+parametros_manuales!$F$25*('Plan mensual'!D48+IF(parametros_manuales!$H$25="Todos",'Plan mensual'!D52,0))+parametros_manuales!$G$25*('Plan mensual'!D49+IF(parametros_manuales!$H$25="Todos",'Plan mensual'!D53,0)))*parametros_manuales!$I$25*parametros_manuales!$J$25</f>
        <v>10127.32</v>
      </c>
      <c r="C120" s="8">
        <f>(parametros_manuales!$D$25*('Plan mensual'!E46+IF(parametros_manuales!$H$25="Todos",'Plan mensual'!E50,0))+parametros_manuales!$E$25*('Plan mensual'!E47+IF(parametros_manuales!$H$25="Todos",'Plan mensual'!E51,0))+parametros_manuales!$F$25*('Plan mensual'!E48+IF(parametros_manuales!$H$25="Todos",'Plan mensual'!E52,0))+parametros_manuales!$G$25*('Plan mensual'!E49+IF(parametros_manuales!$H$25="Todos",'Plan mensual'!E53,0)))*parametros_manuales!$I$25*parametros_manuales!$J$25</f>
        <v>7729.16</v>
      </c>
      <c r="D120" s="8">
        <f>(parametros_manuales!$D$25*('Plan mensual'!F46+IF(parametros_manuales!$H$25="Todos",'Plan mensual'!F50,0))+parametros_manuales!$E$25*('Plan mensual'!F47+IF(parametros_manuales!$H$25="Todos",'Plan mensual'!F51,0))+parametros_manuales!$F$25*('Plan mensual'!F48+IF(parametros_manuales!$H$25="Todos",'Plan mensual'!F52,0))+parametros_manuales!$G$25*('Plan mensual'!F49+IF(parametros_manuales!$H$25="Todos",'Plan mensual'!F53,0)))*parametros_manuales!$I$25*parametros_manuales!$J$25</f>
        <v>7241.67</v>
      </c>
      <c r="E120" s="8">
        <f>(parametros_manuales!$D$25*('Plan mensual'!G46+IF(parametros_manuales!$H$25="Todos",'Plan mensual'!G50,0))+parametros_manuales!$E$25*('Plan mensual'!G47+IF(parametros_manuales!$H$25="Todos",'Plan mensual'!G51,0))+parametros_manuales!$F$25*('Plan mensual'!G48+IF(parametros_manuales!$H$25="Todos",'Plan mensual'!G52,0))+parametros_manuales!$G$25*('Plan mensual'!G49+IF(parametros_manuales!$H$25="Todos",'Plan mensual'!G53,0)))*parametros_manuales!$I$25*parametros_manuales!$J$25</f>
        <v>6931.09</v>
      </c>
      <c r="F120" s="8">
        <f>(parametros_manuales!$D$25*('Plan mensual'!H46+IF(parametros_manuales!$H$25="Todos",'Plan mensual'!H50,0))+parametros_manuales!$E$25*('Plan mensual'!H47+IF(parametros_manuales!$H$25="Todos",'Plan mensual'!H51,0))+parametros_manuales!$F$25*('Plan mensual'!H48+IF(parametros_manuales!$H$25="Todos",'Plan mensual'!H52,0))+parametros_manuales!$G$25*('Plan mensual'!H49+IF(parametros_manuales!$H$25="Todos",'Plan mensual'!H53,0)))*parametros_manuales!$I$25*parametros_manuales!$J$25</f>
        <v>6486.84</v>
      </c>
      <c r="G120" s="8">
        <f>(parametros_manuales!$D$25*('Plan mensual'!I46+IF(parametros_manuales!$H$25="Todos",'Plan mensual'!I50,0))+parametros_manuales!$E$25*('Plan mensual'!I47+IF(parametros_manuales!$H$25="Todos",'Plan mensual'!I51,0))+parametros_manuales!$F$25*('Plan mensual'!I48+IF(parametros_manuales!$H$25="Todos",'Plan mensual'!I52,0))+parametros_manuales!$G$25*('Plan mensual'!I49+IF(parametros_manuales!$H$25="Todos",'Plan mensual'!I53,0)))*parametros_manuales!$I$25*parametros_manuales!$J$25</f>
        <v>6353.17</v>
      </c>
      <c r="H120" s="8">
        <f>(parametros_manuales!$D$25*('Plan mensual'!J46+IF(parametros_manuales!$H$25="Todos",'Plan mensual'!J50,0))+parametros_manuales!$E$25*('Plan mensual'!J47+IF(parametros_manuales!$H$25="Todos",'Plan mensual'!J51,0))+parametros_manuales!$F$25*('Plan mensual'!J48+IF(parametros_manuales!$H$25="Todos",'Plan mensual'!J52,0))+parametros_manuales!$G$25*('Plan mensual'!J49+IF(parametros_manuales!$H$25="Todos",'Plan mensual'!J53,0)))*parametros_manuales!$I$25*parametros_manuales!$J$25</f>
        <v>6797.42</v>
      </c>
      <c r="I120" s="8">
        <f>(parametros_manuales!$D$25*('Plan mensual'!K46+IF(parametros_manuales!$H$25="Todos",'Plan mensual'!K50,0))+parametros_manuales!$E$25*('Plan mensual'!K47+IF(parametros_manuales!$H$25="Todos",'Plan mensual'!K51,0))+parametros_manuales!$F$25*('Plan mensual'!K48+IF(parametros_manuales!$H$25="Todos",'Plan mensual'!K52,0))+parametros_manuales!$G$25*('Plan mensual'!K49+IF(parametros_manuales!$H$25="Todos",'Plan mensual'!K53,0)))*parametros_manuales!$I$25*parametros_manuales!$J$25</f>
        <v>6797.42</v>
      </c>
      <c r="J120" s="8">
        <f>(parametros_manuales!$D$25*('Plan mensual'!L46+IF(parametros_manuales!$H$25="Todos",'Plan mensual'!L50,0))+parametros_manuales!$E$25*('Plan mensual'!L47+IF(parametros_manuales!$H$25="Todos",'Plan mensual'!L51,0))+parametros_manuales!$F$25*('Plan mensual'!L48+IF(parametros_manuales!$H$25="Todos",'Plan mensual'!L52,0))+parametros_manuales!$G$25*('Plan mensual'!L49+IF(parametros_manuales!$H$25="Todos",'Plan mensual'!L53,0)))*parametros_manuales!$I$25*parametros_manuales!$J$25</f>
        <v>6797.42</v>
      </c>
      <c r="K120" s="8">
        <f>(parametros_manuales!$D$25*('Plan mensual'!M46+IF(parametros_manuales!$H$25="Todos",'Plan mensual'!M50,0))+parametros_manuales!$E$25*('Plan mensual'!M47+IF(parametros_manuales!$H$25="Todos",'Plan mensual'!M51,0))+parametros_manuales!$F$25*('Plan mensual'!M48+IF(parametros_manuales!$H$25="Todos",'Plan mensual'!M52,0))+parametros_manuales!$G$25*('Plan mensual'!M49+IF(parametros_manuales!$H$25="Todos",'Plan mensual'!M53,0)))*parametros_manuales!$I$25*parametros_manuales!$J$25</f>
        <v>6663.75</v>
      </c>
      <c r="L120" s="8">
        <f>(parametros_manuales!$D$25*('Plan mensual'!N46+IF(parametros_manuales!$H$25="Todos",'Plan mensual'!N50,0))+parametros_manuales!$E$25*('Plan mensual'!N47+IF(parametros_manuales!$H$25="Todos",'Plan mensual'!N51,0))+parametros_manuales!$F$25*('Plan mensual'!N48+IF(parametros_manuales!$H$25="Todos",'Plan mensual'!N52,0))+parametros_manuales!$G$25*('Plan mensual'!N49+IF(parametros_manuales!$H$25="Todos",'Plan mensual'!N53,0)))*parametros_manuales!$I$25*parametros_manuales!$J$25</f>
        <v>6530.08</v>
      </c>
      <c r="M120" s="8">
        <f>(parametros_manuales!$D$25*('Plan mensual'!O46+IF(parametros_manuales!$H$25="Todos",'Plan mensual'!O50,0))+parametros_manuales!$E$25*('Plan mensual'!O47+IF(parametros_manuales!$H$25="Todos",'Plan mensual'!O51,0))+parametros_manuales!$F$25*('Plan mensual'!O48+IF(parametros_manuales!$H$25="Todos",'Plan mensual'!O52,0))+parametros_manuales!$G$25*('Plan mensual'!O49+IF(parametros_manuales!$H$25="Todos",'Plan mensual'!O53,0)))*parametros_manuales!$I$25*parametros_manuales!$J$25</f>
        <v>10394.66</v>
      </c>
      <c r="N120" s="8">
        <f t="shared" si="13"/>
        <v>88850</v>
      </c>
      <c r="O120" s="8">
        <f t="shared" si="14"/>
        <v>10394.66</v>
      </c>
      <c r="P120" s="27">
        <f>O120/(parametros_manuales!$B$7)</f>
        <v>69.29773333</v>
      </c>
      <c r="Q120" s="4" t="str">
        <f t="shared" si="15"/>
        <v>Dic</v>
      </c>
    </row>
    <row r="121" ht="14.25" customHeight="1">
      <c r="A121" s="4" t="str">
        <f>parametros_manuales!$B$26</f>
        <v>Cilindrado</v>
      </c>
      <c r="B121" s="8">
        <f>(parametros_manuales!$D$26*('Plan mensual'!D46+IF(parametros_manuales!$H$26="Todos",'Plan mensual'!D50,0))+parametros_manuales!$E$26*('Plan mensual'!D47+IF(parametros_manuales!$H$26="Todos",'Plan mensual'!D51,0))+parametros_manuales!$F$26*('Plan mensual'!D48+IF(parametros_manuales!$H$26="Todos",'Plan mensual'!D52,0))+parametros_manuales!$G$26*('Plan mensual'!D49+IF(parametros_manuales!$H$26="Todos",'Plan mensual'!D53,0)))*parametros_manuales!$I$26*parametros_manuales!$J$26</f>
        <v>10127.32</v>
      </c>
      <c r="C121" s="8">
        <f>(parametros_manuales!$D$26*('Plan mensual'!E46+IF(parametros_manuales!$H$26="Todos",'Plan mensual'!E50,0))+parametros_manuales!$E$26*('Plan mensual'!E47+IF(parametros_manuales!$H$26="Todos",'Plan mensual'!E51,0))+parametros_manuales!$F$26*('Plan mensual'!E48+IF(parametros_manuales!$H$26="Todos",'Plan mensual'!E52,0))+parametros_manuales!$G$26*('Plan mensual'!E49+IF(parametros_manuales!$H$26="Todos",'Plan mensual'!E53,0)))*parametros_manuales!$I$26*parametros_manuales!$J$26</f>
        <v>7729.16</v>
      </c>
      <c r="D121" s="8">
        <f>(parametros_manuales!$D$26*('Plan mensual'!F46+IF(parametros_manuales!$H$26="Todos",'Plan mensual'!F50,0))+parametros_manuales!$E$26*('Plan mensual'!F47+IF(parametros_manuales!$H$26="Todos",'Plan mensual'!F51,0))+parametros_manuales!$F$26*('Plan mensual'!F48+IF(parametros_manuales!$H$26="Todos",'Plan mensual'!F52,0))+parametros_manuales!$G$26*('Plan mensual'!F49+IF(parametros_manuales!$H$26="Todos",'Plan mensual'!F53,0)))*parametros_manuales!$I$26*parametros_manuales!$J$26</f>
        <v>7241.67</v>
      </c>
      <c r="E121" s="8">
        <f>(parametros_manuales!$D$26*('Plan mensual'!G46+IF(parametros_manuales!$H$26="Todos",'Plan mensual'!G50,0))+parametros_manuales!$E$26*('Plan mensual'!G47+IF(parametros_manuales!$H$26="Todos",'Plan mensual'!G51,0))+parametros_manuales!$F$26*('Plan mensual'!G48+IF(parametros_manuales!$H$26="Todos",'Plan mensual'!G52,0))+parametros_manuales!$G$26*('Plan mensual'!G49+IF(parametros_manuales!$H$26="Todos",'Plan mensual'!G53,0)))*parametros_manuales!$I$26*parametros_manuales!$J$26</f>
        <v>6931.09</v>
      </c>
      <c r="F121" s="8">
        <f>(parametros_manuales!$D$26*('Plan mensual'!H46+IF(parametros_manuales!$H$26="Todos",'Plan mensual'!H50,0))+parametros_manuales!$E$26*('Plan mensual'!H47+IF(parametros_manuales!$H$26="Todos",'Plan mensual'!H51,0))+parametros_manuales!$F$26*('Plan mensual'!H48+IF(parametros_manuales!$H$26="Todos",'Plan mensual'!H52,0))+parametros_manuales!$G$26*('Plan mensual'!H49+IF(parametros_manuales!$H$26="Todos",'Plan mensual'!H53,0)))*parametros_manuales!$I$26*parametros_manuales!$J$26</f>
        <v>6486.84</v>
      </c>
      <c r="G121" s="8">
        <f>(parametros_manuales!$D$26*('Plan mensual'!I46+IF(parametros_manuales!$H$26="Todos",'Plan mensual'!I50,0))+parametros_manuales!$E$26*('Plan mensual'!I47+IF(parametros_manuales!$H$26="Todos",'Plan mensual'!I51,0))+parametros_manuales!$F$26*('Plan mensual'!I48+IF(parametros_manuales!$H$26="Todos",'Plan mensual'!I52,0))+parametros_manuales!$G$26*('Plan mensual'!I49+IF(parametros_manuales!$H$26="Todos",'Plan mensual'!I53,0)))*parametros_manuales!$I$26*parametros_manuales!$J$26</f>
        <v>6353.17</v>
      </c>
      <c r="H121" s="8">
        <f>(parametros_manuales!$D$26*('Plan mensual'!J46+IF(parametros_manuales!$H$26="Todos",'Plan mensual'!J50,0))+parametros_manuales!$E$26*('Plan mensual'!J47+IF(parametros_manuales!$H$26="Todos",'Plan mensual'!J51,0))+parametros_manuales!$F$26*('Plan mensual'!J48+IF(parametros_manuales!$H$26="Todos",'Plan mensual'!J52,0))+parametros_manuales!$G$26*('Plan mensual'!J49+IF(parametros_manuales!$H$26="Todos",'Plan mensual'!J53,0)))*parametros_manuales!$I$26*parametros_manuales!$J$26</f>
        <v>6797.42</v>
      </c>
      <c r="I121" s="8">
        <f>(parametros_manuales!$D$26*('Plan mensual'!K46+IF(parametros_manuales!$H$26="Todos",'Plan mensual'!K50,0))+parametros_manuales!$E$26*('Plan mensual'!K47+IF(parametros_manuales!$H$26="Todos",'Plan mensual'!K51,0))+parametros_manuales!$F$26*('Plan mensual'!K48+IF(parametros_manuales!$H$26="Todos",'Plan mensual'!K52,0))+parametros_manuales!$G$26*('Plan mensual'!K49+IF(parametros_manuales!$H$26="Todos",'Plan mensual'!K53,0)))*parametros_manuales!$I$26*parametros_manuales!$J$26</f>
        <v>6797.42</v>
      </c>
      <c r="J121" s="8">
        <f>(parametros_manuales!$D$26*('Plan mensual'!L46+IF(parametros_manuales!$H$26="Todos",'Plan mensual'!L50,0))+parametros_manuales!$E$26*('Plan mensual'!L47+IF(parametros_manuales!$H$26="Todos",'Plan mensual'!L51,0))+parametros_manuales!$F$26*('Plan mensual'!L48+IF(parametros_manuales!$H$26="Todos",'Plan mensual'!L52,0))+parametros_manuales!$G$26*('Plan mensual'!L49+IF(parametros_manuales!$H$26="Todos",'Plan mensual'!L53,0)))*parametros_manuales!$I$26*parametros_manuales!$J$26</f>
        <v>6797.42</v>
      </c>
      <c r="K121" s="8">
        <f>(parametros_manuales!$D$26*('Plan mensual'!M46+IF(parametros_manuales!$H$26="Todos",'Plan mensual'!M50,0))+parametros_manuales!$E$26*('Plan mensual'!M47+IF(parametros_manuales!$H$26="Todos",'Plan mensual'!M51,0))+parametros_manuales!$F$26*('Plan mensual'!M48+IF(parametros_manuales!$H$26="Todos",'Plan mensual'!M52,0))+parametros_manuales!$G$26*('Plan mensual'!M49+IF(parametros_manuales!$H$26="Todos",'Plan mensual'!M53,0)))*parametros_manuales!$I$26*parametros_manuales!$J$26</f>
        <v>6663.75</v>
      </c>
      <c r="L121" s="8">
        <f>(parametros_manuales!$D$26*('Plan mensual'!N46+IF(parametros_manuales!$H$26="Todos",'Plan mensual'!N50,0))+parametros_manuales!$E$26*('Plan mensual'!N47+IF(parametros_manuales!$H$26="Todos",'Plan mensual'!N51,0))+parametros_manuales!$F$26*('Plan mensual'!N48+IF(parametros_manuales!$H$26="Todos",'Plan mensual'!N52,0))+parametros_manuales!$G$26*('Plan mensual'!N49+IF(parametros_manuales!$H$26="Todos",'Plan mensual'!N53,0)))*parametros_manuales!$I$26*parametros_manuales!$J$26</f>
        <v>6530.08</v>
      </c>
      <c r="M121" s="8">
        <f>(parametros_manuales!$D$26*('Plan mensual'!O46+IF(parametros_manuales!$H$26="Todos",'Plan mensual'!O50,0))+parametros_manuales!$E$26*('Plan mensual'!O47+IF(parametros_manuales!$H$26="Todos",'Plan mensual'!O51,0))+parametros_manuales!$F$26*('Plan mensual'!O48+IF(parametros_manuales!$H$26="Todos",'Plan mensual'!O52,0))+parametros_manuales!$G$26*('Plan mensual'!O49+IF(parametros_manuales!$H$26="Todos",'Plan mensual'!O53,0)))*parametros_manuales!$I$26*parametros_manuales!$J$26</f>
        <v>10394.66</v>
      </c>
      <c r="N121" s="8">
        <f t="shared" si="13"/>
        <v>88850</v>
      </c>
      <c r="O121" s="8">
        <f t="shared" si="14"/>
        <v>10394.66</v>
      </c>
      <c r="P121" s="27">
        <f>O121/(parametros_manuales!$B$7)</f>
        <v>69.29773333</v>
      </c>
      <c r="Q121" s="4" t="str">
        <f t="shared" si="15"/>
        <v>Dic</v>
      </c>
    </row>
    <row r="122" ht="14.25" customHeight="1">
      <c r="A122" s="4" t="str">
        <f>parametros_manuales!$B$27</f>
        <v>Soldadura longitudinal — 2,5 a 10 kg</v>
      </c>
      <c r="B122" s="8">
        <f>(parametros_manuales!$D$27*('Plan mensual'!D46+IF(parametros_manuales!$H$27="Todos",'Plan mensual'!D50,0))+parametros_manuales!$E$27*('Plan mensual'!D47+IF(parametros_manuales!$H$27="Todos",'Plan mensual'!D51,0))+parametros_manuales!$F$27*('Plan mensual'!D48+IF(parametros_manuales!$H$27="Todos",'Plan mensual'!D52,0))+parametros_manuales!$G$27*('Plan mensual'!D49+IF(parametros_manuales!$H$27="Todos",'Plan mensual'!D53,0)))*parametros_manuales!$I$27*parametros_manuales!$J$27</f>
        <v>2673.4</v>
      </c>
      <c r="C122" s="8">
        <f>(parametros_manuales!$D$27*('Plan mensual'!E46+IF(parametros_manuales!$H$27="Todos",'Plan mensual'!E50,0))+parametros_manuales!$E$27*('Plan mensual'!E47+IF(parametros_manuales!$H$27="Todos",'Plan mensual'!E51,0))+parametros_manuales!$F$27*('Plan mensual'!E48+IF(parametros_manuales!$H$27="Todos",'Plan mensual'!E52,0))+parametros_manuales!$G$27*('Plan mensual'!E49+IF(parametros_manuales!$H$27="Todos",'Plan mensual'!E53,0)))*parametros_manuales!$I$27*parametros_manuales!$J$27</f>
        <v>2138.72</v>
      </c>
      <c r="D122" s="8">
        <f>(parametros_manuales!$D$27*('Plan mensual'!F46+IF(parametros_manuales!$H$27="Todos",'Plan mensual'!F50,0))+parametros_manuales!$E$27*('Plan mensual'!F47+IF(parametros_manuales!$H$27="Todos",'Plan mensual'!F51,0))+parametros_manuales!$F$27*('Plan mensual'!F48+IF(parametros_manuales!$H$27="Todos",'Plan mensual'!F52,0))+parametros_manuales!$G$27*('Plan mensual'!F49+IF(parametros_manuales!$H$27="Todos",'Plan mensual'!F53,0)))*parametros_manuales!$I$27*parametros_manuales!$J$27</f>
        <v>2272.39</v>
      </c>
      <c r="E122" s="8">
        <f>(parametros_manuales!$D$27*('Plan mensual'!G46+IF(parametros_manuales!$H$27="Todos",'Plan mensual'!G50,0))+parametros_manuales!$E$27*('Plan mensual'!G47+IF(parametros_manuales!$H$27="Todos",'Plan mensual'!G51,0))+parametros_manuales!$F$27*('Plan mensual'!G48+IF(parametros_manuales!$H$27="Todos",'Plan mensual'!G52,0))+parametros_manuales!$G$27*('Plan mensual'!G49+IF(parametros_manuales!$H$27="Todos",'Plan mensual'!G53,0)))*parametros_manuales!$I$27*parametros_manuales!$J$27</f>
        <v>2272.39</v>
      </c>
      <c r="F122" s="8">
        <f>(parametros_manuales!$D$27*('Plan mensual'!H46+IF(parametros_manuales!$H$27="Todos",'Plan mensual'!H50,0))+parametros_manuales!$E$27*('Plan mensual'!H47+IF(parametros_manuales!$H$27="Todos",'Plan mensual'!H51,0))+parametros_manuales!$F$27*('Plan mensual'!H48+IF(parametros_manuales!$H$27="Todos",'Plan mensual'!H52,0))+parametros_manuales!$G$27*('Plan mensual'!H49+IF(parametros_manuales!$H$27="Todos",'Plan mensual'!H53,0)))*parametros_manuales!$I$27*parametros_manuales!$J$27</f>
        <v>2138.72</v>
      </c>
      <c r="G122" s="8">
        <f>(parametros_manuales!$D$27*('Plan mensual'!I46+IF(parametros_manuales!$H$27="Todos",'Plan mensual'!I50,0))+parametros_manuales!$E$27*('Plan mensual'!I47+IF(parametros_manuales!$H$27="Todos",'Plan mensual'!I51,0))+parametros_manuales!$F$27*('Plan mensual'!I48+IF(parametros_manuales!$H$27="Todos",'Plan mensual'!I52,0))+parametros_manuales!$G$27*('Plan mensual'!I49+IF(parametros_manuales!$H$27="Todos",'Plan mensual'!I53,0)))*parametros_manuales!$I$27*parametros_manuales!$J$27</f>
        <v>2005.05</v>
      </c>
      <c r="H122" s="8">
        <f>(parametros_manuales!$D$27*('Plan mensual'!J46+IF(parametros_manuales!$H$27="Todos",'Plan mensual'!J50,0))+parametros_manuales!$E$27*('Plan mensual'!J47+IF(parametros_manuales!$H$27="Todos",'Plan mensual'!J51,0))+parametros_manuales!$F$27*('Plan mensual'!J48+IF(parametros_manuales!$H$27="Todos",'Plan mensual'!J52,0))+parametros_manuales!$G$27*('Plan mensual'!J49+IF(parametros_manuales!$H$27="Todos",'Plan mensual'!J53,0)))*parametros_manuales!$I$27*parametros_manuales!$J$27</f>
        <v>2138.72</v>
      </c>
      <c r="I122" s="8">
        <f>(parametros_manuales!$D$27*('Plan mensual'!K46+IF(parametros_manuales!$H$27="Todos",'Plan mensual'!K50,0))+parametros_manuales!$E$27*('Plan mensual'!K47+IF(parametros_manuales!$H$27="Todos",'Plan mensual'!K51,0))+parametros_manuales!$F$27*('Plan mensual'!K48+IF(parametros_manuales!$H$27="Todos",'Plan mensual'!K52,0))+parametros_manuales!$G$27*('Plan mensual'!K49+IF(parametros_manuales!$H$27="Todos",'Plan mensual'!K53,0)))*parametros_manuales!$I$27*parametros_manuales!$J$27</f>
        <v>2138.72</v>
      </c>
      <c r="J122" s="8">
        <f>(parametros_manuales!$D$27*('Plan mensual'!L46+IF(parametros_manuales!$H$27="Todos",'Plan mensual'!L50,0))+parametros_manuales!$E$27*('Plan mensual'!L47+IF(parametros_manuales!$H$27="Todos",'Plan mensual'!L51,0))+parametros_manuales!$F$27*('Plan mensual'!L48+IF(parametros_manuales!$H$27="Todos",'Plan mensual'!L52,0))+parametros_manuales!$G$27*('Plan mensual'!L49+IF(parametros_manuales!$H$27="Todos",'Plan mensual'!L53,0)))*parametros_manuales!$I$27*parametros_manuales!$J$27</f>
        <v>2138.72</v>
      </c>
      <c r="K122" s="8">
        <f>(parametros_manuales!$D$27*('Plan mensual'!M46+IF(parametros_manuales!$H$27="Todos",'Plan mensual'!M50,0))+parametros_manuales!$E$27*('Plan mensual'!M47+IF(parametros_manuales!$H$27="Todos",'Plan mensual'!M51,0))+parametros_manuales!$F$27*('Plan mensual'!M48+IF(parametros_manuales!$H$27="Todos",'Plan mensual'!M52,0))+parametros_manuales!$G$27*('Plan mensual'!M49+IF(parametros_manuales!$H$27="Todos",'Plan mensual'!M53,0)))*parametros_manuales!$I$27*parametros_manuales!$J$27</f>
        <v>2005.05</v>
      </c>
      <c r="L122" s="8">
        <f>(parametros_manuales!$D$27*('Plan mensual'!N46+IF(parametros_manuales!$H$27="Todos",'Plan mensual'!N50,0))+parametros_manuales!$E$27*('Plan mensual'!N47+IF(parametros_manuales!$H$27="Todos",'Plan mensual'!N51,0))+parametros_manuales!$F$27*('Plan mensual'!N48+IF(parametros_manuales!$H$27="Todos",'Plan mensual'!N52,0))+parametros_manuales!$G$27*('Plan mensual'!N49+IF(parametros_manuales!$H$27="Todos",'Plan mensual'!N53,0)))*parametros_manuales!$I$27*parametros_manuales!$J$27</f>
        <v>1871.38</v>
      </c>
      <c r="M122" s="8">
        <f>(parametros_manuales!$D$27*('Plan mensual'!O46+IF(parametros_manuales!$H$27="Todos",'Plan mensual'!O50,0))+parametros_manuales!$E$27*('Plan mensual'!O47+IF(parametros_manuales!$H$27="Todos",'Plan mensual'!O51,0))+parametros_manuales!$F$27*('Plan mensual'!O48+IF(parametros_manuales!$H$27="Todos",'Plan mensual'!O52,0))+parametros_manuales!$G$27*('Plan mensual'!O49+IF(parametros_manuales!$H$27="Todos",'Plan mensual'!O53,0)))*parametros_manuales!$I$27*parametros_manuales!$J$27</f>
        <v>2940.74</v>
      </c>
      <c r="N122" s="8">
        <f t="shared" si="13"/>
        <v>26734</v>
      </c>
      <c r="O122" s="8">
        <f t="shared" si="14"/>
        <v>2940.74</v>
      </c>
      <c r="P122" s="27">
        <f>O122/(parametros_manuales!$B$7)</f>
        <v>19.60493333</v>
      </c>
      <c r="Q122" s="4" t="str">
        <f t="shared" si="15"/>
        <v>Dic</v>
      </c>
    </row>
    <row r="123" ht="14.25" customHeight="1">
      <c r="A123" s="4" t="str">
        <f>parametros_manuales!$B$28</f>
        <v>Soldadura longitudinal TIG — 1 kg</v>
      </c>
      <c r="B123" s="8">
        <f>(parametros_manuales!$D$28*('Plan mensual'!D46+IF(parametros_manuales!$H$28="Todos",'Plan mensual'!D50,0))+parametros_manuales!$E$28*('Plan mensual'!D47+IF(parametros_manuales!$H$28="Todos",'Plan mensual'!D51,0))+parametros_manuales!$F$28*('Plan mensual'!D48+IF(parametros_manuales!$H$28="Todos",'Plan mensual'!D52,0))+parametros_manuales!$G$28*('Plan mensual'!D49+IF(parametros_manuales!$H$28="Todos",'Plan mensual'!D53,0)))*parametros_manuales!$I$28*parametros_manuales!$J$28</f>
        <v>7453.92</v>
      </c>
      <c r="C123" s="8">
        <f>(parametros_manuales!$D$28*('Plan mensual'!E46+IF(parametros_manuales!$H$28="Todos",'Plan mensual'!E50,0))+parametros_manuales!$E$28*('Plan mensual'!E47+IF(parametros_manuales!$H$28="Todos",'Plan mensual'!E51,0))+parametros_manuales!$F$28*('Plan mensual'!E48+IF(parametros_manuales!$H$28="Todos",'Plan mensual'!E52,0))+parametros_manuales!$G$28*('Plan mensual'!E49+IF(parametros_manuales!$H$28="Todos",'Plan mensual'!E53,0)))*parametros_manuales!$I$28*parametros_manuales!$J$28</f>
        <v>5590.44</v>
      </c>
      <c r="D123" s="8">
        <f>(parametros_manuales!$D$28*('Plan mensual'!F46+IF(parametros_manuales!$H$28="Todos",'Plan mensual'!F50,0))+parametros_manuales!$E$28*('Plan mensual'!F47+IF(parametros_manuales!$H$28="Todos",'Plan mensual'!F51,0))+parametros_manuales!$F$28*('Plan mensual'!F48+IF(parametros_manuales!$H$28="Todos",'Plan mensual'!F52,0))+parametros_manuales!$G$28*('Plan mensual'!F49+IF(parametros_manuales!$H$28="Todos",'Plan mensual'!F53,0)))*parametros_manuales!$I$28*parametros_manuales!$J$28</f>
        <v>4969.28</v>
      </c>
      <c r="E123" s="8">
        <f>(parametros_manuales!$D$28*('Plan mensual'!G46+IF(parametros_manuales!$H$28="Todos",'Plan mensual'!G50,0))+parametros_manuales!$E$28*('Plan mensual'!G47+IF(parametros_manuales!$H$28="Todos",'Plan mensual'!G51,0))+parametros_manuales!$F$28*('Plan mensual'!G48+IF(parametros_manuales!$H$28="Todos",'Plan mensual'!G52,0))+parametros_manuales!$G$28*('Plan mensual'!G49+IF(parametros_manuales!$H$28="Todos",'Plan mensual'!G53,0)))*parametros_manuales!$I$28*parametros_manuales!$J$28</f>
        <v>4658.7</v>
      </c>
      <c r="F123" s="8">
        <f>(parametros_manuales!$D$28*('Plan mensual'!H46+IF(parametros_manuales!$H$28="Todos",'Plan mensual'!H50,0))+parametros_manuales!$E$28*('Plan mensual'!H47+IF(parametros_manuales!$H$28="Todos",'Plan mensual'!H51,0))+parametros_manuales!$F$28*('Plan mensual'!H48+IF(parametros_manuales!$H$28="Todos",'Plan mensual'!H52,0))+parametros_manuales!$G$28*('Plan mensual'!H49+IF(parametros_manuales!$H$28="Todos",'Plan mensual'!H53,0)))*parametros_manuales!$I$28*parametros_manuales!$J$28</f>
        <v>4348.12</v>
      </c>
      <c r="G123" s="8">
        <f>(parametros_manuales!$D$28*('Plan mensual'!I46+IF(parametros_manuales!$H$28="Todos",'Plan mensual'!I50,0))+parametros_manuales!$E$28*('Plan mensual'!I47+IF(parametros_manuales!$H$28="Todos",'Plan mensual'!I51,0))+parametros_manuales!$F$28*('Plan mensual'!I48+IF(parametros_manuales!$H$28="Todos",'Plan mensual'!I52,0))+parametros_manuales!$G$28*('Plan mensual'!I49+IF(parametros_manuales!$H$28="Todos",'Plan mensual'!I53,0)))*parametros_manuales!$I$28*parametros_manuales!$J$28</f>
        <v>4348.12</v>
      </c>
      <c r="H123" s="8">
        <f>(parametros_manuales!$D$28*('Plan mensual'!J46+IF(parametros_manuales!$H$28="Todos",'Plan mensual'!J50,0))+parametros_manuales!$E$28*('Plan mensual'!J47+IF(parametros_manuales!$H$28="Todos",'Plan mensual'!J51,0))+parametros_manuales!$F$28*('Plan mensual'!J48+IF(parametros_manuales!$H$28="Todos",'Plan mensual'!J52,0))+parametros_manuales!$G$28*('Plan mensual'!J49+IF(parametros_manuales!$H$28="Todos",'Plan mensual'!J53,0)))*parametros_manuales!$I$28*parametros_manuales!$J$28</f>
        <v>4658.7</v>
      </c>
      <c r="I123" s="8">
        <f>(parametros_manuales!$D$28*('Plan mensual'!K46+IF(parametros_manuales!$H$28="Todos",'Plan mensual'!K50,0))+parametros_manuales!$E$28*('Plan mensual'!K47+IF(parametros_manuales!$H$28="Todos",'Plan mensual'!K51,0))+parametros_manuales!$F$28*('Plan mensual'!K48+IF(parametros_manuales!$H$28="Todos",'Plan mensual'!K52,0))+parametros_manuales!$G$28*('Plan mensual'!K49+IF(parametros_manuales!$H$28="Todos",'Plan mensual'!K53,0)))*parametros_manuales!$I$28*parametros_manuales!$J$28</f>
        <v>4658.7</v>
      </c>
      <c r="J123" s="8">
        <f>(parametros_manuales!$D$28*('Plan mensual'!L46+IF(parametros_manuales!$H$28="Todos",'Plan mensual'!L50,0))+parametros_manuales!$E$28*('Plan mensual'!L47+IF(parametros_manuales!$H$28="Todos",'Plan mensual'!L51,0))+parametros_manuales!$F$28*('Plan mensual'!L48+IF(parametros_manuales!$H$28="Todos",'Plan mensual'!L52,0))+parametros_manuales!$G$28*('Plan mensual'!L49+IF(parametros_manuales!$H$28="Todos",'Plan mensual'!L53,0)))*parametros_manuales!$I$28*parametros_manuales!$J$28</f>
        <v>4658.7</v>
      </c>
      <c r="K123" s="8">
        <f>(parametros_manuales!$D$28*('Plan mensual'!M46+IF(parametros_manuales!$H$28="Todos",'Plan mensual'!M50,0))+parametros_manuales!$E$28*('Plan mensual'!M47+IF(parametros_manuales!$H$28="Todos",'Plan mensual'!M51,0))+parametros_manuales!$F$28*('Plan mensual'!M48+IF(parametros_manuales!$H$28="Todos",'Plan mensual'!M52,0))+parametros_manuales!$G$28*('Plan mensual'!M49+IF(parametros_manuales!$H$28="Todos",'Plan mensual'!M53,0)))*parametros_manuales!$I$28*parametros_manuales!$J$28</f>
        <v>4658.7</v>
      </c>
      <c r="L123" s="8">
        <f>(parametros_manuales!$D$28*('Plan mensual'!N46+IF(parametros_manuales!$H$28="Todos",'Plan mensual'!N50,0))+parametros_manuales!$E$28*('Plan mensual'!N47+IF(parametros_manuales!$H$28="Todos",'Plan mensual'!N51,0))+parametros_manuales!$F$28*('Plan mensual'!N48+IF(parametros_manuales!$H$28="Todos",'Plan mensual'!N52,0))+parametros_manuales!$G$28*('Plan mensual'!N49+IF(parametros_manuales!$H$28="Todos",'Plan mensual'!N53,0)))*parametros_manuales!$I$28*parametros_manuales!$J$28</f>
        <v>4658.7</v>
      </c>
      <c r="M123" s="8">
        <f>(parametros_manuales!$D$28*('Plan mensual'!O46+IF(parametros_manuales!$H$28="Todos",'Plan mensual'!O50,0))+parametros_manuales!$E$28*('Plan mensual'!O47+IF(parametros_manuales!$H$28="Todos",'Plan mensual'!O51,0))+parametros_manuales!$F$28*('Plan mensual'!O48+IF(parametros_manuales!$H$28="Todos",'Plan mensual'!O52,0))+parametros_manuales!$G$28*('Plan mensual'!O49+IF(parametros_manuales!$H$28="Todos",'Plan mensual'!O53,0)))*parametros_manuales!$I$28*parametros_manuales!$J$28</f>
        <v>7453.92</v>
      </c>
      <c r="N123" s="8">
        <f t="shared" si="13"/>
        <v>62116</v>
      </c>
      <c r="O123" s="8">
        <f t="shared" si="14"/>
        <v>7453.92</v>
      </c>
      <c r="P123" s="27">
        <f>O123/(parametros_manuales!$B$7)</f>
        <v>49.6928</v>
      </c>
      <c r="Q123" s="4" t="str">
        <f t="shared" si="15"/>
        <v>Ene</v>
      </c>
    </row>
    <row r="124" ht="14.25" customHeight="1">
      <c r="A124" s="4" t="str">
        <f>parametros_manuales!$B$29</f>
        <v>Encastre de fondo</v>
      </c>
      <c r="B124" s="8">
        <f>(parametros_manuales!$D$29*('Plan mensual'!D46+IF(parametros_manuales!$H$29="Todos",'Plan mensual'!D50,0))+parametros_manuales!$E$29*('Plan mensual'!D47+IF(parametros_manuales!$H$29="Todos",'Plan mensual'!D51,0))+parametros_manuales!$F$29*('Plan mensual'!D48+IF(parametros_manuales!$H$29="Todos",'Plan mensual'!D52,0))+parametros_manuales!$G$29*('Plan mensual'!D49+IF(parametros_manuales!$H$29="Todos",'Plan mensual'!D53,0)))*parametros_manuales!$I$29*parametros_manuales!$J$29</f>
        <v>10127.32</v>
      </c>
      <c r="C124" s="8">
        <f>(parametros_manuales!$D$29*('Plan mensual'!E46+IF(parametros_manuales!$H$29="Todos",'Plan mensual'!E50,0))+parametros_manuales!$E$29*('Plan mensual'!E47+IF(parametros_manuales!$H$29="Todos",'Plan mensual'!E51,0))+parametros_manuales!$F$29*('Plan mensual'!E48+IF(parametros_manuales!$H$29="Todos",'Plan mensual'!E52,0))+parametros_manuales!$G$29*('Plan mensual'!E49+IF(parametros_manuales!$H$29="Todos",'Plan mensual'!E53,0)))*parametros_manuales!$I$29*parametros_manuales!$J$29</f>
        <v>7729.16</v>
      </c>
      <c r="D124" s="8">
        <f>(parametros_manuales!$D$29*('Plan mensual'!F46+IF(parametros_manuales!$H$29="Todos",'Plan mensual'!F50,0))+parametros_manuales!$E$29*('Plan mensual'!F47+IF(parametros_manuales!$H$29="Todos",'Plan mensual'!F51,0))+parametros_manuales!$F$29*('Plan mensual'!F48+IF(parametros_manuales!$H$29="Todos",'Plan mensual'!F52,0))+parametros_manuales!$G$29*('Plan mensual'!F49+IF(parametros_manuales!$H$29="Todos",'Plan mensual'!F53,0)))*parametros_manuales!$I$29*parametros_manuales!$J$29</f>
        <v>7241.67</v>
      </c>
      <c r="E124" s="8">
        <f>(parametros_manuales!$D$29*('Plan mensual'!G46+IF(parametros_manuales!$H$29="Todos",'Plan mensual'!G50,0))+parametros_manuales!$E$29*('Plan mensual'!G47+IF(parametros_manuales!$H$29="Todos",'Plan mensual'!G51,0))+parametros_manuales!$F$29*('Plan mensual'!G48+IF(parametros_manuales!$H$29="Todos",'Plan mensual'!G52,0))+parametros_manuales!$G$29*('Plan mensual'!G49+IF(parametros_manuales!$H$29="Todos",'Plan mensual'!G53,0)))*parametros_manuales!$I$29*parametros_manuales!$J$29</f>
        <v>6931.09</v>
      </c>
      <c r="F124" s="8">
        <f>(parametros_manuales!$D$29*('Plan mensual'!H46+IF(parametros_manuales!$H$29="Todos",'Plan mensual'!H50,0))+parametros_manuales!$E$29*('Plan mensual'!H47+IF(parametros_manuales!$H$29="Todos",'Plan mensual'!H51,0))+parametros_manuales!$F$29*('Plan mensual'!H48+IF(parametros_manuales!$H$29="Todos",'Plan mensual'!H52,0))+parametros_manuales!$G$29*('Plan mensual'!H49+IF(parametros_manuales!$H$29="Todos",'Plan mensual'!H53,0)))*parametros_manuales!$I$29*parametros_manuales!$J$29</f>
        <v>6486.84</v>
      </c>
      <c r="G124" s="8">
        <f>(parametros_manuales!$D$29*('Plan mensual'!I46+IF(parametros_manuales!$H$29="Todos",'Plan mensual'!I50,0))+parametros_manuales!$E$29*('Plan mensual'!I47+IF(parametros_manuales!$H$29="Todos",'Plan mensual'!I51,0))+parametros_manuales!$F$29*('Plan mensual'!I48+IF(parametros_manuales!$H$29="Todos",'Plan mensual'!I52,0))+parametros_manuales!$G$29*('Plan mensual'!I49+IF(parametros_manuales!$H$29="Todos",'Plan mensual'!I53,0)))*parametros_manuales!$I$29*parametros_manuales!$J$29</f>
        <v>6353.17</v>
      </c>
      <c r="H124" s="8">
        <f>(parametros_manuales!$D$29*('Plan mensual'!J46+IF(parametros_manuales!$H$29="Todos",'Plan mensual'!J50,0))+parametros_manuales!$E$29*('Plan mensual'!J47+IF(parametros_manuales!$H$29="Todos",'Plan mensual'!J51,0))+parametros_manuales!$F$29*('Plan mensual'!J48+IF(parametros_manuales!$H$29="Todos",'Plan mensual'!J52,0))+parametros_manuales!$G$29*('Plan mensual'!J49+IF(parametros_manuales!$H$29="Todos",'Plan mensual'!J53,0)))*parametros_manuales!$I$29*parametros_manuales!$J$29</f>
        <v>6797.42</v>
      </c>
      <c r="I124" s="8">
        <f>(parametros_manuales!$D$29*('Plan mensual'!K46+IF(parametros_manuales!$H$29="Todos",'Plan mensual'!K50,0))+parametros_manuales!$E$29*('Plan mensual'!K47+IF(parametros_manuales!$H$29="Todos",'Plan mensual'!K51,0))+parametros_manuales!$F$29*('Plan mensual'!K48+IF(parametros_manuales!$H$29="Todos",'Plan mensual'!K52,0))+parametros_manuales!$G$29*('Plan mensual'!K49+IF(parametros_manuales!$H$29="Todos",'Plan mensual'!K53,0)))*parametros_manuales!$I$29*parametros_manuales!$J$29</f>
        <v>6797.42</v>
      </c>
      <c r="J124" s="8">
        <f>(parametros_manuales!$D$29*('Plan mensual'!L46+IF(parametros_manuales!$H$29="Todos",'Plan mensual'!L50,0))+parametros_manuales!$E$29*('Plan mensual'!L47+IF(parametros_manuales!$H$29="Todos",'Plan mensual'!L51,0))+parametros_manuales!$F$29*('Plan mensual'!L48+IF(parametros_manuales!$H$29="Todos",'Plan mensual'!L52,0))+parametros_manuales!$G$29*('Plan mensual'!L49+IF(parametros_manuales!$H$29="Todos",'Plan mensual'!L53,0)))*parametros_manuales!$I$29*parametros_manuales!$J$29</f>
        <v>6797.42</v>
      </c>
      <c r="K124" s="8">
        <f>(parametros_manuales!$D$29*('Plan mensual'!M46+IF(parametros_manuales!$H$29="Todos",'Plan mensual'!M50,0))+parametros_manuales!$E$29*('Plan mensual'!M47+IF(parametros_manuales!$H$29="Todos",'Plan mensual'!M51,0))+parametros_manuales!$F$29*('Plan mensual'!M48+IF(parametros_manuales!$H$29="Todos",'Plan mensual'!M52,0))+parametros_manuales!$G$29*('Plan mensual'!M49+IF(parametros_manuales!$H$29="Todos",'Plan mensual'!M53,0)))*parametros_manuales!$I$29*parametros_manuales!$J$29</f>
        <v>6663.75</v>
      </c>
      <c r="L124" s="8">
        <f>(parametros_manuales!$D$29*('Plan mensual'!N46+IF(parametros_manuales!$H$29="Todos",'Plan mensual'!N50,0))+parametros_manuales!$E$29*('Plan mensual'!N47+IF(parametros_manuales!$H$29="Todos",'Plan mensual'!N51,0))+parametros_manuales!$F$29*('Plan mensual'!N48+IF(parametros_manuales!$H$29="Todos",'Plan mensual'!N52,0))+parametros_manuales!$G$29*('Plan mensual'!N49+IF(parametros_manuales!$H$29="Todos",'Plan mensual'!N53,0)))*parametros_manuales!$I$29*parametros_manuales!$J$29</f>
        <v>6530.08</v>
      </c>
      <c r="M124" s="8">
        <f>(parametros_manuales!$D$29*('Plan mensual'!O46+IF(parametros_manuales!$H$29="Todos",'Plan mensual'!O50,0))+parametros_manuales!$E$29*('Plan mensual'!O47+IF(parametros_manuales!$H$29="Todos",'Plan mensual'!O51,0))+parametros_manuales!$F$29*('Plan mensual'!O48+IF(parametros_manuales!$H$29="Todos",'Plan mensual'!O52,0))+parametros_manuales!$G$29*('Plan mensual'!O49+IF(parametros_manuales!$H$29="Todos",'Plan mensual'!O53,0)))*parametros_manuales!$I$29*parametros_manuales!$J$29</f>
        <v>10394.66</v>
      </c>
      <c r="N124" s="8">
        <f t="shared" si="13"/>
        <v>88850</v>
      </c>
      <c r="O124" s="8">
        <f t="shared" si="14"/>
        <v>10394.66</v>
      </c>
      <c r="P124" s="27">
        <f>O124/(parametros_manuales!$B$7)</f>
        <v>69.29773333</v>
      </c>
      <c r="Q124" s="4" t="str">
        <f t="shared" si="15"/>
        <v>Dic</v>
      </c>
    </row>
    <row r="125" ht="14.25" customHeight="1">
      <c r="A125" s="4" t="str">
        <f>parametros_manuales!$B$30</f>
        <v>Bordoneado</v>
      </c>
      <c r="B125" s="8">
        <f>(parametros_manuales!$D$30*('Plan mensual'!D46+IF(parametros_manuales!$H$30="Todos",'Plan mensual'!D50,0))+parametros_manuales!$E$30*('Plan mensual'!D47+IF(parametros_manuales!$H$30="Todos",'Plan mensual'!D51,0))+parametros_manuales!$F$30*('Plan mensual'!D48+IF(parametros_manuales!$H$30="Todos",'Plan mensual'!D52,0))+parametros_manuales!$G$30*('Plan mensual'!D49+IF(parametros_manuales!$H$30="Todos",'Plan mensual'!D53,0)))*parametros_manuales!$I$30*parametros_manuales!$J$30</f>
        <v>10127.32</v>
      </c>
      <c r="C125" s="8">
        <f>(parametros_manuales!$D$30*('Plan mensual'!E46+IF(parametros_manuales!$H$30="Todos",'Plan mensual'!E50,0))+parametros_manuales!$E$30*('Plan mensual'!E47+IF(parametros_manuales!$H$30="Todos",'Plan mensual'!E51,0))+parametros_manuales!$F$30*('Plan mensual'!E48+IF(parametros_manuales!$H$30="Todos",'Plan mensual'!E52,0))+parametros_manuales!$G$30*('Plan mensual'!E49+IF(parametros_manuales!$H$30="Todos",'Plan mensual'!E53,0)))*parametros_manuales!$I$30*parametros_manuales!$J$30</f>
        <v>7729.16</v>
      </c>
      <c r="D125" s="8">
        <f>(parametros_manuales!$D$30*('Plan mensual'!F46+IF(parametros_manuales!$H$30="Todos",'Plan mensual'!F50,0))+parametros_manuales!$E$30*('Plan mensual'!F47+IF(parametros_manuales!$H$30="Todos",'Plan mensual'!F51,0))+parametros_manuales!$F$30*('Plan mensual'!F48+IF(parametros_manuales!$H$30="Todos",'Plan mensual'!F52,0))+parametros_manuales!$G$30*('Plan mensual'!F49+IF(parametros_manuales!$H$30="Todos",'Plan mensual'!F53,0)))*parametros_manuales!$I$30*parametros_manuales!$J$30</f>
        <v>7241.67</v>
      </c>
      <c r="E125" s="8">
        <f>(parametros_manuales!$D$30*('Plan mensual'!G46+IF(parametros_manuales!$H$30="Todos",'Plan mensual'!G50,0))+parametros_manuales!$E$30*('Plan mensual'!G47+IF(parametros_manuales!$H$30="Todos",'Plan mensual'!G51,0))+parametros_manuales!$F$30*('Plan mensual'!G48+IF(parametros_manuales!$H$30="Todos",'Plan mensual'!G52,0))+parametros_manuales!$G$30*('Plan mensual'!G49+IF(parametros_manuales!$H$30="Todos",'Plan mensual'!G53,0)))*parametros_manuales!$I$30*parametros_manuales!$J$30</f>
        <v>6931.09</v>
      </c>
      <c r="F125" s="8">
        <f>(parametros_manuales!$D$30*('Plan mensual'!H46+IF(parametros_manuales!$H$30="Todos",'Plan mensual'!H50,0))+parametros_manuales!$E$30*('Plan mensual'!H47+IF(parametros_manuales!$H$30="Todos",'Plan mensual'!H51,0))+parametros_manuales!$F$30*('Plan mensual'!H48+IF(parametros_manuales!$H$30="Todos",'Plan mensual'!H52,0))+parametros_manuales!$G$30*('Plan mensual'!H49+IF(parametros_manuales!$H$30="Todos",'Plan mensual'!H53,0)))*parametros_manuales!$I$30*parametros_manuales!$J$30</f>
        <v>6486.84</v>
      </c>
      <c r="G125" s="8">
        <f>(parametros_manuales!$D$30*('Plan mensual'!I46+IF(parametros_manuales!$H$30="Todos",'Plan mensual'!I50,0))+parametros_manuales!$E$30*('Plan mensual'!I47+IF(parametros_manuales!$H$30="Todos",'Plan mensual'!I51,0))+parametros_manuales!$F$30*('Plan mensual'!I48+IF(parametros_manuales!$H$30="Todos",'Plan mensual'!I52,0))+parametros_manuales!$G$30*('Plan mensual'!I49+IF(parametros_manuales!$H$30="Todos",'Plan mensual'!I53,0)))*parametros_manuales!$I$30*parametros_manuales!$J$30</f>
        <v>6353.17</v>
      </c>
      <c r="H125" s="8">
        <f>(parametros_manuales!$D$30*('Plan mensual'!J46+IF(parametros_manuales!$H$30="Todos",'Plan mensual'!J50,0))+parametros_manuales!$E$30*('Plan mensual'!J47+IF(parametros_manuales!$H$30="Todos",'Plan mensual'!J51,0))+parametros_manuales!$F$30*('Plan mensual'!J48+IF(parametros_manuales!$H$30="Todos",'Plan mensual'!J52,0))+parametros_manuales!$G$30*('Plan mensual'!J49+IF(parametros_manuales!$H$30="Todos",'Plan mensual'!J53,0)))*parametros_manuales!$I$30*parametros_manuales!$J$30</f>
        <v>6797.42</v>
      </c>
      <c r="I125" s="8">
        <f>(parametros_manuales!$D$30*('Plan mensual'!K46+IF(parametros_manuales!$H$30="Todos",'Plan mensual'!K50,0))+parametros_manuales!$E$30*('Plan mensual'!K47+IF(parametros_manuales!$H$30="Todos",'Plan mensual'!K51,0))+parametros_manuales!$F$30*('Plan mensual'!K48+IF(parametros_manuales!$H$30="Todos",'Plan mensual'!K52,0))+parametros_manuales!$G$30*('Plan mensual'!K49+IF(parametros_manuales!$H$30="Todos",'Plan mensual'!K53,0)))*parametros_manuales!$I$30*parametros_manuales!$J$30</f>
        <v>6797.42</v>
      </c>
      <c r="J125" s="8">
        <f>(parametros_manuales!$D$30*('Plan mensual'!L46+IF(parametros_manuales!$H$30="Todos",'Plan mensual'!L50,0))+parametros_manuales!$E$30*('Plan mensual'!L47+IF(parametros_manuales!$H$30="Todos",'Plan mensual'!L51,0))+parametros_manuales!$F$30*('Plan mensual'!L48+IF(parametros_manuales!$H$30="Todos",'Plan mensual'!L52,0))+parametros_manuales!$G$30*('Plan mensual'!L49+IF(parametros_manuales!$H$30="Todos",'Plan mensual'!L53,0)))*parametros_manuales!$I$30*parametros_manuales!$J$30</f>
        <v>6797.42</v>
      </c>
      <c r="K125" s="8">
        <f>(parametros_manuales!$D$30*('Plan mensual'!M46+IF(parametros_manuales!$H$30="Todos",'Plan mensual'!M50,0))+parametros_manuales!$E$30*('Plan mensual'!M47+IF(parametros_manuales!$H$30="Todos",'Plan mensual'!M51,0))+parametros_manuales!$F$30*('Plan mensual'!M48+IF(parametros_manuales!$H$30="Todos",'Plan mensual'!M52,0))+parametros_manuales!$G$30*('Plan mensual'!M49+IF(parametros_manuales!$H$30="Todos",'Plan mensual'!M53,0)))*parametros_manuales!$I$30*parametros_manuales!$J$30</f>
        <v>6663.75</v>
      </c>
      <c r="L125" s="8">
        <f>(parametros_manuales!$D$30*('Plan mensual'!N46+IF(parametros_manuales!$H$30="Todos",'Plan mensual'!N50,0))+parametros_manuales!$E$30*('Plan mensual'!N47+IF(parametros_manuales!$H$30="Todos",'Plan mensual'!N51,0))+parametros_manuales!$F$30*('Plan mensual'!N48+IF(parametros_manuales!$H$30="Todos",'Plan mensual'!N52,0))+parametros_manuales!$G$30*('Plan mensual'!N49+IF(parametros_manuales!$H$30="Todos",'Plan mensual'!N53,0)))*parametros_manuales!$I$30*parametros_manuales!$J$30</f>
        <v>6530.08</v>
      </c>
      <c r="M125" s="8">
        <f>(parametros_manuales!$D$30*('Plan mensual'!O46+IF(parametros_manuales!$H$30="Todos",'Plan mensual'!O50,0))+parametros_manuales!$E$30*('Plan mensual'!O47+IF(parametros_manuales!$H$30="Todos",'Plan mensual'!O51,0))+parametros_manuales!$F$30*('Plan mensual'!O48+IF(parametros_manuales!$H$30="Todos",'Plan mensual'!O52,0))+parametros_manuales!$G$30*('Plan mensual'!O49+IF(parametros_manuales!$H$30="Todos",'Plan mensual'!O53,0)))*parametros_manuales!$I$30*parametros_manuales!$J$30</f>
        <v>10394.66</v>
      </c>
      <c r="N125" s="8">
        <f t="shared" si="13"/>
        <v>88850</v>
      </c>
      <c r="O125" s="8">
        <f t="shared" si="14"/>
        <v>10394.66</v>
      </c>
      <c r="P125" s="27">
        <f>O125/(parametros_manuales!$B$7)</f>
        <v>69.29773333</v>
      </c>
      <c r="Q125" s="4" t="str">
        <f t="shared" si="15"/>
        <v>Dic</v>
      </c>
    </row>
    <row r="126" ht="14.25" customHeight="1">
      <c r="A126" s="4" t="str">
        <f>parametros_manuales!$B$31</f>
        <v>Soldadura circunferencial de cúpula y fondo</v>
      </c>
      <c r="B126" s="8">
        <f>(parametros_manuales!$D$31*('Plan mensual'!D46+IF(parametros_manuales!$H$31="Todos",'Plan mensual'!D50,0))+parametros_manuales!$E$31*('Plan mensual'!D47+IF(parametros_manuales!$H$31="Todos",'Plan mensual'!D51,0))+parametros_manuales!$F$31*('Plan mensual'!D48+IF(parametros_manuales!$H$31="Todos",'Plan mensual'!D52,0))+parametros_manuales!$G$31*('Plan mensual'!D49+IF(parametros_manuales!$H$31="Todos",'Plan mensual'!D53,0)))*parametros_manuales!$I$31*parametros_manuales!$J$31</f>
        <v>10127.32</v>
      </c>
      <c r="C126" s="8">
        <f>(parametros_manuales!$D$31*('Plan mensual'!E46+IF(parametros_manuales!$H$31="Todos",'Plan mensual'!E50,0))+parametros_manuales!$E$31*('Plan mensual'!E47+IF(parametros_manuales!$H$31="Todos",'Plan mensual'!E51,0))+parametros_manuales!$F$31*('Plan mensual'!E48+IF(parametros_manuales!$H$31="Todos",'Plan mensual'!E52,0))+parametros_manuales!$G$31*('Plan mensual'!E49+IF(parametros_manuales!$H$31="Todos",'Plan mensual'!E53,0)))*parametros_manuales!$I$31*parametros_manuales!$J$31</f>
        <v>7729.16</v>
      </c>
      <c r="D126" s="8">
        <f>(parametros_manuales!$D$31*('Plan mensual'!F46+IF(parametros_manuales!$H$31="Todos",'Plan mensual'!F50,0))+parametros_manuales!$E$31*('Plan mensual'!F47+IF(parametros_manuales!$H$31="Todos",'Plan mensual'!F51,0))+parametros_manuales!$F$31*('Plan mensual'!F48+IF(parametros_manuales!$H$31="Todos",'Plan mensual'!F52,0))+parametros_manuales!$G$31*('Plan mensual'!F49+IF(parametros_manuales!$H$31="Todos",'Plan mensual'!F53,0)))*parametros_manuales!$I$31*parametros_manuales!$J$31</f>
        <v>7241.67</v>
      </c>
      <c r="E126" s="8">
        <f>(parametros_manuales!$D$31*('Plan mensual'!G46+IF(parametros_manuales!$H$31="Todos",'Plan mensual'!G50,0))+parametros_manuales!$E$31*('Plan mensual'!G47+IF(parametros_manuales!$H$31="Todos",'Plan mensual'!G51,0))+parametros_manuales!$F$31*('Plan mensual'!G48+IF(parametros_manuales!$H$31="Todos",'Plan mensual'!G52,0))+parametros_manuales!$G$31*('Plan mensual'!G49+IF(parametros_manuales!$H$31="Todos",'Plan mensual'!G53,0)))*parametros_manuales!$I$31*parametros_manuales!$J$31</f>
        <v>6931.09</v>
      </c>
      <c r="F126" s="8">
        <f>(parametros_manuales!$D$31*('Plan mensual'!H46+IF(parametros_manuales!$H$31="Todos",'Plan mensual'!H50,0))+parametros_manuales!$E$31*('Plan mensual'!H47+IF(parametros_manuales!$H$31="Todos",'Plan mensual'!H51,0))+parametros_manuales!$F$31*('Plan mensual'!H48+IF(parametros_manuales!$H$31="Todos",'Plan mensual'!H52,0))+parametros_manuales!$G$31*('Plan mensual'!H49+IF(parametros_manuales!$H$31="Todos",'Plan mensual'!H53,0)))*parametros_manuales!$I$31*parametros_manuales!$J$31</f>
        <v>6486.84</v>
      </c>
      <c r="G126" s="8">
        <f>(parametros_manuales!$D$31*('Plan mensual'!I46+IF(parametros_manuales!$H$31="Todos",'Plan mensual'!I50,0))+parametros_manuales!$E$31*('Plan mensual'!I47+IF(parametros_manuales!$H$31="Todos",'Plan mensual'!I51,0))+parametros_manuales!$F$31*('Plan mensual'!I48+IF(parametros_manuales!$H$31="Todos",'Plan mensual'!I52,0))+parametros_manuales!$G$31*('Plan mensual'!I49+IF(parametros_manuales!$H$31="Todos",'Plan mensual'!I53,0)))*parametros_manuales!$I$31*parametros_manuales!$J$31</f>
        <v>6353.17</v>
      </c>
      <c r="H126" s="8">
        <f>(parametros_manuales!$D$31*('Plan mensual'!J46+IF(parametros_manuales!$H$31="Todos",'Plan mensual'!J50,0))+parametros_manuales!$E$31*('Plan mensual'!J47+IF(parametros_manuales!$H$31="Todos",'Plan mensual'!J51,0))+parametros_manuales!$F$31*('Plan mensual'!J48+IF(parametros_manuales!$H$31="Todos",'Plan mensual'!J52,0))+parametros_manuales!$G$31*('Plan mensual'!J49+IF(parametros_manuales!$H$31="Todos",'Plan mensual'!J53,0)))*parametros_manuales!$I$31*parametros_manuales!$J$31</f>
        <v>6797.42</v>
      </c>
      <c r="I126" s="8">
        <f>(parametros_manuales!$D$31*('Plan mensual'!K46+IF(parametros_manuales!$H$31="Todos",'Plan mensual'!K50,0))+parametros_manuales!$E$31*('Plan mensual'!K47+IF(parametros_manuales!$H$31="Todos",'Plan mensual'!K51,0))+parametros_manuales!$F$31*('Plan mensual'!K48+IF(parametros_manuales!$H$31="Todos",'Plan mensual'!K52,0))+parametros_manuales!$G$31*('Plan mensual'!K49+IF(parametros_manuales!$H$31="Todos",'Plan mensual'!K53,0)))*parametros_manuales!$I$31*parametros_manuales!$J$31</f>
        <v>6797.42</v>
      </c>
      <c r="J126" s="8">
        <f>(parametros_manuales!$D$31*('Plan mensual'!L46+IF(parametros_manuales!$H$31="Todos",'Plan mensual'!L50,0))+parametros_manuales!$E$31*('Plan mensual'!L47+IF(parametros_manuales!$H$31="Todos",'Plan mensual'!L51,0))+parametros_manuales!$F$31*('Plan mensual'!L48+IF(parametros_manuales!$H$31="Todos",'Plan mensual'!L52,0))+parametros_manuales!$G$31*('Plan mensual'!L49+IF(parametros_manuales!$H$31="Todos",'Plan mensual'!L53,0)))*parametros_manuales!$I$31*parametros_manuales!$J$31</f>
        <v>6797.42</v>
      </c>
      <c r="K126" s="8">
        <f>(parametros_manuales!$D$31*('Plan mensual'!M46+IF(parametros_manuales!$H$31="Todos",'Plan mensual'!M50,0))+parametros_manuales!$E$31*('Plan mensual'!M47+IF(parametros_manuales!$H$31="Todos",'Plan mensual'!M51,0))+parametros_manuales!$F$31*('Plan mensual'!M48+IF(parametros_manuales!$H$31="Todos",'Plan mensual'!M52,0))+parametros_manuales!$G$31*('Plan mensual'!M49+IF(parametros_manuales!$H$31="Todos",'Plan mensual'!M53,0)))*parametros_manuales!$I$31*parametros_manuales!$J$31</f>
        <v>6663.75</v>
      </c>
      <c r="L126" s="8">
        <f>(parametros_manuales!$D$31*('Plan mensual'!N46+IF(parametros_manuales!$H$31="Todos",'Plan mensual'!N50,0))+parametros_manuales!$E$31*('Plan mensual'!N47+IF(parametros_manuales!$H$31="Todos",'Plan mensual'!N51,0))+parametros_manuales!$F$31*('Plan mensual'!N48+IF(parametros_manuales!$H$31="Todos",'Plan mensual'!N52,0))+parametros_manuales!$G$31*('Plan mensual'!N49+IF(parametros_manuales!$H$31="Todos",'Plan mensual'!N53,0)))*parametros_manuales!$I$31*parametros_manuales!$J$31</f>
        <v>6530.08</v>
      </c>
      <c r="M126" s="8">
        <f>(parametros_manuales!$D$31*('Plan mensual'!O46+IF(parametros_manuales!$H$31="Todos",'Plan mensual'!O50,0))+parametros_manuales!$E$31*('Plan mensual'!O47+IF(parametros_manuales!$H$31="Todos",'Plan mensual'!O51,0))+parametros_manuales!$F$31*('Plan mensual'!O48+IF(parametros_manuales!$H$31="Todos",'Plan mensual'!O52,0))+parametros_manuales!$G$31*('Plan mensual'!O49+IF(parametros_manuales!$H$31="Todos",'Plan mensual'!O53,0)))*parametros_manuales!$I$31*parametros_manuales!$J$31</f>
        <v>10394.66</v>
      </c>
      <c r="N126" s="8">
        <f t="shared" si="13"/>
        <v>88850</v>
      </c>
      <c r="O126" s="8">
        <f t="shared" si="14"/>
        <v>10394.66</v>
      </c>
      <c r="P126" s="27">
        <f>O126/(parametros_manuales!$B$7)</f>
        <v>69.29773333</v>
      </c>
      <c r="Q126" s="4" t="str">
        <f t="shared" si="15"/>
        <v>Dic</v>
      </c>
    </row>
    <row r="127" ht="14.25" customHeight="1">
      <c r="A127" s="4" t="str">
        <f>parametros_manuales!$B$32</f>
        <v>Control de calidad — Espesor</v>
      </c>
      <c r="B127" s="8">
        <f>(parametros_manuales!$D$32*('Plan mensual'!D46+IF(parametros_manuales!$H$32="Todos",'Plan mensual'!D50,0))+parametros_manuales!$E$32*('Plan mensual'!D47+IF(parametros_manuales!$H$32="Todos",'Plan mensual'!D51,0))+parametros_manuales!$F$32*('Plan mensual'!D48+IF(parametros_manuales!$H$32="Todos",'Plan mensual'!D52,0))+parametros_manuales!$G$32*('Plan mensual'!D49+IF(parametros_manuales!$H$32="Todos",'Plan mensual'!D53,0)))*parametros_manuales!$I$32*parametros_manuales!$J$32</f>
        <v>202.5464</v>
      </c>
      <c r="C127" s="8">
        <f>(parametros_manuales!$D$32*('Plan mensual'!E46+IF(parametros_manuales!$H$32="Todos",'Plan mensual'!E50,0))+parametros_manuales!$E$32*('Plan mensual'!E47+IF(parametros_manuales!$H$32="Todos",'Plan mensual'!E51,0))+parametros_manuales!$F$32*('Plan mensual'!E48+IF(parametros_manuales!$H$32="Todos",'Plan mensual'!E52,0))+parametros_manuales!$G$32*('Plan mensual'!E49+IF(parametros_manuales!$H$32="Todos",'Plan mensual'!E53,0)))*parametros_manuales!$I$32*parametros_manuales!$J$32</f>
        <v>154.5832</v>
      </c>
      <c r="D127" s="8">
        <f>(parametros_manuales!$D$32*('Plan mensual'!F46+IF(parametros_manuales!$H$32="Todos",'Plan mensual'!F50,0))+parametros_manuales!$E$32*('Plan mensual'!F47+IF(parametros_manuales!$H$32="Todos",'Plan mensual'!F51,0))+parametros_manuales!$F$32*('Plan mensual'!F48+IF(parametros_manuales!$H$32="Todos",'Plan mensual'!F52,0))+parametros_manuales!$G$32*('Plan mensual'!F49+IF(parametros_manuales!$H$32="Todos",'Plan mensual'!F53,0)))*parametros_manuales!$I$32*parametros_manuales!$J$32</f>
        <v>144.8334</v>
      </c>
      <c r="E127" s="8">
        <f>(parametros_manuales!$D$32*('Plan mensual'!G46+IF(parametros_manuales!$H$32="Todos",'Plan mensual'!G50,0))+parametros_manuales!$E$32*('Plan mensual'!G47+IF(parametros_manuales!$H$32="Todos",'Plan mensual'!G51,0))+parametros_manuales!$F$32*('Plan mensual'!G48+IF(parametros_manuales!$H$32="Todos",'Plan mensual'!G52,0))+parametros_manuales!$G$32*('Plan mensual'!G49+IF(parametros_manuales!$H$32="Todos",'Plan mensual'!G53,0)))*parametros_manuales!$I$32*parametros_manuales!$J$32</f>
        <v>138.6218</v>
      </c>
      <c r="F127" s="8">
        <f>(parametros_manuales!$D$32*('Plan mensual'!H46+IF(parametros_manuales!$H$32="Todos",'Plan mensual'!H50,0))+parametros_manuales!$E$32*('Plan mensual'!H47+IF(parametros_manuales!$H$32="Todos",'Plan mensual'!H51,0))+parametros_manuales!$F$32*('Plan mensual'!H48+IF(parametros_manuales!$H$32="Todos",'Plan mensual'!H52,0))+parametros_manuales!$G$32*('Plan mensual'!H49+IF(parametros_manuales!$H$32="Todos",'Plan mensual'!H53,0)))*parametros_manuales!$I$32*parametros_manuales!$J$32</f>
        <v>129.7368</v>
      </c>
      <c r="G127" s="8">
        <f>(parametros_manuales!$D$32*('Plan mensual'!I46+IF(parametros_manuales!$H$32="Todos",'Plan mensual'!I50,0))+parametros_manuales!$E$32*('Plan mensual'!I47+IF(parametros_manuales!$H$32="Todos",'Plan mensual'!I51,0))+parametros_manuales!$F$32*('Plan mensual'!I48+IF(parametros_manuales!$H$32="Todos",'Plan mensual'!I52,0))+parametros_manuales!$G$32*('Plan mensual'!I49+IF(parametros_manuales!$H$32="Todos",'Plan mensual'!I53,0)))*parametros_manuales!$I$32*parametros_manuales!$J$32</f>
        <v>127.0634</v>
      </c>
      <c r="H127" s="8">
        <f>(parametros_manuales!$D$32*('Plan mensual'!J46+IF(parametros_manuales!$H$32="Todos",'Plan mensual'!J50,0))+parametros_manuales!$E$32*('Plan mensual'!J47+IF(parametros_manuales!$H$32="Todos",'Plan mensual'!J51,0))+parametros_manuales!$F$32*('Plan mensual'!J48+IF(parametros_manuales!$H$32="Todos",'Plan mensual'!J52,0))+parametros_manuales!$G$32*('Plan mensual'!J49+IF(parametros_manuales!$H$32="Todos",'Plan mensual'!J53,0)))*parametros_manuales!$I$32*parametros_manuales!$J$32</f>
        <v>135.9484</v>
      </c>
      <c r="I127" s="8">
        <f>(parametros_manuales!$D$32*('Plan mensual'!K46+IF(parametros_manuales!$H$32="Todos",'Plan mensual'!K50,0))+parametros_manuales!$E$32*('Plan mensual'!K47+IF(parametros_manuales!$H$32="Todos",'Plan mensual'!K51,0))+parametros_manuales!$F$32*('Plan mensual'!K48+IF(parametros_manuales!$H$32="Todos",'Plan mensual'!K52,0))+parametros_manuales!$G$32*('Plan mensual'!K49+IF(parametros_manuales!$H$32="Todos",'Plan mensual'!K53,0)))*parametros_manuales!$I$32*parametros_manuales!$J$32</f>
        <v>135.9484</v>
      </c>
      <c r="J127" s="8">
        <f>(parametros_manuales!$D$32*('Plan mensual'!L46+IF(parametros_manuales!$H$32="Todos",'Plan mensual'!L50,0))+parametros_manuales!$E$32*('Plan mensual'!L47+IF(parametros_manuales!$H$32="Todos",'Plan mensual'!L51,0))+parametros_manuales!$F$32*('Plan mensual'!L48+IF(parametros_manuales!$H$32="Todos",'Plan mensual'!L52,0))+parametros_manuales!$G$32*('Plan mensual'!L49+IF(parametros_manuales!$H$32="Todos",'Plan mensual'!L53,0)))*parametros_manuales!$I$32*parametros_manuales!$J$32</f>
        <v>135.9484</v>
      </c>
      <c r="K127" s="8">
        <f>(parametros_manuales!$D$32*('Plan mensual'!M46+IF(parametros_manuales!$H$32="Todos",'Plan mensual'!M50,0))+parametros_manuales!$E$32*('Plan mensual'!M47+IF(parametros_manuales!$H$32="Todos",'Plan mensual'!M51,0))+parametros_manuales!$F$32*('Plan mensual'!M48+IF(parametros_manuales!$H$32="Todos",'Plan mensual'!M52,0))+parametros_manuales!$G$32*('Plan mensual'!M49+IF(parametros_manuales!$H$32="Todos",'Plan mensual'!M53,0)))*parametros_manuales!$I$32*parametros_manuales!$J$32</f>
        <v>133.275</v>
      </c>
      <c r="L127" s="8">
        <f>(parametros_manuales!$D$32*('Plan mensual'!N46+IF(parametros_manuales!$H$32="Todos",'Plan mensual'!N50,0))+parametros_manuales!$E$32*('Plan mensual'!N47+IF(parametros_manuales!$H$32="Todos",'Plan mensual'!N51,0))+parametros_manuales!$F$32*('Plan mensual'!N48+IF(parametros_manuales!$H$32="Todos",'Plan mensual'!N52,0))+parametros_manuales!$G$32*('Plan mensual'!N49+IF(parametros_manuales!$H$32="Todos",'Plan mensual'!N53,0)))*parametros_manuales!$I$32*parametros_manuales!$J$32</f>
        <v>130.6016</v>
      </c>
      <c r="M127" s="8">
        <f>(parametros_manuales!$D$32*('Plan mensual'!O46+IF(parametros_manuales!$H$32="Todos",'Plan mensual'!O50,0))+parametros_manuales!$E$32*('Plan mensual'!O47+IF(parametros_manuales!$H$32="Todos",'Plan mensual'!O51,0))+parametros_manuales!$F$32*('Plan mensual'!O48+IF(parametros_manuales!$H$32="Todos",'Plan mensual'!O52,0))+parametros_manuales!$G$32*('Plan mensual'!O49+IF(parametros_manuales!$H$32="Todos",'Plan mensual'!O53,0)))*parametros_manuales!$I$32*parametros_manuales!$J$32</f>
        <v>207.8932</v>
      </c>
      <c r="N127" s="8">
        <f t="shared" si="13"/>
        <v>1777</v>
      </c>
      <c r="O127" s="8">
        <f t="shared" si="14"/>
        <v>207.8932</v>
      </c>
      <c r="P127" s="27">
        <f>O127/(parametros_manuales!$B$7)</f>
        <v>1.385954667</v>
      </c>
      <c r="Q127" s="4" t="str">
        <f t="shared" si="15"/>
        <v>Dic</v>
      </c>
    </row>
    <row r="128" ht="14.25" customHeight="1">
      <c r="A128" s="4" t="str">
        <f>parametros_manuales!$B$33</f>
        <v>Prueba hidráulica</v>
      </c>
      <c r="B128" s="8">
        <f>(parametros_manuales!$D$33*('Plan mensual'!D46+IF(parametros_manuales!$H$33="Todos",'Plan mensual'!D50,0))+parametros_manuales!$E$33*('Plan mensual'!D47+IF(parametros_manuales!$H$33="Todos",'Plan mensual'!D51,0))+parametros_manuales!$F$33*('Plan mensual'!D48+IF(parametros_manuales!$H$33="Todos",'Plan mensual'!D52,0))+parametros_manuales!$G$33*('Plan mensual'!D49+IF(parametros_manuales!$H$33="Todos",'Plan mensual'!D53,0)))*parametros_manuales!$I$33*parametros_manuales!$J$33</f>
        <v>10127.32</v>
      </c>
      <c r="C128" s="8">
        <f>(parametros_manuales!$D$33*('Plan mensual'!E46+IF(parametros_manuales!$H$33="Todos",'Plan mensual'!E50,0))+parametros_manuales!$E$33*('Plan mensual'!E47+IF(parametros_manuales!$H$33="Todos",'Plan mensual'!E51,0))+parametros_manuales!$F$33*('Plan mensual'!E48+IF(parametros_manuales!$H$33="Todos",'Plan mensual'!E52,0))+parametros_manuales!$G$33*('Plan mensual'!E49+IF(parametros_manuales!$H$33="Todos",'Plan mensual'!E53,0)))*parametros_manuales!$I$33*parametros_manuales!$J$33</f>
        <v>7729.16</v>
      </c>
      <c r="D128" s="8">
        <f>(parametros_manuales!$D$33*('Plan mensual'!F46+IF(parametros_manuales!$H$33="Todos",'Plan mensual'!F50,0))+parametros_manuales!$E$33*('Plan mensual'!F47+IF(parametros_manuales!$H$33="Todos",'Plan mensual'!F51,0))+parametros_manuales!$F$33*('Plan mensual'!F48+IF(parametros_manuales!$H$33="Todos",'Plan mensual'!F52,0))+parametros_manuales!$G$33*('Plan mensual'!F49+IF(parametros_manuales!$H$33="Todos",'Plan mensual'!F53,0)))*parametros_manuales!$I$33*parametros_manuales!$J$33</f>
        <v>7241.67</v>
      </c>
      <c r="E128" s="8">
        <f>(parametros_manuales!$D$33*('Plan mensual'!G46+IF(parametros_manuales!$H$33="Todos",'Plan mensual'!G50,0))+parametros_manuales!$E$33*('Plan mensual'!G47+IF(parametros_manuales!$H$33="Todos",'Plan mensual'!G51,0))+parametros_manuales!$F$33*('Plan mensual'!G48+IF(parametros_manuales!$H$33="Todos",'Plan mensual'!G52,0))+parametros_manuales!$G$33*('Plan mensual'!G49+IF(parametros_manuales!$H$33="Todos",'Plan mensual'!G53,0)))*parametros_manuales!$I$33*parametros_manuales!$J$33</f>
        <v>6931.09</v>
      </c>
      <c r="F128" s="8">
        <f>(parametros_manuales!$D$33*('Plan mensual'!H46+IF(parametros_manuales!$H$33="Todos",'Plan mensual'!H50,0))+parametros_manuales!$E$33*('Plan mensual'!H47+IF(parametros_manuales!$H$33="Todos",'Plan mensual'!H51,0))+parametros_manuales!$F$33*('Plan mensual'!H48+IF(parametros_manuales!$H$33="Todos",'Plan mensual'!H52,0))+parametros_manuales!$G$33*('Plan mensual'!H49+IF(parametros_manuales!$H$33="Todos",'Plan mensual'!H53,0)))*parametros_manuales!$I$33*parametros_manuales!$J$33</f>
        <v>6486.84</v>
      </c>
      <c r="G128" s="8">
        <f>(parametros_manuales!$D$33*('Plan mensual'!I46+IF(parametros_manuales!$H$33="Todos",'Plan mensual'!I50,0))+parametros_manuales!$E$33*('Plan mensual'!I47+IF(parametros_manuales!$H$33="Todos",'Plan mensual'!I51,0))+parametros_manuales!$F$33*('Plan mensual'!I48+IF(parametros_manuales!$H$33="Todos",'Plan mensual'!I52,0))+parametros_manuales!$G$33*('Plan mensual'!I49+IF(parametros_manuales!$H$33="Todos",'Plan mensual'!I53,0)))*parametros_manuales!$I$33*parametros_manuales!$J$33</f>
        <v>6353.17</v>
      </c>
      <c r="H128" s="8">
        <f>(parametros_manuales!$D$33*('Plan mensual'!J46+IF(parametros_manuales!$H$33="Todos",'Plan mensual'!J50,0))+parametros_manuales!$E$33*('Plan mensual'!J47+IF(parametros_manuales!$H$33="Todos",'Plan mensual'!J51,0))+parametros_manuales!$F$33*('Plan mensual'!J48+IF(parametros_manuales!$H$33="Todos",'Plan mensual'!J52,0))+parametros_manuales!$G$33*('Plan mensual'!J49+IF(parametros_manuales!$H$33="Todos",'Plan mensual'!J53,0)))*parametros_manuales!$I$33*parametros_manuales!$J$33</f>
        <v>6797.42</v>
      </c>
      <c r="I128" s="8">
        <f>(parametros_manuales!$D$33*('Plan mensual'!K46+IF(parametros_manuales!$H$33="Todos",'Plan mensual'!K50,0))+parametros_manuales!$E$33*('Plan mensual'!K47+IF(parametros_manuales!$H$33="Todos",'Plan mensual'!K51,0))+parametros_manuales!$F$33*('Plan mensual'!K48+IF(parametros_manuales!$H$33="Todos",'Plan mensual'!K52,0))+parametros_manuales!$G$33*('Plan mensual'!K49+IF(parametros_manuales!$H$33="Todos",'Plan mensual'!K53,0)))*parametros_manuales!$I$33*parametros_manuales!$J$33</f>
        <v>6797.42</v>
      </c>
      <c r="J128" s="8">
        <f>(parametros_manuales!$D$33*('Plan mensual'!L46+IF(parametros_manuales!$H$33="Todos",'Plan mensual'!L50,0))+parametros_manuales!$E$33*('Plan mensual'!L47+IF(parametros_manuales!$H$33="Todos",'Plan mensual'!L51,0))+parametros_manuales!$F$33*('Plan mensual'!L48+IF(parametros_manuales!$H$33="Todos",'Plan mensual'!L52,0))+parametros_manuales!$G$33*('Plan mensual'!L49+IF(parametros_manuales!$H$33="Todos",'Plan mensual'!L53,0)))*parametros_manuales!$I$33*parametros_manuales!$J$33</f>
        <v>6797.42</v>
      </c>
      <c r="K128" s="8">
        <f>(parametros_manuales!$D$33*('Plan mensual'!M46+IF(parametros_manuales!$H$33="Todos",'Plan mensual'!M50,0))+parametros_manuales!$E$33*('Plan mensual'!M47+IF(parametros_manuales!$H$33="Todos",'Plan mensual'!M51,0))+parametros_manuales!$F$33*('Plan mensual'!M48+IF(parametros_manuales!$H$33="Todos",'Plan mensual'!M52,0))+parametros_manuales!$G$33*('Plan mensual'!M49+IF(parametros_manuales!$H$33="Todos",'Plan mensual'!M53,0)))*parametros_manuales!$I$33*parametros_manuales!$J$33</f>
        <v>6663.75</v>
      </c>
      <c r="L128" s="8">
        <f>(parametros_manuales!$D$33*('Plan mensual'!N46+IF(parametros_manuales!$H$33="Todos",'Plan mensual'!N50,0))+parametros_manuales!$E$33*('Plan mensual'!N47+IF(parametros_manuales!$H$33="Todos",'Plan mensual'!N51,0))+parametros_manuales!$F$33*('Plan mensual'!N48+IF(parametros_manuales!$H$33="Todos",'Plan mensual'!N52,0))+parametros_manuales!$G$33*('Plan mensual'!N49+IF(parametros_manuales!$H$33="Todos",'Plan mensual'!N53,0)))*parametros_manuales!$I$33*parametros_manuales!$J$33</f>
        <v>6530.08</v>
      </c>
      <c r="M128" s="8">
        <f>(parametros_manuales!$D$33*('Plan mensual'!O46+IF(parametros_manuales!$H$33="Todos",'Plan mensual'!O50,0))+parametros_manuales!$E$33*('Plan mensual'!O47+IF(parametros_manuales!$H$33="Todos",'Plan mensual'!O51,0))+parametros_manuales!$F$33*('Plan mensual'!O48+IF(parametros_manuales!$H$33="Todos",'Plan mensual'!O52,0))+parametros_manuales!$G$33*('Plan mensual'!O49+IF(parametros_manuales!$H$33="Todos",'Plan mensual'!O53,0)))*parametros_manuales!$I$33*parametros_manuales!$J$33</f>
        <v>10394.66</v>
      </c>
      <c r="N128" s="8">
        <f t="shared" si="13"/>
        <v>88850</v>
      </c>
      <c r="O128" s="8">
        <f t="shared" si="14"/>
        <v>10394.66</v>
      </c>
      <c r="P128" s="27">
        <f>O128/(parametros_manuales!$B$7)</f>
        <v>69.29773333</v>
      </c>
      <c r="Q128" s="4" t="str">
        <f t="shared" si="15"/>
        <v>Dic</v>
      </c>
    </row>
    <row r="129" ht="14.25" customHeight="1">
      <c r="A129" s="4" t="str">
        <f>parametros_manuales!$B$34</f>
        <v>Secado</v>
      </c>
      <c r="B129" s="8">
        <f>(parametros_manuales!$D$34*('Plan mensual'!D46+IF(parametros_manuales!$H$34="Todos",'Plan mensual'!D50,0))+parametros_manuales!$E$34*('Plan mensual'!D47+IF(parametros_manuales!$H$34="Todos",'Plan mensual'!D51,0))+parametros_manuales!$F$34*('Plan mensual'!D48+IF(parametros_manuales!$H$34="Todos",'Plan mensual'!D52,0))+parametros_manuales!$G$34*('Plan mensual'!D49+IF(parametros_manuales!$H$34="Todos",'Plan mensual'!D53,0)))*parametros_manuales!$I$34*parametros_manuales!$J$34</f>
        <v>10127.32</v>
      </c>
      <c r="C129" s="8">
        <f>(parametros_manuales!$D$34*('Plan mensual'!E46+IF(parametros_manuales!$H$34="Todos",'Plan mensual'!E50,0))+parametros_manuales!$E$34*('Plan mensual'!E47+IF(parametros_manuales!$H$34="Todos",'Plan mensual'!E51,0))+parametros_manuales!$F$34*('Plan mensual'!E48+IF(parametros_manuales!$H$34="Todos",'Plan mensual'!E52,0))+parametros_manuales!$G$34*('Plan mensual'!E49+IF(parametros_manuales!$H$34="Todos",'Plan mensual'!E53,0)))*parametros_manuales!$I$34*parametros_manuales!$J$34</f>
        <v>7729.16</v>
      </c>
      <c r="D129" s="8">
        <f>(parametros_manuales!$D$34*('Plan mensual'!F46+IF(parametros_manuales!$H$34="Todos",'Plan mensual'!F50,0))+parametros_manuales!$E$34*('Plan mensual'!F47+IF(parametros_manuales!$H$34="Todos",'Plan mensual'!F51,0))+parametros_manuales!$F$34*('Plan mensual'!F48+IF(parametros_manuales!$H$34="Todos",'Plan mensual'!F52,0))+parametros_manuales!$G$34*('Plan mensual'!F49+IF(parametros_manuales!$H$34="Todos",'Plan mensual'!F53,0)))*parametros_manuales!$I$34*parametros_manuales!$J$34</f>
        <v>7241.67</v>
      </c>
      <c r="E129" s="8">
        <f>(parametros_manuales!$D$34*('Plan mensual'!G46+IF(parametros_manuales!$H$34="Todos",'Plan mensual'!G50,0))+parametros_manuales!$E$34*('Plan mensual'!G47+IF(parametros_manuales!$H$34="Todos",'Plan mensual'!G51,0))+parametros_manuales!$F$34*('Plan mensual'!G48+IF(parametros_manuales!$H$34="Todos",'Plan mensual'!G52,0))+parametros_manuales!$G$34*('Plan mensual'!G49+IF(parametros_manuales!$H$34="Todos",'Plan mensual'!G53,0)))*parametros_manuales!$I$34*parametros_manuales!$J$34</f>
        <v>6931.09</v>
      </c>
      <c r="F129" s="8">
        <f>(parametros_manuales!$D$34*('Plan mensual'!H46+IF(parametros_manuales!$H$34="Todos",'Plan mensual'!H50,0))+parametros_manuales!$E$34*('Plan mensual'!H47+IF(parametros_manuales!$H$34="Todos",'Plan mensual'!H51,0))+parametros_manuales!$F$34*('Plan mensual'!H48+IF(parametros_manuales!$H$34="Todos",'Plan mensual'!H52,0))+parametros_manuales!$G$34*('Plan mensual'!H49+IF(parametros_manuales!$H$34="Todos",'Plan mensual'!H53,0)))*parametros_manuales!$I$34*parametros_manuales!$J$34</f>
        <v>6486.84</v>
      </c>
      <c r="G129" s="8">
        <f>(parametros_manuales!$D$34*('Plan mensual'!I46+IF(parametros_manuales!$H$34="Todos",'Plan mensual'!I50,0))+parametros_manuales!$E$34*('Plan mensual'!I47+IF(parametros_manuales!$H$34="Todos",'Plan mensual'!I51,0))+parametros_manuales!$F$34*('Plan mensual'!I48+IF(parametros_manuales!$H$34="Todos",'Plan mensual'!I52,0))+parametros_manuales!$G$34*('Plan mensual'!I49+IF(parametros_manuales!$H$34="Todos",'Plan mensual'!I53,0)))*parametros_manuales!$I$34*parametros_manuales!$J$34</f>
        <v>6353.17</v>
      </c>
      <c r="H129" s="8">
        <f>(parametros_manuales!$D$34*('Plan mensual'!J46+IF(parametros_manuales!$H$34="Todos",'Plan mensual'!J50,0))+parametros_manuales!$E$34*('Plan mensual'!J47+IF(parametros_manuales!$H$34="Todos",'Plan mensual'!J51,0))+parametros_manuales!$F$34*('Plan mensual'!J48+IF(parametros_manuales!$H$34="Todos",'Plan mensual'!J52,0))+parametros_manuales!$G$34*('Plan mensual'!J49+IF(parametros_manuales!$H$34="Todos",'Plan mensual'!J53,0)))*parametros_manuales!$I$34*parametros_manuales!$J$34</f>
        <v>6797.42</v>
      </c>
      <c r="I129" s="8">
        <f>(parametros_manuales!$D$34*('Plan mensual'!K46+IF(parametros_manuales!$H$34="Todos",'Plan mensual'!K50,0))+parametros_manuales!$E$34*('Plan mensual'!K47+IF(parametros_manuales!$H$34="Todos",'Plan mensual'!K51,0))+parametros_manuales!$F$34*('Plan mensual'!K48+IF(parametros_manuales!$H$34="Todos",'Plan mensual'!K52,0))+parametros_manuales!$G$34*('Plan mensual'!K49+IF(parametros_manuales!$H$34="Todos",'Plan mensual'!K53,0)))*parametros_manuales!$I$34*parametros_manuales!$J$34</f>
        <v>6797.42</v>
      </c>
      <c r="J129" s="8">
        <f>(parametros_manuales!$D$34*('Plan mensual'!L46+IF(parametros_manuales!$H$34="Todos",'Plan mensual'!L50,0))+parametros_manuales!$E$34*('Plan mensual'!L47+IF(parametros_manuales!$H$34="Todos",'Plan mensual'!L51,0))+parametros_manuales!$F$34*('Plan mensual'!L48+IF(parametros_manuales!$H$34="Todos",'Plan mensual'!L52,0))+parametros_manuales!$G$34*('Plan mensual'!L49+IF(parametros_manuales!$H$34="Todos",'Plan mensual'!L53,0)))*parametros_manuales!$I$34*parametros_manuales!$J$34</f>
        <v>6797.42</v>
      </c>
      <c r="K129" s="8">
        <f>(parametros_manuales!$D$34*('Plan mensual'!M46+IF(parametros_manuales!$H$34="Todos",'Plan mensual'!M50,0))+parametros_manuales!$E$34*('Plan mensual'!M47+IF(parametros_manuales!$H$34="Todos",'Plan mensual'!M51,0))+parametros_manuales!$F$34*('Plan mensual'!M48+IF(parametros_manuales!$H$34="Todos",'Plan mensual'!M52,0))+parametros_manuales!$G$34*('Plan mensual'!M49+IF(parametros_manuales!$H$34="Todos",'Plan mensual'!M53,0)))*parametros_manuales!$I$34*parametros_manuales!$J$34</f>
        <v>6663.75</v>
      </c>
      <c r="L129" s="8">
        <f>(parametros_manuales!$D$34*('Plan mensual'!N46+IF(parametros_manuales!$H$34="Todos",'Plan mensual'!N50,0))+parametros_manuales!$E$34*('Plan mensual'!N47+IF(parametros_manuales!$H$34="Todos",'Plan mensual'!N51,0))+parametros_manuales!$F$34*('Plan mensual'!N48+IF(parametros_manuales!$H$34="Todos",'Plan mensual'!N52,0))+parametros_manuales!$G$34*('Plan mensual'!N49+IF(parametros_manuales!$H$34="Todos",'Plan mensual'!N53,0)))*parametros_manuales!$I$34*parametros_manuales!$J$34</f>
        <v>6530.08</v>
      </c>
      <c r="M129" s="8">
        <f>(parametros_manuales!$D$34*('Plan mensual'!O46+IF(parametros_manuales!$H$34="Todos",'Plan mensual'!O50,0))+parametros_manuales!$E$34*('Plan mensual'!O47+IF(parametros_manuales!$H$34="Todos",'Plan mensual'!O51,0))+parametros_manuales!$F$34*('Plan mensual'!O48+IF(parametros_manuales!$H$34="Todos",'Plan mensual'!O52,0))+parametros_manuales!$G$34*('Plan mensual'!O49+IF(parametros_manuales!$H$34="Todos",'Plan mensual'!O53,0)))*parametros_manuales!$I$34*parametros_manuales!$J$34</f>
        <v>10394.66</v>
      </c>
      <c r="N129" s="8">
        <f t="shared" si="13"/>
        <v>88850</v>
      </c>
      <c r="O129" s="8">
        <f t="shared" si="14"/>
        <v>10394.66</v>
      </c>
      <c r="P129" s="27">
        <f>O129/(parametros_manuales!$B$7)</f>
        <v>69.29773333</v>
      </c>
      <c r="Q129" s="4" t="str">
        <f t="shared" si="15"/>
        <v>Dic</v>
      </c>
    </row>
    <row r="130" ht="14.25" customHeight="1">
      <c r="A130" s="4" t="str">
        <f>parametros_manuales!$B$35</f>
        <v>Granallado</v>
      </c>
      <c r="B130" s="8">
        <f>(parametros_manuales!$D$35*('Plan mensual'!D46+IF(parametros_manuales!$H$35="Todos",'Plan mensual'!D50,0))+parametros_manuales!$E$35*('Plan mensual'!D47+IF(parametros_manuales!$H$35="Todos",'Plan mensual'!D51,0))+parametros_manuales!$F$35*('Plan mensual'!D48+IF(parametros_manuales!$H$35="Todos",'Plan mensual'!D52,0))+parametros_manuales!$G$35*('Plan mensual'!D49+IF(parametros_manuales!$H$35="Todos",'Plan mensual'!D53,0)))*parametros_manuales!$I$35*parametros_manuales!$J$35</f>
        <v>10127.32</v>
      </c>
      <c r="C130" s="8">
        <f>(parametros_manuales!$D$35*('Plan mensual'!E46+IF(parametros_manuales!$H$35="Todos",'Plan mensual'!E50,0))+parametros_manuales!$E$35*('Plan mensual'!E47+IF(parametros_manuales!$H$35="Todos",'Plan mensual'!E51,0))+parametros_manuales!$F$35*('Plan mensual'!E48+IF(parametros_manuales!$H$35="Todos",'Plan mensual'!E52,0))+parametros_manuales!$G$35*('Plan mensual'!E49+IF(parametros_manuales!$H$35="Todos",'Plan mensual'!E53,0)))*parametros_manuales!$I$35*parametros_manuales!$J$35</f>
        <v>7729.16</v>
      </c>
      <c r="D130" s="8">
        <f>(parametros_manuales!$D$35*('Plan mensual'!F46+IF(parametros_manuales!$H$35="Todos",'Plan mensual'!F50,0))+parametros_manuales!$E$35*('Plan mensual'!F47+IF(parametros_manuales!$H$35="Todos",'Plan mensual'!F51,0))+parametros_manuales!$F$35*('Plan mensual'!F48+IF(parametros_manuales!$H$35="Todos",'Plan mensual'!F52,0))+parametros_manuales!$G$35*('Plan mensual'!F49+IF(parametros_manuales!$H$35="Todos",'Plan mensual'!F53,0)))*parametros_manuales!$I$35*parametros_manuales!$J$35</f>
        <v>7241.67</v>
      </c>
      <c r="E130" s="8">
        <f>(parametros_manuales!$D$35*('Plan mensual'!G46+IF(parametros_manuales!$H$35="Todos",'Plan mensual'!G50,0))+parametros_manuales!$E$35*('Plan mensual'!G47+IF(parametros_manuales!$H$35="Todos",'Plan mensual'!G51,0))+parametros_manuales!$F$35*('Plan mensual'!G48+IF(parametros_manuales!$H$35="Todos",'Plan mensual'!G52,0))+parametros_manuales!$G$35*('Plan mensual'!G49+IF(parametros_manuales!$H$35="Todos",'Plan mensual'!G53,0)))*parametros_manuales!$I$35*parametros_manuales!$J$35</f>
        <v>6931.09</v>
      </c>
      <c r="F130" s="8">
        <f>(parametros_manuales!$D$35*('Plan mensual'!H46+IF(parametros_manuales!$H$35="Todos",'Plan mensual'!H50,0))+parametros_manuales!$E$35*('Plan mensual'!H47+IF(parametros_manuales!$H$35="Todos",'Plan mensual'!H51,0))+parametros_manuales!$F$35*('Plan mensual'!H48+IF(parametros_manuales!$H$35="Todos",'Plan mensual'!H52,0))+parametros_manuales!$G$35*('Plan mensual'!H49+IF(parametros_manuales!$H$35="Todos",'Plan mensual'!H53,0)))*parametros_manuales!$I$35*parametros_manuales!$J$35</f>
        <v>6486.84</v>
      </c>
      <c r="G130" s="8">
        <f>(parametros_manuales!$D$35*('Plan mensual'!I46+IF(parametros_manuales!$H$35="Todos",'Plan mensual'!I50,0))+parametros_manuales!$E$35*('Plan mensual'!I47+IF(parametros_manuales!$H$35="Todos",'Plan mensual'!I51,0))+parametros_manuales!$F$35*('Plan mensual'!I48+IF(parametros_manuales!$H$35="Todos",'Plan mensual'!I52,0))+parametros_manuales!$G$35*('Plan mensual'!I49+IF(parametros_manuales!$H$35="Todos",'Plan mensual'!I53,0)))*parametros_manuales!$I$35*parametros_manuales!$J$35</f>
        <v>6353.17</v>
      </c>
      <c r="H130" s="8">
        <f>(parametros_manuales!$D$35*('Plan mensual'!J46+IF(parametros_manuales!$H$35="Todos",'Plan mensual'!J50,0))+parametros_manuales!$E$35*('Plan mensual'!J47+IF(parametros_manuales!$H$35="Todos",'Plan mensual'!J51,0))+parametros_manuales!$F$35*('Plan mensual'!J48+IF(parametros_manuales!$H$35="Todos",'Plan mensual'!J52,0))+parametros_manuales!$G$35*('Plan mensual'!J49+IF(parametros_manuales!$H$35="Todos",'Plan mensual'!J53,0)))*parametros_manuales!$I$35*parametros_manuales!$J$35</f>
        <v>6797.42</v>
      </c>
      <c r="I130" s="8">
        <f>(parametros_manuales!$D$35*('Plan mensual'!K46+IF(parametros_manuales!$H$35="Todos",'Plan mensual'!K50,0))+parametros_manuales!$E$35*('Plan mensual'!K47+IF(parametros_manuales!$H$35="Todos",'Plan mensual'!K51,0))+parametros_manuales!$F$35*('Plan mensual'!K48+IF(parametros_manuales!$H$35="Todos",'Plan mensual'!K52,0))+parametros_manuales!$G$35*('Plan mensual'!K49+IF(parametros_manuales!$H$35="Todos",'Plan mensual'!K53,0)))*parametros_manuales!$I$35*parametros_manuales!$J$35</f>
        <v>6797.42</v>
      </c>
      <c r="J130" s="8">
        <f>(parametros_manuales!$D$35*('Plan mensual'!L46+IF(parametros_manuales!$H$35="Todos",'Plan mensual'!L50,0))+parametros_manuales!$E$35*('Plan mensual'!L47+IF(parametros_manuales!$H$35="Todos",'Plan mensual'!L51,0))+parametros_manuales!$F$35*('Plan mensual'!L48+IF(parametros_manuales!$H$35="Todos",'Plan mensual'!L52,0))+parametros_manuales!$G$35*('Plan mensual'!L49+IF(parametros_manuales!$H$35="Todos",'Plan mensual'!L53,0)))*parametros_manuales!$I$35*parametros_manuales!$J$35</f>
        <v>6797.42</v>
      </c>
      <c r="K130" s="8">
        <f>(parametros_manuales!$D$35*('Plan mensual'!M46+IF(parametros_manuales!$H$35="Todos",'Plan mensual'!M50,0))+parametros_manuales!$E$35*('Plan mensual'!M47+IF(parametros_manuales!$H$35="Todos",'Plan mensual'!M51,0))+parametros_manuales!$F$35*('Plan mensual'!M48+IF(parametros_manuales!$H$35="Todos",'Plan mensual'!M52,0))+parametros_manuales!$G$35*('Plan mensual'!M49+IF(parametros_manuales!$H$35="Todos",'Plan mensual'!M53,0)))*parametros_manuales!$I$35*parametros_manuales!$J$35</f>
        <v>6663.75</v>
      </c>
      <c r="L130" s="8">
        <f>(parametros_manuales!$D$35*('Plan mensual'!N46+IF(parametros_manuales!$H$35="Todos",'Plan mensual'!N50,0))+parametros_manuales!$E$35*('Plan mensual'!N47+IF(parametros_manuales!$H$35="Todos",'Plan mensual'!N51,0))+parametros_manuales!$F$35*('Plan mensual'!N48+IF(parametros_manuales!$H$35="Todos",'Plan mensual'!N52,0))+parametros_manuales!$G$35*('Plan mensual'!N49+IF(parametros_manuales!$H$35="Todos",'Plan mensual'!N53,0)))*parametros_manuales!$I$35*parametros_manuales!$J$35</f>
        <v>6530.08</v>
      </c>
      <c r="M130" s="8">
        <f>(parametros_manuales!$D$35*('Plan mensual'!O46+IF(parametros_manuales!$H$35="Todos",'Plan mensual'!O50,0))+parametros_manuales!$E$35*('Plan mensual'!O47+IF(parametros_manuales!$H$35="Todos",'Plan mensual'!O51,0))+parametros_manuales!$F$35*('Plan mensual'!O48+IF(parametros_manuales!$H$35="Todos",'Plan mensual'!O52,0))+parametros_manuales!$G$35*('Plan mensual'!O49+IF(parametros_manuales!$H$35="Todos",'Plan mensual'!O53,0)))*parametros_manuales!$I$35*parametros_manuales!$J$35</f>
        <v>10394.66</v>
      </c>
      <c r="N130" s="8">
        <f t="shared" si="13"/>
        <v>88850</v>
      </c>
      <c r="O130" s="8">
        <f t="shared" si="14"/>
        <v>10394.66</v>
      </c>
      <c r="P130" s="27">
        <f>O130/(parametros_manuales!$B$7)</f>
        <v>69.29773333</v>
      </c>
      <c r="Q130" s="4" t="str">
        <f t="shared" si="15"/>
        <v>Dic</v>
      </c>
    </row>
    <row r="131" ht="14.25" customHeight="1">
      <c r="A131" s="4" t="str">
        <f>parametros_manuales!$B$36</f>
        <v>Detección de defectos</v>
      </c>
      <c r="B131" s="8">
        <f>(parametros_manuales!$D$36*('Plan mensual'!D46+IF(parametros_manuales!$H$36="Todos",'Plan mensual'!D50,0))+parametros_manuales!$E$36*('Plan mensual'!D47+IF(parametros_manuales!$H$36="Todos",'Plan mensual'!D51,0))+parametros_manuales!$F$36*('Plan mensual'!D48+IF(parametros_manuales!$H$36="Todos",'Plan mensual'!D52,0))+parametros_manuales!$G$36*('Plan mensual'!D49+IF(parametros_manuales!$H$36="Todos",'Plan mensual'!D53,0)))*parametros_manuales!$I$36*parametros_manuales!$J$36</f>
        <v>10127.32</v>
      </c>
      <c r="C131" s="8">
        <f>(parametros_manuales!$D$36*('Plan mensual'!E46+IF(parametros_manuales!$H$36="Todos",'Plan mensual'!E50,0))+parametros_manuales!$E$36*('Plan mensual'!E47+IF(parametros_manuales!$H$36="Todos",'Plan mensual'!E51,0))+parametros_manuales!$F$36*('Plan mensual'!E48+IF(parametros_manuales!$H$36="Todos",'Plan mensual'!E52,0))+parametros_manuales!$G$36*('Plan mensual'!E49+IF(parametros_manuales!$H$36="Todos",'Plan mensual'!E53,0)))*parametros_manuales!$I$36*parametros_manuales!$J$36</f>
        <v>7729.16</v>
      </c>
      <c r="D131" s="8">
        <f>(parametros_manuales!$D$36*('Plan mensual'!F46+IF(parametros_manuales!$H$36="Todos",'Plan mensual'!F50,0))+parametros_manuales!$E$36*('Plan mensual'!F47+IF(parametros_manuales!$H$36="Todos",'Plan mensual'!F51,0))+parametros_manuales!$F$36*('Plan mensual'!F48+IF(parametros_manuales!$H$36="Todos",'Plan mensual'!F52,0))+parametros_manuales!$G$36*('Plan mensual'!F49+IF(parametros_manuales!$H$36="Todos",'Plan mensual'!F53,0)))*parametros_manuales!$I$36*parametros_manuales!$J$36</f>
        <v>7241.67</v>
      </c>
      <c r="E131" s="8">
        <f>(parametros_manuales!$D$36*('Plan mensual'!G46+IF(parametros_manuales!$H$36="Todos",'Plan mensual'!G50,0))+parametros_manuales!$E$36*('Plan mensual'!G47+IF(parametros_manuales!$H$36="Todos",'Plan mensual'!G51,0))+parametros_manuales!$F$36*('Plan mensual'!G48+IF(parametros_manuales!$H$36="Todos",'Plan mensual'!G52,0))+parametros_manuales!$G$36*('Plan mensual'!G49+IF(parametros_manuales!$H$36="Todos",'Plan mensual'!G53,0)))*parametros_manuales!$I$36*parametros_manuales!$J$36</f>
        <v>6931.09</v>
      </c>
      <c r="F131" s="8">
        <f>(parametros_manuales!$D$36*('Plan mensual'!H46+IF(parametros_manuales!$H$36="Todos",'Plan mensual'!H50,0))+parametros_manuales!$E$36*('Plan mensual'!H47+IF(parametros_manuales!$H$36="Todos",'Plan mensual'!H51,0))+parametros_manuales!$F$36*('Plan mensual'!H48+IF(parametros_manuales!$H$36="Todos",'Plan mensual'!H52,0))+parametros_manuales!$G$36*('Plan mensual'!H49+IF(parametros_manuales!$H$36="Todos",'Plan mensual'!H53,0)))*parametros_manuales!$I$36*parametros_manuales!$J$36</f>
        <v>6486.84</v>
      </c>
      <c r="G131" s="8">
        <f>(parametros_manuales!$D$36*('Plan mensual'!I46+IF(parametros_manuales!$H$36="Todos",'Plan mensual'!I50,0))+parametros_manuales!$E$36*('Plan mensual'!I47+IF(parametros_manuales!$H$36="Todos",'Plan mensual'!I51,0))+parametros_manuales!$F$36*('Plan mensual'!I48+IF(parametros_manuales!$H$36="Todos",'Plan mensual'!I52,0))+parametros_manuales!$G$36*('Plan mensual'!I49+IF(parametros_manuales!$H$36="Todos",'Plan mensual'!I53,0)))*parametros_manuales!$I$36*parametros_manuales!$J$36</f>
        <v>6353.17</v>
      </c>
      <c r="H131" s="8">
        <f>(parametros_manuales!$D$36*('Plan mensual'!J46+IF(parametros_manuales!$H$36="Todos",'Plan mensual'!J50,0))+parametros_manuales!$E$36*('Plan mensual'!J47+IF(parametros_manuales!$H$36="Todos",'Plan mensual'!J51,0))+parametros_manuales!$F$36*('Plan mensual'!J48+IF(parametros_manuales!$H$36="Todos",'Plan mensual'!J52,0))+parametros_manuales!$G$36*('Plan mensual'!J49+IF(parametros_manuales!$H$36="Todos",'Plan mensual'!J53,0)))*parametros_manuales!$I$36*parametros_manuales!$J$36</f>
        <v>6797.42</v>
      </c>
      <c r="I131" s="8">
        <f>(parametros_manuales!$D$36*('Plan mensual'!K46+IF(parametros_manuales!$H$36="Todos",'Plan mensual'!K50,0))+parametros_manuales!$E$36*('Plan mensual'!K47+IF(parametros_manuales!$H$36="Todos",'Plan mensual'!K51,0))+parametros_manuales!$F$36*('Plan mensual'!K48+IF(parametros_manuales!$H$36="Todos",'Plan mensual'!K52,0))+parametros_manuales!$G$36*('Plan mensual'!K49+IF(parametros_manuales!$H$36="Todos",'Plan mensual'!K53,0)))*parametros_manuales!$I$36*parametros_manuales!$J$36</f>
        <v>6797.42</v>
      </c>
      <c r="J131" s="8">
        <f>(parametros_manuales!$D$36*('Plan mensual'!L46+IF(parametros_manuales!$H$36="Todos",'Plan mensual'!L50,0))+parametros_manuales!$E$36*('Plan mensual'!L47+IF(parametros_manuales!$H$36="Todos",'Plan mensual'!L51,0))+parametros_manuales!$F$36*('Plan mensual'!L48+IF(parametros_manuales!$H$36="Todos",'Plan mensual'!L52,0))+parametros_manuales!$G$36*('Plan mensual'!L49+IF(parametros_manuales!$H$36="Todos",'Plan mensual'!L53,0)))*parametros_manuales!$I$36*parametros_manuales!$J$36</f>
        <v>6797.42</v>
      </c>
      <c r="K131" s="8">
        <f>(parametros_manuales!$D$36*('Plan mensual'!M46+IF(parametros_manuales!$H$36="Todos",'Plan mensual'!M50,0))+parametros_manuales!$E$36*('Plan mensual'!M47+IF(parametros_manuales!$H$36="Todos",'Plan mensual'!M51,0))+parametros_manuales!$F$36*('Plan mensual'!M48+IF(parametros_manuales!$H$36="Todos",'Plan mensual'!M52,0))+parametros_manuales!$G$36*('Plan mensual'!M49+IF(parametros_manuales!$H$36="Todos",'Plan mensual'!M53,0)))*parametros_manuales!$I$36*parametros_manuales!$J$36</f>
        <v>6663.75</v>
      </c>
      <c r="L131" s="8">
        <f>(parametros_manuales!$D$36*('Plan mensual'!N46+IF(parametros_manuales!$H$36="Todos",'Plan mensual'!N50,0))+parametros_manuales!$E$36*('Plan mensual'!N47+IF(parametros_manuales!$H$36="Todos",'Plan mensual'!N51,0))+parametros_manuales!$F$36*('Plan mensual'!N48+IF(parametros_manuales!$H$36="Todos",'Plan mensual'!N52,0))+parametros_manuales!$G$36*('Plan mensual'!N49+IF(parametros_manuales!$H$36="Todos",'Plan mensual'!N53,0)))*parametros_manuales!$I$36*parametros_manuales!$J$36</f>
        <v>6530.08</v>
      </c>
      <c r="M131" s="8">
        <f>(parametros_manuales!$D$36*('Plan mensual'!O46+IF(parametros_manuales!$H$36="Todos",'Plan mensual'!O50,0))+parametros_manuales!$E$36*('Plan mensual'!O47+IF(parametros_manuales!$H$36="Todos",'Plan mensual'!O51,0))+parametros_manuales!$F$36*('Plan mensual'!O48+IF(parametros_manuales!$H$36="Todos",'Plan mensual'!O52,0))+parametros_manuales!$G$36*('Plan mensual'!O49+IF(parametros_manuales!$H$36="Todos",'Plan mensual'!O53,0)))*parametros_manuales!$I$36*parametros_manuales!$J$36</f>
        <v>10394.66</v>
      </c>
      <c r="N131" s="8">
        <f t="shared" si="13"/>
        <v>88850</v>
      </c>
      <c r="O131" s="8">
        <f t="shared" si="14"/>
        <v>10394.66</v>
      </c>
      <c r="P131" s="27">
        <f>O131/(parametros_manuales!$B$7)</f>
        <v>69.29773333</v>
      </c>
      <c r="Q131" s="4" t="str">
        <f t="shared" si="15"/>
        <v>Dic</v>
      </c>
    </row>
    <row r="132" ht="14.25" customHeight="1">
      <c r="A132" s="4" t="str">
        <f>parametros_manuales!$B$37</f>
        <v>Corrección de defectos</v>
      </c>
      <c r="B132" s="8">
        <f>(parametros_manuales!$D$37*('Plan mensual'!D46+IF(parametros_manuales!$H$37="Todos",'Plan mensual'!D50,0))+parametros_manuales!$E$37*('Plan mensual'!D47+IF(parametros_manuales!$H$37="Todos",'Plan mensual'!D51,0))+parametros_manuales!$F$37*('Plan mensual'!D48+IF(parametros_manuales!$H$37="Todos",'Plan mensual'!D52,0))+parametros_manuales!$G$37*('Plan mensual'!D49+IF(parametros_manuales!$H$37="Todos",'Plan mensual'!D53,0)))*parametros_manuales!$I$37*parametros_manuales!$J$37</f>
        <v>506.366</v>
      </c>
      <c r="C132" s="8">
        <f>(parametros_manuales!$D$37*('Plan mensual'!E46+IF(parametros_manuales!$H$37="Todos",'Plan mensual'!E50,0))+parametros_manuales!$E$37*('Plan mensual'!E47+IF(parametros_manuales!$H$37="Todos",'Plan mensual'!E51,0))+parametros_manuales!$F$37*('Plan mensual'!E48+IF(parametros_manuales!$H$37="Todos",'Plan mensual'!E52,0))+parametros_manuales!$G$37*('Plan mensual'!E49+IF(parametros_manuales!$H$37="Todos",'Plan mensual'!E53,0)))*parametros_manuales!$I$37*parametros_manuales!$J$37</f>
        <v>386.458</v>
      </c>
      <c r="D132" s="8">
        <f>(parametros_manuales!$D$37*('Plan mensual'!F46+IF(parametros_manuales!$H$37="Todos",'Plan mensual'!F50,0))+parametros_manuales!$E$37*('Plan mensual'!F47+IF(parametros_manuales!$H$37="Todos",'Plan mensual'!F51,0))+parametros_manuales!$F$37*('Plan mensual'!F48+IF(parametros_manuales!$H$37="Todos",'Plan mensual'!F52,0))+parametros_manuales!$G$37*('Plan mensual'!F49+IF(parametros_manuales!$H$37="Todos",'Plan mensual'!F53,0)))*parametros_manuales!$I$37*parametros_manuales!$J$37</f>
        <v>362.0835</v>
      </c>
      <c r="E132" s="8">
        <f>(parametros_manuales!$D$37*('Plan mensual'!G46+IF(parametros_manuales!$H$37="Todos",'Plan mensual'!G50,0))+parametros_manuales!$E$37*('Plan mensual'!G47+IF(parametros_manuales!$H$37="Todos",'Plan mensual'!G51,0))+parametros_manuales!$F$37*('Plan mensual'!G48+IF(parametros_manuales!$H$37="Todos",'Plan mensual'!G52,0))+parametros_manuales!$G$37*('Plan mensual'!G49+IF(parametros_manuales!$H$37="Todos",'Plan mensual'!G53,0)))*parametros_manuales!$I$37*parametros_manuales!$J$37</f>
        <v>346.5545</v>
      </c>
      <c r="F132" s="8">
        <f>(parametros_manuales!$D$37*('Plan mensual'!H46+IF(parametros_manuales!$H$37="Todos",'Plan mensual'!H50,0))+parametros_manuales!$E$37*('Plan mensual'!H47+IF(parametros_manuales!$H$37="Todos",'Plan mensual'!H51,0))+parametros_manuales!$F$37*('Plan mensual'!H48+IF(parametros_manuales!$H$37="Todos",'Plan mensual'!H52,0))+parametros_manuales!$G$37*('Plan mensual'!H49+IF(parametros_manuales!$H$37="Todos",'Plan mensual'!H53,0)))*parametros_manuales!$I$37*parametros_manuales!$J$37</f>
        <v>324.342</v>
      </c>
      <c r="G132" s="8">
        <f>(parametros_manuales!$D$37*('Plan mensual'!I46+IF(parametros_manuales!$H$37="Todos",'Plan mensual'!I50,0))+parametros_manuales!$E$37*('Plan mensual'!I47+IF(parametros_manuales!$H$37="Todos",'Plan mensual'!I51,0))+parametros_manuales!$F$37*('Plan mensual'!I48+IF(parametros_manuales!$H$37="Todos",'Plan mensual'!I52,0))+parametros_manuales!$G$37*('Plan mensual'!I49+IF(parametros_manuales!$H$37="Todos",'Plan mensual'!I53,0)))*parametros_manuales!$I$37*parametros_manuales!$J$37</f>
        <v>317.6585</v>
      </c>
      <c r="H132" s="8">
        <f>(parametros_manuales!$D$37*('Plan mensual'!J46+IF(parametros_manuales!$H$37="Todos",'Plan mensual'!J50,0))+parametros_manuales!$E$37*('Plan mensual'!J47+IF(parametros_manuales!$H$37="Todos",'Plan mensual'!J51,0))+parametros_manuales!$F$37*('Plan mensual'!J48+IF(parametros_manuales!$H$37="Todos",'Plan mensual'!J52,0))+parametros_manuales!$G$37*('Plan mensual'!J49+IF(parametros_manuales!$H$37="Todos",'Plan mensual'!J53,0)))*parametros_manuales!$I$37*parametros_manuales!$J$37</f>
        <v>339.871</v>
      </c>
      <c r="I132" s="8">
        <f>(parametros_manuales!$D$37*('Plan mensual'!K46+IF(parametros_manuales!$H$37="Todos",'Plan mensual'!K50,0))+parametros_manuales!$E$37*('Plan mensual'!K47+IF(parametros_manuales!$H$37="Todos",'Plan mensual'!K51,0))+parametros_manuales!$F$37*('Plan mensual'!K48+IF(parametros_manuales!$H$37="Todos",'Plan mensual'!K52,0))+parametros_manuales!$G$37*('Plan mensual'!K49+IF(parametros_manuales!$H$37="Todos",'Plan mensual'!K53,0)))*parametros_manuales!$I$37*parametros_manuales!$J$37</f>
        <v>339.871</v>
      </c>
      <c r="J132" s="8">
        <f>(parametros_manuales!$D$37*('Plan mensual'!L46+IF(parametros_manuales!$H$37="Todos",'Plan mensual'!L50,0))+parametros_manuales!$E$37*('Plan mensual'!L47+IF(parametros_manuales!$H$37="Todos",'Plan mensual'!L51,0))+parametros_manuales!$F$37*('Plan mensual'!L48+IF(parametros_manuales!$H$37="Todos",'Plan mensual'!L52,0))+parametros_manuales!$G$37*('Plan mensual'!L49+IF(parametros_manuales!$H$37="Todos",'Plan mensual'!L53,0)))*parametros_manuales!$I$37*parametros_manuales!$J$37</f>
        <v>339.871</v>
      </c>
      <c r="K132" s="8">
        <f>(parametros_manuales!$D$37*('Plan mensual'!M46+IF(parametros_manuales!$H$37="Todos",'Plan mensual'!M50,0))+parametros_manuales!$E$37*('Plan mensual'!M47+IF(parametros_manuales!$H$37="Todos",'Plan mensual'!M51,0))+parametros_manuales!$F$37*('Plan mensual'!M48+IF(parametros_manuales!$H$37="Todos",'Plan mensual'!M52,0))+parametros_manuales!$G$37*('Plan mensual'!M49+IF(parametros_manuales!$H$37="Todos",'Plan mensual'!M53,0)))*parametros_manuales!$I$37*parametros_manuales!$J$37</f>
        <v>333.1875</v>
      </c>
      <c r="L132" s="8">
        <f>(parametros_manuales!$D$37*('Plan mensual'!N46+IF(parametros_manuales!$H$37="Todos",'Plan mensual'!N50,0))+parametros_manuales!$E$37*('Plan mensual'!N47+IF(parametros_manuales!$H$37="Todos",'Plan mensual'!N51,0))+parametros_manuales!$F$37*('Plan mensual'!N48+IF(parametros_manuales!$H$37="Todos",'Plan mensual'!N52,0))+parametros_manuales!$G$37*('Plan mensual'!N49+IF(parametros_manuales!$H$37="Todos",'Plan mensual'!N53,0)))*parametros_manuales!$I$37*parametros_manuales!$J$37</f>
        <v>326.504</v>
      </c>
      <c r="M132" s="8">
        <f>(parametros_manuales!$D$37*('Plan mensual'!O46+IF(parametros_manuales!$H$37="Todos",'Plan mensual'!O50,0))+parametros_manuales!$E$37*('Plan mensual'!O47+IF(parametros_manuales!$H$37="Todos",'Plan mensual'!O51,0))+parametros_manuales!$F$37*('Plan mensual'!O48+IF(parametros_manuales!$H$37="Todos",'Plan mensual'!O52,0))+parametros_manuales!$G$37*('Plan mensual'!O49+IF(parametros_manuales!$H$37="Todos",'Plan mensual'!O53,0)))*parametros_manuales!$I$37*parametros_manuales!$J$37</f>
        <v>519.733</v>
      </c>
      <c r="N132" s="8">
        <f t="shared" si="13"/>
        <v>4442.5</v>
      </c>
      <c r="O132" s="8">
        <f t="shared" si="14"/>
        <v>519.733</v>
      </c>
      <c r="P132" s="27">
        <f>O132/(parametros_manuales!$B$7)</f>
        <v>3.464886667</v>
      </c>
      <c r="Q132" s="4" t="str">
        <f t="shared" si="15"/>
        <v>Dic</v>
      </c>
    </row>
    <row r="133" ht="14.25" customHeight="1">
      <c r="A133" s="4" t="str">
        <f>parametros_manuales!$B$38</f>
        <v>Pintura en polvo + horno</v>
      </c>
      <c r="B133" s="8">
        <f>(parametros_manuales!$D$38*('Plan mensual'!D46+IF(parametros_manuales!$H$38="Todos",'Plan mensual'!D50,0))+parametros_manuales!$E$38*('Plan mensual'!D47+IF(parametros_manuales!$H$38="Todos",'Plan mensual'!D51,0))+parametros_manuales!$F$38*('Plan mensual'!D48+IF(parametros_manuales!$H$38="Todos",'Plan mensual'!D52,0))+parametros_manuales!$G$38*('Plan mensual'!D49+IF(parametros_manuales!$H$38="Todos",'Plan mensual'!D53,0)))*parametros_manuales!$I$38*parametros_manuales!$J$38</f>
        <v>10127.32</v>
      </c>
      <c r="C133" s="8">
        <f>(parametros_manuales!$D$38*('Plan mensual'!E46+IF(parametros_manuales!$H$38="Todos",'Plan mensual'!E50,0))+parametros_manuales!$E$38*('Plan mensual'!E47+IF(parametros_manuales!$H$38="Todos",'Plan mensual'!E51,0))+parametros_manuales!$F$38*('Plan mensual'!E48+IF(parametros_manuales!$H$38="Todos",'Plan mensual'!E52,0))+parametros_manuales!$G$38*('Plan mensual'!E49+IF(parametros_manuales!$H$38="Todos",'Plan mensual'!E53,0)))*parametros_manuales!$I$38*parametros_manuales!$J$38</f>
        <v>7729.16</v>
      </c>
      <c r="D133" s="8">
        <f>(parametros_manuales!$D$38*('Plan mensual'!F46+IF(parametros_manuales!$H$38="Todos",'Plan mensual'!F50,0))+parametros_manuales!$E$38*('Plan mensual'!F47+IF(parametros_manuales!$H$38="Todos",'Plan mensual'!F51,0))+parametros_manuales!$F$38*('Plan mensual'!F48+IF(parametros_manuales!$H$38="Todos",'Plan mensual'!F52,0))+parametros_manuales!$G$38*('Plan mensual'!F49+IF(parametros_manuales!$H$38="Todos",'Plan mensual'!F53,0)))*parametros_manuales!$I$38*parametros_manuales!$J$38</f>
        <v>7241.67</v>
      </c>
      <c r="E133" s="8">
        <f>(parametros_manuales!$D$38*('Plan mensual'!G46+IF(parametros_manuales!$H$38="Todos",'Plan mensual'!G50,0))+parametros_manuales!$E$38*('Plan mensual'!G47+IF(parametros_manuales!$H$38="Todos",'Plan mensual'!G51,0))+parametros_manuales!$F$38*('Plan mensual'!G48+IF(parametros_manuales!$H$38="Todos",'Plan mensual'!G52,0))+parametros_manuales!$G$38*('Plan mensual'!G49+IF(parametros_manuales!$H$38="Todos",'Plan mensual'!G53,0)))*parametros_manuales!$I$38*parametros_manuales!$J$38</f>
        <v>6931.09</v>
      </c>
      <c r="F133" s="8">
        <f>(parametros_manuales!$D$38*('Plan mensual'!H46+IF(parametros_manuales!$H$38="Todos",'Plan mensual'!H50,0))+parametros_manuales!$E$38*('Plan mensual'!H47+IF(parametros_manuales!$H$38="Todos",'Plan mensual'!H51,0))+parametros_manuales!$F$38*('Plan mensual'!H48+IF(parametros_manuales!$H$38="Todos",'Plan mensual'!H52,0))+parametros_manuales!$G$38*('Plan mensual'!H49+IF(parametros_manuales!$H$38="Todos",'Plan mensual'!H53,0)))*parametros_manuales!$I$38*parametros_manuales!$J$38</f>
        <v>6486.84</v>
      </c>
      <c r="G133" s="8">
        <f>(parametros_manuales!$D$38*('Plan mensual'!I46+IF(parametros_manuales!$H$38="Todos",'Plan mensual'!I50,0))+parametros_manuales!$E$38*('Plan mensual'!I47+IF(parametros_manuales!$H$38="Todos",'Plan mensual'!I51,0))+parametros_manuales!$F$38*('Plan mensual'!I48+IF(parametros_manuales!$H$38="Todos",'Plan mensual'!I52,0))+parametros_manuales!$G$38*('Plan mensual'!I49+IF(parametros_manuales!$H$38="Todos",'Plan mensual'!I53,0)))*parametros_manuales!$I$38*parametros_manuales!$J$38</f>
        <v>6353.17</v>
      </c>
      <c r="H133" s="8">
        <f>(parametros_manuales!$D$38*('Plan mensual'!J46+IF(parametros_manuales!$H$38="Todos",'Plan mensual'!J50,0))+parametros_manuales!$E$38*('Plan mensual'!J47+IF(parametros_manuales!$H$38="Todos",'Plan mensual'!J51,0))+parametros_manuales!$F$38*('Plan mensual'!J48+IF(parametros_manuales!$H$38="Todos",'Plan mensual'!J52,0))+parametros_manuales!$G$38*('Plan mensual'!J49+IF(parametros_manuales!$H$38="Todos",'Plan mensual'!J53,0)))*parametros_manuales!$I$38*parametros_manuales!$J$38</f>
        <v>6797.42</v>
      </c>
      <c r="I133" s="8">
        <f>(parametros_manuales!$D$38*('Plan mensual'!K46+IF(parametros_manuales!$H$38="Todos",'Plan mensual'!K50,0))+parametros_manuales!$E$38*('Plan mensual'!K47+IF(parametros_manuales!$H$38="Todos",'Plan mensual'!K51,0))+parametros_manuales!$F$38*('Plan mensual'!K48+IF(parametros_manuales!$H$38="Todos",'Plan mensual'!K52,0))+parametros_manuales!$G$38*('Plan mensual'!K49+IF(parametros_manuales!$H$38="Todos",'Plan mensual'!K53,0)))*parametros_manuales!$I$38*parametros_manuales!$J$38</f>
        <v>6797.42</v>
      </c>
      <c r="J133" s="8">
        <f>(parametros_manuales!$D$38*('Plan mensual'!L46+IF(parametros_manuales!$H$38="Todos",'Plan mensual'!L50,0))+parametros_manuales!$E$38*('Plan mensual'!L47+IF(parametros_manuales!$H$38="Todos",'Plan mensual'!L51,0))+parametros_manuales!$F$38*('Plan mensual'!L48+IF(parametros_manuales!$H$38="Todos",'Plan mensual'!L52,0))+parametros_manuales!$G$38*('Plan mensual'!L49+IF(parametros_manuales!$H$38="Todos",'Plan mensual'!L53,0)))*parametros_manuales!$I$38*parametros_manuales!$J$38</f>
        <v>6797.42</v>
      </c>
      <c r="K133" s="8">
        <f>(parametros_manuales!$D$38*('Plan mensual'!M46+IF(parametros_manuales!$H$38="Todos",'Plan mensual'!M50,0))+parametros_manuales!$E$38*('Plan mensual'!M47+IF(parametros_manuales!$H$38="Todos",'Plan mensual'!M51,0))+parametros_manuales!$F$38*('Plan mensual'!M48+IF(parametros_manuales!$H$38="Todos",'Plan mensual'!M52,0))+parametros_manuales!$G$38*('Plan mensual'!M49+IF(parametros_manuales!$H$38="Todos",'Plan mensual'!M53,0)))*parametros_manuales!$I$38*parametros_manuales!$J$38</f>
        <v>6663.75</v>
      </c>
      <c r="L133" s="8">
        <f>(parametros_manuales!$D$38*('Plan mensual'!N46+IF(parametros_manuales!$H$38="Todos",'Plan mensual'!N50,0))+parametros_manuales!$E$38*('Plan mensual'!N47+IF(parametros_manuales!$H$38="Todos",'Plan mensual'!N51,0))+parametros_manuales!$F$38*('Plan mensual'!N48+IF(parametros_manuales!$H$38="Todos",'Plan mensual'!N52,0))+parametros_manuales!$G$38*('Plan mensual'!N49+IF(parametros_manuales!$H$38="Todos",'Plan mensual'!N53,0)))*parametros_manuales!$I$38*parametros_manuales!$J$38</f>
        <v>6530.08</v>
      </c>
      <c r="M133" s="8">
        <f>(parametros_manuales!$D$38*('Plan mensual'!O46+IF(parametros_manuales!$H$38="Todos",'Plan mensual'!O50,0))+parametros_manuales!$E$38*('Plan mensual'!O47+IF(parametros_manuales!$H$38="Todos",'Plan mensual'!O51,0))+parametros_manuales!$F$38*('Plan mensual'!O48+IF(parametros_manuales!$H$38="Todos",'Plan mensual'!O52,0))+parametros_manuales!$G$38*('Plan mensual'!O49+IF(parametros_manuales!$H$38="Todos",'Plan mensual'!O53,0)))*parametros_manuales!$I$38*parametros_manuales!$J$38</f>
        <v>10394.66</v>
      </c>
      <c r="N133" s="8">
        <f t="shared" si="13"/>
        <v>88850</v>
      </c>
      <c r="O133" s="8">
        <f t="shared" si="14"/>
        <v>10394.66</v>
      </c>
      <c r="P133" s="27">
        <f>O133/(parametros_manuales!$B$7)</f>
        <v>69.29773333</v>
      </c>
      <c r="Q133" s="4" t="str">
        <f t="shared" si="15"/>
        <v>Dic</v>
      </c>
    </row>
    <row r="134" ht="14.25" customHeight="1">
      <c r="A134" s="4" t="str">
        <f>parametros_manuales!$B$39</f>
        <v>Carga de polvo</v>
      </c>
      <c r="B134" s="8">
        <f>(parametros_manuales!$D$39*('Plan mensual'!D46+IF(parametros_manuales!$H$39="Todos",'Plan mensual'!D50,0))+parametros_manuales!$E$39*('Plan mensual'!D47+IF(parametros_manuales!$H$39="Todos",'Plan mensual'!D51,0))+parametros_manuales!$F$39*('Plan mensual'!D48+IF(parametros_manuales!$H$39="Todos",'Plan mensual'!D52,0))+parametros_manuales!$G$39*('Plan mensual'!D49+IF(parametros_manuales!$H$39="Todos",'Plan mensual'!D53,0)))*parametros_manuales!$I$39*parametros_manuales!$J$39</f>
        <v>2929.02</v>
      </c>
      <c r="C134" s="8">
        <f>(parametros_manuales!$D$39*('Plan mensual'!E46+IF(parametros_manuales!$H$39="Todos",'Plan mensual'!E50,0))+parametros_manuales!$E$39*('Plan mensual'!E47+IF(parametros_manuales!$H$39="Todos",'Plan mensual'!E51,0))+parametros_manuales!$F$39*('Plan mensual'!E48+IF(parametros_manuales!$H$39="Todos",'Plan mensual'!E52,0))+parametros_manuales!$G$39*('Plan mensual'!E49+IF(parametros_manuales!$H$39="Todos",'Plan mensual'!E53,0)))*parametros_manuales!$I$39*parametros_manuales!$J$39</f>
        <v>2267.13</v>
      </c>
      <c r="D134" s="8">
        <f>(parametros_manuales!$D$39*('Plan mensual'!F46+IF(parametros_manuales!$H$39="Todos",'Plan mensual'!F50,0))+parametros_manuales!$E$39*('Plan mensual'!F47+IF(parametros_manuales!$H$39="Todos",'Plan mensual'!F51,0))+parametros_manuales!$F$39*('Plan mensual'!F48+IF(parametros_manuales!$H$39="Todos",'Plan mensual'!F52,0))+parametros_manuales!$G$39*('Plan mensual'!F49+IF(parametros_manuales!$H$39="Todos",'Plan mensual'!F53,0)))*parametros_manuales!$I$39*parametros_manuales!$J$39</f>
        <v>2210.685</v>
      </c>
      <c r="E134" s="8">
        <f>(parametros_manuales!$D$39*('Plan mensual'!G46+IF(parametros_manuales!$H$39="Todos",'Plan mensual'!G50,0))+parametros_manuales!$E$39*('Plan mensual'!G47+IF(parametros_manuales!$H$39="Todos",'Plan mensual'!G51,0))+parametros_manuales!$F$39*('Plan mensual'!G48+IF(parametros_manuales!$H$39="Todos",'Plan mensual'!G52,0))+parametros_manuales!$G$39*('Plan mensual'!G49+IF(parametros_manuales!$H$39="Todos",'Plan mensual'!G53,0)))*parametros_manuales!$I$39*parametros_manuales!$J$39</f>
        <v>2147.28</v>
      </c>
      <c r="F134" s="8">
        <f>(parametros_manuales!$D$39*('Plan mensual'!H46+IF(parametros_manuales!$H$39="Todos",'Plan mensual'!H50,0))+parametros_manuales!$E$39*('Plan mensual'!H47+IF(parametros_manuales!$H$39="Todos",'Plan mensual'!H51,0))+parametros_manuales!$F$39*('Plan mensual'!H48+IF(parametros_manuales!$H$39="Todos",'Plan mensual'!H52,0))+parametros_manuales!$G$39*('Plan mensual'!H49+IF(parametros_manuales!$H$39="Todos",'Plan mensual'!H53,0)))*parametros_manuales!$I$39*parametros_manuales!$J$39</f>
        <v>2013.51</v>
      </c>
      <c r="G134" s="8">
        <f>(parametros_manuales!$D$39*('Plan mensual'!I46+IF(parametros_manuales!$H$39="Todos",'Plan mensual'!I50,0))+parametros_manuales!$E$39*('Plan mensual'!I47+IF(parametros_manuales!$H$39="Todos",'Plan mensual'!I51,0))+parametros_manuales!$F$39*('Plan mensual'!I48+IF(parametros_manuales!$H$39="Todos",'Plan mensual'!I52,0))+parametros_manuales!$G$39*('Plan mensual'!I49+IF(parametros_manuales!$H$39="Todos",'Plan mensual'!I53,0)))*parametros_manuales!$I$39*parametros_manuales!$J$39</f>
        <v>1943.145</v>
      </c>
      <c r="H134" s="8">
        <f>(parametros_manuales!$D$39*('Plan mensual'!J46+IF(parametros_manuales!$H$39="Todos",'Plan mensual'!J50,0))+parametros_manuales!$E$39*('Plan mensual'!J47+IF(parametros_manuales!$H$39="Todos",'Plan mensual'!J51,0))+parametros_manuales!$F$39*('Plan mensual'!J48+IF(parametros_manuales!$H$39="Todos",'Plan mensual'!J52,0))+parametros_manuales!$G$39*('Plan mensual'!J49+IF(parametros_manuales!$H$39="Todos",'Plan mensual'!J53,0)))*parametros_manuales!$I$39*parametros_manuales!$J$39</f>
        <v>2076.915</v>
      </c>
      <c r="I134" s="8">
        <f>(parametros_manuales!$D$39*('Plan mensual'!K46+IF(parametros_manuales!$H$39="Todos",'Plan mensual'!K50,0))+parametros_manuales!$E$39*('Plan mensual'!K47+IF(parametros_manuales!$H$39="Todos",'Plan mensual'!K51,0))+parametros_manuales!$F$39*('Plan mensual'!K48+IF(parametros_manuales!$H$39="Todos",'Plan mensual'!K52,0))+parametros_manuales!$G$39*('Plan mensual'!K49+IF(parametros_manuales!$H$39="Todos",'Plan mensual'!K53,0)))*parametros_manuales!$I$39*parametros_manuales!$J$39</f>
        <v>2076.915</v>
      </c>
      <c r="J134" s="8">
        <f>(parametros_manuales!$D$39*('Plan mensual'!L46+IF(parametros_manuales!$H$39="Todos",'Plan mensual'!L50,0))+parametros_manuales!$E$39*('Plan mensual'!L47+IF(parametros_manuales!$H$39="Todos",'Plan mensual'!L51,0))+parametros_manuales!$F$39*('Plan mensual'!L48+IF(parametros_manuales!$H$39="Todos",'Plan mensual'!L52,0))+parametros_manuales!$G$39*('Plan mensual'!L49+IF(parametros_manuales!$H$39="Todos",'Plan mensual'!L53,0)))*parametros_manuales!$I$39*parametros_manuales!$J$39</f>
        <v>2076.915</v>
      </c>
      <c r="K134" s="8">
        <f>(parametros_manuales!$D$39*('Plan mensual'!M46+IF(parametros_manuales!$H$39="Todos",'Plan mensual'!M50,0))+parametros_manuales!$E$39*('Plan mensual'!M47+IF(parametros_manuales!$H$39="Todos",'Plan mensual'!M51,0))+parametros_manuales!$F$39*('Plan mensual'!M48+IF(parametros_manuales!$H$39="Todos",'Plan mensual'!M52,0))+parametros_manuales!$G$39*('Plan mensual'!M49+IF(parametros_manuales!$H$39="Todos",'Plan mensual'!M53,0)))*parametros_manuales!$I$39*parametros_manuales!$J$39</f>
        <v>2006.55</v>
      </c>
      <c r="L134" s="8">
        <f>(parametros_manuales!$D$39*('Plan mensual'!N46+IF(parametros_manuales!$H$39="Todos",'Plan mensual'!N50,0))+parametros_manuales!$E$39*('Plan mensual'!N47+IF(parametros_manuales!$H$39="Todos",'Plan mensual'!N51,0))+parametros_manuales!$F$39*('Plan mensual'!N48+IF(parametros_manuales!$H$39="Todos",'Plan mensual'!N52,0))+parametros_manuales!$G$39*('Plan mensual'!N49+IF(parametros_manuales!$H$39="Todos",'Plan mensual'!N53,0)))*parametros_manuales!$I$39*parametros_manuales!$J$39</f>
        <v>1936.185</v>
      </c>
      <c r="M134" s="8">
        <f>(parametros_manuales!$D$39*('Plan mensual'!O46+IF(parametros_manuales!$H$39="Todos",'Plan mensual'!O50,0))+parametros_manuales!$E$39*('Plan mensual'!O47+IF(parametros_manuales!$H$39="Todos",'Plan mensual'!O51,0))+parametros_manuales!$F$39*('Plan mensual'!O48+IF(parametros_manuales!$H$39="Todos",'Plan mensual'!O52,0))+parametros_manuales!$G$39*('Plan mensual'!O49+IF(parametros_manuales!$H$39="Todos",'Plan mensual'!O53,0)))*parametros_manuales!$I$39*parametros_manuales!$J$39</f>
        <v>3069.75</v>
      </c>
      <c r="N134" s="8">
        <f t="shared" si="13"/>
        <v>26754</v>
      </c>
      <c r="O134" s="8">
        <f t="shared" si="14"/>
        <v>3069.75</v>
      </c>
      <c r="P134" s="27">
        <f>O134/(parametros_manuales!$B$7)</f>
        <v>20.465</v>
      </c>
      <c r="Q134" s="4" t="str">
        <f t="shared" si="15"/>
        <v>Dic</v>
      </c>
    </row>
    <row r="135" ht="14.25" customHeight="1">
      <c r="A135" s="4" t="str">
        <f>parametros_manuales!$B$40</f>
        <v>Ensamblaje</v>
      </c>
      <c r="B135" s="8">
        <f>(parametros_manuales!$D$40*('Plan mensual'!D46+IF(parametros_manuales!$H$40="Todos",'Plan mensual'!D50,0))+parametros_manuales!$E$40*('Plan mensual'!D47+IF(parametros_manuales!$H$40="Todos",'Plan mensual'!D51,0))+parametros_manuales!$F$40*('Plan mensual'!D48+IF(parametros_manuales!$H$40="Todos",'Plan mensual'!D52,0))+parametros_manuales!$G$40*('Plan mensual'!D49+IF(parametros_manuales!$H$40="Todos",'Plan mensual'!D53,0)))*parametros_manuales!$I$40*parametros_manuales!$J$40</f>
        <v>2929.02</v>
      </c>
      <c r="C135" s="8">
        <f>(parametros_manuales!$D$40*('Plan mensual'!E46+IF(parametros_manuales!$H$40="Todos",'Plan mensual'!E50,0))+parametros_manuales!$E$40*('Plan mensual'!E47+IF(parametros_manuales!$H$40="Todos",'Plan mensual'!E51,0))+parametros_manuales!$F$40*('Plan mensual'!E48+IF(parametros_manuales!$H$40="Todos",'Plan mensual'!E52,0))+parametros_manuales!$G$40*('Plan mensual'!E49+IF(parametros_manuales!$H$40="Todos",'Plan mensual'!E53,0)))*parametros_manuales!$I$40*parametros_manuales!$J$40</f>
        <v>2267.13</v>
      </c>
      <c r="D135" s="8">
        <f>(parametros_manuales!$D$40*('Plan mensual'!F46+IF(parametros_manuales!$H$40="Todos",'Plan mensual'!F50,0))+parametros_manuales!$E$40*('Plan mensual'!F47+IF(parametros_manuales!$H$40="Todos",'Plan mensual'!F51,0))+parametros_manuales!$F$40*('Plan mensual'!F48+IF(parametros_manuales!$H$40="Todos",'Plan mensual'!F52,0))+parametros_manuales!$G$40*('Plan mensual'!F49+IF(parametros_manuales!$H$40="Todos",'Plan mensual'!F53,0)))*parametros_manuales!$I$40*parametros_manuales!$J$40</f>
        <v>2210.685</v>
      </c>
      <c r="E135" s="8">
        <f>(parametros_manuales!$D$40*('Plan mensual'!G46+IF(parametros_manuales!$H$40="Todos",'Plan mensual'!G50,0))+parametros_manuales!$E$40*('Plan mensual'!G47+IF(parametros_manuales!$H$40="Todos",'Plan mensual'!G51,0))+parametros_manuales!$F$40*('Plan mensual'!G48+IF(parametros_manuales!$H$40="Todos",'Plan mensual'!G52,0))+parametros_manuales!$G$40*('Plan mensual'!G49+IF(parametros_manuales!$H$40="Todos",'Plan mensual'!G53,0)))*parametros_manuales!$I$40*parametros_manuales!$J$40</f>
        <v>2147.28</v>
      </c>
      <c r="F135" s="8">
        <f>(parametros_manuales!$D$40*('Plan mensual'!H46+IF(parametros_manuales!$H$40="Todos",'Plan mensual'!H50,0))+parametros_manuales!$E$40*('Plan mensual'!H47+IF(parametros_manuales!$H$40="Todos",'Plan mensual'!H51,0))+parametros_manuales!$F$40*('Plan mensual'!H48+IF(parametros_manuales!$H$40="Todos",'Plan mensual'!H52,0))+parametros_manuales!$G$40*('Plan mensual'!H49+IF(parametros_manuales!$H$40="Todos",'Plan mensual'!H53,0)))*parametros_manuales!$I$40*parametros_manuales!$J$40</f>
        <v>2013.51</v>
      </c>
      <c r="G135" s="8">
        <f>(parametros_manuales!$D$40*('Plan mensual'!I46+IF(parametros_manuales!$H$40="Todos",'Plan mensual'!I50,0))+parametros_manuales!$E$40*('Plan mensual'!I47+IF(parametros_manuales!$H$40="Todos",'Plan mensual'!I51,0))+parametros_manuales!$F$40*('Plan mensual'!I48+IF(parametros_manuales!$H$40="Todos",'Plan mensual'!I52,0))+parametros_manuales!$G$40*('Plan mensual'!I49+IF(parametros_manuales!$H$40="Todos",'Plan mensual'!I53,0)))*parametros_manuales!$I$40*parametros_manuales!$J$40</f>
        <v>1943.145</v>
      </c>
      <c r="H135" s="8">
        <f>(parametros_manuales!$D$40*('Plan mensual'!J46+IF(parametros_manuales!$H$40="Todos",'Plan mensual'!J50,0))+parametros_manuales!$E$40*('Plan mensual'!J47+IF(parametros_manuales!$H$40="Todos",'Plan mensual'!J51,0))+parametros_manuales!$F$40*('Plan mensual'!J48+IF(parametros_manuales!$H$40="Todos",'Plan mensual'!J52,0))+parametros_manuales!$G$40*('Plan mensual'!J49+IF(parametros_manuales!$H$40="Todos",'Plan mensual'!J53,0)))*parametros_manuales!$I$40*parametros_manuales!$J$40</f>
        <v>2076.915</v>
      </c>
      <c r="I135" s="8">
        <f>(parametros_manuales!$D$40*('Plan mensual'!K46+IF(parametros_manuales!$H$40="Todos",'Plan mensual'!K50,0))+parametros_manuales!$E$40*('Plan mensual'!K47+IF(parametros_manuales!$H$40="Todos",'Plan mensual'!K51,0))+parametros_manuales!$F$40*('Plan mensual'!K48+IF(parametros_manuales!$H$40="Todos",'Plan mensual'!K52,0))+parametros_manuales!$G$40*('Plan mensual'!K49+IF(parametros_manuales!$H$40="Todos",'Plan mensual'!K53,0)))*parametros_manuales!$I$40*parametros_manuales!$J$40</f>
        <v>2076.915</v>
      </c>
      <c r="J135" s="8">
        <f>(parametros_manuales!$D$40*('Plan mensual'!L46+IF(parametros_manuales!$H$40="Todos",'Plan mensual'!L50,0))+parametros_manuales!$E$40*('Plan mensual'!L47+IF(parametros_manuales!$H$40="Todos",'Plan mensual'!L51,0))+parametros_manuales!$F$40*('Plan mensual'!L48+IF(parametros_manuales!$H$40="Todos",'Plan mensual'!L52,0))+parametros_manuales!$G$40*('Plan mensual'!L49+IF(parametros_manuales!$H$40="Todos",'Plan mensual'!L53,0)))*parametros_manuales!$I$40*parametros_manuales!$J$40</f>
        <v>2076.915</v>
      </c>
      <c r="K135" s="8">
        <f>(parametros_manuales!$D$40*('Plan mensual'!M46+IF(parametros_manuales!$H$40="Todos",'Plan mensual'!M50,0))+parametros_manuales!$E$40*('Plan mensual'!M47+IF(parametros_manuales!$H$40="Todos",'Plan mensual'!M51,0))+parametros_manuales!$F$40*('Plan mensual'!M48+IF(parametros_manuales!$H$40="Todos",'Plan mensual'!M52,0))+parametros_manuales!$G$40*('Plan mensual'!M49+IF(parametros_manuales!$H$40="Todos",'Plan mensual'!M53,0)))*parametros_manuales!$I$40*parametros_manuales!$J$40</f>
        <v>2006.55</v>
      </c>
      <c r="L135" s="8">
        <f>(parametros_manuales!$D$40*('Plan mensual'!N46+IF(parametros_manuales!$H$40="Todos",'Plan mensual'!N50,0))+parametros_manuales!$E$40*('Plan mensual'!N47+IF(parametros_manuales!$H$40="Todos",'Plan mensual'!N51,0))+parametros_manuales!$F$40*('Plan mensual'!N48+IF(parametros_manuales!$H$40="Todos",'Plan mensual'!N52,0))+parametros_manuales!$G$40*('Plan mensual'!N49+IF(parametros_manuales!$H$40="Todos",'Plan mensual'!N53,0)))*parametros_manuales!$I$40*parametros_manuales!$J$40</f>
        <v>1936.185</v>
      </c>
      <c r="M135" s="8">
        <f>(parametros_manuales!$D$40*('Plan mensual'!O46+IF(parametros_manuales!$H$40="Todos",'Plan mensual'!O50,0))+parametros_manuales!$E$40*('Plan mensual'!O47+IF(parametros_manuales!$H$40="Todos",'Plan mensual'!O51,0))+parametros_manuales!$F$40*('Plan mensual'!O48+IF(parametros_manuales!$H$40="Todos",'Plan mensual'!O52,0))+parametros_manuales!$G$40*('Plan mensual'!O49+IF(parametros_manuales!$H$40="Todos",'Plan mensual'!O53,0)))*parametros_manuales!$I$40*parametros_manuales!$J$40</f>
        <v>3069.75</v>
      </c>
      <c r="N135" s="8">
        <f t="shared" si="13"/>
        <v>26754</v>
      </c>
      <c r="O135" s="8">
        <f t="shared" si="14"/>
        <v>3069.75</v>
      </c>
      <c r="P135" s="27">
        <f>O135/(parametros_manuales!$B$7)</f>
        <v>20.465</v>
      </c>
      <c r="Q135" s="4" t="str">
        <f t="shared" si="15"/>
        <v>Dic</v>
      </c>
    </row>
    <row r="136" ht="14.25" customHeight="1">
      <c r="A136" s="4" t="str">
        <f>parametros_manuales!$B$41</f>
        <v>Presurización</v>
      </c>
      <c r="B136" s="8">
        <f>(parametros_manuales!$D$41*('Plan mensual'!D46+IF(parametros_manuales!$H$41="Todos",'Plan mensual'!D50,0))+parametros_manuales!$E$41*('Plan mensual'!D47+IF(parametros_manuales!$H$41="Todos",'Plan mensual'!D51,0))+parametros_manuales!$F$41*('Plan mensual'!D48+IF(parametros_manuales!$H$41="Todos",'Plan mensual'!D52,0))+parametros_manuales!$G$41*('Plan mensual'!D49+IF(parametros_manuales!$H$41="Todos",'Plan mensual'!D53,0)))*parametros_manuales!$I$41*parametros_manuales!$J$41</f>
        <v>2929.02</v>
      </c>
      <c r="C136" s="8">
        <f>(parametros_manuales!$D$41*('Plan mensual'!E46+IF(parametros_manuales!$H$41="Todos",'Plan mensual'!E50,0))+parametros_manuales!$E$41*('Plan mensual'!E47+IF(parametros_manuales!$H$41="Todos",'Plan mensual'!E51,0))+parametros_manuales!$F$41*('Plan mensual'!E48+IF(parametros_manuales!$H$41="Todos",'Plan mensual'!E52,0))+parametros_manuales!$G$41*('Plan mensual'!E49+IF(parametros_manuales!$H$41="Todos",'Plan mensual'!E53,0)))*parametros_manuales!$I$41*parametros_manuales!$J$41</f>
        <v>2267.13</v>
      </c>
      <c r="D136" s="8">
        <f>(parametros_manuales!$D$41*('Plan mensual'!F46+IF(parametros_manuales!$H$41="Todos",'Plan mensual'!F50,0))+parametros_manuales!$E$41*('Plan mensual'!F47+IF(parametros_manuales!$H$41="Todos",'Plan mensual'!F51,0))+parametros_manuales!$F$41*('Plan mensual'!F48+IF(parametros_manuales!$H$41="Todos",'Plan mensual'!F52,0))+parametros_manuales!$G$41*('Plan mensual'!F49+IF(parametros_manuales!$H$41="Todos",'Plan mensual'!F53,0)))*parametros_manuales!$I$41*parametros_manuales!$J$41</f>
        <v>2210.685</v>
      </c>
      <c r="E136" s="8">
        <f>(parametros_manuales!$D$41*('Plan mensual'!G46+IF(parametros_manuales!$H$41="Todos",'Plan mensual'!G50,0))+parametros_manuales!$E$41*('Plan mensual'!G47+IF(parametros_manuales!$H$41="Todos",'Plan mensual'!G51,0))+parametros_manuales!$F$41*('Plan mensual'!G48+IF(parametros_manuales!$H$41="Todos",'Plan mensual'!G52,0))+parametros_manuales!$G$41*('Plan mensual'!G49+IF(parametros_manuales!$H$41="Todos",'Plan mensual'!G53,0)))*parametros_manuales!$I$41*parametros_manuales!$J$41</f>
        <v>2147.28</v>
      </c>
      <c r="F136" s="8">
        <f>(parametros_manuales!$D$41*('Plan mensual'!H46+IF(parametros_manuales!$H$41="Todos",'Plan mensual'!H50,0))+parametros_manuales!$E$41*('Plan mensual'!H47+IF(parametros_manuales!$H$41="Todos",'Plan mensual'!H51,0))+parametros_manuales!$F$41*('Plan mensual'!H48+IF(parametros_manuales!$H$41="Todos",'Plan mensual'!H52,0))+parametros_manuales!$G$41*('Plan mensual'!H49+IF(parametros_manuales!$H$41="Todos",'Plan mensual'!H53,0)))*parametros_manuales!$I$41*parametros_manuales!$J$41</f>
        <v>2013.51</v>
      </c>
      <c r="G136" s="8">
        <f>(parametros_manuales!$D$41*('Plan mensual'!I46+IF(parametros_manuales!$H$41="Todos",'Plan mensual'!I50,0))+parametros_manuales!$E$41*('Plan mensual'!I47+IF(parametros_manuales!$H$41="Todos",'Plan mensual'!I51,0))+parametros_manuales!$F$41*('Plan mensual'!I48+IF(parametros_manuales!$H$41="Todos",'Plan mensual'!I52,0))+parametros_manuales!$G$41*('Plan mensual'!I49+IF(parametros_manuales!$H$41="Todos",'Plan mensual'!I53,0)))*parametros_manuales!$I$41*parametros_manuales!$J$41</f>
        <v>1943.145</v>
      </c>
      <c r="H136" s="8">
        <f>(parametros_manuales!$D$41*('Plan mensual'!J46+IF(parametros_manuales!$H$41="Todos",'Plan mensual'!J50,0))+parametros_manuales!$E$41*('Plan mensual'!J47+IF(parametros_manuales!$H$41="Todos",'Plan mensual'!J51,0))+parametros_manuales!$F$41*('Plan mensual'!J48+IF(parametros_manuales!$H$41="Todos",'Plan mensual'!J52,0))+parametros_manuales!$G$41*('Plan mensual'!J49+IF(parametros_manuales!$H$41="Todos",'Plan mensual'!J53,0)))*parametros_manuales!$I$41*parametros_manuales!$J$41</f>
        <v>2076.915</v>
      </c>
      <c r="I136" s="8">
        <f>(parametros_manuales!$D$41*('Plan mensual'!K46+IF(parametros_manuales!$H$41="Todos",'Plan mensual'!K50,0))+parametros_manuales!$E$41*('Plan mensual'!K47+IF(parametros_manuales!$H$41="Todos",'Plan mensual'!K51,0))+parametros_manuales!$F$41*('Plan mensual'!K48+IF(parametros_manuales!$H$41="Todos",'Plan mensual'!K52,0))+parametros_manuales!$G$41*('Plan mensual'!K49+IF(parametros_manuales!$H$41="Todos",'Plan mensual'!K53,0)))*parametros_manuales!$I$41*parametros_manuales!$J$41</f>
        <v>2076.915</v>
      </c>
      <c r="J136" s="8">
        <f>(parametros_manuales!$D$41*('Plan mensual'!L46+IF(parametros_manuales!$H$41="Todos",'Plan mensual'!L50,0))+parametros_manuales!$E$41*('Plan mensual'!L47+IF(parametros_manuales!$H$41="Todos",'Plan mensual'!L51,0))+parametros_manuales!$F$41*('Plan mensual'!L48+IF(parametros_manuales!$H$41="Todos",'Plan mensual'!L52,0))+parametros_manuales!$G$41*('Plan mensual'!L49+IF(parametros_manuales!$H$41="Todos",'Plan mensual'!L53,0)))*parametros_manuales!$I$41*parametros_manuales!$J$41</f>
        <v>2076.915</v>
      </c>
      <c r="K136" s="8">
        <f>(parametros_manuales!$D$41*('Plan mensual'!M46+IF(parametros_manuales!$H$41="Todos",'Plan mensual'!M50,0))+parametros_manuales!$E$41*('Plan mensual'!M47+IF(parametros_manuales!$H$41="Todos",'Plan mensual'!M51,0))+parametros_manuales!$F$41*('Plan mensual'!M48+IF(parametros_manuales!$H$41="Todos",'Plan mensual'!M52,0))+parametros_manuales!$G$41*('Plan mensual'!M49+IF(parametros_manuales!$H$41="Todos",'Plan mensual'!M53,0)))*parametros_manuales!$I$41*parametros_manuales!$J$41</f>
        <v>2006.55</v>
      </c>
      <c r="L136" s="8">
        <f>(parametros_manuales!$D$41*('Plan mensual'!N46+IF(parametros_manuales!$H$41="Todos",'Plan mensual'!N50,0))+parametros_manuales!$E$41*('Plan mensual'!N47+IF(parametros_manuales!$H$41="Todos",'Plan mensual'!N51,0))+parametros_manuales!$F$41*('Plan mensual'!N48+IF(parametros_manuales!$H$41="Todos",'Plan mensual'!N52,0))+parametros_manuales!$G$41*('Plan mensual'!N49+IF(parametros_manuales!$H$41="Todos",'Plan mensual'!N53,0)))*parametros_manuales!$I$41*parametros_manuales!$J$41</f>
        <v>1936.185</v>
      </c>
      <c r="M136" s="8">
        <f>(parametros_manuales!$D$41*('Plan mensual'!O46+IF(parametros_manuales!$H$41="Todos",'Plan mensual'!O50,0))+parametros_manuales!$E$41*('Plan mensual'!O47+IF(parametros_manuales!$H$41="Todos",'Plan mensual'!O51,0))+parametros_manuales!$F$41*('Plan mensual'!O48+IF(parametros_manuales!$H$41="Todos",'Plan mensual'!O52,0))+parametros_manuales!$G$41*('Plan mensual'!O49+IF(parametros_manuales!$H$41="Todos",'Plan mensual'!O53,0)))*parametros_manuales!$I$41*parametros_manuales!$J$41</f>
        <v>3069.75</v>
      </c>
      <c r="N136" s="8">
        <f t="shared" si="13"/>
        <v>26754</v>
      </c>
      <c r="O136" s="8">
        <f t="shared" si="14"/>
        <v>3069.75</v>
      </c>
      <c r="P136" s="27">
        <f>O136/(parametros_manuales!$B$7)</f>
        <v>20.465</v>
      </c>
      <c r="Q136" s="4" t="str">
        <f t="shared" si="15"/>
        <v>Dic</v>
      </c>
    </row>
    <row r="137" ht="14.25" customHeight="1">
      <c r="A137" s="4" t="str">
        <f>parametros_manuales!$B$42</f>
        <v>Control de calidad — Ensayo de pérdidas</v>
      </c>
      <c r="B137" s="8">
        <f>(parametros_manuales!$D$42*('Plan mensual'!D46+IF(parametros_manuales!$H$42="Todos",'Plan mensual'!D50,0))+parametros_manuales!$E$42*('Plan mensual'!D47+IF(parametros_manuales!$H$42="Todos",'Plan mensual'!D51,0))+parametros_manuales!$F$42*('Plan mensual'!D48+IF(parametros_manuales!$H$42="Todos",'Plan mensual'!D52,0))+parametros_manuales!$G$42*('Plan mensual'!D49+IF(parametros_manuales!$H$42="Todos",'Plan mensual'!D53,0)))*parametros_manuales!$I$42*parametros_manuales!$J$42</f>
        <v>2929.02</v>
      </c>
      <c r="C137" s="8">
        <f>(parametros_manuales!$D$42*('Plan mensual'!E46+IF(parametros_manuales!$H$42="Todos",'Plan mensual'!E50,0))+parametros_manuales!$E$42*('Plan mensual'!E47+IF(parametros_manuales!$H$42="Todos",'Plan mensual'!E51,0))+parametros_manuales!$F$42*('Plan mensual'!E48+IF(parametros_manuales!$H$42="Todos",'Plan mensual'!E52,0))+parametros_manuales!$G$42*('Plan mensual'!E49+IF(parametros_manuales!$H$42="Todos",'Plan mensual'!E53,0)))*parametros_manuales!$I$42*parametros_manuales!$J$42</f>
        <v>2267.13</v>
      </c>
      <c r="D137" s="8">
        <f>(parametros_manuales!$D$42*('Plan mensual'!F46+IF(parametros_manuales!$H$42="Todos",'Plan mensual'!F50,0))+parametros_manuales!$E$42*('Plan mensual'!F47+IF(parametros_manuales!$H$42="Todos",'Plan mensual'!F51,0))+parametros_manuales!$F$42*('Plan mensual'!F48+IF(parametros_manuales!$H$42="Todos",'Plan mensual'!F52,0))+parametros_manuales!$G$42*('Plan mensual'!F49+IF(parametros_manuales!$H$42="Todos",'Plan mensual'!F53,0)))*parametros_manuales!$I$42*parametros_manuales!$J$42</f>
        <v>2210.685</v>
      </c>
      <c r="E137" s="8">
        <f>(parametros_manuales!$D$42*('Plan mensual'!G46+IF(parametros_manuales!$H$42="Todos",'Plan mensual'!G50,0))+parametros_manuales!$E$42*('Plan mensual'!G47+IF(parametros_manuales!$H$42="Todos",'Plan mensual'!G51,0))+parametros_manuales!$F$42*('Plan mensual'!G48+IF(parametros_manuales!$H$42="Todos",'Plan mensual'!G52,0))+parametros_manuales!$G$42*('Plan mensual'!G49+IF(parametros_manuales!$H$42="Todos",'Plan mensual'!G53,0)))*parametros_manuales!$I$42*parametros_manuales!$J$42</f>
        <v>2147.28</v>
      </c>
      <c r="F137" s="8">
        <f>(parametros_manuales!$D$42*('Plan mensual'!H46+IF(parametros_manuales!$H$42="Todos",'Plan mensual'!H50,0))+parametros_manuales!$E$42*('Plan mensual'!H47+IF(parametros_manuales!$H$42="Todos",'Plan mensual'!H51,0))+parametros_manuales!$F$42*('Plan mensual'!H48+IF(parametros_manuales!$H$42="Todos",'Plan mensual'!H52,0))+parametros_manuales!$G$42*('Plan mensual'!H49+IF(parametros_manuales!$H$42="Todos",'Plan mensual'!H53,0)))*parametros_manuales!$I$42*parametros_manuales!$J$42</f>
        <v>2013.51</v>
      </c>
      <c r="G137" s="8">
        <f>(parametros_manuales!$D$42*('Plan mensual'!I46+IF(parametros_manuales!$H$42="Todos",'Plan mensual'!I50,0))+parametros_manuales!$E$42*('Plan mensual'!I47+IF(parametros_manuales!$H$42="Todos",'Plan mensual'!I51,0))+parametros_manuales!$F$42*('Plan mensual'!I48+IF(parametros_manuales!$H$42="Todos",'Plan mensual'!I52,0))+parametros_manuales!$G$42*('Plan mensual'!I49+IF(parametros_manuales!$H$42="Todos",'Plan mensual'!I53,0)))*parametros_manuales!$I$42*parametros_manuales!$J$42</f>
        <v>1943.145</v>
      </c>
      <c r="H137" s="8">
        <f>(parametros_manuales!$D$42*('Plan mensual'!J46+IF(parametros_manuales!$H$42="Todos",'Plan mensual'!J50,0))+parametros_manuales!$E$42*('Plan mensual'!J47+IF(parametros_manuales!$H$42="Todos",'Plan mensual'!J51,0))+parametros_manuales!$F$42*('Plan mensual'!J48+IF(parametros_manuales!$H$42="Todos",'Plan mensual'!J52,0))+parametros_manuales!$G$42*('Plan mensual'!J49+IF(parametros_manuales!$H$42="Todos",'Plan mensual'!J53,0)))*parametros_manuales!$I$42*parametros_manuales!$J$42</f>
        <v>2076.915</v>
      </c>
      <c r="I137" s="8">
        <f>(parametros_manuales!$D$42*('Plan mensual'!K46+IF(parametros_manuales!$H$42="Todos",'Plan mensual'!K50,0))+parametros_manuales!$E$42*('Plan mensual'!K47+IF(parametros_manuales!$H$42="Todos",'Plan mensual'!K51,0))+parametros_manuales!$F$42*('Plan mensual'!K48+IF(parametros_manuales!$H$42="Todos",'Plan mensual'!K52,0))+parametros_manuales!$G$42*('Plan mensual'!K49+IF(parametros_manuales!$H$42="Todos",'Plan mensual'!K53,0)))*parametros_manuales!$I$42*parametros_manuales!$J$42</f>
        <v>2076.915</v>
      </c>
      <c r="J137" s="8">
        <f>(parametros_manuales!$D$42*('Plan mensual'!L46+IF(parametros_manuales!$H$42="Todos",'Plan mensual'!L50,0))+parametros_manuales!$E$42*('Plan mensual'!L47+IF(parametros_manuales!$H$42="Todos",'Plan mensual'!L51,0))+parametros_manuales!$F$42*('Plan mensual'!L48+IF(parametros_manuales!$H$42="Todos",'Plan mensual'!L52,0))+parametros_manuales!$G$42*('Plan mensual'!L49+IF(parametros_manuales!$H$42="Todos",'Plan mensual'!L53,0)))*parametros_manuales!$I$42*parametros_manuales!$J$42</f>
        <v>2076.915</v>
      </c>
      <c r="K137" s="8">
        <f>(parametros_manuales!$D$42*('Plan mensual'!M46+IF(parametros_manuales!$H$42="Todos",'Plan mensual'!M50,0))+parametros_manuales!$E$42*('Plan mensual'!M47+IF(parametros_manuales!$H$42="Todos",'Plan mensual'!M51,0))+parametros_manuales!$F$42*('Plan mensual'!M48+IF(parametros_manuales!$H$42="Todos",'Plan mensual'!M52,0))+parametros_manuales!$G$42*('Plan mensual'!M49+IF(parametros_manuales!$H$42="Todos",'Plan mensual'!M53,0)))*parametros_manuales!$I$42*parametros_manuales!$J$42</f>
        <v>2006.55</v>
      </c>
      <c r="L137" s="8">
        <f>(parametros_manuales!$D$42*('Plan mensual'!N46+IF(parametros_manuales!$H$42="Todos",'Plan mensual'!N50,0))+parametros_manuales!$E$42*('Plan mensual'!N47+IF(parametros_manuales!$H$42="Todos",'Plan mensual'!N51,0))+parametros_manuales!$F$42*('Plan mensual'!N48+IF(parametros_manuales!$H$42="Todos",'Plan mensual'!N52,0))+parametros_manuales!$G$42*('Plan mensual'!N49+IF(parametros_manuales!$H$42="Todos",'Plan mensual'!N53,0)))*parametros_manuales!$I$42*parametros_manuales!$J$42</f>
        <v>1936.185</v>
      </c>
      <c r="M137" s="8">
        <f>(parametros_manuales!$D$42*('Plan mensual'!O46+IF(parametros_manuales!$H$42="Todos",'Plan mensual'!O50,0))+parametros_manuales!$E$42*('Plan mensual'!O47+IF(parametros_manuales!$H$42="Todos",'Plan mensual'!O51,0))+parametros_manuales!$F$42*('Plan mensual'!O48+IF(parametros_manuales!$H$42="Todos",'Plan mensual'!O52,0))+parametros_manuales!$G$42*('Plan mensual'!O49+IF(parametros_manuales!$H$42="Todos",'Plan mensual'!O53,0)))*parametros_manuales!$I$42*parametros_manuales!$J$42</f>
        <v>3069.75</v>
      </c>
      <c r="N137" s="8">
        <f t="shared" si="13"/>
        <v>26754</v>
      </c>
      <c r="O137" s="8">
        <f t="shared" si="14"/>
        <v>3069.75</v>
      </c>
      <c r="P137" s="27">
        <f>O137/(parametros_manuales!$B$7)</f>
        <v>20.465</v>
      </c>
      <c r="Q137" s="4" t="str">
        <f t="shared" si="15"/>
        <v>Dic</v>
      </c>
    </row>
    <row r="138" ht="14.25" customHeight="1">
      <c r="A138" s="4" t="str">
        <f>parametros_manuales!$B$43</f>
        <v>Etiquetado</v>
      </c>
      <c r="B138" s="8">
        <f>(parametros_manuales!$D$43*('Plan mensual'!D46+IF(parametros_manuales!$H$43="Todos",'Plan mensual'!D50,0))+parametros_manuales!$E$43*('Plan mensual'!D47+IF(parametros_manuales!$H$43="Todos",'Plan mensual'!D51,0))+parametros_manuales!$F$43*('Plan mensual'!D48+IF(parametros_manuales!$H$43="Todos",'Plan mensual'!D52,0))+parametros_manuales!$G$43*('Plan mensual'!D49+IF(parametros_manuales!$H$43="Todos",'Plan mensual'!D53,0)))*parametros_manuales!$I$43*parametros_manuales!$J$43</f>
        <v>2929.02</v>
      </c>
      <c r="C138" s="8">
        <f>(parametros_manuales!$D$43*('Plan mensual'!E46+IF(parametros_manuales!$H$43="Todos",'Plan mensual'!E50,0))+parametros_manuales!$E$43*('Plan mensual'!E47+IF(parametros_manuales!$H$43="Todos",'Plan mensual'!E51,0))+parametros_manuales!$F$43*('Plan mensual'!E48+IF(parametros_manuales!$H$43="Todos",'Plan mensual'!E52,0))+parametros_manuales!$G$43*('Plan mensual'!E49+IF(parametros_manuales!$H$43="Todos",'Plan mensual'!E53,0)))*parametros_manuales!$I$43*parametros_manuales!$J$43</f>
        <v>2267.13</v>
      </c>
      <c r="D138" s="8">
        <f>(parametros_manuales!$D$43*('Plan mensual'!F46+IF(parametros_manuales!$H$43="Todos",'Plan mensual'!F50,0))+parametros_manuales!$E$43*('Plan mensual'!F47+IF(parametros_manuales!$H$43="Todos",'Plan mensual'!F51,0))+parametros_manuales!$F$43*('Plan mensual'!F48+IF(parametros_manuales!$H$43="Todos",'Plan mensual'!F52,0))+parametros_manuales!$G$43*('Plan mensual'!F49+IF(parametros_manuales!$H$43="Todos",'Plan mensual'!F53,0)))*parametros_manuales!$I$43*parametros_manuales!$J$43</f>
        <v>2210.685</v>
      </c>
      <c r="E138" s="8">
        <f>(parametros_manuales!$D$43*('Plan mensual'!G46+IF(parametros_manuales!$H$43="Todos",'Plan mensual'!G50,0))+parametros_manuales!$E$43*('Plan mensual'!G47+IF(parametros_manuales!$H$43="Todos",'Plan mensual'!G51,0))+parametros_manuales!$F$43*('Plan mensual'!G48+IF(parametros_manuales!$H$43="Todos",'Plan mensual'!G52,0))+parametros_manuales!$G$43*('Plan mensual'!G49+IF(parametros_manuales!$H$43="Todos",'Plan mensual'!G53,0)))*parametros_manuales!$I$43*parametros_manuales!$J$43</f>
        <v>2147.28</v>
      </c>
      <c r="F138" s="8">
        <f>(parametros_manuales!$D$43*('Plan mensual'!H46+IF(parametros_manuales!$H$43="Todos",'Plan mensual'!H50,0))+parametros_manuales!$E$43*('Plan mensual'!H47+IF(parametros_manuales!$H$43="Todos",'Plan mensual'!H51,0))+parametros_manuales!$F$43*('Plan mensual'!H48+IF(parametros_manuales!$H$43="Todos",'Plan mensual'!H52,0))+parametros_manuales!$G$43*('Plan mensual'!H49+IF(parametros_manuales!$H$43="Todos",'Plan mensual'!H53,0)))*parametros_manuales!$I$43*parametros_manuales!$J$43</f>
        <v>2013.51</v>
      </c>
      <c r="G138" s="8">
        <f>(parametros_manuales!$D$43*('Plan mensual'!I46+IF(parametros_manuales!$H$43="Todos",'Plan mensual'!I50,0))+parametros_manuales!$E$43*('Plan mensual'!I47+IF(parametros_manuales!$H$43="Todos",'Plan mensual'!I51,0))+parametros_manuales!$F$43*('Plan mensual'!I48+IF(parametros_manuales!$H$43="Todos",'Plan mensual'!I52,0))+parametros_manuales!$G$43*('Plan mensual'!I49+IF(parametros_manuales!$H$43="Todos",'Plan mensual'!I53,0)))*parametros_manuales!$I$43*parametros_manuales!$J$43</f>
        <v>1943.145</v>
      </c>
      <c r="H138" s="8">
        <f>(parametros_manuales!$D$43*('Plan mensual'!J46+IF(parametros_manuales!$H$43="Todos",'Plan mensual'!J50,0))+parametros_manuales!$E$43*('Plan mensual'!J47+IF(parametros_manuales!$H$43="Todos",'Plan mensual'!J51,0))+parametros_manuales!$F$43*('Plan mensual'!J48+IF(parametros_manuales!$H$43="Todos",'Plan mensual'!J52,0))+parametros_manuales!$G$43*('Plan mensual'!J49+IF(parametros_manuales!$H$43="Todos",'Plan mensual'!J53,0)))*parametros_manuales!$I$43*parametros_manuales!$J$43</f>
        <v>2076.915</v>
      </c>
      <c r="I138" s="8">
        <f>(parametros_manuales!$D$43*('Plan mensual'!K46+IF(parametros_manuales!$H$43="Todos",'Plan mensual'!K50,0))+parametros_manuales!$E$43*('Plan mensual'!K47+IF(parametros_manuales!$H$43="Todos",'Plan mensual'!K51,0))+parametros_manuales!$F$43*('Plan mensual'!K48+IF(parametros_manuales!$H$43="Todos",'Plan mensual'!K52,0))+parametros_manuales!$G$43*('Plan mensual'!K49+IF(parametros_manuales!$H$43="Todos",'Plan mensual'!K53,0)))*parametros_manuales!$I$43*parametros_manuales!$J$43</f>
        <v>2076.915</v>
      </c>
      <c r="J138" s="8">
        <f>(parametros_manuales!$D$43*('Plan mensual'!L46+IF(parametros_manuales!$H$43="Todos",'Plan mensual'!L50,0))+parametros_manuales!$E$43*('Plan mensual'!L47+IF(parametros_manuales!$H$43="Todos",'Plan mensual'!L51,0))+parametros_manuales!$F$43*('Plan mensual'!L48+IF(parametros_manuales!$H$43="Todos",'Plan mensual'!L52,0))+parametros_manuales!$G$43*('Plan mensual'!L49+IF(parametros_manuales!$H$43="Todos",'Plan mensual'!L53,0)))*parametros_manuales!$I$43*parametros_manuales!$J$43</f>
        <v>2076.915</v>
      </c>
      <c r="K138" s="8">
        <f>(parametros_manuales!$D$43*('Plan mensual'!M46+IF(parametros_manuales!$H$43="Todos",'Plan mensual'!M50,0))+parametros_manuales!$E$43*('Plan mensual'!M47+IF(parametros_manuales!$H$43="Todos",'Plan mensual'!M51,0))+parametros_manuales!$F$43*('Plan mensual'!M48+IF(parametros_manuales!$H$43="Todos",'Plan mensual'!M52,0))+parametros_manuales!$G$43*('Plan mensual'!M49+IF(parametros_manuales!$H$43="Todos",'Plan mensual'!M53,0)))*parametros_manuales!$I$43*parametros_manuales!$J$43</f>
        <v>2006.55</v>
      </c>
      <c r="L138" s="8">
        <f>(parametros_manuales!$D$43*('Plan mensual'!N46+IF(parametros_manuales!$H$43="Todos",'Plan mensual'!N50,0))+parametros_manuales!$E$43*('Plan mensual'!N47+IF(parametros_manuales!$H$43="Todos",'Plan mensual'!N51,0))+parametros_manuales!$F$43*('Plan mensual'!N48+IF(parametros_manuales!$H$43="Todos",'Plan mensual'!N52,0))+parametros_manuales!$G$43*('Plan mensual'!N49+IF(parametros_manuales!$H$43="Todos",'Plan mensual'!N53,0)))*parametros_manuales!$I$43*parametros_manuales!$J$43</f>
        <v>1936.185</v>
      </c>
      <c r="M138" s="8">
        <f>(parametros_manuales!$D$43*('Plan mensual'!O46+IF(parametros_manuales!$H$43="Todos",'Plan mensual'!O50,0))+parametros_manuales!$E$43*('Plan mensual'!O47+IF(parametros_manuales!$H$43="Todos",'Plan mensual'!O51,0))+parametros_manuales!$F$43*('Plan mensual'!O48+IF(parametros_manuales!$H$43="Todos",'Plan mensual'!O52,0))+parametros_manuales!$G$43*('Plan mensual'!O49+IF(parametros_manuales!$H$43="Todos",'Plan mensual'!O53,0)))*parametros_manuales!$I$43*parametros_manuales!$J$43</f>
        <v>3069.75</v>
      </c>
      <c r="N138" s="8">
        <f t="shared" si="13"/>
        <v>26754</v>
      </c>
      <c r="O138" s="8">
        <f t="shared" si="14"/>
        <v>3069.75</v>
      </c>
      <c r="P138" s="27">
        <f>O138/(parametros_manuales!$B$7)</f>
        <v>20.465</v>
      </c>
      <c r="Q138" s="4" t="str">
        <f t="shared" si="15"/>
        <v>Dic</v>
      </c>
    </row>
    <row r="139" ht="14.25" customHeight="1">
      <c r="A139" s="4" t="str">
        <f>parametros_manuales!$B$44</f>
        <v>Embalaje y paletizado</v>
      </c>
      <c r="B139" s="8">
        <f>(parametros_manuales!$D$44*('Plan mensual'!D46+IF(parametros_manuales!$H$44="Todos",'Plan mensual'!D50,0))+parametros_manuales!$E$44*('Plan mensual'!D47+IF(parametros_manuales!$H$44="Todos",'Plan mensual'!D51,0))+parametros_manuales!$F$44*('Plan mensual'!D48+IF(parametros_manuales!$H$44="Todos",'Plan mensual'!D52,0))+parametros_manuales!$G$44*('Plan mensual'!D49+IF(parametros_manuales!$H$44="Todos",'Plan mensual'!D53,0)))*parametros_manuales!$I$44*parametros_manuales!$J$44</f>
        <v>10127.32</v>
      </c>
      <c r="C139" s="8">
        <f>(parametros_manuales!$D$44*('Plan mensual'!E46+IF(parametros_manuales!$H$44="Todos",'Plan mensual'!E50,0))+parametros_manuales!$E$44*('Plan mensual'!E47+IF(parametros_manuales!$H$44="Todos",'Plan mensual'!E51,0))+parametros_manuales!$F$44*('Plan mensual'!E48+IF(parametros_manuales!$H$44="Todos",'Plan mensual'!E52,0))+parametros_manuales!$G$44*('Plan mensual'!E49+IF(parametros_manuales!$H$44="Todos",'Plan mensual'!E53,0)))*parametros_manuales!$I$44*parametros_manuales!$J$44</f>
        <v>7729.16</v>
      </c>
      <c r="D139" s="8">
        <f>(parametros_manuales!$D$44*('Plan mensual'!F46+IF(parametros_manuales!$H$44="Todos",'Plan mensual'!F50,0))+parametros_manuales!$E$44*('Plan mensual'!F47+IF(parametros_manuales!$H$44="Todos",'Plan mensual'!F51,0))+parametros_manuales!$F$44*('Plan mensual'!F48+IF(parametros_manuales!$H$44="Todos",'Plan mensual'!F52,0))+parametros_manuales!$G$44*('Plan mensual'!F49+IF(parametros_manuales!$H$44="Todos",'Plan mensual'!F53,0)))*parametros_manuales!$I$44*parametros_manuales!$J$44</f>
        <v>7241.67</v>
      </c>
      <c r="E139" s="8">
        <f>(parametros_manuales!$D$44*('Plan mensual'!G46+IF(parametros_manuales!$H$44="Todos",'Plan mensual'!G50,0))+parametros_manuales!$E$44*('Plan mensual'!G47+IF(parametros_manuales!$H$44="Todos",'Plan mensual'!G51,0))+parametros_manuales!$F$44*('Plan mensual'!G48+IF(parametros_manuales!$H$44="Todos",'Plan mensual'!G52,0))+parametros_manuales!$G$44*('Plan mensual'!G49+IF(parametros_manuales!$H$44="Todos",'Plan mensual'!G53,0)))*parametros_manuales!$I$44*parametros_manuales!$J$44</f>
        <v>6931.09</v>
      </c>
      <c r="F139" s="8">
        <f>(parametros_manuales!$D$44*('Plan mensual'!H46+IF(parametros_manuales!$H$44="Todos",'Plan mensual'!H50,0))+parametros_manuales!$E$44*('Plan mensual'!H47+IF(parametros_manuales!$H$44="Todos",'Plan mensual'!H51,0))+parametros_manuales!$F$44*('Plan mensual'!H48+IF(parametros_manuales!$H$44="Todos",'Plan mensual'!H52,0))+parametros_manuales!$G$44*('Plan mensual'!H49+IF(parametros_manuales!$H$44="Todos",'Plan mensual'!H53,0)))*parametros_manuales!$I$44*parametros_manuales!$J$44</f>
        <v>6486.84</v>
      </c>
      <c r="G139" s="8">
        <f>(parametros_manuales!$D$44*('Plan mensual'!I46+IF(parametros_manuales!$H$44="Todos",'Plan mensual'!I50,0))+parametros_manuales!$E$44*('Plan mensual'!I47+IF(parametros_manuales!$H$44="Todos",'Plan mensual'!I51,0))+parametros_manuales!$F$44*('Plan mensual'!I48+IF(parametros_manuales!$H$44="Todos",'Plan mensual'!I52,0))+parametros_manuales!$G$44*('Plan mensual'!I49+IF(parametros_manuales!$H$44="Todos",'Plan mensual'!I53,0)))*parametros_manuales!$I$44*parametros_manuales!$J$44</f>
        <v>6353.17</v>
      </c>
      <c r="H139" s="8">
        <f>(parametros_manuales!$D$44*('Plan mensual'!J46+IF(parametros_manuales!$H$44="Todos",'Plan mensual'!J50,0))+parametros_manuales!$E$44*('Plan mensual'!J47+IF(parametros_manuales!$H$44="Todos",'Plan mensual'!J51,0))+parametros_manuales!$F$44*('Plan mensual'!J48+IF(parametros_manuales!$H$44="Todos",'Plan mensual'!J52,0))+parametros_manuales!$G$44*('Plan mensual'!J49+IF(parametros_manuales!$H$44="Todos",'Plan mensual'!J53,0)))*parametros_manuales!$I$44*parametros_manuales!$J$44</f>
        <v>6797.42</v>
      </c>
      <c r="I139" s="8">
        <f>(parametros_manuales!$D$44*('Plan mensual'!K46+IF(parametros_manuales!$H$44="Todos",'Plan mensual'!K50,0))+parametros_manuales!$E$44*('Plan mensual'!K47+IF(parametros_manuales!$H$44="Todos",'Plan mensual'!K51,0))+parametros_manuales!$F$44*('Plan mensual'!K48+IF(parametros_manuales!$H$44="Todos",'Plan mensual'!K52,0))+parametros_manuales!$G$44*('Plan mensual'!K49+IF(parametros_manuales!$H$44="Todos",'Plan mensual'!K53,0)))*parametros_manuales!$I$44*parametros_manuales!$J$44</f>
        <v>6797.42</v>
      </c>
      <c r="J139" s="8">
        <f>(parametros_manuales!$D$44*('Plan mensual'!L46+IF(parametros_manuales!$H$44="Todos",'Plan mensual'!L50,0))+parametros_manuales!$E$44*('Plan mensual'!L47+IF(parametros_manuales!$H$44="Todos",'Plan mensual'!L51,0))+parametros_manuales!$F$44*('Plan mensual'!L48+IF(parametros_manuales!$H$44="Todos",'Plan mensual'!L52,0))+parametros_manuales!$G$44*('Plan mensual'!L49+IF(parametros_manuales!$H$44="Todos",'Plan mensual'!L53,0)))*parametros_manuales!$I$44*parametros_manuales!$J$44</f>
        <v>6797.42</v>
      </c>
      <c r="K139" s="8">
        <f>(parametros_manuales!$D$44*('Plan mensual'!M46+IF(parametros_manuales!$H$44="Todos",'Plan mensual'!M50,0))+parametros_manuales!$E$44*('Plan mensual'!M47+IF(parametros_manuales!$H$44="Todos",'Plan mensual'!M51,0))+parametros_manuales!$F$44*('Plan mensual'!M48+IF(parametros_manuales!$H$44="Todos",'Plan mensual'!M52,0))+parametros_manuales!$G$44*('Plan mensual'!M49+IF(parametros_manuales!$H$44="Todos",'Plan mensual'!M53,0)))*parametros_manuales!$I$44*parametros_manuales!$J$44</f>
        <v>6663.75</v>
      </c>
      <c r="L139" s="8">
        <f>(parametros_manuales!$D$44*('Plan mensual'!N46+IF(parametros_manuales!$H$44="Todos",'Plan mensual'!N50,0))+parametros_manuales!$E$44*('Plan mensual'!N47+IF(parametros_manuales!$H$44="Todos",'Plan mensual'!N51,0))+parametros_manuales!$F$44*('Plan mensual'!N48+IF(parametros_manuales!$H$44="Todos",'Plan mensual'!N52,0))+parametros_manuales!$G$44*('Plan mensual'!N49+IF(parametros_manuales!$H$44="Todos",'Plan mensual'!N53,0)))*parametros_manuales!$I$44*parametros_manuales!$J$44</f>
        <v>6530.08</v>
      </c>
      <c r="M139" s="8">
        <f>(parametros_manuales!$D$44*('Plan mensual'!O46+IF(parametros_manuales!$H$44="Todos",'Plan mensual'!O50,0))+parametros_manuales!$E$44*('Plan mensual'!O47+IF(parametros_manuales!$H$44="Todos",'Plan mensual'!O51,0))+parametros_manuales!$F$44*('Plan mensual'!O48+IF(parametros_manuales!$H$44="Todos",'Plan mensual'!O52,0))+parametros_manuales!$G$44*('Plan mensual'!O49+IF(parametros_manuales!$H$44="Todos",'Plan mensual'!O53,0)))*parametros_manuales!$I$44*parametros_manuales!$J$44</f>
        <v>10394.66</v>
      </c>
      <c r="N139" s="8">
        <f t="shared" si="13"/>
        <v>88850</v>
      </c>
      <c r="O139" s="8">
        <f t="shared" si="14"/>
        <v>10394.66</v>
      </c>
      <c r="P139" s="27">
        <f>O139/(parametros_manuales!$B$7)</f>
        <v>69.29773333</v>
      </c>
      <c r="Q139" s="4" t="str">
        <f t="shared" si="15"/>
        <v>Dic</v>
      </c>
    </row>
    <row r="140" ht="14.2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</row>
    <row r="141" ht="14.25" customHeight="1">
      <c r="A141" s="1" t="s">
        <v>232</v>
      </c>
      <c r="B141" s="1" t="s">
        <v>5</v>
      </c>
      <c r="C141" s="1" t="s">
        <v>6</v>
      </c>
      <c r="D141" s="1" t="s">
        <v>7</v>
      </c>
      <c r="E141" s="1" t="s">
        <v>8</v>
      </c>
      <c r="F141" s="1" t="s">
        <v>9</v>
      </c>
      <c r="G141" s="1" t="s">
        <v>10</v>
      </c>
      <c r="H141" s="1" t="s">
        <v>12</v>
      </c>
      <c r="I141" s="1" t="s">
        <v>13</v>
      </c>
      <c r="J141" s="1" t="s">
        <v>15</v>
      </c>
      <c r="K141" s="1" t="s">
        <v>16</v>
      </c>
      <c r="L141" s="1" t="s">
        <v>17</v>
      </c>
      <c r="M141" s="1" t="s">
        <v>18</v>
      </c>
      <c r="N141" s="1" t="s">
        <v>19</v>
      </c>
      <c r="O141" s="1" t="s">
        <v>20</v>
      </c>
      <c r="P141" s="1" t="s">
        <v>21</v>
      </c>
      <c r="Q141" s="1" t="s">
        <v>22</v>
      </c>
    </row>
    <row r="142" ht="14.25" customHeight="1">
      <c r="A142" s="4" t="str">
        <f>parametros_manuales!$B$19</f>
        <v>Recepción de materia prima</v>
      </c>
      <c r="B142" s="8">
        <f>(parametros_manuales!$D$19*('Plan mensual'!D57+IF(parametros_manuales!$H$19="Todos",'Plan mensual'!D61,0))+parametros_manuales!$E$19*('Plan mensual'!D58+IF(parametros_manuales!$H$19="Todos",'Plan mensual'!D62,0))+parametros_manuales!$F$19*('Plan mensual'!D59+IF(parametros_manuales!$H$19="Todos",'Plan mensual'!D63,0))+parametros_manuales!$G$19*('Plan mensual'!D60+IF(parametros_manuales!$H$19="Todos",'Plan mensual'!D64,0)))*parametros_manuales!$I$19*parametros_manuales!$J$19</f>
        <v>14222.7</v>
      </c>
      <c r="C142" s="8">
        <f>(parametros_manuales!$D$19*('Plan mensual'!E57+IF(parametros_manuales!$H$19="Todos",'Plan mensual'!E61,0))+parametros_manuales!$E$19*('Plan mensual'!E58+IF(parametros_manuales!$H$19="Todos",'Plan mensual'!E62,0))+parametros_manuales!$F$19*('Plan mensual'!E59+IF(parametros_manuales!$H$19="Todos",'Plan mensual'!E63,0))+parametros_manuales!$G$19*('Plan mensual'!E60+IF(parametros_manuales!$H$19="Todos",'Plan mensual'!E64,0)))*parametros_manuales!$I$19*parametros_manuales!$J$19</f>
        <v>10854.36</v>
      </c>
      <c r="D142" s="8">
        <f>(parametros_manuales!$D$19*('Plan mensual'!F57+IF(parametros_manuales!$H$19="Todos",'Plan mensual'!F61,0))+parametros_manuales!$E$19*('Plan mensual'!F58+IF(parametros_manuales!$H$19="Todos",'Plan mensual'!F62,0))+parametros_manuales!$F$19*('Plan mensual'!F59+IF(parametros_manuales!$H$19="Todos",'Plan mensual'!F63,0))+parametros_manuales!$G$19*('Plan mensual'!F60+IF(parametros_manuales!$H$19="Todos",'Plan mensual'!F64,0)))*parametros_manuales!$I$19*parametros_manuales!$J$19</f>
        <v>10168.695</v>
      </c>
      <c r="E142" s="8">
        <f>(parametros_manuales!$D$19*('Plan mensual'!G57+IF(parametros_manuales!$H$19="Todos",'Plan mensual'!G61,0))+parametros_manuales!$E$19*('Plan mensual'!G58+IF(parametros_manuales!$H$19="Todos",'Plan mensual'!G62,0))+parametros_manuales!$F$19*('Plan mensual'!G59+IF(parametros_manuales!$H$19="Todos",'Plan mensual'!G63,0))+parametros_manuales!$G$19*('Plan mensual'!G60+IF(parametros_manuales!$H$19="Todos",'Plan mensual'!G64,0)))*parametros_manuales!$I$19*parametros_manuales!$J$19</f>
        <v>9732.195</v>
      </c>
      <c r="F142" s="8">
        <f>(parametros_manuales!$D$19*('Plan mensual'!H57+IF(parametros_manuales!$H$19="Todos",'Plan mensual'!H61,0))+parametros_manuales!$E$19*('Plan mensual'!H58+IF(parametros_manuales!$H$19="Todos",'Plan mensual'!H62,0))+parametros_manuales!$F$19*('Plan mensual'!H59+IF(parametros_manuales!$H$19="Todos",'Plan mensual'!H63,0))+parametros_manuales!$G$19*('Plan mensual'!H60+IF(parametros_manuales!$H$19="Todos",'Plan mensual'!H64,0)))*parametros_manuales!$I$19*parametros_manuales!$J$19</f>
        <v>9108.36</v>
      </c>
      <c r="G142" s="8">
        <f>(parametros_manuales!$D$19*('Plan mensual'!I57+IF(parametros_manuales!$H$19="Todos",'Plan mensual'!I61,0))+parametros_manuales!$E$19*('Plan mensual'!I58+IF(parametros_manuales!$H$19="Todos",'Plan mensual'!I62,0))+parametros_manuales!$F$19*('Plan mensual'!I59+IF(parametros_manuales!$H$19="Todos",'Plan mensual'!I63,0))+parametros_manuales!$G$19*('Plan mensual'!I60+IF(parametros_manuales!$H$19="Todos",'Plan mensual'!I64,0)))*parametros_manuales!$I$19*parametros_manuales!$J$19</f>
        <v>8921.025</v>
      </c>
      <c r="H142" s="8">
        <f>(parametros_manuales!$D$19*('Plan mensual'!J57+IF(parametros_manuales!$H$19="Todos",'Plan mensual'!J61,0))+parametros_manuales!$E$19*('Plan mensual'!J58+IF(parametros_manuales!$H$19="Todos",'Plan mensual'!J62,0))+parametros_manuales!$F$19*('Plan mensual'!J59+IF(parametros_manuales!$H$19="Todos",'Plan mensual'!J63,0))+parametros_manuales!$G$19*('Plan mensual'!J60+IF(parametros_manuales!$H$19="Todos",'Plan mensual'!J64,0)))*parametros_manuales!$I$19*parametros_manuales!$J$19</f>
        <v>9544.86</v>
      </c>
      <c r="I142" s="8">
        <f>(parametros_manuales!$D$19*('Plan mensual'!K57+IF(parametros_manuales!$H$19="Todos",'Plan mensual'!K61,0))+parametros_manuales!$E$19*('Plan mensual'!K58+IF(parametros_manuales!$H$19="Todos",'Plan mensual'!K62,0))+parametros_manuales!$F$19*('Plan mensual'!K59+IF(parametros_manuales!$H$19="Todos",'Plan mensual'!K63,0))+parametros_manuales!$G$19*('Plan mensual'!K60+IF(parametros_manuales!$H$19="Todos",'Plan mensual'!K64,0)))*parametros_manuales!$I$19*parametros_manuales!$J$19</f>
        <v>9544.86</v>
      </c>
      <c r="J142" s="8">
        <f>(parametros_manuales!$D$19*('Plan mensual'!L57+IF(parametros_manuales!$H$19="Todos",'Plan mensual'!L61,0))+parametros_manuales!$E$19*('Plan mensual'!L58+IF(parametros_manuales!$H$19="Todos",'Plan mensual'!L62,0))+parametros_manuales!$F$19*('Plan mensual'!L59+IF(parametros_manuales!$H$19="Todos",'Plan mensual'!L63,0))+parametros_manuales!$G$19*('Plan mensual'!L60+IF(parametros_manuales!$H$19="Todos",'Plan mensual'!L64,0)))*parametros_manuales!$I$19*parametros_manuales!$J$19</f>
        <v>9544.86</v>
      </c>
      <c r="K142" s="8">
        <f>(parametros_manuales!$D$19*('Plan mensual'!M57+IF(parametros_manuales!$H$19="Todos",'Plan mensual'!M61,0))+parametros_manuales!$E$19*('Plan mensual'!M58+IF(parametros_manuales!$H$19="Todos",'Plan mensual'!M62,0))+parametros_manuales!$F$19*('Plan mensual'!M59+IF(parametros_manuales!$H$19="Todos",'Plan mensual'!M63,0))+parametros_manuales!$G$19*('Plan mensual'!M60+IF(parametros_manuales!$H$19="Todos",'Plan mensual'!M64,0)))*parametros_manuales!$I$19*parametros_manuales!$J$19</f>
        <v>9357.525</v>
      </c>
      <c r="L142" s="8">
        <f>(parametros_manuales!$D$19*('Plan mensual'!N57+IF(parametros_manuales!$H$19="Todos",'Plan mensual'!N61,0))+parametros_manuales!$E$19*('Plan mensual'!N58+IF(parametros_manuales!$H$19="Todos",'Plan mensual'!N62,0))+parametros_manuales!$F$19*('Plan mensual'!N59+IF(parametros_manuales!$H$19="Todos",'Plan mensual'!N63,0))+parametros_manuales!$G$19*('Plan mensual'!N60+IF(parametros_manuales!$H$19="Todos",'Plan mensual'!N64,0)))*parametros_manuales!$I$19*parametros_manuales!$J$19</f>
        <v>9170.19</v>
      </c>
      <c r="M142" s="8">
        <f>(parametros_manuales!$D$19*('Plan mensual'!O57+IF(parametros_manuales!$H$19="Todos",'Plan mensual'!O61,0))+parametros_manuales!$E$19*('Plan mensual'!O58+IF(parametros_manuales!$H$19="Todos",'Plan mensual'!O62,0))+parametros_manuales!$F$19*('Plan mensual'!O59+IF(parametros_manuales!$H$19="Todos",'Plan mensual'!O63,0))+parametros_manuales!$G$19*('Plan mensual'!O60+IF(parametros_manuales!$H$19="Todos",'Plan mensual'!O64,0)))*parametros_manuales!$I$19*parametros_manuales!$J$19</f>
        <v>14597.37</v>
      </c>
      <c r="N142" s="8">
        <f t="shared" ref="N142:N167" si="16">SUM(B142:M142)</f>
        <v>124767</v>
      </c>
      <c r="O142" s="8">
        <f t="shared" ref="O142:O167" si="17">MAX(B142:M142)</f>
        <v>14597.37</v>
      </c>
      <c r="P142" s="27">
        <f>O142/(parametros_manuales!$B$7)</f>
        <v>97.3158</v>
      </c>
      <c r="Q142" s="4" t="str">
        <f t="shared" ref="Q142:Q167" si="18">IF(O142=0,"-",INDEX($B$141:$M$141,MATCH(O142,B142:M142,0)))</f>
        <v>Dic</v>
      </c>
    </row>
    <row r="143" ht="14.25" customHeight="1">
      <c r="A143" s="4" t="str">
        <f>parametros_manuales!$B$20</f>
        <v>Corte de chapa — 1.er corte en franjas (guillotina 1)</v>
      </c>
      <c r="B143" s="8">
        <f>(parametros_manuales!$D$20*('Plan mensual'!D57+IF(parametros_manuales!$H$20="Todos",'Plan mensual'!D61,0))+parametros_manuales!$E$20*('Plan mensual'!D58+IF(parametros_manuales!$H$20="Todos",'Plan mensual'!D62,0))+parametros_manuales!$F$20*('Plan mensual'!D59+IF(parametros_manuales!$H$20="Todos",'Plan mensual'!D63,0))+parametros_manuales!$G$20*('Plan mensual'!D60+IF(parametros_manuales!$H$20="Todos",'Plan mensual'!D64,0)))*parametros_manuales!$I$20*parametros_manuales!$J$20</f>
        <v>14222.7</v>
      </c>
      <c r="C143" s="8">
        <f>(parametros_manuales!$D$20*('Plan mensual'!E57+IF(parametros_manuales!$H$20="Todos",'Plan mensual'!E61,0))+parametros_manuales!$E$20*('Plan mensual'!E58+IF(parametros_manuales!$H$20="Todos",'Plan mensual'!E62,0))+parametros_manuales!$F$20*('Plan mensual'!E59+IF(parametros_manuales!$H$20="Todos",'Plan mensual'!E63,0))+parametros_manuales!$G$20*('Plan mensual'!E60+IF(parametros_manuales!$H$20="Todos",'Plan mensual'!E64,0)))*parametros_manuales!$I$20*parametros_manuales!$J$20</f>
        <v>10854.36</v>
      </c>
      <c r="D143" s="8">
        <f>(parametros_manuales!$D$20*('Plan mensual'!F57+IF(parametros_manuales!$H$20="Todos",'Plan mensual'!F61,0))+parametros_manuales!$E$20*('Plan mensual'!F58+IF(parametros_manuales!$H$20="Todos",'Plan mensual'!F62,0))+parametros_manuales!$F$20*('Plan mensual'!F59+IF(parametros_manuales!$H$20="Todos",'Plan mensual'!F63,0))+parametros_manuales!$G$20*('Plan mensual'!F60+IF(parametros_manuales!$H$20="Todos",'Plan mensual'!F64,0)))*parametros_manuales!$I$20*parametros_manuales!$J$20</f>
        <v>10168.695</v>
      </c>
      <c r="E143" s="8">
        <f>(parametros_manuales!$D$20*('Plan mensual'!G57+IF(parametros_manuales!$H$20="Todos",'Plan mensual'!G61,0))+parametros_manuales!$E$20*('Plan mensual'!G58+IF(parametros_manuales!$H$20="Todos",'Plan mensual'!G62,0))+parametros_manuales!$F$20*('Plan mensual'!G59+IF(parametros_manuales!$H$20="Todos",'Plan mensual'!G63,0))+parametros_manuales!$G$20*('Plan mensual'!G60+IF(parametros_manuales!$H$20="Todos",'Plan mensual'!G64,0)))*parametros_manuales!$I$20*parametros_manuales!$J$20</f>
        <v>9732.195</v>
      </c>
      <c r="F143" s="8">
        <f>(parametros_manuales!$D$20*('Plan mensual'!H57+IF(parametros_manuales!$H$20="Todos",'Plan mensual'!H61,0))+parametros_manuales!$E$20*('Plan mensual'!H58+IF(parametros_manuales!$H$20="Todos",'Plan mensual'!H62,0))+parametros_manuales!$F$20*('Plan mensual'!H59+IF(parametros_manuales!$H$20="Todos",'Plan mensual'!H63,0))+parametros_manuales!$G$20*('Plan mensual'!H60+IF(parametros_manuales!$H$20="Todos",'Plan mensual'!H64,0)))*parametros_manuales!$I$20*parametros_manuales!$J$20</f>
        <v>9108.36</v>
      </c>
      <c r="G143" s="8">
        <f>(parametros_manuales!$D$20*('Plan mensual'!I57+IF(parametros_manuales!$H$20="Todos",'Plan mensual'!I61,0))+parametros_manuales!$E$20*('Plan mensual'!I58+IF(parametros_manuales!$H$20="Todos",'Plan mensual'!I62,0))+parametros_manuales!$F$20*('Plan mensual'!I59+IF(parametros_manuales!$H$20="Todos",'Plan mensual'!I63,0))+parametros_manuales!$G$20*('Plan mensual'!I60+IF(parametros_manuales!$H$20="Todos",'Plan mensual'!I64,0)))*parametros_manuales!$I$20*parametros_manuales!$J$20</f>
        <v>8921.025</v>
      </c>
      <c r="H143" s="8">
        <f>(parametros_manuales!$D$20*('Plan mensual'!J57+IF(parametros_manuales!$H$20="Todos",'Plan mensual'!J61,0))+parametros_manuales!$E$20*('Plan mensual'!J58+IF(parametros_manuales!$H$20="Todos",'Plan mensual'!J62,0))+parametros_manuales!$F$20*('Plan mensual'!J59+IF(parametros_manuales!$H$20="Todos",'Plan mensual'!J63,0))+parametros_manuales!$G$20*('Plan mensual'!J60+IF(parametros_manuales!$H$20="Todos",'Plan mensual'!J64,0)))*parametros_manuales!$I$20*parametros_manuales!$J$20</f>
        <v>9544.86</v>
      </c>
      <c r="I143" s="8">
        <f>(parametros_manuales!$D$20*('Plan mensual'!K57+IF(parametros_manuales!$H$20="Todos",'Plan mensual'!K61,0))+parametros_manuales!$E$20*('Plan mensual'!K58+IF(parametros_manuales!$H$20="Todos",'Plan mensual'!K62,0))+parametros_manuales!$F$20*('Plan mensual'!K59+IF(parametros_manuales!$H$20="Todos",'Plan mensual'!K63,0))+parametros_manuales!$G$20*('Plan mensual'!K60+IF(parametros_manuales!$H$20="Todos",'Plan mensual'!K64,0)))*parametros_manuales!$I$20*parametros_manuales!$J$20</f>
        <v>9544.86</v>
      </c>
      <c r="J143" s="8">
        <f>(parametros_manuales!$D$20*('Plan mensual'!L57+IF(parametros_manuales!$H$20="Todos",'Plan mensual'!L61,0))+parametros_manuales!$E$20*('Plan mensual'!L58+IF(parametros_manuales!$H$20="Todos",'Plan mensual'!L62,0))+parametros_manuales!$F$20*('Plan mensual'!L59+IF(parametros_manuales!$H$20="Todos",'Plan mensual'!L63,0))+parametros_manuales!$G$20*('Plan mensual'!L60+IF(parametros_manuales!$H$20="Todos",'Plan mensual'!L64,0)))*parametros_manuales!$I$20*parametros_manuales!$J$20</f>
        <v>9544.86</v>
      </c>
      <c r="K143" s="8">
        <f>(parametros_manuales!$D$20*('Plan mensual'!M57+IF(parametros_manuales!$H$20="Todos",'Plan mensual'!M61,0))+parametros_manuales!$E$20*('Plan mensual'!M58+IF(parametros_manuales!$H$20="Todos",'Plan mensual'!M62,0))+parametros_manuales!$F$20*('Plan mensual'!M59+IF(parametros_manuales!$H$20="Todos",'Plan mensual'!M63,0))+parametros_manuales!$G$20*('Plan mensual'!M60+IF(parametros_manuales!$H$20="Todos",'Plan mensual'!M64,0)))*parametros_manuales!$I$20*parametros_manuales!$J$20</f>
        <v>9357.525</v>
      </c>
      <c r="L143" s="8">
        <f>(parametros_manuales!$D$20*('Plan mensual'!N57+IF(parametros_manuales!$H$20="Todos",'Plan mensual'!N61,0))+parametros_manuales!$E$20*('Plan mensual'!N58+IF(parametros_manuales!$H$20="Todos",'Plan mensual'!N62,0))+parametros_manuales!$F$20*('Plan mensual'!N59+IF(parametros_manuales!$H$20="Todos",'Plan mensual'!N63,0))+parametros_manuales!$G$20*('Plan mensual'!N60+IF(parametros_manuales!$H$20="Todos",'Plan mensual'!N64,0)))*parametros_manuales!$I$20*parametros_manuales!$J$20</f>
        <v>9170.19</v>
      </c>
      <c r="M143" s="8">
        <f>(parametros_manuales!$D$20*('Plan mensual'!O57+IF(parametros_manuales!$H$20="Todos",'Plan mensual'!O61,0))+parametros_manuales!$E$20*('Plan mensual'!O58+IF(parametros_manuales!$H$20="Todos",'Plan mensual'!O62,0))+parametros_manuales!$F$20*('Plan mensual'!O59+IF(parametros_manuales!$H$20="Todos",'Plan mensual'!O63,0))+parametros_manuales!$G$20*('Plan mensual'!O60+IF(parametros_manuales!$H$20="Todos",'Plan mensual'!O64,0)))*parametros_manuales!$I$20*parametros_manuales!$J$20</f>
        <v>14597.37</v>
      </c>
      <c r="N143" s="8">
        <f t="shared" si="16"/>
        <v>124767</v>
      </c>
      <c r="O143" s="8">
        <f t="shared" si="17"/>
        <v>14597.37</v>
      </c>
      <c r="P143" s="27">
        <f>O143/(parametros_manuales!$B$7)</f>
        <v>97.3158</v>
      </c>
      <c r="Q143" s="4" t="str">
        <f t="shared" si="18"/>
        <v>Dic</v>
      </c>
    </row>
    <row r="144" ht="14.25" customHeight="1">
      <c r="A144" s="4" t="str">
        <f>parametros_manuales!$B$21</f>
        <v>Corte de chapa — 2.º corte en piezas (guillotina 2)</v>
      </c>
      <c r="B144" s="8">
        <f>(parametros_manuales!$D$21*('Plan mensual'!D57+IF(parametros_manuales!$H$21="Todos",'Plan mensual'!D61,0))+parametros_manuales!$E$21*('Plan mensual'!D58+IF(parametros_manuales!$H$21="Todos",'Plan mensual'!D62,0))+parametros_manuales!$F$21*('Plan mensual'!D59+IF(parametros_manuales!$H$21="Todos",'Plan mensual'!D63,0))+parametros_manuales!$G$21*('Plan mensual'!D60+IF(parametros_manuales!$H$21="Todos",'Plan mensual'!D64,0)))*parametros_manuales!$I$21*parametros_manuales!$J$21</f>
        <v>14222.7</v>
      </c>
      <c r="C144" s="8">
        <f>(parametros_manuales!$D$21*('Plan mensual'!E57+IF(parametros_manuales!$H$21="Todos",'Plan mensual'!E61,0))+parametros_manuales!$E$21*('Plan mensual'!E58+IF(parametros_manuales!$H$21="Todos",'Plan mensual'!E62,0))+parametros_manuales!$F$21*('Plan mensual'!E59+IF(parametros_manuales!$H$21="Todos",'Plan mensual'!E63,0))+parametros_manuales!$G$21*('Plan mensual'!E60+IF(parametros_manuales!$H$21="Todos",'Plan mensual'!E64,0)))*parametros_manuales!$I$21*parametros_manuales!$J$21</f>
        <v>10854.36</v>
      </c>
      <c r="D144" s="8">
        <f>(parametros_manuales!$D$21*('Plan mensual'!F57+IF(parametros_manuales!$H$21="Todos",'Plan mensual'!F61,0))+parametros_manuales!$E$21*('Plan mensual'!F58+IF(parametros_manuales!$H$21="Todos",'Plan mensual'!F62,0))+parametros_manuales!$F$21*('Plan mensual'!F59+IF(parametros_manuales!$H$21="Todos",'Plan mensual'!F63,0))+parametros_manuales!$G$21*('Plan mensual'!F60+IF(parametros_manuales!$H$21="Todos",'Plan mensual'!F64,0)))*parametros_manuales!$I$21*parametros_manuales!$J$21</f>
        <v>10168.695</v>
      </c>
      <c r="E144" s="8">
        <f>(parametros_manuales!$D$21*('Plan mensual'!G57+IF(parametros_manuales!$H$21="Todos",'Plan mensual'!G61,0))+parametros_manuales!$E$21*('Plan mensual'!G58+IF(parametros_manuales!$H$21="Todos",'Plan mensual'!G62,0))+parametros_manuales!$F$21*('Plan mensual'!G59+IF(parametros_manuales!$H$21="Todos",'Plan mensual'!G63,0))+parametros_manuales!$G$21*('Plan mensual'!G60+IF(parametros_manuales!$H$21="Todos",'Plan mensual'!G64,0)))*parametros_manuales!$I$21*parametros_manuales!$J$21</f>
        <v>9732.195</v>
      </c>
      <c r="F144" s="8">
        <f>(parametros_manuales!$D$21*('Plan mensual'!H57+IF(parametros_manuales!$H$21="Todos",'Plan mensual'!H61,0))+parametros_manuales!$E$21*('Plan mensual'!H58+IF(parametros_manuales!$H$21="Todos",'Plan mensual'!H62,0))+parametros_manuales!$F$21*('Plan mensual'!H59+IF(parametros_manuales!$H$21="Todos",'Plan mensual'!H63,0))+parametros_manuales!$G$21*('Plan mensual'!H60+IF(parametros_manuales!$H$21="Todos",'Plan mensual'!H64,0)))*parametros_manuales!$I$21*parametros_manuales!$J$21</f>
        <v>9108.36</v>
      </c>
      <c r="G144" s="8">
        <f>(parametros_manuales!$D$21*('Plan mensual'!I57+IF(parametros_manuales!$H$21="Todos",'Plan mensual'!I61,0))+parametros_manuales!$E$21*('Plan mensual'!I58+IF(parametros_manuales!$H$21="Todos",'Plan mensual'!I62,0))+parametros_manuales!$F$21*('Plan mensual'!I59+IF(parametros_manuales!$H$21="Todos",'Plan mensual'!I63,0))+parametros_manuales!$G$21*('Plan mensual'!I60+IF(parametros_manuales!$H$21="Todos",'Plan mensual'!I64,0)))*parametros_manuales!$I$21*parametros_manuales!$J$21</f>
        <v>8921.025</v>
      </c>
      <c r="H144" s="8">
        <f>(parametros_manuales!$D$21*('Plan mensual'!J57+IF(parametros_manuales!$H$21="Todos",'Plan mensual'!J61,0))+parametros_manuales!$E$21*('Plan mensual'!J58+IF(parametros_manuales!$H$21="Todos",'Plan mensual'!J62,0))+parametros_manuales!$F$21*('Plan mensual'!J59+IF(parametros_manuales!$H$21="Todos",'Plan mensual'!J63,0))+parametros_manuales!$G$21*('Plan mensual'!J60+IF(parametros_manuales!$H$21="Todos",'Plan mensual'!J64,0)))*parametros_manuales!$I$21*parametros_manuales!$J$21</f>
        <v>9544.86</v>
      </c>
      <c r="I144" s="8">
        <f>(parametros_manuales!$D$21*('Plan mensual'!K57+IF(parametros_manuales!$H$21="Todos",'Plan mensual'!K61,0))+parametros_manuales!$E$21*('Plan mensual'!K58+IF(parametros_manuales!$H$21="Todos",'Plan mensual'!K62,0))+parametros_manuales!$F$21*('Plan mensual'!K59+IF(parametros_manuales!$H$21="Todos",'Plan mensual'!K63,0))+parametros_manuales!$G$21*('Plan mensual'!K60+IF(parametros_manuales!$H$21="Todos",'Plan mensual'!K64,0)))*parametros_manuales!$I$21*parametros_manuales!$J$21</f>
        <v>9544.86</v>
      </c>
      <c r="J144" s="8">
        <f>(parametros_manuales!$D$21*('Plan mensual'!L57+IF(parametros_manuales!$H$21="Todos",'Plan mensual'!L61,0))+parametros_manuales!$E$21*('Plan mensual'!L58+IF(parametros_manuales!$H$21="Todos",'Plan mensual'!L62,0))+parametros_manuales!$F$21*('Plan mensual'!L59+IF(parametros_manuales!$H$21="Todos",'Plan mensual'!L63,0))+parametros_manuales!$G$21*('Plan mensual'!L60+IF(parametros_manuales!$H$21="Todos",'Plan mensual'!L64,0)))*parametros_manuales!$I$21*parametros_manuales!$J$21</f>
        <v>9544.86</v>
      </c>
      <c r="K144" s="8">
        <f>(parametros_manuales!$D$21*('Plan mensual'!M57+IF(parametros_manuales!$H$21="Todos",'Plan mensual'!M61,0))+parametros_manuales!$E$21*('Plan mensual'!M58+IF(parametros_manuales!$H$21="Todos",'Plan mensual'!M62,0))+parametros_manuales!$F$21*('Plan mensual'!M59+IF(parametros_manuales!$H$21="Todos",'Plan mensual'!M63,0))+parametros_manuales!$G$21*('Plan mensual'!M60+IF(parametros_manuales!$H$21="Todos",'Plan mensual'!M64,0)))*parametros_manuales!$I$21*parametros_manuales!$J$21</f>
        <v>9357.525</v>
      </c>
      <c r="L144" s="8">
        <f>(parametros_manuales!$D$21*('Plan mensual'!N57+IF(parametros_manuales!$H$21="Todos",'Plan mensual'!N61,0))+parametros_manuales!$E$21*('Plan mensual'!N58+IF(parametros_manuales!$H$21="Todos",'Plan mensual'!N62,0))+parametros_manuales!$F$21*('Plan mensual'!N59+IF(parametros_manuales!$H$21="Todos",'Plan mensual'!N63,0))+parametros_manuales!$G$21*('Plan mensual'!N60+IF(parametros_manuales!$H$21="Todos",'Plan mensual'!N64,0)))*parametros_manuales!$I$21*parametros_manuales!$J$21</f>
        <v>9170.19</v>
      </c>
      <c r="M144" s="8">
        <f>(parametros_manuales!$D$21*('Plan mensual'!O57+IF(parametros_manuales!$H$21="Todos",'Plan mensual'!O61,0))+parametros_manuales!$E$21*('Plan mensual'!O58+IF(parametros_manuales!$H$21="Todos",'Plan mensual'!O62,0))+parametros_manuales!$F$21*('Plan mensual'!O59+IF(parametros_manuales!$H$21="Todos",'Plan mensual'!O63,0))+parametros_manuales!$G$21*('Plan mensual'!O60+IF(parametros_manuales!$H$21="Todos",'Plan mensual'!O64,0)))*parametros_manuales!$I$21*parametros_manuales!$J$21</f>
        <v>14597.37</v>
      </c>
      <c r="N144" s="8">
        <f t="shared" si="16"/>
        <v>124767</v>
      </c>
      <c r="O144" s="8">
        <f t="shared" si="17"/>
        <v>14597.37</v>
      </c>
      <c r="P144" s="27">
        <f>O144/(parametros_manuales!$B$7)</f>
        <v>97.3158</v>
      </c>
      <c r="Q144" s="4" t="str">
        <f t="shared" si="18"/>
        <v>Dic</v>
      </c>
    </row>
    <row r="145" ht="14.25" customHeight="1">
      <c r="A145" s="4" t="str">
        <f>parametros_manuales!$B$22</f>
        <v>Corte de disco y embutido (cúpula y fondo)</v>
      </c>
      <c r="B145" s="8">
        <f>(parametros_manuales!$D$22*('Plan mensual'!D57+IF(parametros_manuales!$H$22="Todos",'Plan mensual'!D61,0))+parametros_manuales!$E$22*('Plan mensual'!D58+IF(parametros_manuales!$H$22="Todos",'Plan mensual'!D62,0))+parametros_manuales!$F$22*('Plan mensual'!D59+IF(parametros_manuales!$H$22="Todos",'Plan mensual'!D63,0))+parametros_manuales!$G$22*('Plan mensual'!D60+IF(parametros_manuales!$H$22="Todos",'Plan mensual'!D64,0)))*parametros_manuales!$I$22*parametros_manuales!$J$22</f>
        <v>28445.4</v>
      </c>
      <c r="C145" s="8">
        <f>(parametros_manuales!$D$22*('Plan mensual'!E57+IF(parametros_manuales!$H$22="Todos",'Plan mensual'!E61,0))+parametros_manuales!$E$22*('Plan mensual'!E58+IF(parametros_manuales!$H$22="Todos",'Plan mensual'!E62,0))+parametros_manuales!$F$22*('Plan mensual'!E59+IF(parametros_manuales!$H$22="Todos",'Plan mensual'!E63,0))+parametros_manuales!$G$22*('Plan mensual'!E60+IF(parametros_manuales!$H$22="Todos",'Plan mensual'!E64,0)))*parametros_manuales!$I$22*parametros_manuales!$J$22</f>
        <v>21708.72</v>
      </c>
      <c r="D145" s="8">
        <f>(parametros_manuales!$D$22*('Plan mensual'!F57+IF(parametros_manuales!$H$22="Todos",'Plan mensual'!F61,0))+parametros_manuales!$E$22*('Plan mensual'!F58+IF(parametros_manuales!$H$22="Todos",'Plan mensual'!F62,0))+parametros_manuales!$F$22*('Plan mensual'!F59+IF(parametros_manuales!$H$22="Todos",'Plan mensual'!F63,0))+parametros_manuales!$G$22*('Plan mensual'!F60+IF(parametros_manuales!$H$22="Todos",'Plan mensual'!F64,0)))*parametros_manuales!$I$22*parametros_manuales!$J$22</f>
        <v>20337.39</v>
      </c>
      <c r="E145" s="8">
        <f>(parametros_manuales!$D$22*('Plan mensual'!G57+IF(parametros_manuales!$H$22="Todos",'Plan mensual'!G61,0))+parametros_manuales!$E$22*('Plan mensual'!G58+IF(parametros_manuales!$H$22="Todos",'Plan mensual'!G62,0))+parametros_manuales!$F$22*('Plan mensual'!G59+IF(parametros_manuales!$H$22="Todos",'Plan mensual'!G63,0))+parametros_manuales!$G$22*('Plan mensual'!G60+IF(parametros_manuales!$H$22="Todos",'Plan mensual'!G64,0)))*parametros_manuales!$I$22*parametros_manuales!$J$22</f>
        <v>19464.39</v>
      </c>
      <c r="F145" s="8">
        <f>(parametros_manuales!$D$22*('Plan mensual'!H57+IF(parametros_manuales!$H$22="Todos",'Plan mensual'!H61,0))+parametros_manuales!$E$22*('Plan mensual'!H58+IF(parametros_manuales!$H$22="Todos",'Plan mensual'!H62,0))+parametros_manuales!$F$22*('Plan mensual'!H59+IF(parametros_manuales!$H$22="Todos",'Plan mensual'!H63,0))+parametros_manuales!$G$22*('Plan mensual'!H60+IF(parametros_manuales!$H$22="Todos",'Plan mensual'!H64,0)))*parametros_manuales!$I$22*parametros_manuales!$J$22</f>
        <v>18216.72</v>
      </c>
      <c r="G145" s="8">
        <f>(parametros_manuales!$D$22*('Plan mensual'!I57+IF(parametros_manuales!$H$22="Todos",'Plan mensual'!I61,0))+parametros_manuales!$E$22*('Plan mensual'!I58+IF(parametros_manuales!$H$22="Todos",'Plan mensual'!I62,0))+parametros_manuales!$F$22*('Plan mensual'!I59+IF(parametros_manuales!$H$22="Todos",'Plan mensual'!I63,0))+parametros_manuales!$G$22*('Plan mensual'!I60+IF(parametros_manuales!$H$22="Todos",'Plan mensual'!I64,0)))*parametros_manuales!$I$22*parametros_manuales!$J$22</f>
        <v>17842.05</v>
      </c>
      <c r="H145" s="8">
        <f>(parametros_manuales!$D$22*('Plan mensual'!J57+IF(parametros_manuales!$H$22="Todos",'Plan mensual'!J61,0))+parametros_manuales!$E$22*('Plan mensual'!J58+IF(parametros_manuales!$H$22="Todos",'Plan mensual'!J62,0))+parametros_manuales!$F$22*('Plan mensual'!J59+IF(parametros_manuales!$H$22="Todos",'Plan mensual'!J63,0))+parametros_manuales!$G$22*('Plan mensual'!J60+IF(parametros_manuales!$H$22="Todos",'Plan mensual'!J64,0)))*parametros_manuales!$I$22*parametros_manuales!$J$22</f>
        <v>19089.72</v>
      </c>
      <c r="I145" s="8">
        <f>(parametros_manuales!$D$22*('Plan mensual'!K57+IF(parametros_manuales!$H$22="Todos",'Plan mensual'!K61,0))+parametros_manuales!$E$22*('Plan mensual'!K58+IF(parametros_manuales!$H$22="Todos",'Plan mensual'!K62,0))+parametros_manuales!$F$22*('Plan mensual'!K59+IF(parametros_manuales!$H$22="Todos",'Plan mensual'!K63,0))+parametros_manuales!$G$22*('Plan mensual'!K60+IF(parametros_manuales!$H$22="Todos",'Plan mensual'!K64,0)))*parametros_manuales!$I$22*parametros_manuales!$J$22</f>
        <v>19089.72</v>
      </c>
      <c r="J145" s="8">
        <f>(parametros_manuales!$D$22*('Plan mensual'!L57+IF(parametros_manuales!$H$22="Todos",'Plan mensual'!L61,0))+parametros_manuales!$E$22*('Plan mensual'!L58+IF(parametros_manuales!$H$22="Todos",'Plan mensual'!L62,0))+parametros_manuales!$F$22*('Plan mensual'!L59+IF(parametros_manuales!$H$22="Todos",'Plan mensual'!L63,0))+parametros_manuales!$G$22*('Plan mensual'!L60+IF(parametros_manuales!$H$22="Todos",'Plan mensual'!L64,0)))*parametros_manuales!$I$22*parametros_manuales!$J$22</f>
        <v>19089.72</v>
      </c>
      <c r="K145" s="8">
        <f>(parametros_manuales!$D$22*('Plan mensual'!M57+IF(parametros_manuales!$H$22="Todos",'Plan mensual'!M61,0))+parametros_manuales!$E$22*('Plan mensual'!M58+IF(parametros_manuales!$H$22="Todos",'Plan mensual'!M62,0))+parametros_manuales!$F$22*('Plan mensual'!M59+IF(parametros_manuales!$H$22="Todos",'Plan mensual'!M63,0))+parametros_manuales!$G$22*('Plan mensual'!M60+IF(parametros_manuales!$H$22="Todos",'Plan mensual'!M64,0)))*parametros_manuales!$I$22*parametros_manuales!$J$22</f>
        <v>18715.05</v>
      </c>
      <c r="L145" s="8">
        <f>(parametros_manuales!$D$22*('Plan mensual'!N57+IF(parametros_manuales!$H$22="Todos",'Plan mensual'!N61,0))+parametros_manuales!$E$22*('Plan mensual'!N58+IF(parametros_manuales!$H$22="Todos",'Plan mensual'!N62,0))+parametros_manuales!$F$22*('Plan mensual'!N59+IF(parametros_manuales!$H$22="Todos",'Plan mensual'!N63,0))+parametros_manuales!$G$22*('Plan mensual'!N60+IF(parametros_manuales!$H$22="Todos",'Plan mensual'!N64,0)))*parametros_manuales!$I$22*parametros_manuales!$J$22</f>
        <v>18340.38</v>
      </c>
      <c r="M145" s="8">
        <f>(parametros_manuales!$D$22*('Plan mensual'!O57+IF(parametros_manuales!$H$22="Todos",'Plan mensual'!O61,0))+parametros_manuales!$E$22*('Plan mensual'!O58+IF(parametros_manuales!$H$22="Todos",'Plan mensual'!O62,0))+parametros_manuales!$F$22*('Plan mensual'!O59+IF(parametros_manuales!$H$22="Todos",'Plan mensual'!O63,0))+parametros_manuales!$G$22*('Plan mensual'!O60+IF(parametros_manuales!$H$22="Todos",'Plan mensual'!O64,0)))*parametros_manuales!$I$22*parametros_manuales!$J$22</f>
        <v>29194.74</v>
      </c>
      <c r="N145" s="8">
        <f t="shared" si="16"/>
        <v>249534</v>
      </c>
      <c r="O145" s="8">
        <f t="shared" si="17"/>
        <v>29194.74</v>
      </c>
      <c r="P145" s="27">
        <f>O145/(parametros_manuales!$B$7)</f>
        <v>194.6316</v>
      </c>
      <c r="Q145" s="4" t="str">
        <f t="shared" si="18"/>
        <v>Dic</v>
      </c>
    </row>
    <row r="146" ht="14.25" customHeight="1">
      <c r="A146" s="4" t="str">
        <f>parametros_manuales!$B$23</f>
        <v>Preparación de cuello</v>
      </c>
      <c r="B146" s="8">
        <f>(parametros_manuales!$D$23*('Plan mensual'!D57+IF(parametros_manuales!$H$23="Todos",'Plan mensual'!D61,0))+parametros_manuales!$E$23*('Plan mensual'!D58+IF(parametros_manuales!$H$23="Todos",'Plan mensual'!D62,0))+parametros_manuales!$F$23*('Plan mensual'!D59+IF(parametros_manuales!$H$23="Todos",'Plan mensual'!D63,0))+parametros_manuales!$G$23*('Plan mensual'!D60+IF(parametros_manuales!$H$23="Todos",'Plan mensual'!D64,0)))*parametros_manuales!$I$23*parametros_manuales!$J$23</f>
        <v>14222.7</v>
      </c>
      <c r="C146" s="8">
        <f>(parametros_manuales!$D$23*('Plan mensual'!E57+IF(parametros_manuales!$H$23="Todos",'Plan mensual'!E61,0))+parametros_manuales!$E$23*('Plan mensual'!E58+IF(parametros_manuales!$H$23="Todos",'Plan mensual'!E62,0))+parametros_manuales!$F$23*('Plan mensual'!E59+IF(parametros_manuales!$H$23="Todos",'Plan mensual'!E63,0))+parametros_manuales!$G$23*('Plan mensual'!E60+IF(parametros_manuales!$H$23="Todos",'Plan mensual'!E64,0)))*parametros_manuales!$I$23*parametros_manuales!$J$23</f>
        <v>10854.36</v>
      </c>
      <c r="D146" s="8">
        <f>(parametros_manuales!$D$23*('Plan mensual'!F57+IF(parametros_manuales!$H$23="Todos",'Plan mensual'!F61,0))+parametros_manuales!$E$23*('Plan mensual'!F58+IF(parametros_manuales!$H$23="Todos",'Plan mensual'!F62,0))+parametros_manuales!$F$23*('Plan mensual'!F59+IF(parametros_manuales!$H$23="Todos",'Plan mensual'!F63,0))+parametros_manuales!$G$23*('Plan mensual'!F60+IF(parametros_manuales!$H$23="Todos",'Plan mensual'!F64,0)))*parametros_manuales!$I$23*parametros_manuales!$J$23</f>
        <v>10168.695</v>
      </c>
      <c r="E146" s="8">
        <f>(parametros_manuales!$D$23*('Plan mensual'!G57+IF(parametros_manuales!$H$23="Todos",'Plan mensual'!G61,0))+parametros_manuales!$E$23*('Plan mensual'!G58+IF(parametros_manuales!$H$23="Todos",'Plan mensual'!G62,0))+parametros_manuales!$F$23*('Plan mensual'!G59+IF(parametros_manuales!$H$23="Todos",'Plan mensual'!G63,0))+parametros_manuales!$G$23*('Plan mensual'!G60+IF(parametros_manuales!$H$23="Todos",'Plan mensual'!G64,0)))*parametros_manuales!$I$23*parametros_manuales!$J$23</f>
        <v>9732.195</v>
      </c>
      <c r="F146" s="8">
        <f>(parametros_manuales!$D$23*('Plan mensual'!H57+IF(parametros_manuales!$H$23="Todos",'Plan mensual'!H61,0))+parametros_manuales!$E$23*('Plan mensual'!H58+IF(parametros_manuales!$H$23="Todos",'Plan mensual'!H62,0))+parametros_manuales!$F$23*('Plan mensual'!H59+IF(parametros_manuales!$H$23="Todos",'Plan mensual'!H63,0))+parametros_manuales!$G$23*('Plan mensual'!H60+IF(parametros_manuales!$H$23="Todos",'Plan mensual'!H64,0)))*parametros_manuales!$I$23*parametros_manuales!$J$23</f>
        <v>9108.36</v>
      </c>
      <c r="G146" s="8">
        <f>(parametros_manuales!$D$23*('Plan mensual'!I57+IF(parametros_manuales!$H$23="Todos",'Plan mensual'!I61,0))+parametros_manuales!$E$23*('Plan mensual'!I58+IF(parametros_manuales!$H$23="Todos",'Plan mensual'!I62,0))+parametros_manuales!$F$23*('Plan mensual'!I59+IF(parametros_manuales!$H$23="Todos",'Plan mensual'!I63,0))+parametros_manuales!$G$23*('Plan mensual'!I60+IF(parametros_manuales!$H$23="Todos",'Plan mensual'!I64,0)))*parametros_manuales!$I$23*parametros_manuales!$J$23</f>
        <v>8921.025</v>
      </c>
      <c r="H146" s="8">
        <f>(parametros_manuales!$D$23*('Plan mensual'!J57+IF(parametros_manuales!$H$23="Todos",'Plan mensual'!J61,0))+parametros_manuales!$E$23*('Plan mensual'!J58+IF(parametros_manuales!$H$23="Todos",'Plan mensual'!J62,0))+parametros_manuales!$F$23*('Plan mensual'!J59+IF(parametros_manuales!$H$23="Todos",'Plan mensual'!J63,0))+parametros_manuales!$G$23*('Plan mensual'!J60+IF(parametros_manuales!$H$23="Todos",'Plan mensual'!J64,0)))*parametros_manuales!$I$23*parametros_manuales!$J$23</f>
        <v>9544.86</v>
      </c>
      <c r="I146" s="8">
        <f>(parametros_manuales!$D$23*('Plan mensual'!K57+IF(parametros_manuales!$H$23="Todos",'Plan mensual'!K61,0))+parametros_manuales!$E$23*('Plan mensual'!K58+IF(parametros_manuales!$H$23="Todos",'Plan mensual'!K62,0))+parametros_manuales!$F$23*('Plan mensual'!K59+IF(parametros_manuales!$H$23="Todos",'Plan mensual'!K63,0))+parametros_manuales!$G$23*('Plan mensual'!K60+IF(parametros_manuales!$H$23="Todos",'Plan mensual'!K64,0)))*parametros_manuales!$I$23*parametros_manuales!$J$23</f>
        <v>9544.86</v>
      </c>
      <c r="J146" s="8">
        <f>(parametros_manuales!$D$23*('Plan mensual'!L57+IF(parametros_manuales!$H$23="Todos",'Plan mensual'!L61,0))+parametros_manuales!$E$23*('Plan mensual'!L58+IF(parametros_manuales!$H$23="Todos",'Plan mensual'!L62,0))+parametros_manuales!$F$23*('Plan mensual'!L59+IF(parametros_manuales!$H$23="Todos",'Plan mensual'!L63,0))+parametros_manuales!$G$23*('Plan mensual'!L60+IF(parametros_manuales!$H$23="Todos",'Plan mensual'!L64,0)))*parametros_manuales!$I$23*parametros_manuales!$J$23</f>
        <v>9544.86</v>
      </c>
      <c r="K146" s="8">
        <f>(parametros_manuales!$D$23*('Plan mensual'!M57+IF(parametros_manuales!$H$23="Todos",'Plan mensual'!M61,0))+parametros_manuales!$E$23*('Plan mensual'!M58+IF(parametros_manuales!$H$23="Todos",'Plan mensual'!M62,0))+parametros_manuales!$F$23*('Plan mensual'!M59+IF(parametros_manuales!$H$23="Todos",'Plan mensual'!M63,0))+parametros_manuales!$G$23*('Plan mensual'!M60+IF(parametros_manuales!$H$23="Todos",'Plan mensual'!M64,0)))*parametros_manuales!$I$23*parametros_manuales!$J$23</f>
        <v>9357.525</v>
      </c>
      <c r="L146" s="8">
        <f>(parametros_manuales!$D$23*('Plan mensual'!N57+IF(parametros_manuales!$H$23="Todos",'Plan mensual'!N61,0))+parametros_manuales!$E$23*('Plan mensual'!N58+IF(parametros_manuales!$H$23="Todos",'Plan mensual'!N62,0))+parametros_manuales!$F$23*('Plan mensual'!N59+IF(parametros_manuales!$H$23="Todos",'Plan mensual'!N63,0))+parametros_manuales!$G$23*('Plan mensual'!N60+IF(parametros_manuales!$H$23="Todos",'Plan mensual'!N64,0)))*parametros_manuales!$I$23*parametros_manuales!$J$23</f>
        <v>9170.19</v>
      </c>
      <c r="M146" s="8">
        <f>(parametros_manuales!$D$23*('Plan mensual'!O57+IF(parametros_manuales!$H$23="Todos",'Plan mensual'!O61,0))+parametros_manuales!$E$23*('Plan mensual'!O58+IF(parametros_manuales!$H$23="Todos",'Plan mensual'!O62,0))+parametros_manuales!$F$23*('Plan mensual'!O59+IF(parametros_manuales!$H$23="Todos",'Plan mensual'!O63,0))+parametros_manuales!$G$23*('Plan mensual'!O60+IF(parametros_manuales!$H$23="Todos",'Plan mensual'!O64,0)))*parametros_manuales!$I$23*parametros_manuales!$J$23</f>
        <v>14597.37</v>
      </c>
      <c r="N146" s="8">
        <f t="shared" si="16"/>
        <v>124767</v>
      </c>
      <c r="O146" s="8">
        <f t="shared" si="17"/>
        <v>14597.37</v>
      </c>
      <c r="P146" s="27">
        <f>O146/(parametros_manuales!$B$7)</f>
        <v>97.3158</v>
      </c>
      <c r="Q146" s="4" t="str">
        <f t="shared" si="18"/>
        <v>Dic</v>
      </c>
    </row>
    <row r="147" ht="14.25" customHeight="1">
      <c r="A147" s="4" t="str">
        <f>parametros_manuales!$B$24</f>
        <v>Numerado de cúpula</v>
      </c>
      <c r="B147" s="8">
        <f>(parametros_manuales!$D$24*('Plan mensual'!D57+IF(parametros_manuales!$H$24="Todos",'Plan mensual'!D61,0))+parametros_manuales!$E$24*('Plan mensual'!D58+IF(parametros_manuales!$H$24="Todos",'Plan mensual'!D62,0))+parametros_manuales!$F$24*('Plan mensual'!D59+IF(parametros_manuales!$H$24="Todos",'Plan mensual'!D63,0))+parametros_manuales!$G$24*('Plan mensual'!D60+IF(parametros_manuales!$H$24="Todos",'Plan mensual'!D64,0)))*parametros_manuales!$I$24*parametros_manuales!$J$24</f>
        <v>14222.7</v>
      </c>
      <c r="C147" s="8">
        <f>(parametros_manuales!$D$24*('Plan mensual'!E57+IF(parametros_manuales!$H$24="Todos",'Plan mensual'!E61,0))+parametros_manuales!$E$24*('Plan mensual'!E58+IF(parametros_manuales!$H$24="Todos",'Plan mensual'!E62,0))+parametros_manuales!$F$24*('Plan mensual'!E59+IF(parametros_manuales!$H$24="Todos",'Plan mensual'!E63,0))+parametros_manuales!$G$24*('Plan mensual'!E60+IF(parametros_manuales!$H$24="Todos",'Plan mensual'!E64,0)))*parametros_manuales!$I$24*parametros_manuales!$J$24</f>
        <v>10854.36</v>
      </c>
      <c r="D147" s="8">
        <f>(parametros_manuales!$D$24*('Plan mensual'!F57+IF(parametros_manuales!$H$24="Todos",'Plan mensual'!F61,0))+parametros_manuales!$E$24*('Plan mensual'!F58+IF(parametros_manuales!$H$24="Todos",'Plan mensual'!F62,0))+parametros_manuales!$F$24*('Plan mensual'!F59+IF(parametros_manuales!$H$24="Todos",'Plan mensual'!F63,0))+parametros_manuales!$G$24*('Plan mensual'!F60+IF(parametros_manuales!$H$24="Todos",'Plan mensual'!F64,0)))*parametros_manuales!$I$24*parametros_manuales!$J$24</f>
        <v>10168.695</v>
      </c>
      <c r="E147" s="8">
        <f>(parametros_manuales!$D$24*('Plan mensual'!G57+IF(parametros_manuales!$H$24="Todos",'Plan mensual'!G61,0))+parametros_manuales!$E$24*('Plan mensual'!G58+IF(parametros_manuales!$H$24="Todos",'Plan mensual'!G62,0))+parametros_manuales!$F$24*('Plan mensual'!G59+IF(parametros_manuales!$H$24="Todos",'Plan mensual'!G63,0))+parametros_manuales!$G$24*('Plan mensual'!G60+IF(parametros_manuales!$H$24="Todos",'Plan mensual'!G64,0)))*parametros_manuales!$I$24*parametros_manuales!$J$24</f>
        <v>9732.195</v>
      </c>
      <c r="F147" s="8">
        <f>(parametros_manuales!$D$24*('Plan mensual'!H57+IF(parametros_manuales!$H$24="Todos",'Plan mensual'!H61,0))+parametros_manuales!$E$24*('Plan mensual'!H58+IF(parametros_manuales!$H$24="Todos",'Plan mensual'!H62,0))+parametros_manuales!$F$24*('Plan mensual'!H59+IF(parametros_manuales!$H$24="Todos",'Plan mensual'!H63,0))+parametros_manuales!$G$24*('Plan mensual'!H60+IF(parametros_manuales!$H$24="Todos",'Plan mensual'!H64,0)))*parametros_manuales!$I$24*parametros_manuales!$J$24</f>
        <v>9108.36</v>
      </c>
      <c r="G147" s="8">
        <f>(parametros_manuales!$D$24*('Plan mensual'!I57+IF(parametros_manuales!$H$24="Todos",'Plan mensual'!I61,0))+parametros_manuales!$E$24*('Plan mensual'!I58+IF(parametros_manuales!$H$24="Todos",'Plan mensual'!I62,0))+parametros_manuales!$F$24*('Plan mensual'!I59+IF(parametros_manuales!$H$24="Todos",'Plan mensual'!I63,0))+parametros_manuales!$G$24*('Plan mensual'!I60+IF(parametros_manuales!$H$24="Todos",'Plan mensual'!I64,0)))*parametros_manuales!$I$24*parametros_manuales!$J$24</f>
        <v>8921.025</v>
      </c>
      <c r="H147" s="8">
        <f>(parametros_manuales!$D$24*('Plan mensual'!J57+IF(parametros_manuales!$H$24="Todos",'Plan mensual'!J61,0))+parametros_manuales!$E$24*('Plan mensual'!J58+IF(parametros_manuales!$H$24="Todos",'Plan mensual'!J62,0))+parametros_manuales!$F$24*('Plan mensual'!J59+IF(parametros_manuales!$H$24="Todos",'Plan mensual'!J63,0))+parametros_manuales!$G$24*('Plan mensual'!J60+IF(parametros_manuales!$H$24="Todos",'Plan mensual'!J64,0)))*parametros_manuales!$I$24*parametros_manuales!$J$24</f>
        <v>9544.86</v>
      </c>
      <c r="I147" s="8">
        <f>(parametros_manuales!$D$24*('Plan mensual'!K57+IF(parametros_manuales!$H$24="Todos",'Plan mensual'!K61,0))+parametros_manuales!$E$24*('Plan mensual'!K58+IF(parametros_manuales!$H$24="Todos",'Plan mensual'!K62,0))+parametros_manuales!$F$24*('Plan mensual'!K59+IF(parametros_manuales!$H$24="Todos",'Plan mensual'!K63,0))+parametros_manuales!$G$24*('Plan mensual'!K60+IF(parametros_manuales!$H$24="Todos",'Plan mensual'!K64,0)))*parametros_manuales!$I$24*parametros_manuales!$J$24</f>
        <v>9544.86</v>
      </c>
      <c r="J147" s="8">
        <f>(parametros_manuales!$D$24*('Plan mensual'!L57+IF(parametros_manuales!$H$24="Todos",'Plan mensual'!L61,0))+parametros_manuales!$E$24*('Plan mensual'!L58+IF(parametros_manuales!$H$24="Todos",'Plan mensual'!L62,0))+parametros_manuales!$F$24*('Plan mensual'!L59+IF(parametros_manuales!$H$24="Todos",'Plan mensual'!L63,0))+parametros_manuales!$G$24*('Plan mensual'!L60+IF(parametros_manuales!$H$24="Todos",'Plan mensual'!L64,0)))*parametros_manuales!$I$24*parametros_manuales!$J$24</f>
        <v>9544.86</v>
      </c>
      <c r="K147" s="8">
        <f>(parametros_manuales!$D$24*('Plan mensual'!M57+IF(parametros_manuales!$H$24="Todos",'Plan mensual'!M61,0))+parametros_manuales!$E$24*('Plan mensual'!M58+IF(parametros_manuales!$H$24="Todos",'Plan mensual'!M62,0))+parametros_manuales!$F$24*('Plan mensual'!M59+IF(parametros_manuales!$H$24="Todos",'Plan mensual'!M63,0))+parametros_manuales!$G$24*('Plan mensual'!M60+IF(parametros_manuales!$H$24="Todos",'Plan mensual'!M64,0)))*parametros_manuales!$I$24*parametros_manuales!$J$24</f>
        <v>9357.525</v>
      </c>
      <c r="L147" s="8">
        <f>(parametros_manuales!$D$24*('Plan mensual'!N57+IF(parametros_manuales!$H$24="Todos",'Plan mensual'!N61,0))+parametros_manuales!$E$24*('Plan mensual'!N58+IF(parametros_manuales!$H$24="Todos",'Plan mensual'!N62,0))+parametros_manuales!$F$24*('Plan mensual'!N59+IF(parametros_manuales!$H$24="Todos",'Plan mensual'!N63,0))+parametros_manuales!$G$24*('Plan mensual'!N60+IF(parametros_manuales!$H$24="Todos",'Plan mensual'!N64,0)))*parametros_manuales!$I$24*parametros_manuales!$J$24</f>
        <v>9170.19</v>
      </c>
      <c r="M147" s="8">
        <f>(parametros_manuales!$D$24*('Plan mensual'!O57+IF(parametros_manuales!$H$24="Todos",'Plan mensual'!O61,0))+parametros_manuales!$E$24*('Plan mensual'!O58+IF(parametros_manuales!$H$24="Todos",'Plan mensual'!O62,0))+parametros_manuales!$F$24*('Plan mensual'!O59+IF(parametros_manuales!$H$24="Todos",'Plan mensual'!O63,0))+parametros_manuales!$G$24*('Plan mensual'!O60+IF(parametros_manuales!$H$24="Todos",'Plan mensual'!O64,0)))*parametros_manuales!$I$24*parametros_manuales!$J$24</f>
        <v>14597.37</v>
      </c>
      <c r="N147" s="8">
        <f t="shared" si="16"/>
        <v>124767</v>
      </c>
      <c r="O147" s="8">
        <f t="shared" si="17"/>
        <v>14597.37</v>
      </c>
      <c r="P147" s="27">
        <f>O147/(parametros_manuales!$B$7)</f>
        <v>97.3158</v>
      </c>
      <c r="Q147" s="4" t="str">
        <f t="shared" si="18"/>
        <v>Dic</v>
      </c>
    </row>
    <row r="148" ht="14.25" customHeight="1">
      <c r="A148" s="4" t="str">
        <f>parametros_manuales!$B$25</f>
        <v>Soldadura del cuello a la cúpula</v>
      </c>
      <c r="B148" s="8">
        <f>(parametros_manuales!$D$25*('Plan mensual'!D57+IF(parametros_manuales!$H$25="Todos",'Plan mensual'!D61,0))+parametros_manuales!$E$25*('Plan mensual'!D58+IF(parametros_manuales!$H$25="Todos",'Plan mensual'!D62,0))+parametros_manuales!$F$25*('Plan mensual'!D59+IF(parametros_manuales!$H$25="Todos",'Plan mensual'!D63,0))+parametros_manuales!$G$25*('Plan mensual'!D60+IF(parametros_manuales!$H$25="Todos",'Plan mensual'!D64,0)))*parametros_manuales!$I$25*parametros_manuales!$J$25</f>
        <v>14222.7</v>
      </c>
      <c r="C148" s="8">
        <f>(parametros_manuales!$D$25*('Plan mensual'!E57+IF(parametros_manuales!$H$25="Todos",'Plan mensual'!E61,0))+parametros_manuales!$E$25*('Plan mensual'!E58+IF(parametros_manuales!$H$25="Todos",'Plan mensual'!E62,0))+parametros_manuales!$F$25*('Plan mensual'!E59+IF(parametros_manuales!$H$25="Todos",'Plan mensual'!E63,0))+parametros_manuales!$G$25*('Plan mensual'!E60+IF(parametros_manuales!$H$25="Todos",'Plan mensual'!E64,0)))*parametros_manuales!$I$25*parametros_manuales!$J$25</f>
        <v>10854.36</v>
      </c>
      <c r="D148" s="8">
        <f>(parametros_manuales!$D$25*('Plan mensual'!F57+IF(parametros_manuales!$H$25="Todos",'Plan mensual'!F61,0))+parametros_manuales!$E$25*('Plan mensual'!F58+IF(parametros_manuales!$H$25="Todos",'Plan mensual'!F62,0))+parametros_manuales!$F$25*('Plan mensual'!F59+IF(parametros_manuales!$H$25="Todos",'Plan mensual'!F63,0))+parametros_manuales!$G$25*('Plan mensual'!F60+IF(parametros_manuales!$H$25="Todos",'Plan mensual'!F64,0)))*parametros_manuales!$I$25*parametros_manuales!$J$25</f>
        <v>10168.695</v>
      </c>
      <c r="E148" s="8">
        <f>(parametros_manuales!$D$25*('Plan mensual'!G57+IF(parametros_manuales!$H$25="Todos",'Plan mensual'!G61,0))+parametros_manuales!$E$25*('Plan mensual'!G58+IF(parametros_manuales!$H$25="Todos",'Plan mensual'!G62,0))+parametros_manuales!$F$25*('Plan mensual'!G59+IF(parametros_manuales!$H$25="Todos",'Plan mensual'!G63,0))+parametros_manuales!$G$25*('Plan mensual'!G60+IF(parametros_manuales!$H$25="Todos",'Plan mensual'!G64,0)))*parametros_manuales!$I$25*parametros_manuales!$J$25</f>
        <v>9732.195</v>
      </c>
      <c r="F148" s="8">
        <f>(parametros_manuales!$D$25*('Plan mensual'!H57+IF(parametros_manuales!$H$25="Todos",'Plan mensual'!H61,0))+parametros_manuales!$E$25*('Plan mensual'!H58+IF(parametros_manuales!$H$25="Todos",'Plan mensual'!H62,0))+parametros_manuales!$F$25*('Plan mensual'!H59+IF(parametros_manuales!$H$25="Todos",'Plan mensual'!H63,0))+parametros_manuales!$G$25*('Plan mensual'!H60+IF(parametros_manuales!$H$25="Todos",'Plan mensual'!H64,0)))*parametros_manuales!$I$25*parametros_manuales!$J$25</f>
        <v>9108.36</v>
      </c>
      <c r="G148" s="8">
        <f>(parametros_manuales!$D$25*('Plan mensual'!I57+IF(parametros_manuales!$H$25="Todos",'Plan mensual'!I61,0))+parametros_manuales!$E$25*('Plan mensual'!I58+IF(parametros_manuales!$H$25="Todos",'Plan mensual'!I62,0))+parametros_manuales!$F$25*('Plan mensual'!I59+IF(parametros_manuales!$H$25="Todos",'Plan mensual'!I63,0))+parametros_manuales!$G$25*('Plan mensual'!I60+IF(parametros_manuales!$H$25="Todos",'Plan mensual'!I64,0)))*parametros_manuales!$I$25*parametros_manuales!$J$25</f>
        <v>8921.025</v>
      </c>
      <c r="H148" s="8">
        <f>(parametros_manuales!$D$25*('Plan mensual'!J57+IF(parametros_manuales!$H$25="Todos",'Plan mensual'!J61,0))+parametros_manuales!$E$25*('Plan mensual'!J58+IF(parametros_manuales!$H$25="Todos",'Plan mensual'!J62,0))+parametros_manuales!$F$25*('Plan mensual'!J59+IF(parametros_manuales!$H$25="Todos",'Plan mensual'!J63,0))+parametros_manuales!$G$25*('Plan mensual'!J60+IF(parametros_manuales!$H$25="Todos",'Plan mensual'!J64,0)))*parametros_manuales!$I$25*parametros_manuales!$J$25</f>
        <v>9544.86</v>
      </c>
      <c r="I148" s="8">
        <f>(parametros_manuales!$D$25*('Plan mensual'!K57+IF(parametros_manuales!$H$25="Todos",'Plan mensual'!K61,0))+parametros_manuales!$E$25*('Plan mensual'!K58+IF(parametros_manuales!$H$25="Todos",'Plan mensual'!K62,0))+parametros_manuales!$F$25*('Plan mensual'!K59+IF(parametros_manuales!$H$25="Todos",'Plan mensual'!K63,0))+parametros_manuales!$G$25*('Plan mensual'!K60+IF(parametros_manuales!$H$25="Todos",'Plan mensual'!K64,0)))*parametros_manuales!$I$25*parametros_manuales!$J$25</f>
        <v>9544.86</v>
      </c>
      <c r="J148" s="8">
        <f>(parametros_manuales!$D$25*('Plan mensual'!L57+IF(parametros_manuales!$H$25="Todos",'Plan mensual'!L61,0))+parametros_manuales!$E$25*('Plan mensual'!L58+IF(parametros_manuales!$H$25="Todos",'Plan mensual'!L62,0))+parametros_manuales!$F$25*('Plan mensual'!L59+IF(parametros_manuales!$H$25="Todos",'Plan mensual'!L63,0))+parametros_manuales!$G$25*('Plan mensual'!L60+IF(parametros_manuales!$H$25="Todos",'Plan mensual'!L64,0)))*parametros_manuales!$I$25*parametros_manuales!$J$25</f>
        <v>9544.86</v>
      </c>
      <c r="K148" s="8">
        <f>(parametros_manuales!$D$25*('Plan mensual'!M57+IF(parametros_manuales!$H$25="Todos",'Plan mensual'!M61,0))+parametros_manuales!$E$25*('Plan mensual'!M58+IF(parametros_manuales!$H$25="Todos",'Plan mensual'!M62,0))+parametros_manuales!$F$25*('Plan mensual'!M59+IF(parametros_manuales!$H$25="Todos",'Plan mensual'!M63,0))+parametros_manuales!$G$25*('Plan mensual'!M60+IF(parametros_manuales!$H$25="Todos",'Plan mensual'!M64,0)))*parametros_manuales!$I$25*parametros_manuales!$J$25</f>
        <v>9357.525</v>
      </c>
      <c r="L148" s="8">
        <f>(parametros_manuales!$D$25*('Plan mensual'!N57+IF(parametros_manuales!$H$25="Todos",'Plan mensual'!N61,0))+parametros_manuales!$E$25*('Plan mensual'!N58+IF(parametros_manuales!$H$25="Todos",'Plan mensual'!N62,0))+parametros_manuales!$F$25*('Plan mensual'!N59+IF(parametros_manuales!$H$25="Todos",'Plan mensual'!N63,0))+parametros_manuales!$G$25*('Plan mensual'!N60+IF(parametros_manuales!$H$25="Todos",'Plan mensual'!N64,0)))*parametros_manuales!$I$25*parametros_manuales!$J$25</f>
        <v>9170.19</v>
      </c>
      <c r="M148" s="8">
        <f>(parametros_manuales!$D$25*('Plan mensual'!O57+IF(parametros_manuales!$H$25="Todos",'Plan mensual'!O61,0))+parametros_manuales!$E$25*('Plan mensual'!O58+IF(parametros_manuales!$H$25="Todos",'Plan mensual'!O62,0))+parametros_manuales!$F$25*('Plan mensual'!O59+IF(parametros_manuales!$H$25="Todos",'Plan mensual'!O63,0))+parametros_manuales!$G$25*('Plan mensual'!O60+IF(parametros_manuales!$H$25="Todos",'Plan mensual'!O64,0)))*parametros_manuales!$I$25*parametros_manuales!$J$25</f>
        <v>14597.37</v>
      </c>
      <c r="N148" s="8">
        <f t="shared" si="16"/>
        <v>124767</v>
      </c>
      <c r="O148" s="8">
        <f t="shared" si="17"/>
        <v>14597.37</v>
      </c>
      <c r="P148" s="27">
        <f>O148/(parametros_manuales!$B$7)</f>
        <v>97.3158</v>
      </c>
      <c r="Q148" s="4" t="str">
        <f t="shared" si="18"/>
        <v>Dic</v>
      </c>
    </row>
    <row r="149" ht="14.25" customHeight="1">
      <c r="A149" s="4" t="str">
        <f>parametros_manuales!$B$26</f>
        <v>Cilindrado</v>
      </c>
      <c r="B149" s="8">
        <f>(parametros_manuales!$D$26*('Plan mensual'!D57+IF(parametros_manuales!$H$26="Todos",'Plan mensual'!D61,0))+parametros_manuales!$E$26*('Plan mensual'!D58+IF(parametros_manuales!$H$26="Todos",'Plan mensual'!D62,0))+parametros_manuales!$F$26*('Plan mensual'!D59+IF(parametros_manuales!$H$26="Todos",'Plan mensual'!D63,0))+parametros_manuales!$G$26*('Plan mensual'!D60+IF(parametros_manuales!$H$26="Todos",'Plan mensual'!D64,0)))*parametros_manuales!$I$26*parametros_manuales!$J$26</f>
        <v>14222.7</v>
      </c>
      <c r="C149" s="8">
        <f>(parametros_manuales!$D$26*('Plan mensual'!E57+IF(parametros_manuales!$H$26="Todos",'Plan mensual'!E61,0))+parametros_manuales!$E$26*('Plan mensual'!E58+IF(parametros_manuales!$H$26="Todos",'Plan mensual'!E62,0))+parametros_manuales!$F$26*('Plan mensual'!E59+IF(parametros_manuales!$H$26="Todos",'Plan mensual'!E63,0))+parametros_manuales!$G$26*('Plan mensual'!E60+IF(parametros_manuales!$H$26="Todos",'Plan mensual'!E64,0)))*parametros_manuales!$I$26*parametros_manuales!$J$26</f>
        <v>10854.36</v>
      </c>
      <c r="D149" s="8">
        <f>(parametros_manuales!$D$26*('Plan mensual'!F57+IF(parametros_manuales!$H$26="Todos",'Plan mensual'!F61,0))+parametros_manuales!$E$26*('Plan mensual'!F58+IF(parametros_manuales!$H$26="Todos",'Plan mensual'!F62,0))+parametros_manuales!$F$26*('Plan mensual'!F59+IF(parametros_manuales!$H$26="Todos",'Plan mensual'!F63,0))+parametros_manuales!$G$26*('Plan mensual'!F60+IF(parametros_manuales!$H$26="Todos",'Plan mensual'!F64,0)))*parametros_manuales!$I$26*parametros_manuales!$J$26</f>
        <v>10168.695</v>
      </c>
      <c r="E149" s="8">
        <f>(parametros_manuales!$D$26*('Plan mensual'!G57+IF(parametros_manuales!$H$26="Todos",'Plan mensual'!G61,0))+parametros_manuales!$E$26*('Plan mensual'!G58+IF(parametros_manuales!$H$26="Todos",'Plan mensual'!G62,0))+parametros_manuales!$F$26*('Plan mensual'!G59+IF(parametros_manuales!$H$26="Todos",'Plan mensual'!G63,0))+parametros_manuales!$G$26*('Plan mensual'!G60+IF(parametros_manuales!$H$26="Todos",'Plan mensual'!G64,0)))*parametros_manuales!$I$26*parametros_manuales!$J$26</f>
        <v>9732.195</v>
      </c>
      <c r="F149" s="8">
        <f>(parametros_manuales!$D$26*('Plan mensual'!H57+IF(parametros_manuales!$H$26="Todos",'Plan mensual'!H61,0))+parametros_manuales!$E$26*('Plan mensual'!H58+IF(parametros_manuales!$H$26="Todos",'Plan mensual'!H62,0))+parametros_manuales!$F$26*('Plan mensual'!H59+IF(parametros_manuales!$H$26="Todos",'Plan mensual'!H63,0))+parametros_manuales!$G$26*('Plan mensual'!H60+IF(parametros_manuales!$H$26="Todos",'Plan mensual'!H64,0)))*parametros_manuales!$I$26*parametros_manuales!$J$26</f>
        <v>9108.36</v>
      </c>
      <c r="G149" s="8">
        <f>(parametros_manuales!$D$26*('Plan mensual'!I57+IF(parametros_manuales!$H$26="Todos",'Plan mensual'!I61,0))+parametros_manuales!$E$26*('Plan mensual'!I58+IF(parametros_manuales!$H$26="Todos",'Plan mensual'!I62,0))+parametros_manuales!$F$26*('Plan mensual'!I59+IF(parametros_manuales!$H$26="Todos",'Plan mensual'!I63,0))+parametros_manuales!$G$26*('Plan mensual'!I60+IF(parametros_manuales!$H$26="Todos",'Plan mensual'!I64,0)))*parametros_manuales!$I$26*parametros_manuales!$J$26</f>
        <v>8921.025</v>
      </c>
      <c r="H149" s="8">
        <f>(parametros_manuales!$D$26*('Plan mensual'!J57+IF(parametros_manuales!$H$26="Todos",'Plan mensual'!J61,0))+parametros_manuales!$E$26*('Plan mensual'!J58+IF(parametros_manuales!$H$26="Todos",'Plan mensual'!J62,0))+parametros_manuales!$F$26*('Plan mensual'!J59+IF(parametros_manuales!$H$26="Todos",'Plan mensual'!J63,0))+parametros_manuales!$G$26*('Plan mensual'!J60+IF(parametros_manuales!$H$26="Todos",'Plan mensual'!J64,0)))*parametros_manuales!$I$26*parametros_manuales!$J$26</f>
        <v>9544.86</v>
      </c>
      <c r="I149" s="8">
        <f>(parametros_manuales!$D$26*('Plan mensual'!K57+IF(parametros_manuales!$H$26="Todos",'Plan mensual'!K61,0))+parametros_manuales!$E$26*('Plan mensual'!K58+IF(parametros_manuales!$H$26="Todos",'Plan mensual'!K62,0))+parametros_manuales!$F$26*('Plan mensual'!K59+IF(parametros_manuales!$H$26="Todos",'Plan mensual'!K63,0))+parametros_manuales!$G$26*('Plan mensual'!K60+IF(parametros_manuales!$H$26="Todos",'Plan mensual'!K64,0)))*parametros_manuales!$I$26*parametros_manuales!$J$26</f>
        <v>9544.86</v>
      </c>
      <c r="J149" s="8">
        <f>(parametros_manuales!$D$26*('Plan mensual'!L57+IF(parametros_manuales!$H$26="Todos",'Plan mensual'!L61,0))+parametros_manuales!$E$26*('Plan mensual'!L58+IF(parametros_manuales!$H$26="Todos",'Plan mensual'!L62,0))+parametros_manuales!$F$26*('Plan mensual'!L59+IF(parametros_manuales!$H$26="Todos",'Plan mensual'!L63,0))+parametros_manuales!$G$26*('Plan mensual'!L60+IF(parametros_manuales!$H$26="Todos",'Plan mensual'!L64,0)))*parametros_manuales!$I$26*parametros_manuales!$J$26</f>
        <v>9544.86</v>
      </c>
      <c r="K149" s="8">
        <f>(parametros_manuales!$D$26*('Plan mensual'!M57+IF(parametros_manuales!$H$26="Todos",'Plan mensual'!M61,0))+parametros_manuales!$E$26*('Plan mensual'!M58+IF(parametros_manuales!$H$26="Todos",'Plan mensual'!M62,0))+parametros_manuales!$F$26*('Plan mensual'!M59+IF(parametros_manuales!$H$26="Todos",'Plan mensual'!M63,0))+parametros_manuales!$G$26*('Plan mensual'!M60+IF(parametros_manuales!$H$26="Todos",'Plan mensual'!M64,0)))*parametros_manuales!$I$26*parametros_manuales!$J$26</f>
        <v>9357.525</v>
      </c>
      <c r="L149" s="8">
        <f>(parametros_manuales!$D$26*('Plan mensual'!N57+IF(parametros_manuales!$H$26="Todos",'Plan mensual'!N61,0))+parametros_manuales!$E$26*('Plan mensual'!N58+IF(parametros_manuales!$H$26="Todos",'Plan mensual'!N62,0))+parametros_manuales!$F$26*('Plan mensual'!N59+IF(parametros_manuales!$H$26="Todos",'Plan mensual'!N63,0))+parametros_manuales!$G$26*('Plan mensual'!N60+IF(parametros_manuales!$H$26="Todos",'Plan mensual'!N64,0)))*parametros_manuales!$I$26*parametros_manuales!$J$26</f>
        <v>9170.19</v>
      </c>
      <c r="M149" s="8">
        <f>(parametros_manuales!$D$26*('Plan mensual'!O57+IF(parametros_manuales!$H$26="Todos",'Plan mensual'!O61,0))+parametros_manuales!$E$26*('Plan mensual'!O58+IF(parametros_manuales!$H$26="Todos",'Plan mensual'!O62,0))+parametros_manuales!$F$26*('Plan mensual'!O59+IF(parametros_manuales!$H$26="Todos",'Plan mensual'!O63,0))+parametros_manuales!$G$26*('Plan mensual'!O60+IF(parametros_manuales!$H$26="Todos",'Plan mensual'!O64,0)))*parametros_manuales!$I$26*parametros_manuales!$J$26</f>
        <v>14597.37</v>
      </c>
      <c r="N149" s="8">
        <f t="shared" si="16"/>
        <v>124767</v>
      </c>
      <c r="O149" s="8">
        <f t="shared" si="17"/>
        <v>14597.37</v>
      </c>
      <c r="P149" s="27">
        <f>O149/(parametros_manuales!$B$7)</f>
        <v>97.3158</v>
      </c>
      <c r="Q149" s="4" t="str">
        <f t="shared" si="18"/>
        <v>Dic</v>
      </c>
    </row>
    <row r="150" ht="14.25" customHeight="1">
      <c r="A150" s="4" t="str">
        <f>parametros_manuales!$B$27</f>
        <v>Soldadura longitudinal — 2,5 a 10 kg</v>
      </c>
      <c r="B150" s="8">
        <f>(parametros_manuales!$D$27*('Plan mensual'!D57+IF(parametros_manuales!$H$27="Todos",'Plan mensual'!D61,0))+parametros_manuales!$E$27*('Plan mensual'!D58+IF(parametros_manuales!$H$27="Todos",'Plan mensual'!D62,0))+parametros_manuales!$F$27*('Plan mensual'!D59+IF(parametros_manuales!$H$27="Todos",'Plan mensual'!D63,0))+parametros_manuales!$G$27*('Plan mensual'!D60+IF(parametros_manuales!$H$27="Todos",'Plan mensual'!D64,0)))*parametros_manuales!$I$27*parametros_manuales!$J$27</f>
        <v>3746.7</v>
      </c>
      <c r="C150" s="8">
        <f>(parametros_manuales!$D$27*('Plan mensual'!E57+IF(parametros_manuales!$H$27="Todos",'Plan mensual'!E61,0))+parametros_manuales!$E$27*('Plan mensual'!E58+IF(parametros_manuales!$H$27="Todos",'Plan mensual'!E62,0))+parametros_manuales!$F$27*('Plan mensual'!E59+IF(parametros_manuales!$H$27="Todos",'Plan mensual'!E63,0))+parametros_manuales!$G$27*('Plan mensual'!E60+IF(parametros_manuales!$H$27="Todos",'Plan mensual'!E64,0)))*parametros_manuales!$I$27*parametros_manuales!$J$27</f>
        <v>2997.36</v>
      </c>
      <c r="D150" s="8">
        <f>(parametros_manuales!$D$27*('Plan mensual'!F57+IF(parametros_manuales!$H$27="Todos",'Plan mensual'!F61,0))+parametros_manuales!$E$27*('Plan mensual'!F58+IF(parametros_manuales!$H$27="Todos",'Plan mensual'!F62,0))+parametros_manuales!$F$27*('Plan mensual'!F59+IF(parametros_manuales!$H$27="Todos",'Plan mensual'!F63,0))+parametros_manuales!$G$27*('Plan mensual'!F60+IF(parametros_manuales!$H$27="Todos",'Plan mensual'!F64,0)))*parametros_manuales!$I$27*parametros_manuales!$J$27</f>
        <v>3184.695</v>
      </c>
      <c r="E150" s="8">
        <f>(parametros_manuales!$D$27*('Plan mensual'!G57+IF(parametros_manuales!$H$27="Todos",'Plan mensual'!G61,0))+parametros_manuales!$E$27*('Plan mensual'!G58+IF(parametros_manuales!$H$27="Todos",'Plan mensual'!G62,0))+parametros_manuales!$F$27*('Plan mensual'!G59+IF(parametros_manuales!$H$27="Todos",'Plan mensual'!G63,0))+parametros_manuales!$G$27*('Plan mensual'!G60+IF(parametros_manuales!$H$27="Todos",'Plan mensual'!G64,0)))*parametros_manuales!$I$27*parametros_manuales!$J$27</f>
        <v>3184.695</v>
      </c>
      <c r="F150" s="8">
        <f>(parametros_manuales!$D$27*('Plan mensual'!H57+IF(parametros_manuales!$H$27="Todos",'Plan mensual'!H61,0))+parametros_manuales!$E$27*('Plan mensual'!H58+IF(parametros_manuales!$H$27="Todos",'Plan mensual'!H62,0))+parametros_manuales!$F$27*('Plan mensual'!H59+IF(parametros_manuales!$H$27="Todos",'Plan mensual'!H63,0))+parametros_manuales!$G$27*('Plan mensual'!H60+IF(parametros_manuales!$H$27="Todos",'Plan mensual'!H64,0)))*parametros_manuales!$I$27*parametros_manuales!$J$27</f>
        <v>2997.36</v>
      </c>
      <c r="G150" s="8">
        <f>(parametros_manuales!$D$27*('Plan mensual'!I57+IF(parametros_manuales!$H$27="Todos",'Plan mensual'!I61,0))+parametros_manuales!$E$27*('Plan mensual'!I58+IF(parametros_manuales!$H$27="Todos",'Plan mensual'!I62,0))+parametros_manuales!$F$27*('Plan mensual'!I59+IF(parametros_manuales!$H$27="Todos",'Plan mensual'!I63,0))+parametros_manuales!$G$27*('Plan mensual'!I60+IF(parametros_manuales!$H$27="Todos",'Plan mensual'!I64,0)))*parametros_manuales!$I$27*parametros_manuales!$J$27</f>
        <v>2810.025</v>
      </c>
      <c r="H150" s="8">
        <f>(parametros_manuales!$D$27*('Plan mensual'!J57+IF(parametros_manuales!$H$27="Todos",'Plan mensual'!J61,0))+parametros_manuales!$E$27*('Plan mensual'!J58+IF(parametros_manuales!$H$27="Todos",'Plan mensual'!J62,0))+parametros_manuales!$F$27*('Plan mensual'!J59+IF(parametros_manuales!$H$27="Todos",'Plan mensual'!J63,0))+parametros_manuales!$G$27*('Plan mensual'!J60+IF(parametros_manuales!$H$27="Todos",'Plan mensual'!J64,0)))*parametros_manuales!$I$27*parametros_manuales!$J$27</f>
        <v>2997.36</v>
      </c>
      <c r="I150" s="8">
        <f>(parametros_manuales!$D$27*('Plan mensual'!K57+IF(parametros_manuales!$H$27="Todos",'Plan mensual'!K61,0))+parametros_manuales!$E$27*('Plan mensual'!K58+IF(parametros_manuales!$H$27="Todos",'Plan mensual'!K62,0))+parametros_manuales!$F$27*('Plan mensual'!K59+IF(parametros_manuales!$H$27="Todos",'Plan mensual'!K63,0))+parametros_manuales!$G$27*('Plan mensual'!K60+IF(parametros_manuales!$H$27="Todos",'Plan mensual'!K64,0)))*parametros_manuales!$I$27*parametros_manuales!$J$27</f>
        <v>2997.36</v>
      </c>
      <c r="J150" s="8">
        <f>(parametros_manuales!$D$27*('Plan mensual'!L57+IF(parametros_manuales!$H$27="Todos",'Plan mensual'!L61,0))+parametros_manuales!$E$27*('Plan mensual'!L58+IF(parametros_manuales!$H$27="Todos",'Plan mensual'!L62,0))+parametros_manuales!$F$27*('Plan mensual'!L59+IF(parametros_manuales!$H$27="Todos",'Plan mensual'!L63,0))+parametros_manuales!$G$27*('Plan mensual'!L60+IF(parametros_manuales!$H$27="Todos",'Plan mensual'!L64,0)))*parametros_manuales!$I$27*parametros_manuales!$J$27</f>
        <v>2997.36</v>
      </c>
      <c r="K150" s="8">
        <f>(parametros_manuales!$D$27*('Plan mensual'!M57+IF(parametros_manuales!$H$27="Todos",'Plan mensual'!M61,0))+parametros_manuales!$E$27*('Plan mensual'!M58+IF(parametros_manuales!$H$27="Todos",'Plan mensual'!M62,0))+parametros_manuales!$F$27*('Plan mensual'!M59+IF(parametros_manuales!$H$27="Todos",'Plan mensual'!M63,0))+parametros_manuales!$G$27*('Plan mensual'!M60+IF(parametros_manuales!$H$27="Todos",'Plan mensual'!M64,0)))*parametros_manuales!$I$27*parametros_manuales!$J$27</f>
        <v>2810.025</v>
      </c>
      <c r="L150" s="8">
        <f>(parametros_manuales!$D$27*('Plan mensual'!N57+IF(parametros_manuales!$H$27="Todos",'Plan mensual'!N61,0))+parametros_manuales!$E$27*('Plan mensual'!N58+IF(parametros_manuales!$H$27="Todos",'Plan mensual'!N62,0))+parametros_manuales!$F$27*('Plan mensual'!N59+IF(parametros_manuales!$H$27="Todos",'Plan mensual'!N63,0))+parametros_manuales!$G$27*('Plan mensual'!N60+IF(parametros_manuales!$H$27="Todos",'Plan mensual'!N64,0)))*parametros_manuales!$I$27*parametros_manuales!$J$27</f>
        <v>2622.69</v>
      </c>
      <c r="M150" s="8">
        <f>(parametros_manuales!$D$27*('Plan mensual'!O57+IF(parametros_manuales!$H$27="Todos",'Plan mensual'!O61,0))+parametros_manuales!$E$27*('Plan mensual'!O58+IF(parametros_manuales!$H$27="Todos",'Plan mensual'!O62,0))+parametros_manuales!$F$27*('Plan mensual'!O59+IF(parametros_manuales!$H$27="Todos",'Plan mensual'!O63,0))+parametros_manuales!$G$27*('Plan mensual'!O60+IF(parametros_manuales!$H$27="Todos",'Plan mensual'!O64,0)))*parametros_manuales!$I$27*parametros_manuales!$J$27</f>
        <v>4121.37</v>
      </c>
      <c r="N150" s="8">
        <f t="shared" si="16"/>
        <v>37467</v>
      </c>
      <c r="O150" s="8">
        <f t="shared" si="17"/>
        <v>4121.37</v>
      </c>
      <c r="P150" s="27">
        <f>O150/(parametros_manuales!$B$7)</f>
        <v>27.4758</v>
      </c>
      <c r="Q150" s="4" t="str">
        <f t="shared" si="18"/>
        <v>Dic</v>
      </c>
    </row>
    <row r="151" ht="14.25" customHeight="1">
      <c r="A151" s="4" t="str">
        <f>parametros_manuales!$B$28</f>
        <v>Soldadura longitudinal TIG — 1 kg</v>
      </c>
      <c r="B151" s="8">
        <f>(parametros_manuales!$D$28*('Plan mensual'!D57+IF(parametros_manuales!$H$28="Todos",'Plan mensual'!D61,0))+parametros_manuales!$E$28*('Plan mensual'!D58+IF(parametros_manuales!$H$28="Todos",'Plan mensual'!D62,0))+parametros_manuales!$F$28*('Plan mensual'!D59+IF(parametros_manuales!$H$28="Todos",'Plan mensual'!D63,0))+parametros_manuales!$G$28*('Plan mensual'!D60+IF(parametros_manuales!$H$28="Todos",'Plan mensual'!D64,0)))*parametros_manuales!$I$28*parametros_manuales!$J$28</f>
        <v>10476</v>
      </c>
      <c r="C151" s="8">
        <f>(parametros_manuales!$D$28*('Plan mensual'!E57+IF(parametros_manuales!$H$28="Todos",'Plan mensual'!E61,0))+parametros_manuales!$E$28*('Plan mensual'!E58+IF(parametros_manuales!$H$28="Todos",'Plan mensual'!E62,0))+parametros_manuales!$F$28*('Plan mensual'!E59+IF(parametros_manuales!$H$28="Todos",'Plan mensual'!E63,0))+parametros_manuales!$G$28*('Plan mensual'!E60+IF(parametros_manuales!$H$28="Todos",'Plan mensual'!E64,0)))*parametros_manuales!$I$28*parametros_manuales!$J$28</f>
        <v>7857</v>
      </c>
      <c r="D151" s="8">
        <f>(parametros_manuales!$D$28*('Plan mensual'!F57+IF(parametros_manuales!$H$28="Todos",'Plan mensual'!F61,0))+parametros_manuales!$E$28*('Plan mensual'!F58+IF(parametros_manuales!$H$28="Todos",'Plan mensual'!F62,0))+parametros_manuales!$F$28*('Plan mensual'!F59+IF(parametros_manuales!$H$28="Todos",'Plan mensual'!F63,0))+parametros_manuales!$G$28*('Plan mensual'!F60+IF(parametros_manuales!$H$28="Todos",'Plan mensual'!F64,0)))*parametros_manuales!$I$28*parametros_manuales!$J$28</f>
        <v>6984</v>
      </c>
      <c r="E151" s="8">
        <f>(parametros_manuales!$D$28*('Plan mensual'!G57+IF(parametros_manuales!$H$28="Todos",'Plan mensual'!G61,0))+parametros_manuales!$E$28*('Plan mensual'!G58+IF(parametros_manuales!$H$28="Todos",'Plan mensual'!G62,0))+parametros_manuales!$F$28*('Plan mensual'!G59+IF(parametros_manuales!$H$28="Todos",'Plan mensual'!G63,0))+parametros_manuales!$G$28*('Plan mensual'!G60+IF(parametros_manuales!$H$28="Todos",'Plan mensual'!G64,0)))*parametros_manuales!$I$28*parametros_manuales!$J$28</f>
        <v>6547.5</v>
      </c>
      <c r="F151" s="8">
        <f>(parametros_manuales!$D$28*('Plan mensual'!H57+IF(parametros_manuales!$H$28="Todos",'Plan mensual'!H61,0))+parametros_manuales!$E$28*('Plan mensual'!H58+IF(parametros_manuales!$H$28="Todos",'Plan mensual'!H62,0))+parametros_manuales!$F$28*('Plan mensual'!H59+IF(parametros_manuales!$H$28="Todos",'Plan mensual'!H63,0))+parametros_manuales!$G$28*('Plan mensual'!H60+IF(parametros_manuales!$H$28="Todos",'Plan mensual'!H64,0)))*parametros_manuales!$I$28*parametros_manuales!$J$28</f>
        <v>6111</v>
      </c>
      <c r="G151" s="8">
        <f>(parametros_manuales!$D$28*('Plan mensual'!I57+IF(parametros_manuales!$H$28="Todos",'Plan mensual'!I61,0))+parametros_manuales!$E$28*('Plan mensual'!I58+IF(parametros_manuales!$H$28="Todos",'Plan mensual'!I62,0))+parametros_manuales!$F$28*('Plan mensual'!I59+IF(parametros_manuales!$H$28="Todos",'Plan mensual'!I63,0))+parametros_manuales!$G$28*('Plan mensual'!I60+IF(parametros_manuales!$H$28="Todos",'Plan mensual'!I64,0)))*parametros_manuales!$I$28*parametros_manuales!$J$28</f>
        <v>6111</v>
      </c>
      <c r="H151" s="8">
        <f>(parametros_manuales!$D$28*('Plan mensual'!J57+IF(parametros_manuales!$H$28="Todos",'Plan mensual'!J61,0))+parametros_manuales!$E$28*('Plan mensual'!J58+IF(parametros_manuales!$H$28="Todos",'Plan mensual'!J62,0))+parametros_manuales!$F$28*('Plan mensual'!J59+IF(parametros_manuales!$H$28="Todos",'Plan mensual'!J63,0))+parametros_manuales!$G$28*('Plan mensual'!J60+IF(parametros_manuales!$H$28="Todos",'Plan mensual'!J64,0)))*parametros_manuales!$I$28*parametros_manuales!$J$28</f>
        <v>6547.5</v>
      </c>
      <c r="I151" s="8">
        <f>(parametros_manuales!$D$28*('Plan mensual'!K57+IF(parametros_manuales!$H$28="Todos",'Plan mensual'!K61,0))+parametros_manuales!$E$28*('Plan mensual'!K58+IF(parametros_manuales!$H$28="Todos",'Plan mensual'!K62,0))+parametros_manuales!$F$28*('Plan mensual'!K59+IF(parametros_manuales!$H$28="Todos",'Plan mensual'!K63,0))+parametros_manuales!$G$28*('Plan mensual'!K60+IF(parametros_manuales!$H$28="Todos",'Plan mensual'!K64,0)))*parametros_manuales!$I$28*parametros_manuales!$J$28</f>
        <v>6547.5</v>
      </c>
      <c r="J151" s="8">
        <f>(parametros_manuales!$D$28*('Plan mensual'!L57+IF(parametros_manuales!$H$28="Todos",'Plan mensual'!L61,0))+parametros_manuales!$E$28*('Plan mensual'!L58+IF(parametros_manuales!$H$28="Todos",'Plan mensual'!L62,0))+parametros_manuales!$F$28*('Plan mensual'!L59+IF(parametros_manuales!$H$28="Todos",'Plan mensual'!L63,0))+parametros_manuales!$G$28*('Plan mensual'!L60+IF(parametros_manuales!$H$28="Todos",'Plan mensual'!L64,0)))*parametros_manuales!$I$28*parametros_manuales!$J$28</f>
        <v>6547.5</v>
      </c>
      <c r="K151" s="8">
        <f>(parametros_manuales!$D$28*('Plan mensual'!M57+IF(parametros_manuales!$H$28="Todos",'Plan mensual'!M61,0))+parametros_manuales!$E$28*('Plan mensual'!M58+IF(parametros_manuales!$H$28="Todos",'Plan mensual'!M62,0))+parametros_manuales!$F$28*('Plan mensual'!M59+IF(parametros_manuales!$H$28="Todos",'Plan mensual'!M63,0))+parametros_manuales!$G$28*('Plan mensual'!M60+IF(parametros_manuales!$H$28="Todos",'Plan mensual'!M64,0)))*parametros_manuales!$I$28*parametros_manuales!$J$28</f>
        <v>6547.5</v>
      </c>
      <c r="L151" s="8">
        <f>(parametros_manuales!$D$28*('Plan mensual'!N57+IF(parametros_manuales!$H$28="Todos",'Plan mensual'!N61,0))+parametros_manuales!$E$28*('Plan mensual'!N58+IF(parametros_manuales!$H$28="Todos",'Plan mensual'!N62,0))+parametros_manuales!$F$28*('Plan mensual'!N59+IF(parametros_manuales!$H$28="Todos",'Plan mensual'!N63,0))+parametros_manuales!$G$28*('Plan mensual'!N60+IF(parametros_manuales!$H$28="Todos",'Plan mensual'!N64,0)))*parametros_manuales!$I$28*parametros_manuales!$J$28</f>
        <v>6547.5</v>
      </c>
      <c r="M151" s="8">
        <f>(parametros_manuales!$D$28*('Plan mensual'!O57+IF(parametros_manuales!$H$28="Todos",'Plan mensual'!O61,0))+parametros_manuales!$E$28*('Plan mensual'!O58+IF(parametros_manuales!$H$28="Todos",'Plan mensual'!O62,0))+parametros_manuales!$F$28*('Plan mensual'!O59+IF(parametros_manuales!$H$28="Todos",'Plan mensual'!O63,0))+parametros_manuales!$G$28*('Plan mensual'!O60+IF(parametros_manuales!$H$28="Todos",'Plan mensual'!O64,0)))*parametros_manuales!$I$28*parametros_manuales!$J$28</f>
        <v>10476</v>
      </c>
      <c r="N151" s="8">
        <f t="shared" si="16"/>
        <v>87300</v>
      </c>
      <c r="O151" s="8">
        <f t="shared" si="17"/>
        <v>10476</v>
      </c>
      <c r="P151" s="27">
        <f>O151/(parametros_manuales!$B$7)</f>
        <v>69.84</v>
      </c>
      <c r="Q151" s="4" t="str">
        <f t="shared" si="18"/>
        <v>Ene</v>
      </c>
    </row>
    <row r="152" ht="14.25" customHeight="1">
      <c r="A152" s="4" t="str">
        <f>parametros_manuales!$B$29</f>
        <v>Encastre de fondo</v>
      </c>
      <c r="B152" s="8">
        <f>(parametros_manuales!$D$29*('Plan mensual'!D57+IF(parametros_manuales!$H$29="Todos",'Plan mensual'!D61,0))+parametros_manuales!$E$29*('Plan mensual'!D58+IF(parametros_manuales!$H$29="Todos",'Plan mensual'!D62,0))+parametros_manuales!$F$29*('Plan mensual'!D59+IF(parametros_manuales!$H$29="Todos",'Plan mensual'!D63,0))+parametros_manuales!$G$29*('Plan mensual'!D60+IF(parametros_manuales!$H$29="Todos",'Plan mensual'!D64,0)))*parametros_manuales!$I$29*parametros_manuales!$J$29</f>
        <v>14222.7</v>
      </c>
      <c r="C152" s="8">
        <f>(parametros_manuales!$D$29*('Plan mensual'!E57+IF(parametros_manuales!$H$29="Todos",'Plan mensual'!E61,0))+parametros_manuales!$E$29*('Plan mensual'!E58+IF(parametros_manuales!$H$29="Todos",'Plan mensual'!E62,0))+parametros_manuales!$F$29*('Plan mensual'!E59+IF(parametros_manuales!$H$29="Todos",'Plan mensual'!E63,0))+parametros_manuales!$G$29*('Plan mensual'!E60+IF(parametros_manuales!$H$29="Todos",'Plan mensual'!E64,0)))*parametros_manuales!$I$29*parametros_manuales!$J$29</f>
        <v>10854.36</v>
      </c>
      <c r="D152" s="8">
        <f>(parametros_manuales!$D$29*('Plan mensual'!F57+IF(parametros_manuales!$H$29="Todos",'Plan mensual'!F61,0))+parametros_manuales!$E$29*('Plan mensual'!F58+IF(parametros_manuales!$H$29="Todos",'Plan mensual'!F62,0))+parametros_manuales!$F$29*('Plan mensual'!F59+IF(parametros_manuales!$H$29="Todos",'Plan mensual'!F63,0))+parametros_manuales!$G$29*('Plan mensual'!F60+IF(parametros_manuales!$H$29="Todos",'Plan mensual'!F64,0)))*parametros_manuales!$I$29*parametros_manuales!$J$29</f>
        <v>10168.695</v>
      </c>
      <c r="E152" s="8">
        <f>(parametros_manuales!$D$29*('Plan mensual'!G57+IF(parametros_manuales!$H$29="Todos",'Plan mensual'!G61,0))+parametros_manuales!$E$29*('Plan mensual'!G58+IF(parametros_manuales!$H$29="Todos",'Plan mensual'!G62,0))+parametros_manuales!$F$29*('Plan mensual'!G59+IF(parametros_manuales!$H$29="Todos",'Plan mensual'!G63,0))+parametros_manuales!$G$29*('Plan mensual'!G60+IF(parametros_manuales!$H$29="Todos",'Plan mensual'!G64,0)))*parametros_manuales!$I$29*parametros_manuales!$J$29</f>
        <v>9732.195</v>
      </c>
      <c r="F152" s="8">
        <f>(parametros_manuales!$D$29*('Plan mensual'!H57+IF(parametros_manuales!$H$29="Todos",'Plan mensual'!H61,0))+parametros_manuales!$E$29*('Plan mensual'!H58+IF(parametros_manuales!$H$29="Todos",'Plan mensual'!H62,0))+parametros_manuales!$F$29*('Plan mensual'!H59+IF(parametros_manuales!$H$29="Todos",'Plan mensual'!H63,0))+parametros_manuales!$G$29*('Plan mensual'!H60+IF(parametros_manuales!$H$29="Todos",'Plan mensual'!H64,0)))*parametros_manuales!$I$29*parametros_manuales!$J$29</f>
        <v>9108.36</v>
      </c>
      <c r="G152" s="8">
        <f>(parametros_manuales!$D$29*('Plan mensual'!I57+IF(parametros_manuales!$H$29="Todos",'Plan mensual'!I61,0))+parametros_manuales!$E$29*('Plan mensual'!I58+IF(parametros_manuales!$H$29="Todos",'Plan mensual'!I62,0))+parametros_manuales!$F$29*('Plan mensual'!I59+IF(parametros_manuales!$H$29="Todos",'Plan mensual'!I63,0))+parametros_manuales!$G$29*('Plan mensual'!I60+IF(parametros_manuales!$H$29="Todos",'Plan mensual'!I64,0)))*parametros_manuales!$I$29*parametros_manuales!$J$29</f>
        <v>8921.025</v>
      </c>
      <c r="H152" s="8">
        <f>(parametros_manuales!$D$29*('Plan mensual'!J57+IF(parametros_manuales!$H$29="Todos",'Plan mensual'!J61,0))+parametros_manuales!$E$29*('Plan mensual'!J58+IF(parametros_manuales!$H$29="Todos",'Plan mensual'!J62,0))+parametros_manuales!$F$29*('Plan mensual'!J59+IF(parametros_manuales!$H$29="Todos",'Plan mensual'!J63,0))+parametros_manuales!$G$29*('Plan mensual'!J60+IF(parametros_manuales!$H$29="Todos",'Plan mensual'!J64,0)))*parametros_manuales!$I$29*parametros_manuales!$J$29</f>
        <v>9544.86</v>
      </c>
      <c r="I152" s="8">
        <f>(parametros_manuales!$D$29*('Plan mensual'!K57+IF(parametros_manuales!$H$29="Todos",'Plan mensual'!K61,0))+parametros_manuales!$E$29*('Plan mensual'!K58+IF(parametros_manuales!$H$29="Todos",'Plan mensual'!K62,0))+parametros_manuales!$F$29*('Plan mensual'!K59+IF(parametros_manuales!$H$29="Todos",'Plan mensual'!K63,0))+parametros_manuales!$G$29*('Plan mensual'!K60+IF(parametros_manuales!$H$29="Todos",'Plan mensual'!K64,0)))*parametros_manuales!$I$29*parametros_manuales!$J$29</f>
        <v>9544.86</v>
      </c>
      <c r="J152" s="8">
        <f>(parametros_manuales!$D$29*('Plan mensual'!L57+IF(parametros_manuales!$H$29="Todos",'Plan mensual'!L61,0))+parametros_manuales!$E$29*('Plan mensual'!L58+IF(parametros_manuales!$H$29="Todos",'Plan mensual'!L62,0))+parametros_manuales!$F$29*('Plan mensual'!L59+IF(parametros_manuales!$H$29="Todos",'Plan mensual'!L63,0))+parametros_manuales!$G$29*('Plan mensual'!L60+IF(parametros_manuales!$H$29="Todos",'Plan mensual'!L64,0)))*parametros_manuales!$I$29*parametros_manuales!$J$29</f>
        <v>9544.86</v>
      </c>
      <c r="K152" s="8">
        <f>(parametros_manuales!$D$29*('Plan mensual'!M57+IF(parametros_manuales!$H$29="Todos",'Plan mensual'!M61,0))+parametros_manuales!$E$29*('Plan mensual'!M58+IF(parametros_manuales!$H$29="Todos",'Plan mensual'!M62,0))+parametros_manuales!$F$29*('Plan mensual'!M59+IF(parametros_manuales!$H$29="Todos",'Plan mensual'!M63,0))+parametros_manuales!$G$29*('Plan mensual'!M60+IF(parametros_manuales!$H$29="Todos",'Plan mensual'!M64,0)))*parametros_manuales!$I$29*parametros_manuales!$J$29</f>
        <v>9357.525</v>
      </c>
      <c r="L152" s="8">
        <f>(parametros_manuales!$D$29*('Plan mensual'!N57+IF(parametros_manuales!$H$29="Todos",'Plan mensual'!N61,0))+parametros_manuales!$E$29*('Plan mensual'!N58+IF(parametros_manuales!$H$29="Todos",'Plan mensual'!N62,0))+parametros_manuales!$F$29*('Plan mensual'!N59+IF(parametros_manuales!$H$29="Todos",'Plan mensual'!N63,0))+parametros_manuales!$G$29*('Plan mensual'!N60+IF(parametros_manuales!$H$29="Todos",'Plan mensual'!N64,0)))*parametros_manuales!$I$29*parametros_manuales!$J$29</f>
        <v>9170.19</v>
      </c>
      <c r="M152" s="8">
        <f>(parametros_manuales!$D$29*('Plan mensual'!O57+IF(parametros_manuales!$H$29="Todos",'Plan mensual'!O61,0))+parametros_manuales!$E$29*('Plan mensual'!O58+IF(parametros_manuales!$H$29="Todos",'Plan mensual'!O62,0))+parametros_manuales!$F$29*('Plan mensual'!O59+IF(parametros_manuales!$H$29="Todos",'Plan mensual'!O63,0))+parametros_manuales!$G$29*('Plan mensual'!O60+IF(parametros_manuales!$H$29="Todos",'Plan mensual'!O64,0)))*parametros_manuales!$I$29*parametros_manuales!$J$29</f>
        <v>14597.37</v>
      </c>
      <c r="N152" s="8">
        <f t="shared" si="16"/>
        <v>124767</v>
      </c>
      <c r="O152" s="8">
        <f t="shared" si="17"/>
        <v>14597.37</v>
      </c>
      <c r="P152" s="27">
        <f>O152/(parametros_manuales!$B$7)</f>
        <v>97.3158</v>
      </c>
      <c r="Q152" s="4" t="str">
        <f t="shared" si="18"/>
        <v>Dic</v>
      </c>
    </row>
    <row r="153" ht="14.25" customHeight="1">
      <c r="A153" s="4" t="str">
        <f>parametros_manuales!$B$30</f>
        <v>Bordoneado</v>
      </c>
      <c r="B153" s="8">
        <f>(parametros_manuales!$D$30*('Plan mensual'!D57+IF(parametros_manuales!$H$30="Todos",'Plan mensual'!D61,0))+parametros_manuales!$E$30*('Plan mensual'!D58+IF(parametros_manuales!$H$30="Todos",'Plan mensual'!D62,0))+parametros_manuales!$F$30*('Plan mensual'!D59+IF(parametros_manuales!$H$30="Todos",'Plan mensual'!D63,0))+parametros_manuales!$G$30*('Plan mensual'!D60+IF(parametros_manuales!$H$30="Todos",'Plan mensual'!D64,0)))*parametros_manuales!$I$30*parametros_manuales!$J$30</f>
        <v>14222.7</v>
      </c>
      <c r="C153" s="8">
        <f>(parametros_manuales!$D$30*('Plan mensual'!E57+IF(parametros_manuales!$H$30="Todos",'Plan mensual'!E61,0))+parametros_manuales!$E$30*('Plan mensual'!E58+IF(parametros_manuales!$H$30="Todos",'Plan mensual'!E62,0))+parametros_manuales!$F$30*('Plan mensual'!E59+IF(parametros_manuales!$H$30="Todos",'Plan mensual'!E63,0))+parametros_manuales!$G$30*('Plan mensual'!E60+IF(parametros_manuales!$H$30="Todos",'Plan mensual'!E64,0)))*parametros_manuales!$I$30*parametros_manuales!$J$30</f>
        <v>10854.36</v>
      </c>
      <c r="D153" s="8">
        <f>(parametros_manuales!$D$30*('Plan mensual'!F57+IF(parametros_manuales!$H$30="Todos",'Plan mensual'!F61,0))+parametros_manuales!$E$30*('Plan mensual'!F58+IF(parametros_manuales!$H$30="Todos",'Plan mensual'!F62,0))+parametros_manuales!$F$30*('Plan mensual'!F59+IF(parametros_manuales!$H$30="Todos",'Plan mensual'!F63,0))+parametros_manuales!$G$30*('Plan mensual'!F60+IF(parametros_manuales!$H$30="Todos",'Plan mensual'!F64,0)))*parametros_manuales!$I$30*parametros_manuales!$J$30</f>
        <v>10168.695</v>
      </c>
      <c r="E153" s="8">
        <f>(parametros_manuales!$D$30*('Plan mensual'!G57+IF(parametros_manuales!$H$30="Todos",'Plan mensual'!G61,0))+parametros_manuales!$E$30*('Plan mensual'!G58+IF(parametros_manuales!$H$30="Todos",'Plan mensual'!G62,0))+parametros_manuales!$F$30*('Plan mensual'!G59+IF(parametros_manuales!$H$30="Todos",'Plan mensual'!G63,0))+parametros_manuales!$G$30*('Plan mensual'!G60+IF(parametros_manuales!$H$30="Todos",'Plan mensual'!G64,0)))*parametros_manuales!$I$30*parametros_manuales!$J$30</f>
        <v>9732.195</v>
      </c>
      <c r="F153" s="8">
        <f>(parametros_manuales!$D$30*('Plan mensual'!H57+IF(parametros_manuales!$H$30="Todos",'Plan mensual'!H61,0))+parametros_manuales!$E$30*('Plan mensual'!H58+IF(parametros_manuales!$H$30="Todos",'Plan mensual'!H62,0))+parametros_manuales!$F$30*('Plan mensual'!H59+IF(parametros_manuales!$H$30="Todos",'Plan mensual'!H63,0))+parametros_manuales!$G$30*('Plan mensual'!H60+IF(parametros_manuales!$H$30="Todos",'Plan mensual'!H64,0)))*parametros_manuales!$I$30*parametros_manuales!$J$30</f>
        <v>9108.36</v>
      </c>
      <c r="G153" s="8">
        <f>(parametros_manuales!$D$30*('Plan mensual'!I57+IF(parametros_manuales!$H$30="Todos",'Plan mensual'!I61,0))+parametros_manuales!$E$30*('Plan mensual'!I58+IF(parametros_manuales!$H$30="Todos",'Plan mensual'!I62,0))+parametros_manuales!$F$30*('Plan mensual'!I59+IF(parametros_manuales!$H$30="Todos",'Plan mensual'!I63,0))+parametros_manuales!$G$30*('Plan mensual'!I60+IF(parametros_manuales!$H$30="Todos",'Plan mensual'!I64,0)))*parametros_manuales!$I$30*parametros_manuales!$J$30</f>
        <v>8921.025</v>
      </c>
      <c r="H153" s="8">
        <f>(parametros_manuales!$D$30*('Plan mensual'!J57+IF(parametros_manuales!$H$30="Todos",'Plan mensual'!J61,0))+parametros_manuales!$E$30*('Plan mensual'!J58+IF(parametros_manuales!$H$30="Todos",'Plan mensual'!J62,0))+parametros_manuales!$F$30*('Plan mensual'!J59+IF(parametros_manuales!$H$30="Todos",'Plan mensual'!J63,0))+parametros_manuales!$G$30*('Plan mensual'!J60+IF(parametros_manuales!$H$30="Todos",'Plan mensual'!J64,0)))*parametros_manuales!$I$30*parametros_manuales!$J$30</f>
        <v>9544.86</v>
      </c>
      <c r="I153" s="8">
        <f>(parametros_manuales!$D$30*('Plan mensual'!K57+IF(parametros_manuales!$H$30="Todos",'Plan mensual'!K61,0))+parametros_manuales!$E$30*('Plan mensual'!K58+IF(parametros_manuales!$H$30="Todos",'Plan mensual'!K62,0))+parametros_manuales!$F$30*('Plan mensual'!K59+IF(parametros_manuales!$H$30="Todos",'Plan mensual'!K63,0))+parametros_manuales!$G$30*('Plan mensual'!K60+IF(parametros_manuales!$H$30="Todos",'Plan mensual'!K64,0)))*parametros_manuales!$I$30*parametros_manuales!$J$30</f>
        <v>9544.86</v>
      </c>
      <c r="J153" s="8">
        <f>(parametros_manuales!$D$30*('Plan mensual'!L57+IF(parametros_manuales!$H$30="Todos",'Plan mensual'!L61,0))+parametros_manuales!$E$30*('Plan mensual'!L58+IF(parametros_manuales!$H$30="Todos",'Plan mensual'!L62,0))+parametros_manuales!$F$30*('Plan mensual'!L59+IF(parametros_manuales!$H$30="Todos",'Plan mensual'!L63,0))+parametros_manuales!$G$30*('Plan mensual'!L60+IF(parametros_manuales!$H$30="Todos",'Plan mensual'!L64,0)))*parametros_manuales!$I$30*parametros_manuales!$J$30</f>
        <v>9544.86</v>
      </c>
      <c r="K153" s="8">
        <f>(parametros_manuales!$D$30*('Plan mensual'!M57+IF(parametros_manuales!$H$30="Todos",'Plan mensual'!M61,0))+parametros_manuales!$E$30*('Plan mensual'!M58+IF(parametros_manuales!$H$30="Todos",'Plan mensual'!M62,0))+parametros_manuales!$F$30*('Plan mensual'!M59+IF(parametros_manuales!$H$30="Todos",'Plan mensual'!M63,0))+parametros_manuales!$G$30*('Plan mensual'!M60+IF(parametros_manuales!$H$30="Todos",'Plan mensual'!M64,0)))*parametros_manuales!$I$30*parametros_manuales!$J$30</f>
        <v>9357.525</v>
      </c>
      <c r="L153" s="8">
        <f>(parametros_manuales!$D$30*('Plan mensual'!N57+IF(parametros_manuales!$H$30="Todos",'Plan mensual'!N61,0))+parametros_manuales!$E$30*('Plan mensual'!N58+IF(parametros_manuales!$H$30="Todos",'Plan mensual'!N62,0))+parametros_manuales!$F$30*('Plan mensual'!N59+IF(parametros_manuales!$H$30="Todos",'Plan mensual'!N63,0))+parametros_manuales!$G$30*('Plan mensual'!N60+IF(parametros_manuales!$H$30="Todos",'Plan mensual'!N64,0)))*parametros_manuales!$I$30*parametros_manuales!$J$30</f>
        <v>9170.19</v>
      </c>
      <c r="M153" s="8">
        <f>(parametros_manuales!$D$30*('Plan mensual'!O57+IF(parametros_manuales!$H$30="Todos",'Plan mensual'!O61,0))+parametros_manuales!$E$30*('Plan mensual'!O58+IF(parametros_manuales!$H$30="Todos",'Plan mensual'!O62,0))+parametros_manuales!$F$30*('Plan mensual'!O59+IF(parametros_manuales!$H$30="Todos",'Plan mensual'!O63,0))+parametros_manuales!$G$30*('Plan mensual'!O60+IF(parametros_manuales!$H$30="Todos",'Plan mensual'!O64,0)))*parametros_manuales!$I$30*parametros_manuales!$J$30</f>
        <v>14597.37</v>
      </c>
      <c r="N153" s="8">
        <f t="shared" si="16"/>
        <v>124767</v>
      </c>
      <c r="O153" s="8">
        <f t="shared" si="17"/>
        <v>14597.37</v>
      </c>
      <c r="P153" s="27">
        <f>O153/(parametros_manuales!$B$7)</f>
        <v>97.3158</v>
      </c>
      <c r="Q153" s="4" t="str">
        <f t="shared" si="18"/>
        <v>Dic</v>
      </c>
    </row>
    <row r="154" ht="14.25" customHeight="1">
      <c r="A154" s="4" t="str">
        <f>parametros_manuales!$B$31</f>
        <v>Soldadura circunferencial de cúpula y fondo</v>
      </c>
      <c r="B154" s="8">
        <f>(parametros_manuales!$D$31*('Plan mensual'!D57+IF(parametros_manuales!$H$31="Todos",'Plan mensual'!D61,0))+parametros_manuales!$E$31*('Plan mensual'!D58+IF(parametros_manuales!$H$31="Todos",'Plan mensual'!D62,0))+parametros_manuales!$F$31*('Plan mensual'!D59+IF(parametros_manuales!$H$31="Todos",'Plan mensual'!D63,0))+parametros_manuales!$G$31*('Plan mensual'!D60+IF(parametros_manuales!$H$31="Todos",'Plan mensual'!D64,0)))*parametros_manuales!$I$31*parametros_manuales!$J$31</f>
        <v>14222.7</v>
      </c>
      <c r="C154" s="8">
        <f>(parametros_manuales!$D$31*('Plan mensual'!E57+IF(parametros_manuales!$H$31="Todos",'Plan mensual'!E61,0))+parametros_manuales!$E$31*('Plan mensual'!E58+IF(parametros_manuales!$H$31="Todos",'Plan mensual'!E62,0))+parametros_manuales!$F$31*('Plan mensual'!E59+IF(parametros_manuales!$H$31="Todos",'Plan mensual'!E63,0))+parametros_manuales!$G$31*('Plan mensual'!E60+IF(parametros_manuales!$H$31="Todos",'Plan mensual'!E64,0)))*parametros_manuales!$I$31*parametros_manuales!$J$31</f>
        <v>10854.36</v>
      </c>
      <c r="D154" s="8">
        <f>(parametros_manuales!$D$31*('Plan mensual'!F57+IF(parametros_manuales!$H$31="Todos",'Plan mensual'!F61,0))+parametros_manuales!$E$31*('Plan mensual'!F58+IF(parametros_manuales!$H$31="Todos",'Plan mensual'!F62,0))+parametros_manuales!$F$31*('Plan mensual'!F59+IF(parametros_manuales!$H$31="Todos",'Plan mensual'!F63,0))+parametros_manuales!$G$31*('Plan mensual'!F60+IF(parametros_manuales!$H$31="Todos",'Plan mensual'!F64,0)))*parametros_manuales!$I$31*parametros_manuales!$J$31</f>
        <v>10168.695</v>
      </c>
      <c r="E154" s="8">
        <f>(parametros_manuales!$D$31*('Plan mensual'!G57+IF(parametros_manuales!$H$31="Todos",'Plan mensual'!G61,0))+parametros_manuales!$E$31*('Plan mensual'!G58+IF(parametros_manuales!$H$31="Todos",'Plan mensual'!G62,0))+parametros_manuales!$F$31*('Plan mensual'!G59+IF(parametros_manuales!$H$31="Todos",'Plan mensual'!G63,0))+parametros_manuales!$G$31*('Plan mensual'!G60+IF(parametros_manuales!$H$31="Todos",'Plan mensual'!G64,0)))*parametros_manuales!$I$31*parametros_manuales!$J$31</f>
        <v>9732.195</v>
      </c>
      <c r="F154" s="8">
        <f>(parametros_manuales!$D$31*('Plan mensual'!H57+IF(parametros_manuales!$H$31="Todos",'Plan mensual'!H61,0))+parametros_manuales!$E$31*('Plan mensual'!H58+IF(parametros_manuales!$H$31="Todos",'Plan mensual'!H62,0))+parametros_manuales!$F$31*('Plan mensual'!H59+IF(parametros_manuales!$H$31="Todos",'Plan mensual'!H63,0))+parametros_manuales!$G$31*('Plan mensual'!H60+IF(parametros_manuales!$H$31="Todos",'Plan mensual'!H64,0)))*parametros_manuales!$I$31*parametros_manuales!$J$31</f>
        <v>9108.36</v>
      </c>
      <c r="G154" s="8">
        <f>(parametros_manuales!$D$31*('Plan mensual'!I57+IF(parametros_manuales!$H$31="Todos",'Plan mensual'!I61,0))+parametros_manuales!$E$31*('Plan mensual'!I58+IF(parametros_manuales!$H$31="Todos",'Plan mensual'!I62,0))+parametros_manuales!$F$31*('Plan mensual'!I59+IF(parametros_manuales!$H$31="Todos",'Plan mensual'!I63,0))+parametros_manuales!$G$31*('Plan mensual'!I60+IF(parametros_manuales!$H$31="Todos",'Plan mensual'!I64,0)))*parametros_manuales!$I$31*parametros_manuales!$J$31</f>
        <v>8921.025</v>
      </c>
      <c r="H154" s="8">
        <f>(parametros_manuales!$D$31*('Plan mensual'!J57+IF(parametros_manuales!$H$31="Todos",'Plan mensual'!J61,0))+parametros_manuales!$E$31*('Plan mensual'!J58+IF(parametros_manuales!$H$31="Todos",'Plan mensual'!J62,0))+parametros_manuales!$F$31*('Plan mensual'!J59+IF(parametros_manuales!$H$31="Todos",'Plan mensual'!J63,0))+parametros_manuales!$G$31*('Plan mensual'!J60+IF(parametros_manuales!$H$31="Todos",'Plan mensual'!J64,0)))*parametros_manuales!$I$31*parametros_manuales!$J$31</f>
        <v>9544.86</v>
      </c>
      <c r="I154" s="8">
        <f>(parametros_manuales!$D$31*('Plan mensual'!K57+IF(parametros_manuales!$H$31="Todos",'Plan mensual'!K61,0))+parametros_manuales!$E$31*('Plan mensual'!K58+IF(parametros_manuales!$H$31="Todos",'Plan mensual'!K62,0))+parametros_manuales!$F$31*('Plan mensual'!K59+IF(parametros_manuales!$H$31="Todos",'Plan mensual'!K63,0))+parametros_manuales!$G$31*('Plan mensual'!K60+IF(parametros_manuales!$H$31="Todos",'Plan mensual'!K64,0)))*parametros_manuales!$I$31*parametros_manuales!$J$31</f>
        <v>9544.86</v>
      </c>
      <c r="J154" s="8">
        <f>(parametros_manuales!$D$31*('Plan mensual'!L57+IF(parametros_manuales!$H$31="Todos",'Plan mensual'!L61,0))+parametros_manuales!$E$31*('Plan mensual'!L58+IF(parametros_manuales!$H$31="Todos",'Plan mensual'!L62,0))+parametros_manuales!$F$31*('Plan mensual'!L59+IF(parametros_manuales!$H$31="Todos",'Plan mensual'!L63,0))+parametros_manuales!$G$31*('Plan mensual'!L60+IF(parametros_manuales!$H$31="Todos",'Plan mensual'!L64,0)))*parametros_manuales!$I$31*parametros_manuales!$J$31</f>
        <v>9544.86</v>
      </c>
      <c r="K154" s="8">
        <f>(parametros_manuales!$D$31*('Plan mensual'!M57+IF(parametros_manuales!$H$31="Todos",'Plan mensual'!M61,0))+parametros_manuales!$E$31*('Plan mensual'!M58+IF(parametros_manuales!$H$31="Todos",'Plan mensual'!M62,0))+parametros_manuales!$F$31*('Plan mensual'!M59+IF(parametros_manuales!$H$31="Todos",'Plan mensual'!M63,0))+parametros_manuales!$G$31*('Plan mensual'!M60+IF(parametros_manuales!$H$31="Todos",'Plan mensual'!M64,0)))*parametros_manuales!$I$31*parametros_manuales!$J$31</f>
        <v>9357.525</v>
      </c>
      <c r="L154" s="8">
        <f>(parametros_manuales!$D$31*('Plan mensual'!N57+IF(parametros_manuales!$H$31="Todos",'Plan mensual'!N61,0))+parametros_manuales!$E$31*('Plan mensual'!N58+IF(parametros_manuales!$H$31="Todos",'Plan mensual'!N62,0))+parametros_manuales!$F$31*('Plan mensual'!N59+IF(parametros_manuales!$H$31="Todos",'Plan mensual'!N63,0))+parametros_manuales!$G$31*('Plan mensual'!N60+IF(parametros_manuales!$H$31="Todos",'Plan mensual'!N64,0)))*parametros_manuales!$I$31*parametros_manuales!$J$31</f>
        <v>9170.19</v>
      </c>
      <c r="M154" s="8">
        <f>(parametros_manuales!$D$31*('Plan mensual'!O57+IF(parametros_manuales!$H$31="Todos",'Plan mensual'!O61,0))+parametros_manuales!$E$31*('Plan mensual'!O58+IF(parametros_manuales!$H$31="Todos",'Plan mensual'!O62,0))+parametros_manuales!$F$31*('Plan mensual'!O59+IF(parametros_manuales!$H$31="Todos",'Plan mensual'!O63,0))+parametros_manuales!$G$31*('Plan mensual'!O60+IF(parametros_manuales!$H$31="Todos",'Plan mensual'!O64,0)))*parametros_manuales!$I$31*parametros_manuales!$J$31</f>
        <v>14597.37</v>
      </c>
      <c r="N154" s="8">
        <f t="shared" si="16"/>
        <v>124767</v>
      </c>
      <c r="O154" s="8">
        <f t="shared" si="17"/>
        <v>14597.37</v>
      </c>
      <c r="P154" s="27">
        <f>O154/(parametros_manuales!$B$7)</f>
        <v>97.3158</v>
      </c>
      <c r="Q154" s="4" t="str">
        <f t="shared" si="18"/>
        <v>Dic</v>
      </c>
    </row>
    <row r="155" ht="14.25" customHeight="1">
      <c r="A155" s="4" t="str">
        <f>parametros_manuales!$B$32</f>
        <v>Control de calidad — Espesor</v>
      </c>
      <c r="B155" s="8">
        <f>(parametros_manuales!$D$32*('Plan mensual'!D57+IF(parametros_manuales!$H$32="Todos",'Plan mensual'!D61,0))+parametros_manuales!$E$32*('Plan mensual'!D58+IF(parametros_manuales!$H$32="Todos",'Plan mensual'!D62,0))+parametros_manuales!$F$32*('Plan mensual'!D59+IF(parametros_manuales!$H$32="Todos",'Plan mensual'!D63,0))+parametros_manuales!$G$32*('Plan mensual'!D60+IF(parametros_manuales!$H$32="Todos",'Plan mensual'!D64,0)))*parametros_manuales!$I$32*parametros_manuales!$J$32</f>
        <v>284.454</v>
      </c>
      <c r="C155" s="8">
        <f>(parametros_manuales!$D$32*('Plan mensual'!E57+IF(parametros_manuales!$H$32="Todos",'Plan mensual'!E61,0))+parametros_manuales!$E$32*('Plan mensual'!E58+IF(parametros_manuales!$H$32="Todos",'Plan mensual'!E62,0))+parametros_manuales!$F$32*('Plan mensual'!E59+IF(parametros_manuales!$H$32="Todos",'Plan mensual'!E63,0))+parametros_manuales!$G$32*('Plan mensual'!E60+IF(parametros_manuales!$H$32="Todos",'Plan mensual'!E64,0)))*parametros_manuales!$I$32*parametros_manuales!$J$32</f>
        <v>217.0872</v>
      </c>
      <c r="D155" s="8">
        <f>(parametros_manuales!$D$32*('Plan mensual'!F57+IF(parametros_manuales!$H$32="Todos",'Plan mensual'!F61,0))+parametros_manuales!$E$32*('Plan mensual'!F58+IF(parametros_manuales!$H$32="Todos",'Plan mensual'!F62,0))+parametros_manuales!$F$32*('Plan mensual'!F59+IF(parametros_manuales!$H$32="Todos",'Plan mensual'!F63,0))+parametros_manuales!$G$32*('Plan mensual'!F60+IF(parametros_manuales!$H$32="Todos",'Plan mensual'!F64,0)))*parametros_manuales!$I$32*parametros_manuales!$J$32</f>
        <v>203.3739</v>
      </c>
      <c r="E155" s="8">
        <f>(parametros_manuales!$D$32*('Plan mensual'!G57+IF(parametros_manuales!$H$32="Todos",'Plan mensual'!G61,0))+parametros_manuales!$E$32*('Plan mensual'!G58+IF(parametros_manuales!$H$32="Todos",'Plan mensual'!G62,0))+parametros_manuales!$F$32*('Plan mensual'!G59+IF(parametros_manuales!$H$32="Todos",'Plan mensual'!G63,0))+parametros_manuales!$G$32*('Plan mensual'!G60+IF(parametros_manuales!$H$32="Todos",'Plan mensual'!G64,0)))*parametros_manuales!$I$32*parametros_manuales!$J$32</f>
        <v>194.6439</v>
      </c>
      <c r="F155" s="8">
        <f>(parametros_manuales!$D$32*('Plan mensual'!H57+IF(parametros_manuales!$H$32="Todos",'Plan mensual'!H61,0))+parametros_manuales!$E$32*('Plan mensual'!H58+IF(parametros_manuales!$H$32="Todos",'Plan mensual'!H62,0))+parametros_manuales!$F$32*('Plan mensual'!H59+IF(parametros_manuales!$H$32="Todos",'Plan mensual'!H63,0))+parametros_manuales!$G$32*('Plan mensual'!H60+IF(parametros_manuales!$H$32="Todos",'Plan mensual'!H64,0)))*parametros_manuales!$I$32*parametros_manuales!$J$32</f>
        <v>182.1672</v>
      </c>
      <c r="G155" s="8">
        <f>(parametros_manuales!$D$32*('Plan mensual'!I57+IF(parametros_manuales!$H$32="Todos",'Plan mensual'!I61,0))+parametros_manuales!$E$32*('Plan mensual'!I58+IF(parametros_manuales!$H$32="Todos",'Plan mensual'!I62,0))+parametros_manuales!$F$32*('Plan mensual'!I59+IF(parametros_manuales!$H$32="Todos",'Plan mensual'!I63,0))+parametros_manuales!$G$32*('Plan mensual'!I60+IF(parametros_manuales!$H$32="Todos",'Plan mensual'!I64,0)))*parametros_manuales!$I$32*parametros_manuales!$J$32</f>
        <v>178.4205</v>
      </c>
      <c r="H155" s="8">
        <f>(parametros_manuales!$D$32*('Plan mensual'!J57+IF(parametros_manuales!$H$32="Todos",'Plan mensual'!J61,0))+parametros_manuales!$E$32*('Plan mensual'!J58+IF(parametros_manuales!$H$32="Todos",'Plan mensual'!J62,0))+parametros_manuales!$F$32*('Plan mensual'!J59+IF(parametros_manuales!$H$32="Todos",'Plan mensual'!J63,0))+parametros_manuales!$G$32*('Plan mensual'!J60+IF(parametros_manuales!$H$32="Todos",'Plan mensual'!J64,0)))*parametros_manuales!$I$32*parametros_manuales!$J$32</f>
        <v>190.8972</v>
      </c>
      <c r="I155" s="8">
        <f>(parametros_manuales!$D$32*('Plan mensual'!K57+IF(parametros_manuales!$H$32="Todos",'Plan mensual'!K61,0))+parametros_manuales!$E$32*('Plan mensual'!K58+IF(parametros_manuales!$H$32="Todos",'Plan mensual'!K62,0))+parametros_manuales!$F$32*('Plan mensual'!K59+IF(parametros_manuales!$H$32="Todos",'Plan mensual'!K63,0))+parametros_manuales!$G$32*('Plan mensual'!K60+IF(parametros_manuales!$H$32="Todos",'Plan mensual'!K64,0)))*parametros_manuales!$I$32*parametros_manuales!$J$32</f>
        <v>190.8972</v>
      </c>
      <c r="J155" s="8">
        <f>(parametros_manuales!$D$32*('Plan mensual'!L57+IF(parametros_manuales!$H$32="Todos",'Plan mensual'!L61,0))+parametros_manuales!$E$32*('Plan mensual'!L58+IF(parametros_manuales!$H$32="Todos",'Plan mensual'!L62,0))+parametros_manuales!$F$32*('Plan mensual'!L59+IF(parametros_manuales!$H$32="Todos",'Plan mensual'!L63,0))+parametros_manuales!$G$32*('Plan mensual'!L60+IF(parametros_manuales!$H$32="Todos",'Plan mensual'!L64,0)))*parametros_manuales!$I$32*parametros_manuales!$J$32</f>
        <v>190.8972</v>
      </c>
      <c r="K155" s="8">
        <f>(parametros_manuales!$D$32*('Plan mensual'!M57+IF(parametros_manuales!$H$32="Todos",'Plan mensual'!M61,0))+parametros_manuales!$E$32*('Plan mensual'!M58+IF(parametros_manuales!$H$32="Todos",'Plan mensual'!M62,0))+parametros_manuales!$F$32*('Plan mensual'!M59+IF(parametros_manuales!$H$32="Todos",'Plan mensual'!M63,0))+parametros_manuales!$G$32*('Plan mensual'!M60+IF(parametros_manuales!$H$32="Todos",'Plan mensual'!M64,0)))*parametros_manuales!$I$32*parametros_manuales!$J$32</f>
        <v>187.1505</v>
      </c>
      <c r="L155" s="8">
        <f>(parametros_manuales!$D$32*('Plan mensual'!N57+IF(parametros_manuales!$H$32="Todos",'Plan mensual'!N61,0))+parametros_manuales!$E$32*('Plan mensual'!N58+IF(parametros_manuales!$H$32="Todos",'Plan mensual'!N62,0))+parametros_manuales!$F$32*('Plan mensual'!N59+IF(parametros_manuales!$H$32="Todos",'Plan mensual'!N63,0))+parametros_manuales!$G$32*('Plan mensual'!N60+IF(parametros_manuales!$H$32="Todos",'Plan mensual'!N64,0)))*parametros_manuales!$I$32*parametros_manuales!$J$32</f>
        <v>183.4038</v>
      </c>
      <c r="M155" s="8">
        <f>(parametros_manuales!$D$32*('Plan mensual'!O57+IF(parametros_manuales!$H$32="Todos",'Plan mensual'!O61,0))+parametros_manuales!$E$32*('Plan mensual'!O58+IF(parametros_manuales!$H$32="Todos",'Plan mensual'!O62,0))+parametros_manuales!$F$32*('Plan mensual'!O59+IF(parametros_manuales!$H$32="Todos",'Plan mensual'!O63,0))+parametros_manuales!$G$32*('Plan mensual'!O60+IF(parametros_manuales!$H$32="Todos",'Plan mensual'!O64,0)))*parametros_manuales!$I$32*parametros_manuales!$J$32</f>
        <v>291.9474</v>
      </c>
      <c r="N155" s="8">
        <f t="shared" si="16"/>
        <v>2495.34</v>
      </c>
      <c r="O155" s="8">
        <f t="shared" si="17"/>
        <v>291.9474</v>
      </c>
      <c r="P155" s="27">
        <f>O155/(parametros_manuales!$B$7)</f>
        <v>1.946316</v>
      </c>
      <c r="Q155" s="4" t="str">
        <f t="shared" si="18"/>
        <v>Dic</v>
      </c>
    </row>
    <row r="156" ht="14.25" customHeight="1">
      <c r="A156" s="4" t="str">
        <f>parametros_manuales!$B$33</f>
        <v>Prueba hidráulica</v>
      </c>
      <c r="B156" s="8">
        <f>(parametros_manuales!$D$33*('Plan mensual'!D57+IF(parametros_manuales!$H$33="Todos",'Plan mensual'!D61,0))+parametros_manuales!$E$33*('Plan mensual'!D58+IF(parametros_manuales!$H$33="Todos",'Plan mensual'!D62,0))+parametros_manuales!$F$33*('Plan mensual'!D59+IF(parametros_manuales!$H$33="Todos",'Plan mensual'!D63,0))+parametros_manuales!$G$33*('Plan mensual'!D60+IF(parametros_manuales!$H$33="Todos",'Plan mensual'!D64,0)))*parametros_manuales!$I$33*parametros_manuales!$J$33</f>
        <v>14222.7</v>
      </c>
      <c r="C156" s="8">
        <f>(parametros_manuales!$D$33*('Plan mensual'!E57+IF(parametros_manuales!$H$33="Todos",'Plan mensual'!E61,0))+parametros_manuales!$E$33*('Plan mensual'!E58+IF(parametros_manuales!$H$33="Todos",'Plan mensual'!E62,0))+parametros_manuales!$F$33*('Plan mensual'!E59+IF(parametros_manuales!$H$33="Todos",'Plan mensual'!E63,0))+parametros_manuales!$G$33*('Plan mensual'!E60+IF(parametros_manuales!$H$33="Todos",'Plan mensual'!E64,0)))*parametros_manuales!$I$33*parametros_manuales!$J$33</f>
        <v>10854.36</v>
      </c>
      <c r="D156" s="8">
        <f>(parametros_manuales!$D$33*('Plan mensual'!F57+IF(parametros_manuales!$H$33="Todos",'Plan mensual'!F61,0))+parametros_manuales!$E$33*('Plan mensual'!F58+IF(parametros_manuales!$H$33="Todos",'Plan mensual'!F62,0))+parametros_manuales!$F$33*('Plan mensual'!F59+IF(parametros_manuales!$H$33="Todos",'Plan mensual'!F63,0))+parametros_manuales!$G$33*('Plan mensual'!F60+IF(parametros_manuales!$H$33="Todos",'Plan mensual'!F64,0)))*parametros_manuales!$I$33*parametros_manuales!$J$33</f>
        <v>10168.695</v>
      </c>
      <c r="E156" s="8">
        <f>(parametros_manuales!$D$33*('Plan mensual'!G57+IF(parametros_manuales!$H$33="Todos",'Plan mensual'!G61,0))+parametros_manuales!$E$33*('Plan mensual'!G58+IF(parametros_manuales!$H$33="Todos",'Plan mensual'!G62,0))+parametros_manuales!$F$33*('Plan mensual'!G59+IF(parametros_manuales!$H$33="Todos",'Plan mensual'!G63,0))+parametros_manuales!$G$33*('Plan mensual'!G60+IF(parametros_manuales!$H$33="Todos",'Plan mensual'!G64,0)))*parametros_manuales!$I$33*parametros_manuales!$J$33</f>
        <v>9732.195</v>
      </c>
      <c r="F156" s="8">
        <f>(parametros_manuales!$D$33*('Plan mensual'!H57+IF(parametros_manuales!$H$33="Todos",'Plan mensual'!H61,0))+parametros_manuales!$E$33*('Plan mensual'!H58+IF(parametros_manuales!$H$33="Todos",'Plan mensual'!H62,0))+parametros_manuales!$F$33*('Plan mensual'!H59+IF(parametros_manuales!$H$33="Todos",'Plan mensual'!H63,0))+parametros_manuales!$G$33*('Plan mensual'!H60+IF(parametros_manuales!$H$33="Todos",'Plan mensual'!H64,0)))*parametros_manuales!$I$33*parametros_manuales!$J$33</f>
        <v>9108.36</v>
      </c>
      <c r="G156" s="8">
        <f>(parametros_manuales!$D$33*('Plan mensual'!I57+IF(parametros_manuales!$H$33="Todos",'Plan mensual'!I61,0))+parametros_manuales!$E$33*('Plan mensual'!I58+IF(parametros_manuales!$H$33="Todos",'Plan mensual'!I62,0))+parametros_manuales!$F$33*('Plan mensual'!I59+IF(parametros_manuales!$H$33="Todos",'Plan mensual'!I63,0))+parametros_manuales!$G$33*('Plan mensual'!I60+IF(parametros_manuales!$H$33="Todos",'Plan mensual'!I64,0)))*parametros_manuales!$I$33*parametros_manuales!$J$33</f>
        <v>8921.025</v>
      </c>
      <c r="H156" s="8">
        <f>(parametros_manuales!$D$33*('Plan mensual'!J57+IF(parametros_manuales!$H$33="Todos",'Plan mensual'!J61,0))+parametros_manuales!$E$33*('Plan mensual'!J58+IF(parametros_manuales!$H$33="Todos",'Plan mensual'!J62,0))+parametros_manuales!$F$33*('Plan mensual'!J59+IF(parametros_manuales!$H$33="Todos",'Plan mensual'!J63,0))+parametros_manuales!$G$33*('Plan mensual'!J60+IF(parametros_manuales!$H$33="Todos",'Plan mensual'!J64,0)))*parametros_manuales!$I$33*parametros_manuales!$J$33</f>
        <v>9544.86</v>
      </c>
      <c r="I156" s="8">
        <f>(parametros_manuales!$D$33*('Plan mensual'!K57+IF(parametros_manuales!$H$33="Todos",'Plan mensual'!K61,0))+parametros_manuales!$E$33*('Plan mensual'!K58+IF(parametros_manuales!$H$33="Todos",'Plan mensual'!K62,0))+parametros_manuales!$F$33*('Plan mensual'!K59+IF(parametros_manuales!$H$33="Todos",'Plan mensual'!K63,0))+parametros_manuales!$G$33*('Plan mensual'!K60+IF(parametros_manuales!$H$33="Todos",'Plan mensual'!K64,0)))*parametros_manuales!$I$33*parametros_manuales!$J$33</f>
        <v>9544.86</v>
      </c>
      <c r="J156" s="8">
        <f>(parametros_manuales!$D$33*('Plan mensual'!L57+IF(parametros_manuales!$H$33="Todos",'Plan mensual'!L61,0))+parametros_manuales!$E$33*('Plan mensual'!L58+IF(parametros_manuales!$H$33="Todos",'Plan mensual'!L62,0))+parametros_manuales!$F$33*('Plan mensual'!L59+IF(parametros_manuales!$H$33="Todos",'Plan mensual'!L63,0))+parametros_manuales!$G$33*('Plan mensual'!L60+IF(parametros_manuales!$H$33="Todos",'Plan mensual'!L64,0)))*parametros_manuales!$I$33*parametros_manuales!$J$33</f>
        <v>9544.86</v>
      </c>
      <c r="K156" s="8">
        <f>(parametros_manuales!$D$33*('Plan mensual'!M57+IF(parametros_manuales!$H$33="Todos",'Plan mensual'!M61,0))+parametros_manuales!$E$33*('Plan mensual'!M58+IF(parametros_manuales!$H$33="Todos",'Plan mensual'!M62,0))+parametros_manuales!$F$33*('Plan mensual'!M59+IF(parametros_manuales!$H$33="Todos",'Plan mensual'!M63,0))+parametros_manuales!$G$33*('Plan mensual'!M60+IF(parametros_manuales!$H$33="Todos",'Plan mensual'!M64,0)))*parametros_manuales!$I$33*parametros_manuales!$J$33</f>
        <v>9357.525</v>
      </c>
      <c r="L156" s="8">
        <f>(parametros_manuales!$D$33*('Plan mensual'!N57+IF(parametros_manuales!$H$33="Todos",'Plan mensual'!N61,0))+parametros_manuales!$E$33*('Plan mensual'!N58+IF(parametros_manuales!$H$33="Todos",'Plan mensual'!N62,0))+parametros_manuales!$F$33*('Plan mensual'!N59+IF(parametros_manuales!$H$33="Todos",'Plan mensual'!N63,0))+parametros_manuales!$G$33*('Plan mensual'!N60+IF(parametros_manuales!$H$33="Todos",'Plan mensual'!N64,0)))*parametros_manuales!$I$33*parametros_manuales!$J$33</f>
        <v>9170.19</v>
      </c>
      <c r="M156" s="8">
        <f>(parametros_manuales!$D$33*('Plan mensual'!O57+IF(parametros_manuales!$H$33="Todos",'Plan mensual'!O61,0))+parametros_manuales!$E$33*('Plan mensual'!O58+IF(parametros_manuales!$H$33="Todos",'Plan mensual'!O62,0))+parametros_manuales!$F$33*('Plan mensual'!O59+IF(parametros_manuales!$H$33="Todos",'Plan mensual'!O63,0))+parametros_manuales!$G$33*('Plan mensual'!O60+IF(parametros_manuales!$H$33="Todos",'Plan mensual'!O64,0)))*parametros_manuales!$I$33*parametros_manuales!$J$33</f>
        <v>14597.37</v>
      </c>
      <c r="N156" s="8">
        <f t="shared" si="16"/>
        <v>124767</v>
      </c>
      <c r="O156" s="8">
        <f t="shared" si="17"/>
        <v>14597.37</v>
      </c>
      <c r="P156" s="27">
        <f>O156/(parametros_manuales!$B$7)</f>
        <v>97.3158</v>
      </c>
      <c r="Q156" s="4" t="str">
        <f t="shared" si="18"/>
        <v>Dic</v>
      </c>
    </row>
    <row r="157" ht="14.25" customHeight="1">
      <c r="A157" s="4" t="str">
        <f>parametros_manuales!$B$34</f>
        <v>Secado</v>
      </c>
      <c r="B157" s="8">
        <f>(parametros_manuales!$D$34*('Plan mensual'!D57+IF(parametros_manuales!$H$34="Todos",'Plan mensual'!D61,0))+parametros_manuales!$E$34*('Plan mensual'!D58+IF(parametros_manuales!$H$34="Todos",'Plan mensual'!D62,0))+parametros_manuales!$F$34*('Plan mensual'!D59+IF(parametros_manuales!$H$34="Todos",'Plan mensual'!D63,0))+parametros_manuales!$G$34*('Plan mensual'!D60+IF(parametros_manuales!$H$34="Todos",'Plan mensual'!D64,0)))*parametros_manuales!$I$34*parametros_manuales!$J$34</f>
        <v>14222.7</v>
      </c>
      <c r="C157" s="8">
        <f>(parametros_manuales!$D$34*('Plan mensual'!E57+IF(parametros_manuales!$H$34="Todos",'Plan mensual'!E61,0))+parametros_manuales!$E$34*('Plan mensual'!E58+IF(parametros_manuales!$H$34="Todos",'Plan mensual'!E62,0))+parametros_manuales!$F$34*('Plan mensual'!E59+IF(parametros_manuales!$H$34="Todos",'Plan mensual'!E63,0))+parametros_manuales!$G$34*('Plan mensual'!E60+IF(parametros_manuales!$H$34="Todos",'Plan mensual'!E64,0)))*parametros_manuales!$I$34*parametros_manuales!$J$34</f>
        <v>10854.36</v>
      </c>
      <c r="D157" s="8">
        <f>(parametros_manuales!$D$34*('Plan mensual'!F57+IF(parametros_manuales!$H$34="Todos",'Plan mensual'!F61,0))+parametros_manuales!$E$34*('Plan mensual'!F58+IF(parametros_manuales!$H$34="Todos",'Plan mensual'!F62,0))+parametros_manuales!$F$34*('Plan mensual'!F59+IF(parametros_manuales!$H$34="Todos",'Plan mensual'!F63,0))+parametros_manuales!$G$34*('Plan mensual'!F60+IF(parametros_manuales!$H$34="Todos",'Plan mensual'!F64,0)))*parametros_manuales!$I$34*parametros_manuales!$J$34</f>
        <v>10168.695</v>
      </c>
      <c r="E157" s="8">
        <f>(parametros_manuales!$D$34*('Plan mensual'!G57+IF(parametros_manuales!$H$34="Todos",'Plan mensual'!G61,0))+parametros_manuales!$E$34*('Plan mensual'!G58+IF(parametros_manuales!$H$34="Todos",'Plan mensual'!G62,0))+parametros_manuales!$F$34*('Plan mensual'!G59+IF(parametros_manuales!$H$34="Todos",'Plan mensual'!G63,0))+parametros_manuales!$G$34*('Plan mensual'!G60+IF(parametros_manuales!$H$34="Todos",'Plan mensual'!G64,0)))*parametros_manuales!$I$34*parametros_manuales!$J$34</f>
        <v>9732.195</v>
      </c>
      <c r="F157" s="8">
        <f>(parametros_manuales!$D$34*('Plan mensual'!H57+IF(parametros_manuales!$H$34="Todos",'Plan mensual'!H61,0))+parametros_manuales!$E$34*('Plan mensual'!H58+IF(parametros_manuales!$H$34="Todos",'Plan mensual'!H62,0))+parametros_manuales!$F$34*('Plan mensual'!H59+IF(parametros_manuales!$H$34="Todos",'Plan mensual'!H63,0))+parametros_manuales!$G$34*('Plan mensual'!H60+IF(parametros_manuales!$H$34="Todos",'Plan mensual'!H64,0)))*parametros_manuales!$I$34*parametros_manuales!$J$34</f>
        <v>9108.36</v>
      </c>
      <c r="G157" s="8">
        <f>(parametros_manuales!$D$34*('Plan mensual'!I57+IF(parametros_manuales!$H$34="Todos",'Plan mensual'!I61,0))+parametros_manuales!$E$34*('Plan mensual'!I58+IF(parametros_manuales!$H$34="Todos",'Plan mensual'!I62,0))+parametros_manuales!$F$34*('Plan mensual'!I59+IF(parametros_manuales!$H$34="Todos",'Plan mensual'!I63,0))+parametros_manuales!$G$34*('Plan mensual'!I60+IF(parametros_manuales!$H$34="Todos",'Plan mensual'!I64,0)))*parametros_manuales!$I$34*parametros_manuales!$J$34</f>
        <v>8921.025</v>
      </c>
      <c r="H157" s="8">
        <f>(parametros_manuales!$D$34*('Plan mensual'!J57+IF(parametros_manuales!$H$34="Todos",'Plan mensual'!J61,0))+parametros_manuales!$E$34*('Plan mensual'!J58+IF(parametros_manuales!$H$34="Todos",'Plan mensual'!J62,0))+parametros_manuales!$F$34*('Plan mensual'!J59+IF(parametros_manuales!$H$34="Todos",'Plan mensual'!J63,0))+parametros_manuales!$G$34*('Plan mensual'!J60+IF(parametros_manuales!$H$34="Todos",'Plan mensual'!J64,0)))*parametros_manuales!$I$34*parametros_manuales!$J$34</f>
        <v>9544.86</v>
      </c>
      <c r="I157" s="8">
        <f>(parametros_manuales!$D$34*('Plan mensual'!K57+IF(parametros_manuales!$H$34="Todos",'Plan mensual'!K61,0))+parametros_manuales!$E$34*('Plan mensual'!K58+IF(parametros_manuales!$H$34="Todos",'Plan mensual'!K62,0))+parametros_manuales!$F$34*('Plan mensual'!K59+IF(parametros_manuales!$H$34="Todos",'Plan mensual'!K63,0))+parametros_manuales!$G$34*('Plan mensual'!K60+IF(parametros_manuales!$H$34="Todos",'Plan mensual'!K64,0)))*parametros_manuales!$I$34*parametros_manuales!$J$34</f>
        <v>9544.86</v>
      </c>
      <c r="J157" s="8">
        <f>(parametros_manuales!$D$34*('Plan mensual'!L57+IF(parametros_manuales!$H$34="Todos",'Plan mensual'!L61,0))+parametros_manuales!$E$34*('Plan mensual'!L58+IF(parametros_manuales!$H$34="Todos",'Plan mensual'!L62,0))+parametros_manuales!$F$34*('Plan mensual'!L59+IF(parametros_manuales!$H$34="Todos",'Plan mensual'!L63,0))+parametros_manuales!$G$34*('Plan mensual'!L60+IF(parametros_manuales!$H$34="Todos",'Plan mensual'!L64,0)))*parametros_manuales!$I$34*parametros_manuales!$J$34</f>
        <v>9544.86</v>
      </c>
      <c r="K157" s="8">
        <f>(parametros_manuales!$D$34*('Plan mensual'!M57+IF(parametros_manuales!$H$34="Todos",'Plan mensual'!M61,0))+parametros_manuales!$E$34*('Plan mensual'!M58+IF(parametros_manuales!$H$34="Todos",'Plan mensual'!M62,0))+parametros_manuales!$F$34*('Plan mensual'!M59+IF(parametros_manuales!$H$34="Todos",'Plan mensual'!M63,0))+parametros_manuales!$G$34*('Plan mensual'!M60+IF(parametros_manuales!$H$34="Todos",'Plan mensual'!M64,0)))*parametros_manuales!$I$34*parametros_manuales!$J$34</f>
        <v>9357.525</v>
      </c>
      <c r="L157" s="8">
        <f>(parametros_manuales!$D$34*('Plan mensual'!N57+IF(parametros_manuales!$H$34="Todos",'Plan mensual'!N61,0))+parametros_manuales!$E$34*('Plan mensual'!N58+IF(parametros_manuales!$H$34="Todos",'Plan mensual'!N62,0))+parametros_manuales!$F$34*('Plan mensual'!N59+IF(parametros_manuales!$H$34="Todos",'Plan mensual'!N63,0))+parametros_manuales!$G$34*('Plan mensual'!N60+IF(parametros_manuales!$H$34="Todos",'Plan mensual'!N64,0)))*parametros_manuales!$I$34*parametros_manuales!$J$34</f>
        <v>9170.19</v>
      </c>
      <c r="M157" s="8">
        <f>(parametros_manuales!$D$34*('Plan mensual'!O57+IF(parametros_manuales!$H$34="Todos",'Plan mensual'!O61,0))+parametros_manuales!$E$34*('Plan mensual'!O58+IF(parametros_manuales!$H$34="Todos",'Plan mensual'!O62,0))+parametros_manuales!$F$34*('Plan mensual'!O59+IF(parametros_manuales!$H$34="Todos",'Plan mensual'!O63,0))+parametros_manuales!$G$34*('Plan mensual'!O60+IF(parametros_manuales!$H$34="Todos",'Plan mensual'!O64,0)))*parametros_manuales!$I$34*parametros_manuales!$J$34</f>
        <v>14597.37</v>
      </c>
      <c r="N157" s="8">
        <f t="shared" si="16"/>
        <v>124767</v>
      </c>
      <c r="O157" s="8">
        <f t="shared" si="17"/>
        <v>14597.37</v>
      </c>
      <c r="P157" s="27">
        <f>O157/(parametros_manuales!$B$7)</f>
        <v>97.3158</v>
      </c>
      <c r="Q157" s="4" t="str">
        <f t="shared" si="18"/>
        <v>Dic</v>
      </c>
    </row>
    <row r="158" ht="14.25" customHeight="1">
      <c r="A158" s="4" t="str">
        <f>parametros_manuales!$B$35</f>
        <v>Granallado</v>
      </c>
      <c r="B158" s="8">
        <f>(parametros_manuales!$D$35*('Plan mensual'!D57+IF(parametros_manuales!$H$35="Todos",'Plan mensual'!D61,0))+parametros_manuales!$E$35*('Plan mensual'!D58+IF(parametros_manuales!$H$35="Todos",'Plan mensual'!D62,0))+parametros_manuales!$F$35*('Plan mensual'!D59+IF(parametros_manuales!$H$35="Todos",'Plan mensual'!D63,0))+parametros_manuales!$G$35*('Plan mensual'!D60+IF(parametros_manuales!$H$35="Todos",'Plan mensual'!D64,0)))*parametros_manuales!$I$35*parametros_manuales!$J$35</f>
        <v>14222.7</v>
      </c>
      <c r="C158" s="8">
        <f>(parametros_manuales!$D$35*('Plan mensual'!E57+IF(parametros_manuales!$H$35="Todos",'Plan mensual'!E61,0))+parametros_manuales!$E$35*('Plan mensual'!E58+IF(parametros_manuales!$H$35="Todos",'Plan mensual'!E62,0))+parametros_manuales!$F$35*('Plan mensual'!E59+IF(parametros_manuales!$H$35="Todos",'Plan mensual'!E63,0))+parametros_manuales!$G$35*('Plan mensual'!E60+IF(parametros_manuales!$H$35="Todos",'Plan mensual'!E64,0)))*parametros_manuales!$I$35*parametros_manuales!$J$35</f>
        <v>10854.36</v>
      </c>
      <c r="D158" s="8">
        <f>(parametros_manuales!$D$35*('Plan mensual'!F57+IF(parametros_manuales!$H$35="Todos",'Plan mensual'!F61,0))+parametros_manuales!$E$35*('Plan mensual'!F58+IF(parametros_manuales!$H$35="Todos",'Plan mensual'!F62,0))+parametros_manuales!$F$35*('Plan mensual'!F59+IF(parametros_manuales!$H$35="Todos",'Plan mensual'!F63,0))+parametros_manuales!$G$35*('Plan mensual'!F60+IF(parametros_manuales!$H$35="Todos",'Plan mensual'!F64,0)))*parametros_manuales!$I$35*parametros_manuales!$J$35</f>
        <v>10168.695</v>
      </c>
      <c r="E158" s="8">
        <f>(parametros_manuales!$D$35*('Plan mensual'!G57+IF(parametros_manuales!$H$35="Todos",'Plan mensual'!G61,0))+parametros_manuales!$E$35*('Plan mensual'!G58+IF(parametros_manuales!$H$35="Todos",'Plan mensual'!G62,0))+parametros_manuales!$F$35*('Plan mensual'!G59+IF(parametros_manuales!$H$35="Todos",'Plan mensual'!G63,0))+parametros_manuales!$G$35*('Plan mensual'!G60+IF(parametros_manuales!$H$35="Todos",'Plan mensual'!G64,0)))*parametros_manuales!$I$35*parametros_manuales!$J$35</f>
        <v>9732.195</v>
      </c>
      <c r="F158" s="8">
        <f>(parametros_manuales!$D$35*('Plan mensual'!H57+IF(parametros_manuales!$H$35="Todos",'Plan mensual'!H61,0))+parametros_manuales!$E$35*('Plan mensual'!H58+IF(parametros_manuales!$H$35="Todos",'Plan mensual'!H62,0))+parametros_manuales!$F$35*('Plan mensual'!H59+IF(parametros_manuales!$H$35="Todos",'Plan mensual'!H63,0))+parametros_manuales!$G$35*('Plan mensual'!H60+IF(parametros_manuales!$H$35="Todos",'Plan mensual'!H64,0)))*parametros_manuales!$I$35*parametros_manuales!$J$35</f>
        <v>9108.36</v>
      </c>
      <c r="G158" s="8">
        <f>(parametros_manuales!$D$35*('Plan mensual'!I57+IF(parametros_manuales!$H$35="Todos",'Plan mensual'!I61,0))+parametros_manuales!$E$35*('Plan mensual'!I58+IF(parametros_manuales!$H$35="Todos",'Plan mensual'!I62,0))+parametros_manuales!$F$35*('Plan mensual'!I59+IF(parametros_manuales!$H$35="Todos",'Plan mensual'!I63,0))+parametros_manuales!$G$35*('Plan mensual'!I60+IF(parametros_manuales!$H$35="Todos",'Plan mensual'!I64,0)))*parametros_manuales!$I$35*parametros_manuales!$J$35</f>
        <v>8921.025</v>
      </c>
      <c r="H158" s="8">
        <f>(parametros_manuales!$D$35*('Plan mensual'!J57+IF(parametros_manuales!$H$35="Todos",'Plan mensual'!J61,0))+parametros_manuales!$E$35*('Plan mensual'!J58+IF(parametros_manuales!$H$35="Todos",'Plan mensual'!J62,0))+parametros_manuales!$F$35*('Plan mensual'!J59+IF(parametros_manuales!$H$35="Todos",'Plan mensual'!J63,0))+parametros_manuales!$G$35*('Plan mensual'!J60+IF(parametros_manuales!$H$35="Todos",'Plan mensual'!J64,0)))*parametros_manuales!$I$35*parametros_manuales!$J$35</f>
        <v>9544.86</v>
      </c>
      <c r="I158" s="8">
        <f>(parametros_manuales!$D$35*('Plan mensual'!K57+IF(parametros_manuales!$H$35="Todos",'Plan mensual'!K61,0))+parametros_manuales!$E$35*('Plan mensual'!K58+IF(parametros_manuales!$H$35="Todos",'Plan mensual'!K62,0))+parametros_manuales!$F$35*('Plan mensual'!K59+IF(parametros_manuales!$H$35="Todos",'Plan mensual'!K63,0))+parametros_manuales!$G$35*('Plan mensual'!K60+IF(parametros_manuales!$H$35="Todos",'Plan mensual'!K64,0)))*parametros_manuales!$I$35*parametros_manuales!$J$35</f>
        <v>9544.86</v>
      </c>
      <c r="J158" s="8">
        <f>(parametros_manuales!$D$35*('Plan mensual'!L57+IF(parametros_manuales!$H$35="Todos",'Plan mensual'!L61,0))+parametros_manuales!$E$35*('Plan mensual'!L58+IF(parametros_manuales!$H$35="Todos",'Plan mensual'!L62,0))+parametros_manuales!$F$35*('Plan mensual'!L59+IF(parametros_manuales!$H$35="Todos",'Plan mensual'!L63,0))+parametros_manuales!$G$35*('Plan mensual'!L60+IF(parametros_manuales!$H$35="Todos",'Plan mensual'!L64,0)))*parametros_manuales!$I$35*parametros_manuales!$J$35</f>
        <v>9544.86</v>
      </c>
      <c r="K158" s="8">
        <f>(parametros_manuales!$D$35*('Plan mensual'!M57+IF(parametros_manuales!$H$35="Todos",'Plan mensual'!M61,0))+parametros_manuales!$E$35*('Plan mensual'!M58+IF(parametros_manuales!$H$35="Todos",'Plan mensual'!M62,0))+parametros_manuales!$F$35*('Plan mensual'!M59+IF(parametros_manuales!$H$35="Todos",'Plan mensual'!M63,0))+parametros_manuales!$G$35*('Plan mensual'!M60+IF(parametros_manuales!$H$35="Todos",'Plan mensual'!M64,0)))*parametros_manuales!$I$35*parametros_manuales!$J$35</f>
        <v>9357.525</v>
      </c>
      <c r="L158" s="8">
        <f>(parametros_manuales!$D$35*('Plan mensual'!N57+IF(parametros_manuales!$H$35="Todos",'Plan mensual'!N61,0))+parametros_manuales!$E$35*('Plan mensual'!N58+IF(parametros_manuales!$H$35="Todos",'Plan mensual'!N62,0))+parametros_manuales!$F$35*('Plan mensual'!N59+IF(parametros_manuales!$H$35="Todos",'Plan mensual'!N63,0))+parametros_manuales!$G$35*('Plan mensual'!N60+IF(parametros_manuales!$H$35="Todos",'Plan mensual'!N64,0)))*parametros_manuales!$I$35*parametros_manuales!$J$35</f>
        <v>9170.19</v>
      </c>
      <c r="M158" s="8">
        <f>(parametros_manuales!$D$35*('Plan mensual'!O57+IF(parametros_manuales!$H$35="Todos",'Plan mensual'!O61,0))+parametros_manuales!$E$35*('Plan mensual'!O58+IF(parametros_manuales!$H$35="Todos",'Plan mensual'!O62,0))+parametros_manuales!$F$35*('Plan mensual'!O59+IF(parametros_manuales!$H$35="Todos",'Plan mensual'!O63,0))+parametros_manuales!$G$35*('Plan mensual'!O60+IF(parametros_manuales!$H$35="Todos",'Plan mensual'!O64,0)))*parametros_manuales!$I$35*parametros_manuales!$J$35</f>
        <v>14597.37</v>
      </c>
      <c r="N158" s="8">
        <f t="shared" si="16"/>
        <v>124767</v>
      </c>
      <c r="O158" s="8">
        <f t="shared" si="17"/>
        <v>14597.37</v>
      </c>
      <c r="P158" s="27">
        <f>O158/(parametros_manuales!$B$7)</f>
        <v>97.3158</v>
      </c>
      <c r="Q158" s="4" t="str">
        <f t="shared" si="18"/>
        <v>Dic</v>
      </c>
    </row>
    <row r="159" ht="14.25" customHeight="1">
      <c r="A159" s="4" t="str">
        <f>parametros_manuales!$B$36</f>
        <v>Detección de defectos</v>
      </c>
      <c r="B159" s="8">
        <f>(parametros_manuales!$D$36*('Plan mensual'!D57+IF(parametros_manuales!$H$36="Todos",'Plan mensual'!D61,0))+parametros_manuales!$E$36*('Plan mensual'!D58+IF(parametros_manuales!$H$36="Todos",'Plan mensual'!D62,0))+parametros_manuales!$F$36*('Plan mensual'!D59+IF(parametros_manuales!$H$36="Todos",'Plan mensual'!D63,0))+parametros_manuales!$G$36*('Plan mensual'!D60+IF(parametros_manuales!$H$36="Todos",'Plan mensual'!D64,0)))*parametros_manuales!$I$36*parametros_manuales!$J$36</f>
        <v>14222.7</v>
      </c>
      <c r="C159" s="8">
        <f>(parametros_manuales!$D$36*('Plan mensual'!E57+IF(parametros_manuales!$H$36="Todos",'Plan mensual'!E61,0))+parametros_manuales!$E$36*('Plan mensual'!E58+IF(parametros_manuales!$H$36="Todos",'Plan mensual'!E62,0))+parametros_manuales!$F$36*('Plan mensual'!E59+IF(parametros_manuales!$H$36="Todos",'Plan mensual'!E63,0))+parametros_manuales!$G$36*('Plan mensual'!E60+IF(parametros_manuales!$H$36="Todos",'Plan mensual'!E64,0)))*parametros_manuales!$I$36*parametros_manuales!$J$36</f>
        <v>10854.36</v>
      </c>
      <c r="D159" s="8">
        <f>(parametros_manuales!$D$36*('Plan mensual'!F57+IF(parametros_manuales!$H$36="Todos",'Plan mensual'!F61,0))+parametros_manuales!$E$36*('Plan mensual'!F58+IF(parametros_manuales!$H$36="Todos",'Plan mensual'!F62,0))+parametros_manuales!$F$36*('Plan mensual'!F59+IF(parametros_manuales!$H$36="Todos",'Plan mensual'!F63,0))+parametros_manuales!$G$36*('Plan mensual'!F60+IF(parametros_manuales!$H$36="Todos",'Plan mensual'!F64,0)))*parametros_manuales!$I$36*parametros_manuales!$J$36</f>
        <v>10168.695</v>
      </c>
      <c r="E159" s="8">
        <f>(parametros_manuales!$D$36*('Plan mensual'!G57+IF(parametros_manuales!$H$36="Todos",'Plan mensual'!G61,0))+parametros_manuales!$E$36*('Plan mensual'!G58+IF(parametros_manuales!$H$36="Todos",'Plan mensual'!G62,0))+parametros_manuales!$F$36*('Plan mensual'!G59+IF(parametros_manuales!$H$36="Todos",'Plan mensual'!G63,0))+parametros_manuales!$G$36*('Plan mensual'!G60+IF(parametros_manuales!$H$36="Todos",'Plan mensual'!G64,0)))*parametros_manuales!$I$36*parametros_manuales!$J$36</f>
        <v>9732.195</v>
      </c>
      <c r="F159" s="8">
        <f>(parametros_manuales!$D$36*('Plan mensual'!H57+IF(parametros_manuales!$H$36="Todos",'Plan mensual'!H61,0))+parametros_manuales!$E$36*('Plan mensual'!H58+IF(parametros_manuales!$H$36="Todos",'Plan mensual'!H62,0))+parametros_manuales!$F$36*('Plan mensual'!H59+IF(parametros_manuales!$H$36="Todos",'Plan mensual'!H63,0))+parametros_manuales!$G$36*('Plan mensual'!H60+IF(parametros_manuales!$H$36="Todos",'Plan mensual'!H64,0)))*parametros_manuales!$I$36*parametros_manuales!$J$36</f>
        <v>9108.36</v>
      </c>
      <c r="G159" s="8">
        <f>(parametros_manuales!$D$36*('Plan mensual'!I57+IF(parametros_manuales!$H$36="Todos",'Plan mensual'!I61,0))+parametros_manuales!$E$36*('Plan mensual'!I58+IF(parametros_manuales!$H$36="Todos",'Plan mensual'!I62,0))+parametros_manuales!$F$36*('Plan mensual'!I59+IF(parametros_manuales!$H$36="Todos",'Plan mensual'!I63,0))+parametros_manuales!$G$36*('Plan mensual'!I60+IF(parametros_manuales!$H$36="Todos",'Plan mensual'!I64,0)))*parametros_manuales!$I$36*parametros_manuales!$J$36</f>
        <v>8921.025</v>
      </c>
      <c r="H159" s="8">
        <f>(parametros_manuales!$D$36*('Plan mensual'!J57+IF(parametros_manuales!$H$36="Todos",'Plan mensual'!J61,0))+parametros_manuales!$E$36*('Plan mensual'!J58+IF(parametros_manuales!$H$36="Todos",'Plan mensual'!J62,0))+parametros_manuales!$F$36*('Plan mensual'!J59+IF(parametros_manuales!$H$36="Todos",'Plan mensual'!J63,0))+parametros_manuales!$G$36*('Plan mensual'!J60+IF(parametros_manuales!$H$36="Todos",'Plan mensual'!J64,0)))*parametros_manuales!$I$36*parametros_manuales!$J$36</f>
        <v>9544.86</v>
      </c>
      <c r="I159" s="8">
        <f>(parametros_manuales!$D$36*('Plan mensual'!K57+IF(parametros_manuales!$H$36="Todos",'Plan mensual'!K61,0))+parametros_manuales!$E$36*('Plan mensual'!K58+IF(parametros_manuales!$H$36="Todos",'Plan mensual'!K62,0))+parametros_manuales!$F$36*('Plan mensual'!K59+IF(parametros_manuales!$H$36="Todos",'Plan mensual'!K63,0))+parametros_manuales!$G$36*('Plan mensual'!K60+IF(parametros_manuales!$H$36="Todos",'Plan mensual'!K64,0)))*parametros_manuales!$I$36*parametros_manuales!$J$36</f>
        <v>9544.86</v>
      </c>
      <c r="J159" s="8">
        <f>(parametros_manuales!$D$36*('Plan mensual'!L57+IF(parametros_manuales!$H$36="Todos",'Plan mensual'!L61,0))+parametros_manuales!$E$36*('Plan mensual'!L58+IF(parametros_manuales!$H$36="Todos",'Plan mensual'!L62,0))+parametros_manuales!$F$36*('Plan mensual'!L59+IF(parametros_manuales!$H$36="Todos",'Plan mensual'!L63,0))+parametros_manuales!$G$36*('Plan mensual'!L60+IF(parametros_manuales!$H$36="Todos",'Plan mensual'!L64,0)))*parametros_manuales!$I$36*parametros_manuales!$J$36</f>
        <v>9544.86</v>
      </c>
      <c r="K159" s="8">
        <f>(parametros_manuales!$D$36*('Plan mensual'!M57+IF(parametros_manuales!$H$36="Todos",'Plan mensual'!M61,0))+parametros_manuales!$E$36*('Plan mensual'!M58+IF(parametros_manuales!$H$36="Todos",'Plan mensual'!M62,0))+parametros_manuales!$F$36*('Plan mensual'!M59+IF(parametros_manuales!$H$36="Todos",'Plan mensual'!M63,0))+parametros_manuales!$G$36*('Plan mensual'!M60+IF(parametros_manuales!$H$36="Todos",'Plan mensual'!M64,0)))*parametros_manuales!$I$36*parametros_manuales!$J$36</f>
        <v>9357.525</v>
      </c>
      <c r="L159" s="8">
        <f>(parametros_manuales!$D$36*('Plan mensual'!N57+IF(parametros_manuales!$H$36="Todos",'Plan mensual'!N61,0))+parametros_manuales!$E$36*('Plan mensual'!N58+IF(parametros_manuales!$H$36="Todos",'Plan mensual'!N62,0))+parametros_manuales!$F$36*('Plan mensual'!N59+IF(parametros_manuales!$H$36="Todos",'Plan mensual'!N63,0))+parametros_manuales!$G$36*('Plan mensual'!N60+IF(parametros_manuales!$H$36="Todos",'Plan mensual'!N64,0)))*parametros_manuales!$I$36*parametros_manuales!$J$36</f>
        <v>9170.19</v>
      </c>
      <c r="M159" s="8">
        <f>(parametros_manuales!$D$36*('Plan mensual'!O57+IF(parametros_manuales!$H$36="Todos",'Plan mensual'!O61,0))+parametros_manuales!$E$36*('Plan mensual'!O58+IF(parametros_manuales!$H$36="Todos",'Plan mensual'!O62,0))+parametros_manuales!$F$36*('Plan mensual'!O59+IF(parametros_manuales!$H$36="Todos",'Plan mensual'!O63,0))+parametros_manuales!$G$36*('Plan mensual'!O60+IF(parametros_manuales!$H$36="Todos",'Plan mensual'!O64,0)))*parametros_manuales!$I$36*parametros_manuales!$J$36</f>
        <v>14597.37</v>
      </c>
      <c r="N159" s="8">
        <f t="shared" si="16"/>
        <v>124767</v>
      </c>
      <c r="O159" s="8">
        <f t="shared" si="17"/>
        <v>14597.37</v>
      </c>
      <c r="P159" s="27">
        <f>O159/(parametros_manuales!$B$7)</f>
        <v>97.3158</v>
      </c>
      <c r="Q159" s="4" t="str">
        <f t="shared" si="18"/>
        <v>Dic</v>
      </c>
    </row>
    <row r="160" ht="14.25" customHeight="1">
      <c r="A160" s="4" t="str">
        <f>parametros_manuales!$B$37</f>
        <v>Corrección de defectos</v>
      </c>
      <c r="B160" s="8">
        <f>(parametros_manuales!$D$37*('Plan mensual'!D57+IF(parametros_manuales!$H$37="Todos",'Plan mensual'!D61,0))+parametros_manuales!$E$37*('Plan mensual'!D58+IF(parametros_manuales!$H$37="Todos",'Plan mensual'!D62,0))+parametros_manuales!$F$37*('Plan mensual'!D59+IF(parametros_manuales!$H$37="Todos",'Plan mensual'!D63,0))+parametros_manuales!$G$37*('Plan mensual'!D60+IF(parametros_manuales!$H$37="Todos",'Plan mensual'!D64,0)))*parametros_manuales!$I$37*parametros_manuales!$J$37</f>
        <v>711.135</v>
      </c>
      <c r="C160" s="8">
        <f>(parametros_manuales!$D$37*('Plan mensual'!E57+IF(parametros_manuales!$H$37="Todos",'Plan mensual'!E61,0))+parametros_manuales!$E$37*('Plan mensual'!E58+IF(parametros_manuales!$H$37="Todos",'Plan mensual'!E62,0))+parametros_manuales!$F$37*('Plan mensual'!E59+IF(parametros_manuales!$H$37="Todos",'Plan mensual'!E63,0))+parametros_manuales!$G$37*('Plan mensual'!E60+IF(parametros_manuales!$H$37="Todos",'Plan mensual'!E64,0)))*parametros_manuales!$I$37*parametros_manuales!$J$37</f>
        <v>542.718</v>
      </c>
      <c r="D160" s="8">
        <f>(parametros_manuales!$D$37*('Plan mensual'!F57+IF(parametros_manuales!$H$37="Todos",'Plan mensual'!F61,0))+parametros_manuales!$E$37*('Plan mensual'!F58+IF(parametros_manuales!$H$37="Todos",'Plan mensual'!F62,0))+parametros_manuales!$F$37*('Plan mensual'!F59+IF(parametros_manuales!$H$37="Todos",'Plan mensual'!F63,0))+parametros_manuales!$G$37*('Plan mensual'!F60+IF(parametros_manuales!$H$37="Todos",'Plan mensual'!F64,0)))*parametros_manuales!$I$37*parametros_manuales!$J$37</f>
        <v>508.43475</v>
      </c>
      <c r="E160" s="8">
        <f>(parametros_manuales!$D$37*('Plan mensual'!G57+IF(parametros_manuales!$H$37="Todos",'Plan mensual'!G61,0))+parametros_manuales!$E$37*('Plan mensual'!G58+IF(parametros_manuales!$H$37="Todos",'Plan mensual'!G62,0))+parametros_manuales!$F$37*('Plan mensual'!G59+IF(parametros_manuales!$H$37="Todos",'Plan mensual'!G63,0))+parametros_manuales!$G$37*('Plan mensual'!G60+IF(parametros_manuales!$H$37="Todos",'Plan mensual'!G64,0)))*parametros_manuales!$I$37*parametros_manuales!$J$37</f>
        <v>486.60975</v>
      </c>
      <c r="F160" s="8">
        <f>(parametros_manuales!$D$37*('Plan mensual'!H57+IF(parametros_manuales!$H$37="Todos",'Plan mensual'!H61,0))+parametros_manuales!$E$37*('Plan mensual'!H58+IF(parametros_manuales!$H$37="Todos",'Plan mensual'!H62,0))+parametros_manuales!$F$37*('Plan mensual'!H59+IF(parametros_manuales!$H$37="Todos",'Plan mensual'!H63,0))+parametros_manuales!$G$37*('Plan mensual'!H60+IF(parametros_manuales!$H$37="Todos",'Plan mensual'!H64,0)))*parametros_manuales!$I$37*parametros_manuales!$J$37</f>
        <v>455.418</v>
      </c>
      <c r="G160" s="8">
        <f>(parametros_manuales!$D$37*('Plan mensual'!I57+IF(parametros_manuales!$H$37="Todos",'Plan mensual'!I61,0))+parametros_manuales!$E$37*('Plan mensual'!I58+IF(parametros_manuales!$H$37="Todos",'Plan mensual'!I62,0))+parametros_manuales!$F$37*('Plan mensual'!I59+IF(parametros_manuales!$H$37="Todos",'Plan mensual'!I63,0))+parametros_manuales!$G$37*('Plan mensual'!I60+IF(parametros_manuales!$H$37="Todos",'Plan mensual'!I64,0)))*parametros_manuales!$I$37*parametros_manuales!$J$37</f>
        <v>446.05125</v>
      </c>
      <c r="H160" s="8">
        <f>(parametros_manuales!$D$37*('Plan mensual'!J57+IF(parametros_manuales!$H$37="Todos",'Plan mensual'!J61,0))+parametros_manuales!$E$37*('Plan mensual'!J58+IF(parametros_manuales!$H$37="Todos",'Plan mensual'!J62,0))+parametros_manuales!$F$37*('Plan mensual'!J59+IF(parametros_manuales!$H$37="Todos",'Plan mensual'!J63,0))+parametros_manuales!$G$37*('Plan mensual'!J60+IF(parametros_manuales!$H$37="Todos",'Plan mensual'!J64,0)))*parametros_manuales!$I$37*parametros_manuales!$J$37</f>
        <v>477.243</v>
      </c>
      <c r="I160" s="8">
        <f>(parametros_manuales!$D$37*('Plan mensual'!K57+IF(parametros_manuales!$H$37="Todos",'Plan mensual'!K61,0))+parametros_manuales!$E$37*('Plan mensual'!K58+IF(parametros_manuales!$H$37="Todos",'Plan mensual'!K62,0))+parametros_manuales!$F$37*('Plan mensual'!K59+IF(parametros_manuales!$H$37="Todos",'Plan mensual'!K63,0))+parametros_manuales!$G$37*('Plan mensual'!K60+IF(parametros_manuales!$H$37="Todos",'Plan mensual'!K64,0)))*parametros_manuales!$I$37*parametros_manuales!$J$37</f>
        <v>477.243</v>
      </c>
      <c r="J160" s="8">
        <f>(parametros_manuales!$D$37*('Plan mensual'!L57+IF(parametros_manuales!$H$37="Todos",'Plan mensual'!L61,0))+parametros_manuales!$E$37*('Plan mensual'!L58+IF(parametros_manuales!$H$37="Todos",'Plan mensual'!L62,0))+parametros_manuales!$F$37*('Plan mensual'!L59+IF(parametros_manuales!$H$37="Todos",'Plan mensual'!L63,0))+parametros_manuales!$G$37*('Plan mensual'!L60+IF(parametros_manuales!$H$37="Todos",'Plan mensual'!L64,0)))*parametros_manuales!$I$37*parametros_manuales!$J$37</f>
        <v>477.243</v>
      </c>
      <c r="K160" s="8">
        <f>(parametros_manuales!$D$37*('Plan mensual'!M57+IF(parametros_manuales!$H$37="Todos",'Plan mensual'!M61,0))+parametros_manuales!$E$37*('Plan mensual'!M58+IF(parametros_manuales!$H$37="Todos",'Plan mensual'!M62,0))+parametros_manuales!$F$37*('Plan mensual'!M59+IF(parametros_manuales!$H$37="Todos",'Plan mensual'!M63,0))+parametros_manuales!$G$37*('Plan mensual'!M60+IF(parametros_manuales!$H$37="Todos",'Plan mensual'!M64,0)))*parametros_manuales!$I$37*parametros_manuales!$J$37</f>
        <v>467.87625</v>
      </c>
      <c r="L160" s="8">
        <f>(parametros_manuales!$D$37*('Plan mensual'!N57+IF(parametros_manuales!$H$37="Todos",'Plan mensual'!N61,0))+parametros_manuales!$E$37*('Plan mensual'!N58+IF(parametros_manuales!$H$37="Todos",'Plan mensual'!N62,0))+parametros_manuales!$F$37*('Plan mensual'!N59+IF(parametros_manuales!$H$37="Todos",'Plan mensual'!N63,0))+parametros_manuales!$G$37*('Plan mensual'!N60+IF(parametros_manuales!$H$37="Todos",'Plan mensual'!N64,0)))*parametros_manuales!$I$37*parametros_manuales!$J$37</f>
        <v>458.5095</v>
      </c>
      <c r="M160" s="8">
        <f>(parametros_manuales!$D$37*('Plan mensual'!O57+IF(parametros_manuales!$H$37="Todos",'Plan mensual'!O61,0))+parametros_manuales!$E$37*('Plan mensual'!O58+IF(parametros_manuales!$H$37="Todos",'Plan mensual'!O62,0))+parametros_manuales!$F$37*('Plan mensual'!O59+IF(parametros_manuales!$H$37="Todos",'Plan mensual'!O63,0))+parametros_manuales!$G$37*('Plan mensual'!O60+IF(parametros_manuales!$H$37="Todos",'Plan mensual'!O64,0)))*parametros_manuales!$I$37*parametros_manuales!$J$37</f>
        <v>729.8685</v>
      </c>
      <c r="N160" s="8">
        <f t="shared" si="16"/>
        <v>6238.35</v>
      </c>
      <c r="O160" s="8">
        <f t="shared" si="17"/>
        <v>729.8685</v>
      </c>
      <c r="P160" s="27">
        <f>O160/(parametros_manuales!$B$7)</f>
        <v>4.86579</v>
      </c>
      <c r="Q160" s="4" t="str">
        <f t="shared" si="18"/>
        <v>Dic</v>
      </c>
    </row>
    <row r="161" ht="14.25" customHeight="1">
      <c r="A161" s="4" t="str">
        <f>parametros_manuales!$B$38</f>
        <v>Pintura en polvo + horno</v>
      </c>
      <c r="B161" s="8">
        <f>(parametros_manuales!$D$38*('Plan mensual'!D57+IF(parametros_manuales!$H$38="Todos",'Plan mensual'!D61,0))+parametros_manuales!$E$38*('Plan mensual'!D58+IF(parametros_manuales!$H$38="Todos",'Plan mensual'!D62,0))+parametros_manuales!$F$38*('Plan mensual'!D59+IF(parametros_manuales!$H$38="Todos",'Plan mensual'!D63,0))+parametros_manuales!$G$38*('Plan mensual'!D60+IF(parametros_manuales!$H$38="Todos",'Plan mensual'!D64,0)))*parametros_manuales!$I$38*parametros_manuales!$J$38</f>
        <v>14222.7</v>
      </c>
      <c r="C161" s="8">
        <f>(parametros_manuales!$D$38*('Plan mensual'!E57+IF(parametros_manuales!$H$38="Todos",'Plan mensual'!E61,0))+parametros_manuales!$E$38*('Plan mensual'!E58+IF(parametros_manuales!$H$38="Todos",'Plan mensual'!E62,0))+parametros_manuales!$F$38*('Plan mensual'!E59+IF(parametros_manuales!$H$38="Todos",'Plan mensual'!E63,0))+parametros_manuales!$G$38*('Plan mensual'!E60+IF(parametros_manuales!$H$38="Todos",'Plan mensual'!E64,0)))*parametros_manuales!$I$38*parametros_manuales!$J$38</f>
        <v>10854.36</v>
      </c>
      <c r="D161" s="8">
        <f>(parametros_manuales!$D$38*('Plan mensual'!F57+IF(parametros_manuales!$H$38="Todos",'Plan mensual'!F61,0))+parametros_manuales!$E$38*('Plan mensual'!F58+IF(parametros_manuales!$H$38="Todos",'Plan mensual'!F62,0))+parametros_manuales!$F$38*('Plan mensual'!F59+IF(parametros_manuales!$H$38="Todos",'Plan mensual'!F63,0))+parametros_manuales!$G$38*('Plan mensual'!F60+IF(parametros_manuales!$H$38="Todos",'Plan mensual'!F64,0)))*parametros_manuales!$I$38*parametros_manuales!$J$38</f>
        <v>10168.695</v>
      </c>
      <c r="E161" s="8">
        <f>(parametros_manuales!$D$38*('Plan mensual'!G57+IF(parametros_manuales!$H$38="Todos",'Plan mensual'!G61,0))+parametros_manuales!$E$38*('Plan mensual'!G58+IF(parametros_manuales!$H$38="Todos",'Plan mensual'!G62,0))+parametros_manuales!$F$38*('Plan mensual'!G59+IF(parametros_manuales!$H$38="Todos",'Plan mensual'!G63,0))+parametros_manuales!$G$38*('Plan mensual'!G60+IF(parametros_manuales!$H$38="Todos",'Plan mensual'!G64,0)))*parametros_manuales!$I$38*parametros_manuales!$J$38</f>
        <v>9732.195</v>
      </c>
      <c r="F161" s="8">
        <f>(parametros_manuales!$D$38*('Plan mensual'!H57+IF(parametros_manuales!$H$38="Todos",'Plan mensual'!H61,0))+parametros_manuales!$E$38*('Plan mensual'!H58+IF(parametros_manuales!$H$38="Todos",'Plan mensual'!H62,0))+parametros_manuales!$F$38*('Plan mensual'!H59+IF(parametros_manuales!$H$38="Todos",'Plan mensual'!H63,0))+parametros_manuales!$G$38*('Plan mensual'!H60+IF(parametros_manuales!$H$38="Todos",'Plan mensual'!H64,0)))*parametros_manuales!$I$38*parametros_manuales!$J$38</f>
        <v>9108.36</v>
      </c>
      <c r="G161" s="8">
        <f>(parametros_manuales!$D$38*('Plan mensual'!I57+IF(parametros_manuales!$H$38="Todos",'Plan mensual'!I61,0))+parametros_manuales!$E$38*('Plan mensual'!I58+IF(parametros_manuales!$H$38="Todos",'Plan mensual'!I62,0))+parametros_manuales!$F$38*('Plan mensual'!I59+IF(parametros_manuales!$H$38="Todos",'Plan mensual'!I63,0))+parametros_manuales!$G$38*('Plan mensual'!I60+IF(parametros_manuales!$H$38="Todos",'Plan mensual'!I64,0)))*parametros_manuales!$I$38*parametros_manuales!$J$38</f>
        <v>8921.025</v>
      </c>
      <c r="H161" s="8">
        <f>(parametros_manuales!$D$38*('Plan mensual'!J57+IF(parametros_manuales!$H$38="Todos",'Plan mensual'!J61,0))+parametros_manuales!$E$38*('Plan mensual'!J58+IF(parametros_manuales!$H$38="Todos",'Plan mensual'!J62,0))+parametros_manuales!$F$38*('Plan mensual'!J59+IF(parametros_manuales!$H$38="Todos",'Plan mensual'!J63,0))+parametros_manuales!$G$38*('Plan mensual'!J60+IF(parametros_manuales!$H$38="Todos",'Plan mensual'!J64,0)))*parametros_manuales!$I$38*parametros_manuales!$J$38</f>
        <v>9544.86</v>
      </c>
      <c r="I161" s="8">
        <f>(parametros_manuales!$D$38*('Plan mensual'!K57+IF(parametros_manuales!$H$38="Todos",'Plan mensual'!K61,0))+parametros_manuales!$E$38*('Plan mensual'!K58+IF(parametros_manuales!$H$38="Todos",'Plan mensual'!K62,0))+parametros_manuales!$F$38*('Plan mensual'!K59+IF(parametros_manuales!$H$38="Todos",'Plan mensual'!K63,0))+parametros_manuales!$G$38*('Plan mensual'!K60+IF(parametros_manuales!$H$38="Todos",'Plan mensual'!K64,0)))*parametros_manuales!$I$38*parametros_manuales!$J$38</f>
        <v>9544.86</v>
      </c>
      <c r="J161" s="8">
        <f>(parametros_manuales!$D$38*('Plan mensual'!L57+IF(parametros_manuales!$H$38="Todos",'Plan mensual'!L61,0))+parametros_manuales!$E$38*('Plan mensual'!L58+IF(parametros_manuales!$H$38="Todos",'Plan mensual'!L62,0))+parametros_manuales!$F$38*('Plan mensual'!L59+IF(parametros_manuales!$H$38="Todos",'Plan mensual'!L63,0))+parametros_manuales!$G$38*('Plan mensual'!L60+IF(parametros_manuales!$H$38="Todos",'Plan mensual'!L64,0)))*parametros_manuales!$I$38*parametros_manuales!$J$38</f>
        <v>9544.86</v>
      </c>
      <c r="K161" s="8">
        <f>(parametros_manuales!$D$38*('Plan mensual'!M57+IF(parametros_manuales!$H$38="Todos",'Plan mensual'!M61,0))+parametros_manuales!$E$38*('Plan mensual'!M58+IF(parametros_manuales!$H$38="Todos",'Plan mensual'!M62,0))+parametros_manuales!$F$38*('Plan mensual'!M59+IF(parametros_manuales!$H$38="Todos",'Plan mensual'!M63,0))+parametros_manuales!$G$38*('Plan mensual'!M60+IF(parametros_manuales!$H$38="Todos",'Plan mensual'!M64,0)))*parametros_manuales!$I$38*parametros_manuales!$J$38</f>
        <v>9357.525</v>
      </c>
      <c r="L161" s="8">
        <f>(parametros_manuales!$D$38*('Plan mensual'!N57+IF(parametros_manuales!$H$38="Todos",'Plan mensual'!N61,0))+parametros_manuales!$E$38*('Plan mensual'!N58+IF(parametros_manuales!$H$38="Todos",'Plan mensual'!N62,0))+parametros_manuales!$F$38*('Plan mensual'!N59+IF(parametros_manuales!$H$38="Todos",'Plan mensual'!N63,0))+parametros_manuales!$G$38*('Plan mensual'!N60+IF(parametros_manuales!$H$38="Todos",'Plan mensual'!N64,0)))*parametros_manuales!$I$38*parametros_manuales!$J$38</f>
        <v>9170.19</v>
      </c>
      <c r="M161" s="8">
        <f>(parametros_manuales!$D$38*('Plan mensual'!O57+IF(parametros_manuales!$H$38="Todos",'Plan mensual'!O61,0))+parametros_manuales!$E$38*('Plan mensual'!O58+IF(parametros_manuales!$H$38="Todos",'Plan mensual'!O62,0))+parametros_manuales!$F$38*('Plan mensual'!O59+IF(parametros_manuales!$H$38="Todos",'Plan mensual'!O63,0))+parametros_manuales!$G$38*('Plan mensual'!O60+IF(parametros_manuales!$H$38="Todos",'Plan mensual'!O64,0)))*parametros_manuales!$I$38*parametros_manuales!$J$38</f>
        <v>14597.37</v>
      </c>
      <c r="N161" s="8">
        <f t="shared" si="16"/>
        <v>124767</v>
      </c>
      <c r="O161" s="8">
        <f t="shared" si="17"/>
        <v>14597.37</v>
      </c>
      <c r="P161" s="27">
        <f>O161/(parametros_manuales!$B$7)</f>
        <v>97.3158</v>
      </c>
      <c r="Q161" s="4" t="str">
        <f t="shared" si="18"/>
        <v>Dic</v>
      </c>
    </row>
    <row r="162" ht="14.25" customHeight="1">
      <c r="A162" s="4" t="str">
        <f>parametros_manuales!$B$39</f>
        <v>Carga de polvo</v>
      </c>
      <c r="B162" s="8">
        <f>(parametros_manuales!$D$39*('Plan mensual'!D57+IF(parametros_manuales!$H$39="Todos",'Plan mensual'!D61,0))+parametros_manuales!$E$39*('Plan mensual'!D58+IF(parametros_manuales!$H$39="Todos",'Plan mensual'!D62,0))+parametros_manuales!$F$39*('Plan mensual'!D59+IF(parametros_manuales!$H$39="Todos",'Plan mensual'!D63,0))+parametros_manuales!$G$39*('Plan mensual'!D60+IF(parametros_manuales!$H$39="Todos",'Plan mensual'!D64,0)))*parametros_manuales!$I$39*parametros_manuales!$J$39</f>
        <v>3792.5</v>
      </c>
      <c r="C162" s="8">
        <f>(parametros_manuales!$D$39*('Plan mensual'!E57+IF(parametros_manuales!$H$39="Todos",'Plan mensual'!E61,0))+parametros_manuales!$E$39*('Plan mensual'!E58+IF(parametros_manuales!$H$39="Todos",'Plan mensual'!E62,0))+parametros_manuales!$F$39*('Plan mensual'!E59+IF(parametros_manuales!$H$39="Todos",'Plan mensual'!E63,0))+parametros_manuales!$G$39*('Plan mensual'!E60+IF(parametros_manuales!$H$39="Todos",'Plan mensual'!E64,0)))*parametros_manuales!$I$39*parametros_manuales!$J$39</f>
        <v>2940.28</v>
      </c>
      <c r="D162" s="8">
        <f>(parametros_manuales!$D$39*('Plan mensual'!F57+IF(parametros_manuales!$H$39="Todos",'Plan mensual'!F61,0))+parametros_manuales!$E$39*('Plan mensual'!F58+IF(parametros_manuales!$H$39="Todos",'Plan mensual'!F62,0))+parametros_manuales!$F$39*('Plan mensual'!F59+IF(parametros_manuales!$H$39="Todos",'Plan mensual'!F63,0))+parametros_manuales!$G$39*('Plan mensual'!F60+IF(parametros_manuales!$H$39="Todos",'Plan mensual'!F64,0)))*parametros_manuales!$I$39*parametros_manuales!$J$39</f>
        <v>2879.985</v>
      </c>
      <c r="E162" s="8">
        <f>(parametros_manuales!$D$39*('Plan mensual'!G57+IF(parametros_manuales!$H$39="Todos",'Plan mensual'!G61,0))+parametros_manuales!$E$39*('Plan mensual'!G58+IF(parametros_manuales!$H$39="Todos",'Plan mensual'!G62,0))+parametros_manuales!$F$39*('Plan mensual'!G59+IF(parametros_manuales!$H$39="Todos",'Plan mensual'!G63,0))+parametros_manuales!$G$39*('Plan mensual'!G60+IF(parametros_manuales!$H$39="Todos",'Plan mensual'!G64,0)))*parametros_manuales!$I$39*parametros_manuales!$J$39</f>
        <v>2801.885</v>
      </c>
      <c r="F162" s="8">
        <f>(parametros_manuales!$D$39*('Plan mensual'!H57+IF(parametros_manuales!$H$39="Todos",'Plan mensual'!H61,0))+parametros_manuales!$E$39*('Plan mensual'!H58+IF(parametros_manuales!$H$39="Todos",'Plan mensual'!H62,0))+parametros_manuales!$F$39*('Plan mensual'!H59+IF(parametros_manuales!$H$39="Todos",'Plan mensual'!H63,0))+parametros_manuales!$G$39*('Plan mensual'!H60+IF(parametros_manuales!$H$39="Todos",'Plan mensual'!H64,0)))*parametros_manuales!$I$39*parametros_manuales!$J$39</f>
        <v>2627.88</v>
      </c>
      <c r="G162" s="8">
        <f>(parametros_manuales!$D$39*('Plan mensual'!I57+IF(parametros_manuales!$H$39="Todos",'Plan mensual'!I61,0))+parametros_manuales!$E$39*('Plan mensual'!I58+IF(parametros_manuales!$H$39="Todos",'Plan mensual'!I62,0))+parametros_manuales!$F$39*('Plan mensual'!I59+IF(parametros_manuales!$H$39="Todos",'Plan mensual'!I63,0))+parametros_manuales!$G$39*('Plan mensual'!I60+IF(parametros_manuales!$H$39="Todos",'Plan mensual'!I64,0)))*parametros_manuales!$I$39*parametros_manuales!$J$39</f>
        <v>2531.975</v>
      </c>
      <c r="H162" s="8">
        <f>(parametros_manuales!$D$39*('Plan mensual'!J57+IF(parametros_manuales!$H$39="Todos",'Plan mensual'!J61,0))+parametros_manuales!$E$39*('Plan mensual'!J58+IF(parametros_manuales!$H$39="Todos",'Plan mensual'!J62,0))+parametros_manuales!$F$39*('Plan mensual'!J59+IF(parametros_manuales!$H$39="Todos",'Plan mensual'!J63,0))+parametros_manuales!$G$39*('Plan mensual'!J60+IF(parametros_manuales!$H$39="Todos",'Plan mensual'!J64,0)))*parametros_manuales!$I$39*parametros_manuales!$J$39</f>
        <v>2705.98</v>
      </c>
      <c r="I162" s="8">
        <f>(parametros_manuales!$D$39*('Plan mensual'!K57+IF(parametros_manuales!$H$39="Todos",'Plan mensual'!K61,0))+parametros_manuales!$E$39*('Plan mensual'!K58+IF(parametros_manuales!$H$39="Todos",'Plan mensual'!K62,0))+parametros_manuales!$F$39*('Plan mensual'!K59+IF(parametros_manuales!$H$39="Todos",'Plan mensual'!K63,0))+parametros_manuales!$G$39*('Plan mensual'!K60+IF(parametros_manuales!$H$39="Todos",'Plan mensual'!K64,0)))*parametros_manuales!$I$39*parametros_manuales!$J$39</f>
        <v>2705.98</v>
      </c>
      <c r="J162" s="8">
        <f>(parametros_manuales!$D$39*('Plan mensual'!L57+IF(parametros_manuales!$H$39="Todos",'Plan mensual'!L61,0))+parametros_manuales!$E$39*('Plan mensual'!L58+IF(parametros_manuales!$H$39="Todos",'Plan mensual'!L62,0))+parametros_manuales!$F$39*('Plan mensual'!L59+IF(parametros_manuales!$H$39="Todos",'Plan mensual'!L63,0))+parametros_manuales!$G$39*('Plan mensual'!L60+IF(parametros_manuales!$H$39="Todos",'Plan mensual'!L64,0)))*parametros_manuales!$I$39*parametros_manuales!$J$39</f>
        <v>2705.98</v>
      </c>
      <c r="K162" s="8">
        <f>(parametros_manuales!$D$39*('Plan mensual'!M57+IF(parametros_manuales!$H$39="Todos",'Plan mensual'!M61,0))+parametros_manuales!$E$39*('Plan mensual'!M58+IF(parametros_manuales!$H$39="Todos",'Plan mensual'!M62,0))+parametros_manuales!$F$39*('Plan mensual'!M59+IF(parametros_manuales!$H$39="Todos",'Plan mensual'!M63,0))+parametros_manuales!$G$39*('Plan mensual'!M60+IF(parametros_manuales!$H$39="Todos",'Plan mensual'!M64,0)))*parametros_manuales!$I$39*parametros_manuales!$J$39</f>
        <v>2610.075</v>
      </c>
      <c r="L162" s="8">
        <f>(parametros_manuales!$D$39*('Plan mensual'!N57+IF(parametros_manuales!$H$39="Todos",'Plan mensual'!N61,0))+parametros_manuales!$E$39*('Plan mensual'!N58+IF(parametros_manuales!$H$39="Todos",'Plan mensual'!N62,0))+parametros_manuales!$F$39*('Plan mensual'!N59+IF(parametros_manuales!$H$39="Todos",'Plan mensual'!N63,0))+parametros_manuales!$G$39*('Plan mensual'!N60+IF(parametros_manuales!$H$39="Todos",'Plan mensual'!N64,0)))*parametros_manuales!$I$39*parametros_manuales!$J$39</f>
        <v>2514.17</v>
      </c>
      <c r="M162" s="8">
        <f>(parametros_manuales!$D$39*('Plan mensual'!O57+IF(parametros_manuales!$H$39="Todos",'Plan mensual'!O61,0))+parametros_manuales!$E$39*('Plan mensual'!O58+IF(parametros_manuales!$H$39="Todos",'Plan mensual'!O62,0))+parametros_manuales!$F$39*('Plan mensual'!O59+IF(parametros_manuales!$H$39="Todos",'Plan mensual'!O63,0))+parametros_manuales!$G$39*('Plan mensual'!O60+IF(parametros_manuales!$H$39="Todos",'Plan mensual'!O64,0)))*parametros_manuales!$I$39*parametros_manuales!$J$39</f>
        <v>3984.31</v>
      </c>
      <c r="N162" s="8">
        <f t="shared" si="16"/>
        <v>34801</v>
      </c>
      <c r="O162" s="8">
        <f t="shared" si="17"/>
        <v>3984.31</v>
      </c>
      <c r="P162" s="27">
        <f>O162/(parametros_manuales!$B$7)</f>
        <v>26.56206667</v>
      </c>
      <c r="Q162" s="4" t="str">
        <f t="shared" si="18"/>
        <v>Dic</v>
      </c>
    </row>
    <row r="163" ht="14.25" customHeight="1">
      <c r="A163" s="4" t="str">
        <f>parametros_manuales!$B$40</f>
        <v>Ensamblaje</v>
      </c>
      <c r="B163" s="8">
        <f>(parametros_manuales!$D$40*('Plan mensual'!D57+IF(parametros_manuales!$H$40="Todos",'Plan mensual'!D61,0))+parametros_manuales!$E$40*('Plan mensual'!D58+IF(parametros_manuales!$H$40="Todos",'Plan mensual'!D62,0))+parametros_manuales!$F$40*('Plan mensual'!D59+IF(parametros_manuales!$H$40="Todos",'Plan mensual'!D63,0))+parametros_manuales!$G$40*('Plan mensual'!D60+IF(parametros_manuales!$H$40="Todos",'Plan mensual'!D64,0)))*parametros_manuales!$I$40*parametros_manuales!$J$40</f>
        <v>3792.5</v>
      </c>
      <c r="C163" s="8">
        <f>(parametros_manuales!$D$40*('Plan mensual'!E57+IF(parametros_manuales!$H$40="Todos",'Plan mensual'!E61,0))+parametros_manuales!$E$40*('Plan mensual'!E58+IF(parametros_manuales!$H$40="Todos",'Plan mensual'!E62,0))+parametros_manuales!$F$40*('Plan mensual'!E59+IF(parametros_manuales!$H$40="Todos",'Plan mensual'!E63,0))+parametros_manuales!$G$40*('Plan mensual'!E60+IF(parametros_manuales!$H$40="Todos",'Plan mensual'!E64,0)))*parametros_manuales!$I$40*parametros_manuales!$J$40</f>
        <v>2940.28</v>
      </c>
      <c r="D163" s="8">
        <f>(parametros_manuales!$D$40*('Plan mensual'!F57+IF(parametros_manuales!$H$40="Todos",'Plan mensual'!F61,0))+parametros_manuales!$E$40*('Plan mensual'!F58+IF(parametros_manuales!$H$40="Todos",'Plan mensual'!F62,0))+parametros_manuales!$F$40*('Plan mensual'!F59+IF(parametros_manuales!$H$40="Todos",'Plan mensual'!F63,0))+parametros_manuales!$G$40*('Plan mensual'!F60+IF(parametros_manuales!$H$40="Todos",'Plan mensual'!F64,0)))*parametros_manuales!$I$40*parametros_manuales!$J$40</f>
        <v>2879.985</v>
      </c>
      <c r="E163" s="8">
        <f>(parametros_manuales!$D$40*('Plan mensual'!G57+IF(parametros_manuales!$H$40="Todos",'Plan mensual'!G61,0))+parametros_manuales!$E$40*('Plan mensual'!G58+IF(parametros_manuales!$H$40="Todos",'Plan mensual'!G62,0))+parametros_manuales!$F$40*('Plan mensual'!G59+IF(parametros_manuales!$H$40="Todos",'Plan mensual'!G63,0))+parametros_manuales!$G$40*('Plan mensual'!G60+IF(parametros_manuales!$H$40="Todos",'Plan mensual'!G64,0)))*parametros_manuales!$I$40*parametros_manuales!$J$40</f>
        <v>2801.885</v>
      </c>
      <c r="F163" s="8">
        <f>(parametros_manuales!$D$40*('Plan mensual'!H57+IF(parametros_manuales!$H$40="Todos",'Plan mensual'!H61,0))+parametros_manuales!$E$40*('Plan mensual'!H58+IF(parametros_manuales!$H$40="Todos",'Plan mensual'!H62,0))+parametros_manuales!$F$40*('Plan mensual'!H59+IF(parametros_manuales!$H$40="Todos",'Plan mensual'!H63,0))+parametros_manuales!$G$40*('Plan mensual'!H60+IF(parametros_manuales!$H$40="Todos",'Plan mensual'!H64,0)))*parametros_manuales!$I$40*parametros_manuales!$J$40</f>
        <v>2627.88</v>
      </c>
      <c r="G163" s="8">
        <f>(parametros_manuales!$D$40*('Plan mensual'!I57+IF(parametros_manuales!$H$40="Todos",'Plan mensual'!I61,0))+parametros_manuales!$E$40*('Plan mensual'!I58+IF(parametros_manuales!$H$40="Todos",'Plan mensual'!I62,0))+parametros_manuales!$F$40*('Plan mensual'!I59+IF(parametros_manuales!$H$40="Todos",'Plan mensual'!I63,0))+parametros_manuales!$G$40*('Plan mensual'!I60+IF(parametros_manuales!$H$40="Todos",'Plan mensual'!I64,0)))*parametros_manuales!$I$40*parametros_manuales!$J$40</f>
        <v>2531.975</v>
      </c>
      <c r="H163" s="8">
        <f>(parametros_manuales!$D$40*('Plan mensual'!J57+IF(parametros_manuales!$H$40="Todos",'Plan mensual'!J61,0))+parametros_manuales!$E$40*('Plan mensual'!J58+IF(parametros_manuales!$H$40="Todos",'Plan mensual'!J62,0))+parametros_manuales!$F$40*('Plan mensual'!J59+IF(parametros_manuales!$H$40="Todos",'Plan mensual'!J63,0))+parametros_manuales!$G$40*('Plan mensual'!J60+IF(parametros_manuales!$H$40="Todos",'Plan mensual'!J64,0)))*parametros_manuales!$I$40*parametros_manuales!$J$40</f>
        <v>2705.98</v>
      </c>
      <c r="I163" s="8">
        <f>(parametros_manuales!$D$40*('Plan mensual'!K57+IF(parametros_manuales!$H$40="Todos",'Plan mensual'!K61,0))+parametros_manuales!$E$40*('Plan mensual'!K58+IF(parametros_manuales!$H$40="Todos",'Plan mensual'!K62,0))+parametros_manuales!$F$40*('Plan mensual'!K59+IF(parametros_manuales!$H$40="Todos",'Plan mensual'!K63,0))+parametros_manuales!$G$40*('Plan mensual'!K60+IF(parametros_manuales!$H$40="Todos",'Plan mensual'!K64,0)))*parametros_manuales!$I$40*parametros_manuales!$J$40</f>
        <v>2705.98</v>
      </c>
      <c r="J163" s="8">
        <f>(parametros_manuales!$D$40*('Plan mensual'!L57+IF(parametros_manuales!$H$40="Todos",'Plan mensual'!L61,0))+parametros_manuales!$E$40*('Plan mensual'!L58+IF(parametros_manuales!$H$40="Todos",'Plan mensual'!L62,0))+parametros_manuales!$F$40*('Plan mensual'!L59+IF(parametros_manuales!$H$40="Todos",'Plan mensual'!L63,0))+parametros_manuales!$G$40*('Plan mensual'!L60+IF(parametros_manuales!$H$40="Todos",'Plan mensual'!L64,0)))*parametros_manuales!$I$40*parametros_manuales!$J$40</f>
        <v>2705.98</v>
      </c>
      <c r="K163" s="8">
        <f>(parametros_manuales!$D$40*('Plan mensual'!M57+IF(parametros_manuales!$H$40="Todos",'Plan mensual'!M61,0))+parametros_manuales!$E$40*('Plan mensual'!M58+IF(parametros_manuales!$H$40="Todos",'Plan mensual'!M62,0))+parametros_manuales!$F$40*('Plan mensual'!M59+IF(parametros_manuales!$H$40="Todos",'Plan mensual'!M63,0))+parametros_manuales!$G$40*('Plan mensual'!M60+IF(parametros_manuales!$H$40="Todos",'Plan mensual'!M64,0)))*parametros_manuales!$I$40*parametros_manuales!$J$40</f>
        <v>2610.075</v>
      </c>
      <c r="L163" s="8">
        <f>(parametros_manuales!$D$40*('Plan mensual'!N57+IF(parametros_manuales!$H$40="Todos",'Plan mensual'!N61,0))+parametros_manuales!$E$40*('Plan mensual'!N58+IF(parametros_manuales!$H$40="Todos",'Plan mensual'!N62,0))+parametros_manuales!$F$40*('Plan mensual'!N59+IF(parametros_manuales!$H$40="Todos",'Plan mensual'!N63,0))+parametros_manuales!$G$40*('Plan mensual'!N60+IF(parametros_manuales!$H$40="Todos",'Plan mensual'!N64,0)))*parametros_manuales!$I$40*parametros_manuales!$J$40</f>
        <v>2514.17</v>
      </c>
      <c r="M163" s="8">
        <f>(parametros_manuales!$D$40*('Plan mensual'!O57+IF(parametros_manuales!$H$40="Todos",'Plan mensual'!O61,0))+parametros_manuales!$E$40*('Plan mensual'!O58+IF(parametros_manuales!$H$40="Todos",'Plan mensual'!O62,0))+parametros_manuales!$F$40*('Plan mensual'!O59+IF(parametros_manuales!$H$40="Todos",'Plan mensual'!O63,0))+parametros_manuales!$G$40*('Plan mensual'!O60+IF(parametros_manuales!$H$40="Todos",'Plan mensual'!O64,0)))*parametros_manuales!$I$40*parametros_manuales!$J$40</f>
        <v>3984.31</v>
      </c>
      <c r="N163" s="8">
        <f t="shared" si="16"/>
        <v>34801</v>
      </c>
      <c r="O163" s="8">
        <f t="shared" si="17"/>
        <v>3984.31</v>
      </c>
      <c r="P163" s="27">
        <f>O163/(parametros_manuales!$B$7)</f>
        <v>26.56206667</v>
      </c>
      <c r="Q163" s="4" t="str">
        <f t="shared" si="18"/>
        <v>Dic</v>
      </c>
    </row>
    <row r="164" ht="14.25" customHeight="1">
      <c r="A164" s="4" t="str">
        <f>parametros_manuales!$B$41</f>
        <v>Presurización</v>
      </c>
      <c r="B164" s="8">
        <f>(parametros_manuales!$D$41*('Plan mensual'!D57+IF(parametros_manuales!$H$41="Todos",'Plan mensual'!D61,0))+parametros_manuales!$E$41*('Plan mensual'!D58+IF(parametros_manuales!$H$41="Todos",'Plan mensual'!D62,0))+parametros_manuales!$F$41*('Plan mensual'!D59+IF(parametros_manuales!$H$41="Todos",'Plan mensual'!D63,0))+parametros_manuales!$G$41*('Plan mensual'!D60+IF(parametros_manuales!$H$41="Todos",'Plan mensual'!D64,0)))*parametros_manuales!$I$41*parametros_manuales!$J$41</f>
        <v>3792.5</v>
      </c>
      <c r="C164" s="8">
        <f>(parametros_manuales!$D$41*('Plan mensual'!E57+IF(parametros_manuales!$H$41="Todos",'Plan mensual'!E61,0))+parametros_manuales!$E$41*('Plan mensual'!E58+IF(parametros_manuales!$H$41="Todos",'Plan mensual'!E62,0))+parametros_manuales!$F$41*('Plan mensual'!E59+IF(parametros_manuales!$H$41="Todos",'Plan mensual'!E63,0))+parametros_manuales!$G$41*('Plan mensual'!E60+IF(parametros_manuales!$H$41="Todos",'Plan mensual'!E64,0)))*parametros_manuales!$I$41*parametros_manuales!$J$41</f>
        <v>2940.28</v>
      </c>
      <c r="D164" s="8">
        <f>(parametros_manuales!$D$41*('Plan mensual'!F57+IF(parametros_manuales!$H$41="Todos",'Plan mensual'!F61,0))+parametros_manuales!$E$41*('Plan mensual'!F58+IF(parametros_manuales!$H$41="Todos",'Plan mensual'!F62,0))+parametros_manuales!$F$41*('Plan mensual'!F59+IF(parametros_manuales!$H$41="Todos",'Plan mensual'!F63,0))+parametros_manuales!$G$41*('Plan mensual'!F60+IF(parametros_manuales!$H$41="Todos",'Plan mensual'!F64,0)))*parametros_manuales!$I$41*parametros_manuales!$J$41</f>
        <v>2879.985</v>
      </c>
      <c r="E164" s="8">
        <f>(parametros_manuales!$D$41*('Plan mensual'!G57+IF(parametros_manuales!$H$41="Todos",'Plan mensual'!G61,0))+parametros_manuales!$E$41*('Plan mensual'!G58+IF(parametros_manuales!$H$41="Todos",'Plan mensual'!G62,0))+parametros_manuales!$F$41*('Plan mensual'!G59+IF(parametros_manuales!$H$41="Todos",'Plan mensual'!G63,0))+parametros_manuales!$G$41*('Plan mensual'!G60+IF(parametros_manuales!$H$41="Todos",'Plan mensual'!G64,0)))*parametros_manuales!$I$41*parametros_manuales!$J$41</f>
        <v>2801.885</v>
      </c>
      <c r="F164" s="8">
        <f>(parametros_manuales!$D$41*('Plan mensual'!H57+IF(parametros_manuales!$H$41="Todos",'Plan mensual'!H61,0))+parametros_manuales!$E$41*('Plan mensual'!H58+IF(parametros_manuales!$H$41="Todos",'Plan mensual'!H62,0))+parametros_manuales!$F$41*('Plan mensual'!H59+IF(parametros_manuales!$H$41="Todos",'Plan mensual'!H63,0))+parametros_manuales!$G$41*('Plan mensual'!H60+IF(parametros_manuales!$H$41="Todos",'Plan mensual'!H64,0)))*parametros_manuales!$I$41*parametros_manuales!$J$41</f>
        <v>2627.88</v>
      </c>
      <c r="G164" s="8">
        <f>(parametros_manuales!$D$41*('Plan mensual'!I57+IF(parametros_manuales!$H$41="Todos",'Plan mensual'!I61,0))+parametros_manuales!$E$41*('Plan mensual'!I58+IF(parametros_manuales!$H$41="Todos",'Plan mensual'!I62,0))+parametros_manuales!$F$41*('Plan mensual'!I59+IF(parametros_manuales!$H$41="Todos",'Plan mensual'!I63,0))+parametros_manuales!$G$41*('Plan mensual'!I60+IF(parametros_manuales!$H$41="Todos",'Plan mensual'!I64,0)))*parametros_manuales!$I$41*parametros_manuales!$J$41</f>
        <v>2531.975</v>
      </c>
      <c r="H164" s="8">
        <f>(parametros_manuales!$D$41*('Plan mensual'!J57+IF(parametros_manuales!$H$41="Todos",'Plan mensual'!J61,0))+parametros_manuales!$E$41*('Plan mensual'!J58+IF(parametros_manuales!$H$41="Todos",'Plan mensual'!J62,0))+parametros_manuales!$F$41*('Plan mensual'!J59+IF(parametros_manuales!$H$41="Todos",'Plan mensual'!J63,0))+parametros_manuales!$G$41*('Plan mensual'!J60+IF(parametros_manuales!$H$41="Todos",'Plan mensual'!J64,0)))*parametros_manuales!$I$41*parametros_manuales!$J$41</f>
        <v>2705.98</v>
      </c>
      <c r="I164" s="8">
        <f>(parametros_manuales!$D$41*('Plan mensual'!K57+IF(parametros_manuales!$H$41="Todos",'Plan mensual'!K61,0))+parametros_manuales!$E$41*('Plan mensual'!K58+IF(parametros_manuales!$H$41="Todos",'Plan mensual'!K62,0))+parametros_manuales!$F$41*('Plan mensual'!K59+IF(parametros_manuales!$H$41="Todos",'Plan mensual'!K63,0))+parametros_manuales!$G$41*('Plan mensual'!K60+IF(parametros_manuales!$H$41="Todos",'Plan mensual'!K64,0)))*parametros_manuales!$I$41*parametros_manuales!$J$41</f>
        <v>2705.98</v>
      </c>
      <c r="J164" s="8">
        <f>(parametros_manuales!$D$41*('Plan mensual'!L57+IF(parametros_manuales!$H$41="Todos",'Plan mensual'!L61,0))+parametros_manuales!$E$41*('Plan mensual'!L58+IF(parametros_manuales!$H$41="Todos",'Plan mensual'!L62,0))+parametros_manuales!$F$41*('Plan mensual'!L59+IF(parametros_manuales!$H$41="Todos",'Plan mensual'!L63,0))+parametros_manuales!$G$41*('Plan mensual'!L60+IF(parametros_manuales!$H$41="Todos",'Plan mensual'!L64,0)))*parametros_manuales!$I$41*parametros_manuales!$J$41</f>
        <v>2705.98</v>
      </c>
      <c r="K164" s="8">
        <f>(parametros_manuales!$D$41*('Plan mensual'!M57+IF(parametros_manuales!$H$41="Todos",'Plan mensual'!M61,0))+parametros_manuales!$E$41*('Plan mensual'!M58+IF(parametros_manuales!$H$41="Todos",'Plan mensual'!M62,0))+parametros_manuales!$F$41*('Plan mensual'!M59+IF(parametros_manuales!$H$41="Todos",'Plan mensual'!M63,0))+parametros_manuales!$G$41*('Plan mensual'!M60+IF(parametros_manuales!$H$41="Todos",'Plan mensual'!M64,0)))*parametros_manuales!$I$41*parametros_manuales!$J$41</f>
        <v>2610.075</v>
      </c>
      <c r="L164" s="8">
        <f>(parametros_manuales!$D$41*('Plan mensual'!N57+IF(parametros_manuales!$H$41="Todos",'Plan mensual'!N61,0))+parametros_manuales!$E$41*('Plan mensual'!N58+IF(parametros_manuales!$H$41="Todos",'Plan mensual'!N62,0))+parametros_manuales!$F$41*('Plan mensual'!N59+IF(parametros_manuales!$H$41="Todos",'Plan mensual'!N63,0))+parametros_manuales!$G$41*('Plan mensual'!N60+IF(parametros_manuales!$H$41="Todos",'Plan mensual'!N64,0)))*parametros_manuales!$I$41*parametros_manuales!$J$41</f>
        <v>2514.17</v>
      </c>
      <c r="M164" s="8">
        <f>(parametros_manuales!$D$41*('Plan mensual'!O57+IF(parametros_manuales!$H$41="Todos",'Plan mensual'!O61,0))+parametros_manuales!$E$41*('Plan mensual'!O58+IF(parametros_manuales!$H$41="Todos",'Plan mensual'!O62,0))+parametros_manuales!$F$41*('Plan mensual'!O59+IF(parametros_manuales!$H$41="Todos",'Plan mensual'!O63,0))+parametros_manuales!$G$41*('Plan mensual'!O60+IF(parametros_manuales!$H$41="Todos",'Plan mensual'!O64,0)))*parametros_manuales!$I$41*parametros_manuales!$J$41</f>
        <v>3984.31</v>
      </c>
      <c r="N164" s="8">
        <f t="shared" si="16"/>
        <v>34801</v>
      </c>
      <c r="O164" s="8">
        <f t="shared" si="17"/>
        <v>3984.31</v>
      </c>
      <c r="P164" s="27">
        <f>O164/(parametros_manuales!$B$7)</f>
        <v>26.56206667</v>
      </c>
      <c r="Q164" s="4" t="str">
        <f t="shared" si="18"/>
        <v>Dic</v>
      </c>
    </row>
    <row r="165" ht="14.25" customHeight="1">
      <c r="A165" s="4" t="str">
        <f>parametros_manuales!$B$42</f>
        <v>Control de calidad — Ensayo de pérdidas</v>
      </c>
      <c r="B165" s="8">
        <f>(parametros_manuales!$D$42*('Plan mensual'!D57+IF(parametros_manuales!$H$42="Todos",'Plan mensual'!D61,0))+parametros_manuales!$E$42*('Plan mensual'!D58+IF(parametros_manuales!$H$42="Todos",'Plan mensual'!D62,0))+parametros_manuales!$F$42*('Plan mensual'!D59+IF(parametros_manuales!$H$42="Todos",'Plan mensual'!D63,0))+parametros_manuales!$G$42*('Plan mensual'!D60+IF(parametros_manuales!$H$42="Todos",'Plan mensual'!D64,0)))*parametros_manuales!$I$42*parametros_manuales!$J$42</f>
        <v>3792.5</v>
      </c>
      <c r="C165" s="8">
        <f>(parametros_manuales!$D$42*('Plan mensual'!E57+IF(parametros_manuales!$H$42="Todos",'Plan mensual'!E61,0))+parametros_manuales!$E$42*('Plan mensual'!E58+IF(parametros_manuales!$H$42="Todos",'Plan mensual'!E62,0))+parametros_manuales!$F$42*('Plan mensual'!E59+IF(parametros_manuales!$H$42="Todos",'Plan mensual'!E63,0))+parametros_manuales!$G$42*('Plan mensual'!E60+IF(parametros_manuales!$H$42="Todos",'Plan mensual'!E64,0)))*parametros_manuales!$I$42*parametros_manuales!$J$42</f>
        <v>2940.28</v>
      </c>
      <c r="D165" s="8">
        <f>(parametros_manuales!$D$42*('Plan mensual'!F57+IF(parametros_manuales!$H$42="Todos",'Plan mensual'!F61,0))+parametros_manuales!$E$42*('Plan mensual'!F58+IF(parametros_manuales!$H$42="Todos",'Plan mensual'!F62,0))+parametros_manuales!$F$42*('Plan mensual'!F59+IF(parametros_manuales!$H$42="Todos",'Plan mensual'!F63,0))+parametros_manuales!$G$42*('Plan mensual'!F60+IF(parametros_manuales!$H$42="Todos",'Plan mensual'!F64,0)))*parametros_manuales!$I$42*parametros_manuales!$J$42</f>
        <v>2879.985</v>
      </c>
      <c r="E165" s="8">
        <f>(parametros_manuales!$D$42*('Plan mensual'!G57+IF(parametros_manuales!$H$42="Todos",'Plan mensual'!G61,0))+parametros_manuales!$E$42*('Plan mensual'!G58+IF(parametros_manuales!$H$42="Todos",'Plan mensual'!G62,0))+parametros_manuales!$F$42*('Plan mensual'!G59+IF(parametros_manuales!$H$42="Todos",'Plan mensual'!G63,0))+parametros_manuales!$G$42*('Plan mensual'!G60+IF(parametros_manuales!$H$42="Todos",'Plan mensual'!G64,0)))*parametros_manuales!$I$42*parametros_manuales!$J$42</f>
        <v>2801.885</v>
      </c>
      <c r="F165" s="8">
        <f>(parametros_manuales!$D$42*('Plan mensual'!H57+IF(parametros_manuales!$H$42="Todos",'Plan mensual'!H61,0))+parametros_manuales!$E$42*('Plan mensual'!H58+IF(parametros_manuales!$H$42="Todos",'Plan mensual'!H62,0))+parametros_manuales!$F$42*('Plan mensual'!H59+IF(parametros_manuales!$H$42="Todos",'Plan mensual'!H63,0))+parametros_manuales!$G$42*('Plan mensual'!H60+IF(parametros_manuales!$H$42="Todos",'Plan mensual'!H64,0)))*parametros_manuales!$I$42*parametros_manuales!$J$42</f>
        <v>2627.88</v>
      </c>
      <c r="G165" s="8">
        <f>(parametros_manuales!$D$42*('Plan mensual'!I57+IF(parametros_manuales!$H$42="Todos",'Plan mensual'!I61,0))+parametros_manuales!$E$42*('Plan mensual'!I58+IF(parametros_manuales!$H$42="Todos",'Plan mensual'!I62,0))+parametros_manuales!$F$42*('Plan mensual'!I59+IF(parametros_manuales!$H$42="Todos",'Plan mensual'!I63,0))+parametros_manuales!$G$42*('Plan mensual'!I60+IF(parametros_manuales!$H$42="Todos",'Plan mensual'!I64,0)))*parametros_manuales!$I$42*parametros_manuales!$J$42</f>
        <v>2531.975</v>
      </c>
      <c r="H165" s="8">
        <f>(parametros_manuales!$D$42*('Plan mensual'!J57+IF(parametros_manuales!$H$42="Todos",'Plan mensual'!J61,0))+parametros_manuales!$E$42*('Plan mensual'!J58+IF(parametros_manuales!$H$42="Todos",'Plan mensual'!J62,0))+parametros_manuales!$F$42*('Plan mensual'!J59+IF(parametros_manuales!$H$42="Todos",'Plan mensual'!J63,0))+parametros_manuales!$G$42*('Plan mensual'!J60+IF(parametros_manuales!$H$42="Todos",'Plan mensual'!J64,0)))*parametros_manuales!$I$42*parametros_manuales!$J$42</f>
        <v>2705.98</v>
      </c>
      <c r="I165" s="8">
        <f>(parametros_manuales!$D$42*('Plan mensual'!K57+IF(parametros_manuales!$H$42="Todos",'Plan mensual'!K61,0))+parametros_manuales!$E$42*('Plan mensual'!K58+IF(parametros_manuales!$H$42="Todos",'Plan mensual'!K62,0))+parametros_manuales!$F$42*('Plan mensual'!K59+IF(parametros_manuales!$H$42="Todos",'Plan mensual'!K63,0))+parametros_manuales!$G$42*('Plan mensual'!K60+IF(parametros_manuales!$H$42="Todos",'Plan mensual'!K64,0)))*parametros_manuales!$I$42*parametros_manuales!$J$42</f>
        <v>2705.98</v>
      </c>
      <c r="J165" s="8">
        <f>(parametros_manuales!$D$42*('Plan mensual'!L57+IF(parametros_manuales!$H$42="Todos",'Plan mensual'!L61,0))+parametros_manuales!$E$42*('Plan mensual'!L58+IF(parametros_manuales!$H$42="Todos",'Plan mensual'!L62,0))+parametros_manuales!$F$42*('Plan mensual'!L59+IF(parametros_manuales!$H$42="Todos",'Plan mensual'!L63,0))+parametros_manuales!$G$42*('Plan mensual'!L60+IF(parametros_manuales!$H$42="Todos",'Plan mensual'!L64,0)))*parametros_manuales!$I$42*parametros_manuales!$J$42</f>
        <v>2705.98</v>
      </c>
      <c r="K165" s="8">
        <f>(parametros_manuales!$D$42*('Plan mensual'!M57+IF(parametros_manuales!$H$42="Todos",'Plan mensual'!M61,0))+parametros_manuales!$E$42*('Plan mensual'!M58+IF(parametros_manuales!$H$42="Todos",'Plan mensual'!M62,0))+parametros_manuales!$F$42*('Plan mensual'!M59+IF(parametros_manuales!$H$42="Todos",'Plan mensual'!M63,0))+parametros_manuales!$G$42*('Plan mensual'!M60+IF(parametros_manuales!$H$42="Todos",'Plan mensual'!M64,0)))*parametros_manuales!$I$42*parametros_manuales!$J$42</f>
        <v>2610.075</v>
      </c>
      <c r="L165" s="8">
        <f>(parametros_manuales!$D$42*('Plan mensual'!N57+IF(parametros_manuales!$H$42="Todos",'Plan mensual'!N61,0))+parametros_manuales!$E$42*('Plan mensual'!N58+IF(parametros_manuales!$H$42="Todos",'Plan mensual'!N62,0))+parametros_manuales!$F$42*('Plan mensual'!N59+IF(parametros_manuales!$H$42="Todos",'Plan mensual'!N63,0))+parametros_manuales!$G$42*('Plan mensual'!N60+IF(parametros_manuales!$H$42="Todos",'Plan mensual'!N64,0)))*parametros_manuales!$I$42*parametros_manuales!$J$42</f>
        <v>2514.17</v>
      </c>
      <c r="M165" s="8">
        <f>(parametros_manuales!$D$42*('Plan mensual'!O57+IF(parametros_manuales!$H$42="Todos",'Plan mensual'!O61,0))+parametros_manuales!$E$42*('Plan mensual'!O58+IF(parametros_manuales!$H$42="Todos",'Plan mensual'!O62,0))+parametros_manuales!$F$42*('Plan mensual'!O59+IF(parametros_manuales!$H$42="Todos",'Plan mensual'!O63,0))+parametros_manuales!$G$42*('Plan mensual'!O60+IF(parametros_manuales!$H$42="Todos",'Plan mensual'!O64,0)))*parametros_manuales!$I$42*parametros_manuales!$J$42</f>
        <v>3984.31</v>
      </c>
      <c r="N165" s="8">
        <f t="shared" si="16"/>
        <v>34801</v>
      </c>
      <c r="O165" s="8">
        <f t="shared" si="17"/>
        <v>3984.31</v>
      </c>
      <c r="P165" s="27">
        <f>O165/(parametros_manuales!$B$7)</f>
        <v>26.56206667</v>
      </c>
      <c r="Q165" s="4" t="str">
        <f t="shared" si="18"/>
        <v>Dic</v>
      </c>
    </row>
    <row r="166" ht="14.25" customHeight="1">
      <c r="A166" s="4" t="str">
        <f>parametros_manuales!$B$43</f>
        <v>Etiquetado</v>
      </c>
      <c r="B166" s="8">
        <f>(parametros_manuales!$D$43*('Plan mensual'!D57+IF(parametros_manuales!$H$43="Todos",'Plan mensual'!D61,0))+parametros_manuales!$E$43*('Plan mensual'!D58+IF(parametros_manuales!$H$43="Todos",'Plan mensual'!D62,0))+parametros_manuales!$F$43*('Plan mensual'!D59+IF(parametros_manuales!$H$43="Todos",'Plan mensual'!D63,0))+parametros_manuales!$G$43*('Plan mensual'!D60+IF(parametros_manuales!$H$43="Todos",'Plan mensual'!D64,0)))*parametros_manuales!$I$43*parametros_manuales!$J$43</f>
        <v>3792.5</v>
      </c>
      <c r="C166" s="8">
        <f>(parametros_manuales!$D$43*('Plan mensual'!E57+IF(parametros_manuales!$H$43="Todos",'Plan mensual'!E61,0))+parametros_manuales!$E$43*('Plan mensual'!E58+IF(parametros_manuales!$H$43="Todos",'Plan mensual'!E62,0))+parametros_manuales!$F$43*('Plan mensual'!E59+IF(parametros_manuales!$H$43="Todos",'Plan mensual'!E63,0))+parametros_manuales!$G$43*('Plan mensual'!E60+IF(parametros_manuales!$H$43="Todos",'Plan mensual'!E64,0)))*parametros_manuales!$I$43*parametros_manuales!$J$43</f>
        <v>2940.28</v>
      </c>
      <c r="D166" s="8">
        <f>(parametros_manuales!$D$43*('Plan mensual'!F57+IF(parametros_manuales!$H$43="Todos",'Plan mensual'!F61,0))+parametros_manuales!$E$43*('Plan mensual'!F58+IF(parametros_manuales!$H$43="Todos",'Plan mensual'!F62,0))+parametros_manuales!$F$43*('Plan mensual'!F59+IF(parametros_manuales!$H$43="Todos",'Plan mensual'!F63,0))+parametros_manuales!$G$43*('Plan mensual'!F60+IF(parametros_manuales!$H$43="Todos",'Plan mensual'!F64,0)))*parametros_manuales!$I$43*parametros_manuales!$J$43</f>
        <v>2879.985</v>
      </c>
      <c r="E166" s="8">
        <f>(parametros_manuales!$D$43*('Plan mensual'!G57+IF(parametros_manuales!$H$43="Todos",'Plan mensual'!G61,0))+parametros_manuales!$E$43*('Plan mensual'!G58+IF(parametros_manuales!$H$43="Todos",'Plan mensual'!G62,0))+parametros_manuales!$F$43*('Plan mensual'!G59+IF(parametros_manuales!$H$43="Todos",'Plan mensual'!G63,0))+parametros_manuales!$G$43*('Plan mensual'!G60+IF(parametros_manuales!$H$43="Todos",'Plan mensual'!G64,0)))*parametros_manuales!$I$43*parametros_manuales!$J$43</f>
        <v>2801.885</v>
      </c>
      <c r="F166" s="8">
        <f>(parametros_manuales!$D$43*('Plan mensual'!H57+IF(parametros_manuales!$H$43="Todos",'Plan mensual'!H61,0))+parametros_manuales!$E$43*('Plan mensual'!H58+IF(parametros_manuales!$H$43="Todos",'Plan mensual'!H62,0))+parametros_manuales!$F$43*('Plan mensual'!H59+IF(parametros_manuales!$H$43="Todos",'Plan mensual'!H63,0))+parametros_manuales!$G$43*('Plan mensual'!H60+IF(parametros_manuales!$H$43="Todos",'Plan mensual'!H64,0)))*parametros_manuales!$I$43*parametros_manuales!$J$43</f>
        <v>2627.88</v>
      </c>
      <c r="G166" s="8">
        <f>(parametros_manuales!$D$43*('Plan mensual'!I57+IF(parametros_manuales!$H$43="Todos",'Plan mensual'!I61,0))+parametros_manuales!$E$43*('Plan mensual'!I58+IF(parametros_manuales!$H$43="Todos",'Plan mensual'!I62,0))+parametros_manuales!$F$43*('Plan mensual'!I59+IF(parametros_manuales!$H$43="Todos",'Plan mensual'!I63,0))+parametros_manuales!$G$43*('Plan mensual'!I60+IF(parametros_manuales!$H$43="Todos",'Plan mensual'!I64,0)))*parametros_manuales!$I$43*parametros_manuales!$J$43</f>
        <v>2531.975</v>
      </c>
      <c r="H166" s="8">
        <f>(parametros_manuales!$D$43*('Plan mensual'!J57+IF(parametros_manuales!$H$43="Todos",'Plan mensual'!J61,0))+parametros_manuales!$E$43*('Plan mensual'!J58+IF(parametros_manuales!$H$43="Todos",'Plan mensual'!J62,0))+parametros_manuales!$F$43*('Plan mensual'!J59+IF(parametros_manuales!$H$43="Todos",'Plan mensual'!J63,0))+parametros_manuales!$G$43*('Plan mensual'!J60+IF(parametros_manuales!$H$43="Todos",'Plan mensual'!J64,0)))*parametros_manuales!$I$43*parametros_manuales!$J$43</f>
        <v>2705.98</v>
      </c>
      <c r="I166" s="8">
        <f>(parametros_manuales!$D$43*('Plan mensual'!K57+IF(parametros_manuales!$H$43="Todos",'Plan mensual'!K61,0))+parametros_manuales!$E$43*('Plan mensual'!K58+IF(parametros_manuales!$H$43="Todos",'Plan mensual'!K62,0))+parametros_manuales!$F$43*('Plan mensual'!K59+IF(parametros_manuales!$H$43="Todos",'Plan mensual'!K63,0))+parametros_manuales!$G$43*('Plan mensual'!K60+IF(parametros_manuales!$H$43="Todos",'Plan mensual'!K64,0)))*parametros_manuales!$I$43*parametros_manuales!$J$43</f>
        <v>2705.98</v>
      </c>
      <c r="J166" s="8">
        <f>(parametros_manuales!$D$43*('Plan mensual'!L57+IF(parametros_manuales!$H$43="Todos",'Plan mensual'!L61,0))+parametros_manuales!$E$43*('Plan mensual'!L58+IF(parametros_manuales!$H$43="Todos",'Plan mensual'!L62,0))+parametros_manuales!$F$43*('Plan mensual'!L59+IF(parametros_manuales!$H$43="Todos",'Plan mensual'!L63,0))+parametros_manuales!$G$43*('Plan mensual'!L60+IF(parametros_manuales!$H$43="Todos",'Plan mensual'!L64,0)))*parametros_manuales!$I$43*parametros_manuales!$J$43</f>
        <v>2705.98</v>
      </c>
      <c r="K166" s="8">
        <f>(parametros_manuales!$D$43*('Plan mensual'!M57+IF(parametros_manuales!$H$43="Todos",'Plan mensual'!M61,0))+parametros_manuales!$E$43*('Plan mensual'!M58+IF(parametros_manuales!$H$43="Todos",'Plan mensual'!M62,0))+parametros_manuales!$F$43*('Plan mensual'!M59+IF(parametros_manuales!$H$43="Todos",'Plan mensual'!M63,0))+parametros_manuales!$G$43*('Plan mensual'!M60+IF(parametros_manuales!$H$43="Todos",'Plan mensual'!M64,0)))*parametros_manuales!$I$43*parametros_manuales!$J$43</f>
        <v>2610.075</v>
      </c>
      <c r="L166" s="8">
        <f>(parametros_manuales!$D$43*('Plan mensual'!N57+IF(parametros_manuales!$H$43="Todos",'Plan mensual'!N61,0))+parametros_manuales!$E$43*('Plan mensual'!N58+IF(parametros_manuales!$H$43="Todos",'Plan mensual'!N62,0))+parametros_manuales!$F$43*('Plan mensual'!N59+IF(parametros_manuales!$H$43="Todos",'Plan mensual'!N63,0))+parametros_manuales!$G$43*('Plan mensual'!N60+IF(parametros_manuales!$H$43="Todos",'Plan mensual'!N64,0)))*parametros_manuales!$I$43*parametros_manuales!$J$43</f>
        <v>2514.17</v>
      </c>
      <c r="M166" s="8">
        <f>(parametros_manuales!$D$43*('Plan mensual'!O57+IF(parametros_manuales!$H$43="Todos",'Plan mensual'!O61,0))+parametros_manuales!$E$43*('Plan mensual'!O58+IF(parametros_manuales!$H$43="Todos",'Plan mensual'!O62,0))+parametros_manuales!$F$43*('Plan mensual'!O59+IF(parametros_manuales!$H$43="Todos",'Plan mensual'!O63,0))+parametros_manuales!$G$43*('Plan mensual'!O60+IF(parametros_manuales!$H$43="Todos",'Plan mensual'!O64,0)))*parametros_manuales!$I$43*parametros_manuales!$J$43</f>
        <v>3984.31</v>
      </c>
      <c r="N166" s="8">
        <f t="shared" si="16"/>
        <v>34801</v>
      </c>
      <c r="O166" s="8">
        <f t="shared" si="17"/>
        <v>3984.31</v>
      </c>
      <c r="P166" s="27">
        <f>O166/(parametros_manuales!$B$7)</f>
        <v>26.56206667</v>
      </c>
      <c r="Q166" s="4" t="str">
        <f t="shared" si="18"/>
        <v>Dic</v>
      </c>
    </row>
    <row r="167" ht="14.25" customHeight="1">
      <c r="A167" s="4" t="str">
        <f>parametros_manuales!$B$44</f>
        <v>Embalaje y paletizado</v>
      </c>
      <c r="B167" s="8">
        <f>(parametros_manuales!$D$44*('Plan mensual'!D57+IF(parametros_manuales!$H$44="Todos",'Plan mensual'!D61,0))+parametros_manuales!$E$44*('Plan mensual'!D58+IF(parametros_manuales!$H$44="Todos",'Plan mensual'!D62,0))+parametros_manuales!$F$44*('Plan mensual'!D59+IF(parametros_manuales!$H$44="Todos",'Plan mensual'!D63,0))+parametros_manuales!$G$44*('Plan mensual'!D60+IF(parametros_manuales!$H$44="Todos",'Plan mensual'!D64,0)))*parametros_manuales!$I$44*parametros_manuales!$J$44</f>
        <v>14222.7</v>
      </c>
      <c r="C167" s="8">
        <f>(parametros_manuales!$D$44*('Plan mensual'!E57+IF(parametros_manuales!$H$44="Todos",'Plan mensual'!E61,0))+parametros_manuales!$E$44*('Plan mensual'!E58+IF(parametros_manuales!$H$44="Todos",'Plan mensual'!E62,0))+parametros_manuales!$F$44*('Plan mensual'!E59+IF(parametros_manuales!$H$44="Todos",'Plan mensual'!E63,0))+parametros_manuales!$G$44*('Plan mensual'!E60+IF(parametros_manuales!$H$44="Todos",'Plan mensual'!E64,0)))*parametros_manuales!$I$44*parametros_manuales!$J$44</f>
        <v>10854.36</v>
      </c>
      <c r="D167" s="8">
        <f>(parametros_manuales!$D$44*('Plan mensual'!F57+IF(parametros_manuales!$H$44="Todos",'Plan mensual'!F61,0))+parametros_manuales!$E$44*('Plan mensual'!F58+IF(parametros_manuales!$H$44="Todos",'Plan mensual'!F62,0))+parametros_manuales!$F$44*('Plan mensual'!F59+IF(parametros_manuales!$H$44="Todos",'Plan mensual'!F63,0))+parametros_manuales!$G$44*('Plan mensual'!F60+IF(parametros_manuales!$H$44="Todos",'Plan mensual'!F64,0)))*parametros_manuales!$I$44*parametros_manuales!$J$44</f>
        <v>10168.695</v>
      </c>
      <c r="E167" s="8">
        <f>(parametros_manuales!$D$44*('Plan mensual'!G57+IF(parametros_manuales!$H$44="Todos",'Plan mensual'!G61,0))+parametros_manuales!$E$44*('Plan mensual'!G58+IF(parametros_manuales!$H$44="Todos",'Plan mensual'!G62,0))+parametros_manuales!$F$44*('Plan mensual'!G59+IF(parametros_manuales!$H$44="Todos",'Plan mensual'!G63,0))+parametros_manuales!$G$44*('Plan mensual'!G60+IF(parametros_manuales!$H$44="Todos",'Plan mensual'!G64,0)))*parametros_manuales!$I$44*parametros_manuales!$J$44</f>
        <v>9732.195</v>
      </c>
      <c r="F167" s="8">
        <f>(parametros_manuales!$D$44*('Plan mensual'!H57+IF(parametros_manuales!$H$44="Todos",'Plan mensual'!H61,0))+parametros_manuales!$E$44*('Plan mensual'!H58+IF(parametros_manuales!$H$44="Todos",'Plan mensual'!H62,0))+parametros_manuales!$F$44*('Plan mensual'!H59+IF(parametros_manuales!$H$44="Todos",'Plan mensual'!H63,0))+parametros_manuales!$G$44*('Plan mensual'!H60+IF(parametros_manuales!$H$44="Todos",'Plan mensual'!H64,0)))*parametros_manuales!$I$44*parametros_manuales!$J$44</f>
        <v>9108.36</v>
      </c>
      <c r="G167" s="8">
        <f>(parametros_manuales!$D$44*('Plan mensual'!I57+IF(parametros_manuales!$H$44="Todos",'Plan mensual'!I61,0))+parametros_manuales!$E$44*('Plan mensual'!I58+IF(parametros_manuales!$H$44="Todos",'Plan mensual'!I62,0))+parametros_manuales!$F$44*('Plan mensual'!I59+IF(parametros_manuales!$H$44="Todos",'Plan mensual'!I63,0))+parametros_manuales!$G$44*('Plan mensual'!I60+IF(parametros_manuales!$H$44="Todos",'Plan mensual'!I64,0)))*parametros_manuales!$I$44*parametros_manuales!$J$44</f>
        <v>8921.025</v>
      </c>
      <c r="H167" s="8">
        <f>(parametros_manuales!$D$44*('Plan mensual'!J57+IF(parametros_manuales!$H$44="Todos",'Plan mensual'!J61,0))+parametros_manuales!$E$44*('Plan mensual'!J58+IF(parametros_manuales!$H$44="Todos",'Plan mensual'!J62,0))+parametros_manuales!$F$44*('Plan mensual'!J59+IF(parametros_manuales!$H$44="Todos",'Plan mensual'!J63,0))+parametros_manuales!$G$44*('Plan mensual'!J60+IF(parametros_manuales!$H$44="Todos",'Plan mensual'!J64,0)))*parametros_manuales!$I$44*parametros_manuales!$J$44</f>
        <v>9544.86</v>
      </c>
      <c r="I167" s="8">
        <f>(parametros_manuales!$D$44*('Plan mensual'!K57+IF(parametros_manuales!$H$44="Todos",'Plan mensual'!K61,0))+parametros_manuales!$E$44*('Plan mensual'!K58+IF(parametros_manuales!$H$44="Todos",'Plan mensual'!K62,0))+parametros_manuales!$F$44*('Plan mensual'!K59+IF(parametros_manuales!$H$44="Todos",'Plan mensual'!K63,0))+parametros_manuales!$G$44*('Plan mensual'!K60+IF(parametros_manuales!$H$44="Todos",'Plan mensual'!K64,0)))*parametros_manuales!$I$44*parametros_manuales!$J$44</f>
        <v>9544.86</v>
      </c>
      <c r="J167" s="8">
        <f>(parametros_manuales!$D$44*('Plan mensual'!L57+IF(parametros_manuales!$H$44="Todos",'Plan mensual'!L61,0))+parametros_manuales!$E$44*('Plan mensual'!L58+IF(parametros_manuales!$H$44="Todos",'Plan mensual'!L62,0))+parametros_manuales!$F$44*('Plan mensual'!L59+IF(parametros_manuales!$H$44="Todos",'Plan mensual'!L63,0))+parametros_manuales!$G$44*('Plan mensual'!L60+IF(parametros_manuales!$H$44="Todos",'Plan mensual'!L64,0)))*parametros_manuales!$I$44*parametros_manuales!$J$44</f>
        <v>9544.86</v>
      </c>
      <c r="K167" s="8">
        <f>(parametros_manuales!$D$44*('Plan mensual'!M57+IF(parametros_manuales!$H$44="Todos",'Plan mensual'!M61,0))+parametros_manuales!$E$44*('Plan mensual'!M58+IF(parametros_manuales!$H$44="Todos",'Plan mensual'!M62,0))+parametros_manuales!$F$44*('Plan mensual'!M59+IF(parametros_manuales!$H$44="Todos",'Plan mensual'!M63,0))+parametros_manuales!$G$44*('Plan mensual'!M60+IF(parametros_manuales!$H$44="Todos",'Plan mensual'!M64,0)))*parametros_manuales!$I$44*parametros_manuales!$J$44</f>
        <v>9357.525</v>
      </c>
      <c r="L167" s="8">
        <f>(parametros_manuales!$D$44*('Plan mensual'!N57+IF(parametros_manuales!$H$44="Todos",'Plan mensual'!N61,0))+parametros_manuales!$E$44*('Plan mensual'!N58+IF(parametros_manuales!$H$44="Todos",'Plan mensual'!N62,0))+parametros_manuales!$F$44*('Plan mensual'!N59+IF(parametros_manuales!$H$44="Todos",'Plan mensual'!N63,0))+parametros_manuales!$G$44*('Plan mensual'!N60+IF(parametros_manuales!$H$44="Todos",'Plan mensual'!N64,0)))*parametros_manuales!$I$44*parametros_manuales!$J$44</f>
        <v>9170.19</v>
      </c>
      <c r="M167" s="8">
        <f>(parametros_manuales!$D$44*('Plan mensual'!O57+IF(parametros_manuales!$H$44="Todos",'Plan mensual'!O61,0))+parametros_manuales!$E$44*('Plan mensual'!O58+IF(parametros_manuales!$H$44="Todos",'Plan mensual'!O62,0))+parametros_manuales!$F$44*('Plan mensual'!O59+IF(parametros_manuales!$H$44="Todos",'Plan mensual'!O63,0))+parametros_manuales!$G$44*('Plan mensual'!O60+IF(parametros_manuales!$H$44="Todos",'Plan mensual'!O64,0)))*parametros_manuales!$I$44*parametros_manuales!$J$44</f>
        <v>14597.37</v>
      </c>
      <c r="N167" s="8">
        <f t="shared" si="16"/>
        <v>124767</v>
      </c>
      <c r="O167" s="8">
        <f t="shared" si="17"/>
        <v>14597.37</v>
      </c>
      <c r="P167" s="27">
        <f>O167/(parametros_manuales!$B$7)</f>
        <v>97.3158</v>
      </c>
      <c r="Q167" s="4" t="str">
        <f t="shared" si="18"/>
        <v>Dic</v>
      </c>
    </row>
    <row r="168" ht="14.2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</row>
    <row r="169" ht="14.25" customHeight="1">
      <c r="A169" s="1" t="s">
        <v>233</v>
      </c>
      <c r="B169" s="1" t="s">
        <v>5</v>
      </c>
      <c r="C169" s="1" t="s">
        <v>6</v>
      </c>
      <c r="D169" s="1" t="s">
        <v>7</v>
      </c>
      <c r="E169" s="1" t="s">
        <v>8</v>
      </c>
      <c r="F169" s="1" t="s">
        <v>9</v>
      </c>
      <c r="G169" s="1" t="s">
        <v>10</v>
      </c>
      <c r="H169" s="1" t="s">
        <v>12</v>
      </c>
      <c r="I169" s="1" t="s">
        <v>13</v>
      </c>
      <c r="J169" s="1" t="s">
        <v>15</v>
      </c>
      <c r="K169" s="1" t="s">
        <v>16</v>
      </c>
      <c r="L169" s="1" t="s">
        <v>17</v>
      </c>
      <c r="M169" s="1" t="s">
        <v>18</v>
      </c>
      <c r="N169" s="1" t="s">
        <v>19</v>
      </c>
      <c r="O169" s="1" t="s">
        <v>20</v>
      </c>
      <c r="P169" s="1" t="s">
        <v>21</v>
      </c>
      <c r="Q169" s="1" t="s">
        <v>22</v>
      </c>
    </row>
    <row r="170" ht="14.25" customHeight="1">
      <c r="A170" s="4" t="str">
        <f>parametros_manuales!$B$19</f>
        <v>Recepción de materia prima</v>
      </c>
      <c r="B170" s="8">
        <f>(parametros_manuales!$D$19*('Plan mensual'!D68+IF(parametros_manuales!$H$19="Todos",'Plan mensual'!D72,0))+parametros_manuales!$E$19*('Plan mensual'!D69+IF(parametros_manuales!$H$19="Todos",'Plan mensual'!D73,0))+parametros_manuales!$F$19*('Plan mensual'!D70+IF(parametros_manuales!$H$19="Todos",'Plan mensual'!D74,0))+parametros_manuales!$G$19*('Plan mensual'!D71+IF(parametros_manuales!$H$19="Todos",'Plan mensual'!D75,0)))*parametros_manuales!$I$19*parametros_manuales!$J$19</f>
        <v>19631.98</v>
      </c>
      <c r="C170" s="8">
        <f>(parametros_manuales!$D$19*('Plan mensual'!E68+IF(parametros_manuales!$H$19="Todos",'Plan mensual'!E72,0))+parametros_manuales!$E$19*('Plan mensual'!E69+IF(parametros_manuales!$H$19="Todos",'Plan mensual'!E73,0))+parametros_manuales!$F$19*('Plan mensual'!E70+IF(parametros_manuales!$H$19="Todos",'Plan mensual'!E74,0))+parametros_manuales!$G$19*('Plan mensual'!E71+IF(parametros_manuales!$H$19="Todos",'Plan mensual'!E75,0)))*parametros_manuales!$I$19*parametros_manuales!$J$19</f>
        <v>14975.54</v>
      </c>
      <c r="D170" s="8">
        <f>(parametros_manuales!$D$19*('Plan mensual'!F68+IF(parametros_manuales!$H$19="Todos",'Plan mensual'!F72,0))+parametros_manuales!$E$19*('Plan mensual'!F69+IF(parametros_manuales!$H$19="Todos",'Plan mensual'!F73,0))+parametros_manuales!$F$19*('Plan mensual'!F70+IF(parametros_manuales!$H$19="Todos",'Plan mensual'!F74,0))+parametros_manuales!$G$19*('Plan mensual'!F71+IF(parametros_manuales!$H$19="Todos",'Plan mensual'!F75,0)))*parametros_manuales!$I$19*parametros_manuales!$J$19</f>
        <v>14010.355</v>
      </c>
      <c r="E170" s="8">
        <f>(parametros_manuales!$D$19*('Plan mensual'!G68+IF(parametros_manuales!$H$19="Todos",'Plan mensual'!G72,0))+parametros_manuales!$E$19*('Plan mensual'!G69+IF(parametros_manuales!$H$19="Todos",'Plan mensual'!G73,0))+parametros_manuales!$F$19*('Plan mensual'!G70+IF(parametros_manuales!$H$19="Todos",'Plan mensual'!G74,0))+parametros_manuales!$G$19*('Plan mensual'!G71+IF(parametros_manuales!$H$19="Todos",'Plan mensual'!G75,0)))*parametros_manuales!$I$19*parametros_manuales!$J$19</f>
        <v>13401.985</v>
      </c>
      <c r="F170" s="8">
        <f>(parametros_manuales!$D$19*('Plan mensual'!H68+IF(parametros_manuales!$H$19="Todos",'Plan mensual'!H72,0))+parametros_manuales!$E$19*('Plan mensual'!H69+IF(parametros_manuales!$H$19="Todos",'Plan mensual'!H73,0))+parametros_manuales!$F$19*('Plan mensual'!H70+IF(parametros_manuales!$H$19="Todos",'Plan mensual'!H74,0))+parametros_manuales!$G$19*('Plan mensual'!H71+IF(parametros_manuales!$H$19="Todos",'Plan mensual'!H75,0)))*parametros_manuales!$I$19*parametros_manuales!$J$19</f>
        <v>12542.06</v>
      </c>
      <c r="G170" s="8">
        <f>(parametros_manuales!$D$19*('Plan mensual'!I68+IF(parametros_manuales!$H$19="Todos",'Plan mensual'!I72,0))+parametros_manuales!$E$19*('Plan mensual'!I69+IF(parametros_manuales!$H$19="Todos",'Plan mensual'!I73,0))+parametros_manuales!$F$19*('Plan mensual'!I70+IF(parametros_manuales!$H$19="Todos",'Plan mensual'!I74,0))+parametros_manuales!$G$19*('Plan mensual'!I71+IF(parametros_manuales!$H$19="Todos",'Plan mensual'!I75,0)))*parametros_manuales!$I$19*parametros_manuales!$J$19</f>
        <v>12290.505</v>
      </c>
      <c r="H170" s="8">
        <f>(parametros_manuales!$D$19*('Plan mensual'!J68+IF(parametros_manuales!$H$19="Todos",'Plan mensual'!J72,0))+parametros_manuales!$E$19*('Plan mensual'!J69+IF(parametros_manuales!$H$19="Todos",'Plan mensual'!J73,0))+parametros_manuales!$F$19*('Plan mensual'!J70+IF(parametros_manuales!$H$19="Todos",'Plan mensual'!J74,0))+parametros_manuales!$G$19*('Plan mensual'!J71+IF(parametros_manuales!$H$19="Todos",'Plan mensual'!J75,0)))*parametros_manuales!$I$19*parametros_manuales!$J$19</f>
        <v>13150.43</v>
      </c>
      <c r="I170" s="8">
        <f>(parametros_manuales!$D$19*('Plan mensual'!K68+IF(parametros_manuales!$H$19="Todos",'Plan mensual'!K72,0))+parametros_manuales!$E$19*('Plan mensual'!K69+IF(parametros_manuales!$H$19="Todos",'Plan mensual'!K73,0))+parametros_manuales!$F$19*('Plan mensual'!K70+IF(parametros_manuales!$H$19="Todos",'Plan mensual'!K74,0))+parametros_manuales!$G$19*('Plan mensual'!K71+IF(parametros_manuales!$H$19="Todos",'Plan mensual'!K75,0)))*parametros_manuales!$I$19*parametros_manuales!$J$19</f>
        <v>13150.43</v>
      </c>
      <c r="J170" s="8">
        <f>(parametros_manuales!$D$19*('Plan mensual'!L68+IF(parametros_manuales!$H$19="Todos",'Plan mensual'!L72,0))+parametros_manuales!$E$19*('Plan mensual'!L69+IF(parametros_manuales!$H$19="Todos",'Plan mensual'!L73,0))+parametros_manuales!$F$19*('Plan mensual'!L70+IF(parametros_manuales!$H$19="Todos",'Plan mensual'!L74,0))+parametros_manuales!$G$19*('Plan mensual'!L71+IF(parametros_manuales!$H$19="Todos",'Plan mensual'!L75,0)))*parametros_manuales!$I$19*parametros_manuales!$J$19</f>
        <v>13150.43</v>
      </c>
      <c r="K170" s="8">
        <f>(parametros_manuales!$D$19*('Plan mensual'!M68+IF(parametros_manuales!$H$19="Todos",'Plan mensual'!M72,0))+parametros_manuales!$E$19*('Plan mensual'!M69+IF(parametros_manuales!$H$19="Todos",'Plan mensual'!M73,0))+parametros_manuales!$F$19*('Plan mensual'!M70+IF(parametros_manuales!$H$19="Todos",'Plan mensual'!M74,0))+parametros_manuales!$G$19*('Plan mensual'!M71+IF(parametros_manuales!$H$19="Todos",'Plan mensual'!M75,0)))*parametros_manuales!$I$19*parametros_manuales!$J$19</f>
        <v>12898.875</v>
      </c>
      <c r="L170" s="8">
        <f>(parametros_manuales!$D$19*('Plan mensual'!N68+IF(parametros_manuales!$H$19="Todos",'Plan mensual'!N72,0))+parametros_manuales!$E$19*('Plan mensual'!N69+IF(parametros_manuales!$H$19="Todos",'Plan mensual'!N73,0))+parametros_manuales!$F$19*('Plan mensual'!N70+IF(parametros_manuales!$H$19="Todos",'Plan mensual'!N74,0))+parametros_manuales!$G$19*('Plan mensual'!N71+IF(parametros_manuales!$H$19="Todos",'Plan mensual'!N75,0)))*parametros_manuales!$I$19*parametros_manuales!$J$19</f>
        <v>12647.32</v>
      </c>
      <c r="M170" s="8">
        <f>(parametros_manuales!$D$19*('Plan mensual'!O68+IF(parametros_manuales!$H$19="Todos",'Plan mensual'!O72,0))+parametros_manuales!$E$19*('Plan mensual'!O69+IF(parametros_manuales!$H$19="Todos",'Plan mensual'!O73,0))+parametros_manuales!$F$19*('Plan mensual'!O70+IF(parametros_manuales!$H$19="Todos",'Plan mensual'!O74,0))+parametros_manuales!$G$19*('Plan mensual'!O71+IF(parametros_manuales!$H$19="Todos",'Plan mensual'!O75,0)))*parametros_manuales!$I$19*parametros_manuales!$J$19</f>
        <v>20135.09</v>
      </c>
      <c r="N170" s="8">
        <f t="shared" ref="N170:N195" si="19">SUM(B170:M170)</f>
        <v>171985</v>
      </c>
      <c r="O170" s="8">
        <f t="shared" ref="O170:O195" si="20">MAX(B170:M170)</f>
        <v>20135.09</v>
      </c>
      <c r="P170" s="27">
        <f>O170/(parametros_manuales!$B$7)</f>
        <v>134.2339333</v>
      </c>
      <c r="Q170" s="4" t="str">
        <f t="shared" ref="Q170:Q195" si="21">IF(O170=0,"-",INDEX($B$169:$M$169,MATCH(O170,B170:M170,0)))</f>
        <v>Dic</v>
      </c>
    </row>
    <row r="171" ht="14.25" customHeight="1">
      <c r="A171" s="4" t="str">
        <f>parametros_manuales!$B$20</f>
        <v>Corte de chapa — 1.er corte en franjas (guillotina 1)</v>
      </c>
      <c r="B171" s="8">
        <f>(parametros_manuales!$D$20*('Plan mensual'!D68+IF(parametros_manuales!$H$20="Todos",'Plan mensual'!D72,0))+parametros_manuales!$E$20*('Plan mensual'!D69+IF(parametros_manuales!$H$20="Todos",'Plan mensual'!D73,0))+parametros_manuales!$F$20*('Plan mensual'!D70+IF(parametros_manuales!$H$20="Todos",'Plan mensual'!D74,0))+parametros_manuales!$G$20*('Plan mensual'!D71+IF(parametros_manuales!$H$20="Todos",'Plan mensual'!D75,0)))*parametros_manuales!$I$20*parametros_manuales!$J$20</f>
        <v>19631.98</v>
      </c>
      <c r="C171" s="8">
        <f>(parametros_manuales!$D$20*('Plan mensual'!E68+IF(parametros_manuales!$H$20="Todos",'Plan mensual'!E72,0))+parametros_manuales!$E$20*('Plan mensual'!E69+IF(parametros_manuales!$H$20="Todos",'Plan mensual'!E73,0))+parametros_manuales!$F$20*('Plan mensual'!E70+IF(parametros_manuales!$H$20="Todos",'Plan mensual'!E74,0))+parametros_manuales!$G$20*('Plan mensual'!E71+IF(parametros_manuales!$H$20="Todos",'Plan mensual'!E75,0)))*parametros_manuales!$I$20*parametros_manuales!$J$20</f>
        <v>14975.54</v>
      </c>
      <c r="D171" s="8">
        <f>(parametros_manuales!$D$20*('Plan mensual'!F68+IF(parametros_manuales!$H$20="Todos",'Plan mensual'!F72,0))+parametros_manuales!$E$20*('Plan mensual'!F69+IF(parametros_manuales!$H$20="Todos",'Plan mensual'!F73,0))+parametros_manuales!$F$20*('Plan mensual'!F70+IF(parametros_manuales!$H$20="Todos",'Plan mensual'!F74,0))+parametros_manuales!$G$20*('Plan mensual'!F71+IF(parametros_manuales!$H$20="Todos",'Plan mensual'!F75,0)))*parametros_manuales!$I$20*parametros_manuales!$J$20</f>
        <v>14010.355</v>
      </c>
      <c r="E171" s="8">
        <f>(parametros_manuales!$D$20*('Plan mensual'!G68+IF(parametros_manuales!$H$20="Todos",'Plan mensual'!G72,0))+parametros_manuales!$E$20*('Plan mensual'!G69+IF(parametros_manuales!$H$20="Todos",'Plan mensual'!G73,0))+parametros_manuales!$F$20*('Plan mensual'!G70+IF(parametros_manuales!$H$20="Todos",'Plan mensual'!G74,0))+parametros_manuales!$G$20*('Plan mensual'!G71+IF(parametros_manuales!$H$20="Todos",'Plan mensual'!G75,0)))*parametros_manuales!$I$20*parametros_manuales!$J$20</f>
        <v>13401.985</v>
      </c>
      <c r="F171" s="8">
        <f>(parametros_manuales!$D$20*('Plan mensual'!H68+IF(parametros_manuales!$H$20="Todos",'Plan mensual'!H72,0))+parametros_manuales!$E$20*('Plan mensual'!H69+IF(parametros_manuales!$H$20="Todos",'Plan mensual'!H73,0))+parametros_manuales!$F$20*('Plan mensual'!H70+IF(parametros_manuales!$H$20="Todos",'Plan mensual'!H74,0))+parametros_manuales!$G$20*('Plan mensual'!H71+IF(parametros_manuales!$H$20="Todos",'Plan mensual'!H75,0)))*parametros_manuales!$I$20*parametros_manuales!$J$20</f>
        <v>12542.06</v>
      </c>
      <c r="G171" s="8">
        <f>(parametros_manuales!$D$20*('Plan mensual'!I68+IF(parametros_manuales!$H$20="Todos",'Plan mensual'!I72,0))+parametros_manuales!$E$20*('Plan mensual'!I69+IF(parametros_manuales!$H$20="Todos",'Plan mensual'!I73,0))+parametros_manuales!$F$20*('Plan mensual'!I70+IF(parametros_manuales!$H$20="Todos",'Plan mensual'!I74,0))+parametros_manuales!$G$20*('Plan mensual'!I71+IF(parametros_manuales!$H$20="Todos",'Plan mensual'!I75,0)))*parametros_manuales!$I$20*parametros_manuales!$J$20</f>
        <v>12290.505</v>
      </c>
      <c r="H171" s="8">
        <f>(parametros_manuales!$D$20*('Plan mensual'!J68+IF(parametros_manuales!$H$20="Todos",'Plan mensual'!J72,0))+parametros_manuales!$E$20*('Plan mensual'!J69+IF(parametros_manuales!$H$20="Todos",'Plan mensual'!J73,0))+parametros_manuales!$F$20*('Plan mensual'!J70+IF(parametros_manuales!$H$20="Todos",'Plan mensual'!J74,0))+parametros_manuales!$G$20*('Plan mensual'!J71+IF(parametros_manuales!$H$20="Todos",'Plan mensual'!J75,0)))*parametros_manuales!$I$20*parametros_manuales!$J$20</f>
        <v>13150.43</v>
      </c>
      <c r="I171" s="8">
        <f>(parametros_manuales!$D$20*('Plan mensual'!K68+IF(parametros_manuales!$H$20="Todos",'Plan mensual'!K72,0))+parametros_manuales!$E$20*('Plan mensual'!K69+IF(parametros_manuales!$H$20="Todos",'Plan mensual'!K73,0))+parametros_manuales!$F$20*('Plan mensual'!K70+IF(parametros_manuales!$H$20="Todos",'Plan mensual'!K74,0))+parametros_manuales!$G$20*('Plan mensual'!K71+IF(parametros_manuales!$H$20="Todos",'Plan mensual'!K75,0)))*parametros_manuales!$I$20*parametros_manuales!$J$20</f>
        <v>13150.43</v>
      </c>
      <c r="J171" s="8">
        <f>(parametros_manuales!$D$20*('Plan mensual'!L68+IF(parametros_manuales!$H$20="Todos",'Plan mensual'!L72,0))+parametros_manuales!$E$20*('Plan mensual'!L69+IF(parametros_manuales!$H$20="Todos",'Plan mensual'!L73,0))+parametros_manuales!$F$20*('Plan mensual'!L70+IF(parametros_manuales!$H$20="Todos",'Plan mensual'!L74,0))+parametros_manuales!$G$20*('Plan mensual'!L71+IF(parametros_manuales!$H$20="Todos",'Plan mensual'!L75,0)))*parametros_manuales!$I$20*parametros_manuales!$J$20</f>
        <v>13150.43</v>
      </c>
      <c r="K171" s="8">
        <f>(parametros_manuales!$D$20*('Plan mensual'!M68+IF(parametros_manuales!$H$20="Todos",'Plan mensual'!M72,0))+parametros_manuales!$E$20*('Plan mensual'!M69+IF(parametros_manuales!$H$20="Todos",'Plan mensual'!M73,0))+parametros_manuales!$F$20*('Plan mensual'!M70+IF(parametros_manuales!$H$20="Todos",'Plan mensual'!M74,0))+parametros_manuales!$G$20*('Plan mensual'!M71+IF(parametros_manuales!$H$20="Todos",'Plan mensual'!M75,0)))*parametros_manuales!$I$20*parametros_manuales!$J$20</f>
        <v>12898.875</v>
      </c>
      <c r="L171" s="8">
        <f>(parametros_manuales!$D$20*('Plan mensual'!N68+IF(parametros_manuales!$H$20="Todos",'Plan mensual'!N72,0))+parametros_manuales!$E$20*('Plan mensual'!N69+IF(parametros_manuales!$H$20="Todos",'Plan mensual'!N73,0))+parametros_manuales!$F$20*('Plan mensual'!N70+IF(parametros_manuales!$H$20="Todos",'Plan mensual'!N74,0))+parametros_manuales!$G$20*('Plan mensual'!N71+IF(parametros_manuales!$H$20="Todos",'Plan mensual'!N75,0)))*parametros_manuales!$I$20*parametros_manuales!$J$20</f>
        <v>12647.32</v>
      </c>
      <c r="M171" s="8">
        <f>(parametros_manuales!$D$20*('Plan mensual'!O68+IF(parametros_manuales!$H$20="Todos",'Plan mensual'!O72,0))+parametros_manuales!$E$20*('Plan mensual'!O69+IF(parametros_manuales!$H$20="Todos",'Plan mensual'!O73,0))+parametros_manuales!$F$20*('Plan mensual'!O70+IF(parametros_manuales!$H$20="Todos",'Plan mensual'!O74,0))+parametros_manuales!$G$20*('Plan mensual'!O71+IF(parametros_manuales!$H$20="Todos",'Plan mensual'!O75,0)))*parametros_manuales!$I$20*parametros_manuales!$J$20</f>
        <v>20135.09</v>
      </c>
      <c r="N171" s="8">
        <f t="shared" si="19"/>
        <v>171985</v>
      </c>
      <c r="O171" s="8">
        <f t="shared" si="20"/>
        <v>20135.09</v>
      </c>
      <c r="P171" s="27">
        <f>O171/(parametros_manuales!$B$7)</f>
        <v>134.2339333</v>
      </c>
      <c r="Q171" s="4" t="str">
        <f t="shared" si="21"/>
        <v>Dic</v>
      </c>
    </row>
    <row r="172" ht="14.25" customHeight="1">
      <c r="A172" s="4" t="str">
        <f>parametros_manuales!$B$21</f>
        <v>Corte de chapa — 2.º corte en piezas (guillotina 2)</v>
      </c>
      <c r="B172" s="8">
        <f>(parametros_manuales!$D$21*('Plan mensual'!D68+IF(parametros_manuales!$H$21="Todos",'Plan mensual'!D72,0))+parametros_manuales!$E$21*('Plan mensual'!D69+IF(parametros_manuales!$H$21="Todos",'Plan mensual'!D73,0))+parametros_manuales!$F$21*('Plan mensual'!D70+IF(parametros_manuales!$H$21="Todos",'Plan mensual'!D74,0))+parametros_manuales!$G$21*('Plan mensual'!D71+IF(parametros_manuales!$H$21="Todos",'Plan mensual'!D75,0)))*parametros_manuales!$I$21*parametros_manuales!$J$21</f>
        <v>19631.98</v>
      </c>
      <c r="C172" s="8">
        <f>(parametros_manuales!$D$21*('Plan mensual'!E68+IF(parametros_manuales!$H$21="Todos",'Plan mensual'!E72,0))+parametros_manuales!$E$21*('Plan mensual'!E69+IF(parametros_manuales!$H$21="Todos",'Plan mensual'!E73,0))+parametros_manuales!$F$21*('Plan mensual'!E70+IF(parametros_manuales!$H$21="Todos",'Plan mensual'!E74,0))+parametros_manuales!$G$21*('Plan mensual'!E71+IF(parametros_manuales!$H$21="Todos",'Plan mensual'!E75,0)))*parametros_manuales!$I$21*parametros_manuales!$J$21</f>
        <v>14975.54</v>
      </c>
      <c r="D172" s="8">
        <f>(parametros_manuales!$D$21*('Plan mensual'!F68+IF(parametros_manuales!$H$21="Todos",'Plan mensual'!F72,0))+parametros_manuales!$E$21*('Plan mensual'!F69+IF(parametros_manuales!$H$21="Todos",'Plan mensual'!F73,0))+parametros_manuales!$F$21*('Plan mensual'!F70+IF(parametros_manuales!$H$21="Todos",'Plan mensual'!F74,0))+parametros_manuales!$G$21*('Plan mensual'!F71+IF(parametros_manuales!$H$21="Todos",'Plan mensual'!F75,0)))*parametros_manuales!$I$21*parametros_manuales!$J$21</f>
        <v>14010.355</v>
      </c>
      <c r="E172" s="8">
        <f>(parametros_manuales!$D$21*('Plan mensual'!G68+IF(parametros_manuales!$H$21="Todos",'Plan mensual'!G72,0))+parametros_manuales!$E$21*('Plan mensual'!G69+IF(parametros_manuales!$H$21="Todos",'Plan mensual'!G73,0))+parametros_manuales!$F$21*('Plan mensual'!G70+IF(parametros_manuales!$H$21="Todos",'Plan mensual'!G74,0))+parametros_manuales!$G$21*('Plan mensual'!G71+IF(parametros_manuales!$H$21="Todos",'Plan mensual'!G75,0)))*parametros_manuales!$I$21*parametros_manuales!$J$21</f>
        <v>13401.985</v>
      </c>
      <c r="F172" s="8">
        <f>(parametros_manuales!$D$21*('Plan mensual'!H68+IF(parametros_manuales!$H$21="Todos",'Plan mensual'!H72,0))+parametros_manuales!$E$21*('Plan mensual'!H69+IF(parametros_manuales!$H$21="Todos",'Plan mensual'!H73,0))+parametros_manuales!$F$21*('Plan mensual'!H70+IF(parametros_manuales!$H$21="Todos",'Plan mensual'!H74,0))+parametros_manuales!$G$21*('Plan mensual'!H71+IF(parametros_manuales!$H$21="Todos",'Plan mensual'!H75,0)))*parametros_manuales!$I$21*parametros_manuales!$J$21</f>
        <v>12542.06</v>
      </c>
      <c r="G172" s="8">
        <f>(parametros_manuales!$D$21*('Plan mensual'!I68+IF(parametros_manuales!$H$21="Todos",'Plan mensual'!I72,0))+parametros_manuales!$E$21*('Plan mensual'!I69+IF(parametros_manuales!$H$21="Todos",'Plan mensual'!I73,0))+parametros_manuales!$F$21*('Plan mensual'!I70+IF(parametros_manuales!$H$21="Todos",'Plan mensual'!I74,0))+parametros_manuales!$G$21*('Plan mensual'!I71+IF(parametros_manuales!$H$21="Todos",'Plan mensual'!I75,0)))*parametros_manuales!$I$21*parametros_manuales!$J$21</f>
        <v>12290.505</v>
      </c>
      <c r="H172" s="8">
        <f>(parametros_manuales!$D$21*('Plan mensual'!J68+IF(parametros_manuales!$H$21="Todos",'Plan mensual'!J72,0))+parametros_manuales!$E$21*('Plan mensual'!J69+IF(parametros_manuales!$H$21="Todos",'Plan mensual'!J73,0))+parametros_manuales!$F$21*('Plan mensual'!J70+IF(parametros_manuales!$H$21="Todos",'Plan mensual'!J74,0))+parametros_manuales!$G$21*('Plan mensual'!J71+IF(parametros_manuales!$H$21="Todos",'Plan mensual'!J75,0)))*parametros_manuales!$I$21*parametros_manuales!$J$21</f>
        <v>13150.43</v>
      </c>
      <c r="I172" s="8">
        <f>(parametros_manuales!$D$21*('Plan mensual'!K68+IF(parametros_manuales!$H$21="Todos",'Plan mensual'!K72,0))+parametros_manuales!$E$21*('Plan mensual'!K69+IF(parametros_manuales!$H$21="Todos",'Plan mensual'!K73,0))+parametros_manuales!$F$21*('Plan mensual'!K70+IF(parametros_manuales!$H$21="Todos",'Plan mensual'!K74,0))+parametros_manuales!$G$21*('Plan mensual'!K71+IF(parametros_manuales!$H$21="Todos",'Plan mensual'!K75,0)))*parametros_manuales!$I$21*parametros_manuales!$J$21</f>
        <v>13150.43</v>
      </c>
      <c r="J172" s="8">
        <f>(parametros_manuales!$D$21*('Plan mensual'!L68+IF(parametros_manuales!$H$21="Todos",'Plan mensual'!L72,0))+parametros_manuales!$E$21*('Plan mensual'!L69+IF(parametros_manuales!$H$21="Todos",'Plan mensual'!L73,0))+parametros_manuales!$F$21*('Plan mensual'!L70+IF(parametros_manuales!$H$21="Todos",'Plan mensual'!L74,0))+parametros_manuales!$G$21*('Plan mensual'!L71+IF(parametros_manuales!$H$21="Todos",'Plan mensual'!L75,0)))*parametros_manuales!$I$21*parametros_manuales!$J$21</f>
        <v>13150.43</v>
      </c>
      <c r="K172" s="8">
        <f>(parametros_manuales!$D$21*('Plan mensual'!M68+IF(parametros_manuales!$H$21="Todos",'Plan mensual'!M72,0))+parametros_manuales!$E$21*('Plan mensual'!M69+IF(parametros_manuales!$H$21="Todos",'Plan mensual'!M73,0))+parametros_manuales!$F$21*('Plan mensual'!M70+IF(parametros_manuales!$H$21="Todos",'Plan mensual'!M74,0))+parametros_manuales!$G$21*('Plan mensual'!M71+IF(parametros_manuales!$H$21="Todos",'Plan mensual'!M75,0)))*parametros_manuales!$I$21*parametros_manuales!$J$21</f>
        <v>12898.875</v>
      </c>
      <c r="L172" s="8">
        <f>(parametros_manuales!$D$21*('Plan mensual'!N68+IF(parametros_manuales!$H$21="Todos",'Plan mensual'!N72,0))+parametros_manuales!$E$21*('Plan mensual'!N69+IF(parametros_manuales!$H$21="Todos",'Plan mensual'!N73,0))+parametros_manuales!$F$21*('Plan mensual'!N70+IF(parametros_manuales!$H$21="Todos",'Plan mensual'!N74,0))+parametros_manuales!$G$21*('Plan mensual'!N71+IF(parametros_manuales!$H$21="Todos",'Plan mensual'!N75,0)))*parametros_manuales!$I$21*parametros_manuales!$J$21</f>
        <v>12647.32</v>
      </c>
      <c r="M172" s="8">
        <f>(parametros_manuales!$D$21*('Plan mensual'!O68+IF(parametros_manuales!$H$21="Todos",'Plan mensual'!O72,0))+parametros_manuales!$E$21*('Plan mensual'!O69+IF(parametros_manuales!$H$21="Todos",'Plan mensual'!O73,0))+parametros_manuales!$F$21*('Plan mensual'!O70+IF(parametros_manuales!$H$21="Todos",'Plan mensual'!O74,0))+parametros_manuales!$G$21*('Plan mensual'!O71+IF(parametros_manuales!$H$21="Todos",'Plan mensual'!O75,0)))*parametros_manuales!$I$21*parametros_manuales!$J$21</f>
        <v>20135.09</v>
      </c>
      <c r="N172" s="8">
        <f t="shared" si="19"/>
        <v>171985</v>
      </c>
      <c r="O172" s="8">
        <f t="shared" si="20"/>
        <v>20135.09</v>
      </c>
      <c r="P172" s="27">
        <f>O172/(parametros_manuales!$B$7)</f>
        <v>134.2339333</v>
      </c>
      <c r="Q172" s="4" t="str">
        <f t="shared" si="21"/>
        <v>Dic</v>
      </c>
    </row>
    <row r="173" ht="14.25" customHeight="1">
      <c r="A173" s="4" t="str">
        <f>parametros_manuales!$B$22</f>
        <v>Corte de disco y embutido (cúpula y fondo)</v>
      </c>
      <c r="B173" s="8">
        <f>(parametros_manuales!$D$22*('Plan mensual'!D68+IF(parametros_manuales!$H$22="Todos",'Plan mensual'!D72,0))+parametros_manuales!$E$22*('Plan mensual'!D69+IF(parametros_manuales!$H$22="Todos",'Plan mensual'!D73,0))+parametros_manuales!$F$22*('Plan mensual'!D70+IF(parametros_manuales!$H$22="Todos",'Plan mensual'!D74,0))+parametros_manuales!$G$22*('Plan mensual'!D71+IF(parametros_manuales!$H$22="Todos",'Plan mensual'!D75,0)))*parametros_manuales!$I$22*parametros_manuales!$J$22</f>
        <v>39263.96</v>
      </c>
      <c r="C173" s="8">
        <f>(parametros_manuales!$D$22*('Plan mensual'!E68+IF(parametros_manuales!$H$22="Todos",'Plan mensual'!E72,0))+parametros_manuales!$E$22*('Plan mensual'!E69+IF(parametros_manuales!$H$22="Todos",'Plan mensual'!E73,0))+parametros_manuales!$F$22*('Plan mensual'!E70+IF(parametros_manuales!$H$22="Todos",'Plan mensual'!E74,0))+parametros_manuales!$G$22*('Plan mensual'!E71+IF(parametros_manuales!$H$22="Todos",'Plan mensual'!E75,0)))*parametros_manuales!$I$22*parametros_manuales!$J$22</f>
        <v>29951.08</v>
      </c>
      <c r="D173" s="8">
        <f>(parametros_manuales!$D$22*('Plan mensual'!F68+IF(parametros_manuales!$H$22="Todos",'Plan mensual'!F72,0))+parametros_manuales!$E$22*('Plan mensual'!F69+IF(parametros_manuales!$H$22="Todos",'Plan mensual'!F73,0))+parametros_manuales!$F$22*('Plan mensual'!F70+IF(parametros_manuales!$H$22="Todos",'Plan mensual'!F74,0))+parametros_manuales!$G$22*('Plan mensual'!F71+IF(parametros_manuales!$H$22="Todos",'Plan mensual'!F75,0)))*parametros_manuales!$I$22*parametros_manuales!$J$22</f>
        <v>28020.71</v>
      </c>
      <c r="E173" s="8">
        <f>(parametros_manuales!$D$22*('Plan mensual'!G68+IF(parametros_manuales!$H$22="Todos",'Plan mensual'!G72,0))+parametros_manuales!$E$22*('Plan mensual'!G69+IF(parametros_manuales!$H$22="Todos",'Plan mensual'!G73,0))+parametros_manuales!$F$22*('Plan mensual'!G70+IF(parametros_manuales!$H$22="Todos",'Plan mensual'!G74,0))+parametros_manuales!$G$22*('Plan mensual'!G71+IF(parametros_manuales!$H$22="Todos",'Plan mensual'!G75,0)))*parametros_manuales!$I$22*parametros_manuales!$J$22</f>
        <v>26803.97</v>
      </c>
      <c r="F173" s="8">
        <f>(parametros_manuales!$D$22*('Plan mensual'!H68+IF(parametros_manuales!$H$22="Todos",'Plan mensual'!H72,0))+parametros_manuales!$E$22*('Plan mensual'!H69+IF(parametros_manuales!$H$22="Todos",'Plan mensual'!H73,0))+parametros_manuales!$F$22*('Plan mensual'!H70+IF(parametros_manuales!$H$22="Todos",'Plan mensual'!H74,0))+parametros_manuales!$G$22*('Plan mensual'!H71+IF(parametros_manuales!$H$22="Todos",'Plan mensual'!H75,0)))*parametros_manuales!$I$22*parametros_manuales!$J$22</f>
        <v>25084.12</v>
      </c>
      <c r="G173" s="8">
        <f>(parametros_manuales!$D$22*('Plan mensual'!I68+IF(parametros_manuales!$H$22="Todos",'Plan mensual'!I72,0))+parametros_manuales!$E$22*('Plan mensual'!I69+IF(parametros_manuales!$H$22="Todos",'Plan mensual'!I73,0))+parametros_manuales!$F$22*('Plan mensual'!I70+IF(parametros_manuales!$H$22="Todos",'Plan mensual'!I74,0))+parametros_manuales!$G$22*('Plan mensual'!I71+IF(parametros_manuales!$H$22="Todos",'Plan mensual'!I75,0)))*parametros_manuales!$I$22*parametros_manuales!$J$22</f>
        <v>24581.01</v>
      </c>
      <c r="H173" s="8">
        <f>(parametros_manuales!$D$22*('Plan mensual'!J68+IF(parametros_manuales!$H$22="Todos",'Plan mensual'!J72,0))+parametros_manuales!$E$22*('Plan mensual'!J69+IF(parametros_manuales!$H$22="Todos",'Plan mensual'!J73,0))+parametros_manuales!$F$22*('Plan mensual'!J70+IF(parametros_manuales!$H$22="Todos",'Plan mensual'!J74,0))+parametros_manuales!$G$22*('Plan mensual'!J71+IF(parametros_manuales!$H$22="Todos",'Plan mensual'!J75,0)))*parametros_manuales!$I$22*parametros_manuales!$J$22</f>
        <v>26300.86</v>
      </c>
      <c r="I173" s="8">
        <f>(parametros_manuales!$D$22*('Plan mensual'!K68+IF(parametros_manuales!$H$22="Todos",'Plan mensual'!K72,0))+parametros_manuales!$E$22*('Plan mensual'!K69+IF(parametros_manuales!$H$22="Todos",'Plan mensual'!K73,0))+parametros_manuales!$F$22*('Plan mensual'!K70+IF(parametros_manuales!$H$22="Todos",'Plan mensual'!K74,0))+parametros_manuales!$G$22*('Plan mensual'!K71+IF(parametros_manuales!$H$22="Todos",'Plan mensual'!K75,0)))*parametros_manuales!$I$22*parametros_manuales!$J$22</f>
        <v>26300.86</v>
      </c>
      <c r="J173" s="8">
        <f>(parametros_manuales!$D$22*('Plan mensual'!L68+IF(parametros_manuales!$H$22="Todos",'Plan mensual'!L72,0))+parametros_manuales!$E$22*('Plan mensual'!L69+IF(parametros_manuales!$H$22="Todos",'Plan mensual'!L73,0))+parametros_manuales!$F$22*('Plan mensual'!L70+IF(parametros_manuales!$H$22="Todos",'Plan mensual'!L74,0))+parametros_manuales!$G$22*('Plan mensual'!L71+IF(parametros_manuales!$H$22="Todos",'Plan mensual'!L75,0)))*parametros_manuales!$I$22*parametros_manuales!$J$22</f>
        <v>26300.86</v>
      </c>
      <c r="K173" s="8">
        <f>(parametros_manuales!$D$22*('Plan mensual'!M68+IF(parametros_manuales!$H$22="Todos",'Plan mensual'!M72,0))+parametros_manuales!$E$22*('Plan mensual'!M69+IF(parametros_manuales!$H$22="Todos",'Plan mensual'!M73,0))+parametros_manuales!$F$22*('Plan mensual'!M70+IF(parametros_manuales!$H$22="Todos",'Plan mensual'!M74,0))+parametros_manuales!$G$22*('Plan mensual'!M71+IF(parametros_manuales!$H$22="Todos",'Plan mensual'!M75,0)))*parametros_manuales!$I$22*parametros_manuales!$J$22</f>
        <v>25797.75</v>
      </c>
      <c r="L173" s="8">
        <f>(parametros_manuales!$D$22*('Plan mensual'!N68+IF(parametros_manuales!$H$22="Todos",'Plan mensual'!N72,0))+parametros_manuales!$E$22*('Plan mensual'!N69+IF(parametros_manuales!$H$22="Todos",'Plan mensual'!N73,0))+parametros_manuales!$F$22*('Plan mensual'!N70+IF(parametros_manuales!$H$22="Todos",'Plan mensual'!N74,0))+parametros_manuales!$G$22*('Plan mensual'!N71+IF(parametros_manuales!$H$22="Todos",'Plan mensual'!N75,0)))*parametros_manuales!$I$22*parametros_manuales!$J$22</f>
        <v>25294.64</v>
      </c>
      <c r="M173" s="8">
        <f>(parametros_manuales!$D$22*('Plan mensual'!O68+IF(parametros_manuales!$H$22="Todos",'Plan mensual'!O72,0))+parametros_manuales!$E$22*('Plan mensual'!O69+IF(parametros_manuales!$H$22="Todos",'Plan mensual'!O73,0))+parametros_manuales!$F$22*('Plan mensual'!O70+IF(parametros_manuales!$H$22="Todos",'Plan mensual'!O74,0))+parametros_manuales!$G$22*('Plan mensual'!O71+IF(parametros_manuales!$H$22="Todos",'Plan mensual'!O75,0)))*parametros_manuales!$I$22*parametros_manuales!$J$22</f>
        <v>40270.18</v>
      </c>
      <c r="N173" s="8">
        <f t="shared" si="19"/>
        <v>343970</v>
      </c>
      <c r="O173" s="8">
        <f t="shared" si="20"/>
        <v>40270.18</v>
      </c>
      <c r="P173" s="27">
        <f>O173/(parametros_manuales!$B$7)</f>
        <v>268.4678667</v>
      </c>
      <c r="Q173" s="4" t="str">
        <f t="shared" si="21"/>
        <v>Dic</v>
      </c>
    </row>
    <row r="174" ht="14.25" customHeight="1">
      <c r="A174" s="4" t="str">
        <f>parametros_manuales!$B$23</f>
        <v>Preparación de cuello</v>
      </c>
      <c r="B174" s="8">
        <f>(parametros_manuales!$D$23*('Plan mensual'!D68+IF(parametros_manuales!$H$23="Todos",'Plan mensual'!D72,0))+parametros_manuales!$E$23*('Plan mensual'!D69+IF(parametros_manuales!$H$23="Todos",'Plan mensual'!D73,0))+parametros_manuales!$F$23*('Plan mensual'!D70+IF(parametros_manuales!$H$23="Todos",'Plan mensual'!D74,0))+parametros_manuales!$G$23*('Plan mensual'!D71+IF(parametros_manuales!$H$23="Todos",'Plan mensual'!D75,0)))*parametros_manuales!$I$23*parametros_manuales!$J$23</f>
        <v>19631.98</v>
      </c>
      <c r="C174" s="8">
        <f>(parametros_manuales!$D$23*('Plan mensual'!E68+IF(parametros_manuales!$H$23="Todos",'Plan mensual'!E72,0))+parametros_manuales!$E$23*('Plan mensual'!E69+IF(parametros_manuales!$H$23="Todos",'Plan mensual'!E73,0))+parametros_manuales!$F$23*('Plan mensual'!E70+IF(parametros_manuales!$H$23="Todos",'Plan mensual'!E74,0))+parametros_manuales!$G$23*('Plan mensual'!E71+IF(parametros_manuales!$H$23="Todos",'Plan mensual'!E75,0)))*parametros_manuales!$I$23*parametros_manuales!$J$23</f>
        <v>14975.54</v>
      </c>
      <c r="D174" s="8">
        <f>(parametros_manuales!$D$23*('Plan mensual'!F68+IF(parametros_manuales!$H$23="Todos",'Plan mensual'!F72,0))+parametros_manuales!$E$23*('Plan mensual'!F69+IF(parametros_manuales!$H$23="Todos",'Plan mensual'!F73,0))+parametros_manuales!$F$23*('Plan mensual'!F70+IF(parametros_manuales!$H$23="Todos",'Plan mensual'!F74,0))+parametros_manuales!$G$23*('Plan mensual'!F71+IF(parametros_manuales!$H$23="Todos",'Plan mensual'!F75,0)))*parametros_manuales!$I$23*parametros_manuales!$J$23</f>
        <v>14010.355</v>
      </c>
      <c r="E174" s="8">
        <f>(parametros_manuales!$D$23*('Plan mensual'!G68+IF(parametros_manuales!$H$23="Todos",'Plan mensual'!G72,0))+parametros_manuales!$E$23*('Plan mensual'!G69+IF(parametros_manuales!$H$23="Todos",'Plan mensual'!G73,0))+parametros_manuales!$F$23*('Plan mensual'!G70+IF(parametros_manuales!$H$23="Todos",'Plan mensual'!G74,0))+parametros_manuales!$G$23*('Plan mensual'!G71+IF(parametros_manuales!$H$23="Todos",'Plan mensual'!G75,0)))*parametros_manuales!$I$23*parametros_manuales!$J$23</f>
        <v>13401.985</v>
      </c>
      <c r="F174" s="8">
        <f>(parametros_manuales!$D$23*('Plan mensual'!H68+IF(parametros_manuales!$H$23="Todos",'Plan mensual'!H72,0))+parametros_manuales!$E$23*('Plan mensual'!H69+IF(parametros_manuales!$H$23="Todos",'Plan mensual'!H73,0))+parametros_manuales!$F$23*('Plan mensual'!H70+IF(parametros_manuales!$H$23="Todos",'Plan mensual'!H74,0))+parametros_manuales!$G$23*('Plan mensual'!H71+IF(parametros_manuales!$H$23="Todos",'Plan mensual'!H75,0)))*parametros_manuales!$I$23*parametros_manuales!$J$23</f>
        <v>12542.06</v>
      </c>
      <c r="G174" s="8">
        <f>(parametros_manuales!$D$23*('Plan mensual'!I68+IF(parametros_manuales!$H$23="Todos",'Plan mensual'!I72,0))+parametros_manuales!$E$23*('Plan mensual'!I69+IF(parametros_manuales!$H$23="Todos",'Plan mensual'!I73,0))+parametros_manuales!$F$23*('Plan mensual'!I70+IF(parametros_manuales!$H$23="Todos",'Plan mensual'!I74,0))+parametros_manuales!$G$23*('Plan mensual'!I71+IF(parametros_manuales!$H$23="Todos",'Plan mensual'!I75,0)))*parametros_manuales!$I$23*parametros_manuales!$J$23</f>
        <v>12290.505</v>
      </c>
      <c r="H174" s="8">
        <f>(parametros_manuales!$D$23*('Plan mensual'!J68+IF(parametros_manuales!$H$23="Todos",'Plan mensual'!J72,0))+parametros_manuales!$E$23*('Plan mensual'!J69+IF(parametros_manuales!$H$23="Todos",'Plan mensual'!J73,0))+parametros_manuales!$F$23*('Plan mensual'!J70+IF(parametros_manuales!$H$23="Todos",'Plan mensual'!J74,0))+parametros_manuales!$G$23*('Plan mensual'!J71+IF(parametros_manuales!$H$23="Todos",'Plan mensual'!J75,0)))*parametros_manuales!$I$23*parametros_manuales!$J$23</f>
        <v>13150.43</v>
      </c>
      <c r="I174" s="8">
        <f>(parametros_manuales!$D$23*('Plan mensual'!K68+IF(parametros_manuales!$H$23="Todos",'Plan mensual'!K72,0))+parametros_manuales!$E$23*('Plan mensual'!K69+IF(parametros_manuales!$H$23="Todos",'Plan mensual'!K73,0))+parametros_manuales!$F$23*('Plan mensual'!K70+IF(parametros_manuales!$H$23="Todos",'Plan mensual'!K74,0))+parametros_manuales!$G$23*('Plan mensual'!K71+IF(parametros_manuales!$H$23="Todos",'Plan mensual'!K75,0)))*parametros_manuales!$I$23*parametros_manuales!$J$23</f>
        <v>13150.43</v>
      </c>
      <c r="J174" s="8">
        <f>(parametros_manuales!$D$23*('Plan mensual'!L68+IF(parametros_manuales!$H$23="Todos",'Plan mensual'!L72,0))+parametros_manuales!$E$23*('Plan mensual'!L69+IF(parametros_manuales!$H$23="Todos",'Plan mensual'!L73,0))+parametros_manuales!$F$23*('Plan mensual'!L70+IF(parametros_manuales!$H$23="Todos",'Plan mensual'!L74,0))+parametros_manuales!$G$23*('Plan mensual'!L71+IF(parametros_manuales!$H$23="Todos",'Plan mensual'!L75,0)))*parametros_manuales!$I$23*parametros_manuales!$J$23</f>
        <v>13150.43</v>
      </c>
      <c r="K174" s="8">
        <f>(parametros_manuales!$D$23*('Plan mensual'!M68+IF(parametros_manuales!$H$23="Todos",'Plan mensual'!M72,0))+parametros_manuales!$E$23*('Plan mensual'!M69+IF(parametros_manuales!$H$23="Todos",'Plan mensual'!M73,0))+parametros_manuales!$F$23*('Plan mensual'!M70+IF(parametros_manuales!$H$23="Todos",'Plan mensual'!M74,0))+parametros_manuales!$G$23*('Plan mensual'!M71+IF(parametros_manuales!$H$23="Todos",'Plan mensual'!M75,0)))*parametros_manuales!$I$23*parametros_manuales!$J$23</f>
        <v>12898.875</v>
      </c>
      <c r="L174" s="8">
        <f>(parametros_manuales!$D$23*('Plan mensual'!N68+IF(parametros_manuales!$H$23="Todos",'Plan mensual'!N72,0))+parametros_manuales!$E$23*('Plan mensual'!N69+IF(parametros_manuales!$H$23="Todos",'Plan mensual'!N73,0))+parametros_manuales!$F$23*('Plan mensual'!N70+IF(parametros_manuales!$H$23="Todos",'Plan mensual'!N74,0))+parametros_manuales!$G$23*('Plan mensual'!N71+IF(parametros_manuales!$H$23="Todos",'Plan mensual'!N75,0)))*parametros_manuales!$I$23*parametros_manuales!$J$23</f>
        <v>12647.32</v>
      </c>
      <c r="M174" s="8">
        <f>(parametros_manuales!$D$23*('Plan mensual'!O68+IF(parametros_manuales!$H$23="Todos",'Plan mensual'!O72,0))+parametros_manuales!$E$23*('Plan mensual'!O69+IF(parametros_manuales!$H$23="Todos",'Plan mensual'!O73,0))+parametros_manuales!$F$23*('Plan mensual'!O70+IF(parametros_manuales!$H$23="Todos",'Plan mensual'!O74,0))+parametros_manuales!$G$23*('Plan mensual'!O71+IF(parametros_manuales!$H$23="Todos",'Plan mensual'!O75,0)))*parametros_manuales!$I$23*parametros_manuales!$J$23</f>
        <v>20135.09</v>
      </c>
      <c r="N174" s="8">
        <f t="shared" si="19"/>
        <v>171985</v>
      </c>
      <c r="O174" s="8">
        <f t="shared" si="20"/>
        <v>20135.09</v>
      </c>
      <c r="P174" s="27">
        <f>O174/(parametros_manuales!$B$7)</f>
        <v>134.2339333</v>
      </c>
      <c r="Q174" s="4" t="str">
        <f t="shared" si="21"/>
        <v>Dic</v>
      </c>
    </row>
    <row r="175" ht="14.25" customHeight="1">
      <c r="A175" s="4" t="str">
        <f>parametros_manuales!$B$24</f>
        <v>Numerado de cúpula</v>
      </c>
      <c r="B175" s="8">
        <f>(parametros_manuales!$D$24*('Plan mensual'!D68+IF(parametros_manuales!$H$24="Todos",'Plan mensual'!D72,0))+parametros_manuales!$E$24*('Plan mensual'!D69+IF(parametros_manuales!$H$24="Todos",'Plan mensual'!D73,0))+parametros_manuales!$F$24*('Plan mensual'!D70+IF(parametros_manuales!$H$24="Todos",'Plan mensual'!D74,0))+parametros_manuales!$G$24*('Plan mensual'!D71+IF(parametros_manuales!$H$24="Todos",'Plan mensual'!D75,0)))*parametros_manuales!$I$24*parametros_manuales!$J$24</f>
        <v>19631.98</v>
      </c>
      <c r="C175" s="8">
        <f>(parametros_manuales!$D$24*('Plan mensual'!E68+IF(parametros_manuales!$H$24="Todos",'Plan mensual'!E72,0))+parametros_manuales!$E$24*('Plan mensual'!E69+IF(parametros_manuales!$H$24="Todos",'Plan mensual'!E73,0))+parametros_manuales!$F$24*('Plan mensual'!E70+IF(parametros_manuales!$H$24="Todos",'Plan mensual'!E74,0))+parametros_manuales!$G$24*('Plan mensual'!E71+IF(parametros_manuales!$H$24="Todos",'Plan mensual'!E75,0)))*parametros_manuales!$I$24*parametros_manuales!$J$24</f>
        <v>14975.54</v>
      </c>
      <c r="D175" s="8">
        <f>(parametros_manuales!$D$24*('Plan mensual'!F68+IF(parametros_manuales!$H$24="Todos",'Plan mensual'!F72,0))+parametros_manuales!$E$24*('Plan mensual'!F69+IF(parametros_manuales!$H$24="Todos",'Plan mensual'!F73,0))+parametros_manuales!$F$24*('Plan mensual'!F70+IF(parametros_manuales!$H$24="Todos",'Plan mensual'!F74,0))+parametros_manuales!$G$24*('Plan mensual'!F71+IF(parametros_manuales!$H$24="Todos",'Plan mensual'!F75,0)))*parametros_manuales!$I$24*parametros_manuales!$J$24</f>
        <v>14010.355</v>
      </c>
      <c r="E175" s="8">
        <f>(parametros_manuales!$D$24*('Plan mensual'!G68+IF(parametros_manuales!$H$24="Todos",'Plan mensual'!G72,0))+parametros_manuales!$E$24*('Plan mensual'!G69+IF(parametros_manuales!$H$24="Todos",'Plan mensual'!G73,0))+parametros_manuales!$F$24*('Plan mensual'!G70+IF(parametros_manuales!$H$24="Todos",'Plan mensual'!G74,0))+parametros_manuales!$G$24*('Plan mensual'!G71+IF(parametros_manuales!$H$24="Todos",'Plan mensual'!G75,0)))*parametros_manuales!$I$24*parametros_manuales!$J$24</f>
        <v>13401.985</v>
      </c>
      <c r="F175" s="8">
        <f>(parametros_manuales!$D$24*('Plan mensual'!H68+IF(parametros_manuales!$H$24="Todos",'Plan mensual'!H72,0))+parametros_manuales!$E$24*('Plan mensual'!H69+IF(parametros_manuales!$H$24="Todos",'Plan mensual'!H73,0))+parametros_manuales!$F$24*('Plan mensual'!H70+IF(parametros_manuales!$H$24="Todos",'Plan mensual'!H74,0))+parametros_manuales!$G$24*('Plan mensual'!H71+IF(parametros_manuales!$H$24="Todos",'Plan mensual'!H75,0)))*parametros_manuales!$I$24*parametros_manuales!$J$24</f>
        <v>12542.06</v>
      </c>
      <c r="G175" s="8">
        <f>(parametros_manuales!$D$24*('Plan mensual'!I68+IF(parametros_manuales!$H$24="Todos",'Plan mensual'!I72,0))+parametros_manuales!$E$24*('Plan mensual'!I69+IF(parametros_manuales!$H$24="Todos",'Plan mensual'!I73,0))+parametros_manuales!$F$24*('Plan mensual'!I70+IF(parametros_manuales!$H$24="Todos",'Plan mensual'!I74,0))+parametros_manuales!$G$24*('Plan mensual'!I71+IF(parametros_manuales!$H$24="Todos",'Plan mensual'!I75,0)))*parametros_manuales!$I$24*parametros_manuales!$J$24</f>
        <v>12290.505</v>
      </c>
      <c r="H175" s="8">
        <f>(parametros_manuales!$D$24*('Plan mensual'!J68+IF(parametros_manuales!$H$24="Todos",'Plan mensual'!J72,0))+parametros_manuales!$E$24*('Plan mensual'!J69+IF(parametros_manuales!$H$24="Todos",'Plan mensual'!J73,0))+parametros_manuales!$F$24*('Plan mensual'!J70+IF(parametros_manuales!$H$24="Todos",'Plan mensual'!J74,0))+parametros_manuales!$G$24*('Plan mensual'!J71+IF(parametros_manuales!$H$24="Todos",'Plan mensual'!J75,0)))*parametros_manuales!$I$24*parametros_manuales!$J$24</f>
        <v>13150.43</v>
      </c>
      <c r="I175" s="8">
        <f>(parametros_manuales!$D$24*('Plan mensual'!K68+IF(parametros_manuales!$H$24="Todos",'Plan mensual'!K72,0))+parametros_manuales!$E$24*('Plan mensual'!K69+IF(parametros_manuales!$H$24="Todos",'Plan mensual'!K73,0))+parametros_manuales!$F$24*('Plan mensual'!K70+IF(parametros_manuales!$H$24="Todos",'Plan mensual'!K74,0))+parametros_manuales!$G$24*('Plan mensual'!K71+IF(parametros_manuales!$H$24="Todos",'Plan mensual'!K75,0)))*parametros_manuales!$I$24*parametros_manuales!$J$24</f>
        <v>13150.43</v>
      </c>
      <c r="J175" s="8">
        <f>(parametros_manuales!$D$24*('Plan mensual'!L68+IF(parametros_manuales!$H$24="Todos",'Plan mensual'!L72,0))+parametros_manuales!$E$24*('Plan mensual'!L69+IF(parametros_manuales!$H$24="Todos",'Plan mensual'!L73,0))+parametros_manuales!$F$24*('Plan mensual'!L70+IF(parametros_manuales!$H$24="Todos",'Plan mensual'!L74,0))+parametros_manuales!$G$24*('Plan mensual'!L71+IF(parametros_manuales!$H$24="Todos",'Plan mensual'!L75,0)))*parametros_manuales!$I$24*parametros_manuales!$J$24</f>
        <v>13150.43</v>
      </c>
      <c r="K175" s="8">
        <f>(parametros_manuales!$D$24*('Plan mensual'!M68+IF(parametros_manuales!$H$24="Todos",'Plan mensual'!M72,0))+parametros_manuales!$E$24*('Plan mensual'!M69+IF(parametros_manuales!$H$24="Todos",'Plan mensual'!M73,0))+parametros_manuales!$F$24*('Plan mensual'!M70+IF(parametros_manuales!$H$24="Todos",'Plan mensual'!M74,0))+parametros_manuales!$G$24*('Plan mensual'!M71+IF(parametros_manuales!$H$24="Todos",'Plan mensual'!M75,0)))*parametros_manuales!$I$24*parametros_manuales!$J$24</f>
        <v>12898.875</v>
      </c>
      <c r="L175" s="8">
        <f>(parametros_manuales!$D$24*('Plan mensual'!N68+IF(parametros_manuales!$H$24="Todos",'Plan mensual'!N72,0))+parametros_manuales!$E$24*('Plan mensual'!N69+IF(parametros_manuales!$H$24="Todos",'Plan mensual'!N73,0))+parametros_manuales!$F$24*('Plan mensual'!N70+IF(parametros_manuales!$H$24="Todos",'Plan mensual'!N74,0))+parametros_manuales!$G$24*('Plan mensual'!N71+IF(parametros_manuales!$H$24="Todos",'Plan mensual'!N75,0)))*parametros_manuales!$I$24*parametros_manuales!$J$24</f>
        <v>12647.32</v>
      </c>
      <c r="M175" s="8">
        <f>(parametros_manuales!$D$24*('Plan mensual'!O68+IF(parametros_manuales!$H$24="Todos",'Plan mensual'!O72,0))+parametros_manuales!$E$24*('Plan mensual'!O69+IF(parametros_manuales!$H$24="Todos",'Plan mensual'!O73,0))+parametros_manuales!$F$24*('Plan mensual'!O70+IF(parametros_manuales!$H$24="Todos",'Plan mensual'!O74,0))+parametros_manuales!$G$24*('Plan mensual'!O71+IF(parametros_manuales!$H$24="Todos",'Plan mensual'!O75,0)))*parametros_manuales!$I$24*parametros_manuales!$J$24</f>
        <v>20135.09</v>
      </c>
      <c r="N175" s="8">
        <f t="shared" si="19"/>
        <v>171985</v>
      </c>
      <c r="O175" s="8">
        <f t="shared" si="20"/>
        <v>20135.09</v>
      </c>
      <c r="P175" s="27">
        <f>O175/(parametros_manuales!$B$7)</f>
        <v>134.2339333</v>
      </c>
      <c r="Q175" s="4" t="str">
        <f t="shared" si="21"/>
        <v>Dic</v>
      </c>
    </row>
    <row r="176" ht="14.25" customHeight="1">
      <c r="A176" s="4" t="str">
        <f>parametros_manuales!$B$25</f>
        <v>Soldadura del cuello a la cúpula</v>
      </c>
      <c r="B176" s="8">
        <f>(parametros_manuales!$D$25*('Plan mensual'!D68+IF(parametros_manuales!$H$25="Todos",'Plan mensual'!D72,0))+parametros_manuales!$E$25*('Plan mensual'!D69+IF(parametros_manuales!$H$25="Todos",'Plan mensual'!D73,0))+parametros_manuales!$F$25*('Plan mensual'!D70+IF(parametros_manuales!$H$25="Todos",'Plan mensual'!D74,0))+parametros_manuales!$G$25*('Plan mensual'!D71+IF(parametros_manuales!$H$25="Todos",'Plan mensual'!D75,0)))*parametros_manuales!$I$25*parametros_manuales!$J$25</f>
        <v>19631.98</v>
      </c>
      <c r="C176" s="8">
        <f>(parametros_manuales!$D$25*('Plan mensual'!E68+IF(parametros_manuales!$H$25="Todos",'Plan mensual'!E72,0))+parametros_manuales!$E$25*('Plan mensual'!E69+IF(parametros_manuales!$H$25="Todos",'Plan mensual'!E73,0))+parametros_manuales!$F$25*('Plan mensual'!E70+IF(parametros_manuales!$H$25="Todos",'Plan mensual'!E74,0))+parametros_manuales!$G$25*('Plan mensual'!E71+IF(parametros_manuales!$H$25="Todos",'Plan mensual'!E75,0)))*parametros_manuales!$I$25*parametros_manuales!$J$25</f>
        <v>14975.54</v>
      </c>
      <c r="D176" s="8">
        <f>(parametros_manuales!$D$25*('Plan mensual'!F68+IF(parametros_manuales!$H$25="Todos",'Plan mensual'!F72,0))+parametros_manuales!$E$25*('Plan mensual'!F69+IF(parametros_manuales!$H$25="Todos",'Plan mensual'!F73,0))+parametros_manuales!$F$25*('Plan mensual'!F70+IF(parametros_manuales!$H$25="Todos",'Plan mensual'!F74,0))+parametros_manuales!$G$25*('Plan mensual'!F71+IF(parametros_manuales!$H$25="Todos",'Plan mensual'!F75,0)))*parametros_manuales!$I$25*parametros_manuales!$J$25</f>
        <v>14010.355</v>
      </c>
      <c r="E176" s="8">
        <f>(parametros_manuales!$D$25*('Plan mensual'!G68+IF(parametros_manuales!$H$25="Todos",'Plan mensual'!G72,0))+parametros_manuales!$E$25*('Plan mensual'!G69+IF(parametros_manuales!$H$25="Todos",'Plan mensual'!G73,0))+parametros_manuales!$F$25*('Plan mensual'!G70+IF(parametros_manuales!$H$25="Todos",'Plan mensual'!G74,0))+parametros_manuales!$G$25*('Plan mensual'!G71+IF(parametros_manuales!$H$25="Todos",'Plan mensual'!G75,0)))*parametros_manuales!$I$25*parametros_manuales!$J$25</f>
        <v>13401.985</v>
      </c>
      <c r="F176" s="8">
        <f>(parametros_manuales!$D$25*('Plan mensual'!H68+IF(parametros_manuales!$H$25="Todos",'Plan mensual'!H72,0))+parametros_manuales!$E$25*('Plan mensual'!H69+IF(parametros_manuales!$H$25="Todos",'Plan mensual'!H73,0))+parametros_manuales!$F$25*('Plan mensual'!H70+IF(parametros_manuales!$H$25="Todos",'Plan mensual'!H74,0))+parametros_manuales!$G$25*('Plan mensual'!H71+IF(parametros_manuales!$H$25="Todos",'Plan mensual'!H75,0)))*parametros_manuales!$I$25*parametros_manuales!$J$25</f>
        <v>12542.06</v>
      </c>
      <c r="G176" s="8">
        <f>(parametros_manuales!$D$25*('Plan mensual'!I68+IF(parametros_manuales!$H$25="Todos",'Plan mensual'!I72,0))+parametros_manuales!$E$25*('Plan mensual'!I69+IF(parametros_manuales!$H$25="Todos",'Plan mensual'!I73,0))+parametros_manuales!$F$25*('Plan mensual'!I70+IF(parametros_manuales!$H$25="Todos",'Plan mensual'!I74,0))+parametros_manuales!$G$25*('Plan mensual'!I71+IF(parametros_manuales!$H$25="Todos",'Plan mensual'!I75,0)))*parametros_manuales!$I$25*parametros_manuales!$J$25</f>
        <v>12290.505</v>
      </c>
      <c r="H176" s="8">
        <f>(parametros_manuales!$D$25*('Plan mensual'!J68+IF(parametros_manuales!$H$25="Todos",'Plan mensual'!J72,0))+parametros_manuales!$E$25*('Plan mensual'!J69+IF(parametros_manuales!$H$25="Todos",'Plan mensual'!J73,0))+parametros_manuales!$F$25*('Plan mensual'!J70+IF(parametros_manuales!$H$25="Todos",'Plan mensual'!J74,0))+parametros_manuales!$G$25*('Plan mensual'!J71+IF(parametros_manuales!$H$25="Todos",'Plan mensual'!J75,0)))*parametros_manuales!$I$25*parametros_manuales!$J$25</f>
        <v>13150.43</v>
      </c>
      <c r="I176" s="8">
        <f>(parametros_manuales!$D$25*('Plan mensual'!K68+IF(parametros_manuales!$H$25="Todos",'Plan mensual'!K72,0))+parametros_manuales!$E$25*('Plan mensual'!K69+IF(parametros_manuales!$H$25="Todos",'Plan mensual'!K73,0))+parametros_manuales!$F$25*('Plan mensual'!K70+IF(parametros_manuales!$H$25="Todos",'Plan mensual'!K74,0))+parametros_manuales!$G$25*('Plan mensual'!K71+IF(parametros_manuales!$H$25="Todos",'Plan mensual'!K75,0)))*parametros_manuales!$I$25*parametros_manuales!$J$25</f>
        <v>13150.43</v>
      </c>
      <c r="J176" s="8">
        <f>(parametros_manuales!$D$25*('Plan mensual'!L68+IF(parametros_manuales!$H$25="Todos",'Plan mensual'!L72,0))+parametros_manuales!$E$25*('Plan mensual'!L69+IF(parametros_manuales!$H$25="Todos",'Plan mensual'!L73,0))+parametros_manuales!$F$25*('Plan mensual'!L70+IF(parametros_manuales!$H$25="Todos",'Plan mensual'!L74,0))+parametros_manuales!$G$25*('Plan mensual'!L71+IF(parametros_manuales!$H$25="Todos",'Plan mensual'!L75,0)))*parametros_manuales!$I$25*parametros_manuales!$J$25</f>
        <v>13150.43</v>
      </c>
      <c r="K176" s="8">
        <f>(parametros_manuales!$D$25*('Plan mensual'!M68+IF(parametros_manuales!$H$25="Todos",'Plan mensual'!M72,0))+parametros_manuales!$E$25*('Plan mensual'!M69+IF(parametros_manuales!$H$25="Todos",'Plan mensual'!M73,0))+parametros_manuales!$F$25*('Plan mensual'!M70+IF(parametros_manuales!$H$25="Todos",'Plan mensual'!M74,0))+parametros_manuales!$G$25*('Plan mensual'!M71+IF(parametros_manuales!$H$25="Todos",'Plan mensual'!M75,0)))*parametros_manuales!$I$25*parametros_manuales!$J$25</f>
        <v>12898.875</v>
      </c>
      <c r="L176" s="8">
        <f>(parametros_manuales!$D$25*('Plan mensual'!N68+IF(parametros_manuales!$H$25="Todos",'Plan mensual'!N72,0))+parametros_manuales!$E$25*('Plan mensual'!N69+IF(parametros_manuales!$H$25="Todos",'Plan mensual'!N73,0))+parametros_manuales!$F$25*('Plan mensual'!N70+IF(parametros_manuales!$H$25="Todos",'Plan mensual'!N74,0))+parametros_manuales!$G$25*('Plan mensual'!N71+IF(parametros_manuales!$H$25="Todos",'Plan mensual'!N75,0)))*parametros_manuales!$I$25*parametros_manuales!$J$25</f>
        <v>12647.32</v>
      </c>
      <c r="M176" s="8">
        <f>(parametros_manuales!$D$25*('Plan mensual'!O68+IF(parametros_manuales!$H$25="Todos",'Plan mensual'!O72,0))+parametros_manuales!$E$25*('Plan mensual'!O69+IF(parametros_manuales!$H$25="Todos",'Plan mensual'!O73,0))+parametros_manuales!$F$25*('Plan mensual'!O70+IF(parametros_manuales!$H$25="Todos",'Plan mensual'!O74,0))+parametros_manuales!$G$25*('Plan mensual'!O71+IF(parametros_manuales!$H$25="Todos",'Plan mensual'!O75,0)))*parametros_manuales!$I$25*parametros_manuales!$J$25</f>
        <v>20135.09</v>
      </c>
      <c r="N176" s="8">
        <f t="shared" si="19"/>
        <v>171985</v>
      </c>
      <c r="O176" s="8">
        <f t="shared" si="20"/>
        <v>20135.09</v>
      </c>
      <c r="P176" s="27">
        <f>O176/(parametros_manuales!$B$7)</f>
        <v>134.2339333</v>
      </c>
      <c r="Q176" s="4" t="str">
        <f t="shared" si="21"/>
        <v>Dic</v>
      </c>
    </row>
    <row r="177" ht="14.25" customHeight="1">
      <c r="A177" s="4" t="str">
        <f>parametros_manuales!$B$26</f>
        <v>Cilindrado</v>
      </c>
      <c r="B177" s="8">
        <f>(parametros_manuales!$D$26*('Plan mensual'!D68+IF(parametros_manuales!$H$26="Todos",'Plan mensual'!D72,0))+parametros_manuales!$E$26*('Plan mensual'!D69+IF(parametros_manuales!$H$26="Todos",'Plan mensual'!D73,0))+parametros_manuales!$F$26*('Plan mensual'!D70+IF(parametros_manuales!$H$26="Todos",'Plan mensual'!D74,0))+parametros_manuales!$G$26*('Plan mensual'!D71+IF(parametros_manuales!$H$26="Todos",'Plan mensual'!D75,0)))*parametros_manuales!$I$26*parametros_manuales!$J$26</f>
        <v>19631.98</v>
      </c>
      <c r="C177" s="8">
        <f>(parametros_manuales!$D$26*('Plan mensual'!E68+IF(parametros_manuales!$H$26="Todos",'Plan mensual'!E72,0))+parametros_manuales!$E$26*('Plan mensual'!E69+IF(parametros_manuales!$H$26="Todos",'Plan mensual'!E73,0))+parametros_manuales!$F$26*('Plan mensual'!E70+IF(parametros_manuales!$H$26="Todos",'Plan mensual'!E74,0))+parametros_manuales!$G$26*('Plan mensual'!E71+IF(parametros_manuales!$H$26="Todos",'Plan mensual'!E75,0)))*parametros_manuales!$I$26*parametros_manuales!$J$26</f>
        <v>14975.54</v>
      </c>
      <c r="D177" s="8">
        <f>(parametros_manuales!$D$26*('Plan mensual'!F68+IF(parametros_manuales!$H$26="Todos",'Plan mensual'!F72,0))+parametros_manuales!$E$26*('Plan mensual'!F69+IF(parametros_manuales!$H$26="Todos",'Plan mensual'!F73,0))+parametros_manuales!$F$26*('Plan mensual'!F70+IF(parametros_manuales!$H$26="Todos",'Plan mensual'!F74,0))+parametros_manuales!$G$26*('Plan mensual'!F71+IF(parametros_manuales!$H$26="Todos",'Plan mensual'!F75,0)))*parametros_manuales!$I$26*parametros_manuales!$J$26</f>
        <v>14010.355</v>
      </c>
      <c r="E177" s="8">
        <f>(parametros_manuales!$D$26*('Plan mensual'!G68+IF(parametros_manuales!$H$26="Todos",'Plan mensual'!G72,0))+parametros_manuales!$E$26*('Plan mensual'!G69+IF(parametros_manuales!$H$26="Todos",'Plan mensual'!G73,0))+parametros_manuales!$F$26*('Plan mensual'!G70+IF(parametros_manuales!$H$26="Todos",'Plan mensual'!G74,0))+parametros_manuales!$G$26*('Plan mensual'!G71+IF(parametros_manuales!$H$26="Todos",'Plan mensual'!G75,0)))*parametros_manuales!$I$26*parametros_manuales!$J$26</f>
        <v>13401.985</v>
      </c>
      <c r="F177" s="8">
        <f>(parametros_manuales!$D$26*('Plan mensual'!H68+IF(parametros_manuales!$H$26="Todos",'Plan mensual'!H72,0))+parametros_manuales!$E$26*('Plan mensual'!H69+IF(parametros_manuales!$H$26="Todos",'Plan mensual'!H73,0))+parametros_manuales!$F$26*('Plan mensual'!H70+IF(parametros_manuales!$H$26="Todos",'Plan mensual'!H74,0))+parametros_manuales!$G$26*('Plan mensual'!H71+IF(parametros_manuales!$H$26="Todos",'Plan mensual'!H75,0)))*parametros_manuales!$I$26*parametros_manuales!$J$26</f>
        <v>12542.06</v>
      </c>
      <c r="G177" s="8">
        <f>(parametros_manuales!$D$26*('Plan mensual'!I68+IF(parametros_manuales!$H$26="Todos",'Plan mensual'!I72,0))+parametros_manuales!$E$26*('Plan mensual'!I69+IF(parametros_manuales!$H$26="Todos",'Plan mensual'!I73,0))+parametros_manuales!$F$26*('Plan mensual'!I70+IF(parametros_manuales!$H$26="Todos",'Plan mensual'!I74,0))+parametros_manuales!$G$26*('Plan mensual'!I71+IF(parametros_manuales!$H$26="Todos",'Plan mensual'!I75,0)))*parametros_manuales!$I$26*parametros_manuales!$J$26</f>
        <v>12290.505</v>
      </c>
      <c r="H177" s="8">
        <f>(parametros_manuales!$D$26*('Plan mensual'!J68+IF(parametros_manuales!$H$26="Todos",'Plan mensual'!J72,0))+parametros_manuales!$E$26*('Plan mensual'!J69+IF(parametros_manuales!$H$26="Todos",'Plan mensual'!J73,0))+parametros_manuales!$F$26*('Plan mensual'!J70+IF(parametros_manuales!$H$26="Todos",'Plan mensual'!J74,0))+parametros_manuales!$G$26*('Plan mensual'!J71+IF(parametros_manuales!$H$26="Todos",'Plan mensual'!J75,0)))*parametros_manuales!$I$26*parametros_manuales!$J$26</f>
        <v>13150.43</v>
      </c>
      <c r="I177" s="8">
        <f>(parametros_manuales!$D$26*('Plan mensual'!K68+IF(parametros_manuales!$H$26="Todos",'Plan mensual'!K72,0))+parametros_manuales!$E$26*('Plan mensual'!K69+IF(parametros_manuales!$H$26="Todos",'Plan mensual'!K73,0))+parametros_manuales!$F$26*('Plan mensual'!K70+IF(parametros_manuales!$H$26="Todos",'Plan mensual'!K74,0))+parametros_manuales!$G$26*('Plan mensual'!K71+IF(parametros_manuales!$H$26="Todos",'Plan mensual'!K75,0)))*parametros_manuales!$I$26*parametros_manuales!$J$26</f>
        <v>13150.43</v>
      </c>
      <c r="J177" s="8">
        <f>(parametros_manuales!$D$26*('Plan mensual'!L68+IF(parametros_manuales!$H$26="Todos",'Plan mensual'!L72,0))+parametros_manuales!$E$26*('Plan mensual'!L69+IF(parametros_manuales!$H$26="Todos",'Plan mensual'!L73,0))+parametros_manuales!$F$26*('Plan mensual'!L70+IF(parametros_manuales!$H$26="Todos",'Plan mensual'!L74,0))+parametros_manuales!$G$26*('Plan mensual'!L71+IF(parametros_manuales!$H$26="Todos",'Plan mensual'!L75,0)))*parametros_manuales!$I$26*parametros_manuales!$J$26</f>
        <v>13150.43</v>
      </c>
      <c r="K177" s="8">
        <f>(parametros_manuales!$D$26*('Plan mensual'!M68+IF(parametros_manuales!$H$26="Todos",'Plan mensual'!M72,0))+parametros_manuales!$E$26*('Plan mensual'!M69+IF(parametros_manuales!$H$26="Todos",'Plan mensual'!M73,0))+parametros_manuales!$F$26*('Plan mensual'!M70+IF(parametros_manuales!$H$26="Todos",'Plan mensual'!M74,0))+parametros_manuales!$G$26*('Plan mensual'!M71+IF(parametros_manuales!$H$26="Todos",'Plan mensual'!M75,0)))*parametros_manuales!$I$26*parametros_manuales!$J$26</f>
        <v>12898.875</v>
      </c>
      <c r="L177" s="8">
        <f>(parametros_manuales!$D$26*('Plan mensual'!N68+IF(parametros_manuales!$H$26="Todos",'Plan mensual'!N72,0))+parametros_manuales!$E$26*('Plan mensual'!N69+IF(parametros_manuales!$H$26="Todos",'Plan mensual'!N73,0))+parametros_manuales!$F$26*('Plan mensual'!N70+IF(parametros_manuales!$H$26="Todos",'Plan mensual'!N74,0))+parametros_manuales!$G$26*('Plan mensual'!N71+IF(parametros_manuales!$H$26="Todos",'Plan mensual'!N75,0)))*parametros_manuales!$I$26*parametros_manuales!$J$26</f>
        <v>12647.32</v>
      </c>
      <c r="M177" s="8">
        <f>(parametros_manuales!$D$26*('Plan mensual'!O68+IF(parametros_manuales!$H$26="Todos",'Plan mensual'!O72,0))+parametros_manuales!$E$26*('Plan mensual'!O69+IF(parametros_manuales!$H$26="Todos",'Plan mensual'!O73,0))+parametros_manuales!$F$26*('Plan mensual'!O70+IF(parametros_manuales!$H$26="Todos",'Plan mensual'!O74,0))+parametros_manuales!$G$26*('Plan mensual'!O71+IF(parametros_manuales!$H$26="Todos",'Plan mensual'!O75,0)))*parametros_manuales!$I$26*parametros_manuales!$J$26</f>
        <v>20135.09</v>
      </c>
      <c r="N177" s="8">
        <f t="shared" si="19"/>
        <v>171985</v>
      </c>
      <c r="O177" s="8">
        <f t="shared" si="20"/>
        <v>20135.09</v>
      </c>
      <c r="P177" s="27">
        <f>O177/(parametros_manuales!$B$7)</f>
        <v>134.2339333</v>
      </c>
      <c r="Q177" s="4" t="str">
        <f t="shared" si="21"/>
        <v>Dic</v>
      </c>
    </row>
    <row r="178" ht="14.25" customHeight="1">
      <c r="A178" s="4" t="str">
        <f>parametros_manuales!$B$27</f>
        <v>Soldadura longitudinal — 2,5 a 10 kg</v>
      </c>
      <c r="B178" s="8">
        <f>(parametros_manuales!$D$27*('Plan mensual'!D68+IF(parametros_manuales!$H$27="Todos",'Plan mensual'!D72,0))+parametros_manuales!$E$27*('Plan mensual'!D69+IF(parametros_manuales!$H$27="Todos",'Plan mensual'!D73,0))+parametros_manuales!$F$27*('Plan mensual'!D70+IF(parametros_manuales!$H$27="Todos",'Plan mensual'!D74,0))+parametros_manuales!$G$27*('Plan mensual'!D71+IF(parametros_manuales!$H$27="Todos",'Plan mensual'!D75,0)))*parametros_manuales!$I$27*parametros_manuales!$J$27</f>
        <v>5031.1</v>
      </c>
      <c r="C178" s="8">
        <f>(parametros_manuales!$D$27*('Plan mensual'!E68+IF(parametros_manuales!$H$27="Todos",'Plan mensual'!E72,0))+parametros_manuales!$E$27*('Plan mensual'!E69+IF(parametros_manuales!$H$27="Todos",'Plan mensual'!E73,0))+parametros_manuales!$F$27*('Plan mensual'!E70+IF(parametros_manuales!$H$27="Todos",'Plan mensual'!E74,0))+parametros_manuales!$G$27*('Plan mensual'!E71+IF(parametros_manuales!$H$27="Todos",'Plan mensual'!E75,0)))*parametros_manuales!$I$27*parametros_manuales!$J$27</f>
        <v>4024.88</v>
      </c>
      <c r="D178" s="8">
        <f>(parametros_manuales!$D$27*('Plan mensual'!F68+IF(parametros_manuales!$H$27="Todos",'Plan mensual'!F72,0))+parametros_manuales!$E$27*('Plan mensual'!F69+IF(parametros_manuales!$H$27="Todos",'Plan mensual'!F73,0))+parametros_manuales!$F$27*('Plan mensual'!F70+IF(parametros_manuales!$H$27="Todos",'Plan mensual'!F74,0))+parametros_manuales!$G$27*('Plan mensual'!F71+IF(parametros_manuales!$H$27="Todos",'Plan mensual'!F75,0)))*parametros_manuales!$I$27*parametros_manuales!$J$27</f>
        <v>4276.435</v>
      </c>
      <c r="E178" s="8">
        <f>(parametros_manuales!$D$27*('Plan mensual'!G68+IF(parametros_manuales!$H$27="Todos",'Plan mensual'!G72,0))+parametros_manuales!$E$27*('Plan mensual'!G69+IF(parametros_manuales!$H$27="Todos",'Plan mensual'!G73,0))+parametros_manuales!$F$27*('Plan mensual'!G70+IF(parametros_manuales!$H$27="Todos",'Plan mensual'!G74,0))+parametros_manuales!$G$27*('Plan mensual'!G71+IF(parametros_manuales!$H$27="Todos",'Plan mensual'!G75,0)))*parametros_manuales!$I$27*parametros_manuales!$J$27</f>
        <v>4276.435</v>
      </c>
      <c r="F178" s="8">
        <f>(parametros_manuales!$D$27*('Plan mensual'!H68+IF(parametros_manuales!$H$27="Todos",'Plan mensual'!H72,0))+parametros_manuales!$E$27*('Plan mensual'!H69+IF(parametros_manuales!$H$27="Todos",'Plan mensual'!H73,0))+parametros_manuales!$F$27*('Plan mensual'!H70+IF(parametros_manuales!$H$27="Todos",'Plan mensual'!H74,0))+parametros_manuales!$G$27*('Plan mensual'!H71+IF(parametros_manuales!$H$27="Todos",'Plan mensual'!H75,0)))*parametros_manuales!$I$27*parametros_manuales!$J$27</f>
        <v>4024.88</v>
      </c>
      <c r="G178" s="8">
        <f>(parametros_manuales!$D$27*('Plan mensual'!I68+IF(parametros_manuales!$H$27="Todos",'Plan mensual'!I72,0))+parametros_manuales!$E$27*('Plan mensual'!I69+IF(parametros_manuales!$H$27="Todos",'Plan mensual'!I73,0))+parametros_manuales!$F$27*('Plan mensual'!I70+IF(parametros_manuales!$H$27="Todos",'Plan mensual'!I74,0))+parametros_manuales!$G$27*('Plan mensual'!I71+IF(parametros_manuales!$H$27="Todos",'Plan mensual'!I75,0)))*parametros_manuales!$I$27*parametros_manuales!$J$27</f>
        <v>3773.325</v>
      </c>
      <c r="H178" s="8">
        <f>(parametros_manuales!$D$27*('Plan mensual'!J68+IF(parametros_manuales!$H$27="Todos",'Plan mensual'!J72,0))+parametros_manuales!$E$27*('Plan mensual'!J69+IF(parametros_manuales!$H$27="Todos",'Plan mensual'!J73,0))+parametros_manuales!$F$27*('Plan mensual'!J70+IF(parametros_manuales!$H$27="Todos",'Plan mensual'!J74,0))+parametros_manuales!$G$27*('Plan mensual'!J71+IF(parametros_manuales!$H$27="Todos",'Plan mensual'!J75,0)))*parametros_manuales!$I$27*parametros_manuales!$J$27</f>
        <v>4024.88</v>
      </c>
      <c r="I178" s="8">
        <f>(parametros_manuales!$D$27*('Plan mensual'!K68+IF(parametros_manuales!$H$27="Todos",'Plan mensual'!K72,0))+parametros_manuales!$E$27*('Plan mensual'!K69+IF(parametros_manuales!$H$27="Todos",'Plan mensual'!K73,0))+parametros_manuales!$F$27*('Plan mensual'!K70+IF(parametros_manuales!$H$27="Todos",'Plan mensual'!K74,0))+parametros_manuales!$G$27*('Plan mensual'!K71+IF(parametros_manuales!$H$27="Todos",'Plan mensual'!K75,0)))*parametros_manuales!$I$27*parametros_manuales!$J$27</f>
        <v>4024.88</v>
      </c>
      <c r="J178" s="8">
        <f>(parametros_manuales!$D$27*('Plan mensual'!L68+IF(parametros_manuales!$H$27="Todos",'Plan mensual'!L72,0))+parametros_manuales!$E$27*('Plan mensual'!L69+IF(parametros_manuales!$H$27="Todos",'Plan mensual'!L73,0))+parametros_manuales!$F$27*('Plan mensual'!L70+IF(parametros_manuales!$H$27="Todos",'Plan mensual'!L74,0))+parametros_manuales!$G$27*('Plan mensual'!L71+IF(parametros_manuales!$H$27="Todos",'Plan mensual'!L75,0)))*parametros_manuales!$I$27*parametros_manuales!$J$27</f>
        <v>4024.88</v>
      </c>
      <c r="K178" s="8">
        <f>(parametros_manuales!$D$27*('Plan mensual'!M68+IF(parametros_manuales!$H$27="Todos",'Plan mensual'!M72,0))+parametros_manuales!$E$27*('Plan mensual'!M69+IF(parametros_manuales!$H$27="Todos",'Plan mensual'!M73,0))+parametros_manuales!$F$27*('Plan mensual'!M70+IF(parametros_manuales!$H$27="Todos",'Plan mensual'!M74,0))+parametros_manuales!$G$27*('Plan mensual'!M71+IF(parametros_manuales!$H$27="Todos",'Plan mensual'!M75,0)))*parametros_manuales!$I$27*parametros_manuales!$J$27</f>
        <v>3773.325</v>
      </c>
      <c r="L178" s="8">
        <f>(parametros_manuales!$D$27*('Plan mensual'!N68+IF(parametros_manuales!$H$27="Todos",'Plan mensual'!N72,0))+parametros_manuales!$E$27*('Plan mensual'!N69+IF(parametros_manuales!$H$27="Todos",'Plan mensual'!N73,0))+parametros_manuales!$F$27*('Plan mensual'!N70+IF(parametros_manuales!$H$27="Todos",'Plan mensual'!N74,0))+parametros_manuales!$G$27*('Plan mensual'!N71+IF(parametros_manuales!$H$27="Todos",'Plan mensual'!N75,0)))*parametros_manuales!$I$27*parametros_manuales!$J$27</f>
        <v>3521.77</v>
      </c>
      <c r="M178" s="8">
        <f>(parametros_manuales!$D$27*('Plan mensual'!O68+IF(parametros_manuales!$H$27="Todos",'Plan mensual'!O72,0))+parametros_manuales!$E$27*('Plan mensual'!O69+IF(parametros_manuales!$H$27="Todos",'Plan mensual'!O73,0))+parametros_manuales!$F$27*('Plan mensual'!O70+IF(parametros_manuales!$H$27="Todos",'Plan mensual'!O74,0))+parametros_manuales!$G$27*('Plan mensual'!O71+IF(parametros_manuales!$H$27="Todos",'Plan mensual'!O75,0)))*parametros_manuales!$I$27*parametros_manuales!$J$27</f>
        <v>5534.21</v>
      </c>
      <c r="N178" s="8">
        <f t="shared" si="19"/>
        <v>50311</v>
      </c>
      <c r="O178" s="8">
        <f t="shared" si="20"/>
        <v>5534.21</v>
      </c>
      <c r="P178" s="27">
        <f>O178/(parametros_manuales!$B$7)</f>
        <v>36.89473333</v>
      </c>
      <c r="Q178" s="4" t="str">
        <f t="shared" si="21"/>
        <v>Dic</v>
      </c>
    </row>
    <row r="179" ht="14.25" customHeight="1">
      <c r="A179" s="4" t="str">
        <f>parametros_manuales!$B$28</f>
        <v>Soldadura longitudinal TIG — 1 kg</v>
      </c>
      <c r="B179" s="8">
        <f>(parametros_manuales!$D$28*('Plan mensual'!D68+IF(parametros_manuales!$H$28="Todos",'Plan mensual'!D72,0))+parametros_manuales!$E$28*('Plan mensual'!D69+IF(parametros_manuales!$H$28="Todos",'Plan mensual'!D73,0))+parametros_manuales!$F$28*('Plan mensual'!D70+IF(parametros_manuales!$H$28="Todos",'Plan mensual'!D74,0))+parametros_manuales!$G$28*('Plan mensual'!D71+IF(parametros_manuales!$H$28="Todos",'Plan mensual'!D75,0)))*parametros_manuales!$I$28*parametros_manuales!$J$28</f>
        <v>14600.88</v>
      </c>
      <c r="C179" s="8">
        <f>(parametros_manuales!$D$28*('Plan mensual'!E68+IF(parametros_manuales!$H$28="Todos",'Plan mensual'!E72,0))+parametros_manuales!$E$28*('Plan mensual'!E69+IF(parametros_manuales!$H$28="Todos",'Plan mensual'!E73,0))+parametros_manuales!$F$28*('Plan mensual'!E70+IF(parametros_manuales!$H$28="Todos",'Plan mensual'!E74,0))+parametros_manuales!$G$28*('Plan mensual'!E71+IF(parametros_manuales!$H$28="Todos",'Plan mensual'!E75,0)))*parametros_manuales!$I$28*parametros_manuales!$J$28</f>
        <v>10950.66</v>
      </c>
      <c r="D179" s="8">
        <f>(parametros_manuales!$D$28*('Plan mensual'!F68+IF(parametros_manuales!$H$28="Todos",'Plan mensual'!F72,0))+parametros_manuales!$E$28*('Plan mensual'!F69+IF(parametros_manuales!$H$28="Todos",'Plan mensual'!F73,0))+parametros_manuales!$F$28*('Plan mensual'!F70+IF(parametros_manuales!$H$28="Todos",'Plan mensual'!F74,0))+parametros_manuales!$G$28*('Plan mensual'!F71+IF(parametros_manuales!$H$28="Todos",'Plan mensual'!F75,0)))*parametros_manuales!$I$28*parametros_manuales!$J$28</f>
        <v>9733.92</v>
      </c>
      <c r="E179" s="8">
        <f>(parametros_manuales!$D$28*('Plan mensual'!G68+IF(parametros_manuales!$H$28="Todos",'Plan mensual'!G72,0))+parametros_manuales!$E$28*('Plan mensual'!G69+IF(parametros_manuales!$H$28="Todos",'Plan mensual'!G73,0))+parametros_manuales!$F$28*('Plan mensual'!G70+IF(parametros_manuales!$H$28="Todos",'Plan mensual'!G74,0))+parametros_manuales!$G$28*('Plan mensual'!G71+IF(parametros_manuales!$H$28="Todos",'Plan mensual'!G75,0)))*parametros_manuales!$I$28*parametros_manuales!$J$28</f>
        <v>9125.55</v>
      </c>
      <c r="F179" s="8">
        <f>(parametros_manuales!$D$28*('Plan mensual'!H68+IF(parametros_manuales!$H$28="Todos",'Plan mensual'!H72,0))+parametros_manuales!$E$28*('Plan mensual'!H69+IF(parametros_manuales!$H$28="Todos",'Plan mensual'!H73,0))+parametros_manuales!$F$28*('Plan mensual'!H70+IF(parametros_manuales!$H$28="Todos",'Plan mensual'!H74,0))+parametros_manuales!$G$28*('Plan mensual'!H71+IF(parametros_manuales!$H$28="Todos",'Plan mensual'!H75,0)))*parametros_manuales!$I$28*parametros_manuales!$J$28</f>
        <v>8517.18</v>
      </c>
      <c r="G179" s="8">
        <f>(parametros_manuales!$D$28*('Plan mensual'!I68+IF(parametros_manuales!$H$28="Todos",'Plan mensual'!I72,0))+parametros_manuales!$E$28*('Plan mensual'!I69+IF(parametros_manuales!$H$28="Todos",'Plan mensual'!I73,0))+parametros_manuales!$F$28*('Plan mensual'!I70+IF(parametros_manuales!$H$28="Todos",'Plan mensual'!I74,0))+parametros_manuales!$G$28*('Plan mensual'!I71+IF(parametros_manuales!$H$28="Todos",'Plan mensual'!I75,0)))*parametros_manuales!$I$28*parametros_manuales!$J$28</f>
        <v>8517.18</v>
      </c>
      <c r="H179" s="8">
        <f>(parametros_manuales!$D$28*('Plan mensual'!J68+IF(parametros_manuales!$H$28="Todos",'Plan mensual'!J72,0))+parametros_manuales!$E$28*('Plan mensual'!J69+IF(parametros_manuales!$H$28="Todos",'Plan mensual'!J73,0))+parametros_manuales!$F$28*('Plan mensual'!J70+IF(parametros_manuales!$H$28="Todos",'Plan mensual'!J74,0))+parametros_manuales!$G$28*('Plan mensual'!J71+IF(parametros_manuales!$H$28="Todos",'Plan mensual'!J75,0)))*parametros_manuales!$I$28*parametros_manuales!$J$28</f>
        <v>9125.55</v>
      </c>
      <c r="I179" s="8">
        <f>(parametros_manuales!$D$28*('Plan mensual'!K68+IF(parametros_manuales!$H$28="Todos",'Plan mensual'!K72,0))+parametros_manuales!$E$28*('Plan mensual'!K69+IF(parametros_manuales!$H$28="Todos",'Plan mensual'!K73,0))+parametros_manuales!$F$28*('Plan mensual'!K70+IF(parametros_manuales!$H$28="Todos",'Plan mensual'!K74,0))+parametros_manuales!$G$28*('Plan mensual'!K71+IF(parametros_manuales!$H$28="Todos",'Plan mensual'!K75,0)))*parametros_manuales!$I$28*parametros_manuales!$J$28</f>
        <v>9125.55</v>
      </c>
      <c r="J179" s="8">
        <f>(parametros_manuales!$D$28*('Plan mensual'!L68+IF(parametros_manuales!$H$28="Todos",'Plan mensual'!L72,0))+parametros_manuales!$E$28*('Plan mensual'!L69+IF(parametros_manuales!$H$28="Todos",'Plan mensual'!L73,0))+parametros_manuales!$F$28*('Plan mensual'!L70+IF(parametros_manuales!$H$28="Todos",'Plan mensual'!L74,0))+parametros_manuales!$G$28*('Plan mensual'!L71+IF(parametros_manuales!$H$28="Todos",'Plan mensual'!L75,0)))*parametros_manuales!$I$28*parametros_manuales!$J$28</f>
        <v>9125.55</v>
      </c>
      <c r="K179" s="8">
        <f>(parametros_manuales!$D$28*('Plan mensual'!M68+IF(parametros_manuales!$H$28="Todos",'Plan mensual'!M72,0))+parametros_manuales!$E$28*('Plan mensual'!M69+IF(parametros_manuales!$H$28="Todos",'Plan mensual'!M73,0))+parametros_manuales!$F$28*('Plan mensual'!M70+IF(parametros_manuales!$H$28="Todos",'Plan mensual'!M74,0))+parametros_manuales!$G$28*('Plan mensual'!M71+IF(parametros_manuales!$H$28="Todos",'Plan mensual'!M75,0)))*parametros_manuales!$I$28*parametros_manuales!$J$28</f>
        <v>9125.55</v>
      </c>
      <c r="L179" s="8">
        <f>(parametros_manuales!$D$28*('Plan mensual'!N68+IF(parametros_manuales!$H$28="Todos",'Plan mensual'!N72,0))+parametros_manuales!$E$28*('Plan mensual'!N69+IF(parametros_manuales!$H$28="Todos",'Plan mensual'!N73,0))+parametros_manuales!$F$28*('Plan mensual'!N70+IF(parametros_manuales!$H$28="Todos",'Plan mensual'!N74,0))+parametros_manuales!$G$28*('Plan mensual'!N71+IF(parametros_manuales!$H$28="Todos",'Plan mensual'!N75,0)))*parametros_manuales!$I$28*parametros_manuales!$J$28</f>
        <v>9125.55</v>
      </c>
      <c r="M179" s="8">
        <f>(parametros_manuales!$D$28*('Plan mensual'!O68+IF(parametros_manuales!$H$28="Todos",'Plan mensual'!O72,0))+parametros_manuales!$E$28*('Plan mensual'!O69+IF(parametros_manuales!$H$28="Todos",'Plan mensual'!O73,0))+parametros_manuales!$F$28*('Plan mensual'!O70+IF(parametros_manuales!$H$28="Todos",'Plan mensual'!O74,0))+parametros_manuales!$G$28*('Plan mensual'!O71+IF(parametros_manuales!$H$28="Todos",'Plan mensual'!O75,0)))*parametros_manuales!$I$28*parametros_manuales!$J$28</f>
        <v>14600.88</v>
      </c>
      <c r="N179" s="8">
        <f t="shared" si="19"/>
        <v>121674</v>
      </c>
      <c r="O179" s="8">
        <f t="shared" si="20"/>
        <v>14600.88</v>
      </c>
      <c r="P179" s="27">
        <f>O179/(parametros_manuales!$B$7)</f>
        <v>97.3392</v>
      </c>
      <c r="Q179" s="4" t="str">
        <f t="shared" si="21"/>
        <v>Ene</v>
      </c>
    </row>
    <row r="180" ht="14.25" customHeight="1">
      <c r="A180" s="4" t="str">
        <f>parametros_manuales!$B$29</f>
        <v>Encastre de fondo</v>
      </c>
      <c r="B180" s="8">
        <f>(parametros_manuales!$D$29*('Plan mensual'!D68+IF(parametros_manuales!$H$29="Todos",'Plan mensual'!D72,0))+parametros_manuales!$E$29*('Plan mensual'!D69+IF(parametros_manuales!$H$29="Todos",'Plan mensual'!D73,0))+parametros_manuales!$F$29*('Plan mensual'!D70+IF(parametros_manuales!$H$29="Todos",'Plan mensual'!D74,0))+parametros_manuales!$G$29*('Plan mensual'!D71+IF(parametros_manuales!$H$29="Todos",'Plan mensual'!D75,0)))*parametros_manuales!$I$29*parametros_manuales!$J$29</f>
        <v>19631.98</v>
      </c>
      <c r="C180" s="8">
        <f>(parametros_manuales!$D$29*('Plan mensual'!E68+IF(parametros_manuales!$H$29="Todos",'Plan mensual'!E72,0))+parametros_manuales!$E$29*('Plan mensual'!E69+IF(parametros_manuales!$H$29="Todos",'Plan mensual'!E73,0))+parametros_manuales!$F$29*('Plan mensual'!E70+IF(parametros_manuales!$H$29="Todos",'Plan mensual'!E74,0))+parametros_manuales!$G$29*('Plan mensual'!E71+IF(parametros_manuales!$H$29="Todos",'Plan mensual'!E75,0)))*parametros_manuales!$I$29*parametros_manuales!$J$29</f>
        <v>14975.54</v>
      </c>
      <c r="D180" s="8">
        <f>(parametros_manuales!$D$29*('Plan mensual'!F68+IF(parametros_manuales!$H$29="Todos",'Plan mensual'!F72,0))+parametros_manuales!$E$29*('Plan mensual'!F69+IF(parametros_manuales!$H$29="Todos",'Plan mensual'!F73,0))+parametros_manuales!$F$29*('Plan mensual'!F70+IF(parametros_manuales!$H$29="Todos",'Plan mensual'!F74,0))+parametros_manuales!$G$29*('Plan mensual'!F71+IF(parametros_manuales!$H$29="Todos",'Plan mensual'!F75,0)))*parametros_manuales!$I$29*parametros_manuales!$J$29</f>
        <v>14010.355</v>
      </c>
      <c r="E180" s="8">
        <f>(parametros_manuales!$D$29*('Plan mensual'!G68+IF(parametros_manuales!$H$29="Todos",'Plan mensual'!G72,0))+parametros_manuales!$E$29*('Plan mensual'!G69+IF(parametros_manuales!$H$29="Todos",'Plan mensual'!G73,0))+parametros_manuales!$F$29*('Plan mensual'!G70+IF(parametros_manuales!$H$29="Todos",'Plan mensual'!G74,0))+parametros_manuales!$G$29*('Plan mensual'!G71+IF(parametros_manuales!$H$29="Todos",'Plan mensual'!G75,0)))*parametros_manuales!$I$29*parametros_manuales!$J$29</f>
        <v>13401.985</v>
      </c>
      <c r="F180" s="8">
        <f>(parametros_manuales!$D$29*('Plan mensual'!H68+IF(parametros_manuales!$H$29="Todos",'Plan mensual'!H72,0))+parametros_manuales!$E$29*('Plan mensual'!H69+IF(parametros_manuales!$H$29="Todos",'Plan mensual'!H73,0))+parametros_manuales!$F$29*('Plan mensual'!H70+IF(parametros_manuales!$H$29="Todos",'Plan mensual'!H74,0))+parametros_manuales!$G$29*('Plan mensual'!H71+IF(parametros_manuales!$H$29="Todos",'Plan mensual'!H75,0)))*parametros_manuales!$I$29*parametros_manuales!$J$29</f>
        <v>12542.06</v>
      </c>
      <c r="G180" s="8">
        <f>(parametros_manuales!$D$29*('Plan mensual'!I68+IF(parametros_manuales!$H$29="Todos",'Plan mensual'!I72,0))+parametros_manuales!$E$29*('Plan mensual'!I69+IF(parametros_manuales!$H$29="Todos",'Plan mensual'!I73,0))+parametros_manuales!$F$29*('Plan mensual'!I70+IF(parametros_manuales!$H$29="Todos",'Plan mensual'!I74,0))+parametros_manuales!$G$29*('Plan mensual'!I71+IF(parametros_manuales!$H$29="Todos",'Plan mensual'!I75,0)))*parametros_manuales!$I$29*parametros_manuales!$J$29</f>
        <v>12290.505</v>
      </c>
      <c r="H180" s="8">
        <f>(parametros_manuales!$D$29*('Plan mensual'!J68+IF(parametros_manuales!$H$29="Todos",'Plan mensual'!J72,0))+parametros_manuales!$E$29*('Plan mensual'!J69+IF(parametros_manuales!$H$29="Todos",'Plan mensual'!J73,0))+parametros_manuales!$F$29*('Plan mensual'!J70+IF(parametros_manuales!$H$29="Todos",'Plan mensual'!J74,0))+parametros_manuales!$G$29*('Plan mensual'!J71+IF(parametros_manuales!$H$29="Todos",'Plan mensual'!J75,0)))*parametros_manuales!$I$29*parametros_manuales!$J$29</f>
        <v>13150.43</v>
      </c>
      <c r="I180" s="8">
        <f>(parametros_manuales!$D$29*('Plan mensual'!K68+IF(parametros_manuales!$H$29="Todos",'Plan mensual'!K72,0))+parametros_manuales!$E$29*('Plan mensual'!K69+IF(parametros_manuales!$H$29="Todos",'Plan mensual'!K73,0))+parametros_manuales!$F$29*('Plan mensual'!K70+IF(parametros_manuales!$H$29="Todos",'Plan mensual'!K74,0))+parametros_manuales!$G$29*('Plan mensual'!K71+IF(parametros_manuales!$H$29="Todos",'Plan mensual'!K75,0)))*parametros_manuales!$I$29*parametros_manuales!$J$29</f>
        <v>13150.43</v>
      </c>
      <c r="J180" s="8">
        <f>(parametros_manuales!$D$29*('Plan mensual'!L68+IF(parametros_manuales!$H$29="Todos",'Plan mensual'!L72,0))+parametros_manuales!$E$29*('Plan mensual'!L69+IF(parametros_manuales!$H$29="Todos",'Plan mensual'!L73,0))+parametros_manuales!$F$29*('Plan mensual'!L70+IF(parametros_manuales!$H$29="Todos",'Plan mensual'!L74,0))+parametros_manuales!$G$29*('Plan mensual'!L71+IF(parametros_manuales!$H$29="Todos",'Plan mensual'!L75,0)))*parametros_manuales!$I$29*parametros_manuales!$J$29</f>
        <v>13150.43</v>
      </c>
      <c r="K180" s="8">
        <f>(parametros_manuales!$D$29*('Plan mensual'!M68+IF(parametros_manuales!$H$29="Todos",'Plan mensual'!M72,0))+parametros_manuales!$E$29*('Plan mensual'!M69+IF(parametros_manuales!$H$29="Todos",'Plan mensual'!M73,0))+parametros_manuales!$F$29*('Plan mensual'!M70+IF(parametros_manuales!$H$29="Todos",'Plan mensual'!M74,0))+parametros_manuales!$G$29*('Plan mensual'!M71+IF(parametros_manuales!$H$29="Todos",'Plan mensual'!M75,0)))*parametros_manuales!$I$29*parametros_manuales!$J$29</f>
        <v>12898.875</v>
      </c>
      <c r="L180" s="8">
        <f>(parametros_manuales!$D$29*('Plan mensual'!N68+IF(parametros_manuales!$H$29="Todos",'Plan mensual'!N72,0))+parametros_manuales!$E$29*('Plan mensual'!N69+IF(parametros_manuales!$H$29="Todos",'Plan mensual'!N73,0))+parametros_manuales!$F$29*('Plan mensual'!N70+IF(parametros_manuales!$H$29="Todos",'Plan mensual'!N74,0))+parametros_manuales!$G$29*('Plan mensual'!N71+IF(parametros_manuales!$H$29="Todos",'Plan mensual'!N75,0)))*parametros_manuales!$I$29*parametros_manuales!$J$29</f>
        <v>12647.32</v>
      </c>
      <c r="M180" s="8">
        <f>(parametros_manuales!$D$29*('Plan mensual'!O68+IF(parametros_manuales!$H$29="Todos",'Plan mensual'!O72,0))+parametros_manuales!$E$29*('Plan mensual'!O69+IF(parametros_manuales!$H$29="Todos",'Plan mensual'!O73,0))+parametros_manuales!$F$29*('Plan mensual'!O70+IF(parametros_manuales!$H$29="Todos",'Plan mensual'!O74,0))+parametros_manuales!$G$29*('Plan mensual'!O71+IF(parametros_manuales!$H$29="Todos",'Plan mensual'!O75,0)))*parametros_manuales!$I$29*parametros_manuales!$J$29</f>
        <v>20135.09</v>
      </c>
      <c r="N180" s="8">
        <f t="shared" si="19"/>
        <v>171985</v>
      </c>
      <c r="O180" s="8">
        <f t="shared" si="20"/>
        <v>20135.09</v>
      </c>
      <c r="P180" s="27">
        <f>O180/(parametros_manuales!$B$7)</f>
        <v>134.2339333</v>
      </c>
      <c r="Q180" s="4" t="str">
        <f t="shared" si="21"/>
        <v>Dic</v>
      </c>
    </row>
    <row r="181" ht="14.25" customHeight="1">
      <c r="A181" s="4" t="str">
        <f>parametros_manuales!$B$30</f>
        <v>Bordoneado</v>
      </c>
      <c r="B181" s="8">
        <f>(parametros_manuales!$D$30*('Plan mensual'!D68+IF(parametros_manuales!$H$30="Todos",'Plan mensual'!D72,0))+parametros_manuales!$E$30*('Plan mensual'!D69+IF(parametros_manuales!$H$30="Todos",'Plan mensual'!D73,0))+parametros_manuales!$F$30*('Plan mensual'!D70+IF(parametros_manuales!$H$30="Todos",'Plan mensual'!D74,0))+parametros_manuales!$G$30*('Plan mensual'!D71+IF(parametros_manuales!$H$30="Todos",'Plan mensual'!D75,0)))*parametros_manuales!$I$30*parametros_manuales!$J$30</f>
        <v>19631.98</v>
      </c>
      <c r="C181" s="8">
        <f>(parametros_manuales!$D$30*('Plan mensual'!E68+IF(parametros_manuales!$H$30="Todos",'Plan mensual'!E72,0))+parametros_manuales!$E$30*('Plan mensual'!E69+IF(parametros_manuales!$H$30="Todos",'Plan mensual'!E73,0))+parametros_manuales!$F$30*('Plan mensual'!E70+IF(parametros_manuales!$H$30="Todos",'Plan mensual'!E74,0))+parametros_manuales!$G$30*('Plan mensual'!E71+IF(parametros_manuales!$H$30="Todos",'Plan mensual'!E75,0)))*parametros_manuales!$I$30*parametros_manuales!$J$30</f>
        <v>14975.54</v>
      </c>
      <c r="D181" s="8">
        <f>(parametros_manuales!$D$30*('Plan mensual'!F68+IF(parametros_manuales!$H$30="Todos",'Plan mensual'!F72,0))+parametros_manuales!$E$30*('Plan mensual'!F69+IF(parametros_manuales!$H$30="Todos",'Plan mensual'!F73,0))+parametros_manuales!$F$30*('Plan mensual'!F70+IF(parametros_manuales!$H$30="Todos",'Plan mensual'!F74,0))+parametros_manuales!$G$30*('Plan mensual'!F71+IF(parametros_manuales!$H$30="Todos",'Plan mensual'!F75,0)))*parametros_manuales!$I$30*parametros_manuales!$J$30</f>
        <v>14010.355</v>
      </c>
      <c r="E181" s="8">
        <f>(parametros_manuales!$D$30*('Plan mensual'!G68+IF(parametros_manuales!$H$30="Todos",'Plan mensual'!G72,0))+parametros_manuales!$E$30*('Plan mensual'!G69+IF(parametros_manuales!$H$30="Todos",'Plan mensual'!G73,0))+parametros_manuales!$F$30*('Plan mensual'!G70+IF(parametros_manuales!$H$30="Todos",'Plan mensual'!G74,0))+parametros_manuales!$G$30*('Plan mensual'!G71+IF(parametros_manuales!$H$30="Todos",'Plan mensual'!G75,0)))*parametros_manuales!$I$30*parametros_manuales!$J$30</f>
        <v>13401.985</v>
      </c>
      <c r="F181" s="8">
        <f>(parametros_manuales!$D$30*('Plan mensual'!H68+IF(parametros_manuales!$H$30="Todos",'Plan mensual'!H72,0))+parametros_manuales!$E$30*('Plan mensual'!H69+IF(parametros_manuales!$H$30="Todos",'Plan mensual'!H73,0))+parametros_manuales!$F$30*('Plan mensual'!H70+IF(parametros_manuales!$H$30="Todos",'Plan mensual'!H74,0))+parametros_manuales!$G$30*('Plan mensual'!H71+IF(parametros_manuales!$H$30="Todos",'Plan mensual'!H75,0)))*parametros_manuales!$I$30*parametros_manuales!$J$30</f>
        <v>12542.06</v>
      </c>
      <c r="G181" s="8">
        <f>(parametros_manuales!$D$30*('Plan mensual'!I68+IF(parametros_manuales!$H$30="Todos",'Plan mensual'!I72,0))+parametros_manuales!$E$30*('Plan mensual'!I69+IF(parametros_manuales!$H$30="Todos",'Plan mensual'!I73,0))+parametros_manuales!$F$30*('Plan mensual'!I70+IF(parametros_manuales!$H$30="Todos",'Plan mensual'!I74,0))+parametros_manuales!$G$30*('Plan mensual'!I71+IF(parametros_manuales!$H$30="Todos",'Plan mensual'!I75,0)))*parametros_manuales!$I$30*parametros_manuales!$J$30</f>
        <v>12290.505</v>
      </c>
      <c r="H181" s="8">
        <f>(parametros_manuales!$D$30*('Plan mensual'!J68+IF(parametros_manuales!$H$30="Todos",'Plan mensual'!J72,0))+parametros_manuales!$E$30*('Plan mensual'!J69+IF(parametros_manuales!$H$30="Todos",'Plan mensual'!J73,0))+parametros_manuales!$F$30*('Plan mensual'!J70+IF(parametros_manuales!$H$30="Todos",'Plan mensual'!J74,0))+parametros_manuales!$G$30*('Plan mensual'!J71+IF(parametros_manuales!$H$30="Todos",'Plan mensual'!J75,0)))*parametros_manuales!$I$30*parametros_manuales!$J$30</f>
        <v>13150.43</v>
      </c>
      <c r="I181" s="8">
        <f>(parametros_manuales!$D$30*('Plan mensual'!K68+IF(parametros_manuales!$H$30="Todos",'Plan mensual'!K72,0))+parametros_manuales!$E$30*('Plan mensual'!K69+IF(parametros_manuales!$H$30="Todos",'Plan mensual'!K73,0))+parametros_manuales!$F$30*('Plan mensual'!K70+IF(parametros_manuales!$H$30="Todos",'Plan mensual'!K74,0))+parametros_manuales!$G$30*('Plan mensual'!K71+IF(parametros_manuales!$H$30="Todos",'Plan mensual'!K75,0)))*parametros_manuales!$I$30*parametros_manuales!$J$30</f>
        <v>13150.43</v>
      </c>
      <c r="J181" s="8">
        <f>(parametros_manuales!$D$30*('Plan mensual'!L68+IF(parametros_manuales!$H$30="Todos",'Plan mensual'!L72,0))+parametros_manuales!$E$30*('Plan mensual'!L69+IF(parametros_manuales!$H$30="Todos",'Plan mensual'!L73,0))+parametros_manuales!$F$30*('Plan mensual'!L70+IF(parametros_manuales!$H$30="Todos",'Plan mensual'!L74,0))+parametros_manuales!$G$30*('Plan mensual'!L71+IF(parametros_manuales!$H$30="Todos",'Plan mensual'!L75,0)))*parametros_manuales!$I$30*parametros_manuales!$J$30</f>
        <v>13150.43</v>
      </c>
      <c r="K181" s="8">
        <f>(parametros_manuales!$D$30*('Plan mensual'!M68+IF(parametros_manuales!$H$30="Todos",'Plan mensual'!M72,0))+parametros_manuales!$E$30*('Plan mensual'!M69+IF(parametros_manuales!$H$30="Todos",'Plan mensual'!M73,0))+parametros_manuales!$F$30*('Plan mensual'!M70+IF(parametros_manuales!$H$30="Todos",'Plan mensual'!M74,0))+parametros_manuales!$G$30*('Plan mensual'!M71+IF(parametros_manuales!$H$30="Todos",'Plan mensual'!M75,0)))*parametros_manuales!$I$30*parametros_manuales!$J$30</f>
        <v>12898.875</v>
      </c>
      <c r="L181" s="8">
        <f>(parametros_manuales!$D$30*('Plan mensual'!N68+IF(parametros_manuales!$H$30="Todos",'Plan mensual'!N72,0))+parametros_manuales!$E$30*('Plan mensual'!N69+IF(parametros_manuales!$H$30="Todos",'Plan mensual'!N73,0))+parametros_manuales!$F$30*('Plan mensual'!N70+IF(parametros_manuales!$H$30="Todos",'Plan mensual'!N74,0))+parametros_manuales!$G$30*('Plan mensual'!N71+IF(parametros_manuales!$H$30="Todos",'Plan mensual'!N75,0)))*parametros_manuales!$I$30*parametros_manuales!$J$30</f>
        <v>12647.32</v>
      </c>
      <c r="M181" s="8">
        <f>(parametros_manuales!$D$30*('Plan mensual'!O68+IF(parametros_manuales!$H$30="Todos",'Plan mensual'!O72,0))+parametros_manuales!$E$30*('Plan mensual'!O69+IF(parametros_manuales!$H$30="Todos",'Plan mensual'!O73,0))+parametros_manuales!$F$30*('Plan mensual'!O70+IF(parametros_manuales!$H$30="Todos",'Plan mensual'!O74,0))+parametros_manuales!$G$30*('Plan mensual'!O71+IF(parametros_manuales!$H$30="Todos",'Plan mensual'!O75,0)))*parametros_manuales!$I$30*parametros_manuales!$J$30</f>
        <v>20135.09</v>
      </c>
      <c r="N181" s="8">
        <f t="shared" si="19"/>
        <v>171985</v>
      </c>
      <c r="O181" s="8">
        <f t="shared" si="20"/>
        <v>20135.09</v>
      </c>
      <c r="P181" s="27">
        <f>O181/(parametros_manuales!$B$7)</f>
        <v>134.2339333</v>
      </c>
      <c r="Q181" s="4" t="str">
        <f t="shared" si="21"/>
        <v>Dic</v>
      </c>
    </row>
    <row r="182" ht="14.25" customHeight="1">
      <c r="A182" s="4" t="str">
        <f>parametros_manuales!$B$31</f>
        <v>Soldadura circunferencial de cúpula y fondo</v>
      </c>
      <c r="B182" s="8">
        <f>(parametros_manuales!$D$31*('Plan mensual'!D68+IF(parametros_manuales!$H$31="Todos",'Plan mensual'!D72,0))+parametros_manuales!$E$31*('Plan mensual'!D69+IF(parametros_manuales!$H$31="Todos",'Plan mensual'!D73,0))+parametros_manuales!$F$31*('Plan mensual'!D70+IF(parametros_manuales!$H$31="Todos",'Plan mensual'!D74,0))+parametros_manuales!$G$31*('Plan mensual'!D71+IF(parametros_manuales!$H$31="Todos",'Plan mensual'!D75,0)))*parametros_manuales!$I$31*parametros_manuales!$J$31</f>
        <v>19631.98</v>
      </c>
      <c r="C182" s="8">
        <f>(parametros_manuales!$D$31*('Plan mensual'!E68+IF(parametros_manuales!$H$31="Todos",'Plan mensual'!E72,0))+parametros_manuales!$E$31*('Plan mensual'!E69+IF(parametros_manuales!$H$31="Todos",'Plan mensual'!E73,0))+parametros_manuales!$F$31*('Plan mensual'!E70+IF(parametros_manuales!$H$31="Todos",'Plan mensual'!E74,0))+parametros_manuales!$G$31*('Plan mensual'!E71+IF(parametros_manuales!$H$31="Todos",'Plan mensual'!E75,0)))*parametros_manuales!$I$31*parametros_manuales!$J$31</f>
        <v>14975.54</v>
      </c>
      <c r="D182" s="8">
        <f>(parametros_manuales!$D$31*('Plan mensual'!F68+IF(parametros_manuales!$H$31="Todos",'Plan mensual'!F72,0))+parametros_manuales!$E$31*('Plan mensual'!F69+IF(parametros_manuales!$H$31="Todos",'Plan mensual'!F73,0))+parametros_manuales!$F$31*('Plan mensual'!F70+IF(parametros_manuales!$H$31="Todos",'Plan mensual'!F74,0))+parametros_manuales!$G$31*('Plan mensual'!F71+IF(parametros_manuales!$H$31="Todos",'Plan mensual'!F75,0)))*parametros_manuales!$I$31*parametros_manuales!$J$31</f>
        <v>14010.355</v>
      </c>
      <c r="E182" s="8">
        <f>(parametros_manuales!$D$31*('Plan mensual'!G68+IF(parametros_manuales!$H$31="Todos",'Plan mensual'!G72,0))+parametros_manuales!$E$31*('Plan mensual'!G69+IF(parametros_manuales!$H$31="Todos",'Plan mensual'!G73,0))+parametros_manuales!$F$31*('Plan mensual'!G70+IF(parametros_manuales!$H$31="Todos",'Plan mensual'!G74,0))+parametros_manuales!$G$31*('Plan mensual'!G71+IF(parametros_manuales!$H$31="Todos",'Plan mensual'!G75,0)))*parametros_manuales!$I$31*parametros_manuales!$J$31</f>
        <v>13401.985</v>
      </c>
      <c r="F182" s="8">
        <f>(parametros_manuales!$D$31*('Plan mensual'!H68+IF(parametros_manuales!$H$31="Todos",'Plan mensual'!H72,0))+parametros_manuales!$E$31*('Plan mensual'!H69+IF(parametros_manuales!$H$31="Todos",'Plan mensual'!H73,0))+parametros_manuales!$F$31*('Plan mensual'!H70+IF(parametros_manuales!$H$31="Todos",'Plan mensual'!H74,0))+parametros_manuales!$G$31*('Plan mensual'!H71+IF(parametros_manuales!$H$31="Todos",'Plan mensual'!H75,0)))*parametros_manuales!$I$31*parametros_manuales!$J$31</f>
        <v>12542.06</v>
      </c>
      <c r="G182" s="8">
        <f>(parametros_manuales!$D$31*('Plan mensual'!I68+IF(parametros_manuales!$H$31="Todos",'Plan mensual'!I72,0))+parametros_manuales!$E$31*('Plan mensual'!I69+IF(parametros_manuales!$H$31="Todos",'Plan mensual'!I73,0))+parametros_manuales!$F$31*('Plan mensual'!I70+IF(parametros_manuales!$H$31="Todos",'Plan mensual'!I74,0))+parametros_manuales!$G$31*('Plan mensual'!I71+IF(parametros_manuales!$H$31="Todos",'Plan mensual'!I75,0)))*parametros_manuales!$I$31*parametros_manuales!$J$31</f>
        <v>12290.505</v>
      </c>
      <c r="H182" s="8">
        <f>(parametros_manuales!$D$31*('Plan mensual'!J68+IF(parametros_manuales!$H$31="Todos",'Plan mensual'!J72,0))+parametros_manuales!$E$31*('Plan mensual'!J69+IF(parametros_manuales!$H$31="Todos",'Plan mensual'!J73,0))+parametros_manuales!$F$31*('Plan mensual'!J70+IF(parametros_manuales!$H$31="Todos",'Plan mensual'!J74,0))+parametros_manuales!$G$31*('Plan mensual'!J71+IF(parametros_manuales!$H$31="Todos",'Plan mensual'!J75,0)))*parametros_manuales!$I$31*parametros_manuales!$J$31</f>
        <v>13150.43</v>
      </c>
      <c r="I182" s="8">
        <f>(parametros_manuales!$D$31*('Plan mensual'!K68+IF(parametros_manuales!$H$31="Todos",'Plan mensual'!K72,0))+parametros_manuales!$E$31*('Plan mensual'!K69+IF(parametros_manuales!$H$31="Todos",'Plan mensual'!K73,0))+parametros_manuales!$F$31*('Plan mensual'!K70+IF(parametros_manuales!$H$31="Todos",'Plan mensual'!K74,0))+parametros_manuales!$G$31*('Plan mensual'!K71+IF(parametros_manuales!$H$31="Todos",'Plan mensual'!K75,0)))*parametros_manuales!$I$31*parametros_manuales!$J$31</f>
        <v>13150.43</v>
      </c>
      <c r="J182" s="8">
        <f>(parametros_manuales!$D$31*('Plan mensual'!L68+IF(parametros_manuales!$H$31="Todos",'Plan mensual'!L72,0))+parametros_manuales!$E$31*('Plan mensual'!L69+IF(parametros_manuales!$H$31="Todos",'Plan mensual'!L73,0))+parametros_manuales!$F$31*('Plan mensual'!L70+IF(parametros_manuales!$H$31="Todos",'Plan mensual'!L74,0))+parametros_manuales!$G$31*('Plan mensual'!L71+IF(parametros_manuales!$H$31="Todos",'Plan mensual'!L75,0)))*parametros_manuales!$I$31*parametros_manuales!$J$31</f>
        <v>13150.43</v>
      </c>
      <c r="K182" s="8">
        <f>(parametros_manuales!$D$31*('Plan mensual'!M68+IF(parametros_manuales!$H$31="Todos",'Plan mensual'!M72,0))+parametros_manuales!$E$31*('Plan mensual'!M69+IF(parametros_manuales!$H$31="Todos",'Plan mensual'!M73,0))+parametros_manuales!$F$31*('Plan mensual'!M70+IF(parametros_manuales!$H$31="Todos",'Plan mensual'!M74,0))+parametros_manuales!$G$31*('Plan mensual'!M71+IF(parametros_manuales!$H$31="Todos",'Plan mensual'!M75,0)))*parametros_manuales!$I$31*parametros_manuales!$J$31</f>
        <v>12898.875</v>
      </c>
      <c r="L182" s="8">
        <f>(parametros_manuales!$D$31*('Plan mensual'!N68+IF(parametros_manuales!$H$31="Todos",'Plan mensual'!N72,0))+parametros_manuales!$E$31*('Plan mensual'!N69+IF(parametros_manuales!$H$31="Todos",'Plan mensual'!N73,0))+parametros_manuales!$F$31*('Plan mensual'!N70+IF(parametros_manuales!$H$31="Todos",'Plan mensual'!N74,0))+parametros_manuales!$G$31*('Plan mensual'!N71+IF(parametros_manuales!$H$31="Todos",'Plan mensual'!N75,0)))*parametros_manuales!$I$31*parametros_manuales!$J$31</f>
        <v>12647.32</v>
      </c>
      <c r="M182" s="8">
        <f>(parametros_manuales!$D$31*('Plan mensual'!O68+IF(parametros_manuales!$H$31="Todos",'Plan mensual'!O72,0))+parametros_manuales!$E$31*('Plan mensual'!O69+IF(parametros_manuales!$H$31="Todos",'Plan mensual'!O73,0))+parametros_manuales!$F$31*('Plan mensual'!O70+IF(parametros_manuales!$H$31="Todos",'Plan mensual'!O74,0))+parametros_manuales!$G$31*('Plan mensual'!O71+IF(parametros_manuales!$H$31="Todos",'Plan mensual'!O75,0)))*parametros_manuales!$I$31*parametros_manuales!$J$31</f>
        <v>20135.09</v>
      </c>
      <c r="N182" s="8">
        <f t="shared" si="19"/>
        <v>171985</v>
      </c>
      <c r="O182" s="8">
        <f t="shared" si="20"/>
        <v>20135.09</v>
      </c>
      <c r="P182" s="27">
        <f>O182/(parametros_manuales!$B$7)</f>
        <v>134.2339333</v>
      </c>
      <c r="Q182" s="4" t="str">
        <f t="shared" si="21"/>
        <v>Dic</v>
      </c>
    </row>
    <row r="183" ht="14.25" customHeight="1">
      <c r="A183" s="4" t="str">
        <f>parametros_manuales!$B$32</f>
        <v>Control de calidad — Espesor</v>
      </c>
      <c r="B183" s="8">
        <f>(parametros_manuales!$D$32*('Plan mensual'!D68+IF(parametros_manuales!$H$32="Todos",'Plan mensual'!D72,0))+parametros_manuales!$E$32*('Plan mensual'!D69+IF(parametros_manuales!$H$32="Todos",'Plan mensual'!D73,0))+parametros_manuales!$F$32*('Plan mensual'!D70+IF(parametros_manuales!$H$32="Todos",'Plan mensual'!D74,0))+parametros_manuales!$G$32*('Plan mensual'!D71+IF(parametros_manuales!$H$32="Todos",'Plan mensual'!D75,0)))*parametros_manuales!$I$32*parametros_manuales!$J$32</f>
        <v>392.6396</v>
      </c>
      <c r="C183" s="8">
        <f>(parametros_manuales!$D$32*('Plan mensual'!E68+IF(parametros_manuales!$H$32="Todos",'Plan mensual'!E72,0))+parametros_manuales!$E$32*('Plan mensual'!E69+IF(parametros_manuales!$H$32="Todos",'Plan mensual'!E73,0))+parametros_manuales!$F$32*('Plan mensual'!E70+IF(parametros_manuales!$H$32="Todos",'Plan mensual'!E74,0))+parametros_manuales!$G$32*('Plan mensual'!E71+IF(parametros_manuales!$H$32="Todos",'Plan mensual'!E75,0)))*parametros_manuales!$I$32*parametros_manuales!$J$32</f>
        <v>299.5108</v>
      </c>
      <c r="D183" s="8">
        <f>(parametros_manuales!$D$32*('Plan mensual'!F68+IF(parametros_manuales!$H$32="Todos",'Plan mensual'!F72,0))+parametros_manuales!$E$32*('Plan mensual'!F69+IF(parametros_manuales!$H$32="Todos",'Plan mensual'!F73,0))+parametros_manuales!$F$32*('Plan mensual'!F70+IF(parametros_manuales!$H$32="Todos",'Plan mensual'!F74,0))+parametros_manuales!$G$32*('Plan mensual'!F71+IF(parametros_manuales!$H$32="Todos",'Plan mensual'!F75,0)))*parametros_manuales!$I$32*parametros_manuales!$J$32</f>
        <v>280.2071</v>
      </c>
      <c r="E183" s="8">
        <f>(parametros_manuales!$D$32*('Plan mensual'!G68+IF(parametros_manuales!$H$32="Todos",'Plan mensual'!G72,0))+parametros_manuales!$E$32*('Plan mensual'!G69+IF(parametros_manuales!$H$32="Todos",'Plan mensual'!G73,0))+parametros_manuales!$F$32*('Plan mensual'!G70+IF(parametros_manuales!$H$32="Todos",'Plan mensual'!G74,0))+parametros_manuales!$G$32*('Plan mensual'!G71+IF(parametros_manuales!$H$32="Todos",'Plan mensual'!G75,0)))*parametros_manuales!$I$32*parametros_manuales!$J$32</f>
        <v>268.0397</v>
      </c>
      <c r="F183" s="8">
        <f>(parametros_manuales!$D$32*('Plan mensual'!H68+IF(parametros_manuales!$H$32="Todos",'Plan mensual'!H72,0))+parametros_manuales!$E$32*('Plan mensual'!H69+IF(parametros_manuales!$H$32="Todos",'Plan mensual'!H73,0))+parametros_manuales!$F$32*('Plan mensual'!H70+IF(parametros_manuales!$H$32="Todos",'Plan mensual'!H74,0))+parametros_manuales!$G$32*('Plan mensual'!H71+IF(parametros_manuales!$H$32="Todos",'Plan mensual'!H75,0)))*parametros_manuales!$I$32*parametros_manuales!$J$32</f>
        <v>250.8412</v>
      </c>
      <c r="G183" s="8">
        <f>(parametros_manuales!$D$32*('Plan mensual'!I68+IF(parametros_manuales!$H$32="Todos",'Plan mensual'!I72,0))+parametros_manuales!$E$32*('Plan mensual'!I69+IF(parametros_manuales!$H$32="Todos",'Plan mensual'!I73,0))+parametros_manuales!$F$32*('Plan mensual'!I70+IF(parametros_manuales!$H$32="Todos",'Plan mensual'!I74,0))+parametros_manuales!$G$32*('Plan mensual'!I71+IF(parametros_manuales!$H$32="Todos",'Plan mensual'!I75,0)))*parametros_manuales!$I$32*parametros_manuales!$J$32</f>
        <v>245.8101</v>
      </c>
      <c r="H183" s="8">
        <f>(parametros_manuales!$D$32*('Plan mensual'!J68+IF(parametros_manuales!$H$32="Todos",'Plan mensual'!J72,0))+parametros_manuales!$E$32*('Plan mensual'!J69+IF(parametros_manuales!$H$32="Todos",'Plan mensual'!J73,0))+parametros_manuales!$F$32*('Plan mensual'!J70+IF(parametros_manuales!$H$32="Todos",'Plan mensual'!J74,0))+parametros_manuales!$G$32*('Plan mensual'!J71+IF(parametros_manuales!$H$32="Todos",'Plan mensual'!J75,0)))*parametros_manuales!$I$32*parametros_manuales!$J$32</f>
        <v>263.0086</v>
      </c>
      <c r="I183" s="8">
        <f>(parametros_manuales!$D$32*('Plan mensual'!K68+IF(parametros_manuales!$H$32="Todos",'Plan mensual'!K72,0))+parametros_manuales!$E$32*('Plan mensual'!K69+IF(parametros_manuales!$H$32="Todos",'Plan mensual'!K73,0))+parametros_manuales!$F$32*('Plan mensual'!K70+IF(parametros_manuales!$H$32="Todos",'Plan mensual'!K74,0))+parametros_manuales!$G$32*('Plan mensual'!K71+IF(parametros_manuales!$H$32="Todos",'Plan mensual'!K75,0)))*parametros_manuales!$I$32*parametros_manuales!$J$32</f>
        <v>263.0086</v>
      </c>
      <c r="J183" s="8">
        <f>(parametros_manuales!$D$32*('Plan mensual'!L68+IF(parametros_manuales!$H$32="Todos",'Plan mensual'!L72,0))+parametros_manuales!$E$32*('Plan mensual'!L69+IF(parametros_manuales!$H$32="Todos",'Plan mensual'!L73,0))+parametros_manuales!$F$32*('Plan mensual'!L70+IF(parametros_manuales!$H$32="Todos",'Plan mensual'!L74,0))+parametros_manuales!$G$32*('Plan mensual'!L71+IF(parametros_manuales!$H$32="Todos",'Plan mensual'!L75,0)))*parametros_manuales!$I$32*parametros_manuales!$J$32</f>
        <v>263.0086</v>
      </c>
      <c r="K183" s="8">
        <f>(parametros_manuales!$D$32*('Plan mensual'!M68+IF(parametros_manuales!$H$32="Todos",'Plan mensual'!M72,0))+parametros_manuales!$E$32*('Plan mensual'!M69+IF(parametros_manuales!$H$32="Todos",'Plan mensual'!M73,0))+parametros_manuales!$F$32*('Plan mensual'!M70+IF(parametros_manuales!$H$32="Todos",'Plan mensual'!M74,0))+parametros_manuales!$G$32*('Plan mensual'!M71+IF(parametros_manuales!$H$32="Todos",'Plan mensual'!M75,0)))*parametros_manuales!$I$32*parametros_manuales!$J$32</f>
        <v>257.9775</v>
      </c>
      <c r="L183" s="8">
        <f>(parametros_manuales!$D$32*('Plan mensual'!N68+IF(parametros_manuales!$H$32="Todos",'Plan mensual'!N72,0))+parametros_manuales!$E$32*('Plan mensual'!N69+IF(parametros_manuales!$H$32="Todos",'Plan mensual'!N73,0))+parametros_manuales!$F$32*('Plan mensual'!N70+IF(parametros_manuales!$H$32="Todos",'Plan mensual'!N74,0))+parametros_manuales!$G$32*('Plan mensual'!N71+IF(parametros_manuales!$H$32="Todos",'Plan mensual'!N75,0)))*parametros_manuales!$I$32*parametros_manuales!$J$32</f>
        <v>252.9464</v>
      </c>
      <c r="M183" s="8">
        <f>(parametros_manuales!$D$32*('Plan mensual'!O68+IF(parametros_manuales!$H$32="Todos",'Plan mensual'!O72,0))+parametros_manuales!$E$32*('Plan mensual'!O69+IF(parametros_manuales!$H$32="Todos",'Plan mensual'!O73,0))+parametros_manuales!$F$32*('Plan mensual'!O70+IF(parametros_manuales!$H$32="Todos",'Plan mensual'!O74,0))+parametros_manuales!$G$32*('Plan mensual'!O71+IF(parametros_manuales!$H$32="Todos",'Plan mensual'!O75,0)))*parametros_manuales!$I$32*parametros_manuales!$J$32</f>
        <v>402.7018</v>
      </c>
      <c r="N183" s="8">
        <f t="shared" si="19"/>
        <v>3439.7</v>
      </c>
      <c r="O183" s="8">
        <f t="shared" si="20"/>
        <v>402.7018</v>
      </c>
      <c r="P183" s="27">
        <f>O183/(parametros_manuales!$B$7)</f>
        <v>2.684678667</v>
      </c>
      <c r="Q183" s="4" t="str">
        <f t="shared" si="21"/>
        <v>Dic</v>
      </c>
    </row>
    <row r="184" ht="14.25" customHeight="1">
      <c r="A184" s="4" t="str">
        <f>parametros_manuales!$B$33</f>
        <v>Prueba hidráulica</v>
      </c>
      <c r="B184" s="8">
        <f>(parametros_manuales!$D$33*('Plan mensual'!D68+IF(parametros_manuales!$H$33="Todos",'Plan mensual'!D72,0))+parametros_manuales!$E$33*('Plan mensual'!D69+IF(parametros_manuales!$H$33="Todos",'Plan mensual'!D73,0))+parametros_manuales!$F$33*('Plan mensual'!D70+IF(parametros_manuales!$H$33="Todos",'Plan mensual'!D74,0))+parametros_manuales!$G$33*('Plan mensual'!D71+IF(parametros_manuales!$H$33="Todos",'Plan mensual'!D75,0)))*parametros_manuales!$I$33*parametros_manuales!$J$33</f>
        <v>19631.98</v>
      </c>
      <c r="C184" s="8">
        <f>(parametros_manuales!$D$33*('Plan mensual'!E68+IF(parametros_manuales!$H$33="Todos",'Plan mensual'!E72,0))+parametros_manuales!$E$33*('Plan mensual'!E69+IF(parametros_manuales!$H$33="Todos",'Plan mensual'!E73,0))+parametros_manuales!$F$33*('Plan mensual'!E70+IF(parametros_manuales!$H$33="Todos",'Plan mensual'!E74,0))+parametros_manuales!$G$33*('Plan mensual'!E71+IF(parametros_manuales!$H$33="Todos",'Plan mensual'!E75,0)))*parametros_manuales!$I$33*parametros_manuales!$J$33</f>
        <v>14975.54</v>
      </c>
      <c r="D184" s="8">
        <f>(parametros_manuales!$D$33*('Plan mensual'!F68+IF(parametros_manuales!$H$33="Todos",'Plan mensual'!F72,0))+parametros_manuales!$E$33*('Plan mensual'!F69+IF(parametros_manuales!$H$33="Todos",'Plan mensual'!F73,0))+parametros_manuales!$F$33*('Plan mensual'!F70+IF(parametros_manuales!$H$33="Todos",'Plan mensual'!F74,0))+parametros_manuales!$G$33*('Plan mensual'!F71+IF(parametros_manuales!$H$33="Todos",'Plan mensual'!F75,0)))*parametros_manuales!$I$33*parametros_manuales!$J$33</f>
        <v>14010.355</v>
      </c>
      <c r="E184" s="8">
        <f>(parametros_manuales!$D$33*('Plan mensual'!G68+IF(parametros_manuales!$H$33="Todos",'Plan mensual'!G72,0))+parametros_manuales!$E$33*('Plan mensual'!G69+IF(parametros_manuales!$H$33="Todos",'Plan mensual'!G73,0))+parametros_manuales!$F$33*('Plan mensual'!G70+IF(parametros_manuales!$H$33="Todos",'Plan mensual'!G74,0))+parametros_manuales!$G$33*('Plan mensual'!G71+IF(parametros_manuales!$H$33="Todos",'Plan mensual'!G75,0)))*parametros_manuales!$I$33*parametros_manuales!$J$33</f>
        <v>13401.985</v>
      </c>
      <c r="F184" s="8">
        <f>(parametros_manuales!$D$33*('Plan mensual'!H68+IF(parametros_manuales!$H$33="Todos",'Plan mensual'!H72,0))+parametros_manuales!$E$33*('Plan mensual'!H69+IF(parametros_manuales!$H$33="Todos",'Plan mensual'!H73,0))+parametros_manuales!$F$33*('Plan mensual'!H70+IF(parametros_manuales!$H$33="Todos",'Plan mensual'!H74,0))+parametros_manuales!$G$33*('Plan mensual'!H71+IF(parametros_manuales!$H$33="Todos",'Plan mensual'!H75,0)))*parametros_manuales!$I$33*parametros_manuales!$J$33</f>
        <v>12542.06</v>
      </c>
      <c r="G184" s="8">
        <f>(parametros_manuales!$D$33*('Plan mensual'!I68+IF(parametros_manuales!$H$33="Todos",'Plan mensual'!I72,0))+parametros_manuales!$E$33*('Plan mensual'!I69+IF(parametros_manuales!$H$33="Todos",'Plan mensual'!I73,0))+parametros_manuales!$F$33*('Plan mensual'!I70+IF(parametros_manuales!$H$33="Todos",'Plan mensual'!I74,0))+parametros_manuales!$G$33*('Plan mensual'!I71+IF(parametros_manuales!$H$33="Todos",'Plan mensual'!I75,0)))*parametros_manuales!$I$33*parametros_manuales!$J$33</f>
        <v>12290.505</v>
      </c>
      <c r="H184" s="8">
        <f>(parametros_manuales!$D$33*('Plan mensual'!J68+IF(parametros_manuales!$H$33="Todos",'Plan mensual'!J72,0))+parametros_manuales!$E$33*('Plan mensual'!J69+IF(parametros_manuales!$H$33="Todos",'Plan mensual'!J73,0))+parametros_manuales!$F$33*('Plan mensual'!J70+IF(parametros_manuales!$H$33="Todos",'Plan mensual'!J74,0))+parametros_manuales!$G$33*('Plan mensual'!J71+IF(parametros_manuales!$H$33="Todos",'Plan mensual'!J75,0)))*parametros_manuales!$I$33*parametros_manuales!$J$33</f>
        <v>13150.43</v>
      </c>
      <c r="I184" s="8">
        <f>(parametros_manuales!$D$33*('Plan mensual'!K68+IF(parametros_manuales!$H$33="Todos",'Plan mensual'!K72,0))+parametros_manuales!$E$33*('Plan mensual'!K69+IF(parametros_manuales!$H$33="Todos",'Plan mensual'!K73,0))+parametros_manuales!$F$33*('Plan mensual'!K70+IF(parametros_manuales!$H$33="Todos",'Plan mensual'!K74,0))+parametros_manuales!$G$33*('Plan mensual'!K71+IF(parametros_manuales!$H$33="Todos",'Plan mensual'!K75,0)))*parametros_manuales!$I$33*parametros_manuales!$J$33</f>
        <v>13150.43</v>
      </c>
      <c r="J184" s="8">
        <f>(parametros_manuales!$D$33*('Plan mensual'!L68+IF(parametros_manuales!$H$33="Todos",'Plan mensual'!L72,0))+parametros_manuales!$E$33*('Plan mensual'!L69+IF(parametros_manuales!$H$33="Todos",'Plan mensual'!L73,0))+parametros_manuales!$F$33*('Plan mensual'!L70+IF(parametros_manuales!$H$33="Todos",'Plan mensual'!L74,0))+parametros_manuales!$G$33*('Plan mensual'!L71+IF(parametros_manuales!$H$33="Todos",'Plan mensual'!L75,0)))*parametros_manuales!$I$33*parametros_manuales!$J$33</f>
        <v>13150.43</v>
      </c>
      <c r="K184" s="8">
        <f>(parametros_manuales!$D$33*('Plan mensual'!M68+IF(parametros_manuales!$H$33="Todos",'Plan mensual'!M72,0))+parametros_manuales!$E$33*('Plan mensual'!M69+IF(parametros_manuales!$H$33="Todos",'Plan mensual'!M73,0))+parametros_manuales!$F$33*('Plan mensual'!M70+IF(parametros_manuales!$H$33="Todos",'Plan mensual'!M74,0))+parametros_manuales!$G$33*('Plan mensual'!M71+IF(parametros_manuales!$H$33="Todos",'Plan mensual'!M75,0)))*parametros_manuales!$I$33*parametros_manuales!$J$33</f>
        <v>12898.875</v>
      </c>
      <c r="L184" s="8">
        <f>(parametros_manuales!$D$33*('Plan mensual'!N68+IF(parametros_manuales!$H$33="Todos",'Plan mensual'!N72,0))+parametros_manuales!$E$33*('Plan mensual'!N69+IF(parametros_manuales!$H$33="Todos",'Plan mensual'!N73,0))+parametros_manuales!$F$33*('Plan mensual'!N70+IF(parametros_manuales!$H$33="Todos",'Plan mensual'!N74,0))+parametros_manuales!$G$33*('Plan mensual'!N71+IF(parametros_manuales!$H$33="Todos",'Plan mensual'!N75,0)))*parametros_manuales!$I$33*parametros_manuales!$J$33</f>
        <v>12647.32</v>
      </c>
      <c r="M184" s="8">
        <f>(parametros_manuales!$D$33*('Plan mensual'!O68+IF(parametros_manuales!$H$33="Todos",'Plan mensual'!O72,0))+parametros_manuales!$E$33*('Plan mensual'!O69+IF(parametros_manuales!$H$33="Todos",'Plan mensual'!O73,0))+parametros_manuales!$F$33*('Plan mensual'!O70+IF(parametros_manuales!$H$33="Todos",'Plan mensual'!O74,0))+parametros_manuales!$G$33*('Plan mensual'!O71+IF(parametros_manuales!$H$33="Todos",'Plan mensual'!O75,0)))*parametros_manuales!$I$33*parametros_manuales!$J$33</f>
        <v>20135.09</v>
      </c>
      <c r="N184" s="8">
        <f t="shared" si="19"/>
        <v>171985</v>
      </c>
      <c r="O184" s="8">
        <f t="shared" si="20"/>
        <v>20135.09</v>
      </c>
      <c r="P184" s="27">
        <f>O184/(parametros_manuales!$B$7)</f>
        <v>134.2339333</v>
      </c>
      <c r="Q184" s="4" t="str">
        <f t="shared" si="21"/>
        <v>Dic</v>
      </c>
    </row>
    <row r="185" ht="14.25" customHeight="1">
      <c r="A185" s="4" t="str">
        <f>parametros_manuales!$B$34</f>
        <v>Secado</v>
      </c>
      <c r="B185" s="8">
        <f>(parametros_manuales!$D$34*('Plan mensual'!D68+IF(parametros_manuales!$H$34="Todos",'Plan mensual'!D72,0))+parametros_manuales!$E$34*('Plan mensual'!D69+IF(parametros_manuales!$H$34="Todos",'Plan mensual'!D73,0))+parametros_manuales!$F$34*('Plan mensual'!D70+IF(parametros_manuales!$H$34="Todos",'Plan mensual'!D74,0))+parametros_manuales!$G$34*('Plan mensual'!D71+IF(parametros_manuales!$H$34="Todos",'Plan mensual'!D75,0)))*parametros_manuales!$I$34*parametros_manuales!$J$34</f>
        <v>19631.98</v>
      </c>
      <c r="C185" s="8">
        <f>(parametros_manuales!$D$34*('Plan mensual'!E68+IF(parametros_manuales!$H$34="Todos",'Plan mensual'!E72,0))+parametros_manuales!$E$34*('Plan mensual'!E69+IF(parametros_manuales!$H$34="Todos",'Plan mensual'!E73,0))+parametros_manuales!$F$34*('Plan mensual'!E70+IF(parametros_manuales!$H$34="Todos",'Plan mensual'!E74,0))+parametros_manuales!$G$34*('Plan mensual'!E71+IF(parametros_manuales!$H$34="Todos",'Plan mensual'!E75,0)))*parametros_manuales!$I$34*parametros_manuales!$J$34</f>
        <v>14975.54</v>
      </c>
      <c r="D185" s="8">
        <f>(parametros_manuales!$D$34*('Plan mensual'!F68+IF(parametros_manuales!$H$34="Todos",'Plan mensual'!F72,0))+parametros_manuales!$E$34*('Plan mensual'!F69+IF(parametros_manuales!$H$34="Todos",'Plan mensual'!F73,0))+parametros_manuales!$F$34*('Plan mensual'!F70+IF(parametros_manuales!$H$34="Todos",'Plan mensual'!F74,0))+parametros_manuales!$G$34*('Plan mensual'!F71+IF(parametros_manuales!$H$34="Todos",'Plan mensual'!F75,0)))*parametros_manuales!$I$34*parametros_manuales!$J$34</f>
        <v>14010.355</v>
      </c>
      <c r="E185" s="8">
        <f>(parametros_manuales!$D$34*('Plan mensual'!G68+IF(parametros_manuales!$H$34="Todos",'Plan mensual'!G72,0))+parametros_manuales!$E$34*('Plan mensual'!G69+IF(parametros_manuales!$H$34="Todos",'Plan mensual'!G73,0))+parametros_manuales!$F$34*('Plan mensual'!G70+IF(parametros_manuales!$H$34="Todos",'Plan mensual'!G74,0))+parametros_manuales!$G$34*('Plan mensual'!G71+IF(parametros_manuales!$H$34="Todos",'Plan mensual'!G75,0)))*parametros_manuales!$I$34*parametros_manuales!$J$34</f>
        <v>13401.985</v>
      </c>
      <c r="F185" s="8">
        <f>(parametros_manuales!$D$34*('Plan mensual'!H68+IF(parametros_manuales!$H$34="Todos",'Plan mensual'!H72,0))+parametros_manuales!$E$34*('Plan mensual'!H69+IF(parametros_manuales!$H$34="Todos",'Plan mensual'!H73,0))+parametros_manuales!$F$34*('Plan mensual'!H70+IF(parametros_manuales!$H$34="Todos",'Plan mensual'!H74,0))+parametros_manuales!$G$34*('Plan mensual'!H71+IF(parametros_manuales!$H$34="Todos",'Plan mensual'!H75,0)))*parametros_manuales!$I$34*parametros_manuales!$J$34</f>
        <v>12542.06</v>
      </c>
      <c r="G185" s="8">
        <f>(parametros_manuales!$D$34*('Plan mensual'!I68+IF(parametros_manuales!$H$34="Todos",'Plan mensual'!I72,0))+parametros_manuales!$E$34*('Plan mensual'!I69+IF(parametros_manuales!$H$34="Todos",'Plan mensual'!I73,0))+parametros_manuales!$F$34*('Plan mensual'!I70+IF(parametros_manuales!$H$34="Todos",'Plan mensual'!I74,0))+parametros_manuales!$G$34*('Plan mensual'!I71+IF(parametros_manuales!$H$34="Todos",'Plan mensual'!I75,0)))*parametros_manuales!$I$34*parametros_manuales!$J$34</f>
        <v>12290.505</v>
      </c>
      <c r="H185" s="8">
        <f>(parametros_manuales!$D$34*('Plan mensual'!J68+IF(parametros_manuales!$H$34="Todos",'Plan mensual'!J72,0))+parametros_manuales!$E$34*('Plan mensual'!J69+IF(parametros_manuales!$H$34="Todos",'Plan mensual'!J73,0))+parametros_manuales!$F$34*('Plan mensual'!J70+IF(parametros_manuales!$H$34="Todos",'Plan mensual'!J74,0))+parametros_manuales!$G$34*('Plan mensual'!J71+IF(parametros_manuales!$H$34="Todos",'Plan mensual'!J75,0)))*parametros_manuales!$I$34*parametros_manuales!$J$34</f>
        <v>13150.43</v>
      </c>
      <c r="I185" s="8">
        <f>(parametros_manuales!$D$34*('Plan mensual'!K68+IF(parametros_manuales!$H$34="Todos",'Plan mensual'!K72,0))+parametros_manuales!$E$34*('Plan mensual'!K69+IF(parametros_manuales!$H$34="Todos",'Plan mensual'!K73,0))+parametros_manuales!$F$34*('Plan mensual'!K70+IF(parametros_manuales!$H$34="Todos",'Plan mensual'!K74,0))+parametros_manuales!$G$34*('Plan mensual'!K71+IF(parametros_manuales!$H$34="Todos",'Plan mensual'!K75,0)))*parametros_manuales!$I$34*parametros_manuales!$J$34</f>
        <v>13150.43</v>
      </c>
      <c r="J185" s="8">
        <f>(parametros_manuales!$D$34*('Plan mensual'!L68+IF(parametros_manuales!$H$34="Todos",'Plan mensual'!L72,0))+parametros_manuales!$E$34*('Plan mensual'!L69+IF(parametros_manuales!$H$34="Todos",'Plan mensual'!L73,0))+parametros_manuales!$F$34*('Plan mensual'!L70+IF(parametros_manuales!$H$34="Todos",'Plan mensual'!L74,0))+parametros_manuales!$G$34*('Plan mensual'!L71+IF(parametros_manuales!$H$34="Todos",'Plan mensual'!L75,0)))*parametros_manuales!$I$34*parametros_manuales!$J$34</f>
        <v>13150.43</v>
      </c>
      <c r="K185" s="8">
        <f>(parametros_manuales!$D$34*('Plan mensual'!M68+IF(parametros_manuales!$H$34="Todos",'Plan mensual'!M72,0))+parametros_manuales!$E$34*('Plan mensual'!M69+IF(parametros_manuales!$H$34="Todos",'Plan mensual'!M73,0))+parametros_manuales!$F$34*('Plan mensual'!M70+IF(parametros_manuales!$H$34="Todos",'Plan mensual'!M74,0))+parametros_manuales!$G$34*('Plan mensual'!M71+IF(parametros_manuales!$H$34="Todos",'Plan mensual'!M75,0)))*parametros_manuales!$I$34*parametros_manuales!$J$34</f>
        <v>12898.875</v>
      </c>
      <c r="L185" s="8">
        <f>(parametros_manuales!$D$34*('Plan mensual'!N68+IF(parametros_manuales!$H$34="Todos",'Plan mensual'!N72,0))+parametros_manuales!$E$34*('Plan mensual'!N69+IF(parametros_manuales!$H$34="Todos",'Plan mensual'!N73,0))+parametros_manuales!$F$34*('Plan mensual'!N70+IF(parametros_manuales!$H$34="Todos",'Plan mensual'!N74,0))+parametros_manuales!$G$34*('Plan mensual'!N71+IF(parametros_manuales!$H$34="Todos",'Plan mensual'!N75,0)))*parametros_manuales!$I$34*parametros_manuales!$J$34</f>
        <v>12647.32</v>
      </c>
      <c r="M185" s="8">
        <f>(parametros_manuales!$D$34*('Plan mensual'!O68+IF(parametros_manuales!$H$34="Todos",'Plan mensual'!O72,0))+parametros_manuales!$E$34*('Plan mensual'!O69+IF(parametros_manuales!$H$34="Todos",'Plan mensual'!O73,0))+parametros_manuales!$F$34*('Plan mensual'!O70+IF(parametros_manuales!$H$34="Todos",'Plan mensual'!O74,0))+parametros_manuales!$G$34*('Plan mensual'!O71+IF(parametros_manuales!$H$34="Todos",'Plan mensual'!O75,0)))*parametros_manuales!$I$34*parametros_manuales!$J$34</f>
        <v>20135.09</v>
      </c>
      <c r="N185" s="8">
        <f t="shared" si="19"/>
        <v>171985</v>
      </c>
      <c r="O185" s="8">
        <f t="shared" si="20"/>
        <v>20135.09</v>
      </c>
      <c r="P185" s="27">
        <f>O185/(parametros_manuales!$B$7)</f>
        <v>134.2339333</v>
      </c>
      <c r="Q185" s="4" t="str">
        <f t="shared" si="21"/>
        <v>Dic</v>
      </c>
    </row>
    <row r="186" ht="14.25" customHeight="1">
      <c r="A186" s="4" t="str">
        <f>parametros_manuales!$B$35</f>
        <v>Granallado</v>
      </c>
      <c r="B186" s="8">
        <f>(parametros_manuales!$D$35*('Plan mensual'!D68+IF(parametros_manuales!$H$35="Todos",'Plan mensual'!D72,0))+parametros_manuales!$E$35*('Plan mensual'!D69+IF(parametros_manuales!$H$35="Todos",'Plan mensual'!D73,0))+parametros_manuales!$F$35*('Plan mensual'!D70+IF(parametros_manuales!$H$35="Todos",'Plan mensual'!D74,0))+parametros_manuales!$G$35*('Plan mensual'!D71+IF(parametros_manuales!$H$35="Todos",'Plan mensual'!D75,0)))*parametros_manuales!$I$35*parametros_manuales!$J$35</f>
        <v>19631.98</v>
      </c>
      <c r="C186" s="8">
        <f>(parametros_manuales!$D$35*('Plan mensual'!E68+IF(parametros_manuales!$H$35="Todos",'Plan mensual'!E72,0))+parametros_manuales!$E$35*('Plan mensual'!E69+IF(parametros_manuales!$H$35="Todos",'Plan mensual'!E73,0))+parametros_manuales!$F$35*('Plan mensual'!E70+IF(parametros_manuales!$H$35="Todos",'Plan mensual'!E74,0))+parametros_manuales!$G$35*('Plan mensual'!E71+IF(parametros_manuales!$H$35="Todos",'Plan mensual'!E75,0)))*parametros_manuales!$I$35*parametros_manuales!$J$35</f>
        <v>14975.54</v>
      </c>
      <c r="D186" s="8">
        <f>(parametros_manuales!$D$35*('Plan mensual'!F68+IF(parametros_manuales!$H$35="Todos",'Plan mensual'!F72,0))+parametros_manuales!$E$35*('Plan mensual'!F69+IF(parametros_manuales!$H$35="Todos",'Plan mensual'!F73,0))+parametros_manuales!$F$35*('Plan mensual'!F70+IF(parametros_manuales!$H$35="Todos",'Plan mensual'!F74,0))+parametros_manuales!$G$35*('Plan mensual'!F71+IF(parametros_manuales!$H$35="Todos",'Plan mensual'!F75,0)))*parametros_manuales!$I$35*parametros_manuales!$J$35</f>
        <v>14010.355</v>
      </c>
      <c r="E186" s="8">
        <f>(parametros_manuales!$D$35*('Plan mensual'!G68+IF(parametros_manuales!$H$35="Todos",'Plan mensual'!G72,0))+parametros_manuales!$E$35*('Plan mensual'!G69+IF(parametros_manuales!$H$35="Todos",'Plan mensual'!G73,0))+parametros_manuales!$F$35*('Plan mensual'!G70+IF(parametros_manuales!$H$35="Todos",'Plan mensual'!G74,0))+parametros_manuales!$G$35*('Plan mensual'!G71+IF(parametros_manuales!$H$35="Todos",'Plan mensual'!G75,0)))*parametros_manuales!$I$35*parametros_manuales!$J$35</f>
        <v>13401.985</v>
      </c>
      <c r="F186" s="8">
        <f>(parametros_manuales!$D$35*('Plan mensual'!H68+IF(parametros_manuales!$H$35="Todos",'Plan mensual'!H72,0))+parametros_manuales!$E$35*('Plan mensual'!H69+IF(parametros_manuales!$H$35="Todos",'Plan mensual'!H73,0))+parametros_manuales!$F$35*('Plan mensual'!H70+IF(parametros_manuales!$H$35="Todos",'Plan mensual'!H74,0))+parametros_manuales!$G$35*('Plan mensual'!H71+IF(parametros_manuales!$H$35="Todos",'Plan mensual'!H75,0)))*parametros_manuales!$I$35*parametros_manuales!$J$35</f>
        <v>12542.06</v>
      </c>
      <c r="G186" s="8">
        <f>(parametros_manuales!$D$35*('Plan mensual'!I68+IF(parametros_manuales!$H$35="Todos",'Plan mensual'!I72,0))+parametros_manuales!$E$35*('Plan mensual'!I69+IF(parametros_manuales!$H$35="Todos",'Plan mensual'!I73,0))+parametros_manuales!$F$35*('Plan mensual'!I70+IF(parametros_manuales!$H$35="Todos",'Plan mensual'!I74,0))+parametros_manuales!$G$35*('Plan mensual'!I71+IF(parametros_manuales!$H$35="Todos",'Plan mensual'!I75,0)))*parametros_manuales!$I$35*parametros_manuales!$J$35</f>
        <v>12290.505</v>
      </c>
      <c r="H186" s="8">
        <f>(parametros_manuales!$D$35*('Plan mensual'!J68+IF(parametros_manuales!$H$35="Todos",'Plan mensual'!J72,0))+parametros_manuales!$E$35*('Plan mensual'!J69+IF(parametros_manuales!$H$35="Todos",'Plan mensual'!J73,0))+parametros_manuales!$F$35*('Plan mensual'!J70+IF(parametros_manuales!$H$35="Todos",'Plan mensual'!J74,0))+parametros_manuales!$G$35*('Plan mensual'!J71+IF(parametros_manuales!$H$35="Todos",'Plan mensual'!J75,0)))*parametros_manuales!$I$35*parametros_manuales!$J$35</f>
        <v>13150.43</v>
      </c>
      <c r="I186" s="8">
        <f>(parametros_manuales!$D$35*('Plan mensual'!K68+IF(parametros_manuales!$H$35="Todos",'Plan mensual'!K72,0))+parametros_manuales!$E$35*('Plan mensual'!K69+IF(parametros_manuales!$H$35="Todos",'Plan mensual'!K73,0))+parametros_manuales!$F$35*('Plan mensual'!K70+IF(parametros_manuales!$H$35="Todos",'Plan mensual'!K74,0))+parametros_manuales!$G$35*('Plan mensual'!K71+IF(parametros_manuales!$H$35="Todos",'Plan mensual'!K75,0)))*parametros_manuales!$I$35*parametros_manuales!$J$35</f>
        <v>13150.43</v>
      </c>
      <c r="J186" s="8">
        <f>(parametros_manuales!$D$35*('Plan mensual'!L68+IF(parametros_manuales!$H$35="Todos",'Plan mensual'!L72,0))+parametros_manuales!$E$35*('Plan mensual'!L69+IF(parametros_manuales!$H$35="Todos",'Plan mensual'!L73,0))+parametros_manuales!$F$35*('Plan mensual'!L70+IF(parametros_manuales!$H$35="Todos",'Plan mensual'!L74,0))+parametros_manuales!$G$35*('Plan mensual'!L71+IF(parametros_manuales!$H$35="Todos",'Plan mensual'!L75,0)))*parametros_manuales!$I$35*parametros_manuales!$J$35</f>
        <v>13150.43</v>
      </c>
      <c r="K186" s="8">
        <f>(parametros_manuales!$D$35*('Plan mensual'!M68+IF(parametros_manuales!$H$35="Todos",'Plan mensual'!M72,0))+parametros_manuales!$E$35*('Plan mensual'!M69+IF(parametros_manuales!$H$35="Todos",'Plan mensual'!M73,0))+parametros_manuales!$F$35*('Plan mensual'!M70+IF(parametros_manuales!$H$35="Todos",'Plan mensual'!M74,0))+parametros_manuales!$G$35*('Plan mensual'!M71+IF(parametros_manuales!$H$35="Todos",'Plan mensual'!M75,0)))*parametros_manuales!$I$35*parametros_manuales!$J$35</f>
        <v>12898.875</v>
      </c>
      <c r="L186" s="8">
        <f>(parametros_manuales!$D$35*('Plan mensual'!N68+IF(parametros_manuales!$H$35="Todos",'Plan mensual'!N72,0))+parametros_manuales!$E$35*('Plan mensual'!N69+IF(parametros_manuales!$H$35="Todos",'Plan mensual'!N73,0))+parametros_manuales!$F$35*('Plan mensual'!N70+IF(parametros_manuales!$H$35="Todos",'Plan mensual'!N74,0))+parametros_manuales!$G$35*('Plan mensual'!N71+IF(parametros_manuales!$H$35="Todos",'Plan mensual'!N75,0)))*parametros_manuales!$I$35*parametros_manuales!$J$35</f>
        <v>12647.32</v>
      </c>
      <c r="M186" s="8">
        <f>(parametros_manuales!$D$35*('Plan mensual'!O68+IF(parametros_manuales!$H$35="Todos",'Plan mensual'!O72,0))+parametros_manuales!$E$35*('Plan mensual'!O69+IF(parametros_manuales!$H$35="Todos",'Plan mensual'!O73,0))+parametros_manuales!$F$35*('Plan mensual'!O70+IF(parametros_manuales!$H$35="Todos",'Plan mensual'!O74,0))+parametros_manuales!$G$35*('Plan mensual'!O71+IF(parametros_manuales!$H$35="Todos",'Plan mensual'!O75,0)))*parametros_manuales!$I$35*parametros_manuales!$J$35</f>
        <v>20135.09</v>
      </c>
      <c r="N186" s="8">
        <f t="shared" si="19"/>
        <v>171985</v>
      </c>
      <c r="O186" s="8">
        <f t="shared" si="20"/>
        <v>20135.09</v>
      </c>
      <c r="P186" s="27">
        <f>O186/(parametros_manuales!$B$7)</f>
        <v>134.2339333</v>
      </c>
      <c r="Q186" s="4" t="str">
        <f t="shared" si="21"/>
        <v>Dic</v>
      </c>
    </row>
    <row r="187" ht="14.25" customHeight="1">
      <c r="A187" s="4" t="str">
        <f>parametros_manuales!$B$36</f>
        <v>Detección de defectos</v>
      </c>
      <c r="B187" s="8">
        <f>(parametros_manuales!$D$36*('Plan mensual'!D68+IF(parametros_manuales!$H$36="Todos",'Plan mensual'!D72,0))+parametros_manuales!$E$36*('Plan mensual'!D69+IF(parametros_manuales!$H$36="Todos",'Plan mensual'!D73,0))+parametros_manuales!$F$36*('Plan mensual'!D70+IF(parametros_manuales!$H$36="Todos",'Plan mensual'!D74,0))+parametros_manuales!$G$36*('Plan mensual'!D71+IF(parametros_manuales!$H$36="Todos",'Plan mensual'!D75,0)))*parametros_manuales!$I$36*parametros_manuales!$J$36</f>
        <v>19631.98</v>
      </c>
      <c r="C187" s="8">
        <f>(parametros_manuales!$D$36*('Plan mensual'!E68+IF(parametros_manuales!$H$36="Todos",'Plan mensual'!E72,0))+parametros_manuales!$E$36*('Plan mensual'!E69+IF(parametros_manuales!$H$36="Todos",'Plan mensual'!E73,0))+parametros_manuales!$F$36*('Plan mensual'!E70+IF(parametros_manuales!$H$36="Todos",'Plan mensual'!E74,0))+parametros_manuales!$G$36*('Plan mensual'!E71+IF(parametros_manuales!$H$36="Todos",'Plan mensual'!E75,0)))*parametros_manuales!$I$36*parametros_manuales!$J$36</f>
        <v>14975.54</v>
      </c>
      <c r="D187" s="8">
        <f>(parametros_manuales!$D$36*('Plan mensual'!F68+IF(parametros_manuales!$H$36="Todos",'Plan mensual'!F72,0))+parametros_manuales!$E$36*('Plan mensual'!F69+IF(parametros_manuales!$H$36="Todos",'Plan mensual'!F73,0))+parametros_manuales!$F$36*('Plan mensual'!F70+IF(parametros_manuales!$H$36="Todos",'Plan mensual'!F74,0))+parametros_manuales!$G$36*('Plan mensual'!F71+IF(parametros_manuales!$H$36="Todos",'Plan mensual'!F75,0)))*parametros_manuales!$I$36*parametros_manuales!$J$36</f>
        <v>14010.355</v>
      </c>
      <c r="E187" s="8">
        <f>(parametros_manuales!$D$36*('Plan mensual'!G68+IF(parametros_manuales!$H$36="Todos",'Plan mensual'!G72,0))+parametros_manuales!$E$36*('Plan mensual'!G69+IF(parametros_manuales!$H$36="Todos",'Plan mensual'!G73,0))+parametros_manuales!$F$36*('Plan mensual'!G70+IF(parametros_manuales!$H$36="Todos",'Plan mensual'!G74,0))+parametros_manuales!$G$36*('Plan mensual'!G71+IF(parametros_manuales!$H$36="Todos",'Plan mensual'!G75,0)))*parametros_manuales!$I$36*parametros_manuales!$J$36</f>
        <v>13401.985</v>
      </c>
      <c r="F187" s="8">
        <f>(parametros_manuales!$D$36*('Plan mensual'!H68+IF(parametros_manuales!$H$36="Todos",'Plan mensual'!H72,0))+parametros_manuales!$E$36*('Plan mensual'!H69+IF(parametros_manuales!$H$36="Todos",'Plan mensual'!H73,0))+parametros_manuales!$F$36*('Plan mensual'!H70+IF(parametros_manuales!$H$36="Todos",'Plan mensual'!H74,0))+parametros_manuales!$G$36*('Plan mensual'!H71+IF(parametros_manuales!$H$36="Todos",'Plan mensual'!H75,0)))*parametros_manuales!$I$36*parametros_manuales!$J$36</f>
        <v>12542.06</v>
      </c>
      <c r="G187" s="8">
        <f>(parametros_manuales!$D$36*('Plan mensual'!I68+IF(parametros_manuales!$H$36="Todos",'Plan mensual'!I72,0))+parametros_manuales!$E$36*('Plan mensual'!I69+IF(parametros_manuales!$H$36="Todos",'Plan mensual'!I73,0))+parametros_manuales!$F$36*('Plan mensual'!I70+IF(parametros_manuales!$H$36="Todos",'Plan mensual'!I74,0))+parametros_manuales!$G$36*('Plan mensual'!I71+IF(parametros_manuales!$H$36="Todos",'Plan mensual'!I75,0)))*parametros_manuales!$I$36*parametros_manuales!$J$36</f>
        <v>12290.505</v>
      </c>
      <c r="H187" s="8">
        <f>(parametros_manuales!$D$36*('Plan mensual'!J68+IF(parametros_manuales!$H$36="Todos",'Plan mensual'!J72,0))+parametros_manuales!$E$36*('Plan mensual'!J69+IF(parametros_manuales!$H$36="Todos",'Plan mensual'!J73,0))+parametros_manuales!$F$36*('Plan mensual'!J70+IF(parametros_manuales!$H$36="Todos",'Plan mensual'!J74,0))+parametros_manuales!$G$36*('Plan mensual'!J71+IF(parametros_manuales!$H$36="Todos",'Plan mensual'!J75,0)))*parametros_manuales!$I$36*parametros_manuales!$J$36</f>
        <v>13150.43</v>
      </c>
      <c r="I187" s="8">
        <f>(parametros_manuales!$D$36*('Plan mensual'!K68+IF(parametros_manuales!$H$36="Todos",'Plan mensual'!K72,0))+parametros_manuales!$E$36*('Plan mensual'!K69+IF(parametros_manuales!$H$36="Todos",'Plan mensual'!K73,0))+parametros_manuales!$F$36*('Plan mensual'!K70+IF(parametros_manuales!$H$36="Todos",'Plan mensual'!K74,0))+parametros_manuales!$G$36*('Plan mensual'!K71+IF(parametros_manuales!$H$36="Todos",'Plan mensual'!K75,0)))*parametros_manuales!$I$36*parametros_manuales!$J$36</f>
        <v>13150.43</v>
      </c>
      <c r="J187" s="8">
        <f>(parametros_manuales!$D$36*('Plan mensual'!L68+IF(parametros_manuales!$H$36="Todos",'Plan mensual'!L72,0))+parametros_manuales!$E$36*('Plan mensual'!L69+IF(parametros_manuales!$H$36="Todos",'Plan mensual'!L73,0))+parametros_manuales!$F$36*('Plan mensual'!L70+IF(parametros_manuales!$H$36="Todos",'Plan mensual'!L74,0))+parametros_manuales!$G$36*('Plan mensual'!L71+IF(parametros_manuales!$H$36="Todos",'Plan mensual'!L75,0)))*parametros_manuales!$I$36*parametros_manuales!$J$36</f>
        <v>13150.43</v>
      </c>
      <c r="K187" s="8">
        <f>(parametros_manuales!$D$36*('Plan mensual'!M68+IF(parametros_manuales!$H$36="Todos",'Plan mensual'!M72,0))+parametros_manuales!$E$36*('Plan mensual'!M69+IF(parametros_manuales!$H$36="Todos",'Plan mensual'!M73,0))+parametros_manuales!$F$36*('Plan mensual'!M70+IF(parametros_manuales!$H$36="Todos",'Plan mensual'!M74,0))+parametros_manuales!$G$36*('Plan mensual'!M71+IF(parametros_manuales!$H$36="Todos",'Plan mensual'!M75,0)))*parametros_manuales!$I$36*parametros_manuales!$J$36</f>
        <v>12898.875</v>
      </c>
      <c r="L187" s="8">
        <f>(parametros_manuales!$D$36*('Plan mensual'!N68+IF(parametros_manuales!$H$36="Todos",'Plan mensual'!N72,0))+parametros_manuales!$E$36*('Plan mensual'!N69+IF(parametros_manuales!$H$36="Todos",'Plan mensual'!N73,0))+parametros_manuales!$F$36*('Plan mensual'!N70+IF(parametros_manuales!$H$36="Todos",'Plan mensual'!N74,0))+parametros_manuales!$G$36*('Plan mensual'!N71+IF(parametros_manuales!$H$36="Todos",'Plan mensual'!N75,0)))*parametros_manuales!$I$36*parametros_manuales!$J$36</f>
        <v>12647.32</v>
      </c>
      <c r="M187" s="8">
        <f>(parametros_manuales!$D$36*('Plan mensual'!O68+IF(parametros_manuales!$H$36="Todos",'Plan mensual'!O72,0))+parametros_manuales!$E$36*('Plan mensual'!O69+IF(parametros_manuales!$H$36="Todos",'Plan mensual'!O73,0))+parametros_manuales!$F$36*('Plan mensual'!O70+IF(parametros_manuales!$H$36="Todos",'Plan mensual'!O74,0))+parametros_manuales!$G$36*('Plan mensual'!O71+IF(parametros_manuales!$H$36="Todos",'Plan mensual'!O75,0)))*parametros_manuales!$I$36*parametros_manuales!$J$36</f>
        <v>20135.09</v>
      </c>
      <c r="N187" s="8">
        <f t="shared" si="19"/>
        <v>171985</v>
      </c>
      <c r="O187" s="8">
        <f t="shared" si="20"/>
        <v>20135.09</v>
      </c>
      <c r="P187" s="27">
        <f>O187/(parametros_manuales!$B$7)</f>
        <v>134.2339333</v>
      </c>
      <c r="Q187" s="4" t="str">
        <f t="shared" si="21"/>
        <v>Dic</v>
      </c>
    </row>
    <row r="188" ht="14.25" customHeight="1">
      <c r="A188" s="4" t="str">
        <f>parametros_manuales!$B$37</f>
        <v>Corrección de defectos</v>
      </c>
      <c r="B188" s="8">
        <f>(parametros_manuales!$D$37*('Plan mensual'!D68+IF(parametros_manuales!$H$37="Todos",'Plan mensual'!D72,0))+parametros_manuales!$E$37*('Plan mensual'!D69+IF(parametros_manuales!$H$37="Todos",'Plan mensual'!D73,0))+parametros_manuales!$F$37*('Plan mensual'!D70+IF(parametros_manuales!$H$37="Todos",'Plan mensual'!D74,0))+parametros_manuales!$G$37*('Plan mensual'!D71+IF(parametros_manuales!$H$37="Todos",'Plan mensual'!D75,0)))*parametros_manuales!$I$37*parametros_manuales!$J$37</f>
        <v>981.599</v>
      </c>
      <c r="C188" s="8">
        <f>(parametros_manuales!$D$37*('Plan mensual'!E68+IF(parametros_manuales!$H$37="Todos",'Plan mensual'!E72,0))+parametros_manuales!$E$37*('Plan mensual'!E69+IF(parametros_manuales!$H$37="Todos",'Plan mensual'!E73,0))+parametros_manuales!$F$37*('Plan mensual'!E70+IF(parametros_manuales!$H$37="Todos",'Plan mensual'!E74,0))+parametros_manuales!$G$37*('Plan mensual'!E71+IF(parametros_manuales!$H$37="Todos",'Plan mensual'!E75,0)))*parametros_manuales!$I$37*parametros_manuales!$J$37</f>
        <v>748.777</v>
      </c>
      <c r="D188" s="8">
        <f>(parametros_manuales!$D$37*('Plan mensual'!F68+IF(parametros_manuales!$H$37="Todos",'Plan mensual'!F72,0))+parametros_manuales!$E$37*('Plan mensual'!F69+IF(parametros_manuales!$H$37="Todos",'Plan mensual'!F73,0))+parametros_manuales!$F$37*('Plan mensual'!F70+IF(parametros_manuales!$H$37="Todos",'Plan mensual'!F74,0))+parametros_manuales!$G$37*('Plan mensual'!F71+IF(parametros_manuales!$H$37="Todos",'Plan mensual'!F75,0)))*parametros_manuales!$I$37*parametros_manuales!$J$37</f>
        <v>700.51775</v>
      </c>
      <c r="E188" s="8">
        <f>(parametros_manuales!$D$37*('Plan mensual'!G68+IF(parametros_manuales!$H$37="Todos",'Plan mensual'!G72,0))+parametros_manuales!$E$37*('Plan mensual'!G69+IF(parametros_manuales!$H$37="Todos",'Plan mensual'!G73,0))+parametros_manuales!$F$37*('Plan mensual'!G70+IF(parametros_manuales!$H$37="Todos",'Plan mensual'!G74,0))+parametros_manuales!$G$37*('Plan mensual'!G71+IF(parametros_manuales!$H$37="Todos",'Plan mensual'!G75,0)))*parametros_manuales!$I$37*parametros_manuales!$J$37</f>
        <v>670.09925</v>
      </c>
      <c r="F188" s="8">
        <f>(parametros_manuales!$D$37*('Plan mensual'!H68+IF(parametros_manuales!$H$37="Todos",'Plan mensual'!H72,0))+parametros_manuales!$E$37*('Plan mensual'!H69+IF(parametros_manuales!$H$37="Todos",'Plan mensual'!H73,0))+parametros_manuales!$F$37*('Plan mensual'!H70+IF(parametros_manuales!$H$37="Todos",'Plan mensual'!H74,0))+parametros_manuales!$G$37*('Plan mensual'!H71+IF(parametros_manuales!$H$37="Todos",'Plan mensual'!H75,0)))*parametros_manuales!$I$37*parametros_manuales!$J$37</f>
        <v>627.103</v>
      </c>
      <c r="G188" s="8">
        <f>(parametros_manuales!$D$37*('Plan mensual'!I68+IF(parametros_manuales!$H$37="Todos",'Plan mensual'!I72,0))+parametros_manuales!$E$37*('Plan mensual'!I69+IF(parametros_manuales!$H$37="Todos",'Plan mensual'!I73,0))+parametros_manuales!$F$37*('Plan mensual'!I70+IF(parametros_manuales!$H$37="Todos",'Plan mensual'!I74,0))+parametros_manuales!$G$37*('Plan mensual'!I71+IF(parametros_manuales!$H$37="Todos",'Plan mensual'!I75,0)))*parametros_manuales!$I$37*parametros_manuales!$J$37</f>
        <v>614.52525</v>
      </c>
      <c r="H188" s="8">
        <f>(parametros_manuales!$D$37*('Plan mensual'!J68+IF(parametros_manuales!$H$37="Todos",'Plan mensual'!J72,0))+parametros_manuales!$E$37*('Plan mensual'!J69+IF(parametros_manuales!$H$37="Todos",'Plan mensual'!J73,0))+parametros_manuales!$F$37*('Plan mensual'!J70+IF(parametros_manuales!$H$37="Todos",'Plan mensual'!J74,0))+parametros_manuales!$G$37*('Plan mensual'!J71+IF(parametros_manuales!$H$37="Todos",'Plan mensual'!J75,0)))*parametros_manuales!$I$37*parametros_manuales!$J$37</f>
        <v>657.5215</v>
      </c>
      <c r="I188" s="8">
        <f>(parametros_manuales!$D$37*('Plan mensual'!K68+IF(parametros_manuales!$H$37="Todos",'Plan mensual'!K72,0))+parametros_manuales!$E$37*('Plan mensual'!K69+IF(parametros_manuales!$H$37="Todos",'Plan mensual'!K73,0))+parametros_manuales!$F$37*('Plan mensual'!K70+IF(parametros_manuales!$H$37="Todos",'Plan mensual'!K74,0))+parametros_manuales!$G$37*('Plan mensual'!K71+IF(parametros_manuales!$H$37="Todos",'Plan mensual'!K75,0)))*parametros_manuales!$I$37*parametros_manuales!$J$37</f>
        <v>657.5215</v>
      </c>
      <c r="J188" s="8">
        <f>(parametros_manuales!$D$37*('Plan mensual'!L68+IF(parametros_manuales!$H$37="Todos",'Plan mensual'!L72,0))+parametros_manuales!$E$37*('Plan mensual'!L69+IF(parametros_manuales!$H$37="Todos",'Plan mensual'!L73,0))+parametros_manuales!$F$37*('Plan mensual'!L70+IF(parametros_manuales!$H$37="Todos",'Plan mensual'!L74,0))+parametros_manuales!$G$37*('Plan mensual'!L71+IF(parametros_manuales!$H$37="Todos",'Plan mensual'!L75,0)))*parametros_manuales!$I$37*parametros_manuales!$J$37</f>
        <v>657.5215</v>
      </c>
      <c r="K188" s="8">
        <f>(parametros_manuales!$D$37*('Plan mensual'!M68+IF(parametros_manuales!$H$37="Todos",'Plan mensual'!M72,0))+parametros_manuales!$E$37*('Plan mensual'!M69+IF(parametros_manuales!$H$37="Todos",'Plan mensual'!M73,0))+parametros_manuales!$F$37*('Plan mensual'!M70+IF(parametros_manuales!$H$37="Todos",'Plan mensual'!M74,0))+parametros_manuales!$G$37*('Plan mensual'!M71+IF(parametros_manuales!$H$37="Todos",'Plan mensual'!M75,0)))*parametros_manuales!$I$37*parametros_manuales!$J$37</f>
        <v>644.94375</v>
      </c>
      <c r="L188" s="8">
        <f>(parametros_manuales!$D$37*('Plan mensual'!N68+IF(parametros_manuales!$H$37="Todos",'Plan mensual'!N72,0))+parametros_manuales!$E$37*('Plan mensual'!N69+IF(parametros_manuales!$H$37="Todos",'Plan mensual'!N73,0))+parametros_manuales!$F$37*('Plan mensual'!N70+IF(parametros_manuales!$H$37="Todos",'Plan mensual'!N74,0))+parametros_manuales!$G$37*('Plan mensual'!N71+IF(parametros_manuales!$H$37="Todos",'Plan mensual'!N75,0)))*parametros_manuales!$I$37*parametros_manuales!$J$37</f>
        <v>632.366</v>
      </c>
      <c r="M188" s="8">
        <f>(parametros_manuales!$D$37*('Plan mensual'!O68+IF(parametros_manuales!$H$37="Todos",'Plan mensual'!O72,0))+parametros_manuales!$E$37*('Plan mensual'!O69+IF(parametros_manuales!$H$37="Todos",'Plan mensual'!O73,0))+parametros_manuales!$F$37*('Plan mensual'!O70+IF(parametros_manuales!$H$37="Todos",'Plan mensual'!O74,0))+parametros_manuales!$G$37*('Plan mensual'!O71+IF(parametros_manuales!$H$37="Todos",'Plan mensual'!O75,0)))*parametros_manuales!$I$37*parametros_manuales!$J$37</f>
        <v>1006.7545</v>
      </c>
      <c r="N188" s="8">
        <f t="shared" si="19"/>
        <v>8599.25</v>
      </c>
      <c r="O188" s="8">
        <f t="shared" si="20"/>
        <v>1006.7545</v>
      </c>
      <c r="P188" s="27">
        <f>O188/(parametros_manuales!$B$7)</f>
        <v>6.711696667</v>
      </c>
      <c r="Q188" s="4" t="str">
        <f t="shared" si="21"/>
        <v>Dic</v>
      </c>
    </row>
    <row r="189" ht="14.25" customHeight="1">
      <c r="A189" s="4" t="str">
        <f>parametros_manuales!$B$38</f>
        <v>Pintura en polvo + horno</v>
      </c>
      <c r="B189" s="8">
        <f>(parametros_manuales!$D$38*('Plan mensual'!D68+IF(parametros_manuales!$H$38="Todos",'Plan mensual'!D72,0))+parametros_manuales!$E$38*('Plan mensual'!D69+IF(parametros_manuales!$H$38="Todos",'Plan mensual'!D73,0))+parametros_manuales!$F$38*('Plan mensual'!D70+IF(parametros_manuales!$H$38="Todos",'Plan mensual'!D74,0))+parametros_manuales!$G$38*('Plan mensual'!D71+IF(parametros_manuales!$H$38="Todos",'Plan mensual'!D75,0)))*parametros_manuales!$I$38*parametros_manuales!$J$38</f>
        <v>19631.98</v>
      </c>
      <c r="C189" s="8">
        <f>(parametros_manuales!$D$38*('Plan mensual'!E68+IF(parametros_manuales!$H$38="Todos",'Plan mensual'!E72,0))+parametros_manuales!$E$38*('Plan mensual'!E69+IF(parametros_manuales!$H$38="Todos",'Plan mensual'!E73,0))+parametros_manuales!$F$38*('Plan mensual'!E70+IF(parametros_manuales!$H$38="Todos",'Plan mensual'!E74,0))+parametros_manuales!$G$38*('Plan mensual'!E71+IF(parametros_manuales!$H$38="Todos",'Plan mensual'!E75,0)))*parametros_manuales!$I$38*parametros_manuales!$J$38</f>
        <v>14975.54</v>
      </c>
      <c r="D189" s="8">
        <f>(parametros_manuales!$D$38*('Plan mensual'!F68+IF(parametros_manuales!$H$38="Todos",'Plan mensual'!F72,0))+parametros_manuales!$E$38*('Plan mensual'!F69+IF(parametros_manuales!$H$38="Todos",'Plan mensual'!F73,0))+parametros_manuales!$F$38*('Plan mensual'!F70+IF(parametros_manuales!$H$38="Todos",'Plan mensual'!F74,0))+parametros_manuales!$G$38*('Plan mensual'!F71+IF(parametros_manuales!$H$38="Todos",'Plan mensual'!F75,0)))*parametros_manuales!$I$38*parametros_manuales!$J$38</f>
        <v>14010.355</v>
      </c>
      <c r="E189" s="8">
        <f>(parametros_manuales!$D$38*('Plan mensual'!G68+IF(parametros_manuales!$H$38="Todos",'Plan mensual'!G72,0))+parametros_manuales!$E$38*('Plan mensual'!G69+IF(parametros_manuales!$H$38="Todos",'Plan mensual'!G73,0))+parametros_manuales!$F$38*('Plan mensual'!G70+IF(parametros_manuales!$H$38="Todos",'Plan mensual'!G74,0))+parametros_manuales!$G$38*('Plan mensual'!G71+IF(parametros_manuales!$H$38="Todos",'Plan mensual'!G75,0)))*parametros_manuales!$I$38*parametros_manuales!$J$38</f>
        <v>13401.985</v>
      </c>
      <c r="F189" s="8">
        <f>(parametros_manuales!$D$38*('Plan mensual'!H68+IF(parametros_manuales!$H$38="Todos",'Plan mensual'!H72,0))+parametros_manuales!$E$38*('Plan mensual'!H69+IF(parametros_manuales!$H$38="Todos",'Plan mensual'!H73,0))+parametros_manuales!$F$38*('Plan mensual'!H70+IF(parametros_manuales!$H$38="Todos",'Plan mensual'!H74,0))+parametros_manuales!$G$38*('Plan mensual'!H71+IF(parametros_manuales!$H$38="Todos",'Plan mensual'!H75,0)))*parametros_manuales!$I$38*parametros_manuales!$J$38</f>
        <v>12542.06</v>
      </c>
      <c r="G189" s="8">
        <f>(parametros_manuales!$D$38*('Plan mensual'!I68+IF(parametros_manuales!$H$38="Todos",'Plan mensual'!I72,0))+parametros_manuales!$E$38*('Plan mensual'!I69+IF(parametros_manuales!$H$38="Todos",'Plan mensual'!I73,0))+parametros_manuales!$F$38*('Plan mensual'!I70+IF(parametros_manuales!$H$38="Todos",'Plan mensual'!I74,0))+parametros_manuales!$G$38*('Plan mensual'!I71+IF(parametros_manuales!$H$38="Todos",'Plan mensual'!I75,0)))*parametros_manuales!$I$38*parametros_manuales!$J$38</f>
        <v>12290.505</v>
      </c>
      <c r="H189" s="8">
        <f>(parametros_manuales!$D$38*('Plan mensual'!J68+IF(parametros_manuales!$H$38="Todos",'Plan mensual'!J72,0))+parametros_manuales!$E$38*('Plan mensual'!J69+IF(parametros_manuales!$H$38="Todos",'Plan mensual'!J73,0))+parametros_manuales!$F$38*('Plan mensual'!J70+IF(parametros_manuales!$H$38="Todos",'Plan mensual'!J74,0))+parametros_manuales!$G$38*('Plan mensual'!J71+IF(parametros_manuales!$H$38="Todos",'Plan mensual'!J75,0)))*parametros_manuales!$I$38*parametros_manuales!$J$38</f>
        <v>13150.43</v>
      </c>
      <c r="I189" s="8">
        <f>(parametros_manuales!$D$38*('Plan mensual'!K68+IF(parametros_manuales!$H$38="Todos",'Plan mensual'!K72,0))+parametros_manuales!$E$38*('Plan mensual'!K69+IF(parametros_manuales!$H$38="Todos",'Plan mensual'!K73,0))+parametros_manuales!$F$38*('Plan mensual'!K70+IF(parametros_manuales!$H$38="Todos",'Plan mensual'!K74,0))+parametros_manuales!$G$38*('Plan mensual'!K71+IF(parametros_manuales!$H$38="Todos",'Plan mensual'!K75,0)))*parametros_manuales!$I$38*parametros_manuales!$J$38</f>
        <v>13150.43</v>
      </c>
      <c r="J189" s="8">
        <f>(parametros_manuales!$D$38*('Plan mensual'!L68+IF(parametros_manuales!$H$38="Todos",'Plan mensual'!L72,0))+parametros_manuales!$E$38*('Plan mensual'!L69+IF(parametros_manuales!$H$38="Todos",'Plan mensual'!L73,0))+parametros_manuales!$F$38*('Plan mensual'!L70+IF(parametros_manuales!$H$38="Todos",'Plan mensual'!L74,0))+parametros_manuales!$G$38*('Plan mensual'!L71+IF(parametros_manuales!$H$38="Todos",'Plan mensual'!L75,0)))*parametros_manuales!$I$38*parametros_manuales!$J$38</f>
        <v>13150.43</v>
      </c>
      <c r="K189" s="8">
        <f>(parametros_manuales!$D$38*('Plan mensual'!M68+IF(parametros_manuales!$H$38="Todos",'Plan mensual'!M72,0))+parametros_manuales!$E$38*('Plan mensual'!M69+IF(parametros_manuales!$H$38="Todos",'Plan mensual'!M73,0))+parametros_manuales!$F$38*('Plan mensual'!M70+IF(parametros_manuales!$H$38="Todos",'Plan mensual'!M74,0))+parametros_manuales!$G$38*('Plan mensual'!M71+IF(parametros_manuales!$H$38="Todos",'Plan mensual'!M75,0)))*parametros_manuales!$I$38*parametros_manuales!$J$38</f>
        <v>12898.875</v>
      </c>
      <c r="L189" s="8">
        <f>(parametros_manuales!$D$38*('Plan mensual'!N68+IF(parametros_manuales!$H$38="Todos",'Plan mensual'!N72,0))+parametros_manuales!$E$38*('Plan mensual'!N69+IF(parametros_manuales!$H$38="Todos",'Plan mensual'!N73,0))+parametros_manuales!$F$38*('Plan mensual'!N70+IF(parametros_manuales!$H$38="Todos",'Plan mensual'!N74,0))+parametros_manuales!$G$38*('Plan mensual'!N71+IF(parametros_manuales!$H$38="Todos",'Plan mensual'!N75,0)))*parametros_manuales!$I$38*parametros_manuales!$J$38</f>
        <v>12647.32</v>
      </c>
      <c r="M189" s="8">
        <f>(parametros_manuales!$D$38*('Plan mensual'!O68+IF(parametros_manuales!$H$38="Todos",'Plan mensual'!O72,0))+parametros_manuales!$E$38*('Plan mensual'!O69+IF(parametros_manuales!$H$38="Todos",'Plan mensual'!O73,0))+parametros_manuales!$F$38*('Plan mensual'!O70+IF(parametros_manuales!$H$38="Todos",'Plan mensual'!O74,0))+parametros_manuales!$G$38*('Plan mensual'!O71+IF(parametros_manuales!$H$38="Todos",'Plan mensual'!O75,0)))*parametros_manuales!$I$38*parametros_manuales!$J$38</f>
        <v>20135.09</v>
      </c>
      <c r="N189" s="8">
        <f t="shared" si="19"/>
        <v>171985</v>
      </c>
      <c r="O189" s="8">
        <f t="shared" si="20"/>
        <v>20135.09</v>
      </c>
      <c r="P189" s="27">
        <f>O189/(parametros_manuales!$B$7)</f>
        <v>134.2339333</v>
      </c>
      <c r="Q189" s="4" t="str">
        <f t="shared" si="21"/>
        <v>Dic</v>
      </c>
    </row>
    <row r="190" ht="14.25" customHeight="1">
      <c r="A190" s="4" t="str">
        <f>parametros_manuales!$B$39</f>
        <v>Carga de polvo</v>
      </c>
      <c r="B190" s="8">
        <f>(parametros_manuales!$D$39*('Plan mensual'!D68+IF(parametros_manuales!$H$39="Todos",'Plan mensual'!D72,0))+parametros_manuales!$E$39*('Plan mensual'!D69+IF(parametros_manuales!$H$39="Todos",'Plan mensual'!D73,0))+parametros_manuales!$F$39*('Plan mensual'!D70+IF(parametros_manuales!$H$39="Todos",'Plan mensual'!D74,0))+parametros_manuales!$G$39*('Plan mensual'!D71+IF(parametros_manuales!$H$39="Todos",'Plan mensual'!D75,0)))*parametros_manuales!$I$39*parametros_manuales!$J$39</f>
        <v>4904.06</v>
      </c>
      <c r="C190" s="8">
        <f>(parametros_manuales!$D$39*('Plan mensual'!E68+IF(parametros_manuales!$H$39="Todos",'Plan mensual'!E72,0))+parametros_manuales!$E$39*('Plan mensual'!E69+IF(parametros_manuales!$H$39="Todos",'Plan mensual'!E73,0))+parametros_manuales!$F$39*('Plan mensual'!E70+IF(parametros_manuales!$H$39="Todos",'Plan mensual'!E74,0))+parametros_manuales!$G$39*('Plan mensual'!E71+IF(parametros_manuales!$H$39="Todos",'Plan mensual'!E75,0)))*parametros_manuales!$I$39*parametros_manuales!$J$39</f>
        <v>3801.25</v>
      </c>
      <c r="D190" s="8">
        <f>(parametros_manuales!$D$39*('Plan mensual'!F68+IF(parametros_manuales!$H$39="Todos",'Plan mensual'!F72,0))+parametros_manuales!$E$39*('Plan mensual'!F69+IF(parametros_manuales!$H$39="Todos",'Plan mensual'!F73,0))+parametros_manuales!$F$39*('Plan mensual'!F70+IF(parametros_manuales!$H$39="Todos",'Plan mensual'!F74,0))+parametros_manuales!$G$39*('Plan mensual'!F71+IF(parametros_manuales!$H$39="Todos",'Plan mensual'!F75,0)))*parametros_manuales!$I$39*parametros_manuales!$J$39</f>
        <v>3721.125</v>
      </c>
      <c r="E190" s="8">
        <f>(parametros_manuales!$D$39*('Plan mensual'!G68+IF(parametros_manuales!$H$39="Todos",'Plan mensual'!G72,0))+parametros_manuales!$E$39*('Plan mensual'!G69+IF(parametros_manuales!$H$39="Todos",'Plan mensual'!G73,0))+parametros_manuales!$F$39*('Plan mensual'!G70+IF(parametros_manuales!$H$39="Todos",'Plan mensual'!G74,0))+parametros_manuales!$G$39*('Plan mensual'!G71+IF(parametros_manuales!$H$39="Todos",'Plan mensual'!G75,0)))*parametros_manuales!$I$39*parametros_manuales!$J$39</f>
        <v>3619.46</v>
      </c>
      <c r="F190" s="8">
        <f>(parametros_manuales!$D$39*('Plan mensual'!H68+IF(parametros_manuales!$H$39="Todos",'Plan mensual'!H72,0))+parametros_manuales!$E$39*('Plan mensual'!H69+IF(parametros_manuales!$H$39="Todos",'Plan mensual'!H73,0))+parametros_manuales!$F$39*('Plan mensual'!H70+IF(parametros_manuales!$H$39="Todos",'Plan mensual'!H74,0))+parametros_manuales!$G$39*('Plan mensual'!H71+IF(parametros_manuales!$H$39="Todos",'Plan mensual'!H75,0)))*parametros_manuales!$I$39*parametros_manuales!$J$39</f>
        <v>3394.59</v>
      </c>
      <c r="G190" s="8">
        <f>(parametros_manuales!$D$39*('Plan mensual'!I68+IF(parametros_manuales!$H$39="Todos",'Plan mensual'!I72,0))+parametros_manuales!$E$39*('Plan mensual'!I69+IF(parametros_manuales!$H$39="Todos",'Plan mensual'!I73,0))+parametros_manuales!$F$39*('Plan mensual'!I70+IF(parametros_manuales!$H$39="Todos",'Plan mensual'!I74,0))+parametros_manuales!$G$39*('Plan mensual'!I71+IF(parametros_manuales!$H$39="Todos",'Plan mensual'!I75,0)))*parametros_manuales!$I$39*parametros_manuales!$J$39</f>
        <v>3271.385</v>
      </c>
      <c r="H190" s="8">
        <f>(parametros_manuales!$D$39*('Plan mensual'!J68+IF(parametros_manuales!$H$39="Todos",'Plan mensual'!J72,0))+parametros_manuales!$E$39*('Plan mensual'!J69+IF(parametros_manuales!$H$39="Todos",'Plan mensual'!J73,0))+parametros_manuales!$F$39*('Plan mensual'!J70+IF(parametros_manuales!$H$39="Todos",'Plan mensual'!J74,0))+parametros_manuales!$G$39*('Plan mensual'!J71+IF(parametros_manuales!$H$39="Todos",'Plan mensual'!J75,0)))*parametros_manuales!$I$39*parametros_manuales!$J$39</f>
        <v>3496.255</v>
      </c>
      <c r="I190" s="8">
        <f>(parametros_manuales!$D$39*('Plan mensual'!K68+IF(parametros_manuales!$H$39="Todos",'Plan mensual'!K72,0))+parametros_manuales!$E$39*('Plan mensual'!K69+IF(parametros_manuales!$H$39="Todos",'Plan mensual'!K73,0))+parametros_manuales!$F$39*('Plan mensual'!K70+IF(parametros_manuales!$H$39="Todos",'Plan mensual'!K74,0))+parametros_manuales!$G$39*('Plan mensual'!K71+IF(parametros_manuales!$H$39="Todos",'Plan mensual'!K75,0)))*parametros_manuales!$I$39*parametros_manuales!$J$39</f>
        <v>3496.255</v>
      </c>
      <c r="J190" s="8">
        <f>(parametros_manuales!$D$39*('Plan mensual'!L68+IF(parametros_manuales!$H$39="Todos",'Plan mensual'!L72,0))+parametros_manuales!$E$39*('Plan mensual'!L69+IF(parametros_manuales!$H$39="Todos",'Plan mensual'!L73,0))+parametros_manuales!$F$39*('Plan mensual'!L70+IF(parametros_manuales!$H$39="Todos",'Plan mensual'!L74,0))+parametros_manuales!$G$39*('Plan mensual'!L71+IF(parametros_manuales!$H$39="Todos",'Plan mensual'!L75,0)))*parametros_manuales!$I$39*parametros_manuales!$J$39</f>
        <v>3496.255</v>
      </c>
      <c r="K190" s="8">
        <f>(parametros_manuales!$D$39*('Plan mensual'!M68+IF(parametros_manuales!$H$39="Todos",'Plan mensual'!M72,0))+parametros_manuales!$E$39*('Plan mensual'!M69+IF(parametros_manuales!$H$39="Todos",'Plan mensual'!M73,0))+parametros_manuales!$F$39*('Plan mensual'!M70+IF(parametros_manuales!$H$39="Todos",'Plan mensual'!M74,0))+parametros_manuales!$G$39*('Plan mensual'!M71+IF(parametros_manuales!$H$39="Todos",'Plan mensual'!M75,0)))*parametros_manuales!$I$39*parametros_manuales!$J$39</f>
        <v>3373.05</v>
      </c>
      <c r="L190" s="8">
        <f>(parametros_manuales!$D$39*('Plan mensual'!N68+IF(parametros_manuales!$H$39="Todos",'Plan mensual'!N72,0))+parametros_manuales!$E$39*('Plan mensual'!N69+IF(parametros_manuales!$H$39="Todos",'Plan mensual'!N73,0))+parametros_manuales!$F$39*('Plan mensual'!N70+IF(parametros_manuales!$H$39="Todos",'Plan mensual'!N74,0))+parametros_manuales!$G$39*('Plan mensual'!N71+IF(parametros_manuales!$H$39="Todos",'Plan mensual'!N75,0)))*parametros_manuales!$I$39*parametros_manuales!$J$39</f>
        <v>3249.845</v>
      </c>
      <c r="M190" s="8">
        <f>(parametros_manuales!$D$39*('Plan mensual'!O68+IF(parametros_manuales!$H$39="Todos",'Plan mensual'!O72,0))+parametros_manuales!$E$39*('Plan mensual'!O69+IF(parametros_manuales!$H$39="Todos",'Plan mensual'!O73,0))+parametros_manuales!$F$39*('Plan mensual'!O70+IF(parametros_manuales!$H$39="Todos",'Plan mensual'!O74,0))+parametros_manuales!$G$39*('Plan mensual'!O71+IF(parametros_manuales!$H$39="Todos",'Plan mensual'!O75,0)))*parametros_manuales!$I$39*parametros_manuales!$J$39</f>
        <v>5150.47</v>
      </c>
      <c r="N190" s="8">
        <f t="shared" si="19"/>
        <v>44974</v>
      </c>
      <c r="O190" s="8">
        <f t="shared" si="20"/>
        <v>5150.47</v>
      </c>
      <c r="P190" s="27">
        <f>O190/(parametros_manuales!$B$7)</f>
        <v>34.33646667</v>
      </c>
      <c r="Q190" s="4" t="str">
        <f t="shared" si="21"/>
        <v>Dic</v>
      </c>
    </row>
    <row r="191" ht="14.25" customHeight="1">
      <c r="A191" s="4" t="str">
        <f>parametros_manuales!$B$40</f>
        <v>Ensamblaje</v>
      </c>
      <c r="B191" s="8">
        <f>(parametros_manuales!$D$40*('Plan mensual'!D68+IF(parametros_manuales!$H$40="Todos",'Plan mensual'!D72,0))+parametros_manuales!$E$40*('Plan mensual'!D69+IF(parametros_manuales!$H$40="Todos",'Plan mensual'!D73,0))+parametros_manuales!$F$40*('Plan mensual'!D70+IF(parametros_manuales!$H$40="Todos",'Plan mensual'!D74,0))+parametros_manuales!$G$40*('Plan mensual'!D71+IF(parametros_manuales!$H$40="Todos",'Plan mensual'!D75,0)))*parametros_manuales!$I$40*parametros_manuales!$J$40</f>
        <v>4904.06</v>
      </c>
      <c r="C191" s="8">
        <f>(parametros_manuales!$D$40*('Plan mensual'!E68+IF(parametros_manuales!$H$40="Todos",'Plan mensual'!E72,0))+parametros_manuales!$E$40*('Plan mensual'!E69+IF(parametros_manuales!$H$40="Todos",'Plan mensual'!E73,0))+parametros_manuales!$F$40*('Plan mensual'!E70+IF(parametros_manuales!$H$40="Todos",'Plan mensual'!E74,0))+parametros_manuales!$G$40*('Plan mensual'!E71+IF(parametros_manuales!$H$40="Todos",'Plan mensual'!E75,0)))*parametros_manuales!$I$40*parametros_manuales!$J$40</f>
        <v>3801.25</v>
      </c>
      <c r="D191" s="8">
        <f>(parametros_manuales!$D$40*('Plan mensual'!F68+IF(parametros_manuales!$H$40="Todos",'Plan mensual'!F72,0))+parametros_manuales!$E$40*('Plan mensual'!F69+IF(parametros_manuales!$H$40="Todos",'Plan mensual'!F73,0))+parametros_manuales!$F$40*('Plan mensual'!F70+IF(parametros_manuales!$H$40="Todos",'Plan mensual'!F74,0))+parametros_manuales!$G$40*('Plan mensual'!F71+IF(parametros_manuales!$H$40="Todos",'Plan mensual'!F75,0)))*parametros_manuales!$I$40*parametros_manuales!$J$40</f>
        <v>3721.125</v>
      </c>
      <c r="E191" s="8">
        <f>(parametros_manuales!$D$40*('Plan mensual'!G68+IF(parametros_manuales!$H$40="Todos",'Plan mensual'!G72,0))+parametros_manuales!$E$40*('Plan mensual'!G69+IF(parametros_manuales!$H$40="Todos",'Plan mensual'!G73,0))+parametros_manuales!$F$40*('Plan mensual'!G70+IF(parametros_manuales!$H$40="Todos",'Plan mensual'!G74,0))+parametros_manuales!$G$40*('Plan mensual'!G71+IF(parametros_manuales!$H$40="Todos",'Plan mensual'!G75,0)))*parametros_manuales!$I$40*parametros_manuales!$J$40</f>
        <v>3619.46</v>
      </c>
      <c r="F191" s="8">
        <f>(parametros_manuales!$D$40*('Plan mensual'!H68+IF(parametros_manuales!$H$40="Todos",'Plan mensual'!H72,0))+parametros_manuales!$E$40*('Plan mensual'!H69+IF(parametros_manuales!$H$40="Todos",'Plan mensual'!H73,0))+parametros_manuales!$F$40*('Plan mensual'!H70+IF(parametros_manuales!$H$40="Todos",'Plan mensual'!H74,0))+parametros_manuales!$G$40*('Plan mensual'!H71+IF(parametros_manuales!$H$40="Todos",'Plan mensual'!H75,0)))*parametros_manuales!$I$40*parametros_manuales!$J$40</f>
        <v>3394.59</v>
      </c>
      <c r="G191" s="8">
        <f>(parametros_manuales!$D$40*('Plan mensual'!I68+IF(parametros_manuales!$H$40="Todos",'Plan mensual'!I72,0))+parametros_manuales!$E$40*('Plan mensual'!I69+IF(parametros_manuales!$H$40="Todos",'Plan mensual'!I73,0))+parametros_manuales!$F$40*('Plan mensual'!I70+IF(parametros_manuales!$H$40="Todos",'Plan mensual'!I74,0))+parametros_manuales!$G$40*('Plan mensual'!I71+IF(parametros_manuales!$H$40="Todos",'Plan mensual'!I75,0)))*parametros_manuales!$I$40*parametros_manuales!$J$40</f>
        <v>3271.385</v>
      </c>
      <c r="H191" s="8">
        <f>(parametros_manuales!$D$40*('Plan mensual'!J68+IF(parametros_manuales!$H$40="Todos",'Plan mensual'!J72,0))+parametros_manuales!$E$40*('Plan mensual'!J69+IF(parametros_manuales!$H$40="Todos",'Plan mensual'!J73,0))+parametros_manuales!$F$40*('Plan mensual'!J70+IF(parametros_manuales!$H$40="Todos",'Plan mensual'!J74,0))+parametros_manuales!$G$40*('Plan mensual'!J71+IF(parametros_manuales!$H$40="Todos",'Plan mensual'!J75,0)))*parametros_manuales!$I$40*parametros_manuales!$J$40</f>
        <v>3496.255</v>
      </c>
      <c r="I191" s="8">
        <f>(parametros_manuales!$D$40*('Plan mensual'!K68+IF(parametros_manuales!$H$40="Todos",'Plan mensual'!K72,0))+parametros_manuales!$E$40*('Plan mensual'!K69+IF(parametros_manuales!$H$40="Todos",'Plan mensual'!K73,0))+parametros_manuales!$F$40*('Plan mensual'!K70+IF(parametros_manuales!$H$40="Todos",'Plan mensual'!K74,0))+parametros_manuales!$G$40*('Plan mensual'!K71+IF(parametros_manuales!$H$40="Todos",'Plan mensual'!K75,0)))*parametros_manuales!$I$40*parametros_manuales!$J$40</f>
        <v>3496.255</v>
      </c>
      <c r="J191" s="8">
        <f>(parametros_manuales!$D$40*('Plan mensual'!L68+IF(parametros_manuales!$H$40="Todos",'Plan mensual'!L72,0))+parametros_manuales!$E$40*('Plan mensual'!L69+IF(parametros_manuales!$H$40="Todos",'Plan mensual'!L73,0))+parametros_manuales!$F$40*('Plan mensual'!L70+IF(parametros_manuales!$H$40="Todos",'Plan mensual'!L74,0))+parametros_manuales!$G$40*('Plan mensual'!L71+IF(parametros_manuales!$H$40="Todos",'Plan mensual'!L75,0)))*parametros_manuales!$I$40*parametros_manuales!$J$40</f>
        <v>3496.255</v>
      </c>
      <c r="K191" s="8">
        <f>(parametros_manuales!$D$40*('Plan mensual'!M68+IF(parametros_manuales!$H$40="Todos",'Plan mensual'!M72,0))+parametros_manuales!$E$40*('Plan mensual'!M69+IF(parametros_manuales!$H$40="Todos",'Plan mensual'!M73,0))+parametros_manuales!$F$40*('Plan mensual'!M70+IF(parametros_manuales!$H$40="Todos",'Plan mensual'!M74,0))+parametros_manuales!$G$40*('Plan mensual'!M71+IF(parametros_manuales!$H$40="Todos",'Plan mensual'!M75,0)))*parametros_manuales!$I$40*parametros_manuales!$J$40</f>
        <v>3373.05</v>
      </c>
      <c r="L191" s="8">
        <f>(parametros_manuales!$D$40*('Plan mensual'!N68+IF(parametros_manuales!$H$40="Todos",'Plan mensual'!N72,0))+parametros_manuales!$E$40*('Plan mensual'!N69+IF(parametros_manuales!$H$40="Todos",'Plan mensual'!N73,0))+parametros_manuales!$F$40*('Plan mensual'!N70+IF(parametros_manuales!$H$40="Todos",'Plan mensual'!N74,0))+parametros_manuales!$G$40*('Plan mensual'!N71+IF(parametros_manuales!$H$40="Todos",'Plan mensual'!N75,0)))*parametros_manuales!$I$40*parametros_manuales!$J$40</f>
        <v>3249.845</v>
      </c>
      <c r="M191" s="8">
        <f>(parametros_manuales!$D$40*('Plan mensual'!O68+IF(parametros_manuales!$H$40="Todos",'Plan mensual'!O72,0))+parametros_manuales!$E$40*('Plan mensual'!O69+IF(parametros_manuales!$H$40="Todos",'Plan mensual'!O73,0))+parametros_manuales!$F$40*('Plan mensual'!O70+IF(parametros_manuales!$H$40="Todos",'Plan mensual'!O74,0))+parametros_manuales!$G$40*('Plan mensual'!O71+IF(parametros_manuales!$H$40="Todos",'Plan mensual'!O75,0)))*parametros_manuales!$I$40*parametros_manuales!$J$40</f>
        <v>5150.47</v>
      </c>
      <c r="N191" s="8">
        <f t="shared" si="19"/>
        <v>44974</v>
      </c>
      <c r="O191" s="8">
        <f t="shared" si="20"/>
        <v>5150.47</v>
      </c>
      <c r="P191" s="27">
        <f>O191/(parametros_manuales!$B$7)</f>
        <v>34.33646667</v>
      </c>
      <c r="Q191" s="4" t="str">
        <f t="shared" si="21"/>
        <v>Dic</v>
      </c>
    </row>
    <row r="192" ht="14.25" customHeight="1">
      <c r="A192" s="4" t="str">
        <f>parametros_manuales!$B$41</f>
        <v>Presurización</v>
      </c>
      <c r="B192" s="8">
        <f>(parametros_manuales!$D$41*('Plan mensual'!D68+IF(parametros_manuales!$H$41="Todos",'Plan mensual'!D72,0))+parametros_manuales!$E$41*('Plan mensual'!D69+IF(parametros_manuales!$H$41="Todos",'Plan mensual'!D73,0))+parametros_manuales!$F$41*('Plan mensual'!D70+IF(parametros_manuales!$H$41="Todos",'Plan mensual'!D74,0))+parametros_manuales!$G$41*('Plan mensual'!D71+IF(parametros_manuales!$H$41="Todos",'Plan mensual'!D75,0)))*parametros_manuales!$I$41*parametros_manuales!$J$41</f>
        <v>4904.06</v>
      </c>
      <c r="C192" s="8">
        <f>(parametros_manuales!$D$41*('Plan mensual'!E68+IF(parametros_manuales!$H$41="Todos",'Plan mensual'!E72,0))+parametros_manuales!$E$41*('Plan mensual'!E69+IF(parametros_manuales!$H$41="Todos",'Plan mensual'!E73,0))+parametros_manuales!$F$41*('Plan mensual'!E70+IF(parametros_manuales!$H$41="Todos",'Plan mensual'!E74,0))+parametros_manuales!$G$41*('Plan mensual'!E71+IF(parametros_manuales!$H$41="Todos",'Plan mensual'!E75,0)))*parametros_manuales!$I$41*parametros_manuales!$J$41</f>
        <v>3801.25</v>
      </c>
      <c r="D192" s="8">
        <f>(parametros_manuales!$D$41*('Plan mensual'!F68+IF(parametros_manuales!$H$41="Todos",'Plan mensual'!F72,0))+parametros_manuales!$E$41*('Plan mensual'!F69+IF(parametros_manuales!$H$41="Todos",'Plan mensual'!F73,0))+parametros_manuales!$F$41*('Plan mensual'!F70+IF(parametros_manuales!$H$41="Todos",'Plan mensual'!F74,0))+parametros_manuales!$G$41*('Plan mensual'!F71+IF(parametros_manuales!$H$41="Todos",'Plan mensual'!F75,0)))*parametros_manuales!$I$41*parametros_manuales!$J$41</f>
        <v>3721.125</v>
      </c>
      <c r="E192" s="8">
        <f>(parametros_manuales!$D$41*('Plan mensual'!G68+IF(parametros_manuales!$H$41="Todos",'Plan mensual'!G72,0))+parametros_manuales!$E$41*('Plan mensual'!G69+IF(parametros_manuales!$H$41="Todos",'Plan mensual'!G73,0))+parametros_manuales!$F$41*('Plan mensual'!G70+IF(parametros_manuales!$H$41="Todos",'Plan mensual'!G74,0))+parametros_manuales!$G$41*('Plan mensual'!G71+IF(parametros_manuales!$H$41="Todos",'Plan mensual'!G75,0)))*parametros_manuales!$I$41*parametros_manuales!$J$41</f>
        <v>3619.46</v>
      </c>
      <c r="F192" s="8">
        <f>(parametros_manuales!$D$41*('Plan mensual'!H68+IF(parametros_manuales!$H$41="Todos",'Plan mensual'!H72,0))+parametros_manuales!$E$41*('Plan mensual'!H69+IF(parametros_manuales!$H$41="Todos",'Plan mensual'!H73,0))+parametros_manuales!$F$41*('Plan mensual'!H70+IF(parametros_manuales!$H$41="Todos",'Plan mensual'!H74,0))+parametros_manuales!$G$41*('Plan mensual'!H71+IF(parametros_manuales!$H$41="Todos",'Plan mensual'!H75,0)))*parametros_manuales!$I$41*parametros_manuales!$J$41</f>
        <v>3394.59</v>
      </c>
      <c r="G192" s="8">
        <f>(parametros_manuales!$D$41*('Plan mensual'!I68+IF(parametros_manuales!$H$41="Todos",'Plan mensual'!I72,0))+parametros_manuales!$E$41*('Plan mensual'!I69+IF(parametros_manuales!$H$41="Todos",'Plan mensual'!I73,0))+parametros_manuales!$F$41*('Plan mensual'!I70+IF(parametros_manuales!$H$41="Todos",'Plan mensual'!I74,0))+parametros_manuales!$G$41*('Plan mensual'!I71+IF(parametros_manuales!$H$41="Todos",'Plan mensual'!I75,0)))*parametros_manuales!$I$41*parametros_manuales!$J$41</f>
        <v>3271.385</v>
      </c>
      <c r="H192" s="8">
        <f>(parametros_manuales!$D$41*('Plan mensual'!J68+IF(parametros_manuales!$H$41="Todos",'Plan mensual'!J72,0))+parametros_manuales!$E$41*('Plan mensual'!J69+IF(parametros_manuales!$H$41="Todos",'Plan mensual'!J73,0))+parametros_manuales!$F$41*('Plan mensual'!J70+IF(parametros_manuales!$H$41="Todos",'Plan mensual'!J74,0))+parametros_manuales!$G$41*('Plan mensual'!J71+IF(parametros_manuales!$H$41="Todos",'Plan mensual'!J75,0)))*parametros_manuales!$I$41*parametros_manuales!$J$41</f>
        <v>3496.255</v>
      </c>
      <c r="I192" s="8">
        <f>(parametros_manuales!$D$41*('Plan mensual'!K68+IF(parametros_manuales!$H$41="Todos",'Plan mensual'!K72,0))+parametros_manuales!$E$41*('Plan mensual'!K69+IF(parametros_manuales!$H$41="Todos",'Plan mensual'!K73,0))+parametros_manuales!$F$41*('Plan mensual'!K70+IF(parametros_manuales!$H$41="Todos",'Plan mensual'!K74,0))+parametros_manuales!$G$41*('Plan mensual'!K71+IF(parametros_manuales!$H$41="Todos",'Plan mensual'!K75,0)))*parametros_manuales!$I$41*parametros_manuales!$J$41</f>
        <v>3496.255</v>
      </c>
      <c r="J192" s="8">
        <f>(parametros_manuales!$D$41*('Plan mensual'!L68+IF(parametros_manuales!$H$41="Todos",'Plan mensual'!L72,0))+parametros_manuales!$E$41*('Plan mensual'!L69+IF(parametros_manuales!$H$41="Todos",'Plan mensual'!L73,0))+parametros_manuales!$F$41*('Plan mensual'!L70+IF(parametros_manuales!$H$41="Todos",'Plan mensual'!L74,0))+parametros_manuales!$G$41*('Plan mensual'!L71+IF(parametros_manuales!$H$41="Todos",'Plan mensual'!L75,0)))*parametros_manuales!$I$41*parametros_manuales!$J$41</f>
        <v>3496.255</v>
      </c>
      <c r="K192" s="8">
        <f>(parametros_manuales!$D$41*('Plan mensual'!M68+IF(parametros_manuales!$H$41="Todos",'Plan mensual'!M72,0))+parametros_manuales!$E$41*('Plan mensual'!M69+IF(parametros_manuales!$H$41="Todos",'Plan mensual'!M73,0))+parametros_manuales!$F$41*('Plan mensual'!M70+IF(parametros_manuales!$H$41="Todos",'Plan mensual'!M74,0))+parametros_manuales!$G$41*('Plan mensual'!M71+IF(parametros_manuales!$H$41="Todos",'Plan mensual'!M75,0)))*parametros_manuales!$I$41*parametros_manuales!$J$41</f>
        <v>3373.05</v>
      </c>
      <c r="L192" s="8">
        <f>(parametros_manuales!$D$41*('Plan mensual'!N68+IF(parametros_manuales!$H$41="Todos",'Plan mensual'!N72,0))+parametros_manuales!$E$41*('Plan mensual'!N69+IF(parametros_manuales!$H$41="Todos",'Plan mensual'!N73,0))+parametros_manuales!$F$41*('Plan mensual'!N70+IF(parametros_manuales!$H$41="Todos",'Plan mensual'!N74,0))+parametros_manuales!$G$41*('Plan mensual'!N71+IF(parametros_manuales!$H$41="Todos",'Plan mensual'!N75,0)))*parametros_manuales!$I$41*parametros_manuales!$J$41</f>
        <v>3249.845</v>
      </c>
      <c r="M192" s="8">
        <f>(parametros_manuales!$D$41*('Plan mensual'!O68+IF(parametros_manuales!$H$41="Todos",'Plan mensual'!O72,0))+parametros_manuales!$E$41*('Plan mensual'!O69+IF(parametros_manuales!$H$41="Todos",'Plan mensual'!O73,0))+parametros_manuales!$F$41*('Plan mensual'!O70+IF(parametros_manuales!$H$41="Todos",'Plan mensual'!O74,0))+parametros_manuales!$G$41*('Plan mensual'!O71+IF(parametros_manuales!$H$41="Todos",'Plan mensual'!O75,0)))*parametros_manuales!$I$41*parametros_manuales!$J$41</f>
        <v>5150.47</v>
      </c>
      <c r="N192" s="8">
        <f t="shared" si="19"/>
        <v>44974</v>
      </c>
      <c r="O192" s="8">
        <f t="shared" si="20"/>
        <v>5150.47</v>
      </c>
      <c r="P192" s="27">
        <f>O192/(parametros_manuales!$B$7)</f>
        <v>34.33646667</v>
      </c>
      <c r="Q192" s="4" t="str">
        <f t="shared" si="21"/>
        <v>Dic</v>
      </c>
    </row>
    <row r="193" ht="14.25" customHeight="1">
      <c r="A193" s="4" t="str">
        <f>parametros_manuales!$B$42</f>
        <v>Control de calidad — Ensayo de pérdidas</v>
      </c>
      <c r="B193" s="8">
        <f>(parametros_manuales!$D$42*('Plan mensual'!D68+IF(parametros_manuales!$H$42="Todos",'Plan mensual'!D72,0))+parametros_manuales!$E$42*('Plan mensual'!D69+IF(parametros_manuales!$H$42="Todos",'Plan mensual'!D73,0))+parametros_manuales!$F$42*('Plan mensual'!D70+IF(parametros_manuales!$H$42="Todos",'Plan mensual'!D74,0))+parametros_manuales!$G$42*('Plan mensual'!D71+IF(parametros_manuales!$H$42="Todos",'Plan mensual'!D75,0)))*parametros_manuales!$I$42*parametros_manuales!$J$42</f>
        <v>4904.06</v>
      </c>
      <c r="C193" s="8">
        <f>(parametros_manuales!$D$42*('Plan mensual'!E68+IF(parametros_manuales!$H$42="Todos",'Plan mensual'!E72,0))+parametros_manuales!$E$42*('Plan mensual'!E69+IF(parametros_manuales!$H$42="Todos",'Plan mensual'!E73,0))+parametros_manuales!$F$42*('Plan mensual'!E70+IF(parametros_manuales!$H$42="Todos",'Plan mensual'!E74,0))+parametros_manuales!$G$42*('Plan mensual'!E71+IF(parametros_manuales!$H$42="Todos",'Plan mensual'!E75,0)))*parametros_manuales!$I$42*parametros_manuales!$J$42</f>
        <v>3801.25</v>
      </c>
      <c r="D193" s="8">
        <f>(parametros_manuales!$D$42*('Plan mensual'!F68+IF(parametros_manuales!$H$42="Todos",'Plan mensual'!F72,0))+parametros_manuales!$E$42*('Plan mensual'!F69+IF(parametros_manuales!$H$42="Todos",'Plan mensual'!F73,0))+parametros_manuales!$F$42*('Plan mensual'!F70+IF(parametros_manuales!$H$42="Todos",'Plan mensual'!F74,0))+parametros_manuales!$G$42*('Plan mensual'!F71+IF(parametros_manuales!$H$42="Todos",'Plan mensual'!F75,0)))*parametros_manuales!$I$42*parametros_manuales!$J$42</f>
        <v>3721.125</v>
      </c>
      <c r="E193" s="8">
        <f>(parametros_manuales!$D$42*('Plan mensual'!G68+IF(parametros_manuales!$H$42="Todos",'Plan mensual'!G72,0))+parametros_manuales!$E$42*('Plan mensual'!G69+IF(parametros_manuales!$H$42="Todos",'Plan mensual'!G73,0))+parametros_manuales!$F$42*('Plan mensual'!G70+IF(parametros_manuales!$H$42="Todos",'Plan mensual'!G74,0))+parametros_manuales!$G$42*('Plan mensual'!G71+IF(parametros_manuales!$H$42="Todos",'Plan mensual'!G75,0)))*parametros_manuales!$I$42*parametros_manuales!$J$42</f>
        <v>3619.46</v>
      </c>
      <c r="F193" s="8">
        <f>(parametros_manuales!$D$42*('Plan mensual'!H68+IF(parametros_manuales!$H$42="Todos",'Plan mensual'!H72,0))+parametros_manuales!$E$42*('Plan mensual'!H69+IF(parametros_manuales!$H$42="Todos",'Plan mensual'!H73,0))+parametros_manuales!$F$42*('Plan mensual'!H70+IF(parametros_manuales!$H$42="Todos",'Plan mensual'!H74,0))+parametros_manuales!$G$42*('Plan mensual'!H71+IF(parametros_manuales!$H$42="Todos",'Plan mensual'!H75,0)))*parametros_manuales!$I$42*parametros_manuales!$J$42</f>
        <v>3394.59</v>
      </c>
      <c r="G193" s="8">
        <f>(parametros_manuales!$D$42*('Plan mensual'!I68+IF(parametros_manuales!$H$42="Todos",'Plan mensual'!I72,0))+parametros_manuales!$E$42*('Plan mensual'!I69+IF(parametros_manuales!$H$42="Todos",'Plan mensual'!I73,0))+parametros_manuales!$F$42*('Plan mensual'!I70+IF(parametros_manuales!$H$42="Todos",'Plan mensual'!I74,0))+parametros_manuales!$G$42*('Plan mensual'!I71+IF(parametros_manuales!$H$42="Todos",'Plan mensual'!I75,0)))*parametros_manuales!$I$42*parametros_manuales!$J$42</f>
        <v>3271.385</v>
      </c>
      <c r="H193" s="8">
        <f>(parametros_manuales!$D$42*('Plan mensual'!J68+IF(parametros_manuales!$H$42="Todos",'Plan mensual'!J72,0))+parametros_manuales!$E$42*('Plan mensual'!J69+IF(parametros_manuales!$H$42="Todos",'Plan mensual'!J73,0))+parametros_manuales!$F$42*('Plan mensual'!J70+IF(parametros_manuales!$H$42="Todos",'Plan mensual'!J74,0))+parametros_manuales!$G$42*('Plan mensual'!J71+IF(parametros_manuales!$H$42="Todos",'Plan mensual'!J75,0)))*parametros_manuales!$I$42*parametros_manuales!$J$42</f>
        <v>3496.255</v>
      </c>
      <c r="I193" s="8">
        <f>(parametros_manuales!$D$42*('Plan mensual'!K68+IF(parametros_manuales!$H$42="Todos",'Plan mensual'!K72,0))+parametros_manuales!$E$42*('Plan mensual'!K69+IF(parametros_manuales!$H$42="Todos",'Plan mensual'!K73,0))+parametros_manuales!$F$42*('Plan mensual'!K70+IF(parametros_manuales!$H$42="Todos",'Plan mensual'!K74,0))+parametros_manuales!$G$42*('Plan mensual'!K71+IF(parametros_manuales!$H$42="Todos",'Plan mensual'!K75,0)))*parametros_manuales!$I$42*parametros_manuales!$J$42</f>
        <v>3496.255</v>
      </c>
      <c r="J193" s="8">
        <f>(parametros_manuales!$D$42*('Plan mensual'!L68+IF(parametros_manuales!$H$42="Todos",'Plan mensual'!L72,0))+parametros_manuales!$E$42*('Plan mensual'!L69+IF(parametros_manuales!$H$42="Todos",'Plan mensual'!L73,0))+parametros_manuales!$F$42*('Plan mensual'!L70+IF(parametros_manuales!$H$42="Todos",'Plan mensual'!L74,0))+parametros_manuales!$G$42*('Plan mensual'!L71+IF(parametros_manuales!$H$42="Todos",'Plan mensual'!L75,0)))*parametros_manuales!$I$42*parametros_manuales!$J$42</f>
        <v>3496.255</v>
      </c>
      <c r="K193" s="8">
        <f>(parametros_manuales!$D$42*('Plan mensual'!M68+IF(parametros_manuales!$H$42="Todos",'Plan mensual'!M72,0))+parametros_manuales!$E$42*('Plan mensual'!M69+IF(parametros_manuales!$H$42="Todos",'Plan mensual'!M73,0))+parametros_manuales!$F$42*('Plan mensual'!M70+IF(parametros_manuales!$H$42="Todos",'Plan mensual'!M74,0))+parametros_manuales!$G$42*('Plan mensual'!M71+IF(parametros_manuales!$H$42="Todos",'Plan mensual'!M75,0)))*parametros_manuales!$I$42*parametros_manuales!$J$42</f>
        <v>3373.05</v>
      </c>
      <c r="L193" s="8">
        <f>(parametros_manuales!$D$42*('Plan mensual'!N68+IF(parametros_manuales!$H$42="Todos",'Plan mensual'!N72,0))+parametros_manuales!$E$42*('Plan mensual'!N69+IF(parametros_manuales!$H$42="Todos",'Plan mensual'!N73,0))+parametros_manuales!$F$42*('Plan mensual'!N70+IF(parametros_manuales!$H$42="Todos",'Plan mensual'!N74,0))+parametros_manuales!$G$42*('Plan mensual'!N71+IF(parametros_manuales!$H$42="Todos",'Plan mensual'!N75,0)))*parametros_manuales!$I$42*parametros_manuales!$J$42</f>
        <v>3249.845</v>
      </c>
      <c r="M193" s="8">
        <f>(parametros_manuales!$D$42*('Plan mensual'!O68+IF(parametros_manuales!$H$42="Todos",'Plan mensual'!O72,0))+parametros_manuales!$E$42*('Plan mensual'!O69+IF(parametros_manuales!$H$42="Todos",'Plan mensual'!O73,0))+parametros_manuales!$F$42*('Plan mensual'!O70+IF(parametros_manuales!$H$42="Todos",'Plan mensual'!O74,0))+parametros_manuales!$G$42*('Plan mensual'!O71+IF(parametros_manuales!$H$42="Todos",'Plan mensual'!O75,0)))*parametros_manuales!$I$42*parametros_manuales!$J$42</f>
        <v>5150.47</v>
      </c>
      <c r="N193" s="8">
        <f t="shared" si="19"/>
        <v>44974</v>
      </c>
      <c r="O193" s="8">
        <f t="shared" si="20"/>
        <v>5150.47</v>
      </c>
      <c r="P193" s="27">
        <f>O193/(parametros_manuales!$B$7)</f>
        <v>34.33646667</v>
      </c>
      <c r="Q193" s="4" t="str">
        <f t="shared" si="21"/>
        <v>Dic</v>
      </c>
    </row>
    <row r="194" ht="14.25" customHeight="1">
      <c r="A194" s="4" t="str">
        <f>parametros_manuales!$B$43</f>
        <v>Etiquetado</v>
      </c>
      <c r="B194" s="8">
        <f>(parametros_manuales!$D$43*('Plan mensual'!D68+IF(parametros_manuales!$H$43="Todos",'Plan mensual'!D72,0))+parametros_manuales!$E$43*('Plan mensual'!D69+IF(parametros_manuales!$H$43="Todos",'Plan mensual'!D73,0))+parametros_manuales!$F$43*('Plan mensual'!D70+IF(parametros_manuales!$H$43="Todos",'Plan mensual'!D74,0))+parametros_manuales!$G$43*('Plan mensual'!D71+IF(parametros_manuales!$H$43="Todos",'Plan mensual'!D75,0)))*parametros_manuales!$I$43*parametros_manuales!$J$43</f>
        <v>4904.06</v>
      </c>
      <c r="C194" s="8">
        <f>(parametros_manuales!$D$43*('Plan mensual'!E68+IF(parametros_manuales!$H$43="Todos",'Plan mensual'!E72,0))+parametros_manuales!$E$43*('Plan mensual'!E69+IF(parametros_manuales!$H$43="Todos",'Plan mensual'!E73,0))+parametros_manuales!$F$43*('Plan mensual'!E70+IF(parametros_manuales!$H$43="Todos",'Plan mensual'!E74,0))+parametros_manuales!$G$43*('Plan mensual'!E71+IF(parametros_manuales!$H$43="Todos",'Plan mensual'!E75,0)))*parametros_manuales!$I$43*parametros_manuales!$J$43</f>
        <v>3801.25</v>
      </c>
      <c r="D194" s="8">
        <f>(parametros_manuales!$D$43*('Plan mensual'!F68+IF(parametros_manuales!$H$43="Todos",'Plan mensual'!F72,0))+parametros_manuales!$E$43*('Plan mensual'!F69+IF(parametros_manuales!$H$43="Todos",'Plan mensual'!F73,0))+parametros_manuales!$F$43*('Plan mensual'!F70+IF(parametros_manuales!$H$43="Todos",'Plan mensual'!F74,0))+parametros_manuales!$G$43*('Plan mensual'!F71+IF(parametros_manuales!$H$43="Todos",'Plan mensual'!F75,0)))*parametros_manuales!$I$43*parametros_manuales!$J$43</f>
        <v>3721.125</v>
      </c>
      <c r="E194" s="8">
        <f>(parametros_manuales!$D$43*('Plan mensual'!G68+IF(parametros_manuales!$H$43="Todos",'Plan mensual'!G72,0))+parametros_manuales!$E$43*('Plan mensual'!G69+IF(parametros_manuales!$H$43="Todos",'Plan mensual'!G73,0))+parametros_manuales!$F$43*('Plan mensual'!G70+IF(parametros_manuales!$H$43="Todos",'Plan mensual'!G74,0))+parametros_manuales!$G$43*('Plan mensual'!G71+IF(parametros_manuales!$H$43="Todos",'Plan mensual'!G75,0)))*parametros_manuales!$I$43*parametros_manuales!$J$43</f>
        <v>3619.46</v>
      </c>
      <c r="F194" s="8">
        <f>(parametros_manuales!$D$43*('Plan mensual'!H68+IF(parametros_manuales!$H$43="Todos",'Plan mensual'!H72,0))+parametros_manuales!$E$43*('Plan mensual'!H69+IF(parametros_manuales!$H$43="Todos",'Plan mensual'!H73,0))+parametros_manuales!$F$43*('Plan mensual'!H70+IF(parametros_manuales!$H$43="Todos",'Plan mensual'!H74,0))+parametros_manuales!$G$43*('Plan mensual'!H71+IF(parametros_manuales!$H$43="Todos",'Plan mensual'!H75,0)))*parametros_manuales!$I$43*parametros_manuales!$J$43</f>
        <v>3394.59</v>
      </c>
      <c r="G194" s="8">
        <f>(parametros_manuales!$D$43*('Plan mensual'!I68+IF(parametros_manuales!$H$43="Todos",'Plan mensual'!I72,0))+parametros_manuales!$E$43*('Plan mensual'!I69+IF(parametros_manuales!$H$43="Todos",'Plan mensual'!I73,0))+parametros_manuales!$F$43*('Plan mensual'!I70+IF(parametros_manuales!$H$43="Todos",'Plan mensual'!I74,0))+parametros_manuales!$G$43*('Plan mensual'!I71+IF(parametros_manuales!$H$43="Todos",'Plan mensual'!I75,0)))*parametros_manuales!$I$43*parametros_manuales!$J$43</f>
        <v>3271.385</v>
      </c>
      <c r="H194" s="8">
        <f>(parametros_manuales!$D$43*('Plan mensual'!J68+IF(parametros_manuales!$H$43="Todos",'Plan mensual'!J72,0))+parametros_manuales!$E$43*('Plan mensual'!J69+IF(parametros_manuales!$H$43="Todos",'Plan mensual'!J73,0))+parametros_manuales!$F$43*('Plan mensual'!J70+IF(parametros_manuales!$H$43="Todos",'Plan mensual'!J74,0))+parametros_manuales!$G$43*('Plan mensual'!J71+IF(parametros_manuales!$H$43="Todos",'Plan mensual'!J75,0)))*parametros_manuales!$I$43*parametros_manuales!$J$43</f>
        <v>3496.255</v>
      </c>
      <c r="I194" s="8">
        <f>(parametros_manuales!$D$43*('Plan mensual'!K68+IF(parametros_manuales!$H$43="Todos",'Plan mensual'!K72,0))+parametros_manuales!$E$43*('Plan mensual'!K69+IF(parametros_manuales!$H$43="Todos",'Plan mensual'!K73,0))+parametros_manuales!$F$43*('Plan mensual'!K70+IF(parametros_manuales!$H$43="Todos",'Plan mensual'!K74,0))+parametros_manuales!$G$43*('Plan mensual'!K71+IF(parametros_manuales!$H$43="Todos",'Plan mensual'!K75,0)))*parametros_manuales!$I$43*parametros_manuales!$J$43</f>
        <v>3496.255</v>
      </c>
      <c r="J194" s="8">
        <f>(parametros_manuales!$D$43*('Plan mensual'!L68+IF(parametros_manuales!$H$43="Todos",'Plan mensual'!L72,0))+parametros_manuales!$E$43*('Plan mensual'!L69+IF(parametros_manuales!$H$43="Todos",'Plan mensual'!L73,0))+parametros_manuales!$F$43*('Plan mensual'!L70+IF(parametros_manuales!$H$43="Todos",'Plan mensual'!L74,0))+parametros_manuales!$G$43*('Plan mensual'!L71+IF(parametros_manuales!$H$43="Todos",'Plan mensual'!L75,0)))*parametros_manuales!$I$43*parametros_manuales!$J$43</f>
        <v>3496.255</v>
      </c>
      <c r="K194" s="8">
        <f>(parametros_manuales!$D$43*('Plan mensual'!M68+IF(parametros_manuales!$H$43="Todos",'Plan mensual'!M72,0))+parametros_manuales!$E$43*('Plan mensual'!M69+IF(parametros_manuales!$H$43="Todos",'Plan mensual'!M73,0))+parametros_manuales!$F$43*('Plan mensual'!M70+IF(parametros_manuales!$H$43="Todos",'Plan mensual'!M74,0))+parametros_manuales!$G$43*('Plan mensual'!M71+IF(parametros_manuales!$H$43="Todos",'Plan mensual'!M75,0)))*parametros_manuales!$I$43*parametros_manuales!$J$43</f>
        <v>3373.05</v>
      </c>
      <c r="L194" s="8">
        <f>(parametros_manuales!$D$43*('Plan mensual'!N68+IF(parametros_manuales!$H$43="Todos",'Plan mensual'!N72,0))+parametros_manuales!$E$43*('Plan mensual'!N69+IF(parametros_manuales!$H$43="Todos",'Plan mensual'!N73,0))+parametros_manuales!$F$43*('Plan mensual'!N70+IF(parametros_manuales!$H$43="Todos",'Plan mensual'!N74,0))+parametros_manuales!$G$43*('Plan mensual'!N71+IF(parametros_manuales!$H$43="Todos",'Plan mensual'!N75,0)))*parametros_manuales!$I$43*parametros_manuales!$J$43</f>
        <v>3249.845</v>
      </c>
      <c r="M194" s="8">
        <f>(parametros_manuales!$D$43*('Plan mensual'!O68+IF(parametros_manuales!$H$43="Todos",'Plan mensual'!O72,0))+parametros_manuales!$E$43*('Plan mensual'!O69+IF(parametros_manuales!$H$43="Todos",'Plan mensual'!O73,0))+parametros_manuales!$F$43*('Plan mensual'!O70+IF(parametros_manuales!$H$43="Todos",'Plan mensual'!O74,0))+parametros_manuales!$G$43*('Plan mensual'!O71+IF(parametros_manuales!$H$43="Todos",'Plan mensual'!O75,0)))*parametros_manuales!$I$43*parametros_manuales!$J$43</f>
        <v>5150.47</v>
      </c>
      <c r="N194" s="8">
        <f t="shared" si="19"/>
        <v>44974</v>
      </c>
      <c r="O194" s="8">
        <f t="shared" si="20"/>
        <v>5150.47</v>
      </c>
      <c r="P194" s="27">
        <f>O194/(parametros_manuales!$B$7)</f>
        <v>34.33646667</v>
      </c>
      <c r="Q194" s="4" t="str">
        <f t="shared" si="21"/>
        <v>Dic</v>
      </c>
    </row>
    <row r="195" ht="14.25" customHeight="1">
      <c r="A195" s="4" t="str">
        <f>parametros_manuales!$B$44</f>
        <v>Embalaje y paletizado</v>
      </c>
      <c r="B195" s="8">
        <f>(parametros_manuales!$D$44*('Plan mensual'!D68+IF(parametros_manuales!$H$44="Todos",'Plan mensual'!D72,0))+parametros_manuales!$E$44*('Plan mensual'!D69+IF(parametros_manuales!$H$44="Todos",'Plan mensual'!D73,0))+parametros_manuales!$F$44*('Plan mensual'!D70+IF(parametros_manuales!$H$44="Todos",'Plan mensual'!D74,0))+parametros_manuales!$G$44*('Plan mensual'!D71+IF(parametros_manuales!$H$44="Todos",'Plan mensual'!D75,0)))*parametros_manuales!$I$44*parametros_manuales!$J$44</f>
        <v>19631.98</v>
      </c>
      <c r="C195" s="8">
        <f>(parametros_manuales!$D$44*('Plan mensual'!E68+IF(parametros_manuales!$H$44="Todos",'Plan mensual'!E72,0))+parametros_manuales!$E$44*('Plan mensual'!E69+IF(parametros_manuales!$H$44="Todos",'Plan mensual'!E73,0))+parametros_manuales!$F$44*('Plan mensual'!E70+IF(parametros_manuales!$H$44="Todos",'Plan mensual'!E74,0))+parametros_manuales!$G$44*('Plan mensual'!E71+IF(parametros_manuales!$H$44="Todos",'Plan mensual'!E75,0)))*parametros_manuales!$I$44*parametros_manuales!$J$44</f>
        <v>14975.54</v>
      </c>
      <c r="D195" s="8">
        <f>(parametros_manuales!$D$44*('Plan mensual'!F68+IF(parametros_manuales!$H$44="Todos",'Plan mensual'!F72,0))+parametros_manuales!$E$44*('Plan mensual'!F69+IF(parametros_manuales!$H$44="Todos",'Plan mensual'!F73,0))+parametros_manuales!$F$44*('Plan mensual'!F70+IF(parametros_manuales!$H$44="Todos",'Plan mensual'!F74,0))+parametros_manuales!$G$44*('Plan mensual'!F71+IF(parametros_manuales!$H$44="Todos",'Plan mensual'!F75,0)))*parametros_manuales!$I$44*parametros_manuales!$J$44</f>
        <v>14010.355</v>
      </c>
      <c r="E195" s="8">
        <f>(parametros_manuales!$D$44*('Plan mensual'!G68+IF(parametros_manuales!$H$44="Todos",'Plan mensual'!G72,0))+parametros_manuales!$E$44*('Plan mensual'!G69+IF(parametros_manuales!$H$44="Todos",'Plan mensual'!G73,0))+parametros_manuales!$F$44*('Plan mensual'!G70+IF(parametros_manuales!$H$44="Todos",'Plan mensual'!G74,0))+parametros_manuales!$G$44*('Plan mensual'!G71+IF(parametros_manuales!$H$44="Todos",'Plan mensual'!G75,0)))*parametros_manuales!$I$44*parametros_manuales!$J$44</f>
        <v>13401.985</v>
      </c>
      <c r="F195" s="8">
        <f>(parametros_manuales!$D$44*('Plan mensual'!H68+IF(parametros_manuales!$H$44="Todos",'Plan mensual'!H72,0))+parametros_manuales!$E$44*('Plan mensual'!H69+IF(parametros_manuales!$H$44="Todos",'Plan mensual'!H73,0))+parametros_manuales!$F$44*('Plan mensual'!H70+IF(parametros_manuales!$H$44="Todos",'Plan mensual'!H74,0))+parametros_manuales!$G$44*('Plan mensual'!H71+IF(parametros_manuales!$H$44="Todos",'Plan mensual'!H75,0)))*parametros_manuales!$I$44*parametros_manuales!$J$44</f>
        <v>12542.06</v>
      </c>
      <c r="G195" s="8">
        <f>(parametros_manuales!$D$44*('Plan mensual'!I68+IF(parametros_manuales!$H$44="Todos",'Plan mensual'!I72,0))+parametros_manuales!$E$44*('Plan mensual'!I69+IF(parametros_manuales!$H$44="Todos",'Plan mensual'!I73,0))+parametros_manuales!$F$44*('Plan mensual'!I70+IF(parametros_manuales!$H$44="Todos",'Plan mensual'!I74,0))+parametros_manuales!$G$44*('Plan mensual'!I71+IF(parametros_manuales!$H$44="Todos",'Plan mensual'!I75,0)))*parametros_manuales!$I$44*parametros_manuales!$J$44</f>
        <v>12290.505</v>
      </c>
      <c r="H195" s="8">
        <f>(parametros_manuales!$D$44*('Plan mensual'!J68+IF(parametros_manuales!$H$44="Todos",'Plan mensual'!J72,0))+parametros_manuales!$E$44*('Plan mensual'!J69+IF(parametros_manuales!$H$44="Todos",'Plan mensual'!J73,0))+parametros_manuales!$F$44*('Plan mensual'!J70+IF(parametros_manuales!$H$44="Todos",'Plan mensual'!J74,0))+parametros_manuales!$G$44*('Plan mensual'!J71+IF(parametros_manuales!$H$44="Todos",'Plan mensual'!J75,0)))*parametros_manuales!$I$44*parametros_manuales!$J$44</f>
        <v>13150.43</v>
      </c>
      <c r="I195" s="8">
        <f>(parametros_manuales!$D$44*('Plan mensual'!K68+IF(parametros_manuales!$H$44="Todos",'Plan mensual'!K72,0))+parametros_manuales!$E$44*('Plan mensual'!K69+IF(parametros_manuales!$H$44="Todos",'Plan mensual'!K73,0))+parametros_manuales!$F$44*('Plan mensual'!K70+IF(parametros_manuales!$H$44="Todos",'Plan mensual'!K74,0))+parametros_manuales!$G$44*('Plan mensual'!K71+IF(parametros_manuales!$H$44="Todos",'Plan mensual'!K75,0)))*parametros_manuales!$I$44*parametros_manuales!$J$44</f>
        <v>13150.43</v>
      </c>
      <c r="J195" s="8">
        <f>(parametros_manuales!$D$44*('Plan mensual'!L68+IF(parametros_manuales!$H$44="Todos",'Plan mensual'!L72,0))+parametros_manuales!$E$44*('Plan mensual'!L69+IF(parametros_manuales!$H$44="Todos",'Plan mensual'!L73,0))+parametros_manuales!$F$44*('Plan mensual'!L70+IF(parametros_manuales!$H$44="Todos",'Plan mensual'!L74,0))+parametros_manuales!$G$44*('Plan mensual'!L71+IF(parametros_manuales!$H$44="Todos",'Plan mensual'!L75,0)))*parametros_manuales!$I$44*parametros_manuales!$J$44</f>
        <v>13150.43</v>
      </c>
      <c r="K195" s="8">
        <f>(parametros_manuales!$D$44*('Plan mensual'!M68+IF(parametros_manuales!$H$44="Todos",'Plan mensual'!M72,0))+parametros_manuales!$E$44*('Plan mensual'!M69+IF(parametros_manuales!$H$44="Todos",'Plan mensual'!M73,0))+parametros_manuales!$F$44*('Plan mensual'!M70+IF(parametros_manuales!$H$44="Todos",'Plan mensual'!M74,0))+parametros_manuales!$G$44*('Plan mensual'!M71+IF(parametros_manuales!$H$44="Todos",'Plan mensual'!M75,0)))*parametros_manuales!$I$44*parametros_manuales!$J$44</f>
        <v>12898.875</v>
      </c>
      <c r="L195" s="8">
        <f>(parametros_manuales!$D$44*('Plan mensual'!N68+IF(parametros_manuales!$H$44="Todos",'Plan mensual'!N72,0))+parametros_manuales!$E$44*('Plan mensual'!N69+IF(parametros_manuales!$H$44="Todos",'Plan mensual'!N73,0))+parametros_manuales!$F$44*('Plan mensual'!N70+IF(parametros_manuales!$H$44="Todos",'Plan mensual'!N74,0))+parametros_manuales!$G$44*('Plan mensual'!N71+IF(parametros_manuales!$H$44="Todos",'Plan mensual'!N75,0)))*parametros_manuales!$I$44*parametros_manuales!$J$44</f>
        <v>12647.32</v>
      </c>
      <c r="M195" s="8">
        <f>(parametros_manuales!$D$44*('Plan mensual'!O68+IF(parametros_manuales!$H$44="Todos",'Plan mensual'!O72,0))+parametros_manuales!$E$44*('Plan mensual'!O69+IF(parametros_manuales!$H$44="Todos",'Plan mensual'!O73,0))+parametros_manuales!$F$44*('Plan mensual'!O70+IF(parametros_manuales!$H$44="Todos",'Plan mensual'!O74,0))+parametros_manuales!$G$44*('Plan mensual'!O71+IF(parametros_manuales!$H$44="Todos",'Plan mensual'!O75,0)))*parametros_manuales!$I$44*parametros_manuales!$J$44</f>
        <v>20135.09</v>
      </c>
      <c r="N195" s="8">
        <f t="shared" si="19"/>
        <v>171985</v>
      </c>
      <c r="O195" s="8">
        <f t="shared" si="20"/>
        <v>20135.09</v>
      </c>
      <c r="P195" s="27">
        <f>O195/(parametros_manuales!$B$7)</f>
        <v>134.2339333</v>
      </c>
      <c r="Q195" s="4" t="str">
        <f t="shared" si="21"/>
        <v>Dic</v>
      </c>
    </row>
    <row r="196" ht="14.2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</row>
    <row r="197" ht="14.25" customHeight="1">
      <c r="A197" s="1" t="s">
        <v>234</v>
      </c>
      <c r="B197" s="1" t="s">
        <v>5</v>
      </c>
      <c r="C197" s="1" t="s">
        <v>6</v>
      </c>
      <c r="D197" s="1" t="s">
        <v>7</v>
      </c>
      <c r="E197" s="1" t="s">
        <v>8</v>
      </c>
      <c r="F197" s="1" t="s">
        <v>9</v>
      </c>
      <c r="G197" s="1" t="s">
        <v>10</v>
      </c>
      <c r="H197" s="1" t="s">
        <v>12</v>
      </c>
      <c r="I197" s="1" t="s">
        <v>13</v>
      </c>
      <c r="J197" s="1" t="s">
        <v>15</v>
      </c>
      <c r="K197" s="1" t="s">
        <v>16</v>
      </c>
      <c r="L197" s="1" t="s">
        <v>17</v>
      </c>
      <c r="M197" s="1" t="s">
        <v>18</v>
      </c>
      <c r="N197" s="1" t="s">
        <v>19</v>
      </c>
      <c r="O197" s="1" t="s">
        <v>20</v>
      </c>
      <c r="P197" s="1" t="s">
        <v>21</v>
      </c>
      <c r="Q197" s="1" t="s">
        <v>22</v>
      </c>
    </row>
    <row r="198" ht="14.25" customHeight="1">
      <c r="A198" s="4" t="str">
        <f>parametros_manuales!$B$19</f>
        <v>Recepción de materia prima</v>
      </c>
      <c r="B198" s="8">
        <f>(parametros_manuales!$D$19*('Plan mensual'!D79+IF(parametros_manuales!$H$19="Todos",'Plan mensual'!D83,0))+parametros_manuales!$E$19*('Plan mensual'!D80+IF(parametros_manuales!$H$19="Todos",'Plan mensual'!D84,0))+parametros_manuales!$F$19*('Plan mensual'!D81+IF(parametros_manuales!$H$19="Todos",'Plan mensual'!D85,0))+parametros_manuales!$G$19*('Plan mensual'!D82+IF(parametros_manuales!$H$19="Todos",'Plan mensual'!D86,0)))*parametros_manuales!$I$19*parametros_manuales!$J$19</f>
        <v>25082.66</v>
      </c>
      <c r="C198" s="8">
        <f>(parametros_manuales!$D$19*('Plan mensual'!E79+IF(parametros_manuales!$H$19="Todos",'Plan mensual'!E83,0))+parametros_manuales!$E$19*('Plan mensual'!E80+IF(parametros_manuales!$H$19="Todos",'Plan mensual'!E84,0))+parametros_manuales!$F$19*('Plan mensual'!E81+IF(parametros_manuales!$H$19="Todos",'Plan mensual'!E85,0))+parametros_manuales!$G$19*('Plan mensual'!E82+IF(parametros_manuales!$H$19="Todos",'Plan mensual'!E86,0)))*parametros_manuales!$I$19*parametros_manuales!$J$19</f>
        <v>19129.33</v>
      </c>
      <c r="D198" s="8">
        <f>(parametros_manuales!$D$19*('Plan mensual'!F79+IF(parametros_manuales!$H$19="Todos",'Plan mensual'!F83,0))+parametros_manuales!$E$19*('Plan mensual'!F80+IF(parametros_manuales!$H$19="Todos",'Plan mensual'!F84,0))+parametros_manuales!$F$19*('Plan mensual'!F81+IF(parametros_manuales!$H$19="Todos",'Plan mensual'!F85,0))+parametros_manuales!$G$19*('Plan mensual'!F82+IF(parametros_manuales!$H$19="Todos",'Plan mensual'!F86,0)))*parametros_manuales!$I$19*parametros_manuales!$J$19</f>
        <v>17885.335</v>
      </c>
      <c r="E198" s="8">
        <f>(parametros_manuales!$D$19*('Plan mensual'!G79+IF(parametros_manuales!$H$19="Todos",'Plan mensual'!G83,0))+parametros_manuales!$E$19*('Plan mensual'!G80+IF(parametros_manuales!$H$19="Todos",'Plan mensual'!G84,0))+parametros_manuales!$F$19*('Plan mensual'!G81+IF(parametros_manuales!$H$19="Todos",'Plan mensual'!G85,0))+parametros_manuales!$G$19*('Plan mensual'!G82+IF(parametros_manuales!$H$19="Todos",'Plan mensual'!G86,0)))*parametros_manuales!$I$19*parametros_manuales!$J$19</f>
        <v>17104.67</v>
      </c>
      <c r="F198" s="8">
        <f>(parametros_manuales!$D$19*('Plan mensual'!H79+IF(parametros_manuales!$H$19="Todos",'Plan mensual'!H83,0))+parametros_manuales!$E$19*('Plan mensual'!H80+IF(parametros_manuales!$H$19="Todos",'Plan mensual'!H84,0))+parametros_manuales!$F$19*('Plan mensual'!H81+IF(parametros_manuales!$H$19="Todos",'Plan mensual'!H85,0))+parametros_manuales!$G$19*('Plan mensual'!H82+IF(parametros_manuales!$H$19="Todos",'Plan mensual'!H86,0)))*parametros_manuales!$I$19*parametros_manuales!$J$19</f>
        <v>16006.67</v>
      </c>
      <c r="G198" s="8">
        <f>(parametros_manuales!$D$19*('Plan mensual'!I79+IF(parametros_manuales!$H$19="Todos",'Plan mensual'!I83,0))+parametros_manuales!$E$19*('Plan mensual'!I80+IF(parametros_manuales!$H$19="Todos",'Plan mensual'!I84,0))+parametros_manuales!$F$19*('Plan mensual'!I81+IF(parametros_manuales!$H$19="Todos",'Plan mensual'!I85,0))+parametros_manuales!$G$19*('Plan mensual'!I82+IF(parametros_manuales!$H$19="Todos",'Plan mensual'!I86,0)))*parametros_manuales!$I$19*parametros_manuales!$J$19</f>
        <v>15689.335</v>
      </c>
      <c r="H198" s="8">
        <f>(parametros_manuales!$D$19*('Plan mensual'!J79+IF(parametros_manuales!$H$19="Todos",'Plan mensual'!J83,0))+parametros_manuales!$E$19*('Plan mensual'!J80+IF(parametros_manuales!$H$19="Todos",'Plan mensual'!J84,0))+parametros_manuales!$F$19*('Plan mensual'!J81+IF(parametros_manuales!$H$19="Todos",'Plan mensual'!J85,0))+parametros_manuales!$G$19*('Plan mensual'!J82+IF(parametros_manuales!$H$19="Todos",'Plan mensual'!J86,0)))*parametros_manuales!$I$19*parametros_manuales!$J$19</f>
        <v>16787.335</v>
      </c>
      <c r="I198" s="8">
        <f>(parametros_manuales!$D$19*('Plan mensual'!K79+IF(parametros_manuales!$H$19="Todos",'Plan mensual'!K83,0))+parametros_manuales!$E$19*('Plan mensual'!K80+IF(parametros_manuales!$H$19="Todos",'Plan mensual'!K84,0))+parametros_manuales!$F$19*('Plan mensual'!K81+IF(parametros_manuales!$H$19="Todos",'Plan mensual'!K85,0))+parametros_manuales!$G$19*('Plan mensual'!K82+IF(parametros_manuales!$H$19="Todos",'Plan mensual'!K86,0)))*parametros_manuales!$I$19*parametros_manuales!$J$19</f>
        <v>16787.335</v>
      </c>
      <c r="J198" s="8">
        <f>(parametros_manuales!$D$19*('Plan mensual'!L79+IF(parametros_manuales!$H$19="Todos",'Plan mensual'!L83,0))+parametros_manuales!$E$19*('Plan mensual'!L80+IF(parametros_manuales!$H$19="Todos",'Plan mensual'!L84,0))+parametros_manuales!$F$19*('Plan mensual'!L81+IF(parametros_manuales!$H$19="Todos",'Plan mensual'!L85,0))+parametros_manuales!$G$19*('Plan mensual'!L82+IF(parametros_manuales!$H$19="Todos",'Plan mensual'!L86,0)))*parametros_manuales!$I$19*parametros_manuales!$J$19</f>
        <v>16787.335</v>
      </c>
      <c r="K198" s="8">
        <f>(parametros_manuales!$D$19*('Plan mensual'!M79+IF(parametros_manuales!$H$19="Todos",'Plan mensual'!M83,0))+parametros_manuales!$E$19*('Plan mensual'!M80+IF(parametros_manuales!$H$19="Todos",'Plan mensual'!M84,0))+parametros_manuales!$F$19*('Plan mensual'!M81+IF(parametros_manuales!$H$19="Todos",'Plan mensual'!M85,0))+parametros_manuales!$G$19*('Plan mensual'!M82+IF(parametros_manuales!$H$19="Todos",'Plan mensual'!M86,0)))*parametros_manuales!$I$19*parametros_manuales!$J$19</f>
        <v>16470</v>
      </c>
      <c r="L198" s="8">
        <f>(parametros_manuales!$D$19*('Plan mensual'!N79+IF(parametros_manuales!$H$19="Todos",'Plan mensual'!N83,0))+parametros_manuales!$E$19*('Plan mensual'!N80+IF(parametros_manuales!$H$19="Todos",'Plan mensual'!N84,0))+parametros_manuales!$F$19*('Plan mensual'!N81+IF(parametros_manuales!$H$19="Todos",'Plan mensual'!N85,0))+parametros_manuales!$G$19*('Plan mensual'!N82+IF(parametros_manuales!$H$19="Todos",'Plan mensual'!N86,0)))*parametros_manuales!$I$19*parametros_manuales!$J$19</f>
        <v>16152.665</v>
      </c>
      <c r="M198" s="8">
        <f>(parametros_manuales!$D$19*('Plan mensual'!O79+IF(parametros_manuales!$H$19="Todos",'Plan mensual'!O83,0))+parametros_manuales!$E$19*('Plan mensual'!O80+IF(parametros_manuales!$H$19="Todos",'Plan mensual'!O84,0))+parametros_manuales!$F$19*('Plan mensual'!O81+IF(parametros_manuales!$H$19="Todos",'Plan mensual'!O85,0))+parametros_manuales!$G$19*('Plan mensual'!O82+IF(parametros_manuales!$H$19="Todos",'Plan mensual'!O86,0)))*parametros_manuales!$I$19*parametros_manuales!$J$19</f>
        <v>25717.33</v>
      </c>
      <c r="N198" s="8">
        <f t="shared" ref="N198:N223" si="22">SUM(B198:M198)</f>
        <v>219600</v>
      </c>
      <c r="O198" s="8">
        <f t="shared" ref="O198:O223" si="23">MAX(B198:M198)</f>
        <v>25717.33</v>
      </c>
      <c r="P198" s="27">
        <f>O198/(parametros_manuales!$B$7)</f>
        <v>171.4488667</v>
      </c>
      <c r="Q198" s="4" t="str">
        <f t="shared" ref="Q198:Q223" si="24">IF(O198=0,"-",INDEX($B$197:$M$197,MATCH(O198,B198:M198,0)))</f>
        <v>Dic</v>
      </c>
    </row>
    <row r="199" ht="14.25" customHeight="1">
      <c r="A199" s="4" t="str">
        <f>parametros_manuales!$B$20</f>
        <v>Corte de chapa — 1.er corte en franjas (guillotina 1)</v>
      </c>
      <c r="B199" s="8">
        <f>(parametros_manuales!$D$20*('Plan mensual'!D79+IF(parametros_manuales!$H$20="Todos",'Plan mensual'!D83,0))+parametros_manuales!$E$20*('Plan mensual'!D80+IF(parametros_manuales!$H$20="Todos",'Plan mensual'!D84,0))+parametros_manuales!$F$20*('Plan mensual'!D81+IF(parametros_manuales!$H$20="Todos",'Plan mensual'!D85,0))+parametros_manuales!$G$20*('Plan mensual'!D82+IF(parametros_manuales!$H$20="Todos",'Plan mensual'!D86,0)))*parametros_manuales!$I$20*parametros_manuales!$J$20</f>
        <v>25082.66</v>
      </c>
      <c r="C199" s="8">
        <f>(parametros_manuales!$D$20*('Plan mensual'!E79+IF(parametros_manuales!$H$20="Todos",'Plan mensual'!E83,0))+parametros_manuales!$E$20*('Plan mensual'!E80+IF(parametros_manuales!$H$20="Todos",'Plan mensual'!E84,0))+parametros_manuales!$F$20*('Plan mensual'!E81+IF(parametros_manuales!$H$20="Todos",'Plan mensual'!E85,0))+parametros_manuales!$G$20*('Plan mensual'!E82+IF(parametros_manuales!$H$20="Todos",'Plan mensual'!E86,0)))*parametros_manuales!$I$20*parametros_manuales!$J$20</f>
        <v>19129.33</v>
      </c>
      <c r="D199" s="8">
        <f>(parametros_manuales!$D$20*('Plan mensual'!F79+IF(parametros_manuales!$H$20="Todos",'Plan mensual'!F83,0))+parametros_manuales!$E$20*('Plan mensual'!F80+IF(parametros_manuales!$H$20="Todos",'Plan mensual'!F84,0))+parametros_manuales!$F$20*('Plan mensual'!F81+IF(parametros_manuales!$H$20="Todos",'Plan mensual'!F85,0))+parametros_manuales!$G$20*('Plan mensual'!F82+IF(parametros_manuales!$H$20="Todos",'Plan mensual'!F86,0)))*parametros_manuales!$I$20*parametros_manuales!$J$20</f>
        <v>17885.335</v>
      </c>
      <c r="E199" s="8">
        <f>(parametros_manuales!$D$20*('Plan mensual'!G79+IF(parametros_manuales!$H$20="Todos",'Plan mensual'!G83,0))+parametros_manuales!$E$20*('Plan mensual'!G80+IF(parametros_manuales!$H$20="Todos",'Plan mensual'!G84,0))+parametros_manuales!$F$20*('Plan mensual'!G81+IF(parametros_manuales!$H$20="Todos",'Plan mensual'!G85,0))+parametros_manuales!$G$20*('Plan mensual'!G82+IF(parametros_manuales!$H$20="Todos",'Plan mensual'!G86,0)))*parametros_manuales!$I$20*parametros_manuales!$J$20</f>
        <v>17104.67</v>
      </c>
      <c r="F199" s="8">
        <f>(parametros_manuales!$D$20*('Plan mensual'!H79+IF(parametros_manuales!$H$20="Todos",'Plan mensual'!H83,0))+parametros_manuales!$E$20*('Plan mensual'!H80+IF(parametros_manuales!$H$20="Todos",'Plan mensual'!H84,0))+parametros_manuales!$F$20*('Plan mensual'!H81+IF(parametros_manuales!$H$20="Todos",'Plan mensual'!H85,0))+parametros_manuales!$G$20*('Plan mensual'!H82+IF(parametros_manuales!$H$20="Todos",'Plan mensual'!H86,0)))*parametros_manuales!$I$20*parametros_manuales!$J$20</f>
        <v>16006.67</v>
      </c>
      <c r="G199" s="8">
        <f>(parametros_manuales!$D$20*('Plan mensual'!I79+IF(parametros_manuales!$H$20="Todos",'Plan mensual'!I83,0))+parametros_manuales!$E$20*('Plan mensual'!I80+IF(parametros_manuales!$H$20="Todos",'Plan mensual'!I84,0))+parametros_manuales!$F$20*('Plan mensual'!I81+IF(parametros_manuales!$H$20="Todos",'Plan mensual'!I85,0))+parametros_manuales!$G$20*('Plan mensual'!I82+IF(parametros_manuales!$H$20="Todos",'Plan mensual'!I86,0)))*parametros_manuales!$I$20*parametros_manuales!$J$20</f>
        <v>15689.335</v>
      </c>
      <c r="H199" s="8">
        <f>(parametros_manuales!$D$20*('Plan mensual'!J79+IF(parametros_manuales!$H$20="Todos",'Plan mensual'!J83,0))+parametros_manuales!$E$20*('Plan mensual'!J80+IF(parametros_manuales!$H$20="Todos",'Plan mensual'!J84,0))+parametros_manuales!$F$20*('Plan mensual'!J81+IF(parametros_manuales!$H$20="Todos",'Plan mensual'!J85,0))+parametros_manuales!$G$20*('Plan mensual'!J82+IF(parametros_manuales!$H$20="Todos",'Plan mensual'!J86,0)))*parametros_manuales!$I$20*parametros_manuales!$J$20</f>
        <v>16787.335</v>
      </c>
      <c r="I199" s="8">
        <f>(parametros_manuales!$D$20*('Plan mensual'!K79+IF(parametros_manuales!$H$20="Todos",'Plan mensual'!K83,0))+parametros_manuales!$E$20*('Plan mensual'!K80+IF(parametros_manuales!$H$20="Todos",'Plan mensual'!K84,0))+parametros_manuales!$F$20*('Plan mensual'!K81+IF(parametros_manuales!$H$20="Todos",'Plan mensual'!K85,0))+parametros_manuales!$G$20*('Plan mensual'!K82+IF(parametros_manuales!$H$20="Todos",'Plan mensual'!K86,0)))*parametros_manuales!$I$20*parametros_manuales!$J$20</f>
        <v>16787.335</v>
      </c>
      <c r="J199" s="8">
        <f>(parametros_manuales!$D$20*('Plan mensual'!L79+IF(parametros_manuales!$H$20="Todos",'Plan mensual'!L83,0))+parametros_manuales!$E$20*('Plan mensual'!L80+IF(parametros_manuales!$H$20="Todos",'Plan mensual'!L84,0))+parametros_manuales!$F$20*('Plan mensual'!L81+IF(parametros_manuales!$H$20="Todos",'Plan mensual'!L85,0))+parametros_manuales!$G$20*('Plan mensual'!L82+IF(parametros_manuales!$H$20="Todos",'Plan mensual'!L86,0)))*parametros_manuales!$I$20*parametros_manuales!$J$20</f>
        <v>16787.335</v>
      </c>
      <c r="K199" s="8">
        <f>(parametros_manuales!$D$20*('Plan mensual'!M79+IF(parametros_manuales!$H$20="Todos",'Plan mensual'!M83,0))+parametros_manuales!$E$20*('Plan mensual'!M80+IF(parametros_manuales!$H$20="Todos",'Plan mensual'!M84,0))+parametros_manuales!$F$20*('Plan mensual'!M81+IF(parametros_manuales!$H$20="Todos",'Plan mensual'!M85,0))+parametros_manuales!$G$20*('Plan mensual'!M82+IF(parametros_manuales!$H$20="Todos",'Plan mensual'!M86,0)))*parametros_manuales!$I$20*parametros_manuales!$J$20</f>
        <v>16470</v>
      </c>
      <c r="L199" s="8">
        <f>(parametros_manuales!$D$20*('Plan mensual'!N79+IF(parametros_manuales!$H$20="Todos",'Plan mensual'!N83,0))+parametros_manuales!$E$20*('Plan mensual'!N80+IF(parametros_manuales!$H$20="Todos",'Plan mensual'!N84,0))+parametros_manuales!$F$20*('Plan mensual'!N81+IF(parametros_manuales!$H$20="Todos",'Plan mensual'!N85,0))+parametros_manuales!$G$20*('Plan mensual'!N82+IF(parametros_manuales!$H$20="Todos",'Plan mensual'!N86,0)))*parametros_manuales!$I$20*parametros_manuales!$J$20</f>
        <v>16152.665</v>
      </c>
      <c r="M199" s="8">
        <f>(parametros_manuales!$D$20*('Plan mensual'!O79+IF(parametros_manuales!$H$20="Todos",'Plan mensual'!O83,0))+parametros_manuales!$E$20*('Plan mensual'!O80+IF(parametros_manuales!$H$20="Todos",'Plan mensual'!O84,0))+parametros_manuales!$F$20*('Plan mensual'!O81+IF(parametros_manuales!$H$20="Todos",'Plan mensual'!O85,0))+parametros_manuales!$G$20*('Plan mensual'!O82+IF(parametros_manuales!$H$20="Todos",'Plan mensual'!O86,0)))*parametros_manuales!$I$20*parametros_manuales!$J$20</f>
        <v>25717.33</v>
      </c>
      <c r="N199" s="8">
        <f t="shared" si="22"/>
        <v>219600</v>
      </c>
      <c r="O199" s="8">
        <f t="shared" si="23"/>
        <v>25717.33</v>
      </c>
      <c r="P199" s="27">
        <f>O199/(parametros_manuales!$B$7)</f>
        <v>171.4488667</v>
      </c>
      <c r="Q199" s="4" t="str">
        <f t="shared" si="24"/>
        <v>Dic</v>
      </c>
    </row>
    <row r="200" ht="14.25" customHeight="1">
      <c r="A200" s="4" t="str">
        <f>parametros_manuales!$B$21</f>
        <v>Corte de chapa — 2.º corte en piezas (guillotina 2)</v>
      </c>
      <c r="B200" s="8">
        <f>(parametros_manuales!$D$21*('Plan mensual'!D79+IF(parametros_manuales!$H$21="Todos",'Plan mensual'!D83,0))+parametros_manuales!$E$21*('Plan mensual'!D80+IF(parametros_manuales!$H$21="Todos",'Plan mensual'!D84,0))+parametros_manuales!$F$21*('Plan mensual'!D81+IF(parametros_manuales!$H$21="Todos",'Plan mensual'!D85,0))+parametros_manuales!$G$21*('Plan mensual'!D82+IF(parametros_manuales!$H$21="Todos",'Plan mensual'!D86,0)))*parametros_manuales!$I$21*parametros_manuales!$J$21</f>
        <v>25082.66</v>
      </c>
      <c r="C200" s="8">
        <f>(parametros_manuales!$D$21*('Plan mensual'!E79+IF(parametros_manuales!$H$21="Todos",'Plan mensual'!E83,0))+parametros_manuales!$E$21*('Plan mensual'!E80+IF(parametros_manuales!$H$21="Todos",'Plan mensual'!E84,0))+parametros_manuales!$F$21*('Plan mensual'!E81+IF(parametros_manuales!$H$21="Todos",'Plan mensual'!E85,0))+parametros_manuales!$G$21*('Plan mensual'!E82+IF(parametros_manuales!$H$21="Todos",'Plan mensual'!E86,0)))*parametros_manuales!$I$21*parametros_manuales!$J$21</f>
        <v>19129.33</v>
      </c>
      <c r="D200" s="8">
        <f>(parametros_manuales!$D$21*('Plan mensual'!F79+IF(parametros_manuales!$H$21="Todos",'Plan mensual'!F83,0))+parametros_manuales!$E$21*('Plan mensual'!F80+IF(parametros_manuales!$H$21="Todos",'Plan mensual'!F84,0))+parametros_manuales!$F$21*('Plan mensual'!F81+IF(parametros_manuales!$H$21="Todos",'Plan mensual'!F85,0))+parametros_manuales!$G$21*('Plan mensual'!F82+IF(parametros_manuales!$H$21="Todos",'Plan mensual'!F86,0)))*parametros_manuales!$I$21*parametros_manuales!$J$21</f>
        <v>17885.335</v>
      </c>
      <c r="E200" s="8">
        <f>(parametros_manuales!$D$21*('Plan mensual'!G79+IF(parametros_manuales!$H$21="Todos",'Plan mensual'!G83,0))+parametros_manuales!$E$21*('Plan mensual'!G80+IF(parametros_manuales!$H$21="Todos",'Plan mensual'!G84,0))+parametros_manuales!$F$21*('Plan mensual'!G81+IF(parametros_manuales!$H$21="Todos",'Plan mensual'!G85,0))+parametros_manuales!$G$21*('Plan mensual'!G82+IF(parametros_manuales!$H$21="Todos",'Plan mensual'!G86,0)))*parametros_manuales!$I$21*parametros_manuales!$J$21</f>
        <v>17104.67</v>
      </c>
      <c r="F200" s="8">
        <f>(parametros_manuales!$D$21*('Plan mensual'!H79+IF(parametros_manuales!$H$21="Todos",'Plan mensual'!H83,0))+parametros_manuales!$E$21*('Plan mensual'!H80+IF(parametros_manuales!$H$21="Todos",'Plan mensual'!H84,0))+parametros_manuales!$F$21*('Plan mensual'!H81+IF(parametros_manuales!$H$21="Todos",'Plan mensual'!H85,0))+parametros_manuales!$G$21*('Plan mensual'!H82+IF(parametros_manuales!$H$21="Todos",'Plan mensual'!H86,0)))*parametros_manuales!$I$21*parametros_manuales!$J$21</f>
        <v>16006.67</v>
      </c>
      <c r="G200" s="8">
        <f>(parametros_manuales!$D$21*('Plan mensual'!I79+IF(parametros_manuales!$H$21="Todos",'Plan mensual'!I83,0))+parametros_manuales!$E$21*('Plan mensual'!I80+IF(parametros_manuales!$H$21="Todos",'Plan mensual'!I84,0))+parametros_manuales!$F$21*('Plan mensual'!I81+IF(parametros_manuales!$H$21="Todos",'Plan mensual'!I85,0))+parametros_manuales!$G$21*('Plan mensual'!I82+IF(parametros_manuales!$H$21="Todos",'Plan mensual'!I86,0)))*parametros_manuales!$I$21*parametros_manuales!$J$21</f>
        <v>15689.335</v>
      </c>
      <c r="H200" s="8">
        <f>(parametros_manuales!$D$21*('Plan mensual'!J79+IF(parametros_manuales!$H$21="Todos",'Plan mensual'!J83,0))+parametros_manuales!$E$21*('Plan mensual'!J80+IF(parametros_manuales!$H$21="Todos",'Plan mensual'!J84,0))+parametros_manuales!$F$21*('Plan mensual'!J81+IF(parametros_manuales!$H$21="Todos",'Plan mensual'!J85,0))+parametros_manuales!$G$21*('Plan mensual'!J82+IF(parametros_manuales!$H$21="Todos",'Plan mensual'!J86,0)))*parametros_manuales!$I$21*parametros_manuales!$J$21</f>
        <v>16787.335</v>
      </c>
      <c r="I200" s="8">
        <f>(parametros_manuales!$D$21*('Plan mensual'!K79+IF(parametros_manuales!$H$21="Todos",'Plan mensual'!K83,0))+parametros_manuales!$E$21*('Plan mensual'!K80+IF(parametros_manuales!$H$21="Todos",'Plan mensual'!K84,0))+parametros_manuales!$F$21*('Plan mensual'!K81+IF(parametros_manuales!$H$21="Todos",'Plan mensual'!K85,0))+parametros_manuales!$G$21*('Plan mensual'!K82+IF(parametros_manuales!$H$21="Todos",'Plan mensual'!K86,0)))*parametros_manuales!$I$21*parametros_manuales!$J$21</f>
        <v>16787.335</v>
      </c>
      <c r="J200" s="8">
        <f>(parametros_manuales!$D$21*('Plan mensual'!L79+IF(parametros_manuales!$H$21="Todos",'Plan mensual'!L83,0))+parametros_manuales!$E$21*('Plan mensual'!L80+IF(parametros_manuales!$H$21="Todos",'Plan mensual'!L84,0))+parametros_manuales!$F$21*('Plan mensual'!L81+IF(parametros_manuales!$H$21="Todos",'Plan mensual'!L85,0))+parametros_manuales!$G$21*('Plan mensual'!L82+IF(parametros_manuales!$H$21="Todos",'Plan mensual'!L86,0)))*parametros_manuales!$I$21*parametros_manuales!$J$21</f>
        <v>16787.335</v>
      </c>
      <c r="K200" s="8">
        <f>(parametros_manuales!$D$21*('Plan mensual'!M79+IF(parametros_manuales!$H$21="Todos",'Plan mensual'!M83,0))+parametros_manuales!$E$21*('Plan mensual'!M80+IF(parametros_manuales!$H$21="Todos",'Plan mensual'!M84,0))+parametros_manuales!$F$21*('Plan mensual'!M81+IF(parametros_manuales!$H$21="Todos",'Plan mensual'!M85,0))+parametros_manuales!$G$21*('Plan mensual'!M82+IF(parametros_manuales!$H$21="Todos",'Plan mensual'!M86,0)))*parametros_manuales!$I$21*parametros_manuales!$J$21</f>
        <v>16470</v>
      </c>
      <c r="L200" s="8">
        <f>(parametros_manuales!$D$21*('Plan mensual'!N79+IF(parametros_manuales!$H$21="Todos",'Plan mensual'!N83,0))+parametros_manuales!$E$21*('Plan mensual'!N80+IF(parametros_manuales!$H$21="Todos",'Plan mensual'!N84,0))+parametros_manuales!$F$21*('Plan mensual'!N81+IF(parametros_manuales!$H$21="Todos",'Plan mensual'!N85,0))+parametros_manuales!$G$21*('Plan mensual'!N82+IF(parametros_manuales!$H$21="Todos",'Plan mensual'!N86,0)))*parametros_manuales!$I$21*parametros_manuales!$J$21</f>
        <v>16152.665</v>
      </c>
      <c r="M200" s="8">
        <f>(parametros_manuales!$D$21*('Plan mensual'!O79+IF(parametros_manuales!$H$21="Todos",'Plan mensual'!O83,0))+parametros_manuales!$E$21*('Plan mensual'!O80+IF(parametros_manuales!$H$21="Todos",'Plan mensual'!O84,0))+parametros_manuales!$F$21*('Plan mensual'!O81+IF(parametros_manuales!$H$21="Todos",'Plan mensual'!O85,0))+parametros_manuales!$G$21*('Plan mensual'!O82+IF(parametros_manuales!$H$21="Todos",'Plan mensual'!O86,0)))*parametros_manuales!$I$21*parametros_manuales!$J$21</f>
        <v>25717.33</v>
      </c>
      <c r="N200" s="8">
        <f t="shared" si="22"/>
        <v>219600</v>
      </c>
      <c r="O200" s="8">
        <f t="shared" si="23"/>
        <v>25717.33</v>
      </c>
      <c r="P200" s="27">
        <f>O200/(parametros_manuales!$B$7)</f>
        <v>171.4488667</v>
      </c>
      <c r="Q200" s="4" t="str">
        <f t="shared" si="24"/>
        <v>Dic</v>
      </c>
    </row>
    <row r="201" ht="14.25" customHeight="1">
      <c r="A201" s="4" t="str">
        <f>parametros_manuales!$B$22</f>
        <v>Corte de disco y embutido (cúpula y fondo)</v>
      </c>
      <c r="B201" s="8">
        <f>(parametros_manuales!$D$22*('Plan mensual'!D79+IF(parametros_manuales!$H$22="Todos",'Plan mensual'!D83,0))+parametros_manuales!$E$22*('Plan mensual'!D80+IF(parametros_manuales!$H$22="Todos",'Plan mensual'!D84,0))+parametros_manuales!$F$22*('Plan mensual'!D81+IF(parametros_manuales!$H$22="Todos",'Plan mensual'!D85,0))+parametros_manuales!$G$22*('Plan mensual'!D82+IF(parametros_manuales!$H$22="Todos",'Plan mensual'!D86,0)))*parametros_manuales!$I$22*parametros_manuales!$J$22</f>
        <v>50165.32</v>
      </c>
      <c r="C201" s="8">
        <f>(parametros_manuales!$D$22*('Plan mensual'!E79+IF(parametros_manuales!$H$22="Todos",'Plan mensual'!E83,0))+parametros_manuales!$E$22*('Plan mensual'!E80+IF(parametros_manuales!$H$22="Todos",'Plan mensual'!E84,0))+parametros_manuales!$F$22*('Plan mensual'!E81+IF(parametros_manuales!$H$22="Todos",'Plan mensual'!E85,0))+parametros_manuales!$G$22*('Plan mensual'!E82+IF(parametros_manuales!$H$22="Todos",'Plan mensual'!E86,0)))*parametros_manuales!$I$22*parametros_manuales!$J$22</f>
        <v>38258.66</v>
      </c>
      <c r="D201" s="8">
        <f>(parametros_manuales!$D$22*('Plan mensual'!F79+IF(parametros_manuales!$H$22="Todos",'Plan mensual'!F83,0))+parametros_manuales!$E$22*('Plan mensual'!F80+IF(parametros_manuales!$H$22="Todos",'Plan mensual'!F84,0))+parametros_manuales!$F$22*('Plan mensual'!F81+IF(parametros_manuales!$H$22="Todos",'Plan mensual'!F85,0))+parametros_manuales!$G$22*('Plan mensual'!F82+IF(parametros_manuales!$H$22="Todos",'Plan mensual'!F86,0)))*parametros_manuales!$I$22*parametros_manuales!$J$22</f>
        <v>35770.67</v>
      </c>
      <c r="E201" s="8">
        <f>(parametros_manuales!$D$22*('Plan mensual'!G79+IF(parametros_manuales!$H$22="Todos",'Plan mensual'!G83,0))+parametros_manuales!$E$22*('Plan mensual'!G80+IF(parametros_manuales!$H$22="Todos",'Plan mensual'!G84,0))+parametros_manuales!$F$22*('Plan mensual'!G81+IF(parametros_manuales!$H$22="Todos",'Plan mensual'!G85,0))+parametros_manuales!$G$22*('Plan mensual'!G82+IF(parametros_manuales!$H$22="Todos",'Plan mensual'!G86,0)))*parametros_manuales!$I$22*parametros_manuales!$J$22</f>
        <v>34209.34</v>
      </c>
      <c r="F201" s="8">
        <f>(parametros_manuales!$D$22*('Plan mensual'!H79+IF(parametros_manuales!$H$22="Todos",'Plan mensual'!H83,0))+parametros_manuales!$E$22*('Plan mensual'!H80+IF(parametros_manuales!$H$22="Todos",'Plan mensual'!H84,0))+parametros_manuales!$F$22*('Plan mensual'!H81+IF(parametros_manuales!$H$22="Todos",'Plan mensual'!H85,0))+parametros_manuales!$G$22*('Plan mensual'!H82+IF(parametros_manuales!$H$22="Todos",'Plan mensual'!H86,0)))*parametros_manuales!$I$22*parametros_manuales!$J$22</f>
        <v>32013.34</v>
      </c>
      <c r="G201" s="8">
        <f>(parametros_manuales!$D$22*('Plan mensual'!I79+IF(parametros_manuales!$H$22="Todos",'Plan mensual'!I83,0))+parametros_manuales!$E$22*('Plan mensual'!I80+IF(parametros_manuales!$H$22="Todos",'Plan mensual'!I84,0))+parametros_manuales!$F$22*('Plan mensual'!I81+IF(parametros_manuales!$H$22="Todos",'Plan mensual'!I85,0))+parametros_manuales!$G$22*('Plan mensual'!I82+IF(parametros_manuales!$H$22="Todos",'Plan mensual'!I86,0)))*parametros_manuales!$I$22*parametros_manuales!$J$22</f>
        <v>31378.67</v>
      </c>
      <c r="H201" s="8">
        <f>(parametros_manuales!$D$22*('Plan mensual'!J79+IF(parametros_manuales!$H$22="Todos",'Plan mensual'!J83,0))+parametros_manuales!$E$22*('Plan mensual'!J80+IF(parametros_manuales!$H$22="Todos",'Plan mensual'!J84,0))+parametros_manuales!$F$22*('Plan mensual'!J81+IF(parametros_manuales!$H$22="Todos",'Plan mensual'!J85,0))+parametros_manuales!$G$22*('Plan mensual'!J82+IF(parametros_manuales!$H$22="Todos",'Plan mensual'!J86,0)))*parametros_manuales!$I$22*parametros_manuales!$J$22</f>
        <v>33574.67</v>
      </c>
      <c r="I201" s="8">
        <f>(parametros_manuales!$D$22*('Plan mensual'!K79+IF(parametros_manuales!$H$22="Todos",'Plan mensual'!K83,0))+parametros_manuales!$E$22*('Plan mensual'!K80+IF(parametros_manuales!$H$22="Todos",'Plan mensual'!K84,0))+parametros_manuales!$F$22*('Plan mensual'!K81+IF(parametros_manuales!$H$22="Todos",'Plan mensual'!K85,0))+parametros_manuales!$G$22*('Plan mensual'!K82+IF(parametros_manuales!$H$22="Todos",'Plan mensual'!K86,0)))*parametros_manuales!$I$22*parametros_manuales!$J$22</f>
        <v>33574.67</v>
      </c>
      <c r="J201" s="8">
        <f>(parametros_manuales!$D$22*('Plan mensual'!L79+IF(parametros_manuales!$H$22="Todos",'Plan mensual'!L83,0))+parametros_manuales!$E$22*('Plan mensual'!L80+IF(parametros_manuales!$H$22="Todos",'Plan mensual'!L84,0))+parametros_manuales!$F$22*('Plan mensual'!L81+IF(parametros_manuales!$H$22="Todos",'Plan mensual'!L85,0))+parametros_manuales!$G$22*('Plan mensual'!L82+IF(parametros_manuales!$H$22="Todos",'Plan mensual'!L86,0)))*parametros_manuales!$I$22*parametros_manuales!$J$22</f>
        <v>33574.67</v>
      </c>
      <c r="K201" s="8">
        <f>(parametros_manuales!$D$22*('Plan mensual'!M79+IF(parametros_manuales!$H$22="Todos",'Plan mensual'!M83,0))+parametros_manuales!$E$22*('Plan mensual'!M80+IF(parametros_manuales!$H$22="Todos",'Plan mensual'!M84,0))+parametros_manuales!$F$22*('Plan mensual'!M81+IF(parametros_manuales!$H$22="Todos",'Plan mensual'!M85,0))+parametros_manuales!$G$22*('Plan mensual'!M82+IF(parametros_manuales!$H$22="Todos",'Plan mensual'!M86,0)))*parametros_manuales!$I$22*parametros_manuales!$J$22</f>
        <v>32940</v>
      </c>
      <c r="L201" s="8">
        <f>(parametros_manuales!$D$22*('Plan mensual'!N79+IF(parametros_manuales!$H$22="Todos",'Plan mensual'!N83,0))+parametros_manuales!$E$22*('Plan mensual'!N80+IF(parametros_manuales!$H$22="Todos",'Plan mensual'!N84,0))+parametros_manuales!$F$22*('Plan mensual'!N81+IF(parametros_manuales!$H$22="Todos",'Plan mensual'!N85,0))+parametros_manuales!$G$22*('Plan mensual'!N82+IF(parametros_manuales!$H$22="Todos",'Plan mensual'!N86,0)))*parametros_manuales!$I$22*parametros_manuales!$J$22</f>
        <v>32305.33</v>
      </c>
      <c r="M201" s="8">
        <f>(parametros_manuales!$D$22*('Plan mensual'!O79+IF(parametros_manuales!$H$22="Todos",'Plan mensual'!O83,0))+parametros_manuales!$E$22*('Plan mensual'!O80+IF(parametros_manuales!$H$22="Todos",'Plan mensual'!O84,0))+parametros_manuales!$F$22*('Plan mensual'!O81+IF(parametros_manuales!$H$22="Todos",'Plan mensual'!O85,0))+parametros_manuales!$G$22*('Plan mensual'!O82+IF(parametros_manuales!$H$22="Todos",'Plan mensual'!O86,0)))*parametros_manuales!$I$22*parametros_manuales!$J$22</f>
        <v>51434.66</v>
      </c>
      <c r="N201" s="8">
        <f t="shared" si="22"/>
        <v>439200</v>
      </c>
      <c r="O201" s="8">
        <f t="shared" si="23"/>
        <v>51434.66</v>
      </c>
      <c r="P201" s="27">
        <f>O201/(parametros_manuales!$B$7)</f>
        <v>342.8977333</v>
      </c>
      <c r="Q201" s="4" t="str">
        <f t="shared" si="24"/>
        <v>Dic</v>
      </c>
    </row>
    <row r="202" ht="14.25" customHeight="1">
      <c r="A202" s="4" t="str">
        <f>parametros_manuales!$B$23</f>
        <v>Preparación de cuello</v>
      </c>
      <c r="B202" s="8">
        <f>(parametros_manuales!$D$23*('Plan mensual'!D79+IF(parametros_manuales!$H$23="Todos",'Plan mensual'!D83,0))+parametros_manuales!$E$23*('Plan mensual'!D80+IF(parametros_manuales!$H$23="Todos",'Plan mensual'!D84,0))+parametros_manuales!$F$23*('Plan mensual'!D81+IF(parametros_manuales!$H$23="Todos",'Plan mensual'!D85,0))+parametros_manuales!$G$23*('Plan mensual'!D82+IF(parametros_manuales!$H$23="Todos",'Plan mensual'!D86,0)))*parametros_manuales!$I$23*parametros_manuales!$J$23</f>
        <v>25082.66</v>
      </c>
      <c r="C202" s="8">
        <f>(parametros_manuales!$D$23*('Plan mensual'!E79+IF(parametros_manuales!$H$23="Todos",'Plan mensual'!E83,0))+parametros_manuales!$E$23*('Plan mensual'!E80+IF(parametros_manuales!$H$23="Todos",'Plan mensual'!E84,0))+parametros_manuales!$F$23*('Plan mensual'!E81+IF(parametros_manuales!$H$23="Todos",'Plan mensual'!E85,0))+parametros_manuales!$G$23*('Plan mensual'!E82+IF(parametros_manuales!$H$23="Todos",'Plan mensual'!E86,0)))*parametros_manuales!$I$23*parametros_manuales!$J$23</f>
        <v>19129.33</v>
      </c>
      <c r="D202" s="8">
        <f>(parametros_manuales!$D$23*('Plan mensual'!F79+IF(parametros_manuales!$H$23="Todos",'Plan mensual'!F83,0))+parametros_manuales!$E$23*('Plan mensual'!F80+IF(parametros_manuales!$H$23="Todos",'Plan mensual'!F84,0))+parametros_manuales!$F$23*('Plan mensual'!F81+IF(parametros_manuales!$H$23="Todos",'Plan mensual'!F85,0))+parametros_manuales!$G$23*('Plan mensual'!F82+IF(parametros_manuales!$H$23="Todos",'Plan mensual'!F86,0)))*parametros_manuales!$I$23*parametros_manuales!$J$23</f>
        <v>17885.335</v>
      </c>
      <c r="E202" s="8">
        <f>(parametros_manuales!$D$23*('Plan mensual'!G79+IF(parametros_manuales!$H$23="Todos",'Plan mensual'!G83,0))+parametros_manuales!$E$23*('Plan mensual'!G80+IF(parametros_manuales!$H$23="Todos",'Plan mensual'!G84,0))+parametros_manuales!$F$23*('Plan mensual'!G81+IF(parametros_manuales!$H$23="Todos",'Plan mensual'!G85,0))+parametros_manuales!$G$23*('Plan mensual'!G82+IF(parametros_manuales!$H$23="Todos",'Plan mensual'!G86,0)))*parametros_manuales!$I$23*parametros_manuales!$J$23</f>
        <v>17104.67</v>
      </c>
      <c r="F202" s="8">
        <f>(parametros_manuales!$D$23*('Plan mensual'!H79+IF(parametros_manuales!$H$23="Todos",'Plan mensual'!H83,0))+parametros_manuales!$E$23*('Plan mensual'!H80+IF(parametros_manuales!$H$23="Todos",'Plan mensual'!H84,0))+parametros_manuales!$F$23*('Plan mensual'!H81+IF(parametros_manuales!$H$23="Todos",'Plan mensual'!H85,0))+parametros_manuales!$G$23*('Plan mensual'!H82+IF(parametros_manuales!$H$23="Todos",'Plan mensual'!H86,0)))*parametros_manuales!$I$23*parametros_manuales!$J$23</f>
        <v>16006.67</v>
      </c>
      <c r="G202" s="8">
        <f>(parametros_manuales!$D$23*('Plan mensual'!I79+IF(parametros_manuales!$H$23="Todos",'Plan mensual'!I83,0))+parametros_manuales!$E$23*('Plan mensual'!I80+IF(parametros_manuales!$H$23="Todos",'Plan mensual'!I84,0))+parametros_manuales!$F$23*('Plan mensual'!I81+IF(parametros_manuales!$H$23="Todos",'Plan mensual'!I85,0))+parametros_manuales!$G$23*('Plan mensual'!I82+IF(parametros_manuales!$H$23="Todos",'Plan mensual'!I86,0)))*parametros_manuales!$I$23*parametros_manuales!$J$23</f>
        <v>15689.335</v>
      </c>
      <c r="H202" s="8">
        <f>(parametros_manuales!$D$23*('Plan mensual'!J79+IF(parametros_manuales!$H$23="Todos",'Plan mensual'!J83,0))+parametros_manuales!$E$23*('Plan mensual'!J80+IF(parametros_manuales!$H$23="Todos",'Plan mensual'!J84,0))+parametros_manuales!$F$23*('Plan mensual'!J81+IF(parametros_manuales!$H$23="Todos",'Plan mensual'!J85,0))+parametros_manuales!$G$23*('Plan mensual'!J82+IF(parametros_manuales!$H$23="Todos",'Plan mensual'!J86,0)))*parametros_manuales!$I$23*parametros_manuales!$J$23</f>
        <v>16787.335</v>
      </c>
      <c r="I202" s="8">
        <f>(parametros_manuales!$D$23*('Plan mensual'!K79+IF(parametros_manuales!$H$23="Todos",'Plan mensual'!K83,0))+parametros_manuales!$E$23*('Plan mensual'!K80+IF(parametros_manuales!$H$23="Todos",'Plan mensual'!K84,0))+parametros_manuales!$F$23*('Plan mensual'!K81+IF(parametros_manuales!$H$23="Todos",'Plan mensual'!K85,0))+parametros_manuales!$G$23*('Plan mensual'!K82+IF(parametros_manuales!$H$23="Todos",'Plan mensual'!K86,0)))*parametros_manuales!$I$23*parametros_manuales!$J$23</f>
        <v>16787.335</v>
      </c>
      <c r="J202" s="8">
        <f>(parametros_manuales!$D$23*('Plan mensual'!L79+IF(parametros_manuales!$H$23="Todos",'Plan mensual'!L83,0))+parametros_manuales!$E$23*('Plan mensual'!L80+IF(parametros_manuales!$H$23="Todos",'Plan mensual'!L84,0))+parametros_manuales!$F$23*('Plan mensual'!L81+IF(parametros_manuales!$H$23="Todos",'Plan mensual'!L85,0))+parametros_manuales!$G$23*('Plan mensual'!L82+IF(parametros_manuales!$H$23="Todos",'Plan mensual'!L86,0)))*parametros_manuales!$I$23*parametros_manuales!$J$23</f>
        <v>16787.335</v>
      </c>
      <c r="K202" s="8">
        <f>(parametros_manuales!$D$23*('Plan mensual'!M79+IF(parametros_manuales!$H$23="Todos",'Plan mensual'!M83,0))+parametros_manuales!$E$23*('Plan mensual'!M80+IF(parametros_manuales!$H$23="Todos",'Plan mensual'!M84,0))+parametros_manuales!$F$23*('Plan mensual'!M81+IF(parametros_manuales!$H$23="Todos",'Plan mensual'!M85,0))+parametros_manuales!$G$23*('Plan mensual'!M82+IF(parametros_manuales!$H$23="Todos",'Plan mensual'!M86,0)))*parametros_manuales!$I$23*parametros_manuales!$J$23</f>
        <v>16470</v>
      </c>
      <c r="L202" s="8">
        <f>(parametros_manuales!$D$23*('Plan mensual'!N79+IF(parametros_manuales!$H$23="Todos",'Plan mensual'!N83,0))+parametros_manuales!$E$23*('Plan mensual'!N80+IF(parametros_manuales!$H$23="Todos",'Plan mensual'!N84,0))+parametros_manuales!$F$23*('Plan mensual'!N81+IF(parametros_manuales!$H$23="Todos",'Plan mensual'!N85,0))+parametros_manuales!$G$23*('Plan mensual'!N82+IF(parametros_manuales!$H$23="Todos",'Plan mensual'!N86,0)))*parametros_manuales!$I$23*parametros_manuales!$J$23</f>
        <v>16152.665</v>
      </c>
      <c r="M202" s="8">
        <f>(parametros_manuales!$D$23*('Plan mensual'!O79+IF(parametros_manuales!$H$23="Todos",'Plan mensual'!O83,0))+parametros_manuales!$E$23*('Plan mensual'!O80+IF(parametros_manuales!$H$23="Todos",'Plan mensual'!O84,0))+parametros_manuales!$F$23*('Plan mensual'!O81+IF(parametros_manuales!$H$23="Todos",'Plan mensual'!O85,0))+parametros_manuales!$G$23*('Plan mensual'!O82+IF(parametros_manuales!$H$23="Todos",'Plan mensual'!O86,0)))*parametros_manuales!$I$23*parametros_manuales!$J$23</f>
        <v>25717.33</v>
      </c>
      <c r="N202" s="8">
        <f t="shared" si="22"/>
        <v>219600</v>
      </c>
      <c r="O202" s="8">
        <f t="shared" si="23"/>
        <v>25717.33</v>
      </c>
      <c r="P202" s="27">
        <f>O202/(parametros_manuales!$B$7)</f>
        <v>171.4488667</v>
      </c>
      <c r="Q202" s="4" t="str">
        <f t="shared" si="24"/>
        <v>Dic</v>
      </c>
    </row>
    <row r="203" ht="14.25" customHeight="1">
      <c r="A203" s="4" t="str">
        <f>parametros_manuales!$B$24</f>
        <v>Numerado de cúpula</v>
      </c>
      <c r="B203" s="8">
        <f>(parametros_manuales!$D$24*('Plan mensual'!D79+IF(parametros_manuales!$H$24="Todos",'Plan mensual'!D83,0))+parametros_manuales!$E$24*('Plan mensual'!D80+IF(parametros_manuales!$H$24="Todos",'Plan mensual'!D84,0))+parametros_manuales!$F$24*('Plan mensual'!D81+IF(parametros_manuales!$H$24="Todos",'Plan mensual'!D85,0))+parametros_manuales!$G$24*('Plan mensual'!D82+IF(parametros_manuales!$H$24="Todos",'Plan mensual'!D86,0)))*parametros_manuales!$I$24*parametros_manuales!$J$24</f>
        <v>25082.66</v>
      </c>
      <c r="C203" s="8">
        <f>(parametros_manuales!$D$24*('Plan mensual'!E79+IF(parametros_manuales!$H$24="Todos",'Plan mensual'!E83,0))+parametros_manuales!$E$24*('Plan mensual'!E80+IF(parametros_manuales!$H$24="Todos",'Plan mensual'!E84,0))+parametros_manuales!$F$24*('Plan mensual'!E81+IF(parametros_manuales!$H$24="Todos",'Plan mensual'!E85,0))+parametros_manuales!$G$24*('Plan mensual'!E82+IF(parametros_manuales!$H$24="Todos",'Plan mensual'!E86,0)))*parametros_manuales!$I$24*parametros_manuales!$J$24</f>
        <v>19129.33</v>
      </c>
      <c r="D203" s="8">
        <f>(parametros_manuales!$D$24*('Plan mensual'!F79+IF(parametros_manuales!$H$24="Todos",'Plan mensual'!F83,0))+parametros_manuales!$E$24*('Plan mensual'!F80+IF(parametros_manuales!$H$24="Todos",'Plan mensual'!F84,0))+parametros_manuales!$F$24*('Plan mensual'!F81+IF(parametros_manuales!$H$24="Todos",'Plan mensual'!F85,0))+parametros_manuales!$G$24*('Plan mensual'!F82+IF(parametros_manuales!$H$24="Todos",'Plan mensual'!F86,0)))*parametros_manuales!$I$24*parametros_manuales!$J$24</f>
        <v>17885.335</v>
      </c>
      <c r="E203" s="8">
        <f>(parametros_manuales!$D$24*('Plan mensual'!G79+IF(parametros_manuales!$H$24="Todos",'Plan mensual'!G83,0))+parametros_manuales!$E$24*('Plan mensual'!G80+IF(parametros_manuales!$H$24="Todos",'Plan mensual'!G84,0))+parametros_manuales!$F$24*('Plan mensual'!G81+IF(parametros_manuales!$H$24="Todos",'Plan mensual'!G85,0))+parametros_manuales!$G$24*('Plan mensual'!G82+IF(parametros_manuales!$H$24="Todos",'Plan mensual'!G86,0)))*parametros_manuales!$I$24*parametros_manuales!$J$24</f>
        <v>17104.67</v>
      </c>
      <c r="F203" s="8">
        <f>(parametros_manuales!$D$24*('Plan mensual'!H79+IF(parametros_manuales!$H$24="Todos",'Plan mensual'!H83,0))+parametros_manuales!$E$24*('Plan mensual'!H80+IF(parametros_manuales!$H$24="Todos",'Plan mensual'!H84,0))+parametros_manuales!$F$24*('Plan mensual'!H81+IF(parametros_manuales!$H$24="Todos",'Plan mensual'!H85,0))+parametros_manuales!$G$24*('Plan mensual'!H82+IF(parametros_manuales!$H$24="Todos",'Plan mensual'!H86,0)))*parametros_manuales!$I$24*parametros_manuales!$J$24</f>
        <v>16006.67</v>
      </c>
      <c r="G203" s="8">
        <f>(parametros_manuales!$D$24*('Plan mensual'!I79+IF(parametros_manuales!$H$24="Todos",'Plan mensual'!I83,0))+parametros_manuales!$E$24*('Plan mensual'!I80+IF(parametros_manuales!$H$24="Todos",'Plan mensual'!I84,0))+parametros_manuales!$F$24*('Plan mensual'!I81+IF(parametros_manuales!$H$24="Todos",'Plan mensual'!I85,0))+parametros_manuales!$G$24*('Plan mensual'!I82+IF(parametros_manuales!$H$24="Todos",'Plan mensual'!I86,0)))*parametros_manuales!$I$24*parametros_manuales!$J$24</f>
        <v>15689.335</v>
      </c>
      <c r="H203" s="8">
        <f>(parametros_manuales!$D$24*('Plan mensual'!J79+IF(parametros_manuales!$H$24="Todos",'Plan mensual'!J83,0))+parametros_manuales!$E$24*('Plan mensual'!J80+IF(parametros_manuales!$H$24="Todos",'Plan mensual'!J84,0))+parametros_manuales!$F$24*('Plan mensual'!J81+IF(parametros_manuales!$H$24="Todos",'Plan mensual'!J85,0))+parametros_manuales!$G$24*('Plan mensual'!J82+IF(parametros_manuales!$H$24="Todos",'Plan mensual'!J86,0)))*parametros_manuales!$I$24*parametros_manuales!$J$24</f>
        <v>16787.335</v>
      </c>
      <c r="I203" s="8">
        <f>(parametros_manuales!$D$24*('Plan mensual'!K79+IF(parametros_manuales!$H$24="Todos",'Plan mensual'!K83,0))+parametros_manuales!$E$24*('Plan mensual'!K80+IF(parametros_manuales!$H$24="Todos",'Plan mensual'!K84,0))+parametros_manuales!$F$24*('Plan mensual'!K81+IF(parametros_manuales!$H$24="Todos",'Plan mensual'!K85,0))+parametros_manuales!$G$24*('Plan mensual'!K82+IF(parametros_manuales!$H$24="Todos",'Plan mensual'!K86,0)))*parametros_manuales!$I$24*parametros_manuales!$J$24</f>
        <v>16787.335</v>
      </c>
      <c r="J203" s="8">
        <f>(parametros_manuales!$D$24*('Plan mensual'!L79+IF(parametros_manuales!$H$24="Todos",'Plan mensual'!L83,0))+parametros_manuales!$E$24*('Plan mensual'!L80+IF(parametros_manuales!$H$24="Todos",'Plan mensual'!L84,0))+parametros_manuales!$F$24*('Plan mensual'!L81+IF(parametros_manuales!$H$24="Todos",'Plan mensual'!L85,0))+parametros_manuales!$G$24*('Plan mensual'!L82+IF(parametros_manuales!$H$24="Todos",'Plan mensual'!L86,0)))*parametros_manuales!$I$24*parametros_manuales!$J$24</f>
        <v>16787.335</v>
      </c>
      <c r="K203" s="8">
        <f>(parametros_manuales!$D$24*('Plan mensual'!M79+IF(parametros_manuales!$H$24="Todos",'Plan mensual'!M83,0))+parametros_manuales!$E$24*('Plan mensual'!M80+IF(parametros_manuales!$H$24="Todos",'Plan mensual'!M84,0))+parametros_manuales!$F$24*('Plan mensual'!M81+IF(parametros_manuales!$H$24="Todos",'Plan mensual'!M85,0))+parametros_manuales!$G$24*('Plan mensual'!M82+IF(parametros_manuales!$H$24="Todos",'Plan mensual'!M86,0)))*parametros_manuales!$I$24*parametros_manuales!$J$24</f>
        <v>16470</v>
      </c>
      <c r="L203" s="8">
        <f>(parametros_manuales!$D$24*('Plan mensual'!N79+IF(parametros_manuales!$H$24="Todos",'Plan mensual'!N83,0))+parametros_manuales!$E$24*('Plan mensual'!N80+IF(parametros_manuales!$H$24="Todos",'Plan mensual'!N84,0))+parametros_manuales!$F$24*('Plan mensual'!N81+IF(parametros_manuales!$H$24="Todos",'Plan mensual'!N85,0))+parametros_manuales!$G$24*('Plan mensual'!N82+IF(parametros_manuales!$H$24="Todos",'Plan mensual'!N86,0)))*parametros_manuales!$I$24*parametros_manuales!$J$24</f>
        <v>16152.665</v>
      </c>
      <c r="M203" s="8">
        <f>(parametros_manuales!$D$24*('Plan mensual'!O79+IF(parametros_manuales!$H$24="Todos",'Plan mensual'!O83,0))+parametros_manuales!$E$24*('Plan mensual'!O80+IF(parametros_manuales!$H$24="Todos",'Plan mensual'!O84,0))+parametros_manuales!$F$24*('Plan mensual'!O81+IF(parametros_manuales!$H$24="Todos",'Plan mensual'!O85,0))+parametros_manuales!$G$24*('Plan mensual'!O82+IF(parametros_manuales!$H$24="Todos",'Plan mensual'!O86,0)))*parametros_manuales!$I$24*parametros_manuales!$J$24</f>
        <v>25717.33</v>
      </c>
      <c r="N203" s="8">
        <f t="shared" si="22"/>
        <v>219600</v>
      </c>
      <c r="O203" s="8">
        <f t="shared" si="23"/>
        <v>25717.33</v>
      </c>
      <c r="P203" s="27">
        <f>O203/(parametros_manuales!$B$7)</f>
        <v>171.4488667</v>
      </c>
      <c r="Q203" s="4" t="str">
        <f t="shared" si="24"/>
        <v>Dic</v>
      </c>
    </row>
    <row r="204" ht="14.25" customHeight="1">
      <c r="A204" s="4" t="str">
        <f>parametros_manuales!$B$25</f>
        <v>Soldadura del cuello a la cúpula</v>
      </c>
      <c r="B204" s="8">
        <f>(parametros_manuales!$D$25*('Plan mensual'!D79+IF(parametros_manuales!$H$25="Todos",'Plan mensual'!D83,0))+parametros_manuales!$E$25*('Plan mensual'!D80+IF(parametros_manuales!$H$25="Todos",'Plan mensual'!D84,0))+parametros_manuales!$F$25*('Plan mensual'!D81+IF(parametros_manuales!$H$25="Todos",'Plan mensual'!D85,0))+parametros_manuales!$G$25*('Plan mensual'!D82+IF(parametros_manuales!$H$25="Todos",'Plan mensual'!D86,0)))*parametros_manuales!$I$25*parametros_manuales!$J$25</f>
        <v>25082.66</v>
      </c>
      <c r="C204" s="8">
        <f>(parametros_manuales!$D$25*('Plan mensual'!E79+IF(parametros_manuales!$H$25="Todos",'Plan mensual'!E83,0))+parametros_manuales!$E$25*('Plan mensual'!E80+IF(parametros_manuales!$H$25="Todos",'Plan mensual'!E84,0))+parametros_manuales!$F$25*('Plan mensual'!E81+IF(parametros_manuales!$H$25="Todos",'Plan mensual'!E85,0))+parametros_manuales!$G$25*('Plan mensual'!E82+IF(parametros_manuales!$H$25="Todos",'Plan mensual'!E86,0)))*parametros_manuales!$I$25*parametros_manuales!$J$25</f>
        <v>19129.33</v>
      </c>
      <c r="D204" s="8">
        <f>(parametros_manuales!$D$25*('Plan mensual'!F79+IF(parametros_manuales!$H$25="Todos",'Plan mensual'!F83,0))+parametros_manuales!$E$25*('Plan mensual'!F80+IF(parametros_manuales!$H$25="Todos",'Plan mensual'!F84,0))+parametros_manuales!$F$25*('Plan mensual'!F81+IF(parametros_manuales!$H$25="Todos",'Plan mensual'!F85,0))+parametros_manuales!$G$25*('Plan mensual'!F82+IF(parametros_manuales!$H$25="Todos",'Plan mensual'!F86,0)))*parametros_manuales!$I$25*parametros_manuales!$J$25</f>
        <v>17885.335</v>
      </c>
      <c r="E204" s="8">
        <f>(parametros_manuales!$D$25*('Plan mensual'!G79+IF(parametros_manuales!$H$25="Todos",'Plan mensual'!G83,0))+parametros_manuales!$E$25*('Plan mensual'!G80+IF(parametros_manuales!$H$25="Todos",'Plan mensual'!G84,0))+parametros_manuales!$F$25*('Plan mensual'!G81+IF(parametros_manuales!$H$25="Todos",'Plan mensual'!G85,0))+parametros_manuales!$G$25*('Plan mensual'!G82+IF(parametros_manuales!$H$25="Todos",'Plan mensual'!G86,0)))*parametros_manuales!$I$25*parametros_manuales!$J$25</f>
        <v>17104.67</v>
      </c>
      <c r="F204" s="8">
        <f>(parametros_manuales!$D$25*('Plan mensual'!H79+IF(parametros_manuales!$H$25="Todos",'Plan mensual'!H83,0))+parametros_manuales!$E$25*('Plan mensual'!H80+IF(parametros_manuales!$H$25="Todos",'Plan mensual'!H84,0))+parametros_manuales!$F$25*('Plan mensual'!H81+IF(parametros_manuales!$H$25="Todos",'Plan mensual'!H85,0))+parametros_manuales!$G$25*('Plan mensual'!H82+IF(parametros_manuales!$H$25="Todos",'Plan mensual'!H86,0)))*parametros_manuales!$I$25*parametros_manuales!$J$25</f>
        <v>16006.67</v>
      </c>
      <c r="G204" s="8">
        <f>(parametros_manuales!$D$25*('Plan mensual'!I79+IF(parametros_manuales!$H$25="Todos",'Plan mensual'!I83,0))+parametros_manuales!$E$25*('Plan mensual'!I80+IF(parametros_manuales!$H$25="Todos",'Plan mensual'!I84,0))+parametros_manuales!$F$25*('Plan mensual'!I81+IF(parametros_manuales!$H$25="Todos",'Plan mensual'!I85,0))+parametros_manuales!$G$25*('Plan mensual'!I82+IF(parametros_manuales!$H$25="Todos",'Plan mensual'!I86,0)))*parametros_manuales!$I$25*parametros_manuales!$J$25</f>
        <v>15689.335</v>
      </c>
      <c r="H204" s="8">
        <f>(parametros_manuales!$D$25*('Plan mensual'!J79+IF(parametros_manuales!$H$25="Todos",'Plan mensual'!J83,0))+parametros_manuales!$E$25*('Plan mensual'!J80+IF(parametros_manuales!$H$25="Todos",'Plan mensual'!J84,0))+parametros_manuales!$F$25*('Plan mensual'!J81+IF(parametros_manuales!$H$25="Todos",'Plan mensual'!J85,0))+parametros_manuales!$G$25*('Plan mensual'!J82+IF(parametros_manuales!$H$25="Todos",'Plan mensual'!J86,0)))*parametros_manuales!$I$25*parametros_manuales!$J$25</f>
        <v>16787.335</v>
      </c>
      <c r="I204" s="8">
        <f>(parametros_manuales!$D$25*('Plan mensual'!K79+IF(parametros_manuales!$H$25="Todos",'Plan mensual'!K83,0))+parametros_manuales!$E$25*('Plan mensual'!K80+IF(parametros_manuales!$H$25="Todos",'Plan mensual'!K84,0))+parametros_manuales!$F$25*('Plan mensual'!K81+IF(parametros_manuales!$H$25="Todos",'Plan mensual'!K85,0))+parametros_manuales!$G$25*('Plan mensual'!K82+IF(parametros_manuales!$H$25="Todos",'Plan mensual'!K86,0)))*parametros_manuales!$I$25*parametros_manuales!$J$25</f>
        <v>16787.335</v>
      </c>
      <c r="J204" s="8">
        <f>(parametros_manuales!$D$25*('Plan mensual'!L79+IF(parametros_manuales!$H$25="Todos",'Plan mensual'!L83,0))+parametros_manuales!$E$25*('Plan mensual'!L80+IF(parametros_manuales!$H$25="Todos",'Plan mensual'!L84,0))+parametros_manuales!$F$25*('Plan mensual'!L81+IF(parametros_manuales!$H$25="Todos",'Plan mensual'!L85,0))+parametros_manuales!$G$25*('Plan mensual'!L82+IF(parametros_manuales!$H$25="Todos",'Plan mensual'!L86,0)))*parametros_manuales!$I$25*parametros_manuales!$J$25</f>
        <v>16787.335</v>
      </c>
      <c r="K204" s="8">
        <f>(parametros_manuales!$D$25*('Plan mensual'!M79+IF(parametros_manuales!$H$25="Todos",'Plan mensual'!M83,0))+parametros_manuales!$E$25*('Plan mensual'!M80+IF(parametros_manuales!$H$25="Todos",'Plan mensual'!M84,0))+parametros_manuales!$F$25*('Plan mensual'!M81+IF(parametros_manuales!$H$25="Todos",'Plan mensual'!M85,0))+parametros_manuales!$G$25*('Plan mensual'!M82+IF(parametros_manuales!$H$25="Todos",'Plan mensual'!M86,0)))*parametros_manuales!$I$25*parametros_manuales!$J$25</f>
        <v>16470</v>
      </c>
      <c r="L204" s="8">
        <f>(parametros_manuales!$D$25*('Plan mensual'!N79+IF(parametros_manuales!$H$25="Todos",'Plan mensual'!N83,0))+parametros_manuales!$E$25*('Plan mensual'!N80+IF(parametros_manuales!$H$25="Todos",'Plan mensual'!N84,0))+parametros_manuales!$F$25*('Plan mensual'!N81+IF(parametros_manuales!$H$25="Todos",'Plan mensual'!N85,0))+parametros_manuales!$G$25*('Plan mensual'!N82+IF(parametros_manuales!$H$25="Todos",'Plan mensual'!N86,0)))*parametros_manuales!$I$25*parametros_manuales!$J$25</f>
        <v>16152.665</v>
      </c>
      <c r="M204" s="8">
        <f>(parametros_manuales!$D$25*('Plan mensual'!O79+IF(parametros_manuales!$H$25="Todos",'Plan mensual'!O83,0))+parametros_manuales!$E$25*('Plan mensual'!O80+IF(parametros_manuales!$H$25="Todos",'Plan mensual'!O84,0))+parametros_manuales!$F$25*('Plan mensual'!O81+IF(parametros_manuales!$H$25="Todos",'Plan mensual'!O85,0))+parametros_manuales!$G$25*('Plan mensual'!O82+IF(parametros_manuales!$H$25="Todos",'Plan mensual'!O86,0)))*parametros_manuales!$I$25*parametros_manuales!$J$25</f>
        <v>25717.33</v>
      </c>
      <c r="N204" s="8">
        <f t="shared" si="22"/>
        <v>219600</v>
      </c>
      <c r="O204" s="8">
        <f t="shared" si="23"/>
        <v>25717.33</v>
      </c>
      <c r="P204" s="27">
        <f>O204/(parametros_manuales!$B$7)</f>
        <v>171.4488667</v>
      </c>
      <c r="Q204" s="4" t="str">
        <f t="shared" si="24"/>
        <v>Dic</v>
      </c>
    </row>
    <row r="205" ht="14.25" customHeight="1">
      <c r="A205" s="4" t="str">
        <f>parametros_manuales!$B$26</f>
        <v>Cilindrado</v>
      </c>
      <c r="B205" s="8">
        <f>(parametros_manuales!$D$26*('Plan mensual'!D79+IF(parametros_manuales!$H$26="Todos",'Plan mensual'!D83,0))+parametros_manuales!$E$26*('Plan mensual'!D80+IF(parametros_manuales!$H$26="Todos",'Plan mensual'!D84,0))+parametros_manuales!$F$26*('Plan mensual'!D81+IF(parametros_manuales!$H$26="Todos",'Plan mensual'!D85,0))+parametros_manuales!$G$26*('Plan mensual'!D82+IF(parametros_manuales!$H$26="Todos",'Plan mensual'!D86,0)))*parametros_manuales!$I$26*parametros_manuales!$J$26</f>
        <v>25082.66</v>
      </c>
      <c r="C205" s="8">
        <f>(parametros_manuales!$D$26*('Plan mensual'!E79+IF(parametros_manuales!$H$26="Todos",'Plan mensual'!E83,0))+parametros_manuales!$E$26*('Plan mensual'!E80+IF(parametros_manuales!$H$26="Todos",'Plan mensual'!E84,0))+parametros_manuales!$F$26*('Plan mensual'!E81+IF(parametros_manuales!$H$26="Todos",'Plan mensual'!E85,0))+parametros_manuales!$G$26*('Plan mensual'!E82+IF(parametros_manuales!$H$26="Todos",'Plan mensual'!E86,0)))*parametros_manuales!$I$26*parametros_manuales!$J$26</f>
        <v>19129.33</v>
      </c>
      <c r="D205" s="8">
        <f>(parametros_manuales!$D$26*('Plan mensual'!F79+IF(parametros_manuales!$H$26="Todos",'Plan mensual'!F83,0))+parametros_manuales!$E$26*('Plan mensual'!F80+IF(parametros_manuales!$H$26="Todos",'Plan mensual'!F84,0))+parametros_manuales!$F$26*('Plan mensual'!F81+IF(parametros_manuales!$H$26="Todos",'Plan mensual'!F85,0))+parametros_manuales!$G$26*('Plan mensual'!F82+IF(parametros_manuales!$H$26="Todos",'Plan mensual'!F86,0)))*parametros_manuales!$I$26*parametros_manuales!$J$26</f>
        <v>17885.335</v>
      </c>
      <c r="E205" s="8">
        <f>(parametros_manuales!$D$26*('Plan mensual'!G79+IF(parametros_manuales!$H$26="Todos",'Plan mensual'!G83,0))+parametros_manuales!$E$26*('Plan mensual'!G80+IF(parametros_manuales!$H$26="Todos",'Plan mensual'!G84,0))+parametros_manuales!$F$26*('Plan mensual'!G81+IF(parametros_manuales!$H$26="Todos",'Plan mensual'!G85,0))+parametros_manuales!$G$26*('Plan mensual'!G82+IF(parametros_manuales!$H$26="Todos",'Plan mensual'!G86,0)))*parametros_manuales!$I$26*parametros_manuales!$J$26</f>
        <v>17104.67</v>
      </c>
      <c r="F205" s="8">
        <f>(parametros_manuales!$D$26*('Plan mensual'!H79+IF(parametros_manuales!$H$26="Todos",'Plan mensual'!H83,0))+parametros_manuales!$E$26*('Plan mensual'!H80+IF(parametros_manuales!$H$26="Todos",'Plan mensual'!H84,0))+parametros_manuales!$F$26*('Plan mensual'!H81+IF(parametros_manuales!$H$26="Todos",'Plan mensual'!H85,0))+parametros_manuales!$G$26*('Plan mensual'!H82+IF(parametros_manuales!$H$26="Todos",'Plan mensual'!H86,0)))*parametros_manuales!$I$26*parametros_manuales!$J$26</f>
        <v>16006.67</v>
      </c>
      <c r="G205" s="8">
        <f>(parametros_manuales!$D$26*('Plan mensual'!I79+IF(parametros_manuales!$H$26="Todos",'Plan mensual'!I83,0))+parametros_manuales!$E$26*('Plan mensual'!I80+IF(parametros_manuales!$H$26="Todos",'Plan mensual'!I84,0))+parametros_manuales!$F$26*('Plan mensual'!I81+IF(parametros_manuales!$H$26="Todos",'Plan mensual'!I85,0))+parametros_manuales!$G$26*('Plan mensual'!I82+IF(parametros_manuales!$H$26="Todos",'Plan mensual'!I86,0)))*parametros_manuales!$I$26*parametros_manuales!$J$26</f>
        <v>15689.335</v>
      </c>
      <c r="H205" s="8">
        <f>(parametros_manuales!$D$26*('Plan mensual'!J79+IF(parametros_manuales!$H$26="Todos",'Plan mensual'!J83,0))+parametros_manuales!$E$26*('Plan mensual'!J80+IF(parametros_manuales!$H$26="Todos",'Plan mensual'!J84,0))+parametros_manuales!$F$26*('Plan mensual'!J81+IF(parametros_manuales!$H$26="Todos",'Plan mensual'!J85,0))+parametros_manuales!$G$26*('Plan mensual'!J82+IF(parametros_manuales!$H$26="Todos",'Plan mensual'!J86,0)))*parametros_manuales!$I$26*parametros_manuales!$J$26</f>
        <v>16787.335</v>
      </c>
      <c r="I205" s="8">
        <f>(parametros_manuales!$D$26*('Plan mensual'!K79+IF(parametros_manuales!$H$26="Todos",'Plan mensual'!K83,0))+parametros_manuales!$E$26*('Plan mensual'!K80+IF(parametros_manuales!$H$26="Todos",'Plan mensual'!K84,0))+parametros_manuales!$F$26*('Plan mensual'!K81+IF(parametros_manuales!$H$26="Todos",'Plan mensual'!K85,0))+parametros_manuales!$G$26*('Plan mensual'!K82+IF(parametros_manuales!$H$26="Todos",'Plan mensual'!K86,0)))*parametros_manuales!$I$26*parametros_manuales!$J$26</f>
        <v>16787.335</v>
      </c>
      <c r="J205" s="8">
        <f>(parametros_manuales!$D$26*('Plan mensual'!L79+IF(parametros_manuales!$H$26="Todos",'Plan mensual'!L83,0))+parametros_manuales!$E$26*('Plan mensual'!L80+IF(parametros_manuales!$H$26="Todos",'Plan mensual'!L84,0))+parametros_manuales!$F$26*('Plan mensual'!L81+IF(parametros_manuales!$H$26="Todos",'Plan mensual'!L85,0))+parametros_manuales!$G$26*('Plan mensual'!L82+IF(parametros_manuales!$H$26="Todos",'Plan mensual'!L86,0)))*parametros_manuales!$I$26*parametros_manuales!$J$26</f>
        <v>16787.335</v>
      </c>
      <c r="K205" s="8">
        <f>(parametros_manuales!$D$26*('Plan mensual'!M79+IF(parametros_manuales!$H$26="Todos",'Plan mensual'!M83,0))+parametros_manuales!$E$26*('Plan mensual'!M80+IF(parametros_manuales!$H$26="Todos",'Plan mensual'!M84,0))+parametros_manuales!$F$26*('Plan mensual'!M81+IF(parametros_manuales!$H$26="Todos",'Plan mensual'!M85,0))+parametros_manuales!$G$26*('Plan mensual'!M82+IF(parametros_manuales!$H$26="Todos",'Plan mensual'!M86,0)))*parametros_manuales!$I$26*parametros_manuales!$J$26</f>
        <v>16470</v>
      </c>
      <c r="L205" s="8">
        <f>(parametros_manuales!$D$26*('Plan mensual'!N79+IF(parametros_manuales!$H$26="Todos",'Plan mensual'!N83,0))+parametros_manuales!$E$26*('Plan mensual'!N80+IF(parametros_manuales!$H$26="Todos",'Plan mensual'!N84,0))+parametros_manuales!$F$26*('Plan mensual'!N81+IF(parametros_manuales!$H$26="Todos",'Plan mensual'!N85,0))+parametros_manuales!$G$26*('Plan mensual'!N82+IF(parametros_manuales!$H$26="Todos",'Plan mensual'!N86,0)))*parametros_manuales!$I$26*parametros_manuales!$J$26</f>
        <v>16152.665</v>
      </c>
      <c r="M205" s="8">
        <f>(parametros_manuales!$D$26*('Plan mensual'!O79+IF(parametros_manuales!$H$26="Todos",'Plan mensual'!O83,0))+parametros_manuales!$E$26*('Plan mensual'!O80+IF(parametros_manuales!$H$26="Todos",'Plan mensual'!O84,0))+parametros_manuales!$F$26*('Plan mensual'!O81+IF(parametros_manuales!$H$26="Todos",'Plan mensual'!O85,0))+parametros_manuales!$G$26*('Plan mensual'!O82+IF(parametros_manuales!$H$26="Todos",'Plan mensual'!O86,0)))*parametros_manuales!$I$26*parametros_manuales!$J$26</f>
        <v>25717.33</v>
      </c>
      <c r="N205" s="8">
        <f t="shared" si="22"/>
        <v>219600</v>
      </c>
      <c r="O205" s="8">
        <f t="shared" si="23"/>
        <v>25717.33</v>
      </c>
      <c r="P205" s="27">
        <f>O205/(parametros_manuales!$B$7)</f>
        <v>171.4488667</v>
      </c>
      <c r="Q205" s="4" t="str">
        <f t="shared" si="24"/>
        <v>Dic</v>
      </c>
    </row>
    <row r="206" ht="14.25" customHeight="1">
      <c r="A206" s="4" t="str">
        <f>parametros_manuales!$B$27</f>
        <v>Soldadura longitudinal — 2,5 a 10 kg</v>
      </c>
      <c r="B206" s="8">
        <f>(parametros_manuales!$D$27*('Plan mensual'!D79+IF(parametros_manuales!$H$27="Todos",'Plan mensual'!D83,0))+parametros_manuales!$E$27*('Plan mensual'!D80+IF(parametros_manuales!$H$27="Todos",'Plan mensual'!D84,0))+parametros_manuales!$F$27*('Plan mensual'!D81+IF(parametros_manuales!$H$27="Todos",'Plan mensual'!D85,0))+parametros_manuales!$G$27*('Plan mensual'!D82+IF(parametros_manuales!$H$27="Todos",'Plan mensual'!D86,0)))*parametros_manuales!$I$27*parametros_manuales!$J$27</f>
        <v>6346.7</v>
      </c>
      <c r="C206" s="8">
        <f>(parametros_manuales!$D$27*('Plan mensual'!E79+IF(parametros_manuales!$H$27="Todos",'Plan mensual'!E83,0))+parametros_manuales!$E$27*('Plan mensual'!E80+IF(parametros_manuales!$H$27="Todos",'Plan mensual'!E84,0))+parametros_manuales!$F$27*('Plan mensual'!E81+IF(parametros_manuales!$H$27="Todos",'Plan mensual'!E85,0))+parametros_manuales!$G$27*('Plan mensual'!E82+IF(parametros_manuales!$H$27="Todos",'Plan mensual'!E86,0)))*parametros_manuales!$I$27*parametros_manuales!$J$27</f>
        <v>5077.36</v>
      </c>
      <c r="D206" s="8">
        <f>(parametros_manuales!$D$27*('Plan mensual'!F79+IF(parametros_manuales!$H$27="Todos",'Plan mensual'!F83,0))+parametros_manuales!$E$27*('Plan mensual'!F80+IF(parametros_manuales!$H$27="Todos",'Plan mensual'!F84,0))+parametros_manuales!$F$27*('Plan mensual'!F81+IF(parametros_manuales!$H$27="Todos",'Plan mensual'!F85,0))+parametros_manuales!$G$27*('Plan mensual'!F82+IF(parametros_manuales!$H$27="Todos",'Plan mensual'!F86,0)))*parametros_manuales!$I$27*parametros_manuales!$J$27</f>
        <v>5394.695</v>
      </c>
      <c r="E206" s="8">
        <f>(parametros_manuales!$D$27*('Plan mensual'!G79+IF(parametros_manuales!$H$27="Todos",'Plan mensual'!G83,0))+parametros_manuales!$E$27*('Plan mensual'!G80+IF(parametros_manuales!$H$27="Todos",'Plan mensual'!G84,0))+parametros_manuales!$F$27*('Plan mensual'!G81+IF(parametros_manuales!$H$27="Todos",'Plan mensual'!G85,0))+parametros_manuales!$G$27*('Plan mensual'!G82+IF(parametros_manuales!$H$27="Todos",'Plan mensual'!G86,0)))*parametros_manuales!$I$27*parametros_manuales!$J$27</f>
        <v>5394.695</v>
      </c>
      <c r="F206" s="8">
        <f>(parametros_manuales!$D$27*('Plan mensual'!H79+IF(parametros_manuales!$H$27="Todos",'Plan mensual'!H83,0))+parametros_manuales!$E$27*('Plan mensual'!H80+IF(parametros_manuales!$H$27="Todos",'Plan mensual'!H84,0))+parametros_manuales!$F$27*('Plan mensual'!H81+IF(parametros_manuales!$H$27="Todos",'Plan mensual'!H85,0))+parametros_manuales!$G$27*('Plan mensual'!H82+IF(parametros_manuales!$H$27="Todos",'Plan mensual'!H86,0)))*parametros_manuales!$I$27*parametros_manuales!$J$27</f>
        <v>5077.36</v>
      </c>
      <c r="G206" s="8">
        <f>(parametros_manuales!$D$27*('Plan mensual'!I79+IF(parametros_manuales!$H$27="Todos",'Plan mensual'!I83,0))+parametros_manuales!$E$27*('Plan mensual'!I80+IF(parametros_manuales!$H$27="Todos",'Plan mensual'!I84,0))+parametros_manuales!$F$27*('Plan mensual'!I81+IF(parametros_manuales!$H$27="Todos",'Plan mensual'!I85,0))+parametros_manuales!$G$27*('Plan mensual'!I82+IF(parametros_manuales!$H$27="Todos",'Plan mensual'!I86,0)))*parametros_manuales!$I$27*parametros_manuales!$J$27</f>
        <v>4760.025</v>
      </c>
      <c r="H206" s="8">
        <f>(parametros_manuales!$D$27*('Plan mensual'!J79+IF(parametros_manuales!$H$27="Todos",'Plan mensual'!J83,0))+parametros_manuales!$E$27*('Plan mensual'!J80+IF(parametros_manuales!$H$27="Todos",'Plan mensual'!J84,0))+parametros_manuales!$F$27*('Plan mensual'!J81+IF(parametros_manuales!$H$27="Todos",'Plan mensual'!J85,0))+parametros_manuales!$G$27*('Plan mensual'!J82+IF(parametros_manuales!$H$27="Todos",'Plan mensual'!J86,0)))*parametros_manuales!$I$27*parametros_manuales!$J$27</f>
        <v>5077.36</v>
      </c>
      <c r="I206" s="8">
        <f>(parametros_manuales!$D$27*('Plan mensual'!K79+IF(parametros_manuales!$H$27="Todos",'Plan mensual'!K83,0))+parametros_manuales!$E$27*('Plan mensual'!K80+IF(parametros_manuales!$H$27="Todos",'Plan mensual'!K84,0))+parametros_manuales!$F$27*('Plan mensual'!K81+IF(parametros_manuales!$H$27="Todos",'Plan mensual'!K85,0))+parametros_manuales!$G$27*('Plan mensual'!K82+IF(parametros_manuales!$H$27="Todos",'Plan mensual'!K86,0)))*parametros_manuales!$I$27*parametros_manuales!$J$27</f>
        <v>5077.36</v>
      </c>
      <c r="J206" s="8">
        <f>(parametros_manuales!$D$27*('Plan mensual'!L79+IF(parametros_manuales!$H$27="Todos",'Plan mensual'!L83,0))+parametros_manuales!$E$27*('Plan mensual'!L80+IF(parametros_manuales!$H$27="Todos",'Plan mensual'!L84,0))+parametros_manuales!$F$27*('Plan mensual'!L81+IF(parametros_manuales!$H$27="Todos",'Plan mensual'!L85,0))+parametros_manuales!$G$27*('Plan mensual'!L82+IF(parametros_manuales!$H$27="Todos",'Plan mensual'!L86,0)))*parametros_manuales!$I$27*parametros_manuales!$J$27</f>
        <v>5077.36</v>
      </c>
      <c r="K206" s="8">
        <f>(parametros_manuales!$D$27*('Plan mensual'!M79+IF(parametros_manuales!$H$27="Todos",'Plan mensual'!M83,0))+parametros_manuales!$E$27*('Plan mensual'!M80+IF(parametros_manuales!$H$27="Todos",'Plan mensual'!M84,0))+parametros_manuales!$F$27*('Plan mensual'!M81+IF(parametros_manuales!$H$27="Todos",'Plan mensual'!M85,0))+parametros_manuales!$G$27*('Plan mensual'!M82+IF(parametros_manuales!$H$27="Todos",'Plan mensual'!M86,0)))*parametros_manuales!$I$27*parametros_manuales!$J$27</f>
        <v>4760.025</v>
      </c>
      <c r="L206" s="8">
        <f>(parametros_manuales!$D$27*('Plan mensual'!N79+IF(parametros_manuales!$H$27="Todos",'Plan mensual'!N83,0))+parametros_manuales!$E$27*('Plan mensual'!N80+IF(parametros_manuales!$H$27="Todos",'Plan mensual'!N84,0))+parametros_manuales!$F$27*('Plan mensual'!N81+IF(parametros_manuales!$H$27="Todos",'Plan mensual'!N85,0))+parametros_manuales!$G$27*('Plan mensual'!N82+IF(parametros_manuales!$H$27="Todos",'Plan mensual'!N86,0)))*parametros_manuales!$I$27*parametros_manuales!$J$27</f>
        <v>4442.69</v>
      </c>
      <c r="M206" s="8">
        <f>(parametros_manuales!$D$27*('Plan mensual'!O79+IF(parametros_manuales!$H$27="Todos",'Plan mensual'!O83,0))+parametros_manuales!$E$27*('Plan mensual'!O80+IF(parametros_manuales!$H$27="Todos",'Plan mensual'!O84,0))+parametros_manuales!$F$27*('Plan mensual'!O81+IF(parametros_manuales!$H$27="Todos",'Plan mensual'!O85,0))+parametros_manuales!$G$27*('Plan mensual'!O82+IF(parametros_manuales!$H$27="Todos",'Plan mensual'!O86,0)))*parametros_manuales!$I$27*parametros_manuales!$J$27</f>
        <v>6981.37</v>
      </c>
      <c r="N206" s="8">
        <f t="shared" si="22"/>
        <v>63467</v>
      </c>
      <c r="O206" s="8">
        <f t="shared" si="23"/>
        <v>6981.37</v>
      </c>
      <c r="P206" s="27">
        <f>O206/(parametros_manuales!$B$7)</f>
        <v>46.54246667</v>
      </c>
      <c r="Q206" s="4" t="str">
        <f t="shared" si="24"/>
        <v>Dic</v>
      </c>
    </row>
    <row r="207" ht="14.25" customHeight="1">
      <c r="A207" s="4" t="str">
        <f>parametros_manuales!$B$28</f>
        <v>Soldadura longitudinal TIG — 1 kg</v>
      </c>
      <c r="B207" s="8">
        <f>(parametros_manuales!$D$28*('Plan mensual'!D79+IF(parametros_manuales!$H$28="Todos",'Plan mensual'!D83,0))+parametros_manuales!$E$28*('Plan mensual'!D80+IF(parametros_manuales!$H$28="Todos",'Plan mensual'!D84,0))+parametros_manuales!$F$28*('Plan mensual'!D81+IF(parametros_manuales!$H$28="Todos",'Plan mensual'!D85,0))+parametros_manuales!$G$28*('Plan mensual'!D82+IF(parametros_manuales!$H$28="Todos",'Plan mensual'!D86,0)))*parametros_manuales!$I$28*parametros_manuales!$J$28</f>
        <v>18735.96</v>
      </c>
      <c r="C207" s="8">
        <f>(parametros_manuales!$D$28*('Plan mensual'!E79+IF(parametros_manuales!$H$28="Todos",'Plan mensual'!E83,0))+parametros_manuales!$E$28*('Plan mensual'!E80+IF(parametros_manuales!$H$28="Todos",'Plan mensual'!E84,0))+parametros_manuales!$F$28*('Plan mensual'!E81+IF(parametros_manuales!$H$28="Todos",'Plan mensual'!E85,0))+parametros_manuales!$G$28*('Plan mensual'!E82+IF(parametros_manuales!$H$28="Todos",'Plan mensual'!E86,0)))*parametros_manuales!$I$28*parametros_manuales!$J$28</f>
        <v>14051.97</v>
      </c>
      <c r="D207" s="8">
        <f>(parametros_manuales!$D$28*('Plan mensual'!F79+IF(parametros_manuales!$H$28="Todos",'Plan mensual'!F83,0))+parametros_manuales!$E$28*('Plan mensual'!F80+IF(parametros_manuales!$H$28="Todos",'Plan mensual'!F84,0))+parametros_manuales!$F$28*('Plan mensual'!F81+IF(parametros_manuales!$H$28="Todos",'Plan mensual'!F85,0))+parametros_manuales!$G$28*('Plan mensual'!F82+IF(parametros_manuales!$H$28="Todos",'Plan mensual'!F86,0)))*parametros_manuales!$I$28*parametros_manuales!$J$28</f>
        <v>12490.64</v>
      </c>
      <c r="E207" s="8">
        <f>(parametros_manuales!$D$28*('Plan mensual'!G79+IF(parametros_manuales!$H$28="Todos",'Plan mensual'!G83,0))+parametros_manuales!$E$28*('Plan mensual'!G80+IF(parametros_manuales!$H$28="Todos",'Plan mensual'!G84,0))+parametros_manuales!$F$28*('Plan mensual'!G81+IF(parametros_manuales!$H$28="Todos",'Plan mensual'!G85,0))+parametros_manuales!$G$28*('Plan mensual'!G82+IF(parametros_manuales!$H$28="Todos",'Plan mensual'!G86,0)))*parametros_manuales!$I$28*parametros_manuales!$J$28</f>
        <v>11709.975</v>
      </c>
      <c r="F207" s="8">
        <f>(parametros_manuales!$D$28*('Plan mensual'!H79+IF(parametros_manuales!$H$28="Todos",'Plan mensual'!H83,0))+parametros_manuales!$E$28*('Plan mensual'!H80+IF(parametros_manuales!$H$28="Todos",'Plan mensual'!H84,0))+parametros_manuales!$F$28*('Plan mensual'!H81+IF(parametros_manuales!$H$28="Todos",'Plan mensual'!H85,0))+parametros_manuales!$G$28*('Plan mensual'!H82+IF(parametros_manuales!$H$28="Todos",'Plan mensual'!H86,0)))*parametros_manuales!$I$28*parametros_manuales!$J$28</f>
        <v>10929.31</v>
      </c>
      <c r="G207" s="8">
        <f>(parametros_manuales!$D$28*('Plan mensual'!I79+IF(parametros_manuales!$H$28="Todos",'Plan mensual'!I83,0))+parametros_manuales!$E$28*('Plan mensual'!I80+IF(parametros_manuales!$H$28="Todos",'Plan mensual'!I84,0))+parametros_manuales!$F$28*('Plan mensual'!I81+IF(parametros_manuales!$H$28="Todos",'Plan mensual'!I85,0))+parametros_manuales!$G$28*('Plan mensual'!I82+IF(parametros_manuales!$H$28="Todos",'Plan mensual'!I86,0)))*parametros_manuales!$I$28*parametros_manuales!$J$28</f>
        <v>10929.31</v>
      </c>
      <c r="H207" s="8">
        <f>(parametros_manuales!$D$28*('Plan mensual'!J79+IF(parametros_manuales!$H$28="Todos",'Plan mensual'!J83,0))+parametros_manuales!$E$28*('Plan mensual'!J80+IF(parametros_manuales!$H$28="Todos",'Plan mensual'!J84,0))+parametros_manuales!$F$28*('Plan mensual'!J81+IF(parametros_manuales!$H$28="Todos",'Plan mensual'!J85,0))+parametros_manuales!$G$28*('Plan mensual'!J82+IF(parametros_manuales!$H$28="Todos",'Plan mensual'!J86,0)))*parametros_manuales!$I$28*parametros_manuales!$J$28</f>
        <v>11709.975</v>
      </c>
      <c r="I207" s="8">
        <f>(parametros_manuales!$D$28*('Plan mensual'!K79+IF(parametros_manuales!$H$28="Todos",'Plan mensual'!K83,0))+parametros_manuales!$E$28*('Plan mensual'!K80+IF(parametros_manuales!$H$28="Todos",'Plan mensual'!K84,0))+parametros_manuales!$F$28*('Plan mensual'!K81+IF(parametros_manuales!$H$28="Todos",'Plan mensual'!K85,0))+parametros_manuales!$G$28*('Plan mensual'!K82+IF(parametros_manuales!$H$28="Todos",'Plan mensual'!K86,0)))*parametros_manuales!$I$28*parametros_manuales!$J$28</f>
        <v>11709.975</v>
      </c>
      <c r="J207" s="8">
        <f>(parametros_manuales!$D$28*('Plan mensual'!L79+IF(parametros_manuales!$H$28="Todos",'Plan mensual'!L83,0))+parametros_manuales!$E$28*('Plan mensual'!L80+IF(parametros_manuales!$H$28="Todos",'Plan mensual'!L84,0))+parametros_manuales!$F$28*('Plan mensual'!L81+IF(parametros_manuales!$H$28="Todos",'Plan mensual'!L85,0))+parametros_manuales!$G$28*('Plan mensual'!L82+IF(parametros_manuales!$H$28="Todos",'Plan mensual'!L86,0)))*parametros_manuales!$I$28*parametros_manuales!$J$28</f>
        <v>11709.975</v>
      </c>
      <c r="K207" s="8">
        <f>(parametros_manuales!$D$28*('Plan mensual'!M79+IF(parametros_manuales!$H$28="Todos",'Plan mensual'!M83,0))+parametros_manuales!$E$28*('Plan mensual'!M80+IF(parametros_manuales!$H$28="Todos",'Plan mensual'!M84,0))+parametros_manuales!$F$28*('Plan mensual'!M81+IF(parametros_manuales!$H$28="Todos",'Plan mensual'!M85,0))+parametros_manuales!$G$28*('Plan mensual'!M82+IF(parametros_manuales!$H$28="Todos",'Plan mensual'!M86,0)))*parametros_manuales!$I$28*parametros_manuales!$J$28</f>
        <v>11709.975</v>
      </c>
      <c r="L207" s="8">
        <f>(parametros_manuales!$D$28*('Plan mensual'!N79+IF(parametros_manuales!$H$28="Todos",'Plan mensual'!N83,0))+parametros_manuales!$E$28*('Plan mensual'!N80+IF(parametros_manuales!$H$28="Todos",'Plan mensual'!N84,0))+parametros_manuales!$F$28*('Plan mensual'!N81+IF(parametros_manuales!$H$28="Todos",'Plan mensual'!N85,0))+parametros_manuales!$G$28*('Plan mensual'!N82+IF(parametros_manuales!$H$28="Todos",'Plan mensual'!N86,0)))*parametros_manuales!$I$28*parametros_manuales!$J$28</f>
        <v>11709.975</v>
      </c>
      <c r="M207" s="8">
        <f>(parametros_manuales!$D$28*('Plan mensual'!O79+IF(parametros_manuales!$H$28="Todos",'Plan mensual'!O83,0))+parametros_manuales!$E$28*('Plan mensual'!O80+IF(parametros_manuales!$H$28="Todos",'Plan mensual'!O84,0))+parametros_manuales!$F$28*('Plan mensual'!O81+IF(parametros_manuales!$H$28="Todos",'Plan mensual'!O85,0))+parametros_manuales!$G$28*('Plan mensual'!O82+IF(parametros_manuales!$H$28="Todos",'Plan mensual'!O86,0)))*parametros_manuales!$I$28*parametros_manuales!$J$28</f>
        <v>18735.96</v>
      </c>
      <c r="N207" s="8">
        <f t="shared" si="22"/>
        <v>156133</v>
      </c>
      <c r="O207" s="8">
        <f t="shared" si="23"/>
        <v>18735.96</v>
      </c>
      <c r="P207" s="27">
        <f>O207/(parametros_manuales!$B$7)</f>
        <v>124.9064</v>
      </c>
      <c r="Q207" s="4" t="str">
        <f t="shared" si="24"/>
        <v>Ene</v>
      </c>
    </row>
    <row r="208" ht="14.25" customHeight="1">
      <c r="A208" s="4" t="str">
        <f>parametros_manuales!$B$29</f>
        <v>Encastre de fondo</v>
      </c>
      <c r="B208" s="8">
        <f>(parametros_manuales!$D$29*('Plan mensual'!D79+IF(parametros_manuales!$H$29="Todos",'Plan mensual'!D83,0))+parametros_manuales!$E$29*('Plan mensual'!D80+IF(parametros_manuales!$H$29="Todos",'Plan mensual'!D84,0))+parametros_manuales!$F$29*('Plan mensual'!D81+IF(parametros_manuales!$H$29="Todos",'Plan mensual'!D85,0))+parametros_manuales!$G$29*('Plan mensual'!D82+IF(parametros_manuales!$H$29="Todos",'Plan mensual'!D86,0)))*parametros_manuales!$I$29*parametros_manuales!$J$29</f>
        <v>25082.66</v>
      </c>
      <c r="C208" s="8">
        <f>(parametros_manuales!$D$29*('Plan mensual'!E79+IF(parametros_manuales!$H$29="Todos",'Plan mensual'!E83,0))+parametros_manuales!$E$29*('Plan mensual'!E80+IF(parametros_manuales!$H$29="Todos",'Plan mensual'!E84,0))+parametros_manuales!$F$29*('Plan mensual'!E81+IF(parametros_manuales!$H$29="Todos",'Plan mensual'!E85,0))+parametros_manuales!$G$29*('Plan mensual'!E82+IF(parametros_manuales!$H$29="Todos",'Plan mensual'!E86,0)))*parametros_manuales!$I$29*parametros_manuales!$J$29</f>
        <v>19129.33</v>
      </c>
      <c r="D208" s="8">
        <f>(parametros_manuales!$D$29*('Plan mensual'!F79+IF(parametros_manuales!$H$29="Todos",'Plan mensual'!F83,0))+parametros_manuales!$E$29*('Plan mensual'!F80+IF(parametros_manuales!$H$29="Todos",'Plan mensual'!F84,0))+parametros_manuales!$F$29*('Plan mensual'!F81+IF(parametros_manuales!$H$29="Todos",'Plan mensual'!F85,0))+parametros_manuales!$G$29*('Plan mensual'!F82+IF(parametros_manuales!$H$29="Todos",'Plan mensual'!F86,0)))*parametros_manuales!$I$29*parametros_manuales!$J$29</f>
        <v>17885.335</v>
      </c>
      <c r="E208" s="8">
        <f>(parametros_manuales!$D$29*('Plan mensual'!G79+IF(parametros_manuales!$H$29="Todos",'Plan mensual'!G83,0))+parametros_manuales!$E$29*('Plan mensual'!G80+IF(parametros_manuales!$H$29="Todos",'Plan mensual'!G84,0))+parametros_manuales!$F$29*('Plan mensual'!G81+IF(parametros_manuales!$H$29="Todos",'Plan mensual'!G85,0))+parametros_manuales!$G$29*('Plan mensual'!G82+IF(parametros_manuales!$H$29="Todos",'Plan mensual'!G86,0)))*parametros_manuales!$I$29*parametros_manuales!$J$29</f>
        <v>17104.67</v>
      </c>
      <c r="F208" s="8">
        <f>(parametros_manuales!$D$29*('Plan mensual'!H79+IF(parametros_manuales!$H$29="Todos",'Plan mensual'!H83,0))+parametros_manuales!$E$29*('Plan mensual'!H80+IF(parametros_manuales!$H$29="Todos",'Plan mensual'!H84,0))+parametros_manuales!$F$29*('Plan mensual'!H81+IF(parametros_manuales!$H$29="Todos",'Plan mensual'!H85,0))+parametros_manuales!$G$29*('Plan mensual'!H82+IF(parametros_manuales!$H$29="Todos",'Plan mensual'!H86,0)))*parametros_manuales!$I$29*parametros_manuales!$J$29</f>
        <v>16006.67</v>
      </c>
      <c r="G208" s="8">
        <f>(parametros_manuales!$D$29*('Plan mensual'!I79+IF(parametros_manuales!$H$29="Todos",'Plan mensual'!I83,0))+parametros_manuales!$E$29*('Plan mensual'!I80+IF(parametros_manuales!$H$29="Todos",'Plan mensual'!I84,0))+parametros_manuales!$F$29*('Plan mensual'!I81+IF(parametros_manuales!$H$29="Todos",'Plan mensual'!I85,0))+parametros_manuales!$G$29*('Plan mensual'!I82+IF(parametros_manuales!$H$29="Todos",'Plan mensual'!I86,0)))*parametros_manuales!$I$29*parametros_manuales!$J$29</f>
        <v>15689.335</v>
      </c>
      <c r="H208" s="8">
        <f>(parametros_manuales!$D$29*('Plan mensual'!J79+IF(parametros_manuales!$H$29="Todos",'Plan mensual'!J83,0))+parametros_manuales!$E$29*('Plan mensual'!J80+IF(parametros_manuales!$H$29="Todos",'Plan mensual'!J84,0))+parametros_manuales!$F$29*('Plan mensual'!J81+IF(parametros_manuales!$H$29="Todos",'Plan mensual'!J85,0))+parametros_manuales!$G$29*('Plan mensual'!J82+IF(parametros_manuales!$H$29="Todos",'Plan mensual'!J86,0)))*parametros_manuales!$I$29*parametros_manuales!$J$29</f>
        <v>16787.335</v>
      </c>
      <c r="I208" s="8">
        <f>(parametros_manuales!$D$29*('Plan mensual'!K79+IF(parametros_manuales!$H$29="Todos",'Plan mensual'!K83,0))+parametros_manuales!$E$29*('Plan mensual'!K80+IF(parametros_manuales!$H$29="Todos",'Plan mensual'!K84,0))+parametros_manuales!$F$29*('Plan mensual'!K81+IF(parametros_manuales!$H$29="Todos",'Plan mensual'!K85,0))+parametros_manuales!$G$29*('Plan mensual'!K82+IF(parametros_manuales!$H$29="Todos",'Plan mensual'!K86,0)))*parametros_manuales!$I$29*parametros_manuales!$J$29</f>
        <v>16787.335</v>
      </c>
      <c r="J208" s="8">
        <f>(parametros_manuales!$D$29*('Plan mensual'!L79+IF(parametros_manuales!$H$29="Todos",'Plan mensual'!L83,0))+parametros_manuales!$E$29*('Plan mensual'!L80+IF(parametros_manuales!$H$29="Todos",'Plan mensual'!L84,0))+parametros_manuales!$F$29*('Plan mensual'!L81+IF(parametros_manuales!$H$29="Todos",'Plan mensual'!L85,0))+parametros_manuales!$G$29*('Plan mensual'!L82+IF(parametros_manuales!$H$29="Todos",'Plan mensual'!L86,0)))*parametros_manuales!$I$29*parametros_manuales!$J$29</f>
        <v>16787.335</v>
      </c>
      <c r="K208" s="8">
        <f>(parametros_manuales!$D$29*('Plan mensual'!M79+IF(parametros_manuales!$H$29="Todos",'Plan mensual'!M83,0))+parametros_manuales!$E$29*('Plan mensual'!M80+IF(parametros_manuales!$H$29="Todos",'Plan mensual'!M84,0))+parametros_manuales!$F$29*('Plan mensual'!M81+IF(parametros_manuales!$H$29="Todos",'Plan mensual'!M85,0))+parametros_manuales!$G$29*('Plan mensual'!M82+IF(parametros_manuales!$H$29="Todos",'Plan mensual'!M86,0)))*parametros_manuales!$I$29*parametros_manuales!$J$29</f>
        <v>16470</v>
      </c>
      <c r="L208" s="8">
        <f>(parametros_manuales!$D$29*('Plan mensual'!N79+IF(parametros_manuales!$H$29="Todos",'Plan mensual'!N83,0))+parametros_manuales!$E$29*('Plan mensual'!N80+IF(parametros_manuales!$H$29="Todos",'Plan mensual'!N84,0))+parametros_manuales!$F$29*('Plan mensual'!N81+IF(parametros_manuales!$H$29="Todos",'Plan mensual'!N85,0))+parametros_manuales!$G$29*('Plan mensual'!N82+IF(parametros_manuales!$H$29="Todos",'Plan mensual'!N86,0)))*parametros_manuales!$I$29*parametros_manuales!$J$29</f>
        <v>16152.665</v>
      </c>
      <c r="M208" s="8">
        <f>(parametros_manuales!$D$29*('Plan mensual'!O79+IF(parametros_manuales!$H$29="Todos",'Plan mensual'!O83,0))+parametros_manuales!$E$29*('Plan mensual'!O80+IF(parametros_manuales!$H$29="Todos",'Plan mensual'!O84,0))+parametros_manuales!$F$29*('Plan mensual'!O81+IF(parametros_manuales!$H$29="Todos",'Plan mensual'!O85,0))+parametros_manuales!$G$29*('Plan mensual'!O82+IF(parametros_manuales!$H$29="Todos",'Plan mensual'!O86,0)))*parametros_manuales!$I$29*parametros_manuales!$J$29</f>
        <v>25717.33</v>
      </c>
      <c r="N208" s="8">
        <f t="shared" si="22"/>
        <v>219600</v>
      </c>
      <c r="O208" s="8">
        <f t="shared" si="23"/>
        <v>25717.33</v>
      </c>
      <c r="P208" s="27">
        <f>O208/(parametros_manuales!$B$7)</f>
        <v>171.4488667</v>
      </c>
      <c r="Q208" s="4" t="str">
        <f t="shared" si="24"/>
        <v>Dic</v>
      </c>
    </row>
    <row r="209" ht="14.25" customHeight="1">
      <c r="A209" s="4" t="str">
        <f>parametros_manuales!$B$30</f>
        <v>Bordoneado</v>
      </c>
      <c r="B209" s="8">
        <f>(parametros_manuales!$D$30*('Plan mensual'!D79+IF(parametros_manuales!$H$30="Todos",'Plan mensual'!D83,0))+parametros_manuales!$E$30*('Plan mensual'!D80+IF(parametros_manuales!$H$30="Todos",'Plan mensual'!D84,0))+parametros_manuales!$F$30*('Plan mensual'!D81+IF(parametros_manuales!$H$30="Todos",'Plan mensual'!D85,0))+parametros_manuales!$G$30*('Plan mensual'!D82+IF(parametros_manuales!$H$30="Todos",'Plan mensual'!D86,0)))*parametros_manuales!$I$30*parametros_manuales!$J$30</f>
        <v>25082.66</v>
      </c>
      <c r="C209" s="8">
        <f>(parametros_manuales!$D$30*('Plan mensual'!E79+IF(parametros_manuales!$H$30="Todos",'Plan mensual'!E83,0))+parametros_manuales!$E$30*('Plan mensual'!E80+IF(parametros_manuales!$H$30="Todos",'Plan mensual'!E84,0))+parametros_manuales!$F$30*('Plan mensual'!E81+IF(parametros_manuales!$H$30="Todos",'Plan mensual'!E85,0))+parametros_manuales!$G$30*('Plan mensual'!E82+IF(parametros_manuales!$H$30="Todos",'Plan mensual'!E86,0)))*parametros_manuales!$I$30*parametros_manuales!$J$30</f>
        <v>19129.33</v>
      </c>
      <c r="D209" s="8">
        <f>(parametros_manuales!$D$30*('Plan mensual'!F79+IF(parametros_manuales!$H$30="Todos",'Plan mensual'!F83,0))+parametros_manuales!$E$30*('Plan mensual'!F80+IF(parametros_manuales!$H$30="Todos",'Plan mensual'!F84,0))+parametros_manuales!$F$30*('Plan mensual'!F81+IF(parametros_manuales!$H$30="Todos",'Plan mensual'!F85,0))+parametros_manuales!$G$30*('Plan mensual'!F82+IF(parametros_manuales!$H$30="Todos",'Plan mensual'!F86,0)))*parametros_manuales!$I$30*parametros_manuales!$J$30</f>
        <v>17885.335</v>
      </c>
      <c r="E209" s="8">
        <f>(parametros_manuales!$D$30*('Plan mensual'!G79+IF(parametros_manuales!$H$30="Todos",'Plan mensual'!G83,0))+parametros_manuales!$E$30*('Plan mensual'!G80+IF(parametros_manuales!$H$30="Todos",'Plan mensual'!G84,0))+parametros_manuales!$F$30*('Plan mensual'!G81+IF(parametros_manuales!$H$30="Todos",'Plan mensual'!G85,0))+parametros_manuales!$G$30*('Plan mensual'!G82+IF(parametros_manuales!$H$30="Todos",'Plan mensual'!G86,0)))*parametros_manuales!$I$30*parametros_manuales!$J$30</f>
        <v>17104.67</v>
      </c>
      <c r="F209" s="8">
        <f>(parametros_manuales!$D$30*('Plan mensual'!H79+IF(parametros_manuales!$H$30="Todos",'Plan mensual'!H83,0))+parametros_manuales!$E$30*('Plan mensual'!H80+IF(parametros_manuales!$H$30="Todos",'Plan mensual'!H84,0))+parametros_manuales!$F$30*('Plan mensual'!H81+IF(parametros_manuales!$H$30="Todos",'Plan mensual'!H85,0))+parametros_manuales!$G$30*('Plan mensual'!H82+IF(parametros_manuales!$H$30="Todos",'Plan mensual'!H86,0)))*parametros_manuales!$I$30*parametros_manuales!$J$30</f>
        <v>16006.67</v>
      </c>
      <c r="G209" s="8">
        <f>(parametros_manuales!$D$30*('Plan mensual'!I79+IF(parametros_manuales!$H$30="Todos",'Plan mensual'!I83,0))+parametros_manuales!$E$30*('Plan mensual'!I80+IF(parametros_manuales!$H$30="Todos",'Plan mensual'!I84,0))+parametros_manuales!$F$30*('Plan mensual'!I81+IF(parametros_manuales!$H$30="Todos",'Plan mensual'!I85,0))+parametros_manuales!$G$30*('Plan mensual'!I82+IF(parametros_manuales!$H$30="Todos",'Plan mensual'!I86,0)))*parametros_manuales!$I$30*parametros_manuales!$J$30</f>
        <v>15689.335</v>
      </c>
      <c r="H209" s="8">
        <f>(parametros_manuales!$D$30*('Plan mensual'!J79+IF(parametros_manuales!$H$30="Todos",'Plan mensual'!J83,0))+parametros_manuales!$E$30*('Plan mensual'!J80+IF(parametros_manuales!$H$30="Todos",'Plan mensual'!J84,0))+parametros_manuales!$F$30*('Plan mensual'!J81+IF(parametros_manuales!$H$30="Todos",'Plan mensual'!J85,0))+parametros_manuales!$G$30*('Plan mensual'!J82+IF(parametros_manuales!$H$30="Todos",'Plan mensual'!J86,0)))*parametros_manuales!$I$30*parametros_manuales!$J$30</f>
        <v>16787.335</v>
      </c>
      <c r="I209" s="8">
        <f>(parametros_manuales!$D$30*('Plan mensual'!K79+IF(parametros_manuales!$H$30="Todos",'Plan mensual'!K83,0))+parametros_manuales!$E$30*('Plan mensual'!K80+IF(parametros_manuales!$H$30="Todos",'Plan mensual'!K84,0))+parametros_manuales!$F$30*('Plan mensual'!K81+IF(parametros_manuales!$H$30="Todos",'Plan mensual'!K85,0))+parametros_manuales!$G$30*('Plan mensual'!K82+IF(parametros_manuales!$H$30="Todos",'Plan mensual'!K86,0)))*parametros_manuales!$I$30*parametros_manuales!$J$30</f>
        <v>16787.335</v>
      </c>
      <c r="J209" s="8">
        <f>(parametros_manuales!$D$30*('Plan mensual'!L79+IF(parametros_manuales!$H$30="Todos",'Plan mensual'!L83,0))+parametros_manuales!$E$30*('Plan mensual'!L80+IF(parametros_manuales!$H$30="Todos",'Plan mensual'!L84,0))+parametros_manuales!$F$30*('Plan mensual'!L81+IF(parametros_manuales!$H$30="Todos",'Plan mensual'!L85,0))+parametros_manuales!$G$30*('Plan mensual'!L82+IF(parametros_manuales!$H$30="Todos",'Plan mensual'!L86,0)))*parametros_manuales!$I$30*parametros_manuales!$J$30</f>
        <v>16787.335</v>
      </c>
      <c r="K209" s="8">
        <f>(parametros_manuales!$D$30*('Plan mensual'!M79+IF(parametros_manuales!$H$30="Todos",'Plan mensual'!M83,0))+parametros_manuales!$E$30*('Plan mensual'!M80+IF(parametros_manuales!$H$30="Todos",'Plan mensual'!M84,0))+parametros_manuales!$F$30*('Plan mensual'!M81+IF(parametros_manuales!$H$30="Todos",'Plan mensual'!M85,0))+parametros_manuales!$G$30*('Plan mensual'!M82+IF(parametros_manuales!$H$30="Todos",'Plan mensual'!M86,0)))*parametros_manuales!$I$30*parametros_manuales!$J$30</f>
        <v>16470</v>
      </c>
      <c r="L209" s="8">
        <f>(parametros_manuales!$D$30*('Plan mensual'!N79+IF(parametros_manuales!$H$30="Todos",'Plan mensual'!N83,0))+parametros_manuales!$E$30*('Plan mensual'!N80+IF(parametros_manuales!$H$30="Todos",'Plan mensual'!N84,0))+parametros_manuales!$F$30*('Plan mensual'!N81+IF(parametros_manuales!$H$30="Todos",'Plan mensual'!N85,0))+parametros_manuales!$G$30*('Plan mensual'!N82+IF(parametros_manuales!$H$30="Todos",'Plan mensual'!N86,0)))*parametros_manuales!$I$30*parametros_manuales!$J$30</f>
        <v>16152.665</v>
      </c>
      <c r="M209" s="8">
        <f>(parametros_manuales!$D$30*('Plan mensual'!O79+IF(parametros_manuales!$H$30="Todos",'Plan mensual'!O83,0))+parametros_manuales!$E$30*('Plan mensual'!O80+IF(parametros_manuales!$H$30="Todos",'Plan mensual'!O84,0))+parametros_manuales!$F$30*('Plan mensual'!O81+IF(parametros_manuales!$H$30="Todos",'Plan mensual'!O85,0))+parametros_manuales!$G$30*('Plan mensual'!O82+IF(parametros_manuales!$H$30="Todos",'Plan mensual'!O86,0)))*parametros_manuales!$I$30*parametros_manuales!$J$30</f>
        <v>25717.33</v>
      </c>
      <c r="N209" s="8">
        <f t="shared" si="22"/>
        <v>219600</v>
      </c>
      <c r="O209" s="8">
        <f t="shared" si="23"/>
        <v>25717.33</v>
      </c>
      <c r="P209" s="27">
        <f>O209/(parametros_manuales!$B$7)</f>
        <v>171.4488667</v>
      </c>
      <c r="Q209" s="4" t="str">
        <f t="shared" si="24"/>
        <v>Dic</v>
      </c>
    </row>
    <row r="210" ht="14.25" customHeight="1">
      <c r="A210" s="4" t="str">
        <f>parametros_manuales!$B$31</f>
        <v>Soldadura circunferencial de cúpula y fondo</v>
      </c>
      <c r="B210" s="8">
        <f>(parametros_manuales!$D$31*('Plan mensual'!D79+IF(parametros_manuales!$H$31="Todos",'Plan mensual'!D83,0))+parametros_manuales!$E$31*('Plan mensual'!D80+IF(parametros_manuales!$H$31="Todos",'Plan mensual'!D84,0))+parametros_manuales!$F$31*('Plan mensual'!D81+IF(parametros_manuales!$H$31="Todos",'Plan mensual'!D85,0))+parametros_manuales!$G$31*('Plan mensual'!D82+IF(parametros_manuales!$H$31="Todos",'Plan mensual'!D86,0)))*parametros_manuales!$I$31*parametros_manuales!$J$31</f>
        <v>25082.66</v>
      </c>
      <c r="C210" s="8">
        <f>(parametros_manuales!$D$31*('Plan mensual'!E79+IF(parametros_manuales!$H$31="Todos",'Plan mensual'!E83,0))+parametros_manuales!$E$31*('Plan mensual'!E80+IF(parametros_manuales!$H$31="Todos",'Plan mensual'!E84,0))+parametros_manuales!$F$31*('Plan mensual'!E81+IF(parametros_manuales!$H$31="Todos",'Plan mensual'!E85,0))+parametros_manuales!$G$31*('Plan mensual'!E82+IF(parametros_manuales!$H$31="Todos",'Plan mensual'!E86,0)))*parametros_manuales!$I$31*parametros_manuales!$J$31</f>
        <v>19129.33</v>
      </c>
      <c r="D210" s="8">
        <f>(parametros_manuales!$D$31*('Plan mensual'!F79+IF(parametros_manuales!$H$31="Todos",'Plan mensual'!F83,0))+parametros_manuales!$E$31*('Plan mensual'!F80+IF(parametros_manuales!$H$31="Todos",'Plan mensual'!F84,0))+parametros_manuales!$F$31*('Plan mensual'!F81+IF(parametros_manuales!$H$31="Todos",'Plan mensual'!F85,0))+parametros_manuales!$G$31*('Plan mensual'!F82+IF(parametros_manuales!$H$31="Todos",'Plan mensual'!F86,0)))*parametros_manuales!$I$31*parametros_manuales!$J$31</f>
        <v>17885.335</v>
      </c>
      <c r="E210" s="8">
        <f>(parametros_manuales!$D$31*('Plan mensual'!G79+IF(parametros_manuales!$H$31="Todos",'Plan mensual'!G83,0))+parametros_manuales!$E$31*('Plan mensual'!G80+IF(parametros_manuales!$H$31="Todos",'Plan mensual'!G84,0))+parametros_manuales!$F$31*('Plan mensual'!G81+IF(parametros_manuales!$H$31="Todos",'Plan mensual'!G85,0))+parametros_manuales!$G$31*('Plan mensual'!G82+IF(parametros_manuales!$H$31="Todos",'Plan mensual'!G86,0)))*parametros_manuales!$I$31*parametros_manuales!$J$31</f>
        <v>17104.67</v>
      </c>
      <c r="F210" s="8">
        <f>(parametros_manuales!$D$31*('Plan mensual'!H79+IF(parametros_manuales!$H$31="Todos",'Plan mensual'!H83,0))+parametros_manuales!$E$31*('Plan mensual'!H80+IF(parametros_manuales!$H$31="Todos",'Plan mensual'!H84,0))+parametros_manuales!$F$31*('Plan mensual'!H81+IF(parametros_manuales!$H$31="Todos",'Plan mensual'!H85,0))+parametros_manuales!$G$31*('Plan mensual'!H82+IF(parametros_manuales!$H$31="Todos",'Plan mensual'!H86,0)))*parametros_manuales!$I$31*parametros_manuales!$J$31</f>
        <v>16006.67</v>
      </c>
      <c r="G210" s="8">
        <f>(parametros_manuales!$D$31*('Plan mensual'!I79+IF(parametros_manuales!$H$31="Todos",'Plan mensual'!I83,0))+parametros_manuales!$E$31*('Plan mensual'!I80+IF(parametros_manuales!$H$31="Todos",'Plan mensual'!I84,0))+parametros_manuales!$F$31*('Plan mensual'!I81+IF(parametros_manuales!$H$31="Todos",'Plan mensual'!I85,0))+parametros_manuales!$G$31*('Plan mensual'!I82+IF(parametros_manuales!$H$31="Todos",'Plan mensual'!I86,0)))*parametros_manuales!$I$31*parametros_manuales!$J$31</f>
        <v>15689.335</v>
      </c>
      <c r="H210" s="8">
        <f>(parametros_manuales!$D$31*('Plan mensual'!J79+IF(parametros_manuales!$H$31="Todos",'Plan mensual'!J83,0))+parametros_manuales!$E$31*('Plan mensual'!J80+IF(parametros_manuales!$H$31="Todos",'Plan mensual'!J84,0))+parametros_manuales!$F$31*('Plan mensual'!J81+IF(parametros_manuales!$H$31="Todos",'Plan mensual'!J85,0))+parametros_manuales!$G$31*('Plan mensual'!J82+IF(parametros_manuales!$H$31="Todos",'Plan mensual'!J86,0)))*parametros_manuales!$I$31*parametros_manuales!$J$31</f>
        <v>16787.335</v>
      </c>
      <c r="I210" s="8">
        <f>(parametros_manuales!$D$31*('Plan mensual'!K79+IF(parametros_manuales!$H$31="Todos",'Plan mensual'!K83,0))+parametros_manuales!$E$31*('Plan mensual'!K80+IF(parametros_manuales!$H$31="Todos",'Plan mensual'!K84,0))+parametros_manuales!$F$31*('Plan mensual'!K81+IF(parametros_manuales!$H$31="Todos",'Plan mensual'!K85,0))+parametros_manuales!$G$31*('Plan mensual'!K82+IF(parametros_manuales!$H$31="Todos",'Plan mensual'!K86,0)))*parametros_manuales!$I$31*parametros_manuales!$J$31</f>
        <v>16787.335</v>
      </c>
      <c r="J210" s="8">
        <f>(parametros_manuales!$D$31*('Plan mensual'!L79+IF(parametros_manuales!$H$31="Todos",'Plan mensual'!L83,0))+parametros_manuales!$E$31*('Plan mensual'!L80+IF(parametros_manuales!$H$31="Todos",'Plan mensual'!L84,0))+parametros_manuales!$F$31*('Plan mensual'!L81+IF(parametros_manuales!$H$31="Todos",'Plan mensual'!L85,0))+parametros_manuales!$G$31*('Plan mensual'!L82+IF(parametros_manuales!$H$31="Todos",'Plan mensual'!L86,0)))*parametros_manuales!$I$31*parametros_manuales!$J$31</f>
        <v>16787.335</v>
      </c>
      <c r="K210" s="8">
        <f>(parametros_manuales!$D$31*('Plan mensual'!M79+IF(parametros_manuales!$H$31="Todos",'Plan mensual'!M83,0))+parametros_manuales!$E$31*('Plan mensual'!M80+IF(parametros_manuales!$H$31="Todos",'Plan mensual'!M84,0))+parametros_manuales!$F$31*('Plan mensual'!M81+IF(parametros_manuales!$H$31="Todos",'Plan mensual'!M85,0))+parametros_manuales!$G$31*('Plan mensual'!M82+IF(parametros_manuales!$H$31="Todos",'Plan mensual'!M86,0)))*parametros_manuales!$I$31*parametros_manuales!$J$31</f>
        <v>16470</v>
      </c>
      <c r="L210" s="8">
        <f>(parametros_manuales!$D$31*('Plan mensual'!N79+IF(parametros_manuales!$H$31="Todos",'Plan mensual'!N83,0))+parametros_manuales!$E$31*('Plan mensual'!N80+IF(parametros_manuales!$H$31="Todos",'Plan mensual'!N84,0))+parametros_manuales!$F$31*('Plan mensual'!N81+IF(parametros_manuales!$H$31="Todos",'Plan mensual'!N85,0))+parametros_manuales!$G$31*('Plan mensual'!N82+IF(parametros_manuales!$H$31="Todos",'Plan mensual'!N86,0)))*parametros_manuales!$I$31*parametros_manuales!$J$31</f>
        <v>16152.665</v>
      </c>
      <c r="M210" s="8">
        <f>(parametros_manuales!$D$31*('Plan mensual'!O79+IF(parametros_manuales!$H$31="Todos",'Plan mensual'!O83,0))+parametros_manuales!$E$31*('Plan mensual'!O80+IF(parametros_manuales!$H$31="Todos",'Plan mensual'!O84,0))+parametros_manuales!$F$31*('Plan mensual'!O81+IF(parametros_manuales!$H$31="Todos",'Plan mensual'!O85,0))+parametros_manuales!$G$31*('Plan mensual'!O82+IF(parametros_manuales!$H$31="Todos",'Plan mensual'!O86,0)))*parametros_manuales!$I$31*parametros_manuales!$J$31</f>
        <v>25717.33</v>
      </c>
      <c r="N210" s="8">
        <f t="shared" si="22"/>
        <v>219600</v>
      </c>
      <c r="O210" s="8">
        <f t="shared" si="23"/>
        <v>25717.33</v>
      </c>
      <c r="P210" s="27">
        <f>O210/(parametros_manuales!$B$7)</f>
        <v>171.4488667</v>
      </c>
      <c r="Q210" s="4" t="str">
        <f t="shared" si="24"/>
        <v>Dic</v>
      </c>
    </row>
    <row r="211" ht="14.25" customHeight="1">
      <c r="A211" s="4" t="str">
        <f>parametros_manuales!$B$32</f>
        <v>Control de calidad — Espesor</v>
      </c>
      <c r="B211" s="8">
        <f>(parametros_manuales!$D$32*('Plan mensual'!D79+IF(parametros_manuales!$H$32="Todos",'Plan mensual'!D83,0))+parametros_manuales!$E$32*('Plan mensual'!D80+IF(parametros_manuales!$H$32="Todos",'Plan mensual'!D84,0))+parametros_manuales!$F$32*('Plan mensual'!D81+IF(parametros_manuales!$H$32="Todos",'Plan mensual'!D85,0))+parametros_manuales!$G$32*('Plan mensual'!D82+IF(parametros_manuales!$H$32="Todos",'Plan mensual'!D86,0)))*parametros_manuales!$I$32*parametros_manuales!$J$32</f>
        <v>501.6532</v>
      </c>
      <c r="C211" s="8">
        <f>(parametros_manuales!$D$32*('Plan mensual'!E79+IF(parametros_manuales!$H$32="Todos",'Plan mensual'!E83,0))+parametros_manuales!$E$32*('Plan mensual'!E80+IF(parametros_manuales!$H$32="Todos",'Plan mensual'!E84,0))+parametros_manuales!$F$32*('Plan mensual'!E81+IF(parametros_manuales!$H$32="Todos",'Plan mensual'!E85,0))+parametros_manuales!$G$32*('Plan mensual'!E82+IF(parametros_manuales!$H$32="Todos",'Plan mensual'!E86,0)))*parametros_manuales!$I$32*parametros_manuales!$J$32</f>
        <v>382.5866</v>
      </c>
      <c r="D211" s="8">
        <f>(parametros_manuales!$D$32*('Plan mensual'!F79+IF(parametros_manuales!$H$32="Todos",'Plan mensual'!F83,0))+parametros_manuales!$E$32*('Plan mensual'!F80+IF(parametros_manuales!$H$32="Todos",'Plan mensual'!F84,0))+parametros_manuales!$F$32*('Plan mensual'!F81+IF(parametros_manuales!$H$32="Todos",'Plan mensual'!F85,0))+parametros_manuales!$G$32*('Plan mensual'!F82+IF(parametros_manuales!$H$32="Todos",'Plan mensual'!F86,0)))*parametros_manuales!$I$32*parametros_manuales!$J$32</f>
        <v>357.7067</v>
      </c>
      <c r="E211" s="8">
        <f>(parametros_manuales!$D$32*('Plan mensual'!G79+IF(parametros_manuales!$H$32="Todos",'Plan mensual'!G83,0))+parametros_manuales!$E$32*('Plan mensual'!G80+IF(parametros_manuales!$H$32="Todos",'Plan mensual'!G84,0))+parametros_manuales!$F$32*('Plan mensual'!G81+IF(parametros_manuales!$H$32="Todos",'Plan mensual'!G85,0))+parametros_manuales!$G$32*('Plan mensual'!G82+IF(parametros_manuales!$H$32="Todos",'Plan mensual'!G86,0)))*parametros_manuales!$I$32*parametros_manuales!$J$32</f>
        <v>342.0934</v>
      </c>
      <c r="F211" s="8">
        <f>(parametros_manuales!$D$32*('Plan mensual'!H79+IF(parametros_manuales!$H$32="Todos",'Plan mensual'!H83,0))+parametros_manuales!$E$32*('Plan mensual'!H80+IF(parametros_manuales!$H$32="Todos",'Plan mensual'!H84,0))+parametros_manuales!$F$32*('Plan mensual'!H81+IF(parametros_manuales!$H$32="Todos",'Plan mensual'!H85,0))+parametros_manuales!$G$32*('Plan mensual'!H82+IF(parametros_manuales!$H$32="Todos",'Plan mensual'!H86,0)))*parametros_manuales!$I$32*parametros_manuales!$J$32</f>
        <v>320.1334</v>
      </c>
      <c r="G211" s="8">
        <f>(parametros_manuales!$D$32*('Plan mensual'!I79+IF(parametros_manuales!$H$32="Todos",'Plan mensual'!I83,0))+parametros_manuales!$E$32*('Plan mensual'!I80+IF(parametros_manuales!$H$32="Todos",'Plan mensual'!I84,0))+parametros_manuales!$F$32*('Plan mensual'!I81+IF(parametros_manuales!$H$32="Todos",'Plan mensual'!I85,0))+parametros_manuales!$G$32*('Plan mensual'!I82+IF(parametros_manuales!$H$32="Todos",'Plan mensual'!I86,0)))*parametros_manuales!$I$32*parametros_manuales!$J$32</f>
        <v>313.7867</v>
      </c>
      <c r="H211" s="8">
        <f>(parametros_manuales!$D$32*('Plan mensual'!J79+IF(parametros_manuales!$H$32="Todos",'Plan mensual'!J83,0))+parametros_manuales!$E$32*('Plan mensual'!J80+IF(parametros_manuales!$H$32="Todos",'Plan mensual'!J84,0))+parametros_manuales!$F$32*('Plan mensual'!J81+IF(parametros_manuales!$H$32="Todos",'Plan mensual'!J85,0))+parametros_manuales!$G$32*('Plan mensual'!J82+IF(parametros_manuales!$H$32="Todos",'Plan mensual'!J86,0)))*parametros_manuales!$I$32*parametros_manuales!$J$32</f>
        <v>335.7467</v>
      </c>
      <c r="I211" s="8">
        <f>(parametros_manuales!$D$32*('Plan mensual'!K79+IF(parametros_manuales!$H$32="Todos",'Plan mensual'!K83,0))+parametros_manuales!$E$32*('Plan mensual'!K80+IF(parametros_manuales!$H$32="Todos",'Plan mensual'!K84,0))+parametros_manuales!$F$32*('Plan mensual'!K81+IF(parametros_manuales!$H$32="Todos",'Plan mensual'!K85,0))+parametros_manuales!$G$32*('Plan mensual'!K82+IF(parametros_manuales!$H$32="Todos",'Plan mensual'!K86,0)))*parametros_manuales!$I$32*parametros_manuales!$J$32</f>
        <v>335.7467</v>
      </c>
      <c r="J211" s="8">
        <f>(parametros_manuales!$D$32*('Plan mensual'!L79+IF(parametros_manuales!$H$32="Todos",'Plan mensual'!L83,0))+parametros_manuales!$E$32*('Plan mensual'!L80+IF(parametros_manuales!$H$32="Todos",'Plan mensual'!L84,0))+parametros_manuales!$F$32*('Plan mensual'!L81+IF(parametros_manuales!$H$32="Todos",'Plan mensual'!L85,0))+parametros_manuales!$G$32*('Plan mensual'!L82+IF(parametros_manuales!$H$32="Todos",'Plan mensual'!L86,0)))*parametros_manuales!$I$32*parametros_manuales!$J$32</f>
        <v>335.7467</v>
      </c>
      <c r="K211" s="8">
        <f>(parametros_manuales!$D$32*('Plan mensual'!M79+IF(parametros_manuales!$H$32="Todos",'Plan mensual'!M83,0))+parametros_manuales!$E$32*('Plan mensual'!M80+IF(parametros_manuales!$H$32="Todos",'Plan mensual'!M84,0))+parametros_manuales!$F$32*('Plan mensual'!M81+IF(parametros_manuales!$H$32="Todos",'Plan mensual'!M85,0))+parametros_manuales!$G$32*('Plan mensual'!M82+IF(parametros_manuales!$H$32="Todos",'Plan mensual'!M86,0)))*parametros_manuales!$I$32*parametros_manuales!$J$32</f>
        <v>329.4</v>
      </c>
      <c r="L211" s="8">
        <f>(parametros_manuales!$D$32*('Plan mensual'!N79+IF(parametros_manuales!$H$32="Todos",'Plan mensual'!N83,0))+parametros_manuales!$E$32*('Plan mensual'!N80+IF(parametros_manuales!$H$32="Todos",'Plan mensual'!N84,0))+parametros_manuales!$F$32*('Plan mensual'!N81+IF(parametros_manuales!$H$32="Todos",'Plan mensual'!N85,0))+parametros_manuales!$G$32*('Plan mensual'!N82+IF(parametros_manuales!$H$32="Todos",'Plan mensual'!N86,0)))*parametros_manuales!$I$32*parametros_manuales!$J$32</f>
        <v>323.0533</v>
      </c>
      <c r="M211" s="8">
        <f>(parametros_manuales!$D$32*('Plan mensual'!O79+IF(parametros_manuales!$H$32="Todos",'Plan mensual'!O83,0))+parametros_manuales!$E$32*('Plan mensual'!O80+IF(parametros_manuales!$H$32="Todos",'Plan mensual'!O84,0))+parametros_manuales!$F$32*('Plan mensual'!O81+IF(parametros_manuales!$H$32="Todos",'Plan mensual'!O85,0))+parametros_manuales!$G$32*('Plan mensual'!O82+IF(parametros_manuales!$H$32="Todos",'Plan mensual'!O86,0)))*parametros_manuales!$I$32*parametros_manuales!$J$32</f>
        <v>514.3466</v>
      </c>
      <c r="N211" s="8">
        <f t="shared" si="22"/>
        <v>4392</v>
      </c>
      <c r="O211" s="8">
        <f t="shared" si="23"/>
        <v>514.3466</v>
      </c>
      <c r="P211" s="27">
        <f>O211/(parametros_manuales!$B$7)</f>
        <v>3.428977333</v>
      </c>
      <c r="Q211" s="4" t="str">
        <f t="shared" si="24"/>
        <v>Dic</v>
      </c>
    </row>
    <row r="212" ht="14.25" customHeight="1">
      <c r="A212" s="4" t="str">
        <f>parametros_manuales!$B$33</f>
        <v>Prueba hidráulica</v>
      </c>
      <c r="B212" s="8">
        <f>(parametros_manuales!$D$33*('Plan mensual'!D79+IF(parametros_manuales!$H$33="Todos",'Plan mensual'!D83,0))+parametros_manuales!$E$33*('Plan mensual'!D80+IF(parametros_manuales!$H$33="Todos",'Plan mensual'!D84,0))+parametros_manuales!$F$33*('Plan mensual'!D81+IF(parametros_manuales!$H$33="Todos",'Plan mensual'!D85,0))+parametros_manuales!$G$33*('Plan mensual'!D82+IF(parametros_manuales!$H$33="Todos",'Plan mensual'!D86,0)))*parametros_manuales!$I$33*parametros_manuales!$J$33</f>
        <v>25082.66</v>
      </c>
      <c r="C212" s="8">
        <f>(parametros_manuales!$D$33*('Plan mensual'!E79+IF(parametros_manuales!$H$33="Todos",'Plan mensual'!E83,0))+parametros_manuales!$E$33*('Plan mensual'!E80+IF(parametros_manuales!$H$33="Todos",'Plan mensual'!E84,0))+parametros_manuales!$F$33*('Plan mensual'!E81+IF(parametros_manuales!$H$33="Todos",'Plan mensual'!E85,0))+parametros_manuales!$G$33*('Plan mensual'!E82+IF(parametros_manuales!$H$33="Todos",'Plan mensual'!E86,0)))*parametros_manuales!$I$33*parametros_manuales!$J$33</f>
        <v>19129.33</v>
      </c>
      <c r="D212" s="8">
        <f>(parametros_manuales!$D$33*('Plan mensual'!F79+IF(parametros_manuales!$H$33="Todos",'Plan mensual'!F83,0))+parametros_manuales!$E$33*('Plan mensual'!F80+IF(parametros_manuales!$H$33="Todos",'Plan mensual'!F84,0))+parametros_manuales!$F$33*('Plan mensual'!F81+IF(parametros_manuales!$H$33="Todos",'Plan mensual'!F85,0))+parametros_manuales!$G$33*('Plan mensual'!F82+IF(parametros_manuales!$H$33="Todos",'Plan mensual'!F86,0)))*parametros_manuales!$I$33*parametros_manuales!$J$33</f>
        <v>17885.335</v>
      </c>
      <c r="E212" s="8">
        <f>(parametros_manuales!$D$33*('Plan mensual'!G79+IF(parametros_manuales!$H$33="Todos",'Plan mensual'!G83,0))+parametros_manuales!$E$33*('Plan mensual'!G80+IF(parametros_manuales!$H$33="Todos",'Plan mensual'!G84,0))+parametros_manuales!$F$33*('Plan mensual'!G81+IF(parametros_manuales!$H$33="Todos",'Plan mensual'!G85,0))+parametros_manuales!$G$33*('Plan mensual'!G82+IF(parametros_manuales!$H$33="Todos",'Plan mensual'!G86,0)))*parametros_manuales!$I$33*parametros_manuales!$J$33</f>
        <v>17104.67</v>
      </c>
      <c r="F212" s="8">
        <f>(parametros_manuales!$D$33*('Plan mensual'!H79+IF(parametros_manuales!$H$33="Todos",'Plan mensual'!H83,0))+parametros_manuales!$E$33*('Plan mensual'!H80+IF(parametros_manuales!$H$33="Todos",'Plan mensual'!H84,0))+parametros_manuales!$F$33*('Plan mensual'!H81+IF(parametros_manuales!$H$33="Todos",'Plan mensual'!H85,0))+parametros_manuales!$G$33*('Plan mensual'!H82+IF(parametros_manuales!$H$33="Todos",'Plan mensual'!H86,0)))*parametros_manuales!$I$33*parametros_manuales!$J$33</f>
        <v>16006.67</v>
      </c>
      <c r="G212" s="8">
        <f>(parametros_manuales!$D$33*('Plan mensual'!I79+IF(parametros_manuales!$H$33="Todos",'Plan mensual'!I83,0))+parametros_manuales!$E$33*('Plan mensual'!I80+IF(parametros_manuales!$H$33="Todos",'Plan mensual'!I84,0))+parametros_manuales!$F$33*('Plan mensual'!I81+IF(parametros_manuales!$H$33="Todos",'Plan mensual'!I85,0))+parametros_manuales!$G$33*('Plan mensual'!I82+IF(parametros_manuales!$H$33="Todos",'Plan mensual'!I86,0)))*parametros_manuales!$I$33*parametros_manuales!$J$33</f>
        <v>15689.335</v>
      </c>
      <c r="H212" s="8">
        <f>(parametros_manuales!$D$33*('Plan mensual'!J79+IF(parametros_manuales!$H$33="Todos",'Plan mensual'!J83,0))+parametros_manuales!$E$33*('Plan mensual'!J80+IF(parametros_manuales!$H$33="Todos",'Plan mensual'!J84,0))+parametros_manuales!$F$33*('Plan mensual'!J81+IF(parametros_manuales!$H$33="Todos",'Plan mensual'!J85,0))+parametros_manuales!$G$33*('Plan mensual'!J82+IF(parametros_manuales!$H$33="Todos",'Plan mensual'!J86,0)))*parametros_manuales!$I$33*parametros_manuales!$J$33</f>
        <v>16787.335</v>
      </c>
      <c r="I212" s="8">
        <f>(parametros_manuales!$D$33*('Plan mensual'!K79+IF(parametros_manuales!$H$33="Todos",'Plan mensual'!K83,0))+parametros_manuales!$E$33*('Plan mensual'!K80+IF(parametros_manuales!$H$33="Todos",'Plan mensual'!K84,0))+parametros_manuales!$F$33*('Plan mensual'!K81+IF(parametros_manuales!$H$33="Todos",'Plan mensual'!K85,0))+parametros_manuales!$G$33*('Plan mensual'!K82+IF(parametros_manuales!$H$33="Todos",'Plan mensual'!K86,0)))*parametros_manuales!$I$33*parametros_manuales!$J$33</f>
        <v>16787.335</v>
      </c>
      <c r="J212" s="8">
        <f>(parametros_manuales!$D$33*('Plan mensual'!L79+IF(parametros_manuales!$H$33="Todos",'Plan mensual'!L83,0))+parametros_manuales!$E$33*('Plan mensual'!L80+IF(parametros_manuales!$H$33="Todos",'Plan mensual'!L84,0))+parametros_manuales!$F$33*('Plan mensual'!L81+IF(parametros_manuales!$H$33="Todos",'Plan mensual'!L85,0))+parametros_manuales!$G$33*('Plan mensual'!L82+IF(parametros_manuales!$H$33="Todos",'Plan mensual'!L86,0)))*parametros_manuales!$I$33*parametros_manuales!$J$33</f>
        <v>16787.335</v>
      </c>
      <c r="K212" s="8">
        <f>(parametros_manuales!$D$33*('Plan mensual'!M79+IF(parametros_manuales!$H$33="Todos",'Plan mensual'!M83,0))+parametros_manuales!$E$33*('Plan mensual'!M80+IF(parametros_manuales!$H$33="Todos",'Plan mensual'!M84,0))+parametros_manuales!$F$33*('Plan mensual'!M81+IF(parametros_manuales!$H$33="Todos",'Plan mensual'!M85,0))+parametros_manuales!$G$33*('Plan mensual'!M82+IF(parametros_manuales!$H$33="Todos",'Plan mensual'!M86,0)))*parametros_manuales!$I$33*parametros_manuales!$J$33</f>
        <v>16470</v>
      </c>
      <c r="L212" s="8">
        <f>(parametros_manuales!$D$33*('Plan mensual'!N79+IF(parametros_manuales!$H$33="Todos",'Plan mensual'!N83,0))+parametros_manuales!$E$33*('Plan mensual'!N80+IF(parametros_manuales!$H$33="Todos",'Plan mensual'!N84,0))+parametros_manuales!$F$33*('Plan mensual'!N81+IF(parametros_manuales!$H$33="Todos",'Plan mensual'!N85,0))+parametros_manuales!$G$33*('Plan mensual'!N82+IF(parametros_manuales!$H$33="Todos",'Plan mensual'!N86,0)))*parametros_manuales!$I$33*parametros_manuales!$J$33</f>
        <v>16152.665</v>
      </c>
      <c r="M212" s="8">
        <f>(parametros_manuales!$D$33*('Plan mensual'!O79+IF(parametros_manuales!$H$33="Todos",'Plan mensual'!O83,0))+parametros_manuales!$E$33*('Plan mensual'!O80+IF(parametros_manuales!$H$33="Todos",'Plan mensual'!O84,0))+parametros_manuales!$F$33*('Plan mensual'!O81+IF(parametros_manuales!$H$33="Todos",'Plan mensual'!O85,0))+parametros_manuales!$G$33*('Plan mensual'!O82+IF(parametros_manuales!$H$33="Todos",'Plan mensual'!O86,0)))*parametros_manuales!$I$33*parametros_manuales!$J$33</f>
        <v>25717.33</v>
      </c>
      <c r="N212" s="8">
        <f t="shared" si="22"/>
        <v>219600</v>
      </c>
      <c r="O212" s="8">
        <f t="shared" si="23"/>
        <v>25717.33</v>
      </c>
      <c r="P212" s="27">
        <f>O212/(parametros_manuales!$B$7)</f>
        <v>171.4488667</v>
      </c>
      <c r="Q212" s="4" t="str">
        <f t="shared" si="24"/>
        <v>Dic</v>
      </c>
    </row>
    <row r="213" ht="14.25" customHeight="1">
      <c r="A213" s="4" t="str">
        <f>parametros_manuales!$B$34</f>
        <v>Secado</v>
      </c>
      <c r="B213" s="8">
        <f>(parametros_manuales!$D$34*('Plan mensual'!D79+IF(parametros_manuales!$H$34="Todos",'Plan mensual'!D83,0))+parametros_manuales!$E$34*('Plan mensual'!D80+IF(parametros_manuales!$H$34="Todos",'Plan mensual'!D84,0))+parametros_manuales!$F$34*('Plan mensual'!D81+IF(parametros_manuales!$H$34="Todos",'Plan mensual'!D85,0))+parametros_manuales!$G$34*('Plan mensual'!D82+IF(parametros_manuales!$H$34="Todos",'Plan mensual'!D86,0)))*parametros_manuales!$I$34*parametros_manuales!$J$34</f>
        <v>25082.66</v>
      </c>
      <c r="C213" s="8">
        <f>(parametros_manuales!$D$34*('Plan mensual'!E79+IF(parametros_manuales!$H$34="Todos",'Plan mensual'!E83,0))+parametros_manuales!$E$34*('Plan mensual'!E80+IF(parametros_manuales!$H$34="Todos",'Plan mensual'!E84,0))+parametros_manuales!$F$34*('Plan mensual'!E81+IF(parametros_manuales!$H$34="Todos",'Plan mensual'!E85,0))+parametros_manuales!$G$34*('Plan mensual'!E82+IF(parametros_manuales!$H$34="Todos",'Plan mensual'!E86,0)))*parametros_manuales!$I$34*parametros_manuales!$J$34</f>
        <v>19129.33</v>
      </c>
      <c r="D213" s="8">
        <f>(parametros_manuales!$D$34*('Plan mensual'!F79+IF(parametros_manuales!$H$34="Todos",'Plan mensual'!F83,0))+parametros_manuales!$E$34*('Plan mensual'!F80+IF(parametros_manuales!$H$34="Todos",'Plan mensual'!F84,0))+parametros_manuales!$F$34*('Plan mensual'!F81+IF(parametros_manuales!$H$34="Todos",'Plan mensual'!F85,0))+parametros_manuales!$G$34*('Plan mensual'!F82+IF(parametros_manuales!$H$34="Todos",'Plan mensual'!F86,0)))*parametros_manuales!$I$34*parametros_manuales!$J$34</f>
        <v>17885.335</v>
      </c>
      <c r="E213" s="8">
        <f>(parametros_manuales!$D$34*('Plan mensual'!G79+IF(parametros_manuales!$H$34="Todos",'Plan mensual'!G83,0))+parametros_manuales!$E$34*('Plan mensual'!G80+IF(parametros_manuales!$H$34="Todos",'Plan mensual'!G84,0))+parametros_manuales!$F$34*('Plan mensual'!G81+IF(parametros_manuales!$H$34="Todos",'Plan mensual'!G85,0))+parametros_manuales!$G$34*('Plan mensual'!G82+IF(parametros_manuales!$H$34="Todos",'Plan mensual'!G86,0)))*parametros_manuales!$I$34*parametros_manuales!$J$34</f>
        <v>17104.67</v>
      </c>
      <c r="F213" s="8">
        <f>(parametros_manuales!$D$34*('Plan mensual'!H79+IF(parametros_manuales!$H$34="Todos",'Plan mensual'!H83,0))+parametros_manuales!$E$34*('Plan mensual'!H80+IF(parametros_manuales!$H$34="Todos",'Plan mensual'!H84,0))+parametros_manuales!$F$34*('Plan mensual'!H81+IF(parametros_manuales!$H$34="Todos",'Plan mensual'!H85,0))+parametros_manuales!$G$34*('Plan mensual'!H82+IF(parametros_manuales!$H$34="Todos",'Plan mensual'!H86,0)))*parametros_manuales!$I$34*parametros_manuales!$J$34</f>
        <v>16006.67</v>
      </c>
      <c r="G213" s="8">
        <f>(parametros_manuales!$D$34*('Plan mensual'!I79+IF(parametros_manuales!$H$34="Todos",'Plan mensual'!I83,0))+parametros_manuales!$E$34*('Plan mensual'!I80+IF(parametros_manuales!$H$34="Todos",'Plan mensual'!I84,0))+parametros_manuales!$F$34*('Plan mensual'!I81+IF(parametros_manuales!$H$34="Todos",'Plan mensual'!I85,0))+parametros_manuales!$G$34*('Plan mensual'!I82+IF(parametros_manuales!$H$34="Todos",'Plan mensual'!I86,0)))*parametros_manuales!$I$34*parametros_manuales!$J$34</f>
        <v>15689.335</v>
      </c>
      <c r="H213" s="8">
        <f>(parametros_manuales!$D$34*('Plan mensual'!J79+IF(parametros_manuales!$H$34="Todos",'Plan mensual'!J83,0))+parametros_manuales!$E$34*('Plan mensual'!J80+IF(parametros_manuales!$H$34="Todos",'Plan mensual'!J84,0))+parametros_manuales!$F$34*('Plan mensual'!J81+IF(parametros_manuales!$H$34="Todos",'Plan mensual'!J85,0))+parametros_manuales!$G$34*('Plan mensual'!J82+IF(parametros_manuales!$H$34="Todos",'Plan mensual'!J86,0)))*parametros_manuales!$I$34*parametros_manuales!$J$34</f>
        <v>16787.335</v>
      </c>
      <c r="I213" s="8">
        <f>(parametros_manuales!$D$34*('Plan mensual'!K79+IF(parametros_manuales!$H$34="Todos",'Plan mensual'!K83,0))+parametros_manuales!$E$34*('Plan mensual'!K80+IF(parametros_manuales!$H$34="Todos",'Plan mensual'!K84,0))+parametros_manuales!$F$34*('Plan mensual'!K81+IF(parametros_manuales!$H$34="Todos",'Plan mensual'!K85,0))+parametros_manuales!$G$34*('Plan mensual'!K82+IF(parametros_manuales!$H$34="Todos",'Plan mensual'!K86,0)))*parametros_manuales!$I$34*parametros_manuales!$J$34</f>
        <v>16787.335</v>
      </c>
      <c r="J213" s="8">
        <f>(parametros_manuales!$D$34*('Plan mensual'!L79+IF(parametros_manuales!$H$34="Todos",'Plan mensual'!L83,0))+parametros_manuales!$E$34*('Plan mensual'!L80+IF(parametros_manuales!$H$34="Todos",'Plan mensual'!L84,0))+parametros_manuales!$F$34*('Plan mensual'!L81+IF(parametros_manuales!$H$34="Todos",'Plan mensual'!L85,0))+parametros_manuales!$G$34*('Plan mensual'!L82+IF(parametros_manuales!$H$34="Todos",'Plan mensual'!L86,0)))*parametros_manuales!$I$34*parametros_manuales!$J$34</f>
        <v>16787.335</v>
      </c>
      <c r="K213" s="8">
        <f>(parametros_manuales!$D$34*('Plan mensual'!M79+IF(parametros_manuales!$H$34="Todos",'Plan mensual'!M83,0))+parametros_manuales!$E$34*('Plan mensual'!M80+IF(parametros_manuales!$H$34="Todos",'Plan mensual'!M84,0))+parametros_manuales!$F$34*('Plan mensual'!M81+IF(parametros_manuales!$H$34="Todos",'Plan mensual'!M85,0))+parametros_manuales!$G$34*('Plan mensual'!M82+IF(parametros_manuales!$H$34="Todos",'Plan mensual'!M86,0)))*parametros_manuales!$I$34*parametros_manuales!$J$34</f>
        <v>16470</v>
      </c>
      <c r="L213" s="8">
        <f>(parametros_manuales!$D$34*('Plan mensual'!N79+IF(parametros_manuales!$H$34="Todos",'Plan mensual'!N83,0))+parametros_manuales!$E$34*('Plan mensual'!N80+IF(parametros_manuales!$H$34="Todos",'Plan mensual'!N84,0))+parametros_manuales!$F$34*('Plan mensual'!N81+IF(parametros_manuales!$H$34="Todos",'Plan mensual'!N85,0))+parametros_manuales!$G$34*('Plan mensual'!N82+IF(parametros_manuales!$H$34="Todos",'Plan mensual'!N86,0)))*parametros_manuales!$I$34*parametros_manuales!$J$34</f>
        <v>16152.665</v>
      </c>
      <c r="M213" s="8">
        <f>(parametros_manuales!$D$34*('Plan mensual'!O79+IF(parametros_manuales!$H$34="Todos",'Plan mensual'!O83,0))+parametros_manuales!$E$34*('Plan mensual'!O80+IF(parametros_manuales!$H$34="Todos",'Plan mensual'!O84,0))+parametros_manuales!$F$34*('Plan mensual'!O81+IF(parametros_manuales!$H$34="Todos",'Plan mensual'!O85,0))+parametros_manuales!$G$34*('Plan mensual'!O82+IF(parametros_manuales!$H$34="Todos",'Plan mensual'!O86,0)))*parametros_manuales!$I$34*parametros_manuales!$J$34</f>
        <v>25717.33</v>
      </c>
      <c r="N213" s="8">
        <f t="shared" si="22"/>
        <v>219600</v>
      </c>
      <c r="O213" s="8">
        <f t="shared" si="23"/>
        <v>25717.33</v>
      </c>
      <c r="P213" s="27">
        <f>O213/(parametros_manuales!$B$7)</f>
        <v>171.4488667</v>
      </c>
      <c r="Q213" s="4" t="str">
        <f t="shared" si="24"/>
        <v>Dic</v>
      </c>
    </row>
    <row r="214" ht="14.25" customHeight="1">
      <c r="A214" s="4" t="str">
        <f>parametros_manuales!$B$35</f>
        <v>Granallado</v>
      </c>
      <c r="B214" s="8">
        <f>(parametros_manuales!$D$35*('Plan mensual'!D79+IF(parametros_manuales!$H$35="Todos",'Plan mensual'!D83,0))+parametros_manuales!$E$35*('Plan mensual'!D80+IF(parametros_manuales!$H$35="Todos",'Plan mensual'!D84,0))+parametros_manuales!$F$35*('Plan mensual'!D81+IF(parametros_manuales!$H$35="Todos",'Plan mensual'!D85,0))+parametros_manuales!$G$35*('Plan mensual'!D82+IF(parametros_manuales!$H$35="Todos",'Plan mensual'!D86,0)))*parametros_manuales!$I$35*parametros_manuales!$J$35</f>
        <v>25082.66</v>
      </c>
      <c r="C214" s="8">
        <f>(parametros_manuales!$D$35*('Plan mensual'!E79+IF(parametros_manuales!$H$35="Todos",'Plan mensual'!E83,0))+parametros_manuales!$E$35*('Plan mensual'!E80+IF(parametros_manuales!$H$35="Todos",'Plan mensual'!E84,0))+parametros_manuales!$F$35*('Plan mensual'!E81+IF(parametros_manuales!$H$35="Todos",'Plan mensual'!E85,0))+parametros_manuales!$G$35*('Plan mensual'!E82+IF(parametros_manuales!$H$35="Todos",'Plan mensual'!E86,0)))*parametros_manuales!$I$35*parametros_manuales!$J$35</f>
        <v>19129.33</v>
      </c>
      <c r="D214" s="8">
        <f>(parametros_manuales!$D$35*('Plan mensual'!F79+IF(parametros_manuales!$H$35="Todos",'Plan mensual'!F83,0))+parametros_manuales!$E$35*('Plan mensual'!F80+IF(parametros_manuales!$H$35="Todos",'Plan mensual'!F84,0))+parametros_manuales!$F$35*('Plan mensual'!F81+IF(parametros_manuales!$H$35="Todos",'Plan mensual'!F85,0))+parametros_manuales!$G$35*('Plan mensual'!F82+IF(parametros_manuales!$H$35="Todos",'Plan mensual'!F86,0)))*parametros_manuales!$I$35*parametros_manuales!$J$35</f>
        <v>17885.335</v>
      </c>
      <c r="E214" s="8">
        <f>(parametros_manuales!$D$35*('Plan mensual'!G79+IF(parametros_manuales!$H$35="Todos",'Plan mensual'!G83,0))+parametros_manuales!$E$35*('Plan mensual'!G80+IF(parametros_manuales!$H$35="Todos",'Plan mensual'!G84,0))+parametros_manuales!$F$35*('Plan mensual'!G81+IF(parametros_manuales!$H$35="Todos",'Plan mensual'!G85,0))+parametros_manuales!$G$35*('Plan mensual'!G82+IF(parametros_manuales!$H$35="Todos",'Plan mensual'!G86,0)))*parametros_manuales!$I$35*parametros_manuales!$J$35</f>
        <v>17104.67</v>
      </c>
      <c r="F214" s="8">
        <f>(parametros_manuales!$D$35*('Plan mensual'!H79+IF(parametros_manuales!$H$35="Todos",'Plan mensual'!H83,0))+parametros_manuales!$E$35*('Plan mensual'!H80+IF(parametros_manuales!$H$35="Todos",'Plan mensual'!H84,0))+parametros_manuales!$F$35*('Plan mensual'!H81+IF(parametros_manuales!$H$35="Todos",'Plan mensual'!H85,0))+parametros_manuales!$G$35*('Plan mensual'!H82+IF(parametros_manuales!$H$35="Todos",'Plan mensual'!H86,0)))*parametros_manuales!$I$35*parametros_manuales!$J$35</f>
        <v>16006.67</v>
      </c>
      <c r="G214" s="8">
        <f>(parametros_manuales!$D$35*('Plan mensual'!I79+IF(parametros_manuales!$H$35="Todos",'Plan mensual'!I83,0))+parametros_manuales!$E$35*('Plan mensual'!I80+IF(parametros_manuales!$H$35="Todos",'Plan mensual'!I84,0))+parametros_manuales!$F$35*('Plan mensual'!I81+IF(parametros_manuales!$H$35="Todos",'Plan mensual'!I85,0))+parametros_manuales!$G$35*('Plan mensual'!I82+IF(parametros_manuales!$H$35="Todos",'Plan mensual'!I86,0)))*parametros_manuales!$I$35*parametros_manuales!$J$35</f>
        <v>15689.335</v>
      </c>
      <c r="H214" s="8">
        <f>(parametros_manuales!$D$35*('Plan mensual'!J79+IF(parametros_manuales!$H$35="Todos",'Plan mensual'!J83,0))+parametros_manuales!$E$35*('Plan mensual'!J80+IF(parametros_manuales!$H$35="Todos",'Plan mensual'!J84,0))+parametros_manuales!$F$35*('Plan mensual'!J81+IF(parametros_manuales!$H$35="Todos",'Plan mensual'!J85,0))+parametros_manuales!$G$35*('Plan mensual'!J82+IF(parametros_manuales!$H$35="Todos",'Plan mensual'!J86,0)))*parametros_manuales!$I$35*parametros_manuales!$J$35</f>
        <v>16787.335</v>
      </c>
      <c r="I214" s="8">
        <f>(parametros_manuales!$D$35*('Plan mensual'!K79+IF(parametros_manuales!$H$35="Todos",'Plan mensual'!K83,0))+parametros_manuales!$E$35*('Plan mensual'!K80+IF(parametros_manuales!$H$35="Todos",'Plan mensual'!K84,0))+parametros_manuales!$F$35*('Plan mensual'!K81+IF(parametros_manuales!$H$35="Todos",'Plan mensual'!K85,0))+parametros_manuales!$G$35*('Plan mensual'!K82+IF(parametros_manuales!$H$35="Todos",'Plan mensual'!K86,0)))*parametros_manuales!$I$35*parametros_manuales!$J$35</f>
        <v>16787.335</v>
      </c>
      <c r="J214" s="8">
        <f>(parametros_manuales!$D$35*('Plan mensual'!L79+IF(parametros_manuales!$H$35="Todos",'Plan mensual'!L83,0))+parametros_manuales!$E$35*('Plan mensual'!L80+IF(parametros_manuales!$H$35="Todos",'Plan mensual'!L84,0))+parametros_manuales!$F$35*('Plan mensual'!L81+IF(parametros_manuales!$H$35="Todos",'Plan mensual'!L85,0))+parametros_manuales!$G$35*('Plan mensual'!L82+IF(parametros_manuales!$H$35="Todos",'Plan mensual'!L86,0)))*parametros_manuales!$I$35*parametros_manuales!$J$35</f>
        <v>16787.335</v>
      </c>
      <c r="K214" s="8">
        <f>(parametros_manuales!$D$35*('Plan mensual'!M79+IF(parametros_manuales!$H$35="Todos",'Plan mensual'!M83,0))+parametros_manuales!$E$35*('Plan mensual'!M80+IF(parametros_manuales!$H$35="Todos",'Plan mensual'!M84,0))+parametros_manuales!$F$35*('Plan mensual'!M81+IF(parametros_manuales!$H$35="Todos",'Plan mensual'!M85,0))+parametros_manuales!$G$35*('Plan mensual'!M82+IF(parametros_manuales!$H$35="Todos",'Plan mensual'!M86,0)))*parametros_manuales!$I$35*parametros_manuales!$J$35</f>
        <v>16470</v>
      </c>
      <c r="L214" s="8">
        <f>(parametros_manuales!$D$35*('Plan mensual'!N79+IF(parametros_manuales!$H$35="Todos",'Plan mensual'!N83,0))+parametros_manuales!$E$35*('Plan mensual'!N80+IF(parametros_manuales!$H$35="Todos",'Plan mensual'!N84,0))+parametros_manuales!$F$35*('Plan mensual'!N81+IF(parametros_manuales!$H$35="Todos",'Plan mensual'!N85,0))+parametros_manuales!$G$35*('Plan mensual'!N82+IF(parametros_manuales!$H$35="Todos",'Plan mensual'!N86,0)))*parametros_manuales!$I$35*parametros_manuales!$J$35</f>
        <v>16152.665</v>
      </c>
      <c r="M214" s="8">
        <f>(parametros_manuales!$D$35*('Plan mensual'!O79+IF(parametros_manuales!$H$35="Todos",'Plan mensual'!O83,0))+parametros_manuales!$E$35*('Plan mensual'!O80+IF(parametros_manuales!$H$35="Todos",'Plan mensual'!O84,0))+parametros_manuales!$F$35*('Plan mensual'!O81+IF(parametros_manuales!$H$35="Todos",'Plan mensual'!O85,0))+parametros_manuales!$G$35*('Plan mensual'!O82+IF(parametros_manuales!$H$35="Todos",'Plan mensual'!O86,0)))*parametros_manuales!$I$35*parametros_manuales!$J$35</f>
        <v>25717.33</v>
      </c>
      <c r="N214" s="8">
        <f t="shared" si="22"/>
        <v>219600</v>
      </c>
      <c r="O214" s="8">
        <f t="shared" si="23"/>
        <v>25717.33</v>
      </c>
      <c r="P214" s="27">
        <f>O214/(parametros_manuales!$B$7)</f>
        <v>171.4488667</v>
      </c>
      <c r="Q214" s="4" t="str">
        <f t="shared" si="24"/>
        <v>Dic</v>
      </c>
    </row>
    <row r="215" ht="14.25" customHeight="1">
      <c r="A215" s="4" t="str">
        <f>parametros_manuales!$B$36</f>
        <v>Detección de defectos</v>
      </c>
      <c r="B215" s="8">
        <f>(parametros_manuales!$D$36*('Plan mensual'!D79+IF(parametros_manuales!$H$36="Todos",'Plan mensual'!D83,0))+parametros_manuales!$E$36*('Plan mensual'!D80+IF(parametros_manuales!$H$36="Todos",'Plan mensual'!D84,0))+parametros_manuales!$F$36*('Plan mensual'!D81+IF(parametros_manuales!$H$36="Todos",'Plan mensual'!D85,0))+parametros_manuales!$G$36*('Plan mensual'!D82+IF(parametros_manuales!$H$36="Todos",'Plan mensual'!D86,0)))*parametros_manuales!$I$36*parametros_manuales!$J$36</f>
        <v>25082.66</v>
      </c>
      <c r="C215" s="8">
        <f>(parametros_manuales!$D$36*('Plan mensual'!E79+IF(parametros_manuales!$H$36="Todos",'Plan mensual'!E83,0))+parametros_manuales!$E$36*('Plan mensual'!E80+IF(parametros_manuales!$H$36="Todos",'Plan mensual'!E84,0))+parametros_manuales!$F$36*('Plan mensual'!E81+IF(parametros_manuales!$H$36="Todos",'Plan mensual'!E85,0))+parametros_manuales!$G$36*('Plan mensual'!E82+IF(parametros_manuales!$H$36="Todos",'Plan mensual'!E86,0)))*parametros_manuales!$I$36*parametros_manuales!$J$36</f>
        <v>19129.33</v>
      </c>
      <c r="D215" s="8">
        <f>(parametros_manuales!$D$36*('Plan mensual'!F79+IF(parametros_manuales!$H$36="Todos",'Plan mensual'!F83,0))+parametros_manuales!$E$36*('Plan mensual'!F80+IF(parametros_manuales!$H$36="Todos",'Plan mensual'!F84,0))+parametros_manuales!$F$36*('Plan mensual'!F81+IF(parametros_manuales!$H$36="Todos",'Plan mensual'!F85,0))+parametros_manuales!$G$36*('Plan mensual'!F82+IF(parametros_manuales!$H$36="Todos",'Plan mensual'!F86,0)))*parametros_manuales!$I$36*parametros_manuales!$J$36</f>
        <v>17885.335</v>
      </c>
      <c r="E215" s="8">
        <f>(parametros_manuales!$D$36*('Plan mensual'!G79+IF(parametros_manuales!$H$36="Todos",'Plan mensual'!G83,0))+parametros_manuales!$E$36*('Plan mensual'!G80+IF(parametros_manuales!$H$36="Todos",'Plan mensual'!G84,0))+parametros_manuales!$F$36*('Plan mensual'!G81+IF(parametros_manuales!$H$36="Todos",'Plan mensual'!G85,0))+parametros_manuales!$G$36*('Plan mensual'!G82+IF(parametros_manuales!$H$36="Todos",'Plan mensual'!G86,0)))*parametros_manuales!$I$36*parametros_manuales!$J$36</f>
        <v>17104.67</v>
      </c>
      <c r="F215" s="8">
        <f>(parametros_manuales!$D$36*('Plan mensual'!H79+IF(parametros_manuales!$H$36="Todos",'Plan mensual'!H83,0))+parametros_manuales!$E$36*('Plan mensual'!H80+IF(parametros_manuales!$H$36="Todos",'Plan mensual'!H84,0))+parametros_manuales!$F$36*('Plan mensual'!H81+IF(parametros_manuales!$H$36="Todos",'Plan mensual'!H85,0))+parametros_manuales!$G$36*('Plan mensual'!H82+IF(parametros_manuales!$H$36="Todos",'Plan mensual'!H86,0)))*parametros_manuales!$I$36*parametros_manuales!$J$36</f>
        <v>16006.67</v>
      </c>
      <c r="G215" s="8">
        <f>(parametros_manuales!$D$36*('Plan mensual'!I79+IF(parametros_manuales!$H$36="Todos",'Plan mensual'!I83,0))+parametros_manuales!$E$36*('Plan mensual'!I80+IF(parametros_manuales!$H$36="Todos",'Plan mensual'!I84,0))+parametros_manuales!$F$36*('Plan mensual'!I81+IF(parametros_manuales!$H$36="Todos",'Plan mensual'!I85,0))+parametros_manuales!$G$36*('Plan mensual'!I82+IF(parametros_manuales!$H$36="Todos",'Plan mensual'!I86,0)))*parametros_manuales!$I$36*parametros_manuales!$J$36</f>
        <v>15689.335</v>
      </c>
      <c r="H215" s="8">
        <f>(parametros_manuales!$D$36*('Plan mensual'!J79+IF(parametros_manuales!$H$36="Todos",'Plan mensual'!J83,0))+parametros_manuales!$E$36*('Plan mensual'!J80+IF(parametros_manuales!$H$36="Todos",'Plan mensual'!J84,0))+parametros_manuales!$F$36*('Plan mensual'!J81+IF(parametros_manuales!$H$36="Todos",'Plan mensual'!J85,0))+parametros_manuales!$G$36*('Plan mensual'!J82+IF(parametros_manuales!$H$36="Todos",'Plan mensual'!J86,0)))*parametros_manuales!$I$36*parametros_manuales!$J$36</f>
        <v>16787.335</v>
      </c>
      <c r="I215" s="8">
        <f>(parametros_manuales!$D$36*('Plan mensual'!K79+IF(parametros_manuales!$H$36="Todos",'Plan mensual'!K83,0))+parametros_manuales!$E$36*('Plan mensual'!K80+IF(parametros_manuales!$H$36="Todos",'Plan mensual'!K84,0))+parametros_manuales!$F$36*('Plan mensual'!K81+IF(parametros_manuales!$H$36="Todos",'Plan mensual'!K85,0))+parametros_manuales!$G$36*('Plan mensual'!K82+IF(parametros_manuales!$H$36="Todos",'Plan mensual'!K86,0)))*parametros_manuales!$I$36*parametros_manuales!$J$36</f>
        <v>16787.335</v>
      </c>
      <c r="J215" s="8">
        <f>(parametros_manuales!$D$36*('Plan mensual'!L79+IF(parametros_manuales!$H$36="Todos",'Plan mensual'!L83,0))+parametros_manuales!$E$36*('Plan mensual'!L80+IF(parametros_manuales!$H$36="Todos",'Plan mensual'!L84,0))+parametros_manuales!$F$36*('Plan mensual'!L81+IF(parametros_manuales!$H$36="Todos",'Plan mensual'!L85,0))+parametros_manuales!$G$36*('Plan mensual'!L82+IF(parametros_manuales!$H$36="Todos",'Plan mensual'!L86,0)))*parametros_manuales!$I$36*parametros_manuales!$J$36</f>
        <v>16787.335</v>
      </c>
      <c r="K215" s="8">
        <f>(parametros_manuales!$D$36*('Plan mensual'!M79+IF(parametros_manuales!$H$36="Todos",'Plan mensual'!M83,0))+parametros_manuales!$E$36*('Plan mensual'!M80+IF(parametros_manuales!$H$36="Todos",'Plan mensual'!M84,0))+parametros_manuales!$F$36*('Plan mensual'!M81+IF(parametros_manuales!$H$36="Todos",'Plan mensual'!M85,0))+parametros_manuales!$G$36*('Plan mensual'!M82+IF(parametros_manuales!$H$36="Todos",'Plan mensual'!M86,0)))*parametros_manuales!$I$36*parametros_manuales!$J$36</f>
        <v>16470</v>
      </c>
      <c r="L215" s="8">
        <f>(parametros_manuales!$D$36*('Plan mensual'!N79+IF(parametros_manuales!$H$36="Todos",'Plan mensual'!N83,0))+parametros_manuales!$E$36*('Plan mensual'!N80+IF(parametros_manuales!$H$36="Todos",'Plan mensual'!N84,0))+parametros_manuales!$F$36*('Plan mensual'!N81+IF(parametros_manuales!$H$36="Todos",'Plan mensual'!N85,0))+parametros_manuales!$G$36*('Plan mensual'!N82+IF(parametros_manuales!$H$36="Todos",'Plan mensual'!N86,0)))*parametros_manuales!$I$36*parametros_manuales!$J$36</f>
        <v>16152.665</v>
      </c>
      <c r="M215" s="8">
        <f>(parametros_manuales!$D$36*('Plan mensual'!O79+IF(parametros_manuales!$H$36="Todos",'Plan mensual'!O83,0))+parametros_manuales!$E$36*('Plan mensual'!O80+IF(parametros_manuales!$H$36="Todos",'Plan mensual'!O84,0))+parametros_manuales!$F$36*('Plan mensual'!O81+IF(parametros_manuales!$H$36="Todos",'Plan mensual'!O85,0))+parametros_manuales!$G$36*('Plan mensual'!O82+IF(parametros_manuales!$H$36="Todos",'Plan mensual'!O86,0)))*parametros_manuales!$I$36*parametros_manuales!$J$36</f>
        <v>25717.33</v>
      </c>
      <c r="N215" s="8">
        <f t="shared" si="22"/>
        <v>219600</v>
      </c>
      <c r="O215" s="8">
        <f t="shared" si="23"/>
        <v>25717.33</v>
      </c>
      <c r="P215" s="27">
        <f>O215/(parametros_manuales!$B$7)</f>
        <v>171.4488667</v>
      </c>
      <c r="Q215" s="4" t="str">
        <f t="shared" si="24"/>
        <v>Dic</v>
      </c>
    </row>
    <row r="216" ht="14.25" customHeight="1">
      <c r="A216" s="4" t="str">
        <f>parametros_manuales!$B$37</f>
        <v>Corrección de defectos</v>
      </c>
      <c r="B216" s="8">
        <f>(parametros_manuales!$D$37*('Plan mensual'!D79+IF(parametros_manuales!$H$37="Todos",'Plan mensual'!D83,0))+parametros_manuales!$E$37*('Plan mensual'!D80+IF(parametros_manuales!$H$37="Todos",'Plan mensual'!D84,0))+parametros_manuales!$F$37*('Plan mensual'!D81+IF(parametros_manuales!$H$37="Todos",'Plan mensual'!D85,0))+parametros_manuales!$G$37*('Plan mensual'!D82+IF(parametros_manuales!$H$37="Todos",'Plan mensual'!D86,0)))*parametros_manuales!$I$37*parametros_manuales!$J$37</f>
        <v>1254.133</v>
      </c>
      <c r="C216" s="8">
        <f>(parametros_manuales!$D$37*('Plan mensual'!E79+IF(parametros_manuales!$H$37="Todos",'Plan mensual'!E83,0))+parametros_manuales!$E$37*('Plan mensual'!E80+IF(parametros_manuales!$H$37="Todos",'Plan mensual'!E84,0))+parametros_manuales!$F$37*('Plan mensual'!E81+IF(parametros_manuales!$H$37="Todos",'Plan mensual'!E85,0))+parametros_manuales!$G$37*('Plan mensual'!E82+IF(parametros_manuales!$H$37="Todos",'Plan mensual'!E86,0)))*parametros_manuales!$I$37*parametros_manuales!$J$37</f>
        <v>956.4665</v>
      </c>
      <c r="D216" s="8">
        <f>(parametros_manuales!$D$37*('Plan mensual'!F79+IF(parametros_manuales!$H$37="Todos",'Plan mensual'!F83,0))+parametros_manuales!$E$37*('Plan mensual'!F80+IF(parametros_manuales!$H$37="Todos",'Plan mensual'!F84,0))+parametros_manuales!$F$37*('Plan mensual'!F81+IF(parametros_manuales!$H$37="Todos",'Plan mensual'!F85,0))+parametros_manuales!$G$37*('Plan mensual'!F82+IF(parametros_manuales!$H$37="Todos",'Plan mensual'!F86,0)))*parametros_manuales!$I$37*parametros_manuales!$J$37</f>
        <v>894.26675</v>
      </c>
      <c r="E216" s="8">
        <f>(parametros_manuales!$D$37*('Plan mensual'!G79+IF(parametros_manuales!$H$37="Todos",'Plan mensual'!G83,0))+parametros_manuales!$E$37*('Plan mensual'!G80+IF(parametros_manuales!$H$37="Todos",'Plan mensual'!G84,0))+parametros_manuales!$F$37*('Plan mensual'!G81+IF(parametros_manuales!$H$37="Todos",'Plan mensual'!G85,0))+parametros_manuales!$G$37*('Plan mensual'!G82+IF(parametros_manuales!$H$37="Todos",'Plan mensual'!G86,0)))*parametros_manuales!$I$37*parametros_manuales!$J$37</f>
        <v>855.2335</v>
      </c>
      <c r="F216" s="8">
        <f>(parametros_manuales!$D$37*('Plan mensual'!H79+IF(parametros_manuales!$H$37="Todos",'Plan mensual'!H83,0))+parametros_manuales!$E$37*('Plan mensual'!H80+IF(parametros_manuales!$H$37="Todos",'Plan mensual'!H84,0))+parametros_manuales!$F$37*('Plan mensual'!H81+IF(parametros_manuales!$H$37="Todos",'Plan mensual'!H85,0))+parametros_manuales!$G$37*('Plan mensual'!H82+IF(parametros_manuales!$H$37="Todos",'Plan mensual'!H86,0)))*parametros_manuales!$I$37*parametros_manuales!$J$37</f>
        <v>800.3335</v>
      </c>
      <c r="G216" s="8">
        <f>(parametros_manuales!$D$37*('Plan mensual'!I79+IF(parametros_manuales!$H$37="Todos",'Plan mensual'!I83,0))+parametros_manuales!$E$37*('Plan mensual'!I80+IF(parametros_manuales!$H$37="Todos",'Plan mensual'!I84,0))+parametros_manuales!$F$37*('Plan mensual'!I81+IF(parametros_manuales!$H$37="Todos",'Plan mensual'!I85,0))+parametros_manuales!$G$37*('Plan mensual'!I82+IF(parametros_manuales!$H$37="Todos",'Plan mensual'!I86,0)))*parametros_manuales!$I$37*parametros_manuales!$J$37</f>
        <v>784.46675</v>
      </c>
      <c r="H216" s="8">
        <f>(parametros_manuales!$D$37*('Plan mensual'!J79+IF(parametros_manuales!$H$37="Todos",'Plan mensual'!J83,0))+parametros_manuales!$E$37*('Plan mensual'!J80+IF(parametros_manuales!$H$37="Todos",'Plan mensual'!J84,0))+parametros_manuales!$F$37*('Plan mensual'!J81+IF(parametros_manuales!$H$37="Todos",'Plan mensual'!J85,0))+parametros_manuales!$G$37*('Plan mensual'!J82+IF(parametros_manuales!$H$37="Todos",'Plan mensual'!J86,0)))*parametros_manuales!$I$37*parametros_manuales!$J$37</f>
        <v>839.36675</v>
      </c>
      <c r="I216" s="8">
        <f>(parametros_manuales!$D$37*('Plan mensual'!K79+IF(parametros_manuales!$H$37="Todos",'Plan mensual'!K83,0))+parametros_manuales!$E$37*('Plan mensual'!K80+IF(parametros_manuales!$H$37="Todos",'Plan mensual'!K84,0))+parametros_manuales!$F$37*('Plan mensual'!K81+IF(parametros_manuales!$H$37="Todos",'Plan mensual'!K85,0))+parametros_manuales!$G$37*('Plan mensual'!K82+IF(parametros_manuales!$H$37="Todos",'Plan mensual'!K86,0)))*parametros_manuales!$I$37*parametros_manuales!$J$37</f>
        <v>839.36675</v>
      </c>
      <c r="J216" s="8">
        <f>(parametros_manuales!$D$37*('Plan mensual'!L79+IF(parametros_manuales!$H$37="Todos",'Plan mensual'!L83,0))+parametros_manuales!$E$37*('Plan mensual'!L80+IF(parametros_manuales!$H$37="Todos",'Plan mensual'!L84,0))+parametros_manuales!$F$37*('Plan mensual'!L81+IF(parametros_manuales!$H$37="Todos",'Plan mensual'!L85,0))+parametros_manuales!$G$37*('Plan mensual'!L82+IF(parametros_manuales!$H$37="Todos",'Plan mensual'!L86,0)))*parametros_manuales!$I$37*parametros_manuales!$J$37</f>
        <v>839.36675</v>
      </c>
      <c r="K216" s="8">
        <f>(parametros_manuales!$D$37*('Plan mensual'!M79+IF(parametros_manuales!$H$37="Todos",'Plan mensual'!M83,0))+parametros_manuales!$E$37*('Plan mensual'!M80+IF(parametros_manuales!$H$37="Todos",'Plan mensual'!M84,0))+parametros_manuales!$F$37*('Plan mensual'!M81+IF(parametros_manuales!$H$37="Todos",'Plan mensual'!M85,0))+parametros_manuales!$G$37*('Plan mensual'!M82+IF(parametros_manuales!$H$37="Todos",'Plan mensual'!M86,0)))*parametros_manuales!$I$37*parametros_manuales!$J$37</f>
        <v>823.5</v>
      </c>
      <c r="L216" s="8">
        <f>(parametros_manuales!$D$37*('Plan mensual'!N79+IF(parametros_manuales!$H$37="Todos",'Plan mensual'!N83,0))+parametros_manuales!$E$37*('Plan mensual'!N80+IF(parametros_manuales!$H$37="Todos",'Plan mensual'!N84,0))+parametros_manuales!$F$37*('Plan mensual'!N81+IF(parametros_manuales!$H$37="Todos",'Plan mensual'!N85,0))+parametros_manuales!$G$37*('Plan mensual'!N82+IF(parametros_manuales!$H$37="Todos",'Plan mensual'!N86,0)))*parametros_manuales!$I$37*parametros_manuales!$J$37</f>
        <v>807.63325</v>
      </c>
      <c r="M216" s="8">
        <f>(parametros_manuales!$D$37*('Plan mensual'!O79+IF(parametros_manuales!$H$37="Todos",'Plan mensual'!O83,0))+parametros_manuales!$E$37*('Plan mensual'!O80+IF(parametros_manuales!$H$37="Todos",'Plan mensual'!O84,0))+parametros_manuales!$F$37*('Plan mensual'!O81+IF(parametros_manuales!$H$37="Todos",'Plan mensual'!O85,0))+parametros_manuales!$G$37*('Plan mensual'!O82+IF(parametros_manuales!$H$37="Todos",'Plan mensual'!O86,0)))*parametros_manuales!$I$37*parametros_manuales!$J$37</f>
        <v>1285.8665</v>
      </c>
      <c r="N216" s="8">
        <f t="shared" si="22"/>
        <v>10980</v>
      </c>
      <c r="O216" s="8">
        <f t="shared" si="23"/>
        <v>1285.8665</v>
      </c>
      <c r="P216" s="27">
        <f>O216/(parametros_manuales!$B$7)</f>
        <v>8.572443333</v>
      </c>
      <c r="Q216" s="4" t="str">
        <f t="shared" si="24"/>
        <v>Dic</v>
      </c>
    </row>
    <row r="217" ht="14.25" customHeight="1">
      <c r="A217" s="4" t="str">
        <f>parametros_manuales!$B$38</f>
        <v>Pintura en polvo + horno</v>
      </c>
      <c r="B217" s="8">
        <f>(parametros_manuales!$D$38*('Plan mensual'!D79+IF(parametros_manuales!$H$38="Todos",'Plan mensual'!D83,0))+parametros_manuales!$E$38*('Plan mensual'!D80+IF(parametros_manuales!$H$38="Todos",'Plan mensual'!D84,0))+parametros_manuales!$F$38*('Plan mensual'!D81+IF(parametros_manuales!$H$38="Todos",'Plan mensual'!D85,0))+parametros_manuales!$G$38*('Plan mensual'!D82+IF(parametros_manuales!$H$38="Todos",'Plan mensual'!D86,0)))*parametros_manuales!$I$38*parametros_manuales!$J$38</f>
        <v>25082.66</v>
      </c>
      <c r="C217" s="8">
        <f>(parametros_manuales!$D$38*('Plan mensual'!E79+IF(parametros_manuales!$H$38="Todos",'Plan mensual'!E83,0))+parametros_manuales!$E$38*('Plan mensual'!E80+IF(parametros_manuales!$H$38="Todos",'Plan mensual'!E84,0))+parametros_manuales!$F$38*('Plan mensual'!E81+IF(parametros_manuales!$H$38="Todos",'Plan mensual'!E85,0))+parametros_manuales!$G$38*('Plan mensual'!E82+IF(parametros_manuales!$H$38="Todos",'Plan mensual'!E86,0)))*parametros_manuales!$I$38*parametros_manuales!$J$38</f>
        <v>19129.33</v>
      </c>
      <c r="D217" s="8">
        <f>(parametros_manuales!$D$38*('Plan mensual'!F79+IF(parametros_manuales!$H$38="Todos",'Plan mensual'!F83,0))+parametros_manuales!$E$38*('Plan mensual'!F80+IF(parametros_manuales!$H$38="Todos",'Plan mensual'!F84,0))+parametros_manuales!$F$38*('Plan mensual'!F81+IF(parametros_manuales!$H$38="Todos",'Plan mensual'!F85,0))+parametros_manuales!$G$38*('Plan mensual'!F82+IF(parametros_manuales!$H$38="Todos",'Plan mensual'!F86,0)))*parametros_manuales!$I$38*parametros_manuales!$J$38</f>
        <v>17885.335</v>
      </c>
      <c r="E217" s="8">
        <f>(parametros_manuales!$D$38*('Plan mensual'!G79+IF(parametros_manuales!$H$38="Todos",'Plan mensual'!G83,0))+parametros_manuales!$E$38*('Plan mensual'!G80+IF(parametros_manuales!$H$38="Todos",'Plan mensual'!G84,0))+parametros_manuales!$F$38*('Plan mensual'!G81+IF(parametros_manuales!$H$38="Todos",'Plan mensual'!G85,0))+parametros_manuales!$G$38*('Plan mensual'!G82+IF(parametros_manuales!$H$38="Todos",'Plan mensual'!G86,0)))*parametros_manuales!$I$38*parametros_manuales!$J$38</f>
        <v>17104.67</v>
      </c>
      <c r="F217" s="8">
        <f>(parametros_manuales!$D$38*('Plan mensual'!H79+IF(parametros_manuales!$H$38="Todos",'Plan mensual'!H83,0))+parametros_manuales!$E$38*('Plan mensual'!H80+IF(parametros_manuales!$H$38="Todos",'Plan mensual'!H84,0))+parametros_manuales!$F$38*('Plan mensual'!H81+IF(parametros_manuales!$H$38="Todos",'Plan mensual'!H85,0))+parametros_manuales!$G$38*('Plan mensual'!H82+IF(parametros_manuales!$H$38="Todos",'Plan mensual'!H86,0)))*parametros_manuales!$I$38*parametros_manuales!$J$38</f>
        <v>16006.67</v>
      </c>
      <c r="G217" s="8">
        <f>(parametros_manuales!$D$38*('Plan mensual'!I79+IF(parametros_manuales!$H$38="Todos",'Plan mensual'!I83,0))+parametros_manuales!$E$38*('Plan mensual'!I80+IF(parametros_manuales!$H$38="Todos",'Plan mensual'!I84,0))+parametros_manuales!$F$38*('Plan mensual'!I81+IF(parametros_manuales!$H$38="Todos",'Plan mensual'!I85,0))+parametros_manuales!$G$38*('Plan mensual'!I82+IF(parametros_manuales!$H$38="Todos",'Plan mensual'!I86,0)))*parametros_manuales!$I$38*parametros_manuales!$J$38</f>
        <v>15689.335</v>
      </c>
      <c r="H217" s="8">
        <f>(parametros_manuales!$D$38*('Plan mensual'!J79+IF(parametros_manuales!$H$38="Todos",'Plan mensual'!J83,0))+parametros_manuales!$E$38*('Plan mensual'!J80+IF(parametros_manuales!$H$38="Todos",'Plan mensual'!J84,0))+parametros_manuales!$F$38*('Plan mensual'!J81+IF(parametros_manuales!$H$38="Todos",'Plan mensual'!J85,0))+parametros_manuales!$G$38*('Plan mensual'!J82+IF(parametros_manuales!$H$38="Todos",'Plan mensual'!J86,0)))*parametros_manuales!$I$38*parametros_manuales!$J$38</f>
        <v>16787.335</v>
      </c>
      <c r="I217" s="8">
        <f>(parametros_manuales!$D$38*('Plan mensual'!K79+IF(parametros_manuales!$H$38="Todos",'Plan mensual'!K83,0))+parametros_manuales!$E$38*('Plan mensual'!K80+IF(parametros_manuales!$H$38="Todos",'Plan mensual'!K84,0))+parametros_manuales!$F$38*('Plan mensual'!K81+IF(parametros_manuales!$H$38="Todos",'Plan mensual'!K85,0))+parametros_manuales!$G$38*('Plan mensual'!K82+IF(parametros_manuales!$H$38="Todos",'Plan mensual'!K86,0)))*parametros_manuales!$I$38*parametros_manuales!$J$38</f>
        <v>16787.335</v>
      </c>
      <c r="J217" s="8">
        <f>(parametros_manuales!$D$38*('Plan mensual'!L79+IF(parametros_manuales!$H$38="Todos",'Plan mensual'!L83,0))+parametros_manuales!$E$38*('Plan mensual'!L80+IF(parametros_manuales!$H$38="Todos",'Plan mensual'!L84,0))+parametros_manuales!$F$38*('Plan mensual'!L81+IF(parametros_manuales!$H$38="Todos",'Plan mensual'!L85,0))+parametros_manuales!$G$38*('Plan mensual'!L82+IF(parametros_manuales!$H$38="Todos",'Plan mensual'!L86,0)))*parametros_manuales!$I$38*parametros_manuales!$J$38</f>
        <v>16787.335</v>
      </c>
      <c r="K217" s="8">
        <f>(parametros_manuales!$D$38*('Plan mensual'!M79+IF(parametros_manuales!$H$38="Todos",'Plan mensual'!M83,0))+parametros_manuales!$E$38*('Plan mensual'!M80+IF(parametros_manuales!$H$38="Todos",'Plan mensual'!M84,0))+parametros_manuales!$F$38*('Plan mensual'!M81+IF(parametros_manuales!$H$38="Todos",'Plan mensual'!M85,0))+parametros_manuales!$G$38*('Plan mensual'!M82+IF(parametros_manuales!$H$38="Todos",'Plan mensual'!M86,0)))*parametros_manuales!$I$38*parametros_manuales!$J$38</f>
        <v>16470</v>
      </c>
      <c r="L217" s="8">
        <f>(parametros_manuales!$D$38*('Plan mensual'!N79+IF(parametros_manuales!$H$38="Todos",'Plan mensual'!N83,0))+parametros_manuales!$E$38*('Plan mensual'!N80+IF(parametros_manuales!$H$38="Todos",'Plan mensual'!N84,0))+parametros_manuales!$F$38*('Plan mensual'!N81+IF(parametros_manuales!$H$38="Todos",'Plan mensual'!N85,0))+parametros_manuales!$G$38*('Plan mensual'!N82+IF(parametros_manuales!$H$38="Todos",'Plan mensual'!N86,0)))*parametros_manuales!$I$38*parametros_manuales!$J$38</f>
        <v>16152.665</v>
      </c>
      <c r="M217" s="8">
        <f>(parametros_manuales!$D$38*('Plan mensual'!O79+IF(parametros_manuales!$H$38="Todos",'Plan mensual'!O83,0))+parametros_manuales!$E$38*('Plan mensual'!O80+IF(parametros_manuales!$H$38="Todos",'Plan mensual'!O84,0))+parametros_manuales!$F$38*('Plan mensual'!O81+IF(parametros_manuales!$H$38="Todos",'Plan mensual'!O85,0))+parametros_manuales!$G$38*('Plan mensual'!O82+IF(parametros_manuales!$H$38="Todos",'Plan mensual'!O86,0)))*parametros_manuales!$I$38*parametros_manuales!$J$38</f>
        <v>25717.33</v>
      </c>
      <c r="N217" s="8">
        <f t="shared" si="22"/>
        <v>219600</v>
      </c>
      <c r="O217" s="8">
        <f t="shared" si="23"/>
        <v>25717.33</v>
      </c>
      <c r="P217" s="27">
        <f>O217/(parametros_manuales!$B$7)</f>
        <v>171.4488667</v>
      </c>
      <c r="Q217" s="4" t="str">
        <f t="shared" si="24"/>
        <v>Dic</v>
      </c>
    </row>
    <row r="218" ht="14.25" customHeight="1">
      <c r="A218" s="4" t="str">
        <f>parametros_manuales!$B$39</f>
        <v>Carga de polvo</v>
      </c>
      <c r="B218" s="8">
        <f>(parametros_manuales!$D$39*('Plan mensual'!D79+IF(parametros_manuales!$H$39="Todos",'Plan mensual'!D83,0))+parametros_manuales!$E$39*('Plan mensual'!D80+IF(parametros_manuales!$H$39="Todos",'Plan mensual'!D84,0))+parametros_manuales!$F$39*('Plan mensual'!D81+IF(parametros_manuales!$H$39="Todos",'Plan mensual'!D85,0))+parametros_manuales!$G$39*('Plan mensual'!D82+IF(parametros_manuales!$H$39="Todos",'Plan mensual'!D86,0)))*parametros_manuales!$I$39*parametros_manuales!$J$39</f>
        <v>6061.84</v>
      </c>
      <c r="C218" s="8">
        <f>(parametros_manuales!$D$39*('Plan mensual'!E79+IF(parametros_manuales!$H$39="Todos",'Plan mensual'!E83,0))+parametros_manuales!$E$39*('Plan mensual'!E80+IF(parametros_manuales!$H$39="Todos",'Plan mensual'!E84,0))+parametros_manuales!$F$39*('Plan mensual'!E81+IF(parametros_manuales!$H$39="Todos",'Plan mensual'!E85,0))+parametros_manuales!$G$39*('Plan mensual'!E82+IF(parametros_manuales!$H$39="Todos",'Plan mensual'!E86,0)))*parametros_manuales!$I$39*parametros_manuales!$J$39</f>
        <v>4698.68</v>
      </c>
      <c r="D218" s="8">
        <f>(parametros_manuales!$D$39*('Plan mensual'!F79+IF(parametros_manuales!$H$39="Todos",'Plan mensual'!F83,0))+parametros_manuales!$E$39*('Plan mensual'!F80+IF(parametros_manuales!$H$39="Todos",'Plan mensual'!F84,0))+parametros_manuales!$F$39*('Plan mensual'!F81+IF(parametros_manuales!$H$39="Todos",'Plan mensual'!F85,0))+parametros_manuales!$G$39*('Plan mensual'!F82+IF(parametros_manuales!$H$39="Todos",'Plan mensual'!F86,0)))*parametros_manuales!$I$39*parametros_manuales!$J$39</f>
        <v>4599.66</v>
      </c>
      <c r="E218" s="8">
        <f>(parametros_manuales!$D$39*('Plan mensual'!G79+IF(parametros_manuales!$H$39="Todos",'Plan mensual'!G83,0))+parametros_manuales!$E$39*('Plan mensual'!G80+IF(parametros_manuales!$H$39="Todos",'Plan mensual'!G84,0))+parametros_manuales!$F$39*('Plan mensual'!G81+IF(parametros_manuales!$H$39="Todos",'Plan mensual'!G85,0))+parametros_manuales!$G$39*('Plan mensual'!G82+IF(parametros_manuales!$H$39="Todos",'Plan mensual'!G86,0)))*parametros_manuales!$I$39*parametros_manuales!$J$39</f>
        <v>4474</v>
      </c>
      <c r="F218" s="8">
        <f>(parametros_manuales!$D$39*('Plan mensual'!H79+IF(parametros_manuales!$H$39="Todos",'Plan mensual'!H83,0))+parametros_manuales!$E$39*('Plan mensual'!H80+IF(parametros_manuales!$H$39="Todos",'Plan mensual'!H84,0))+parametros_manuales!$F$39*('Plan mensual'!H81+IF(parametros_manuales!$H$39="Todos",'Plan mensual'!H85,0))+parametros_manuales!$G$39*('Plan mensual'!H82+IF(parametros_manuales!$H$39="Todos",'Plan mensual'!H86,0)))*parametros_manuales!$I$39*parametros_manuales!$J$39</f>
        <v>4196.04</v>
      </c>
      <c r="G218" s="8">
        <f>(parametros_manuales!$D$39*('Plan mensual'!I79+IF(parametros_manuales!$H$39="Todos",'Plan mensual'!I83,0))+parametros_manuales!$E$39*('Plan mensual'!I80+IF(parametros_manuales!$H$39="Todos",'Plan mensual'!I84,0))+parametros_manuales!$F$39*('Plan mensual'!I81+IF(parametros_manuales!$H$39="Todos",'Plan mensual'!I85,0))+parametros_manuales!$G$39*('Plan mensual'!I82+IF(parametros_manuales!$H$39="Todos",'Plan mensual'!I86,0)))*parametros_manuales!$I$39*parametros_manuales!$J$39</f>
        <v>4043.74</v>
      </c>
      <c r="H218" s="8">
        <f>(parametros_manuales!$D$39*('Plan mensual'!J79+IF(parametros_manuales!$H$39="Todos",'Plan mensual'!J83,0))+parametros_manuales!$E$39*('Plan mensual'!J80+IF(parametros_manuales!$H$39="Todos",'Plan mensual'!J84,0))+parametros_manuales!$F$39*('Plan mensual'!J81+IF(parametros_manuales!$H$39="Todos",'Plan mensual'!J85,0))+parametros_manuales!$G$39*('Plan mensual'!J82+IF(parametros_manuales!$H$39="Todos",'Plan mensual'!J86,0)))*parametros_manuales!$I$39*parametros_manuales!$J$39</f>
        <v>4321.7</v>
      </c>
      <c r="I218" s="8">
        <f>(parametros_manuales!$D$39*('Plan mensual'!K79+IF(parametros_manuales!$H$39="Todos",'Plan mensual'!K83,0))+parametros_manuales!$E$39*('Plan mensual'!K80+IF(parametros_manuales!$H$39="Todos",'Plan mensual'!K84,0))+parametros_manuales!$F$39*('Plan mensual'!K81+IF(parametros_manuales!$H$39="Todos",'Plan mensual'!K85,0))+parametros_manuales!$G$39*('Plan mensual'!K82+IF(parametros_manuales!$H$39="Todos",'Plan mensual'!K86,0)))*parametros_manuales!$I$39*parametros_manuales!$J$39</f>
        <v>4321.7</v>
      </c>
      <c r="J218" s="8">
        <f>(parametros_manuales!$D$39*('Plan mensual'!L79+IF(parametros_manuales!$H$39="Todos",'Plan mensual'!L83,0))+parametros_manuales!$E$39*('Plan mensual'!L80+IF(parametros_manuales!$H$39="Todos",'Plan mensual'!L84,0))+parametros_manuales!$F$39*('Plan mensual'!L81+IF(parametros_manuales!$H$39="Todos",'Plan mensual'!L85,0))+parametros_manuales!$G$39*('Plan mensual'!L82+IF(parametros_manuales!$H$39="Todos",'Plan mensual'!L86,0)))*parametros_manuales!$I$39*parametros_manuales!$J$39</f>
        <v>4321.7</v>
      </c>
      <c r="K218" s="8">
        <f>(parametros_manuales!$D$39*('Plan mensual'!M79+IF(parametros_manuales!$H$39="Todos",'Plan mensual'!M83,0))+parametros_manuales!$E$39*('Plan mensual'!M80+IF(parametros_manuales!$H$39="Todos",'Plan mensual'!M84,0))+parametros_manuales!$F$39*('Plan mensual'!M81+IF(parametros_manuales!$H$39="Todos",'Plan mensual'!M85,0))+parametros_manuales!$G$39*('Plan mensual'!M82+IF(parametros_manuales!$H$39="Todos",'Plan mensual'!M86,0)))*parametros_manuales!$I$39*parametros_manuales!$J$39</f>
        <v>4169.4</v>
      </c>
      <c r="L218" s="8">
        <f>(parametros_manuales!$D$39*('Plan mensual'!N79+IF(parametros_manuales!$H$39="Todos",'Plan mensual'!N83,0))+parametros_manuales!$E$39*('Plan mensual'!N80+IF(parametros_manuales!$H$39="Todos",'Plan mensual'!N84,0))+parametros_manuales!$F$39*('Plan mensual'!N81+IF(parametros_manuales!$H$39="Todos",'Plan mensual'!N85,0))+parametros_manuales!$G$39*('Plan mensual'!N82+IF(parametros_manuales!$H$39="Todos",'Plan mensual'!N86,0)))*parametros_manuales!$I$39*parametros_manuales!$J$39</f>
        <v>4017.1</v>
      </c>
      <c r="M218" s="8">
        <f>(parametros_manuales!$D$39*('Plan mensual'!O79+IF(parametros_manuales!$H$39="Todos",'Plan mensual'!O83,0))+parametros_manuales!$E$39*('Plan mensual'!O80+IF(parametros_manuales!$H$39="Todos",'Plan mensual'!O84,0))+parametros_manuales!$F$39*('Plan mensual'!O81+IF(parametros_manuales!$H$39="Todos",'Plan mensual'!O85,0))+parametros_manuales!$G$39*('Plan mensual'!O82+IF(parametros_manuales!$H$39="Todos",'Plan mensual'!O86,0)))*parametros_manuales!$I$39*parametros_manuales!$J$39</f>
        <v>6366.44</v>
      </c>
      <c r="N218" s="8">
        <f t="shared" si="22"/>
        <v>55592</v>
      </c>
      <c r="O218" s="8">
        <f t="shared" si="23"/>
        <v>6366.44</v>
      </c>
      <c r="P218" s="27">
        <f>O218/(parametros_manuales!$B$7)</f>
        <v>42.44293333</v>
      </c>
      <c r="Q218" s="4" t="str">
        <f t="shared" si="24"/>
        <v>Dic</v>
      </c>
    </row>
    <row r="219" ht="14.25" customHeight="1">
      <c r="A219" s="4" t="str">
        <f>parametros_manuales!$B$40</f>
        <v>Ensamblaje</v>
      </c>
      <c r="B219" s="8">
        <f>(parametros_manuales!$D$40*('Plan mensual'!D79+IF(parametros_manuales!$H$40="Todos",'Plan mensual'!D83,0))+parametros_manuales!$E$40*('Plan mensual'!D80+IF(parametros_manuales!$H$40="Todos",'Plan mensual'!D84,0))+parametros_manuales!$F$40*('Plan mensual'!D81+IF(parametros_manuales!$H$40="Todos",'Plan mensual'!D85,0))+parametros_manuales!$G$40*('Plan mensual'!D82+IF(parametros_manuales!$H$40="Todos",'Plan mensual'!D86,0)))*parametros_manuales!$I$40*parametros_manuales!$J$40</f>
        <v>6061.84</v>
      </c>
      <c r="C219" s="8">
        <f>(parametros_manuales!$D$40*('Plan mensual'!E79+IF(parametros_manuales!$H$40="Todos",'Plan mensual'!E83,0))+parametros_manuales!$E$40*('Plan mensual'!E80+IF(parametros_manuales!$H$40="Todos",'Plan mensual'!E84,0))+parametros_manuales!$F$40*('Plan mensual'!E81+IF(parametros_manuales!$H$40="Todos",'Plan mensual'!E85,0))+parametros_manuales!$G$40*('Plan mensual'!E82+IF(parametros_manuales!$H$40="Todos",'Plan mensual'!E86,0)))*parametros_manuales!$I$40*parametros_manuales!$J$40</f>
        <v>4698.68</v>
      </c>
      <c r="D219" s="8">
        <f>(parametros_manuales!$D$40*('Plan mensual'!F79+IF(parametros_manuales!$H$40="Todos",'Plan mensual'!F83,0))+parametros_manuales!$E$40*('Plan mensual'!F80+IF(parametros_manuales!$H$40="Todos",'Plan mensual'!F84,0))+parametros_manuales!$F$40*('Plan mensual'!F81+IF(parametros_manuales!$H$40="Todos",'Plan mensual'!F85,0))+parametros_manuales!$G$40*('Plan mensual'!F82+IF(parametros_manuales!$H$40="Todos",'Plan mensual'!F86,0)))*parametros_manuales!$I$40*parametros_manuales!$J$40</f>
        <v>4599.66</v>
      </c>
      <c r="E219" s="8">
        <f>(parametros_manuales!$D$40*('Plan mensual'!G79+IF(parametros_manuales!$H$40="Todos",'Plan mensual'!G83,0))+parametros_manuales!$E$40*('Plan mensual'!G80+IF(parametros_manuales!$H$40="Todos",'Plan mensual'!G84,0))+parametros_manuales!$F$40*('Plan mensual'!G81+IF(parametros_manuales!$H$40="Todos",'Plan mensual'!G85,0))+parametros_manuales!$G$40*('Plan mensual'!G82+IF(parametros_manuales!$H$40="Todos",'Plan mensual'!G86,0)))*parametros_manuales!$I$40*parametros_manuales!$J$40</f>
        <v>4474</v>
      </c>
      <c r="F219" s="8">
        <f>(parametros_manuales!$D$40*('Plan mensual'!H79+IF(parametros_manuales!$H$40="Todos",'Plan mensual'!H83,0))+parametros_manuales!$E$40*('Plan mensual'!H80+IF(parametros_manuales!$H$40="Todos",'Plan mensual'!H84,0))+parametros_manuales!$F$40*('Plan mensual'!H81+IF(parametros_manuales!$H$40="Todos",'Plan mensual'!H85,0))+parametros_manuales!$G$40*('Plan mensual'!H82+IF(parametros_manuales!$H$40="Todos",'Plan mensual'!H86,0)))*parametros_manuales!$I$40*parametros_manuales!$J$40</f>
        <v>4196.04</v>
      </c>
      <c r="G219" s="8">
        <f>(parametros_manuales!$D$40*('Plan mensual'!I79+IF(parametros_manuales!$H$40="Todos",'Plan mensual'!I83,0))+parametros_manuales!$E$40*('Plan mensual'!I80+IF(parametros_manuales!$H$40="Todos",'Plan mensual'!I84,0))+parametros_manuales!$F$40*('Plan mensual'!I81+IF(parametros_manuales!$H$40="Todos",'Plan mensual'!I85,0))+parametros_manuales!$G$40*('Plan mensual'!I82+IF(parametros_manuales!$H$40="Todos",'Plan mensual'!I86,0)))*parametros_manuales!$I$40*parametros_manuales!$J$40</f>
        <v>4043.74</v>
      </c>
      <c r="H219" s="8">
        <f>(parametros_manuales!$D$40*('Plan mensual'!J79+IF(parametros_manuales!$H$40="Todos",'Plan mensual'!J83,0))+parametros_manuales!$E$40*('Plan mensual'!J80+IF(parametros_manuales!$H$40="Todos",'Plan mensual'!J84,0))+parametros_manuales!$F$40*('Plan mensual'!J81+IF(parametros_manuales!$H$40="Todos",'Plan mensual'!J85,0))+parametros_manuales!$G$40*('Plan mensual'!J82+IF(parametros_manuales!$H$40="Todos",'Plan mensual'!J86,0)))*parametros_manuales!$I$40*parametros_manuales!$J$40</f>
        <v>4321.7</v>
      </c>
      <c r="I219" s="8">
        <f>(parametros_manuales!$D$40*('Plan mensual'!K79+IF(parametros_manuales!$H$40="Todos",'Plan mensual'!K83,0))+parametros_manuales!$E$40*('Plan mensual'!K80+IF(parametros_manuales!$H$40="Todos",'Plan mensual'!K84,0))+parametros_manuales!$F$40*('Plan mensual'!K81+IF(parametros_manuales!$H$40="Todos",'Plan mensual'!K85,0))+parametros_manuales!$G$40*('Plan mensual'!K82+IF(parametros_manuales!$H$40="Todos",'Plan mensual'!K86,0)))*parametros_manuales!$I$40*parametros_manuales!$J$40</f>
        <v>4321.7</v>
      </c>
      <c r="J219" s="8">
        <f>(parametros_manuales!$D$40*('Plan mensual'!L79+IF(parametros_manuales!$H$40="Todos",'Plan mensual'!L83,0))+parametros_manuales!$E$40*('Plan mensual'!L80+IF(parametros_manuales!$H$40="Todos",'Plan mensual'!L84,0))+parametros_manuales!$F$40*('Plan mensual'!L81+IF(parametros_manuales!$H$40="Todos",'Plan mensual'!L85,0))+parametros_manuales!$G$40*('Plan mensual'!L82+IF(parametros_manuales!$H$40="Todos",'Plan mensual'!L86,0)))*parametros_manuales!$I$40*parametros_manuales!$J$40</f>
        <v>4321.7</v>
      </c>
      <c r="K219" s="8">
        <f>(parametros_manuales!$D$40*('Plan mensual'!M79+IF(parametros_manuales!$H$40="Todos",'Plan mensual'!M83,0))+parametros_manuales!$E$40*('Plan mensual'!M80+IF(parametros_manuales!$H$40="Todos",'Plan mensual'!M84,0))+parametros_manuales!$F$40*('Plan mensual'!M81+IF(parametros_manuales!$H$40="Todos",'Plan mensual'!M85,0))+parametros_manuales!$G$40*('Plan mensual'!M82+IF(parametros_manuales!$H$40="Todos",'Plan mensual'!M86,0)))*parametros_manuales!$I$40*parametros_manuales!$J$40</f>
        <v>4169.4</v>
      </c>
      <c r="L219" s="8">
        <f>(parametros_manuales!$D$40*('Plan mensual'!N79+IF(parametros_manuales!$H$40="Todos",'Plan mensual'!N83,0))+parametros_manuales!$E$40*('Plan mensual'!N80+IF(parametros_manuales!$H$40="Todos",'Plan mensual'!N84,0))+parametros_manuales!$F$40*('Plan mensual'!N81+IF(parametros_manuales!$H$40="Todos",'Plan mensual'!N85,0))+parametros_manuales!$G$40*('Plan mensual'!N82+IF(parametros_manuales!$H$40="Todos",'Plan mensual'!N86,0)))*parametros_manuales!$I$40*parametros_manuales!$J$40</f>
        <v>4017.1</v>
      </c>
      <c r="M219" s="8">
        <f>(parametros_manuales!$D$40*('Plan mensual'!O79+IF(parametros_manuales!$H$40="Todos",'Plan mensual'!O83,0))+parametros_manuales!$E$40*('Plan mensual'!O80+IF(parametros_manuales!$H$40="Todos",'Plan mensual'!O84,0))+parametros_manuales!$F$40*('Plan mensual'!O81+IF(parametros_manuales!$H$40="Todos",'Plan mensual'!O85,0))+parametros_manuales!$G$40*('Plan mensual'!O82+IF(parametros_manuales!$H$40="Todos",'Plan mensual'!O86,0)))*parametros_manuales!$I$40*parametros_manuales!$J$40</f>
        <v>6366.44</v>
      </c>
      <c r="N219" s="8">
        <f t="shared" si="22"/>
        <v>55592</v>
      </c>
      <c r="O219" s="8">
        <f t="shared" si="23"/>
        <v>6366.44</v>
      </c>
      <c r="P219" s="27">
        <f>O219/(parametros_manuales!$B$7)</f>
        <v>42.44293333</v>
      </c>
      <c r="Q219" s="4" t="str">
        <f t="shared" si="24"/>
        <v>Dic</v>
      </c>
    </row>
    <row r="220" ht="14.25" customHeight="1">
      <c r="A220" s="4" t="str">
        <f>parametros_manuales!$B$41</f>
        <v>Presurización</v>
      </c>
      <c r="B220" s="8">
        <f>(parametros_manuales!$D$41*('Plan mensual'!D79+IF(parametros_manuales!$H$41="Todos",'Plan mensual'!D83,0))+parametros_manuales!$E$41*('Plan mensual'!D80+IF(parametros_manuales!$H$41="Todos",'Plan mensual'!D84,0))+parametros_manuales!$F$41*('Plan mensual'!D81+IF(parametros_manuales!$H$41="Todos",'Plan mensual'!D85,0))+parametros_manuales!$G$41*('Plan mensual'!D82+IF(parametros_manuales!$H$41="Todos",'Plan mensual'!D86,0)))*parametros_manuales!$I$41*parametros_manuales!$J$41</f>
        <v>6061.84</v>
      </c>
      <c r="C220" s="8">
        <f>(parametros_manuales!$D$41*('Plan mensual'!E79+IF(parametros_manuales!$H$41="Todos",'Plan mensual'!E83,0))+parametros_manuales!$E$41*('Plan mensual'!E80+IF(parametros_manuales!$H$41="Todos",'Plan mensual'!E84,0))+parametros_manuales!$F$41*('Plan mensual'!E81+IF(parametros_manuales!$H$41="Todos",'Plan mensual'!E85,0))+parametros_manuales!$G$41*('Plan mensual'!E82+IF(parametros_manuales!$H$41="Todos",'Plan mensual'!E86,0)))*parametros_manuales!$I$41*parametros_manuales!$J$41</f>
        <v>4698.68</v>
      </c>
      <c r="D220" s="8">
        <f>(parametros_manuales!$D$41*('Plan mensual'!F79+IF(parametros_manuales!$H$41="Todos",'Plan mensual'!F83,0))+parametros_manuales!$E$41*('Plan mensual'!F80+IF(parametros_manuales!$H$41="Todos",'Plan mensual'!F84,0))+parametros_manuales!$F$41*('Plan mensual'!F81+IF(parametros_manuales!$H$41="Todos",'Plan mensual'!F85,0))+parametros_manuales!$G$41*('Plan mensual'!F82+IF(parametros_manuales!$H$41="Todos",'Plan mensual'!F86,0)))*parametros_manuales!$I$41*parametros_manuales!$J$41</f>
        <v>4599.66</v>
      </c>
      <c r="E220" s="8">
        <f>(parametros_manuales!$D$41*('Plan mensual'!G79+IF(parametros_manuales!$H$41="Todos",'Plan mensual'!G83,0))+parametros_manuales!$E$41*('Plan mensual'!G80+IF(parametros_manuales!$H$41="Todos",'Plan mensual'!G84,0))+parametros_manuales!$F$41*('Plan mensual'!G81+IF(parametros_manuales!$H$41="Todos",'Plan mensual'!G85,0))+parametros_manuales!$G$41*('Plan mensual'!G82+IF(parametros_manuales!$H$41="Todos",'Plan mensual'!G86,0)))*parametros_manuales!$I$41*parametros_manuales!$J$41</f>
        <v>4474</v>
      </c>
      <c r="F220" s="8">
        <f>(parametros_manuales!$D$41*('Plan mensual'!H79+IF(parametros_manuales!$H$41="Todos",'Plan mensual'!H83,0))+parametros_manuales!$E$41*('Plan mensual'!H80+IF(parametros_manuales!$H$41="Todos",'Plan mensual'!H84,0))+parametros_manuales!$F$41*('Plan mensual'!H81+IF(parametros_manuales!$H$41="Todos",'Plan mensual'!H85,0))+parametros_manuales!$G$41*('Plan mensual'!H82+IF(parametros_manuales!$H$41="Todos",'Plan mensual'!H86,0)))*parametros_manuales!$I$41*parametros_manuales!$J$41</f>
        <v>4196.04</v>
      </c>
      <c r="G220" s="8">
        <f>(parametros_manuales!$D$41*('Plan mensual'!I79+IF(parametros_manuales!$H$41="Todos",'Plan mensual'!I83,0))+parametros_manuales!$E$41*('Plan mensual'!I80+IF(parametros_manuales!$H$41="Todos",'Plan mensual'!I84,0))+parametros_manuales!$F$41*('Plan mensual'!I81+IF(parametros_manuales!$H$41="Todos",'Plan mensual'!I85,0))+parametros_manuales!$G$41*('Plan mensual'!I82+IF(parametros_manuales!$H$41="Todos",'Plan mensual'!I86,0)))*parametros_manuales!$I$41*parametros_manuales!$J$41</f>
        <v>4043.74</v>
      </c>
      <c r="H220" s="8">
        <f>(parametros_manuales!$D$41*('Plan mensual'!J79+IF(parametros_manuales!$H$41="Todos",'Plan mensual'!J83,0))+parametros_manuales!$E$41*('Plan mensual'!J80+IF(parametros_manuales!$H$41="Todos",'Plan mensual'!J84,0))+parametros_manuales!$F$41*('Plan mensual'!J81+IF(parametros_manuales!$H$41="Todos",'Plan mensual'!J85,0))+parametros_manuales!$G$41*('Plan mensual'!J82+IF(parametros_manuales!$H$41="Todos",'Plan mensual'!J86,0)))*parametros_manuales!$I$41*parametros_manuales!$J$41</f>
        <v>4321.7</v>
      </c>
      <c r="I220" s="8">
        <f>(parametros_manuales!$D$41*('Plan mensual'!K79+IF(parametros_manuales!$H$41="Todos",'Plan mensual'!K83,0))+parametros_manuales!$E$41*('Plan mensual'!K80+IF(parametros_manuales!$H$41="Todos",'Plan mensual'!K84,0))+parametros_manuales!$F$41*('Plan mensual'!K81+IF(parametros_manuales!$H$41="Todos",'Plan mensual'!K85,0))+parametros_manuales!$G$41*('Plan mensual'!K82+IF(parametros_manuales!$H$41="Todos",'Plan mensual'!K86,0)))*parametros_manuales!$I$41*parametros_manuales!$J$41</f>
        <v>4321.7</v>
      </c>
      <c r="J220" s="8">
        <f>(parametros_manuales!$D$41*('Plan mensual'!L79+IF(parametros_manuales!$H$41="Todos",'Plan mensual'!L83,0))+parametros_manuales!$E$41*('Plan mensual'!L80+IF(parametros_manuales!$H$41="Todos",'Plan mensual'!L84,0))+parametros_manuales!$F$41*('Plan mensual'!L81+IF(parametros_manuales!$H$41="Todos",'Plan mensual'!L85,0))+parametros_manuales!$G$41*('Plan mensual'!L82+IF(parametros_manuales!$H$41="Todos",'Plan mensual'!L86,0)))*parametros_manuales!$I$41*parametros_manuales!$J$41</f>
        <v>4321.7</v>
      </c>
      <c r="K220" s="8">
        <f>(parametros_manuales!$D$41*('Plan mensual'!M79+IF(parametros_manuales!$H$41="Todos",'Plan mensual'!M83,0))+parametros_manuales!$E$41*('Plan mensual'!M80+IF(parametros_manuales!$H$41="Todos",'Plan mensual'!M84,0))+parametros_manuales!$F$41*('Plan mensual'!M81+IF(parametros_manuales!$H$41="Todos",'Plan mensual'!M85,0))+parametros_manuales!$G$41*('Plan mensual'!M82+IF(parametros_manuales!$H$41="Todos",'Plan mensual'!M86,0)))*parametros_manuales!$I$41*parametros_manuales!$J$41</f>
        <v>4169.4</v>
      </c>
      <c r="L220" s="8">
        <f>(parametros_manuales!$D$41*('Plan mensual'!N79+IF(parametros_manuales!$H$41="Todos",'Plan mensual'!N83,0))+parametros_manuales!$E$41*('Plan mensual'!N80+IF(parametros_manuales!$H$41="Todos",'Plan mensual'!N84,0))+parametros_manuales!$F$41*('Plan mensual'!N81+IF(parametros_manuales!$H$41="Todos",'Plan mensual'!N85,0))+parametros_manuales!$G$41*('Plan mensual'!N82+IF(parametros_manuales!$H$41="Todos",'Plan mensual'!N86,0)))*parametros_manuales!$I$41*parametros_manuales!$J$41</f>
        <v>4017.1</v>
      </c>
      <c r="M220" s="8">
        <f>(parametros_manuales!$D$41*('Plan mensual'!O79+IF(parametros_manuales!$H$41="Todos",'Plan mensual'!O83,0))+parametros_manuales!$E$41*('Plan mensual'!O80+IF(parametros_manuales!$H$41="Todos",'Plan mensual'!O84,0))+parametros_manuales!$F$41*('Plan mensual'!O81+IF(parametros_manuales!$H$41="Todos",'Plan mensual'!O85,0))+parametros_manuales!$G$41*('Plan mensual'!O82+IF(parametros_manuales!$H$41="Todos",'Plan mensual'!O86,0)))*parametros_manuales!$I$41*parametros_manuales!$J$41</f>
        <v>6366.44</v>
      </c>
      <c r="N220" s="8">
        <f t="shared" si="22"/>
        <v>55592</v>
      </c>
      <c r="O220" s="8">
        <f t="shared" si="23"/>
        <v>6366.44</v>
      </c>
      <c r="P220" s="27">
        <f>O220/(parametros_manuales!$B$7)</f>
        <v>42.44293333</v>
      </c>
      <c r="Q220" s="4" t="str">
        <f t="shared" si="24"/>
        <v>Dic</v>
      </c>
    </row>
    <row r="221" ht="14.25" customHeight="1">
      <c r="A221" s="4" t="str">
        <f>parametros_manuales!$B$42</f>
        <v>Control de calidad — Ensayo de pérdidas</v>
      </c>
      <c r="B221" s="8">
        <f>(parametros_manuales!$D$42*('Plan mensual'!D79+IF(parametros_manuales!$H$42="Todos",'Plan mensual'!D83,0))+parametros_manuales!$E$42*('Plan mensual'!D80+IF(parametros_manuales!$H$42="Todos",'Plan mensual'!D84,0))+parametros_manuales!$F$42*('Plan mensual'!D81+IF(parametros_manuales!$H$42="Todos",'Plan mensual'!D85,0))+parametros_manuales!$G$42*('Plan mensual'!D82+IF(parametros_manuales!$H$42="Todos",'Plan mensual'!D86,0)))*parametros_manuales!$I$42*parametros_manuales!$J$42</f>
        <v>6061.84</v>
      </c>
      <c r="C221" s="8">
        <f>(parametros_manuales!$D$42*('Plan mensual'!E79+IF(parametros_manuales!$H$42="Todos",'Plan mensual'!E83,0))+parametros_manuales!$E$42*('Plan mensual'!E80+IF(parametros_manuales!$H$42="Todos",'Plan mensual'!E84,0))+parametros_manuales!$F$42*('Plan mensual'!E81+IF(parametros_manuales!$H$42="Todos",'Plan mensual'!E85,0))+parametros_manuales!$G$42*('Plan mensual'!E82+IF(parametros_manuales!$H$42="Todos",'Plan mensual'!E86,0)))*parametros_manuales!$I$42*parametros_manuales!$J$42</f>
        <v>4698.68</v>
      </c>
      <c r="D221" s="8">
        <f>(parametros_manuales!$D$42*('Plan mensual'!F79+IF(parametros_manuales!$H$42="Todos",'Plan mensual'!F83,0))+parametros_manuales!$E$42*('Plan mensual'!F80+IF(parametros_manuales!$H$42="Todos",'Plan mensual'!F84,0))+parametros_manuales!$F$42*('Plan mensual'!F81+IF(parametros_manuales!$H$42="Todos",'Plan mensual'!F85,0))+parametros_manuales!$G$42*('Plan mensual'!F82+IF(parametros_manuales!$H$42="Todos",'Plan mensual'!F86,0)))*parametros_manuales!$I$42*parametros_manuales!$J$42</f>
        <v>4599.66</v>
      </c>
      <c r="E221" s="8">
        <f>(parametros_manuales!$D$42*('Plan mensual'!G79+IF(parametros_manuales!$H$42="Todos",'Plan mensual'!G83,0))+parametros_manuales!$E$42*('Plan mensual'!G80+IF(parametros_manuales!$H$42="Todos",'Plan mensual'!G84,0))+parametros_manuales!$F$42*('Plan mensual'!G81+IF(parametros_manuales!$H$42="Todos",'Plan mensual'!G85,0))+parametros_manuales!$G$42*('Plan mensual'!G82+IF(parametros_manuales!$H$42="Todos",'Plan mensual'!G86,0)))*parametros_manuales!$I$42*parametros_manuales!$J$42</f>
        <v>4474</v>
      </c>
      <c r="F221" s="8">
        <f>(parametros_manuales!$D$42*('Plan mensual'!H79+IF(parametros_manuales!$H$42="Todos",'Plan mensual'!H83,0))+parametros_manuales!$E$42*('Plan mensual'!H80+IF(parametros_manuales!$H$42="Todos",'Plan mensual'!H84,0))+parametros_manuales!$F$42*('Plan mensual'!H81+IF(parametros_manuales!$H$42="Todos",'Plan mensual'!H85,0))+parametros_manuales!$G$42*('Plan mensual'!H82+IF(parametros_manuales!$H$42="Todos",'Plan mensual'!H86,0)))*parametros_manuales!$I$42*parametros_manuales!$J$42</f>
        <v>4196.04</v>
      </c>
      <c r="G221" s="8">
        <f>(parametros_manuales!$D$42*('Plan mensual'!I79+IF(parametros_manuales!$H$42="Todos",'Plan mensual'!I83,0))+parametros_manuales!$E$42*('Plan mensual'!I80+IF(parametros_manuales!$H$42="Todos",'Plan mensual'!I84,0))+parametros_manuales!$F$42*('Plan mensual'!I81+IF(parametros_manuales!$H$42="Todos",'Plan mensual'!I85,0))+parametros_manuales!$G$42*('Plan mensual'!I82+IF(parametros_manuales!$H$42="Todos",'Plan mensual'!I86,0)))*parametros_manuales!$I$42*parametros_manuales!$J$42</f>
        <v>4043.74</v>
      </c>
      <c r="H221" s="8">
        <f>(parametros_manuales!$D$42*('Plan mensual'!J79+IF(parametros_manuales!$H$42="Todos",'Plan mensual'!J83,0))+parametros_manuales!$E$42*('Plan mensual'!J80+IF(parametros_manuales!$H$42="Todos",'Plan mensual'!J84,0))+parametros_manuales!$F$42*('Plan mensual'!J81+IF(parametros_manuales!$H$42="Todos",'Plan mensual'!J85,0))+parametros_manuales!$G$42*('Plan mensual'!J82+IF(parametros_manuales!$H$42="Todos",'Plan mensual'!J86,0)))*parametros_manuales!$I$42*parametros_manuales!$J$42</f>
        <v>4321.7</v>
      </c>
      <c r="I221" s="8">
        <f>(parametros_manuales!$D$42*('Plan mensual'!K79+IF(parametros_manuales!$H$42="Todos",'Plan mensual'!K83,0))+parametros_manuales!$E$42*('Plan mensual'!K80+IF(parametros_manuales!$H$42="Todos",'Plan mensual'!K84,0))+parametros_manuales!$F$42*('Plan mensual'!K81+IF(parametros_manuales!$H$42="Todos",'Plan mensual'!K85,0))+parametros_manuales!$G$42*('Plan mensual'!K82+IF(parametros_manuales!$H$42="Todos",'Plan mensual'!K86,0)))*parametros_manuales!$I$42*parametros_manuales!$J$42</f>
        <v>4321.7</v>
      </c>
      <c r="J221" s="8">
        <f>(parametros_manuales!$D$42*('Plan mensual'!L79+IF(parametros_manuales!$H$42="Todos",'Plan mensual'!L83,0))+parametros_manuales!$E$42*('Plan mensual'!L80+IF(parametros_manuales!$H$42="Todos",'Plan mensual'!L84,0))+parametros_manuales!$F$42*('Plan mensual'!L81+IF(parametros_manuales!$H$42="Todos",'Plan mensual'!L85,0))+parametros_manuales!$G$42*('Plan mensual'!L82+IF(parametros_manuales!$H$42="Todos",'Plan mensual'!L86,0)))*parametros_manuales!$I$42*parametros_manuales!$J$42</f>
        <v>4321.7</v>
      </c>
      <c r="K221" s="8">
        <f>(parametros_manuales!$D$42*('Plan mensual'!M79+IF(parametros_manuales!$H$42="Todos",'Plan mensual'!M83,0))+parametros_manuales!$E$42*('Plan mensual'!M80+IF(parametros_manuales!$H$42="Todos",'Plan mensual'!M84,0))+parametros_manuales!$F$42*('Plan mensual'!M81+IF(parametros_manuales!$H$42="Todos",'Plan mensual'!M85,0))+parametros_manuales!$G$42*('Plan mensual'!M82+IF(parametros_manuales!$H$42="Todos",'Plan mensual'!M86,0)))*parametros_manuales!$I$42*parametros_manuales!$J$42</f>
        <v>4169.4</v>
      </c>
      <c r="L221" s="8">
        <f>(parametros_manuales!$D$42*('Plan mensual'!N79+IF(parametros_manuales!$H$42="Todos",'Plan mensual'!N83,0))+parametros_manuales!$E$42*('Plan mensual'!N80+IF(parametros_manuales!$H$42="Todos",'Plan mensual'!N84,0))+parametros_manuales!$F$42*('Plan mensual'!N81+IF(parametros_manuales!$H$42="Todos",'Plan mensual'!N85,0))+parametros_manuales!$G$42*('Plan mensual'!N82+IF(parametros_manuales!$H$42="Todos",'Plan mensual'!N86,0)))*parametros_manuales!$I$42*parametros_manuales!$J$42</f>
        <v>4017.1</v>
      </c>
      <c r="M221" s="8">
        <f>(parametros_manuales!$D$42*('Plan mensual'!O79+IF(parametros_manuales!$H$42="Todos",'Plan mensual'!O83,0))+parametros_manuales!$E$42*('Plan mensual'!O80+IF(parametros_manuales!$H$42="Todos",'Plan mensual'!O84,0))+parametros_manuales!$F$42*('Plan mensual'!O81+IF(parametros_manuales!$H$42="Todos",'Plan mensual'!O85,0))+parametros_manuales!$G$42*('Plan mensual'!O82+IF(parametros_manuales!$H$42="Todos",'Plan mensual'!O86,0)))*parametros_manuales!$I$42*parametros_manuales!$J$42</f>
        <v>6366.44</v>
      </c>
      <c r="N221" s="8">
        <f t="shared" si="22"/>
        <v>55592</v>
      </c>
      <c r="O221" s="8">
        <f t="shared" si="23"/>
        <v>6366.44</v>
      </c>
      <c r="P221" s="27">
        <f>O221/(parametros_manuales!$B$7)</f>
        <v>42.44293333</v>
      </c>
      <c r="Q221" s="4" t="str">
        <f t="shared" si="24"/>
        <v>Dic</v>
      </c>
    </row>
    <row r="222" ht="14.25" customHeight="1">
      <c r="A222" s="4" t="str">
        <f>parametros_manuales!$B$43</f>
        <v>Etiquetado</v>
      </c>
      <c r="B222" s="8">
        <f>(parametros_manuales!$D$43*('Plan mensual'!D79+IF(parametros_manuales!$H$43="Todos",'Plan mensual'!D83,0))+parametros_manuales!$E$43*('Plan mensual'!D80+IF(parametros_manuales!$H$43="Todos",'Plan mensual'!D84,0))+parametros_manuales!$F$43*('Plan mensual'!D81+IF(parametros_manuales!$H$43="Todos",'Plan mensual'!D85,0))+parametros_manuales!$G$43*('Plan mensual'!D82+IF(parametros_manuales!$H$43="Todos",'Plan mensual'!D86,0)))*parametros_manuales!$I$43*parametros_manuales!$J$43</f>
        <v>6061.84</v>
      </c>
      <c r="C222" s="8">
        <f>(parametros_manuales!$D$43*('Plan mensual'!E79+IF(parametros_manuales!$H$43="Todos",'Plan mensual'!E83,0))+parametros_manuales!$E$43*('Plan mensual'!E80+IF(parametros_manuales!$H$43="Todos",'Plan mensual'!E84,0))+parametros_manuales!$F$43*('Plan mensual'!E81+IF(parametros_manuales!$H$43="Todos",'Plan mensual'!E85,0))+parametros_manuales!$G$43*('Plan mensual'!E82+IF(parametros_manuales!$H$43="Todos",'Plan mensual'!E86,0)))*parametros_manuales!$I$43*parametros_manuales!$J$43</f>
        <v>4698.68</v>
      </c>
      <c r="D222" s="8">
        <f>(parametros_manuales!$D$43*('Plan mensual'!F79+IF(parametros_manuales!$H$43="Todos",'Plan mensual'!F83,0))+parametros_manuales!$E$43*('Plan mensual'!F80+IF(parametros_manuales!$H$43="Todos",'Plan mensual'!F84,0))+parametros_manuales!$F$43*('Plan mensual'!F81+IF(parametros_manuales!$H$43="Todos",'Plan mensual'!F85,0))+parametros_manuales!$G$43*('Plan mensual'!F82+IF(parametros_manuales!$H$43="Todos",'Plan mensual'!F86,0)))*parametros_manuales!$I$43*parametros_manuales!$J$43</f>
        <v>4599.66</v>
      </c>
      <c r="E222" s="8">
        <f>(parametros_manuales!$D$43*('Plan mensual'!G79+IF(parametros_manuales!$H$43="Todos",'Plan mensual'!G83,0))+parametros_manuales!$E$43*('Plan mensual'!G80+IF(parametros_manuales!$H$43="Todos",'Plan mensual'!G84,0))+parametros_manuales!$F$43*('Plan mensual'!G81+IF(parametros_manuales!$H$43="Todos",'Plan mensual'!G85,0))+parametros_manuales!$G$43*('Plan mensual'!G82+IF(parametros_manuales!$H$43="Todos",'Plan mensual'!G86,0)))*parametros_manuales!$I$43*parametros_manuales!$J$43</f>
        <v>4474</v>
      </c>
      <c r="F222" s="8">
        <f>(parametros_manuales!$D$43*('Plan mensual'!H79+IF(parametros_manuales!$H$43="Todos",'Plan mensual'!H83,0))+parametros_manuales!$E$43*('Plan mensual'!H80+IF(parametros_manuales!$H$43="Todos",'Plan mensual'!H84,0))+parametros_manuales!$F$43*('Plan mensual'!H81+IF(parametros_manuales!$H$43="Todos",'Plan mensual'!H85,0))+parametros_manuales!$G$43*('Plan mensual'!H82+IF(parametros_manuales!$H$43="Todos",'Plan mensual'!H86,0)))*parametros_manuales!$I$43*parametros_manuales!$J$43</f>
        <v>4196.04</v>
      </c>
      <c r="G222" s="8">
        <f>(parametros_manuales!$D$43*('Plan mensual'!I79+IF(parametros_manuales!$H$43="Todos",'Plan mensual'!I83,0))+parametros_manuales!$E$43*('Plan mensual'!I80+IF(parametros_manuales!$H$43="Todos",'Plan mensual'!I84,0))+parametros_manuales!$F$43*('Plan mensual'!I81+IF(parametros_manuales!$H$43="Todos",'Plan mensual'!I85,0))+parametros_manuales!$G$43*('Plan mensual'!I82+IF(parametros_manuales!$H$43="Todos",'Plan mensual'!I86,0)))*parametros_manuales!$I$43*parametros_manuales!$J$43</f>
        <v>4043.74</v>
      </c>
      <c r="H222" s="8">
        <f>(parametros_manuales!$D$43*('Plan mensual'!J79+IF(parametros_manuales!$H$43="Todos",'Plan mensual'!J83,0))+parametros_manuales!$E$43*('Plan mensual'!J80+IF(parametros_manuales!$H$43="Todos",'Plan mensual'!J84,0))+parametros_manuales!$F$43*('Plan mensual'!J81+IF(parametros_manuales!$H$43="Todos",'Plan mensual'!J85,0))+parametros_manuales!$G$43*('Plan mensual'!J82+IF(parametros_manuales!$H$43="Todos",'Plan mensual'!J86,0)))*parametros_manuales!$I$43*parametros_manuales!$J$43</f>
        <v>4321.7</v>
      </c>
      <c r="I222" s="8">
        <f>(parametros_manuales!$D$43*('Plan mensual'!K79+IF(parametros_manuales!$H$43="Todos",'Plan mensual'!K83,0))+parametros_manuales!$E$43*('Plan mensual'!K80+IF(parametros_manuales!$H$43="Todos",'Plan mensual'!K84,0))+parametros_manuales!$F$43*('Plan mensual'!K81+IF(parametros_manuales!$H$43="Todos",'Plan mensual'!K85,0))+parametros_manuales!$G$43*('Plan mensual'!K82+IF(parametros_manuales!$H$43="Todos",'Plan mensual'!K86,0)))*parametros_manuales!$I$43*parametros_manuales!$J$43</f>
        <v>4321.7</v>
      </c>
      <c r="J222" s="8">
        <f>(parametros_manuales!$D$43*('Plan mensual'!L79+IF(parametros_manuales!$H$43="Todos",'Plan mensual'!L83,0))+parametros_manuales!$E$43*('Plan mensual'!L80+IF(parametros_manuales!$H$43="Todos",'Plan mensual'!L84,0))+parametros_manuales!$F$43*('Plan mensual'!L81+IF(parametros_manuales!$H$43="Todos",'Plan mensual'!L85,0))+parametros_manuales!$G$43*('Plan mensual'!L82+IF(parametros_manuales!$H$43="Todos",'Plan mensual'!L86,0)))*parametros_manuales!$I$43*parametros_manuales!$J$43</f>
        <v>4321.7</v>
      </c>
      <c r="K222" s="8">
        <f>(parametros_manuales!$D$43*('Plan mensual'!M79+IF(parametros_manuales!$H$43="Todos",'Plan mensual'!M83,0))+parametros_manuales!$E$43*('Plan mensual'!M80+IF(parametros_manuales!$H$43="Todos",'Plan mensual'!M84,0))+parametros_manuales!$F$43*('Plan mensual'!M81+IF(parametros_manuales!$H$43="Todos",'Plan mensual'!M85,0))+parametros_manuales!$G$43*('Plan mensual'!M82+IF(parametros_manuales!$H$43="Todos",'Plan mensual'!M86,0)))*parametros_manuales!$I$43*parametros_manuales!$J$43</f>
        <v>4169.4</v>
      </c>
      <c r="L222" s="8">
        <f>(parametros_manuales!$D$43*('Plan mensual'!N79+IF(parametros_manuales!$H$43="Todos",'Plan mensual'!N83,0))+parametros_manuales!$E$43*('Plan mensual'!N80+IF(parametros_manuales!$H$43="Todos",'Plan mensual'!N84,0))+parametros_manuales!$F$43*('Plan mensual'!N81+IF(parametros_manuales!$H$43="Todos",'Plan mensual'!N85,0))+parametros_manuales!$G$43*('Plan mensual'!N82+IF(parametros_manuales!$H$43="Todos",'Plan mensual'!N86,0)))*parametros_manuales!$I$43*parametros_manuales!$J$43</f>
        <v>4017.1</v>
      </c>
      <c r="M222" s="8">
        <f>(parametros_manuales!$D$43*('Plan mensual'!O79+IF(parametros_manuales!$H$43="Todos",'Plan mensual'!O83,0))+parametros_manuales!$E$43*('Plan mensual'!O80+IF(parametros_manuales!$H$43="Todos",'Plan mensual'!O84,0))+parametros_manuales!$F$43*('Plan mensual'!O81+IF(parametros_manuales!$H$43="Todos",'Plan mensual'!O85,0))+parametros_manuales!$G$43*('Plan mensual'!O82+IF(parametros_manuales!$H$43="Todos",'Plan mensual'!O86,0)))*parametros_manuales!$I$43*parametros_manuales!$J$43</f>
        <v>6366.44</v>
      </c>
      <c r="N222" s="8">
        <f t="shared" si="22"/>
        <v>55592</v>
      </c>
      <c r="O222" s="8">
        <f t="shared" si="23"/>
        <v>6366.44</v>
      </c>
      <c r="P222" s="27">
        <f>O222/(parametros_manuales!$B$7)</f>
        <v>42.44293333</v>
      </c>
      <c r="Q222" s="4" t="str">
        <f t="shared" si="24"/>
        <v>Dic</v>
      </c>
    </row>
    <row r="223" ht="14.25" customHeight="1">
      <c r="A223" s="4" t="str">
        <f>parametros_manuales!$B$44</f>
        <v>Embalaje y paletizado</v>
      </c>
      <c r="B223" s="8">
        <f>(parametros_manuales!$D$44*('Plan mensual'!D79+IF(parametros_manuales!$H$44="Todos",'Plan mensual'!D83,0))+parametros_manuales!$E$44*('Plan mensual'!D80+IF(parametros_manuales!$H$44="Todos",'Plan mensual'!D84,0))+parametros_manuales!$F$44*('Plan mensual'!D81+IF(parametros_manuales!$H$44="Todos",'Plan mensual'!D85,0))+parametros_manuales!$G$44*('Plan mensual'!D82+IF(parametros_manuales!$H$44="Todos",'Plan mensual'!D86,0)))*parametros_manuales!$I$44*parametros_manuales!$J$44</f>
        <v>25082.66</v>
      </c>
      <c r="C223" s="8">
        <f>(parametros_manuales!$D$44*('Plan mensual'!E79+IF(parametros_manuales!$H$44="Todos",'Plan mensual'!E83,0))+parametros_manuales!$E$44*('Plan mensual'!E80+IF(parametros_manuales!$H$44="Todos",'Plan mensual'!E84,0))+parametros_manuales!$F$44*('Plan mensual'!E81+IF(parametros_manuales!$H$44="Todos",'Plan mensual'!E85,0))+parametros_manuales!$G$44*('Plan mensual'!E82+IF(parametros_manuales!$H$44="Todos",'Plan mensual'!E86,0)))*parametros_manuales!$I$44*parametros_manuales!$J$44</f>
        <v>19129.33</v>
      </c>
      <c r="D223" s="8">
        <f>(parametros_manuales!$D$44*('Plan mensual'!F79+IF(parametros_manuales!$H$44="Todos",'Plan mensual'!F83,0))+parametros_manuales!$E$44*('Plan mensual'!F80+IF(parametros_manuales!$H$44="Todos",'Plan mensual'!F84,0))+parametros_manuales!$F$44*('Plan mensual'!F81+IF(parametros_manuales!$H$44="Todos",'Plan mensual'!F85,0))+parametros_manuales!$G$44*('Plan mensual'!F82+IF(parametros_manuales!$H$44="Todos",'Plan mensual'!F86,0)))*parametros_manuales!$I$44*parametros_manuales!$J$44</f>
        <v>17885.335</v>
      </c>
      <c r="E223" s="8">
        <f>(parametros_manuales!$D$44*('Plan mensual'!G79+IF(parametros_manuales!$H$44="Todos",'Plan mensual'!G83,0))+parametros_manuales!$E$44*('Plan mensual'!G80+IF(parametros_manuales!$H$44="Todos",'Plan mensual'!G84,0))+parametros_manuales!$F$44*('Plan mensual'!G81+IF(parametros_manuales!$H$44="Todos",'Plan mensual'!G85,0))+parametros_manuales!$G$44*('Plan mensual'!G82+IF(parametros_manuales!$H$44="Todos",'Plan mensual'!G86,0)))*parametros_manuales!$I$44*parametros_manuales!$J$44</f>
        <v>17104.67</v>
      </c>
      <c r="F223" s="8">
        <f>(parametros_manuales!$D$44*('Plan mensual'!H79+IF(parametros_manuales!$H$44="Todos",'Plan mensual'!H83,0))+parametros_manuales!$E$44*('Plan mensual'!H80+IF(parametros_manuales!$H$44="Todos",'Plan mensual'!H84,0))+parametros_manuales!$F$44*('Plan mensual'!H81+IF(parametros_manuales!$H$44="Todos",'Plan mensual'!H85,0))+parametros_manuales!$G$44*('Plan mensual'!H82+IF(parametros_manuales!$H$44="Todos",'Plan mensual'!H86,0)))*parametros_manuales!$I$44*parametros_manuales!$J$44</f>
        <v>16006.67</v>
      </c>
      <c r="G223" s="8">
        <f>(parametros_manuales!$D$44*('Plan mensual'!I79+IF(parametros_manuales!$H$44="Todos",'Plan mensual'!I83,0))+parametros_manuales!$E$44*('Plan mensual'!I80+IF(parametros_manuales!$H$44="Todos",'Plan mensual'!I84,0))+parametros_manuales!$F$44*('Plan mensual'!I81+IF(parametros_manuales!$H$44="Todos",'Plan mensual'!I85,0))+parametros_manuales!$G$44*('Plan mensual'!I82+IF(parametros_manuales!$H$44="Todos",'Plan mensual'!I86,0)))*parametros_manuales!$I$44*parametros_manuales!$J$44</f>
        <v>15689.335</v>
      </c>
      <c r="H223" s="8">
        <f>(parametros_manuales!$D$44*('Plan mensual'!J79+IF(parametros_manuales!$H$44="Todos",'Plan mensual'!J83,0))+parametros_manuales!$E$44*('Plan mensual'!J80+IF(parametros_manuales!$H$44="Todos",'Plan mensual'!J84,0))+parametros_manuales!$F$44*('Plan mensual'!J81+IF(parametros_manuales!$H$44="Todos",'Plan mensual'!J85,0))+parametros_manuales!$G$44*('Plan mensual'!J82+IF(parametros_manuales!$H$44="Todos",'Plan mensual'!J86,0)))*parametros_manuales!$I$44*parametros_manuales!$J$44</f>
        <v>16787.335</v>
      </c>
      <c r="I223" s="8">
        <f>(parametros_manuales!$D$44*('Plan mensual'!K79+IF(parametros_manuales!$H$44="Todos",'Plan mensual'!K83,0))+parametros_manuales!$E$44*('Plan mensual'!K80+IF(parametros_manuales!$H$44="Todos",'Plan mensual'!K84,0))+parametros_manuales!$F$44*('Plan mensual'!K81+IF(parametros_manuales!$H$44="Todos",'Plan mensual'!K85,0))+parametros_manuales!$G$44*('Plan mensual'!K82+IF(parametros_manuales!$H$44="Todos",'Plan mensual'!K86,0)))*parametros_manuales!$I$44*parametros_manuales!$J$44</f>
        <v>16787.335</v>
      </c>
      <c r="J223" s="8">
        <f>(parametros_manuales!$D$44*('Plan mensual'!L79+IF(parametros_manuales!$H$44="Todos",'Plan mensual'!L83,0))+parametros_manuales!$E$44*('Plan mensual'!L80+IF(parametros_manuales!$H$44="Todos",'Plan mensual'!L84,0))+parametros_manuales!$F$44*('Plan mensual'!L81+IF(parametros_manuales!$H$44="Todos",'Plan mensual'!L85,0))+parametros_manuales!$G$44*('Plan mensual'!L82+IF(parametros_manuales!$H$44="Todos",'Plan mensual'!L86,0)))*parametros_manuales!$I$44*parametros_manuales!$J$44</f>
        <v>16787.335</v>
      </c>
      <c r="K223" s="8">
        <f>(parametros_manuales!$D$44*('Plan mensual'!M79+IF(parametros_manuales!$H$44="Todos",'Plan mensual'!M83,0))+parametros_manuales!$E$44*('Plan mensual'!M80+IF(parametros_manuales!$H$44="Todos",'Plan mensual'!M84,0))+parametros_manuales!$F$44*('Plan mensual'!M81+IF(parametros_manuales!$H$44="Todos",'Plan mensual'!M85,0))+parametros_manuales!$G$44*('Plan mensual'!M82+IF(parametros_manuales!$H$44="Todos",'Plan mensual'!M86,0)))*parametros_manuales!$I$44*parametros_manuales!$J$44</f>
        <v>16470</v>
      </c>
      <c r="L223" s="8">
        <f>(parametros_manuales!$D$44*('Plan mensual'!N79+IF(parametros_manuales!$H$44="Todos",'Plan mensual'!N83,0))+parametros_manuales!$E$44*('Plan mensual'!N80+IF(parametros_manuales!$H$44="Todos",'Plan mensual'!N84,0))+parametros_manuales!$F$44*('Plan mensual'!N81+IF(parametros_manuales!$H$44="Todos",'Plan mensual'!N85,0))+parametros_manuales!$G$44*('Plan mensual'!N82+IF(parametros_manuales!$H$44="Todos",'Plan mensual'!N86,0)))*parametros_manuales!$I$44*parametros_manuales!$J$44</f>
        <v>16152.665</v>
      </c>
      <c r="M223" s="8">
        <f>(parametros_manuales!$D$44*('Plan mensual'!O79+IF(parametros_manuales!$H$44="Todos",'Plan mensual'!O83,0))+parametros_manuales!$E$44*('Plan mensual'!O80+IF(parametros_manuales!$H$44="Todos",'Plan mensual'!O84,0))+parametros_manuales!$F$44*('Plan mensual'!O81+IF(parametros_manuales!$H$44="Todos",'Plan mensual'!O85,0))+parametros_manuales!$G$44*('Plan mensual'!O82+IF(parametros_manuales!$H$44="Todos",'Plan mensual'!O86,0)))*parametros_manuales!$I$44*parametros_manuales!$J$44</f>
        <v>25717.33</v>
      </c>
      <c r="N223" s="8">
        <f t="shared" si="22"/>
        <v>219600</v>
      </c>
      <c r="O223" s="8">
        <f t="shared" si="23"/>
        <v>25717.33</v>
      </c>
      <c r="P223" s="27">
        <f>O223/(parametros_manuales!$B$7)</f>
        <v>171.4488667</v>
      </c>
      <c r="Q223" s="4" t="str">
        <f t="shared" si="24"/>
        <v>Dic</v>
      </c>
    </row>
    <row r="224" ht="14.2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</row>
    <row r="225" ht="14.25" customHeight="1">
      <c r="A225" s="1" t="s">
        <v>235</v>
      </c>
      <c r="B225" s="1" t="s">
        <v>5</v>
      </c>
      <c r="C225" s="1" t="s">
        <v>6</v>
      </c>
      <c r="D225" s="1" t="s">
        <v>7</v>
      </c>
      <c r="E225" s="1" t="s">
        <v>8</v>
      </c>
      <c r="F225" s="1" t="s">
        <v>9</v>
      </c>
      <c r="G225" s="1" t="s">
        <v>10</v>
      </c>
      <c r="H225" s="1" t="s">
        <v>12</v>
      </c>
      <c r="I225" s="1" t="s">
        <v>13</v>
      </c>
      <c r="J225" s="1" t="s">
        <v>15</v>
      </c>
      <c r="K225" s="1" t="s">
        <v>16</v>
      </c>
      <c r="L225" s="1" t="s">
        <v>17</v>
      </c>
      <c r="M225" s="1" t="s">
        <v>18</v>
      </c>
      <c r="N225" s="1" t="s">
        <v>19</v>
      </c>
      <c r="O225" s="1" t="s">
        <v>20</v>
      </c>
      <c r="P225" s="1" t="s">
        <v>21</v>
      </c>
      <c r="Q225" s="1" t="s">
        <v>22</v>
      </c>
    </row>
    <row r="226" ht="14.25" customHeight="1">
      <c r="A226" s="4" t="str">
        <f>parametros_manuales!$B$19</f>
        <v>Recepción de materia prima</v>
      </c>
      <c r="B226" s="8">
        <f>(parametros_manuales!$D$19*('Plan mensual'!D90+IF(parametros_manuales!$H$19="Todos",'Plan mensual'!D94,0))+parametros_manuales!$E$19*('Plan mensual'!D91+IF(parametros_manuales!$H$19="Todos",'Plan mensual'!D95,0))+parametros_manuales!$F$19*('Plan mensual'!D92+IF(parametros_manuales!$H$19="Todos",'Plan mensual'!D96,0))+parametros_manuales!$G$19*('Plan mensual'!D93+IF(parametros_manuales!$H$19="Todos",'Plan mensual'!D97,0)))*parametros_manuales!$I$19*parametros_manuales!$J$19</f>
        <v>28283.16</v>
      </c>
      <c r="C226" s="8">
        <f>(parametros_manuales!$D$19*('Plan mensual'!E90+IF(parametros_manuales!$H$19="Todos",'Plan mensual'!E94,0))+parametros_manuales!$E$19*('Plan mensual'!E91+IF(parametros_manuales!$H$19="Todos",'Plan mensual'!E95,0))+parametros_manuales!$F$19*('Plan mensual'!E92+IF(parametros_manuales!$H$19="Todos",'Plan mensual'!E96,0))+parametros_manuales!$G$19*('Plan mensual'!E93+IF(parametros_manuales!$H$19="Todos",'Plan mensual'!E97,0)))*parametros_manuales!$I$19*parametros_manuales!$J$19</f>
        <v>21574.17</v>
      </c>
      <c r="D226" s="8">
        <f>(parametros_manuales!$D$19*('Plan mensual'!F90+IF(parametros_manuales!$H$19="Todos",'Plan mensual'!F94,0))+parametros_manuales!$E$19*('Plan mensual'!F91+IF(parametros_manuales!$H$19="Todos",'Plan mensual'!F95,0))+parametros_manuales!$F$19*('Plan mensual'!F92+IF(parametros_manuales!$H$19="Todos",'Plan mensual'!F96,0))+parametros_manuales!$G$19*('Plan mensual'!F93+IF(parametros_manuales!$H$19="Todos",'Plan mensual'!F97,0)))*parametros_manuales!$I$19*parametros_manuales!$J$19</f>
        <v>20182.04</v>
      </c>
      <c r="E226" s="8">
        <f>(parametros_manuales!$D$19*('Plan mensual'!G90+IF(parametros_manuales!$H$19="Todos",'Plan mensual'!G94,0))+parametros_manuales!$E$19*('Plan mensual'!G91+IF(parametros_manuales!$H$19="Todos",'Plan mensual'!G95,0))+parametros_manuales!$F$19*('Plan mensual'!G92+IF(parametros_manuales!$H$19="Todos",'Plan mensual'!G96,0))+parametros_manuales!$G$19*('Plan mensual'!G93+IF(parametros_manuales!$H$19="Todos",'Plan mensual'!G97,0)))*parametros_manuales!$I$19*parametros_manuales!$J$19</f>
        <v>19305.075</v>
      </c>
      <c r="F226" s="8">
        <f>(parametros_manuales!$D$19*('Plan mensual'!H90+IF(parametros_manuales!$H$19="Todos",'Plan mensual'!H94,0))+parametros_manuales!$E$19*('Plan mensual'!H91+IF(parametros_manuales!$H$19="Todos",'Plan mensual'!H95,0))+parametros_manuales!$F$19*('Plan mensual'!H92+IF(parametros_manuales!$H$19="Todos",'Plan mensual'!H96,0))+parametros_manuales!$G$19*('Plan mensual'!H93+IF(parametros_manuales!$H$19="Todos",'Plan mensual'!H97,0)))*parametros_manuales!$I$19*parametros_manuales!$J$19</f>
        <v>18066.31</v>
      </c>
      <c r="G226" s="8">
        <f>(parametros_manuales!$D$19*('Plan mensual'!I90+IF(parametros_manuales!$H$19="Todos",'Plan mensual'!I94,0))+parametros_manuales!$E$19*('Plan mensual'!I91+IF(parametros_manuales!$H$19="Todos",'Plan mensual'!I95,0))+parametros_manuales!$F$19*('Plan mensual'!I92+IF(parametros_manuales!$H$19="Todos",'Plan mensual'!I96,0))+parametros_manuales!$G$19*('Plan mensual'!I93+IF(parametros_manuales!$H$19="Todos",'Plan mensual'!I97,0)))*parametros_manuales!$I$19*parametros_manuales!$J$19</f>
        <v>17704.51</v>
      </c>
      <c r="H226" s="8">
        <f>(parametros_manuales!$D$19*('Plan mensual'!J90+IF(parametros_manuales!$H$19="Todos",'Plan mensual'!J94,0))+parametros_manuales!$E$19*('Plan mensual'!J91+IF(parametros_manuales!$H$19="Todos",'Plan mensual'!J95,0))+parametros_manuales!$F$19*('Plan mensual'!J92+IF(parametros_manuales!$H$19="Todos",'Plan mensual'!J96,0))+parametros_manuales!$G$19*('Plan mensual'!J93+IF(parametros_manuales!$H$19="Todos",'Plan mensual'!J97,0)))*parametros_manuales!$I$19*parametros_manuales!$J$19</f>
        <v>18943.275</v>
      </c>
      <c r="I226" s="8">
        <f>(parametros_manuales!$D$19*('Plan mensual'!K90+IF(parametros_manuales!$H$19="Todos",'Plan mensual'!K94,0))+parametros_manuales!$E$19*('Plan mensual'!K91+IF(parametros_manuales!$H$19="Todos",'Plan mensual'!K95,0))+parametros_manuales!$F$19*('Plan mensual'!K92+IF(parametros_manuales!$H$19="Todos",'Plan mensual'!K96,0))+parametros_manuales!$G$19*('Plan mensual'!K93+IF(parametros_manuales!$H$19="Todos",'Plan mensual'!K97,0)))*parametros_manuales!$I$19*parametros_manuales!$J$19</f>
        <v>18943.275</v>
      </c>
      <c r="J226" s="8">
        <f>(parametros_manuales!$D$19*('Plan mensual'!L90+IF(parametros_manuales!$H$19="Todos",'Plan mensual'!L94,0))+parametros_manuales!$E$19*('Plan mensual'!L91+IF(parametros_manuales!$H$19="Todos",'Plan mensual'!L95,0))+parametros_manuales!$F$19*('Plan mensual'!L92+IF(parametros_manuales!$H$19="Todos",'Plan mensual'!L96,0))+parametros_manuales!$G$19*('Plan mensual'!L93+IF(parametros_manuales!$H$19="Todos",'Plan mensual'!L97,0)))*parametros_manuales!$I$19*parametros_manuales!$J$19</f>
        <v>18943.275</v>
      </c>
      <c r="K226" s="8">
        <f>(parametros_manuales!$D$19*('Plan mensual'!M90+IF(parametros_manuales!$H$19="Todos",'Plan mensual'!M94,0))+parametros_manuales!$E$19*('Plan mensual'!M91+IF(parametros_manuales!$H$19="Todos",'Plan mensual'!M95,0))+parametros_manuales!$F$19*('Plan mensual'!M92+IF(parametros_manuales!$H$19="Todos",'Plan mensual'!M96,0))+parametros_manuales!$G$19*('Plan mensual'!M93+IF(parametros_manuales!$H$19="Todos",'Plan mensual'!M97,0)))*parametros_manuales!$I$19*parametros_manuales!$J$19</f>
        <v>18581.475</v>
      </c>
      <c r="L226" s="8">
        <f>(parametros_manuales!$D$19*('Plan mensual'!N90+IF(parametros_manuales!$H$19="Todos",'Plan mensual'!N94,0))+parametros_manuales!$E$19*('Plan mensual'!N91+IF(parametros_manuales!$H$19="Todos",'Plan mensual'!N95,0))+parametros_manuales!$F$19*('Plan mensual'!N92+IF(parametros_manuales!$H$19="Todos",'Plan mensual'!N96,0))+parametros_manuales!$G$19*('Plan mensual'!N93+IF(parametros_manuales!$H$19="Todos",'Plan mensual'!N97,0)))*parametros_manuales!$I$19*parametros_manuales!$J$19</f>
        <v>18219.675</v>
      </c>
      <c r="M226" s="8">
        <f>(parametros_manuales!$D$19*('Plan mensual'!O90+IF(parametros_manuales!$H$19="Todos",'Plan mensual'!O94,0))+parametros_manuales!$E$19*('Plan mensual'!O91+IF(parametros_manuales!$H$19="Todos",'Plan mensual'!O95,0))+parametros_manuales!$F$19*('Plan mensual'!O92+IF(parametros_manuales!$H$19="Todos",'Plan mensual'!O96,0))+parametros_manuales!$G$19*('Plan mensual'!O93+IF(parametros_manuales!$H$19="Todos",'Plan mensual'!O97,0)))*parametros_manuales!$I$19*parametros_manuales!$J$19</f>
        <v>29006.76</v>
      </c>
      <c r="N226" s="8">
        <f t="shared" ref="N226:N251" si="25">SUM(B226:M226)</f>
        <v>247753</v>
      </c>
      <c r="O226" s="8">
        <f t="shared" ref="O226:O251" si="26">MAX(B226:M226)</f>
        <v>29006.76</v>
      </c>
      <c r="P226" s="27">
        <f>O226/(parametros_manuales!$B$7)</f>
        <v>193.3784</v>
      </c>
      <c r="Q226" s="4" t="str">
        <f t="shared" ref="Q226:Q251" si="27">IF(O226=0,"-",INDEX($B$225:$M$225,MATCH(O226,B226:M226,0)))</f>
        <v>Dic</v>
      </c>
    </row>
    <row r="227" ht="14.25" customHeight="1">
      <c r="A227" s="4" t="str">
        <f>parametros_manuales!$B$20</f>
        <v>Corte de chapa — 1.er corte en franjas (guillotina 1)</v>
      </c>
      <c r="B227" s="8">
        <f>(parametros_manuales!$D$20*('Plan mensual'!D90+IF(parametros_manuales!$H$20="Todos",'Plan mensual'!D94,0))+parametros_manuales!$E$20*('Plan mensual'!D91+IF(parametros_manuales!$H$20="Todos",'Plan mensual'!D95,0))+parametros_manuales!$F$20*('Plan mensual'!D92+IF(parametros_manuales!$H$20="Todos",'Plan mensual'!D96,0))+parametros_manuales!$G$20*('Plan mensual'!D93+IF(parametros_manuales!$H$20="Todos",'Plan mensual'!D97,0)))*parametros_manuales!$I$20*parametros_manuales!$J$20</f>
        <v>28283.16</v>
      </c>
      <c r="C227" s="8">
        <f>(parametros_manuales!$D$20*('Plan mensual'!E90+IF(parametros_manuales!$H$20="Todos",'Plan mensual'!E94,0))+parametros_manuales!$E$20*('Plan mensual'!E91+IF(parametros_manuales!$H$20="Todos",'Plan mensual'!E95,0))+parametros_manuales!$F$20*('Plan mensual'!E92+IF(parametros_manuales!$H$20="Todos",'Plan mensual'!E96,0))+parametros_manuales!$G$20*('Plan mensual'!E93+IF(parametros_manuales!$H$20="Todos",'Plan mensual'!E97,0)))*parametros_manuales!$I$20*parametros_manuales!$J$20</f>
        <v>21574.17</v>
      </c>
      <c r="D227" s="8">
        <f>(parametros_manuales!$D$20*('Plan mensual'!F90+IF(parametros_manuales!$H$20="Todos",'Plan mensual'!F94,0))+parametros_manuales!$E$20*('Plan mensual'!F91+IF(parametros_manuales!$H$20="Todos",'Plan mensual'!F95,0))+parametros_manuales!$F$20*('Plan mensual'!F92+IF(parametros_manuales!$H$20="Todos",'Plan mensual'!F96,0))+parametros_manuales!$G$20*('Plan mensual'!F93+IF(parametros_manuales!$H$20="Todos",'Plan mensual'!F97,0)))*parametros_manuales!$I$20*parametros_manuales!$J$20</f>
        <v>20182.04</v>
      </c>
      <c r="E227" s="8">
        <f>(parametros_manuales!$D$20*('Plan mensual'!G90+IF(parametros_manuales!$H$20="Todos",'Plan mensual'!G94,0))+parametros_manuales!$E$20*('Plan mensual'!G91+IF(parametros_manuales!$H$20="Todos",'Plan mensual'!G95,0))+parametros_manuales!$F$20*('Plan mensual'!G92+IF(parametros_manuales!$H$20="Todos",'Plan mensual'!G96,0))+parametros_manuales!$G$20*('Plan mensual'!G93+IF(parametros_manuales!$H$20="Todos",'Plan mensual'!G97,0)))*parametros_manuales!$I$20*parametros_manuales!$J$20</f>
        <v>19305.075</v>
      </c>
      <c r="F227" s="8">
        <f>(parametros_manuales!$D$20*('Plan mensual'!H90+IF(parametros_manuales!$H$20="Todos",'Plan mensual'!H94,0))+parametros_manuales!$E$20*('Plan mensual'!H91+IF(parametros_manuales!$H$20="Todos",'Plan mensual'!H95,0))+parametros_manuales!$F$20*('Plan mensual'!H92+IF(parametros_manuales!$H$20="Todos",'Plan mensual'!H96,0))+parametros_manuales!$G$20*('Plan mensual'!H93+IF(parametros_manuales!$H$20="Todos",'Plan mensual'!H97,0)))*parametros_manuales!$I$20*parametros_manuales!$J$20</f>
        <v>18066.31</v>
      </c>
      <c r="G227" s="8">
        <f>(parametros_manuales!$D$20*('Plan mensual'!I90+IF(parametros_manuales!$H$20="Todos",'Plan mensual'!I94,0))+parametros_manuales!$E$20*('Plan mensual'!I91+IF(parametros_manuales!$H$20="Todos",'Plan mensual'!I95,0))+parametros_manuales!$F$20*('Plan mensual'!I92+IF(parametros_manuales!$H$20="Todos",'Plan mensual'!I96,0))+parametros_manuales!$G$20*('Plan mensual'!I93+IF(parametros_manuales!$H$20="Todos",'Plan mensual'!I97,0)))*parametros_manuales!$I$20*parametros_manuales!$J$20</f>
        <v>17704.51</v>
      </c>
      <c r="H227" s="8">
        <f>(parametros_manuales!$D$20*('Plan mensual'!J90+IF(parametros_manuales!$H$20="Todos",'Plan mensual'!J94,0))+parametros_manuales!$E$20*('Plan mensual'!J91+IF(parametros_manuales!$H$20="Todos",'Plan mensual'!J95,0))+parametros_manuales!$F$20*('Plan mensual'!J92+IF(parametros_manuales!$H$20="Todos",'Plan mensual'!J96,0))+parametros_manuales!$G$20*('Plan mensual'!J93+IF(parametros_manuales!$H$20="Todos",'Plan mensual'!J97,0)))*parametros_manuales!$I$20*parametros_manuales!$J$20</f>
        <v>18943.275</v>
      </c>
      <c r="I227" s="8">
        <f>(parametros_manuales!$D$20*('Plan mensual'!K90+IF(parametros_manuales!$H$20="Todos",'Plan mensual'!K94,0))+parametros_manuales!$E$20*('Plan mensual'!K91+IF(parametros_manuales!$H$20="Todos",'Plan mensual'!K95,0))+parametros_manuales!$F$20*('Plan mensual'!K92+IF(parametros_manuales!$H$20="Todos",'Plan mensual'!K96,0))+parametros_manuales!$G$20*('Plan mensual'!K93+IF(parametros_manuales!$H$20="Todos",'Plan mensual'!K97,0)))*parametros_manuales!$I$20*parametros_manuales!$J$20</f>
        <v>18943.275</v>
      </c>
      <c r="J227" s="8">
        <f>(parametros_manuales!$D$20*('Plan mensual'!L90+IF(parametros_manuales!$H$20="Todos",'Plan mensual'!L94,0))+parametros_manuales!$E$20*('Plan mensual'!L91+IF(parametros_manuales!$H$20="Todos",'Plan mensual'!L95,0))+parametros_manuales!$F$20*('Plan mensual'!L92+IF(parametros_manuales!$H$20="Todos",'Plan mensual'!L96,0))+parametros_manuales!$G$20*('Plan mensual'!L93+IF(parametros_manuales!$H$20="Todos",'Plan mensual'!L97,0)))*parametros_manuales!$I$20*parametros_manuales!$J$20</f>
        <v>18943.275</v>
      </c>
      <c r="K227" s="8">
        <f>(parametros_manuales!$D$20*('Plan mensual'!M90+IF(parametros_manuales!$H$20="Todos",'Plan mensual'!M94,0))+parametros_manuales!$E$20*('Plan mensual'!M91+IF(parametros_manuales!$H$20="Todos",'Plan mensual'!M95,0))+parametros_manuales!$F$20*('Plan mensual'!M92+IF(parametros_manuales!$H$20="Todos",'Plan mensual'!M96,0))+parametros_manuales!$G$20*('Plan mensual'!M93+IF(parametros_manuales!$H$20="Todos",'Plan mensual'!M97,0)))*parametros_manuales!$I$20*parametros_manuales!$J$20</f>
        <v>18581.475</v>
      </c>
      <c r="L227" s="8">
        <f>(parametros_manuales!$D$20*('Plan mensual'!N90+IF(parametros_manuales!$H$20="Todos",'Plan mensual'!N94,0))+parametros_manuales!$E$20*('Plan mensual'!N91+IF(parametros_manuales!$H$20="Todos",'Plan mensual'!N95,0))+parametros_manuales!$F$20*('Plan mensual'!N92+IF(parametros_manuales!$H$20="Todos",'Plan mensual'!N96,0))+parametros_manuales!$G$20*('Plan mensual'!N93+IF(parametros_manuales!$H$20="Todos",'Plan mensual'!N97,0)))*parametros_manuales!$I$20*parametros_manuales!$J$20</f>
        <v>18219.675</v>
      </c>
      <c r="M227" s="8">
        <f>(parametros_manuales!$D$20*('Plan mensual'!O90+IF(parametros_manuales!$H$20="Todos",'Plan mensual'!O94,0))+parametros_manuales!$E$20*('Plan mensual'!O91+IF(parametros_manuales!$H$20="Todos",'Plan mensual'!O95,0))+parametros_manuales!$F$20*('Plan mensual'!O92+IF(parametros_manuales!$H$20="Todos",'Plan mensual'!O96,0))+parametros_manuales!$G$20*('Plan mensual'!O93+IF(parametros_manuales!$H$20="Todos",'Plan mensual'!O97,0)))*parametros_manuales!$I$20*parametros_manuales!$J$20</f>
        <v>29006.76</v>
      </c>
      <c r="N227" s="8">
        <f t="shared" si="25"/>
        <v>247753</v>
      </c>
      <c r="O227" s="8">
        <f t="shared" si="26"/>
        <v>29006.76</v>
      </c>
      <c r="P227" s="27">
        <f>O227/(parametros_manuales!$B$7)</f>
        <v>193.3784</v>
      </c>
      <c r="Q227" s="4" t="str">
        <f t="shared" si="27"/>
        <v>Dic</v>
      </c>
    </row>
    <row r="228" ht="14.25" customHeight="1">
      <c r="A228" s="4" t="str">
        <f>parametros_manuales!$B$21</f>
        <v>Corte de chapa — 2.º corte en piezas (guillotina 2)</v>
      </c>
      <c r="B228" s="8">
        <f>(parametros_manuales!$D$21*('Plan mensual'!D90+IF(parametros_manuales!$H$21="Todos",'Plan mensual'!D94,0))+parametros_manuales!$E$21*('Plan mensual'!D91+IF(parametros_manuales!$H$21="Todos",'Plan mensual'!D95,0))+parametros_manuales!$F$21*('Plan mensual'!D92+IF(parametros_manuales!$H$21="Todos",'Plan mensual'!D96,0))+parametros_manuales!$G$21*('Plan mensual'!D93+IF(parametros_manuales!$H$21="Todos",'Plan mensual'!D97,0)))*parametros_manuales!$I$21*parametros_manuales!$J$21</f>
        <v>28283.16</v>
      </c>
      <c r="C228" s="8">
        <f>(parametros_manuales!$D$21*('Plan mensual'!E90+IF(parametros_manuales!$H$21="Todos",'Plan mensual'!E94,0))+parametros_manuales!$E$21*('Plan mensual'!E91+IF(parametros_manuales!$H$21="Todos",'Plan mensual'!E95,0))+parametros_manuales!$F$21*('Plan mensual'!E92+IF(parametros_manuales!$H$21="Todos",'Plan mensual'!E96,0))+parametros_manuales!$G$21*('Plan mensual'!E93+IF(parametros_manuales!$H$21="Todos",'Plan mensual'!E97,0)))*parametros_manuales!$I$21*parametros_manuales!$J$21</f>
        <v>21574.17</v>
      </c>
      <c r="D228" s="8">
        <f>(parametros_manuales!$D$21*('Plan mensual'!F90+IF(parametros_manuales!$H$21="Todos",'Plan mensual'!F94,0))+parametros_manuales!$E$21*('Plan mensual'!F91+IF(parametros_manuales!$H$21="Todos",'Plan mensual'!F95,0))+parametros_manuales!$F$21*('Plan mensual'!F92+IF(parametros_manuales!$H$21="Todos",'Plan mensual'!F96,0))+parametros_manuales!$G$21*('Plan mensual'!F93+IF(parametros_manuales!$H$21="Todos",'Plan mensual'!F97,0)))*parametros_manuales!$I$21*parametros_manuales!$J$21</f>
        <v>20182.04</v>
      </c>
      <c r="E228" s="8">
        <f>(parametros_manuales!$D$21*('Plan mensual'!G90+IF(parametros_manuales!$H$21="Todos",'Plan mensual'!G94,0))+parametros_manuales!$E$21*('Plan mensual'!G91+IF(parametros_manuales!$H$21="Todos",'Plan mensual'!G95,0))+parametros_manuales!$F$21*('Plan mensual'!G92+IF(parametros_manuales!$H$21="Todos",'Plan mensual'!G96,0))+parametros_manuales!$G$21*('Plan mensual'!G93+IF(parametros_manuales!$H$21="Todos",'Plan mensual'!G97,0)))*parametros_manuales!$I$21*parametros_manuales!$J$21</f>
        <v>19305.075</v>
      </c>
      <c r="F228" s="8">
        <f>(parametros_manuales!$D$21*('Plan mensual'!H90+IF(parametros_manuales!$H$21="Todos",'Plan mensual'!H94,0))+parametros_manuales!$E$21*('Plan mensual'!H91+IF(parametros_manuales!$H$21="Todos",'Plan mensual'!H95,0))+parametros_manuales!$F$21*('Plan mensual'!H92+IF(parametros_manuales!$H$21="Todos",'Plan mensual'!H96,0))+parametros_manuales!$G$21*('Plan mensual'!H93+IF(parametros_manuales!$H$21="Todos",'Plan mensual'!H97,0)))*parametros_manuales!$I$21*parametros_manuales!$J$21</f>
        <v>18066.31</v>
      </c>
      <c r="G228" s="8">
        <f>(parametros_manuales!$D$21*('Plan mensual'!I90+IF(parametros_manuales!$H$21="Todos",'Plan mensual'!I94,0))+parametros_manuales!$E$21*('Plan mensual'!I91+IF(parametros_manuales!$H$21="Todos",'Plan mensual'!I95,0))+parametros_manuales!$F$21*('Plan mensual'!I92+IF(parametros_manuales!$H$21="Todos",'Plan mensual'!I96,0))+parametros_manuales!$G$21*('Plan mensual'!I93+IF(parametros_manuales!$H$21="Todos",'Plan mensual'!I97,0)))*parametros_manuales!$I$21*parametros_manuales!$J$21</f>
        <v>17704.51</v>
      </c>
      <c r="H228" s="8">
        <f>(parametros_manuales!$D$21*('Plan mensual'!J90+IF(parametros_manuales!$H$21="Todos",'Plan mensual'!J94,0))+parametros_manuales!$E$21*('Plan mensual'!J91+IF(parametros_manuales!$H$21="Todos",'Plan mensual'!J95,0))+parametros_manuales!$F$21*('Plan mensual'!J92+IF(parametros_manuales!$H$21="Todos",'Plan mensual'!J96,0))+parametros_manuales!$G$21*('Plan mensual'!J93+IF(parametros_manuales!$H$21="Todos",'Plan mensual'!J97,0)))*parametros_manuales!$I$21*parametros_manuales!$J$21</f>
        <v>18943.275</v>
      </c>
      <c r="I228" s="8">
        <f>(parametros_manuales!$D$21*('Plan mensual'!K90+IF(parametros_manuales!$H$21="Todos",'Plan mensual'!K94,0))+parametros_manuales!$E$21*('Plan mensual'!K91+IF(parametros_manuales!$H$21="Todos",'Plan mensual'!K95,0))+parametros_manuales!$F$21*('Plan mensual'!K92+IF(parametros_manuales!$H$21="Todos",'Plan mensual'!K96,0))+parametros_manuales!$G$21*('Plan mensual'!K93+IF(parametros_manuales!$H$21="Todos",'Plan mensual'!K97,0)))*parametros_manuales!$I$21*parametros_manuales!$J$21</f>
        <v>18943.275</v>
      </c>
      <c r="J228" s="8">
        <f>(parametros_manuales!$D$21*('Plan mensual'!L90+IF(parametros_manuales!$H$21="Todos",'Plan mensual'!L94,0))+parametros_manuales!$E$21*('Plan mensual'!L91+IF(parametros_manuales!$H$21="Todos",'Plan mensual'!L95,0))+parametros_manuales!$F$21*('Plan mensual'!L92+IF(parametros_manuales!$H$21="Todos",'Plan mensual'!L96,0))+parametros_manuales!$G$21*('Plan mensual'!L93+IF(parametros_manuales!$H$21="Todos",'Plan mensual'!L97,0)))*parametros_manuales!$I$21*parametros_manuales!$J$21</f>
        <v>18943.275</v>
      </c>
      <c r="K228" s="8">
        <f>(parametros_manuales!$D$21*('Plan mensual'!M90+IF(parametros_manuales!$H$21="Todos",'Plan mensual'!M94,0))+parametros_manuales!$E$21*('Plan mensual'!M91+IF(parametros_manuales!$H$21="Todos",'Plan mensual'!M95,0))+parametros_manuales!$F$21*('Plan mensual'!M92+IF(parametros_manuales!$H$21="Todos",'Plan mensual'!M96,0))+parametros_manuales!$G$21*('Plan mensual'!M93+IF(parametros_manuales!$H$21="Todos",'Plan mensual'!M97,0)))*parametros_manuales!$I$21*parametros_manuales!$J$21</f>
        <v>18581.475</v>
      </c>
      <c r="L228" s="8">
        <f>(parametros_manuales!$D$21*('Plan mensual'!N90+IF(parametros_manuales!$H$21="Todos",'Plan mensual'!N94,0))+parametros_manuales!$E$21*('Plan mensual'!N91+IF(parametros_manuales!$H$21="Todos",'Plan mensual'!N95,0))+parametros_manuales!$F$21*('Plan mensual'!N92+IF(parametros_manuales!$H$21="Todos",'Plan mensual'!N96,0))+parametros_manuales!$G$21*('Plan mensual'!N93+IF(parametros_manuales!$H$21="Todos",'Plan mensual'!N97,0)))*parametros_manuales!$I$21*parametros_manuales!$J$21</f>
        <v>18219.675</v>
      </c>
      <c r="M228" s="8">
        <f>(parametros_manuales!$D$21*('Plan mensual'!O90+IF(parametros_manuales!$H$21="Todos",'Plan mensual'!O94,0))+parametros_manuales!$E$21*('Plan mensual'!O91+IF(parametros_manuales!$H$21="Todos",'Plan mensual'!O95,0))+parametros_manuales!$F$21*('Plan mensual'!O92+IF(parametros_manuales!$H$21="Todos",'Plan mensual'!O96,0))+parametros_manuales!$G$21*('Plan mensual'!O93+IF(parametros_manuales!$H$21="Todos",'Plan mensual'!O97,0)))*parametros_manuales!$I$21*parametros_manuales!$J$21</f>
        <v>29006.76</v>
      </c>
      <c r="N228" s="8">
        <f t="shared" si="25"/>
        <v>247753</v>
      </c>
      <c r="O228" s="8">
        <f t="shared" si="26"/>
        <v>29006.76</v>
      </c>
      <c r="P228" s="27">
        <f>O228/(parametros_manuales!$B$7)</f>
        <v>193.3784</v>
      </c>
      <c r="Q228" s="4" t="str">
        <f t="shared" si="27"/>
        <v>Dic</v>
      </c>
    </row>
    <row r="229" ht="14.25" customHeight="1">
      <c r="A229" s="4" t="str">
        <f>parametros_manuales!$B$22</f>
        <v>Corte de disco y embutido (cúpula y fondo)</v>
      </c>
      <c r="B229" s="8">
        <f>(parametros_manuales!$D$22*('Plan mensual'!D90+IF(parametros_manuales!$H$22="Todos",'Plan mensual'!D94,0))+parametros_manuales!$E$22*('Plan mensual'!D91+IF(parametros_manuales!$H$22="Todos",'Plan mensual'!D95,0))+parametros_manuales!$F$22*('Plan mensual'!D92+IF(parametros_manuales!$H$22="Todos",'Plan mensual'!D96,0))+parametros_manuales!$G$22*('Plan mensual'!D93+IF(parametros_manuales!$H$22="Todos",'Plan mensual'!D97,0)))*parametros_manuales!$I$22*parametros_manuales!$J$22</f>
        <v>56566.32</v>
      </c>
      <c r="C229" s="8">
        <f>(parametros_manuales!$D$22*('Plan mensual'!E90+IF(parametros_manuales!$H$22="Todos",'Plan mensual'!E94,0))+parametros_manuales!$E$22*('Plan mensual'!E91+IF(parametros_manuales!$H$22="Todos",'Plan mensual'!E95,0))+parametros_manuales!$F$22*('Plan mensual'!E92+IF(parametros_manuales!$H$22="Todos",'Plan mensual'!E96,0))+parametros_manuales!$G$22*('Plan mensual'!E93+IF(parametros_manuales!$H$22="Todos",'Plan mensual'!E97,0)))*parametros_manuales!$I$22*parametros_manuales!$J$22</f>
        <v>43148.34</v>
      </c>
      <c r="D229" s="8">
        <f>(parametros_manuales!$D$22*('Plan mensual'!F90+IF(parametros_manuales!$H$22="Todos",'Plan mensual'!F94,0))+parametros_manuales!$E$22*('Plan mensual'!F91+IF(parametros_manuales!$H$22="Todos",'Plan mensual'!F95,0))+parametros_manuales!$F$22*('Plan mensual'!F92+IF(parametros_manuales!$H$22="Todos",'Plan mensual'!F96,0))+parametros_manuales!$G$22*('Plan mensual'!F93+IF(parametros_manuales!$H$22="Todos",'Plan mensual'!F97,0)))*parametros_manuales!$I$22*parametros_manuales!$J$22</f>
        <v>40364.08</v>
      </c>
      <c r="E229" s="8">
        <f>(parametros_manuales!$D$22*('Plan mensual'!G90+IF(parametros_manuales!$H$22="Todos",'Plan mensual'!G94,0))+parametros_manuales!$E$22*('Plan mensual'!G91+IF(parametros_manuales!$H$22="Todos",'Plan mensual'!G95,0))+parametros_manuales!$F$22*('Plan mensual'!G92+IF(parametros_manuales!$H$22="Todos",'Plan mensual'!G96,0))+parametros_manuales!$G$22*('Plan mensual'!G93+IF(parametros_manuales!$H$22="Todos",'Plan mensual'!G97,0)))*parametros_manuales!$I$22*parametros_manuales!$J$22</f>
        <v>38610.15</v>
      </c>
      <c r="F229" s="8">
        <f>(parametros_manuales!$D$22*('Plan mensual'!H90+IF(parametros_manuales!$H$22="Todos",'Plan mensual'!H94,0))+parametros_manuales!$E$22*('Plan mensual'!H91+IF(parametros_manuales!$H$22="Todos",'Plan mensual'!H95,0))+parametros_manuales!$F$22*('Plan mensual'!H92+IF(parametros_manuales!$H$22="Todos",'Plan mensual'!H96,0))+parametros_manuales!$G$22*('Plan mensual'!H93+IF(parametros_manuales!$H$22="Todos",'Plan mensual'!H97,0)))*parametros_manuales!$I$22*parametros_manuales!$J$22</f>
        <v>36132.62</v>
      </c>
      <c r="G229" s="8">
        <f>(parametros_manuales!$D$22*('Plan mensual'!I90+IF(parametros_manuales!$H$22="Todos",'Plan mensual'!I94,0))+parametros_manuales!$E$22*('Plan mensual'!I91+IF(parametros_manuales!$H$22="Todos",'Plan mensual'!I95,0))+parametros_manuales!$F$22*('Plan mensual'!I92+IF(parametros_manuales!$H$22="Todos",'Plan mensual'!I96,0))+parametros_manuales!$G$22*('Plan mensual'!I93+IF(parametros_manuales!$H$22="Todos",'Plan mensual'!I97,0)))*parametros_manuales!$I$22*parametros_manuales!$J$22</f>
        <v>35409.02</v>
      </c>
      <c r="H229" s="8">
        <f>(parametros_manuales!$D$22*('Plan mensual'!J90+IF(parametros_manuales!$H$22="Todos",'Plan mensual'!J94,0))+parametros_manuales!$E$22*('Plan mensual'!J91+IF(parametros_manuales!$H$22="Todos",'Plan mensual'!J95,0))+parametros_manuales!$F$22*('Plan mensual'!J92+IF(parametros_manuales!$H$22="Todos",'Plan mensual'!J96,0))+parametros_manuales!$G$22*('Plan mensual'!J93+IF(parametros_manuales!$H$22="Todos",'Plan mensual'!J97,0)))*parametros_manuales!$I$22*parametros_manuales!$J$22</f>
        <v>37886.55</v>
      </c>
      <c r="I229" s="8">
        <f>(parametros_manuales!$D$22*('Plan mensual'!K90+IF(parametros_manuales!$H$22="Todos",'Plan mensual'!K94,0))+parametros_manuales!$E$22*('Plan mensual'!K91+IF(parametros_manuales!$H$22="Todos",'Plan mensual'!K95,0))+parametros_manuales!$F$22*('Plan mensual'!K92+IF(parametros_manuales!$H$22="Todos",'Plan mensual'!K96,0))+parametros_manuales!$G$22*('Plan mensual'!K93+IF(parametros_manuales!$H$22="Todos",'Plan mensual'!K97,0)))*parametros_manuales!$I$22*parametros_manuales!$J$22</f>
        <v>37886.55</v>
      </c>
      <c r="J229" s="8">
        <f>(parametros_manuales!$D$22*('Plan mensual'!L90+IF(parametros_manuales!$H$22="Todos",'Plan mensual'!L94,0))+parametros_manuales!$E$22*('Plan mensual'!L91+IF(parametros_manuales!$H$22="Todos",'Plan mensual'!L95,0))+parametros_manuales!$F$22*('Plan mensual'!L92+IF(parametros_manuales!$H$22="Todos",'Plan mensual'!L96,0))+parametros_manuales!$G$22*('Plan mensual'!L93+IF(parametros_manuales!$H$22="Todos",'Plan mensual'!L97,0)))*parametros_manuales!$I$22*parametros_manuales!$J$22</f>
        <v>37886.55</v>
      </c>
      <c r="K229" s="8">
        <f>(parametros_manuales!$D$22*('Plan mensual'!M90+IF(parametros_manuales!$H$22="Todos",'Plan mensual'!M94,0))+parametros_manuales!$E$22*('Plan mensual'!M91+IF(parametros_manuales!$H$22="Todos",'Plan mensual'!M95,0))+parametros_manuales!$F$22*('Plan mensual'!M92+IF(parametros_manuales!$H$22="Todos",'Plan mensual'!M96,0))+parametros_manuales!$G$22*('Plan mensual'!M93+IF(parametros_manuales!$H$22="Todos",'Plan mensual'!M97,0)))*parametros_manuales!$I$22*parametros_manuales!$J$22</f>
        <v>37162.95</v>
      </c>
      <c r="L229" s="8">
        <f>(parametros_manuales!$D$22*('Plan mensual'!N90+IF(parametros_manuales!$H$22="Todos",'Plan mensual'!N94,0))+parametros_manuales!$E$22*('Plan mensual'!N91+IF(parametros_manuales!$H$22="Todos",'Plan mensual'!N95,0))+parametros_manuales!$F$22*('Plan mensual'!N92+IF(parametros_manuales!$H$22="Todos",'Plan mensual'!N96,0))+parametros_manuales!$G$22*('Plan mensual'!N93+IF(parametros_manuales!$H$22="Todos",'Plan mensual'!N97,0)))*parametros_manuales!$I$22*parametros_manuales!$J$22</f>
        <v>36439.35</v>
      </c>
      <c r="M229" s="8">
        <f>(parametros_manuales!$D$22*('Plan mensual'!O90+IF(parametros_manuales!$H$22="Todos",'Plan mensual'!O94,0))+parametros_manuales!$E$22*('Plan mensual'!O91+IF(parametros_manuales!$H$22="Todos",'Plan mensual'!O95,0))+parametros_manuales!$F$22*('Plan mensual'!O92+IF(parametros_manuales!$H$22="Todos",'Plan mensual'!O96,0))+parametros_manuales!$G$22*('Plan mensual'!O93+IF(parametros_manuales!$H$22="Todos",'Plan mensual'!O97,0)))*parametros_manuales!$I$22*parametros_manuales!$J$22</f>
        <v>58013.52</v>
      </c>
      <c r="N229" s="8">
        <f t="shared" si="25"/>
        <v>495506</v>
      </c>
      <c r="O229" s="8">
        <f t="shared" si="26"/>
        <v>58013.52</v>
      </c>
      <c r="P229" s="27">
        <f>O229/(parametros_manuales!$B$7)</f>
        <v>386.7568</v>
      </c>
      <c r="Q229" s="4" t="str">
        <f t="shared" si="27"/>
        <v>Dic</v>
      </c>
    </row>
    <row r="230" ht="14.25" customHeight="1">
      <c r="A230" s="4" t="str">
        <f>parametros_manuales!$B$23</f>
        <v>Preparación de cuello</v>
      </c>
      <c r="B230" s="8">
        <f>(parametros_manuales!$D$23*('Plan mensual'!D90+IF(parametros_manuales!$H$23="Todos",'Plan mensual'!D94,0))+parametros_manuales!$E$23*('Plan mensual'!D91+IF(parametros_manuales!$H$23="Todos",'Plan mensual'!D95,0))+parametros_manuales!$F$23*('Plan mensual'!D92+IF(parametros_manuales!$H$23="Todos",'Plan mensual'!D96,0))+parametros_manuales!$G$23*('Plan mensual'!D93+IF(parametros_manuales!$H$23="Todos",'Plan mensual'!D97,0)))*parametros_manuales!$I$23*parametros_manuales!$J$23</f>
        <v>28283.16</v>
      </c>
      <c r="C230" s="8">
        <f>(parametros_manuales!$D$23*('Plan mensual'!E90+IF(parametros_manuales!$H$23="Todos",'Plan mensual'!E94,0))+parametros_manuales!$E$23*('Plan mensual'!E91+IF(parametros_manuales!$H$23="Todos",'Plan mensual'!E95,0))+parametros_manuales!$F$23*('Plan mensual'!E92+IF(parametros_manuales!$H$23="Todos",'Plan mensual'!E96,0))+parametros_manuales!$G$23*('Plan mensual'!E93+IF(parametros_manuales!$H$23="Todos",'Plan mensual'!E97,0)))*parametros_manuales!$I$23*parametros_manuales!$J$23</f>
        <v>21574.17</v>
      </c>
      <c r="D230" s="8">
        <f>(parametros_manuales!$D$23*('Plan mensual'!F90+IF(parametros_manuales!$H$23="Todos",'Plan mensual'!F94,0))+parametros_manuales!$E$23*('Plan mensual'!F91+IF(parametros_manuales!$H$23="Todos",'Plan mensual'!F95,0))+parametros_manuales!$F$23*('Plan mensual'!F92+IF(parametros_manuales!$H$23="Todos",'Plan mensual'!F96,0))+parametros_manuales!$G$23*('Plan mensual'!F93+IF(parametros_manuales!$H$23="Todos",'Plan mensual'!F97,0)))*parametros_manuales!$I$23*parametros_manuales!$J$23</f>
        <v>20182.04</v>
      </c>
      <c r="E230" s="8">
        <f>(parametros_manuales!$D$23*('Plan mensual'!G90+IF(parametros_manuales!$H$23="Todos",'Plan mensual'!G94,0))+parametros_manuales!$E$23*('Plan mensual'!G91+IF(parametros_manuales!$H$23="Todos",'Plan mensual'!G95,0))+parametros_manuales!$F$23*('Plan mensual'!G92+IF(parametros_manuales!$H$23="Todos",'Plan mensual'!G96,0))+parametros_manuales!$G$23*('Plan mensual'!G93+IF(parametros_manuales!$H$23="Todos",'Plan mensual'!G97,0)))*parametros_manuales!$I$23*parametros_manuales!$J$23</f>
        <v>19305.075</v>
      </c>
      <c r="F230" s="8">
        <f>(parametros_manuales!$D$23*('Plan mensual'!H90+IF(parametros_manuales!$H$23="Todos",'Plan mensual'!H94,0))+parametros_manuales!$E$23*('Plan mensual'!H91+IF(parametros_manuales!$H$23="Todos",'Plan mensual'!H95,0))+parametros_manuales!$F$23*('Plan mensual'!H92+IF(parametros_manuales!$H$23="Todos",'Plan mensual'!H96,0))+parametros_manuales!$G$23*('Plan mensual'!H93+IF(parametros_manuales!$H$23="Todos",'Plan mensual'!H97,0)))*parametros_manuales!$I$23*parametros_manuales!$J$23</f>
        <v>18066.31</v>
      </c>
      <c r="G230" s="8">
        <f>(parametros_manuales!$D$23*('Plan mensual'!I90+IF(parametros_manuales!$H$23="Todos",'Plan mensual'!I94,0))+parametros_manuales!$E$23*('Plan mensual'!I91+IF(parametros_manuales!$H$23="Todos",'Plan mensual'!I95,0))+parametros_manuales!$F$23*('Plan mensual'!I92+IF(parametros_manuales!$H$23="Todos",'Plan mensual'!I96,0))+parametros_manuales!$G$23*('Plan mensual'!I93+IF(parametros_manuales!$H$23="Todos",'Plan mensual'!I97,0)))*parametros_manuales!$I$23*parametros_manuales!$J$23</f>
        <v>17704.51</v>
      </c>
      <c r="H230" s="8">
        <f>(parametros_manuales!$D$23*('Plan mensual'!J90+IF(parametros_manuales!$H$23="Todos",'Plan mensual'!J94,0))+parametros_manuales!$E$23*('Plan mensual'!J91+IF(parametros_manuales!$H$23="Todos",'Plan mensual'!J95,0))+parametros_manuales!$F$23*('Plan mensual'!J92+IF(parametros_manuales!$H$23="Todos",'Plan mensual'!J96,0))+parametros_manuales!$G$23*('Plan mensual'!J93+IF(parametros_manuales!$H$23="Todos",'Plan mensual'!J97,0)))*parametros_manuales!$I$23*parametros_manuales!$J$23</f>
        <v>18943.275</v>
      </c>
      <c r="I230" s="8">
        <f>(parametros_manuales!$D$23*('Plan mensual'!K90+IF(parametros_manuales!$H$23="Todos",'Plan mensual'!K94,0))+parametros_manuales!$E$23*('Plan mensual'!K91+IF(parametros_manuales!$H$23="Todos",'Plan mensual'!K95,0))+parametros_manuales!$F$23*('Plan mensual'!K92+IF(parametros_manuales!$H$23="Todos",'Plan mensual'!K96,0))+parametros_manuales!$G$23*('Plan mensual'!K93+IF(parametros_manuales!$H$23="Todos",'Plan mensual'!K97,0)))*parametros_manuales!$I$23*parametros_manuales!$J$23</f>
        <v>18943.275</v>
      </c>
      <c r="J230" s="8">
        <f>(parametros_manuales!$D$23*('Plan mensual'!L90+IF(parametros_manuales!$H$23="Todos",'Plan mensual'!L94,0))+parametros_manuales!$E$23*('Plan mensual'!L91+IF(parametros_manuales!$H$23="Todos",'Plan mensual'!L95,0))+parametros_manuales!$F$23*('Plan mensual'!L92+IF(parametros_manuales!$H$23="Todos",'Plan mensual'!L96,0))+parametros_manuales!$G$23*('Plan mensual'!L93+IF(parametros_manuales!$H$23="Todos",'Plan mensual'!L97,0)))*parametros_manuales!$I$23*parametros_manuales!$J$23</f>
        <v>18943.275</v>
      </c>
      <c r="K230" s="8">
        <f>(parametros_manuales!$D$23*('Plan mensual'!M90+IF(parametros_manuales!$H$23="Todos",'Plan mensual'!M94,0))+parametros_manuales!$E$23*('Plan mensual'!M91+IF(parametros_manuales!$H$23="Todos",'Plan mensual'!M95,0))+parametros_manuales!$F$23*('Plan mensual'!M92+IF(parametros_manuales!$H$23="Todos",'Plan mensual'!M96,0))+parametros_manuales!$G$23*('Plan mensual'!M93+IF(parametros_manuales!$H$23="Todos",'Plan mensual'!M97,0)))*parametros_manuales!$I$23*parametros_manuales!$J$23</f>
        <v>18581.475</v>
      </c>
      <c r="L230" s="8">
        <f>(parametros_manuales!$D$23*('Plan mensual'!N90+IF(parametros_manuales!$H$23="Todos",'Plan mensual'!N94,0))+parametros_manuales!$E$23*('Plan mensual'!N91+IF(parametros_manuales!$H$23="Todos",'Plan mensual'!N95,0))+parametros_manuales!$F$23*('Plan mensual'!N92+IF(parametros_manuales!$H$23="Todos",'Plan mensual'!N96,0))+parametros_manuales!$G$23*('Plan mensual'!N93+IF(parametros_manuales!$H$23="Todos",'Plan mensual'!N97,0)))*parametros_manuales!$I$23*parametros_manuales!$J$23</f>
        <v>18219.675</v>
      </c>
      <c r="M230" s="8">
        <f>(parametros_manuales!$D$23*('Plan mensual'!O90+IF(parametros_manuales!$H$23="Todos",'Plan mensual'!O94,0))+parametros_manuales!$E$23*('Plan mensual'!O91+IF(parametros_manuales!$H$23="Todos",'Plan mensual'!O95,0))+parametros_manuales!$F$23*('Plan mensual'!O92+IF(parametros_manuales!$H$23="Todos",'Plan mensual'!O96,0))+parametros_manuales!$G$23*('Plan mensual'!O93+IF(parametros_manuales!$H$23="Todos",'Plan mensual'!O97,0)))*parametros_manuales!$I$23*parametros_manuales!$J$23</f>
        <v>29006.76</v>
      </c>
      <c r="N230" s="8">
        <f t="shared" si="25"/>
        <v>247753</v>
      </c>
      <c r="O230" s="8">
        <f t="shared" si="26"/>
        <v>29006.76</v>
      </c>
      <c r="P230" s="27">
        <f>O230/(parametros_manuales!$B$7)</f>
        <v>193.3784</v>
      </c>
      <c r="Q230" s="4" t="str">
        <f t="shared" si="27"/>
        <v>Dic</v>
      </c>
    </row>
    <row r="231" ht="14.25" customHeight="1">
      <c r="A231" s="4" t="str">
        <f>parametros_manuales!$B$24</f>
        <v>Numerado de cúpula</v>
      </c>
      <c r="B231" s="8">
        <f>(parametros_manuales!$D$24*('Plan mensual'!D90+IF(parametros_manuales!$H$24="Todos",'Plan mensual'!D94,0))+parametros_manuales!$E$24*('Plan mensual'!D91+IF(parametros_manuales!$H$24="Todos",'Plan mensual'!D95,0))+parametros_manuales!$F$24*('Plan mensual'!D92+IF(parametros_manuales!$H$24="Todos",'Plan mensual'!D96,0))+parametros_manuales!$G$24*('Plan mensual'!D93+IF(parametros_manuales!$H$24="Todos",'Plan mensual'!D97,0)))*parametros_manuales!$I$24*parametros_manuales!$J$24</f>
        <v>28283.16</v>
      </c>
      <c r="C231" s="8">
        <f>(parametros_manuales!$D$24*('Plan mensual'!E90+IF(parametros_manuales!$H$24="Todos",'Plan mensual'!E94,0))+parametros_manuales!$E$24*('Plan mensual'!E91+IF(parametros_manuales!$H$24="Todos",'Plan mensual'!E95,0))+parametros_manuales!$F$24*('Plan mensual'!E92+IF(parametros_manuales!$H$24="Todos",'Plan mensual'!E96,0))+parametros_manuales!$G$24*('Plan mensual'!E93+IF(parametros_manuales!$H$24="Todos",'Plan mensual'!E97,0)))*parametros_manuales!$I$24*parametros_manuales!$J$24</f>
        <v>21574.17</v>
      </c>
      <c r="D231" s="8">
        <f>(parametros_manuales!$D$24*('Plan mensual'!F90+IF(parametros_manuales!$H$24="Todos",'Plan mensual'!F94,0))+parametros_manuales!$E$24*('Plan mensual'!F91+IF(parametros_manuales!$H$24="Todos",'Plan mensual'!F95,0))+parametros_manuales!$F$24*('Plan mensual'!F92+IF(parametros_manuales!$H$24="Todos",'Plan mensual'!F96,0))+parametros_manuales!$G$24*('Plan mensual'!F93+IF(parametros_manuales!$H$24="Todos",'Plan mensual'!F97,0)))*parametros_manuales!$I$24*parametros_manuales!$J$24</f>
        <v>20182.04</v>
      </c>
      <c r="E231" s="8">
        <f>(parametros_manuales!$D$24*('Plan mensual'!G90+IF(parametros_manuales!$H$24="Todos",'Plan mensual'!G94,0))+parametros_manuales!$E$24*('Plan mensual'!G91+IF(parametros_manuales!$H$24="Todos",'Plan mensual'!G95,0))+parametros_manuales!$F$24*('Plan mensual'!G92+IF(parametros_manuales!$H$24="Todos",'Plan mensual'!G96,0))+parametros_manuales!$G$24*('Plan mensual'!G93+IF(parametros_manuales!$H$24="Todos",'Plan mensual'!G97,0)))*parametros_manuales!$I$24*parametros_manuales!$J$24</f>
        <v>19305.075</v>
      </c>
      <c r="F231" s="8">
        <f>(parametros_manuales!$D$24*('Plan mensual'!H90+IF(parametros_manuales!$H$24="Todos",'Plan mensual'!H94,0))+parametros_manuales!$E$24*('Plan mensual'!H91+IF(parametros_manuales!$H$24="Todos",'Plan mensual'!H95,0))+parametros_manuales!$F$24*('Plan mensual'!H92+IF(parametros_manuales!$H$24="Todos",'Plan mensual'!H96,0))+parametros_manuales!$G$24*('Plan mensual'!H93+IF(parametros_manuales!$H$24="Todos",'Plan mensual'!H97,0)))*parametros_manuales!$I$24*parametros_manuales!$J$24</f>
        <v>18066.31</v>
      </c>
      <c r="G231" s="8">
        <f>(parametros_manuales!$D$24*('Plan mensual'!I90+IF(parametros_manuales!$H$24="Todos",'Plan mensual'!I94,0))+parametros_manuales!$E$24*('Plan mensual'!I91+IF(parametros_manuales!$H$24="Todos",'Plan mensual'!I95,0))+parametros_manuales!$F$24*('Plan mensual'!I92+IF(parametros_manuales!$H$24="Todos",'Plan mensual'!I96,0))+parametros_manuales!$G$24*('Plan mensual'!I93+IF(parametros_manuales!$H$24="Todos",'Plan mensual'!I97,0)))*parametros_manuales!$I$24*parametros_manuales!$J$24</f>
        <v>17704.51</v>
      </c>
      <c r="H231" s="8">
        <f>(parametros_manuales!$D$24*('Plan mensual'!J90+IF(parametros_manuales!$H$24="Todos",'Plan mensual'!J94,0))+parametros_manuales!$E$24*('Plan mensual'!J91+IF(parametros_manuales!$H$24="Todos",'Plan mensual'!J95,0))+parametros_manuales!$F$24*('Plan mensual'!J92+IF(parametros_manuales!$H$24="Todos",'Plan mensual'!J96,0))+parametros_manuales!$G$24*('Plan mensual'!J93+IF(parametros_manuales!$H$24="Todos",'Plan mensual'!J97,0)))*parametros_manuales!$I$24*parametros_manuales!$J$24</f>
        <v>18943.275</v>
      </c>
      <c r="I231" s="8">
        <f>(parametros_manuales!$D$24*('Plan mensual'!K90+IF(parametros_manuales!$H$24="Todos",'Plan mensual'!K94,0))+parametros_manuales!$E$24*('Plan mensual'!K91+IF(parametros_manuales!$H$24="Todos",'Plan mensual'!K95,0))+parametros_manuales!$F$24*('Plan mensual'!K92+IF(parametros_manuales!$H$24="Todos",'Plan mensual'!K96,0))+parametros_manuales!$G$24*('Plan mensual'!K93+IF(parametros_manuales!$H$24="Todos",'Plan mensual'!K97,0)))*parametros_manuales!$I$24*parametros_manuales!$J$24</f>
        <v>18943.275</v>
      </c>
      <c r="J231" s="8">
        <f>(parametros_manuales!$D$24*('Plan mensual'!L90+IF(parametros_manuales!$H$24="Todos",'Plan mensual'!L94,0))+parametros_manuales!$E$24*('Plan mensual'!L91+IF(parametros_manuales!$H$24="Todos",'Plan mensual'!L95,0))+parametros_manuales!$F$24*('Plan mensual'!L92+IF(parametros_manuales!$H$24="Todos",'Plan mensual'!L96,0))+parametros_manuales!$G$24*('Plan mensual'!L93+IF(parametros_manuales!$H$24="Todos",'Plan mensual'!L97,0)))*parametros_manuales!$I$24*parametros_manuales!$J$24</f>
        <v>18943.275</v>
      </c>
      <c r="K231" s="8">
        <f>(parametros_manuales!$D$24*('Plan mensual'!M90+IF(parametros_manuales!$H$24="Todos",'Plan mensual'!M94,0))+parametros_manuales!$E$24*('Plan mensual'!M91+IF(parametros_manuales!$H$24="Todos",'Plan mensual'!M95,0))+parametros_manuales!$F$24*('Plan mensual'!M92+IF(parametros_manuales!$H$24="Todos",'Plan mensual'!M96,0))+parametros_manuales!$G$24*('Plan mensual'!M93+IF(parametros_manuales!$H$24="Todos",'Plan mensual'!M97,0)))*parametros_manuales!$I$24*parametros_manuales!$J$24</f>
        <v>18581.475</v>
      </c>
      <c r="L231" s="8">
        <f>(parametros_manuales!$D$24*('Plan mensual'!N90+IF(parametros_manuales!$H$24="Todos",'Plan mensual'!N94,0))+parametros_manuales!$E$24*('Plan mensual'!N91+IF(parametros_manuales!$H$24="Todos",'Plan mensual'!N95,0))+parametros_manuales!$F$24*('Plan mensual'!N92+IF(parametros_manuales!$H$24="Todos",'Plan mensual'!N96,0))+parametros_manuales!$G$24*('Plan mensual'!N93+IF(parametros_manuales!$H$24="Todos",'Plan mensual'!N97,0)))*parametros_manuales!$I$24*parametros_manuales!$J$24</f>
        <v>18219.675</v>
      </c>
      <c r="M231" s="8">
        <f>(parametros_manuales!$D$24*('Plan mensual'!O90+IF(parametros_manuales!$H$24="Todos",'Plan mensual'!O94,0))+parametros_manuales!$E$24*('Plan mensual'!O91+IF(parametros_manuales!$H$24="Todos",'Plan mensual'!O95,0))+parametros_manuales!$F$24*('Plan mensual'!O92+IF(parametros_manuales!$H$24="Todos",'Plan mensual'!O96,0))+parametros_manuales!$G$24*('Plan mensual'!O93+IF(parametros_manuales!$H$24="Todos",'Plan mensual'!O97,0)))*parametros_manuales!$I$24*parametros_manuales!$J$24</f>
        <v>29006.76</v>
      </c>
      <c r="N231" s="8">
        <f t="shared" si="25"/>
        <v>247753</v>
      </c>
      <c r="O231" s="8">
        <f t="shared" si="26"/>
        <v>29006.76</v>
      </c>
      <c r="P231" s="27">
        <f>O231/(parametros_manuales!$B$7)</f>
        <v>193.3784</v>
      </c>
      <c r="Q231" s="4" t="str">
        <f t="shared" si="27"/>
        <v>Dic</v>
      </c>
    </row>
    <row r="232" ht="14.25" customHeight="1">
      <c r="A232" s="4" t="str">
        <f>parametros_manuales!$B$25</f>
        <v>Soldadura del cuello a la cúpula</v>
      </c>
      <c r="B232" s="8">
        <f>(parametros_manuales!$D$25*('Plan mensual'!D90+IF(parametros_manuales!$H$25="Todos",'Plan mensual'!D94,0))+parametros_manuales!$E$25*('Plan mensual'!D91+IF(parametros_manuales!$H$25="Todos",'Plan mensual'!D95,0))+parametros_manuales!$F$25*('Plan mensual'!D92+IF(parametros_manuales!$H$25="Todos",'Plan mensual'!D96,0))+parametros_manuales!$G$25*('Plan mensual'!D93+IF(parametros_manuales!$H$25="Todos",'Plan mensual'!D97,0)))*parametros_manuales!$I$25*parametros_manuales!$J$25</f>
        <v>28283.16</v>
      </c>
      <c r="C232" s="8">
        <f>(parametros_manuales!$D$25*('Plan mensual'!E90+IF(parametros_manuales!$H$25="Todos",'Plan mensual'!E94,0))+parametros_manuales!$E$25*('Plan mensual'!E91+IF(parametros_manuales!$H$25="Todos",'Plan mensual'!E95,0))+parametros_manuales!$F$25*('Plan mensual'!E92+IF(parametros_manuales!$H$25="Todos",'Plan mensual'!E96,0))+parametros_manuales!$G$25*('Plan mensual'!E93+IF(parametros_manuales!$H$25="Todos",'Plan mensual'!E97,0)))*parametros_manuales!$I$25*parametros_manuales!$J$25</f>
        <v>21574.17</v>
      </c>
      <c r="D232" s="8">
        <f>(parametros_manuales!$D$25*('Plan mensual'!F90+IF(parametros_manuales!$H$25="Todos",'Plan mensual'!F94,0))+parametros_manuales!$E$25*('Plan mensual'!F91+IF(parametros_manuales!$H$25="Todos",'Plan mensual'!F95,0))+parametros_manuales!$F$25*('Plan mensual'!F92+IF(parametros_manuales!$H$25="Todos",'Plan mensual'!F96,0))+parametros_manuales!$G$25*('Plan mensual'!F93+IF(parametros_manuales!$H$25="Todos",'Plan mensual'!F97,0)))*parametros_manuales!$I$25*parametros_manuales!$J$25</f>
        <v>20182.04</v>
      </c>
      <c r="E232" s="8">
        <f>(parametros_manuales!$D$25*('Plan mensual'!G90+IF(parametros_manuales!$H$25="Todos",'Plan mensual'!G94,0))+parametros_manuales!$E$25*('Plan mensual'!G91+IF(parametros_manuales!$H$25="Todos",'Plan mensual'!G95,0))+parametros_manuales!$F$25*('Plan mensual'!G92+IF(parametros_manuales!$H$25="Todos",'Plan mensual'!G96,0))+parametros_manuales!$G$25*('Plan mensual'!G93+IF(parametros_manuales!$H$25="Todos",'Plan mensual'!G97,0)))*parametros_manuales!$I$25*parametros_manuales!$J$25</f>
        <v>19305.075</v>
      </c>
      <c r="F232" s="8">
        <f>(parametros_manuales!$D$25*('Plan mensual'!H90+IF(parametros_manuales!$H$25="Todos",'Plan mensual'!H94,0))+parametros_manuales!$E$25*('Plan mensual'!H91+IF(parametros_manuales!$H$25="Todos",'Plan mensual'!H95,0))+parametros_manuales!$F$25*('Plan mensual'!H92+IF(parametros_manuales!$H$25="Todos",'Plan mensual'!H96,0))+parametros_manuales!$G$25*('Plan mensual'!H93+IF(parametros_manuales!$H$25="Todos",'Plan mensual'!H97,0)))*parametros_manuales!$I$25*parametros_manuales!$J$25</f>
        <v>18066.31</v>
      </c>
      <c r="G232" s="8">
        <f>(parametros_manuales!$D$25*('Plan mensual'!I90+IF(parametros_manuales!$H$25="Todos",'Plan mensual'!I94,0))+parametros_manuales!$E$25*('Plan mensual'!I91+IF(parametros_manuales!$H$25="Todos",'Plan mensual'!I95,0))+parametros_manuales!$F$25*('Plan mensual'!I92+IF(parametros_manuales!$H$25="Todos",'Plan mensual'!I96,0))+parametros_manuales!$G$25*('Plan mensual'!I93+IF(parametros_manuales!$H$25="Todos",'Plan mensual'!I97,0)))*parametros_manuales!$I$25*parametros_manuales!$J$25</f>
        <v>17704.51</v>
      </c>
      <c r="H232" s="8">
        <f>(parametros_manuales!$D$25*('Plan mensual'!J90+IF(parametros_manuales!$H$25="Todos",'Plan mensual'!J94,0))+parametros_manuales!$E$25*('Plan mensual'!J91+IF(parametros_manuales!$H$25="Todos",'Plan mensual'!J95,0))+parametros_manuales!$F$25*('Plan mensual'!J92+IF(parametros_manuales!$H$25="Todos",'Plan mensual'!J96,0))+parametros_manuales!$G$25*('Plan mensual'!J93+IF(parametros_manuales!$H$25="Todos",'Plan mensual'!J97,0)))*parametros_manuales!$I$25*parametros_manuales!$J$25</f>
        <v>18943.275</v>
      </c>
      <c r="I232" s="8">
        <f>(parametros_manuales!$D$25*('Plan mensual'!K90+IF(parametros_manuales!$H$25="Todos",'Plan mensual'!K94,0))+parametros_manuales!$E$25*('Plan mensual'!K91+IF(parametros_manuales!$H$25="Todos",'Plan mensual'!K95,0))+parametros_manuales!$F$25*('Plan mensual'!K92+IF(parametros_manuales!$H$25="Todos",'Plan mensual'!K96,0))+parametros_manuales!$G$25*('Plan mensual'!K93+IF(parametros_manuales!$H$25="Todos",'Plan mensual'!K97,0)))*parametros_manuales!$I$25*parametros_manuales!$J$25</f>
        <v>18943.275</v>
      </c>
      <c r="J232" s="8">
        <f>(parametros_manuales!$D$25*('Plan mensual'!L90+IF(parametros_manuales!$H$25="Todos",'Plan mensual'!L94,0))+parametros_manuales!$E$25*('Plan mensual'!L91+IF(parametros_manuales!$H$25="Todos",'Plan mensual'!L95,0))+parametros_manuales!$F$25*('Plan mensual'!L92+IF(parametros_manuales!$H$25="Todos",'Plan mensual'!L96,0))+parametros_manuales!$G$25*('Plan mensual'!L93+IF(parametros_manuales!$H$25="Todos",'Plan mensual'!L97,0)))*parametros_manuales!$I$25*parametros_manuales!$J$25</f>
        <v>18943.275</v>
      </c>
      <c r="K232" s="8">
        <f>(parametros_manuales!$D$25*('Plan mensual'!M90+IF(parametros_manuales!$H$25="Todos",'Plan mensual'!M94,0))+parametros_manuales!$E$25*('Plan mensual'!M91+IF(parametros_manuales!$H$25="Todos",'Plan mensual'!M95,0))+parametros_manuales!$F$25*('Plan mensual'!M92+IF(parametros_manuales!$H$25="Todos",'Plan mensual'!M96,0))+parametros_manuales!$G$25*('Plan mensual'!M93+IF(parametros_manuales!$H$25="Todos",'Plan mensual'!M97,0)))*parametros_manuales!$I$25*parametros_manuales!$J$25</f>
        <v>18581.475</v>
      </c>
      <c r="L232" s="8">
        <f>(parametros_manuales!$D$25*('Plan mensual'!N90+IF(parametros_manuales!$H$25="Todos",'Plan mensual'!N94,0))+parametros_manuales!$E$25*('Plan mensual'!N91+IF(parametros_manuales!$H$25="Todos",'Plan mensual'!N95,0))+parametros_manuales!$F$25*('Plan mensual'!N92+IF(parametros_manuales!$H$25="Todos",'Plan mensual'!N96,0))+parametros_manuales!$G$25*('Plan mensual'!N93+IF(parametros_manuales!$H$25="Todos",'Plan mensual'!N97,0)))*parametros_manuales!$I$25*parametros_manuales!$J$25</f>
        <v>18219.675</v>
      </c>
      <c r="M232" s="8">
        <f>(parametros_manuales!$D$25*('Plan mensual'!O90+IF(parametros_manuales!$H$25="Todos",'Plan mensual'!O94,0))+parametros_manuales!$E$25*('Plan mensual'!O91+IF(parametros_manuales!$H$25="Todos",'Plan mensual'!O95,0))+parametros_manuales!$F$25*('Plan mensual'!O92+IF(parametros_manuales!$H$25="Todos",'Plan mensual'!O96,0))+parametros_manuales!$G$25*('Plan mensual'!O93+IF(parametros_manuales!$H$25="Todos",'Plan mensual'!O97,0)))*parametros_manuales!$I$25*parametros_manuales!$J$25</f>
        <v>29006.76</v>
      </c>
      <c r="N232" s="8">
        <f t="shared" si="25"/>
        <v>247753</v>
      </c>
      <c r="O232" s="8">
        <f t="shared" si="26"/>
        <v>29006.76</v>
      </c>
      <c r="P232" s="27">
        <f>O232/(parametros_manuales!$B$7)</f>
        <v>193.3784</v>
      </c>
      <c r="Q232" s="4" t="str">
        <f t="shared" si="27"/>
        <v>Dic</v>
      </c>
    </row>
    <row r="233" ht="14.25" customHeight="1">
      <c r="A233" s="4" t="str">
        <f>parametros_manuales!$B$26</f>
        <v>Cilindrado</v>
      </c>
      <c r="B233" s="8">
        <f>(parametros_manuales!$D$26*('Plan mensual'!D90+IF(parametros_manuales!$H$26="Todos",'Plan mensual'!D94,0))+parametros_manuales!$E$26*('Plan mensual'!D91+IF(parametros_manuales!$H$26="Todos",'Plan mensual'!D95,0))+parametros_manuales!$F$26*('Plan mensual'!D92+IF(parametros_manuales!$H$26="Todos",'Plan mensual'!D96,0))+parametros_manuales!$G$26*('Plan mensual'!D93+IF(parametros_manuales!$H$26="Todos",'Plan mensual'!D97,0)))*parametros_manuales!$I$26*parametros_manuales!$J$26</f>
        <v>28283.16</v>
      </c>
      <c r="C233" s="8">
        <f>(parametros_manuales!$D$26*('Plan mensual'!E90+IF(parametros_manuales!$H$26="Todos",'Plan mensual'!E94,0))+parametros_manuales!$E$26*('Plan mensual'!E91+IF(parametros_manuales!$H$26="Todos",'Plan mensual'!E95,0))+parametros_manuales!$F$26*('Plan mensual'!E92+IF(parametros_manuales!$H$26="Todos",'Plan mensual'!E96,0))+parametros_manuales!$G$26*('Plan mensual'!E93+IF(parametros_manuales!$H$26="Todos",'Plan mensual'!E97,0)))*parametros_manuales!$I$26*parametros_manuales!$J$26</f>
        <v>21574.17</v>
      </c>
      <c r="D233" s="8">
        <f>(parametros_manuales!$D$26*('Plan mensual'!F90+IF(parametros_manuales!$H$26="Todos",'Plan mensual'!F94,0))+parametros_manuales!$E$26*('Plan mensual'!F91+IF(parametros_manuales!$H$26="Todos",'Plan mensual'!F95,0))+parametros_manuales!$F$26*('Plan mensual'!F92+IF(parametros_manuales!$H$26="Todos",'Plan mensual'!F96,0))+parametros_manuales!$G$26*('Plan mensual'!F93+IF(parametros_manuales!$H$26="Todos",'Plan mensual'!F97,0)))*parametros_manuales!$I$26*parametros_manuales!$J$26</f>
        <v>20182.04</v>
      </c>
      <c r="E233" s="8">
        <f>(parametros_manuales!$D$26*('Plan mensual'!G90+IF(parametros_manuales!$H$26="Todos",'Plan mensual'!G94,0))+parametros_manuales!$E$26*('Plan mensual'!G91+IF(parametros_manuales!$H$26="Todos",'Plan mensual'!G95,0))+parametros_manuales!$F$26*('Plan mensual'!G92+IF(parametros_manuales!$H$26="Todos",'Plan mensual'!G96,0))+parametros_manuales!$G$26*('Plan mensual'!G93+IF(parametros_manuales!$H$26="Todos",'Plan mensual'!G97,0)))*parametros_manuales!$I$26*parametros_manuales!$J$26</f>
        <v>19305.075</v>
      </c>
      <c r="F233" s="8">
        <f>(parametros_manuales!$D$26*('Plan mensual'!H90+IF(parametros_manuales!$H$26="Todos",'Plan mensual'!H94,0))+parametros_manuales!$E$26*('Plan mensual'!H91+IF(parametros_manuales!$H$26="Todos",'Plan mensual'!H95,0))+parametros_manuales!$F$26*('Plan mensual'!H92+IF(parametros_manuales!$H$26="Todos",'Plan mensual'!H96,0))+parametros_manuales!$G$26*('Plan mensual'!H93+IF(parametros_manuales!$H$26="Todos",'Plan mensual'!H97,0)))*parametros_manuales!$I$26*parametros_manuales!$J$26</f>
        <v>18066.31</v>
      </c>
      <c r="G233" s="8">
        <f>(parametros_manuales!$D$26*('Plan mensual'!I90+IF(parametros_manuales!$H$26="Todos",'Plan mensual'!I94,0))+parametros_manuales!$E$26*('Plan mensual'!I91+IF(parametros_manuales!$H$26="Todos",'Plan mensual'!I95,0))+parametros_manuales!$F$26*('Plan mensual'!I92+IF(parametros_manuales!$H$26="Todos",'Plan mensual'!I96,0))+parametros_manuales!$G$26*('Plan mensual'!I93+IF(parametros_manuales!$H$26="Todos",'Plan mensual'!I97,0)))*parametros_manuales!$I$26*parametros_manuales!$J$26</f>
        <v>17704.51</v>
      </c>
      <c r="H233" s="8">
        <f>(parametros_manuales!$D$26*('Plan mensual'!J90+IF(parametros_manuales!$H$26="Todos",'Plan mensual'!J94,0))+parametros_manuales!$E$26*('Plan mensual'!J91+IF(parametros_manuales!$H$26="Todos",'Plan mensual'!J95,0))+parametros_manuales!$F$26*('Plan mensual'!J92+IF(parametros_manuales!$H$26="Todos",'Plan mensual'!J96,0))+parametros_manuales!$G$26*('Plan mensual'!J93+IF(parametros_manuales!$H$26="Todos",'Plan mensual'!J97,0)))*parametros_manuales!$I$26*parametros_manuales!$J$26</f>
        <v>18943.275</v>
      </c>
      <c r="I233" s="8">
        <f>(parametros_manuales!$D$26*('Plan mensual'!K90+IF(parametros_manuales!$H$26="Todos",'Plan mensual'!K94,0))+parametros_manuales!$E$26*('Plan mensual'!K91+IF(parametros_manuales!$H$26="Todos",'Plan mensual'!K95,0))+parametros_manuales!$F$26*('Plan mensual'!K92+IF(parametros_manuales!$H$26="Todos",'Plan mensual'!K96,0))+parametros_manuales!$G$26*('Plan mensual'!K93+IF(parametros_manuales!$H$26="Todos",'Plan mensual'!K97,0)))*parametros_manuales!$I$26*parametros_manuales!$J$26</f>
        <v>18943.275</v>
      </c>
      <c r="J233" s="8">
        <f>(parametros_manuales!$D$26*('Plan mensual'!L90+IF(parametros_manuales!$H$26="Todos",'Plan mensual'!L94,0))+parametros_manuales!$E$26*('Plan mensual'!L91+IF(parametros_manuales!$H$26="Todos",'Plan mensual'!L95,0))+parametros_manuales!$F$26*('Plan mensual'!L92+IF(parametros_manuales!$H$26="Todos",'Plan mensual'!L96,0))+parametros_manuales!$G$26*('Plan mensual'!L93+IF(parametros_manuales!$H$26="Todos",'Plan mensual'!L97,0)))*parametros_manuales!$I$26*parametros_manuales!$J$26</f>
        <v>18943.275</v>
      </c>
      <c r="K233" s="8">
        <f>(parametros_manuales!$D$26*('Plan mensual'!M90+IF(parametros_manuales!$H$26="Todos",'Plan mensual'!M94,0))+parametros_manuales!$E$26*('Plan mensual'!M91+IF(parametros_manuales!$H$26="Todos",'Plan mensual'!M95,0))+parametros_manuales!$F$26*('Plan mensual'!M92+IF(parametros_manuales!$H$26="Todos",'Plan mensual'!M96,0))+parametros_manuales!$G$26*('Plan mensual'!M93+IF(parametros_manuales!$H$26="Todos",'Plan mensual'!M97,0)))*parametros_manuales!$I$26*parametros_manuales!$J$26</f>
        <v>18581.475</v>
      </c>
      <c r="L233" s="8">
        <f>(parametros_manuales!$D$26*('Plan mensual'!N90+IF(parametros_manuales!$H$26="Todos",'Plan mensual'!N94,0))+parametros_manuales!$E$26*('Plan mensual'!N91+IF(parametros_manuales!$H$26="Todos",'Plan mensual'!N95,0))+parametros_manuales!$F$26*('Plan mensual'!N92+IF(parametros_manuales!$H$26="Todos",'Plan mensual'!N96,0))+parametros_manuales!$G$26*('Plan mensual'!N93+IF(parametros_manuales!$H$26="Todos",'Plan mensual'!N97,0)))*parametros_manuales!$I$26*parametros_manuales!$J$26</f>
        <v>18219.675</v>
      </c>
      <c r="M233" s="8">
        <f>(parametros_manuales!$D$26*('Plan mensual'!O90+IF(parametros_manuales!$H$26="Todos",'Plan mensual'!O94,0))+parametros_manuales!$E$26*('Plan mensual'!O91+IF(parametros_manuales!$H$26="Todos",'Plan mensual'!O95,0))+parametros_manuales!$F$26*('Plan mensual'!O92+IF(parametros_manuales!$H$26="Todos",'Plan mensual'!O96,0))+parametros_manuales!$G$26*('Plan mensual'!O93+IF(parametros_manuales!$H$26="Todos",'Plan mensual'!O97,0)))*parametros_manuales!$I$26*parametros_manuales!$J$26</f>
        <v>29006.76</v>
      </c>
      <c r="N233" s="8">
        <f t="shared" si="25"/>
        <v>247753</v>
      </c>
      <c r="O233" s="8">
        <f t="shared" si="26"/>
        <v>29006.76</v>
      </c>
      <c r="P233" s="27">
        <f>O233/(parametros_manuales!$B$7)</f>
        <v>193.3784</v>
      </c>
      <c r="Q233" s="4" t="str">
        <f t="shared" si="27"/>
        <v>Dic</v>
      </c>
    </row>
    <row r="234" ht="14.25" customHeight="1">
      <c r="A234" s="4" t="str">
        <f>parametros_manuales!$B$27</f>
        <v>Soldadura longitudinal — 2,5 a 10 kg</v>
      </c>
      <c r="B234" s="8">
        <f>(parametros_manuales!$D$27*('Plan mensual'!D90+IF(parametros_manuales!$H$27="Todos",'Plan mensual'!D94,0))+parametros_manuales!$E$27*('Plan mensual'!D91+IF(parametros_manuales!$H$27="Todos",'Plan mensual'!D95,0))+parametros_manuales!$F$27*('Plan mensual'!D92+IF(parametros_manuales!$H$27="Todos",'Plan mensual'!D96,0))+parametros_manuales!$G$27*('Plan mensual'!D93+IF(parametros_manuales!$H$27="Todos",'Plan mensual'!D97,0)))*parametros_manuales!$I$27*parametros_manuales!$J$27</f>
        <v>7236</v>
      </c>
      <c r="C234" s="8">
        <f>(parametros_manuales!$D$27*('Plan mensual'!E90+IF(parametros_manuales!$H$27="Todos",'Plan mensual'!E94,0))+parametros_manuales!$E$27*('Plan mensual'!E91+IF(parametros_manuales!$H$27="Todos",'Plan mensual'!E95,0))+parametros_manuales!$F$27*('Plan mensual'!E92+IF(parametros_manuales!$H$27="Todos",'Plan mensual'!E96,0))+parametros_manuales!$G$27*('Plan mensual'!E93+IF(parametros_manuales!$H$27="Todos",'Plan mensual'!E97,0)))*parametros_manuales!$I$27*parametros_manuales!$J$27</f>
        <v>5788.8</v>
      </c>
      <c r="D234" s="8">
        <f>(parametros_manuales!$D$27*('Plan mensual'!F90+IF(parametros_manuales!$H$27="Todos",'Plan mensual'!F94,0))+parametros_manuales!$E$27*('Plan mensual'!F91+IF(parametros_manuales!$H$27="Todos",'Plan mensual'!F95,0))+parametros_manuales!$F$27*('Plan mensual'!F92+IF(parametros_manuales!$H$27="Todos",'Plan mensual'!F96,0))+parametros_manuales!$G$27*('Plan mensual'!F93+IF(parametros_manuales!$H$27="Todos",'Plan mensual'!F97,0)))*parametros_manuales!$I$27*parametros_manuales!$J$27</f>
        <v>6150.6</v>
      </c>
      <c r="E234" s="8">
        <f>(parametros_manuales!$D$27*('Plan mensual'!G90+IF(parametros_manuales!$H$27="Todos",'Plan mensual'!G94,0))+parametros_manuales!$E$27*('Plan mensual'!G91+IF(parametros_manuales!$H$27="Todos",'Plan mensual'!G95,0))+parametros_manuales!$F$27*('Plan mensual'!G92+IF(parametros_manuales!$H$27="Todos",'Plan mensual'!G96,0))+parametros_manuales!$G$27*('Plan mensual'!G93+IF(parametros_manuales!$H$27="Todos",'Plan mensual'!G97,0)))*parametros_manuales!$I$27*parametros_manuales!$J$27</f>
        <v>6150.6</v>
      </c>
      <c r="F234" s="8">
        <f>(parametros_manuales!$D$27*('Plan mensual'!H90+IF(parametros_manuales!$H$27="Todos",'Plan mensual'!H94,0))+parametros_manuales!$E$27*('Plan mensual'!H91+IF(parametros_manuales!$H$27="Todos",'Plan mensual'!H95,0))+parametros_manuales!$F$27*('Plan mensual'!H92+IF(parametros_manuales!$H$27="Todos",'Plan mensual'!H96,0))+parametros_manuales!$G$27*('Plan mensual'!H93+IF(parametros_manuales!$H$27="Todos",'Plan mensual'!H97,0)))*parametros_manuales!$I$27*parametros_manuales!$J$27</f>
        <v>5788.8</v>
      </c>
      <c r="G234" s="8">
        <f>(parametros_manuales!$D$27*('Plan mensual'!I90+IF(parametros_manuales!$H$27="Todos",'Plan mensual'!I94,0))+parametros_manuales!$E$27*('Plan mensual'!I91+IF(parametros_manuales!$H$27="Todos",'Plan mensual'!I95,0))+parametros_manuales!$F$27*('Plan mensual'!I92+IF(parametros_manuales!$H$27="Todos",'Plan mensual'!I96,0))+parametros_manuales!$G$27*('Plan mensual'!I93+IF(parametros_manuales!$H$27="Todos",'Plan mensual'!I97,0)))*parametros_manuales!$I$27*parametros_manuales!$J$27</f>
        <v>5427</v>
      </c>
      <c r="H234" s="8">
        <f>(parametros_manuales!$D$27*('Plan mensual'!J90+IF(parametros_manuales!$H$27="Todos",'Plan mensual'!J94,0))+parametros_manuales!$E$27*('Plan mensual'!J91+IF(parametros_manuales!$H$27="Todos",'Plan mensual'!J95,0))+parametros_manuales!$F$27*('Plan mensual'!J92+IF(parametros_manuales!$H$27="Todos",'Plan mensual'!J96,0))+parametros_manuales!$G$27*('Plan mensual'!J93+IF(parametros_manuales!$H$27="Todos",'Plan mensual'!J97,0)))*parametros_manuales!$I$27*parametros_manuales!$J$27</f>
        <v>5788.8</v>
      </c>
      <c r="I234" s="8">
        <f>(parametros_manuales!$D$27*('Plan mensual'!K90+IF(parametros_manuales!$H$27="Todos",'Plan mensual'!K94,0))+parametros_manuales!$E$27*('Plan mensual'!K91+IF(parametros_manuales!$H$27="Todos",'Plan mensual'!K95,0))+parametros_manuales!$F$27*('Plan mensual'!K92+IF(parametros_manuales!$H$27="Todos",'Plan mensual'!K96,0))+parametros_manuales!$G$27*('Plan mensual'!K93+IF(parametros_manuales!$H$27="Todos",'Plan mensual'!K97,0)))*parametros_manuales!$I$27*parametros_manuales!$J$27</f>
        <v>5788.8</v>
      </c>
      <c r="J234" s="8">
        <f>(parametros_manuales!$D$27*('Plan mensual'!L90+IF(parametros_manuales!$H$27="Todos",'Plan mensual'!L94,0))+parametros_manuales!$E$27*('Plan mensual'!L91+IF(parametros_manuales!$H$27="Todos",'Plan mensual'!L95,0))+parametros_manuales!$F$27*('Plan mensual'!L92+IF(parametros_manuales!$H$27="Todos",'Plan mensual'!L96,0))+parametros_manuales!$G$27*('Plan mensual'!L93+IF(parametros_manuales!$H$27="Todos",'Plan mensual'!L97,0)))*parametros_manuales!$I$27*parametros_manuales!$J$27</f>
        <v>5788.8</v>
      </c>
      <c r="K234" s="8">
        <f>(parametros_manuales!$D$27*('Plan mensual'!M90+IF(parametros_manuales!$H$27="Todos",'Plan mensual'!M94,0))+parametros_manuales!$E$27*('Plan mensual'!M91+IF(parametros_manuales!$H$27="Todos",'Plan mensual'!M95,0))+parametros_manuales!$F$27*('Plan mensual'!M92+IF(parametros_manuales!$H$27="Todos",'Plan mensual'!M96,0))+parametros_manuales!$G$27*('Plan mensual'!M93+IF(parametros_manuales!$H$27="Todos",'Plan mensual'!M97,0)))*parametros_manuales!$I$27*parametros_manuales!$J$27</f>
        <v>5427</v>
      </c>
      <c r="L234" s="8">
        <f>(parametros_manuales!$D$27*('Plan mensual'!N90+IF(parametros_manuales!$H$27="Todos",'Plan mensual'!N94,0))+parametros_manuales!$E$27*('Plan mensual'!N91+IF(parametros_manuales!$H$27="Todos",'Plan mensual'!N95,0))+parametros_manuales!$F$27*('Plan mensual'!N92+IF(parametros_manuales!$H$27="Todos",'Plan mensual'!N96,0))+parametros_manuales!$G$27*('Plan mensual'!N93+IF(parametros_manuales!$H$27="Todos",'Plan mensual'!N97,0)))*parametros_manuales!$I$27*parametros_manuales!$J$27</f>
        <v>5065.2</v>
      </c>
      <c r="M234" s="8">
        <f>(parametros_manuales!$D$27*('Plan mensual'!O90+IF(parametros_manuales!$H$27="Todos",'Plan mensual'!O94,0))+parametros_manuales!$E$27*('Plan mensual'!O91+IF(parametros_manuales!$H$27="Todos",'Plan mensual'!O95,0))+parametros_manuales!$F$27*('Plan mensual'!O92+IF(parametros_manuales!$H$27="Todos",'Plan mensual'!O96,0))+parametros_manuales!$G$27*('Plan mensual'!O93+IF(parametros_manuales!$H$27="Todos",'Plan mensual'!O97,0)))*parametros_manuales!$I$27*parametros_manuales!$J$27</f>
        <v>7959.6</v>
      </c>
      <c r="N234" s="8">
        <f t="shared" si="25"/>
        <v>72360</v>
      </c>
      <c r="O234" s="8">
        <f t="shared" si="26"/>
        <v>7959.6</v>
      </c>
      <c r="P234" s="27">
        <f>O234/(parametros_manuales!$B$7)</f>
        <v>53.064</v>
      </c>
      <c r="Q234" s="4" t="str">
        <f t="shared" si="27"/>
        <v>Dic</v>
      </c>
    </row>
    <row r="235" ht="14.25" customHeight="1">
      <c r="A235" s="4" t="str">
        <f>parametros_manuales!$B$28</f>
        <v>Soldadura longitudinal TIG — 1 kg</v>
      </c>
      <c r="B235" s="8">
        <f>(parametros_manuales!$D$28*('Plan mensual'!D90+IF(parametros_manuales!$H$28="Todos",'Plan mensual'!D94,0))+parametros_manuales!$E$28*('Plan mensual'!D91+IF(parametros_manuales!$H$28="Todos",'Plan mensual'!D95,0))+parametros_manuales!$F$28*('Plan mensual'!D92+IF(parametros_manuales!$H$28="Todos",'Plan mensual'!D96,0))+parametros_manuales!$G$28*('Plan mensual'!D93+IF(parametros_manuales!$H$28="Todos",'Plan mensual'!D97,0)))*parametros_manuales!$I$28*parametros_manuales!$J$28</f>
        <v>21047.16</v>
      </c>
      <c r="C235" s="8">
        <f>(parametros_manuales!$D$28*('Plan mensual'!E90+IF(parametros_manuales!$H$28="Todos",'Plan mensual'!E94,0))+parametros_manuales!$E$28*('Plan mensual'!E91+IF(parametros_manuales!$H$28="Todos",'Plan mensual'!E95,0))+parametros_manuales!$F$28*('Plan mensual'!E92+IF(parametros_manuales!$H$28="Todos",'Plan mensual'!E96,0))+parametros_manuales!$G$28*('Plan mensual'!E93+IF(parametros_manuales!$H$28="Todos",'Plan mensual'!E97,0)))*parametros_manuales!$I$28*parametros_manuales!$J$28</f>
        <v>15785.37</v>
      </c>
      <c r="D235" s="8">
        <f>(parametros_manuales!$D$28*('Plan mensual'!F90+IF(parametros_manuales!$H$28="Todos",'Plan mensual'!F94,0))+parametros_manuales!$E$28*('Plan mensual'!F91+IF(parametros_manuales!$H$28="Todos",'Plan mensual'!F95,0))+parametros_manuales!$F$28*('Plan mensual'!F92+IF(parametros_manuales!$H$28="Todos",'Plan mensual'!F96,0))+parametros_manuales!$G$28*('Plan mensual'!F93+IF(parametros_manuales!$H$28="Todos",'Plan mensual'!F97,0)))*parametros_manuales!$I$28*parametros_manuales!$J$28</f>
        <v>14031.44</v>
      </c>
      <c r="E235" s="8">
        <f>(parametros_manuales!$D$28*('Plan mensual'!G90+IF(parametros_manuales!$H$28="Todos",'Plan mensual'!G94,0))+parametros_manuales!$E$28*('Plan mensual'!G91+IF(parametros_manuales!$H$28="Todos",'Plan mensual'!G95,0))+parametros_manuales!$F$28*('Plan mensual'!G92+IF(parametros_manuales!$H$28="Todos",'Plan mensual'!G96,0))+parametros_manuales!$G$28*('Plan mensual'!G93+IF(parametros_manuales!$H$28="Todos",'Plan mensual'!G97,0)))*parametros_manuales!$I$28*parametros_manuales!$J$28</f>
        <v>13154.475</v>
      </c>
      <c r="F235" s="8">
        <f>(parametros_manuales!$D$28*('Plan mensual'!H90+IF(parametros_manuales!$H$28="Todos",'Plan mensual'!H94,0))+parametros_manuales!$E$28*('Plan mensual'!H91+IF(parametros_manuales!$H$28="Todos",'Plan mensual'!H95,0))+parametros_manuales!$F$28*('Plan mensual'!H92+IF(parametros_manuales!$H$28="Todos",'Plan mensual'!H96,0))+parametros_manuales!$G$28*('Plan mensual'!H93+IF(parametros_manuales!$H$28="Todos",'Plan mensual'!H97,0)))*parametros_manuales!$I$28*parametros_manuales!$J$28</f>
        <v>12277.51</v>
      </c>
      <c r="G235" s="8">
        <f>(parametros_manuales!$D$28*('Plan mensual'!I90+IF(parametros_manuales!$H$28="Todos",'Plan mensual'!I94,0))+parametros_manuales!$E$28*('Plan mensual'!I91+IF(parametros_manuales!$H$28="Todos",'Plan mensual'!I95,0))+parametros_manuales!$F$28*('Plan mensual'!I92+IF(parametros_manuales!$H$28="Todos",'Plan mensual'!I96,0))+parametros_manuales!$G$28*('Plan mensual'!I93+IF(parametros_manuales!$H$28="Todos",'Plan mensual'!I97,0)))*parametros_manuales!$I$28*parametros_manuales!$J$28</f>
        <v>12277.51</v>
      </c>
      <c r="H235" s="8">
        <f>(parametros_manuales!$D$28*('Plan mensual'!J90+IF(parametros_manuales!$H$28="Todos",'Plan mensual'!J94,0))+parametros_manuales!$E$28*('Plan mensual'!J91+IF(parametros_manuales!$H$28="Todos",'Plan mensual'!J95,0))+parametros_manuales!$F$28*('Plan mensual'!J92+IF(parametros_manuales!$H$28="Todos",'Plan mensual'!J96,0))+parametros_manuales!$G$28*('Plan mensual'!J93+IF(parametros_manuales!$H$28="Todos",'Plan mensual'!J97,0)))*parametros_manuales!$I$28*parametros_manuales!$J$28</f>
        <v>13154.475</v>
      </c>
      <c r="I235" s="8">
        <f>(parametros_manuales!$D$28*('Plan mensual'!K90+IF(parametros_manuales!$H$28="Todos",'Plan mensual'!K94,0))+parametros_manuales!$E$28*('Plan mensual'!K91+IF(parametros_manuales!$H$28="Todos",'Plan mensual'!K95,0))+parametros_manuales!$F$28*('Plan mensual'!K92+IF(parametros_manuales!$H$28="Todos",'Plan mensual'!K96,0))+parametros_manuales!$G$28*('Plan mensual'!K93+IF(parametros_manuales!$H$28="Todos",'Plan mensual'!K97,0)))*parametros_manuales!$I$28*parametros_manuales!$J$28</f>
        <v>13154.475</v>
      </c>
      <c r="J235" s="8">
        <f>(parametros_manuales!$D$28*('Plan mensual'!L90+IF(parametros_manuales!$H$28="Todos",'Plan mensual'!L94,0))+parametros_manuales!$E$28*('Plan mensual'!L91+IF(parametros_manuales!$H$28="Todos",'Plan mensual'!L95,0))+parametros_manuales!$F$28*('Plan mensual'!L92+IF(parametros_manuales!$H$28="Todos",'Plan mensual'!L96,0))+parametros_manuales!$G$28*('Plan mensual'!L93+IF(parametros_manuales!$H$28="Todos",'Plan mensual'!L97,0)))*parametros_manuales!$I$28*parametros_manuales!$J$28</f>
        <v>13154.475</v>
      </c>
      <c r="K235" s="8">
        <f>(parametros_manuales!$D$28*('Plan mensual'!M90+IF(parametros_manuales!$H$28="Todos",'Plan mensual'!M94,0))+parametros_manuales!$E$28*('Plan mensual'!M91+IF(parametros_manuales!$H$28="Todos",'Plan mensual'!M95,0))+parametros_manuales!$F$28*('Plan mensual'!M92+IF(parametros_manuales!$H$28="Todos",'Plan mensual'!M96,0))+parametros_manuales!$G$28*('Plan mensual'!M93+IF(parametros_manuales!$H$28="Todos",'Plan mensual'!M97,0)))*parametros_manuales!$I$28*parametros_manuales!$J$28</f>
        <v>13154.475</v>
      </c>
      <c r="L235" s="8">
        <f>(parametros_manuales!$D$28*('Plan mensual'!N90+IF(parametros_manuales!$H$28="Todos",'Plan mensual'!N94,0))+parametros_manuales!$E$28*('Plan mensual'!N91+IF(parametros_manuales!$H$28="Todos",'Plan mensual'!N95,0))+parametros_manuales!$F$28*('Plan mensual'!N92+IF(parametros_manuales!$H$28="Todos",'Plan mensual'!N96,0))+parametros_manuales!$G$28*('Plan mensual'!N93+IF(parametros_manuales!$H$28="Todos",'Plan mensual'!N97,0)))*parametros_manuales!$I$28*parametros_manuales!$J$28</f>
        <v>13154.475</v>
      </c>
      <c r="M235" s="8">
        <f>(parametros_manuales!$D$28*('Plan mensual'!O90+IF(parametros_manuales!$H$28="Todos",'Plan mensual'!O94,0))+parametros_manuales!$E$28*('Plan mensual'!O91+IF(parametros_manuales!$H$28="Todos",'Plan mensual'!O95,0))+parametros_manuales!$F$28*('Plan mensual'!O92+IF(parametros_manuales!$H$28="Todos",'Plan mensual'!O96,0))+parametros_manuales!$G$28*('Plan mensual'!O93+IF(parametros_manuales!$H$28="Todos",'Plan mensual'!O97,0)))*parametros_manuales!$I$28*parametros_manuales!$J$28</f>
        <v>21047.16</v>
      </c>
      <c r="N235" s="8">
        <f t="shared" si="25"/>
        <v>175393</v>
      </c>
      <c r="O235" s="8">
        <f t="shared" si="26"/>
        <v>21047.16</v>
      </c>
      <c r="P235" s="27">
        <f>O235/(parametros_manuales!$B$7)</f>
        <v>140.3144</v>
      </c>
      <c r="Q235" s="4" t="str">
        <f t="shared" si="27"/>
        <v>Ene</v>
      </c>
    </row>
    <row r="236" ht="14.25" customHeight="1">
      <c r="A236" s="4" t="str">
        <f>parametros_manuales!$B$29</f>
        <v>Encastre de fondo</v>
      </c>
      <c r="B236" s="8">
        <f>(parametros_manuales!$D$29*('Plan mensual'!D90+IF(parametros_manuales!$H$29="Todos",'Plan mensual'!D94,0))+parametros_manuales!$E$29*('Plan mensual'!D91+IF(parametros_manuales!$H$29="Todos",'Plan mensual'!D95,0))+parametros_manuales!$F$29*('Plan mensual'!D92+IF(parametros_manuales!$H$29="Todos",'Plan mensual'!D96,0))+parametros_manuales!$G$29*('Plan mensual'!D93+IF(parametros_manuales!$H$29="Todos",'Plan mensual'!D97,0)))*parametros_manuales!$I$29*parametros_manuales!$J$29</f>
        <v>28283.16</v>
      </c>
      <c r="C236" s="8">
        <f>(parametros_manuales!$D$29*('Plan mensual'!E90+IF(parametros_manuales!$H$29="Todos",'Plan mensual'!E94,0))+parametros_manuales!$E$29*('Plan mensual'!E91+IF(parametros_manuales!$H$29="Todos",'Plan mensual'!E95,0))+parametros_manuales!$F$29*('Plan mensual'!E92+IF(parametros_manuales!$H$29="Todos",'Plan mensual'!E96,0))+parametros_manuales!$G$29*('Plan mensual'!E93+IF(parametros_manuales!$H$29="Todos",'Plan mensual'!E97,0)))*parametros_manuales!$I$29*parametros_manuales!$J$29</f>
        <v>21574.17</v>
      </c>
      <c r="D236" s="8">
        <f>(parametros_manuales!$D$29*('Plan mensual'!F90+IF(parametros_manuales!$H$29="Todos",'Plan mensual'!F94,0))+parametros_manuales!$E$29*('Plan mensual'!F91+IF(parametros_manuales!$H$29="Todos",'Plan mensual'!F95,0))+parametros_manuales!$F$29*('Plan mensual'!F92+IF(parametros_manuales!$H$29="Todos",'Plan mensual'!F96,0))+parametros_manuales!$G$29*('Plan mensual'!F93+IF(parametros_manuales!$H$29="Todos",'Plan mensual'!F97,0)))*parametros_manuales!$I$29*parametros_manuales!$J$29</f>
        <v>20182.04</v>
      </c>
      <c r="E236" s="8">
        <f>(parametros_manuales!$D$29*('Plan mensual'!G90+IF(parametros_manuales!$H$29="Todos",'Plan mensual'!G94,0))+parametros_manuales!$E$29*('Plan mensual'!G91+IF(parametros_manuales!$H$29="Todos",'Plan mensual'!G95,0))+parametros_manuales!$F$29*('Plan mensual'!G92+IF(parametros_manuales!$H$29="Todos",'Plan mensual'!G96,0))+parametros_manuales!$G$29*('Plan mensual'!G93+IF(parametros_manuales!$H$29="Todos",'Plan mensual'!G97,0)))*parametros_manuales!$I$29*parametros_manuales!$J$29</f>
        <v>19305.075</v>
      </c>
      <c r="F236" s="8">
        <f>(parametros_manuales!$D$29*('Plan mensual'!H90+IF(parametros_manuales!$H$29="Todos",'Plan mensual'!H94,0))+parametros_manuales!$E$29*('Plan mensual'!H91+IF(parametros_manuales!$H$29="Todos",'Plan mensual'!H95,0))+parametros_manuales!$F$29*('Plan mensual'!H92+IF(parametros_manuales!$H$29="Todos",'Plan mensual'!H96,0))+parametros_manuales!$G$29*('Plan mensual'!H93+IF(parametros_manuales!$H$29="Todos",'Plan mensual'!H97,0)))*parametros_manuales!$I$29*parametros_manuales!$J$29</f>
        <v>18066.31</v>
      </c>
      <c r="G236" s="8">
        <f>(parametros_manuales!$D$29*('Plan mensual'!I90+IF(parametros_manuales!$H$29="Todos",'Plan mensual'!I94,0))+parametros_manuales!$E$29*('Plan mensual'!I91+IF(parametros_manuales!$H$29="Todos",'Plan mensual'!I95,0))+parametros_manuales!$F$29*('Plan mensual'!I92+IF(parametros_manuales!$H$29="Todos",'Plan mensual'!I96,0))+parametros_manuales!$G$29*('Plan mensual'!I93+IF(parametros_manuales!$H$29="Todos",'Plan mensual'!I97,0)))*parametros_manuales!$I$29*parametros_manuales!$J$29</f>
        <v>17704.51</v>
      </c>
      <c r="H236" s="8">
        <f>(parametros_manuales!$D$29*('Plan mensual'!J90+IF(parametros_manuales!$H$29="Todos",'Plan mensual'!J94,0))+parametros_manuales!$E$29*('Plan mensual'!J91+IF(parametros_manuales!$H$29="Todos",'Plan mensual'!J95,0))+parametros_manuales!$F$29*('Plan mensual'!J92+IF(parametros_manuales!$H$29="Todos",'Plan mensual'!J96,0))+parametros_manuales!$G$29*('Plan mensual'!J93+IF(parametros_manuales!$H$29="Todos",'Plan mensual'!J97,0)))*parametros_manuales!$I$29*parametros_manuales!$J$29</f>
        <v>18943.275</v>
      </c>
      <c r="I236" s="8">
        <f>(parametros_manuales!$D$29*('Plan mensual'!K90+IF(parametros_manuales!$H$29="Todos",'Plan mensual'!K94,0))+parametros_manuales!$E$29*('Plan mensual'!K91+IF(parametros_manuales!$H$29="Todos",'Plan mensual'!K95,0))+parametros_manuales!$F$29*('Plan mensual'!K92+IF(parametros_manuales!$H$29="Todos",'Plan mensual'!K96,0))+parametros_manuales!$G$29*('Plan mensual'!K93+IF(parametros_manuales!$H$29="Todos",'Plan mensual'!K97,0)))*parametros_manuales!$I$29*parametros_manuales!$J$29</f>
        <v>18943.275</v>
      </c>
      <c r="J236" s="8">
        <f>(parametros_manuales!$D$29*('Plan mensual'!L90+IF(parametros_manuales!$H$29="Todos",'Plan mensual'!L94,0))+parametros_manuales!$E$29*('Plan mensual'!L91+IF(parametros_manuales!$H$29="Todos",'Plan mensual'!L95,0))+parametros_manuales!$F$29*('Plan mensual'!L92+IF(parametros_manuales!$H$29="Todos",'Plan mensual'!L96,0))+parametros_manuales!$G$29*('Plan mensual'!L93+IF(parametros_manuales!$H$29="Todos",'Plan mensual'!L97,0)))*parametros_manuales!$I$29*parametros_manuales!$J$29</f>
        <v>18943.275</v>
      </c>
      <c r="K236" s="8">
        <f>(parametros_manuales!$D$29*('Plan mensual'!M90+IF(parametros_manuales!$H$29="Todos",'Plan mensual'!M94,0))+parametros_manuales!$E$29*('Plan mensual'!M91+IF(parametros_manuales!$H$29="Todos",'Plan mensual'!M95,0))+parametros_manuales!$F$29*('Plan mensual'!M92+IF(parametros_manuales!$H$29="Todos",'Plan mensual'!M96,0))+parametros_manuales!$G$29*('Plan mensual'!M93+IF(parametros_manuales!$H$29="Todos",'Plan mensual'!M97,0)))*parametros_manuales!$I$29*parametros_manuales!$J$29</f>
        <v>18581.475</v>
      </c>
      <c r="L236" s="8">
        <f>(parametros_manuales!$D$29*('Plan mensual'!N90+IF(parametros_manuales!$H$29="Todos",'Plan mensual'!N94,0))+parametros_manuales!$E$29*('Plan mensual'!N91+IF(parametros_manuales!$H$29="Todos",'Plan mensual'!N95,0))+parametros_manuales!$F$29*('Plan mensual'!N92+IF(parametros_manuales!$H$29="Todos",'Plan mensual'!N96,0))+parametros_manuales!$G$29*('Plan mensual'!N93+IF(parametros_manuales!$H$29="Todos",'Plan mensual'!N97,0)))*parametros_manuales!$I$29*parametros_manuales!$J$29</f>
        <v>18219.675</v>
      </c>
      <c r="M236" s="8">
        <f>(parametros_manuales!$D$29*('Plan mensual'!O90+IF(parametros_manuales!$H$29="Todos",'Plan mensual'!O94,0))+parametros_manuales!$E$29*('Plan mensual'!O91+IF(parametros_manuales!$H$29="Todos",'Plan mensual'!O95,0))+parametros_manuales!$F$29*('Plan mensual'!O92+IF(parametros_manuales!$H$29="Todos",'Plan mensual'!O96,0))+parametros_manuales!$G$29*('Plan mensual'!O93+IF(parametros_manuales!$H$29="Todos",'Plan mensual'!O97,0)))*parametros_manuales!$I$29*parametros_manuales!$J$29</f>
        <v>29006.76</v>
      </c>
      <c r="N236" s="8">
        <f t="shared" si="25"/>
        <v>247753</v>
      </c>
      <c r="O236" s="8">
        <f t="shared" si="26"/>
        <v>29006.76</v>
      </c>
      <c r="P236" s="27">
        <f>O236/(parametros_manuales!$B$7)</f>
        <v>193.3784</v>
      </c>
      <c r="Q236" s="4" t="str">
        <f t="shared" si="27"/>
        <v>Dic</v>
      </c>
    </row>
    <row r="237" ht="14.25" customHeight="1">
      <c r="A237" s="4" t="str">
        <f>parametros_manuales!$B$30</f>
        <v>Bordoneado</v>
      </c>
      <c r="B237" s="8">
        <f>(parametros_manuales!$D$30*('Plan mensual'!D90+IF(parametros_manuales!$H$30="Todos",'Plan mensual'!D94,0))+parametros_manuales!$E$30*('Plan mensual'!D91+IF(parametros_manuales!$H$30="Todos",'Plan mensual'!D95,0))+parametros_manuales!$F$30*('Plan mensual'!D92+IF(parametros_manuales!$H$30="Todos",'Plan mensual'!D96,0))+parametros_manuales!$G$30*('Plan mensual'!D93+IF(parametros_manuales!$H$30="Todos",'Plan mensual'!D97,0)))*parametros_manuales!$I$30*parametros_manuales!$J$30</f>
        <v>28283.16</v>
      </c>
      <c r="C237" s="8">
        <f>(parametros_manuales!$D$30*('Plan mensual'!E90+IF(parametros_manuales!$H$30="Todos",'Plan mensual'!E94,0))+parametros_manuales!$E$30*('Plan mensual'!E91+IF(parametros_manuales!$H$30="Todos",'Plan mensual'!E95,0))+parametros_manuales!$F$30*('Plan mensual'!E92+IF(parametros_manuales!$H$30="Todos",'Plan mensual'!E96,0))+parametros_manuales!$G$30*('Plan mensual'!E93+IF(parametros_manuales!$H$30="Todos",'Plan mensual'!E97,0)))*parametros_manuales!$I$30*parametros_manuales!$J$30</f>
        <v>21574.17</v>
      </c>
      <c r="D237" s="8">
        <f>(parametros_manuales!$D$30*('Plan mensual'!F90+IF(parametros_manuales!$H$30="Todos",'Plan mensual'!F94,0))+parametros_manuales!$E$30*('Plan mensual'!F91+IF(parametros_manuales!$H$30="Todos",'Plan mensual'!F95,0))+parametros_manuales!$F$30*('Plan mensual'!F92+IF(parametros_manuales!$H$30="Todos",'Plan mensual'!F96,0))+parametros_manuales!$G$30*('Plan mensual'!F93+IF(parametros_manuales!$H$30="Todos",'Plan mensual'!F97,0)))*parametros_manuales!$I$30*parametros_manuales!$J$30</f>
        <v>20182.04</v>
      </c>
      <c r="E237" s="8">
        <f>(parametros_manuales!$D$30*('Plan mensual'!G90+IF(parametros_manuales!$H$30="Todos",'Plan mensual'!G94,0))+parametros_manuales!$E$30*('Plan mensual'!G91+IF(parametros_manuales!$H$30="Todos",'Plan mensual'!G95,0))+parametros_manuales!$F$30*('Plan mensual'!G92+IF(parametros_manuales!$H$30="Todos",'Plan mensual'!G96,0))+parametros_manuales!$G$30*('Plan mensual'!G93+IF(parametros_manuales!$H$30="Todos",'Plan mensual'!G97,0)))*parametros_manuales!$I$30*parametros_manuales!$J$30</f>
        <v>19305.075</v>
      </c>
      <c r="F237" s="8">
        <f>(parametros_manuales!$D$30*('Plan mensual'!H90+IF(parametros_manuales!$H$30="Todos",'Plan mensual'!H94,0))+parametros_manuales!$E$30*('Plan mensual'!H91+IF(parametros_manuales!$H$30="Todos",'Plan mensual'!H95,0))+parametros_manuales!$F$30*('Plan mensual'!H92+IF(parametros_manuales!$H$30="Todos",'Plan mensual'!H96,0))+parametros_manuales!$G$30*('Plan mensual'!H93+IF(parametros_manuales!$H$30="Todos",'Plan mensual'!H97,0)))*parametros_manuales!$I$30*parametros_manuales!$J$30</f>
        <v>18066.31</v>
      </c>
      <c r="G237" s="8">
        <f>(parametros_manuales!$D$30*('Plan mensual'!I90+IF(parametros_manuales!$H$30="Todos",'Plan mensual'!I94,0))+parametros_manuales!$E$30*('Plan mensual'!I91+IF(parametros_manuales!$H$30="Todos",'Plan mensual'!I95,0))+parametros_manuales!$F$30*('Plan mensual'!I92+IF(parametros_manuales!$H$30="Todos",'Plan mensual'!I96,0))+parametros_manuales!$G$30*('Plan mensual'!I93+IF(parametros_manuales!$H$30="Todos",'Plan mensual'!I97,0)))*parametros_manuales!$I$30*parametros_manuales!$J$30</f>
        <v>17704.51</v>
      </c>
      <c r="H237" s="8">
        <f>(parametros_manuales!$D$30*('Plan mensual'!J90+IF(parametros_manuales!$H$30="Todos",'Plan mensual'!J94,0))+parametros_manuales!$E$30*('Plan mensual'!J91+IF(parametros_manuales!$H$30="Todos",'Plan mensual'!J95,0))+parametros_manuales!$F$30*('Plan mensual'!J92+IF(parametros_manuales!$H$30="Todos",'Plan mensual'!J96,0))+parametros_manuales!$G$30*('Plan mensual'!J93+IF(parametros_manuales!$H$30="Todos",'Plan mensual'!J97,0)))*parametros_manuales!$I$30*parametros_manuales!$J$30</f>
        <v>18943.275</v>
      </c>
      <c r="I237" s="8">
        <f>(parametros_manuales!$D$30*('Plan mensual'!K90+IF(parametros_manuales!$H$30="Todos",'Plan mensual'!K94,0))+parametros_manuales!$E$30*('Plan mensual'!K91+IF(parametros_manuales!$H$30="Todos",'Plan mensual'!K95,0))+parametros_manuales!$F$30*('Plan mensual'!K92+IF(parametros_manuales!$H$30="Todos",'Plan mensual'!K96,0))+parametros_manuales!$G$30*('Plan mensual'!K93+IF(parametros_manuales!$H$30="Todos",'Plan mensual'!K97,0)))*parametros_manuales!$I$30*parametros_manuales!$J$30</f>
        <v>18943.275</v>
      </c>
      <c r="J237" s="8">
        <f>(parametros_manuales!$D$30*('Plan mensual'!L90+IF(parametros_manuales!$H$30="Todos",'Plan mensual'!L94,0))+parametros_manuales!$E$30*('Plan mensual'!L91+IF(parametros_manuales!$H$30="Todos",'Plan mensual'!L95,0))+parametros_manuales!$F$30*('Plan mensual'!L92+IF(parametros_manuales!$H$30="Todos",'Plan mensual'!L96,0))+parametros_manuales!$G$30*('Plan mensual'!L93+IF(parametros_manuales!$H$30="Todos",'Plan mensual'!L97,0)))*parametros_manuales!$I$30*parametros_manuales!$J$30</f>
        <v>18943.275</v>
      </c>
      <c r="K237" s="8">
        <f>(parametros_manuales!$D$30*('Plan mensual'!M90+IF(parametros_manuales!$H$30="Todos",'Plan mensual'!M94,0))+parametros_manuales!$E$30*('Plan mensual'!M91+IF(parametros_manuales!$H$30="Todos",'Plan mensual'!M95,0))+parametros_manuales!$F$30*('Plan mensual'!M92+IF(parametros_manuales!$H$30="Todos",'Plan mensual'!M96,0))+parametros_manuales!$G$30*('Plan mensual'!M93+IF(parametros_manuales!$H$30="Todos",'Plan mensual'!M97,0)))*parametros_manuales!$I$30*parametros_manuales!$J$30</f>
        <v>18581.475</v>
      </c>
      <c r="L237" s="8">
        <f>(parametros_manuales!$D$30*('Plan mensual'!N90+IF(parametros_manuales!$H$30="Todos",'Plan mensual'!N94,0))+parametros_manuales!$E$30*('Plan mensual'!N91+IF(parametros_manuales!$H$30="Todos",'Plan mensual'!N95,0))+parametros_manuales!$F$30*('Plan mensual'!N92+IF(parametros_manuales!$H$30="Todos",'Plan mensual'!N96,0))+parametros_manuales!$G$30*('Plan mensual'!N93+IF(parametros_manuales!$H$30="Todos",'Plan mensual'!N97,0)))*parametros_manuales!$I$30*parametros_manuales!$J$30</f>
        <v>18219.675</v>
      </c>
      <c r="M237" s="8">
        <f>(parametros_manuales!$D$30*('Plan mensual'!O90+IF(parametros_manuales!$H$30="Todos",'Plan mensual'!O94,0))+parametros_manuales!$E$30*('Plan mensual'!O91+IF(parametros_manuales!$H$30="Todos",'Plan mensual'!O95,0))+parametros_manuales!$F$30*('Plan mensual'!O92+IF(parametros_manuales!$H$30="Todos",'Plan mensual'!O96,0))+parametros_manuales!$G$30*('Plan mensual'!O93+IF(parametros_manuales!$H$30="Todos",'Plan mensual'!O97,0)))*parametros_manuales!$I$30*parametros_manuales!$J$30</f>
        <v>29006.76</v>
      </c>
      <c r="N237" s="8">
        <f t="shared" si="25"/>
        <v>247753</v>
      </c>
      <c r="O237" s="8">
        <f t="shared" si="26"/>
        <v>29006.76</v>
      </c>
      <c r="P237" s="27">
        <f>O237/(parametros_manuales!$B$7)</f>
        <v>193.3784</v>
      </c>
      <c r="Q237" s="4" t="str">
        <f t="shared" si="27"/>
        <v>Dic</v>
      </c>
    </row>
    <row r="238" ht="14.25" customHeight="1">
      <c r="A238" s="4" t="str">
        <f>parametros_manuales!$B$31</f>
        <v>Soldadura circunferencial de cúpula y fondo</v>
      </c>
      <c r="B238" s="8">
        <f>(parametros_manuales!$D$31*('Plan mensual'!D90+IF(parametros_manuales!$H$31="Todos",'Plan mensual'!D94,0))+parametros_manuales!$E$31*('Plan mensual'!D91+IF(parametros_manuales!$H$31="Todos",'Plan mensual'!D95,0))+parametros_manuales!$F$31*('Plan mensual'!D92+IF(parametros_manuales!$H$31="Todos",'Plan mensual'!D96,0))+parametros_manuales!$G$31*('Plan mensual'!D93+IF(parametros_manuales!$H$31="Todos",'Plan mensual'!D97,0)))*parametros_manuales!$I$31*parametros_manuales!$J$31</f>
        <v>28283.16</v>
      </c>
      <c r="C238" s="8">
        <f>(parametros_manuales!$D$31*('Plan mensual'!E90+IF(parametros_manuales!$H$31="Todos",'Plan mensual'!E94,0))+parametros_manuales!$E$31*('Plan mensual'!E91+IF(parametros_manuales!$H$31="Todos",'Plan mensual'!E95,0))+parametros_manuales!$F$31*('Plan mensual'!E92+IF(parametros_manuales!$H$31="Todos",'Plan mensual'!E96,0))+parametros_manuales!$G$31*('Plan mensual'!E93+IF(parametros_manuales!$H$31="Todos",'Plan mensual'!E97,0)))*parametros_manuales!$I$31*parametros_manuales!$J$31</f>
        <v>21574.17</v>
      </c>
      <c r="D238" s="8">
        <f>(parametros_manuales!$D$31*('Plan mensual'!F90+IF(parametros_manuales!$H$31="Todos",'Plan mensual'!F94,0))+parametros_manuales!$E$31*('Plan mensual'!F91+IF(parametros_manuales!$H$31="Todos",'Plan mensual'!F95,0))+parametros_manuales!$F$31*('Plan mensual'!F92+IF(parametros_manuales!$H$31="Todos",'Plan mensual'!F96,0))+parametros_manuales!$G$31*('Plan mensual'!F93+IF(parametros_manuales!$H$31="Todos",'Plan mensual'!F97,0)))*parametros_manuales!$I$31*parametros_manuales!$J$31</f>
        <v>20182.04</v>
      </c>
      <c r="E238" s="8">
        <f>(parametros_manuales!$D$31*('Plan mensual'!G90+IF(parametros_manuales!$H$31="Todos",'Plan mensual'!G94,0))+parametros_manuales!$E$31*('Plan mensual'!G91+IF(parametros_manuales!$H$31="Todos",'Plan mensual'!G95,0))+parametros_manuales!$F$31*('Plan mensual'!G92+IF(parametros_manuales!$H$31="Todos",'Plan mensual'!G96,0))+parametros_manuales!$G$31*('Plan mensual'!G93+IF(parametros_manuales!$H$31="Todos",'Plan mensual'!G97,0)))*parametros_manuales!$I$31*parametros_manuales!$J$31</f>
        <v>19305.075</v>
      </c>
      <c r="F238" s="8">
        <f>(parametros_manuales!$D$31*('Plan mensual'!H90+IF(parametros_manuales!$H$31="Todos",'Plan mensual'!H94,0))+parametros_manuales!$E$31*('Plan mensual'!H91+IF(parametros_manuales!$H$31="Todos",'Plan mensual'!H95,0))+parametros_manuales!$F$31*('Plan mensual'!H92+IF(parametros_manuales!$H$31="Todos",'Plan mensual'!H96,0))+parametros_manuales!$G$31*('Plan mensual'!H93+IF(parametros_manuales!$H$31="Todos",'Plan mensual'!H97,0)))*parametros_manuales!$I$31*parametros_manuales!$J$31</f>
        <v>18066.31</v>
      </c>
      <c r="G238" s="8">
        <f>(parametros_manuales!$D$31*('Plan mensual'!I90+IF(parametros_manuales!$H$31="Todos",'Plan mensual'!I94,0))+parametros_manuales!$E$31*('Plan mensual'!I91+IF(parametros_manuales!$H$31="Todos",'Plan mensual'!I95,0))+parametros_manuales!$F$31*('Plan mensual'!I92+IF(parametros_manuales!$H$31="Todos",'Plan mensual'!I96,0))+parametros_manuales!$G$31*('Plan mensual'!I93+IF(parametros_manuales!$H$31="Todos",'Plan mensual'!I97,0)))*parametros_manuales!$I$31*parametros_manuales!$J$31</f>
        <v>17704.51</v>
      </c>
      <c r="H238" s="8">
        <f>(parametros_manuales!$D$31*('Plan mensual'!J90+IF(parametros_manuales!$H$31="Todos",'Plan mensual'!J94,0))+parametros_manuales!$E$31*('Plan mensual'!J91+IF(parametros_manuales!$H$31="Todos",'Plan mensual'!J95,0))+parametros_manuales!$F$31*('Plan mensual'!J92+IF(parametros_manuales!$H$31="Todos",'Plan mensual'!J96,0))+parametros_manuales!$G$31*('Plan mensual'!J93+IF(parametros_manuales!$H$31="Todos",'Plan mensual'!J97,0)))*parametros_manuales!$I$31*parametros_manuales!$J$31</f>
        <v>18943.275</v>
      </c>
      <c r="I238" s="8">
        <f>(parametros_manuales!$D$31*('Plan mensual'!K90+IF(parametros_manuales!$H$31="Todos",'Plan mensual'!K94,0))+parametros_manuales!$E$31*('Plan mensual'!K91+IF(parametros_manuales!$H$31="Todos",'Plan mensual'!K95,0))+parametros_manuales!$F$31*('Plan mensual'!K92+IF(parametros_manuales!$H$31="Todos",'Plan mensual'!K96,0))+parametros_manuales!$G$31*('Plan mensual'!K93+IF(parametros_manuales!$H$31="Todos",'Plan mensual'!K97,0)))*parametros_manuales!$I$31*parametros_manuales!$J$31</f>
        <v>18943.275</v>
      </c>
      <c r="J238" s="8">
        <f>(parametros_manuales!$D$31*('Plan mensual'!L90+IF(parametros_manuales!$H$31="Todos",'Plan mensual'!L94,0))+parametros_manuales!$E$31*('Plan mensual'!L91+IF(parametros_manuales!$H$31="Todos",'Plan mensual'!L95,0))+parametros_manuales!$F$31*('Plan mensual'!L92+IF(parametros_manuales!$H$31="Todos",'Plan mensual'!L96,0))+parametros_manuales!$G$31*('Plan mensual'!L93+IF(parametros_manuales!$H$31="Todos",'Plan mensual'!L97,0)))*parametros_manuales!$I$31*parametros_manuales!$J$31</f>
        <v>18943.275</v>
      </c>
      <c r="K238" s="8">
        <f>(parametros_manuales!$D$31*('Plan mensual'!M90+IF(parametros_manuales!$H$31="Todos",'Plan mensual'!M94,0))+parametros_manuales!$E$31*('Plan mensual'!M91+IF(parametros_manuales!$H$31="Todos",'Plan mensual'!M95,0))+parametros_manuales!$F$31*('Plan mensual'!M92+IF(parametros_manuales!$H$31="Todos",'Plan mensual'!M96,0))+parametros_manuales!$G$31*('Plan mensual'!M93+IF(parametros_manuales!$H$31="Todos",'Plan mensual'!M97,0)))*parametros_manuales!$I$31*parametros_manuales!$J$31</f>
        <v>18581.475</v>
      </c>
      <c r="L238" s="8">
        <f>(parametros_manuales!$D$31*('Plan mensual'!N90+IF(parametros_manuales!$H$31="Todos",'Plan mensual'!N94,0))+parametros_manuales!$E$31*('Plan mensual'!N91+IF(parametros_manuales!$H$31="Todos",'Plan mensual'!N95,0))+parametros_manuales!$F$31*('Plan mensual'!N92+IF(parametros_manuales!$H$31="Todos",'Plan mensual'!N96,0))+parametros_manuales!$G$31*('Plan mensual'!N93+IF(parametros_manuales!$H$31="Todos",'Plan mensual'!N97,0)))*parametros_manuales!$I$31*parametros_manuales!$J$31</f>
        <v>18219.675</v>
      </c>
      <c r="M238" s="8">
        <f>(parametros_manuales!$D$31*('Plan mensual'!O90+IF(parametros_manuales!$H$31="Todos",'Plan mensual'!O94,0))+parametros_manuales!$E$31*('Plan mensual'!O91+IF(parametros_manuales!$H$31="Todos",'Plan mensual'!O95,0))+parametros_manuales!$F$31*('Plan mensual'!O92+IF(parametros_manuales!$H$31="Todos",'Plan mensual'!O96,0))+parametros_manuales!$G$31*('Plan mensual'!O93+IF(parametros_manuales!$H$31="Todos",'Plan mensual'!O97,0)))*parametros_manuales!$I$31*parametros_manuales!$J$31</f>
        <v>29006.76</v>
      </c>
      <c r="N238" s="8">
        <f t="shared" si="25"/>
        <v>247753</v>
      </c>
      <c r="O238" s="8">
        <f t="shared" si="26"/>
        <v>29006.76</v>
      </c>
      <c r="P238" s="27">
        <f>O238/(parametros_manuales!$B$7)</f>
        <v>193.3784</v>
      </c>
      <c r="Q238" s="4" t="str">
        <f t="shared" si="27"/>
        <v>Dic</v>
      </c>
    </row>
    <row r="239" ht="14.25" customHeight="1">
      <c r="A239" s="4" t="str">
        <f>parametros_manuales!$B$32</f>
        <v>Control de calidad — Espesor</v>
      </c>
      <c r="B239" s="8">
        <f>(parametros_manuales!$D$32*('Plan mensual'!D90+IF(parametros_manuales!$H$32="Todos",'Plan mensual'!D94,0))+parametros_manuales!$E$32*('Plan mensual'!D91+IF(parametros_manuales!$H$32="Todos",'Plan mensual'!D95,0))+parametros_manuales!$F$32*('Plan mensual'!D92+IF(parametros_manuales!$H$32="Todos",'Plan mensual'!D96,0))+parametros_manuales!$G$32*('Plan mensual'!D93+IF(parametros_manuales!$H$32="Todos",'Plan mensual'!D97,0)))*parametros_manuales!$I$32*parametros_manuales!$J$32</f>
        <v>565.6632</v>
      </c>
      <c r="C239" s="8">
        <f>(parametros_manuales!$D$32*('Plan mensual'!E90+IF(parametros_manuales!$H$32="Todos",'Plan mensual'!E94,0))+parametros_manuales!$E$32*('Plan mensual'!E91+IF(parametros_manuales!$H$32="Todos",'Plan mensual'!E95,0))+parametros_manuales!$F$32*('Plan mensual'!E92+IF(parametros_manuales!$H$32="Todos",'Plan mensual'!E96,0))+parametros_manuales!$G$32*('Plan mensual'!E93+IF(parametros_manuales!$H$32="Todos",'Plan mensual'!E97,0)))*parametros_manuales!$I$32*parametros_manuales!$J$32</f>
        <v>431.4834</v>
      </c>
      <c r="D239" s="8">
        <f>(parametros_manuales!$D$32*('Plan mensual'!F90+IF(parametros_manuales!$H$32="Todos",'Plan mensual'!F94,0))+parametros_manuales!$E$32*('Plan mensual'!F91+IF(parametros_manuales!$H$32="Todos",'Plan mensual'!F95,0))+parametros_manuales!$F$32*('Plan mensual'!F92+IF(parametros_manuales!$H$32="Todos",'Plan mensual'!F96,0))+parametros_manuales!$G$32*('Plan mensual'!F93+IF(parametros_manuales!$H$32="Todos",'Plan mensual'!F97,0)))*parametros_manuales!$I$32*parametros_manuales!$J$32</f>
        <v>403.6408</v>
      </c>
      <c r="E239" s="8">
        <f>(parametros_manuales!$D$32*('Plan mensual'!G90+IF(parametros_manuales!$H$32="Todos",'Plan mensual'!G94,0))+parametros_manuales!$E$32*('Plan mensual'!G91+IF(parametros_manuales!$H$32="Todos",'Plan mensual'!G95,0))+parametros_manuales!$F$32*('Plan mensual'!G92+IF(parametros_manuales!$H$32="Todos",'Plan mensual'!G96,0))+parametros_manuales!$G$32*('Plan mensual'!G93+IF(parametros_manuales!$H$32="Todos",'Plan mensual'!G97,0)))*parametros_manuales!$I$32*parametros_manuales!$J$32</f>
        <v>386.1015</v>
      </c>
      <c r="F239" s="8">
        <f>(parametros_manuales!$D$32*('Plan mensual'!H90+IF(parametros_manuales!$H$32="Todos",'Plan mensual'!H94,0))+parametros_manuales!$E$32*('Plan mensual'!H91+IF(parametros_manuales!$H$32="Todos",'Plan mensual'!H95,0))+parametros_manuales!$F$32*('Plan mensual'!H92+IF(parametros_manuales!$H$32="Todos",'Plan mensual'!H96,0))+parametros_manuales!$G$32*('Plan mensual'!H93+IF(parametros_manuales!$H$32="Todos",'Plan mensual'!H97,0)))*parametros_manuales!$I$32*parametros_manuales!$J$32</f>
        <v>361.3262</v>
      </c>
      <c r="G239" s="8">
        <f>(parametros_manuales!$D$32*('Plan mensual'!I90+IF(parametros_manuales!$H$32="Todos",'Plan mensual'!I94,0))+parametros_manuales!$E$32*('Plan mensual'!I91+IF(parametros_manuales!$H$32="Todos",'Plan mensual'!I95,0))+parametros_manuales!$F$32*('Plan mensual'!I92+IF(parametros_manuales!$H$32="Todos",'Plan mensual'!I96,0))+parametros_manuales!$G$32*('Plan mensual'!I93+IF(parametros_manuales!$H$32="Todos",'Plan mensual'!I97,0)))*parametros_manuales!$I$32*parametros_manuales!$J$32</f>
        <v>354.0902</v>
      </c>
      <c r="H239" s="8">
        <f>(parametros_manuales!$D$32*('Plan mensual'!J90+IF(parametros_manuales!$H$32="Todos",'Plan mensual'!J94,0))+parametros_manuales!$E$32*('Plan mensual'!J91+IF(parametros_manuales!$H$32="Todos",'Plan mensual'!J95,0))+parametros_manuales!$F$32*('Plan mensual'!J92+IF(parametros_manuales!$H$32="Todos",'Plan mensual'!J96,0))+parametros_manuales!$G$32*('Plan mensual'!J93+IF(parametros_manuales!$H$32="Todos",'Plan mensual'!J97,0)))*parametros_manuales!$I$32*parametros_manuales!$J$32</f>
        <v>378.8655</v>
      </c>
      <c r="I239" s="8">
        <f>(parametros_manuales!$D$32*('Plan mensual'!K90+IF(parametros_manuales!$H$32="Todos",'Plan mensual'!K94,0))+parametros_manuales!$E$32*('Plan mensual'!K91+IF(parametros_manuales!$H$32="Todos",'Plan mensual'!K95,0))+parametros_manuales!$F$32*('Plan mensual'!K92+IF(parametros_manuales!$H$32="Todos",'Plan mensual'!K96,0))+parametros_manuales!$G$32*('Plan mensual'!K93+IF(parametros_manuales!$H$32="Todos",'Plan mensual'!K97,0)))*parametros_manuales!$I$32*parametros_manuales!$J$32</f>
        <v>378.8655</v>
      </c>
      <c r="J239" s="8">
        <f>(parametros_manuales!$D$32*('Plan mensual'!L90+IF(parametros_manuales!$H$32="Todos",'Plan mensual'!L94,0))+parametros_manuales!$E$32*('Plan mensual'!L91+IF(parametros_manuales!$H$32="Todos",'Plan mensual'!L95,0))+parametros_manuales!$F$32*('Plan mensual'!L92+IF(parametros_manuales!$H$32="Todos",'Plan mensual'!L96,0))+parametros_manuales!$G$32*('Plan mensual'!L93+IF(parametros_manuales!$H$32="Todos",'Plan mensual'!L97,0)))*parametros_manuales!$I$32*parametros_manuales!$J$32</f>
        <v>378.8655</v>
      </c>
      <c r="K239" s="8">
        <f>(parametros_manuales!$D$32*('Plan mensual'!M90+IF(parametros_manuales!$H$32="Todos",'Plan mensual'!M94,0))+parametros_manuales!$E$32*('Plan mensual'!M91+IF(parametros_manuales!$H$32="Todos",'Plan mensual'!M95,0))+parametros_manuales!$F$32*('Plan mensual'!M92+IF(parametros_manuales!$H$32="Todos",'Plan mensual'!M96,0))+parametros_manuales!$G$32*('Plan mensual'!M93+IF(parametros_manuales!$H$32="Todos",'Plan mensual'!M97,0)))*parametros_manuales!$I$32*parametros_manuales!$J$32</f>
        <v>371.6295</v>
      </c>
      <c r="L239" s="8">
        <f>(parametros_manuales!$D$32*('Plan mensual'!N90+IF(parametros_manuales!$H$32="Todos",'Plan mensual'!N94,0))+parametros_manuales!$E$32*('Plan mensual'!N91+IF(parametros_manuales!$H$32="Todos",'Plan mensual'!N95,0))+parametros_manuales!$F$32*('Plan mensual'!N92+IF(parametros_manuales!$H$32="Todos",'Plan mensual'!N96,0))+parametros_manuales!$G$32*('Plan mensual'!N93+IF(parametros_manuales!$H$32="Todos",'Plan mensual'!N97,0)))*parametros_manuales!$I$32*parametros_manuales!$J$32</f>
        <v>364.3935</v>
      </c>
      <c r="M239" s="8">
        <f>(parametros_manuales!$D$32*('Plan mensual'!O90+IF(parametros_manuales!$H$32="Todos",'Plan mensual'!O94,0))+parametros_manuales!$E$32*('Plan mensual'!O91+IF(parametros_manuales!$H$32="Todos",'Plan mensual'!O95,0))+parametros_manuales!$F$32*('Plan mensual'!O92+IF(parametros_manuales!$H$32="Todos",'Plan mensual'!O96,0))+parametros_manuales!$G$32*('Plan mensual'!O93+IF(parametros_manuales!$H$32="Todos",'Plan mensual'!O97,0)))*parametros_manuales!$I$32*parametros_manuales!$J$32</f>
        <v>580.1352</v>
      </c>
      <c r="N239" s="8">
        <f t="shared" si="25"/>
        <v>4955.06</v>
      </c>
      <c r="O239" s="8">
        <f t="shared" si="26"/>
        <v>580.1352</v>
      </c>
      <c r="P239" s="27">
        <f>O239/(parametros_manuales!$B$7)</f>
        <v>3.867568</v>
      </c>
      <c r="Q239" s="4" t="str">
        <f t="shared" si="27"/>
        <v>Dic</v>
      </c>
    </row>
    <row r="240" ht="14.25" customHeight="1">
      <c r="A240" s="4" t="str">
        <f>parametros_manuales!$B$33</f>
        <v>Prueba hidráulica</v>
      </c>
      <c r="B240" s="8">
        <f>(parametros_manuales!$D$33*('Plan mensual'!D90+IF(parametros_manuales!$H$33="Todos",'Plan mensual'!D94,0))+parametros_manuales!$E$33*('Plan mensual'!D91+IF(parametros_manuales!$H$33="Todos",'Plan mensual'!D95,0))+parametros_manuales!$F$33*('Plan mensual'!D92+IF(parametros_manuales!$H$33="Todos",'Plan mensual'!D96,0))+parametros_manuales!$G$33*('Plan mensual'!D93+IF(parametros_manuales!$H$33="Todos",'Plan mensual'!D97,0)))*parametros_manuales!$I$33*parametros_manuales!$J$33</f>
        <v>28283.16</v>
      </c>
      <c r="C240" s="8">
        <f>(parametros_manuales!$D$33*('Plan mensual'!E90+IF(parametros_manuales!$H$33="Todos",'Plan mensual'!E94,0))+parametros_manuales!$E$33*('Plan mensual'!E91+IF(parametros_manuales!$H$33="Todos",'Plan mensual'!E95,0))+parametros_manuales!$F$33*('Plan mensual'!E92+IF(parametros_manuales!$H$33="Todos",'Plan mensual'!E96,0))+parametros_manuales!$G$33*('Plan mensual'!E93+IF(parametros_manuales!$H$33="Todos",'Plan mensual'!E97,0)))*parametros_manuales!$I$33*parametros_manuales!$J$33</f>
        <v>21574.17</v>
      </c>
      <c r="D240" s="8">
        <f>(parametros_manuales!$D$33*('Plan mensual'!F90+IF(parametros_manuales!$H$33="Todos",'Plan mensual'!F94,0))+parametros_manuales!$E$33*('Plan mensual'!F91+IF(parametros_manuales!$H$33="Todos",'Plan mensual'!F95,0))+parametros_manuales!$F$33*('Plan mensual'!F92+IF(parametros_manuales!$H$33="Todos",'Plan mensual'!F96,0))+parametros_manuales!$G$33*('Plan mensual'!F93+IF(parametros_manuales!$H$33="Todos",'Plan mensual'!F97,0)))*parametros_manuales!$I$33*parametros_manuales!$J$33</f>
        <v>20182.04</v>
      </c>
      <c r="E240" s="8">
        <f>(parametros_manuales!$D$33*('Plan mensual'!G90+IF(parametros_manuales!$H$33="Todos",'Plan mensual'!G94,0))+parametros_manuales!$E$33*('Plan mensual'!G91+IF(parametros_manuales!$H$33="Todos",'Plan mensual'!G95,0))+parametros_manuales!$F$33*('Plan mensual'!G92+IF(parametros_manuales!$H$33="Todos",'Plan mensual'!G96,0))+parametros_manuales!$G$33*('Plan mensual'!G93+IF(parametros_manuales!$H$33="Todos",'Plan mensual'!G97,0)))*parametros_manuales!$I$33*parametros_manuales!$J$33</f>
        <v>19305.075</v>
      </c>
      <c r="F240" s="8">
        <f>(parametros_manuales!$D$33*('Plan mensual'!H90+IF(parametros_manuales!$H$33="Todos",'Plan mensual'!H94,0))+parametros_manuales!$E$33*('Plan mensual'!H91+IF(parametros_manuales!$H$33="Todos",'Plan mensual'!H95,0))+parametros_manuales!$F$33*('Plan mensual'!H92+IF(parametros_manuales!$H$33="Todos",'Plan mensual'!H96,0))+parametros_manuales!$G$33*('Plan mensual'!H93+IF(parametros_manuales!$H$33="Todos",'Plan mensual'!H97,0)))*parametros_manuales!$I$33*parametros_manuales!$J$33</f>
        <v>18066.31</v>
      </c>
      <c r="G240" s="8">
        <f>(parametros_manuales!$D$33*('Plan mensual'!I90+IF(parametros_manuales!$H$33="Todos",'Plan mensual'!I94,0))+parametros_manuales!$E$33*('Plan mensual'!I91+IF(parametros_manuales!$H$33="Todos",'Plan mensual'!I95,0))+parametros_manuales!$F$33*('Plan mensual'!I92+IF(parametros_manuales!$H$33="Todos",'Plan mensual'!I96,0))+parametros_manuales!$G$33*('Plan mensual'!I93+IF(parametros_manuales!$H$33="Todos",'Plan mensual'!I97,0)))*parametros_manuales!$I$33*parametros_manuales!$J$33</f>
        <v>17704.51</v>
      </c>
      <c r="H240" s="8">
        <f>(parametros_manuales!$D$33*('Plan mensual'!J90+IF(parametros_manuales!$H$33="Todos",'Plan mensual'!J94,0))+parametros_manuales!$E$33*('Plan mensual'!J91+IF(parametros_manuales!$H$33="Todos",'Plan mensual'!J95,0))+parametros_manuales!$F$33*('Plan mensual'!J92+IF(parametros_manuales!$H$33="Todos",'Plan mensual'!J96,0))+parametros_manuales!$G$33*('Plan mensual'!J93+IF(parametros_manuales!$H$33="Todos",'Plan mensual'!J97,0)))*parametros_manuales!$I$33*parametros_manuales!$J$33</f>
        <v>18943.275</v>
      </c>
      <c r="I240" s="8">
        <f>(parametros_manuales!$D$33*('Plan mensual'!K90+IF(parametros_manuales!$H$33="Todos",'Plan mensual'!K94,0))+parametros_manuales!$E$33*('Plan mensual'!K91+IF(parametros_manuales!$H$33="Todos",'Plan mensual'!K95,0))+parametros_manuales!$F$33*('Plan mensual'!K92+IF(parametros_manuales!$H$33="Todos",'Plan mensual'!K96,0))+parametros_manuales!$G$33*('Plan mensual'!K93+IF(parametros_manuales!$H$33="Todos",'Plan mensual'!K97,0)))*parametros_manuales!$I$33*parametros_manuales!$J$33</f>
        <v>18943.275</v>
      </c>
      <c r="J240" s="8">
        <f>(parametros_manuales!$D$33*('Plan mensual'!L90+IF(parametros_manuales!$H$33="Todos",'Plan mensual'!L94,0))+parametros_manuales!$E$33*('Plan mensual'!L91+IF(parametros_manuales!$H$33="Todos",'Plan mensual'!L95,0))+parametros_manuales!$F$33*('Plan mensual'!L92+IF(parametros_manuales!$H$33="Todos",'Plan mensual'!L96,0))+parametros_manuales!$G$33*('Plan mensual'!L93+IF(parametros_manuales!$H$33="Todos",'Plan mensual'!L97,0)))*parametros_manuales!$I$33*parametros_manuales!$J$33</f>
        <v>18943.275</v>
      </c>
      <c r="K240" s="8">
        <f>(parametros_manuales!$D$33*('Plan mensual'!M90+IF(parametros_manuales!$H$33="Todos",'Plan mensual'!M94,0))+parametros_manuales!$E$33*('Plan mensual'!M91+IF(parametros_manuales!$H$33="Todos",'Plan mensual'!M95,0))+parametros_manuales!$F$33*('Plan mensual'!M92+IF(parametros_manuales!$H$33="Todos",'Plan mensual'!M96,0))+parametros_manuales!$G$33*('Plan mensual'!M93+IF(parametros_manuales!$H$33="Todos",'Plan mensual'!M97,0)))*parametros_manuales!$I$33*parametros_manuales!$J$33</f>
        <v>18581.475</v>
      </c>
      <c r="L240" s="8">
        <f>(parametros_manuales!$D$33*('Plan mensual'!N90+IF(parametros_manuales!$H$33="Todos",'Plan mensual'!N94,0))+parametros_manuales!$E$33*('Plan mensual'!N91+IF(parametros_manuales!$H$33="Todos",'Plan mensual'!N95,0))+parametros_manuales!$F$33*('Plan mensual'!N92+IF(parametros_manuales!$H$33="Todos",'Plan mensual'!N96,0))+parametros_manuales!$G$33*('Plan mensual'!N93+IF(parametros_manuales!$H$33="Todos",'Plan mensual'!N97,0)))*parametros_manuales!$I$33*parametros_manuales!$J$33</f>
        <v>18219.675</v>
      </c>
      <c r="M240" s="8">
        <f>(parametros_manuales!$D$33*('Plan mensual'!O90+IF(parametros_manuales!$H$33="Todos",'Plan mensual'!O94,0))+parametros_manuales!$E$33*('Plan mensual'!O91+IF(parametros_manuales!$H$33="Todos",'Plan mensual'!O95,0))+parametros_manuales!$F$33*('Plan mensual'!O92+IF(parametros_manuales!$H$33="Todos",'Plan mensual'!O96,0))+parametros_manuales!$G$33*('Plan mensual'!O93+IF(parametros_manuales!$H$33="Todos",'Plan mensual'!O97,0)))*parametros_manuales!$I$33*parametros_manuales!$J$33</f>
        <v>29006.76</v>
      </c>
      <c r="N240" s="8">
        <f t="shared" si="25"/>
        <v>247753</v>
      </c>
      <c r="O240" s="8">
        <f t="shared" si="26"/>
        <v>29006.76</v>
      </c>
      <c r="P240" s="27">
        <f>O240/(parametros_manuales!$B$7)</f>
        <v>193.3784</v>
      </c>
      <c r="Q240" s="4" t="str">
        <f t="shared" si="27"/>
        <v>Dic</v>
      </c>
    </row>
    <row r="241" ht="14.25" customHeight="1">
      <c r="A241" s="4" t="str">
        <f>parametros_manuales!$B$34</f>
        <v>Secado</v>
      </c>
      <c r="B241" s="8">
        <f>(parametros_manuales!$D$34*('Plan mensual'!D90+IF(parametros_manuales!$H$34="Todos",'Plan mensual'!D94,0))+parametros_manuales!$E$34*('Plan mensual'!D91+IF(parametros_manuales!$H$34="Todos",'Plan mensual'!D95,0))+parametros_manuales!$F$34*('Plan mensual'!D92+IF(parametros_manuales!$H$34="Todos",'Plan mensual'!D96,0))+parametros_manuales!$G$34*('Plan mensual'!D93+IF(parametros_manuales!$H$34="Todos",'Plan mensual'!D97,0)))*parametros_manuales!$I$34*parametros_manuales!$J$34</f>
        <v>28283.16</v>
      </c>
      <c r="C241" s="8">
        <f>(parametros_manuales!$D$34*('Plan mensual'!E90+IF(parametros_manuales!$H$34="Todos",'Plan mensual'!E94,0))+parametros_manuales!$E$34*('Plan mensual'!E91+IF(parametros_manuales!$H$34="Todos",'Plan mensual'!E95,0))+parametros_manuales!$F$34*('Plan mensual'!E92+IF(parametros_manuales!$H$34="Todos",'Plan mensual'!E96,0))+parametros_manuales!$G$34*('Plan mensual'!E93+IF(parametros_manuales!$H$34="Todos",'Plan mensual'!E97,0)))*parametros_manuales!$I$34*parametros_manuales!$J$34</f>
        <v>21574.17</v>
      </c>
      <c r="D241" s="8">
        <f>(parametros_manuales!$D$34*('Plan mensual'!F90+IF(parametros_manuales!$H$34="Todos",'Plan mensual'!F94,0))+parametros_manuales!$E$34*('Plan mensual'!F91+IF(parametros_manuales!$H$34="Todos",'Plan mensual'!F95,0))+parametros_manuales!$F$34*('Plan mensual'!F92+IF(parametros_manuales!$H$34="Todos",'Plan mensual'!F96,0))+parametros_manuales!$G$34*('Plan mensual'!F93+IF(parametros_manuales!$H$34="Todos",'Plan mensual'!F97,0)))*parametros_manuales!$I$34*parametros_manuales!$J$34</f>
        <v>20182.04</v>
      </c>
      <c r="E241" s="8">
        <f>(parametros_manuales!$D$34*('Plan mensual'!G90+IF(parametros_manuales!$H$34="Todos",'Plan mensual'!G94,0))+parametros_manuales!$E$34*('Plan mensual'!G91+IF(parametros_manuales!$H$34="Todos",'Plan mensual'!G95,0))+parametros_manuales!$F$34*('Plan mensual'!G92+IF(parametros_manuales!$H$34="Todos",'Plan mensual'!G96,0))+parametros_manuales!$G$34*('Plan mensual'!G93+IF(parametros_manuales!$H$34="Todos",'Plan mensual'!G97,0)))*parametros_manuales!$I$34*parametros_manuales!$J$34</f>
        <v>19305.075</v>
      </c>
      <c r="F241" s="8">
        <f>(parametros_manuales!$D$34*('Plan mensual'!H90+IF(parametros_manuales!$H$34="Todos",'Plan mensual'!H94,0))+parametros_manuales!$E$34*('Plan mensual'!H91+IF(parametros_manuales!$H$34="Todos",'Plan mensual'!H95,0))+parametros_manuales!$F$34*('Plan mensual'!H92+IF(parametros_manuales!$H$34="Todos",'Plan mensual'!H96,0))+parametros_manuales!$G$34*('Plan mensual'!H93+IF(parametros_manuales!$H$34="Todos",'Plan mensual'!H97,0)))*parametros_manuales!$I$34*parametros_manuales!$J$34</f>
        <v>18066.31</v>
      </c>
      <c r="G241" s="8">
        <f>(parametros_manuales!$D$34*('Plan mensual'!I90+IF(parametros_manuales!$H$34="Todos",'Plan mensual'!I94,0))+parametros_manuales!$E$34*('Plan mensual'!I91+IF(parametros_manuales!$H$34="Todos",'Plan mensual'!I95,0))+parametros_manuales!$F$34*('Plan mensual'!I92+IF(parametros_manuales!$H$34="Todos",'Plan mensual'!I96,0))+parametros_manuales!$G$34*('Plan mensual'!I93+IF(parametros_manuales!$H$34="Todos",'Plan mensual'!I97,0)))*parametros_manuales!$I$34*parametros_manuales!$J$34</f>
        <v>17704.51</v>
      </c>
      <c r="H241" s="8">
        <f>(parametros_manuales!$D$34*('Plan mensual'!J90+IF(parametros_manuales!$H$34="Todos",'Plan mensual'!J94,0))+parametros_manuales!$E$34*('Plan mensual'!J91+IF(parametros_manuales!$H$34="Todos",'Plan mensual'!J95,0))+parametros_manuales!$F$34*('Plan mensual'!J92+IF(parametros_manuales!$H$34="Todos",'Plan mensual'!J96,0))+parametros_manuales!$G$34*('Plan mensual'!J93+IF(parametros_manuales!$H$34="Todos",'Plan mensual'!J97,0)))*parametros_manuales!$I$34*parametros_manuales!$J$34</f>
        <v>18943.275</v>
      </c>
      <c r="I241" s="8">
        <f>(parametros_manuales!$D$34*('Plan mensual'!K90+IF(parametros_manuales!$H$34="Todos",'Plan mensual'!K94,0))+parametros_manuales!$E$34*('Plan mensual'!K91+IF(parametros_manuales!$H$34="Todos",'Plan mensual'!K95,0))+parametros_manuales!$F$34*('Plan mensual'!K92+IF(parametros_manuales!$H$34="Todos",'Plan mensual'!K96,0))+parametros_manuales!$G$34*('Plan mensual'!K93+IF(parametros_manuales!$H$34="Todos",'Plan mensual'!K97,0)))*parametros_manuales!$I$34*parametros_manuales!$J$34</f>
        <v>18943.275</v>
      </c>
      <c r="J241" s="8">
        <f>(parametros_manuales!$D$34*('Plan mensual'!L90+IF(parametros_manuales!$H$34="Todos",'Plan mensual'!L94,0))+parametros_manuales!$E$34*('Plan mensual'!L91+IF(parametros_manuales!$H$34="Todos",'Plan mensual'!L95,0))+parametros_manuales!$F$34*('Plan mensual'!L92+IF(parametros_manuales!$H$34="Todos",'Plan mensual'!L96,0))+parametros_manuales!$G$34*('Plan mensual'!L93+IF(parametros_manuales!$H$34="Todos",'Plan mensual'!L97,0)))*parametros_manuales!$I$34*parametros_manuales!$J$34</f>
        <v>18943.275</v>
      </c>
      <c r="K241" s="8">
        <f>(parametros_manuales!$D$34*('Plan mensual'!M90+IF(parametros_manuales!$H$34="Todos",'Plan mensual'!M94,0))+parametros_manuales!$E$34*('Plan mensual'!M91+IF(parametros_manuales!$H$34="Todos",'Plan mensual'!M95,0))+parametros_manuales!$F$34*('Plan mensual'!M92+IF(parametros_manuales!$H$34="Todos",'Plan mensual'!M96,0))+parametros_manuales!$G$34*('Plan mensual'!M93+IF(parametros_manuales!$H$34="Todos",'Plan mensual'!M97,0)))*parametros_manuales!$I$34*parametros_manuales!$J$34</f>
        <v>18581.475</v>
      </c>
      <c r="L241" s="8">
        <f>(parametros_manuales!$D$34*('Plan mensual'!N90+IF(parametros_manuales!$H$34="Todos",'Plan mensual'!N94,0))+parametros_manuales!$E$34*('Plan mensual'!N91+IF(parametros_manuales!$H$34="Todos",'Plan mensual'!N95,0))+parametros_manuales!$F$34*('Plan mensual'!N92+IF(parametros_manuales!$H$34="Todos",'Plan mensual'!N96,0))+parametros_manuales!$G$34*('Plan mensual'!N93+IF(parametros_manuales!$H$34="Todos",'Plan mensual'!N97,0)))*parametros_manuales!$I$34*parametros_manuales!$J$34</f>
        <v>18219.675</v>
      </c>
      <c r="M241" s="8">
        <f>(parametros_manuales!$D$34*('Plan mensual'!O90+IF(parametros_manuales!$H$34="Todos",'Plan mensual'!O94,0))+parametros_manuales!$E$34*('Plan mensual'!O91+IF(parametros_manuales!$H$34="Todos",'Plan mensual'!O95,0))+parametros_manuales!$F$34*('Plan mensual'!O92+IF(parametros_manuales!$H$34="Todos",'Plan mensual'!O96,0))+parametros_manuales!$G$34*('Plan mensual'!O93+IF(parametros_manuales!$H$34="Todos",'Plan mensual'!O97,0)))*parametros_manuales!$I$34*parametros_manuales!$J$34</f>
        <v>29006.76</v>
      </c>
      <c r="N241" s="8">
        <f t="shared" si="25"/>
        <v>247753</v>
      </c>
      <c r="O241" s="8">
        <f t="shared" si="26"/>
        <v>29006.76</v>
      </c>
      <c r="P241" s="27">
        <f>O241/(parametros_manuales!$B$7)</f>
        <v>193.3784</v>
      </c>
      <c r="Q241" s="4" t="str">
        <f t="shared" si="27"/>
        <v>Dic</v>
      </c>
    </row>
    <row r="242" ht="14.25" customHeight="1">
      <c r="A242" s="4" t="str">
        <f>parametros_manuales!$B$35</f>
        <v>Granallado</v>
      </c>
      <c r="B242" s="8">
        <f>(parametros_manuales!$D$35*('Plan mensual'!D90+IF(parametros_manuales!$H$35="Todos",'Plan mensual'!D94,0))+parametros_manuales!$E$35*('Plan mensual'!D91+IF(parametros_manuales!$H$35="Todos",'Plan mensual'!D95,0))+parametros_manuales!$F$35*('Plan mensual'!D92+IF(parametros_manuales!$H$35="Todos",'Plan mensual'!D96,0))+parametros_manuales!$G$35*('Plan mensual'!D93+IF(parametros_manuales!$H$35="Todos",'Plan mensual'!D97,0)))*parametros_manuales!$I$35*parametros_manuales!$J$35</f>
        <v>28283.16</v>
      </c>
      <c r="C242" s="8">
        <f>(parametros_manuales!$D$35*('Plan mensual'!E90+IF(parametros_manuales!$H$35="Todos",'Plan mensual'!E94,0))+parametros_manuales!$E$35*('Plan mensual'!E91+IF(parametros_manuales!$H$35="Todos",'Plan mensual'!E95,0))+parametros_manuales!$F$35*('Plan mensual'!E92+IF(parametros_manuales!$H$35="Todos",'Plan mensual'!E96,0))+parametros_manuales!$G$35*('Plan mensual'!E93+IF(parametros_manuales!$H$35="Todos",'Plan mensual'!E97,0)))*parametros_manuales!$I$35*parametros_manuales!$J$35</f>
        <v>21574.17</v>
      </c>
      <c r="D242" s="8">
        <f>(parametros_manuales!$D$35*('Plan mensual'!F90+IF(parametros_manuales!$H$35="Todos",'Plan mensual'!F94,0))+parametros_manuales!$E$35*('Plan mensual'!F91+IF(parametros_manuales!$H$35="Todos",'Plan mensual'!F95,0))+parametros_manuales!$F$35*('Plan mensual'!F92+IF(parametros_manuales!$H$35="Todos",'Plan mensual'!F96,0))+parametros_manuales!$G$35*('Plan mensual'!F93+IF(parametros_manuales!$H$35="Todos",'Plan mensual'!F97,0)))*parametros_manuales!$I$35*parametros_manuales!$J$35</f>
        <v>20182.04</v>
      </c>
      <c r="E242" s="8">
        <f>(parametros_manuales!$D$35*('Plan mensual'!G90+IF(parametros_manuales!$H$35="Todos",'Plan mensual'!G94,0))+parametros_manuales!$E$35*('Plan mensual'!G91+IF(parametros_manuales!$H$35="Todos",'Plan mensual'!G95,0))+parametros_manuales!$F$35*('Plan mensual'!G92+IF(parametros_manuales!$H$35="Todos",'Plan mensual'!G96,0))+parametros_manuales!$G$35*('Plan mensual'!G93+IF(parametros_manuales!$H$35="Todos",'Plan mensual'!G97,0)))*parametros_manuales!$I$35*parametros_manuales!$J$35</f>
        <v>19305.075</v>
      </c>
      <c r="F242" s="8">
        <f>(parametros_manuales!$D$35*('Plan mensual'!H90+IF(parametros_manuales!$H$35="Todos",'Plan mensual'!H94,0))+parametros_manuales!$E$35*('Plan mensual'!H91+IF(parametros_manuales!$H$35="Todos",'Plan mensual'!H95,0))+parametros_manuales!$F$35*('Plan mensual'!H92+IF(parametros_manuales!$H$35="Todos",'Plan mensual'!H96,0))+parametros_manuales!$G$35*('Plan mensual'!H93+IF(parametros_manuales!$H$35="Todos",'Plan mensual'!H97,0)))*parametros_manuales!$I$35*parametros_manuales!$J$35</f>
        <v>18066.31</v>
      </c>
      <c r="G242" s="8">
        <f>(parametros_manuales!$D$35*('Plan mensual'!I90+IF(parametros_manuales!$H$35="Todos",'Plan mensual'!I94,0))+parametros_manuales!$E$35*('Plan mensual'!I91+IF(parametros_manuales!$H$35="Todos",'Plan mensual'!I95,0))+parametros_manuales!$F$35*('Plan mensual'!I92+IF(parametros_manuales!$H$35="Todos",'Plan mensual'!I96,0))+parametros_manuales!$G$35*('Plan mensual'!I93+IF(parametros_manuales!$H$35="Todos",'Plan mensual'!I97,0)))*parametros_manuales!$I$35*parametros_manuales!$J$35</f>
        <v>17704.51</v>
      </c>
      <c r="H242" s="8">
        <f>(parametros_manuales!$D$35*('Plan mensual'!J90+IF(parametros_manuales!$H$35="Todos",'Plan mensual'!J94,0))+parametros_manuales!$E$35*('Plan mensual'!J91+IF(parametros_manuales!$H$35="Todos",'Plan mensual'!J95,0))+parametros_manuales!$F$35*('Plan mensual'!J92+IF(parametros_manuales!$H$35="Todos",'Plan mensual'!J96,0))+parametros_manuales!$G$35*('Plan mensual'!J93+IF(parametros_manuales!$H$35="Todos",'Plan mensual'!J97,0)))*parametros_manuales!$I$35*parametros_manuales!$J$35</f>
        <v>18943.275</v>
      </c>
      <c r="I242" s="8">
        <f>(parametros_manuales!$D$35*('Plan mensual'!K90+IF(parametros_manuales!$H$35="Todos",'Plan mensual'!K94,0))+parametros_manuales!$E$35*('Plan mensual'!K91+IF(parametros_manuales!$H$35="Todos",'Plan mensual'!K95,0))+parametros_manuales!$F$35*('Plan mensual'!K92+IF(parametros_manuales!$H$35="Todos",'Plan mensual'!K96,0))+parametros_manuales!$G$35*('Plan mensual'!K93+IF(parametros_manuales!$H$35="Todos",'Plan mensual'!K97,0)))*parametros_manuales!$I$35*parametros_manuales!$J$35</f>
        <v>18943.275</v>
      </c>
      <c r="J242" s="8">
        <f>(parametros_manuales!$D$35*('Plan mensual'!L90+IF(parametros_manuales!$H$35="Todos",'Plan mensual'!L94,0))+parametros_manuales!$E$35*('Plan mensual'!L91+IF(parametros_manuales!$H$35="Todos",'Plan mensual'!L95,0))+parametros_manuales!$F$35*('Plan mensual'!L92+IF(parametros_manuales!$H$35="Todos",'Plan mensual'!L96,0))+parametros_manuales!$G$35*('Plan mensual'!L93+IF(parametros_manuales!$H$35="Todos",'Plan mensual'!L97,0)))*parametros_manuales!$I$35*parametros_manuales!$J$35</f>
        <v>18943.275</v>
      </c>
      <c r="K242" s="8">
        <f>(parametros_manuales!$D$35*('Plan mensual'!M90+IF(parametros_manuales!$H$35="Todos",'Plan mensual'!M94,0))+parametros_manuales!$E$35*('Plan mensual'!M91+IF(parametros_manuales!$H$35="Todos",'Plan mensual'!M95,0))+parametros_manuales!$F$35*('Plan mensual'!M92+IF(parametros_manuales!$H$35="Todos",'Plan mensual'!M96,0))+parametros_manuales!$G$35*('Plan mensual'!M93+IF(parametros_manuales!$H$35="Todos",'Plan mensual'!M97,0)))*parametros_manuales!$I$35*parametros_manuales!$J$35</f>
        <v>18581.475</v>
      </c>
      <c r="L242" s="8">
        <f>(parametros_manuales!$D$35*('Plan mensual'!N90+IF(parametros_manuales!$H$35="Todos",'Plan mensual'!N94,0))+parametros_manuales!$E$35*('Plan mensual'!N91+IF(parametros_manuales!$H$35="Todos",'Plan mensual'!N95,0))+parametros_manuales!$F$35*('Plan mensual'!N92+IF(parametros_manuales!$H$35="Todos",'Plan mensual'!N96,0))+parametros_manuales!$G$35*('Plan mensual'!N93+IF(parametros_manuales!$H$35="Todos",'Plan mensual'!N97,0)))*parametros_manuales!$I$35*parametros_manuales!$J$35</f>
        <v>18219.675</v>
      </c>
      <c r="M242" s="8">
        <f>(parametros_manuales!$D$35*('Plan mensual'!O90+IF(parametros_manuales!$H$35="Todos",'Plan mensual'!O94,0))+parametros_manuales!$E$35*('Plan mensual'!O91+IF(parametros_manuales!$H$35="Todos",'Plan mensual'!O95,0))+parametros_manuales!$F$35*('Plan mensual'!O92+IF(parametros_manuales!$H$35="Todos",'Plan mensual'!O96,0))+parametros_manuales!$G$35*('Plan mensual'!O93+IF(parametros_manuales!$H$35="Todos",'Plan mensual'!O97,0)))*parametros_manuales!$I$35*parametros_manuales!$J$35</f>
        <v>29006.76</v>
      </c>
      <c r="N242" s="8">
        <f t="shared" si="25"/>
        <v>247753</v>
      </c>
      <c r="O242" s="8">
        <f t="shared" si="26"/>
        <v>29006.76</v>
      </c>
      <c r="P242" s="27">
        <f>O242/(parametros_manuales!$B$7)</f>
        <v>193.3784</v>
      </c>
      <c r="Q242" s="4" t="str">
        <f t="shared" si="27"/>
        <v>Dic</v>
      </c>
    </row>
    <row r="243" ht="14.25" customHeight="1">
      <c r="A243" s="4" t="str">
        <f>parametros_manuales!$B$36</f>
        <v>Detección de defectos</v>
      </c>
      <c r="B243" s="8">
        <f>(parametros_manuales!$D$36*('Plan mensual'!D90+IF(parametros_manuales!$H$36="Todos",'Plan mensual'!D94,0))+parametros_manuales!$E$36*('Plan mensual'!D91+IF(parametros_manuales!$H$36="Todos",'Plan mensual'!D95,0))+parametros_manuales!$F$36*('Plan mensual'!D92+IF(parametros_manuales!$H$36="Todos",'Plan mensual'!D96,0))+parametros_manuales!$G$36*('Plan mensual'!D93+IF(parametros_manuales!$H$36="Todos",'Plan mensual'!D97,0)))*parametros_manuales!$I$36*parametros_manuales!$J$36</f>
        <v>28283.16</v>
      </c>
      <c r="C243" s="8">
        <f>(parametros_manuales!$D$36*('Plan mensual'!E90+IF(parametros_manuales!$H$36="Todos",'Plan mensual'!E94,0))+parametros_manuales!$E$36*('Plan mensual'!E91+IF(parametros_manuales!$H$36="Todos",'Plan mensual'!E95,0))+parametros_manuales!$F$36*('Plan mensual'!E92+IF(parametros_manuales!$H$36="Todos",'Plan mensual'!E96,0))+parametros_manuales!$G$36*('Plan mensual'!E93+IF(parametros_manuales!$H$36="Todos",'Plan mensual'!E97,0)))*parametros_manuales!$I$36*parametros_manuales!$J$36</f>
        <v>21574.17</v>
      </c>
      <c r="D243" s="8">
        <f>(parametros_manuales!$D$36*('Plan mensual'!F90+IF(parametros_manuales!$H$36="Todos",'Plan mensual'!F94,0))+parametros_manuales!$E$36*('Plan mensual'!F91+IF(parametros_manuales!$H$36="Todos",'Plan mensual'!F95,0))+parametros_manuales!$F$36*('Plan mensual'!F92+IF(parametros_manuales!$H$36="Todos",'Plan mensual'!F96,0))+parametros_manuales!$G$36*('Plan mensual'!F93+IF(parametros_manuales!$H$36="Todos",'Plan mensual'!F97,0)))*parametros_manuales!$I$36*parametros_manuales!$J$36</f>
        <v>20182.04</v>
      </c>
      <c r="E243" s="8">
        <f>(parametros_manuales!$D$36*('Plan mensual'!G90+IF(parametros_manuales!$H$36="Todos",'Plan mensual'!G94,0))+parametros_manuales!$E$36*('Plan mensual'!G91+IF(parametros_manuales!$H$36="Todos",'Plan mensual'!G95,0))+parametros_manuales!$F$36*('Plan mensual'!G92+IF(parametros_manuales!$H$36="Todos",'Plan mensual'!G96,0))+parametros_manuales!$G$36*('Plan mensual'!G93+IF(parametros_manuales!$H$36="Todos",'Plan mensual'!G97,0)))*parametros_manuales!$I$36*parametros_manuales!$J$36</f>
        <v>19305.075</v>
      </c>
      <c r="F243" s="8">
        <f>(parametros_manuales!$D$36*('Plan mensual'!H90+IF(parametros_manuales!$H$36="Todos",'Plan mensual'!H94,0))+parametros_manuales!$E$36*('Plan mensual'!H91+IF(parametros_manuales!$H$36="Todos",'Plan mensual'!H95,0))+parametros_manuales!$F$36*('Plan mensual'!H92+IF(parametros_manuales!$H$36="Todos",'Plan mensual'!H96,0))+parametros_manuales!$G$36*('Plan mensual'!H93+IF(parametros_manuales!$H$36="Todos",'Plan mensual'!H97,0)))*parametros_manuales!$I$36*parametros_manuales!$J$36</f>
        <v>18066.31</v>
      </c>
      <c r="G243" s="8">
        <f>(parametros_manuales!$D$36*('Plan mensual'!I90+IF(parametros_manuales!$H$36="Todos",'Plan mensual'!I94,0))+parametros_manuales!$E$36*('Plan mensual'!I91+IF(parametros_manuales!$H$36="Todos",'Plan mensual'!I95,0))+parametros_manuales!$F$36*('Plan mensual'!I92+IF(parametros_manuales!$H$36="Todos",'Plan mensual'!I96,0))+parametros_manuales!$G$36*('Plan mensual'!I93+IF(parametros_manuales!$H$36="Todos",'Plan mensual'!I97,0)))*parametros_manuales!$I$36*parametros_manuales!$J$36</f>
        <v>17704.51</v>
      </c>
      <c r="H243" s="8">
        <f>(parametros_manuales!$D$36*('Plan mensual'!J90+IF(parametros_manuales!$H$36="Todos",'Plan mensual'!J94,0))+parametros_manuales!$E$36*('Plan mensual'!J91+IF(parametros_manuales!$H$36="Todos",'Plan mensual'!J95,0))+parametros_manuales!$F$36*('Plan mensual'!J92+IF(parametros_manuales!$H$36="Todos",'Plan mensual'!J96,0))+parametros_manuales!$G$36*('Plan mensual'!J93+IF(parametros_manuales!$H$36="Todos",'Plan mensual'!J97,0)))*parametros_manuales!$I$36*parametros_manuales!$J$36</f>
        <v>18943.275</v>
      </c>
      <c r="I243" s="8">
        <f>(parametros_manuales!$D$36*('Plan mensual'!K90+IF(parametros_manuales!$H$36="Todos",'Plan mensual'!K94,0))+parametros_manuales!$E$36*('Plan mensual'!K91+IF(parametros_manuales!$H$36="Todos",'Plan mensual'!K95,0))+parametros_manuales!$F$36*('Plan mensual'!K92+IF(parametros_manuales!$H$36="Todos",'Plan mensual'!K96,0))+parametros_manuales!$G$36*('Plan mensual'!K93+IF(parametros_manuales!$H$36="Todos",'Plan mensual'!K97,0)))*parametros_manuales!$I$36*parametros_manuales!$J$36</f>
        <v>18943.275</v>
      </c>
      <c r="J243" s="8">
        <f>(parametros_manuales!$D$36*('Plan mensual'!L90+IF(parametros_manuales!$H$36="Todos",'Plan mensual'!L94,0))+parametros_manuales!$E$36*('Plan mensual'!L91+IF(parametros_manuales!$H$36="Todos",'Plan mensual'!L95,0))+parametros_manuales!$F$36*('Plan mensual'!L92+IF(parametros_manuales!$H$36="Todos",'Plan mensual'!L96,0))+parametros_manuales!$G$36*('Plan mensual'!L93+IF(parametros_manuales!$H$36="Todos",'Plan mensual'!L97,0)))*parametros_manuales!$I$36*parametros_manuales!$J$36</f>
        <v>18943.275</v>
      </c>
      <c r="K243" s="8">
        <f>(parametros_manuales!$D$36*('Plan mensual'!M90+IF(parametros_manuales!$H$36="Todos",'Plan mensual'!M94,0))+parametros_manuales!$E$36*('Plan mensual'!M91+IF(parametros_manuales!$H$36="Todos",'Plan mensual'!M95,0))+parametros_manuales!$F$36*('Plan mensual'!M92+IF(parametros_manuales!$H$36="Todos",'Plan mensual'!M96,0))+parametros_manuales!$G$36*('Plan mensual'!M93+IF(parametros_manuales!$H$36="Todos",'Plan mensual'!M97,0)))*parametros_manuales!$I$36*parametros_manuales!$J$36</f>
        <v>18581.475</v>
      </c>
      <c r="L243" s="8">
        <f>(parametros_manuales!$D$36*('Plan mensual'!N90+IF(parametros_manuales!$H$36="Todos",'Plan mensual'!N94,0))+parametros_manuales!$E$36*('Plan mensual'!N91+IF(parametros_manuales!$H$36="Todos",'Plan mensual'!N95,0))+parametros_manuales!$F$36*('Plan mensual'!N92+IF(parametros_manuales!$H$36="Todos",'Plan mensual'!N96,0))+parametros_manuales!$G$36*('Plan mensual'!N93+IF(parametros_manuales!$H$36="Todos",'Plan mensual'!N97,0)))*parametros_manuales!$I$36*parametros_manuales!$J$36</f>
        <v>18219.675</v>
      </c>
      <c r="M243" s="8">
        <f>(parametros_manuales!$D$36*('Plan mensual'!O90+IF(parametros_manuales!$H$36="Todos",'Plan mensual'!O94,0))+parametros_manuales!$E$36*('Plan mensual'!O91+IF(parametros_manuales!$H$36="Todos",'Plan mensual'!O95,0))+parametros_manuales!$F$36*('Plan mensual'!O92+IF(parametros_manuales!$H$36="Todos",'Plan mensual'!O96,0))+parametros_manuales!$G$36*('Plan mensual'!O93+IF(parametros_manuales!$H$36="Todos",'Plan mensual'!O97,0)))*parametros_manuales!$I$36*parametros_manuales!$J$36</f>
        <v>29006.76</v>
      </c>
      <c r="N243" s="8">
        <f t="shared" si="25"/>
        <v>247753</v>
      </c>
      <c r="O243" s="8">
        <f t="shared" si="26"/>
        <v>29006.76</v>
      </c>
      <c r="P243" s="27">
        <f>O243/(parametros_manuales!$B$7)</f>
        <v>193.3784</v>
      </c>
      <c r="Q243" s="4" t="str">
        <f t="shared" si="27"/>
        <v>Dic</v>
      </c>
    </row>
    <row r="244" ht="14.25" customHeight="1">
      <c r="A244" s="4" t="str">
        <f>parametros_manuales!$B$37</f>
        <v>Corrección de defectos</v>
      </c>
      <c r="B244" s="8">
        <f>(parametros_manuales!$D$37*('Plan mensual'!D90+IF(parametros_manuales!$H$37="Todos",'Plan mensual'!D94,0))+parametros_manuales!$E$37*('Plan mensual'!D91+IF(parametros_manuales!$H$37="Todos",'Plan mensual'!D95,0))+parametros_manuales!$F$37*('Plan mensual'!D92+IF(parametros_manuales!$H$37="Todos",'Plan mensual'!D96,0))+parametros_manuales!$G$37*('Plan mensual'!D93+IF(parametros_manuales!$H$37="Todos",'Plan mensual'!D97,0)))*parametros_manuales!$I$37*parametros_manuales!$J$37</f>
        <v>1414.158</v>
      </c>
      <c r="C244" s="8">
        <f>(parametros_manuales!$D$37*('Plan mensual'!E90+IF(parametros_manuales!$H$37="Todos",'Plan mensual'!E94,0))+parametros_manuales!$E$37*('Plan mensual'!E91+IF(parametros_manuales!$H$37="Todos",'Plan mensual'!E95,0))+parametros_manuales!$F$37*('Plan mensual'!E92+IF(parametros_manuales!$H$37="Todos",'Plan mensual'!E96,0))+parametros_manuales!$G$37*('Plan mensual'!E93+IF(parametros_manuales!$H$37="Todos",'Plan mensual'!E97,0)))*parametros_manuales!$I$37*parametros_manuales!$J$37</f>
        <v>1078.7085</v>
      </c>
      <c r="D244" s="8">
        <f>(parametros_manuales!$D$37*('Plan mensual'!F90+IF(parametros_manuales!$H$37="Todos",'Plan mensual'!F94,0))+parametros_manuales!$E$37*('Plan mensual'!F91+IF(parametros_manuales!$H$37="Todos",'Plan mensual'!F95,0))+parametros_manuales!$F$37*('Plan mensual'!F92+IF(parametros_manuales!$H$37="Todos",'Plan mensual'!F96,0))+parametros_manuales!$G$37*('Plan mensual'!F93+IF(parametros_manuales!$H$37="Todos",'Plan mensual'!F97,0)))*parametros_manuales!$I$37*parametros_manuales!$J$37</f>
        <v>1009.102</v>
      </c>
      <c r="E244" s="8">
        <f>(parametros_manuales!$D$37*('Plan mensual'!G90+IF(parametros_manuales!$H$37="Todos",'Plan mensual'!G94,0))+parametros_manuales!$E$37*('Plan mensual'!G91+IF(parametros_manuales!$H$37="Todos",'Plan mensual'!G95,0))+parametros_manuales!$F$37*('Plan mensual'!G92+IF(parametros_manuales!$H$37="Todos",'Plan mensual'!G96,0))+parametros_manuales!$G$37*('Plan mensual'!G93+IF(parametros_manuales!$H$37="Todos",'Plan mensual'!G97,0)))*parametros_manuales!$I$37*parametros_manuales!$J$37</f>
        <v>965.25375</v>
      </c>
      <c r="F244" s="8">
        <f>(parametros_manuales!$D$37*('Plan mensual'!H90+IF(parametros_manuales!$H$37="Todos",'Plan mensual'!H94,0))+parametros_manuales!$E$37*('Plan mensual'!H91+IF(parametros_manuales!$H$37="Todos",'Plan mensual'!H95,0))+parametros_manuales!$F$37*('Plan mensual'!H92+IF(parametros_manuales!$H$37="Todos",'Plan mensual'!H96,0))+parametros_manuales!$G$37*('Plan mensual'!H93+IF(parametros_manuales!$H$37="Todos",'Plan mensual'!H97,0)))*parametros_manuales!$I$37*parametros_manuales!$J$37</f>
        <v>903.3155</v>
      </c>
      <c r="G244" s="8">
        <f>(parametros_manuales!$D$37*('Plan mensual'!I90+IF(parametros_manuales!$H$37="Todos",'Plan mensual'!I94,0))+parametros_manuales!$E$37*('Plan mensual'!I91+IF(parametros_manuales!$H$37="Todos",'Plan mensual'!I95,0))+parametros_manuales!$F$37*('Plan mensual'!I92+IF(parametros_manuales!$H$37="Todos",'Plan mensual'!I96,0))+parametros_manuales!$G$37*('Plan mensual'!I93+IF(parametros_manuales!$H$37="Todos",'Plan mensual'!I97,0)))*parametros_manuales!$I$37*parametros_manuales!$J$37</f>
        <v>885.2255</v>
      </c>
      <c r="H244" s="8">
        <f>(parametros_manuales!$D$37*('Plan mensual'!J90+IF(parametros_manuales!$H$37="Todos",'Plan mensual'!J94,0))+parametros_manuales!$E$37*('Plan mensual'!J91+IF(parametros_manuales!$H$37="Todos",'Plan mensual'!J95,0))+parametros_manuales!$F$37*('Plan mensual'!J92+IF(parametros_manuales!$H$37="Todos",'Plan mensual'!J96,0))+parametros_manuales!$G$37*('Plan mensual'!J93+IF(parametros_manuales!$H$37="Todos",'Plan mensual'!J97,0)))*parametros_manuales!$I$37*parametros_manuales!$J$37</f>
        <v>947.16375</v>
      </c>
      <c r="I244" s="8">
        <f>(parametros_manuales!$D$37*('Plan mensual'!K90+IF(parametros_manuales!$H$37="Todos",'Plan mensual'!K94,0))+parametros_manuales!$E$37*('Plan mensual'!K91+IF(parametros_manuales!$H$37="Todos",'Plan mensual'!K95,0))+parametros_manuales!$F$37*('Plan mensual'!K92+IF(parametros_manuales!$H$37="Todos",'Plan mensual'!K96,0))+parametros_manuales!$G$37*('Plan mensual'!K93+IF(parametros_manuales!$H$37="Todos",'Plan mensual'!K97,0)))*parametros_manuales!$I$37*parametros_manuales!$J$37</f>
        <v>947.16375</v>
      </c>
      <c r="J244" s="8">
        <f>(parametros_manuales!$D$37*('Plan mensual'!L90+IF(parametros_manuales!$H$37="Todos",'Plan mensual'!L94,0))+parametros_manuales!$E$37*('Plan mensual'!L91+IF(parametros_manuales!$H$37="Todos",'Plan mensual'!L95,0))+parametros_manuales!$F$37*('Plan mensual'!L92+IF(parametros_manuales!$H$37="Todos",'Plan mensual'!L96,0))+parametros_manuales!$G$37*('Plan mensual'!L93+IF(parametros_manuales!$H$37="Todos",'Plan mensual'!L97,0)))*parametros_manuales!$I$37*parametros_manuales!$J$37</f>
        <v>947.16375</v>
      </c>
      <c r="K244" s="8">
        <f>(parametros_manuales!$D$37*('Plan mensual'!M90+IF(parametros_manuales!$H$37="Todos",'Plan mensual'!M94,0))+parametros_manuales!$E$37*('Plan mensual'!M91+IF(parametros_manuales!$H$37="Todos",'Plan mensual'!M95,0))+parametros_manuales!$F$37*('Plan mensual'!M92+IF(parametros_manuales!$H$37="Todos",'Plan mensual'!M96,0))+parametros_manuales!$G$37*('Plan mensual'!M93+IF(parametros_manuales!$H$37="Todos",'Plan mensual'!M97,0)))*parametros_manuales!$I$37*parametros_manuales!$J$37</f>
        <v>929.07375</v>
      </c>
      <c r="L244" s="8">
        <f>(parametros_manuales!$D$37*('Plan mensual'!N90+IF(parametros_manuales!$H$37="Todos",'Plan mensual'!N94,0))+parametros_manuales!$E$37*('Plan mensual'!N91+IF(parametros_manuales!$H$37="Todos",'Plan mensual'!N95,0))+parametros_manuales!$F$37*('Plan mensual'!N92+IF(parametros_manuales!$H$37="Todos",'Plan mensual'!N96,0))+parametros_manuales!$G$37*('Plan mensual'!N93+IF(parametros_manuales!$H$37="Todos",'Plan mensual'!N97,0)))*parametros_manuales!$I$37*parametros_manuales!$J$37</f>
        <v>910.98375</v>
      </c>
      <c r="M244" s="8">
        <f>(parametros_manuales!$D$37*('Plan mensual'!O90+IF(parametros_manuales!$H$37="Todos",'Plan mensual'!O94,0))+parametros_manuales!$E$37*('Plan mensual'!O91+IF(parametros_manuales!$H$37="Todos",'Plan mensual'!O95,0))+parametros_manuales!$F$37*('Plan mensual'!O92+IF(parametros_manuales!$H$37="Todos",'Plan mensual'!O96,0))+parametros_manuales!$G$37*('Plan mensual'!O93+IF(parametros_manuales!$H$37="Todos",'Plan mensual'!O97,0)))*parametros_manuales!$I$37*parametros_manuales!$J$37</f>
        <v>1450.338</v>
      </c>
      <c r="N244" s="8">
        <f t="shared" si="25"/>
        <v>12387.65</v>
      </c>
      <c r="O244" s="8">
        <f t="shared" si="26"/>
        <v>1450.338</v>
      </c>
      <c r="P244" s="27">
        <f>O244/(parametros_manuales!$B$7)</f>
        <v>9.66892</v>
      </c>
      <c r="Q244" s="4" t="str">
        <f t="shared" si="27"/>
        <v>Dic</v>
      </c>
    </row>
    <row r="245" ht="14.25" customHeight="1">
      <c r="A245" s="4" t="str">
        <f>parametros_manuales!$B$38</f>
        <v>Pintura en polvo + horno</v>
      </c>
      <c r="B245" s="8">
        <f>(parametros_manuales!$D$38*('Plan mensual'!D90+IF(parametros_manuales!$H$38="Todos",'Plan mensual'!D94,0))+parametros_manuales!$E$38*('Plan mensual'!D91+IF(parametros_manuales!$H$38="Todos",'Plan mensual'!D95,0))+parametros_manuales!$F$38*('Plan mensual'!D92+IF(parametros_manuales!$H$38="Todos",'Plan mensual'!D96,0))+parametros_manuales!$G$38*('Plan mensual'!D93+IF(parametros_manuales!$H$38="Todos",'Plan mensual'!D97,0)))*parametros_manuales!$I$38*parametros_manuales!$J$38</f>
        <v>28283.16</v>
      </c>
      <c r="C245" s="8">
        <f>(parametros_manuales!$D$38*('Plan mensual'!E90+IF(parametros_manuales!$H$38="Todos",'Plan mensual'!E94,0))+parametros_manuales!$E$38*('Plan mensual'!E91+IF(parametros_manuales!$H$38="Todos",'Plan mensual'!E95,0))+parametros_manuales!$F$38*('Plan mensual'!E92+IF(parametros_manuales!$H$38="Todos",'Plan mensual'!E96,0))+parametros_manuales!$G$38*('Plan mensual'!E93+IF(parametros_manuales!$H$38="Todos",'Plan mensual'!E97,0)))*parametros_manuales!$I$38*parametros_manuales!$J$38</f>
        <v>21574.17</v>
      </c>
      <c r="D245" s="8">
        <f>(parametros_manuales!$D$38*('Plan mensual'!F90+IF(parametros_manuales!$H$38="Todos",'Plan mensual'!F94,0))+parametros_manuales!$E$38*('Plan mensual'!F91+IF(parametros_manuales!$H$38="Todos",'Plan mensual'!F95,0))+parametros_manuales!$F$38*('Plan mensual'!F92+IF(parametros_manuales!$H$38="Todos",'Plan mensual'!F96,0))+parametros_manuales!$G$38*('Plan mensual'!F93+IF(parametros_manuales!$H$38="Todos",'Plan mensual'!F97,0)))*parametros_manuales!$I$38*parametros_manuales!$J$38</f>
        <v>20182.04</v>
      </c>
      <c r="E245" s="8">
        <f>(parametros_manuales!$D$38*('Plan mensual'!G90+IF(parametros_manuales!$H$38="Todos",'Plan mensual'!G94,0))+parametros_manuales!$E$38*('Plan mensual'!G91+IF(parametros_manuales!$H$38="Todos",'Plan mensual'!G95,0))+parametros_manuales!$F$38*('Plan mensual'!G92+IF(parametros_manuales!$H$38="Todos",'Plan mensual'!G96,0))+parametros_manuales!$G$38*('Plan mensual'!G93+IF(parametros_manuales!$H$38="Todos",'Plan mensual'!G97,0)))*parametros_manuales!$I$38*parametros_manuales!$J$38</f>
        <v>19305.075</v>
      </c>
      <c r="F245" s="8">
        <f>(parametros_manuales!$D$38*('Plan mensual'!H90+IF(parametros_manuales!$H$38="Todos",'Plan mensual'!H94,0))+parametros_manuales!$E$38*('Plan mensual'!H91+IF(parametros_manuales!$H$38="Todos",'Plan mensual'!H95,0))+parametros_manuales!$F$38*('Plan mensual'!H92+IF(parametros_manuales!$H$38="Todos",'Plan mensual'!H96,0))+parametros_manuales!$G$38*('Plan mensual'!H93+IF(parametros_manuales!$H$38="Todos",'Plan mensual'!H97,0)))*parametros_manuales!$I$38*parametros_manuales!$J$38</f>
        <v>18066.31</v>
      </c>
      <c r="G245" s="8">
        <f>(parametros_manuales!$D$38*('Plan mensual'!I90+IF(parametros_manuales!$H$38="Todos",'Plan mensual'!I94,0))+parametros_manuales!$E$38*('Plan mensual'!I91+IF(parametros_manuales!$H$38="Todos",'Plan mensual'!I95,0))+parametros_manuales!$F$38*('Plan mensual'!I92+IF(parametros_manuales!$H$38="Todos",'Plan mensual'!I96,0))+parametros_manuales!$G$38*('Plan mensual'!I93+IF(parametros_manuales!$H$38="Todos",'Plan mensual'!I97,0)))*parametros_manuales!$I$38*parametros_manuales!$J$38</f>
        <v>17704.51</v>
      </c>
      <c r="H245" s="8">
        <f>(parametros_manuales!$D$38*('Plan mensual'!J90+IF(parametros_manuales!$H$38="Todos",'Plan mensual'!J94,0))+parametros_manuales!$E$38*('Plan mensual'!J91+IF(parametros_manuales!$H$38="Todos",'Plan mensual'!J95,0))+parametros_manuales!$F$38*('Plan mensual'!J92+IF(parametros_manuales!$H$38="Todos",'Plan mensual'!J96,0))+parametros_manuales!$G$38*('Plan mensual'!J93+IF(parametros_manuales!$H$38="Todos",'Plan mensual'!J97,0)))*parametros_manuales!$I$38*parametros_manuales!$J$38</f>
        <v>18943.275</v>
      </c>
      <c r="I245" s="8">
        <f>(parametros_manuales!$D$38*('Plan mensual'!K90+IF(parametros_manuales!$H$38="Todos",'Plan mensual'!K94,0))+parametros_manuales!$E$38*('Plan mensual'!K91+IF(parametros_manuales!$H$38="Todos",'Plan mensual'!K95,0))+parametros_manuales!$F$38*('Plan mensual'!K92+IF(parametros_manuales!$H$38="Todos",'Plan mensual'!K96,0))+parametros_manuales!$G$38*('Plan mensual'!K93+IF(parametros_manuales!$H$38="Todos",'Plan mensual'!K97,0)))*parametros_manuales!$I$38*parametros_manuales!$J$38</f>
        <v>18943.275</v>
      </c>
      <c r="J245" s="8">
        <f>(parametros_manuales!$D$38*('Plan mensual'!L90+IF(parametros_manuales!$H$38="Todos",'Plan mensual'!L94,0))+parametros_manuales!$E$38*('Plan mensual'!L91+IF(parametros_manuales!$H$38="Todos",'Plan mensual'!L95,0))+parametros_manuales!$F$38*('Plan mensual'!L92+IF(parametros_manuales!$H$38="Todos",'Plan mensual'!L96,0))+parametros_manuales!$G$38*('Plan mensual'!L93+IF(parametros_manuales!$H$38="Todos",'Plan mensual'!L97,0)))*parametros_manuales!$I$38*parametros_manuales!$J$38</f>
        <v>18943.275</v>
      </c>
      <c r="K245" s="8">
        <f>(parametros_manuales!$D$38*('Plan mensual'!M90+IF(parametros_manuales!$H$38="Todos",'Plan mensual'!M94,0))+parametros_manuales!$E$38*('Plan mensual'!M91+IF(parametros_manuales!$H$38="Todos",'Plan mensual'!M95,0))+parametros_manuales!$F$38*('Plan mensual'!M92+IF(parametros_manuales!$H$38="Todos",'Plan mensual'!M96,0))+parametros_manuales!$G$38*('Plan mensual'!M93+IF(parametros_manuales!$H$38="Todos",'Plan mensual'!M97,0)))*parametros_manuales!$I$38*parametros_manuales!$J$38</f>
        <v>18581.475</v>
      </c>
      <c r="L245" s="8">
        <f>(parametros_manuales!$D$38*('Plan mensual'!N90+IF(parametros_manuales!$H$38="Todos",'Plan mensual'!N94,0))+parametros_manuales!$E$38*('Plan mensual'!N91+IF(parametros_manuales!$H$38="Todos",'Plan mensual'!N95,0))+parametros_manuales!$F$38*('Plan mensual'!N92+IF(parametros_manuales!$H$38="Todos",'Plan mensual'!N96,0))+parametros_manuales!$G$38*('Plan mensual'!N93+IF(parametros_manuales!$H$38="Todos",'Plan mensual'!N97,0)))*parametros_manuales!$I$38*parametros_manuales!$J$38</f>
        <v>18219.675</v>
      </c>
      <c r="M245" s="8">
        <f>(parametros_manuales!$D$38*('Plan mensual'!O90+IF(parametros_manuales!$H$38="Todos",'Plan mensual'!O94,0))+parametros_manuales!$E$38*('Plan mensual'!O91+IF(parametros_manuales!$H$38="Todos",'Plan mensual'!O95,0))+parametros_manuales!$F$38*('Plan mensual'!O92+IF(parametros_manuales!$H$38="Todos",'Plan mensual'!O96,0))+parametros_manuales!$G$38*('Plan mensual'!O93+IF(parametros_manuales!$H$38="Todos",'Plan mensual'!O97,0)))*parametros_manuales!$I$38*parametros_manuales!$J$38</f>
        <v>29006.76</v>
      </c>
      <c r="N245" s="8">
        <f t="shared" si="25"/>
        <v>247753</v>
      </c>
      <c r="O245" s="8">
        <f t="shared" si="26"/>
        <v>29006.76</v>
      </c>
      <c r="P245" s="27">
        <f>O245/(parametros_manuales!$B$7)</f>
        <v>193.3784</v>
      </c>
      <c r="Q245" s="4" t="str">
        <f t="shared" si="27"/>
        <v>Dic</v>
      </c>
    </row>
    <row r="246" ht="14.25" customHeight="1">
      <c r="A246" s="4" t="str">
        <f>parametros_manuales!$B$39</f>
        <v>Carga de polvo</v>
      </c>
      <c r="B246" s="8">
        <f>(parametros_manuales!$D$39*('Plan mensual'!D90+IF(parametros_manuales!$H$39="Todos",'Plan mensual'!D94,0))+parametros_manuales!$E$39*('Plan mensual'!D91+IF(parametros_manuales!$H$39="Todos",'Plan mensual'!D95,0))+parametros_manuales!$F$39*('Plan mensual'!D92+IF(parametros_manuales!$H$39="Todos",'Plan mensual'!D96,0))+parametros_manuales!$G$39*('Plan mensual'!D93+IF(parametros_manuales!$H$39="Todos",'Plan mensual'!D97,0)))*parametros_manuales!$I$39*parametros_manuales!$J$39</f>
        <v>6969.96</v>
      </c>
      <c r="C246" s="8">
        <f>(parametros_manuales!$D$39*('Plan mensual'!E90+IF(parametros_manuales!$H$39="Todos",'Plan mensual'!E94,0))+parametros_manuales!$E$39*('Plan mensual'!E91+IF(parametros_manuales!$H$39="Todos",'Plan mensual'!E95,0))+parametros_manuales!$F$39*('Plan mensual'!E92+IF(parametros_manuales!$H$39="Todos",'Plan mensual'!E96,0))+parametros_manuales!$G$39*('Plan mensual'!E93+IF(parametros_manuales!$H$39="Todos",'Plan mensual'!E97,0)))*parametros_manuales!$I$39*parametros_manuales!$J$39</f>
        <v>5404.53</v>
      </c>
      <c r="D246" s="8">
        <f>(parametros_manuales!$D$39*('Plan mensual'!F90+IF(parametros_manuales!$H$39="Todos",'Plan mensual'!F94,0))+parametros_manuales!$E$39*('Plan mensual'!F91+IF(parametros_manuales!$H$39="Todos",'Plan mensual'!F95,0))+parametros_manuales!$F$39*('Plan mensual'!F92+IF(parametros_manuales!$H$39="Todos",'Plan mensual'!F96,0))+parametros_manuales!$G$39*('Plan mensual'!F93+IF(parametros_manuales!$H$39="Todos",'Plan mensual'!F97,0)))*parametros_manuales!$I$39*parametros_manuales!$J$39</f>
        <v>5295.86</v>
      </c>
      <c r="E246" s="8">
        <f>(parametros_manuales!$D$39*('Plan mensual'!G90+IF(parametros_manuales!$H$39="Todos",'Plan mensual'!G94,0))+parametros_manuales!$E$39*('Plan mensual'!G91+IF(parametros_manuales!$H$39="Todos",'Plan mensual'!G95,0))+parametros_manuales!$F$39*('Plan mensual'!G92+IF(parametros_manuales!$H$39="Todos",'Plan mensual'!G96,0))+parametros_manuales!$G$39*('Plan mensual'!G93+IF(parametros_manuales!$H$39="Todos",'Plan mensual'!G97,0)))*parametros_manuales!$I$39*parametros_manuales!$J$39</f>
        <v>5152.995</v>
      </c>
      <c r="F246" s="8">
        <f>(parametros_manuales!$D$39*('Plan mensual'!H90+IF(parametros_manuales!$H$39="Todos",'Plan mensual'!H94,0))+parametros_manuales!$E$39*('Plan mensual'!H91+IF(parametros_manuales!$H$39="Todos",'Plan mensual'!H95,0))+parametros_manuales!$F$39*('Plan mensual'!H92+IF(parametros_manuales!$H$39="Todos",'Plan mensual'!H96,0))+parametros_manuales!$G$39*('Plan mensual'!H93+IF(parametros_manuales!$H$39="Todos",'Plan mensual'!H97,0)))*parametros_manuales!$I$39*parametros_manuales!$J$39</f>
        <v>4833.07</v>
      </c>
      <c r="G246" s="8">
        <f>(parametros_manuales!$D$39*('Plan mensual'!I90+IF(parametros_manuales!$H$39="Todos",'Plan mensual'!I94,0))+parametros_manuales!$E$39*('Plan mensual'!I91+IF(parametros_manuales!$H$39="Todos",'Plan mensual'!I95,0))+parametros_manuales!$F$39*('Plan mensual'!I92+IF(parametros_manuales!$H$39="Todos",'Plan mensual'!I96,0))+parametros_manuales!$G$39*('Plan mensual'!I93+IF(parametros_manuales!$H$39="Todos",'Plan mensual'!I97,0)))*parametros_manuales!$I$39*parametros_manuales!$J$39</f>
        <v>4656.01</v>
      </c>
      <c r="H246" s="8">
        <f>(parametros_manuales!$D$39*('Plan mensual'!J90+IF(parametros_manuales!$H$39="Todos",'Plan mensual'!J94,0))+parametros_manuales!$E$39*('Plan mensual'!J91+IF(parametros_manuales!$H$39="Todos",'Plan mensual'!J95,0))+parametros_manuales!$F$39*('Plan mensual'!J92+IF(parametros_manuales!$H$39="Todos",'Plan mensual'!J96,0))+parametros_manuales!$G$39*('Plan mensual'!J93+IF(parametros_manuales!$H$39="Todos",'Plan mensual'!J97,0)))*parametros_manuales!$I$39*parametros_manuales!$J$39</f>
        <v>4975.935</v>
      </c>
      <c r="I246" s="8">
        <f>(parametros_manuales!$D$39*('Plan mensual'!K90+IF(parametros_manuales!$H$39="Todos",'Plan mensual'!K94,0))+parametros_manuales!$E$39*('Plan mensual'!K91+IF(parametros_manuales!$H$39="Todos",'Plan mensual'!K95,0))+parametros_manuales!$F$39*('Plan mensual'!K92+IF(parametros_manuales!$H$39="Todos",'Plan mensual'!K96,0))+parametros_manuales!$G$39*('Plan mensual'!K93+IF(parametros_manuales!$H$39="Todos",'Plan mensual'!K97,0)))*parametros_manuales!$I$39*parametros_manuales!$J$39</f>
        <v>4975.935</v>
      </c>
      <c r="J246" s="8">
        <f>(parametros_manuales!$D$39*('Plan mensual'!L90+IF(parametros_manuales!$H$39="Todos",'Plan mensual'!L94,0))+parametros_manuales!$E$39*('Plan mensual'!L91+IF(parametros_manuales!$H$39="Todos",'Plan mensual'!L95,0))+parametros_manuales!$F$39*('Plan mensual'!L92+IF(parametros_manuales!$H$39="Todos",'Plan mensual'!L96,0))+parametros_manuales!$G$39*('Plan mensual'!L93+IF(parametros_manuales!$H$39="Todos",'Plan mensual'!L97,0)))*parametros_manuales!$I$39*parametros_manuales!$J$39</f>
        <v>4975.935</v>
      </c>
      <c r="K246" s="8">
        <f>(parametros_manuales!$D$39*('Plan mensual'!M90+IF(parametros_manuales!$H$39="Todos",'Plan mensual'!M94,0))+parametros_manuales!$E$39*('Plan mensual'!M91+IF(parametros_manuales!$H$39="Todos",'Plan mensual'!M95,0))+parametros_manuales!$F$39*('Plan mensual'!M92+IF(parametros_manuales!$H$39="Todos",'Plan mensual'!M96,0))+parametros_manuales!$G$39*('Plan mensual'!M93+IF(parametros_manuales!$H$39="Todos",'Plan mensual'!M97,0)))*parametros_manuales!$I$39*parametros_manuales!$J$39</f>
        <v>4798.875</v>
      </c>
      <c r="L246" s="8">
        <f>(parametros_manuales!$D$39*('Plan mensual'!N90+IF(parametros_manuales!$H$39="Todos",'Plan mensual'!N94,0))+parametros_manuales!$E$39*('Plan mensual'!N91+IF(parametros_manuales!$H$39="Todos",'Plan mensual'!N95,0))+parametros_manuales!$F$39*('Plan mensual'!N92+IF(parametros_manuales!$H$39="Todos",'Plan mensual'!N96,0))+parametros_manuales!$G$39*('Plan mensual'!N93+IF(parametros_manuales!$H$39="Todos",'Plan mensual'!N97,0)))*parametros_manuales!$I$39*parametros_manuales!$J$39</f>
        <v>4621.815</v>
      </c>
      <c r="M246" s="8">
        <f>(parametros_manuales!$D$39*('Plan mensual'!O90+IF(parametros_manuales!$H$39="Todos",'Plan mensual'!O94,0))+parametros_manuales!$E$39*('Plan mensual'!O91+IF(parametros_manuales!$H$39="Todos",'Plan mensual'!O95,0))+parametros_manuales!$F$39*('Plan mensual'!O92+IF(parametros_manuales!$H$39="Todos",'Plan mensual'!O96,0))+parametros_manuales!$G$39*('Plan mensual'!O93+IF(parametros_manuales!$H$39="Todos",'Plan mensual'!O97,0)))*parametros_manuales!$I$39*parametros_manuales!$J$39</f>
        <v>7324.08</v>
      </c>
      <c r="N246" s="8">
        <f t="shared" si="25"/>
        <v>63985</v>
      </c>
      <c r="O246" s="8">
        <f t="shared" si="26"/>
        <v>7324.08</v>
      </c>
      <c r="P246" s="27">
        <f>O246/(parametros_manuales!$B$7)</f>
        <v>48.8272</v>
      </c>
      <c r="Q246" s="4" t="str">
        <f t="shared" si="27"/>
        <v>Dic</v>
      </c>
    </row>
    <row r="247" ht="14.25" customHeight="1">
      <c r="A247" s="4" t="str">
        <f>parametros_manuales!$B$40</f>
        <v>Ensamblaje</v>
      </c>
      <c r="B247" s="8">
        <f>(parametros_manuales!$D$40*('Plan mensual'!D90+IF(parametros_manuales!$H$40="Todos",'Plan mensual'!D94,0))+parametros_manuales!$E$40*('Plan mensual'!D91+IF(parametros_manuales!$H$40="Todos",'Plan mensual'!D95,0))+parametros_manuales!$F$40*('Plan mensual'!D92+IF(parametros_manuales!$H$40="Todos",'Plan mensual'!D96,0))+parametros_manuales!$G$40*('Plan mensual'!D93+IF(parametros_manuales!$H$40="Todos",'Plan mensual'!D97,0)))*parametros_manuales!$I$40*parametros_manuales!$J$40</f>
        <v>6969.96</v>
      </c>
      <c r="C247" s="8">
        <f>(parametros_manuales!$D$40*('Plan mensual'!E90+IF(parametros_manuales!$H$40="Todos",'Plan mensual'!E94,0))+parametros_manuales!$E$40*('Plan mensual'!E91+IF(parametros_manuales!$H$40="Todos",'Plan mensual'!E95,0))+parametros_manuales!$F$40*('Plan mensual'!E92+IF(parametros_manuales!$H$40="Todos",'Plan mensual'!E96,0))+parametros_manuales!$G$40*('Plan mensual'!E93+IF(parametros_manuales!$H$40="Todos",'Plan mensual'!E97,0)))*parametros_manuales!$I$40*parametros_manuales!$J$40</f>
        <v>5404.53</v>
      </c>
      <c r="D247" s="8">
        <f>(parametros_manuales!$D$40*('Plan mensual'!F90+IF(parametros_manuales!$H$40="Todos",'Plan mensual'!F94,0))+parametros_manuales!$E$40*('Plan mensual'!F91+IF(parametros_manuales!$H$40="Todos",'Plan mensual'!F95,0))+parametros_manuales!$F$40*('Plan mensual'!F92+IF(parametros_manuales!$H$40="Todos",'Plan mensual'!F96,0))+parametros_manuales!$G$40*('Plan mensual'!F93+IF(parametros_manuales!$H$40="Todos",'Plan mensual'!F97,0)))*parametros_manuales!$I$40*parametros_manuales!$J$40</f>
        <v>5295.86</v>
      </c>
      <c r="E247" s="8">
        <f>(parametros_manuales!$D$40*('Plan mensual'!G90+IF(parametros_manuales!$H$40="Todos",'Plan mensual'!G94,0))+parametros_manuales!$E$40*('Plan mensual'!G91+IF(parametros_manuales!$H$40="Todos",'Plan mensual'!G95,0))+parametros_manuales!$F$40*('Plan mensual'!G92+IF(parametros_manuales!$H$40="Todos",'Plan mensual'!G96,0))+parametros_manuales!$G$40*('Plan mensual'!G93+IF(parametros_manuales!$H$40="Todos",'Plan mensual'!G97,0)))*parametros_manuales!$I$40*parametros_manuales!$J$40</f>
        <v>5152.995</v>
      </c>
      <c r="F247" s="8">
        <f>(parametros_manuales!$D$40*('Plan mensual'!H90+IF(parametros_manuales!$H$40="Todos",'Plan mensual'!H94,0))+parametros_manuales!$E$40*('Plan mensual'!H91+IF(parametros_manuales!$H$40="Todos",'Plan mensual'!H95,0))+parametros_manuales!$F$40*('Plan mensual'!H92+IF(parametros_manuales!$H$40="Todos",'Plan mensual'!H96,0))+parametros_manuales!$G$40*('Plan mensual'!H93+IF(parametros_manuales!$H$40="Todos",'Plan mensual'!H97,0)))*parametros_manuales!$I$40*parametros_manuales!$J$40</f>
        <v>4833.07</v>
      </c>
      <c r="G247" s="8">
        <f>(parametros_manuales!$D$40*('Plan mensual'!I90+IF(parametros_manuales!$H$40="Todos",'Plan mensual'!I94,0))+parametros_manuales!$E$40*('Plan mensual'!I91+IF(parametros_manuales!$H$40="Todos",'Plan mensual'!I95,0))+parametros_manuales!$F$40*('Plan mensual'!I92+IF(parametros_manuales!$H$40="Todos",'Plan mensual'!I96,0))+parametros_manuales!$G$40*('Plan mensual'!I93+IF(parametros_manuales!$H$40="Todos",'Plan mensual'!I97,0)))*parametros_manuales!$I$40*parametros_manuales!$J$40</f>
        <v>4656.01</v>
      </c>
      <c r="H247" s="8">
        <f>(parametros_manuales!$D$40*('Plan mensual'!J90+IF(parametros_manuales!$H$40="Todos",'Plan mensual'!J94,0))+parametros_manuales!$E$40*('Plan mensual'!J91+IF(parametros_manuales!$H$40="Todos",'Plan mensual'!J95,0))+parametros_manuales!$F$40*('Plan mensual'!J92+IF(parametros_manuales!$H$40="Todos",'Plan mensual'!J96,0))+parametros_manuales!$G$40*('Plan mensual'!J93+IF(parametros_manuales!$H$40="Todos",'Plan mensual'!J97,0)))*parametros_manuales!$I$40*parametros_manuales!$J$40</f>
        <v>4975.935</v>
      </c>
      <c r="I247" s="8">
        <f>(parametros_manuales!$D$40*('Plan mensual'!K90+IF(parametros_manuales!$H$40="Todos",'Plan mensual'!K94,0))+parametros_manuales!$E$40*('Plan mensual'!K91+IF(parametros_manuales!$H$40="Todos",'Plan mensual'!K95,0))+parametros_manuales!$F$40*('Plan mensual'!K92+IF(parametros_manuales!$H$40="Todos",'Plan mensual'!K96,0))+parametros_manuales!$G$40*('Plan mensual'!K93+IF(parametros_manuales!$H$40="Todos",'Plan mensual'!K97,0)))*parametros_manuales!$I$40*parametros_manuales!$J$40</f>
        <v>4975.935</v>
      </c>
      <c r="J247" s="8">
        <f>(parametros_manuales!$D$40*('Plan mensual'!L90+IF(parametros_manuales!$H$40="Todos",'Plan mensual'!L94,0))+parametros_manuales!$E$40*('Plan mensual'!L91+IF(parametros_manuales!$H$40="Todos",'Plan mensual'!L95,0))+parametros_manuales!$F$40*('Plan mensual'!L92+IF(parametros_manuales!$H$40="Todos",'Plan mensual'!L96,0))+parametros_manuales!$G$40*('Plan mensual'!L93+IF(parametros_manuales!$H$40="Todos",'Plan mensual'!L97,0)))*parametros_manuales!$I$40*parametros_manuales!$J$40</f>
        <v>4975.935</v>
      </c>
      <c r="K247" s="8">
        <f>(parametros_manuales!$D$40*('Plan mensual'!M90+IF(parametros_manuales!$H$40="Todos",'Plan mensual'!M94,0))+parametros_manuales!$E$40*('Plan mensual'!M91+IF(parametros_manuales!$H$40="Todos",'Plan mensual'!M95,0))+parametros_manuales!$F$40*('Plan mensual'!M92+IF(parametros_manuales!$H$40="Todos",'Plan mensual'!M96,0))+parametros_manuales!$G$40*('Plan mensual'!M93+IF(parametros_manuales!$H$40="Todos",'Plan mensual'!M97,0)))*parametros_manuales!$I$40*parametros_manuales!$J$40</f>
        <v>4798.875</v>
      </c>
      <c r="L247" s="8">
        <f>(parametros_manuales!$D$40*('Plan mensual'!N90+IF(parametros_manuales!$H$40="Todos",'Plan mensual'!N94,0))+parametros_manuales!$E$40*('Plan mensual'!N91+IF(parametros_manuales!$H$40="Todos",'Plan mensual'!N95,0))+parametros_manuales!$F$40*('Plan mensual'!N92+IF(parametros_manuales!$H$40="Todos",'Plan mensual'!N96,0))+parametros_manuales!$G$40*('Plan mensual'!N93+IF(parametros_manuales!$H$40="Todos",'Plan mensual'!N97,0)))*parametros_manuales!$I$40*parametros_manuales!$J$40</f>
        <v>4621.815</v>
      </c>
      <c r="M247" s="8">
        <f>(parametros_manuales!$D$40*('Plan mensual'!O90+IF(parametros_manuales!$H$40="Todos",'Plan mensual'!O94,0))+parametros_manuales!$E$40*('Plan mensual'!O91+IF(parametros_manuales!$H$40="Todos",'Plan mensual'!O95,0))+parametros_manuales!$F$40*('Plan mensual'!O92+IF(parametros_manuales!$H$40="Todos",'Plan mensual'!O96,0))+parametros_manuales!$G$40*('Plan mensual'!O93+IF(parametros_manuales!$H$40="Todos",'Plan mensual'!O97,0)))*parametros_manuales!$I$40*parametros_manuales!$J$40</f>
        <v>7324.08</v>
      </c>
      <c r="N247" s="8">
        <f t="shared" si="25"/>
        <v>63985</v>
      </c>
      <c r="O247" s="8">
        <f t="shared" si="26"/>
        <v>7324.08</v>
      </c>
      <c r="P247" s="27">
        <f>O247/(parametros_manuales!$B$7)</f>
        <v>48.8272</v>
      </c>
      <c r="Q247" s="4" t="str">
        <f t="shared" si="27"/>
        <v>Dic</v>
      </c>
    </row>
    <row r="248" ht="14.25" customHeight="1">
      <c r="A248" s="4" t="str">
        <f>parametros_manuales!$B$41</f>
        <v>Presurización</v>
      </c>
      <c r="B248" s="8">
        <f>(parametros_manuales!$D$41*('Plan mensual'!D90+IF(parametros_manuales!$H$41="Todos",'Plan mensual'!D94,0))+parametros_manuales!$E$41*('Plan mensual'!D91+IF(parametros_manuales!$H$41="Todos",'Plan mensual'!D95,0))+parametros_manuales!$F$41*('Plan mensual'!D92+IF(parametros_manuales!$H$41="Todos",'Plan mensual'!D96,0))+parametros_manuales!$G$41*('Plan mensual'!D93+IF(parametros_manuales!$H$41="Todos",'Plan mensual'!D97,0)))*parametros_manuales!$I$41*parametros_manuales!$J$41</f>
        <v>6969.96</v>
      </c>
      <c r="C248" s="8">
        <f>(parametros_manuales!$D$41*('Plan mensual'!E90+IF(parametros_manuales!$H$41="Todos",'Plan mensual'!E94,0))+parametros_manuales!$E$41*('Plan mensual'!E91+IF(parametros_manuales!$H$41="Todos",'Plan mensual'!E95,0))+parametros_manuales!$F$41*('Plan mensual'!E92+IF(parametros_manuales!$H$41="Todos",'Plan mensual'!E96,0))+parametros_manuales!$G$41*('Plan mensual'!E93+IF(parametros_manuales!$H$41="Todos",'Plan mensual'!E97,0)))*parametros_manuales!$I$41*parametros_manuales!$J$41</f>
        <v>5404.53</v>
      </c>
      <c r="D248" s="8">
        <f>(parametros_manuales!$D$41*('Plan mensual'!F90+IF(parametros_manuales!$H$41="Todos",'Plan mensual'!F94,0))+parametros_manuales!$E$41*('Plan mensual'!F91+IF(parametros_manuales!$H$41="Todos",'Plan mensual'!F95,0))+parametros_manuales!$F$41*('Plan mensual'!F92+IF(parametros_manuales!$H$41="Todos",'Plan mensual'!F96,0))+parametros_manuales!$G$41*('Plan mensual'!F93+IF(parametros_manuales!$H$41="Todos",'Plan mensual'!F97,0)))*parametros_manuales!$I$41*parametros_manuales!$J$41</f>
        <v>5295.86</v>
      </c>
      <c r="E248" s="8">
        <f>(parametros_manuales!$D$41*('Plan mensual'!G90+IF(parametros_manuales!$H$41="Todos",'Plan mensual'!G94,0))+parametros_manuales!$E$41*('Plan mensual'!G91+IF(parametros_manuales!$H$41="Todos",'Plan mensual'!G95,0))+parametros_manuales!$F$41*('Plan mensual'!G92+IF(parametros_manuales!$H$41="Todos",'Plan mensual'!G96,0))+parametros_manuales!$G$41*('Plan mensual'!G93+IF(parametros_manuales!$H$41="Todos",'Plan mensual'!G97,0)))*parametros_manuales!$I$41*parametros_manuales!$J$41</f>
        <v>5152.995</v>
      </c>
      <c r="F248" s="8">
        <f>(parametros_manuales!$D$41*('Plan mensual'!H90+IF(parametros_manuales!$H$41="Todos",'Plan mensual'!H94,0))+parametros_manuales!$E$41*('Plan mensual'!H91+IF(parametros_manuales!$H$41="Todos",'Plan mensual'!H95,0))+parametros_manuales!$F$41*('Plan mensual'!H92+IF(parametros_manuales!$H$41="Todos",'Plan mensual'!H96,0))+parametros_manuales!$G$41*('Plan mensual'!H93+IF(parametros_manuales!$H$41="Todos",'Plan mensual'!H97,0)))*parametros_manuales!$I$41*parametros_manuales!$J$41</f>
        <v>4833.07</v>
      </c>
      <c r="G248" s="8">
        <f>(parametros_manuales!$D$41*('Plan mensual'!I90+IF(parametros_manuales!$H$41="Todos",'Plan mensual'!I94,0))+parametros_manuales!$E$41*('Plan mensual'!I91+IF(parametros_manuales!$H$41="Todos",'Plan mensual'!I95,0))+parametros_manuales!$F$41*('Plan mensual'!I92+IF(parametros_manuales!$H$41="Todos",'Plan mensual'!I96,0))+parametros_manuales!$G$41*('Plan mensual'!I93+IF(parametros_manuales!$H$41="Todos",'Plan mensual'!I97,0)))*parametros_manuales!$I$41*parametros_manuales!$J$41</f>
        <v>4656.01</v>
      </c>
      <c r="H248" s="8">
        <f>(parametros_manuales!$D$41*('Plan mensual'!J90+IF(parametros_manuales!$H$41="Todos",'Plan mensual'!J94,0))+parametros_manuales!$E$41*('Plan mensual'!J91+IF(parametros_manuales!$H$41="Todos",'Plan mensual'!J95,0))+parametros_manuales!$F$41*('Plan mensual'!J92+IF(parametros_manuales!$H$41="Todos",'Plan mensual'!J96,0))+parametros_manuales!$G$41*('Plan mensual'!J93+IF(parametros_manuales!$H$41="Todos",'Plan mensual'!J97,0)))*parametros_manuales!$I$41*parametros_manuales!$J$41</f>
        <v>4975.935</v>
      </c>
      <c r="I248" s="8">
        <f>(parametros_manuales!$D$41*('Plan mensual'!K90+IF(parametros_manuales!$H$41="Todos",'Plan mensual'!K94,0))+parametros_manuales!$E$41*('Plan mensual'!K91+IF(parametros_manuales!$H$41="Todos",'Plan mensual'!K95,0))+parametros_manuales!$F$41*('Plan mensual'!K92+IF(parametros_manuales!$H$41="Todos",'Plan mensual'!K96,0))+parametros_manuales!$G$41*('Plan mensual'!K93+IF(parametros_manuales!$H$41="Todos",'Plan mensual'!K97,0)))*parametros_manuales!$I$41*parametros_manuales!$J$41</f>
        <v>4975.935</v>
      </c>
      <c r="J248" s="8">
        <f>(parametros_manuales!$D$41*('Plan mensual'!L90+IF(parametros_manuales!$H$41="Todos",'Plan mensual'!L94,0))+parametros_manuales!$E$41*('Plan mensual'!L91+IF(parametros_manuales!$H$41="Todos",'Plan mensual'!L95,0))+parametros_manuales!$F$41*('Plan mensual'!L92+IF(parametros_manuales!$H$41="Todos",'Plan mensual'!L96,0))+parametros_manuales!$G$41*('Plan mensual'!L93+IF(parametros_manuales!$H$41="Todos",'Plan mensual'!L97,0)))*parametros_manuales!$I$41*parametros_manuales!$J$41</f>
        <v>4975.935</v>
      </c>
      <c r="K248" s="8">
        <f>(parametros_manuales!$D$41*('Plan mensual'!M90+IF(parametros_manuales!$H$41="Todos",'Plan mensual'!M94,0))+parametros_manuales!$E$41*('Plan mensual'!M91+IF(parametros_manuales!$H$41="Todos",'Plan mensual'!M95,0))+parametros_manuales!$F$41*('Plan mensual'!M92+IF(parametros_manuales!$H$41="Todos",'Plan mensual'!M96,0))+parametros_manuales!$G$41*('Plan mensual'!M93+IF(parametros_manuales!$H$41="Todos",'Plan mensual'!M97,0)))*parametros_manuales!$I$41*parametros_manuales!$J$41</f>
        <v>4798.875</v>
      </c>
      <c r="L248" s="8">
        <f>(parametros_manuales!$D$41*('Plan mensual'!N90+IF(parametros_manuales!$H$41="Todos",'Plan mensual'!N94,0))+parametros_manuales!$E$41*('Plan mensual'!N91+IF(parametros_manuales!$H$41="Todos",'Plan mensual'!N95,0))+parametros_manuales!$F$41*('Plan mensual'!N92+IF(parametros_manuales!$H$41="Todos",'Plan mensual'!N96,0))+parametros_manuales!$G$41*('Plan mensual'!N93+IF(parametros_manuales!$H$41="Todos",'Plan mensual'!N97,0)))*parametros_manuales!$I$41*parametros_manuales!$J$41</f>
        <v>4621.815</v>
      </c>
      <c r="M248" s="8">
        <f>(parametros_manuales!$D$41*('Plan mensual'!O90+IF(parametros_manuales!$H$41="Todos",'Plan mensual'!O94,0))+parametros_manuales!$E$41*('Plan mensual'!O91+IF(parametros_manuales!$H$41="Todos",'Plan mensual'!O95,0))+parametros_manuales!$F$41*('Plan mensual'!O92+IF(parametros_manuales!$H$41="Todos",'Plan mensual'!O96,0))+parametros_manuales!$G$41*('Plan mensual'!O93+IF(parametros_manuales!$H$41="Todos",'Plan mensual'!O97,0)))*parametros_manuales!$I$41*parametros_manuales!$J$41</f>
        <v>7324.08</v>
      </c>
      <c r="N248" s="8">
        <f t="shared" si="25"/>
        <v>63985</v>
      </c>
      <c r="O248" s="8">
        <f t="shared" si="26"/>
        <v>7324.08</v>
      </c>
      <c r="P248" s="27">
        <f>O248/(parametros_manuales!$B$7)</f>
        <v>48.8272</v>
      </c>
      <c r="Q248" s="4" t="str">
        <f t="shared" si="27"/>
        <v>Dic</v>
      </c>
    </row>
    <row r="249" ht="14.25" customHeight="1">
      <c r="A249" s="4" t="str">
        <f>parametros_manuales!$B$42</f>
        <v>Control de calidad — Ensayo de pérdidas</v>
      </c>
      <c r="B249" s="8">
        <f>(parametros_manuales!$D$42*('Plan mensual'!D90+IF(parametros_manuales!$H$42="Todos",'Plan mensual'!D94,0))+parametros_manuales!$E$42*('Plan mensual'!D91+IF(parametros_manuales!$H$42="Todos",'Plan mensual'!D95,0))+parametros_manuales!$F$42*('Plan mensual'!D92+IF(parametros_manuales!$H$42="Todos",'Plan mensual'!D96,0))+parametros_manuales!$G$42*('Plan mensual'!D93+IF(parametros_manuales!$H$42="Todos",'Plan mensual'!D97,0)))*parametros_manuales!$I$42*parametros_manuales!$J$42</f>
        <v>6969.96</v>
      </c>
      <c r="C249" s="8">
        <f>(parametros_manuales!$D$42*('Plan mensual'!E90+IF(parametros_manuales!$H$42="Todos",'Plan mensual'!E94,0))+parametros_manuales!$E$42*('Plan mensual'!E91+IF(parametros_manuales!$H$42="Todos",'Plan mensual'!E95,0))+parametros_manuales!$F$42*('Plan mensual'!E92+IF(parametros_manuales!$H$42="Todos",'Plan mensual'!E96,0))+parametros_manuales!$G$42*('Plan mensual'!E93+IF(parametros_manuales!$H$42="Todos",'Plan mensual'!E97,0)))*parametros_manuales!$I$42*parametros_manuales!$J$42</f>
        <v>5404.53</v>
      </c>
      <c r="D249" s="8">
        <f>(parametros_manuales!$D$42*('Plan mensual'!F90+IF(parametros_manuales!$H$42="Todos",'Plan mensual'!F94,0))+parametros_manuales!$E$42*('Plan mensual'!F91+IF(parametros_manuales!$H$42="Todos",'Plan mensual'!F95,0))+parametros_manuales!$F$42*('Plan mensual'!F92+IF(parametros_manuales!$H$42="Todos",'Plan mensual'!F96,0))+parametros_manuales!$G$42*('Plan mensual'!F93+IF(parametros_manuales!$H$42="Todos",'Plan mensual'!F97,0)))*parametros_manuales!$I$42*parametros_manuales!$J$42</f>
        <v>5295.86</v>
      </c>
      <c r="E249" s="8">
        <f>(parametros_manuales!$D$42*('Plan mensual'!G90+IF(parametros_manuales!$H$42="Todos",'Plan mensual'!G94,0))+parametros_manuales!$E$42*('Plan mensual'!G91+IF(parametros_manuales!$H$42="Todos",'Plan mensual'!G95,0))+parametros_manuales!$F$42*('Plan mensual'!G92+IF(parametros_manuales!$H$42="Todos",'Plan mensual'!G96,0))+parametros_manuales!$G$42*('Plan mensual'!G93+IF(parametros_manuales!$H$42="Todos",'Plan mensual'!G97,0)))*parametros_manuales!$I$42*parametros_manuales!$J$42</f>
        <v>5152.995</v>
      </c>
      <c r="F249" s="8">
        <f>(parametros_manuales!$D$42*('Plan mensual'!H90+IF(parametros_manuales!$H$42="Todos",'Plan mensual'!H94,0))+parametros_manuales!$E$42*('Plan mensual'!H91+IF(parametros_manuales!$H$42="Todos",'Plan mensual'!H95,0))+parametros_manuales!$F$42*('Plan mensual'!H92+IF(parametros_manuales!$H$42="Todos",'Plan mensual'!H96,0))+parametros_manuales!$G$42*('Plan mensual'!H93+IF(parametros_manuales!$H$42="Todos",'Plan mensual'!H97,0)))*parametros_manuales!$I$42*parametros_manuales!$J$42</f>
        <v>4833.07</v>
      </c>
      <c r="G249" s="8">
        <f>(parametros_manuales!$D$42*('Plan mensual'!I90+IF(parametros_manuales!$H$42="Todos",'Plan mensual'!I94,0))+parametros_manuales!$E$42*('Plan mensual'!I91+IF(parametros_manuales!$H$42="Todos",'Plan mensual'!I95,0))+parametros_manuales!$F$42*('Plan mensual'!I92+IF(parametros_manuales!$H$42="Todos",'Plan mensual'!I96,0))+parametros_manuales!$G$42*('Plan mensual'!I93+IF(parametros_manuales!$H$42="Todos",'Plan mensual'!I97,0)))*parametros_manuales!$I$42*parametros_manuales!$J$42</f>
        <v>4656.01</v>
      </c>
      <c r="H249" s="8">
        <f>(parametros_manuales!$D$42*('Plan mensual'!J90+IF(parametros_manuales!$H$42="Todos",'Plan mensual'!J94,0))+parametros_manuales!$E$42*('Plan mensual'!J91+IF(parametros_manuales!$H$42="Todos",'Plan mensual'!J95,0))+parametros_manuales!$F$42*('Plan mensual'!J92+IF(parametros_manuales!$H$42="Todos",'Plan mensual'!J96,0))+parametros_manuales!$G$42*('Plan mensual'!J93+IF(parametros_manuales!$H$42="Todos",'Plan mensual'!J97,0)))*parametros_manuales!$I$42*parametros_manuales!$J$42</f>
        <v>4975.935</v>
      </c>
      <c r="I249" s="8">
        <f>(parametros_manuales!$D$42*('Plan mensual'!K90+IF(parametros_manuales!$H$42="Todos",'Plan mensual'!K94,0))+parametros_manuales!$E$42*('Plan mensual'!K91+IF(parametros_manuales!$H$42="Todos",'Plan mensual'!K95,0))+parametros_manuales!$F$42*('Plan mensual'!K92+IF(parametros_manuales!$H$42="Todos",'Plan mensual'!K96,0))+parametros_manuales!$G$42*('Plan mensual'!K93+IF(parametros_manuales!$H$42="Todos",'Plan mensual'!K97,0)))*parametros_manuales!$I$42*parametros_manuales!$J$42</f>
        <v>4975.935</v>
      </c>
      <c r="J249" s="8">
        <f>(parametros_manuales!$D$42*('Plan mensual'!L90+IF(parametros_manuales!$H$42="Todos",'Plan mensual'!L94,0))+parametros_manuales!$E$42*('Plan mensual'!L91+IF(parametros_manuales!$H$42="Todos",'Plan mensual'!L95,0))+parametros_manuales!$F$42*('Plan mensual'!L92+IF(parametros_manuales!$H$42="Todos",'Plan mensual'!L96,0))+parametros_manuales!$G$42*('Plan mensual'!L93+IF(parametros_manuales!$H$42="Todos",'Plan mensual'!L97,0)))*parametros_manuales!$I$42*parametros_manuales!$J$42</f>
        <v>4975.935</v>
      </c>
      <c r="K249" s="8">
        <f>(parametros_manuales!$D$42*('Plan mensual'!M90+IF(parametros_manuales!$H$42="Todos",'Plan mensual'!M94,0))+parametros_manuales!$E$42*('Plan mensual'!M91+IF(parametros_manuales!$H$42="Todos",'Plan mensual'!M95,0))+parametros_manuales!$F$42*('Plan mensual'!M92+IF(parametros_manuales!$H$42="Todos",'Plan mensual'!M96,0))+parametros_manuales!$G$42*('Plan mensual'!M93+IF(parametros_manuales!$H$42="Todos",'Plan mensual'!M97,0)))*parametros_manuales!$I$42*parametros_manuales!$J$42</f>
        <v>4798.875</v>
      </c>
      <c r="L249" s="8">
        <f>(parametros_manuales!$D$42*('Plan mensual'!N90+IF(parametros_manuales!$H$42="Todos",'Plan mensual'!N94,0))+parametros_manuales!$E$42*('Plan mensual'!N91+IF(parametros_manuales!$H$42="Todos",'Plan mensual'!N95,0))+parametros_manuales!$F$42*('Plan mensual'!N92+IF(parametros_manuales!$H$42="Todos",'Plan mensual'!N96,0))+parametros_manuales!$G$42*('Plan mensual'!N93+IF(parametros_manuales!$H$42="Todos",'Plan mensual'!N97,0)))*parametros_manuales!$I$42*parametros_manuales!$J$42</f>
        <v>4621.815</v>
      </c>
      <c r="M249" s="8">
        <f>(parametros_manuales!$D$42*('Plan mensual'!O90+IF(parametros_manuales!$H$42="Todos",'Plan mensual'!O94,0))+parametros_manuales!$E$42*('Plan mensual'!O91+IF(parametros_manuales!$H$42="Todos",'Plan mensual'!O95,0))+parametros_manuales!$F$42*('Plan mensual'!O92+IF(parametros_manuales!$H$42="Todos",'Plan mensual'!O96,0))+parametros_manuales!$G$42*('Plan mensual'!O93+IF(parametros_manuales!$H$42="Todos",'Plan mensual'!O97,0)))*parametros_manuales!$I$42*parametros_manuales!$J$42</f>
        <v>7324.08</v>
      </c>
      <c r="N249" s="8">
        <f t="shared" si="25"/>
        <v>63985</v>
      </c>
      <c r="O249" s="8">
        <f t="shared" si="26"/>
        <v>7324.08</v>
      </c>
      <c r="P249" s="27">
        <f>O249/(parametros_manuales!$B$7)</f>
        <v>48.8272</v>
      </c>
      <c r="Q249" s="4" t="str">
        <f t="shared" si="27"/>
        <v>Dic</v>
      </c>
    </row>
    <row r="250" ht="14.25" customHeight="1">
      <c r="A250" s="4" t="str">
        <f>parametros_manuales!$B$43</f>
        <v>Etiquetado</v>
      </c>
      <c r="B250" s="8">
        <f>(parametros_manuales!$D$43*('Plan mensual'!D90+IF(parametros_manuales!$H$43="Todos",'Plan mensual'!D94,0))+parametros_manuales!$E$43*('Plan mensual'!D91+IF(parametros_manuales!$H$43="Todos",'Plan mensual'!D95,0))+parametros_manuales!$F$43*('Plan mensual'!D92+IF(parametros_manuales!$H$43="Todos",'Plan mensual'!D96,0))+parametros_manuales!$G$43*('Plan mensual'!D93+IF(parametros_manuales!$H$43="Todos",'Plan mensual'!D97,0)))*parametros_manuales!$I$43*parametros_manuales!$J$43</f>
        <v>6969.96</v>
      </c>
      <c r="C250" s="8">
        <f>(parametros_manuales!$D$43*('Plan mensual'!E90+IF(parametros_manuales!$H$43="Todos",'Plan mensual'!E94,0))+parametros_manuales!$E$43*('Plan mensual'!E91+IF(parametros_manuales!$H$43="Todos",'Plan mensual'!E95,0))+parametros_manuales!$F$43*('Plan mensual'!E92+IF(parametros_manuales!$H$43="Todos",'Plan mensual'!E96,0))+parametros_manuales!$G$43*('Plan mensual'!E93+IF(parametros_manuales!$H$43="Todos",'Plan mensual'!E97,0)))*parametros_manuales!$I$43*parametros_manuales!$J$43</f>
        <v>5404.53</v>
      </c>
      <c r="D250" s="8">
        <f>(parametros_manuales!$D$43*('Plan mensual'!F90+IF(parametros_manuales!$H$43="Todos",'Plan mensual'!F94,0))+parametros_manuales!$E$43*('Plan mensual'!F91+IF(parametros_manuales!$H$43="Todos",'Plan mensual'!F95,0))+parametros_manuales!$F$43*('Plan mensual'!F92+IF(parametros_manuales!$H$43="Todos",'Plan mensual'!F96,0))+parametros_manuales!$G$43*('Plan mensual'!F93+IF(parametros_manuales!$H$43="Todos",'Plan mensual'!F97,0)))*parametros_manuales!$I$43*parametros_manuales!$J$43</f>
        <v>5295.86</v>
      </c>
      <c r="E250" s="8">
        <f>(parametros_manuales!$D$43*('Plan mensual'!G90+IF(parametros_manuales!$H$43="Todos",'Plan mensual'!G94,0))+parametros_manuales!$E$43*('Plan mensual'!G91+IF(parametros_manuales!$H$43="Todos",'Plan mensual'!G95,0))+parametros_manuales!$F$43*('Plan mensual'!G92+IF(parametros_manuales!$H$43="Todos",'Plan mensual'!G96,0))+parametros_manuales!$G$43*('Plan mensual'!G93+IF(parametros_manuales!$H$43="Todos",'Plan mensual'!G97,0)))*parametros_manuales!$I$43*parametros_manuales!$J$43</f>
        <v>5152.995</v>
      </c>
      <c r="F250" s="8">
        <f>(parametros_manuales!$D$43*('Plan mensual'!H90+IF(parametros_manuales!$H$43="Todos",'Plan mensual'!H94,0))+parametros_manuales!$E$43*('Plan mensual'!H91+IF(parametros_manuales!$H$43="Todos",'Plan mensual'!H95,0))+parametros_manuales!$F$43*('Plan mensual'!H92+IF(parametros_manuales!$H$43="Todos",'Plan mensual'!H96,0))+parametros_manuales!$G$43*('Plan mensual'!H93+IF(parametros_manuales!$H$43="Todos",'Plan mensual'!H97,0)))*parametros_manuales!$I$43*parametros_manuales!$J$43</f>
        <v>4833.07</v>
      </c>
      <c r="G250" s="8">
        <f>(parametros_manuales!$D$43*('Plan mensual'!I90+IF(parametros_manuales!$H$43="Todos",'Plan mensual'!I94,0))+parametros_manuales!$E$43*('Plan mensual'!I91+IF(parametros_manuales!$H$43="Todos",'Plan mensual'!I95,0))+parametros_manuales!$F$43*('Plan mensual'!I92+IF(parametros_manuales!$H$43="Todos",'Plan mensual'!I96,0))+parametros_manuales!$G$43*('Plan mensual'!I93+IF(parametros_manuales!$H$43="Todos",'Plan mensual'!I97,0)))*parametros_manuales!$I$43*parametros_manuales!$J$43</f>
        <v>4656.01</v>
      </c>
      <c r="H250" s="8">
        <f>(parametros_manuales!$D$43*('Plan mensual'!J90+IF(parametros_manuales!$H$43="Todos",'Plan mensual'!J94,0))+parametros_manuales!$E$43*('Plan mensual'!J91+IF(parametros_manuales!$H$43="Todos",'Plan mensual'!J95,0))+parametros_manuales!$F$43*('Plan mensual'!J92+IF(parametros_manuales!$H$43="Todos",'Plan mensual'!J96,0))+parametros_manuales!$G$43*('Plan mensual'!J93+IF(parametros_manuales!$H$43="Todos",'Plan mensual'!J97,0)))*parametros_manuales!$I$43*parametros_manuales!$J$43</f>
        <v>4975.935</v>
      </c>
      <c r="I250" s="8">
        <f>(parametros_manuales!$D$43*('Plan mensual'!K90+IF(parametros_manuales!$H$43="Todos",'Plan mensual'!K94,0))+parametros_manuales!$E$43*('Plan mensual'!K91+IF(parametros_manuales!$H$43="Todos",'Plan mensual'!K95,0))+parametros_manuales!$F$43*('Plan mensual'!K92+IF(parametros_manuales!$H$43="Todos",'Plan mensual'!K96,0))+parametros_manuales!$G$43*('Plan mensual'!K93+IF(parametros_manuales!$H$43="Todos",'Plan mensual'!K97,0)))*parametros_manuales!$I$43*parametros_manuales!$J$43</f>
        <v>4975.935</v>
      </c>
      <c r="J250" s="8">
        <f>(parametros_manuales!$D$43*('Plan mensual'!L90+IF(parametros_manuales!$H$43="Todos",'Plan mensual'!L94,0))+parametros_manuales!$E$43*('Plan mensual'!L91+IF(parametros_manuales!$H$43="Todos",'Plan mensual'!L95,0))+parametros_manuales!$F$43*('Plan mensual'!L92+IF(parametros_manuales!$H$43="Todos",'Plan mensual'!L96,0))+parametros_manuales!$G$43*('Plan mensual'!L93+IF(parametros_manuales!$H$43="Todos",'Plan mensual'!L97,0)))*parametros_manuales!$I$43*parametros_manuales!$J$43</f>
        <v>4975.935</v>
      </c>
      <c r="K250" s="8">
        <f>(parametros_manuales!$D$43*('Plan mensual'!M90+IF(parametros_manuales!$H$43="Todos",'Plan mensual'!M94,0))+parametros_manuales!$E$43*('Plan mensual'!M91+IF(parametros_manuales!$H$43="Todos",'Plan mensual'!M95,0))+parametros_manuales!$F$43*('Plan mensual'!M92+IF(parametros_manuales!$H$43="Todos",'Plan mensual'!M96,0))+parametros_manuales!$G$43*('Plan mensual'!M93+IF(parametros_manuales!$H$43="Todos",'Plan mensual'!M97,0)))*parametros_manuales!$I$43*parametros_manuales!$J$43</f>
        <v>4798.875</v>
      </c>
      <c r="L250" s="8">
        <f>(parametros_manuales!$D$43*('Plan mensual'!N90+IF(parametros_manuales!$H$43="Todos",'Plan mensual'!N94,0))+parametros_manuales!$E$43*('Plan mensual'!N91+IF(parametros_manuales!$H$43="Todos",'Plan mensual'!N95,0))+parametros_manuales!$F$43*('Plan mensual'!N92+IF(parametros_manuales!$H$43="Todos",'Plan mensual'!N96,0))+parametros_manuales!$G$43*('Plan mensual'!N93+IF(parametros_manuales!$H$43="Todos",'Plan mensual'!N97,0)))*parametros_manuales!$I$43*parametros_manuales!$J$43</f>
        <v>4621.815</v>
      </c>
      <c r="M250" s="8">
        <f>(parametros_manuales!$D$43*('Plan mensual'!O90+IF(parametros_manuales!$H$43="Todos",'Plan mensual'!O94,0))+parametros_manuales!$E$43*('Plan mensual'!O91+IF(parametros_manuales!$H$43="Todos",'Plan mensual'!O95,0))+parametros_manuales!$F$43*('Plan mensual'!O92+IF(parametros_manuales!$H$43="Todos",'Plan mensual'!O96,0))+parametros_manuales!$G$43*('Plan mensual'!O93+IF(parametros_manuales!$H$43="Todos",'Plan mensual'!O97,0)))*parametros_manuales!$I$43*parametros_manuales!$J$43</f>
        <v>7324.08</v>
      </c>
      <c r="N250" s="8">
        <f t="shared" si="25"/>
        <v>63985</v>
      </c>
      <c r="O250" s="8">
        <f t="shared" si="26"/>
        <v>7324.08</v>
      </c>
      <c r="P250" s="27">
        <f>O250/(parametros_manuales!$B$7)</f>
        <v>48.8272</v>
      </c>
      <c r="Q250" s="4" t="str">
        <f t="shared" si="27"/>
        <v>Dic</v>
      </c>
    </row>
    <row r="251" ht="14.25" customHeight="1">
      <c r="A251" s="4" t="str">
        <f>parametros_manuales!$B$44</f>
        <v>Embalaje y paletizado</v>
      </c>
      <c r="B251" s="8">
        <f>(parametros_manuales!$D$44*('Plan mensual'!D90+IF(parametros_manuales!$H$44="Todos",'Plan mensual'!D94,0))+parametros_manuales!$E$44*('Plan mensual'!D91+IF(parametros_manuales!$H$44="Todos",'Plan mensual'!D95,0))+parametros_manuales!$F$44*('Plan mensual'!D92+IF(parametros_manuales!$H$44="Todos",'Plan mensual'!D96,0))+parametros_manuales!$G$44*('Plan mensual'!D93+IF(parametros_manuales!$H$44="Todos",'Plan mensual'!D97,0)))*parametros_manuales!$I$44*parametros_manuales!$J$44</f>
        <v>28283.16</v>
      </c>
      <c r="C251" s="8">
        <f>(parametros_manuales!$D$44*('Plan mensual'!E90+IF(parametros_manuales!$H$44="Todos",'Plan mensual'!E94,0))+parametros_manuales!$E$44*('Plan mensual'!E91+IF(parametros_manuales!$H$44="Todos",'Plan mensual'!E95,0))+parametros_manuales!$F$44*('Plan mensual'!E92+IF(parametros_manuales!$H$44="Todos",'Plan mensual'!E96,0))+parametros_manuales!$G$44*('Plan mensual'!E93+IF(parametros_manuales!$H$44="Todos",'Plan mensual'!E97,0)))*parametros_manuales!$I$44*parametros_manuales!$J$44</f>
        <v>21574.17</v>
      </c>
      <c r="D251" s="8">
        <f>(parametros_manuales!$D$44*('Plan mensual'!F90+IF(parametros_manuales!$H$44="Todos",'Plan mensual'!F94,0))+parametros_manuales!$E$44*('Plan mensual'!F91+IF(parametros_manuales!$H$44="Todos",'Plan mensual'!F95,0))+parametros_manuales!$F$44*('Plan mensual'!F92+IF(parametros_manuales!$H$44="Todos",'Plan mensual'!F96,0))+parametros_manuales!$G$44*('Plan mensual'!F93+IF(parametros_manuales!$H$44="Todos",'Plan mensual'!F97,0)))*parametros_manuales!$I$44*parametros_manuales!$J$44</f>
        <v>20182.04</v>
      </c>
      <c r="E251" s="8">
        <f>(parametros_manuales!$D$44*('Plan mensual'!G90+IF(parametros_manuales!$H$44="Todos",'Plan mensual'!G94,0))+parametros_manuales!$E$44*('Plan mensual'!G91+IF(parametros_manuales!$H$44="Todos",'Plan mensual'!G95,0))+parametros_manuales!$F$44*('Plan mensual'!G92+IF(parametros_manuales!$H$44="Todos",'Plan mensual'!G96,0))+parametros_manuales!$G$44*('Plan mensual'!G93+IF(parametros_manuales!$H$44="Todos",'Plan mensual'!G97,0)))*parametros_manuales!$I$44*parametros_manuales!$J$44</f>
        <v>19305.075</v>
      </c>
      <c r="F251" s="8">
        <f>(parametros_manuales!$D$44*('Plan mensual'!H90+IF(parametros_manuales!$H$44="Todos",'Plan mensual'!H94,0))+parametros_manuales!$E$44*('Plan mensual'!H91+IF(parametros_manuales!$H$44="Todos",'Plan mensual'!H95,0))+parametros_manuales!$F$44*('Plan mensual'!H92+IF(parametros_manuales!$H$44="Todos",'Plan mensual'!H96,0))+parametros_manuales!$G$44*('Plan mensual'!H93+IF(parametros_manuales!$H$44="Todos",'Plan mensual'!H97,0)))*parametros_manuales!$I$44*parametros_manuales!$J$44</f>
        <v>18066.31</v>
      </c>
      <c r="G251" s="8">
        <f>(parametros_manuales!$D$44*('Plan mensual'!I90+IF(parametros_manuales!$H$44="Todos",'Plan mensual'!I94,0))+parametros_manuales!$E$44*('Plan mensual'!I91+IF(parametros_manuales!$H$44="Todos",'Plan mensual'!I95,0))+parametros_manuales!$F$44*('Plan mensual'!I92+IF(parametros_manuales!$H$44="Todos",'Plan mensual'!I96,0))+parametros_manuales!$G$44*('Plan mensual'!I93+IF(parametros_manuales!$H$44="Todos",'Plan mensual'!I97,0)))*parametros_manuales!$I$44*parametros_manuales!$J$44</f>
        <v>17704.51</v>
      </c>
      <c r="H251" s="8">
        <f>(parametros_manuales!$D$44*('Plan mensual'!J90+IF(parametros_manuales!$H$44="Todos",'Plan mensual'!J94,0))+parametros_manuales!$E$44*('Plan mensual'!J91+IF(parametros_manuales!$H$44="Todos",'Plan mensual'!J95,0))+parametros_manuales!$F$44*('Plan mensual'!J92+IF(parametros_manuales!$H$44="Todos",'Plan mensual'!J96,0))+parametros_manuales!$G$44*('Plan mensual'!J93+IF(parametros_manuales!$H$44="Todos",'Plan mensual'!J97,0)))*parametros_manuales!$I$44*parametros_manuales!$J$44</f>
        <v>18943.275</v>
      </c>
      <c r="I251" s="8">
        <f>(parametros_manuales!$D$44*('Plan mensual'!K90+IF(parametros_manuales!$H$44="Todos",'Plan mensual'!K94,0))+parametros_manuales!$E$44*('Plan mensual'!K91+IF(parametros_manuales!$H$44="Todos",'Plan mensual'!K95,0))+parametros_manuales!$F$44*('Plan mensual'!K92+IF(parametros_manuales!$H$44="Todos",'Plan mensual'!K96,0))+parametros_manuales!$G$44*('Plan mensual'!K93+IF(parametros_manuales!$H$44="Todos",'Plan mensual'!K97,0)))*parametros_manuales!$I$44*parametros_manuales!$J$44</f>
        <v>18943.275</v>
      </c>
      <c r="J251" s="8">
        <f>(parametros_manuales!$D$44*('Plan mensual'!L90+IF(parametros_manuales!$H$44="Todos",'Plan mensual'!L94,0))+parametros_manuales!$E$44*('Plan mensual'!L91+IF(parametros_manuales!$H$44="Todos",'Plan mensual'!L95,0))+parametros_manuales!$F$44*('Plan mensual'!L92+IF(parametros_manuales!$H$44="Todos",'Plan mensual'!L96,0))+parametros_manuales!$G$44*('Plan mensual'!L93+IF(parametros_manuales!$H$44="Todos",'Plan mensual'!L97,0)))*parametros_manuales!$I$44*parametros_manuales!$J$44</f>
        <v>18943.275</v>
      </c>
      <c r="K251" s="8">
        <f>(parametros_manuales!$D$44*('Plan mensual'!M90+IF(parametros_manuales!$H$44="Todos",'Plan mensual'!M94,0))+parametros_manuales!$E$44*('Plan mensual'!M91+IF(parametros_manuales!$H$44="Todos",'Plan mensual'!M95,0))+parametros_manuales!$F$44*('Plan mensual'!M92+IF(parametros_manuales!$H$44="Todos",'Plan mensual'!M96,0))+parametros_manuales!$G$44*('Plan mensual'!M93+IF(parametros_manuales!$H$44="Todos",'Plan mensual'!M97,0)))*parametros_manuales!$I$44*parametros_manuales!$J$44</f>
        <v>18581.475</v>
      </c>
      <c r="L251" s="8">
        <f>(parametros_manuales!$D$44*('Plan mensual'!N90+IF(parametros_manuales!$H$44="Todos",'Plan mensual'!N94,0))+parametros_manuales!$E$44*('Plan mensual'!N91+IF(parametros_manuales!$H$44="Todos",'Plan mensual'!N95,0))+parametros_manuales!$F$44*('Plan mensual'!N92+IF(parametros_manuales!$H$44="Todos",'Plan mensual'!N96,0))+parametros_manuales!$G$44*('Plan mensual'!N93+IF(parametros_manuales!$H$44="Todos",'Plan mensual'!N97,0)))*parametros_manuales!$I$44*parametros_manuales!$J$44</f>
        <v>18219.675</v>
      </c>
      <c r="M251" s="8">
        <f>(parametros_manuales!$D$44*('Plan mensual'!O90+IF(parametros_manuales!$H$44="Todos",'Plan mensual'!O94,0))+parametros_manuales!$E$44*('Plan mensual'!O91+IF(parametros_manuales!$H$44="Todos",'Plan mensual'!O95,0))+parametros_manuales!$F$44*('Plan mensual'!O92+IF(parametros_manuales!$H$44="Todos",'Plan mensual'!O96,0))+parametros_manuales!$G$44*('Plan mensual'!O93+IF(parametros_manuales!$H$44="Todos",'Plan mensual'!O97,0)))*parametros_manuales!$I$44*parametros_manuales!$J$44</f>
        <v>29006.76</v>
      </c>
      <c r="N251" s="8">
        <f t="shared" si="25"/>
        <v>247753</v>
      </c>
      <c r="O251" s="8">
        <f t="shared" si="26"/>
        <v>29006.76</v>
      </c>
      <c r="P251" s="27">
        <f>O251/(parametros_manuales!$B$7)</f>
        <v>193.3784</v>
      </c>
      <c r="Q251" s="4" t="str">
        <f t="shared" si="27"/>
        <v>Dic</v>
      </c>
    </row>
    <row r="252" ht="14.25" customHeight="1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</row>
    <row r="253" ht="14.25" customHeight="1">
      <c r="A253" s="1" t="s">
        <v>236</v>
      </c>
      <c r="B253" s="1" t="s">
        <v>5</v>
      </c>
      <c r="C253" s="1" t="s">
        <v>6</v>
      </c>
      <c r="D253" s="1" t="s">
        <v>7</v>
      </c>
      <c r="E253" s="1" t="s">
        <v>8</v>
      </c>
      <c r="F253" s="1" t="s">
        <v>9</v>
      </c>
      <c r="G253" s="1" t="s">
        <v>10</v>
      </c>
      <c r="H253" s="1" t="s">
        <v>12</v>
      </c>
      <c r="I253" s="1" t="s">
        <v>13</v>
      </c>
      <c r="J253" s="1" t="s">
        <v>15</v>
      </c>
      <c r="K253" s="1" t="s">
        <v>16</v>
      </c>
      <c r="L253" s="1" t="s">
        <v>17</v>
      </c>
      <c r="M253" s="1" t="s">
        <v>18</v>
      </c>
      <c r="N253" s="1" t="s">
        <v>19</v>
      </c>
      <c r="O253" s="1" t="s">
        <v>20</v>
      </c>
      <c r="P253" s="1" t="s">
        <v>21</v>
      </c>
      <c r="Q253" s="1" t="s">
        <v>22</v>
      </c>
    </row>
    <row r="254" ht="14.25" customHeight="1">
      <c r="A254" s="4" t="str">
        <f>parametros_manuales!$B$19</f>
        <v>Recepción de materia prima</v>
      </c>
      <c r="B254" s="8">
        <f>(parametros_manuales!$D$19*('Plan mensual'!D101+IF(parametros_manuales!$H$19="Todos",'Plan mensual'!D105,0))+parametros_manuales!$E$19*('Plan mensual'!D102+IF(parametros_manuales!$H$19="Todos",'Plan mensual'!D106,0))+parametros_manuales!$F$19*('Plan mensual'!D103+IF(parametros_manuales!$H$19="Todos",'Plan mensual'!D107,0))+parametros_manuales!$G$19*('Plan mensual'!D104+IF(parametros_manuales!$H$19="Todos",'Plan mensual'!D108,0)))*parametros_manuales!$I$19*parametros_manuales!$J$19</f>
        <v>32666.72</v>
      </c>
      <c r="C254" s="8">
        <f>(parametros_manuales!$D$19*('Plan mensual'!E101+IF(parametros_manuales!$H$19="Todos",'Plan mensual'!E105,0))+parametros_manuales!$E$19*('Plan mensual'!E102+IF(parametros_manuales!$H$19="Todos",'Plan mensual'!E106,0))+parametros_manuales!$F$19*('Plan mensual'!E103+IF(parametros_manuales!$H$19="Todos",'Plan mensual'!E107,0))+parametros_manuales!$G$19*('Plan mensual'!E104+IF(parametros_manuales!$H$19="Todos",'Plan mensual'!E108,0)))*parametros_manuales!$I$19*parametros_manuales!$J$19</f>
        <v>24917.65</v>
      </c>
      <c r="D254" s="8">
        <f>(parametros_manuales!$D$19*('Plan mensual'!F101+IF(parametros_manuales!$H$19="Todos",'Plan mensual'!F105,0))+parametros_manuales!$E$19*('Plan mensual'!F102+IF(parametros_manuales!$H$19="Todos",'Plan mensual'!F106,0))+parametros_manuales!$F$19*('Plan mensual'!F103+IF(parametros_manuales!$H$19="Todos",'Plan mensual'!F107,0))+parametros_manuales!$G$19*('Plan mensual'!F104+IF(parametros_manuales!$H$19="Todos",'Plan mensual'!F108,0)))*parametros_manuales!$I$19*parametros_manuales!$J$19</f>
        <v>23309.05</v>
      </c>
      <c r="E254" s="8">
        <f>(parametros_manuales!$D$19*('Plan mensual'!G101+IF(parametros_manuales!$H$19="Todos",'Plan mensual'!G105,0))+parametros_manuales!$E$19*('Plan mensual'!G102+IF(parametros_manuales!$H$19="Todos",'Plan mensual'!G106,0))+parametros_manuales!$F$19*('Plan mensual'!G103+IF(parametros_manuales!$H$19="Todos",'Plan mensual'!G107,0))+parametros_manuales!$G$19*('Plan mensual'!G104+IF(parametros_manuales!$H$19="Todos",'Plan mensual'!G108,0)))*parametros_manuales!$I$19*parametros_manuales!$J$19</f>
        <v>22295.945</v>
      </c>
      <c r="F254" s="8">
        <f>(parametros_manuales!$D$19*('Plan mensual'!H101+IF(parametros_manuales!$H$19="Todos",'Plan mensual'!H105,0))+parametros_manuales!$E$19*('Plan mensual'!H102+IF(parametros_manuales!$H$19="Todos",'Plan mensual'!H106,0))+parametros_manuales!$F$19*('Plan mensual'!H103+IF(parametros_manuales!$H$19="Todos",'Plan mensual'!H107,0))+parametros_manuales!$G$19*('Plan mensual'!H104+IF(parametros_manuales!$H$19="Todos",'Plan mensual'!H108,0)))*parametros_manuales!$I$19*parametros_manuales!$J$19</f>
        <v>20865.23</v>
      </c>
      <c r="G254" s="8">
        <f>(parametros_manuales!$D$19*('Plan mensual'!I101+IF(parametros_manuales!$H$19="Todos",'Plan mensual'!I105,0))+parametros_manuales!$E$19*('Plan mensual'!I102+IF(parametros_manuales!$H$19="Todos",'Plan mensual'!I106,0))+parametros_manuales!$F$19*('Plan mensual'!I103+IF(parametros_manuales!$H$19="Todos",'Plan mensual'!I107,0))+parametros_manuales!$G$19*('Plan mensual'!I104+IF(parametros_manuales!$H$19="Todos",'Plan mensual'!I108,0)))*parametros_manuales!$I$19*parametros_manuales!$J$19</f>
        <v>20447.62</v>
      </c>
      <c r="H254" s="8">
        <f>(parametros_manuales!$D$19*('Plan mensual'!J101+IF(parametros_manuales!$H$19="Todos",'Plan mensual'!J105,0))+parametros_manuales!$E$19*('Plan mensual'!J102+IF(parametros_manuales!$H$19="Todos",'Plan mensual'!J106,0))+parametros_manuales!$F$19*('Plan mensual'!J103+IF(parametros_manuales!$H$19="Todos",'Plan mensual'!J107,0))+parametros_manuales!$G$19*('Plan mensual'!J104+IF(parametros_manuales!$H$19="Todos",'Plan mensual'!J108,0)))*parametros_manuales!$I$19*parametros_manuales!$J$19</f>
        <v>21878.335</v>
      </c>
      <c r="I254" s="8">
        <f>(parametros_manuales!$D$19*('Plan mensual'!K101+IF(parametros_manuales!$H$19="Todos",'Plan mensual'!K105,0))+parametros_manuales!$E$19*('Plan mensual'!K102+IF(parametros_manuales!$H$19="Todos",'Plan mensual'!K106,0))+parametros_manuales!$F$19*('Plan mensual'!K103+IF(parametros_manuales!$H$19="Todos",'Plan mensual'!K107,0))+parametros_manuales!$G$19*('Plan mensual'!K104+IF(parametros_manuales!$H$19="Todos",'Plan mensual'!K108,0)))*parametros_manuales!$I$19*parametros_manuales!$J$19</f>
        <v>21878.335</v>
      </c>
      <c r="J254" s="8">
        <f>(parametros_manuales!$D$19*('Plan mensual'!L101+IF(parametros_manuales!$H$19="Todos",'Plan mensual'!L105,0))+parametros_manuales!$E$19*('Plan mensual'!L102+IF(parametros_manuales!$H$19="Todos",'Plan mensual'!L106,0))+parametros_manuales!$F$19*('Plan mensual'!L103+IF(parametros_manuales!$H$19="Todos",'Plan mensual'!L107,0))+parametros_manuales!$G$19*('Plan mensual'!L104+IF(parametros_manuales!$H$19="Todos",'Plan mensual'!L108,0)))*parametros_manuales!$I$19*parametros_manuales!$J$19</f>
        <v>21878.335</v>
      </c>
      <c r="K254" s="8">
        <f>(parametros_manuales!$D$19*('Plan mensual'!M101+IF(parametros_manuales!$H$19="Todos",'Plan mensual'!M105,0))+parametros_manuales!$E$19*('Plan mensual'!M102+IF(parametros_manuales!$H$19="Todos",'Plan mensual'!M106,0))+parametros_manuales!$F$19*('Plan mensual'!M103+IF(parametros_manuales!$H$19="Todos",'Plan mensual'!M107,0))+parametros_manuales!$G$19*('Plan mensual'!M104+IF(parametros_manuales!$H$19="Todos",'Plan mensual'!M108,0)))*parametros_manuales!$I$19*parametros_manuales!$J$19</f>
        <v>21460.725</v>
      </c>
      <c r="L254" s="8">
        <f>(parametros_manuales!$D$19*('Plan mensual'!N101+IF(parametros_manuales!$H$19="Todos",'Plan mensual'!N105,0))+parametros_manuales!$E$19*('Plan mensual'!N102+IF(parametros_manuales!$H$19="Todos",'Plan mensual'!N106,0))+parametros_manuales!$F$19*('Plan mensual'!N103+IF(parametros_manuales!$H$19="Todos",'Plan mensual'!N107,0))+parametros_manuales!$G$19*('Plan mensual'!N104+IF(parametros_manuales!$H$19="Todos",'Plan mensual'!N108,0)))*parametros_manuales!$I$19*parametros_manuales!$J$19</f>
        <v>21043.115</v>
      </c>
      <c r="M254" s="8">
        <f>(parametros_manuales!$D$19*('Plan mensual'!O101+IF(parametros_manuales!$H$19="Todos",'Plan mensual'!O105,0))+parametros_manuales!$E$19*('Plan mensual'!O102+IF(parametros_manuales!$H$19="Todos",'Plan mensual'!O106,0))+parametros_manuales!$F$19*('Plan mensual'!O103+IF(parametros_manuales!$H$19="Todos",'Plan mensual'!O107,0))+parametros_manuales!$G$19*('Plan mensual'!O104+IF(parametros_manuales!$H$19="Todos",'Plan mensual'!O108,0)))*parametros_manuales!$I$19*parametros_manuales!$J$19</f>
        <v>33501.94</v>
      </c>
      <c r="N254" s="8">
        <f t="shared" ref="N254:N279" si="28">SUM(B254:M254)</f>
        <v>286143</v>
      </c>
      <c r="O254" s="8">
        <f t="shared" ref="O254:O279" si="29">MAX(B254:M254)</f>
        <v>33501.94</v>
      </c>
      <c r="P254" s="27">
        <f>O254/(parametros_manuales!$B$7)</f>
        <v>223.3462667</v>
      </c>
      <c r="Q254" s="4" t="str">
        <f t="shared" ref="Q254:Q279" si="30">IF(O254=0,"-",INDEX($B$253:$M$253,MATCH(O254,B254:M254,0)))</f>
        <v>Dic</v>
      </c>
    </row>
    <row r="255" ht="14.25" customHeight="1">
      <c r="A255" s="4" t="str">
        <f>parametros_manuales!$B$20</f>
        <v>Corte de chapa — 1.er corte en franjas (guillotina 1)</v>
      </c>
      <c r="B255" s="8">
        <f>(parametros_manuales!$D$20*('Plan mensual'!D101+IF(parametros_manuales!$H$20="Todos",'Plan mensual'!D105,0))+parametros_manuales!$E$20*('Plan mensual'!D102+IF(parametros_manuales!$H$20="Todos",'Plan mensual'!D106,0))+parametros_manuales!$F$20*('Plan mensual'!D103+IF(parametros_manuales!$H$20="Todos",'Plan mensual'!D107,0))+parametros_manuales!$G$20*('Plan mensual'!D104+IF(parametros_manuales!$H$20="Todos",'Plan mensual'!D108,0)))*parametros_manuales!$I$20*parametros_manuales!$J$20</f>
        <v>32666.72</v>
      </c>
      <c r="C255" s="8">
        <f>(parametros_manuales!$D$20*('Plan mensual'!E101+IF(parametros_manuales!$H$20="Todos",'Plan mensual'!E105,0))+parametros_manuales!$E$20*('Plan mensual'!E102+IF(parametros_manuales!$H$20="Todos",'Plan mensual'!E106,0))+parametros_manuales!$F$20*('Plan mensual'!E103+IF(parametros_manuales!$H$20="Todos",'Plan mensual'!E107,0))+parametros_manuales!$G$20*('Plan mensual'!E104+IF(parametros_manuales!$H$20="Todos",'Plan mensual'!E108,0)))*parametros_manuales!$I$20*parametros_manuales!$J$20</f>
        <v>24917.65</v>
      </c>
      <c r="D255" s="8">
        <f>(parametros_manuales!$D$20*('Plan mensual'!F101+IF(parametros_manuales!$H$20="Todos",'Plan mensual'!F105,0))+parametros_manuales!$E$20*('Plan mensual'!F102+IF(parametros_manuales!$H$20="Todos",'Plan mensual'!F106,0))+parametros_manuales!$F$20*('Plan mensual'!F103+IF(parametros_manuales!$H$20="Todos",'Plan mensual'!F107,0))+parametros_manuales!$G$20*('Plan mensual'!F104+IF(parametros_manuales!$H$20="Todos",'Plan mensual'!F108,0)))*parametros_manuales!$I$20*parametros_manuales!$J$20</f>
        <v>23309.05</v>
      </c>
      <c r="E255" s="8">
        <f>(parametros_manuales!$D$20*('Plan mensual'!G101+IF(parametros_manuales!$H$20="Todos",'Plan mensual'!G105,0))+parametros_manuales!$E$20*('Plan mensual'!G102+IF(parametros_manuales!$H$20="Todos",'Plan mensual'!G106,0))+parametros_manuales!$F$20*('Plan mensual'!G103+IF(parametros_manuales!$H$20="Todos",'Plan mensual'!G107,0))+parametros_manuales!$G$20*('Plan mensual'!G104+IF(parametros_manuales!$H$20="Todos",'Plan mensual'!G108,0)))*parametros_manuales!$I$20*parametros_manuales!$J$20</f>
        <v>22295.945</v>
      </c>
      <c r="F255" s="8">
        <f>(parametros_manuales!$D$20*('Plan mensual'!H101+IF(parametros_manuales!$H$20="Todos",'Plan mensual'!H105,0))+parametros_manuales!$E$20*('Plan mensual'!H102+IF(parametros_manuales!$H$20="Todos",'Plan mensual'!H106,0))+parametros_manuales!$F$20*('Plan mensual'!H103+IF(parametros_manuales!$H$20="Todos",'Plan mensual'!H107,0))+parametros_manuales!$G$20*('Plan mensual'!H104+IF(parametros_manuales!$H$20="Todos",'Plan mensual'!H108,0)))*parametros_manuales!$I$20*parametros_manuales!$J$20</f>
        <v>20865.23</v>
      </c>
      <c r="G255" s="8">
        <f>(parametros_manuales!$D$20*('Plan mensual'!I101+IF(parametros_manuales!$H$20="Todos",'Plan mensual'!I105,0))+parametros_manuales!$E$20*('Plan mensual'!I102+IF(parametros_manuales!$H$20="Todos",'Plan mensual'!I106,0))+parametros_manuales!$F$20*('Plan mensual'!I103+IF(parametros_manuales!$H$20="Todos",'Plan mensual'!I107,0))+parametros_manuales!$G$20*('Plan mensual'!I104+IF(parametros_manuales!$H$20="Todos",'Plan mensual'!I108,0)))*parametros_manuales!$I$20*parametros_manuales!$J$20</f>
        <v>20447.62</v>
      </c>
      <c r="H255" s="8">
        <f>(parametros_manuales!$D$20*('Plan mensual'!J101+IF(parametros_manuales!$H$20="Todos",'Plan mensual'!J105,0))+parametros_manuales!$E$20*('Plan mensual'!J102+IF(parametros_manuales!$H$20="Todos",'Plan mensual'!J106,0))+parametros_manuales!$F$20*('Plan mensual'!J103+IF(parametros_manuales!$H$20="Todos",'Plan mensual'!J107,0))+parametros_manuales!$G$20*('Plan mensual'!J104+IF(parametros_manuales!$H$20="Todos",'Plan mensual'!J108,0)))*parametros_manuales!$I$20*parametros_manuales!$J$20</f>
        <v>21878.335</v>
      </c>
      <c r="I255" s="8">
        <f>(parametros_manuales!$D$20*('Plan mensual'!K101+IF(parametros_manuales!$H$20="Todos",'Plan mensual'!K105,0))+parametros_manuales!$E$20*('Plan mensual'!K102+IF(parametros_manuales!$H$20="Todos",'Plan mensual'!K106,0))+parametros_manuales!$F$20*('Plan mensual'!K103+IF(parametros_manuales!$H$20="Todos",'Plan mensual'!K107,0))+parametros_manuales!$G$20*('Plan mensual'!K104+IF(parametros_manuales!$H$20="Todos",'Plan mensual'!K108,0)))*parametros_manuales!$I$20*parametros_manuales!$J$20</f>
        <v>21878.335</v>
      </c>
      <c r="J255" s="8">
        <f>(parametros_manuales!$D$20*('Plan mensual'!L101+IF(parametros_manuales!$H$20="Todos",'Plan mensual'!L105,0))+parametros_manuales!$E$20*('Plan mensual'!L102+IF(parametros_manuales!$H$20="Todos",'Plan mensual'!L106,0))+parametros_manuales!$F$20*('Plan mensual'!L103+IF(parametros_manuales!$H$20="Todos",'Plan mensual'!L107,0))+parametros_manuales!$G$20*('Plan mensual'!L104+IF(parametros_manuales!$H$20="Todos",'Plan mensual'!L108,0)))*parametros_manuales!$I$20*parametros_manuales!$J$20</f>
        <v>21878.335</v>
      </c>
      <c r="K255" s="8">
        <f>(parametros_manuales!$D$20*('Plan mensual'!M101+IF(parametros_manuales!$H$20="Todos",'Plan mensual'!M105,0))+parametros_manuales!$E$20*('Plan mensual'!M102+IF(parametros_manuales!$H$20="Todos",'Plan mensual'!M106,0))+parametros_manuales!$F$20*('Plan mensual'!M103+IF(parametros_manuales!$H$20="Todos",'Plan mensual'!M107,0))+parametros_manuales!$G$20*('Plan mensual'!M104+IF(parametros_manuales!$H$20="Todos",'Plan mensual'!M108,0)))*parametros_manuales!$I$20*parametros_manuales!$J$20</f>
        <v>21460.725</v>
      </c>
      <c r="L255" s="8">
        <f>(parametros_manuales!$D$20*('Plan mensual'!N101+IF(parametros_manuales!$H$20="Todos",'Plan mensual'!N105,0))+parametros_manuales!$E$20*('Plan mensual'!N102+IF(parametros_manuales!$H$20="Todos",'Plan mensual'!N106,0))+parametros_manuales!$F$20*('Plan mensual'!N103+IF(parametros_manuales!$H$20="Todos",'Plan mensual'!N107,0))+parametros_manuales!$G$20*('Plan mensual'!N104+IF(parametros_manuales!$H$20="Todos",'Plan mensual'!N108,0)))*parametros_manuales!$I$20*parametros_manuales!$J$20</f>
        <v>21043.115</v>
      </c>
      <c r="M255" s="8">
        <f>(parametros_manuales!$D$20*('Plan mensual'!O101+IF(parametros_manuales!$H$20="Todos",'Plan mensual'!O105,0))+parametros_manuales!$E$20*('Plan mensual'!O102+IF(parametros_manuales!$H$20="Todos",'Plan mensual'!O106,0))+parametros_manuales!$F$20*('Plan mensual'!O103+IF(parametros_manuales!$H$20="Todos",'Plan mensual'!O107,0))+parametros_manuales!$G$20*('Plan mensual'!O104+IF(parametros_manuales!$H$20="Todos",'Plan mensual'!O108,0)))*parametros_manuales!$I$20*parametros_manuales!$J$20</f>
        <v>33501.94</v>
      </c>
      <c r="N255" s="8">
        <f t="shared" si="28"/>
        <v>286143</v>
      </c>
      <c r="O255" s="8">
        <f t="shared" si="29"/>
        <v>33501.94</v>
      </c>
      <c r="P255" s="27">
        <f>O255/(parametros_manuales!$B$7)</f>
        <v>223.3462667</v>
      </c>
      <c r="Q255" s="4" t="str">
        <f t="shared" si="30"/>
        <v>Dic</v>
      </c>
    </row>
    <row r="256" ht="14.25" customHeight="1">
      <c r="A256" s="4" t="str">
        <f>parametros_manuales!$B$21</f>
        <v>Corte de chapa — 2.º corte en piezas (guillotina 2)</v>
      </c>
      <c r="B256" s="8">
        <f>(parametros_manuales!$D$21*('Plan mensual'!D101+IF(parametros_manuales!$H$21="Todos",'Plan mensual'!D105,0))+parametros_manuales!$E$21*('Plan mensual'!D102+IF(parametros_manuales!$H$21="Todos",'Plan mensual'!D106,0))+parametros_manuales!$F$21*('Plan mensual'!D103+IF(parametros_manuales!$H$21="Todos",'Plan mensual'!D107,0))+parametros_manuales!$G$21*('Plan mensual'!D104+IF(parametros_manuales!$H$21="Todos",'Plan mensual'!D108,0)))*parametros_manuales!$I$21*parametros_manuales!$J$21</f>
        <v>32666.72</v>
      </c>
      <c r="C256" s="8">
        <f>(parametros_manuales!$D$21*('Plan mensual'!E101+IF(parametros_manuales!$H$21="Todos",'Plan mensual'!E105,0))+parametros_manuales!$E$21*('Plan mensual'!E102+IF(parametros_manuales!$H$21="Todos",'Plan mensual'!E106,0))+parametros_manuales!$F$21*('Plan mensual'!E103+IF(parametros_manuales!$H$21="Todos",'Plan mensual'!E107,0))+parametros_manuales!$G$21*('Plan mensual'!E104+IF(parametros_manuales!$H$21="Todos",'Plan mensual'!E108,0)))*parametros_manuales!$I$21*parametros_manuales!$J$21</f>
        <v>24917.65</v>
      </c>
      <c r="D256" s="8">
        <f>(parametros_manuales!$D$21*('Plan mensual'!F101+IF(parametros_manuales!$H$21="Todos",'Plan mensual'!F105,0))+parametros_manuales!$E$21*('Plan mensual'!F102+IF(parametros_manuales!$H$21="Todos",'Plan mensual'!F106,0))+parametros_manuales!$F$21*('Plan mensual'!F103+IF(parametros_manuales!$H$21="Todos",'Plan mensual'!F107,0))+parametros_manuales!$G$21*('Plan mensual'!F104+IF(parametros_manuales!$H$21="Todos",'Plan mensual'!F108,0)))*parametros_manuales!$I$21*parametros_manuales!$J$21</f>
        <v>23309.05</v>
      </c>
      <c r="E256" s="8">
        <f>(parametros_manuales!$D$21*('Plan mensual'!G101+IF(parametros_manuales!$H$21="Todos",'Plan mensual'!G105,0))+parametros_manuales!$E$21*('Plan mensual'!G102+IF(parametros_manuales!$H$21="Todos",'Plan mensual'!G106,0))+parametros_manuales!$F$21*('Plan mensual'!G103+IF(parametros_manuales!$H$21="Todos",'Plan mensual'!G107,0))+parametros_manuales!$G$21*('Plan mensual'!G104+IF(parametros_manuales!$H$21="Todos",'Plan mensual'!G108,0)))*parametros_manuales!$I$21*parametros_manuales!$J$21</f>
        <v>22295.945</v>
      </c>
      <c r="F256" s="8">
        <f>(parametros_manuales!$D$21*('Plan mensual'!H101+IF(parametros_manuales!$H$21="Todos",'Plan mensual'!H105,0))+parametros_manuales!$E$21*('Plan mensual'!H102+IF(parametros_manuales!$H$21="Todos",'Plan mensual'!H106,0))+parametros_manuales!$F$21*('Plan mensual'!H103+IF(parametros_manuales!$H$21="Todos",'Plan mensual'!H107,0))+parametros_manuales!$G$21*('Plan mensual'!H104+IF(parametros_manuales!$H$21="Todos",'Plan mensual'!H108,0)))*parametros_manuales!$I$21*parametros_manuales!$J$21</f>
        <v>20865.23</v>
      </c>
      <c r="G256" s="8">
        <f>(parametros_manuales!$D$21*('Plan mensual'!I101+IF(parametros_manuales!$H$21="Todos",'Plan mensual'!I105,0))+parametros_manuales!$E$21*('Plan mensual'!I102+IF(parametros_manuales!$H$21="Todos",'Plan mensual'!I106,0))+parametros_manuales!$F$21*('Plan mensual'!I103+IF(parametros_manuales!$H$21="Todos",'Plan mensual'!I107,0))+parametros_manuales!$G$21*('Plan mensual'!I104+IF(parametros_manuales!$H$21="Todos",'Plan mensual'!I108,0)))*parametros_manuales!$I$21*parametros_manuales!$J$21</f>
        <v>20447.62</v>
      </c>
      <c r="H256" s="8">
        <f>(parametros_manuales!$D$21*('Plan mensual'!J101+IF(parametros_manuales!$H$21="Todos",'Plan mensual'!J105,0))+parametros_manuales!$E$21*('Plan mensual'!J102+IF(parametros_manuales!$H$21="Todos",'Plan mensual'!J106,0))+parametros_manuales!$F$21*('Plan mensual'!J103+IF(parametros_manuales!$H$21="Todos",'Plan mensual'!J107,0))+parametros_manuales!$G$21*('Plan mensual'!J104+IF(parametros_manuales!$H$21="Todos",'Plan mensual'!J108,0)))*parametros_manuales!$I$21*parametros_manuales!$J$21</f>
        <v>21878.335</v>
      </c>
      <c r="I256" s="8">
        <f>(parametros_manuales!$D$21*('Plan mensual'!K101+IF(parametros_manuales!$H$21="Todos",'Plan mensual'!K105,0))+parametros_manuales!$E$21*('Plan mensual'!K102+IF(parametros_manuales!$H$21="Todos",'Plan mensual'!K106,0))+parametros_manuales!$F$21*('Plan mensual'!K103+IF(parametros_manuales!$H$21="Todos",'Plan mensual'!K107,0))+parametros_manuales!$G$21*('Plan mensual'!K104+IF(parametros_manuales!$H$21="Todos",'Plan mensual'!K108,0)))*parametros_manuales!$I$21*parametros_manuales!$J$21</f>
        <v>21878.335</v>
      </c>
      <c r="J256" s="8">
        <f>(parametros_manuales!$D$21*('Plan mensual'!L101+IF(parametros_manuales!$H$21="Todos",'Plan mensual'!L105,0))+parametros_manuales!$E$21*('Plan mensual'!L102+IF(parametros_manuales!$H$21="Todos",'Plan mensual'!L106,0))+parametros_manuales!$F$21*('Plan mensual'!L103+IF(parametros_manuales!$H$21="Todos",'Plan mensual'!L107,0))+parametros_manuales!$G$21*('Plan mensual'!L104+IF(parametros_manuales!$H$21="Todos",'Plan mensual'!L108,0)))*parametros_manuales!$I$21*parametros_manuales!$J$21</f>
        <v>21878.335</v>
      </c>
      <c r="K256" s="8">
        <f>(parametros_manuales!$D$21*('Plan mensual'!M101+IF(parametros_manuales!$H$21="Todos",'Plan mensual'!M105,0))+parametros_manuales!$E$21*('Plan mensual'!M102+IF(parametros_manuales!$H$21="Todos",'Plan mensual'!M106,0))+parametros_manuales!$F$21*('Plan mensual'!M103+IF(parametros_manuales!$H$21="Todos",'Plan mensual'!M107,0))+parametros_manuales!$G$21*('Plan mensual'!M104+IF(parametros_manuales!$H$21="Todos",'Plan mensual'!M108,0)))*parametros_manuales!$I$21*parametros_manuales!$J$21</f>
        <v>21460.725</v>
      </c>
      <c r="L256" s="8">
        <f>(parametros_manuales!$D$21*('Plan mensual'!N101+IF(parametros_manuales!$H$21="Todos",'Plan mensual'!N105,0))+parametros_manuales!$E$21*('Plan mensual'!N102+IF(parametros_manuales!$H$21="Todos",'Plan mensual'!N106,0))+parametros_manuales!$F$21*('Plan mensual'!N103+IF(parametros_manuales!$H$21="Todos",'Plan mensual'!N107,0))+parametros_manuales!$G$21*('Plan mensual'!N104+IF(parametros_manuales!$H$21="Todos",'Plan mensual'!N108,0)))*parametros_manuales!$I$21*parametros_manuales!$J$21</f>
        <v>21043.115</v>
      </c>
      <c r="M256" s="8">
        <f>(parametros_manuales!$D$21*('Plan mensual'!O101+IF(parametros_manuales!$H$21="Todos",'Plan mensual'!O105,0))+parametros_manuales!$E$21*('Plan mensual'!O102+IF(parametros_manuales!$H$21="Todos",'Plan mensual'!O106,0))+parametros_manuales!$F$21*('Plan mensual'!O103+IF(parametros_manuales!$H$21="Todos",'Plan mensual'!O107,0))+parametros_manuales!$G$21*('Plan mensual'!O104+IF(parametros_manuales!$H$21="Todos",'Plan mensual'!O108,0)))*parametros_manuales!$I$21*parametros_manuales!$J$21</f>
        <v>33501.94</v>
      </c>
      <c r="N256" s="8">
        <f t="shared" si="28"/>
        <v>286143</v>
      </c>
      <c r="O256" s="8">
        <f t="shared" si="29"/>
        <v>33501.94</v>
      </c>
      <c r="P256" s="27">
        <f>O256/(parametros_manuales!$B$7)</f>
        <v>223.3462667</v>
      </c>
      <c r="Q256" s="4" t="str">
        <f t="shared" si="30"/>
        <v>Dic</v>
      </c>
    </row>
    <row r="257" ht="14.25" customHeight="1">
      <c r="A257" s="4" t="str">
        <f>parametros_manuales!$B$22</f>
        <v>Corte de disco y embutido (cúpula y fondo)</v>
      </c>
      <c r="B257" s="8">
        <f>(parametros_manuales!$D$22*('Plan mensual'!D101+IF(parametros_manuales!$H$22="Todos",'Plan mensual'!D105,0))+parametros_manuales!$E$22*('Plan mensual'!D102+IF(parametros_manuales!$H$22="Todos",'Plan mensual'!D106,0))+parametros_manuales!$F$22*('Plan mensual'!D103+IF(parametros_manuales!$H$22="Todos",'Plan mensual'!D107,0))+parametros_manuales!$G$22*('Plan mensual'!D104+IF(parametros_manuales!$H$22="Todos",'Plan mensual'!D108,0)))*parametros_manuales!$I$22*parametros_manuales!$J$22</f>
        <v>65333.44</v>
      </c>
      <c r="C257" s="8">
        <f>(parametros_manuales!$D$22*('Plan mensual'!E101+IF(parametros_manuales!$H$22="Todos",'Plan mensual'!E105,0))+parametros_manuales!$E$22*('Plan mensual'!E102+IF(parametros_manuales!$H$22="Todos",'Plan mensual'!E106,0))+parametros_manuales!$F$22*('Plan mensual'!E103+IF(parametros_manuales!$H$22="Todos",'Plan mensual'!E107,0))+parametros_manuales!$G$22*('Plan mensual'!E104+IF(parametros_manuales!$H$22="Todos",'Plan mensual'!E108,0)))*parametros_manuales!$I$22*parametros_manuales!$J$22</f>
        <v>49835.3</v>
      </c>
      <c r="D257" s="8">
        <f>(parametros_manuales!$D$22*('Plan mensual'!F101+IF(parametros_manuales!$H$22="Todos",'Plan mensual'!F105,0))+parametros_manuales!$E$22*('Plan mensual'!F102+IF(parametros_manuales!$H$22="Todos",'Plan mensual'!F106,0))+parametros_manuales!$F$22*('Plan mensual'!F103+IF(parametros_manuales!$H$22="Todos",'Plan mensual'!F107,0))+parametros_manuales!$G$22*('Plan mensual'!F104+IF(parametros_manuales!$H$22="Todos",'Plan mensual'!F108,0)))*parametros_manuales!$I$22*parametros_manuales!$J$22</f>
        <v>46618.1</v>
      </c>
      <c r="E257" s="8">
        <f>(parametros_manuales!$D$22*('Plan mensual'!G101+IF(parametros_manuales!$H$22="Todos",'Plan mensual'!G105,0))+parametros_manuales!$E$22*('Plan mensual'!G102+IF(parametros_manuales!$H$22="Todos",'Plan mensual'!G106,0))+parametros_manuales!$F$22*('Plan mensual'!G103+IF(parametros_manuales!$H$22="Todos",'Plan mensual'!G107,0))+parametros_manuales!$G$22*('Plan mensual'!G104+IF(parametros_manuales!$H$22="Todos",'Plan mensual'!G108,0)))*parametros_manuales!$I$22*parametros_manuales!$J$22</f>
        <v>44591.89</v>
      </c>
      <c r="F257" s="8">
        <f>(parametros_manuales!$D$22*('Plan mensual'!H101+IF(parametros_manuales!$H$22="Todos",'Plan mensual'!H105,0))+parametros_manuales!$E$22*('Plan mensual'!H102+IF(parametros_manuales!$H$22="Todos",'Plan mensual'!H106,0))+parametros_manuales!$F$22*('Plan mensual'!H103+IF(parametros_manuales!$H$22="Todos",'Plan mensual'!H107,0))+parametros_manuales!$G$22*('Plan mensual'!H104+IF(parametros_manuales!$H$22="Todos",'Plan mensual'!H108,0)))*parametros_manuales!$I$22*parametros_manuales!$J$22</f>
        <v>41730.46</v>
      </c>
      <c r="G257" s="8">
        <f>(parametros_manuales!$D$22*('Plan mensual'!I101+IF(parametros_manuales!$H$22="Todos",'Plan mensual'!I105,0))+parametros_manuales!$E$22*('Plan mensual'!I102+IF(parametros_manuales!$H$22="Todos",'Plan mensual'!I106,0))+parametros_manuales!$F$22*('Plan mensual'!I103+IF(parametros_manuales!$H$22="Todos",'Plan mensual'!I107,0))+parametros_manuales!$G$22*('Plan mensual'!I104+IF(parametros_manuales!$H$22="Todos",'Plan mensual'!I108,0)))*parametros_manuales!$I$22*parametros_manuales!$J$22</f>
        <v>40895.24</v>
      </c>
      <c r="H257" s="8">
        <f>(parametros_manuales!$D$22*('Plan mensual'!J101+IF(parametros_manuales!$H$22="Todos",'Plan mensual'!J105,0))+parametros_manuales!$E$22*('Plan mensual'!J102+IF(parametros_manuales!$H$22="Todos",'Plan mensual'!J106,0))+parametros_manuales!$F$22*('Plan mensual'!J103+IF(parametros_manuales!$H$22="Todos",'Plan mensual'!J107,0))+parametros_manuales!$G$22*('Plan mensual'!J104+IF(parametros_manuales!$H$22="Todos",'Plan mensual'!J108,0)))*parametros_manuales!$I$22*parametros_manuales!$J$22</f>
        <v>43756.67</v>
      </c>
      <c r="I257" s="8">
        <f>(parametros_manuales!$D$22*('Plan mensual'!K101+IF(parametros_manuales!$H$22="Todos",'Plan mensual'!K105,0))+parametros_manuales!$E$22*('Plan mensual'!K102+IF(parametros_manuales!$H$22="Todos",'Plan mensual'!K106,0))+parametros_manuales!$F$22*('Plan mensual'!K103+IF(parametros_manuales!$H$22="Todos",'Plan mensual'!K107,0))+parametros_manuales!$G$22*('Plan mensual'!K104+IF(parametros_manuales!$H$22="Todos",'Plan mensual'!K108,0)))*parametros_manuales!$I$22*parametros_manuales!$J$22</f>
        <v>43756.67</v>
      </c>
      <c r="J257" s="8">
        <f>(parametros_manuales!$D$22*('Plan mensual'!L101+IF(parametros_manuales!$H$22="Todos",'Plan mensual'!L105,0))+parametros_manuales!$E$22*('Plan mensual'!L102+IF(parametros_manuales!$H$22="Todos",'Plan mensual'!L106,0))+parametros_manuales!$F$22*('Plan mensual'!L103+IF(parametros_manuales!$H$22="Todos",'Plan mensual'!L107,0))+parametros_manuales!$G$22*('Plan mensual'!L104+IF(parametros_manuales!$H$22="Todos",'Plan mensual'!L108,0)))*parametros_manuales!$I$22*parametros_manuales!$J$22</f>
        <v>43756.67</v>
      </c>
      <c r="K257" s="8">
        <f>(parametros_manuales!$D$22*('Plan mensual'!M101+IF(parametros_manuales!$H$22="Todos",'Plan mensual'!M105,0))+parametros_manuales!$E$22*('Plan mensual'!M102+IF(parametros_manuales!$H$22="Todos",'Plan mensual'!M106,0))+parametros_manuales!$F$22*('Plan mensual'!M103+IF(parametros_manuales!$H$22="Todos",'Plan mensual'!M107,0))+parametros_manuales!$G$22*('Plan mensual'!M104+IF(parametros_manuales!$H$22="Todos",'Plan mensual'!M108,0)))*parametros_manuales!$I$22*parametros_manuales!$J$22</f>
        <v>42921.45</v>
      </c>
      <c r="L257" s="8">
        <f>(parametros_manuales!$D$22*('Plan mensual'!N101+IF(parametros_manuales!$H$22="Todos",'Plan mensual'!N105,0))+parametros_manuales!$E$22*('Plan mensual'!N102+IF(parametros_manuales!$H$22="Todos",'Plan mensual'!N106,0))+parametros_manuales!$F$22*('Plan mensual'!N103+IF(parametros_manuales!$H$22="Todos",'Plan mensual'!N107,0))+parametros_manuales!$G$22*('Plan mensual'!N104+IF(parametros_manuales!$H$22="Todos",'Plan mensual'!N108,0)))*parametros_manuales!$I$22*parametros_manuales!$J$22</f>
        <v>42086.23</v>
      </c>
      <c r="M257" s="8">
        <f>(parametros_manuales!$D$22*('Plan mensual'!O101+IF(parametros_manuales!$H$22="Todos",'Plan mensual'!O105,0))+parametros_manuales!$E$22*('Plan mensual'!O102+IF(parametros_manuales!$H$22="Todos",'Plan mensual'!O106,0))+parametros_manuales!$F$22*('Plan mensual'!O103+IF(parametros_manuales!$H$22="Todos",'Plan mensual'!O107,0))+parametros_manuales!$G$22*('Plan mensual'!O104+IF(parametros_manuales!$H$22="Todos",'Plan mensual'!O108,0)))*parametros_manuales!$I$22*parametros_manuales!$J$22</f>
        <v>67003.88</v>
      </c>
      <c r="N257" s="8">
        <f t="shared" si="28"/>
        <v>572286</v>
      </c>
      <c r="O257" s="8">
        <f t="shared" si="29"/>
        <v>67003.88</v>
      </c>
      <c r="P257" s="27">
        <f>O257/(parametros_manuales!$B$7)</f>
        <v>446.6925333</v>
      </c>
      <c r="Q257" s="4" t="str">
        <f t="shared" si="30"/>
        <v>Dic</v>
      </c>
    </row>
    <row r="258" ht="14.25" customHeight="1">
      <c r="A258" s="4" t="str">
        <f>parametros_manuales!$B$23</f>
        <v>Preparación de cuello</v>
      </c>
      <c r="B258" s="8">
        <f>(parametros_manuales!$D$23*('Plan mensual'!D101+IF(parametros_manuales!$H$23="Todos",'Plan mensual'!D105,0))+parametros_manuales!$E$23*('Plan mensual'!D102+IF(parametros_manuales!$H$23="Todos",'Plan mensual'!D106,0))+parametros_manuales!$F$23*('Plan mensual'!D103+IF(parametros_manuales!$H$23="Todos",'Plan mensual'!D107,0))+parametros_manuales!$G$23*('Plan mensual'!D104+IF(parametros_manuales!$H$23="Todos",'Plan mensual'!D108,0)))*parametros_manuales!$I$23*parametros_manuales!$J$23</f>
        <v>32666.72</v>
      </c>
      <c r="C258" s="8">
        <f>(parametros_manuales!$D$23*('Plan mensual'!E101+IF(parametros_manuales!$H$23="Todos",'Plan mensual'!E105,0))+parametros_manuales!$E$23*('Plan mensual'!E102+IF(parametros_manuales!$H$23="Todos",'Plan mensual'!E106,0))+parametros_manuales!$F$23*('Plan mensual'!E103+IF(parametros_manuales!$H$23="Todos",'Plan mensual'!E107,0))+parametros_manuales!$G$23*('Plan mensual'!E104+IF(parametros_manuales!$H$23="Todos",'Plan mensual'!E108,0)))*parametros_manuales!$I$23*parametros_manuales!$J$23</f>
        <v>24917.65</v>
      </c>
      <c r="D258" s="8">
        <f>(parametros_manuales!$D$23*('Plan mensual'!F101+IF(parametros_manuales!$H$23="Todos",'Plan mensual'!F105,0))+parametros_manuales!$E$23*('Plan mensual'!F102+IF(parametros_manuales!$H$23="Todos",'Plan mensual'!F106,0))+parametros_manuales!$F$23*('Plan mensual'!F103+IF(parametros_manuales!$H$23="Todos",'Plan mensual'!F107,0))+parametros_manuales!$G$23*('Plan mensual'!F104+IF(parametros_manuales!$H$23="Todos",'Plan mensual'!F108,0)))*parametros_manuales!$I$23*parametros_manuales!$J$23</f>
        <v>23309.05</v>
      </c>
      <c r="E258" s="8">
        <f>(parametros_manuales!$D$23*('Plan mensual'!G101+IF(parametros_manuales!$H$23="Todos",'Plan mensual'!G105,0))+parametros_manuales!$E$23*('Plan mensual'!G102+IF(parametros_manuales!$H$23="Todos",'Plan mensual'!G106,0))+parametros_manuales!$F$23*('Plan mensual'!G103+IF(parametros_manuales!$H$23="Todos",'Plan mensual'!G107,0))+parametros_manuales!$G$23*('Plan mensual'!G104+IF(parametros_manuales!$H$23="Todos",'Plan mensual'!G108,0)))*parametros_manuales!$I$23*parametros_manuales!$J$23</f>
        <v>22295.945</v>
      </c>
      <c r="F258" s="8">
        <f>(parametros_manuales!$D$23*('Plan mensual'!H101+IF(parametros_manuales!$H$23="Todos",'Plan mensual'!H105,0))+parametros_manuales!$E$23*('Plan mensual'!H102+IF(parametros_manuales!$H$23="Todos",'Plan mensual'!H106,0))+parametros_manuales!$F$23*('Plan mensual'!H103+IF(parametros_manuales!$H$23="Todos",'Plan mensual'!H107,0))+parametros_manuales!$G$23*('Plan mensual'!H104+IF(parametros_manuales!$H$23="Todos",'Plan mensual'!H108,0)))*parametros_manuales!$I$23*parametros_manuales!$J$23</f>
        <v>20865.23</v>
      </c>
      <c r="G258" s="8">
        <f>(parametros_manuales!$D$23*('Plan mensual'!I101+IF(parametros_manuales!$H$23="Todos",'Plan mensual'!I105,0))+parametros_manuales!$E$23*('Plan mensual'!I102+IF(parametros_manuales!$H$23="Todos",'Plan mensual'!I106,0))+parametros_manuales!$F$23*('Plan mensual'!I103+IF(parametros_manuales!$H$23="Todos",'Plan mensual'!I107,0))+parametros_manuales!$G$23*('Plan mensual'!I104+IF(parametros_manuales!$H$23="Todos",'Plan mensual'!I108,0)))*parametros_manuales!$I$23*parametros_manuales!$J$23</f>
        <v>20447.62</v>
      </c>
      <c r="H258" s="8">
        <f>(parametros_manuales!$D$23*('Plan mensual'!J101+IF(parametros_manuales!$H$23="Todos",'Plan mensual'!J105,0))+parametros_manuales!$E$23*('Plan mensual'!J102+IF(parametros_manuales!$H$23="Todos",'Plan mensual'!J106,0))+parametros_manuales!$F$23*('Plan mensual'!J103+IF(parametros_manuales!$H$23="Todos",'Plan mensual'!J107,0))+parametros_manuales!$G$23*('Plan mensual'!J104+IF(parametros_manuales!$H$23="Todos",'Plan mensual'!J108,0)))*parametros_manuales!$I$23*parametros_manuales!$J$23</f>
        <v>21878.335</v>
      </c>
      <c r="I258" s="8">
        <f>(parametros_manuales!$D$23*('Plan mensual'!K101+IF(parametros_manuales!$H$23="Todos",'Plan mensual'!K105,0))+parametros_manuales!$E$23*('Plan mensual'!K102+IF(parametros_manuales!$H$23="Todos",'Plan mensual'!K106,0))+parametros_manuales!$F$23*('Plan mensual'!K103+IF(parametros_manuales!$H$23="Todos",'Plan mensual'!K107,0))+parametros_manuales!$G$23*('Plan mensual'!K104+IF(parametros_manuales!$H$23="Todos",'Plan mensual'!K108,0)))*parametros_manuales!$I$23*parametros_manuales!$J$23</f>
        <v>21878.335</v>
      </c>
      <c r="J258" s="8">
        <f>(parametros_manuales!$D$23*('Plan mensual'!L101+IF(parametros_manuales!$H$23="Todos",'Plan mensual'!L105,0))+parametros_manuales!$E$23*('Plan mensual'!L102+IF(parametros_manuales!$H$23="Todos",'Plan mensual'!L106,0))+parametros_manuales!$F$23*('Plan mensual'!L103+IF(parametros_manuales!$H$23="Todos",'Plan mensual'!L107,0))+parametros_manuales!$G$23*('Plan mensual'!L104+IF(parametros_manuales!$H$23="Todos",'Plan mensual'!L108,0)))*parametros_manuales!$I$23*parametros_manuales!$J$23</f>
        <v>21878.335</v>
      </c>
      <c r="K258" s="8">
        <f>(parametros_manuales!$D$23*('Plan mensual'!M101+IF(parametros_manuales!$H$23="Todos",'Plan mensual'!M105,0))+parametros_manuales!$E$23*('Plan mensual'!M102+IF(parametros_manuales!$H$23="Todos",'Plan mensual'!M106,0))+parametros_manuales!$F$23*('Plan mensual'!M103+IF(parametros_manuales!$H$23="Todos",'Plan mensual'!M107,0))+parametros_manuales!$G$23*('Plan mensual'!M104+IF(parametros_manuales!$H$23="Todos",'Plan mensual'!M108,0)))*parametros_manuales!$I$23*parametros_manuales!$J$23</f>
        <v>21460.725</v>
      </c>
      <c r="L258" s="8">
        <f>(parametros_manuales!$D$23*('Plan mensual'!N101+IF(parametros_manuales!$H$23="Todos",'Plan mensual'!N105,0))+parametros_manuales!$E$23*('Plan mensual'!N102+IF(parametros_manuales!$H$23="Todos",'Plan mensual'!N106,0))+parametros_manuales!$F$23*('Plan mensual'!N103+IF(parametros_manuales!$H$23="Todos",'Plan mensual'!N107,0))+parametros_manuales!$G$23*('Plan mensual'!N104+IF(parametros_manuales!$H$23="Todos",'Plan mensual'!N108,0)))*parametros_manuales!$I$23*parametros_manuales!$J$23</f>
        <v>21043.115</v>
      </c>
      <c r="M258" s="8">
        <f>(parametros_manuales!$D$23*('Plan mensual'!O101+IF(parametros_manuales!$H$23="Todos",'Plan mensual'!O105,0))+parametros_manuales!$E$23*('Plan mensual'!O102+IF(parametros_manuales!$H$23="Todos",'Plan mensual'!O106,0))+parametros_manuales!$F$23*('Plan mensual'!O103+IF(parametros_manuales!$H$23="Todos",'Plan mensual'!O107,0))+parametros_manuales!$G$23*('Plan mensual'!O104+IF(parametros_manuales!$H$23="Todos",'Plan mensual'!O108,0)))*parametros_manuales!$I$23*parametros_manuales!$J$23</f>
        <v>33501.94</v>
      </c>
      <c r="N258" s="8">
        <f t="shared" si="28"/>
        <v>286143</v>
      </c>
      <c r="O258" s="8">
        <f t="shared" si="29"/>
        <v>33501.94</v>
      </c>
      <c r="P258" s="27">
        <f>O258/(parametros_manuales!$B$7)</f>
        <v>223.3462667</v>
      </c>
      <c r="Q258" s="4" t="str">
        <f t="shared" si="30"/>
        <v>Dic</v>
      </c>
    </row>
    <row r="259" ht="14.25" customHeight="1">
      <c r="A259" s="4" t="str">
        <f>parametros_manuales!$B$24</f>
        <v>Numerado de cúpula</v>
      </c>
      <c r="B259" s="8">
        <f>(parametros_manuales!$D$24*('Plan mensual'!D101+IF(parametros_manuales!$H$24="Todos",'Plan mensual'!D105,0))+parametros_manuales!$E$24*('Plan mensual'!D102+IF(parametros_manuales!$H$24="Todos",'Plan mensual'!D106,0))+parametros_manuales!$F$24*('Plan mensual'!D103+IF(parametros_manuales!$H$24="Todos",'Plan mensual'!D107,0))+parametros_manuales!$G$24*('Plan mensual'!D104+IF(parametros_manuales!$H$24="Todos",'Plan mensual'!D108,0)))*parametros_manuales!$I$24*parametros_manuales!$J$24</f>
        <v>32666.72</v>
      </c>
      <c r="C259" s="8">
        <f>(parametros_manuales!$D$24*('Plan mensual'!E101+IF(parametros_manuales!$H$24="Todos",'Plan mensual'!E105,0))+parametros_manuales!$E$24*('Plan mensual'!E102+IF(parametros_manuales!$H$24="Todos",'Plan mensual'!E106,0))+parametros_manuales!$F$24*('Plan mensual'!E103+IF(parametros_manuales!$H$24="Todos",'Plan mensual'!E107,0))+parametros_manuales!$G$24*('Plan mensual'!E104+IF(parametros_manuales!$H$24="Todos",'Plan mensual'!E108,0)))*parametros_manuales!$I$24*parametros_manuales!$J$24</f>
        <v>24917.65</v>
      </c>
      <c r="D259" s="8">
        <f>(parametros_manuales!$D$24*('Plan mensual'!F101+IF(parametros_manuales!$H$24="Todos",'Plan mensual'!F105,0))+parametros_manuales!$E$24*('Plan mensual'!F102+IF(parametros_manuales!$H$24="Todos",'Plan mensual'!F106,0))+parametros_manuales!$F$24*('Plan mensual'!F103+IF(parametros_manuales!$H$24="Todos",'Plan mensual'!F107,0))+parametros_manuales!$G$24*('Plan mensual'!F104+IF(parametros_manuales!$H$24="Todos",'Plan mensual'!F108,0)))*parametros_manuales!$I$24*parametros_manuales!$J$24</f>
        <v>23309.05</v>
      </c>
      <c r="E259" s="8">
        <f>(parametros_manuales!$D$24*('Plan mensual'!G101+IF(parametros_manuales!$H$24="Todos",'Plan mensual'!G105,0))+parametros_manuales!$E$24*('Plan mensual'!G102+IF(parametros_manuales!$H$24="Todos",'Plan mensual'!G106,0))+parametros_manuales!$F$24*('Plan mensual'!G103+IF(parametros_manuales!$H$24="Todos",'Plan mensual'!G107,0))+parametros_manuales!$G$24*('Plan mensual'!G104+IF(parametros_manuales!$H$24="Todos",'Plan mensual'!G108,0)))*parametros_manuales!$I$24*parametros_manuales!$J$24</f>
        <v>22295.945</v>
      </c>
      <c r="F259" s="8">
        <f>(parametros_manuales!$D$24*('Plan mensual'!H101+IF(parametros_manuales!$H$24="Todos",'Plan mensual'!H105,0))+parametros_manuales!$E$24*('Plan mensual'!H102+IF(parametros_manuales!$H$24="Todos",'Plan mensual'!H106,0))+parametros_manuales!$F$24*('Plan mensual'!H103+IF(parametros_manuales!$H$24="Todos",'Plan mensual'!H107,0))+parametros_manuales!$G$24*('Plan mensual'!H104+IF(parametros_manuales!$H$24="Todos",'Plan mensual'!H108,0)))*parametros_manuales!$I$24*parametros_manuales!$J$24</f>
        <v>20865.23</v>
      </c>
      <c r="G259" s="8">
        <f>(parametros_manuales!$D$24*('Plan mensual'!I101+IF(parametros_manuales!$H$24="Todos",'Plan mensual'!I105,0))+parametros_manuales!$E$24*('Plan mensual'!I102+IF(parametros_manuales!$H$24="Todos",'Plan mensual'!I106,0))+parametros_manuales!$F$24*('Plan mensual'!I103+IF(parametros_manuales!$H$24="Todos",'Plan mensual'!I107,0))+parametros_manuales!$G$24*('Plan mensual'!I104+IF(parametros_manuales!$H$24="Todos",'Plan mensual'!I108,0)))*parametros_manuales!$I$24*parametros_manuales!$J$24</f>
        <v>20447.62</v>
      </c>
      <c r="H259" s="8">
        <f>(parametros_manuales!$D$24*('Plan mensual'!J101+IF(parametros_manuales!$H$24="Todos",'Plan mensual'!J105,0))+parametros_manuales!$E$24*('Plan mensual'!J102+IF(parametros_manuales!$H$24="Todos",'Plan mensual'!J106,0))+parametros_manuales!$F$24*('Plan mensual'!J103+IF(parametros_manuales!$H$24="Todos",'Plan mensual'!J107,0))+parametros_manuales!$G$24*('Plan mensual'!J104+IF(parametros_manuales!$H$24="Todos",'Plan mensual'!J108,0)))*parametros_manuales!$I$24*parametros_manuales!$J$24</f>
        <v>21878.335</v>
      </c>
      <c r="I259" s="8">
        <f>(parametros_manuales!$D$24*('Plan mensual'!K101+IF(parametros_manuales!$H$24="Todos",'Plan mensual'!K105,0))+parametros_manuales!$E$24*('Plan mensual'!K102+IF(parametros_manuales!$H$24="Todos",'Plan mensual'!K106,0))+parametros_manuales!$F$24*('Plan mensual'!K103+IF(parametros_manuales!$H$24="Todos",'Plan mensual'!K107,0))+parametros_manuales!$G$24*('Plan mensual'!K104+IF(parametros_manuales!$H$24="Todos",'Plan mensual'!K108,0)))*parametros_manuales!$I$24*parametros_manuales!$J$24</f>
        <v>21878.335</v>
      </c>
      <c r="J259" s="8">
        <f>(parametros_manuales!$D$24*('Plan mensual'!L101+IF(parametros_manuales!$H$24="Todos",'Plan mensual'!L105,0))+parametros_manuales!$E$24*('Plan mensual'!L102+IF(parametros_manuales!$H$24="Todos",'Plan mensual'!L106,0))+parametros_manuales!$F$24*('Plan mensual'!L103+IF(parametros_manuales!$H$24="Todos",'Plan mensual'!L107,0))+parametros_manuales!$G$24*('Plan mensual'!L104+IF(parametros_manuales!$H$24="Todos",'Plan mensual'!L108,0)))*parametros_manuales!$I$24*parametros_manuales!$J$24</f>
        <v>21878.335</v>
      </c>
      <c r="K259" s="8">
        <f>(parametros_manuales!$D$24*('Plan mensual'!M101+IF(parametros_manuales!$H$24="Todos",'Plan mensual'!M105,0))+parametros_manuales!$E$24*('Plan mensual'!M102+IF(parametros_manuales!$H$24="Todos",'Plan mensual'!M106,0))+parametros_manuales!$F$24*('Plan mensual'!M103+IF(parametros_manuales!$H$24="Todos",'Plan mensual'!M107,0))+parametros_manuales!$G$24*('Plan mensual'!M104+IF(parametros_manuales!$H$24="Todos",'Plan mensual'!M108,0)))*parametros_manuales!$I$24*parametros_manuales!$J$24</f>
        <v>21460.725</v>
      </c>
      <c r="L259" s="8">
        <f>(parametros_manuales!$D$24*('Plan mensual'!N101+IF(parametros_manuales!$H$24="Todos",'Plan mensual'!N105,0))+parametros_manuales!$E$24*('Plan mensual'!N102+IF(parametros_manuales!$H$24="Todos",'Plan mensual'!N106,0))+parametros_manuales!$F$24*('Plan mensual'!N103+IF(parametros_manuales!$H$24="Todos",'Plan mensual'!N107,0))+parametros_manuales!$G$24*('Plan mensual'!N104+IF(parametros_manuales!$H$24="Todos",'Plan mensual'!N108,0)))*parametros_manuales!$I$24*parametros_manuales!$J$24</f>
        <v>21043.115</v>
      </c>
      <c r="M259" s="8">
        <f>(parametros_manuales!$D$24*('Plan mensual'!O101+IF(parametros_manuales!$H$24="Todos",'Plan mensual'!O105,0))+parametros_manuales!$E$24*('Plan mensual'!O102+IF(parametros_manuales!$H$24="Todos",'Plan mensual'!O106,0))+parametros_manuales!$F$24*('Plan mensual'!O103+IF(parametros_manuales!$H$24="Todos",'Plan mensual'!O107,0))+parametros_manuales!$G$24*('Plan mensual'!O104+IF(parametros_manuales!$H$24="Todos",'Plan mensual'!O108,0)))*parametros_manuales!$I$24*parametros_manuales!$J$24</f>
        <v>33501.94</v>
      </c>
      <c r="N259" s="8">
        <f t="shared" si="28"/>
        <v>286143</v>
      </c>
      <c r="O259" s="8">
        <f t="shared" si="29"/>
        <v>33501.94</v>
      </c>
      <c r="P259" s="27">
        <f>O259/(parametros_manuales!$B$7)</f>
        <v>223.3462667</v>
      </c>
      <c r="Q259" s="4" t="str">
        <f t="shared" si="30"/>
        <v>Dic</v>
      </c>
    </row>
    <row r="260" ht="14.25" customHeight="1">
      <c r="A260" s="4" t="str">
        <f>parametros_manuales!$B$25</f>
        <v>Soldadura del cuello a la cúpula</v>
      </c>
      <c r="B260" s="8">
        <f>(parametros_manuales!$D$25*('Plan mensual'!D101+IF(parametros_manuales!$H$25="Todos",'Plan mensual'!D105,0))+parametros_manuales!$E$25*('Plan mensual'!D102+IF(parametros_manuales!$H$25="Todos",'Plan mensual'!D106,0))+parametros_manuales!$F$25*('Plan mensual'!D103+IF(parametros_manuales!$H$25="Todos",'Plan mensual'!D107,0))+parametros_manuales!$G$25*('Plan mensual'!D104+IF(parametros_manuales!$H$25="Todos",'Plan mensual'!D108,0)))*parametros_manuales!$I$25*parametros_manuales!$J$25</f>
        <v>32666.72</v>
      </c>
      <c r="C260" s="8">
        <f>(parametros_manuales!$D$25*('Plan mensual'!E101+IF(parametros_manuales!$H$25="Todos",'Plan mensual'!E105,0))+parametros_manuales!$E$25*('Plan mensual'!E102+IF(parametros_manuales!$H$25="Todos",'Plan mensual'!E106,0))+parametros_manuales!$F$25*('Plan mensual'!E103+IF(parametros_manuales!$H$25="Todos",'Plan mensual'!E107,0))+parametros_manuales!$G$25*('Plan mensual'!E104+IF(parametros_manuales!$H$25="Todos",'Plan mensual'!E108,0)))*parametros_manuales!$I$25*parametros_manuales!$J$25</f>
        <v>24917.65</v>
      </c>
      <c r="D260" s="8">
        <f>(parametros_manuales!$D$25*('Plan mensual'!F101+IF(parametros_manuales!$H$25="Todos",'Plan mensual'!F105,0))+parametros_manuales!$E$25*('Plan mensual'!F102+IF(parametros_manuales!$H$25="Todos",'Plan mensual'!F106,0))+parametros_manuales!$F$25*('Plan mensual'!F103+IF(parametros_manuales!$H$25="Todos",'Plan mensual'!F107,0))+parametros_manuales!$G$25*('Plan mensual'!F104+IF(parametros_manuales!$H$25="Todos",'Plan mensual'!F108,0)))*parametros_manuales!$I$25*parametros_manuales!$J$25</f>
        <v>23309.05</v>
      </c>
      <c r="E260" s="8">
        <f>(parametros_manuales!$D$25*('Plan mensual'!G101+IF(parametros_manuales!$H$25="Todos",'Plan mensual'!G105,0))+parametros_manuales!$E$25*('Plan mensual'!G102+IF(parametros_manuales!$H$25="Todos",'Plan mensual'!G106,0))+parametros_manuales!$F$25*('Plan mensual'!G103+IF(parametros_manuales!$H$25="Todos",'Plan mensual'!G107,0))+parametros_manuales!$G$25*('Plan mensual'!G104+IF(parametros_manuales!$H$25="Todos",'Plan mensual'!G108,0)))*parametros_manuales!$I$25*parametros_manuales!$J$25</f>
        <v>22295.945</v>
      </c>
      <c r="F260" s="8">
        <f>(parametros_manuales!$D$25*('Plan mensual'!H101+IF(parametros_manuales!$H$25="Todos",'Plan mensual'!H105,0))+parametros_manuales!$E$25*('Plan mensual'!H102+IF(parametros_manuales!$H$25="Todos",'Plan mensual'!H106,0))+parametros_manuales!$F$25*('Plan mensual'!H103+IF(parametros_manuales!$H$25="Todos",'Plan mensual'!H107,0))+parametros_manuales!$G$25*('Plan mensual'!H104+IF(parametros_manuales!$H$25="Todos",'Plan mensual'!H108,0)))*parametros_manuales!$I$25*parametros_manuales!$J$25</f>
        <v>20865.23</v>
      </c>
      <c r="G260" s="8">
        <f>(parametros_manuales!$D$25*('Plan mensual'!I101+IF(parametros_manuales!$H$25="Todos",'Plan mensual'!I105,0))+parametros_manuales!$E$25*('Plan mensual'!I102+IF(parametros_manuales!$H$25="Todos",'Plan mensual'!I106,0))+parametros_manuales!$F$25*('Plan mensual'!I103+IF(parametros_manuales!$H$25="Todos",'Plan mensual'!I107,0))+parametros_manuales!$G$25*('Plan mensual'!I104+IF(parametros_manuales!$H$25="Todos",'Plan mensual'!I108,0)))*parametros_manuales!$I$25*parametros_manuales!$J$25</f>
        <v>20447.62</v>
      </c>
      <c r="H260" s="8">
        <f>(parametros_manuales!$D$25*('Plan mensual'!J101+IF(parametros_manuales!$H$25="Todos",'Plan mensual'!J105,0))+parametros_manuales!$E$25*('Plan mensual'!J102+IF(parametros_manuales!$H$25="Todos",'Plan mensual'!J106,0))+parametros_manuales!$F$25*('Plan mensual'!J103+IF(parametros_manuales!$H$25="Todos",'Plan mensual'!J107,0))+parametros_manuales!$G$25*('Plan mensual'!J104+IF(parametros_manuales!$H$25="Todos",'Plan mensual'!J108,0)))*parametros_manuales!$I$25*parametros_manuales!$J$25</f>
        <v>21878.335</v>
      </c>
      <c r="I260" s="8">
        <f>(parametros_manuales!$D$25*('Plan mensual'!K101+IF(parametros_manuales!$H$25="Todos",'Plan mensual'!K105,0))+parametros_manuales!$E$25*('Plan mensual'!K102+IF(parametros_manuales!$H$25="Todos",'Plan mensual'!K106,0))+parametros_manuales!$F$25*('Plan mensual'!K103+IF(parametros_manuales!$H$25="Todos",'Plan mensual'!K107,0))+parametros_manuales!$G$25*('Plan mensual'!K104+IF(parametros_manuales!$H$25="Todos",'Plan mensual'!K108,0)))*parametros_manuales!$I$25*parametros_manuales!$J$25</f>
        <v>21878.335</v>
      </c>
      <c r="J260" s="8">
        <f>(parametros_manuales!$D$25*('Plan mensual'!L101+IF(parametros_manuales!$H$25="Todos",'Plan mensual'!L105,0))+parametros_manuales!$E$25*('Plan mensual'!L102+IF(parametros_manuales!$H$25="Todos",'Plan mensual'!L106,0))+parametros_manuales!$F$25*('Plan mensual'!L103+IF(parametros_manuales!$H$25="Todos",'Plan mensual'!L107,0))+parametros_manuales!$G$25*('Plan mensual'!L104+IF(parametros_manuales!$H$25="Todos",'Plan mensual'!L108,0)))*parametros_manuales!$I$25*parametros_manuales!$J$25</f>
        <v>21878.335</v>
      </c>
      <c r="K260" s="8">
        <f>(parametros_manuales!$D$25*('Plan mensual'!M101+IF(parametros_manuales!$H$25="Todos",'Plan mensual'!M105,0))+parametros_manuales!$E$25*('Plan mensual'!M102+IF(parametros_manuales!$H$25="Todos",'Plan mensual'!M106,0))+parametros_manuales!$F$25*('Plan mensual'!M103+IF(parametros_manuales!$H$25="Todos",'Plan mensual'!M107,0))+parametros_manuales!$G$25*('Plan mensual'!M104+IF(parametros_manuales!$H$25="Todos",'Plan mensual'!M108,0)))*parametros_manuales!$I$25*parametros_manuales!$J$25</f>
        <v>21460.725</v>
      </c>
      <c r="L260" s="8">
        <f>(parametros_manuales!$D$25*('Plan mensual'!N101+IF(parametros_manuales!$H$25="Todos",'Plan mensual'!N105,0))+parametros_manuales!$E$25*('Plan mensual'!N102+IF(parametros_manuales!$H$25="Todos",'Plan mensual'!N106,0))+parametros_manuales!$F$25*('Plan mensual'!N103+IF(parametros_manuales!$H$25="Todos",'Plan mensual'!N107,0))+parametros_manuales!$G$25*('Plan mensual'!N104+IF(parametros_manuales!$H$25="Todos",'Plan mensual'!N108,0)))*parametros_manuales!$I$25*parametros_manuales!$J$25</f>
        <v>21043.115</v>
      </c>
      <c r="M260" s="8">
        <f>(parametros_manuales!$D$25*('Plan mensual'!O101+IF(parametros_manuales!$H$25="Todos",'Plan mensual'!O105,0))+parametros_manuales!$E$25*('Plan mensual'!O102+IF(parametros_manuales!$H$25="Todos",'Plan mensual'!O106,0))+parametros_manuales!$F$25*('Plan mensual'!O103+IF(parametros_manuales!$H$25="Todos",'Plan mensual'!O107,0))+parametros_manuales!$G$25*('Plan mensual'!O104+IF(parametros_manuales!$H$25="Todos",'Plan mensual'!O108,0)))*parametros_manuales!$I$25*parametros_manuales!$J$25</f>
        <v>33501.94</v>
      </c>
      <c r="N260" s="8">
        <f t="shared" si="28"/>
        <v>286143</v>
      </c>
      <c r="O260" s="8">
        <f t="shared" si="29"/>
        <v>33501.94</v>
      </c>
      <c r="P260" s="27">
        <f>O260/(parametros_manuales!$B$7)</f>
        <v>223.3462667</v>
      </c>
      <c r="Q260" s="4" t="str">
        <f t="shared" si="30"/>
        <v>Dic</v>
      </c>
    </row>
    <row r="261" ht="14.25" customHeight="1">
      <c r="A261" s="4" t="str">
        <f>parametros_manuales!$B$26</f>
        <v>Cilindrado</v>
      </c>
      <c r="B261" s="8">
        <f>(parametros_manuales!$D$26*('Plan mensual'!D101+IF(parametros_manuales!$H$26="Todos",'Plan mensual'!D105,0))+parametros_manuales!$E$26*('Plan mensual'!D102+IF(parametros_manuales!$H$26="Todos",'Plan mensual'!D106,0))+parametros_manuales!$F$26*('Plan mensual'!D103+IF(parametros_manuales!$H$26="Todos",'Plan mensual'!D107,0))+parametros_manuales!$G$26*('Plan mensual'!D104+IF(parametros_manuales!$H$26="Todos",'Plan mensual'!D108,0)))*parametros_manuales!$I$26*parametros_manuales!$J$26</f>
        <v>32666.72</v>
      </c>
      <c r="C261" s="8">
        <f>(parametros_manuales!$D$26*('Plan mensual'!E101+IF(parametros_manuales!$H$26="Todos",'Plan mensual'!E105,0))+parametros_manuales!$E$26*('Plan mensual'!E102+IF(parametros_manuales!$H$26="Todos",'Plan mensual'!E106,0))+parametros_manuales!$F$26*('Plan mensual'!E103+IF(parametros_manuales!$H$26="Todos",'Plan mensual'!E107,0))+parametros_manuales!$G$26*('Plan mensual'!E104+IF(parametros_manuales!$H$26="Todos",'Plan mensual'!E108,0)))*parametros_manuales!$I$26*parametros_manuales!$J$26</f>
        <v>24917.65</v>
      </c>
      <c r="D261" s="8">
        <f>(parametros_manuales!$D$26*('Plan mensual'!F101+IF(parametros_manuales!$H$26="Todos",'Plan mensual'!F105,0))+parametros_manuales!$E$26*('Plan mensual'!F102+IF(parametros_manuales!$H$26="Todos",'Plan mensual'!F106,0))+parametros_manuales!$F$26*('Plan mensual'!F103+IF(parametros_manuales!$H$26="Todos",'Plan mensual'!F107,0))+parametros_manuales!$G$26*('Plan mensual'!F104+IF(parametros_manuales!$H$26="Todos",'Plan mensual'!F108,0)))*parametros_manuales!$I$26*parametros_manuales!$J$26</f>
        <v>23309.05</v>
      </c>
      <c r="E261" s="8">
        <f>(parametros_manuales!$D$26*('Plan mensual'!G101+IF(parametros_manuales!$H$26="Todos",'Plan mensual'!G105,0))+parametros_manuales!$E$26*('Plan mensual'!G102+IF(parametros_manuales!$H$26="Todos",'Plan mensual'!G106,0))+parametros_manuales!$F$26*('Plan mensual'!G103+IF(parametros_manuales!$H$26="Todos",'Plan mensual'!G107,0))+parametros_manuales!$G$26*('Plan mensual'!G104+IF(parametros_manuales!$H$26="Todos",'Plan mensual'!G108,0)))*parametros_manuales!$I$26*parametros_manuales!$J$26</f>
        <v>22295.945</v>
      </c>
      <c r="F261" s="8">
        <f>(parametros_manuales!$D$26*('Plan mensual'!H101+IF(parametros_manuales!$H$26="Todos",'Plan mensual'!H105,0))+parametros_manuales!$E$26*('Plan mensual'!H102+IF(parametros_manuales!$H$26="Todos",'Plan mensual'!H106,0))+parametros_manuales!$F$26*('Plan mensual'!H103+IF(parametros_manuales!$H$26="Todos",'Plan mensual'!H107,0))+parametros_manuales!$G$26*('Plan mensual'!H104+IF(parametros_manuales!$H$26="Todos",'Plan mensual'!H108,0)))*parametros_manuales!$I$26*parametros_manuales!$J$26</f>
        <v>20865.23</v>
      </c>
      <c r="G261" s="8">
        <f>(parametros_manuales!$D$26*('Plan mensual'!I101+IF(parametros_manuales!$H$26="Todos",'Plan mensual'!I105,0))+parametros_manuales!$E$26*('Plan mensual'!I102+IF(parametros_manuales!$H$26="Todos",'Plan mensual'!I106,0))+parametros_manuales!$F$26*('Plan mensual'!I103+IF(parametros_manuales!$H$26="Todos",'Plan mensual'!I107,0))+parametros_manuales!$G$26*('Plan mensual'!I104+IF(parametros_manuales!$H$26="Todos",'Plan mensual'!I108,0)))*parametros_manuales!$I$26*parametros_manuales!$J$26</f>
        <v>20447.62</v>
      </c>
      <c r="H261" s="8">
        <f>(parametros_manuales!$D$26*('Plan mensual'!J101+IF(parametros_manuales!$H$26="Todos",'Plan mensual'!J105,0))+parametros_manuales!$E$26*('Plan mensual'!J102+IF(parametros_manuales!$H$26="Todos",'Plan mensual'!J106,0))+parametros_manuales!$F$26*('Plan mensual'!J103+IF(parametros_manuales!$H$26="Todos",'Plan mensual'!J107,0))+parametros_manuales!$G$26*('Plan mensual'!J104+IF(parametros_manuales!$H$26="Todos",'Plan mensual'!J108,0)))*parametros_manuales!$I$26*parametros_manuales!$J$26</f>
        <v>21878.335</v>
      </c>
      <c r="I261" s="8">
        <f>(parametros_manuales!$D$26*('Plan mensual'!K101+IF(parametros_manuales!$H$26="Todos",'Plan mensual'!K105,0))+parametros_manuales!$E$26*('Plan mensual'!K102+IF(parametros_manuales!$H$26="Todos",'Plan mensual'!K106,0))+parametros_manuales!$F$26*('Plan mensual'!K103+IF(parametros_manuales!$H$26="Todos",'Plan mensual'!K107,0))+parametros_manuales!$G$26*('Plan mensual'!K104+IF(parametros_manuales!$H$26="Todos",'Plan mensual'!K108,0)))*parametros_manuales!$I$26*parametros_manuales!$J$26</f>
        <v>21878.335</v>
      </c>
      <c r="J261" s="8">
        <f>(parametros_manuales!$D$26*('Plan mensual'!L101+IF(parametros_manuales!$H$26="Todos",'Plan mensual'!L105,0))+parametros_manuales!$E$26*('Plan mensual'!L102+IF(parametros_manuales!$H$26="Todos",'Plan mensual'!L106,0))+parametros_manuales!$F$26*('Plan mensual'!L103+IF(parametros_manuales!$H$26="Todos",'Plan mensual'!L107,0))+parametros_manuales!$G$26*('Plan mensual'!L104+IF(parametros_manuales!$H$26="Todos",'Plan mensual'!L108,0)))*parametros_manuales!$I$26*parametros_manuales!$J$26</f>
        <v>21878.335</v>
      </c>
      <c r="K261" s="8">
        <f>(parametros_manuales!$D$26*('Plan mensual'!M101+IF(parametros_manuales!$H$26="Todos",'Plan mensual'!M105,0))+parametros_manuales!$E$26*('Plan mensual'!M102+IF(parametros_manuales!$H$26="Todos",'Plan mensual'!M106,0))+parametros_manuales!$F$26*('Plan mensual'!M103+IF(parametros_manuales!$H$26="Todos",'Plan mensual'!M107,0))+parametros_manuales!$G$26*('Plan mensual'!M104+IF(parametros_manuales!$H$26="Todos",'Plan mensual'!M108,0)))*parametros_manuales!$I$26*parametros_manuales!$J$26</f>
        <v>21460.725</v>
      </c>
      <c r="L261" s="8">
        <f>(parametros_manuales!$D$26*('Plan mensual'!N101+IF(parametros_manuales!$H$26="Todos",'Plan mensual'!N105,0))+parametros_manuales!$E$26*('Plan mensual'!N102+IF(parametros_manuales!$H$26="Todos",'Plan mensual'!N106,0))+parametros_manuales!$F$26*('Plan mensual'!N103+IF(parametros_manuales!$H$26="Todos",'Plan mensual'!N107,0))+parametros_manuales!$G$26*('Plan mensual'!N104+IF(parametros_manuales!$H$26="Todos",'Plan mensual'!N108,0)))*parametros_manuales!$I$26*parametros_manuales!$J$26</f>
        <v>21043.115</v>
      </c>
      <c r="M261" s="8">
        <f>(parametros_manuales!$D$26*('Plan mensual'!O101+IF(parametros_manuales!$H$26="Todos",'Plan mensual'!O105,0))+parametros_manuales!$E$26*('Plan mensual'!O102+IF(parametros_manuales!$H$26="Todos",'Plan mensual'!O106,0))+parametros_manuales!$F$26*('Plan mensual'!O103+IF(parametros_manuales!$H$26="Todos",'Plan mensual'!O107,0))+parametros_manuales!$G$26*('Plan mensual'!O104+IF(parametros_manuales!$H$26="Todos",'Plan mensual'!O108,0)))*parametros_manuales!$I$26*parametros_manuales!$J$26</f>
        <v>33501.94</v>
      </c>
      <c r="N261" s="8">
        <f t="shared" si="28"/>
        <v>286143</v>
      </c>
      <c r="O261" s="8">
        <f t="shared" si="29"/>
        <v>33501.94</v>
      </c>
      <c r="P261" s="27">
        <f>O261/(parametros_manuales!$B$7)</f>
        <v>223.3462667</v>
      </c>
      <c r="Q261" s="4" t="str">
        <f t="shared" si="30"/>
        <v>Dic</v>
      </c>
    </row>
    <row r="262" ht="14.25" customHeight="1">
      <c r="A262" s="4" t="str">
        <f>parametros_manuales!$B$27</f>
        <v>Soldadura longitudinal — 2,5 a 10 kg</v>
      </c>
      <c r="B262" s="8">
        <f>(parametros_manuales!$D$27*('Plan mensual'!D101+IF(parametros_manuales!$H$27="Todos",'Plan mensual'!D105,0))+parametros_manuales!$E$27*('Plan mensual'!D102+IF(parametros_manuales!$H$27="Todos",'Plan mensual'!D106,0))+parametros_manuales!$F$27*('Plan mensual'!D103+IF(parametros_manuales!$H$27="Todos",'Plan mensual'!D107,0))+parametros_manuales!$G$27*('Plan mensual'!D104+IF(parametros_manuales!$H$27="Todos",'Plan mensual'!D108,0)))*parametros_manuales!$I$27*parametros_manuales!$J$27</f>
        <v>8352.2</v>
      </c>
      <c r="C262" s="8">
        <f>(parametros_manuales!$D$27*('Plan mensual'!E101+IF(parametros_manuales!$H$27="Todos",'Plan mensual'!E105,0))+parametros_manuales!$E$27*('Plan mensual'!E102+IF(parametros_manuales!$H$27="Todos",'Plan mensual'!E106,0))+parametros_manuales!$F$27*('Plan mensual'!E103+IF(parametros_manuales!$H$27="Todos",'Plan mensual'!E107,0))+parametros_manuales!$G$27*('Plan mensual'!E104+IF(parametros_manuales!$H$27="Todos",'Plan mensual'!E108,0)))*parametros_manuales!$I$27*parametros_manuales!$J$27</f>
        <v>6681.76</v>
      </c>
      <c r="D262" s="8">
        <f>(parametros_manuales!$D$27*('Plan mensual'!F101+IF(parametros_manuales!$H$27="Todos",'Plan mensual'!F105,0))+parametros_manuales!$E$27*('Plan mensual'!F102+IF(parametros_manuales!$H$27="Todos",'Plan mensual'!F106,0))+parametros_manuales!$F$27*('Plan mensual'!F103+IF(parametros_manuales!$H$27="Todos",'Plan mensual'!F107,0))+parametros_manuales!$G$27*('Plan mensual'!F104+IF(parametros_manuales!$H$27="Todos",'Plan mensual'!F108,0)))*parametros_manuales!$I$27*parametros_manuales!$J$27</f>
        <v>7099.37</v>
      </c>
      <c r="E262" s="8">
        <f>(parametros_manuales!$D$27*('Plan mensual'!G101+IF(parametros_manuales!$H$27="Todos",'Plan mensual'!G105,0))+parametros_manuales!$E$27*('Plan mensual'!G102+IF(parametros_manuales!$H$27="Todos",'Plan mensual'!G106,0))+parametros_manuales!$F$27*('Plan mensual'!G103+IF(parametros_manuales!$H$27="Todos",'Plan mensual'!G107,0))+parametros_manuales!$G$27*('Plan mensual'!G104+IF(parametros_manuales!$H$27="Todos",'Plan mensual'!G108,0)))*parametros_manuales!$I$27*parametros_manuales!$J$27</f>
        <v>7099.37</v>
      </c>
      <c r="F262" s="8">
        <f>(parametros_manuales!$D$27*('Plan mensual'!H101+IF(parametros_manuales!$H$27="Todos",'Plan mensual'!H105,0))+parametros_manuales!$E$27*('Plan mensual'!H102+IF(parametros_manuales!$H$27="Todos",'Plan mensual'!H106,0))+parametros_manuales!$F$27*('Plan mensual'!H103+IF(parametros_manuales!$H$27="Todos",'Plan mensual'!H107,0))+parametros_manuales!$G$27*('Plan mensual'!H104+IF(parametros_manuales!$H$27="Todos",'Plan mensual'!H108,0)))*parametros_manuales!$I$27*parametros_manuales!$J$27</f>
        <v>6681.76</v>
      </c>
      <c r="G262" s="8">
        <f>(parametros_manuales!$D$27*('Plan mensual'!I101+IF(parametros_manuales!$H$27="Todos",'Plan mensual'!I105,0))+parametros_manuales!$E$27*('Plan mensual'!I102+IF(parametros_manuales!$H$27="Todos",'Plan mensual'!I106,0))+parametros_manuales!$F$27*('Plan mensual'!I103+IF(parametros_manuales!$H$27="Todos",'Plan mensual'!I107,0))+parametros_manuales!$G$27*('Plan mensual'!I104+IF(parametros_manuales!$H$27="Todos",'Plan mensual'!I108,0)))*parametros_manuales!$I$27*parametros_manuales!$J$27</f>
        <v>6264.15</v>
      </c>
      <c r="H262" s="8">
        <f>(parametros_manuales!$D$27*('Plan mensual'!J101+IF(parametros_manuales!$H$27="Todos",'Plan mensual'!J105,0))+parametros_manuales!$E$27*('Plan mensual'!J102+IF(parametros_manuales!$H$27="Todos",'Plan mensual'!J106,0))+parametros_manuales!$F$27*('Plan mensual'!J103+IF(parametros_manuales!$H$27="Todos",'Plan mensual'!J107,0))+parametros_manuales!$G$27*('Plan mensual'!J104+IF(parametros_manuales!$H$27="Todos",'Plan mensual'!J108,0)))*parametros_manuales!$I$27*parametros_manuales!$J$27</f>
        <v>6681.76</v>
      </c>
      <c r="I262" s="8">
        <f>(parametros_manuales!$D$27*('Plan mensual'!K101+IF(parametros_manuales!$H$27="Todos",'Plan mensual'!K105,0))+parametros_manuales!$E$27*('Plan mensual'!K102+IF(parametros_manuales!$H$27="Todos",'Plan mensual'!K106,0))+parametros_manuales!$F$27*('Plan mensual'!K103+IF(parametros_manuales!$H$27="Todos",'Plan mensual'!K107,0))+parametros_manuales!$G$27*('Plan mensual'!K104+IF(parametros_manuales!$H$27="Todos",'Plan mensual'!K108,0)))*parametros_manuales!$I$27*parametros_manuales!$J$27</f>
        <v>6681.76</v>
      </c>
      <c r="J262" s="8">
        <f>(parametros_manuales!$D$27*('Plan mensual'!L101+IF(parametros_manuales!$H$27="Todos",'Plan mensual'!L105,0))+parametros_manuales!$E$27*('Plan mensual'!L102+IF(parametros_manuales!$H$27="Todos",'Plan mensual'!L106,0))+parametros_manuales!$F$27*('Plan mensual'!L103+IF(parametros_manuales!$H$27="Todos",'Plan mensual'!L107,0))+parametros_manuales!$G$27*('Plan mensual'!L104+IF(parametros_manuales!$H$27="Todos",'Plan mensual'!L108,0)))*parametros_manuales!$I$27*parametros_manuales!$J$27</f>
        <v>6681.76</v>
      </c>
      <c r="K262" s="8">
        <f>(parametros_manuales!$D$27*('Plan mensual'!M101+IF(parametros_manuales!$H$27="Todos",'Plan mensual'!M105,0))+parametros_manuales!$E$27*('Plan mensual'!M102+IF(parametros_manuales!$H$27="Todos",'Plan mensual'!M106,0))+parametros_manuales!$F$27*('Plan mensual'!M103+IF(parametros_manuales!$H$27="Todos",'Plan mensual'!M107,0))+parametros_manuales!$G$27*('Plan mensual'!M104+IF(parametros_manuales!$H$27="Todos",'Plan mensual'!M108,0)))*parametros_manuales!$I$27*parametros_manuales!$J$27</f>
        <v>6264.15</v>
      </c>
      <c r="L262" s="8">
        <f>(parametros_manuales!$D$27*('Plan mensual'!N101+IF(parametros_manuales!$H$27="Todos",'Plan mensual'!N105,0))+parametros_manuales!$E$27*('Plan mensual'!N102+IF(parametros_manuales!$H$27="Todos",'Plan mensual'!N106,0))+parametros_manuales!$F$27*('Plan mensual'!N103+IF(parametros_manuales!$H$27="Todos",'Plan mensual'!N107,0))+parametros_manuales!$G$27*('Plan mensual'!N104+IF(parametros_manuales!$H$27="Todos",'Plan mensual'!N108,0)))*parametros_manuales!$I$27*parametros_manuales!$J$27</f>
        <v>5846.54</v>
      </c>
      <c r="M262" s="8">
        <f>(parametros_manuales!$D$27*('Plan mensual'!O101+IF(parametros_manuales!$H$27="Todos",'Plan mensual'!O105,0))+parametros_manuales!$E$27*('Plan mensual'!O102+IF(parametros_manuales!$H$27="Todos",'Plan mensual'!O106,0))+parametros_manuales!$F$27*('Plan mensual'!O103+IF(parametros_manuales!$H$27="Todos",'Plan mensual'!O107,0))+parametros_manuales!$G$27*('Plan mensual'!O104+IF(parametros_manuales!$H$27="Todos",'Plan mensual'!O108,0)))*parametros_manuales!$I$27*parametros_manuales!$J$27</f>
        <v>9187.42</v>
      </c>
      <c r="N262" s="8">
        <f t="shared" si="28"/>
        <v>83522</v>
      </c>
      <c r="O262" s="8">
        <f t="shared" si="29"/>
        <v>9187.42</v>
      </c>
      <c r="P262" s="27">
        <f>O262/(parametros_manuales!$B$7)</f>
        <v>61.24946667</v>
      </c>
      <c r="Q262" s="4" t="str">
        <f t="shared" si="30"/>
        <v>Dic</v>
      </c>
    </row>
    <row r="263" ht="14.25" customHeight="1">
      <c r="A263" s="4" t="str">
        <f>parametros_manuales!$B$28</f>
        <v>Soldadura longitudinal TIG — 1 kg</v>
      </c>
      <c r="B263" s="8">
        <f>(parametros_manuales!$D$28*('Plan mensual'!D101+IF(parametros_manuales!$H$28="Todos",'Plan mensual'!D105,0))+parametros_manuales!$E$28*('Plan mensual'!D102+IF(parametros_manuales!$H$28="Todos",'Plan mensual'!D106,0))+parametros_manuales!$F$28*('Plan mensual'!D103+IF(parametros_manuales!$H$28="Todos",'Plan mensual'!D107,0))+parametros_manuales!$G$28*('Plan mensual'!D104+IF(parametros_manuales!$H$28="Todos",'Plan mensual'!D108,0)))*parametros_manuales!$I$28*parametros_manuales!$J$28</f>
        <v>24314.52</v>
      </c>
      <c r="C263" s="8">
        <f>(parametros_manuales!$D$28*('Plan mensual'!E101+IF(parametros_manuales!$H$28="Todos",'Plan mensual'!E105,0))+parametros_manuales!$E$28*('Plan mensual'!E102+IF(parametros_manuales!$H$28="Todos",'Plan mensual'!E106,0))+parametros_manuales!$F$28*('Plan mensual'!E103+IF(parametros_manuales!$H$28="Todos",'Plan mensual'!E107,0))+parametros_manuales!$G$28*('Plan mensual'!E104+IF(parametros_manuales!$H$28="Todos",'Plan mensual'!E108,0)))*parametros_manuales!$I$28*parametros_manuales!$J$28</f>
        <v>18235.89</v>
      </c>
      <c r="D263" s="8">
        <f>(parametros_manuales!$D$28*('Plan mensual'!F101+IF(parametros_manuales!$H$28="Todos",'Plan mensual'!F105,0))+parametros_manuales!$E$28*('Plan mensual'!F102+IF(parametros_manuales!$H$28="Todos",'Plan mensual'!F106,0))+parametros_manuales!$F$28*('Plan mensual'!F103+IF(parametros_manuales!$H$28="Todos",'Plan mensual'!F107,0))+parametros_manuales!$G$28*('Plan mensual'!F104+IF(parametros_manuales!$H$28="Todos",'Plan mensual'!F108,0)))*parametros_manuales!$I$28*parametros_manuales!$J$28</f>
        <v>16209.68</v>
      </c>
      <c r="E263" s="8">
        <f>(parametros_manuales!$D$28*('Plan mensual'!G101+IF(parametros_manuales!$H$28="Todos",'Plan mensual'!G105,0))+parametros_manuales!$E$28*('Plan mensual'!G102+IF(parametros_manuales!$H$28="Todos",'Plan mensual'!G106,0))+parametros_manuales!$F$28*('Plan mensual'!G103+IF(parametros_manuales!$H$28="Todos",'Plan mensual'!G107,0))+parametros_manuales!$G$28*('Plan mensual'!G104+IF(parametros_manuales!$H$28="Todos",'Plan mensual'!G108,0)))*parametros_manuales!$I$28*parametros_manuales!$J$28</f>
        <v>15196.575</v>
      </c>
      <c r="F263" s="8">
        <f>(parametros_manuales!$D$28*('Plan mensual'!H101+IF(parametros_manuales!$H$28="Todos",'Plan mensual'!H105,0))+parametros_manuales!$E$28*('Plan mensual'!H102+IF(parametros_manuales!$H$28="Todos",'Plan mensual'!H106,0))+parametros_manuales!$F$28*('Plan mensual'!H103+IF(parametros_manuales!$H$28="Todos",'Plan mensual'!H107,0))+parametros_manuales!$G$28*('Plan mensual'!H104+IF(parametros_manuales!$H$28="Todos",'Plan mensual'!H108,0)))*parametros_manuales!$I$28*parametros_manuales!$J$28</f>
        <v>14183.47</v>
      </c>
      <c r="G263" s="8">
        <f>(parametros_manuales!$D$28*('Plan mensual'!I101+IF(parametros_manuales!$H$28="Todos",'Plan mensual'!I105,0))+parametros_manuales!$E$28*('Plan mensual'!I102+IF(parametros_manuales!$H$28="Todos",'Plan mensual'!I106,0))+parametros_manuales!$F$28*('Plan mensual'!I103+IF(parametros_manuales!$H$28="Todos",'Plan mensual'!I107,0))+parametros_manuales!$G$28*('Plan mensual'!I104+IF(parametros_manuales!$H$28="Todos",'Plan mensual'!I108,0)))*parametros_manuales!$I$28*parametros_manuales!$J$28</f>
        <v>14183.47</v>
      </c>
      <c r="H263" s="8">
        <f>(parametros_manuales!$D$28*('Plan mensual'!J101+IF(parametros_manuales!$H$28="Todos",'Plan mensual'!J105,0))+parametros_manuales!$E$28*('Plan mensual'!J102+IF(parametros_manuales!$H$28="Todos",'Plan mensual'!J106,0))+parametros_manuales!$F$28*('Plan mensual'!J103+IF(parametros_manuales!$H$28="Todos",'Plan mensual'!J107,0))+parametros_manuales!$G$28*('Plan mensual'!J104+IF(parametros_manuales!$H$28="Todos",'Plan mensual'!J108,0)))*parametros_manuales!$I$28*parametros_manuales!$J$28</f>
        <v>15196.575</v>
      </c>
      <c r="I263" s="8">
        <f>(parametros_manuales!$D$28*('Plan mensual'!K101+IF(parametros_manuales!$H$28="Todos",'Plan mensual'!K105,0))+parametros_manuales!$E$28*('Plan mensual'!K102+IF(parametros_manuales!$H$28="Todos",'Plan mensual'!K106,0))+parametros_manuales!$F$28*('Plan mensual'!K103+IF(parametros_manuales!$H$28="Todos",'Plan mensual'!K107,0))+parametros_manuales!$G$28*('Plan mensual'!K104+IF(parametros_manuales!$H$28="Todos",'Plan mensual'!K108,0)))*parametros_manuales!$I$28*parametros_manuales!$J$28</f>
        <v>15196.575</v>
      </c>
      <c r="J263" s="8">
        <f>(parametros_manuales!$D$28*('Plan mensual'!L101+IF(parametros_manuales!$H$28="Todos",'Plan mensual'!L105,0))+parametros_manuales!$E$28*('Plan mensual'!L102+IF(parametros_manuales!$H$28="Todos",'Plan mensual'!L106,0))+parametros_manuales!$F$28*('Plan mensual'!L103+IF(parametros_manuales!$H$28="Todos",'Plan mensual'!L107,0))+parametros_manuales!$G$28*('Plan mensual'!L104+IF(parametros_manuales!$H$28="Todos",'Plan mensual'!L108,0)))*parametros_manuales!$I$28*parametros_manuales!$J$28</f>
        <v>15196.575</v>
      </c>
      <c r="K263" s="8">
        <f>(parametros_manuales!$D$28*('Plan mensual'!M101+IF(parametros_manuales!$H$28="Todos",'Plan mensual'!M105,0))+parametros_manuales!$E$28*('Plan mensual'!M102+IF(parametros_manuales!$H$28="Todos",'Plan mensual'!M106,0))+parametros_manuales!$F$28*('Plan mensual'!M103+IF(parametros_manuales!$H$28="Todos",'Plan mensual'!M107,0))+parametros_manuales!$G$28*('Plan mensual'!M104+IF(parametros_manuales!$H$28="Todos",'Plan mensual'!M108,0)))*parametros_manuales!$I$28*parametros_manuales!$J$28</f>
        <v>15196.575</v>
      </c>
      <c r="L263" s="8">
        <f>(parametros_manuales!$D$28*('Plan mensual'!N101+IF(parametros_manuales!$H$28="Todos",'Plan mensual'!N105,0))+parametros_manuales!$E$28*('Plan mensual'!N102+IF(parametros_manuales!$H$28="Todos",'Plan mensual'!N106,0))+parametros_manuales!$F$28*('Plan mensual'!N103+IF(parametros_manuales!$H$28="Todos",'Plan mensual'!N107,0))+parametros_manuales!$G$28*('Plan mensual'!N104+IF(parametros_manuales!$H$28="Todos",'Plan mensual'!N108,0)))*parametros_manuales!$I$28*parametros_manuales!$J$28</f>
        <v>15196.575</v>
      </c>
      <c r="M263" s="8">
        <f>(parametros_manuales!$D$28*('Plan mensual'!O101+IF(parametros_manuales!$H$28="Todos",'Plan mensual'!O105,0))+parametros_manuales!$E$28*('Plan mensual'!O102+IF(parametros_manuales!$H$28="Todos",'Plan mensual'!O106,0))+parametros_manuales!$F$28*('Plan mensual'!O103+IF(parametros_manuales!$H$28="Todos",'Plan mensual'!O107,0))+parametros_manuales!$G$28*('Plan mensual'!O104+IF(parametros_manuales!$H$28="Todos",'Plan mensual'!O108,0)))*parametros_manuales!$I$28*parametros_manuales!$J$28</f>
        <v>24314.52</v>
      </c>
      <c r="N263" s="8">
        <f t="shared" si="28"/>
        <v>202621</v>
      </c>
      <c r="O263" s="8">
        <f t="shared" si="29"/>
        <v>24314.52</v>
      </c>
      <c r="P263" s="27">
        <f>O263/(parametros_manuales!$B$7)</f>
        <v>162.0968</v>
      </c>
      <c r="Q263" s="4" t="str">
        <f t="shared" si="30"/>
        <v>Ene</v>
      </c>
    </row>
    <row r="264" ht="14.25" customHeight="1">
      <c r="A264" s="4" t="str">
        <f>parametros_manuales!$B$29</f>
        <v>Encastre de fondo</v>
      </c>
      <c r="B264" s="8">
        <f>(parametros_manuales!$D$29*('Plan mensual'!D101+IF(parametros_manuales!$H$29="Todos",'Plan mensual'!D105,0))+parametros_manuales!$E$29*('Plan mensual'!D102+IF(parametros_manuales!$H$29="Todos",'Plan mensual'!D106,0))+parametros_manuales!$F$29*('Plan mensual'!D103+IF(parametros_manuales!$H$29="Todos",'Plan mensual'!D107,0))+parametros_manuales!$G$29*('Plan mensual'!D104+IF(parametros_manuales!$H$29="Todos",'Plan mensual'!D108,0)))*parametros_manuales!$I$29*parametros_manuales!$J$29</f>
        <v>32666.72</v>
      </c>
      <c r="C264" s="8">
        <f>(parametros_manuales!$D$29*('Plan mensual'!E101+IF(parametros_manuales!$H$29="Todos",'Plan mensual'!E105,0))+parametros_manuales!$E$29*('Plan mensual'!E102+IF(parametros_manuales!$H$29="Todos",'Plan mensual'!E106,0))+parametros_manuales!$F$29*('Plan mensual'!E103+IF(parametros_manuales!$H$29="Todos",'Plan mensual'!E107,0))+parametros_manuales!$G$29*('Plan mensual'!E104+IF(parametros_manuales!$H$29="Todos",'Plan mensual'!E108,0)))*parametros_manuales!$I$29*parametros_manuales!$J$29</f>
        <v>24917.65</v>
      </c>
      <c r="D264" s="8">
        <f>(parametros_manuales!$D$29*('Plan mensual'!F101+IF(parametros_manuales!$H$29="Todos",'Plan mensual'!F105,0))+parametros_manuales!$E$29*('Plan mensual'!F102+IF(parametros_manuales!$H$29="Todos",'Plan mensual'!F106,0))+parametros_manuales!$F$29*('Plan mensual'!F103+IF(parametros_manuales!$H$29="Todos",'Plan mensual'!F107,0))+parametros_manuales!$G$29*('Plan mensual'!F104+IF(parametros_manuales!$H$29="Todos",'Plan mensual'!F108,0)))*parametros_manuales!$I$29*parametros_manuales!$J$29</f>
        <v>23309.05</v>
      </c>
      <c r="E264" s="8">
        <f>(parametros_manuales!$D$29*('Plan mensual'!G101+IF(parametros_manuales!$H$29="Todos",'Plan mensual'!G105,0))+parametros_manuales!$E$29*('Plan mensual'!G102+IF(parametros_manuales!$H$29="Todos",'Plan mensual'!G106,0))+parametros_manuales!$F$29*('Plan mensual'!G103+IF(parametros_manuales!$H$29="Todos",'Plan mensual'!G107,0))+parametros_manuales!$G$29*('Plan mensual'!G104+IF(parametros_manuales!$H$29="Todos",'Plan mensual'!G108,0)))*parametros_manuales!$I$29*parametros_manuales!$J$29</f>
        <v>22295.945</v>
      </c>
      <c r="F264" s="8">
        <f>(parametros_manuales!$D$29*('Plan mensual'!H101+IF(parametros_manuales!$H$29="Todos",'Plan mensual'!H105,0))+parametros_manuales!$E$29*('Plan mensual'!H102+IF(parametros_manuales!$H$29="Todos",'Plan mensual'!H106,0))+parametros_manuales!$F$29*('Plan mensual'!H103+IF(parametros_manuales!$H$29="Todos",'Plan mensual'!H107,0))+parametros_manuales!$G$29*('Plan mensual'!H104+IF(parametros_manuales!$H$29="Todos",'Plan mensual'!H108,0)))*parametros_manuales!$I$29*parametros_manuales!$J$29</f>
        <v>20865.23</v>
      </c>
      <c r="G264" s="8">
        <f>(parametros_manuales!$D$29*('Plan mensual'!I101+IF(parametros_manuales!$H$29="Todos",'Plan mensual'!I105,0))+parametros_manuales!$E$29*('Plan mensual'!I102+IF(parametros_manuales!$H$29="Todos",'Plan mensual'!I106,0))+parametros_manuales!$F$29*('Plan mensual'!I103+IF(parametros_manuales!$H$29="Todos",'Plan mensual'!I107,0))+parametros_manuales!$G$29*('Plan mensual'!I104+IF(parametros_manuales!$H$29="Todos",'Plan mensual'!I108,0)))*parametros_manuales!$I$29*parametros_manuales!$J$29</f>
        <v>20447.62</v>
      </c>
      <c r="H264" s="8">
        <f>(parametros_manuales!$D$29*('Plan mensual'!J101+IF(parametros_manuales!$H$29="Todos",'Plan mensual'!J105,0))+parametros_manuales!$E$29*('Plan mensual'!J102+IF(parametros_manuales!$H$29="Todos",'Plan mensual'!J106,0))+parametros_manuales!$F$29*('Plan mensual'!J103+IF(parametros_manuales!$H$29="Todos",'Plan mensual'!J107,0))+parametros_manuales!$G$29*('Plan mensual'!J104+IF(parametros_manuales!$H$29="Todos",'Plan mensual'!J108,0)))*parametros_manuales!$I$29*parametros_manuales!$J$29</f>
        <v>21878.335</v>
      </c>
      <c r="I264" s="8">
        <f>(parametros_manuales!$D$29*('Plan mensual'!K101+IF(parametros_manuales!$H$29="Todos",'Plan mensual'!K105,0))+parametros_manuales!$E$29*('Plan mensual'!K102+IF(parametros_manuales!$H$29="Todos",'Plan mensual'!K106,0))+parametros_manuales!$F$29*('Plan mensual'!K103+IF(parametros_manuales!$H$29="Todos",'Plan mensual'!K107,0))+parametros_manuales!$G$29*('Plan mensual'!K104+IF(parametros_manuales!$H$29="Todos",'Plan mensual'!K108,0)))*parametros_manuales!$I$29*parametros_manuales!$J$29</f>
        <v>21878.335</v>
      </c>
      <c r="J264" s="8">
        <f>(parametros_manuales!$D$29*('Plan mensual'!L101+IF(parametros_manuales!$H$29="Todos",'Plan mensual'!L105,0))+parametros_manuales!$E$29*('Plan mensual'!L102+IF(parametros_manuales!$H$29="Todos",'Plan mensual'!L106,0))+parametros_manuales!$F$29*('Plan mensual'!L103+IF(parametros_manuales!$H$29="Todos",'Plan mensual'!L107,0))+parametros_manuales!$G$29*('Plan mensual'!L104+IF(parametros_manuales!$H$29="Todos",'Plan mensual'!L108,0)))*parametros_manuales!$I$29*parametros_manuales!$J$29</f>
        <v>21878.335</v>
      </c>
      <c r="K264" s="8">
        <f>(parametros_manuales!$D$29*('Plan mensual'!M101+IF(parametros_manuales!$H$29="Todos",'Plan mensual'!M105,0))+parametros_manuales!$E$29*('Plan mensual'!M102+IF(parametros_manuales!$H$29="Todos",'Plan mensual'!M106,0))+parametros_manuales!$F$29*('Plan mensual'!M103+IF(parametros_manuales!$H$29="Todos",'Plan mensual'!M107,0))+parametros_manuales!$G$29*('Plan mensual'!M104+IF(parametros_manuales!$H$29="Todos",'Plan mensual'!M108,0)))*parametros_manuales!$I$29*parametros_manuales!$J$29</f>
        <v>21460.725</v>
      </c>
      <c r="L264" s="8">
        <f>(parametros_manuales!$D$29*('Plan mensual'!N101+IF(parametros_manuales!$H$29="Todos",'Plan mensual'!N105,0))+parametros_manuales!$E$29*('Plan mensual'!N102+IF(parametros_manuales!$H$29="Todos",'Plan mensual'!N106,0))+parametros_manuales!$F$29*('Plan mensual'!N103+IF(parametros_manuales!$H$29="Todos",'Plan mensual'!N107,0))+parametros_manuales!$G$29*('Plan mensual'!N104+IF(parametros_manuales!$H$29="Todos",'Plan mensual'!N108,0)))*parametros_manuales!$I$29*parametros_manuales!$J$29</f>
        <v>21043.115</v>
      </c>
      <c r="M264" s="8">
        <f>(parametros_manuales!$D$29*('Plan mensual'!O101+IF(parametros_manuales!$H$29="Todos",'Plan mensual'!O105,0))+parametros_manuales!$E$29*('Plan mensual'!O102+IF(parametros_manuales!$H$29="Todos",'Plan mensual'!O106,0))+parametros_manuales!$F$29*('Plan mensual'!O103+IF(parametros_manuales!$H$29="Todos",'Plan mensual'!O107,0))+parametros_manuales!$G$29*('Plan mensual'!O104+IF(parametros_manuales!$H$29="Todos",'Plan mensual'!O108,0)))*parametros_manuales!$I$29*parametros_manuales!$J$29</f>
        <v>33501.94</v>
      </c>
      <c r="N264" s="8">
        <f t="shared" si="28"/>
        <v>286143</v>
      </c>
      <c r="O264" s="8">
        <f t="shared" si="29"/>
        <v>33501.94</v>
      </c>
      <c r="P264" s="27">
        <f>O264/(parametros_manuales!$B$7)</f>
        <v>223.3462667</v>
      </c>
      <c r="Q264" s="4" t="str">
        <f t="shared" si="30"/>
        <v>Dic</v>
      </c>
    </row>
    <row r="265" ht="14.25" customHeight="1">
      <c r="A265" s="4" t="str">
        <f>parametros_manuales!$B$30</f>
        <v>Bordoneado</v>
      </c>
      <c r="B265" s="8">
        <f>(parametros_manuales!$D$30*('Plan mensual'!D101+IF(parametros_manuales!$H$30="Todos",'Plan mensual'!D105,0))+parametros_manuales!$E$30*('Plan mensual'!D102+IF(parametros_manuales!$H$30="Todos",'Plan mensual'!D106,0))+parametros_manuales!$F$30*('Plan mensual'!D103+IF(parametros_manuales!$H$30="Todos",'Plan mensual'!D107,0))+parametros_manuales!$G$30*('Plan mensual'!D104+IF(parametros_manuales!$H$30="Todos",'Plan mensual'!D108,0)))*parametros_manuales!$I$30*parametros_manuales!$J$30</f>
        <v>32666.72</v>
      </c>
      <c r="C265" s="8">
        <f>(parametros_manuales!$D$30*('Plan mensual'!E101+IF(parametros_manuales!$H$30="Todos",'Plan mensual'!E105,0))+parametros_manuales!$E$30*('Plan mensual'!E102+IF(parametros_manuales!$H$30="Todos",'Plan mensual'!E106,0))+parametros_manuales!$F$30*('Plan mensual'!E103+IF(parametros_manuales!$H$30="Todos",'Plan mensual'!E107,0))+parametros_manuales!$G$30*('Plan mensual'!E104+IF(parametros_manuales!$H$30="Todos",'Plan mensual'!E108,0)))*parametros_manuales!$I$30*parametros_manuales!$J$30</f>
        <v>24917.65</v>
      </c>
      <c r="D265" s="8">
        <f>(parametros_manuales!$D$30*('Plan mensual'!F101+IF(parametros_manuales!$H$30="Todos",'Plan mensual'!F105,0))+parametros_manuales!$E$30*('Plan mensual'!F102+IF(parametros_manuales!$H$30="Todos",'Plan mensual'!F106,0))+parametros_manuales!$F$30*('Plan mensual'!F103+IF(parametros_manuales!$H$30="Todos",'Plan mensual'!F107,0))+parametros_manuales!$G$30*('Plan mensual'!F104+IF(parametros_manuales!$H$30="Todos",'Plan mensual'!F108,0)))*parametros_manuales!$I$30*parametros_manuales!$J$30</f>
        <v>23309.05</v>
      </c>
      <c r="E265" s="8">
        <f>(parametros_manuales!$D$30*('Plan mensual'!G101+IF(parametros_manuales!$H$30="Todos",'Plan mensual'!G105,0))+parametros_manuales!$E$30*('Plan mensual'!G102+IF(parametros_manuales!$H$30="Todos",'Plan mensual'!G106,0))+parametros_manuales!$F$30*('Plan mensual'!G103+IF(parametros_manuales!$H$30="Todos",'Plan mensual'!G107,0))+parametros_manuales!$G$30*('Plan mensual'!G104+IF(parametros_manuales!$H$30="Todos",'Plan mensual'!G108,0)))*parametros_manuales!$I$30*parametros_manuales!$J$30</f>
        <v>22295.945</v>
      </c>
      <c r="F265" s="8">
        <f>(parametros_manuales!$D$30*('Plan mensual'!H101+IF(parametros_manuales!$H$30="Todos",'Plan mensual'!H105,0))+parametros_manuales!$E$30*('Plan mensual'!H102+IF(parametros_manuales!$H$30="Todos",'Plan mensual'!H106,0))+parametros_manuales!$F$30*('Plan mensual'!H103+IF(parametros_manuales!$H$30="Todos",'Plan mensual'!H107,0))+parametros_manuales!$G$30*('Plan mensual'!H104+IF(parametros_manuales!$H$30="Todos",'Plan mensual'!H108,0)))*parametros_manuales!$I$30*parametros_manuales!$J$30</f>
        <v>20865.23</v>
      </c>
      <c r="G265" s="8">
        <f>(parametros_manuales!$D$30*('Plan mensual'!I101+IF(parametros_manuales!$H$30="Todos",'Plan mensual'!I105,0))+parametros_manuales!$E$30*('Plan mensual'!I102+IF(parametros_manuales!$H$30="Todos",'Plan mensual'!I106,0))+parametros_manuales!$F$30*('Plan mensual'!I103+IF(parametros_manuales!$H$30="Todos",'Plan mensual'!I107,0))+parametros_manuales!$G$30*('Plan mensual'!I104+IF(parametros_manuales!$H$30="Todos",'Plan mensual'!I108,0)))*parametros_manuales!$I$30*parametros_manuales!$J$30</f>
        <v>20447.62</v>
      </c>
      <c r="H265" s="8">
        <f>(parametros_manuales!$D$30*('Plan mensual'!J101+IF(parametros_manuales!$H$30="Todos",'Plan mensual'!J105,0))+parametros_manuales!$E$30*('Plan mensual'!J102+IF(parametros_manuales!$H$30="Todos",'Plan mensual'!J106,0))+parametros_manuales!$F$30*('Plan mensual'!J103+IF(parametros_manuales!$H$30="Todos",'Plan mensual'!J107,0))+parametros_manuales!$G$30*('Plan mensual'!J104+IF(parametros_manuales!$H$30="Todos",'Plan mensual'!J108,0)))*parametros_manuales!$I$30*parametros_manuales!$J$30</f>
        <v>21878.335</v>
      </c>
      <c r="I265" s="8">
        <f>(parametros_manuales!$D$30*('Plan mensual'!K101+IF(parametros_manuales!$H$30="Todos",'Plan mensual'!K105,0))+parametros_manuales!$E$30*('Plan mensual'!K102+IF(parametros_manuales!$H$30="Todos",'Plan mensual'!K106,0))+parametros_manuales!$F$30*('Plan mensual'!K103+IF(parametros_manuales!$H$30="Todos",'Plan mensual'!K107,0))+parametros_manuales!$G$30*('Plan mensual'!K104+IF(parametros_manuales!$H$30="Todos",'Plan mensual'!K108,0)))*parametros_manuales!$I$30*parametros_manuales!$J$30</f>
        <v>21878.335</v>
      </c>
      <c r="J265" s="8">
        <f>(parametros_manuales!$D$30*('Plan mensual'!L101+IF(parametros_manuales!$H$30="Todos",'Plan mensual'!L105,0))+parametros_manuales!$E$30*('Plan mensual'!L102+IF(parametros_manuales!$H$30="Todos",'Plan mensual'!L106,0))+parametros_manuales!$F$30*('Plan mensual'!L103+IF(parametros_manuales!$H$30="Todos",'Plan mensual'!L107,0))+parametros_manuales!$G$30*('Plan mensual'!L104+IF(parametros_manuales!$H$30="Todos",'Plan mensual'!L108,0)))*parametros_manuales!$I$30*parametros_manuales!$J$30</f>
        <v>21878.335</v>
      </c>
      <c r="K265" s="8">
        <f>(parametros_manuales!$D$30*('Plan mensual'!M101+IF(parametros_manuales!$H$30="Todos",'Plan mensual'!M105,0))+parametros_manuales!$E$30*('Plan mensual'!M102+IF(parametros_manuales!$H$30="Todos",'Plan mensual'!M106,0))+parametros_manuales!$F$30*('Plan mensual'!M103+IF(parametros_manuales!$H$30="Todos",'Plan mensual'!M107,0))+parametros_manuales!$G$30*('Plan mensual'!M104+IF(parametros_manuales!$H$30="Todos",'Plan mensual'!M108,0)))*parametros_manuales!$I$30*parametros_manuales!$J$30</f>
        <v>21460.725</v>
      </c>
      <c r="L265" s="8">
        <f>(parametros_manuales!$D$30*('Plan mensual'!N101+IF(parametros_manuales!$H$30="Todos",'Plan mensual'!N105,0))+parametros_manuales!$E$30*('Plan mensual'!N102+IF(parametros_manuales!$H$30="Todos",'Plan mensual'!N106,0))+parametros_manuales!$F$30*('Plan mensual'!N103+IF(parametros_manuales!$H$30="Todos",'Plan mensual'!N107,0))+parametros_manuales!$G$30*('Plan mensual'!N104+IF(parametros_manuales!$H$30="Todos",'Plan mensual'!N108,0)))*parametros_manuales!$I$30*parametros_manuales!$J$30</f>
        <v>21043.115</v>
      </c>
      <c r="M265" s="8">
        <f>(parametros_manuales!$D$30*('Plan mensual'!O101+IF(parametros_manuales!$H$30="Todos",'Plan mensual'!O105,0))+parametros_manuales!$E$30*('Plan mensual'!O102+IF(parametros_manuales!$H$30="Todos",'Plan mensual'!O106,0))+parametros_manuales!$F$30*('Plan mensual'!O103+IF(parametros_manuales!$H$30="Todos",'Plan mensual'!O107,0))+parametros_manuales!$G$30*('Plan mensual'!O104+IF(parametros_manuales!$H$30="Todos",'Plan mensual'!O108,0)))*parametros_manuales!$I$30*parametros_manuales!$J$30</f>
        <v>33501.94</v>
      </c>
      <c r="N265" s="8">
        <f t="shared" si="28"/>
        <v>286143</v>
      </c>
      <c r="O265" s="8">
        <f t="shared" si="29"/>
        <v>33501.94</v>
      </c>
      <c r="P265" s="27">
        <f>O265/(parametros_manuales!$B$7)</f>
        <v>223.3462667</v>
      </c>
      <c r="Q265" s="4" t="str">
        <f t="shared" si="30"/>
        <v>Dic</v>
      </c>
    </row>
    <row r="266" ht="14.25" customHeight="1">
      <c r="A266" s="4" t="str">
        <f>parametros_manuales!$B$31</f>
        <v>Soldadura circunferencial de cúpula y fondo</v>
      </c>
      <c r="B266" s="8">
        <f>(parametros_manuales!$D$31*('Plan mensual'!D101+IF(parametros_manuales!$H$31="Todos",'Plan mensual'!D105,0))+parametros_manuales!$E$31*('Plan mensual'!D102+IF(parametros_manuales!$H$31="Todos",'Plan mensual'!D106,0))+parametros_manuales!$F$31*('Plan mensual'!D103+IF(parametros_manuales!$H$31="Todos",'Plan mensual'!D107,0))+parametros_manuales!$G$31*('Plan mensual'!D104+IF(parametros_manuales!$H$31="Todos",'Plan mensual'!D108,0)))*parametros_manuales!$I$31*parametros_manuales!$J$31</f>
        <v>32666.72</v>
      </c>
      <c r="C266" s="8">
        <f>(parametros_manuales!$D$31*('Plan mensual'!E101+IF(parametros_manuales!$H$31="Todos",'Plan mensual'!E105,0))+parametros_manuales!$E$31*('Plan mensual'!E102+IF(parametros_manuales!$H$31="Todos",'Plan mensual'!E106,0))+parametros_manuales!$F$31*('Plan mensual'!E103+IF(parametros_manuales!$H$31="Todos",'Plan mensual'!E107,0))+parametros_manuales!$G$31*('Plan mensual'!E104+IF(parametros_manuales!$H$31="Todos",'Plan mensual'!E108,0)))*parametros_manuales!$I$31*parametros_manuales!$J$31</f>
        <v>24917.65</v>
      </c>
      <c r="D266" s="8">
        <f>(parametros_manuales!$D$31*('Plan mensual'!F101+IF(parametros_manuales!$H$31="Todos",'Plan mensual'!F105,0))+parametros_manuales!$E$31*('Plan mensual'!F102+IF(parametros_manuales!$H$31="Todos",'Plan mensual'!F106,0))+parametros_manuales!$F$31*('Plan mensual'!F103+IF(parametros_manuales!$H$31="Todos",'Plan mensual'!F107,0))+parametros_manuales!$G$31*('Plan mensual'!F104+IF(parametros_manuales!$H$31="Todos",'Plan mensual'!F108,0)))*parametros_manuales!$I$31*parametros_manuales!$J$31</f>
        <v>23309.05</v>
      </c>
      <c r="E266" s="8">
        <f>(parametros_manuales!$D$31*('Plan mensual'!G101+IF(parametros_manuales!$H$31="Todos",'Plan mensual'!G105,0))+parametros_manuales!$E$31*('Plan mensual'!G102+IF(parametros_manuales!$H$31="Todos",'Plan mensual'!G106,0))+parametros_manuales!$F$31*('Plan mensual'!G103+IF(parametros_manuales!$H$31="Todos",'Plan mensual'!G107,0))+parametros_manuales!$G$31*('Plan mensual'!G104+IF(parametros_manuales!$H$31="Todos",'Plan mensual'!G108,0)))*parametros_manuales!$I$31*parametros_manuales!$J$31</f>
        <v>22295.945</v>
      </c>
      <c r="F266" s="8">
        <f>(parametros_manuales!$D$31*('Plan mensual'!H101+IF(parametros_manuales!$H$31="Todos",'Plan mensual'!H105,0))+parametros_manuales!$E$31*('Plan mensual'!H102+IF(parametros_manuales!$H$31="Todos",'Plan mensual'!H106,0))+parametros_manuales!$F$31*('Plan mensual'!H103+IF(parametros_manuales!$H$31="Todos",'Plan mensual'!H107,0))+parametros_manuales!$G$31*('Plan mensual'!H104+IF(parametros_manuales!$H$31="Todos",'Plan mensual'!H108,0)))*parametros_manuales!$I$31*parametros_manuales!$J$31</f>
        <v>20865.23</v>
      </c>
      <c r="G266" s="8">
        <f>(parametros_manuales!$D$31*('Plan mensual'!I101+IF(parametros_manuales!$H$31="Todos",'Plan mensual'!I105,0))+parametros_manuales!$E$31*('Plan mensual'!I102+IF(parametros_manuales!$H$31="Todos",'Plan mensual'!I106,0))+parametros_manuales!$F$31*('Plan mensual'!I103+IF(parametros_manuales!$H$31="Todos",'Plan mensual'!I107,0))+parametros_manuales!$G$31*('Plan mensual'!I104+IF(parametros_manuales!$H$31="Todos",'Plan mensual'!I108,0)))*parametros_manuales!$I$31*parametros_manuales!$J$31</f>
        <v>20447.62</v>
      </c>
      <c r="H266" s="8">
        <f>(parametros_manuales!$D$31*('Plan mensual'!J101+IF(parametros_manuales!$H$31="Todos",'Plan mensual'!J105,0))+parametros_manuales!$E$31*('Plan mensual'!J102+IF(parametros_manuales!$H$31="Todos",'Plan mensual'!J106,0))+parametros_manuales!$F$31*('Plan mensual'!J103+IF(parametros_manuales!$H$31="Todos",'Plan mensual'!J107,0))+parametros_manuales!$G$31*('Plan mensual'!J104+IF(parametros_manuales!$H$31="Todos",'Plan mensual'!J108,0)))*parametros_manuales!$I$31*parametros_manuales!$J$31</f>
        <v>21878.335</v>
      </c>
      <c r="I266" s="8">
        <f>(parametros_manuales!$D$31*('Plan mensual'!K101+IF(parametros_manuales!$H$31="Todos",'Plan mensual'!K105,0))+parametros_manuales!$E$31*('Plan mensual'!K102+IF(parametros_manuales!$H$31="Todos",'Plan mensual'!K106,0))+parametros_manuales!$F$31*('Plan mensual'!K103+IF(parametros_manuales!$H$31="Todos",'Plan mensual'!K107,0))+parametros_manuales!$G$31*('Plan mensual'!K104+IF(parametros_manuales!$H$31="Todos",'Plan mensual'!K108,0)))*parametros_manuales!$I$31*parametros_manuales!$J$31</f>
        <v>21878.335</v>
      </c>
      <c r="J266" s="8">
        <f>(parametros_manuales!$D$31*('Plan mensual'!L101+IF(parametros_manuales!$H$31="Todos",'Plan mensual'!L105,0))+parametros_manuales!$E$31*('Plan mensual'!L102+IF(parametros_manuales!$H$31="Todos",'Plan mensual'!L106,0))+parametros_manuales!$F$31*('Plan mensual'!L103+IF(parametros_manuales!$H$31="Todos",'Plan mensual'!L107,0))+parametros_manuales!$G$31*('Plan mensual'!L104+IF(parametros_manuales!$H$31="Todos",'Plan mensual'!L108,0)))*parametros_manuales!$I$31*parametros_manuales!$J$31</f>
        <v>21878.335</v>
      </c>
      <c r="K266" s="8">
        <f>(parametros_manuales!$D$31*('Plan mensual'!M101+IF(parametros_manuales!$H$31="Todos",'Plan mensual'!M105,0))+parametros_manuales!$E$31*('Plan mensual'!M102+IF(parametros_manuales!$H$31="Todos",'Plan mensual'!M106,0))+parametros_manuales!$F$31*('Plan mensual'!M103+IF(parametros_manuales!$H$31="Todos",'Plan mensual'!M107,0))+parametros_manuales!$G$31*('Plan mensual'!M104+IF(parametros_manuales!$H$31="Todos",'Plan mensual'!M108,0)))*parametros_manuales!$I$31*parametros_manuales!$J$31</f>
        <v>21460.725</v>
      </c>
      <c r="L266" s="8">
        <f>(parametros_manuales!$D$31*('Plan mensual'!N101+IF(parametros_manuales!$H$31="Todos",'Plan mensual'!N105,0))+parametros_manuales!$E$31*('Plan mensual'!N102+IF(parametros_manuales!$H$31="Todos",'Plan mensual'!N106,0))+parametros_manuales!$F$31*('Plan mensual'!N103+IF(parametros_manuales!$H$31="Todos",'Plan mensual'!N107,0))+parametros_manuales!$G$31*('Plan mensual'!N104+IF(parametros_manuales!$H$31="Todos",'Plan mensual'!N108,0)))*parametros_manuales!$I$31*parametros_manuales!$J$31</f>
        <v>21043.115</v>
      </c>
      <c r="M266" s="8">
        <f>(parametros_manuales!$D$31*('Plan mensual'!O101+IF(parametros_manuales!$H$31="Todos",'Plan mensual'!O105,0))+parametros_manuales!$E$31*('Plan mensual'!O102+IF(parametros_manuales!$H$31="Todos",'Plan mensual'!O106,0))+parametros_manuales!$F$31*('Plan mensual'!O103+IF(parametros_manuales!$H$31="Todos",'Plan mensual'!O107,0))+parametros_manuales!$G$31*('Plan mensual'!O104+IF(parametros_manuales!$H$31="Todos",'Plan mensual'!O108,0)))*parametros_manuales!$I$31*parametros_manuales!$J$31</f>
        <v>33501.94</v>
      </c>
      <c r="N266" s="8">
        <f t="shared" si="28"/>
        <v>286143</v>
      </c>
      <c r="O266" s="8">
        <f t="shared" si="29"/>
        <v>33501.94</v>
      </c>
      <c r="P266" s="27">
        <f>O266/(parametros_manuales!$B$7)</f>
        <v>223.3462667</v>
      </c>
      <c r="Q266" s="4" t="str">
        <f t="shared" si="30"/>
        <v>Dic</v>
      </c>
    </row>
    <row r="267" ht="14.25" customHeight="1">
      <c r="A267" s="4" t="str">
        <f>parametros_manuales!$B$32</f>
        <v>Control de calidad — Espesor</v>
      </c>
      <c r="B267" s="8">
        <f>(parametros_manuales!$D$32*('Plan mensual'!D101+IF(parametros_manuales!$H$32="Todos",'Plan mensual'!D105,0))+parametros_manuales!$E$32*('Plan mensual'!D102+IF(parametros_manuales!$H$32="Todos",'Plan mensual'!D106,0))+parametros_manuales!$F$32*('Plan mensual'!D103+IF(parametros_manuales!$H$32="Todos",'Plan mensual'!D107,0))+parametros_manuales!$G$32*('Plan mensual'!D104+IF(parametros_manuales!$H$32="Todos",'Plan mensual'!D108,0)))*parametros_manuales!$I$32*parametros_manuales!$J$32</f>
        <v>653.3344</v>
      </c>
      <c r="C267" s="8">
        <f>(parametros_manuales!$D$32*('Plan mensual'!E101+IF(parametros_manuales!$H$32="Todos",'Plan mensual'!E105,0))+parametros_manuales!$E$32*('Plan mensual'!E102+IF(parametros_manuales!$H$32="Todos",'Plan mensual'!E106,0))+parametros_manuales!$F$32*('Plan mensual'!E103+IF(parametros_manuales!$H$32="Todos",'Plan mensual'!E107,0))+parametros_manuales!$G$32*('Plan mensual'!E104+IF(parametros_manuales!$H$32="Todos",'Plan mensual'!E108,0)))*parametros_manuales!$I$32*parametros_manuales!$J$32</f>
        <v>498.353</v>
      </c>
      <c r="D267" s="8">
        <f>(parametros_manuales!$D$32*('Plan mensual'!F101+IF(parametros_manuales!$H$32="Todos",'Plan mensual'!F105,0))+parametros_manuales!$E$32*('Plan mensual'!F102+IF(parametros_manuales!$H$32="Todos",'Plan mensual'!F106,0))+parametros_manuales!$F$32*('Plan mensual'!F103+IF(parametros_manuales!$H$32="Todos",'Plan mensual'!F107,0))+parametros_manuales!$G$32*('Plan mensual'!F104+IF(parametros_manuales!$H$32="Todos",'Plan mensual'!F108,0)))*parametros_manuales!$I$32*parametros_manuales!$J$32</f>
        <v>466.181</v>
      </c>
      <c r="E267" s="8">
        <f>(parametros_manuales!$D$32*('Plan mensual'!G101+IF(parametros_manuales!$H$32="Todos",'Plan mensual'!G105,0))+parametros_manuales!$E$32*('Plan mensual'!G102+IF(parametros_manuales!$H$32="Todos",'Plan mensual'!G106,0))+parametros_manuales!$F$32*('Plan mensual'!G103+IF(parametros_manuales!$H$32="Todos",'Plan mensual'!G107,0))+parametros_manuales!$G$32*('Plan mensual'!G104+IF(parametros_manuales!$H$32="Todos",'Plan mensual'!G108,0)))*parametros_manuales!$I$32*parametros_manuales!$J$32</f>
        <v>445.9189</v>
      </c>
      <c r="F267" s="8">
        <f>(parametros_manuales!$D$32*('Plan mensual'!H101+IF(parametros_manuales!$H$32="Todos",'Plan mensual'!H105,0))+parametros_manuales!$E$32*('Plan mensual'!H102+IF(parametros_manuales!$H$32="Todos",'Plan mensual'!H106,0))+parametros_manuales!$F$32*('Plan mensual'!H103+IF(parametros_manuales!$H$32="Todos",'Plan mensual'!H107,0))+parametros_manuales!$G$32*('Plan mensual'!H104+IF(parametros_manuales!$H$32="Todos",'Plan mensual'!H108,0)))*parametros_manuales!$I$32*parametros_manuales!$J$32</f>
        <v>417.3046</v>
      </c>
      <c r="G267" s="8">
        <f>(parametros_manuales!$D$32*('Plan mensual'!I101+IF(parametros_manuales!$H$32="Todos",'Plan mensual'!I105,0))+parametros_manuales!$E$32*('Plan mensual'!I102+IF(parametros_manuales!$H$32="Todos",'Plan mensual'!I106,0))+parametros_manuales!$F$32*('Plan mensual'!I103+IF(parametros_manuales!$H$32="Todos",'Plan mensual'!I107,0))+parametros_manuales!$G$32*('Plan mensual'!I104+IF(parametros_manuales!$H$32="Todos",'Plan mensual'!I108,0)))*parametros_manuales!$I$32*parametros_manuales!$J$32</f>
        <v>408.9524</v>
      </c>
      <c r="H267" s="8">
        <f>(parametros_manuales!$D$32*('Plan mensual'!J101+IF(parametros_manuales!$H$32="Todos",'Plan mensual'!J105,0))+parametros_manuales!$E$32*('Plan mensual'!J102+IF(parametros_manuales!$H$32="Todos",'Plan mensual'!J106,0))+parametros_manuales!$F$32*('Plan mensual'!J103+IF(parametros_manuales!$H$32="Todos",'Plan mensual'!J107,0))+parametros_manuales!$G$32*('Plan mensual'!J104+IF(parametros_manuales!$H$32="Todos",'Plan mensual'!J108,0)))*parametros_manuales!$I$32*parametros_manuales!$J$32</f>
        <v>437.5667</v>
      </c>
      <c r="I267" s="8">
        <f>(parametros_manuales!$D$32*('Plan mensual'!K101+IF(parametros_manuales!$H$32="Todos",'Plan mensual'!K105,0))+parametros_manuales!$E$32*('Plan mensual'!K102+IF(parametros_manuales!$H$32="Todos",'Plan mensual'!K106,0))+parametros_manuales!$F$32*('Plan mensual'!K103+IF(parametros_manuales!$H$32="Todos",'Plan mensual'!K107,0))+parametros_manuales!$G$32*('Plan mensual'!K104+IF(parametros_manuales!$H$32="Todos",'Plan mensual'!K108,0)))*parametros_manuales!$I$32*parametros_manuales!$J$32</f>
        <v>437.5667</v>
      </c>
      <c r="J267" s="8">
        <f>(parametros_manuales!$D$32*('Plan mensual'!L101+IF(parametros_manuales!$H$32="Todos",'Plan mensual'!L105,0))+parametros_manuales!$E$32*('Plan mensual'!L102+IF(parametros_manuales!$H$32="Todos",'Plan mensual'!L106,0))+parametros_manuales!$F$32*('Plan mensual'!L103+IF(parametros_manuales!$H$32="Todos",'Plan mensual'!L107,0))+parametros_manuales!$G$32*('Plan mensual'!L104+IF(parametros_manuales!$H$32="Todos",'Plan mensual'!L108,0)))*parametros_manuales!$I$32*parametros_manuales!$J$32</f>
        <v>437.5667</v>
      </c>
      <c r="K267" s="8">
        <f>(parametros_manuales!$D$32*('Plan mensual'!M101+IF(parametros_manuales!$H$32="Todos",'Plan mensual'!M105,0))+parametros_manuales!$E$32*('Plan mensual'!M102+IF(parametros_manuales!$H$32="Todos",'Plan mensual'!M106,0))+parametros_manuales!$F$32*('Plan mensual'!M103+IF(parametros_manuales!$H$32="Todos",'Plan mensual'!M107,0))+parametros_manuales!$G$32*('Plan mensual'!M104+IF(parametros_manuales!$H$32="Todos",'Plan mensual'!M108,0)))*parametros_manuales!$I$32*parametros_manuales!$J$32</f>
        <v>429.2145</v>
      </c>
      <c r="L267" s="8">
        <f>(parametros_manuales!$D$32*('Plan mensual'!N101+IF(parametros_manuales!$H$32="Todos",'Plan mensual'!N105,0))+parametros_manuales!$E$32*('Plan mensual'!N102+IF(parametros_manuales!$H$32="Todos",'Plan mensual'!N106,0))+parametros_manuales!$F$32*('Plan mensual'!N103+IF(parametros_manuales!$H$32="Todos",'Plan mensual'!N107,0))+parametros_manuales!$G$32*('Plan mensual'!N104+IF(parametros_manuales!$H$32="Todos",'Plan mensual'!N108,0)))*parametros_manuales!$I$32*parametros_manuales!$J$32</f>
        <v>420.8623</v>
      </c>
      <c r="M267" s="8">
        <f>(parametros_manuales!$D$32*('Plan mensual'!O101+IF(parametros_manuales!$H$32="Todos",'Plan mensual'!O105,0))+parametros_manuales!$E$32*('Plan mensual'!O102+IF(parametros_manuales!$H$32="Todos",'Plan mensual'!O106,0))+parametros_manuales!$F$32*('Plan mensual'!O103+IF(parametros_manuales!$H$32="Todos",'Plan mensual'!O107,0))+parametros_manuales!$G$32*('Plan mensual'!O104+IF(parametros_manuales!$H$32="Todos",'Plan mensual'!O108,0)))*parametros_manuales!$I$32*parametros_manuales!$J$32</f>
        <v>670.0388</v>
      </c>
      <c r="N267" s="8">
        <f t="shared" si="28"/>
        <v>5722.86</v>
      </c>
      <c r="O267" s="8">
        <f t="shared" si="29"/>
        <v>670.0388</v>
      </c>
      <c r="P267" s="27">
        <f>O267/(parametros_manuales!$B$7)</f>
        <v>4.466925333</v>
      </c>
      <c r="Q267" s="4" t="str">
        <f t="shared" si="30"/>
        <v>Dic</v>
      </c>
    </row>
    <row r="268" ht="14.25" customHeight="1">
      <c r="A268" s="4" t="str">
        <f>parametros_manuales!$B$33</f>
        <v>Prueba hidráulica</v>
      </c>
      <c r="B268" s="8">
        <f>(parametros_manuales!$D$33*('Plan mensual'!D101+IF(parametros_manuales!$H$33="Todos",'Plan mensual'!D105,0))+parametros_manuales!$E$33*('Plan mensual'!D102+IF(parametros_manuales!$H$33="Todos",'Plan mensual'!D106,0))+parametros_manuales!$F$33*('Plan mensual'!D103+IF(parametros_manuales!$H$33="Todos",'Plan mensual'!D107,0))+parametros_manuales!$G$33*('Plan mensual'!D104+IF(parametros_manuales!$H$33="Todos",'Plan mensual'!D108,0)))*parametros_manuales!$I$33*parametros_manuales!$J$33</f>
        <v>32666.72</v>
      </c>
      <c r="C268" s="8">
        <f>(parametros_manuales!$D$33*('Plan mensual'!E101+IF(parametros_manuales!$H$33="Todos",'Plan mensual'!E105,0))+parametros_manuales!$E$33*('Plan mensual'!E102+IF(parametros_manuales!$H$33="Todos",'Plan mensual'!E106,0))+parametros_manuales!$F$33*('Plan mensual'!E103+IF(parametros_manuales!$H$33="Todos",'Plan mensual'!E107,0))+parametros_manuales!$G$33*('Plan mensual'!E104+IF(parametros_manuales!$H$33="Todos",'Plan mensual'!E108,0)))*parametros_manuales!$I$33*parametros_manuales!$J$33</f>
        <v>24917.65</v>
      </c>
      <c r="D268" s="8">
        <f>(parametros_manuales!$D$33*('Plan mensual'!F101+IF(parametros_manuales!$H$33="Todos",'Plan mensual'!F105,0))+parametros_manuales!$E$33*('Plan mensual'!F102+IF(parametros_manuales!$H$33="Todos",'Plan mensual'!F106,0))+parametros_manuales!$F$33*('Plan mensual'!F103+IF(parametros_manuales!$H$33="Todos",'Plan mensual'!F107,0))+parametros_manuales!$G$33*('Plan mensual'!F104+IF(parametros_manuales!$H$33="Todos",'Plan mensual'!F108,0)))*parametros_manuales!$I$33*parametros_manuales!$J$33</f>
        <v>23309.05</v>
      </c>
      <c r="E268" s="8">
        <f>(parametros_manuales!$D$33*('Plan mensual'!G101+IF(parametros_manuales!$H$33="Todos",'Plan mensual'!G105,0))+parametros_manuales!$E$33*('Plan mensual'!G102+IF(parametros_manuales!$H$33="Todos",'Plan mensual'!G106,0))+parametros_manuales!$F$33*('Plan mensual'!G103+IF(parametros_manuales!$H$33="Todos",'Plan mensual'!G107,0))+parametros_manuales!$G$33*('Plan mensual'!G104+IF(parametros_manuales!$H$33="Todos",'Plan mensual'!G108,0)))*parametros_manuales!$I$33*parametros_manuales!$J$33</f>
        <v>22295.945</v>
      </c>
      <c r="F268" s="8">
        <f>(parametros_manuales!$D$33*('Plan mensual'!H101+IF(parametros_manuales!$H$33="Todos",'Plan mensual'!H105,0))+parametros_manuales!$E$33*('Plan mensual'!H102+IF(parametros_manuales!$H$33="Todos",'Plan mensual'!H106,0))+parametros_manuales!$F$33*('Plan mensual'!H103+IF(parametros_manuales!$H$33="Todos",'Plan mensual'!H107,0))+parametros_manuales!$G$33*('Plan mensual'!H104+IF(parametros_manuales!$H$33="Todos",'Plan mensual'!H108,0)))*parametros_manuales!$I$33*parametros_manuales!$J$33</f>
        <v>20865.23</v>
      </c>
      <c r="G268" s="8">
        <f>(parametros_manuales!$D$33*('Plan mensual'!I101+IF(parametros_manuales!$H$33="Todos",'Plan mensual'!I105,0))+parametros_manuales!$E$33*('Plan mensual'!I102+IF(parametros_manuales!$H$33="Todos",'Plan mensual'!I106,0))+parametros_manuales!$F$33*('Plan mensual'!I103+IF(parametros_manuales!$H$33="Todos",'Plan mensual'!I107,0))+parametros_manuales!$G$33*('Plan mensual'!I104+IF(parametros_manuales!$H$33="Todos",'Plan mensual'!I108,0)))*parametros_manuales!$I$33*parametros_manuales!$J$33</f>
        <v>20447.62</v>
      </c>
      <c r="H268" s="8">
        <f>(parametros_manuales!$D$33*('Plan mensual'!J101+IF(parametros_manuales!$H$33="Todos",'Plan mensual'!J105,0))+parametros_manuales!$E$33*('Plan mensual'!J102+IF(parametros_manuales!$H$33="Todos",'Plan mensual'!J106,0))+parametros_manuales!$F$33*('Plan mensual'!J103+IF(parametros_manuales!$H$33="Todos",'Plan mensual'!J107,0))+parametros_manuales!$G$33*('Plan mensual'!J104+IF(parametros_manuales!$H$33="Todos",'Plan mensual'!J108,0)))*parametros_manuales!$I$33*parametros_manuales!$J$33</f>
        <v>21878.335</v>
      </c>
      <c r="I268" s="8">
        <f>(parametros_manuales!$D$33*('Plan mensual'!K101+IF(parametros_manuales!$H$33="Todos",'Plan mensual'!K105,0))+parametros_manuales!$E$33*('Plan mensual'!K102+IF(parametros_manuales!$H$33="Todos",'Plan mensual'!K106,0))+parametros_manuales!$F$33*('Plan mensual'!K103+IF(parametros_manuales!$H$33="Todos",'Plan mensual'!K107,0))+parametros_manuales!$G$33*('Plan mensual'!K104+IF(parametros_manuales!$H$33="Todos",'Plan mensual'!K108,0)))*parametros_manuales!$I$33*parametros_manuales!$J$33</f>
        <v>21878.335</v>
      </c>
      <c r="J268" s="8">
        <f>(parametros_manuales!$D$33*('Plan mensual'!L101+IF(parametros_manuales!$H$33="Todos",'Plan mensual'!L105,0))+parametros_manuales!$E$33*('Plan mensual'!L102+IF(parametros_manuales!$H$33="Todos",'Plan mensual'!L106,0))+parametros_manuales!$F$33*('Plan mensual'!L103+IF(parametros_manuales!$H$33="Todos",'Plan mensual'!L107,0))+parametros_manuales!$G$33*('Plan mensual'!L104+IF(parametros_manuales!$H$33="Todos",'Plan mensual'!L108,0)))*parametros_manuales!$I$33*parametros_manuales!$J$33</f>
        <v>21878.335</v>
      </c>
      <c r="K268" s="8">
        <f>(parametros_manuales!$D$33*('Plan mensual'!M101+IF(parametros_manuales!$H$33="Todos",'Plan mensual'!M105,0))+parametros_manuales!$E$33*('Plan mensual'!M102+IF(parametros_manuales!$H$33="Todos",'Plan mensual'!M106,0))+parametros_manuales!$F$33*('Plan mensual'!M103+IF(parametros_manuales!$H$33="Todos",'Plan mensual'!M107,0))+parametros_manuales!$G$33*('Plan mensual'!M104+IF(parametros_manuales!$H$33="Todos",'Plan mensual'!M108,0)))*parametros_manuales!$I$33*parametros_manuales!$J$33</f>
        <v>21460.725</v>
      </c>
      <c r="L268" s="8">
        <f>(parametros_manuales!$D$33*('Plan mensual'!N101+IF(parametros_manuales!$H$33="Todos",'Plan mensual'!N105,0))+parametros_manuales!$E$33*('Plan mensual'!N102+IF(parametros_manuales!$H$33="Todos",'Plan mensual'!N106,0))+parametros_manuales!$F$33*('Plan mensual'!N103+IF(parametros_manuales!$H$33="Todos",'Plan mensual'!N107,0))+parametros_manuales!$G$33*('Plan mensual'!N104+IF(parametros_manuales!$H$33="Todos",'Plan mensual'!N108,0)))*parametros_manuales!$I$33*parametros_manuales!$J$33</f>
        <v>21043.115</v>
      </c>
      <c r="M268" s="8">
        <f>(parametros_manuales!$D$33*('Plan mensual'!O101+IF(parametros_manuales!$H$33="Todos",'Plan mensual'!O105,0))+parametros_manuales!$E$33*('Plan mensual'!O102+IF(parametros_manuales!$H$33="Todos",'Plan mensual'!O106,0))+parametros_manuales!$F$33*('Plan mensual'!O103+IF(parametros_manuales!$H$33="Todos",'Plan mensual'!O107,0))+parametros_manuales!$G$33*('Plan mensual'!O104+IF(parametros_manuales!$H$33="Todos",'Plan mensual'!O108,0)))*parametros_manuales!$I$33*parametros_manuales!$J$33</f>
        <v>33501.94</v>
      </c>
      <c r="N268" s="8">
        <f t="shared" si="28"/>
        <v>286143</v>
      </c>
      <c r="O268" s="8">
        <f t="shared" si="29"/>
        <v>33501.94</v>
      </c>
      <c r="P268" s="27">
        <f>O268/(parametros_manuales!$B$7)</f>
        <v>223.3462667</v>
      </c>
      <c r="Q268" s="4" t="str">
        <f t="shared" si="30"/>
        <v>Dic</v>
      </c>
    </row>
    <row r="269" ht="14.25" customHeight="1">
      <c r="A269" s="4" t="str">
        <f>parametros_manuales!$B$34</f>
        <v>Secado</v>
      </c>
      <c r="B269" s="8">
        <f>(parametros_manuales!$D$34*('Plan mensual'!D101+IF(parametros_manuales!$H$34="Todos",'Plan mensual'!D105,0))+parametros_manuales!$E$34*('Plan mensual'!D102+IF(parametros_manuales!$H$34="Todos",'Plan mensual'!D106,0))+parametros_manuales!$F$34*('Plan mensual'!D103+IF(parametros_manuales!$H$34="Todos",'Plan mensual'!D107,0))+parametros_manuales!$G$34*('Plan mensual'!D104+IF(parametros_manuales!$H$34="Todos",'Plan mensual'!D108,0)))*parametros_manuales!$I$34*parametros_manuales!$J$34</f>
        <v>32666.72</v>
      </c>
      <c r="C269" s="8">
        <f>(parametros_manuales!$D$34*('Plan mensual'!E101+IF(parametros_manuales!$H$34="Todos",'Plan mensual'!E105,0))+parametros_manuales!$E$34*('Plan mensual'!E102+IF(parametros_manuales!$H$34="Todos",'Plan mensual'!E106,0))+parametros_manuales!$F$34*('Plan mensual'!E103+IF(parametros_manuales!$H$34="Todos",'Plan mensual'!E107,0))+parametros_manuales!$G$34*('Plan mensual'!E104+IF(parametros_manuales!$H$34="Todos",'Plan mensual'!E108,0)))*parametros_manuales!$I$34*parametros_manuales!$J$34</f>
        <v>24917.65</v>
      </c>
      <c r="D269" s="8">
        <f>(parametros_manuales!$D$34*('Plan mensual'!F101+IF(parametros_manuales!$H$34="Todos",'Plan mensual'!F105,0))+parametros_manuales!$E$34*('Plan mensual'!F102+IF(parametros_manuales!$H$34="Todos",'Plan mensual'!F106,0))+parametros_manuales!$F$34*('Plan mensual'!F103+IF(parametros_manuales!$H$34="Todos",'Plan mensual'!F107,0))+parametros_manuales!$G$34*('Plan mensual'!F104+IF(parametros_manuales!$H$34="Todos",'Plan mensual'!F108,0)))*parametros_manuales!$I$34*parametros_manuales!$J$34</f>
        <v>23309.05</v>
      </c>
      <c r="E269" s="8">
        <f>(parametros_manuales!$D$34*('Plan mensual'!G101+IF(parametros_manuales!$H$34="Todos",'Plan mensual'!G105,0))+parametros_manuales!$E$34*('Plan mensual'!G102+IF(parametros_manuales!$H$34="Todos",'Plan mensual'!G106,0))+parametros_manuales!$F$34*('Plan mensual'!G103+IF(parametros_manuales!$H$34="Todos",'Plan mensual'!G107,0))+parametros_manuales!$G$34*('Plan mensual'!G104+IF(parametros_manuales!$H$34="Todos",'Plan mensual'!G108,0)))*parametros_manuales!$I$34*parametros_manuales!$J$34</f>
        <v>22295.945</v>
      </c>
      <c r="F269" s="8">
        <f>(parametros_manuales!$D$34*('Plan mensual'!H101+IF(parametros_manuales!$H$34="Todos",'Plan mensual'!H105,0))+parametros_manuales!$E$34*('Plan mensual'!H102+IF(parametros_manuales!$H$34="Todos",'Plan mensual'!H106,0))+parametros_manuales!$F$34*('Plan mensual'!H103+IF(parametros_manuales!$H$34="Todos",'Plan mensual'!H107,0))+parametros_manuales!$G$34*('Plan mensual'!H104+IF(parametros_manuales!$H$34="Todos",'Plan mensual'!H108,0)))*parametros_manuales!$I$34*parametros_manuales!$J$34</f>
        <v>20865.23</v>
      </c>
      <c r="G269" s="8">
        <f>(parametros_manuales!$D$34*('Plan mensual'!I101+IF(parametros_manuales!$H$34="Todos",'Plan mensual'!I105,0))+parametros_manuales!$E$34*('Plan mensual'!I102+IF(parametros_manuales!$H$34="Todos",'Plan mensual'!I106,0))+parametros_manuales!$F$34*('Plan mensual'!I103+IF(parametros_manuales!$H$34="Todos",'Plan mensual'!I107,0))+parametros_manuales!$G$34*('Plan mensual'!I104+IF(parametros_manuales!$H$34="Todos",'Plan mensual'!I108,0)))*parametros_manuales!$I$34*parametros_manuales!$J$34</f>
        <v>20447.62</v>
      </c>
      <c r="H269" s="8">
        <f>(parametros_manuales!$D$34*('Plan mensual'!J101+IF(parametros_manuales!$H$34="Todos",'Plan mensual'!J105,0))+parametros_manuales!$E$34*('Plan mensual'!J102+IF(parametros_manuales!$H$34="Todos",'Plan mensual'!J106,0))+parametros_manuales!$F$34*('Plan mensual'!J103+IF(parametros_manuales!$H$34="Todos",'Plan mensual'!J107,0))+parametros_manuales!$G$34*('Plan mensual'!J104+IF(parametros_manuales!$H$34="Todos",'Plan mensual'!J108,0)))*parametros_manuales!$I$34*parametros_manuales!$J$34</f>
        <v>21878.335</v>
      </c>
      <c r="I269" s="8">
        <f>(parametros_manuales!$D$34*('Plan mensual'!K101+IF(parametros_manuales!$H$34="Todos",'Plan mensual'!K105,0))+parametros_manuales!$E$34*('Plan mensual'!K102+IF(parametros_manuales!$H$34="Todos",'Plan mensual'!K106,0))+parametros_manuales!$F$34*('Plan mensual'!K103+IF(parametros_manuales!$H$34="Todos",'Plan mensual'!K107,0))+parametros_manuales!$G$34*('Plan mensual'!K104+IF(parametros_manuales!$H$34="Todos",'Plan mensual'!K108,0)))*parametros_manuales!$I$34*parametros_manuales!$J$34</f>
        <v>21878.335</v>
      </c>
      <c r="J269" s="8">
        <f>(parametros_manuales!$D$34*('Plan mensual'!L101+IF(parametros_manuales!$H$34="Todos",'Plan mensual'!L105,0))+parametros_manuales!$E$34*('Plan mensual'!L102+IF(parametros_manuales!$H$34="Todos",'Plan mensual'!L106,0))+parametros_manuales!$F$34*('Plan mensual'!L103+IF(parametros_manuales!$H$34="Todos",'Plan mensual'!L107,0))+parametros_manuales!$G$34*('Plan mensual'!L104+IF(parametros_manuales!$H$34="Todos",'Plan mensual'!L108,0)))*parametros_manuales!$I$34*parametros_manuales!$J$34</f>
        <v>21878.335</v>
      </c>
      <c r="K269" s="8">
        <f>(parametros_manuales!$D$34*('Plan mensual'!M101+IF(parametros_manuales!$H$34="Todos",'Plan mensual'!M105,0))+parametros_manuales!$E$34*('Plan mensual'!M102+IF(parametros_manuales!$H$34="Todos",'Plan mensual'!M106,0))+parametros_manuales!$F$34*('Plan mensual'!M103+IF(parametros_manuales!$H$34="Todos",'Plan mensual'!M107,0))+parametros_manuales!$G$34*('Plan mensual'!M104+IF(parametros_manuales!$H$34="Todos",'Plan mensual'!M108,0)))*parametros_manuales!$I$34*parametros_manuales!$J$34</f>
        <v>21460.725</v>
      </c>
      <c r="L269" s="8">
        <f>(parametros_manuales!$D$34*('Plan mensual'!N101+IF(parametros_manuales!$H$34="Todos",'Plan mensual'!N105,0))+parametros_manuales!$E$34*('Plan mensual'!N102+IF(parametros_manuales!$H$34="Todos",'Plan mensual'!N106,0))+parametros_manuales!$F$34*('Plan mensual'!N103+IF(parametros_manuales!$H$34="Todos",'Plan mensual'!N107,0))+parametros_manuales!$G$34*('Plan mensual'!N104+IF(parametros_manuales!$H$34="Todos",'Plan mensual'!N108,0)))*parametros_manuales!$I$34*parametros_manuales!$J$34</f>
        <v>21043.115</v>
      </c>
      <c r="M269" s="8">
        <f>(parametros_manuales!$D$34*('Plan mensual'!O101+IF(parametros_manuales!$H$34="Todos",'Plan mensual'!O105,0))+parametros_manuales!$E$34*('Plan mensual'!O102+IF(parametros_manuales!$H$34="Todos",'Plan mensual'!O106,0))+parametros_manuales!$F$34*('Plan mensual'!O103+IF(parametros_manuales!$H$34="Todos",'Plan mensual'!O107,0))+parametros_manuales!$G$34*('Plan mensual'!O104+IF(parametros_manuales!$H$34="Todos",'Plan mensual'!O108,0)))*parametros_manuales!$I$34*parametros_manuales!$J$34</f>
        <v>33501.94</v>
      </c>
      <c r="N269" s="8">
        <f t="shared" si="28"/>
        <v>286143</v>
      </c>
      <c r="O269" s="8">
        <f t="shared" si="29"/>
        <v>33501.94</v>
      </c>
      <c r="P269" s="27">
        <f>O269/(parametros_manuales!$B$7)</f>
        <v>223.3462667</v>
      </c>
      <c r="Q269" s="4" t="str">
        <f t="shared" si="30"/>
        <v>Dic</v>
      </c>
    </row>
    <row r="270" ht="14.25" customHeight="1">
      <c r="A270" s="4" t="str">
        <f>parametros_manuales!$B$35</f>
        <v>Granallado</v>
      </c>
      <c r="B270" s="8">
        <f>(parametros_manuales!$D$35*('Plan mensual'!D101+IF(parametros_manuales!$H$35="Todos",'Plan mensual'!D105,0))+parametros_manuales!$E$35*('Plan mensual'!D102+IF(parametros_manuales!$H$35="Todos",'Plan mensual'!D106,0))+parametros_manuales!$F$35*('Plan mensual'!D103+IF(parametros_manuales!$H$35="Todos",'Plan mensual'!D107,0))+parametros_manuales!$G$35*('Plan mensual'!D104+IF(parametros_manuales!$H$35="Todos",'Plan mensual'!D108,0)))*parametros_manuales!$I$35*parametros_manuales!$J$35</f>
        <v>32666.72</v>
      </c>
      <c r="C270" s="8">
        <f>(parametros_manuales!$D$35*('Plan mensual'!E101+IF(parametros_manuales!$H$35="Todos",'Plan mensual'!E105,0))+parametros_manuales!$E$35*('Plan mensual'!E102+IF(parametros_manuales!$H$35="Todos",'Plan mensual'!E106,0))+parametros_manuales!$F$35*('Plan mensual'!E103+IF(parametros_manuales!$H$35="Todos",'Plan mensual'!E107,0))+parametros_manuales!$G$35*('Plan mensual'!E104+IF(parametros_manuales!$H$35="Todos",'Plan mensual'!E108,0)))*parametros_manuales!$I$35*parametros_manuales!$J$35</f>
        <v>24917.65</v>
      </c>
      <c r="D270" s="8">
        <f>(parametros_manuales!$D$35*('Plan mensual'!F101+IF(parametros_manuales!$H$35="Todos",'Plan mensual'!F105,0))+parametros_manuales!$E$35*('Plan mensual'!F102+IF(parametros_manuales!$H$35="Todos",'Plan mensual'!F106,0))+parametros_manuales!$F$35*('Plan mensual'!F103+IF(parametros_manuales!$H$35="Todos",'Plan mensual'!F107,0))+parametros_manuales!$G$35*('Plan mensual'!F104+IF(parametros_manuales!$H$35="Todos",'Plan mensual'!F108,0)))*parametros_manuales!$I$35*parametros_manuales!$J$35</f>
        <v>23309.05</v>
      </c>
      <c r="E270" s="8">
        <f>(parametros_manuales!$D$35*('Plan mensual'!G101+IF(parametros_manuales!$H$35="Todos",'Plan mensual'!G105,0))+parametros_manuales!$E$35*('Plan mensual'!G102+IF(parametros_manuales!$H$35="Todos",'Plan mensual'!G106,0))+parametros_manuales!$F$35*('Plan mensual'!G103+IF(parametros_manuales!$H$35="Todos",'Plan mensual'!G107,0))+parametros_manuales!$G$35*('Plan mensual'!G104+IF(parametros_manuales!$H$35="Todos",'Plan mensual'!G108,0)))*parametros_manuales!$I$35*parametros_manuales!$J$35</f>
        <v>22295.945</v>
      </c>
      <c r="F270" s="8">
        <f>(parametros_manuales!$D$35*('Plan mensual'!H101+IF(parametros_manuales!$H$35="Todos",'Plan mensual'!H105,0))+parametros_manuales!$E$35*('Plan mensual'!H102+IF(parametros_manuales!$H$35="Todos",'Plan mensual'!H106,0))+parametros_manuales!$F$35*('Plan mensual'!H103+IF(parametros_manuales!$H$35="Todos",'Plan mensual'!H107,0))+parametros_manuales!$G$35*('Plan mensual'!H104+IF(parametros_manuales!$H$35="Todos",'Plan mensual'!H108,0)))*parametros_manuales!$I$35*parametros_manuales!$J$35</f>
        <v>20865.23</v>
      </c>
      <c r="G270" s="8">
        <f>(parametros_manuales!$D$35*('Plan mensual'!I101+IF(parametros_manuales!$H$35="Todos",'Plan mensual'!I105,0))+parametros_manuales!$E$35*('Plan mensual'!I102+IF(parametros_manuales!$H$35="Todos",'Plan mensual'!I106,0))+parametros_manuales!$F$35*('Plan mensual'!I103+IF(parametros_manuales!$H$35="Todos",'Plan mensual'!I107,0))+parametros_manuales!$G$35*('Plan mensual'!I104+IF(parametros_manuales!$H$35="Todos",'Plan mensual'!I108,0)))*parametros_manuales!$I$35*parametros_manuales!$J$35</f>
        <v>20447.62</v>
      </c>
      <c r="H270" s="8">
        <f>(parametros_manuales!$D$35*('Plan mensual'!J101+IF(parametros_manuales!$H$35="Todos",'Plan mensual'!J105,0))+parametros_manuales!$E$35*('Plan mensual'!J102+IF(parametros_manuales!$H$35="Todos",'Plan mensual'!J106,0))+parametros_manuales!$F$35*('Plan mensual'!J103+IF(parametros_manuales!$H$35="Todos",'Plan mensual'!J107,0))+parametros_manuales!$G$35*('Plan mensual'!J104+IF(parametros_manuales!$H$35="Todos",'Plan mensual'!J108,0)))*parametros_manuales!$I$35*parametros_manuales!$J$35</f>
        <v>21878.335</v>
      </c>
      <c r="I270" s="8">
        <f>(parametros_manuales!$D$35*('Plan mensual'!K101+IF(parametros_manuales!$H$35="Todos",'Plan mensual'!K105,0))+parametros_manuales!$E$35*('Plan mensual'!K102+IF(parametros_manuales!$H$35="Todos",'Plan mensual'!K106,0))+parametros_manuales!$F$35*('Plan mensual'!K103+IF(parametros_manuales!$H$35="Todos",'Plan mensual'!K107,0))+parametros_manuales!$G$35*('Plan mensual'!K104+IF(parametros_manuales!$H$35="Todos",'Plan mensual'!K108,0)))*parametros_manuales!$I$35*parametros_manuales!$J$35</f>
        <v>21878.335</v>
      </c>
      <c r="J270" s="8">
        <f>(parametros_manuales!$D$35*('Plan mensual'!L101+IF(parametros_manuales!$H$35="Todos",'Plan mensual'!L105,0))+parametros_manuales!$E$35*('Plan mensual'!L102+IF(parametros_manuales!$H$35="Todos",'Plan mensual'!L106,0))+parametros_manuales!$F$35*('Plan mensual'!L103+IF(parametros_manuales!$H$35="Todos",'Plan mensual'!L107,0))+parametros_manuales!$G$35*('Plan mensual'!L104+IF(parametros_manuales!$H$35="Todos",'Plan mensual'!L108,0)))*parametros_manuales!$I$35*parametros_manuales!$J$35</f>
        <v>21878.335</v>
      </c>
      <c r="K270" s="8">
        <f>(parametros_manuales!$D$35*('Plan mensual'!M101+IF(parametros_manuales!$H$35="Todos",'Plan mensual'!M105,0))+parametros_manuales!$E$35*('Plan mensual'!M102+IF(parametros_manuales!$H$35="Todos",'Plan mensual'!M106,0))+parametros_manuales!$F$35*('Plan mensual'!M103+IF(parametros_manuales!$H$35="Todos",'Plan mensual'!M107,0))+parametros_manuales!$G$35*('Plan mensual'!M104+IF(parametros_manuales!$H$35="Todos",'Plan mensual'!M108,0)))*parametros_manuales!$I$35*parametros_manuales!$J$35</f>
        <v>21460.725</v>
      </c>
      <c r="L270" s="8">
        <f>(parametros_manuales!$D$35*('Plan mensual'!N101+IF(parametros_manuales!$H$35="Todos",'Plan mensual'!N105,0))+parametros_manuales!$E$35*('Plan mensual'!N102+IF(parametros_manuales!$H$35="Todos",'Plan mensual'!N106,0))+parametros_manuales!$F$35*('Plan mensual'!N103+IF(parametros_manuales!$H$35="Todos",'Plan mensual'!N107,0))+parametros_manuales!$G$35*('Plan mensual'!N104+IF(parametros_manuales!$H$35="Todos",'Plan mensual'!N108,0)))*parametros_manuales!$I$35*parametros_manuales!$J$35</f>
        <v>21043.115</v>
      </c>
      <c r="M270" s="8">
        <f>(parametros_manuales!$D$35*('Plan mensual'!O101+IF(parametros_manuales!$H$35="Todos",'Plan mensual'!O105,0))+parametros_manuales!$E$35*('Plan mensual'!O102+IF(parametros_manuales!$H$35="Todos",'Plan mensual'!O106,0))+parametros_manuales!$F$35*('Plan mensual'!O103+IF(parametros_manuales!$H$35="Todos",'Plan mensual'!O107,0))+parametros_manuales!$G$35*('Plan mensual'!O104+IF(parametros_manuales!$H$35="Todos",'Plan mensual'!O108,0)))*parametros_manuales!$I$35*parametros_manuales!$J$35</f>
        <v>33501.94</v>
      </c>
      <c r="N270" s="8">
        <f t="shared" si="28"/>
        <v>286143</v>
      </c>
      <c r="O270" s="8">
        <f t="shared" si="29"/>
        <v>33501.94</v>
      </c>
      <c r="P270" s="27">
        <f>O270/(parametros_manuales!$B$7)</f>
        <v>223.3462667</v>
      </c>
      <c r="Q270" s="4" t="str">
        <f t="shared" si="30"/>
        <v>Dic</v>
      </c>
    </row>
    <row r="271" ht="14.25" customHeight="1">
      <c r="A271" s="4" t="str">
        <f>parametros_manuales!$B$36</f>
        <v>Detección de defectos</v>
      </c>
      <c r="B271" s="8">
        <f>(parametros_manuales!$D$36*('Plan mensual'!D101+IF(parametros_manuales!$H$36="Todos",'Plan mensual'!D105,0))+parametros_manuales!$E$36*('Plan mensual'!D102+IF(parametros_manuales!$H$36="Todos",'Plan mensual'!D106,0))+parametros_manuales!$F$36*('Plan mensual'!D103+IF(parametros_manuales!$H$36="Todos",'Plan mensual'!D107,0))+parametros_manuales!$G$36*('Plan mensual'!D104+IF(parametros_manuales!$H$36="Todos",'Plan mensual'!D108,0)))*parametros_manuales!$I$36*parametros_manuales!$J$36</f>
        <v>32666.72</v>
      </c>
      <c r="C271" s="8">
        <f>(parametros_manuales!$D$36*('Plan mensual'!E101+IF(parametros_manuales!$H$36="Todos",'Plan mensual'!E105,0))+parametros_manuales!$E$36*('Plan mensual'!E102+IF(parametros_manuales!$H$36="Todos",'Plan mensual'!E106,0))+parametros_manuales!$F$36*('Plan mensual'!E103+IF(parametros_manuales!$H$36="Todos",'Plan mensual'!E107,0))+parametros_manuales!$G$36*('Plan mensual'!E104+IF(parametros_manuales!$H$36="Todos",'Plan mensual'!E108,0)))*parametros_manuales!$I$36*parametros_manuales!$J$36</f>
        <v>24917.65</v>
      </c>
      <c r="D271" s="8">
        <f>(parametros_manuales!$D$36*('Plan mensual'!F101+IF(parametros_manuales!$H$36="Todos",'Plan mensual'!F105,0))+parametros_manuales!$E$36*('Plan mensual'!F102+IF(parametros_manuales!$H$36="Todos",'Plan mensual'!F106,0))+parametros_manuales!$F$36*('Plan mensual'!F103+IF(parametros_manuales!$H$36="Todos",'Plan mensual'!F107,0))+parametros_manuales!$G$36*('Plan mensual'!F104+IF(parametros_manuales!$H$36="Todos",'Plan mensual'!F108,0)))*parametros_manuales!$I$36*parametros_manuales!$J$36</f>
        <v>23309.05</v>
      </c>
      <c r="E271" s="8">
        <f>(parametros_manuales!$D$36*('Plan mensual'!G101+IF(parametros_manuales!$H$36="Todos",'Plan mensual'!G105,0))+parametros_manuales!$E$36*('Plan mensual'!G102+IF(parametros_manuales!$H$36="Todos",'Plan mensual'!G106,0))+parametros_manuales!$F$36*('Plan mensual'!G103+IF(parametros_manuales!$H$36="Todos",'Plan mensual'!G107,0))+parametros_manuales!$G$36*('Plan mensual'!G104+IF(parametros_manuales!$H$36="Todos",'Plan mensual'!G108,0)))*parametros_manuales!$I$36*parametros_manuales!$J$36</f>
        <v>22295.945</v>
      </c>
      <c r="F271" s="8">
        <f>(parametros_manuales!$D$36*('Plan mensual'!H101+IF(parametros_manuales!$H$36="Todos",'Plan mensual'!H105,0))+parametros_manuales!$E$36*('Plan mensual'!H102+IF(parametros_manuales!$H$36="Todos",'Plan mensual'!H106,0))+parametros_manuales!$F$36*('Plan mensual'!H103+IF(parametros_manuales!$H$36="Todos",'Plan mensual'!H107,0))+parametros_manuales!$G$36*('Plan mensual'!H104+IF(parametros_manuales!$H$36="Todos",'Plan mensual'!H108,0)))*parametros_manuales!$I$36*parametros_manuales!$J$36</f>
        <v>20865.23</v>
      </c>
      <c r="G271" s="8">
        <f>(parametros_manuales!$D$36*('Plan mensual'!I101+IF(parametros_manuales!$H$36="Todos",'Plan mensual'!I105,0))+parametros_manuales!$E$36*('Plan mensual'!I102+IF(parametros_manuales!$H$36="Todos",'Plan mensual'!I106,0))+parametros_manuales!$F$36*('Plan mensual'!I103+IF(parametros_manuales!$H$36="Todos",'Plan mensual'!I107,0))+parametros_manuales!$G$36*('Plan mensual'!I104+IF(parametros_manuales!$H$36="Todos",'Plan mensual'!I108,0)))*parametros_manuales!$I$36*parametros_manuales!$J$36</f>
        <v>20447.62</v>
      </c>
      <c r="H271" s="8">
        <f>(parametros_manuales!$D$36*('Plan mensual'!J101+IF(parametros_manuales!$H$36="Todos",'Plan mensual'!J105,0))+parametros_manuales!$E$36*('Plan mensual'!J102+IF(parametros_manuales!$H$36="Todos",'Plan mensual'!J106,0))+parametros_manuales!$F$36*('Plan mensual'!J103+IF(parametros_manuales!$H$36="Todos",'Plan mensual'!J107,0))+parametros_manuales!$G$36*('Plan mensual'!J104+IF(parametros_manuales!$H$36="Todos",'Plan mensual'!J108,0)))*parametros_manuales!$I$36*parametros_manuales!$J$36</f>
        <v>21878.335</v>
      </c>
      <c r="I271" s="8">
        <f>(parametros_manuales!$D$36*('Plan mensual'!K101+IF(parametros_manuales!$H$36="Todos",'Plan mensual'!K105,0))+parametros_manuales!$E$36*('Plan mensual'!K102+IF(parametros_manuales!$H$36="Todos",'Plan mensual'!K106,0))+parametros_manuales!$F$36*('Plan mensual'!K103+IF(parametros_manuales!$H$36="Todos",'Plan mensual'!K107,0))+parametros_manuales!$G$36*('Plan mensual'!K104+IF(parametros_manuales!$H$36="Todos",'Plan mensual'!K108,0)))*parametros_manuales!$I$36*parametros_manuales!$J$36</f>
        <v>21878.335</v>
      </c>
      <c r="J271" s="8">
        <f>(parametros_manuales!$D$36*('Plan mensual'!L101+IF(parametros_manuales!$H$36="Todos",'Plan mensual'!L105,0))+parametros_manuales!$E$36*('Plan mensual'!L102+IF(parametros_manuales!$H$36="Todos",'Plan mensual'!L106,0))+parametros_manuales!$F$36*('Plan mensual'!L103+IF(parametros_manuales!$H$36="Todos",'Plan mensual'!L107,0))+parametros_manuales!$G$36*('Plan mensual'!L104+IF(parametros_manuales!$H$36="Todos",'Plan mensual'!L108,0)))*parametros_manuales!$I$36*parametros_manuales!$J$36</f>
        <v>21878.335</v>
      </c>
      <c r="K271" s="8">
        <f>(parametros_manuales!$D$36*('Plan mensual'!M101+IF(parametros_manuales!$H$36="Todos",'Plan mensual'!M105,0))+parametros_manuales!$E$36*('Plan mensual'!M102+IF(parametros_manuales!$H$36="Todos",'Plan mensual'!M106,0))+parametros_manuales!$F$36*('Plan mensual'!M103+IF(parametros_manuales!$H$36="Todos",'Plan mensual'!M107,0))+parametros_manuales!$G$36*('Plan mensual'!M104+IF(parametros_manuales!$H$36="Todos",'Plan mensual'!M108,0)))*parametros_manuales!$I$36*parametros_manuales!$J$36</f>
        <v>21460.725</v>
      </c>
      <c r="L271" s="8">
        <f>(parametros_manuales!$D$36*('Plan mensual'!N101+IF(parametros_manuales!$H$36="Todos",'Plan mensual'!N105,0))+parametros_manuales!$E$36*('Plan mensual'!N102+IF(parametros_manuales!$H$36="Todos",'Plan mensual'!N106,0))+parametros_manuales!$F$36*('Plan mensual'!N103+IF(parametros_manuales!$H$36="Todos",'Plan mensual'!N107,0))+parametros_manuales!$G$36*('Plan mensual'!N104+IF(parametros_manuales!$H$36="Todos",'Plan mensual'!N108,0)))*parametros_manuales!$I$36*parametros_manuales!$J$36</f>
        <v>21043.115</v>
      </c>
      <c r="M271" s="8">
        <f>(parametros_manuales!$D$36*('Plan mensual'!O101+IF(parametros_manuales!$H$36="Todos",'Plan mensual'!O105,0))+parametros_manuales!$E$36*('Plan mensual'!O102+IF(parametros_manuales!$H$36="Todos",'Plan mensual'!O106,0))+parametros_manuales!$F$36*('Plan mensual'!O103+IF(parametros_manuales!$H$36="Todos",'Plan mensual'!O107,0))+parametros_manuales!$G$36*('Plan mensual'!O104+IF(parametros_manuales!$H$36="Todos",'Plan mensual'!O108,0)))*parametros_manuales!$I$36*parametros_manuales!$J$36</f>
        <v>33501.94</v>
      </c>
      <c r="N271" s="8">
        <f t="shared" si="28"/>
        <v>286143</v>
      </c>
      <c r="O271" s="8">
        <f t="shared" si="29"/>
        <v>33501.94</v>
      </c>
      <c r="P271" s="27">
        <f>O271/(parametros_manuales!$B$7)</f>
        <v>223.3462667</v>
      </c>
      <c r="Q271" s="4" t="str">
        <f t="shared" si="30"/>
        <v>Dic</v>
      </c>
    </row>
    <row r="272" ht="14.25" customHeight="1">
      <c r="A272" s="4" t="str">
        <f>parametros_manuales!$B$37</f>
        <v>Corrección de defectos</v>
      </c>
      <c r="B272" s="8">
        <f>(parametros_manuales!$D$37*('Plan mensual'!D101+IF(parametros_manuales!$H$37="Todos",'Plan mensual'!D105,0))+parametros_manuales!$E$37*('Plan mensual'!D102+IF(parametros_manuales!$H$37="Todos",'Plan mensual'!D106,0))+parametros_manuales!$F$37*('Plan mensual'!D103+IF(parametros_manuales!$H$37="Todos",'Plan mensual'!D107,0))+parametros_manuales!$G$37*('Plan mensual'!D104+IF(parametros_manuales!$H$37="Todos",'Plan mensual'!D108,0)))*parametros_manuales!$I$37*parametros_manuales!$J$37</f>
        <v>1633.336</v>
      </c>
      <c r="C272" s="8">
        <f>(parametros_manuales!$D$37*('Plan mensual'!E101+IF(parametros_manuales!$H$37="Todos",'Plan mensual'!E105,0))+parametros_manuales!$E$37*('Plan mensual'!E102+IF(parametros_manuales!$H$37="Todos",'Plan mensual'!E106,0))+parametros_manuales!$F$37*('Plan mensual'!E103+IF(parametros_manuales!$H$37="Todos",'Plan mensual'!E107,0))+parametros_manuales!$G$37*('Plan mensual'!E104+IF(parametros_manuales!$H$37="Todos",'Plan mensual'!E108,0)))*parametros_manuales!$I$37*parametros_manuales!$J$37</f>
        <v>1245.8825</v>
      </c>
      <c r="D272" s="8">
        <f>(parametros_manuales!$D$37*('Plan mensual'!F101+IF(parametros_manuales!$H$37="Todos",'Plan mensual'!F105,0))+parametros_manuales!$E$37*('Plan mensual'!F102+IF(parametros_manuales!$H$37="Todos",'Plan mensual'!F106,0))+parametros_manuales!$F$37*('Plan mensual'!F103+IF(parametros_manuales!$H$37="Todos",'Plan mensual'!F107,0))+parametros_manuales!$G$37*('Plan mensual'!F104+IF(parametros_manuales!$H$37="Todos",'Plan mensual'!F108,0)))*parametros_manuales!$I$37*parametros_manuales!$J$37</f>
        <v>1165.4525</v>
      </c>
      <c r="E272" s="8">
        <f>(parametros_manuales!$D$37*('Plan mensual'!G101+IF(parametros_manuales!$H$37="Todos",'Plan mensual'!G105,0))+parametros_manuales!$E$37*('Plan mensual'!G102+IF(parametros_manuales!$H$37="Todos",'Plan mensual'!G106,0))+parametros_manuales!$F$37*('Plan mensual'!G103+IF(parametros_manuales!$H$37="Todos",'Plan mensual'!G107,0))+parametros_manuales!$G$37*('Plan mensual'!G104+IF(parametros_manuales!$H$37="Todos",'Plan mensual'!G108,0)))*parametros_manuales!$I$37*parametros_manuales!$J$37</f>
        <v>1114.79725</v>
      </c>
      <c r="F272" s="8">
        <f>(parametros_manuales!$D$37*('Plan mensual'!H101+IF(parametros_manuales!$H$37="Todos",'Plan mensual'!H105,0))+parametros_manuales!$E$37*('Plan mensual'!H102+IF(parametros_manuales!$H$37="Todos",'Plan mensual'!H106,0))+parametros_manuales!$F$37*('Plan mensual'!H103+IF(parametros_manuales!$H$37="Todos",'Plan mensual'!H107,0))+parametros_manuales!$G$37*('Plan mensual'!H104+IF(parametros_manuales!$H$37="Todos",'Plan mensual'!H108,0)))*parametros_manuales!$I$37*parametros_manuales!$J$37</f>
        <v>1043.2615</v>
      </c>
      <c r="G272" s="8">
        <f>(parametros_manuales!$D$37*('Plan mensual'!I101+IF(parametros_manuales!$H$37="Todos",'Plan mensual'!I105,0))+parametros_manuales!$E$37*('Plan mensual'!I102+IF(parametros_manuales!$H$37="Todos",'Plan mensual'!I106,0))+parametros_manuales!$F$37*('Plan mensual'!I103+IF(parametros_manuales!$H$37="Todos",'Plan mensual'!I107,0))+parametros_manuales!$G$37*('Plan mensual'!I104+IF(parametros_manuales!$H$37="Todos",'Plan mensual'!I108,0)))*parametros_manuales!$I$37*parametros_manuales!$J$37</f>
        <v>1022.381</v>
      </c>
      <c r="H272" s="8">
        <f>(parametros_manuales!$D$37*('Plan mensual'!J101+IF(parametros_manuales!$H$37="Todos",'Plan mensual'!J105,0))+parametros_manuales!$E$37*('Plan mensual'!J102+IF(parametros_manuales!$H$37="Todos",'Plan mensual'!J106,0))+parametros_manuales!$F$37*('Plan mensual'!J103+IF(parametros_manuales!$H$37="Todos",'Plan mensual'!J107,0))+parametros_manuales!$G$37*('Plan mensual'!J104+IF(parametros_manuales!$H$37="Todos",'Plan mensual'!J108,0)))*parametros_manuales!$I$37*parametros_manuales!$J$37</f>
        <v>1093.91675</v>
      </c>
      <c r="I272" s="8">
        <f>(parametros_manuales!$D$37*('Plan mensual'!K101+IF(parametros_manuales!$H$37="Todos",'Plan mensual'!K105,0))+parametros_manuales!$E$37*('Plan mensual'!K102+IF(parametros_manuales!$H$37="Todos",'Plan mensual'!K106,0))+parametros_manuales!$F$37*('Plan mensual'!K103+IF(parametros_manuales!$H$37="Todos",'Plan mensual'!K107,0))+parametros_manuales!$G$37*('Plan mensual'!K104+IF(parametros_manuales!$H$37="Todos",'Plan mensual'!K108,0)))*parametros_manuales!$I$37*parametros_manuales!$J$37</f>
        <v>1093.91675</v>
      </c>
      <c r="J272" s="8">
        <f>(parametros_manuales!$D$37*('Plan mensual'!L101+IF(parametros_manuales!$H$37="Todos",'Plan mensual'!L105,0))+parametros_manuales!$E$37*('Plan mensual'!L102+IF(parametros_manuales!$H$37="Todos",'Plan mensual'!L106,0))+parametros_manuales!$F$37*('Plan mensual'!L103+IF(parametros_manuales!$H$37="Todos",'Plan mensual'!L107,0))+parametros_manuales!$G$37*('Plan mensual'!L104+IF(parametros_manuales!$H$37="Todos",'Plan mensual'!L108,0)))*parametros_manuales!$I$37*parametros_manuales!$J$37</f>
        <v>1093.91675</v>
      </c>
      <c r="K272" s="8">
        <f>(parametros_manuales!$D$37*('Plan mensual'!M101+IF(parametros_manuales!$H$37="Todos",'Plan mensual'!M105,0))+parametros_manuales!$E$37*('Plan mensual'!M102+IF(parametros_manuales!$H$37="Todos",'Plan mensual'!M106,0))+parametros_manuales!$F$37*('Plan mensual'!M103+IF(parametros_manuales!$H$37="Todos",'Plan mensual'!M107,0))+parametros_manuales!$G$37*('Plan mensual'!M104+IF(parametros_manuales!$H$37="Todos",'Plan mensual'!M108,0)))*parametros_manuales!$I$37*parametros_manuales!$J$37</f>
        <v>1073.03625</v>
      </c>
      <c r="L272" s="8">
        <f>(parametros_manuales!$D$37*('Plan mensual'!N101+IF(parametros_manuales!$H$37="Todos",'Plan mensual'!N105,0))+parametros_manuales!$E$37*('Plan mensual'!N102+IF(parametros_manuales!$H$37="Todos",'Plan mensual'!N106,0))+parametros_manuales!$F$37*('Plan mensual'!N103+IF(parametros_manuales!$H$37="Todos",'Plan mensual'!N107,0))+parametros_manuales!$G$37*('Plan mensual'!N104+IF(parametros_manuales!$H$37="Todos",'Plan mensual'!N108,0)))*parametros_manuales!$I$37*parametros_manuales!$J$37</f>
        <v>1052.15575</v>
      </c>
      <c r="M272" s="8">
        <f>(parametros_manuales!$D$37*('Plan mensual'!O101+IF(parametros_manuales!$H$37="Todos",'Plan mensual'!O105,0))+parametros_manuales!$E$37*('Plan mensual'!O102+IF(parametros_manuales!$H$37="Todos",'Plan mensual'!O106,0))+parametros_manuales!$F$37*('Plan mensual'!O103+IF(parametros_manuales!$H$37="Todos",'Plan mensual'!O107,0))+parametros_manuales!$G$37*('Plan mensual'!O104+IF(parametros_manuales!$H$37="Todos",'Plan mensual'!O108,0)))*parametros_manuales!$I$37*parametros_manuales!$J$37</f>
        <v>1675.097</v>
      </c>
      <c r="N272" s="8">
        <f t="shared" si="28"/>
        <v>14307.15</v>
      </c>
      <c r="O272" s="8">
        <f t="shared" si="29"/>
        <v>1675.097</v>
      </c>
      <c r="P272" s="27">
        <f>O272/(parametros_manuales!$B$7)</f>
        <v>11.16731333</v>
      </c>
      <c r="Q272" s="4" t="str">
        <f t="shared" si="30"/>
        <v>Dic</v>
      </c>
    </row>
    <row r="273" ht="14.25" customHeight="1">
      <c r="A273" s="4" t="str">
        <f>parametros_manuales!$B$38</f>
        <v>Pintura en polvo + horno</v>
      </c>
      <c r="B273" s="8">
        <f>(parametros_manuales!$D$38*('Plan mensual'!D101+IF(parametros_manuales!$H$38="Todos",'Plan mensual'!D105,0))+parametros_manuales!$E$38*('Plan mensual'!D102+IF(parametros_manuales!$H$38="Todos",'Plan mensual'!D106,0))+parametros_manuales!$F$38*('Plan mensual'!D103+IF(parametros_manuales!$H$38="Todos",'Plan mensual'!D107,0))+parametros_manuales!$G$38*('Plan mensual'!D104+IF(parametros_manuales!$H$38="Todos",'Plan mensual'!D108,0)))*parametros_manuales!$I$38*parametros_manuales!$J$38</f>
        <v>32666.72</v>
      </c>
      <c r="C273" s="8">
        <f>(parametros_manuales!$D$38*('Plan mensual'!E101+IF(parametros_manuales!$H$38="Todos",'Plan mensual'!E105,0))+parametros_manuales!$E$38*('Plan mensual'!E102+IF(parametros_manuales!$H$38="Todos",'Plan mensual'!E106,0))+parametros_manuales!$F$38*('Plan mensual'!E103+IF(parametros_manuales!$H$38="Todos",'Plan mensual'!E107,0))+parametros_manuales!$G$38*('Plan mensual'!E104+IF(parametros_manuales!$H$38="Todos",'Plan mensual'!E108,0)))*parametros_manuales!$I$38*parametros_manuales!$J$38</f>
        <v>24917.65</v>
      </c>
      <c r="D273" s="8">
        <f>(parametros_manuales!$D$38*('Plan mensual'!F101+IF(parametros_manuales!$H$38="Todos",'Plan mensual'!F105,0))+parametros_manuales!$E$38*('Plan mensual'!F102+IF(parametros_manuales!$H$38="Todos",'Plan mensual'!F106,0))+parametros_manuales!$F$38*('Plan mensual'!F103+IF(parametros_manuales!$H$38="Todos",'Plan mensual'!F107,0))+parametros_manuales!$G$38*('Plan mensual'!F104+IF(parametros_manuales!$H$38="Todos",'Plan mensual'!F108,0)))*parametros_manuales!$I$38*parametros_manuales!$J$38</f>
        <v>23309.05</v>
      </c>
      <c r="E273" s="8">
        <f>(parametros_manuales!$D$38*('Plan mensual'!G101+IF(parametros_manuales!$H$38="Todos",'Plan mensual'!G105,0))+parametros_manuales!$E$38*('Plan mensual'!G102+IF(parametros_manuales!$H$38="Todos",'Plan mensual'!G106,0))+parametros_manuales!$F$38*('Plan mensual'!G103+IF(parametros_manuales!$H$38="Todos",'Plan mensual'!G107,0))+parametros_manuales!$G$38*('Plan mensual'!G104+IF(parametros_manuales!$H$38="Todos",'Plan mensual'!G108,0)))*parametros_manuales!$I$38*parametros_manuales!$J$38</f>
        <v>22295.945</v>
      </c>
      <c r="F273" s="8">
        <f>(parametros_manuales!$D$38*('Plan mensual'!H101+IF(parametros_manuales!$H$38="Todos",'Plan mensual'!H105,0))+parametros_manuales!$E$38*('Plan mensual'!H102+IF(parametros_manuales!$H$38="Todos",'Plan mensual'!H106,0))+parametros_manuales!$F$38*('Plan mensual'!H103+IF(parametros_manuales!$H$38="Todos",'Plan mensual'!H107,0))+parametros_manuales!$G$38*('Plan mensual'!H104+IF(parametros_manuales!$H$38="Todos",'Plan mensual'!H108,0)))*parametros_manuales!$I$38*parametros_manuales!$J$38</f>
        <v>20865.23</v>
      </c>
      <c r="G273" s="8">
        <f>(parametros_manuales!$D$38*('Plan mensual'!I101+IF(parametros_manuales!$H$38="Todos",'Plan mensual'!I105,0))+parametros_manuales!$E$38*('Plan mensual'!I102+IF(parametros_manuales!$H$38="Todos",'Plan mensual'!I106,0))+parametros_manuales!$F$38*('Plan mensual'!I103+IF(parametros_manuales!$H$38="Todos",'Plan mensual'!I107,0))+parametros_manuales!$G$38*('Plan mensual'!I104+IF(parametros_manuales!$H$38="Todos",'Plan mensual'!I108,0)))*parametros_manuales!$I$38*parametros_manuales!$J$38</f>
        <v>20447.62</v>
      </c>
      <c r="H273" s="8">
        <f>(parametros_manuales!$D$38*('Plan mensual'!J101+IF(parametros_manuales!$H$38="Todos",'Plan mensual'!J105,0))+parametros_manuales!$E$38*('Plan mensual'!J102+IF(parametros_manuales!$H$38="Todos",'Plan mensual'!J106,0))+parametros_manuales!$F$38*('Plan mensual'!J103+IF(parametros_manuales!$H$38="Todos",'Plan mensual'!J107,0))+parametros_manuales!$G$38*('Plan mensual'!J104+IF(parametros_manuales!$H$38="Todos",'Plan mensual'!J108,0)))*parametros_manuales!$I$38*parametros_manuales!$J$38</f>
        <v>21878.335</v>
      </c>
      <c r="I273" s="8">
        <f>(parametros_manuales!$D$38*('Plan mensual'!K101+IF(parametros_manuales!$H$38="Todos",'Plan mensual'!K105,0))+parametros_manuales!$E$38*('Plan mensual'!K102+IF(parametros_manuales!$H$38="Todos",'Plan mensual'!K106,0))+parametros_manuales!$F$38*('Plan mensual'!K103+IF(parametros_manuales!$H$38="Todos",'Plan mensual'!K107,0))+parametros_manuales!$G$38*('Plan mensual'!K104+IF(parametros_manuales!$H$38="Todos",'Plan mensual'!K108,0)))*parametros_manuales!$I$38*parametros_manuales!$J$38</f>
        <v>21878.335</v>
      </c>
      <c r="J273" s="8">
        <f>(parametros_manuales!$D$38*('Plan mensual'!L101+IF(parametros_manuales!$H$38="Todos",'Plan mensual'!L105,0))+parametros_manuales!$E$38*('Plan mensual'!L102+IF(parametros_manuales!$H$38="Todos",'Plan mensual'!L106,0))+parametros_manuales!$F$38*('Plan mensual'!L103+IF(parametros_manuales!$H$38="Todos",'Plan mensual'!L107,0))+parametros_manuales!$G$38*('Plan mensual'!L104+IF(parametros_manuales!$H$38="Todos",'Plan mensual'!L108,0)))*parametros_manuales!$I$38*parametros_manuales!$J$38</f>
        <v>21878.335</v>
      </c>
      <c r="K273" s="8">
        <f>(parametros_manuales!$D$38*('Plan mensual'!M101+IF(parametros_manuales!$H$38="Todos",'Plan mensual'!M105,0))+parametros_manuales!$E$38*('Plan mensual'!M102+IF(parametros_manuales!$H$38="Todos",'Plan mensual'!M106,0))+parametros_manuales!$F$38*('Plan mensual'!M103+IF(parametros_manuales!$H$38="Todos",'Plan mensual'!M107,0))+parametros_manuales!$G$38*('Plan mensual'!M104+IF(parametros_manuales!$H$38="Todos",'Plan mensual'!M108,0)))*parametros_manuales!$I$38*parametros_manuales!$J$38</f>
        <v>21460.725</v>
      </c>
      <c r="L273" s="8">
        <f>(parametros_manuales!$D$38*('Plan mensual'!N101+IF(parametros_manuales!$H$38="Todos",'Plan mensual'!N105,0))+parametros_manuales!$E$38*('Plan mensual'!N102+IF(parametros_manuales!$H$38="Todos",'Plan mensual'!N106,0))+parametros_manuales!$F$38*('Plan mensual'!N103+IF(parametros_manuales!$H$38="Todos",'Plan mensual'!N107,0))+parametros_manuales!$G$38*('Plan mensual'!N104+IF(parametros_manuales!$H$38="Todos",'Plan mensual'!N108,0)))*parametros_manuales!$I$38*parametros_manuales!$J$38</f>
        <v>21043.115</v>
      </c>
      <c r="M273" s="8">
        <f>(parametros_manuales!$D$38*('Plan mensual'!O101+IF(parametros_manuales!$H$38="Todos",'Plan mensual'!O105,0))+parametros_manuales!$E$38*('Plan mensual'!O102+IF(parametros_manuales!$H$38="Todos",'Plan mensual'!O106,0))+parametros_manuales!$F$38*('Plan mensual'!O103+IF(parametros_manuales!$H$38="Todos",'Plan mensual'!O107,0))+parametros_manuales!$G$38*('Plan mensual'!O104+IF(parametros_manuales!$H$38="Todos",'Plan mensual'!O108,0)))*parametros_manuales!$I$38*parametros_manuales!$J$38</f>
        <v>33501.94</v>
      </c>
      <c r="N273" s="8">
        <f t="shared" si="28"/>
        <v>286143</v>
      </c>
      <c r="O273" s="8">
        <f t="shared" si="29"/>
        <v>33501.94</v>
      </c>
      <c r="P273" s="27">
        <f>O273/(parametros_manuales!$B$7)</f>
        <v>223.3462667</v>
      </c>
      <c r="Q273" s="4" t="str">
        <f t="shared" si="30"/>
        <v>Dic</v>
      </c>
    </row>
    <row r="274" ht="14.25" customHeight="1">
      <c r="A274" s="4" t="str">
        <f>parametros_manuales!$B$39</f>
        <v>Carga de polvo</v>
      </c>
      <c r="B274" s="8">
        <f>(parametros_manuales!$D$39*('Plan mensual'!D101+IF(parametros_manuales!$H$39="Todos",'Plan mensual'!D105,0))+parametros_manuales!$E$39*('Plan mensual'!D102+IF(parametros_manuales!$H$39="Todos",'Plan mensual'!D106,0))+parametros_manuales!$F$39*('Plan mensual'!D103+IF(parametros_manuales!$H$39="Todos",'Plan mensual'!D107,0))+parametros_manuales!$G$39*('Plan mensual'!D104+IF(parametros_manuales!$H$39="Todos",'Plan mensual'!D108,0)))*parametros_manuales!$I$39*parametros_manuales!$J$39</f>
        <v>7918.96</v>
      </c>
      <c r="C274" s="8">
        <f>(parametros_manuales!$D$39*('Plan mensual'!E101+IF(parametros_manuales!$H$39="Todos",'Plan mensual'!E105,0))+parametros_manuales!$E$39*('Plan mensual'!E102+IF(parametros_manuales!$H$39="Todos",'Plan mensual'!E106,0))+parametros_manuales!$F$39*('Plan mensual'!E103+IF(parametros_manuales!$H$39="Todos",'Plan mensual'!E107,0))+parametros_manuales!$G$39*('Plan mensual'!E104+IF(parametros_manuales!$H$39="Todos",'Plan mensual'!E108,0)))*parametros_manuales!$I$39*parametros_manuales!$J$39</f>
        <v>6142.73</v>
      </c>
      <c r="D274" s="8">
        <f>(parametros_manuales!$D$39*('Plan mensual'!F101+IF(parametros_manuales!$H$39="Todos",'Plan mensual'!F105,0))+parametros_manuales!$E$39*('Plan mensual'!F102+IF(parametros_manuales!$H$39="Todos",'Plan mensual'!F106,0))+parametros_manuales!$F$39*('Plan mensual'!F103+IF(parametros_manuales!$H$39="Todos",'Plan mensual'!F107,0))+parametros_manuales!$G$39*('Plan mensual'!F104+IF(parametros_manuales!$H$39="Todos",'Plan mensual'!F108,0)))*parametros_manuales!$I$39*parametros_manuales!$J$39</f>
        <v>6025.51</v>
      </c>
      <c r="E274" s="8">
        <f>(parametros_manuales!$D$39*('Plan mensual'!G101+IF(parametros_manuales!$H$39="Todos",'Plan mensual'!G105,0))+parametros_manuales!$E$39*('Plan mensual'!G102+IF(parametros_manuales!$H$39="Todos",'Plan mensual'!G106,0))+parametros_manuales!$F$39*('Plan mensual'!G103+IF(parametros_manuales!$H$39="Todos",'Plan mensual'!G107,0))+parametros_manuales!$G$39*('Plan mensual'!G104+IF(parametros_manuales!$H$39="Todos",'Plan mensual'!G108,0)))*parametros_manuales!$I$39*parametros_manuales!$J$39</f>
        <v>5865.145</v>
      </c>
      <c r="F274" s="8">
        <f>(parametros_manuales!$D$39*('Plan mensual'!H101+IF(parametros_manuales!$H$39="Todos",'Plan mensual'!H105,0))+parametros_manuales!$E$39*('Plan mensual'!H102+IF(parametros_manuales!$H$39="Todos",'Plan mensual'!H106,0))+parametros_manuales!$F$39*('Plan mensual'!H103+IF(parametros_manuales!$H$39="Todos",'Plan mensual'!H107,0))+parametros_manuales!$G$39*('Plan mensual'!H104+IF(parametros_manuales!$H$39="Todos",'Plan mensual'!H108,0)))*parametros_manuales!$I$39*parametros_manuales!$J$39</f>
        <v>5501.27</v>
      </c>
      <c r="G274" s="8">
        <f>(parametros_manuales!$D$39*('Plan mensual'!I101+IF(parametros_manuales!$H$39="Todos",'Plan mensual'!I105,0))+parametros_manuales!$E$39*('Plan mensual'!I102+IF(parametros_manuales!$H$39="Todos",'Plan mensual'!I106,0))+parametros_manuales!$F$39*('Plan mensual'!I103+IF(parametros_manuales!$H$39="Todos",'Plan mensual'!I107,0))+parametros_manuales!$G$39*('Plan mensual'!I104+IF(parametros_manuales!$H$39="Todos",'Plan mensual'!I108,0)))*parametros_manuales!$I$39*parametros_manuales!$J$39</f>
        <v>5297.76</v>
      </c>
      <c r="H274" s="8">
        <f>(parametros_manuales!$D$39*('Plan mensual'!J101+IF(parametros_manuales!$H$39="Todos",'Plan mensual'!J105,0))+parametros_manuales!$E$39*('Plan mensual'!J102+IF(parametros_manuales!$H$39="Todos",'Plan mensual'!J106,0))+parametros_manuales!$F$39*('Plan mensual'!J103+IF(parametros_manuales!$H$39="Todos",'Plan mensual'!J107,0))+parametros_manuales!$G$39*('Plan mensual'!J104+IF(parametros_manuales!$H$39="Todos",'Plan mensual'!J108,0)))*parametros_manuales!$I$39*parametros_manuales!$J$39</f>
        <v>5661.635</v>
      </c>
      <c r="I274" s="8">
        <f>(parametros_manuales!$D$39*('Plan mensual'!K101+IF(parametros_manuales!$H$39="Todos",'Plan mensual'!K105,0))+parametros_manuales!$E$39*('Plan mensual'!K102+IF(parametros_manuales!$H$39="Todos",'Plan mensual'!K106,0))+parametros_manuales!$F$39*('Plan mensual'!K103+IF(parametros_manuales!$H$39="Todos",'Plan mensual'!K107,0))+parametros_manuales!$G$39*('Plan mensual'!K104+IF(parametros_manuales!$H$39="Todos",'Plan mensual'!K108,0)))*parametros_manuales!$I$39*parametros_manuales!$J$39</f>
        <v>5661.635</v>
      </c>
      <c r="J274" s="8">
        <f>(parametros_manuales!$D$39*('Plan mensual'!L101+IF(parametros_manuales!$H$39="Todos",'Plan mensual'!L105,0))+parametros_manuales!$E$39*('Plan mensual'!L102+IF(parametros_manuales!$H$39="Todos",'Plan mensual'!L106,0))+parametros_manuales!$F$39*('Plan mensual'!L103+IF(parametros_manuales!$H$39="Todos",'Plan mensual'!L107,0))+parametros_manuales!$G$39*('Plan mensual'!L104+IF(parametros_manuales!$H$39="Todos",'Plan mensual'!L108,0)))*parametros_manuales!$I$39*parametros_manuales!$J$39</f>
        <v>5661.635</v>
      </c>
      <c r="K274" s="8">
        <f>(parametros_manuales!$D$39*('Plan mensual'!M101+IF(parametros_manuales!$H$39="Todos",'Plan mensual'!M105,0))+parametros_manuales!$E$39*('Plan mensual'!M102+IF(parametros_manuales!$H$39="Todos",'Plan mensual'!M106,0))+parametros_manuales!$F$39*('Plan mensual'!M103+IF(parametros_manuales!$H$39="Todos",'Plan mensual'!M107,0))+parametros_manuales!$G$39*('Plan mensual'!M104+IF(parametros_manuales!$H$39="Todos",'Plan mensual'!M108,0)))*parametros_manuales!$I$39*parametros_manuales!$J$39</f>
        <v>5458.125</v>
      </c>
      <c r="L274" s="8">
        <f>(parametros_manuales!$D$39*('Plan mensual'!N101+IF(parametros_manuales!$H$39="Todos",'Plan mensual'!N105,0))+parametros_manuales!$E$39*('Plan mensual'!N102+IF(parametros_manuales!$H$39="Todos",'Plan mensual'!N106,0))+parametros_manuales!$F$39*('Plan mensual'!N103+IF(parametros_manuales!$H$39="Todos",'Plan mensual'!N107,0))+parametros_manuales!$G$39*('Plan mensual'!N104+IF(parametros_manuales!$H$39="Todos",'Plan mensual'!N108,0)))*parametros_manuales!$I$39*parametros_manuales!$J$39</f>
        <v>5254.615</v>
      </c>
      <c r="M274" s="8">
        <f>(parametros_manuales!$D$39*('Plan mensual'!O101+IF(parametros_manuales!$H$39="Todos",'Plan mensual'!O105,0))+parametros_manuales!$E$39*('Plan mensual'!O102+IF(parametros_manuales!$H$39="Todos",'Plan mensual'!O106,0))+parametros_manuales!$F$39*('Plan mensual'!O103+IF(parametros_manuales!$H$39="Todos",'Plan mensual'!O107,0))+parametros_manuales!$G$39*('Plan mensual'!O104+IF(parametros_manuales!$H$39="Todos",'Plan mensual'!O108,0)))*parametros_manuales!$I$39*parametros_manuales!$J$39</f>
        <v>8325.98</v>
      </c>
      <c r="N274" s="8">
        <f t="shared" si="28"/>
        <v>72775</v>
      </c>
      <c r="O274" s="8">
        <f t="shared" si="29"/>
        <v>8325.98</v>
      </c>
      <c r="P274" s="27">
        <f>O274/(parametros_manuales!$B$7)</f>
        <v>55.50653333</v>
      </c>
      <c r="Q274" s="4" t="str">
        <f t="shared" si="30"/>
        <v>Dic</v>
      </c>
    </row>
    <row r="275" ht="14.25" customHeight="1">
      <c r="A275" s="4" t="str">
        <f>parametros_manuales!$B$40</f>
        <v>Ensamblaje</v>
      </c>
      <c r="B275" s="8">
        <f>(parametros_manuales!$D$40*('Plan mensual'!D101+IF(parametros_manuales!$H$40="Todos",'Plan mensual'!D105,0))+parametros_manuales!$E$40*('Plan mensual'!D102+IF(parametros_manuales!$H$40="Todos",'Plan mensual'!D106,0))+parametros_manuales!$F$40*('Plan mensual'!D103+IF(parametros_manuales!$H$40="Todos",'Plan mensual'!D107,0))+parametros_manuales!$G$40*('Plan mensual'!D104+IF(parametros_manuales!$H$40="Todos",'Plan mensual'!D108,0)))*parametros_manuales!$I$40*parametros_manuales!$J$40</f>
        <v>7918.96</v>
      </c>
      <c r="C275" s="8">
        <f>(parametros_manuales!$D$40*('Plan mensual'!E101+IF(parametros_manuales!$H$40="Todos",'Plan mensual'!E105,0))+parametros_manuales!$E$40*('Plan mensual'!E102+IF(parametros_manuales!$H$40="Todos",'Plan mensual'!E106,0))+parametros_manuales!$F$40*('Plan mensual'!E103+IF(parametros_manuales!$H$40="Todos",'Plan mensual'!E107,0))+parametros_manuales!$G$40*('Plan mensual'!E104+IF(parametros_manuales!$H$40="Todos",'Plan mensual'!E108,0)))*parametros_manuales!$I$40*parametros_manuales!$J$40</f>
        <v>6142.73</v>
      </c>
      <c r="D275" s="8">
        <f>(parametros_manuales!$D$40*('Plan mensual'!F101+IF(parametros_manuales!$H$40="Todos",'Plan mensual'!F105,0))+parametros_manuales!$E$40*('Plan mensual'!F102+IF(parametros_manuales!$H$40="Todos",'Plan mensual'!F106,0))+parametros_manuales!$F$40*('Plan mensual'!F103+IF(parametros_manuales!$H$40="Todos",'Plan mensual'!F107,0))+parametros_manuales!$G$40*('Plan mensual'!F104+IF(parametros_manuales!$H$40="Todos",'Plan mensual'!F108,0)))*parametros_manuales!$I$40*parametros_manuales!$J$40</f>
        <v>6025.51</v>
      </c>
      <c r="E275" s="8">
        <f>(parametros_manuales!$D$40*('Plan mensual'!G101+IF(parametros_manuales!$H$40="Todos",'Plan mensual'!G105,0))+parametros_manuales!$E$40*('Plan mensual'!G102+IF(parametros_manuales!$H$40="Todos",'Plan mensual'!G106,0))+parametros_manuales!$F$40*('Plan mensual'!G103+IF(parametros_manuales!$H$40="Todos",'Plan mensual'!G107,0))+parametros_manuales!$G$40*('Plan mensual'!G104+IF(parametros_manuales!$H$40="Todos",'Plan mensual'!G108,0)))*parametros_manuales!$I$40*parametros_manuales!$J$40</f>
        <v>5865.145</v>
      </c>
      <c r="F275" s="8">
        <f>(parametros_manuales!$D$40*('Plan mensual'!H101+IF(parametros_manuales!$H$40="Todos",'Plan mensual'!H105,0))+parametros_manuales!$E$40*('Plan mensual'!H102+IF(parametros_manuales!$H$40="Todos",'Plan mensual'!H106,0))+parametros_manuales!$F$40*('Plan mensual'!H103+IF(parametros_manuales!$H$40="Todos",'Plan mensual'!H107,0))+parametros_manuales!$G$40*('Plan mensual'!H104+IF(parametros_manuales!$H$40="Todos",'Plan mensual'!H108,0)))*parametros_manuales!$I$40*parametros_manuales!$J$40</f>
        <v>5501.27</v>
      </c>
      <c r="G275" s="8">
        <f>(parametros_manuales!$D$40*('Plan mensual'!I101+IF(parametros_manuales!$H$40="Todos",'Plan mensual'!I105,0))+parametros_manuales!$E$40*('Plan mensual'!I102+IF(parametros_manuales!$H$40="Todos",'Plan mensual'!I106,0))+parametros_manuales!$F$40*('Plan mensual'!I103+IF(parametros_manuales!$H$40="Todos",'Plan mensual'!I107,0))+parametros_manuales!$G$40*('Plan mensual'!I104+IF(parametros_manuales!$H$40="Todos",'Plan mensual'!I108,0)))*parametros_manuales!$I$40*parametros_manuales!$J$40</f>
        <v>5297.76</v>
      </c>
      <c r="H275" s="8">
        <f>(parametros_manuales!$D$40*('Plan mensual'!J101+IF(parametros_manuales!$H$40="Todos",'Plan mensual'!J105,0))+parametros_manuales!$E$40*('Plan mensual'!J102+IF(parametros_manuales!$H$40="Todos",'Plan mensual'!J106,0))+parametros_manuales!$F$40*('Plan mensual'!J103+IF(parametros_manuales!$H$40="Todos",'Plan mensual'!J107,0))+parametros_manuales!$G$40*('Plan mensual'!J104+IF(parametros_manuales!$H$40="Todos",'Plan mensual'!J108,0)))*parametros_manuales!$I$40*parametros_manuales!$J$40</f>
        <v>5661.635</v>
      </c>
      <c r="I275" s="8">
        <f>(parametros_manuales!$D$40*('Plan mensual'!K101+IF(parametros_manuales!$H$40="Todos",'Plan mensual'!K105,0))+parametros_manuales!$E$40*('Plan mensual'!K102+IF(parametros_manuales!$H$40="Todos",'Plan mensual'!K106,0))+parametros_manuales!$F$40*('Plan mensual'!K103+IF(parametros_manuales!$H$40="Todos",'Plan mensual'!K107,0))+parametros_manuales!$G$40*('Plan mensual'!K104+IF(parametros_manuales!$H$40="Todos",'Plan mensual'!K108,0)))*parametros_manuales!$I$40*parametros_manuales!$J$40</f>
        <v>5661.635</v>
      </c>
      <c r="J275" s="8">
        <f>(parametros_manuales!$D$40*('Plan mensual'!L101+IF(parametros_manuales!$H$40="Todos",'Plan mensual'!L105,0))+parametros_manuales!$E$40*('Plan mensual'!L102+IF(parametros_manuales!$H$40="Todos",'Plan mensual'!L106,0))+parametros_manuales!$F$40*('Plan mensual'!L103+IF(parametros_manuales!$H$40="Todos",'Plan mensual'!L107,0))+parametros_manuales!$G$40*('Plan mensual'!L104+IF(parametros_manuales!$H$40="Todos",'Plan mensual'!L108,0)))*parametros_manuales!$I$40*parametros_manuales!$J$40</f>
        <v>5661.635</v>
      </c>
      <c r="K275" s="8">
        <f>(parametros_manuales!$D$40*('Plan mensual'!M101+IF(parametros_manuales!$H$40="Todos",'Plan mensual'!M105,0))+parametros_manuales!$E$40*('Plan mensual'!M102+IF(parametros_manuales!$H$40="Todos",'Plan mensual'!M106,0))+parametros_manuales!$F$40*('Plan mensual'!M103+IF(parametros_manuales!$H$40="Todos",'Plan mensual'!M107,0))+parametros_manuales!$G$40*('Plan mensual'!M104+IF(parametros_manuales!$H$40="Todos",'Plan mensual'!M108,0)))*parametros_manuales!$I$40*parametros_manuales!$J$40</f>
        <v>5458.125</v>
      </c>
      <c r="L275" s="8">
        <f>(parametros_manuales!$D$40*('Plan mensual'!N101+IF(parametros_manuales!$H$40="Todos",'Plan mensual'!N105,0))+parametros_manuales!$E$40*('Plan mensual'!N102+IF(parametros_manuales!$H$40="Todos",'Plan mensual'!N106,0))+parametros_manuales!$F$40*('Plan mensual'!N103+IF(parametros_manuales!$H$40="Todos",'Plan mensual'!N107,0))+parametros_manuales!$G$40*('Plan mensual'!N104+IF(parametros_manuales!$H$40="Todos",'Plan mensual'!N108,0)))*parametros_manuales!$I$40*parametros_manuales!$J$40</f>
        <v>5254.615</v>
      </c>
      <c r="M275" s="8">
        <f>(parametros_manuales!$D$40*('Plan mensual'!O101+IF(parametros_manuales!$H$40="Todos",'Plan mensual'!O105,0))+parametros_manuales!$E$40*('Plan mensual'!O102+IF(parametros_manuales!$H$40="Todos",'Plan mensual'!O106,0))+parametros_manuales!$F$40*('Plan mensual'!O103+IF(parametros_manuales!$H$40="Todos",'Plan mensual'!O107,0))+parametros_manuales!$G$40*('Plan mensual'!O104+IF(parametros_manuales!$H$40="Todos",'Plan mensual'!O108,0)))*parametros_manuales!$I$40*parametros_manuales!$J$40</f>
        <v>8325.98</v>
      </c>
      <c r="N275" s="8">
        <f t="shared" si="28"/>
        <v>72775</v>
      </c>
      <c r="O275" s="8">
        <f t="shared" si="29"/>
        <v>8325.98</v>
      </c>
      <c r="P275" s="27">
        <f>O275/(parametros_manuales!$B$7)</f>
        <v>55.50653333</v>
      </c>
      <c r="Q275" s="4" t="str">
        <f t="shared" si="30"/>
        <v>Dic</v>
      </c>
    </row>
    <row r="276" ht="14.25" customHeight="1">
      <c r="A276" s="4" t="str">
        <f>parametros_manuales!$B$41</f>
        <v>Presurización</v>
      </c>
      <c r="B276" s="8">
        <f>(parametros_manuales!$D$41*('Plan mensual'!D101+IF(parametros_manuales!$H$41="Todos",'Plan mensual'!D105,0))+parametros_manuales!$E$41*('Plan mensual'!D102+IF(parametros_manuales!$H$41="Todos",'Plan mensual'!D106,0))+parametros_manuales!$F$41*('Plan mensual'!D103+IF(parametros_manuales!$H$41="Todos",'Plan mensual'!D107,0))+parametros_manuales!$G$41*('Plan mensual'!D104+IF(parametros_manuales!$H$41="Todos",'Plan mensual'!D108,0)))*parametros_manuales!$I$41*parametros_manuales!$J$41</f>
        <v>7918.96</v>
      </c>
      <c r="C276" s="8">
        <f>(parametros_manuales!$D$41*('Plan mensual'!E101+IF(parametros_manuales!$H$41="Todos",'Plan mensual'!E105,0))+parametros_manuales!$E$41*('Plan mensual'!E102+IF(parametros_manuales!$H$41="Todos",'Plan mensual'!E106,0))+parametros_manuales!$F$41*('Plan mensual'!E103+IF(parametros_manuales!$H$41="Todos",'Plan mensual'!E107,0))+parametros_manuales!$G$41*('Plan mensual'!E104+IF(parametros_manuales!$H$41="Todos",'Plan mensual'!E108,0)))*parametros_manuales!$I$41*parametros_manuales!$J$41</f>
        <v>6142.73</v>
      </c>
      <c r="D276" s="8">
        <f>(parametros_manuales!$D$41*('Plan mensual'!F101+IF(parametros_manuales!$H$41="Todos",'Plan mensual'!F105,0))+parametros_manuales!$E$41*('Plan mensual'!F102+IF(parametros_manuales!$H$41="Todos",'Plan mensual'!F106,0))+parametros_manuales!$F$41*('Plan mensual'!F103+IF(parametros_manuales!$H$41="Todos",'Plan mensual'!F107,0))+parametros_manuales!$G$41*('Plan mensual'!F104+IF(parametros_manuales!$H$41="Todos",'Plan mensual'!F108,0)))*parametros_manuales!$I$41*parametros_manuales!$J$41</f>
        <v>6025.51</v>
      </c>
      <c r="E276" s="8">
        <f>(parametros_manuales!$D$41*('Plan mensual'!G101+IF(parametros_manuales!$H$41="Todos",'Plan mensual'!G105,0))+parametros_manuales!$E$41*('Plan mensual'!G102+IF(parametros_manuales!$H$41="Todos",'Plan mensual'!G106,0))+parametros_manuales!$F$41*('Plan mensual'!G103+IF(parametros_manuales!$H$41="Todos",'Plan mensual'!G107,0))+parametros_manuales!$G$41*('Plan mensual'!G104+IF(parametros_manuales!$H$41="Todos",'Plan mensual'!G108,0)))*parametros_manuales!$I$41*parametros_manuales!$J$41</f>
        <v>5865.145</v>
      </c>
      <c r="F276" s="8">
        <f>(parametros_manuales!$D$41*('Plan mensual'!H101+IF(parametros_manuales!$H$41="Todos",'Plan mensual'!H105,0))+parametros_manuales!$E$41*('Plan mensual'!H102+IF(parametros_manuales!$H$41="Todos",'Plan mensual'!H106,0))+parametros_manuales!$F$41*('Plan mensual'!H103+IF(parametros_manuales!$H$41="Todos",'Plan mensual'!H107,0))+parametros_manuales!$G$41*('Plan mensual'!H104+IF(parametros_manuales!$H$41="Todos",'Plan mensual'!H108,0)))*parametros_manuales!$I$41*parametros_manuales!$J$41</f>
        <v>5501.27</v>
      </c>
      <c r="G276" s="8">
        <f>(parametros_manuales!$D$41*('Plan mensual'!I101+IF(parametros_manuales!$H$41="Todos",'Plan mensual'!I105,0))+parametros_manuales!$E$41*('Plan mensual'!I102+IF(parametros_manuales!$H$41="Todos",'Plan mensual'!I106,0))+parametros_manuales!$F$41*('Plan mensual'!I103+IF(parametros_manuales!$H$41="Todos",'Plan mensual'!I107,0))+parametros_manuales!$G$41*('Plan mensual'!I104+IF(parametros_manuales!$H$41="Todos",'Plan mensual'!I108,0)))*parametros_manuales!$I$41*parametros_manuales!$J$41</f>
        <v>5297.76</v>
      </c>
      <c r="H276" s="8">
        <f>(parametros_manuales!$D$41*('Plan mensual'!J101+IF(parametros_manuales!$H$41="Todos",'Plan mensual'!J105,0))+parametros_manuales!$E$41*('Plan mensual'!J102+IF(parametros_manuales!$H$41="Todos",'Plan mensual'!J106,0))+parametros_manuales!$F$41*('Plan mensual'!J103+IF(parametros_manuales!$H$41="Todos",'Plan mensual'!J107,0))+parametros_manuales!$G$41*('Plan mensual'!J104+IF(parametros_manuales!$H$41="Todos",'Plan mensual'!J108,0)))*parametros_manuales!$I$41*parametros_manuales!$J$41</f>
        <v>5661.635</v>
      </c>
      <c r="I276" s="8">
        <f>(parametros_manuales!$D$41*('Plan mensual'!K101+IF(parametros_manuales!$H$41="Todos",'Plan mensual'!K105,0))+parametros_manuales!$E$41*('Plan mensual'!K102+IF(parametros_manuales!$H$41="Todos",'Plan mensual'!K106,0))+parametros_manuales!$F$41*('Plan mensual'!K103+IF(parametros_manuales!$H$41="Todos",'Plan mensual'!K107,0))+parametros_manuales!$G$41*('Plan mensual'!K104+IF(parametros_manuales!$H$41="Todos",'Plan mensual'!K108,0)))*parametros_manuales!$I$41*parametros_manuales!$J$41</f>
        <v>5661.635</v>
      </c>
      <c r="J276" s="8">
        <f>(parametros_manuales!$D$41*('Plan mensual'!L101+IF(parametros_manuales!$H$41="Todos",'Plan mensual'!L105,0))+parametros_manuales!$E$41*('Plan mensual'!L102+IF(parametros_manuales!$H$41="Todos",'Plan mensual'!L106,0))+parametros_manuales!$F$41*('Plan mensual'!L103+IF(parametros_manuales!$H$41="Todos",'Plan mensual'!L107,0))+parametros_manuales!$G$41*('Plan mensual'!L104+IF(parametros_manuales!$H$41="Todos",'Plan mensual'!L108,0)))*parametros_manuales!$I$41*parametros_manuales!$J$41</f>
        <v>5661.635</v>
      </c>
      <c r="K276" s="8">
        <f>(parametros_manuales!$D$41*('Plan mensual'!M101+IF(parametros_manuales!$H$41="Todos",'Plan mensual'!M105,0))+parametros_manuales!$E$41*('Plan mensual'!M102+IF(parametros_manuales!$H$41="Todos",'Plan mensual'!M106,0))+parametros_manuales!$F$41*('Plan mensual'!M103+IF(parametros_manuales!$H$41="Todos",'Plan mensual'!M107,0))+parametros_manuales!$G$41*('Plan mensual'!M104+IF(parametros_manuales!$H$41="Todos",'Plan mensual'!M108,0)))*parametros_manuales!$I$41*parametros_manuales!$J$41</f>
        <v>5458.125</v>
      </c>
      <c r="L276" s="8">
        <f>(parametros_manuales!$D$41*('Plan mensual'!N101+IF(parametros_manuales!$H$41="Todos",'Plan mensual'!N105,0))+parametros_manuales!$E$41*('Plan mensual'!N102+IF(parametros_manuales!$H$41="Todos",'Plan mensual'!N106,0))+parametros_manuales!$F$41*('Plan mensual'!N103+IF(parametros_manuales!$H$41="Todos",'Plan mensual'!N107,0))+parametros_manuales!$G$41*('Plan mensual'!N104+IF(parametros_manuales!$H$41="Todos",'Plan mensual'!N108,0)))*parametros_manuales!$I$41*parametros_manuales!$J$41</f>
        <v>5254.615</v>
      </c>
      <c r="M276" s="8">
        <f>(parametros_manuales!$D$41*('Plan mensual'!O101+IF(parametros_manuales!$H$41="Todos",'Plan mensual'!O105,0))+parametros_manuales!$E$41*('Plan mensual'!O102+IF(parametros_manuales!$H$41="Todos",'Plan mensual'!O106,0))+parametros_manuales!$F$41*('Plan mensual'!O103+IF(parametros_manuales!$H$41="Todos",'Plan mensual'!O107,0))+parametros_manuales!$G$41*('Plan mensual'!O104+IF(parametros_manuales!$H$41="Todos",'Plan mensual'!O108,0)))*parametros_manuales!$I$41*parametros_manuales!$J$41</f>
        <v>8325.98</v>
      </c>
      <c r="N276" s="8">
        <f t="shared" si="28"/>
        <v>72775</v>
      </c>
      <c r="O276" s="8">
        <f t="shared" si="29"/>
        <v>8325.98</v>
      </c>
      <c r="P276" s="27">
        <f>O276/(parametros_manuales!$B$7)</f>
        <v>55.50653333</v>
      </c>
      <c r="Q276" s="4" t="str">
        <f t="shared" si="30"/>
        <v>Dic</v>
      </c>
    </row>
    <row r="277" ht="14.25" customHeight="1">
      <c r="A277" s="4" t="str">
        <f>parametros_manuales!$B$42</f>
        <v>Control de calidad — Ensayo de pérdidas</v>
      </c>
      <c r="B277" s="8">
        <f>(parametros_manuales!$D$42*('Plan mensual'!D101+IF(parametros_manuales!$H$42="Todos",'Plan mensual'!D105,0))+parametros_manuales!$E$42*('Plan mensual'!D102+IF(parametros_manuales!$H$42="Todos",'Plan mensual'!D106,0))+parametros_manuales!$F$42*('Plan mensual'!D103+IF(parametros_manuales!$H$42="Todos",'Plan mensual'!D107,0))+parametros_manuales!$G$42*('Plan mensual'!D104+IF(parametros_manuales!$H$42="Todos",'Plan mensual'!D108,0)))*parametros_manuales!$I$42*parametros_manuales!$J$42</f>
        <v>7918.96</v>
      </c>
      <c r="C277" s="8">
        <f>(parametros_manuales!$D$42*('Plan mensual'!E101+IF(parametros_manuales!$H$42="Todos",'Plan mensual'!E105,0))+parametros_manuales!$E$42*('Plan mensual'!E102+IF(parametros_manuales!$H$42="Todos",'Plan mensual'!E106,0))+parametros_manuales!$F$42*('Plan mensual'!E103+IF(parametros_manuales!$H$42="Todos",'Plan mensual'!E107,0))+parametros_manuales!$G$42*('Plan mensual'!E104+IF(parametros_manuales!$H$42="Todos",'Plan mensual'!E108,0)))*parametros_manuales!$I$42*parametros_manuales!$J$42</f>
        <v>6142.73</v>
      </c>
      <c r="D277" s="8">
        <f>(parametros_manuales!$D$42*('Plan mensual'!F101+IF(parametros_manuales!$H$42="Todos",'Plan mensual'!F105,0))+parametros_manuales!$E$42*('Plan mensual'!F102+IF(parametros_manuales!$H$42="Todos",'Plan mensual'!F106,0))+parametros_manuales!$F$42*('Plan mensual'!F103+IF(parametros_manuales!$H$42="Todos",'Plan mensual'!F107,0))+parametros_manuales!$G$42*('Plan mensual'!F104+IF(parametros_manuales!$H$42="Todos",'Plan mensual'!F108,0)))*parametros_manuales!$I$42*parametros_manuales!$J$42</f>
        <v>6025.51</v>
      </c>
      <c r="E277" s="8">
        <f>(parametros_manuales!$D$42*('Plan mensual'!G101+IF(parametros_manuales!$H$42="Todos",'Plan mensual'!G105,0))+parametros_manuales!$E$42*('Plan mensual'!G102+IF(parametros_manuales!$H$42="Todos",'Plan mensual'!G106,0))+parametros_manuales!$F$42*('Plan mensual'!G103+IF(parametros_manuales!$H$42="Todos",'Plan mensual'!G107,0))+parametros_manuales!$G$42*('Plan mensual'!G104+IF(parametros_manuales!$H$42="Todos",'Plan mensual'!G108,0)))*parametros_manuales!$I$42*parametros_manuales!$J$42</f>
        <v>5865.145</v>
      </c>
      <c r="F277" s="8">
        <f>(parametros_manuales!$D$42*('Plan mensual'!H101+IF(parametros_manuales!$H$42="Todos",'Plan mensual'!H105,0))+parametros_manuales!$E$42*('Plan mensual'!H102+IF(parametros_manuales!$H$42="Todos",'Plan mensual'!H106,0))+parametros_manuales!$F$42*('Plan mensual'!H103+IF(parametros_manuales!$H$42="Todos",'Plan mensual'!H107,0))+parametros_manuales!$G$42*('Plan mensual'!H104+IF(parametros_manuales!$H$42="Todos",'Plan mensual'!H108,0)))*parametros_manuales!$I$42*parametros_manuales!$J$42</f>
        <v>5501.27</v>
      </c>
      <c r="G277" s="8">
        <f>(parametros_manuales!$D$42*('Plan mensual'!I101+IF(parametros_manuales!$H$42="Todos",'Plan mensual'!I105,0))+parametros_manuales!$E$42*('Plan mensual'!I102+IF(parametros_manuales!$H$42="Todos",'Plan mensual'!I106,0))+parametros_manuales!$F$42*('Plan mensual'!I103+IF(parametros_manuales!$H$42="Todos",'Plan mensual'!I107,0))+parametros_manuales!$G$42*('Plan mensual'!I104+IF(parametros_manuales!$H$42="Todos",'Plan mensual'!I108,0)))*parametros_manuales!$I$42*parametros_manuales!$J$42</f>
        <v>5297.76</v>
      </c>
      <c r="H277" s="8">
        <f>(parametros_manuales!$D$42*('Plan mensual'!J101+IF(parametros_manuales!$H$42="Todos",'Plan mensual'!J105,0))+parametros_manuales!$E$42*('Plan mensual'!J102+IF(parametros_manuales!$H$42="Todos",'Plan mensual'!J106,0))+parametros_manuales!$F$42*('Plan mensual'!J103+IF(parametros_manuales!$H$42="Todos",'Plan mensual'!J107,0))+parametros_manuales!$G$42*('Plan mensual'!J104+IF(parametros_manuales!$H$42="Todos",'Plan mensual'!J108,0)))*parametros_manuales!$I$42*parametros_manuales!$J$42</f>
        <v>5661.635</v>
      </c>
      <c r="I277" s="8">
        <f>(parametros_manuales!$D$42*('Plan mensual'!K101+IF(parametros_manuales!$H$42="Todos",'Plan mensual'!K105,0))+parametros_manuales!$E$42*('Plan mensual'!K102+IF(parametros_manuales!$H$42="Todos",'Plan mensual'!K106,0))+parametros_manuales!$F$42*('Plan mensual'!K103+IF(parametros_manuales!$H$42="Todos",'Plan mensual'!K107,0))+parametros_manuales!$G$42*('Plan mensual'!K104+IF(parametros_manuales!$H$42="Todos",'Plan mensual'!K108,0)))*parametros_manuales!$I$42*parametros_manuales!$J$42</f>
        <v>5661.635</v>
      </c>
      <c r="J277" s="8">
        <f>(parametros_manuales!$D$42*('Plan mensual'!L101+IF(parametros_manuales!$H$42="Todos",'Plan mensual'!L105,0))+parametros_manuales!$E$42*('Plan mensual'!L102+IF(parametros_manuales!$H$42="Todos",'Plan mensual'!L106,0))+parametros_manuales!$F$42*('Plan mensual'!L103+IF(parametros_manuales!$H$42="Todos",'Plan mensual'!L107,0))+parametros_manuales!$G$42*('Plan mensual'!L104+IF(parametros_manuales!$H$42="Todos",'Plan mensual'!L108,0)))*parametros_manuales!$I$42*parametros_manuales!$J$42</f>
        <v>5661.635</v>
      </c>
      <c r="K277" s="8">
        <f>(parametros_manuales!$D$42*('Plan mensual'!M101+IF(parametros_manuales!$H$42="Todos",'Plan mensual'!M105,0))+parametros_manuales!$E$42*('Plan mensual'!M102+IF(parametros_manuales!$H$42="Todos",'Plan mensual'!M106,0))+parametros_manuales!$F$42*('Plan mensual'!M103+IF(parametros_manuales!$H$42="Todos",'Plan mensual'!M107,0))+parametros_manuales!$G$42*('Plan mensual'!M104+IF(parametros_manuales!$H$42="Todos",'Plan mensual'!M108,0)))*parametros_manuales!$I$42*parametros_manuales!$J$42</f>
        <v>5458.125</v>
      </c>
      <c r="L277" s="8">
        <f>(parametros_manuales!$D$42*('Plan mensual'!N101+IF(parametros_manuales!$H$42="Todos",'Plan mensual'!N105,0))+parametros_manuales!$E$42*('Plan mensual'!N102+IF(parametros_manuales!$H$42="Todos",'Plan mensual'!N106,0))+parametros_manuales!$F$42*('Plan mensual'!N103+IF(parametros_manuales!$H$42="Todos",'Plan mensual'!N107,0))+parametros_manuales!$G$42*('Plan mensual'!N104+IF(parametros_manuales!$H$42="Todos",'Plan mensual'!N108,0)))*parametros_manuales!$I$42*parametros_manuales!$J$42</f>
        <v>5254.615</v>
      </c>
      <c r="M277" s="8">
        <f>(parametros_manuales!$D$42*('Plan mensual'!O101+IF(parametros_manuales!$H$42="Todos",'Plan mensual'!O105,0))+parametros_manuales!$E$42*('Plan mensual'!O102+IF(parametros_manuales!$H$42="Todos",'Plan mensual'!O106,0))+parametros_manuales!$F$42*('Plan mensual'!O103+IF(parametros_manuales!$H$42="Todos",'Plan mensual'!O107,0))+parametros_manuales!$G$42*('Plan mensual'!O104+IF(parametros_manuales!$H$42="Todos",'Plan mensual'!O108,0)))*parametros_manuales!$I$42*parametros_manuales!$J$42</f>
        <v>8325.98</v>
      </c>
      <c r="N277" s="8">
        <f t="shared" si="28"/>
        <v>72775</v>
      </c>
      <c r="O277" s="8">
        <f t="shared" si="29"/>
        <v>8325.98</v>
      </c>
      <c r="P277" s="27">
        <f>O277/(parametros_manuales!$B$7)</f>
        <v>55.50653333</v>
      </c>
      <c r="Q277" s="4" t="str">
        <f t="shared" si="30"/>
        <v>Dic</v>
      </c>
    </row>
    <row r="278" ht="14.25" customHeight="1">
      <c r="A278" s="4" t="str">
        <f>parametros_manuales!$B$43</f>
        <v>Etiquetado</v>
      </c>
      <c r="B278" s="8">
        <f>(parametros_manuales!$D$43*('Plan mensual'!D101+IF(parametros_manuales!$H$43="Todos",'Plan mensual'!D105,0))+parametros_manuales!$E$43*('Plan mensual'!D102+IF(parametros_manuales!$H$43="Todos",'Plan mensual'!D106,0))+parametros_manuales!$F$43*('Plan mensual'!D103+IF(parametros_manuales!$H$43="Todos",'Plan mensual'!D107,0))+parametros_manuales!$G$43*('Plan mensual'!D104+IF(parametros_manuales!$H$43="Todos",'Plan mensual'!D108,0)))*parametros_manuales!$I$43*parametros_manuales!$J$43</f>
        <v>7918.96</v>
      </c>
      <c r="C278" s="8">
        <f>(parametros_manuales!$D$43*('Plan mensual'!E101+IF(parametros_manuales!$H$43="Todos",'Plan mensual'!E105,0))+parametros_manuales!$E$43*('Plan mensual'!E102+IF(parametros_manuales!$H$43="Todos",'Plan mensual'!E106,0))+parametros_manuales!$F$43*('Plan mensual'!E103+IF(parametros_manuales!$H$43="Todos",'Plan mensual'!E107,0))+parametros_manuales!$G$43*('Plan mensual'!E104+IF(parametros_manuales!$H$43="Todos",'Plan mensual'!E108,0)))*parametros_manuales!$I$43*parametros_manuales!$J$43</f>
        <v>6142.73</v>
      </c>
      <c r="D278" s="8">
        <f>(parametros_manuales!$D$43*('Plan mensual'!F101+IF(parametros_manuales!$H$43="Todos",'Plan mensual'!F105,0))+parametros_manuales!$E$43*('Plan mensual'!F102+IF(parametros_manuales!$H$43="Todos",'Plan mensual'!F106,0))+parametros_manuales!$F$43*('Plan mensual'!F103+IF(parametros_manuales!$H$43="Todos",'Plan mensual'!F107,0))+parametros_manuales!$G$43*('Plan mensual'!F104+IF(parametros_manuales!$H$43="Todos",'Plan mensual'!F108,0)))*parametros_manuales!$I$43*parametros_manuales!$J$43</f>
        <v>6025.51</v>
      </c>
      <c r="E278" s="8">
        <f>(parametros_manuales!$D$43*('Plan mensual'!G101+IF(parametros_manuales!$H$43="Todos",'Plan mensual'!G105,0))+parametros_manuales!$E$43*('Plan mensual'!G102+IF(parametros_manuales!$H$43="Todos",'Plan mensual'!G106,0))+parametros_manuales!$F$43*('Plan mensual'!G103+IF(parametros_manuales!$H$43="Todos",'Plan mensual'!G107,0))+parametros_manuales!$G$43*('Plan mensual'!G104+IF(parametros_manuales!$H$43="Todos",'Plan mensual'!G108,0)))*parametros_manuales!$I$43*parametros_manuales!$J$43</f>
        <v>5865.145</v>
      </c>
      <c r="F278" s="8">
        <f>(parametros_manuales!$D$43*('Plan mensual'!H101+IF(parametros_manuales!$H$43="Todos",'Plan mensual'!H105,0))+parametros_manuales!$E$43*('Plan mensual'!H102+IF(parametros_manuales!$H$43="Todos",'Plan mensual'!H106,0))+parametros_manuales!$F$43*('Plan mensual'!H103+IF(parametros_manuales!$H$43="Todos",'Plan mensual'!H107,0))+parametros_manuales!$G$43*('Plan mensual'!H104+IF(parametros_manuales!$H$43="Todos",'Plan mensual'!H108,0)))*parametros_manuales!$I$43*parametros_manuales!$J$43</f>
        <v>5501.27</v>
      </c>
      <c r="G278" s="8">
        <f>(parametros_manuales!$D$43*('Plan mensual'!I101+IF(parametros_manuales!$H$43="Todos",'Plan mensual'!I105,0))+parametros_manuales!$E$43*('Plan mensual'!I102+IF(parametros_manuales!$H$43="Todos",'Plan mensual'!I106,0))+parametros_manuales!$F$43*('Plan mensual'!I103+IF(parametros_manuales!$H$43="Todos",'Plan mensual'!I107,0))+parametros_manuales!$G$43*('Plan mensual'!I104+IF(parametros_manuales!$H$43="Todos",'Plan mensual'!I108,0)))*parametros_manuales!$I$43*parametros_manuales!$J$43</f>
        <v>5297.76</v>
      </c>
      <c r="H278" s="8">
        <f>(parametros_manuales!$D$43*('Plan mensual'!J101+IF(parametros_manuales!$H$43="Todos",'Plan mensual'!J105,0))+parametros_manuales!$E$43*('Plan mensual'!J102+IF(parametros_manuales!$H$43="Todos",'Plan mensual'!J106,0))+parametros_manuales!$F$43*('Plan mensual'!J103+IF(parametros_manuales!$H$43="Todos",'Plan mensual'!J107,0))+parametros_manuales!$G$43*('Plan mensual'!J104+IF(parametros_manuales!$H$43="Todos",'Plan mensual'!J108,0)))*parametros_manuales!$I$43*parametros_manuales!$J$43</f>
        <v>5661.635</v>
      </c>
      <c r="I278" s="8">
        <f>(parametros_manuales!$D$43*('Plan mensual'!K101+IF(parametros_manuales!$H$43="Todos",'Plan mensual'!K105,0))+parametros_manuales!$E$43*('Plan mensual'!K102+IF(parametros_manuales!$H$43="Todos",'Plan mensual'!K106,0))+parametros_manuales!$F$43*('Plan mensual'!K103+IF(parametros_manuales!$H$43="Todos",'Plan mensual'!K107,0))+parametros_manuales!$G$43*('Plan mensual'!K104+IF(parametros_manuales!$H$43="Todos",'Plan mensual'!K108,0)))*parametros_manuales!$I$43*parametros_manuales!$J$43</f>
        <v>5661.635</v>
      </c>
      <c r="J278" s="8">
        <f>(parametros_manuales!$D$43*('Plan mensual'!L101+IF(parametros_manuales!$H$43="Todos",'Plan mensual'!L105,0))+parametros_manuales!$E$43*('Plan mensual'!L102+IF(parametros_manuales!$H$43="Todos",'Plan mensual'!L106,0))+parametros_manuales!$F$43*('Plan mensual'!L103+IF(parametros_manuales!$H$43="Todos",'Plan mensual'!L107,0))+parametros_manuales!$G$43*('Plan mensual'!L104+IF(parametros_manuales!$H$43="Todos",'Plan mensual'!L108,0)))*parametros_manuales!$I$43*parametros_manuales!$J$43</f>
        <v>5661.635</v>
      </c>
      <c r="K278" s="8">
        <f>(parametros_manuales!$D$43*('Plan mensual'!M101+IF(parametros_manuales!$H$43="Todos",'Plan mensual'!M105,0))+parametros_manuales!$E$43*('Plan mensual'!M102+IF(parametros_manuales!$H$43="Todos",'Plan mensual'!M106,0))+parametros_manuales!$F$43*('Plan mensual'!M103+IF(parametros_manuales!$H$43="Todos",'Plan mensual'!M107,0))+parametros_manuales!$G$43*('Plan mensual'!M104+IF(parametros_manuales!$H$43="Todos",'Plan mensual'!M108,0)))*parametros_manuales!$I$43*parametros_manuales!$J$43</f>
        <v>5458.125</v>
      </c>
      <c r="L278" s="8">
        <f>(parametros_manuales!$D$43*('Plan mensual'!N101+IF(parametros_manuales!$H$43="Todos",'Plan mensual'!N105,0))+parametros_manuales!$E$43*('Plan mensual'!N102+IF(parametros_manuales!$H$43="Todos",'Plan mensual'!N106,0))+parametros_manuales!$F$43*('Plan mensual'!N103+IF(parametros_manuales!$H$43="Todos",'Plan mensual'!N107,0))+parametros_manuales!$G$43*('Plan mensual'!N104+IF(parametros_manuales!$H$43="Todos",'Plan mensual'!N108,0)))*parametros_manuales!$I$43*parametros_manuales!$J$43</f>
        <v>5254.615</v>
      </c>
      <c r="M278" s="8">
        <f>(parametros_manuales!$D$43*('Plan mensual'!O101+IF(parametros_manuales!$H$43="Todos",'Plan mensual'!O105,0))+parametros_manuales!$E$43*('Plan mensual'!O102+IF(parametros_manuales!$H$43="Todos",'Plan mensual'!O106,0))+parametros_manuales!$F$43*('Plan mensual'!O103+IF(parametros_manuales!$H$43="Todos",'Plan mensual'!O107,0))+parametros_manuales!$G$43*('Plan mensual'!O104+IF(parametros_manuales!$H$43="Todos",'Plan mensual'!O108,0)))*parametros_manuales!$I$43*parametros_manuales!$J$43</f>
        <v>8325.98</v>
      </c>
      <c r="N278" s="8">
        <f t="shared" si="28"/>
        <v>72775</v>
      </c>
      <c r="O278" s="8">
        <f t="shared" si="29"/>
        <v>8325.98</v>
      </c>
      <c r="P278" s="27">
        <f>O278/(parametros_manuales!$B$7)</f>
        <v>55.50653333</v>
      </c>
      <c r="Q278" s="4" t="str">
        <f t="shared" si="30"/>
        <v>Dic</v>
      </c>
    </row>
    <row r="279" ht="14.25" customHeight="1">
      <c r="A279" s="4" t="str">
        <f>parametros_manuales!$B$44</f>
        <v>Embalaje y paletizado</v>
      </c>
      <c r="B279" s="8">
        <f>(parametros_manuales!$D$44*('Plan mensual'!D101+IF(parametros_manuales!$H$44="Todos",'Plan mensual'!D105,0))+parametros_manuales!$E$44*('Plan mensual'!D102+IF(parametros_manuales!$H$44="Todos",'Plan mensual'!D106,0))+parametros_manuales!$F$44*('Plan mensual'!D103+IF(parametros_manuales!$H$44="Todos",'Plan mensual'!D107,0))+parametros_manuales!$G$44*('Plan mensual'!D104+IF(parametros_manuales!$H$44="Todos",'Plan mensual'!D108,0)))*parametros_manuales!$I$44*parametros_manuales!$J$44</f>
        <v>32666.72</v>
      </c>
      <c r="C279" s="8">
        <f>(parametros_manuales!$D$44*('Plan mensual'!E101+IF(parametros_manuales!$H$44="Todos",'Plan mensual'!E105,0))+parametros_manuales!$E$44*('Plan mensual'!E102+IF(parametros_manuales!$H$44="Todos",'Plan mensual'!E106,0))+parametros_manuales!$F$44*('Plan mensual'!E103+IF(parametros_manuales!$H$44="Todos",'Plan mensual'!E107,0))+parametros_manuales!$G$44*('Plan mensual'!E104+IF(parametros_manuales!$H$44="Todos",'Plan mensual'!E108,0)))*parametros_manuales!$I$44*parametros_manuales!$J$44</f>
        <v>24917.65</v>
      </c>
      <c r="D279" s="8">
        <f>(parametros_manuales!$D$44*('Plan mensual'!F101+IF(parametros_manuales!$H$44="Todos",'Plan mensual'!F105,0))+parametros_manuales!$E$44*('Plan mensual'!F102+IF(parametros_manuales!$H$44="Todos",'Plan mensual'!F106,0))+parametros_manuales!$F$44*('Plan mensual'!F103+IF(parametros_manuales!$H$44="Todos",'Plan mensual'!F107,0))+parametros_manuales!$G$44*('Plan mensual'!F104+IF(parametros_manuales!$H$44="Todos",'Plan mensual'!F108,0)))*parametros_manuales!$I$44*parametros_manuales!$J$44</f>
        <v>23309.05</v>
      </c>
      <c r="E279" s="8">
        <f>(parametros_manuales!$D$44*('Plan mensual'!G101+IF(parametros_manuales!$H$44="Todos",'Plan mensual'!G105,0))+parametros_manuales!$E$44*('Plan mensual'!G102+IF(parametros_manuales!$H$44="Todos",'Plan mensual'!G106,0))+parametros_manuales!$F$44*('Plan mensual'!G103+IF(parametros_manuales!$H$44="Todos",'Plan mensual'!G107,0))+parametros_manuales!$G$44*('Plan mensual'!G104+IF(parametros_manuales!$H$44="Todos",'Plan mensual'!G108,0)))*parametros_manuales!$I$44*parametros_manuales!$J$44</f>
        <v>22295.945</v>
      </c>
      <c r="F279" s="8">
        <f>(parametros_manuales!$D$44*('Plan mensual'!H101+IF(parametros_manuales!$H$44="Todos",'Plan mensual'!H105,0))+parametros_manuales!$E$44*('Plan mensual'!H102+IF(parametros_manuales!$H$44="Todos",'Plan mensual'!H106,0))+parametros_manuales!$F$44*('Plan mensual'!H103+IF(parametros_manuales!$H$44="Todos",'Plan mensual'!H107,0))+parametros_manuales!$G$44*('Plan mensual'!H104+IF(parametros_manuales!$H$44="Todos",'Plan mensual'!H108,0)))*parametros_manuales!$I$44*parametros_manuales!$J$44</f>
        <v>20865.23</v>
      </c>
      <c r="G279" s="8">
        <f>(parametros_manuales!$D$44*('Plan mensual'!I101+IF(parametros_manuales!$H$44="Todos",'Plan mensual'!I105,0))+parametros_manuales!$E$44*('Plan mensual'!I102+IF(parametros_manuales!$H$44="Todos",'Plan mensual'!I106,0))+parametros_manuales!$F$44*('Plan mensual'!I103+IF(parametros_manuales!$H$44="Todos",'Plan mensual'!I107,0))+parametros_manuales!$G$44*('Plan mensual'!I104+IF(parametros_manuales!$H$44="Todos",'Plan mensual'!I108,0)))*parametros_manuales!$I$44*parametros_manuales!$J$44</f>
        <v>20447.62</v>
      </c>
      <c r="H279" s="8">
        <f>(parametros_manuales!$D$44*('Plan mensual'!J101+IF(parametros_manuales!$H$44="Todos",'Plan mensual'!J105,0))+parametros_manuales!$E$44*('Plan mensual'!J102+IF(parametros_manuales!$H$44="Todos",'Plan mensual'!J106,0))+parametros_manuales!$F$44*('Plan mensual'!J103+IF(parametros_manuales!$H$44="Todos",'Plan mensual'!J107,0))+parametros_manuales!$G$44*('Plan mensual'!J104+IF(parametros_manuales!$H$44="Todos",'Plan mensual'!J108,0)))*parametros_manuales!$I$44*parametros_manuales!$J$44</f>
        <v>21878.335</v>
      </c>
      <c r="I279" s="8">
        <f>(parametros_manuales!$D$44*('Plan mensual'!K101+IF(parametros_manuales!$H$44="Todos",'Plan mensual'!K105,0))+parametros_manuales!$E$44*('Plan mensual'!K102+IF(parametros_manuales!$H$44="Todos",'Plan mensual'!K106,0))+parametros_manuales!$F$44*('Plan mensual'!K103+IF(parametros_manuales!$H$44="Todos",'Plan mensual'!K107,0))+parametros_manuales!$G$44*('Plan mensual'!K104+IF(parametros_manuales!$H$44="Todos",'Plan mensual'!K108,0)))*parametros_manuales!$I$44*parametros_manuales!$J$44</f>
        <v>21878.335</v>
      </c>
      <c r="J279" s="8">
        <f>(parametros_manuales!$D$44*('Plan mensual'!L101+IF(parametros_manuales!$H$44="Todos",'Plan mensual'!L105,0))+parametros_manuales!$E$44*('Plan mensual'!L102+IF(parametros_manuales!$H$44="Todos",'Plan mensual'!L106,0))+parametros_manuales!$F$44*('Plan mensual'!L103+IF(parametros_manuales!$H$44="Todos",'Plan mensual'!L107,0))+parametros_manuales!$G$44*('Plan mensual'!L104+IF(parametros_manuales!$H$44="Todos",'Plan mensual'!L108,0)))*parametros_manuales!$I$44*parametros_manuales!$J$44</f>
        <v>21878.335</v>
      </c>
      <c r="K279" s="8">
        <f>(parametros_manuales!$D$44*('Plan mensual'!M101+IF(parametros_manuales!$H$44="Todos",'Plan mensual'!M105,0))+parametros_manuales!$E$44*('Plan mensual'!M102+IF(parametros_manuales!$H$44="Todos",'Plan mensual'!M106,0))+parametros_manuales!$F$44*('Plan mensual'!M103+IF(parametros_manuales!$H$44="Todos",'Plan mensual'!M107,0))+parametros_manuales!$G$44*('Plan mensual'!M104+IF(parametros_manuales!$H$44="Todos",'Plan mensual'!M108,0)))*parametros_manuales!$I$44*parametros_manuales!$J$44</f>
        <v>21460.725</v>
      </c>
      <c r="L279" s="8">
        <f>(parametros_manuales!$D$44*('Plan mensual'!N101+IF(parametros_manuales!$H$44="Todos",'Plan mensual'!N105,0))+parametros_manuales!$E$44*('Plan mensual'!N102+IF(parametros_manuales!$H$44="Todos",'Plan mensual'!N106,0))+parametros_manuales!$F$44*('Plan mensual'!N103+IF(parametros_manuales!$H$44="Todos",'Plan mensual'!N107,0))+parametros_manuales!$G$44*('Plan mensual'!N104+IF(parametros_manuales!$H$44="Todos",'Plan mensual'!N108,0)))*parametros_manuales!$I$44*parametros_manuales!$J$44</f>
        <v>21043.115</v>
      </c>
      <c r="M279" s="8">
        <f>(parametros_manuales!$D$44*('Plan mensual'!O101+IF(parametros_manuales!$H$44="Todos",'Plan mensual'!O105,0))+parametros_manuales!$E$44*('Plan mensual'!O102+IF(parametros_manuales!$H$44="Todos",'Plan mensual'!O106,0))+parametros_manuales!$F$44*('Plan mensual'!O103+IF(parametros_manuales!$H$44="Todos",'Plan mensual'!O107,0))+parametros_manuales!$G$44*('Plan mensual'!O104+IF(parametros_manuales!$H$44="Todos",'Plan mensual'!O108,0)))*parametros_manuales!$I$44*parametros_manuales!$J$44</f>
        <v>33501.94</v>
      </c>
      <c r="N279" s="8">
        <f t="shared" si="28"/>
        <v>286143</v>
      </c>
      <c r="O279" s="8">
        <f t="shared" si="29"/>
        <v>33501.94</v>
      </c>
      <c r="P279" s="27">
        <f>O279/(parametros_manuales!$B$7)</f>
        <v>223.3462667</v>
      </c>
      <c r="Q279" s="4" t="str">
        <f t="shared" si="30"/>
        <v>Dic</v>
      </c>
    </row>
    <row r="280" ht="14.25" customHeight="1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</row>
    <row r="281" ht="14.25" customHeight="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</row>
    <row r="282" ht="14.25" customHeight="1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</row>
    <row r="283" ht="14.25" customHeight="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</row>
    <row r="284" ht="14.25" customHeight="1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</row>
    <row r="285" ht="14.25" customHeight="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</row>
    <row r="286" ht="14.25" customHeight="1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</row>
    <row r="287" ht="14.25" customHeight="1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</row>
    <row r="288" ht="14.25" customHeight="1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</row>
    <row r="289" ht="14.25" customHeight="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</row>
    <row r="290" ht="14.25" customHeight="1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</row>
    <row r="291" ht="14.25" customHeight="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</row>
    <row r="292" ht="14.25" customHeight="1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</row>
    <row r="293" ht="14.25" customHeight="1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</row>
    <row r="294" ht="14.25" customHeight="1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</row>
    <row r="295" ht="14.25" customHeight="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</row>
    <row r="296" ht="14.25" customHeight="1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</row>
    <row r="297" ht="14.25" customHeight="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</row>
    <row r="298" ht="14.25" customHeight="1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</row>
    <row r="299" ht="14.25" customHeight="1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</row>
    <row r="300" ht="14.25" customHeight="1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</row>
    <row r="301" ht="14.25" customHeight="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</row>
    <row r="302" ht="14.25" customHeight="1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</row>
    <row r="303" ht="14.25" customHeight="1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</row>
    <row r="304" ht="14.25" customHeight="1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</row>
    <row r="305" ht="14.25" customHeight="1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</row>
    <row r="306" ht="14.25" customHeight="1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</row>
    <row r="307" ht="14.25" customHeight="1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</row>
    <row r="308" ht="14.25" customHeight="1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</row>
    <row r="309" ht="14.25" customHeight="1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</row>
    <row r="310" ht="14.25" customHeight="1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</row>
    <row r="311" ht="14.25" customHeight="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</row>
    <row r="312" ht="14.25" customHeight="1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</row>
    <row r="313" ht="14.25" customHeight="1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</row>
    <row r="314" ht="14.25" customHeight="1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</row>
    <row r="315" ht="14.25" customHeight="1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</row>
    <row r="316" ht="14.25" customHeight="1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</row>
    <row r="317" ht="14.25" customHeight="1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</row>
    <row r="318" ht="14.25" customHeight="1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</row>
    <row r="319" ht="14.25" customHeight="1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</row>
    <row r="320" ht="14.25" customHeight="1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</row>
    <row r="321" ht="14.25" customHeight="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</row>
    <row r="322" ht="14.25" customHeight="1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</row>
    <row r="323" ht="14.25" customHeight="1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</row>
    <row r="324" ht="14.25" customHeight="1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</row>
    <row r="325" ht="14.25" customHeight="1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</row>
    <row r="326" ht="14.25" customHeight="1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</row>
    <row r="327" ht="14.25" customHeight="1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</row>
    <row r="328" ht="14.25" customHeight="1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</row>
    <row r="329" ht="14.25" customHeight="1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</row>
    <row r="330" ht="14.25" customHeight="1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</row>
    <row r="331" ht="14.25" customHeight="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</row>
    <row r="332" ht="14.25" customHeight="1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</row>
    <row r="333" ht="14.2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</row>
    <row r="334" ht="14.25" customHeight="1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</row>
    <row r="335" ht="14.25" customHeight="1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</row>
    <row r="336" ht="14.25" customHeight="1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</row>
    <row r="337" ht="14.25" customHeight="1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</row>
    <row r="338" ht="14.25" customHeight="1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</row>
    <row r="339" ht="14.2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</row>
    <row r="340" ht="14.25" customHeight="1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</row>
    <row r="341" ht="14.25" customHeight="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</row>
    <row r="342" ht="14.25" customHeight="1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</row>
    <row r="343" ht="14.25" customHeigh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</row>
    <row r="344" ht="14.25" customHeight="1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</row>
    <row r="345" ht="14.2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</row>
    <row r="346" ht="14.25" customHeight="1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</row>
    <row r="347" ht="14.25" customHeight="1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</row>
    <row r="348" ht="14.25" customHeight="1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</row>
    <row r="349" ht="14.25" customHeight="1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</row>
    <row r="350" ht="14.25" customHeight="1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</row>
    <row r="351" ht="14.25" customHeight="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</row>
    <row r="352" ht="14.25" customHeight="1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</row>
    <row r="353" ht="14.25" customHeight="1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</row>
    <row r="354" ht="14.25" customHeight="1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</row>
    <row r="355" ht="14.25" customHeight="1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</row>
    <row r="356" ht="14.25" customHeight="1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</row>
    <row r="357" ht="14.25" customHeight="1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</row>
    <row r="358" ht="14.25" customHeight="1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</row>
    <row r="359" ht="14.25" customHeight="1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</row>
    <row r="360" ht="14.25" customHeight="1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</row>
    <row r="361" ht="14.25" customHeight="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</row>
    <row r="362" ht="14.25" customHeight="1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</row>
    <row r="363" ht="14.25" customHeight="1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</row>
    <row r="364" ht="14.25" customHeight="1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</row>
    <row r="365" ht="14.25" customHeigh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</row>
    <row r="366" ht="14.25" customHeight="1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</row>
    <row r="367" ht="14.25" customHeight="1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</row>
    <row r="368" ht="14.25" customHeight="1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</row>
    <row r="369" ht="14.25" customHeight="1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</row>
    <row r="370" ht="14.25" customHeight="1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</row>
    <row r="371" ht="14.25" customHeight="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</row>
    <row r="372" ht="14.25" customHeight="1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</row>
    <row r="373" ht="14.25" customHeight="1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</row>
    <row r="374" ht="14.25" customHeight="1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</row>
    <row r="375" ht="14.25" customHeight="1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</row>
    <row r="376" ht="14.25" customHeight="1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</row>
    <row r="377" ht="14.25" customHeight="1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</row>
    <row r="378" ht="14.25" customHeight="1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</row>
    <row r="379" ht="14.25" customHeight="1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</row>
    <row r="380" ht="14.25" customHeight="1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</row>
    <row r="381" ht="14.25" customHeight="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</row>
    <row r="382" ht="14.25" customHeight="1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</row>
    <row r="383" ht="14.25" customHeight="1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</row>
    <row r="384" ht="14.25" customHeight="1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</row>
    <row r="385" ht="14.25" customHeight="1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</row>
    <row r="386" ht="14.25" customHeight="1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</row>
    <row r="387" ht="14.25" customHeight="1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</row>
    <row r="388" ht="14.25" customHeight="1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</row>
    <row r="389" ht="14.25" customHeigh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</row>
    <row r="390" ht="14.25" customHeight="1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</row>
    <row r="391" ht="14.25" customHeight="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</row>
    <row r="392" ht="14.25" customHeight="1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</row>
    <row r="393" ht="14.25" customHeight="1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</row>
    <row r="394" ht="14.25" customHeight="1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</row>
    <row r="395" ht="14.25" customHeight="1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</row>
    <row r="396" ht="14.25" customHeight="1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</row>
    <row r="397" ht="14.25" customHeight="1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</row>
    <row r="398" ht="14.25" customHeight="1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</row>
    <row r="399" ht="14.25" customHeight="1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</row>
    <row r="400" ht="14.25" customHeight="1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</row>
    <row r="401" ht="14.25" customHeight="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</row>
    <row r="402" ht="14.25" customHeight="1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</row>
    <row r="403" ht="14.25" customHeight="1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</row>
    <row r="404" ht="14.25" customHeight="1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</row>
    <row r="405" ht="14.25" customHeight="1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</row>
    <row r="406" ht="14.25" customHeight="1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</row>
    <row r="407" ht="14.25" customHeight="1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</row>
    <row r="408" ht="14.25" customHeight="1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</row>
    <row r="409" ht="14.25" customHeight="1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</row>
    <row r="410" ht="14.25" customHeight="1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</row>
    <row r="411" ht="14.25" customHeight="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</row>
    <row r="412" ht="14.25" customHeight="1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</row>
    <row r="413" ht="14.25" customHeight="1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</row>
    <row r="414" ht="14.25" customHeight="1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</row>
    <row r="415" ht="14.25" customHeight="1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</row>
    <row r="416" ht="14.25" customHeight="1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</row>
    <row r="417" ht="14.25" customHeight="1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</row>
    <row r="418" ht="14.25" customHeight="1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</row>
    <row r="419" ht="14.25" customHeight="1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</row>
    <row r="420" ht="14.25" customHeight="1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</row>
    <row r="421" ht="14.25" customHeight="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</row>
    <row r="422" ht="14.25" customHeight="1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</row>
    <row r="423" ht="14.25" customHeight="1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</row>
    <row r="424" ht="14.25" customHeight="1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</row>
    <row r="425" ht="14.25" customHeight="1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</row>
    <row r="426" ht="14.25" customHeight="1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</row>
    <row r="427" ht="14.25" customHeight="1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</row>
    <row r="428" ht="14.25" customHeight="1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</row>
    <row r="429" ht="14.25" customHeight="1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</row>
    <row r="430" ht="14.25" customHeight="1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</row>
    <row r="431" ht="14.25" customHeight="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</row>
    <row r="432" ht="14.25" customHeight="1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</row>
    <row r="433" ht="14.25" customHeight="1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</row>
    <row r="434" ht="14.25" customHeight="1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</row>
    <row r="435" ht="14.25" customHeigh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</row>
    <row r="436" ht="14.25" customHeight="1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</row>
    <row r="437" ht="14.25" customHeight="1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</row>
    <row r="438" ht="14.25" customHeight="1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</row>
    <row r="439" ht="14.25" customHeight="1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</row>
    <row r="440" ht="14.25" customHeight="1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</row>
    <row r="441" ht="14.25" customHeight="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</row>
    <row r="442" ht="14.25" customHeight="1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</row>
    <row r="443" ht="14.25" customHeight="1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</row>
    <row r="444" ht="14.25" customHeight="1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</row>
    <row r="445" ht="14.25" customHeight="1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</row>
    <row r="446" ht="14.25" customHeight="1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</row>
    <row r="447" ht="14.25" customHeight="1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</row>
    <row r="448" ht="14.25" customHeight="1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</row>
    <row r="449" ht="14.25" customHeight="1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</row>
    <row r="450" ht="14.25" customHeight="1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</row>
    <row r="451" ht="14.25" customHeight="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</row>
    <row r="452" ht="14.25" customHeight="1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</row>
    <row r="453" ht="14.25" customHeight="1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</row>
    <row r="454" ht="14.25" customHeight="1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</row>
    <row r="455" ht="14.25" customHeight="1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</row>
    <row r="456" ht="14.25" customHeight="1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</row>
    <row r="457" ht="14.25" customHeight="1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</row>
    <row r="458" ht="14.25" customHeight="1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</row>
    <row r="459" ht="14.25" customHeight="1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</row>
    <row r="460" ht="14.25" customHeight="1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</row>
    <row r="461" ht="14.25" customHeight="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</row>
    <row r="462" ht="14.25" customHeight="1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</row>
    <row r="463" ht="14.25" customHeight="1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</row>
    <row r="464" ht="14.25" customHeight="1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</row>
    <row r="465" ht="14.25" customHeight="1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</row>
    <row r="466" ht="14.25" customHeight="1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</row>
    <row r="467" ht="14.25" customHeight="1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</row>
    <row r="468" ht="14.25" customHeight="1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</row>
    <row r="469" ht="14.25" customHeight="1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</row>
    <row r="470" ht="14.25" customHeight="1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</row>
    <row r="471" ht="14.25" customHeight="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</row>
    <row r="472" ht="14.25" customHeight="1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</row>
    <row r="473" ht="14.25" customHeight="1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</row>
    <row r="474" ht="14.25" customHeight="1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</row>
    <row r="475" ht="14.25" customHeight="1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</row>
    <row r="476" ht="14.25" customHeight="1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</row>
    <row r="477" ht="14.25" customHeight="1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</row>
    <row r="478" ht="14.25" customHeight="1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</row>
    <row r="479" ht="14.25" customHeight="1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</row>
    <row r="480" ht="15.75" customHeight="1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</row>
    <row r="481" ht="15.75" customHeight="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</row>
    <row r="482" ht="15.75" customHeight="1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</row>
    <row r="483" ht="15.75" customHeight="1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</row>
    <row r="484" ht="15.75" customHeight="1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</row>
    <row r="485" ht="15.75" customHeight="1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</row>
    <row r="486" ht="15.75" customHeight="1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</row>
    <row r="487" ht="15.75" customHeight="1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</row>
    <row r="488" ht="15.75" customHeight="1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</row>
    <row r="489" ht="15.75" customHeight="1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</row>
    <row r="490" ht="15.75" customHeight="1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</row>
    <row r="491" ht="15.75" customHeight="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</row>
    <row r="492" ht="15.75" customHeight="1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</row>
    <row r="493" ht="15.75" customHeight="1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</row>
    <row r="494" ht="15.75" customHeight="1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</row>
    <row r="495" ht="15.75" customHeight="1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</row>
    <row r="496" ht="15.75" customHeight="1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</row>
    <row r="497" ht="15.75" customHeight="1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</row>
    <row r="498" ht="15.75" customHeight="1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</row>
    <row r="499" ht="15.75" customHeight="1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</row>
    <row r="500" ht="15.75" customHeight="1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</row>
    <row r="501" ht="15.75" customHeight="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</row>
    <row r="502" ht="15.75" customHeight="1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</row>
    <row r="503" ht="15.75" customHeight="1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</row>
    <row r="504" ht="15.75" customHeight="1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</row>
    <row r="505" ht="15.75" customHeight="1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</row>
    <row r="506" ht="15.75" customHeight="1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</row>
    <row r="507" ht="15.75" customHeight="1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</row>
    <row r="508" ht="15.75" customHeight="1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</row>
    <row r="509" ht="15.75" customHeight="1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</row>
    <row r="510" ht="15.75" customHeight="1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</row>
    <row r="511" ht="15.75" customHeight="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</row>
    <row r="512" ht="15.75" customHeight="1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</row>
    <row r="513" ht="15.75" customHeight="1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</row>
    <row r="514" ht="15.75" customHeight="1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</row>
    <row r="515" ht="15.75" customHeight="1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</row>
    <row r="516" ht="15.75" customHeight="1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</row>
    <row r="517" ht="15.75" customHeight="1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</row>
    <row r="518" ht="15.75" customHeight="1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</row>
    <row r="519" ht="15.75" customHeight="1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</row>
    <row r="520" ht="15.7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</row>
    <row r="521" ht="15.75" customHeight="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</row>
    <row r="522" ht="15.75" customHeight="1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</row>
    <row r="523" ht="15.75" customHeight="1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</row>
    <row r="524" ht="15.75" customHeight="1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</row>
    <row r="525" ht="15.75" customHeight="1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</row>
    <row r="526" ht="15.75" customHeight="1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</row>
    <row r="527" ht="15.75" customHeight="1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</row>
    <row r="528" ht="15.75" customHeight="1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</row>
    <row r="529" ht="15.75" customHeight="1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</row>
    <row r="530" ht="15.75" customHeight="1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</row>
    <row r="531" ht="15.75" customHeight="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</row>
    <row r="532" ht="15.75" customHeight="1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</row>
    <row r="533" ht="15.75" customHeight="1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</row>
    <row r="534" ht="15.75" customHeight="1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</row>
    <row r="535" ht="15.75" customHeight="1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</row>
    <row r="536" ht="15.75" customHeight="1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</row>
    <row r="537" ht="15.75" customHeight="1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</row>
    <row r="538" ht="15.75" customHeight="1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</row>
    <row r="539" ht="15.75" customHeight="1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</row>
    <row r="540" ht="15.75" customHeight="1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</row>
    <row r="541" ht="15.75" customHeight="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</row>
    <row r="542" ht="15.75" customHeight="1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</row>
    <row r="543" ht="15.75" customHeight="1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</row>
    <row r="544" ht="15.75" customHeight="1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</row>
    <row r="545" ht="15.75" customHeight="1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</row>
    <row r="546" ht="15.75" customHeight="1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</row>
    <row r="547" ht="15.75" customHeight="1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</row>
    <row r="548" ht="15.75" customHeight="1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</row>
    <row r="549" ht="15.75" customHeight="1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</row>
    <row r="550" ht="15.75" customHeight="1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</row>
    <row r="551" ht="15.75" customHeight="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</row>
    <row r="552" ht="15.75" customHeight="1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</row>
    <row r="553" ht="15.75" customHeight="1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</row>
    <row r="554" ht="15.75" customHeight="1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</row>
    <row r="555" ht="15.75" customHeight="1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</row>
    <row r="556" ht="15.75" customHeight="1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</row>
    <row r="557" ht="15.75" customHeight="1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</row>
    <row r="558" ht="15.75" customHeight="1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</row>
    <row r="559" ht="15.75" customHeight="1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</row>
    <row r="560" ht="15.75" customHeight="1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</row>
    <row r="561" ht="15.75" customHeight="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</row>
    <row r="562" ht="15.75" customHeight="1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</row>
    <row r="563" ht="15.75" customHeight="1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</row>
    <row r="564" ht="15.75" customHeight="1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</row>
    <row r="565" ht="15.75" customHeight="1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</row>
    <row r="566" ht="15.75" customHeight="1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</row>
    <row r="567" ht="15.75" customHeight="1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</row>
    <row r="568" ht="15.75" customHeight="1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</row>
    <row r="569" ht="15.75" customHeight="1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</row>
    <row r="570" ht="15.75" customHeight="1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</row>
    <row r="571" ht="15.75" customHeight="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</row>
    <row r="572" ht="15.75" customHeight="1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</row>
    <row r="573" ht="15.75" customHeigh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</row>
    <row r="574" ht="15.75" customHeight="1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</row>
    <row r="575" ht="15.75" customHeight="1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</row>
    <row r="576" ht="15.75" customHeight="1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</row>
    <row r="577" ht="15.75" customHeight="1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</row>
    <row r="578" ht="15.75" customHeight="1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</row>
    <row r="579" ht="15.75" customHeight="1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</row>
    <row r="580" ht="15.75" customHeight="1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</row>
    <row r="581" ht="15.75" customHeight="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</row>
    <row r="582" ht="15.75" customHeight="1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</row>
    <row r="583" ht="15.75" customHeight="1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</row>
    <row r="584" ht="15.75" customHeight="1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</row>
    <row r="585" ht="15.75" customHeigh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</row>
    <row r="586" ht="15.75" customHeight="1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</row>
    <row r="587" ht="15.75" customHeight="1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</row>
    <row r="588" ht="15.75" customHeight="1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</row>
    <row r="589" ht="15.75" customHeight="1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</row>
    <row r="590" ht="15.75" customHeight="1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</row>
    <row r="591" ht="15.75" customHeight="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</row>
    <row r="592" ht="15.75" customHeight="1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</row>
    <row r="593" ht="15.75" customHeight="1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</row>
    <row r="594" ht="15.75" customHeight="1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</row>
    <row r="595" ht="15.75" customHeight="1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</row>
    <row r="596" ht="15.75" customHeight="1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</row>
    <row r="597" ht="15.75" customHeight="1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</row>
    <row r="598" ht="15.75" customHeight="1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</row>
    <row r="599" ht="15.75" customHeight="1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</row>
    <row r="600" ht="15.75" customHeight="1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</row>
    <row r="601" ht="15.75" customHeight="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</row>
    <row r="602" ht="15.75" customHeight="1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</row>
    <row r="603" ht="15.75" customHeight="1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</row>
    <row r="604" ht="15.75" customHeight="1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</row>
    <row r="605" ht="15.75" customHeight="1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</row>
    <row r="606" ht="15.75" customHeight="1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</row>
    <row r="607" ht="15.75" customHeight="1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</row>
    <row r="608" ht="15.75" customHeight="1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</row>
    <row r="609" ht="15.75" customHeigh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</row>
    <row r="610" ht="15.75" customHeight="1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</row>
    <row r="611" ht="15.75" customHeight="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</row>
    <row r="612" ht="15.75" customHeight="1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</row>
    <row r="613" ht="15.75" customHeight="1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</row>
    <row r="614" ht="15.75" customHeight="1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</row>
    <row r="615" ht="15.7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</row>
    <row r="616" ht="15.75" customHeight="1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</row>
    <row r="617" ht="15.7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</row>
    <row r="618" ht="15.75" customHeight="1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</row>
    <row r="619" ht="15.7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</row>
    <row r="620" ht="15.75" customHeight="1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</row>
    <row r="621" ht="15.7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</row>
    <row r="622" ht="15.75" customHeight="1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</row>
    <row r="623" ht="15.7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</row>
    <row r="624" ht="15.75" customHeight="1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</row>
    <row r="625" ht="15.7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</row>
    <row r="626" ht="15.75" customHeight="1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</row>
    <row r="627" ht="15.7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</row>
    <row r="628" ht="15.75" customHeight="1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</row>
    <row r="629" ht="15.7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</row>
    <row r="630" ht="15.75" customHeight="1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</row>
    <row r="631" ht="15.7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</row>
    <row r="632" ht="15.75" customHeight="1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</row>
    <row r="633" ht="15.7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</row>
    <row r="634" ht="15.75" customHeight="1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</row>
    <row r="635" ht="15.7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</row>
    <row r="636" ht="15.75" customHeight="1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</row>
    <row r="637" ht="15.7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</row>
    <row r="638" ht="15.75" customHeight="1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</row>
    <row r="639" ht="15.7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</row>
    <row r="640" ht="15.75" customHeight="1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</row>
    <row r="641" ht="15.7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</row>
    <row r="642" ht="15.75" customHeight="1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</row>
    <row r="643" ht="15.7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</row>
    <row r="644" ht="15.75" customHeight="1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</row>
    <row r="645" ht="15.7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</row>
    <row r="646" ht="15.75" customHeight="1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</row>
    <row r="647" ht="15.7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</row>
    <row r="648" ht="15.75" customHeight="1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</row>
    <row r="649" ht="15.7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</row>
    <row r="650" ht="15.75" customHeight="1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</row>
    <row r="651" ht="15.7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</row>
    <row r="652" ht="15.75" customHeight="1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</row>
    <row r="653" ht="15.7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</row>
    <row r="654" ht="15.75" customHeight="1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</row>
    <row r="655" ht="15.7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</row>
    <row r="656" ht="15.75" customHeight="1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</row>
    <row r="657" ht="15.7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</row>
    <row r="658" ht="15.75" customHeight="1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</row>
    <row r="659" ht="15.7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</row>
    <row r="660" ht="15.75" customHeight="1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</row>
    <row r="661" ht="15.7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</row>
    <row r="662" ht="15.75" customHeight="1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</row>
    <row r="663" ht="15.7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</row>
    <row r="664" ht="15.75" customHeight="1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</row>
    <row r="665" ht="15.7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</row>
    <row r="666" ht="15.75" customHeight="1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</row>
    <row r="667" ht="15.7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</row>
    <row r="668" ht="15.75" customHeight="1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</row>
    <row r="669" ht="15.7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</row>
    <row r="670" ht="15.75" customHeight="1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</row>
    <row r="671" ht="15.7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</row>
    <row r="672" ht="15.75" customHeight="1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</row>
    <row r="673" ht="15.7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</row>
    <row r="674" ht="15.75" customHeight="1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</row>
    <row r="675" ht="15.7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</row>
    <row r="676" ht="15.75" customHeight="1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</row>
    <row r="677" ht="15.7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</row>
    <row r="678" ht="15.75" customHeight="1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</row>
    <row r="679" ht="15.7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</row>
    <row r="680" ht="15.75" customHeight="1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</row>
    <row r="681" ht="15.7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</row>
    <row r="682" ht="15.75" customHeight="1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</row>
    <row r="683" ht="15.7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</row>
    <row r="684" ht="15.75" customHeight="1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</row>
    <row r="685" ht="15.7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</row>
    <row r="686" ht="15.75" customHeight="1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</row>
    <row r="687" ht="15.7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</row>
    <row r="688" ht="15.75" customHeight="1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</row>
    <row r="689" ht="15.7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</row>
    <row r="690" ht="15.75" customHeight="1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</row>
    <row r="691" ht="15.7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</row>
    <row r="692" ht="15.75" customHeight="1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</row>
    <row r="693" ht="15.7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</row>
    <row r="694" ht="15.75" customHeight="1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</row>
    <row r="695" ht="15.7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</row>
    <row r="696" ht="15.75" customHeight="1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</row>
    <row r="697" ht="15.7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</row>
    <row r="698" ht="15.75" customHeight="1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</row>
    <row r="699" ht="15.7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</row>
    <row r="700" ht="15.75" customHeight="1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</row>
    <row r="701" ht="15.7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</row>
    <row r="702" ht="15.75" customHeight="1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</row>
    <row r="703" ht="15.7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</row>
    <row r="704" ht="15.75" customHeight="1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</row>
    <row r="705" ht="15.7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</row>
    <row r="706" ht="15.75" customHeight="1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</row>
    <row r="707" ht="15.7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</row>
    <row r="708" ht="15.75" customHeight="1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</row>
    <row r="709" ht="15.7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</row>
    <row r="710" ht="15.75" customHeight="1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</row>
    <row r="711" ht="15.7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</row>
    <row r="712" ht="15.75" customHeight="1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</row>
    <row r="713" ht="15.7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</row>
    <row r="714" ht="15.75" customHeight="1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</row>
    <row r="715" ht="15.7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</row>
    <row r="716" ht="15.75" customHeight="1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</row>
    <row r="717" ht="15.7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</row>
    <row r="718" ht="15.75" customHeight="1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</row>
    <row r="719" ht="15.7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</row>
    <row r="720" ht="15.75" customHeight="1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</row>
    <row r="721" ht="15.7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</row>
    <row r="722" ht="15.75" customHeight="1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</row>
    <row r="723" ht="15.7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</row>
    <row r="724" ht="15.75" customHeight="1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</row>
    <row r="725" ht="15.7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</row>
    <row r="726" ht="15.75" customHeight="1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</row>
    <row r="727" ht="15.7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</row>
    <row r="728" ht="15.75" customHeight="1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</row>
    <row r="729" ht="15.7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</row>
    <row r="730" ht="15.75" customHeight="1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</row>
    <row r="731" ht="15.7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</row>
    <row r="732" ht="15.75" customHeight="1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</row>
    <row r="733" ht="15.7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</row>
    <row r="734" ht="15.75" customHeight="1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</row>
    <row r="735" ht="15.7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</row>
    <row r="736" ht="15.75" customHeight="1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</row>
    <row r="737" ht="15.7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</row>
    <row r="738" ht="15.75" customHeight="1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</row>
    <row r="739" ht="15.7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</row>
    <row r="740" ht="15.75" customHeight="1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</row>
    <row r="741" ht="15.7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</row>
    <row r="742" ht="15.75" customHeight="1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</row>
    <row r="743" ht="15.7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</row>
    <row r="744" ht="15.75" customHeight="1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</row>
    <row r="745" ht="15.7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</row>
    <row r="746" ht="15.75" customHeight="1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</row>
    <row r="747" ht="15.7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</row>
    <row r="748" ht="15.75" customHeight="1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</row>
    <row r="749" ht="15.7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</row>
    <row r="750" ht="15.75" customHeight="1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</row>
    <row r="751" ht="15.7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</row>
    <row r="752" ht="15.75" customHeight="1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</row>
    <row r="753" ht="15.7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</row>
    <row r="754" ht="15.75" customHeight="1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</row>
    <row r="755" ht="15.7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</row>
    <row r="756" ht="15.75" customHeight="1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</row>
    <row r="757" ht="15.7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</row>
    <row r="758" ht="15.75" customHeight="1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</row>
    <row r="759" ht="15.7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</row>
    <row r="760" ht="15.75" customHeight="1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</row>
    <row r="761" ht="15.7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</row>
    <row r="762" ht="15.75" customHeight="1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</row>
    <row r="763" ht="15.7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</row>
    <row r="764" ht="15.75" customHeight="1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</row>
    <row r="765" ht="15.7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</row>
    <row r="766" ht="15.75" customHeight="1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</row>
    <row r="767" ht="15.7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</row>
    <row r="768" ht="15.75" customHeight="1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</row>
    <row r="769" ht="15.7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</row>
    <row r="770" ht="15.75" customHeight="1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</row>
    <row r="771" ht="15.7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</row>
    <row r="772" ht="15.75" customHeight="1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</row>
    <row r="773" ht="15.7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</row>
    <row r="774" ht="15.75" customHeight="1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</row>
    <row r="775" ht="15.7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</row>
    <row r="776" ht="15.75" customHeight="1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</row>
    <row r="777" ht="15.7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</row>
    <row r="778" ht="15.75" customHeight="1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</row>
    <row r="779" ht="15.7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</row>
    <row r="780" ht="15.75" customHeight="1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</row>
    <row r="781" ht="15.7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</row>
    <row r="782" ht="15.75" customHeight="1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</row>
    <row r="783" ht="15.7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</row>
    <row r="784" ht="15.75" customHeight="1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</row>
    <row r="785" ht="15.7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</row>
    <row r="786" ht="15.75" customHeight="1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</row>
    <row r="787" ht="15.7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</row>
    <row r="788" ht="15.75" customHeight="1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</row>
    <row r="789" ht="15.7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</row>
    <row r="790" ht="15.75" customHeight="1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</row>
    <row r="791" ht="15.7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</row>
    <row r="792" ht="15.75" customHeight="1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</row>
    <row r="793" ht="15.7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</row>
    <row r="794" ht="15.75" customHeight="1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</row>
    <row r="795" ht="15.7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</row>
    <row r="796" ht="15.75" customHeight="1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</row>
    <row r="797" ht="15.7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</row>
    <row r="798" ht="15.75" customHeight="1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</row>
    <row r="799" ht="15.7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</row>
    <row r="800" ht="15.7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</row>
    <row r="801" ht="15.7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</row>
    <row r="802" ht="15.7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</row>
    <row r="803" ht="15.7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</row>
    <row r="804" ht="15.75" customHeight="1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</row>
    <row r="805" ht="15.7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</row>
    <row r="806" ht="15.75" customHeight="1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</row>
    <row r="807" ht="15.7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</row>
    <row r="808" ht="15.75" customHeight="1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</row>
    <row r="809" ht="15.7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</row>
    <row r="810" ht="15.75" customHeight="1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</row>
    <row r="811" ht="15.7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</row>
    <row r="812" ht="15.75" customHeight="1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</row>
    <row r="813" ht="15.7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</row>
    <row r="814" ht="15.7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</row>
    <row r="815" ht="15.7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</row>
    <row r="816" ht="15.7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</row>
    <row r="817" ht="15.7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</row>
    <row r="818" ht="15.75" customHeight="1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</row>
    <row r="819" ht="15.7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</row>
    <row r="820" ht="15.75" customHeight="1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</row>
    <row r="821" ht="15.7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</row>
    <row r="822" ht="15.75" customHeight="1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</row>
    <row r="823" ht="15.7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</row>
    <row r="824" ht="15.75" customHeight="1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</row>
    <row r="825" ht="15.7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</row>
    <row r="826" ht="15.75" customHeight="1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</row>
    <row r="827" ht="15.7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</row>
    <row r="828" ht="15.7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</row>
    <row r="829" ht="15.7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</row>
    <row r="830" ht="15.7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</row>
    <row r="831" ht="15.7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</row>
    <row r="832" ht="15.7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</row>
    <row r="833" ht="15.7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</row>
    <row r="834" ht="15.75" customHeight="1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</row>
    <row r="835" ht="15.7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</row>
    <row r="836" ht="15.75" customHeight="1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</row>
    <row r="837" ht="15.7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</row>
    <row r="838" ht="15.75" customHeight="1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</row>
    <row r="839" ht="15.7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</row>
    <row r="840" ht="15.75" customHeight="1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</row>
    <row r="841" ht="15.7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</row>
    <row r="842" ht="15.75" customHeight="1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</row>
    <row r="843" ht="15.7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</row>
    <row r="844" ht="15.7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</row>
    <row r="845" ht="15.7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</row>
    <row r="846" ht="15.7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</row>
    <row r="847" ht="15.7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</row>
    <row r="848" ht="15.75" customHeight="1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</row>
    <row r="849" ht="15.7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</row>
    <row r="850" ht="15.75" customHeight="1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</row>
    <row r="851" ht="15.7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</row>
    <row r="852" ht="15.75" customHeight="1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</row>
    <row r="853" ht="15.7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</row>
    <row r="854" ht="15.75" customHeight="1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</row>
    <row r="855" ht="15.7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</row>
    <row r="856" ht="15.75" customHeight="1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</row>
    <row r="857" ht="15.7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</row>
    <row r="858" ht="15.75" customHeight="1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</row>
    <row r="859" ht="15.7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</row>
    <row r="860" ht="15.7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</row>
    <row r="861" ht="15.7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</row>
    <row r="862" ht="15.7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</row>
    <row r="863" ht="15.7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</row>
    <row r="864" ht="15.75" customHeight="1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</row>
    <row r="865" ht="15.7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</row>
    <row r="866" ht="15.75" customHeight="1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</row>
    <row r="867" ht="15.7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</row>
    <row r="868" ht="15.75" customHeight="1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</row>
    <row r="869" ht="15.7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</row>
    <row r="870" ht="15.75" customHeight="1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</row>
    <row r="871" ht="15.7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</row>
    <row r="872" ht="15.75" customHeight="1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</row>
    <row r="873" ht="15.7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</row>
    <row r="874" ht="15.7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</row>
    <row r="875" ht="15.7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</row>
    <row r="876" ht="15.75" customHeight="1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</row>
    <row r="877" ht="15.7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</row>
    <row r="878" ht="15.75" customHeight="1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</row>
    <row r="879" ht="15.7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</row>
    <row r="880" ht="15.75" customHeight="1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</row>
    <row r="881" ht="15.7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</row>
    <row r="882" ht="15.75" customHeight="1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</row>
    <row r="883" ht="15.7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</row>
    <row r="884" ht="15.75" customHeight="1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</row>
    <row r="885" ht="15.7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</row>
    <row r="886" ht="15.75" customHeight="1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</row>
    <row r="887" ht="15.7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</row>
    <row r="888" ht="15.75" customHeight="1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</row>
    <row r="889" ht="15.7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</row>
    <row r="890" ht="15.7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</row>
    <row r="891" ht="15.7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</row>
    <row r="892" ht="15.7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</row>
    <row r="893" ht="15.7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</row>
    <row r="894" ht="15.7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</row>
    <row r="895" ht="15.7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</row>
    <row r="896" ht="15.7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</row>
    <row r="897" ht="15.7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</row>
    <row r="898" ht="15.75" customHeight="1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</row>
    <row r="899" ht="15.7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</row>
    <row r="900" ht="15.75" customHeight="1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</row>
    <row r="901" ht="15.7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</row>
    <row r="902" ht="15.75" customHeight="1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</row>
    <row r="903" ht="15.7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</row>
    <row r="904" ht="15.75" customHeight="1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</row>
    <row r="905" ht="15.7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</row>
    <row r="906" ht="15.75" customHeight="1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</row>
    <row r="907" ht="15.7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</row>
    <row r="908" ht="15.7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</row>
    <row r="909" ht="15.7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</row>
    <row r="910" ht="15.7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</row>
    <row r="911" ht="15.7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</row>
    <row r="912" ht="15.75" customHeight="1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</row>
    <row r="913" ht="15.7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</row>
    <row r="914" ht="15.75" customHeight="1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</row>
    <row r="915" ht="15.7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</row>
    <row r="916" ht="15.75" customHeight="1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</row>
    <row r="917" ht="15.7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</row>
    <row r="918" ht="15.75" customHeight="1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</row>
    <row r="919" ht="15.7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</row>
    <row r="920" ht="15.75" customHeight="1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</row>
    <row r="921" ht="15.7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</row>
    <row r="922" ht="15.75" customHeight="1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</row>
    <row r="923" ht="15.7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</row>
    <row r="924" ht="15.75" customHeight="1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</row>
    <row r="925" ht="15.7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</row>
    <row r="926" ht="15.75" customHeight="1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</row>
    <row r="927" ht="15.7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</row>
    <row r="928" ht="15.75" customHeight="1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</row>
    <row r="929" ht="15.7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</row>
    <row r="930" ht="15.75" customHeight="1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</row>
    <row r="931" ht="15.7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</row>
    <row r="932" ht="15.75" customHeight="1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</row>
    <row r="933" ht="15.7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</row>
    <row r="934" ht="15.75" customHeight="1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</row>
    <row r="935" ht="15.7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</row>
    <row r="936" ht="15.75" customHeight="1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</row>
    <row r="937" ht="15.7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</row>
    <row r="938" ht="15.75" customHeight="1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</row>
    <row r="939" ht="15.7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</row>
    <row r="940" ht="15.75" customHeight="1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</row>
    <row r="941" ht="15.7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</row>
    <row r="942" ht="15.75" customHeight="1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</row>
    <row r="943" ht="15.7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</row>
    <row r="944" ht="15.75" customHeight="1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</row>
    <row r="945" ht="15.7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</row>
    <row r="946" ht="15.75" customHeight="1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</row>
    <row r="947" ht="15.7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</row>
    <row r="948" ht="15.75" customHeight="1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</row>
    <row r="949" ht="15.7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</row>
    <row r="950" ht="15.75" customHeight="1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</row>
    <row r="951" ht="15.7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</row>
    <row r="952" ht="15.75" customHeight="1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</row>
    <row r="953" ht="15.7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</row>
    <row r="954" ht="15.75" customHeight="1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</row>
    <row r="955" ht="15.7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</row>
    <row r="956" ht="15.75" customHeight="1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</row>
    <row r="957" ht="15.7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</row>
    <row r="958" ht="15.75" customHeight="1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</row>
    <row r="959" ht="15.7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</row>
    <row r="960" ht="15.75" customHeight="1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</row>
    <row r="961" ht="15.7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</row>
    <row r="962" ht="15.75" customHeight="1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</row>
    <row r="963" ht="15.7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</row>
    <row r="964" ht="15.75" customHeight="1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</row>
    <row r="965" ht="15.7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</row>
    <row r="966" ht="15.75" customHeight="1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</row>
    <row r="967" ht="15.7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</row>
    <row r="968" ht="15.75" customHeight="1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</row>
    <row r="969" ht="15.7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</row>
    <row r="970" ht="15.75" customHeight="1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</row>
    <row r="971" ht="15.7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</row>
    <row r="972" ht="15.75" customHeight="1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</row>
    <row r="973" ht="15.7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</row>
    <row r="974" ht="15.75" customHeight="1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</row>
    <row r="975" ht="15.7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</row>
    <row r="976" ht="15.75" customHeight="1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</row>
    <row r="977" ht="15.7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</row>
    <row r="978" ht="15.75" customHeight="1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</row>
    <row r="979" ht="15.7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</row>
    <row r="980" ht="15.75" customHeight="1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</row>
    <row r="981" ht="15.75" customHeight="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</row>
    <row r="982" ht="15.75" customHeight="1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</row>
    <row r="983" ht="15.75" customHeight="1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</row>
    <row r="984" ht="15.75" customHeight="1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</row>
    <row r="985" ht="15.75" customHeight="1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</row>
    <row r="986" ht="15.75" customHeight="1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</row>
    <row r="987" ht="15.75" customHeight="1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</row>
    <row r="988" ht="15.75" customHeight="1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</row>
    <row r="989" ht="15.75" customHeight="1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</row>
    <row r="990" ht="15.75" customHeight="1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</row>
    <row r="991" ht="15.75" customHeight="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</row>
    <row r="992" ht="15.75" customHeight="1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</row>
    <row r="993" ht="15.75" customHeight="1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</row>
    <row r="994" ht="15.75" customHeight="1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</row>
    <row r="995" ht="15.75" customHeight="1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</row>
    <row r="996" ht="15.75" customHeight="1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</row>
    <row r="997" ht="15.75" customHeight="1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</row>
    <row r="998" ht="15.75" customHeight="1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</row>
    <row r="999" ht="15.75" customHeight="1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</row>
    <row r="1000" ht="15.75" customHeight="1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50.14"/>
    <col customWidth="1" min="2" max="11" width="10.0"/>
    <col customWidth="1" min="12" max="12" width="8.57"/>
    <col customWidth="1" min="13" max="13" width="34.71"/>
  </cols>
  <sheetData>
    <row r="1" ht="14.25" customHeight="1">
      <c r="A1" s="1" t="s">
        <v>212</v>
      </c>
      <c r="B1" s="1">
        <v>2026.0</v>
      </c>
      <c r="C1" s="1">
        <v>2027.0</v>
      </c>
      <c r="D1" s="1">
        <v>2028.0</v>
      </c>
      <c r="E1" s="1">
        <v>2029.0</v>
      </c>
      <c r="F1" s="1">
        <v>2030.0</v>
      </c>
      <c r="G1" s="1">
        <v>2031.0</v>
      </c>
      <c r="H1" s="1">
        <v>2032.0</v>
      </c>
      <c r="I1" s="1">
        <v>2033.0</v>
      </c>
      <c r="J1" s="1">
        <v>2034.0</v>
      </c>
      <c r="K1" s="1">
        <v>2035.0</v>
      </c>
      <c r="L1" s="16"/>
      <c r="M1" s="16"/>
    </row>
    <row r="2" ht="14.25" customHeight="1">
      <c r="A2" s="46" t="str">
        <f>parametros_manuales!$B$19</f>
        <v>Recepción de materia prima</v>
      </c>
      <c r="B2" s="47">
        <f>IF(B31*parametros_manuales!$M$19*parametros_manuales!$B$6=0,0,'Demanda puesto sin sobrestock'!$P$2/(parametros_manuales!$M$19*B31*parametros_manuales!$B$6))</f>
        <v>0.08852444444</v>
      </c>
      <c r="C2" s="47">
        <f>IF(C31*parametros_manuales!$M$19*parametros_manuales!$B$6=0,0,'Demanda puesto sin sobrestock'!$P$30/(parametros_manuales!$M$19*C31*parametros_manuales!$B$6))</f>
        <v>0.1397144444</v>
      </c>
      <c r="D2" s="47">
        <f>IF(D31*parametros_manuales!$M$19*parametros_manuales!$B$6=0,0,'Demanda puesto sin sobrestock'!$P$58/(parametros_manuales!$M$19*D31*parametros_manuales!$B$6))</f>
        <v>0.2980322222</v>
      </c>
      <c r="E2" s="47">
        <f>IF(E31*parametros_manuales!$M$19*parametros_manuales!$B$6=0,0,'Demanda puesto sin sobrestock'!$P$86/(parametros_manuales!$M$19*E31*parametros_manuales!$B$6))</f>
        <v>0.6625244444</v>
      </c>
      <c r="F2" s="48">
        <f>IF(F31*parametros_manuales!$M$19*parametros_manuales!$B$6=0,0,'Demanda puesto sin sobrestock'!$P$114/(parametros_manuales!$M$19*F31*parametros_manuales!$B$6))</f>
        <v>1.154962222</v>
      </c>
      <c r="G2" s="48">
        <f>IF(G31*parametros_manuales!$M$19*parametros_manuales!$B$6=0,0,'Demanda puesto sin sobrestock'!$P$142/(parametros_manuales!$M$19*G31*parametros_manuales!$B$6))</f>
        <v>1.62193</v>
      </c>
      <c r="H2" s="47">
        <f>IF(H31*parametros_manuales!$M$19*parametros_manuales!$B$6=0,0,'Demanda puesto sin sobrestock'!$P$170/(parametros_manuales!$M$19*H31*parametros_manuales!$B$6))</f>
        <v>2.237232222</v>
      </c>
      <c r="I2" s="49">
        <f>IF(I31*parametros_manuales!$M$19*parametros_manuales!$B$6=0,0,'Demanda puesto sin sobrestock'!$P$198/(parametros_manuales!$M$19*I31*parametros_manuales!$B$6))</f>
        <v>2.857481111</v>
      </c>
      <c r="J2" s="47">
        <f>IF(J31*parametros_manuales!$M$19*parametros_manuales!$B$6=0,0,'Demanda puesto sin sobrestock'!$P$226/(parametros_manuales!$M$19*J31*parametros_manuales!$B$6))</f>
        <v>3.222973333</v>
      </c>
      <c r="K2" s="47">
        <f>IF(K31*parametros_manuales!$M$19*parametros_manuales!$B$6=0,0,'Demanda puesto sin sobrestock'!$P$254/(parametros_manuales!$M$19*K31*parametros_manuales!$B$6))</f>
        <v>3.722437778</v>
      </c>
      <c r="L2" s="16"/>
      <c r="M2" s="16"/>
    </row>
    <row r="3" ht="14.25" customHeight="1">
      <c r="A3" s="46" t="str">
        <f>parametros_manuales!$B$20</f>
        <v>Corte de chapa — 1.er corte en franjas (guillotina 1)</v>
      </c>
      <c r="B3" s="47">
        <f>IF(B32*parametros_manuales!$M$20*parametros_manuales!$B$6=0,0,'Demanda puesto sin sobrestock'!$P$3/(parametros_manuales!$M$20*B32*parametros_manuales!$B$6))</f>
        <v>0.04451198468</v>
      </c>
      <c r="C3" s="47">
        <f>IF(C32*parametros_manuales!$M$20*parametros_manuales!$B$6=0,0,'Demanda puesto sin sobrestock'!$P$31/(parametros_manuales!$M$20*C32*parametros_manuales!$B$6))</f>
        <v>0.0702514119</v>
      </c>
      <c r="D3" s="47">
        <f>IF(D32*parametros_manuales!$M$20*parametros_manuales!$B$6=0,0,'Demanda puesto sin sobrestock'!$P$59/(parametros_manuales!$M$20*D32*parametros_manuales!$B$6))</f>
        <v>0.1498569778</v>
      </c>
      <c r="E3" s="47">
        <f>IF(E32*parametros_manuales!$M$20*parametros_manuales!$B$6=0,0,'Demanda puesto sin sobrestock'!$P$87/(parametros_manuales!$M$20*E32*parametros_manuales!$B$6))</f>
        <v>0.3331314656</v>
      </c>
      <c r="F3" s="47">
        <f>IF(F32*parametros_manuales!$M$20*parametros_manuales!$B$6=0,0,'Demanda puesto sin sobrestock'!$P$115/(parametros_manuales!$M$20*F32*parametros_manuales!$B$6))</f>
        <v>0.5807397161</v>
      </c>
      <c r="G3" s="47">
        <f>IF(G32*parametros_manuales!$M$20*parametros_manuales!$B$6=0,0,'Demanda puesto sin sobrestock'!$P$143/(parametros_manuales!$M$20*G32*parametros_manuales!$B$6))</f>
        <v>0.8155411057</v>
      </c>
      <c r="H3" s="47">
        <f>IF(H32*parametros_manuales!$M$20*parametros_manuales!$B$6=0,0,'Demanda puesto sin sobrestock'!$P$171/(parametros_manuales!$M$20*H32*parametros_manuales!$B$6))</f>
        <v>1.124928228</v>
      </c>
      <c r="I3" s="49">
        <f>IF(I32*parametros_manuales!$M$20*parametros_manuales!$B$6=0,0,'Demanda puesto sin sobrestock'!$P$199/(parametros_manuales!$M$20*I32*parametros_manuales!$B$6))</f>
        <v>1.436802639</v>
      </c>
      <c r="J3" s="47">
        <f>IF(J32*parametros_manuales!$M$20*parametros_manuales!$B$6=0,0,'Demanda puesto sin sobrestock'!$P$227/(parametros_manuales!$M$20*J32*parametros_manuales!$B$6))</f>
        <v>1.620579949</v>
      </c>
      <c r="K3" s="47">
        <f>IF(K32*parametros_manuales!$M$20*parametros_manuales!$B$6=0,0,'Demanda puesto sin sobrestock'!$P$255/(parametros_manuales!$M$20*K32*parametros_manuales!$B$6))</f>
        <v>1.871721357</v>
      </c>
      <c r="L3" s="16"/>
      <c r="M3" s="16"/>
    </row>
    <row r="4" ht="14.25" customHeight="1">
      <c r="A4" s="46" t="str">
        <f>parametros_manuales!$B$21</f>
        <v>Corte de chapa — 2.º corte en piezas (guillotina 2)</v>
      </c>
      <c r="B4" s="47">
        <f>IF(B33*parametros_manuales!$M$21*parametros_manuales!$B$6=0,0,'Demanda puesto sin sobrestock'!$P$4/(parametros_manuales!$M$21*B33*parametros_manuales!$B$6))</f>
        <v>0.03427156817</v>
      </c>
      <c r="C4" s="47">
        <f>IF(C33*parametros_manuales!$M$21*parametros_manuales!$B$6=0,0,'Demanda puesto sin sobrestock'!$P$32/(parametros_manuales!$M$21*C33*parametros_manuales!$B$6))</f>
        <v>0.05408938895</v>
      </c>
      <c r="D4" s="47">
        <f>IF(D33*parametros_manuales!$M$21*parametros_manuales!$B$6=0,0,'Demanda puesto sin sobrestock'!$P$60/(parametros_manuales!$M$21*D33*parametros_manuales!$B$6))</f>
        <v>0.1153809175</v>
      </c>
      <c r="E4" s="47">
        <f>IF(E33*parametros_manuales!$M$21*parametros_manuales!$B$6=0,0,'Demanda puesto sin sobrestock'!$P$88/(parametros_manuales!$M$21*E33*parametros_manuales!$B$6))</f>
        <v>0.2564913206</v>
      </c>
      <c r="F4" s="47">
        <f>IF(F33*parametros_manuales!$M$21*parametros_manuales!$B$6=0,0,'Demanda puesto sin sobrestock'!$P$116/(parametros_manuales!$M$21*F33*parametros_manuales!$B$6))</f>
        <v>0.4471348765</v>
      </c>
      <c r="G4" s="47">
        <f>IF(G33*parametros_manuales!$M$21*parametros_manuales!$B$6=0,0,'Demanda puesto sin sobrestock'!$P$144/(parametros_manuales!$M$21*G33*parametros_manuales!$B$6))</f>
        <v>0.6279179148</v>
      </c>
      <c r="H4" s="47">
        <f>IF(H33*parametros_manuales!$M$21*parametros_manuales!$B$6=0,0,'Demanda puesto sin sobrestock'!$P$172/(parametros_manuales!$M$21*H33*parametros_manuales!$B$6))</f>
        <v>0.8661275098</v>
      </c>
      <c r="I4" s="49">
        <f>IF(I33*parametros_manuales!$M$21*parametros_manuales!$B$6=0,0,'Demanda puesto sin sobrestock'!$P$200/(parametros_manuales!$M$21*I33*parametros_manuales!$B$6))</f>
        <v>1.106252169</v>
      </c>
      <c r="J4" s="47">
        <f>IF(J33*parametros_manuales!$M$21*parametros_manuales!$B$6=0,0,'Demanda puesto sin sobrestock'!$P$228/(parametros_manuales!$M$21*J33*parametros_manuales!$B$6))</f>
        <v>1.247749715</v>
      </c>
      <c r="K4" s="47">
        <f>IF(K33*parametros_manuales!$M$21*parametros_manuales!$B$6=0,0,'Demanda puesto sin sobrestock'!$P$256/(parametros_manuales!$M$21*K33*parametros_manuales!$B$6))</f>
        <v>1.441113592</v>
      </c>
      <c r="L4" s="16"/>
      <c r="M4" s="16"/>
    </row>
    <row r="5" ht="14.25" customHeight="1">
      <c r="A5" s="46" t="str">
        <f>parametros_manuales!$B$22</f>
        <v>Corte de disco y embutido (cúpula y fondo)</v>
      </c>
      <c r="B5" s="47">
        <f>IF(B34*parametros_manuales!$M$22*parametros_manuales!$B$6=0,0,'Demanda puesto sin sobrestock'!$P$5/(parametros_manuales!$M$22*B34*parametros_manuales!$B$6))</f>
        <v>0.03471546841</v>
      </c>
      <c r="C5" s="47">
        <f>IF(C34*parametros_manuales!$M$22*parametros_manuales!$B$6=0,0,'Demanda puesto sin sobrestock'!$P$33/(parametros_manuales!$M$22*C34*parametros_manuales!$B$6))</f>
        <v>0.05478997821</v>
      </c>
      <c r="D5" s="47">
        <f>IF(D34*parametros_manuales!$M$22*parametros_manuales!$B$6=0,0,'Demanda puesto sin sobrestock'!$P$61/(parametros_manuales!$M$22*D34*parametros_manuales!$B$6))</f>
        <v>0.1168753813</v>
      </c>
      <c r="E5" s="47">
        <f>IF(E34*parametros_manuales!$M$22*parametros_manuales!$B$6=0,0,'Demanda puesto sin sobrestock'!$P$89/(parametros_manuales!$M$22*E34*parametros_manuales!$B$6))</f>
        <v>0.2598135076</v>
      </c>
      <c r="F5" s="47">
        <f>IF(F34*parametros_manuales!$M$22*parametros_manuales!$B$6=0,0,'Demanda puesto sin sobrestock'!$P$117/(parametros_manuales!$M$22*F34*parametros_manuales!$B$6))</f>
        <v>0.4529263617</v>
      </c>
      <c r="G5" s="47">
        <f>IF(G34*parametros_manuales!$M$22*parametros_manuales!$B$6=0,0,'Demanda puesto sin sobrestock'!$P$145/(parametros_manuales!$M$22*G34*parametros_manuales!$B$6))</f>
        <v>0.6360509804</v>
      </c>
      <c r="H5" s="47">
        <f>IF(H34*parametros_manuales!$M$22*parametros_manuales!$B$6=0,0,'Demanda puesto sin sobrestock'!$P$173/(parametros_manuales!$M$22*H34*parametros_manuales!$B$6))</f>
        <v>0.8773459695</v>
      </c>
      <c r="I5" s="49">
        <f>IF(I34*parametros_manuales!$M$22*parametros_manuales!$B$6=0,0,'Demanda puesto sin sobrestock'!$P$201/(parametros_manuales!$M$22*I34*parametros_manuales!$B$6))</f>
        <v>1.120580828</v>
      </c>
      <c r="J5" s="47">
        <f>IF(J34*parametros_manuales!$M$22*parametros_manuales!$B$6=0,0,'Demanda puesto sin sobrestock'!$P$229/(parametros_manuales!$M$22*J34*parametros_manuales!$B$6))</f>
        <v>1.263911111</v>
      </c>
      <c r="K5" s="47">
        <f>IF(K34*parametros_manuales!$M$22*parametros_manuales!$B$6=0,0,'Demanda puesto sin sobrestock'!$P$257/(parametros_manuales!$M$22*K34*parametros_manuales!$B$6))</f>
        <v>1.459779521</v>
      </c>
      <c r="L5" s="16"/>
      <c r="M5" s="16"/>
    </row>
    <row r="6" ht="14.25" customHeight="1">
      <c r="A6" s="46" t="str">
        <f>parametros_manuales!$B$23</f>
        <v>Preparación de cuello</v>
      </c>
      <c r="B6" s="47">
        <f>IF(B35*parametros_manuales!$M$23*parametros_manuales!$B$6=0,0,'Demanda puesto sin sobrestock'!$P$6/(parametros_manuales!$M$23*B35*parametros_manuales!$B$6))</f>
        <v>0.08852444444</v>
      </c>
      <c r="C6" s="47">
        <f>IF(C35*parametros_manuales!$M$23*parametros_manuales!$B$6=0,0,'Demanda puesto sin sobrestock'!$P$34/(parametros_manuales!$M$23*C35*parametros_manuales!$B$6))</f>
        <v>0.1397144444</v>
      </c>
      <c r="D6" s="47">
        <f>IF(D35*parametros_manuales!$M$23*parametros_manuales!$B$6=0,0,'Demanda puesto sin sobrestock'!$P$62/(parametros_manuales!$M$23*D35*parametros_manuales!$B$6))</f>
        <v>0.2980322222</v>
      </c>
      <c r="E6" s="47">
        <f>IF(E35*parametros_manuales!$M$23*parametros_manuales!$B$6=0,0,'Demanda puesto sin sobrestock'!$P$90/(parametros_manuales!$M$23*E35*parametros_manuales!$B$6))</f>
        <v>0.6625244444</v>
      </c>
      <c r="F6" s="50">
        <f>IF(F35*parametros_manuales!$M$23*parametros_manuales!$B$6=0,0,'Demanda puesto sin sobrestock'!$P$118/(parametros_manuales!$M$23*F35*parametros_manuales!$B$6))</f>
        <v>1.154962222</v>
      </c>
      <c r="G6" s="47">
        <f>IF(G35*parametros_manuales!$M$23*parametros_manuales!$B$6=0,0,'Demanda puesto sin sobrestock'!$P$146/(parametros_manuales!$M$23*G35*parametros_manuales!$B$6))</f>
        <v>1.62193</v>
      </c>
      <c r="H6" s="49">
        <f>IF(H35*parametros_manuales!$M$23*parametros_manuales!$B$6=0,0,'Demanda puesto sin sobrestock'!$P$174/(parametros_manuales!$M$23*H35*parametros_manuales!$B$6))</f>
        <v>2.237232222</v>
      </c>
      <c r="I6" s="47">
        <f>IF(I35*parametros_manuales!$M$23*parametros_manuales!$B$6=0,0,'Demanda puesto sin sobrestock'!$P$202/(parametros_manuales!$M$23*I35*parametros_manuales!$B$6))</f>
        <v>2.857481111</v>
      </c>
      <c r="J6" s="47">
        <f>IF(J35*parametros_manuales!$M$23*parametros_manuales!$B$6=0,0,'Demanda puesto sin sobrestock'!$P$230/(parametros_manuales!$M$23*J35*parametros_manuales!$B$6))</f>
        <v>3.222973333</v>
      </c>
      <c r="K6" s="51">
        <f>IF(K35*parametros_manuales!$M$23*parametros_manuales!$B$6=0,0,'Demanda puesto sin sobrestock'!$P$258/(parametros_manuales!$M$23*K35*parametros_manuales!$B$6))</f>
        <v>3.722437778</v>
      </c>
      <c r="L6" s="16"/>
      <c r="M6" s="16"/>
    </row>
    <row r="7" ht="14.25" customHeight="1">
      <c r="A7" s="46" t="str">
        <f>parametros_manuales!$B$24</f>
        <v>Numerado de cúpula</v>
      </c>
      <c r="B7" s="47">
        <f>IF(B36*parametros_manuales!$M$24*parametros_manuales!$B$6=0,0,'Demanda puesto sin sobrestock'!$P$7/(parametros_manuales!$M$24*B36*parametros_manuales!$B$6))</f>
        <v>0.02950814815</v>
      </c>
      <c r="C7" s="47">
        <f>IF(C36*parametros_manuales!$M$24*parametros_manuales!$B$6=0,0,'Demanda puesto sin sobrestock'!$P$35/(parametros_manuales!$M$24*C36*parametros_manuales!$B$6))</f>
        <v>0.04657148148</v>
      </c>
      <c r="D7" s="47">
        <f>IF(D36*parametros_manuales!$M$24*parametros_manuales!$B$6=0,0,'Demanda puesto sin sobrestock'!$P$63/(parametros_manuales!$M$24*D36*parametros_manuales!$B$6))</f>
        <v>0.09934407407</v>
      </c>
      <c r="E7" s="47">
        <f>IF(E36*parametros_manuales!$M$24*parametros_manuales!$B$6=0,0,'Demanda puesto sin sobrestock'!$P$91/(parametros_manuales!$M$24*E36*parametros_manuales!$B$6))</f>
        <v>0.2208414815</v>
      </c>
      <c r="F7" s="47">
        <f>IF(F36*parametros_manuales!$M$24*parametros_manuales!$B$6=0,0,'Demanda puesto sin sobrestock'!$P$119/(parametros_manuales!$M$24*F36*parametros_manuales!$B$6))</f>
        <v>0.3849874074</v>
      </c>
      <c r="G7" s="47">
        <f>IF(G36*parametros_manuales!$M$24*parametros_manuales!$B$6=0,0,'Demanda puesto sin sobrestock'!$P$147/(parametros_manuales!$M$24*G36*parametros_manuales!$B$6))</f>
        <v>0.5406433333</v>
      </c>
      <c r="H7" s="47">
        <f>IF(H36*parametros_manuales!$M$24*parametros_manuales!$B$6=0,0,'Demanda puesto sin sobrestock'!$P$175/(parametros_manuales!$M$24*H36*parametros_manuales!$B$6))</f>
        <v>0.7457440741</v>
      </c>
      <c r="I7" s="49">
        <f>IF(I36*parametros_manuales!$M$24*parametros_manuales!$B$6=0,0,'Demanda puesto sin sobrestock'!$P$203/(parametros_manuales!$M$24*I36*parametros_manuales!$B$6))</f>
        <v>0.9524937037</v>
      </c>
      <c r="J7" s="47">
        <f>IF(J36*parametros_manuales!$M$24*parametros_manuales!$B$6=0,0,'Demanda puesto sin sobrestock'!$P$231/(parametros_manuales!$M$24*J36*parametros_manuales!$B$6))</f>
        <v>1.074324444</v>
      </c>
      <c r="K7" s="47">
        <f>IF(K36*parametros_manuales!$M$24*parametros_manuales!$B$6=0,0,'Demanda puesto sin sobrestock'!$P$259/(parametros_manuales!$M$24*K36*parametros_manuales!$B$6))</f>
        <v>1.240812593</v>
      </c>
      <c r="L7" s="16"/>
      <c r="M7" s="52" t="s">
        <v>213</v>
      </c>
    </row>
    <row r="8" ht="14.25" customHeight="1">
      <c r="A8" s="46" t="str">
        <f>parametros_manuales!$B$25</f>
        <v>Soldadura del cuello a la cúpula</v>
      </c>
      <c r="B8" s="47">
        <f>IF(B37*parametros_manuales!$M$25*parametros_manuales!$B$6=0,0,'Demanda puesto sin sobrestock'!$P$8/(parametros_manuales!$M$25*B37*parametros_manuales!$B$6))</f>
        <v>0.0378957382</v>
      </c>
      <c r="C8" s="47">
        <f>IF(C37*parametros_manuales!$M$25*parametros_manuales!$B$6=0,0,'Demanda puesto sin sobrestock'!$P$36/(parametros_manuales!$M$25*C37*parametros_manuales!$B$6))</f>
        <v>0.0598092656</v>
      </c>
      <c r="D8" s="47">
        <f>IF(D37*parametros_manuales!$M$25*parametros_manuales!$B$6=0,0,'Demanda puesto sin sobrestock'!$P$64/(parametros_manuales!$M$25*D37*parametros_manuales!$B$6))</f>
        <v>0.1275822869</v>
      </c>
      <c r="E8" s="47">
        <f>IF(E37*parametros_manuales!$M$25*parametros_manuales!$B$6=0,0,'Demanda puesto sin sobrestock'!$P$92/(parametros_manuales!$M$25*E37*parametros_manuales!$B$6))</f>
        <v>0.2836149163</v>
      </c>
      <c r="F8" s="47">
        <f>IF(F37*parametros_manuales!$M$25*parametros_manuales!$B$6=0,0,'Demanda puesto sin sobrestock'!$P$120/(parametros_manuales!$M$25*F37*parametros_manuales!$B$6))</f>
        <v>0.4944187595</v>
      </c>
      <c r="G8" s="47">
        <f>IF(G37*parametros_manuales!$M$25*parametros_manuales!$B$6=0,0,'Demanda puesto sin sobrestock'!$P$148/(parametros_manuales!$M$25*G37*parametros_manuales!$B$6))</f>
        <v>0.6943193493</v>
      </c>
      <c r="H8" s="49">
        <f>IF(H37*parametros_manuales!$M$25*parametros_manuales!$B$6=0,0,'Demanda puesto sin sobrestock'!$P$176/(parametros_manuales!$M$25*H37*parametros_manuales!$B$6))</f>
        <v>0.9577192732</v>
      </c>
      <c r="I8" s="47">
        <f>IF(I37*parametros_manuales!$M$25*parametros_manuales!$B$6=0,0,'Demanda puesto sin sobrestock'!$P$204/(parametros_manuales!$M$25*I37*parametros_manuales!$B$6))</f>
        <v>1.223236777</v>
      </c>
      <c r="J8" s="47">
        <f>IF(J37*parametros_manuales!$M$25*parametros_manuales!$B$6=0,0,'Demanda puesto sin sobrestock'!$P$232/(parametros_manuales!$M$25*J37*parametros_manuales!$B$6))</f>
        <v>1.379697489</v>
      </c>
      <c r="K8" s="47">
        <f>IF(K37*parametros_manuales!$M$25*parametros_manuales!$B$6=0,0,'Demanda puesto sin sobrestock'!$P$260/(parametros_manuales!$M$25*K37*parametros_manuales!$B$6))</f>
        <v>1.593509323</v>
      </c>
      <c r="L8" s="16"/>
      <c r="M8" s="53" t="s">
        <v>214</v>
      </c>
    </row>
    <row r="9" ht="14.25" customHeight="1">
      <c r="A9" s="46" t="str">
        <f>parametros_manuales!$B$26</f>
        <v>Cilindrado</v>
      </c>
      <c r="B9" s="47">
        <f>IF(B38*parametros_manuales!$M$26*parametros_manuales!$B$6=0,0,'Demanda puesto sin sobrestock'!$P$9/(parametros_manuales!$M$26*B38*parametros_manuales!$B$6))</f>
        <v>0.02243018018</v>
      </c>
      <c r="C9" s="47">
        <f>IF(C38*parametros_manuales!$M$26*parametros_manuales!$B$6=0,0,'Demanda puesto sin sobrestock'!$P$37/(parametros_manuales!$M$26*C38*parametros_manuales!$B$6))</f>
        <v>0.03540061937</v>
      </c>
      <c r="D9" s="47">
        <f>IF(D38*parametros_manuales!$M$26*parametros_manuales!$B$6=0,0,'Demanda puesto sin sobrestock'!$P$65/(parametros_manuales!$M$26*D38*parametros_manuales!$B$6))</f>
        <v>0.07551492117</v>
      </c>
      <c r="E9" s="47">
        <f>IF(E38*parametros_manuales!$M$26*parametros_manuales!$B$6=0,0,'Demanda puesto sin sobrestock'!$P$93/(parametros_manuales!$M$26*E38*parametros_manuales!$B$6))</f>
        <v>0.1678693694</v>
      </c>
      <c r="F9" s="47">
        <f>IF(F38*parametros_manuales!$M$26*parametros_manuales!$B$6=0,0,'Demanda puesto sin sobrestock'!$P$121/(parametros_manuales!$M$26*F38*parametros_manuales!$B$6))</f>
        <v>0.292642455</v>
      </c>
      <c r="G9" s="47">
        <f>IF(G38*parametros_manuales!$M$26*parametros_manuales!$B$6=0,0,'Demanda puesto sin sobrestock'!$P$149/(parametros_manuales!$M$26*G38*parametros_manuales!$B$6))</f>
        <v>0.4109619932</v>
      </c>
      <c r="H9" s="47">
        <f>IF(H38*parametros_manuales!$M$26*parametros_manuales!$B$6=0,0,'Demanda puesto sin sobrestock'!$P$177/(parametros_manuales!$M$26*H38*parametros_manuales!$B$6))</f>
        <v>0.5668662725</v>
      </c>
      <c r="I9" s="49">
        <f>IF(I38*parametros_manuales!$M$26*parametros_manuales!$B$6=0,0,'Demanda puesto sin sobrestock'!$P$205/(parametros_manuales!$M$26*I38*parametros_manuales!$B$6))</f>
        <v>0.7240239302</v>
      </c>
      <c r="J9" s="47">
        <f>IF(J38*parametros_manuales!$M$26*parametros_manuales!$B$6=0,0,'Demanda puesto sin sobrestock'!$P$233/(parametros_manuales!$M$26*J38*parametros_manuales!$B$6))</f>
        <v>0.8166317568</v>
      </c>
      <c r="K9" s="47">
        <f>IF(K38*parametros_manuales!$M$26*parametros_manuales!$B$6=0,0,'Demanda puesto sin sobrestock'!$P$261/(parametros_manuales!$M$26*K38*parametros_manuales!$B$6))</f>
        <v>0.9431852477</v>
      </c>
      <c r="L9" s="16"/>
      <c r="M9" s="54" t="s">
        <v>215</v>
      </c>
    </row>
    <row r="10" ht="14.25" customHeight="1">
      <c r="A10" s="46" t="str">
        <f>parametros_manuales!$B$27</f>
        <v>Soldadura longitudinal — 2,5 a 10 kg</v>
      </c>
      <c r="B10" s="47">
        <f>IF(B39*parametros_manuales!$M$27*parametros_manuales!$B$6=0,0,'Demanda puesto sin sobrestock'!$P$10/(parametros_manuales!$M$27*B39*parametros_manuales!$B$6))</f>
        <v>0.06372484985</v>
      </c>
      <c r="C10" s="47">
        <f>IF(C39*parametros_manuales!$M$27*parametros_manuales!$B$6=0,0,'Demanda puesto sin sobrestock'!$P$38/(parametros_manuales!$M$27*C39*parametros_manuales!$B$6))</f>
        <v>0.1160770458</v>
      </c>
      <c r="D10" s="47">
        <f>IF(D39*parametros_manuales!$M$27*parametros_manuales!$B$6=0,0,'Demanda puesto sin sobrestock'!$P$66/(parametros_manuales!$M$27*D39*parametros_manuales!$B$6))</f>
        <v>0.2030220533</v>
      </c>
      <c r="E10" s="47">
        <f>IF(E39*parametros_manuales!$M$27*parametros_manuales!$B$6=0,0,'Demanda puesto sin sobrestock'!$P$94/(parametros_manuales!$M$27*E39*parametros_manuales!$B$6))</f>
        <v>0.376271021</v>
      </c>
      <c r="F10" s="47">
        <f>IF(F39*parametros_manuales!$M$27*parametros_manuales!$B$6=0,0,'Demanda puesto sin sobrestock'!$P$122/(parametros_manuales!$M$27*F39*parametros_manuales!$B$6))</f>
        <v>0.6347317943</v>
      </c>
      <c r="G10" s="47">
        <f>IF(G39*parametros_manuales!$M$27*parametros_manuales!$B$6=0,0,'Demanda puesto sin sobrestock'!$P$150/(parametros_manuales!$M$27*G39*parametros_manuales!$B$6))</f>
        <v>0.8895599662</v>
      </c>
      <c r="H10" s="49">
        <f>IF(H39*parametros_manuales!$M$27*parametros_manuales!$B$6=0,0,'Demanda puesto sin sobrestock'!$P$178/(parametros_manuales!$M$27*H39*parametros_manuales!$B$6))</f>
        <v>1.19450854</v>
      </c>
      <c r="I10" s="47">
        <f>IF(I39*parametros_manuales!$M$27*parametros_manuales!$B$6=0,0,'Demanda puesto sin sobrestock'!$P$206/(parametros_manuales!$M$27*I39*parametros_manuales!$B$6))</f>
        <v>1.506864771</v>
      </c>
      <c r="J10" s="47">
        <f>IF(J39*parametros_manuales!$M$27*parametros_manuales!$B$6=0,0,'Demanda puesto sin sobrestock'!$P$234/(parametros_manuales!$M$27*J39*parametros_manuales!$B$6))</f>
        <v>1.718006757</v>
      </c>
      <c r="K10" s="51">
        <f>IF(K39*parametros_manuales!$M$27*parametros_manuales!$B$6=0,0,'Demanda puesto sin sobrestock'!$P$262/(parametros_manuales!$M$27*K39*parametros_manuales!$B$6))</f>
        <v>1.983020458</v>
      </c>
      <c r="L10" s="16"/>
      <c r="M10" s="55" t="s">
        <v>216</v>
      </c>
    </row>
    <row r="11" ht="14.25" customHeight="1">
      <c r="A11" s="46" t="str">
        <f>parametros_manuales!$B$28</f>
        <v>Soldadura longitudinal TIG — 1 kg</v>
      </c>
      <c r="B11" s="47">
        <f>IF(B40*parametros_manuales!$M$28*parametros_manuales!$B$6=0,0,'Demanda puesto sin sobrestock'!$P$11/(parametros_manuales!$M$28*B40*parametros_manuales!$B$6))</f>
        <v>0.02786</v>
      </c>
      <c r="C11" s="47">
        <f>IF(C40*parametros_manuales!$M$28*parametros_manuales!$B$6=0,0,'Demanda puesto sin sobrestock'!$P$39/(parametros_manuales!$M$28*C40*parametros_manuales!$B$6))</f>
        <v>0.03998</v>
      </c>
      <c r="D11" s="47">
        <f>IF(D40*parametros_manuales!$M$28*parametros_manuales!$B$6=0,0,'Demanda puesto sin sobrestock'!$P$67/(parametros_manuales!$M$28*D40*parametros_manuales!$B$6))</f>
        <v>0.09676</v>
      </c>
      <c r="E11" s="47">
        <f>IF(E40*parametros_manuales!$M$28*parametros_manuales!$B$6=0,0,'Demanda puesto sin sobrestock'!$P$95/(parametros_manuales!$M$28*E40*parametros_manuales!$B$6))</f>
        <v>0.2344133333</v>
      </c>
      <c r="F11" s="47">
        <f>IF(F40*parametros_manuales!$M$28*parametros_manuales!$B$6=0,0,'Demanda puesto sin sobrestock'!$P$123/(parametros_manuales!$M$28*F40*parametros_manuales!$B$6))</f>
        <v>0.4141066667</v>
      </c>
      <c r="G11" s="47">
        <f>IF(G40*parametros_manuales!$M$28*parametros_manuales!$B$6=0,0,'Demanda puesto sin sobrestock'!$P$151/(parametros_manuales!$M$28*G40*parametros_manuales!$B$6))</f>
        <v>0.582</v>
      </c>
      <c r="H11" s="49">
        <f>IF(H40*parametros_manuales!$M$28*parametros_manuales!$B$6=0,0,'Demanda puesto sin sobrestock'!$P$179/(parametros_manuales!$M$28*H40*parametros_manuales!$B$6))</f>
        <v>0.81116</v>
      </c>
      <c r="I11" s="47">
        <f>IF(I40*parametros_manuales!$M$28*parametros_manuales!$B$6=0,0,'Demanda puesto sin sobrestock'!$P$207/(parametros_manuales!$M$28*I40*parametros_manuales!$B$6))</f>
        <v>1.040886667</v>
      </c>
      <c r="J11" s="47">
        <f>IF(J40*parametros_manuales!$M$28*parametros_manuales!$B$6=0,0,'Demanda puesto sin sobrestock'!$P$235/(parametros_manuales!$M$28*J40*parametros_manuales!$B$6))</f>
        <v>1.169286667</v>
      </c>
      <c r="K11" s="51">
        <f>IF(K40*parametros_manuales!$M$28*parametros_manuales!$B$6=0,0,'Demanda puesto sin sobrestock'!$P$263/(parametros_manuales!$M$28*K40*parametros_manuales!$B$6))</f>
        <v>1.350806667</v>
      </c>
      <c r="L11" s="16"/>
      <c r="M11" s="56" t="s">
        <v>217</v>
      </c>
    </row>
    <row r="12" ht="14.25" customHeight="1">
      <c r="A12" s="46" t="str">
        <f>parametros_manuales!$B$29</f>
        <v>Encastre de fondo</v>
      </c>
      <c r="B12" s="47">
        <f>IF(B41*parametros_manuales!$M$29*parametros_manuales!$B$6=0,0,'Demanda puesto sin sobrestock'!$P$12/(parametros_manuales!$M$29*B41*parametros_manuales!$B$6))</f>
        <v>0.04506334842</v>
      </c>
      <c r="C12" s="47">
        <f>IF(C41*parametros_manuales!$M$29*parametros_manuales!$B$6=0,0,'Demanda puesto sin sobrestock'!$P$40/(parametros_manuales!$M$29*C41*parametros_manuales!$B$6))</f>
        <v>0.07112160633</v>
      </c>
      <c r="D12" s="47">
        <f>IF(D41*parametros_manuales!$M$29*parametros_manuales!$B$6=0,0,'Demanda puesto sin sobrestock'!$P$68/(parametros_manuales!$M$29*D41*parametros_manuales!$B$6))</f>
        <v>0.1517132353</v>
      </c>
      <c r="E12" s="47">
        <f>IF(E41*parametros_manuales!$M$29*parametros_manuales!$B$6=0,0,'Demanda puesto sin sobrestock'!$P$96/(parametros_manuales!$M$29*E41*parametros_manuales!$B$6))</f>
        <v>0.3372579186</v>
      </c>
      <c r="F12" s="47">
        <f>IF(F41*parametros_manuales!$M$29*parametros_manuales!$B$6=0,0,'Demanda puesto sin sobrestock'!$P$124/(parametros_manuales!$M$29*F41*parametros_manuales!$B$6))</f>
        <v>0.5879332579</v>
      </c>
      <c r="G12" s="47">
        <f>IF(G41*parametros_manuales!$M$29*parametros_manuales!$B$6=0,0,'Demanda puesto sin sobrestock'!$P$152/(parametros_manuales!$M$29*G41*parametros_manuales!$B$6))</f>
        <v>0.8256430995</v>
      </c>
      <c r="H12" s="49">
        <f>IF(H41*parametros_manuales!$M$29*parametros_manuales!$B$6=0,0,'Demanda puesto sin sobrestock'!$P$180/(parametros_manuales!$M$29*H41*parametros_manuales!$B$6))</f>
        <v>1.138862557</v>
      </c>
      <c r="I12" s="47">
        <f>IF(I41*parametros_manuales!$M$29*parametros_manuales!$B$6=0,0,'Demanda puesto sin sobrestock'!$P$208/(parametros_manuales!$M$29*I41*parametros_manuales!$B$6))</f>
        <v>1.454600113</v>
      </c>
      <c r="J12" s="47">
        <f>IF(J41*parametros_manuales!$M$29*parametros_manuales!$B$6=0,0,'Demanda puesto sin sobrestock'!$P$236/(parametros_manuales!$M$29*J41*parametros_manuales!$B$6))</f>
        <v>1.640653846</v>
      </c>
      <c r="K12" s="51">
        <f>IF(K41*parametros_manuales!$M$29*parametros_manuales!$B$6=0,0,'Demanda puesto sin sobrestock'!$P$264/(parametros_manuales!$M$29*K41*parametros_manuales!$B$6))</f>
        <v>1.894906109</v>
      </c>
      <c r="L12" s="16"/>
      <c r="M12" s="16"/>
    </row>
    <row r="13" ht="14.25" customHeight="1">
      <c r="A13" s="46" t="str">
        <f>parametros_manuales!$B$30</f>
        <v>Bordoneado</v>
      </c>
      <c r="B13" s="47">
        <f>IF(B42*parametros_manuales!$M$30*parametros_manuales!$B$6=0,0,'Demanda puesto sin sobrestock'!$P$13/(parametros_manuales!$M$30*B42*parametros_manuales!$B$6))</f>
        <v>0.03004223228</v>
      </c>
      <c r="C13" s="47">
        <f>IF(C42*parametros_manuales!$M$30*parametros_manuales!$B$6=0,0,'Demanda puesto sin sobrestock'!$P$41/(parametros_manuales!$M$30*C42*parametros_manuales!$B$6))</f>
        <v>0.04741440422</v>
      </c>
      <c r="D13" s="47">
        <f>IF(D42*parametros_manuales!$M$30*parametros_manuales!$B$6=0,0,'Demanda puesto sin sobrestock'!$P$69/(parametros_manuales!$M$30*D42*parametros_manuales!$B$6))</f>
        <v>0.1011421569</v>
      </c>
      <c r="E13" s="47">
        <f>IF(E42*parametros_manuales!$M$30*parametros_manuales!$B$6=0,0,'Demanda puesto sin sobrestock'!$P$97/(parametros_manuales!$M$30*E42*parametros_manuales!$B$6))</f>
        <v>0.2248386124</v>
      </c>
      <c r="F13" s="47">
        <f>IF(F42*parametros_manuales!$M$30*parametros_manuales!$B$6=0,0,'Demanda puesto sin sobrestock'!$P$125/(parametros_manuales!$M$30*F42*parametros_manuales!$B$6))</f>
        <v>0.3919555053</v>
      </c>
      <c r="G13" s="47">
        <f>IF(G42*parametros_manuales!$M$30*parametros_manuales!$B$6=0,0,'Demanda puesto sin sobrestock'!$P$153/(parametros_manuales!$M$30*G42*parametros_manuales!$B$6))</f>
        <v>0.550428733</v>
      </c>
      <c r="H13" s="47">
        <f>IF(H42*parametros_manuales!$M$30*parametros_manuales!$B$6=0,0,'Demanda puesto sin sobrestock'!$P$181/(parametros_manuales!$M$30*H42*parametros_manuales!$B$6))</f>
        <v>0.7592417044</v>
      </c>
      <c r="I13" s="49">
        <f>IF(I42*parametros_manuales!$M$30*parametros_manuales!$B$6=0,0,'Demanda puesto sin sobrestock'!$P$209/(parametros_manuales!$M$30*I42*parametros_manuales!$B$6))</f>
        <v>0.9697334087</v>
      </c>
      <c r="J13" s="47">
        <f>IF(J42*parametros_manuales!$M$30*parametros_manuales!$B$6=0,0,'Demanda puesto sin sobrestock'!$P$237/(parametros_manuales!$M$30*J42*parametros_manuales!$B$6))</f>
        <v>1.093769231</v>
      </c>
      <c r="K13" s="47">
        <f>IF(K42*parametros_manuales!$M$30*parametros_manuales!$B$6=0,0,'Demanda puesto sin sobrestock'!$P$265/(parametros_manuales!$M$30*K42*parametros_manuales!$B$6))</f>
        <v>1.263270739</v>
      </c>
      <c r="L13" s="16"/>
      <c r="M13" s="16"/>
    </row>
    <row r="14" ht="14.25" customHeight="1">
      <c r="A14" s="46" t="str">
        <f>parametros_manuales!$B$31</f>
        <v>Soldadura circunferencial de cúpula y fondo</v>
      </c>
      <c r="B14" s="47">
        <f>IF(B43*parametros_manuales!$M$31*parametros_manuales!$B$6=0,0,'Demanda puesto sin sobrestock'!$P$14/(parametros_manuales!$M$31*B43*parametros_manuales!$B$6))</f>
        <v>0.09012669683</v>
      </c>
      <c r="C14" s="47">
        <f>IF(C43*parametros_manuales!$M$31*parametros_manuales!$B$6=0,0,'Demanda puesto sin sobrestock'!$P$42/(parametros_manuales!$M$31*C43*parametros_manuales!$B$6))</f>
        <v>0.1422432127</v>
      </c>
      <c r="D14" s="47">
        <f>IF(D43*parametros_manuales!$M$31*parametros_manuales!$B$6=0,0,'Demanda puesto sin sobrestock'!$P$70/(parametros_manuales!$M$31*D43*parametros_manuales!$B$6))</f>
        <v>0.3034264706</v>
      </c>
      <c r="E14" s="47">
        <f>IF(E43*parametros_manuales!$M$31*parametros_manuales!$B$6=0,0,'Demanda puesto sin sobrestock'!$P$98/(parametros_manuales!$M$31*E43*parametros_manuales!$B$6))</f>
        <v>0.6745158371</v>
      </c>
      <c r="F14" s="50">
        <f>IF(F43*parametros_manuales!$M$31*parametros_manuales!$B$6=0,0,'Demanda puesto sin sobrestock'!$P$126/(parametros_manuales!$M$31*F43*parametros_manuales!$B$6))</f>
        <v>1.175866516</v>
      </c>
      <c r="G14" s="47">
        <f>IF(G43*parametros_manuales!$M$31*parametros_manuales!$B$6=0,0,'Demanda puesto sin sobrestock'!$P$154/(parametros_manuales!$M$31*G43*parametros_manuales!$B$6))</f>
        <v>1.651286199</v>
      </c>
      <c r="H14" s="49">
        <f>IF(H43*parametros_manuales!$M$31*parametros_manuales!$B$6=0,0,'Demanda puesto sin sobrestock'!$P$182/(parametros_manuales!$M$31*H43*parametros_manuales!$B$6))</f>
        <v>2.277725113</v>
      </c>
      <c r="I14" s="47">
        <f>IF(I43*parametros_manuales!$M$31*parametros_manuales!$B$6=0,0,'Demanda puesto sin sobrestock'!$P$210/(parametros_manuales!$M$31*I43*parametros_manuales!$B$6))</f>
        <v>2.909200226</v>
      </c>
      <c r="J14" s="47">
        <f>IF(J43*parametros_manuales!$M$31*parametros_manuales!$B$6=0,0,'Demanda puesto sin sobrestock'!$P$238/(parametros_manuales!$M$31*J43*parametros_manuales!$B$6))</f>
        <v>3.281307692</v>
      </c>
      <c r="K14" s="51">
        <f>IF(K43*parametros_manuales!$M$31*parametros_manuales!$B$6=0,0,'Demanda puesto sin sobrestock'!$P$266/(parametros_manuales!$M$31*K43*parametros_manuales!$B$6))</f>
        <v>3.789812217</v>
      </c>
      <c r="L14" s="16"/>
      <c r="M14" s="16"/>
    </row>
    <row r="15" ht="14.25" customHeight="1">
      <c r="A15" s="46" t="str">
        <f>parametros_manuales!$B$32</f>
        <v>Control de calidad — Espesor</v>
      </c>
      <c r="B15" s="47">
        <f>IF(B44*parametros_manuales!$M$32*parametros_manuales!$B$6=0,0,'Demanda puesto sin sobrestock'!$P$15/(parametros_manuales!$M$32*B44*parametros_manuales!$B$6))</f>
        <v>0.003540977778</v>
      </c>
      <c r="C15" s="47">
        <f>IF(C44*parametros_manuales!$M$32*parametros_manuales!$B$6=0,0,'Demanda puesto sin sobrestock'!$P$43/(parametros_manuales!$M$32*C44*parametros_manuales!$B$6))</f>
        <v>0.005588577778</v>
      </c>
      <c r="D15" s="47">
        <f>IF(D44*parametros_manuales!$M$32*parametros_manuales!$B$6=0,0,'Demanda puesto sin sobrestock'!$P$71/(parametros_manuales!$M$32*D44*parametros_manuales!$B$6))</f>
        <v>0.01192128889</v>
      </c>
      <c r="E15" s="47">
        <f>IF(E44*parametros_manuales!$M$32*parametros_manuales!$B$6=0,0,'Demanda puesto sin sobrestock'!$P$99/(parametros_manuales!$M$32*E44*parametros_manuales!$B$6))</f>
        <v>0.02650097778</v>
      </c>
      <c r="F15" s="47">
        <f>IF(F44*parametros_manuales!$M$32*parametros_manuales!$B$6=0,0,'Demanda puesto sin sobrestock'!$P$127/(parametros_manuales!$M$32*F44*parametros_manuales!$B$6))</f>
        <v>0.04619848889</v>
      </c>
      <c r="G15" s="47">
        <f>IF(G44*parametros_manuales!$M$32*parametros_manuales!$B$6=0,0,'Demanda puesto sin sobrestock'!$P$155/(parametros_manuales!$M$32*G44*parametros_manuales!$B$6))</f>
        <v>0.0648772</v>
      </c>
      <c r="H15" s="47">
        <f>IF(H44*parametros_manuales!$M$32*parametros_manuales!$B$6=0,0,'Demanda puesto sin sobrestock'!$P$183/(parametros_manuales!$M$32*H44*parametros_manuales!$B$6))</f>
        <v>0.08948928889</v>
      </c>
      <c r="I15" s="47">
        <f>IF(I44*parametros_manuales!$M$32*parametros_manuales!$B$6=0,0,'Demanda puesto sin sobrestock'!$P$211/(parametros_manuales!$M$32*I44*parametros_manuales!$B$6))</f>
        <v>0.1142992444</v>
      </c>
      <c r="J15" s="47">
        <f>IF(J44*parametros_manuales!$M$32*parametros_manuales!$B$6=0,0,'Demanda puesto sin sobrestock'!$P$239/(parametros_manuales!$M$32*J44*parametros_manuales!$B$6))</f>
        <v>0.1289189333</v>
      </c>
      <c r="K15" s="47">
        <f>IF(K44*parametros_manuales!$M$32*parametros_manuales!$B$6=0,0,'Demanda puesto sin sobrestock'!$P$267/(parametros_manuales!$M$32*K44*parametros_manuales!$B$6))</f>
        <v>0.1488975111</v>
      </c>
      <c r="L15" s="16"/>
      <c r="M15" s="16"/>
    </row>
    <row r="16" ht="14.25" customHeight="1">
      <c r="A16" s="46" t="str">
        <f>parametros_manuales!$B$33</f>
        <v>Prueba hidráulica</v>
      </c>
      <c r="B16" s="47">
        <f>IF(B45*parametros_manuales!$M$33*parametros_manuales!$B$6=0,0,'Demanda puesto sin sobrestock'!$P$16/(parametros_manuales!$M$33*B45*parametros_manuales!$B$6))</f>
        <v>0.09012669683</v>
      </c>
      <c r="C16" s="47">
        <f>IF(C45*parametros_manuales!$M$33*parametros_manuales!$B$6=0,0,'Demanda puesto sin sobrestock'!$P$44/(parametros_manuales!$M$33*C45*parametros_manuales!$B$6))</f>
        <v>0.1422432127</v>
      </c>
      <c r="D16" s="47">
        <f>IF(D45*parametros_manuales!$M$33*parametros_manuales!$B$6=0,0,'Demanda puesto sin sobrestock'!$P$72/(parametros_manuales!$M$33*D45*parametros_manuales!$B$6))</f>
        <v>0.3034264706</v>
      </c>
      <c r="E16" s="47">
        <f>IF(E45*parametros_manuales!$M$33*parametros_manuales!$B$6=0,0,'Demanda puesto sin sobrestock'!$P$100/(parametros_manuales!$M$33*E45*parametros_manuales!$B$6))</f>
        <v>0.6745158371</v>
      </c>
      <c r="F16" s="50">
        <f>IF(F45*parametros_manuales!$M$33*parametros_manuales!$B$6=0,0,'Demanda puesto sin sobrestock'!$P$128/(parametros_manuales!$M$33*F45*parametros_manuales!$B$6))</f>
        <v>1.175866516</v>
      </c>
      <c r="G16" s="47">
        <f>IF(G45*parametros_manuales!$M$33*parametros_manuales!$B$6=0,0,'Demanda puesto sin sobrestock'!$P$156/(parametros_manuales!$M$33*G45*parametros_manuales!$B$6))</f>
        <v>1.651286199</v>
      </c>
      <c r="H16" s="49">
        <f>IF(H45*parametros_manuales!$M$33*parametros_manuales!$B$6=0,0,'Demanda puesto sin sobrestock'!$P$184/(parametros_manuales!$M$33*H45*parametros_manuales!$B$6))</f>
        <v>2.277725113</v>
      </c>
      <c r="I16" s="47">
        <f>IF(I45*parametros_manuales!$M$33*parametros_manuales!$B$6=0,0,'Demanda puesto sin sobrestock'!$P$212/(parametros_manuales!$M$33*I45*parametros_manuales!$B$6))</f>
        <v>2.909200226</v>
      </c>
      <c r="J16" s="47">
        <f>IF(J45*parametros_manuales!$M$33*parametros_manuales!$B$6=0,0,'Demanda puesto sin sobrestock'!$P$240/(parametros_manuales!$M$33*J45*parametros_manuales!$B$6))</f>
        <v>3.281307692</v>
      </c>
      <c r="K16" s="51">
        <f>IF(K45*parametros_manuales!$M$33*parametros_manuales!$B$6=0,0,'Demanda puesto sin sobrestock'!$P$268/(parametros_manuales!$M$33*K45*parametros_manuales!$B$6))</f>
        <v>3.789812217</v>
      </c>
      <c r="L16" s="16"/>
      <c r="M16" s="16"/>
    </row>
    <row r="17" ht="14.25" customHeight="1">
      <c r="A17" s="46" t="str">
        <f>parametros_manuales!$B$34</f>
        <v>Secado</v>
      </c>
      <c r="B17" s="47">
        <f>IF(B46*parametros_manuales!$M$34*parametros_manuales!$B$6=0,0,'Demanda puesto sin sobrestock'!$P$17/(parametros_manuales!$M$34*B46*parametros_manuales!$B$6))</f>
        <v>0.1770488889</v>
      </c>
      <c r="C17" s="47">
        <f>IF(C46*parametros_manuales!$M$34*parametros_manuales!$B$6=0,0,'Demanda puesto sin sobrestock'!$P$45/(parametros_manuales!$M$34*C46*parametros_manuales!$B$6))</f>
        <v>0.2794288889</v>
      </c>
      <c r="D17" s="47">
        <f>IF(D46*parametros_manuales!$M$34*parametros_manuales!$B$6=0,0,'Demanda puesto sin sobrestock'!$P$73/(parametros_manuales!$M$34*D46*parametros_manuales!$B$6))</f>
        <v>0.5960644444</v>
      </c>
      <c r="E17" s="50">
        <f>IF(E46*parametros_manuales!$M$34*parametros_manuales!$B$6=0,0,'Demanda puesto sin sobrestock'!$P$101/(parametros_manuales!$M$34*E46*parametros_manuales!$B$6))</f>
        <v>1.325048889</v>
      </c>
      <c r="F17" s="50">
        <f>IF(F46*parametros_manuales!$M$34*parametros_manuales!$B$6=0,0,'Demanda puesto sin sobrestock'!$P$129/(parametros_manuales!$M$34*F46*parametros_manuales!$B$6))</f>
        <v>2.309924444</v>
      </c>
      <c r="G17" s="50">
        <f>IF(G46*parametros_manuales!$M$34*parametros_manuales!$B$6=0,0,'Demanda puesto sin sobrestock'!$P$157/(parametros_manuales!$M$34*G46*parametros_manuales!$B$6))</f>
        <v>3.24386</v>
      </c>
      <c r="H17" s="49">
        <f>IF(H46*parametros_manuales!$M$34*parametros_manuales!$B$6=0,0,'Demanda puesto sin sobrestock'!$P$185/(parametros_manuales!$M$34*H46*parametros_manuales!$B$6))</f>
        <v>4.474464444</v>
      </c>
      <c r="I17" s="47">
        <f>IF(I46*parametros_manuales!$M$34*parametros_manuales!$B$6=0,0,'Demanda puesto sin sobrestock'!$P$213/(parametros_manuales!$M$34*I46*parametros_manuales!$B$6))</f>
        <v>5.714962222</v>
      </c>
      <c r="J17" s="47">
        <f>IF(J46*parametros_manuales!$M$34*parametros_manuales!$B$6=0,0,'Demanda puesto sin sobrestock'!$P$241/(parametros_manuales!$M$34*J46*parametros_manuales!$B$6))</f>
        <v>6.445946667</v>
      </c>
      <c r="K17" s="51">
        <f>IF(K46*parametros_manuales!$M$34*parametros_manuales!$B$6=0,0,'Demanda puesto sin sobrestock'!$P$269/(parametros_manuales!$M$34*K46*parametros_manuales!$B$6))</f>
        <v>7.444875556</v>
      </c>
      <c r="L17" s="16"/>
      <c r="M17" s="16"/>
    </row>
    <row r="18" ht="14.25" customHeight="1">
      <c r="A18" s="46" t="str">
        <f>parametros_manuales!$B$35</f>
        <v>Granallado</v>
      </c>
      <c r="B18" s="47">
        <f>IF(B47*parametros_manuales!$M$35*parametros_manuales!$B$6=0,0,'Demanda puesto sin sobrestock'!$P$18/(parametros_manuales!$M$35*B47*parametros_manuales!$B$6))</f>
        <v>0.04426222222</v>
      </c>
      <c r="C18" s="47">
        <f>IF(C47*parametros_manuales!$M$35*parametros_manuales!$B$6=0,0,'Demanda puesto sin sobrestock'!$P$46/(parametros_manuales!$M$35*C47*parametros_manuales!$B$6))</f>
        <v>0.06985722222</v>
      </c>
      <c r="D18" s="47">
        <f>IF(D47*parametros_manuales!$M$35*parametros_manuales!$B$6=0,0,'Demanda puesto sin sobrestock'!$P$74/(parametros_manuales!$M$35*D47*parametros_manuales!$B$6))</f>
        <v>0.1490161111</v>
      </c>
      <c r="E18" s="47">
        <f>IF(E47*parametros_manuales!$M$35*parametros_manuales!$B$6=0,0,'Demanda puesto sin sobrestock'!$P$102/(parametros_manuales!$M$35*E47*parametros_manuales!$B$6))</f>
        <v>0.3312622222</v>
      </c>
      <c r="F18" s="47">
        <f>IF(F47*parametros_manuales!$M$35*parametros_manuales!$B$6=0,0,'Demanda puesto sin sobrestock'!$P$130/(parametros_manuales!$M$35*F47*parametros_manuales!$B$6))</f>
        <v>0.5774811111</v>
      </c>
      <c r="G18" s="47">
        <f>IF(G47*parametros_manuales!$M$35*parametros_manuales!$B$6=0,0,'Demanda puesto sin sobrestock'!$P$158/(parametros_manuales!$M$35*G47*parametros_manuales!$B$6))</f>
        <v>0.810965</v>
      </c>
      <c r="H18" s="49">
        <f>IF(H47*parametros_manuales!$M$35*parametros_manuales!$B$6=0,0,'Demanda puesto sin sobrestock'!$P$186/(parametros_manuales!$M$35*H47*parametros_manuales!$B$6))</f>
        <v>1.118616111</v>
      </c>
      <c r="I18" s="47">
        <f>IF(I47*parametros_manuales!$M$35*parametros_manuales!$B$6=0,0,'Demanda puesto sin sobrestock'!$P$214/(parametros_manuales!$M$35*I47*parametros_manuales!$B$6))</f>
        <v>1.428740556</v>
      </c>
      <c r="J18" s="47">
        <f>IF(J47*parametros_manuales!$M$35*parametros_manuales!$B$6=0,0,'Demanda puesto sin sobrestock'!$P$242/(parametros_manuales!$M$35*J47*parametros_manuales!$B$6))</f>
        <v>1.611486667</v>
      </c>
      <c r="K18" s="51">
        <f>IF(K47*parametros_manuales!$M$35*parametros_manuales!$B$6=0,0,'Demanda puesto sin sobrestock'!$P$270/(parametros_manuales!$M$35*K47*parametros_manuales!$B$6))</f>
        <v>1.861218889</v>
      </c>
      <c r="L18" s="16"/>
      <c r="M18" s="16"/>
    </row>
    <row r="19" ht="14.25" customHeight="1">
      <c r="A19" s="46" t="str">
        <f>parametros_manuales!$B$36</f>
        <v>Detección de defectos</v>
      </c>
      <c r="B19" s="47">
        <f>IF(B48*parametros_manuales!$M$36*parametros_manuales!$B$6=0,0,'Demanda puesto sin sobrestock'!$P$19/(parametros_manuales!$M$36*B48*parametros_manuales!$B$6))</f>
        <v>0.02950814815</v>
      </c>
      <c r="C19" s="47">
        <f>IF(C48*parametros_manuales!$M$36*parametros_manuales!$B$6=0,0,'Demanda puesto sin sobrestock'!$P$47/(parametros_manuales!$M$36*C48*parametros_manuales!$B$6))</f>
        <v>0.04657148148</v>
      </c>
      <c r="D19" s="47">
        <f>IF(D48*parametros_manuales!$M$36*parametros_manuales!$B$6=0,0,'Demanda puesto sin sobrestock'!$P$75/(parametros_manuales!$M$36*D48*parametros_manuales!$B$6))</f>
        <v>0.09934407407</v>
      </c>
      <c r="E19" s="47">
        <f>IF(E48*parametros_manuales!$M$36*parametros_manuales!$B$6=0,0,'Demanda puesto sin sobrestock'!$P$103/(parametros_manuales!$M$36*E48*parametros_manuales!$B$6))</f>
        <v>0.2208414815</v>
      </c>
      <c r="F19" s="47">
        <f>IF(F48*parametros_manuales!$M$36*parametros_manuales!$B$6=0,0,'Demanda puesto sin sobrestock'!$P$131/(parametros_manuales!$M$36*F48*parametros_manuales!$B$6))</f>
        <v>0.3849874074</v>
      </c>
      <c r="G19" s="47">
        <f>IF(G48*parametros_manuales!$M$36*parametros_manuales!$B$6=0,0,'Demanda puesto sin sobrestock'!$P$159/(parametros_manuales!$M$36*G48*parametros_manuales!$B$6))</f>
        <v>0.5406433333</v>
      </c>
      <c r="H19" s="47">
        <f>IF(H48*parametros_manuales!$M$36*parametros_manuales!$B$6=0,0,'Demanda puesto sin sobrestock'!$P$187/(parametros_manuales!$M$36*H48*parametros_manuales!$B$6))</f>
        <v>0.7457440741</v>
      </c>
      <c r="I19" s="49">
        <f>IF(I48*parametros_manuales!$M$36*parametros_manuales!$B$6=0,0,'Demanda puesto sin sobrestock'!$P$215/(parametros_manuales!$M$36*I48*parametros_manuales!$B$6))</f>
        <v>0.9524937037</v>
      </c>
      <c r="J19" s="47">
        <f>IF(J48*parametros_manuales!$M$36*parametros_manuales!$B$6=0,0,'Demanda puesto sin sobrestock'!$P$243/(parametros_manuales!$M$36*J48*parametros_manuales!$B$6))</f>
        <v>1.074324444</v>
      </c>
      <c r="K19" s="47">
        <f>IF(K48*parametros_manuales!$M$36*parametros_manuales!$B$6=0,0,'Demanda puesto sin sobrestock'!$P$271/(parametros_manuales!$M$36*K48*parametros_manuales!$B$6))</f>
        <v>1.240812593</v>
      </c>
      <c r="L19" s="16"/>
      <c r="M19" s="16"/>
    </row>
    <row r="20" ht="14.25" customHeight="1">
      <c r="A20" s="46" t="str">
        <f>parametros_manuales!$B$37</f>
        <v>Corrección de defectos</v>
      </c>
      <c r="B20" s="47">
        <f>IF(B49*parametros_manuales!$M$37*parametros_manuales!$B$6=0,0,'Demanda puesto sin sobrestock'!$P$20/(parametros_manuales!$M$37*B49*parametros_manuales!$B$6))</f>
        <v>0.01327866667</v>
      </c>
      <c r="C20" s="47">
        <f>IF(C49*parametros_manuales!$M$37*parametros_manuales!$B$6=0,0,'Demanda puesto sin sobrestock'!$P$48/(parametros_manuales!$M$37*C49*parametros_manuales!$B$6))</f>
        <v>0.02095716667</v>
      </c>
      <c r="D20" s="47">
        <f>IF(D49*parametros_manuales!$M$37*parametros_manuales!$B$6=0,0,'Demanda puesto sin sobrestock'!$P$76/(parametros_manuales!$M$37*D49*parametros_manuales!$B$6))</f>
        <v>0.04470483333</v>
      </c>
      <c r="E20" s="47">
        <f>IF(E49*parametros_manuales!$M$37*parametros_manuales!$B$6=0,0,'Demanda puesto sin sobrestock'!$P$104/(parametros_manuales!$M$37*E49*parametros_manuales!$B$6))</f>
        <v>0.09937866667</v>
      </c>
      <c r="F20" s="47">
        <f>IF(F49*parametros_manuales!$M$37*parametros_manuales!$B$6=0,0,'Demanda puesto sin sobrestock'!$P$132/(parametros_manuales!$M$37*F49*parametros_manuales!$B$6))</f>
        <v>0.1732443333</v>
      </c>
      <c r="G20" s="47">
        <f>IF(G49*parametros_manuales!$M$37*parametros_manuales!$B$6=0,0,'Demanda puesto sin sobrestock'!$P$160/(parametros_manuales!$M$37*G49*parametros_manuales!$B$6))</f>
        <v>0.2432895</v>
      </c>
      <c r="H20" s="47">
        <f>IF(H49*parametros_manuales!$M$37*parametros_manuales!$B$6=0,0,'Demanda puesto sin sobrestock'!$P$188/(parametros_manuales!$M$37*H49*parametros_manuales!$B$6))</f>
        <v>0.3355848333</v>
      </c>
      <c r="I20" s="47">
        <f>IF(I49*parametros_manuales!$M$37*parametros_manuales!$B$6=0,0,'Demanda puesto sin sobrestock'!$P$216/(parametros_manuales!$M$37*I49*parametros_manuales!$B$6))</f>
        <v>0.4286221667</v>
      </c>
      <c r="J20" s="47">
        <f>IF(J49*parametros_manuales!$M$37*parametros_manuales!$B$6=0,0,'Demanda puesto sin sobrestock'!$P$244/(parametros_manuales!$M$37*J49*parametros_manuales!$B$6))</f>
        <v>0.483446</v>
      </c>
      <c r="K20" s="47">
        <f>IF(K49*parametros_manuales!$M$37*parametros_manuales!$B$6=0,0,'Demanda puesto sin sobrestock'!$P$272/(parametros_manuales!$M$37*K49*parametros_manuales!$B$6))</f>
        <v>0.5583656667</v>
      </c>
      <c r="L20" s="16"/>
      <c r="M20" s="16"/>
    </row>
    <row r="21" ht="14.25" customHeight="1">
      <c r="A21" s="46" t="str">
        <f>parametros_manuales!$B$38</f>
        <v>Pintura en polvo + horno</v>
      </c>
      <c r="B21" s="58">
        <f>IF(B50*parametros_manuales!$M$38*parametros_manuales!$B$6=0,0,'Demanda puesto sin sobrestock'!$P$21/(parametros_manuales!$M$38*B50*parametros_manuales!$B$6))</f>
        <v>0.03896322379</v>
      </c>
      <c r="C21" s="58">
        <f>IF(C50*parametros_manuales!$M$38*parametros_manuales!$B$6=0,0,'Demanda puesto sin sobrestock'!$P$49/(parametros_manuales!$M$38*C50*parametros_manuales!$B$6))</f>
        <v>0.06149403365</v>
      </c>
      <c r="D21" s="58">
        <f>IF(D50*parametros_manuales!$M$38*parametros_manuales!$B$6=0,0,'Demanda puesto sin sobrestock'!$P$77/(parametros_manuales!$M$38*D50*parametros_manuales!$B$6))</f>
        <v>0.1311761541</v>
      </c>
      <c r="E21" s="58">
        <f>IF(E50*parametros_manuales!$M$38*parametros_manuales!$B$6=0,0,'Demanda puesto sin sobrestock'!$P$105/(parametros_manuales!$M$38*E50*parametros_manuales!$B$6))</f>
        <v>0.2916040689</v>
      </c>
      <c r="F21" s="47">
        <f>IF(F50*parametros_manuales!$M$38*parametros_manuales!$B$6=0,0,'Demanda puesto sin sobrestock'!$P$133/(parametros_manuales!$M$38*F50*parametros_manuales!$B$6))</f>
        <v>0.5083460485</v>
      </c>
      <c r="G21" s="47">
        <f>IF(G50*parametros_manuales!$M$38*parametros_manuales!$B$6=0,0,'Demanda puesto sin sobrestock'!$P$161/(parametros_manuales!$M$38*G50*parametros_manuales!$B$6))</f>
        <v>0.7138776408</v>
      </c>
      <c r="H21" s="49">
        <f>IF(H50*parametros_manuales!$M$38*parametros_manuales!$B$6=0,0,'Demanda puesto sin sobrestock'!$P$189/(parametros_manuales!$M$38*H50*parametros_manuales!$B$6))</f>
        <v>0.9846972809</v>
      </c>
      <c r="I21" s="47">
        <f>IF(I50*parametros_manuales!$M$38*parametros_manuales!$B$6=0,0,'Demanda puesto sin sobrestock'!$P$217/(parametros_manuales!$M$38*I50*parametros_manuales!$B$6))</f>
        <v>1.257694151</v>
      </c>
      <c r="J21" s="47">
        <f>IF(J50*parametros_manuales!$M$38*parametros_manuales!$B$6=0,0,'Demanda puesto sin sobrestock'!$P$245/(parametros_manuales!$M$38*J50*parametros_manuales!$B$6))</f>
        <v>1.418562207</v>
      </c>
      <c r="K21" s="47">
        <f>IF(K50*parametros_manuales!$M$38*parametros_manuales!$B$6=0,0,'Demanda puesto sin sobrestock'!$P$273/(parametros_manuales!$M$38*K50*parametros_manuales!$B$6))</f>
        <v>1.638396909</v>
      </c>
      <c r="L21" s="16"/>
      <c r="M21" s="16"/>
    </row>
    <row r="22" ht="14.25" customHeight="1">
      <c r="A22" s="46" t="str">
        <f>parametros_manuales!$B$39</f>
        <v>Carga de polvo</v>
      </c>
      <c r="B22" s="47">
        <f>IF(B51*parametros_manuales!$M$39*parametros_manuales!$B$6=0,0,'Demanda puesto sin sobrestock'!$P$22/(parametros_manuales!$M$39*B51*parametros_manuales!$B$6))</f>
        <v>0.066155</v>
      </c>
      <c r="C22" s="47">
        <f>IF(C51*parametros_manuales!$M$39*parametros_manuales!$B$6=0,0,'Demanda puesto sin sobrestock'!$P$50/(parametros_manuales!$M$39*C51*parametros_manuales!$B$6))</f>
        <v>0.1038783333</v>
      </c>
      <c r="D22" s="47">
        <f>IF(D51*parametros_manuales!$M$39*parametros_manuales!$B$6=0,0,'Demanda puesto sin sobrestock'!$P$78/(parametros_manuales!$M$39*D51*parametros_manuales!$B$6))</f>
        <v>0.1277275</v>
      </c>
      <c r="E22" s="47">
        <f>IF(E51*parametros_manuales!$M$39*parametros_manuales!$B$6=0,0,'Demanda puesto sin sobrestock'!$P$106/(parametros_manuales!$M$39*E51*parametros_manuales!$B$6))</f>
        <v>0.1664183333</v>
      </c>
      <c r="F22" s="47">
        <f>IF(F51*parametros_manuales!$M$39*parametros_manuales!$B$6=0,0,'Demanda puesto sin sobrestock'!$P$134/(parametros_manuales!$M$39*F51*parametros_manuales!$B$6))</f>
        <v>0.2558125</v>
      </c>
      <c r="G22" s="47">
        <f>IF(G51*parametros_manuales!$M$39*parametros_manuales!$B$6=0,0,'Demanda puesto sin sobrestock'!$P$162/(parametros_manuales!$M$39*G51*parametros_manuales!$B$6))</f>
        <v>0.3320258333</v>
      </c>
      <c r="H22" s="47">
        <f>IF(H51*parametros_manuales!$M$39*parametros_manuales!$B$6=0,0,'Demanda puesto sin sobrestock'!$P$190/(parametros_manuales!$M$39*H51*parametros_manuales!$B$6))</f>
        <v>0.4292058333</v>
      </c>
      <c r="I22" s="47">
        <f>IF(I51*parametros_manuales!$M$39*parametros_manuales!$B$6=0,0,'Demanda puesto sin sobrestock'!$P$218/(parametros_manuales!$M$39*I51*parametros_manuales!$B$6))</f>
        <v>0.5305366667</v>
      </c>
      <c r="J22" s="47">
        <f>IF(J51*parametros_manuales!$M$39*parametros_manuales!$B$6=0,0,'Demanda puesto sin sobrestock'!$P$246/(parametros_manuales!$M$39*J51*parametros_manuales!$B$6))</f>
        <v>0.61034</v>
      </c>
      <c r="K22" s="47">
        <f>IF(K51*parametros_manuales!$M$39*parametros_manuales!$B$6=0,0,'Demanda puesto sin sobrestock'!$P$274/(parametros_manuales!$M$39*K51*parametros_manuales!$B$6))</f>
        <v>0.6938316667</v>
      </c>
      <c r="L22" s="16"/>
      <c r="M22" s="16"/>
    </row>
    <row r="23" ht="14.25" customHeight="1">
      <c r="A23" s="46" t="str">
        <f>parametros_manuales!$B$40</f>
        <v>Ensamblaje</v>
      </c>
      <c r="B23" s="47">
        <f>IF(B52*parametros_manuales!$M$40*parametros_manuales!$B$6=0,0,'Demanda puesto sin sobrestock'!$P$23/(parametros_manuales!$M$40*B52*parametros_manuales!$B$6))</f>
        <v>0.1496719457</v>
      </c>
      <c r="C23" s="47">
        <f>IF(C52*parametros_manuales!$M$40*parametros_manuales!$B$6=0,0,'Demanda puesto sin sobrestock'!$P$51/(parametros_manuales!$M$40*C52*parametros_manuales!$B$6))</f>
        <v>0.2350188537</v>
      </c>
      <c r="D23" s="47">
        <f>IF(D52*parametros_manuales!$M$40*parametros_manuales!$B$6=0,0,'Demanda puesto sin sobrestock'!$P$79/(parametros_manuales!$M$40*D52*parametros_manuales!$B$6))</f>
        <v>0.2889762443</v>
      </c>
      <c r="E23" s="47">
        <f>IF(E52*parametros_manuales!$M$40*parametros_manuales!$B$6=0,0,'Demanda puesto sin sobrestock'!$P$107/(parametros_manuales!$M$40*E52*parametros_manuales!$B$6))</f>
        <v>0.3765120664</v>
      </c>
      <c r="F23" s="47">
        <f>IF(F52*parametros_manuales!$M$40*parametros_manuales!$B$6=0,0,'Demanda puesto sin sobrestock'!$P$135/(parametros_manuales!$M$40*F52*parametros_manuales!$B$6))</f>
        <v>0.5787613122</v>
      </c>
      <c r="G23" s="47">
        <f>IF(G52*parametros_manuales!$M$40*parametros_manuales!$B$6=0,0,'Demanda puesto sin sobrestock'!$P$163/(parametros_manuales!$M$40*G52*parametros_manuales!$B$6))</f>
        <v>0.7511896682</v>
      </c>
      <c r="H23" s="49">
        <f>IF(H52*parametros_manuales!$M$40*parametros_manuales!$B$6=0,0,'Demanda puesto sin sobrestock'!$P$191/(parametros_manuales!$M$40*H52*parametros_manuales!$B$6))</f>
        <v>0.9710539216</v>
      </c>
      <c r="I23" s="47">
        <f>IF(I52*parametros_manuales!$M$40*parametros_manuales!$B$6=0,0,'Demanda puesto sin sobrestock'!$P$219/(parametros_manuales!$M$40*I52*parametros_manuales!$B$6))</f>
        <v>1.200309201</v>
      </c>
      <c r="J23" s="47">
        <f>IF(J52*parametros_manuales!$M$40*parametros_manuales!$B$6=0,0,'Demanda puesto sin sobrestock'!$P$247/(parametros_manuales!$M$40*J52*parametros_manuales!$B$6))</f>
        <v>1.380859729</v>
      </c>
      <c r="K23" s="47">
        <f>IF(K52*parametros_manuales!$M$40*parametros_manuales!$B$6=0,0,'Demanda puesto sin sobrestock'!$P$275/(parametros_manuales!$M$40*K52*parametros_manuales!$B$6))</f>
        <v>1.569754902</v>
      </c>
      <c r="L23" s="16"/>
      <c r="M23" s="16"/>
    </row>
    <row r="24" ht="14.25" customHeight="1">
      <c r="A24" s="46" t="str">
        <f>parametros_manuales!$B$41</f>
        <v>Presurización</v>
      </c>
      <c r="B24" s="47">
        <f>IF(B53*parametros_manuales!$M$41*parametros_manuales!$B$6=0,0,'Demanda puesto sin sobrestock'!$P$24/(parametros_manuales!$M$41*B53*parametros_manuales!$B$6))</f>
        <v>0.04410333333</v>
      </c>
      <c r="C24" s="47">
        <f>IF(C53*parametros_manuales!$M$41*parametros_manuales!$B$6=0,0,'Demanda puesto sin sobrestock'!$P$52/(parametros_manuales!$M$41*C53*parametros_manuales!$B$6))</f>
        <v>0.06925222222</v>
      </c>
      <c r="D24" s="47">
        <f>IF(D53*parametros_manuales!$M$41*parametros_manuales!$B$6=0,0,'Demanda puesto sin sobrestock'!$P$80/(parametros_manuales!$M$41*D53*parametros_manuales!$B$6))</f>
        <v>0.08515166667</v>
      </c>
      <c r="E24" s="47">
        <f>IF(E53*parametros_manuales!$M$41*parametros_manuales!$B$6=0,0,'Demanda puesto sin sobrestock'!$P$108/(parametros_manuales!$M$41*E53*parametros_manuales!$B$6))</f>
        <v>0.1109455556</v>
      </c>
      <c r="F24" s="47">
        <f>IF(F53*parametros_manuales!$M$41*parametros_manuales!$B$6=0,0,'Demanda puesto sin sobrestock'!$P$136/(parametros_manuales!$M$41*F53*parametros_manuales!$B$6))</f>
        <v>0.1705416667</v>
      </c>
      <c r="G24" s="47">
        <f>IF(G53*parametros_manuales!$M$41*parametros_manuales!$B$6=0,0,'Demanda puesto sin sobrestock'!$P$164/(parametros_manuales!$M$41*G53*parametros_manuales!$B$6))</f>
        <v>0.2213505556</v>
      </c>
      <c r="H24" s="47">
        <f>IF(H53*parametros_manuales!$M$41*parametros_manuales!$B$6=0,0,'Demanda puesto sin sobrestock'!$P$192/(parametros_manuales!$M$41*H53*parametros_manuales!$B$6))</f>
        <v>0.2861372222</v>
      </c>
      <c r="I24" s="47">
        <f>IF(I53*parametros_manuales!$M$41*parametros_manuales!$B$6=0,0,'Demanda puesto sin sobrestock'!$P$220/(parametros_manuales!$M$41*I53*parametros_manuales!$B$6))</f>
        <v>0.3536911111</v>
      </c>
      <c r="J24" s="47">
        <f>IF(J53*parametros_manuales!$M$41*parametros_manuales!$B$6=0,0,'Demanda puesto sin sobrestock'!$P$248/(parametros_manuales!$M$41*J53*parametros_manuales!$B$6))</f>
        <v>0.4068933333</v>
      </c>
      <c r="K24" s="47">
        <f>IF(K53*parametros_manuales!$M$41*parametros_manuales!$B$6=0,0,'Demanda puesto sin sobrestock'!$P$276/(parametros_manuales!$M$41*K53*parametros_manuales!$B$6))</f>
        <v>0.4625544444</v>
      </c>
      <c r="L24" s="16"/>
      <c r="M24" s="16"/>
    </row>
    <row r="25" ht="14.25" customHeight="1">
      <c r="A25" s="46" t="str">
        <f>parametros_manuales!$B$42</f>
        <v>Control de calidad — Ensayo de pérdidas</v>
      </c>
      <c r="B25" s="47">
        <f>IF(B54*parametros_manuales!$M$42*parametros_manuales!$B$6=0,0,'Demanda puesto sin sobrestock'!$P$25/(parametros_manuales!$M$42*B54*parametros_manuales!$B$6))</f>
        <v>0.08085611111</v>
      </c>
      <c r="C25" s="47">
        <f>IF(C54*parametros_manuales!$M$42*parametros_manuales!$B$6=0,0,'Demanda puesto sin sobrestock'!$P$53/(parametros_manuales!$M$42*C54*parametros_manuales!$B$6))</f>
        <v>0.1269624074</v>
      </c>
      <c r="D25" s="47">
        <f>IF(D54*parametros_manuales!$M$42*parametros_manuales!$B$6=0,0,'Demanda puesto sin sobrestock'!$P$81/(parametros_manuales!$M$42*D54*parametros_manuales!$B$6))</f>
        <v>0.1561113889</v>
      </c>
      <c r="E25" s="47">
        <f>IF(E54*parametros_manuales!$M$42*parametros_manuales!$B$6=0,0,'Demanda puesto sin sobrestock'!$P$109/(parametros_manuales!$M$42*E54*parametros_manuales!$B$6))</f>
        <v>0.2034001852</v>
      </c>
      <c r="F25" s="47">
        <f>IF(F54*parametros_manuales!$M$42*parametros_manuales!$B$6=0,0,'Demanda puesto sin sobrestock'!$P$137/(parametros_manuales!$M$42*F54*parametros_manuales!$B$6))</f>
        <v>0.3126597222</v>
      </c>
      <c r="G25" s="47">
        <f>IF(G54*parametros_manuales!$M$42*parametros_manuales!$B$6=0,0,'Demanda puesto sin sobrestock'!$P$165/(parametros_manuales!$M$42*G54*parametros_manuales!$B$6))</f>
        <v>0.4058093519</v>
      </c>
      <c r="H25" s="47">
        <f>IF(H54*parametros_manuales!$M$42*parametros_manuales!$B$6=0,0,'Demanda puesto sin sobrestock'!$P$193/(parametros_manuales!$M$42*H54*parametros_manuales!$B$6))</f>
        <v>0.5245849074</v>
      </c>
      <c r="I25" s="47">
        <f>IF(I54*parametros_manuales!$M$42*parametros_manuales!$B$6=0,0,'Demanda puesto sin sobrestock'!$P$221/(parametros_manuales!$M$42*I54*parametros_manuales!$B$6))</f>
        <v>0.6484337037</v>
      </c>
      <c r="J25" s="49">
        <f>IF(J54*parametros_manuales!$M$42*parametros_manuales!$B$6=0,0,'Demanda puesto sin sobrestock'!$P$249/(parametros_manuales!$M$42*J54*parametros_manuales!$B$6))</f>
        <v>0.7459711111</v>
      </c>
      <c r="K25" s="47">
        <f>IF(K54*parametros_manuales!$M$42*parametros_manuales!$B$6=0,0,'Demanda puesto sin sobrestock'!$P$277/(parametros_manuales!$M$42*K54*parametros_manuales!$B$6))</f>
        <v>0.8480164815</v>
      </c>
      <c r="L25" s="16"/>
      <c r="M25" s="16"/>
    </row>
    <row r="26" ht="14.25" customHeight="1">
      <c r="A26" s="46" t="str">
        <f>parametros_manuales!$B$43</f>
        <v>Etiquetado</v>
      </c>
      <c r="B26" s="47">
        <f>IF(B55*parametros_manuales!$M$43*parametros_manuales!$B$6=0,0,'Demanda puesto sin sobrestock'!$P$26/(parametros_manuales!$M$43*B55*parametros_manuales!$B$6))</f>
        <v>0.08820666667</v>
      </c>
      <c r="C26" s="47">
        <f>IF(C55*parametros_manuales!$M$43*parametros_manuales!$B$6=0,0,'Demanda puesto sin sobrestock'!$P$54/(parametros_manuales!$M$43*C55*parametros_manuales!$B$6))</f>
        <v>0.1385044444</v>
      </c>
      <c r="D26" s="47">
        <f>IF(D55*parametros_manuales!$M$43*parametros_manuales!$B$6=0,0,'Demanda puesto sin sobrestock'!$P$82/(parametros_manuales!$M$43*D55*parametros_manuales!$B$6))</f>
        <v>0.1703033333</v>
      </c>
      <c r="E26" s="47">
        <f>IF(E55*parametros_manuales!$M$43*parametros_manuales!$B$6=0,0,'Demanda puesto sin sobrestock'!$P$110/(parametros_manuales!$M$43*E55*parametros_manuales!$B$6))</f>
        <v>0.2218911111</v>
      </c>
      <c r="F26" s="47">
        <f>IF(F55*parametros_manuales!$M$43*parametros_manuales!$B$6=0,0,'Demanda puesto sin sobrestock'!$P$138/(parametros_manuales!$M$43*F55*parametros_manuales!$B$6))</f>
        <v>0.3410833333</v>
      </c>
      <c r="G26" s="47">
        <f>IF(G55*parametros_manuales!$M$43*parametros_manuales!$B$6=0,0,'Demanda puesto sin sobrestock'!$P$166/(parametros_manuales!$M$43*G55*parametros_manuales!$B$6))</f>
        <v>0.4427011111</v>
      </c>
      <c r="H26" s="47">
        <f>IF(H55*parametros_manuales!$M$43*parametros_manuales!$B$6=0,0,'Demanda puesto sin sobrestock'!$P$194/(parametros_manuales!$M$43*H55*parametros_manuales!$B$6))</f>
        <v>0.5722744444</v>
      </c>
      <c r="I26" s="47">
        <f>IF(I55*parametros_manuales!$M$43*parametros_manuales!$B$6=0,0,'Demanda puesto sin sobrestock'!$P$222/(parametros_manuales!$M$43*I55*parametros_manuales!$B$6))</f>
        <v>0.7073822222</v>
      </c>
      <c r="J26" s="47">
        <f>IF(J55*parametros_manuales!$M$43*parametros_manuales!$B$6=0,0,'Demanda puesto sin sobrestock'!$P$250/(parametros_manuales!$M$43*J55*parametros_manuales!$B$6))</f>
        <v>0.8137866667</v>
      </c>
      <c r="K26" s="51">
        <f>IF(K55*parametros_manuales!$M$43*parametros_manuales!$B$6=0,0,'Demanda puesto sin sobrestock'!$P$278/(parametros_manuales!$M$43*K55*parametros_manuales!$B$6))</f>
        <v>0.9251088889</v>
      </c>
      <c r="L26" s="16"/>
      <c r="M26" s="16"/>
    </row>
    <row r="27" ht="14.25" customHeight="1">
      <c r="A27" s="46" t="str">
        <f>parametros_manuales!$B$44</f>
        <v>Embalaje y paletizado</v>
      </c>
      <c r="B27" s="47">
        <f>IF(B56*parametros_manuales!$M$44*parametros_manuales!$B$6=0,0,'Demanda puesto sin sobrestock'!$P$27/(parametros_manuales!$M$44*B56*parametros_manuales!$B$6))</f>
        <v>0.06698878924</v>
      </c>
      <c r="C27" s="47">
        <f>IF(C56*parametros_manuales!$M$44*parametros_manuales!$B$6=0,0,'Demanda puesto sin sobrestock'!$P$55/(parametros_manuales!$M$44*C56*parametros_manuales!$B$6))</f>
        <v>0.1057256166</v>
      </c>
      <c r="D27" s="47">
        <f>IF(D56*parametros_manuales!$M$44*parametros_manuales!$B$6=0,0,'Demanda puesto sin sobrestock'!$P$83/(parametros_manuales!$M$44*D56*parametros_manuales!$B$6))</f>
        <v>0.2255288677</v>
      </c>
      <c r="E27" s="47">
        <f>IF(E56*parametros_manuales!$M$44*parametros_manuales!$B$6=0,0,'Demanda puesto sin sobrestock'!$P$111/(parametros_manuales!$M$44*E56*parametros_manuales!$B$6))</f>
        <v>0.5013497758</v>
      </c>
      <c r="F27" s="47">
        <f>IF(F56*parametros_manuales!$M$44*parametros_manuales!$B$6=0,0,'Demanda puesto sin sobrestock'!$P$139/(parametros_manuales!$M$44*F56*parametros_manuales!$B$6))</f>
        <v>0.8739904709</v>
      </c>
      <c r="G27" s="48">
        <f>IF(G56*parametros_manuales!$M$44*parametros_manuales!$B$6=0,0,'Demanda puesto sin sobrestock'!$P$167/(parametros_manuales!$M$44*G56*parametros_manuales!$B$6))</f>
        <v>1.227357343</v>
      </c>
      <c r="H27" s="47">
        <f>IF(H56*parametros_manuales!$M$44*parametros_manuales!$B$6=0,0,'Demanda puesto sin sobrestock'!$P$195/(parametros_manuales!$M$44*H56*parametros_manuales!$B$6))</f>
        <v>1.692972814</v>
      </c>
      <c r="I27" s="49">
        <f>IF(I56*parametros_manuales!$M$44*parametros_manuales!$B$6=0,0,'Demanda puesto sin sobrestock'!$P$223/(parametros_manuales!$M$44*I56*parametros_manuales!$B$6))</f>
        <v>2.162331558</v>
      </c>
      <c r="J27" s="47">
        <f>IF(J56*parametros_manuales!$M$44*parametros_manuales!$B$6=0,0,'Demanda puesto sin sobrestock'!$P$251/(parametros_manuales!$M$44*J56*parametros_manuales!$B$6))</f>
        <v>2.438909193</v>
      </c>
      <c r="K27" s="47">
        <f>IF(K56*parametros_manuales!$M$44*parametros_manuales!$B$6=0,0,'Demanda puesto sin sobrestock'!$P$279/(parametros_manuales!$M$44*K56*parametros_manuales!$B$6))</f>
        <v>2.816867152</v>
      </c>
      <c r="L27" s="16"/>
      <c r="M27" s="16"/>
    </row>
    <row r="28" ht="14.25" customHeight="1">
      <c r="A28" s="14" t="s">
        <v>219</v>
      </c>
      <c r="B28" s="59">
        <f t="shared" ref="B28:K28" si="1">MAX(B2:B27)</f>
        <v>0.1770488889</v>
      </c>
      <c r="C28" s="59">
        <f t="shared" si="1"/>
        <v>0.2794288889</v>
      </c>
      <c r="D28" s="59">
        <f t="shared" si="1"/>
        <v>0.5960644444</v>
      </c>
      <c r="E28" s="59">
        <f t="shared" si="1"/>
        <v>1.325048889</v>
      </c>
      <c r="F28" s="59">
        <f t="shared" si="1"/>
        <v>2.309924444</v>
      </c>
      <c r="G28" s="59">
        <f t="shared" si="1"/>
        <v>3.24386</v>
      </c>
      <c r="H28" s="59">
        <f t="shared" si="1"/>
        <v>4.474464444</v>
      </c>
      <c r="I28" s="59">
        <f t="shared" si="1"/>
        <v>5.714962222</v>
      </c>
      <c r="J28" s="59">
        <f t="shared" si="1"/>
        <v>6.445946667</v>
      </c>
      <c r="K28" s="59">
        <f t="shared" si="1"/>
        <v>7.444875556</v>
      </c>
      <c r="L28" s="16"/>
      <c r="M28" s="16"/>
    </row>
    <row r="29" ht="14.25" customHeight="1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</row>
    <row r="30" ht="14.25" customHeight="1">
      <c r="A30" s="1" t="s">
        <v>220</v>
      </c>
      <c r="B30" s="1">
        <v>2026.0</v>
      </c>
      <c r="C30" s="1">
        <v>2027.0</v>
      </c>
      <c r="D30" s="1">
        <v>2028.0</v>
      </c>
      <c r="E30" s="1">
        <v>2029.0</v>
      </c>
      <c r="F30" s="1">
        <v>2030.0</v>
      </c>
      <c r="G30" s="1">
        <v>2031.0</v>
      </c>
      <c r="H30" s="1">
        <v>2032.0</v>
      </c>
      <c r="I30" s="1">
        <v>2033.0</v>
      </c>
      <c r="J30" s="1">
        <v>2034.0</v>
      </c>
      <c r="K30" s="1">
        <v>2035.0</v>
      </c>
      <c r="L30" s="16"/>
      <c r="M30" s="16"/>
    </row>
    <row r="31" ht="14.25" customHeight="1">
      <c r="A31" s="4" t="str">
        <f>parametros_manuales!$B$19</f>
        <v>Recepción de materia prima</v>
      </c>
      <c r="B31" s="3">
        <v>1.0</v>
      </c>
      <c r="C31" s="3">
        <v>1.0</v>
      </c>
      <c r="D31" s="3">
        <v>1.0</v>
      </c>
      <c r="E31" s="3">
        <v>1.0</v>
      </c>
      <c r="F31" s="3">
        <v>1.0</v>
      </c>
      <c r="G31" s="3">
        <v>1.0</v>
      </c>
      <c r="H31" s="3">
        <v>1.0</v>
      </c>
      <c r="I31" s="3">
        <v>1.0</v>
      </c>
      <c r="J31" s="3">
        <v>1.0</v>
      </c>
      <c r="K31" s="3">
        <v>1.0</v>
      </c>
      <c r="L31" s="16"/>
      <c r="M31" s="16"/>
    </row>
    <row r="32" ht="14.25" customHeight="1">
      <c r="A32" s="4" t="str">
        <f>parametros_manuales!$B$20</f>
        <v>Corte de chapa — 1.er corte en franjas (guillotina 1)</v>
      </c>
      <c r="B32" s="3">
        <v>1.0</v>
      </c>
      <c r="C32" s="3">
        <v>1.0</v>
      </c>
      <c r="D32" s="3">
        <v>1.0</v>
      </c>
      <c r="E32" s="3">
        <v>1.0</v>
      </c>
      <c r="F32" s="3">
        <v>1.0</v>
      </c>
      <c r="G32" s="3">
        <v>1.0</v>
      </c>
      <c r="H32" s="3">
        <v>1.0</v>
      </c>
      <c r="I32" s="3">
        <v>1.0</v>
      </c>
      <c r="J32" s="3">
        <v>1.0</v>
      </c>
      <c r="K32" s="3">
        <v>1.0</v>
      </c>
      <c r="L32" s="16"/>
      <c r="M32" s="16"/>
    </row>
    <row r="33" ht="14.25" customHeight="1">
      <c r="A33" s="4" t="str">
        <f>parametros_manuales!$B$21</f>
        <v>Corte de chapa — 2.º corte en piezas (guillotina 2)</v>
      </c>
      <c r="B33" s="3">
        <v>1.0</v>
      </c>
      <c r="C33" s="3">
        <v>1.0</v>
      </c>
      <c r="D33" s="3">
        <v>1.0</v>
      </c>
      <c r="E33" s="3">
        <v>1.0</v>
      </c>
      <c r="F33" s="3">
        <v>1.0</v>
      </c>
      <c r="G33" s="3">
        <v>1.0</v>
      </c>
      <c r="H33" s="3">
        <v>1.0</v>
      </c>
      <c r="I33" s="3">
        <v>1.0</v>
      </c>
      <c r="J33" s="3">
        <v>1.0</v>
      </c>
      <c r="K33" s="3">
        <v>1.0</v>
      </c>
      <c r="L33" s="16"/>
      <c r="M33" s="16"/>
    </row>
    <row r="34" ht="14.25" customHeight="1">
      <c r="A34" s="4" t="str">
        <f>parametros_manuales!$B$22</f>
        <v>Corte de disco y embutido (cúpula y fondo)</v>
      </c>
      <c r="B34" s="3">
        <v>1.0</v>
      </c>
      <c r="C34" s="3">
        <v>1.0</v>
      </c>
      <c r="D34" s="3">
        <v>1.0</v>
      </c>
      <c r="E34" s="3">
        <v>1.0</v>
      </c>
      <c r="F34" s="3">
        <v>1.0</v>
      </c>
      <c r="G34" s="3">
        <v>1.0</v>
      </c>
      <c r="H34" s="3">
        <v>1.0</v>
      </c>
      <c r="I34" s="3">
        <v>1.0</v>
      </c>
      <c r="J34" s="3">
        <v>1.0</v>
      </c>
      <c r="K34" s="3">
        <v>1.0</v>
      </c>
      <c r="L34" s="16"/>
      <c r="M34" s="16"/>
    </row>
    <row r="35" ht="14.25" customHeight="1">
      <c r="A35" s="4" t="str">
        <f>parametros_manuales!$B$23</f>
        <v>Preparación de cuello</v>
      </c>
      <c r="B35" s="3">
        <v>1.0</v>
      </c>
      <c r="C35" s="3">
        <v>1.0</v>
      </c>
      <c r="D35" s="3">
        <v>1.0</v>
      </c>
      <c r="E35" s="3">
        <v>1.0</v>
      </c>
      <c r="F35" s="3">
        <v>1.0</v>
      </c>
      <c r="G35" s="3">
        <v>1.0</v>
      </c>
      <c r="H35" s="3">
        <v>1.0</v>
      </c>
      <c r="I35" s="3">
        <v>1.0</v>
      </c>
      <c r="J35" s="3">
        <v>1.0</v>
      </c>
      <c r="K35" s="3">
        <v>1.0</v>
      </c>
      <c r="L35" s="16"/>
      <c r="M35" s="16"/>
    </row>
    <row r="36" ht="14.25" customHeight="1">
      <c r="A36" s="4" t="str">
        <f>parametros_manuales!$B$24</f>
        <v>Numerado de cúpula</v>
      </c>
      <c r="B36" s="3">
        <v>1.0</v>
      </c>
      <c r="C36" s="3">
        <v>1.0</v>
      </c>
      <c r="D36" s="3">
        <v>1.0</v>
      </c>
      <c r="E36" s="3">
        <v>1.0</v>
      </c>
      <c r="F36" s="3">
        <v>1.0</v>
      </c>
      <c r="G36" s="3">
        <v>1.0</v>
      </c>
      <c r="H36" s="3">
        <v>1.0</v>
      </c>
      <c r="I36" s="3">
        <v>1.0</v>
      </c>
      <c r="J36" s="3">
        <v>1.0</v>
      </c>
      <c r="K36" s="3">
        <v>1.0</v>
      </c>
      <c r="L36" s="16"/>
      <c r="M36" s="16"/>
    </row>
    <row r="37" ht="14.25" customHeight="1">
      <c r="A37" s="4" t="str">
        <f>parametros_manuales!$B$25</f>
        <v>Soldadura del cuello a la cúpula</v>
      </c>
      <c r="B37" s="3">
        <v>1.0</v>
      </c>
      <c r="C37" s="3">
        <v>1.0</v>
      </c>
      <c r="D37" s="3">
        <v>1.0</v>
      </c>
      <c r="E37" s="3">
        <v>1.0</v>
      </c>
      <c r="F37" s="3">
        <v>1.0</v>
      </c>
      <c r="G37" s="3">
        <v>1.0</v>
      </c>
      <c r="H37" s="3">
        <v>1.0</v>
      </c>
      <c r="I37" s="3">
        <v>1.0</v>
      </c>
      <c r="J37" s="3">
        <v>1.0</v>
      </c>
      <c r="K37" s="3">
        <v>1.0</v>
      </c>
      <c r="L37" s="16"/>
      <c r="M37" s="16"/>
    </row>
    <row r="38" ht="14.25" customHeight="1">
      <c r="A38" s="4" t="str">
        <f>parametros_manuales!$B$26</f>
        <v>Cilindrado</v>
      </c>
      <c r="B38" s="3">
        <v>1.0</v>
      </c>
      <c r="C38" s="3">
        <v>1.0</v>
      </c>
      <c r="D38" s="3">
        <v>1.0</v>
      </c>
      <c r="E38" s="3">
        <v>1.0</v>
      </c>
      <c r="F38" s="3">
        <v>1.0</v>
      </c>
      <c r="G38" s="3">
        <v>1.0</v>
      </c>
      <c r="H38" s="3">
        <v>1.0</v>
      </c>
      <c r="I38" s="3">
        <v>1.0</v>
      </c>
      <c r="J38" s="3">
        <v>1.0</v>
      </c>
      <c r="K38" s="3">
        <v>1.0</v>
      </c>
      <c r="L38" s="16"/>
      <c r="M38" s="16"/>
    </row>
    <row r="39" ht="14.25" customHeight="1">
      <c r="A39" s="4" t="str">
        <f>parametros_manuales!$B$27</f>
        <v>Soldadura longitudinal — 2,5 a 10 kg</v>
      </c>
      <c r="B39" s="3">
        <v>1.0</v>
      </c>
      <c r="C39" s="3">
        <v>1.0</v>
      </c>
      <c r="D39" s="3">
        <v>1.0</v>
      </c>
      <c r="E39" s="3">
        <v>1.0</v>
      </c>
      <c r="F39" s="3">
        <v>1.0</v>
      </c>
      <c r="G39" s="3">
        <v>1.0</v>
      </c>
      <c r="H39" s="3">
        <v>1.0</v>
      </c>
      <c r="I39" s="3">
        <v>1.0</v>
      </c>
      <c r="J39" s="3">
        <v>1.0</v>
      </c>
      <c r="K39" s="3">
        <v>1.0</v>
      </c>
      <c r="L39" s="16"/>
      <c r="M39" s="16"/>
    </row>
    <row r="40" ht="14.25" customHeight="1">
      <c r="A40" s="4" t="str">
        <f>parametros_manuales!$B$28</f>
        <v>Soldadura longitudinal TIG — 1 kg</v>
      </c>
      <c r="B40" s="3">
        <v>1.0</v>
      </c>
      <c r="C40" s="3">
        <v>1.0</v>
      </c>
      <c r="D40" s="3">
        <v>1.0</v>
      </c>
      <c r="E40" s="3">
        <v>1.0</v>
      </c>
      <c r="F40" s="3">
        <v>1.0</v>
      </c>
      <c r="G40" s="3">
        <v>1.0</v>
      </c>
      <c r="H40" s="3">
        <v>1.0</v>
      </c>
      <c r="I40" s="3">
        <v>1.0</v>
      </c>
      <c r="J40" s="3">
        <v>1.0</v>
      </c>
      <c r="K40" s="3">
        <v>1.0</v>
      </c>
      <c r="L40" s="16"/>
      <c r="M40" s="16"/>
    </row>
    <row r="41" ht="14.25" customHeight="1">
      <c r="A41" s="4" t="str">
        <f>parametros_manuales!$B$29</f>
        <v>Encastre de fondo</v>
      </c>
      <c r="B41" s="3">
        <v>1.0</v>
      </c>
      <c r="C41" s="3">
        <v>1.0</v>
      </c>
      <c r="D41" s="3">
        <v>1.0</v>
      </c>
      <c r="E41" s="3">
        <v>1.0</v>
      </c>
      <c r="F41" s="3">
        <v>1.0</v>
      </c>
      <c r="G41" s="3">
        <v>1.0</v>
      </c>
      <c r="H41" s="3">
        <v>1.0</v>
      </c>
      <c r="I41" s="3">
        <v>1.0</v>
      </c>
      <c r="J41" s="3">
        <v>1.0</v>
      </c>
      <c r="K41" s="3">
        <v>1.0</v>
      </c>
      <c r="L41" s="16"/>
      <c r="M41" s="16"/>
    </row>
    <row r="42" ht="14.25" customHeight="1">
      <c r="A42" s="4" t="str">
        <f>parametros_manuales!$B$30</f>
        <v>Bordoneado</v>
      </c>
      <c r="B42" s="3">
        <v>1.0</v>
      </c>
      <c r="C42" s="3">
        <v>1.0</v>
      </c>
      <c r="D42" s="3">
        <v>1.0</v>
      </c>
      <c r="E42" s="3">
        <v>1.0</v>
      </c>
      <c r="F42" s="3">
        <v>1.0</v>
      </c>
      <c r="G42" s="3">
        <v>1.0</v>
      </c>
      <c r="H42" s="3">
        <v>1.0</v>
      </c>
      <c r="I42" s="3">
        <v>1.0</v>
      </c>
      <c r="J42" s="3">
        <v>1.0</v>
      </c>
      <c r="K42" s="3">
        <v>1.0</v>
      </c>
      <c r="L42" s="16"/>
      <c r="M42" s="16"/>
    </row>
    <row r="43" ht="14.25" customHeight="1">
      <c r="A43" s="4" t="str">
        <f>parametros_manuales!$B$31</f>
        <v>Soldadura circunferencial de cúpula y fondo</v>
      </c>
      <c r="B43" s="3">
        <v>1.0</v>
      </c>
      <c r="C43" s="3">
        <v>1.0</v>
      </c>
      <c r="D43" s="3">
        <v>1.0</v>
      </c>
      <c r="E43" s="3">
        <v>1.0</v>
      </c>
      <c r="F43" s="3">
        <v>1.0</v>
      </c>
      <c r="G43" s="3">
        <v>1.0</v>
      </c>
      <c r="H43" s="3">
        <v>1.0</v>
      </c>
      <c r="I43" s="3">
        <v>1.0</v>
      </c>
      <c r="J43" s="3">
        <v>1.0</v>
      </c>
      <c r="K43" s="3">
        <v>1.0</v>
      </c>
      <c r="L43" s="16"/>
      <c r="M43" s="16"/>
    </row>
    <row r="44" ht="14.25" customHeight="1">
      <c r="A44" s="4" t="str">
        <f>parametros_manuales!$B$32</f>
        <v>Control de calidad — Espesor</v>
      </c>
      <c r="B44" s="3">
        <v>1.0</v>
      </c>
      <c r="C44" s="3">
        <v>1.0</v>
      </c>
      <c r="D44" s="3">
        <v>1.0</v>
      </c>
      <c r="E44" s="3">
        <v>1.0</v>
      </c>
      <c r="F44" s="3">
        <v>1.0</v>
      </c>
      <c r="G44" s="3">
        <v>1.0</v>
      </c>
      <c r="H44" s="3">
        <v>1.0</v>
      </c>
      <c r="I44" s="3">
        <v>1.0</v>
      </c>
      <c r="J44" s="3">
        <v>1.0</v>
      </c>
      <c r="K44" s="3">
        <v>1.0</v>
      </c>
      <c r="L44" s="16"/>
      <c r="M44" s="16"/>
    </row>
    <row r="45" ht="14.25" customHeight="1">
      <c r="A45" s="4" t="str">
        <f>parametros_manuales!$B$33</f>
        <v>Prueba hidráulica</v>
      </c>
      <c r="B45" s="3">
        <v>1.0</v>
      </c>
      <c r="C45" s="3">
        <v>1.0</v>
      </c>
      <c r="D45" s="3">
        <v>1.0</v>
      </c>
      <c r="E45" s="3">
        <v>1.0</v>
      </c>
      <c r="F45" s="3">
        <v>1.0</v>
      </c>
      <c r="G45" s="3">
        <v>1.0</v>
      </c>
      <c r="H45" s="3">
        <v>1.0</v>
      </c>
      <c r="I45" s="3">
        <v>1.0</v>
      </c>
      <c r="J45" s="3">
        <v>1.0</v>
      </c>
      <c r="K45" s="3">
        <v>1.0</v>
      </c>
      <c r="L45" s="16"/>
      <c r="M45" s="16"/>
    </row>
    <row r="46" ht="14.25" customHeight="1">
      <c r="A46" s="4" t="str">
        <f>parametros_manuales!$B$34</f>
        <v>Secado</v>
      </c>
      <c r="B46" s="3">
        <v>1.0</v>
      </c>
      <c r="C46" s="3">
        <v>1.0</v>
      </c>
      <c r="D46" s="3">
        <v>1.0</v>
      </c>
      <c r="E46" s="3">
        <v>1.0</v>
      </c>
      <c r="F46" s="3">
        <v>1.0</v>
      </c>
      <c r="G46" s="3">
        <v>1.0</v>
      </c>
      <c r="H46" s="3">
        <v>1.0</v>
      </c>
      <c r="I46" s="3">
        <v>1.0</v>
      </c>
      <c r="J46" s="3">
        <v>1.0</v>
      </c>
      <c r="K46" s="3">
        <v>1.0</v>
      </c>
      <c r="L46" s="16"/>
      <c r="M46" s="16"/>
    </row>
    <row r="47" ht="14.25" customHeight="1">
      <c r="A47" s="4" t="str">
        <f>parametros_manuales!$B$35</f>
        <v>Granallado</v>
      </c>
      <c r="B47" s="3">
        <v>1.0</v>
      </c>
      <c r="C47" s="3">
        <v>1.0</v>
      </c>
      <c r="D47" s="3">
        <v>1.0</v>
      </c>
      <c r="E47" s="3">
        <v>1.0</v>
      </c>
      <c r="F47" s="3">
        <v>1.0</v>
      </c>
      <c r="G47" s="3">
        <v>1.0</v>
      </c>
      <c r="H47" s="3">
        <v>1.0</v>
      </c>
      <c r="I47" s="3">
        <v>1.0</v>
      </c>
      <c r="J47" s="3">
        <v>1.0</v>
      </c>
      <c r="K47" s="3">
        <v>1.0</v>
      </c>
      <c r="L47" s="16"/>
      <c r="M47" s="16"/>
    </row>
    <row r="48" ht="14.25" customHeight="1">
      <c r="A48" s="4" t="str">
        <f>parametros_manuales!$B$36</f>
        <v>Detección de defectos</v>
      </c>
      <c r="B48" s="3">
        <v>1.0</v>
      </c>
      <c r="C48" s="3">
        <v>1.0</v>
      </c>
      <c r="D48" s="3">
        <v>1.0</v>
      </c>
      <c r="E48" s="3">
        <v>1.0</v>
      </c>
      <c r="F48" s="3">
        <v>1.0</v>
      </c>
      <c r="G48" s="3">
        <v>1.0</v>
      </c>
      <c r="H48" s="3">
        <v>1.0</v>
      </c>
      <c r="I48" s="3">
        <v>1.0</v>
      </c>
      <c r="J48" s="3">
        <v>1.0</v>
      </c>
      <c r="K48" s="3">
        <v>1.0</v>
      </c>
      <c r="L48" s="16"/>
      <c r="M48" s="16"/>
    </row>
    <row r="49" ht="14.25" customHeight="1">
      <c r="A49" s="4" t="str">
        <f>parametros_manuales!$B$37</f>
        <v>Corrección de defectos</v>
      </c>
      <c r="B49" s="3">
        <v>1.0</v>
      </c>
      <c r="C49" s="3">
        <v>1.0</v>
      </c>
      <c r="D49" s="3">
        <v>1.0</v>
      </c>
      <c r="E49" s="3">
        <v>1.0</v>
      </c>
      <c r="F49" s="3">
        <v>1.0</v>
      </c>
      <c r="G49" s="3">
        <v>1.0</v>
      </c>
      <c r="H49" s="3">
        <v>1.0</v>
      </c>
      <c r="I49" s="3">
        <v>1.0</v>
      </c>
      <c r="J49" s="3">
        <v>1.0</v>
      </c>
      <c r="K49" s="3">
        <v>1.0</v>
      </c>
      <c r="L49" s="16"/>
      <c r="M49" s="16"/>
    </row>
    <row r="50" ht="14.25" customHeight="1">
      <c r="A50" s="4" t="str">
        <f>parametros_manuales!$B$38</f>
        <v>Pintura en polvo + horno</v>
      </c>
      <c r="B50" s="3">
        <v>1.0</v>
      </c>
      <c r="C50" s="3">
        <v>1.0</v>
      </c>
      <c r="D50" s="3">
        <v>1.0</v>
      </c>
      <c r="E50" s="3">
        <v>1.0</v>
      </c>
      <c r="F50" s="3">
        <v>1.0</v>
      </c>
      <c r="G50" s="3">
        <v>1.0</v>
      </c>
      <c r="H50" s="3">
        <v>1.0</v>
      </c>
      <c r="I50" s="3">
        <v>1.0</v>
      </c>
      <c r="J50" s="3">
        <v>1.0</v>
      </c>
      <c r="K50" s="3">
        <v>1.0</v>
      </c>
      <c r="L50" s="16"/>
      <c r="M50" s="16"/>
    </row>
    <row r="51" ht="14.25" customHeight="1">
      <c r="A51" s="4" t="str">
        <f>parametros_manuales!$B$39</f>
        <v>Carga de polvo</v>
      </c>
      <c r="B51" s="3">
        <v>1.0</v>
      </c>
      <c r="C51" s="3">
        <v>1.0</v>
      </c>
      <c r="D51" s="3">
        <v>1.0</v>
      </c>
      <c r="E51" s="3">
        <v>1.0</v>
      </c>
      <c r="F51" s="3">
        <v>1.0</v>
      </c>
      <c r="G51" s="3">
        <v>1.0</v>
      </c>
      <c r="H51" s="3">
        <v>1.0</v>
      </c>
      <c r="I51" s="3">
        <v>1.0</v>
      </c>
      <c r="J51" s="3">
        <v>1.0</v>
      </c>
      <c r="K51" s="3">
        <v>1.0</v>
      </c>
      <c r="L51" s="16"/>
      <c r="M51" s="16"/>
    </row>
    <row r="52" ht="14.25" customHeight="1">
      <c r="A52" s="4" t="str">
        <f>parametros_manuales!$B$40</f>
        <v>Ensamblaje</v>
      </c>
      <c r="B52" s="3">
        <v>1.0</v>
      </c>
      <c r="C52" s="3">
        <v>1.0</v>
      </c>
      <c r="D52" s="3">
        <v>1.0</v>
      </c>
      <c r="E52" s="3">
        <v>1.0</v>
      </c>
      <c r="F52" s="3">
        <v>1.0</v>
      </c>
      <c r="G52" s="3">
        <v>1.0</v>
      </c>
      <c r="H52" s="3">
        <v>1.0</v>
      </c>
      <c r="I52" s="3">
        <v>1.0</v>
      </c>
      <c r="J52" s="3">
        <v>1.0</v>
      </c>
      <c r="K52" s="3">
        <v>1.0</v>
      </c>
      <c r="L52" s="16"/>
      <c r="M52" s="16"/>
    </row>
    <row r="53" ht="14.25" customHeight="1">
      <c r="A53" s="4" t="str">
        <f>parametros_manuales!$B$41</f>
        <v>Presurización</v>
      </c>
      <c r="B53" s="3">
        <v>1.0</v>
      </c>
      <c r="C53" s="3">
        <v>1.0</v>
      </c>
      <c r="D53" s="3">
        <v>1.0</v>
      </c>
      <c r="E53" s="3">
        <v>1.0</v>
      </c>
      <c r="F53" s="3">
        <v>1.0</v>
      </c>
      <c r="G53" s="3">
        <v>1.0</v>
      </c>
      <c r="H53" s="3">
        <v>1.0</v>
      </c>
      <c r="I53" s="3">
        <v>1.0</v>
      </c>
      <c r="J53" s="3">
        <v>1.0</v>
      </c>
      <c r="K53" s="3">
        <v>1.0</v>
      </c>
      <c r="L53" s="16"/>
      <c r="M53" s="16"/>
    </row>
    <row r="54" ht="14.25" customHeight="1">
      <c r="A54" s="4" t="str">
        <f>parametros_manuales!$B$42</f>
        <v>Control de calidad — Ensayo de pérdidas</v>
      </c>
      <c r="B54" s="3">
        <v>1.0</v>
      </c>
      <c r="C54" s="3">
        <v>1.0</v>
      </c>
      <c r="D54" s="3">
        <v>1.0</v>
      </c>
      <c r="E54" s="3">
        <v>1.0</v>
      </c>
      <c r="F54" s="3">
        <v>1.0</v>
      </c>
      <c r="G54" s="3">
        <v>1.0</v>
      </c>
      <c r="H54" s="3">
        <v>1.0</v>
      </c>
      <c r="I54" s="3">
        <v>1.0</v>
      </c>
      <c r="J54" s="3">
        <v>1.0</v>
      </c>
      <c r="K54" s="3">
        <v>1.0</v>
      </c>
      <c r="L54" s="16"/>
      <c r="M54" s="16"/>
    </row>
    <row r="55" ht="14.25" customHeight="1">
      <c r="A55" s="4" t="str">
        <f>parametros_manuales!$B$43</f>
        <v>Etiquetado</v>
      </c>
      <c r="B55" s="3">
        <v>1.0</v>
      </c>
      <c r="C55" s="3">
        <v>1.0</v>
      </c>
      <c r="D55" s="3">
        <v>1.0</v>
      </c>
      <c r="E55" s="3">
        <v>1.0</v>
      </c>
      <c r="F55" s="3">
        <v>1.0</v>
      </c>
      <c r="G55" s="3">
        <v>1.0</v>
      </c>
      <c r="H55" s="3">
        <v>1.0</v>
      </c>
      <c r="I55" s="3">
        <v>1.0</v>
      </c>
      <c r="J55" s="3">
        <v>1.0</v>
      </c>
      <c r="K55" s="3">
        <v>1.0</v>
      </c>
      <c r="L55" s="16"/>
      <c r="M55" s="16"/>
    </row>
    <row r="56" ht="14.25" customHeight="1">
      <c r="A56" s="4" t="str">
        <f>parametros_manuales!$B$44</f>
        <v>Embalaje y paletizado</v>
      </c>
      <c r="B56" s="3">
        <v>1.0</v>
      </c>
      <c r="C56" s="3">
        <v>1.0</v>
      </c>
      <c r="D56" s="3">
        <v>1.0</v>
      </c>
      <c r="E56" s="3">
        <v>1.0</v>
      </c>
      <c r="F56" s="3">
        <v>1.0</v>
      </c>
      <c r="G56" s="3">
        <v>1.0</v>
      </c>
      <c r="H56" s="3">
        <v>1.0</v>
      </c>
      <c r="I56" s="3">
        <v>1.0</v>
      </c>
      <c r="J56" s="3">
        <v>1.0</v>
      </c>
      <c r="K56" s="3">
        <v>1.0</v>
      </c>
      <c r="L56" s="16"/>
      <c r="M56" s="16"/>
    </row>
    <row r="57" ht="14.25" customHeight="1">
      <c r="A57" s="14" t="s">
        <v>221</v>
      </c>
      <c r="B57" s="60">
        <f t="shared" ref="B57:K57" si="2">SUM(B31:B56)</f>
        <v>26</v>
      </c>
      <c r="C57" s="60">
        <f t="shared" si="2"/>
        <v>26</v>
      </c>
      <c r="D57" s="60">
        <f t="shared" si="2"/>
        <v>26</v>
      </c>
      <c r="E57" s="60">
        <f t="shared" si="2"/>
        <v>26</v>
      </c>
      <c r="F57" s="60">
        <f t="shared" si="2"/>
        <v>26</v>
      </c>
      <c r="G57" s="60">
        <f t="shared" si="2"/>
        <v>26</v>
      </c>
      <c r="H57" s="60">
        <f t="shared" si="2"/>
        <v>26</v>
      </c>
      <c r="I57" s="60">
        <f t="shared" si="2"/>
        <v>26</v>
      </c>
      <c r="J57" s="60">
        <f t="shared" si="2"/>
        <v>26</v>
      </c>
      <c r="K57" s="60">
        <f t="shared" si="2"/>
        <v>26</v>
      </c>
      <c r="L57" s="16"/>
      <c r="M57" s="16"/>
    </row>
    <row r="58" ht="14.25" customHeight="1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</row>
    <row r="59" ht="14.25" customHeight="1">
      <c r="A59" s="1" t="s">
        <v>222</v>
      </c>
      <c r="B59" s="1">
        <v>2026.0</v>
      </c>
      <c r="C59" s="1">
        <v>2027.0</v>
      </c>
      <c r="D59" s="1">
        <v>2028.0</v>
      </c>
      <c r="E59" s="1">
        <v>2029.0</v>
      </c>
      <c r="F59" s="1">
        <v>2030.0</v>
      </c>
      <c r="G59" s="1">
        <v>2031.0</v>
      </c>
      <c r="H59" s="1">
        <v>2032.0</v>
      </c>
      <c r="I59" s="1">
        <v>2033.0</v>
      </c>
      <c r="J59" s="1">
        <v>2034.0</v>
      </c>
      <c r="K59" s="1">
        <v>2035.0</v>
      </c>
      <c r="L59" s="16"/>
      <c r="M59" s="16"/>
    </row>
    <row r="60" ht="14.25" customHeight="1">
      <c r="A60" s="4" t="str">
        <f>parametros_manuales!$B$19</f>
        <v>Recepción de materia prima</v>
      </c>
      <c r="B60" s="3">
        <v>1.0</v>
      </c>
      <c r="C60" s="3">
        <v>1.0</v>
      </c>
      <c r="D60" s="3">
        <v>1.0</v>
      </c>
      <c r="E60" s="3">
        <v>1.0</v>
      </c>
      <c r="F60" s="3">
        <v>1.0</v>
      </c>
      <c r="G60" s="3">
        <v>1.0</v>
      </c>
      <c r="H60" s="3">
        <v>1.0</v>
      </c>
      <c r="I60" s="3">
        <v>1.0</v>
      </c>
      <c r="J60" s="3">
        <v>1.0</v>
      </c>
      <c r="K60" s="3">
        <v>1.0</v>
      </c>
      <c r="L60" s="16"/>
      <c r="M60" s="16"/>
    </row>
    <row r="61" ht="14.25" customHeight="1">
      <c r="A61" s="4" t="str">
        <f>parametros_manuales!$B$20</f>
        <v>Corte de chapa — 1.er corte en franjas (guillotina 1)</v>
      </c>
      <c r="B61" s="3">
        <v>1.0</v>
      </c>
      <c r="C61" s="3">
        <v>1.0</v>
      </c>
      <c r="D61" s="3">
        <v>1.0</v>
      </c>
      <c r="E61" s="3">
        <v>1.0</v>
      </c>
      <c r="F61" s="3">
        <v>1.0</v>
      </c>
      <c r="G61" s="3">
        <v>1.0</v>
      </c>
      <c r="H61" s="3">
        <v>1.0</v>
      </c>
      <c r="I61" s="3">
        <v>1.0</v>
      </c>
      <c r="J61" s="3">
        <v>1.0</v>
      </c>
      <c r="K61" s="3">
        <v>1.0</v>
      </c>
      <c r="L61" s="16"/>
      <c r="M61" s="16"/>
    </row>
    <row r="62" ht="14.25" customHeight="1">
      <c r="A62" s="4" t="str">
        <f>parametros_manuales!$B$21</f>
        <v>Corte de chapa — 2.º corte en piezas (guillotina 2)</v>
      </c>
      <c r="B62" s="3">
        <v>1.0</v>
      </c>
      <c r="C62" s="3">
        <v>1.0</v>
      </c>
      <c r="D62" s="3">
        <v>1.0</v>
      </c>
      <c r="E62" s="3">
        <v>1.0</v>
      </c>
      <c r="F62" s="3">
        <v>1.0</v>
      </c>
      <c r="G62" s="3">
        <v>1.0</v>
      </c>
      <c r="H62" s="3">
        <v>1.0</v>
      </c>
      <c r="I62" s="3">
        <v>1.0</v>
      </c>
      <c r="J62" s="3">
        <v>1.0</v>
      </c>
      <c r="K62" s="3">
        <v>1.0</v>
      </c>
      <c r="L62" s="16"/>
      <c r="M62" s="16"/>
    </row>
    <row r="63" ht="14.25" customHeight="1">
      <c r="A63" s="4" t="str">
        <f>parametros_manuales!$B$22</f>
        <v>Corte de disco y embutido (cúpula y fondo)</v>
      </c>
      <c r="B63" s="3">
        <v>1.0</v>
      </c>
      <c r="C63" s="3">
        <v>1.0</v>
      </c>
      <c r="D63" s="3">
        <v>1.0</v>
      </c>
      <c r="E63" s="3">
        <v>1.0</v>
      </c>
      <c r="F63" s="3">
        <v>1.0</v>
      </c>
      <c r="G63" s="3">
        <v>1.0</v>
      </c>
      <c r="H63" s="3">
        <v>1.0</v>
      </c>
      <c r="I63" s="3">
        <v>1.0</v>
      </c>
      <c r="J63" s="3">
        <v>1.0</v>
      </c>
      <c r="K63" s="3">
        <v>1.0</v>
      </c>
      <c r="L63" s="16"/>
      <c r="M63" s="16"/>
    </row>
    <row r="64" ht="14.25" customHeight="1">
      <c r="A64" s="4" t="str">
        <f>parametros_manuales!$B$23</f>
        <v>Preparación de cuello</v>
      </c>
      <c r="B64" s="3">
        <v>1.0</v>
      </c>
      <c r="C64" s="3">
        <v>1.0</v>
      </c>
      <c r="D64" s="3">
        <v>1.0</v>
      </c>
      <c r="E64" s="3">
        <v>1.0</v>
      </c>
      <c r="F64" s="3">
        <v>1.0</v>
      </c>
      <c r="G64" s="3">
        <v>1.0</v>
      </c>
      <c r="H64" s="3">
        <v>1.0</v>
      </c>
      <c r="I64" s="3">
        <v>1.0</v>
      </c>
      <c r="J64" s="3">
        <v>1.0</v>
      </c>
      <c r="K64" s="3">
        <v>1.0</v>
      </c>
      <c r="L64" s="16"/>
      <c r="M64" s="16"/>
    </row>
    <row r="65" ht="14.25" customHeight="1">
      <c r="A65" s="4" t="str">
        <f>parametros_manuales!$B$24</f>
        <v>Numerado de cúpula</v>
      </c>
      <c r="B65" s="3">
        <v>1.0</v>
      </c>
      <c r="C65" s="3">
        <v>1.0</v>
      </c>
      <c r="D65" s="3">
        <v>1.0</v>
      </c>
      <c r="E65" s="3">
        <v>1.0</v>
      </c>
      <c r="F65" s="3">
        <v>1.0</v>
      </c>
      <c r="G65" s="3">
        <v>1.0</v>
      </c>
      <c r="H65" s="3">
        <v>1.0</v>
      </c>
      <c r="I65" s="3">
        <v>1.0</v>
      </c>
      <c r="J65" s="3">
        <v>1.0</v>
      </c>
      <c r="K65" s="3">
        <v>1.0</v>
      </c>
      <c r="L65" s="16"/>
      <c r="M65" s="16"/>
    </row>
    <row r="66" ht="14.25" customHeight="1">
      <c r="A66" s="4" t="str">
        <f>parametros_manuales!$B$25</f>
        <v>Soldadura del cuello a la cúpula</v>
      </c>
      <c r="B66" s="3">
        <v>1.0</v>
      </c>
      <c r="C66" s="3">
        <v>1.0</v>
      </c>
      <c r="D66" s="3">
        <v>1.0</v>
      </c>
      <c r="E66" s="3">
        <v>1.0</v>
      </c>
      <c r="F66" s="3">
        <v>1.0</v>
      </c>
      <c r="G66" s="3">
        <v>1.0</v>
      </c>
      <c r="H66" s="3">
        <v>1.0</v>
      </c>
      <c r="I66" s="3">
        <v>1.0</v>
      </c>
      <c r="J66" s="3">
        <v>1.0</v>
      </c>
      <c r="K66" s="3">
        <v>1.0</v>
      </c>
      <c r="L66" s="16"/>
      <c r="M66" s="16"/>
    </row>
    <row r="67" ht="14.25" customHeight="1">
      <c r="A67" s="4" t="str">
        <f>parametros_manuales!$B$26</f>
        <v>Cilindrado</v>
      </c>
      <c r="B67" s="3">
        <v>1.0</v>
      </c>
      <c r="C67" s="3">
        <v>1.0</v>
      </c>
      <c r="D67" s="3">
        <v>1.0</v>
      </c>
      <c r="E67" s="3">
        <v>1.0</v>
      </c>
      <c r="F67" s="3">
        <v>1.0</v>
      </c>
      <c r="G67" s="3">
        <v>1.0</v>
      </c>
      <c r="H67" s="3">
        <v>1.0</v>
      </c>
      <c r="I67" s="3">
        <v>1.0</v>
      </c>
      <c r="J67" s="3">
        <v>1.0</v>
      </c>
      <c r="K67" s="3">
        <v>1.0</v>
      </c>
      <c r="L67" s="16"/>
      <c r="M67" s="16"/>
    </row>
    <row r="68" ht="14.25" customHeight="1">
      <c r="A68" s="4" t="str">
        <f>parametros_manuales!$B$27</f>
        <v>Soldadura longitudinal — 2,5 a 10 kg</v>
      </c>
      <c r="B68" s="3">
        <v>1.0</v>
      </c>
      <c r="C68" s="3">
        <v>1.0</v>
      </c>
      <c r="D68" s="3">
        <v>1.0</v>
      </c>
      <c r="E68" s="3">
        <v>1.0</v>
      </c>
      <c r="F68" s="3">
        <v>1.0</v>
      </c>
      <c r="G68" s="3">
        <v>1.0</v>
      </c>
      <c r="H68" s="3">
        <v>1.0</v>
      </c>
      <c r="I68" s="3">
        <v>1.0</v>
      </c>
      <c r="J68" s="3">
        <v>1.0</v>
      </c>
      <c r="K68" s="3">
        <v>1.0</v>
      </c>
      <c r="L68" s="16"/>
      <c r="M68" s="16"/>
    </row>
    <row r="69" ht="14.25" customHeight="1">
      <c r="A69" s="4" t="str">
        <f>parametros_manuales!$B$28</f>
        <v>Soldadura longitudinal TIG — 1 kg</v>
      </c>
      <c r="B69" s="3">
        <v>1.0</v>
      </c>
      <c r="C69" s="3">
        <v>1.0</v>
      </c>
      <c r="D69" s="3">
        <v>1.0</v>
      </c>
      <c r="E69" s="3">
        <v>1.0</v>
      </c>
      <c r="F69" s="3">
        <v>1.0</v>
      </c>
      <c r="G69" s="3">
        <v>1.0</v>
      </c>
      <c r="H69" s="3">
        <v>1.0</v>
      </c>
      <c r="I69" s="3">
        <v>1.0</v>
      </c>
      <c r="J69" s="3">
        <v>1.0</v>
      </c>
      <c r="K69" s="3">
        <v>1.0</v>
      </c>
      <c r="L69" s="16"/>
      <c r="M69" s="16"/>
    </row>
    <row r="70" ht="14.25" customHeight="1">
      <c r="A70" s="4" t="str">
        <f>parametros_manuales!$B$29</f>
        <v>Encastre de fondo</v>
      </c>
      <c r="B70" s="3">
        <v>1.0</v>
      </c>
      <c r="C70" s="3">
        <v>1.0</v>
      </c>
      <c r="D70" s="3">
        <v>1.0</v>
      </c>
      <c r="E70" s="3">
        <v>1.0</v>
      </c>
      <c r="F70" s="3">
        <v>1.0</v>
      </c>
      <c r="G70" s="3">
        <v>1.0</v>
      </c>
      <c r="H70" s="3">
        <v>1.0</v>
      </c>
      <c r="I70" s="3">
        <v>1.0</v>
      </c>
      <c r="J70" s="3">
        <v>1.0</v>
      </c>
      <c r="K70" s="3">
        <v>1.0</v>
      </c>
      <c r="L70" s="16"/>
      <c r="M70" s="16"/>
    </row>
    <row r="71" ht="14.25" customHeight="1">
      <c r="A71" s="4" t="str">
        <f>parametros_manuales!$B$30</f>
        <v>Bordoneado</v>
      </c>
      <c r="B71" s="3">
        <v>1.0</v>
      </c>
      <c r="C71" s="3">
        <v>1.0</v>
      </c>
      <c r="D71" s="3">
        <v>1.0</v>
      </c>
      <c r="E71" s="3">
        <v>1.0</v>
      </c>
      <c r="F71" s="3">
        <v>1.0</v>
      </c>
      <c r="G71" s="3">
        <v>1.0</v>
      </c>
      <c r="H71" s="3">
        <v>1.0</v>
      </c>
      <c r="I71" s="3">
        <v>1.0</v>
      </c>
      <c r="J71" s="3">
        <v>1.0</v>
      </c>
      <c r="K71" s="3">
        <v>1.0</v>
      </c>
      <c r="L71" s="16"/>
      <c r="M71" s="16"/>
    </row>
    <row r="72" ht="14.25" customHeight="1">
      <c r="A72" s="4" t="str">
        <f>parametros_manuales!$B$31</f>
        <v>Soldadura circunferencial de cúpula y fondo</v>
      </c>
      <c r="B72" s="3">
        <v>1.0</v>
      </c>
      <c r="C72" s="3">
        <v>1.0</v>
      </c>
      <c r="D72" s="3">
        <v>1.0</v>
      </c>
      <c r="E72" s="3">
        <v>1.0</v>
      </c>
      <c r="F72" s="3">
        <v>1.0</v>
      </c>
      <c r="G72" s="3">
        <v>1.0</v>
      </c>
      <c r="H72" s="3">
        <v>1.0</v>
      </c>
      <c r="I72" s="3">
        <v>1.0</v>
      </c>
      <c r="J72" s="3">
        <v>1.0</v>
      </c>
      <c r="K72" s="3">
        <v>1.0</v>
      </c>
      <c r="L72" s="16"/>
      <c r="M72" s="16"/>
    </row>
    <row r="73" ht="14.25" customHeight="1">
      <c r="A73" s="4" t="str">
        <f>parametros_manuales!$B$32</f>
        <v>Control de calidad — Espesor</v>
      </c>
      <c r="B73" s="3">
        <v>1.0</v>
      </c>
      <c r="C73" s="3">
        <v>1.0</v>
      </c>
      <c r="D73" s="3">
        <v>1.0</v>
      </c>
      <c r="E73" s="3">
        <v>1.0</v>
      </c>
      <c r="F73" s="3">
        <v>1.0</v>
      </c>
      <c r="G73" s="3">
        <v>1.0</v>
      </c>
      <c r="H73" s="3">
        <v>1.0</v>
      </c>
      <c r="I73" s="3">
        <v>1.0</v>
      </c>
      <c r="J73" s="3">
        <v>1.0</v>
      </c>
      <c r="K73" s="3">
        <v>1.0</v>
      </c>
      <c r="L73" s="16"/>
      <c r="M73" s="16"/>
    </row>
    <row r="74" ht="14.25" customHeight="1">
      <c r="A74" s="4" t="str">
        <f>parametros_manuales!$B$33</f>
        <v>Prueba hidráulica</v>
      </c>
      <c r="B74" s="3">
        <v>1.0</v>
      </c>
      <c r="C74" s="3">
        <v>1.0</v>
      </c>
      <c r="D74" s="3">
        <v>1.0</v>
      </c>
      <c r="E74" s="3">
        <v>1.0</v>
      </c>
      <c r="F74" s="3">
        <v>1.0</v>
      </c>
      <c r="G74" s="3">
        <v>1.0</v>
      </c>
      <c r="H74" s="3">
        <v>1.0</v>
      </c>
      <c r="I74" s="3">
        <v>1.0</v>
      </c>
      <c r="J74" s="3">
        <v>1.0</v>
      </c>
      <c r="K74" s="3">
        <v>1.0</v>
      </c>
      <c r="L74" s="16"/>
      <c r="M74" s="16"/>
    </row>
    <row r="75" ht="14.25" customHeight="1">
      <c r="A75" s="4" t="str">
        <f>parametros_manuales!$B$34</f>
        <v>Secado</v>
      </c>
      <c r="B75" s="3">
        <v>1.0</v>
      </c>
      <c r="C75" s="3">
        <v>1.0</v>
      </c>
      <c r="D75" s="3">
        <v>1.0</v>
      </c>
      <c r="E75" s="3">
        <v>1.0</v>
      </c>
      <c r="F75" s="3">
        <v>1.0</v>
      </c>
      <c r="G75" s="3">
        <v>1.0</v>
      </c>
      <c r="H75" s="3">
        <v>1.0</v>
      </c>
      <c r="I75" s="3">
        <v>1.0</v>
      </c>
      <c r="J75" s="3">
        <v>1.0</v>
      </c>
      <c r="K75" s="3">
        <v>1.0</v>
      </c>
      <c r="L75" s="16"/>
      <c r="M75" s="16"/>
    </row>
    <row r="76" ht="14.25" customHeight="1">
      <c r="A76" s="4" t="str">
        <f>parametros_manuales!$B$35</f>
        <v>Granallado</v>
      </c>
      <c r="B76" s="3">
        <v>1.0</v>
      </c>
      <c r="C76" s="3">
        <v>1.0</v>
      </c>
      <c r="D76" s="3">
        <v>1.0</v>
      </c>
      <c r="E76" s="3">
        <v>1.0</v>
      </c>
      <c r="F76" s="3">
        <v>1.0</v>
      </c>
      <c r="G76" s="3">
        <v>1.0</v>
      </c>
      <c r="H76" s="3">
        <v>1.0</v>
      </c>
      <c r="I76" s="3">
        <v>1.0</v>
      </c>
      <c r="J76" s="3">
        <v>1.0</v>
      </c>
      <c r="K76" s="3">
        <v>1.0</v>
      </c>
      <c r="L76" s="16"/>
      <c r="M76" s="16"/>
    </row>
    <row r="77" ht="14.25" customHeight="1">
      <c r="A77" s="4" t="str">
        <f>parametros_manuales!$B$36</f>
        <v>Detección de defectos</v>
      </c>
      <c r="B77" s="3">
        <v>1.0</v>
      </c>
      <c r="C77" s="3">
        <v>1.0</v>
      </c>
      <c r="D77" s="3">
        <v>1.0</v>
      </c>
      <c r="E77" s="3">
        <v>1.0</v>
      </c>
      <c r="F77" s="3">
        <v>1.0</v>
      </c>
      <c r="G77" s="3">
        <v>1.0</v>
      </c>
      <c r="H77" s="3">
        <v>1.0</v>
      </c>
      <c r="I77" s="3">
        <v>1.0</v>
      </c>
      <c r="J77" s="3">
        <v>1.0</v>
      </c>
      <c r="K77" s="3">
        <v>1.0</v>
      </c>
      <c r="L77" s="16"/>
      <c r="M77" s="16"/>
    </row>
    <row r="78" ht="14.25" customHeight="1">
      <c r="A78" s="4" t="str">
        <f>parametros_manuales!$B$37</f>
        <v>Corrección de defectos</v>
      </c>
      <c r="B78" s="3">
        <v>1.0</v>
      </c>
      <c r="C78" s="3">
        <v>1.0</v>
      </c>
      <c r="D78" s="3">
        <v>1.0</v>
      </c>
      <c r="E78" s="3">
        <v>1.0</v>
      </c>
      <c r="F78" s="3">
        <v>1.0</v>
      </c>
      <c r="G78" s="3">
        <v>1.0</v>
      </c>
      <c r="H78" s="3">
        <v>1.0</v>
      </c>
      <c r="I78" s="3">
        <v>1.0</v>
      </c>
      <c r="J78" s="3">
        <v>1.0</v>
      </c>
      <c r="K78" s="3">
        <v>1.0</v>
      </c>
      <c r="L78" s="16"/>
      <c r="M78" s="16"/>
    </row>
    <row r="79" ht="14.25" customHeight="1">
      <c r="A79" s="4" t="str">
        <f>parametros_manuales!$B$38</f>
        <v>Pintura en polvo + horno</v>
      </c>
      <c r="B79" s="3">
        <v>1.0</v>
      </c>
      <c r="C79" s="3">
        <v>1.0</v>
      </c>
      <c r="D79" s="3">
        <v>1.0</v>
      </c>
      <c r="E79" s="3">
        <v>1.0</v>
      </c>
      <c r="F79" s="3">
        <v>1.0</v>
      </c>
      <c r="G79" s="3">
        <v>1.0</v>
      </c>
      <c r="H79" s="3">
        <v>1.0</v>
      </c>
      <c r="I79" s="3">
        <v>1.0</v>
      </c>
      <c r="J79" s="3">
        <v>1.0</v>
      </c>
      <c r="K79" s="3">
        <v>1.0</v>
      </c>
      <c r="L79" s="16"/>
      <c r="M79" s="16"/>
    </row>
    <row r="80" ht="14.25" customHeight="1">
      <c r="A80" s="4" t="str">
        <f>parametros_manuales!$B$39</f>
        <v>Carga de polvo</v>
      </c>
      <c r="B80" s="3">
        <v>1.0</v>
      </c>
      <c r="C80" s="3">
        <v>1.0</v>
      </c>
      <c r="D80" s="3">
        <v>1.0</v>
      </c>
      <c r="E80" s="3">
        <v>1.0</v>
      </c>
      <c r="F80" s="3">
        <v>1.0</v>
      </c>
      <c r="G80" s="3">
        <v>1.0</v>
      </c>
      <c r="H80" s="3">
        <v>1.0</v>
      </c>
      <c r="I80" s="3">
        <v>1.0</v>
      </c>
      <c r="J80" s="3">
        <v>1.0</v>
      </c>
      <c r="K80" s="3">
        <v>1.0</v>
      </c>
      <c r="L80" s="16"/>
      <c r="M80" s="16"/>
    </row>
    <row r="81" ht="14.25" customHeight="1">
      <c r="A81" s="4" t="str">
        <f>parametros_manuales!$B$40</f>
        <v>Ensamblaje</v>
      </c>
      <c r="B81" s="3">
        <v>1.0</v>
      </c>
      <c r="C81" s="3">
        <v>1.0</v>
      </c>
      <c r="D81" s="3">
        <v>1.0</v>
      </c>
      <c r="E81" s="3">
        <v>1.0</v>
      </c>
      <c r="F81" s="3">
        <v>1.0</v>
      </c>
      <c r="G81" s="3">
        <v>1.0</v>
      </c>
      <c r="H81" s="3">
        <v>1.0</v>
      </c>
      <c r="I81" s="3">
        <v>1.0</v>
      </c>
      <c r="J81" s="3">
        <v>1.0</v>
      </c>
      <c r="K81" s="3">
        <v>1.0</v>
      </c>
      <c r="L81" s="16"/>
      <c r="M81" s="16"/>
    </row>
    <row r="82" ht="14.25" customHeight="1">
      <c r="A82" s="4" t="str">
        <f>parametros_manuales!$B$41</f>
        <v>Presurización</v>
      </c>
      <c r="B82" s="3">
        <v>1.0</v>
      </c>
      <c r="C82" s="3">
        <v>1.0</v>
      </c>
      <c r="D82" s="3">
        <v>1.0</v>
      </c>
      <c r="E82" s="3">
        <v>1.0</v>
      </c>
      <c r="F82" s="3">
        <v>1.0</v>
      </c>
      <c r="G82" s="3">
        <v>1.0</v>
      </c>
      <c r="H82" s="3">
        <v>1.0</v>
      </c>
      <c r="I82" s="3">
        <v>1.0</v>
      </c>
      <c r="J82" s="3">
        <v>1.0</v>
      </c>
      <c r="K82" s="3">
        <v>1.0</v>
      </c>
      <c r="L82" s="16"/>
      <c r="M82" s="16"/>
    </row>
    <row r="83" ht="14.25" customHeight="1">
      <c r="A83" s="4" t="str">
        <f>parametros_manuales!$B$42</f>
        <v>Control de calidad — Ensayo de pérdidas</v>
      </c>
      <c r="B83" s="3">
        <v>1.0</v>
      </c>
      <c r="C83" s="3">
        <v>1.0</v>
      </c>
      <c r="D83" s="3">
        <v>1.0</v>
      </c>
      <c r="E83" s="3">
        <v>1.0</v>
      </c>
      <c r="F83" s="3">
        <v>1.0</v>
      </c>
      <c r="G83" s="3">
        <v>1.0</v>
      </c>
      <c r="H83" s="3">
        <v>1.0</v>
      </c>
      <c r="I83" s="3">
        <v>1.0</v>
      </c>
      <c r="J83" s="3">
        <v>1.0</v>
      </c>
      <c r="K83" s="3">
        <v>1.0</v>
      </c>
      <c r="L83" s="16"/>
      <c r="M83" s="16"/>
    </row>
    <row r="84" ht="14.25" customHeight="1">
      <c r="A84" s="4" t="str">
        <f>parametros_manuales!$B$43</f>
        <v>Etiquetado</v>
      </c>
      <c r="B84" s="3">
        <v>1.0</v>
      </c>
      <c r="C84" s="3">
        <v>1.0</v>
      </c>
      <c r="D84" s="3">
        <v>1.0</v>
      </c>
      <c r="E84" s="3">
        <v>1.0</v>
      </c>
      <c r="F84" s="3">
        <v>1.0</v>
      </c>
      <c r="G84" s="3">
        <v>1.0</v>
      </c>
      <c r="H84" s="3">
        <v>1.0</v>
      </c>
      <c r="I84" s="3">
        <v>1.0</v>
      </c>
      <c r="J84" s="3">
        <v>1.0</v>
      </c>
      <c r="K84" s="3">
        <v>1.0</v>
      </c>
      <c r="L84" s="16"/>
      <c r="M84" s="16"/>
    </row>
    <row r="85" ht="14.25" customHeight="1">
      <c r="A85" s="4" t="str">
        <f>parametros_manuales!$B$44</f>
        <v>Embalaje y paletizado</v>
      </c>
      <c r="B85" s="3">
        <v>1.0</v>
      </c>
      <c r="C85" s="3">
        <v>1.0</v>
      </c>
      <c r="D85" s="3">
        <v>1.0</v>
      </c>
      <c r="E85" s="3">
        <v>1.0</v>
      </c>
      <c r="F85" s="3">
        <v>1.0</v>
      </c>
      <c r="G85" s="3">
        <v>1.0</v>
      </c>
      <c r="H85" s="3">
        <v>1.0</v>
      </c>
      <c r="I85" s="3">
        <v>1.0</v>
      </c>
      <c r="J85" s="3">
        <v>1.0</v>
      </c>
      <c r="K85" s="3">
        <v>1.0</v>
      </c>
      <c r="L85" s="16"/>
      <c r="M85" s="16"/>
    </row>
    <row r="86" ht="14.25" customHeight="1">
      <c r="A86" s="14" t="s">
        <v>223</v>
      </c>
      <c r="B86" s="60">
        <f t="shared" ref="B86:K86" si="3">MAX(B60:B85)</f>
        <v>1</v>
      </c>
      <c r="C86" s="60">
        <f t="shared" si="3"/>
        <v>1</v>
      </c>
      <c r="D86" s="60">
        <f t="shared" si="3"/>
        <v>1</v>
      </c>
      <c r="E86" s="60">
        <f t="shared" si="3"/>
        <v>1</v>
      </c>
      <c r="F86" s="60">
        <f t="shared" si="3"/>
        <v>1</v>
      </c>
      <c r="G86" s="60">
        <f t="shared" si="3"/>
        <v>1</v>
      </c>
      <c r="H86" s="60">
        <f t="shared" si="3"/>
        <v>1</v>
      </c>
      <c r="I86" s="60">
        <f t="shared" si="3"/>
        <v>1</v>
      </c>
      <c r="J86" s="60">
        <f t="shared" si="3"/>
        <v>1</v>
      </c>
      <c r="K86" s="60">
        <f t="shared" si="3"/>
        <v>1</v>
      </c>
      <c r="L86" s="16"/>
      <c r="M86" s="16"/>
    </row>
    <row r="87" ht="14.2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</row>
    <row r="88" ht="14.2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</row>
    <row r="89" ht="14.25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</row>
    <row r="90" ht="14.25" customHeight="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</row>
    <row r="91" ht="14.25" customHeight="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</row>
    <row r="92" ht="14.25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</row>
    <row r="93" ht="14.2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</row>
    <row r="94" ht="14.2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</row>
    <row r="95" ht="14.25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</row>
    <row r="96" ht="14.2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</row>
    <row r="97" ht="14.2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</row>
    <row r="98" ht="14.25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</row>
    <row r="99" ht="14.2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</row>
    <row r="100" ht="14.25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</row>
    <row r="101" ht="14.25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</row>
    <row r="102" ht="14.25" customHeight="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</row>
    <row r="103" ht="14.25" customHeight="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</row>
    <row r="104" ht="14.25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</row>
    <row r="105" ht="14.25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</row>
    <row r="106" ht="14.2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</row>
    <row r="107" ht="14.25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</row>
    <row r="108" ht="14.2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</row>
    <row r="109" ht="14.25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</row>
    <row r="110" ht="14.2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</row>
    <row r="111" ht="14.2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</row>
    <row r="112" ht="14.2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</row>
    <row r="113" ht="14.2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</row>
    <row r="114" ht="14.2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</row>
    <row r="115" ht="14.2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</row>
    <row r="116" ht="14.2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</row>
    <row r="117" ht="14.2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</row>
    <row r="118" ht="14.2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</row>
    <row r="119" ht="14.2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</row>
    <row r="120" ht="14.2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</row>
    <row r="121" ht="14.2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</row>
    <row r="122" ht="14.2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</row>
    <row r="123" ht="14.2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</row>
    <row r="124" ht="14.2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</row>
    <row r="125" ht="14.2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</row>
    <row r="126" ht="14.2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</row>
    <row r="127" ht="14.2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</row>
    <row r="128" ht="14.2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</row>
    <row r="129" ht="14.2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</row>
    <row r="130" ht="14.2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</row>
    <row r="131" ht="14.2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</row>
    <row r="132" ht="14.2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</row>
    <row r="133" ht="14.2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</row>
    <row r="134" ht="14.2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</row>
    <row r="135" ht="14.2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</row>
    <row r="136" ht="14.2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</row>
    <row r="137" ht="14.2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</row>
    <row r="138" ht="14.2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</row>
    <row r="139" ht="14.2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</row>
    <row r="140" ht="14.2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</row>
    <row r="141" ht="14.2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</row>
    <row r="142" ht="14.2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</row>
    <row r="143" ht="14.2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</row>
    <row r="144" ht="14.2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</row>
    <row r="145" ht="14.2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</row>
    <row r="146" ht="14.2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</row>
    <row r="147" ht="14.2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</row>
    <row r="148" ht="14.2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</row>
    <row r="149" ht="14.2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</row>
    <row r="150" ht="14.2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</row>
    <row r="151" ht="14.25" customHeight="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</row>
    <row r="152" ht="14.25" customHeight="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</row>
    <row r="153" ht="14.2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</row>
    <row r="154" ht="14.2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</row>
    <row r="155" ht="14.2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</row>
    <row r="156" ht="14.2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</row>
    <row r="157" ht="14.2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</row>
    <row r="158" ht="14.2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</row>
    <row r="159" ht="14.2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</row>
    <row r="160" ht="14.2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</row>
    <row r="161" ht="14.2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</row>
    <row r="162" ht="14.2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</row>
    <row r="163" ht="14.2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</row>
    <row r="164" ht="14.2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</row>
    <row r="165" ht="14.2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</row>
    <row r="166" ht="14.25" customHeight="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</row>
    <row r="167" ht="14.2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</row>
    <row r="168" ht="14.2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</row>
    <row r="169" ht="14.25" customHeight="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</row>
    <row r="170" ht="14.2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</row>
    <row r="171" ht="14.2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</row>
    <row r="172" ht="14.2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</row>
    <row r="173" ht="14.2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</row>
    <row r="174" ht="14.2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</row>
    <row r="175" ht="14.2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</row>
    <row r="176" ht="14.25" customHeight="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</row>
    <row r="177" ht="14.25" customHeight="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</row>
    <row r="178" ht="14.25" customHeight="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</row>
    <row r="179" ht="14.2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</row>
    <row r="180" ht="14.2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</row>
    <row r="181" ht="14.25" customHeight="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</row>
    <row r="182" ht="14.25" customHeight="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</row>
    <row r="183" ht="14.25" customHeight="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</row>
    <row r="184" ht="14.25" customHeight="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</row>
    <row r="185" ht="14.2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</row>
    <row r="186" ht="14.25" customHeight="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</row>
    <row r="187" ht="14.25" customHeight="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</row>
    <row r="188" ht="14.25" customHeight="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</row>
    <row r="189" ht="14.25" customHeight="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</row>
    <row r="190" ht="14.25" customHeight="1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</row>
    <row r="191" ht="14.25" customHeight="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</row>
    <row r="192" ht="14.25" customHeight="1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</row>
    <row r="193" ht="14.25" customHeight="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</row>
    <row r="194" ht="14.25" customHeight="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</row>
    <row r="195" ht="14.25" customHeight="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</row>
    <row r="196" ht="14.2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</row>
    <row r="197" ht="14.25" customHeight="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</row>
    <row r="198" ht="14.25" customHeight="1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</row>
    <row r="199" ht="14.25" customHeight="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</row>
    <row r="200" ht="14.25" customHeight="1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</row>
    <row r="201" ht="14.25" customHeight="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</row>
    <row r="202" ht="14.2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</row>
    <row r="203" ht="14.25" customHeight="1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</row>
    <row r="204" ht="14.25" customHeight="1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</row>
    <row r="205" ht="14.25" customHeight="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</row>
    <row r="206" ht="14.25" customHeight="1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</row>
    <row r="207" ht="14.25" customHeight="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</row>
    <row r="208" ht="14.25" customHeight="1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</row>
    <row r="209" ht="14.25" customHeight="1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</row>
    <row r="210" ht="14.25" customHeight="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</row>
    <row r="211" ht="14.25" customHeight="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</row>
    <row r="212" ht="14.25" customHeight="1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</row>
    <row r="213" ht="14.25" customHeight="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</row>
    <row r="214" ht="14.25" customHeight="1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</row>
    <row r="215" ht="14.25" customHeight="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</row>
    <row r="216" ht="14.25" customHeight="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</row>
    <row r="217" ht="14.2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</row>
    <row r="218" ht="14.25" customHeight="1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</row>
    <row r="219" ht="14.25" customHeight="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</row>
    <row r="220" ht="14.25" customHeight="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</row>
    <row r="221" ht="14.25" customHeight="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</row>
    <row r="222" ht="14.25" customHeight="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</row>
    <row r="223" ht="14.25" customHeight="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</row>
    <row r="224" ht="14.2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</row>
    <row r="225" ht="14.2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</row>
    <row r="226" ht="14.25" customHeight="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</row>
    <row r="227" ht="14.2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</row>
    <row r="228" ht="14.2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</row>
    <row r="229" ht="14.2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</row>
    <row r="230" ht="14.25" customHeight="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</row>
    <row r="231" ht="14.2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</row>
    <row r="232" ht="14.25" customHeight="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</row>
    <row r="233" ht="14.25" customHeight="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</row>
    <row r="234" ht="14.25" customHeight="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</row>
    <row r="235" ht="14.25" customHeight="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</row>
    <row r="236" ht="14.25" customHeight="1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</row>
    <row r="237" ht="14.25" customHeight="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</row>
    <row r="238" ht="14.25" customHeight="1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</row>
    <row r="239" ht="14.25" customHeight="1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</row>
    <row r="240" ht="14.25" customHeight="1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</row>
    <row r="241" ht="14.25" customHeight="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</row>
    <row r="242" ht="14.25" customHeight="1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</row>
    <row r="243" ht="14.25" customHeight="1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</row>
    <row r="244" ht="14.25" customHeight="1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</row>
    <row r="245" ht="14.25" customHeight="1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</row>
    <row r="246" ht="14.25" customHeight="1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</row>
    <row r="247" ht="14.25" customHeight="1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</row>
    <row r="248" ht="14.25" customHeight="1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</row>
    <row r="249" ht="14.25" customHeight="1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</row>
    <row r="250" ht="14.25" customHeight="1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</row>
    <row r="251" ht="14.25" customHeight="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</row>
    <row r="252" ht="14.25" customHeight="1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</row>
    <row r="253" ht="14.25" customHeight="1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</row>
    <row r="254" ht="14.25" customHeight="1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</row>
    <row r="255" ht="14.25" customHeight="1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</row>
    <row r="256" ht="14.25" customHeight="1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</row>
    <row r="257" ht="14.25" customHeight="1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</row>
    <row r="258" ht="14.25" customHeight="1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</row>
    <row r="259" ht="14.25" customHeight="1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</row>
    <row r="260" ht="14.25" customHeight="1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</row>
    <row r="261" ht="14.25" customHeight="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</row>
    <row r="262" ht="14.25" customHeight="1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</row>
    <row r="263" ht="14.25" customHeight="1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</row>
    <row r="264" ht="14.25" customHeight="1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</row>
    <row r="265" ht="14.25" customHeight="1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</row>
    <row r="266" ht="14.25" customHeight="1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</row>
    <row r="267" ht="14.25" customHeight="1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</row>
    <row r="268" ht="14.25" customHeight="1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</row>
    <row r="269" ht="14.25" customHeight="1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</row>
    <row r="270" ht="14.25" customHeight="1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</row>
    <row r="271" ht="14.25" customHeight="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</row>
    <row r="272" ht="14.25" customHeight="1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</row>
    <row r="273" ht="14.25" customHeight="1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</row>
    <row r="274" ht="14.25" customHeight="1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</row>
    <row r="275" ht="14.25" customHeight="1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</row>
    <row r="276" ht="14.25" customHeight="1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</row>
    <row r="277" ht="14.25" customHeight="1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</row>
    <row r="278" ht="14.25" customHeight="1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</row>
    <row r="279" ht="14.25" customHeight="1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</row>
    <row r="280" ht="14.25" customHeight="1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</row>
    <row r="281" ht="14.25" customHeight="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</row>
    <row r="282" ht="14.25" customHeight="1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</row>
    <row r="283" ht="14.25" customHeight="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</row>
    <row r="284" ht="14.25" customHeight="1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</row>
    <row r="285" ht="14.25" customHeight="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</row>
    <row r="286" ht="14.25" customHeight="1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</row>
    <row r="287" ht="15.75" customHeight="1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</row>
    <row r="288" ht="15.75" customHeight="1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</row>
    <row r="289" ht="15.75" customHeight="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</row>
    <row r="290" ht="15.75" customHeight="1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</row>
    <row r="291" ht="15.75" customHeight="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</row>
    <row r="292" ht="15.75" customHeight="1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</row>
    <row r="293" ht="15.75" customHeight="1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</row>
    <row r="294" ht="15.75" customHeight="1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</row>
    <row r="295" ht="15.75" customHeight="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</row>
    <row r="296" ht="15.75" customHeight="1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</row>
    <row r="297" ht="15.75" customHeight="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</row>
    <row r="298" ht="15.75" customHeight="1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</row>
    <row r="299" ht="15.75" customHeight="1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</row>
    <row r="300" ht="15.75" customHeight="1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</row>
    <row r="301" ht="15.75" customHeight="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</row>
    <row r="302" ht="15.75" customHeight="1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</row>
    <row r="303" ht="15.75" customHeight="1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</row>
    <row r="304" ht="15.75" customHeight="1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</row>
    <row r="305" ht="15.75" customHeight="1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</row>
    <row r="306" ht="15.75" customHeight="1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</row>
    <row r="307" ht="15.75" customHeight="1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</row>
    <row r="308" ht="15.75" customHeight="1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</row>
    <row r="309" ht="15.75" customHeight="1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</row>
    <row r="310" ht="15.75" customHeight="1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</row>
    <row r="311" ht="15.75" customHeight="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</row>
    <row r="312" ht="15.75" customHeight="1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</row>
    <row r="313" ht="15.75" customHeight="1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</row>
    <row r="314" ht="15.75" customHeight="1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</row>
    <row r="315" ht="15.75" customHeight="1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</row>
    <row r="316" ht="15.75" customHeight="1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</row>
    <row r="317" ht="15.75" customHeight="1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</row>
    <row r="318" ht="15.75" customHeight="1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</row>
    <row r="319" ht="15.75" customHeight="1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</row>
    <row r="320" ht="15.75" customHeight="1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</row>
    <row r="321" ht="15.75" customHeight="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</row>
    <row r="322" ht="15.75" customHeight="1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</row>
    <row r="323" ht="15.75" customHeight="1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</row>
    <row r="324" ht="15.75" customHeight="1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</row>
    <row r="325" ht="15.75" customHeight="1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</row>
    <row r="326" ht="15.75" customHeight="1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</row>
    <row r="327" ht="15.75" customHeight="1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</row>
    <row r="328" ht="15.75" customHeight="1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</row>
    <row r="329" ht="15.75" customHeight="1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</row>
    <row r="330" ht="15.75" customHeight="1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</row>
    <row r="331" ht="15.75" customHeight="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</row>
    <row r="332" ht="15.75" customHeight="1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</row>
    <row r="333" ht="15.7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</row>
    <row r="334" ht="15.75" customHeight="1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</row>
    <row r="335" ht="15.75" customHeight="1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</row>
    <row r="336" ht="15.75" customHeight="1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</row>
    <row r="337" ht="15.75" customHeight="1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</row>
    <row r="338" ht="15.75" customHeight="1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</row>
    <row r="339" ht="15.7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</row>
    <row r="340" ht="15.75" customHeight="1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</row>
    <row r="341" ht="15.75" customHeight="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</row>
    <row r="342" ht="15.75" customHeight="1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</row>
    <row r="343" ht="15.75" customHeigh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</row>
    <row r="344" ht="15.75" customHeight="1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</row>
    <row r="345" ht="15.7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</row>
    <row r="346" ht="15.75" customHeight="1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</row>
    <row r="347" ht="15.75" customHeight="1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</row>
    <row r="348" ht="15.75" customHeight="1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</row>
    <row r="349" ht="15.75" customHeight="1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</row>
    <row r="350" ht="15.75" customHeight="1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</row>
    <row r="351" ht="15.75" customHeight="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</row>
    <row r="352" ht="15.75" customHeight="1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</row>
    <row r="353" ht="15.75" customHeight="1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</row>
    <row r="354" ht="15.75" customHeight="1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</row>
    <row r="355" ht="15.75" customHeight="1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</row>
    <row r="356" ht="15.75" customHeight="1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</row>
    <row r="357" ht="15.75" customHeight="1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</row>
    <row r="358" ht="15.75" customHeight="1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</row>
    <row r="359" ht="15.75" customHeight="1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</row>
    <row r="360" ht="15.75" customHeight="1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</row>
    <row r="361" ht="15.75" customHeight="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</row>
    <row r="362" ht="15.75" customHeight="1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</row>
    <row r="363" ht="15.75" customHeight="1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</row>
    <row r="364" ht="15.75" customHeight="1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</row>
    <row r="365" ht="15.75" customHeigh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</row>
    <row r="366" ht="15.75" customHeight="1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</row>
    <row r="367" ht="15.75" customHeight="1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</row>
    <row r="368" ht="15.75" customHeight="1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</row>
    <row r="369" ht="15.75" customHeight="1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</row>
    <row r="370" ht="15.75" customHeight="1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</row>
    <row r="371" ht="15.75" customHeight="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</row>
    <row r="372" ht="15.75" customHeight="1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</row>
    <row r="373" ht="15.75" customHeight="1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</row>
    <row r="374" ht="15.75" customHeight="1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</row>
    <row r="375" ht="15.75" customHeight="1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</row>
    <row r="376" ht="15.75" customHeight="1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</row>
    <row r="377" ht="15.75" customHeight="1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</row>
    <row r="378" ht="15.75" customHeight="1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</row>
    <row r="379" ht="15.75" customHeight="1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</row>
    <row r="380" ht="15.75" customHeight="1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</row>
    <row r="381" ht="15.75" customHeight="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</row>
    <row r="382" ht="15.75" customHeight="1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</row>
    <row r="383" ht="15.75" customHeight="1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</row>
    <row r="384" ht="15.75" customHeight="1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</row>
    <row r="385" ht="15.75" customHeight="1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</row>
    <row r="386" ht="15.75" customHeight="1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</row>
    <row r="387" ht="15.75" customHeight="1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</row>
    <row r="388" ht="15.75" customHeight="1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</row>
    <row r="389" ht="15.75" customHeigh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</row>
    <row r="390" ht="15.75" customHeight="1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</row>
    <row r="391" ht="15.75" customHeight="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</row>
    <row r="392" ht="15.75" customHeight="1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</row>
    <row r="393" ht="15.75" customHeight="1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</row>
    <row r="394" ht="15.75" customHeight="1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</row>
    <row r="395" ht="15.75" customHeight="1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</row>
    <row r="396" ht="15.75" customHeight="1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</row>
    <row r="397" ht="15.75" customHeight="1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</row>
    <row r="398" ht="15.75" customHeight="1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</row>
    <row r="399" ht="15.75" customHeight="1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</row>
    <row r="400" ht="15.75" customHeight="1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</row>
    <row r="401" ht="15.75" customHeight="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</row>
    <row r="402" ht="15.75" customHeight="1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</row>
    <row r="403" ht="15.75" customHeight="1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</row>
    <row r="404" ht="15.75" customHeight="1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</row>
    <row r="405" ht="15.75" customHeight="1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</row>
    <row r="406" ht="15.75" customHeight="1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</row>
    <row r="407" ht="15.75" customHeight="1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</row>
    <row r="408" ht="15.75" customHeight="1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</row>
    <row r="409" ht="15.75" customHeight="1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</row>
    <row r="410" ht="15.75" customHeight="1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</row>
    <row r="411" ht="15.75" customHeight="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</row>
    <row r="412" ht="15.75" customHeight="1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</row>
    <row r="413" ht="15.75" customHeight="1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</row>
    <row r="414" ht="15.75" customHeight="1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</row>
    <row r="415" ht="15.75" customHeight="1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</row>
    <row r="416" ht="15.75" customHeight="1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</row>
    <row r="417" ht="15.75" customHeight="1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</row>
    <row r="418" ht="15.75" customHeight="1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</row>
    <row r="419" ht="15.75" customHeight="1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</row>
    <row r="420" ht="15.75" customHeight="1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</row>
    <row r="421" ht="15.75" customHeight="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</row>
    <row r="422" ht="15.75" customHeight="1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</row>
    <row r="423" ht="15.75" customHeight="1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</row>
    <row r="424" ht="15.75" customHeight="1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</row>
    <row r="425" ht="15.75" customHeight="1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</row>
    <row r="426" ht="15.75" customHeight="1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</row>
    <row r="427" ht="15.75" customHeight="1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</row>
    <row r="428" ht="15.75" customHeight="1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</row>
    <row r="429" ht="15.75" customHeight="1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</row>
    <row r="430" ht="15.75" customHeight="1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</row>
    <row r="431" ht="15.75" customHeight="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</row>
    <row r="432" ht="15.75" customHeight="1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</row>
    <row r="433" ht="15.75" customHeight="1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</row>
    <row r="434" ht="15.75" customHeight="1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</row>
    <row r="435" ht="15.75" customHeigh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</row>
    <row r="436" ht="15.75" customHeight="1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</row>
    <row r="437" ht="15.75" customHeight="1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</row>
    <row r="438" ht="15.75" customHeight="1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</row>
    <row r="439" ht="15.75" customHeight="1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</row>
    <row r="440" ht="15.75" customHeight="1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</row>
    <row r="441" ht="15.75" customHeight="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</row>
    <row r="442" ht="15.75" customHeight="1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</row>
    <row r="443" ht="15.75" customHeight="1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</row>
    <row r="444" ht="15.75" customHeight="1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</row>
    <row r="445" ht="15.75" customHeight="1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</row>
    <row r="446" ht="15.75" customHeight="1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</row>
    <row r="447" ht="15.75" customHeight="1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</row>
    <row r="448" ht="15.75" customHeight="1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</row>
    <row r="449" ht="15.75" customHeight="1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</row>
    <row r="450" ht="15.75" customHeight="1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</row>
    <row r="451" ht="15.75" customHeight="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</row>
    <row r="452" ht="15.75" customHeight="1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</row>
    <row r="453" ht="15.75" customHeight="1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</row>
    <row r="454" ht="15.75" customHeight="1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</row>
    <row r="455" ht="15.75" customHeight="1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</row>
    <row r="456" ht="15.75" customHeight="1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</row>
    <row r="457" ht="15.75" customHeight="1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</row>
    <row r="458" ht="15.75" customHeight="1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</row>
    <row r="459" ht="15.75" customHeight="1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</row>
    <row r="460" ht="15.75" customHeight="1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</row>
    <row r="461" ht="15.75" customHeight="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</row>
    <row r="462" ht="15.75" customHeight="1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</row>
    <row r="463" ht="15.75" customHeight="1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</row>
    <row r="464" ht="15.75" customHeight="1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</row>
    <row r="465" ht="15.75" customHeight="1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</row>
    <row r="466" ht="15.75" customHeight="1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</row>
    <row r="467" ht="15.75" customHeight="1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</row>
    <row r="468" ht="15.75" customHeight="1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</row>
    <row r="469" ht="15.75" customHeight="1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</row>
    <row r="470" ht="15.75" customHeight="1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</row>
    <row r="471" ht="15.75" customHeight="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</row>
    <row r="472" ht="15.75" customHeight="1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</row>
    <row r="473" ht="15.75" customHeight="1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</row>
    <row r="474" ht="15.75" customHeight="1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</row>
    <row r="475" ht="15.75" customHeight="1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</row>
    <row r="476" ht="15.75" customHeight="1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</row>
    <row r="477" ht="15.75" customHeight="1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</row>
    <row r="478" ht="15.75" customHeight="1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</row>
    <row r="479" ht="15.75" customHeight="1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</row>
    <row r="480" ht="15.75" customHeight="1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</row>
    <row r="481" ht="15.75" customHeight="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</row>
    <row r="482" ht="15.75" customHeight="1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</row>
    <row r="483" ht="15.75" customHeight="1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</row>
    <row r="484" ht="15.75" customHeight="1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</row>
    <row r="485" ht="15.75" customHeight="1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</row>
    <row r="486" ht="15.75" customHeight="1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</row>
    <row r="487" ht="15.75" customHeight="1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</row>
    <row r="488" ht="15.75" customHeight="1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</row>
    <row r="489" ht="15.75" customHeight="1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</row>
    <row r="490" ht="15.75" customHeight="1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</row>
    <row r="491" ht="15.75" customHeight="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</row>
    <row r="492" ht="15.75" customHeight="1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</row>
    <row r="493" ht="15.75" customHeight="1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</row>
    <row r="494" ht="15.75" customHeight="1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</row>
    <row r="495" ht="15.75" customHeight="1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</row>
    <row r="496" ht="15.75" customHeight="1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</row>
    <row r="497" ht="15.75" customHeight="1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</row>
    <row r="498" ht="15.75" customHeight="1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</row>
    <row r="499" ht="15.75" customHeight="1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</row>
    <row r="500" ht="15.75" customHeight="1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</row>
    <row r="501" ht="15.75" customHeight="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</row>
    <row r="502" ht="15.75" customHeight="1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</row>
    <row r="503" ht="15.75" customHeight="1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</row>
    <row r="504" ht="15.75" customHeight="1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</row>
    <row r="505" ht="15.75" customHeight="1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</row>
    <row r="506" ht="15.75" customHeight="1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</row>
    <row r="507" ht="15.75" customHeight="1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</row>
    <row r="508" ht="15.75" customHeight="1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</row>
    <row r="509" ht="15.75" customHeight="1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</row>
    <row r="510" ht="15.75" customHeight="1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</row>
    <row r="511" ht="15.75" customHeight="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</row>
    <row r="512" ht="15.75" customHeight="1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</row>
    <row r="513" ht="15.75" customHeight="1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</row>
    <row r="514" ht="15.75" customHeight="1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</row>
    <row r="515" ht="15.75" customHeight="1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</row>
    <row r="516" ht="15.75" customHeight="1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</row>
    <row r="517" ht="15.75" customHeight="1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</row>
    <row r="518" ht="15.75" customHeight="1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</row>
    <row r="519" ht="15.75" customHeight="1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</row>
    <row r="520" ht="15.7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</row>
    <row r="521" ht="15.75" customHeight="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</row>
    <row r="522" ht="15.75" customHeight="1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</row>
    <row r="523" ht="15.75" customHeight="1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</row>
    <row r="524" ht="15.75" customHeight="1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</row>
    <row r="525" ht="15.75" customHeight="1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</row>
    <row r="526" ht="15.75" customHeight="1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</row>
    <row r="527" ht="15.75" customHeight="1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</row>
    <row r="528" ht="15.75" customHeight="1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</row>
    <row r="529" ht="15.75" customHeight="1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</row>
    <row r="530" ht="15.75" customHeight="1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</row>
    <row r="531" ht="15.75" customHeight="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</row>
    <row r="532" ht="15.75" customHeight="1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</row>
    <row r="533" ht="15.75" customHeight="1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</row>
    <row r="534" ht="15.75" customHeight="1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</row>
    <row r="535" ht="15.75" customHeight="1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</row>
    <row r="536" ht="15.75" customHeight="1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</row>
    <row r="537" ht="15.75" customHeight="1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</row>
    <row r="538" ht="15.75" customHeight="1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</row>
    <row r="539" ht="15.75" customHeight="1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</row>
    <row r="540" ht="15.75" customHeight="1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</row>
    <row r="541" ht="15.75" customHeight="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</row>
    <row r="542" ht="15.75" customHeight="1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</row>
    <row r="543" ht="15.75" customHeight="1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</row>
    <row r="544" ht="15.75" customHeight="1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</row>
    <row r="545" ht="15.75" customHeight="1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</row>
    <row r="546" ht="15.75" customHeight="1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</row>
    <row r="547" ht="15.75" customHeight="1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</row>
    <row r="548" ht="15.75" customHeight="1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</row>
    <row r="549" ht="15.75" customHeight="1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</row>
    <row r="550" ht="15.75" customHeight="1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</row>
    <row r="551" ht="15.75" customHeight="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</row>
    <row r="552" ht="15.75" customHeight="1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</row>
    <row r="553" ht="15.75" customHeight="1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</row>
    <row r="554" ht="15.75" customHeight="1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</row>
    <row r="555" ht="15.75" customHeight="1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</row>
    <row r="556" ht="15.75" customHeight="1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</row>
    <row r="557" ht="15.75" customHeight="1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</row>
    <row r="558" ht="15.75" customHeight="1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</row>
    <row r="559" ht="15.75" customHeight="1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</row>
    <row r="560" ht="15.75" customHeight="1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</row>
    <row r="561" ht="15.75" customHeight="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</row>
    <row r="562" ht="15.75" customHeight="1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</row>
    <row r="563" ht="15.75" customHeight="1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</row>
    <row r="564" ht="15.75" customHeight="1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</row>
    <row r="565" ht="15.75" customHeight="1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</row>
    <row r="566" ht="15.75" customHeight="1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</row>
    <row r="567" ht="15.75" customHeight="1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</row>
    <row r="568" ht="15.75" customHeight="1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</row>
    <row r="569" ht="15.75" customHeight="1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</row>
    <row r="570" ht="15.75" customHeight="1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</row>
    <row r="571" ht="15.75" customHeight="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</row>
    <row r="572" ht="15.75" customHeight="1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</row>
    <row r="573" ht="15.75" customHeigh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</row>
    <row r="574" ht="15.75" customHeight="1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</row>
    <row r="575" ht="15.75" customHeight="1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</row>
    <row r="576" ht="15.75" customHeight="1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</row>
    <row r="577" ht="15.75" customHeight="1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</row>
    <row r="578" ht="15.75" customHeight="1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</row>
    <row r="579" ht="15.75" customHeight="1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</row>
    <row r="580" ht="15.75" customHeight="1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</row>
    <row r="581" ht="15.75" customHeight="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</row>
    <row r="582" ht="15.75" customHeight="1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</row>
    <row r="583" ht="15.75" customHeight="1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</row>
    <row r="584" ht="15.75" customHeight="1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</row>
    <row r="585" ht="15.75" customHeigh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</row>
    <row r="586" ht="15.75" customHeight="1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</row>
    <row r="587" ht="15.75" customHeight="1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</row>
    <row r="588" ht="15.75" customHeight="1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</row>
    <row r="589" ht="15.75" customHeight="1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</row>
    <row r="590" ht="15.75" customHeight="1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</row>
    <row r="591" ht="15.75" customHeight="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</row>
    <row r="592" ht="15.75" customHeight="1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</row>
    <row r="593" ht="15.75" customHeight="1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</row>
    <row r="594" ht="15.75" customHeight="1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</row>
    <row r="595" ht="15.75" customHeight="1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</row>
    <row r="596" ht="15.75" customHeight="1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</row>
    <row r="597" ht="15.75" customHeight="1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</row>
    <row r="598" ht="15.75" customHeight="1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</row>
    <row r="599" ht="15.75" customHeight="1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</row>
    <row r="600" ht="15.75" customHeight="1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</row>
    <row r="601" ht="15.75" customHeight="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</row>
    <row r="602" ht="15.75" customHeight="1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</row>
    <row r="603" ht="15.75" customHeight="1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</row>
    <row r="604" ht="15.75" customHeight="1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</row>
    <row r="605" ht="15.75" customHeight="1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</row>
    <row r="606" ht="15.75" customHeight="1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</row>
    <row r="607" ht="15.75" customHeight="1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</row>
    <row r="608" ht="15.75" customHeight="1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</row>
    <row r="609" ht="15.75" customHeigh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</row>
    <row r="610" ht="15.75" customHeight="1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</row>
    <row r="611" ht="15.75" customHeight="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</row>
    <row r="612" ht="15.75" customHeight="1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</row>
    <row r="613" ht="15.75" customHeight="1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</row>
    <row r="614" ht="15.75" customHeight="1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</row>
    <row r="615" ht="15.7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</row>
    <row r="616" ht="15.75" customHeight="1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</row>
    <row r="617" ht="15.7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</row>
    <row r="618" ht="15.75" customHeight="1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</row>
    <row r="619" ht="15.7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</row>
    <row r="620" ht="15.75" customHeight="1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</row>
    <row r="621" ht="15.7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</row>
    <row r="622" ht="15.75" customHeight="1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</row>
    <row r="623" ht="15.7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</row>
    <row r="624" ht="15.75" customHeight="1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</row>
    <row r="625" ht="15.7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</row>
    <row r="626" ht="15.75" customHeight="1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</row>
    <row r="627" ht="15.7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</row>
    <row r="628" ht="15.75" customHeight="1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</row>
    <row r="629" ht="15.7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</row>
    <row r="630" ht="15.75" customHeight="1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</row>
    <row r="631" ht="15.7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</row>
    <row r="632" ht="15.75" customHeight="1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</row>
    <row r="633" ht="15.7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</row>
    <row r="634" ht="15.75" customHeight="1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</row>
    <row r="635" ht="15.7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</row>
    <row r="636" ht="15.75" customHeight="1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</row>
    <row r="637" ht="15.7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</row>
    <row r="638" ht="15.75" customHeight="1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</row>
    <row r="639" ht="15.7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</row>
    <row r="640" ht="15.75" customHeight="1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</row>
    <row r="641" ht="15.7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</row>
    <row r="642" ht="15.75" customHeight="1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</row>
    <row r="643" ht="15.7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</row>
    <row r="644" ht="15.75" customHeight="1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</row>
    <row r="645" ht="15.7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</row>
    <row r="646" ht="15.75" customHeight="1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</row>
    <row r="647" ht="15.7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</row>
    <row r="648" ht="15.75" customHeight="1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</row>
    <row r="649" ht="15.7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</row>
    <row r="650" ht="15.75" customHeight="1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</row>
    <row r="651" ht="15.7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</row>
    <row r="652" ht="15.75" customHeight="1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</row>
    <row r="653" ht="15.7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</row>
    <row r="654" ht="15.75" customHeight="1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</row>
    <row r="655" ht="15.7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</row>
    <row r="656" ht="15.75" customHeight="1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</row>
    <row r="657" ht="15.7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</row>
    <row r="658" ht="15.75" customHeight="1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</row>
    <row r="659" ht="15.7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</row>
    <row r="660" ht="15.75" customHeight="1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</row>
    <row r="661" ht="15.7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</row>
    <row r="662" ht="15.75" customHeight="1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</row>
    <row r="663" ht="15.7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</row>
    <row r="664" ht="15.75" customHeight="1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</row>
    <row r="665" ht="15.7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</row>
    <row r="666" ht="15.75" customHeight="1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</row>
    <row r="667" ht="15.7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</row>
    <row r="668" ht="15.75" customHeight="1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</row>
    <row r="669" ht="15.7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</row>
    <row r="670" ht="15.75" customHeight="1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</row>
    <row r="671" ht="15.7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</row>
    <row r="672" ht="15.75" customHeight="1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</row>
    <row r="673" ht="15.7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</row>
    <row r="674" ht="15.75" customHeight="1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</row>
    <row r="675" ht="15.7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</row>
    <row r="676" ht="15.75" customHeight="1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</row>
    <row r="677" ht="15.7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</row>
    <row r="678" ht="15.75" customHeight="1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</row>
    <row r="679" ht="15.7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</row>
    <row r="680" ht="15.75" customHeight="1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</row>
    <row r="681" ht="15.7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</row>
    <row r="682" ht="15.75" customHeight="1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</row>
    <row r="683" ht="15.7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</row>
    <row r="684" ht="15.75" customHeight="1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</row>
    <row r="685" ht="15.7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</row>
    <row r="686" ht="15.75" customHeight="1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</row>
    <row r="687" ht="15.7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</row>
    <row r="688" ht="15.75" customHeight="1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</row>
    <row r="689" ht="15.7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</row>
    <row r="690" ht="15.75" customHeight="1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</row>
    <row r="691" ht="15.7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</row>
    <row r="692" ht="15.75" customHeight="1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</row>
    <row r="693" ht="15.7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</row>
    <row r="694" ht="15.75" customHeight="1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</row>
    <row r="695" ht="15.7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</row>
    <row r="696" ht="15.75" customHeight="1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</row>
    <row r="697" ht="15.7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</row>
    <row r="698" ht="15.75" customHeight="1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</row>
    <row r="699" ht="15.7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</row>
    <row r="700" ht="15.75" customHeight="1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</row>
    <row r="701" ht="15.7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</row>
    <row r="702" ht="15.75" customHeight="1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</row>
    <row r="703" ht="15.7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</row>
    <row r="704" ht="15.75" customHeight="1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</row>
    <row r="705" ht="15.7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</row>
    <row r="706" ht="15.75" customHeight="1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</row>
    <row r="707" ht="15.7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</row>
    <row r="708" ht="15.75" customHeight="1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</row>
    <row r="709" ht="15.7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</row>
    <row r="710" ht="15.75" customHeight="1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</row>
    <row r="711" ht="15.7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</row>
    <row r="712" ht="15.75" customHeight="1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</row>
    <row r="713" ht="15.7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</row>
    <row r="714" ht="15.75" customHeight="1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</row>
    <row r="715" ht="15.7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</row>
    <row r="716" ht="15.75" customHeight="1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</row>
    <row r="717" ht="15.7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</row>
    <row r="718" ht="15.75" customHeight="1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</row>
    <row r="719" ht="15.7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</row>
    <row r="720" ht="15.75" customHeight="1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</row>
    <row r="721" ht="15.7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</row>
    <row r="722" ht="15.75" customHeight="1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</row>
    <row r="723" ht="15.7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</row>
    <row r="724" ht="15.75" customHeight="1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</row>
    <row r="725" ht="15.7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</row>
    <row r="726" ht="15.75" customHeight="1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</row>
    <row r="727" ht="15.7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</row>
    <row r="728" ht="15.75" customHeight="1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</row>
    <row r="729" ht="15.7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</row>
    <row r="730" ht="15.75" customHeight="1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</row>
    <row r="731" ht="15.7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</row>
    <row r="732" ht="15.75" customHeight="1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</row>
    <row r="733" ht="15.7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</row>
    <row r="734" ht="15.75" customHeight="1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</row>
    <row r="735" ht="15.7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</row>
    <row r="736" ht="15.75" customHeight="1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</row>
    <row r="737" ht="15.7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</row>
    <row r="738" ht="15.75" customHeight="1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</row>
    <row r="739" ht="15.7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</row>
    <row r="740" ht="15.75" customHeight="1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</row>
    <row r="741" ht="15.7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</row>
    <row r="742" ht="15.75" customHeight="1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</row>
    <row r="743" ht="15.7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</row>
    <row r="744" ht="15.75" customHeight="1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</row>
    <row r="745" ht="15.7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</row>
    <row r="746" ht="15.75" customHeight="1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</row>
    <row r="747" ht="15.7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</row>
    <row r="748" ht="15.75" customHeight="1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</row>
    <row r="749" ht="15.7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</row>
    <row r="750" ht="15.75" customHeight="1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</row>
    <row r="751" ht="15.7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</row>
    <row r="752" ht="15.75" customHeight="1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</row>
    <row r="753" ht="15.7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</row>
    <row r="754" ht="15.75" customHeight="1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</row>
    <row r="755" ht="15.7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</row>
    <row r="756" ht="15.75" customHeight="1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</row>
    <row r="757" ht="15.7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</row>
    <row r="758" ht="15.75" customHeight="1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</row>
    <row r="759" ht="15.7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</row>
    <row r="760" ht="15.75" customHeight="1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</row>
    <row r="761" ht="15.7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</row>
    <row r="762" ht="15.75" customHeight="1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</row>
    <row r="763" ht="15.7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</row>
    <row r="764" ht="15.75" customHeight="1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</row>
    <row r="765" ht="15.7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</row>
    <row r="766" ht="15.75" customHeight="1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</row>
    <row r="767" ht="15.7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</row>
    <row r="768" ht="15.75" customHeight="1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</row>
    <row r="769" ht="15.7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</row>
    <row r="770" ht="15.75" customHeight="1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</row>
    <row r="771" ht="15.7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</row>
    <row r="772" ht="15.75" customHeight="1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</row>
    <row r="773" ht="15.7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</row>
    <row r="774" ht="15.75" customHeight="1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</row>
    <row r="775" ht="15.7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</row>
    <row r="776" ht="15.75" customHeight="1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</row>
    <row r="777" ht="15.7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</row>
    <row r="778" ht="15.75" customHeight="1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</row>
    <row r="779" ht="15.7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</row>
    <row r="780" ht="15.75" customHeight="1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</row>
    <row r="781" ht="15.7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</row>
    <row r="782" ht="15.75" customHeight="1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</row>
    <row r="783" ht="15.7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</row>
    <row r="784" ht="15.75" customHeight="1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</row>
    <row r="785" ht="15.7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</row>
    <row r="786" ht="15.75" customHeight="1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</row>
    <row r="787" ht="15.7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</row>
    <row r="788" ht="15.75" customHeight="1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</row>
    <row r="789" ht="15.7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</row>
    <row r="790" ht="15.75" customHeight="1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</row>
    <row r="791" ht="15.7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</row>
    <row r="792" ht="15.75" customHeight="1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</row>
    <row r="793" ht="15.7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</row>
    <row r="794" ht="15.75" customHeight="1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</row>
    <row r="795" ht="15.7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</row>
    <row r="796" ht="15.75" customHeight="1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</row>
    <row r="797" ht="15.7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</row>
    <row r="798" ht="15.75" customHeight="1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</row>
    <row r="799" ht="15.7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</row>
    <row r="800" ht="15.7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</row>
    <row r="801" ht="15.7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</row>
    <row r="802" ht="15.7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</row>
    <row r="803" ht="15.7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</row>
    <row r="804" ht="15.75" customHeight="1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</row>
    <row r="805" ht="15.7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</row>
    <row r="806" ht="15.75" customHeight="1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</row>
    <row r="807" ht="15.7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</row>
    <row r="808" ht="15.75" customHeight="1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</row>
    <row r="809" ht="15.7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</row>
    <row r="810" ht="15.75" customHeight="1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</row>
    <row r="811" ht="15.7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</row>
    <row r="812" ht="15.75" customHeight="1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</row>
    <row r="813" ht="15.7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</row>
    <row r="814" ht="15.7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</row>
    <row r="815" ht="15.7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</row>
    <row r="816" ht="15.7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</row>
    <row r="817" ht="15.7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</row>
    <row r="818" ht="15.75" customHeight="1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</row>
    <row r="819" ht="15.7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</row>
    <row r="820" ht="15.75" customHeight="1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</row>
    <row r="821" ht="15.7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</row>
    <row r="822" ht="15.75" customHeight="1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</row>
    <row r="823" ht="15.7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</row>
    <row r="824" ht="15.75" customHeight="1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</row>
    <row r="825" ht="15.7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</row>
    <row r="826" ht="15.75" customHeight="1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</row>
    <row r="827" ht="15.7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</row>
    <row r="828" ht="15.7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</row>
    <row r="829" ht="15.7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</row>
    <row r="830" ht="15.7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</row>
    <row r="831" ht="15.7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</row>
    <row r="832" ht="15.7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</row>
    <row r="833" ht="15.7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</row>
    <row r="834" ht="15.75" customHeight="1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</row>
    <row r="835" ht="15.7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</row>
    <row r="836" ht="15.75" customHeight="1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</row>
    <row r="837" ht="15.7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</row>
    <row r="838" ht="15.75" customHeight="1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</row>
    <row r="839" ht="15.7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</row>
    <row r="840" ht="15.75" customHeight="1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</row>
    <row r="841" ht="15.7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</row>
    <row r="842" ht="15.75" customHeight="1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</row>
    <row r="843" ht="15.7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</row>
    <row r="844" ht="15.7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</row>
    <row r="845" ht="15.7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</row>
    <row r="846" ht="15.7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</row>
    <row r="847" ht="15.7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</row>
    <row r="848" ht="15.75" customHeight="1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</row>
    <row r="849" ht="15.7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</row>
    <row r="850" ht="15.75" customHeight="1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</row>
    <row r="851" ht="15.7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</row>
    <row r="852" ht="15.75" customHeight="1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</row>
    <row r="853" ht="15.7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</row>
    <row r="854" ht="15.75" customHeight="1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</row>
    <row r="855" ht="15.7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</row>
    <row r="856" ht="15.75" customHeight="1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</row>
    <row r="857" ht="15.7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</row>
    <row r="858" ht="15.75" customHeight="1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</row>
    <row r="859" ht="15.7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</row>
    <row r="860" ht="15.7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</row>
    <row r="861" ht="15.7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</row>
    <row r="862" ht="15.7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</row>
    <row r="863" ht="15.7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</row>
    <row r="864" ht="15.75" customHeight="1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</row>
    <row r="865" ht="15.7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</row>
    <row r="866" ht="15.75" customHeight="1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</row>
    <row r="867" ht="15.7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</row>
    <row r="868" ht="15.75" customHeight="1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</row>
    <row r="869" ht="15.7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</row>
    <row r="870" ht="15.75" customHeight="1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</row>
    <row r="871" ht="15.7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</row>
    <row r="872" ht="15.75" customHeight="1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</row>
    <row r="873" ht="15.7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</row>
    <row r="874" ht="15.7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</row>
    <row r="875" ht="15.7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</row>
    <row r="876" ht="15.75" customHeight="1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</row>
    <row r="877" ht="15.7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</row>
    <row r="878" ht="15.75" customHeight="1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</row>
    <row r="879" ht="15.7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</row>
    <row r="880" ht="15.75" customHeight="1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</row>
    <row r="881" ht="15.7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</row>
    <row r="882" ht="15.75" customHeight="1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</row>
    <row r="883" ht="15.7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</row>
    <row r="884" ht="15.75" customHeight="1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</row>
    <row r="885" ht="15.7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</row>
    <row r="886" ht="15.75" customHeight="1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</row>
    <row r="887" ht="15.7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</row>
    <row r="888" ht="15.75" customHeight="1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</row>
    <row r="889" ht="15.7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</row>
    <row r="890" ht="15.7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</row>
    <row r="891" ht="15.7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</row>
    <row r="892" ht="15.7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</row>
    <row r="893" ht="15.7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</row>
    <row r="894" ht="15.7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</row>
    <row r="895" ht="15.7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</row>
    <row r="896" ht="15.7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</row>
    <row r="897" ht="15.7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</row>
    <row r="898" ht="15.75" customHeight="1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</row>
    <row r="899" ht="15.7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</row>
    <row r="900" ht="15.75" customHeight="1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</row>
    <row r="901" ht="15.7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</row>
    <row r="902" ht="15.75" customHeight="1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</row>
    <row r="903" ht="15.7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</row>
    <row r="904" ht="15.75" customHeight="1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</row>
    <row r="905" ht="15.7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</row>
    <row r="906" ht="15.75" customHeight="1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</row>
    <row r="907" ht="15.7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</row>
    <row r="908" ht="15.7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</row>
    <row r="909" ht="15.7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</row>
    <row r="910" ht="15.7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</row>
    <row r="911" ht="15.7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</row>
    <row r="912" ht="15.75" customHeight="1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</row>
    <row r="913" ht="15.7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</row>
    <row r="914" ht="15.75" customHeight="1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</row>
    <row r="915" ht="15.7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</row>
    <row r="916" ht="15.75" customHeight="1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</row>
    <row r="917" ht="15.7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</row>
    <row r="918" ht="15.75" customHeight="1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</row>
    <row r="919" ht="15.7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</row>
    <row r="920" ht="15.75" customHeight="1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</row>
    <row r="921" ht="15.7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</row>
    <row r="922" ht="15.75" customHeight="1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</row>
    <row r="923" ht="15.7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</row>
    <row r="924" ht="15.75" customHeight="1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</row>
    <row r="925" ht="15.7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</row>
    <row r="926" ht="15.75" customHeight="1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</row>
    <row r="927" ht="15.7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</row>
    <row r="928" ht="15.75" customHeight="1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</row>
    <row r="929" ht="15.7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</row>
    <row r="930" ht="15.75" customHeight="1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</row>
    <row r="931" ht="15.7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</row>
    <row r="932" ht="15.75" customHeight="1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</row>
    <row r="933" ht="15.7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</row>
    <row r="934" ht="15.75" customHeight="1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</row>
    <row r="935" ht="15.7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</row>
    <row r="936" ht="15.75" customHeight="1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</row>
    <row r="937" ht="15.7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</row>
    <row r="938" ht="15.75" customHeight="1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</row>
    <row r="939" ht="15.7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</row>
    <row r="940" ht="15.75" customHeight="1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</row>
    <row r="941" ht="15.7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</row>
    <row r="942" ht="15.75" customHeight="1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</row>
    <row r="943" ht="15.7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</row>
    <row r="944" ht="15.75" customHeight="1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</row>
    <row r="945" ht="15.7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</row>
    <row r="946" ht="15.75" customHeight="1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</row>
    <row r="947" ht="15.7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</row>
    <row r="948" ht="15.75" customHeight="1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</row>
    <row r="949" ht="15.7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</row>
    <row r="950" ht="15.75" customHeight="1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</row>
    <row r="951" ht="15.7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</row>
    <row r="952" ht="15.75" customHeight="1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</row>
    <row r="953" ht="15.7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</row>
    <row r="954" ht="15.75" customHeight="1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</row>
    <row r="955" ht="15.7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</row>
    <row r="956" ht="15.75" customHeight="1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</row>
    <row r="957" ht="15.7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</row>
    <row r="958" ht="15.75" customHeight="1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</row>
    <row r="959" ht="15.7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</row>
    <row r="960" ht="15.75" customHeight="1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</row>
    <row r="961" ht="15.7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</row>
    <row r="962" ht="15.75" customHeight="1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</row>
    <row r="963" ht="15.7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</row>
    <row r="964" ht="15.75" customHeight="1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</row>
    <row r="965" ht="15.7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</row>
    <row r="966" ht="15.75" customHeight="1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</row>
    <row r="967" ht="15.7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</row>
    <row r="968" ht="15.75" customHeight="1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</row>
    <row r="969" ht="15.7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</row>
    <row r="970" ht="15.75" customHeight="1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</row>
    <row r="971" ht="15.7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</row>
    <row r="972" ht="15.75" customHeight="1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</row>
    <row r="973" ht="15.7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</row>
    <row r="974" ht="15.75" customHeight="1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</row>
    <row r="975" ht="15.7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</row>
    <row r="976" ht="15.75" customHeight="1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</row>
    <row r="977" ht="15.7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</row>
    <row r="978" ht="15.75" customHeight="1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</row>
    <row r="979" ht="15.7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</row>
    <row r="980" ht="15.75" customHeight="1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</row>
    <row r="981" ht="15.75" customHeight="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</row>
    <row r="982" ht="15.75" customHeight="1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</row>
    <row r="983" ht="15.75" customHeight="1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</row>
    <row r="984" ht="15.75" customHeight="1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</row>
    <row r="985" ht="15.75" customHeight="1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</row>
    <row r="986" ht="15.75" customHeight="1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</row>
    <row r="987" ht="15.75" customHeight="1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</row>
    <row r="988" ht="15.75" customHeight="1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</row>
    <row r="989" ht="15.75" customHeight="1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</row>
    <row r="990" ht="15.75" customHeight="1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</row>
    <row r="991" ht="15.75" customHeight="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</row>
    <row r="992" ht="15.75" customHeight="1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</row>
    <row r="993" ht="15.75" customHeight="1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</row>
    <row r="994" ht="15.75" customHeight="1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</row>
    <row r="995" ht="15.75" customHeight="1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</row>
    <row r="996" ht="15.75" customHeight="1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</row>
    <row r="997" ht="15.75" customHeight="1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</row>
    <row r="998" ht="15.75" customHeight="1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</row>
    <row r="999" ht="15.75" customHeight="1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</row>
    <row r="1000" ht="15.75" customHeight="1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</row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2.0"/>
    <col customWidth="1" min="2" max="14" width="9.0"/>
    <col customWidth="1" min="15" max="16" width="12.0"/>
    <col customWidth="1" min="17" max="17" width="9.0"/>
    <col customWidth="1" min="18" max="19" width="8.57"/>
  </cols>
  <sheetData>
    <row r="1" ht="14.25" customHeight="1">
      <c r="A1" s="1" t="s">
        <v>0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12</v>
      </c>
      <c r="I1" s="1" t="s">
        <v>13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  <c r="R1" s="16"/>
      <c r="S1" s="57" t="s">
        <v>218</v>
      </c>
    </row>
    <row r="2" ht="14.25" customHeight="1">
      <c r="A2" s="4" t="str">
        <f>parametros_manuales!$B$19</f>
        <v>Recepción de materia prima</v>
      </c>
      <c r="B2" s="8">
        <f>(parametros_manuales!$D$19*(datos_base!$B$2+IF(parametros_manuales!$H$19="Todos",datos_base!$B$9,0))*parametros_manuales!$B$97+parametros_manuales!$E$19*(datos_base!$B$3+IF(parametros_manuales!$H$19="Todos",datos_base!$B$10,0))*parametros_manuales!$B$102+parametros_manuales!$F$19*(datos_base!$B$4+IF(parametros_manuales!$H$19="Todos",datos_base!$B$11,0))*parametros_manuales!$B$107+parametros_manuales!$G$19*(datos_base!$B$5+IF(parametros_manuales!$H$19="Todos",datos_base!$B$12,0))*parametros_manuales!$B$112)*parametros_manuales!$I$19*parametros_manuales!$J$19</f>
        <v>617.67</v>
      </c>
      <c r="C2" s="8">
        <f>(parametros_manuales!$D$19*(datos_base!$B$2+IF(parametros_manuales!$H$19="Todos",datos_base!$B$9,0))*parametros_manuales!$C$97+parametros_manuales!$E$19*(datos_base!$B$3+IF(parametros_manuales!$H$19="Todos",datos_base!$B$10,0))*parametros_manuales!$C$102+parametros_manuales!$F$19*(datos_base!$B$4+IF(parametros_manuales!$H$19="Todos",datos_base!$B$11,0))*parametros_manuales!$C$107+parametros_manuales!$G$19*(datos_base!$B$5+IF(parametros_manuales!$H$19="Todos",datos_base!$B$12,0))*parametros_manuales!$C$112)*parametros_manuales!$I$19*parametros_manuales!$J$19</f>
        <v>590.83</v>
      </c>
      <c r="D2" s="8">
        <f>(parametros_manuales!$D$19*(datos_base!$B$2+IF(parametros_manuales!$H$19="Todos",datos_base!$B$9,0))*parametros_manuales!$D$97+parametros_manuales!$E$19*(datos_base!$B$3+IF(parametros_manuales!$H$19="Todos",datos_base!$B$10,0))*parametros_manuales!$D$102+parametros_manuales!$F$19*(datos_base!$B$4+IF(parametros_manuales!$H$19="Todos",datos_base!$B$11,0))*parametros_manuales!$D$107+parametros_manuales!$G$19*(datos_base!$B$5+IF(parametros_manuales!$H$19="Todos",datos_base!$B$12,0))*parametros_manuales!$D$112)*parametros_manuales!$I$19*parametros_manuales!$J$19</f>
        <v>562.46</v>
      </c>
      <c r="E2" s="8">
        <f>(parametros_manuales!$D$19*(datos_base!$B$2+IF(parametros_manuales!$H$19="Todos",datos_base!$B$9,0))*parametros_manuales!$E$97+parametros_manuales!$E$19*(datos_base!$B$3+IF(parametros_manuales!$H$19="Todos",datos_base!$B$10,0))*parametros_manuales!$E$102+parametros_manuales!$F$19*(datos_base!$B$4+IF(parametros_manuales!$H$19="Todos",datos_base!$B$11,0))*parametros_manuales!$E$107+parametros_manuales!$G$19*(datos_base!$B$5+IF(parametros_manuales!$H$19="Todos",datos_base!$B$12,0))*parametros_manuales!$E$112)*parametros_manuales!$I$19*parametros_manuales!$J$19</f>
        <v>541.565</v>
      </c>
      <c r="F2" s="8">
        <f>(parametros_manuales!$D$19*(datos_base!$B$2+IF(parametros_manuales!$H$19="Todos",datos_base!$B$9,0))*parametros_manuales!$F$97+parametros_manuales!$E$19*(datos_base!$B$3+IF(parametros_manuales!$H$19="Todos",datos_base!$B$10,0))*parametros_manuales!$F$102+parametros_manuales!$F$19*(datos_base!$B$4+IF(parametros_manuales!$H$19="Todos",datos_base!$B$11,0))*parametros_manuales!$F$107+parametros_manuales!$G$19*(datos_base!$B$5+IF(parametros_manuales!$H$19="Todos",datos_base!$B$12,0))*parametros_manuales!$F$112)*parametros_manuales!$I$19*parametros_manuales!$J$19</f>
        <v>507.25</v>
      </c>
      <c r="G2" s="8">
        <f>(parametros_manuales!$D$19*(datos_base!$B$2+IF(parametros_manuales!$H$19="Todos",datos_base!$B$9,0))*parametros_manuales!$G$97+parametros_manuales!$E$19*(datos_base!$B$3+IF(parametros_manuales!$H$19="Todos",datos_base!$B$10,0))*parametros_manuales!$G$102+parametros_manuales!$F$19*(datos_base!$B$4+IF(parametros_manuales!$H$19="Todos",datos_base!$B$11,0))*parametros_manuales!$G$107+parametros_manuales!$G$19*(datos_base!$B$5+IF(parametros_manuales!$H$19="Todos",datos_base!$B$12,0))*parametros_manuales!$G$112)*parametros_manuales!$I$19*parametros_manuales!$J$19</f>
        <v>493.83</v>
      </c>
      <c r="H2" s="8">
        <f>(parametros_manuales!$D$19*(datos_base!$B$2+IF(parametros_manuales!$H$19="Todos",datos_base!$B$9,0))*parametros_manuales!$H$97+parametros_manuales!$E$19*(datos_base!$B$3+IF(parametros_manuales!$H$19="Todos",datos_base!$B$10,0))*parametros_manuales!$H$102+parametros_manuales!$F$19*(datos_base!$B$4+IF(parametros_manuales!$H$19="Todos",datos_base!$B$11,0))*parametros_manuales!$H$107+parametros_manuales!$G$19*(datos_base!$B$5+IF(parametros_manuales!$H$19="Todos",datos_base!$B$12,0))*parametros_manuales!$H$112)*parametros_manuales!$I$19*parametros_manuales!$J$19</f>
        <v>528.145</v>
      </c>
      <c r="I2" s="8">
        <f>(parametros_manuales!$D$19*(datos_base!$B$2+IF(parametros_manuales!$H$19="Todos",datos_base!$B$9,0))*parametros_manuales!$I$97+parametros_manuales!$E$19*(datos_base!$B$3+IF(parametros_manuales!$H$19="Todos",datos_base!$B$10,0))*parametros_manuales!$I$102+parametros_manuales!$F$19*(datos_base!$B$4+IF(parametros_manuales!$H$19="Todos",datos_base!$B$11,0))*parametros_manuales!$I$107+parametros_manuales!$G$19*(datos_base!$B$5+IF(parametros_manuales!$H$19="Todos",datos_base!$B$12,0))*parametros_manuales!$I$112)*parametros_manuales!$I$19*parametros_manuales!$J$19</f>
        <v>590.83</v>
      </c>
      <c r="J2" s="8">
        <f>(parametros_manuales!$D$19*(datos_base!$B$2+IF(parametros_manuales!$H$19="Todos",datos_base!$B$9,0))*parametros_manuales!$J$97+parametros_manuales!$E$19*(datos_base!$B$3+IF(parametros_manuales!$H$19="Todos",datos_base!$B$10,0))*parametros_manuales!$J$102+parametros_manuales!$F$19*(datos_base!$B$4+IF(parametros_manuales!$H$19="Todos",datos_base!$B$11,0))*parametros_manuales!$J$107+parametros_manuales!$G$19*(datos_base!$B$5+IF(parametros_manuales!$H$19="Todos",datos_base!$B$12,0))*parametros_manuales!$J$112)*parametros_manuales!$I$19*parametros_manuales!$J$19</f>
        <v>590.83</v>
      </c>
      <c r="K2" s="8">
        <f>(parametros_manuales!$D$19*(datos_base!$B$2+IF(parametros_manuales!$H$19="Todos",datos_base!$B$9,0))*parametros_manuales!$K$97+parametros_manuales!$E$19*(datos_base!$B$3+IF(parametros_manuales!$H$19="Todos",datos_base!$B$10,0))*parametros_manuales!$K$102+parametros_manuales!$F$19*(datos_base!$B$4+IF(parametros_manuales!$H$19="Todos",datos_base!$B$11,0))*parametros_manuales!$K$107+parametros_manuales!$G$19*(datos_base!$B$5+IF(parametros_manuales!$H$19="Todos",datos_base!$B$12,0))*parametros_manuales!$K$112)*parametros_manuales!$I$19*parametros_manuales!$J$19</f>
        <v>604.25</v>
      </c>
      <c r="L2" s="8">
        <f>(parametros_manuales!$D$19*(datos_base!$B$2+IF(parametros_manuales!$H$19="Todos",datos_base!$B$9,0))*parametros_manuales!$L$97+parametros_manuales!$E$19*(datos_base!$B$3+IF(parametros_manuales!$H$19="Todos",datos_base!$B$10,0))*parametros_manuales!$L$102+parametros_manuales!$F$19*(datos_base!$B$4+IF(parametros_manuales!$H$19="Todos",datos_base!$B$11,0))*parametros_manuales!$L$107+parametros_manuales!$G$19*(datos_base!$B$5+IF(parametros_manuales!$H$19="Todos",datos_base!$B$12,0))*parametros_manuales!$L$112)*parametros_manuales!$I$19*parametros_manuales!$J$19</f>
        <v>617.67</v>
      </c>
      <c r="M2" s="8">
        <f>(parametros_manuales!$D$19*(datos_base!$B$2+IF(parametros_manuales!$H$19="Todos",datos_base!$B$9,0))*parametros_manuales!$M$97+parametros_manuales!$E$19*(datos_base!$B$3+IF(parametros_manuales!$H$19="Todos",datos_base!$B$10,0))*parametros_manuales!$M$102+parametros_manuales!$F$19*(datos_base!$B$4+IF(parametros_manuales!$H$19="Todos",datos_base!$B$11,0))*parametros_manuales!$M$107+parametros_manuales!$G$19*(datos_base!$B$5+IF(parametros_manuales!$H$19="Todos",datos_base!$B$12,0))*parametros_manuales!$M$112)*parametros_manuales!$I$19*parametros_manuales!$J$19</f>
        <v>617.67</v>
      </c>
      <c r="N2" s="8">
        <f t="shared" ref="N2:N27" si="1">SUM(B2:M2)</f>
        <v>6863</v>
      </c>
      <c r="O2" s="8">
        <f t="shared" ref="O2:O27" si="2">MAX(B2:M2)</f>
        <v>617.67</v>
      </c>
      <c r="P2" s="27">
        <f>O2/(parametros_manuales!$B$7)</f>
        <v>4.1178</v>
      </c>
      <c r="Q2" s="4" t="str">
        <f t="shared" ref="Q2:Q27" si="3">IF(O2=0,"-",INDEX($B$1:$M$1,MATCH(O2,B2:M2,0)))</f>
        <v>Ene</v>
      </c>
      <c r="R2" s="16"/>
      <c r="S2" s="16"/>
    </row>
    <row r="3" ht="14.25" customHeight="1">
      <c r="A3" s="4" t="str">
        <f>parametros_manuales!$B$20</f>
        <v>Corte de chapa — 1.er corte en franjas (guillotina 1)</v>
      </c>
      <c r="B3" s="8">
        <f>(parametros_manuales!$D$20*(datos_base!$B$2+IF(parametros_manuales!$H$20="Todos",datos_base!$B$9,0))*parametros_manuales!$B$97+parametros_manuales!$E$20*(datos_base!$B$3+IF(parametros_manuales!$H$20="Todos",datos_base!$B$10,0))*parametros_manuales!$B$102+parametros_manuales!$F$20*(datos_base!$B$4+IF(parametros_manuales!$H$20="Todos",datos_base!$B$11,0))*parametros_manuales!$B$107+parametros_manuales!$G$20*(datos_base!$B$5+IF(parametros_manuales!$H$20="Todos",datos_base!$B$12,0))*parametros_manuales!$B$112)*parametros_manuales!$I$20*parametros_manuales!$J$20</f>
        <v>617.67</v>
      </c>
      <c r="C3" s="8">
        <f>(parametros_manuales!$D$20*(datos_base!$B$2+IF(parametros_manuales!$H$20="Todos",datos_base!$B$9,0))*parametros_manuales!$C$97+parametros_manuales!$E$20*(datos_base!$B$3+IF(parametros_manuales!$H$20="Todos",datos_base!$B$10,0))*parametros_manuales!$C$102+parametros_manuales!$F$20*(datos_base!$B$4+IF(parametros_manuales!$H$20="Todos",datos_base!$B$11,0))*parametros_manuales!$C$107+parametros_manuales!$G$20*(datos_base!$B$5+IF(parametros_manuales!$H$20="Todos",datos_base!$B$12,0))*parametros_manuales!$C$112)*parametros_manuales!$I$20*parametros_manuales!$J$20</f>
        <v>590.83</v>
      </c>
      <c r="D3" s="8">
        <f>(parametros_manuales!$D$20*(datos_base!$B$2+IF(parametros_manuales!$H$20="Todos",datos_base!$B$9,0))*parametros_manuales!$D$97+parametros_manuales!$E$20*(datos_base!$B$3+IF(parametros_manuales!$H$20="Todos",datos_base!$B$10,0))*parametros_manuales!$D$102+parametros_manuales!$F$20*(datos_base!$B$4+IF(parametros_manuales!$H$20="Todos",datos_base!$B$11,0))*parametros_manuales!$D$107+parametros_manuales!$G$20*(datos_base!$B$5+IF(parametros_manuales!$H$20="Todos",datos_base!$B$12,0))*parametros_manuales!$D$112)*parametros_manuales!$I$20*parametros_manuales!$J$20</f>
        <v>562.46</v>
      </c>
      <c r="E3" s="8">
        <f>(parametros_manuales!$D$20*(datos_base!$B$2+IF(parametros_manuales!$H$20="Todos",datos_base!$B$9,0))*parametros_manuales!$E$97+parametros_manuales!$E$20*(datos_base!$B$3+IF(parametros_manuales!$H$20="Todos",datos_base!$B$10,0))*parametros_manuales!$E$102+parametros_manuales!$F$20*(datos_base!$B$4+IF(parametros_manuales!$H$20="Todos",datos_base!$B$11,0))*parametros_manuales!$E$107+parametros_manuales!$G$20*(datos_base!$B$5+IF(parametros_manuales!$H$20="Todos",datos_base!$B$12,0))*parametros_manuales!$E$112)*parametros_manuales!$I$20*parametros_manuales!$J$20</f>
        <v>541.565</v>
      </c>
      <c r="F3" s="8">
        <f>(parametros_manuales!$D$20*(datos_base!$B$2+IF(parametros_manuales!$H$20="Todos",datos_base!$B$9,0))*parametros_manuales!$F$97+parametros_manuales!$E$20*(datos_base!$B$3+IF(parametros_manuales!$H$20="Todos",datos_base!$B$10,0))*parametros_manuales!$F$102+parametros_manuales!$F$20*(datos_base!$B$4+IF(parametros_manuales!$H$20="Todos",datos_base!$B$11,0))*parametros_manuales!$F$107+parametros_manuales!$G$20*(datos_base!$B$5+IF(parametros_manuales!$H$20="Todos",datos_base!$B$12,0))*parametros_manuales!$F$112)*parametros_manuales!$I$20*parametros_manuales!$J$20</f>
        <v>507.25</v>
      </c>
      <c r="G3" s="8">
        <f>(parametros_manuales!$D$20*(datos_base!$B$2+IF(parametros_manuales!$H$20="Todos",datos_base!$B$9,0))*parametros_manuales!$G$97+parametros_manuales!$E$20*(datos_base!$B$3+IF(parametros_manuales!$H$20="Todos",datos_base!$B$10,0))*parametros_manuales!$G$102+parametros_manuales!$F$20*(datos_base!$B$4+IF(parametros_manuales!$H$20="Todos",datos_base!$B$11,0))*parametros_manuales!$G$107+parametros_manuales!$G$20*(datos_base!$B$5+IF(parametros_manuales!$H$20="Todos",datos_base!$B$12,0))*parametros_manuales!$G$112)*parametros_manuales!$I$20*parametros_manuales!$J$20</f>
        <v>493.83</v>
      </c>
      <c r="H3" s="8">
        <f>(parametros_manuales!$D$20*(datos_base!$B$2+IF(parametros_manuales!$H$20="Todos",datos_base!$B$9,0))*parametros_manuales!$H$97+parametros_manuales!$E$20*(datos_base!$B$3+IF(parametros_manuales!$H$20="Todos",datos_base!$B$10,0))*parametros_manuales!$H$102+parametros_manuales!$F$20*(datos_base!$B$4+IF(parametros_manuales!$H$20="Todos",datos_base!$B$11,0))*parametros_manuales!$H$107+parametros_manuales!$G$20*(datos_base!$B$5+IF(parametros_manuales!$H$20="Todos",datos_base!$B$12,0))*parametros_manuales!$H$112)*parametros_manuales!$I$20*parametros_manuales!$J$20</f>
        <v>528.145</v>
      </c>
      <c r="I3" s="8">
        <f>(parametros_manuales!$D$20*(datos_base!$B$2+IF(parametros_manuales!$H$20="Todos",datos_base!$B$9,0))*parametros_manuales!$I$97+parametros_manuales!$E$20*(datos_base!$B$3+IF(parametros_manuales!$H$20="Todos",datos_base!$B$10,0))*parametros_manuales!$I$102+parametros_manuales!$F$20*(datos_base!$B$4+IF(parametros_manuales!$H$20="Todos",datos_base!$B$11,0))*parametros_manuales!$I$107+parametros_manuales!$G$20*(datos_base!$B$5+IF(parametros_manuales!$H$20="Todos",datos_base!$B$12,0))*parametros_manuales!$I$112)*parametros_manuales!$I$20*parametros_manuales!$J$20</f>
        <v>590.83</v>
      </c>
      <c r="J3" s="8">
        <f>(parametros_manuales!$D$20*(datos_base!$B$2+IF(parametros_manuales!$H$20="Todos",datos_base!$B$9,0))*parametros_manuales!$J$97+parametros_manuales!$E$20*(datos_base!$B$3+IF(parametros_manuales!$H$20="Todos",datos_base!$B$10,0))*parametros_manuales!$J$102+parametros_manuales!$F$20*(datos_base!$B$4+IF(parametros_manuales!$H$20="Todos",datos_base!$B$11,0))*parametros_manuales!$J$107+parametros_manuales!$G$20*(datos_base!$B$5+IF(parametros_manuales!$H$20="Todos",datos_base!$B$12,0))*parametros_manuales!$J$112)*parametros_manuales!$I$20*parametros_manuales!$J$20</f>
        <v>590.83</v>
      </c>
      <c r="K3" s="8">
        <f>(parametros_manuales!$D$20*(datos_base!$B$2+IF(parametros_manuales!$H$20="Todos",datos_base!$B$9,0))*parametros_manuales!$K$97+parametros_manuales!$E$20*(datos_base!$B$3+IF(parametros_manuales!$H$20="Todos",datos_base!$B$10,0))*parametros_manuales!$K$102+parametros_manuales!$F$20*(datos_base!$B$4+IF(parametros_manuales!$H$20="Todos",datos_base!$B$11,0))*parametros_manuales!$K$107+parametros_manuales!$G$20*(datos_base!$B$5+IF(parametros_manuales!$H$20="Todos",datos_base!$B$12,0))*parametros_manuales!$K$112)*parametros_manuales!$I$20*parametros_manuales!$J$20</f>
        <v>604.25</v>
      </c>
      <c r="L3" s="8">
        <f>(parametros_manuales!$D$20*(datos_base!$B$2+IF(parametros_manuales!$H$20="Todos",datos_base!$B$9,0))*parametros_manuales!$L$97+parametros_manuales!$E$20*(datos_base!$B$3+IF(parametros_manuales!$H$20="Todos",datos_base!$B$10,0))*parametros_manuales!$L$102+parametros_manuales!$F$20*(datos_base!$B$4+IF(parametros_manuales!$H$20="Todos",datos_base!$B$11,0))*parametros_manuales!$L$107+parametros_manuales!$G$20*(datos_base!$B$5+IF(parametros_manuales!$H$20="Todos",datos_base!$B$12,0))*parametros_manuales!$L$112)*parametros_manuales!$I$20*parametros_manuales!$J$20</f>
        <v>617.67</v>
      </c>
      <c r="M3" s="8">
        <f>(parametros_manuales!$D$20*(datos_base!$B$2+IF(parametros_manuales!$H$20="Todos",datos_base!$B$9,0))*parametros_manuales!$M$97+parametros_manuales!$E$20*(datos_base!$B$3+IF(parametros_manuales!$H$20="Todos",datos_base!$B$10,0))*parametros_manuales!$M$102+parametros_manuales!$F$20*(datos_base!$B$4+IF(parametros_manuales!$H$20="Todos",datos_base!$B$11,0))*parametros_manuales!$M$107+parametros_manuales!$G$20*(datos_base!$B$5+IF(parametros_manuales!$H$20="Todos",datos_base!$B$12,0))*parametros_manuales!$M$112)*parametros_manuales!$I$20*parametros_manuales!$J$20</f>
        <v>617.67</v>
      </c>
      <c r="N3" s="8">
        <f t="shared" si="1"/>
        <v>6863</v>
      </c>
      <c r="O3" s="8">
        <f t="shared" si="2"/>
        <v>617.67</v>
      </c>
      <c r="P3" s="27">
        <f>O3/(parametros_manuales!$B$7)</f>
        <v>4.1178</v>
      </c>
      <c r="Q3" s="4" t="str">
        <f t="shared" si="3"/>
        <v>Ene</v>
      </c>
      <c r="R3" s="16"/>
      <c r="S3" s="16"/>
    </row>
    <row r="4" ht="14.25" customHeight="1">
      <c r="A4" s="4" t="str">
        <f>parametros_manuales!$B$21</f>
        <v>Corte de chapa — 2.º corte en piezas (guillotina 2)</v>
      </c>
      <c r="B4" s="8">
        <f>(parametros_manuales!$D$21*(datos_base!$B$2+IF(parametros_manuales!$H$21="Todos",datos_base!$B$9,0))*parametros_manuales!$B$97+parametros_manuales!$E$21*(datos_base!$B$3+IF(parametros_manuales!$H$21="Todos",datos_base!$B$10,0))*parametros_manuales!$B$102+parametros_manuales!$F$21*(datos_base!$B$4+IF(parametros_manuales!$H$21="Todos",datos_base!$B$11,0))*parametros_manuales!$B$107+parametros_manuales!$G$21*(datos_base!$B$5+IF(parametros_manuales!$H$21="Todos",datos_base!$B$12,0))*parametros_manuales!$B$112)*parametros_manuales!$I$21*parametros_manuales!$J$21</f>
        <v>617.67</v>
      </c>
      <c r="C4" s="8">
        <f>(parametros_manuales!$D$21*(datos_base!$B$2+IF(parametros_manuales!$H$21="Todos",datos_base!$B$9,0))*parametros_manuales!$C$97+parametros_manuales!$E$21*(datos_base!$B$3+IF(parametros_manuales!$H$21="Todos",datos_base!$B$10,0))*parametros_manuales!$C$102+parametros_manuales!$F$21*(datos_base!$B$4+IF(parametros_manuales!$H$21="Todos",datos_base!$B$11,0))*parametros_manuales!$C$107+parametros_manuales!$G$21*(datos_base!$B$5+IF(parametros_manuales!$H$21="Todos",datos_base!$B$12,0))*parametros_manuales!$C$112)*parametros_manuales!$I$21*parametros_manuales!$J$21</f>
        <v>590.83</v>
      </c>
      <c r="D4" s="8">
        <f>(parametros_manuales!$D$21*(datos_base!$B$2+IF(parametros_manuales!$H$21="Todos",datos_base!$B$9,0))*parametros_manuales!$D$97+parametros_manuales!$E$21*(datos_base!$B$3+IF(parametros_manuales!$H$21="Todos",datos_base!$B$10,0))*parametros_manuales!$D$102+parametros_manuales!$F$21*(datos_base!$B$4+IF(parametros_manuales!$H$21="Todos",datos_base!$B$11,0))*parametros_manuales!$D$107+parametros_manuales!$G$21*(datos_base!$B$5+IF(parametros_manuales!$H$21="Todos",datos_base!$B$12,0))*parametros_manuales!$D$112)*parametros_manuales!$I$21*parametros_manuales!$J$21</f>
        <v>562.46</v>
      </c>
      <c r="E4" s="8">
        <f>(parametros_manuales!$D$21*(datos_base!$B$2+IF(parametros_manuales!$H$21="Todos",datos_base!$B$9,0))*parametros_manuales!$E$97+parametros_manuales!$E$21*(datos_base!$B$3+IF(parametros_manuales!$H$21="Todos",datos_base!$B$10,0))*parametros_manuales!$E$102+parametros_manuales!$F$21*(datos_base!$B$4+IF(parametros_manuales!$H$21="Todos",datos_base!$B$11,0))*parametros_manuales!$E$107+parametros_manuales!$G$21*(datos_base!$B$5+IF(parametros_manuales!$H$21="Todos",datos_base!$B$12,0))*parametros_manuales!$E$112)*parametros_manuales!$I$21*parametros_manuales!$J$21</f>
        <v>541.565</v>
      </c>
      <c r="F4" s="8">
        <f>(parametros_manuales!$D$21*(datos_base!$B$2+IF(parametros_manuales!$H$21="Todos",datos_base!$B$9,0))*parametros_manuales!$F$97+parametros_manuales!$E$21*(datos_base!$B$3+IF(parametros_manuales!$H$21="Todos",datos_base!$B$10,0))*parametros_manuales!$F$102+parametros_manuales!$F$21*(datos_base!$B$4+IF(parametros_manuales!$H$21="Todos",datos_base!$B$11,0))*parametros_manuales!$F$107+parametros_manuales!$G$21*(datos_base!$B$5+IF(parametros_manuales!$H$21="Todos",datos_base!$B$12,0))*parametros_manuales!$F$112)*parametros_manuales!$I$21*parametros_manuales!$J$21</f>
        <v>507.25</v>
      </c>
      <c r="G4" s="8">
        <f>(parametros_manuales!$D$21*(datos_base!$B$2+IF(parametros_manuales!$H$21="Todos",datos_base!$B$9,0))*parametros_manuales!$G$97+parametros_manuales!$E$21*(datos_base!$B$3+IF(parametros_manuales!$H$21="Todos",datos_base!$B$10,0))*parametros_manuales!$G$102+parametros_manuales!$F$21*(datos_base!$B$4+IF(parametros_manuales!$H$21="Todos",datos_base!$B$11,0))*parametros_manuales!$G$107+parametros_manuales!$G$21*(datos_base!$B$5+IF(parametros_manuales!$H$21="Todos",datos_base!$B$12,0))*parametros_manuales!$G$112)*parametros_manuales!$I$21*parametros_manuales!$J$21</f>
        <v>493.83</v>
      </c>
      <c r="H4" s="8">
        <f>(parametros_manuales!$D$21*(datos_base!$B$2+IF(parametros_manuales!$H$21="Todos",datos_base!$B$9,0))*parametros_manuales!$H$97+parametros_manuales!$E$21*(datos_base!$B$3+IF(parametros_manuales!$H$21="Todos",datos_base!$B$10,0))*parametros_manuales!$H$102+parametros_manuales!$F$21*(datos_base!$B$4+IF(parametros_manuales!$H$21="Todos",datos_base!$B$11,0))*parametros_manuales!$H$107+parametros_manuales!$G$21*(datos_base!$B$5+IF(parametros_manuales!$H$21="Todos",datos_base!$B$12,0))*parametros_manuales!$H$112)*parametros_manuales!$I$21*parametros_manuales!$J$21</f>
        <v>528.145</v>
      </c>
      <c r="I4" s="8">
        <f>(parametros_manuales!$D$21*(datos_base!$B$2+IF(parametros_manuales!$H$21="Todos",datos_base!$B$9,0))*parametros_manuales!$I$97+parametros_manuales!$E$21*(datos_base!$B$3+IF(parametros_manuales!$H$21="Todos",datos_base!$B$10,0))*parametros_manuales!$I$102+parametros_manuales!$F$21*(datos_base!$B$4+IF(parametros_manuales!$H$21="Todos",datos_base!$B$11,0))*parametros_manuales!$I$107+parametros_manuales!$G$21*(datos_base!$B$5+IF(parametros_manuales!$H$21="Todos",datos_base!$B$12,0))*parametros_manuales!$I$112)*parametros_manuales!$I$21*parametros_manuales!$J$21</f>
        <v>590.83</v>
      </c>
      <c r="J4" s="8">
        <f>(parametros_manuales!$D$21*(datos_base!$B$2+IF(parametros_manuales!$H$21="Todos",datos_base!$B$9,0))*parametros_manuales!$J$97+parametros_manuales!$E$21*(datos_base!$B$3+IF(parametros_manuales!$H$21="Todos",datos_base!$B$10,0))*parametros_manuales!$J$102+parametros_manuales!$F$21*(datos_base!$B$4+IF(parametros_manuales!$H$21="Todos",datos_base!$B$11,0))*parametros_manuales!$J$107+parametros_manuales!$G$21*(datos_base!$B$5+IF(parametros_manuales!$H$21="Todos",datos_base!$B$12,0))*parametros_manuales!$J$112)*parametros_manuales!$I$21*parametros_manuales!$J$21</f>
        <v>590.83</v>
      </c>
      <c r="K4" s="8">
        <f>(parametros_manuales!$D$21*(datos_base!$B$2+IF(parametros_manuales!$H$21="Todos",datos_base!$B$9,0))*parametros_manuales!$K$97+parametros_manuales!$E$21*(datos_base!$B$3+IF(parametros_manuales!$H$21="Todos",datos_base!$B$10,0))*parametros_manuales!$K$102+parametros_manuales!$F$21*(datos_base!$B$4+IF(parametros_manuales!$H$21="Todos",datos_base!$B$11,0))*parametros_manuales!$K$107+parametros_manuales!$G$21*(datos_base!$B$5+IF(parametros_manuales!$H$21="Todos",datos_base!$B$12,0))*parametros_manuales!$K$112)*parametros_manuales!$I$21*parametros_manuales!$J$21</f>
        <v>604.25</v>
      </c>
      <c r="L4" s="8">
        <f>(parametros_manuales!$D$21*(datos_base!$B$2+IF(parametros_manuales!$H$21="Todos",datos_base!$B$9,0))*parametros_manuales!$L$97+parametros_manuales!$E$21*(datos_base!$B$3+IF(parametros_manuales!$H$21="Todos",datos_base!$B$10,0))*parametros_manuales!$L$102+parametros_manuales!$F$21*(datos_base!$B$4+IF(parametros_manuales!$H$21="Todos",datos_base!$B$11,0))*parametros_manuales!$L$107+parametros_manuales!$G$21*(datos_base!$B$5+IF(parametros_manuales!$H$21="Todos",datos_base!$B$12,0))*parametros_manuales!$L$112)*parametros_manuales!$I$21*parametros_manuales!$J$21</f>
        <v>617.67</v>
      </c>
      <c r="M4" s="8">
        <f>(parametros_manuales!$D$21*(datos_base!$B$2+IF(parametros_manuales!$H$21="Todos",datos_base!$B$9,0))*parametros_manuales!$M$97+parametros_manuales!$E$21*(datos_base!$B$3+IF(parametros_manuales!$H$21="Todos",datos_base!$B$10,0))*parametros_manuales!$M$102+parametros_manuales!$F$21*(datos_base!$B$4+IF(parametros_manuales!$H$21="Todos",datos_base!$B$11,0))*parametros_manuales!$M$107+parametros_manuales!$G$21*(datos_base!$B$5+IF(parametros_manuales!$H$21="Todos",datos_base!$B$12,0))*parametros_manuales!$M$112)*parametros_manuales!$I$21*parametros_manuales!$J$21</f>
        <v>617.67</v>
      </c>
      <c r="N4" s="8">
        <f t="shared" si="1"/>
        <v>6863</v>
      </c>
      <c r="O4" s="8">
        <f t="shared" si="2"/>
        <v>617.67</v>
      </c>
      <c r="P4" s="27">
        <f>O4/(parametros_manuales!$B$7)</f>
        <v>4.1178</v>
      </c>
      <c r="Q4" s="4" t="str">
        <f t="shared" si="3"/>
        <v>Ene</v>
      </c>
      <c r="R4" s="16"/>
      <c r="S4" s="16"/>
    </row>
    <row r="5" ht="14.25" customHeight="1">
      <c r="A5" s="4" t="str">
        <f>parametros_manuales!$B$22</f>
        <v>Corte de disco y embutido (cúpula y fondo)</v>
      </c>
      <c r="B5" s="8">
        <f>(parametros_manuales!$D$22*(datos_base!$B$2+IF(parametros_manuales!$H$22="Todos",datos_base!$B$9,0))*parametros_manuales!$B$97+parametros_manuales!$E$22*(datos_base!$B$3+IF(parametros_manuales!$H$22="Todos",datos_base!$B$10,0))*parametros_manuales!$B$102+parametros_manuales!$F$22*(datos_base!$B$4+IF(parametros_manuales!$H$22="Todos",datos_base!$B$11,0))*parametros_manuales!$B$107+parametros_manuales!$G$22*(datos_base!$B$5+IF(parametros_manuales!$H$22="Todos",datos_base!$B$12,0))*parametros_manuales!$B$112)*parametros_manuales!$I$22*parametros_manuales!$J$22</f>
        <v>1235.34</v>
      </c>
      <c r="C5" s="8">
        <f>(parametros_manuales!$D$22*(datos_base!$B$2+IF(parametros_manuales!$H$22="Todos",datos_base!$B$9,0))*parametros_manuales!$C$97+parametros_manuales!$E$22*(datos_base!$B$3+IF(parametros_manuales!$H$22="Todos",datos_base!$B$10,0))*parametros_manuales!$C$102+parametros_manuales!$F$22*(datos_base!$B$4+IF(parametros_manuales!$H$22="Todos",datos_base!$B$11,0))*parametros_manuales!$C$107+parametros_manuales!$G$22*(datos_base!$B$5+IF(parametros_manuales!$H$22="Todos",datos_base!$B$12,0))*parametros_manuales!$C$112)*parametros_manuales!$I$22*parametros_manuales!$J$22</f>
        <v>1181.66</v>
      </c>
      <c r="D5" s="8">
        <f>(parametros_manuales!$D$22*(datos_base!$B$2+IF(parametros_manuales!$H$22="Todos",datos_base!$B$9,0))*parametros_manuales!$D$97+parametros_manuales!$E$22*(datos_base!$B$3+IF(parametros_manuales!$H$22="Todos",datos_base!$B$10,0))*parametros_manuales!$D$102+parametros_manuales!$F$22*(datos_base!$B$4+IF(parametros_manuales!$H$22="Todos",datos_base!$B$11,0))*parametros_manuales!$D$107+parametros_manuales!$G$22*(datos_base!$B$5+IF(parametros_manuales!$H$22="Todos",datos_base!$B$12,0))*parametros_manuales!$D$112)*parametros_manuales!$I$22*parametros_manuales!$J$22</f>
        <v>1124.92</v>
      </c>
      <c r="E5" s="8">
        <f>(parametros_manuales!$D$22*(datos_base!$B$2+IF(parametros_manuales!$H$22="Todos",datos_base!$B$9,0))*parametros_manuales!$E$97+parametros_manuales!$E$22*(datos_base!$B$3+IF(parametros_manuales!$H$22="Todos",datos_base!$B$10,0))*parametros_manuales!$E$102+parametros_manuales!$F$22*(datos_base!$B$4+IF(parametros_manuales!$H$22="Todos",datos_base!$B$11,0))*parametros_manuales!$E$107+parametros_manuales!$G$22*(datos_base!$B$5+IF(parametros_manuales!$H$22="Todos",datos_base!$B$12,0))*parametros_manuales!$E$112)*parametros_manuales!$I$22*parametros_manuales!$J$22</f>
        <v>1083.13</v>
      </c>
      <c r="F5" s="8">
        <f>(parametros_manuales!$D$22*(datos_base!$B$2+IF(parametros_manuales!$H$22="Todos",datos_base!$B$9,0))*parametros_manuales!$F$97+parametros_manuales!$E$22*(datos_base!$B$3+IF(parametros_manuales!$H$22="Todos",datos_base!$B$10,0))*parametros_manuales!$F$102+parametros_manuales!$F$22*(datos_base!$B$4+IF(parametros_manuales!$H$22="Todos",datos_base!$B$11,0))*parametros_manuales!$F$107+parametros_manuales!$G$22*(datos_base!$B$5+IF(parametros_manuales!$H$22="Todos",datos_base!$B$12,0))*parametros_manuales!$F$112)*parametros_manuales!$I$22*parametros_manuales!$J$22</f>
        <v>1014.5</v>
      </c>
      <c r="G5" s="8">
        <f>(parametros_manuales!$D$22*(datos_base!$B$2+IF(parametros_manuales!$H$22="Todos",datos_base!$B$9,0))*parametros_manuales!$G$97+parametros_manuales!$E$22*(datos_base!$B$3+IF(parametros_manuales!$H$22="Todos",datos_base!$B$10,0))*parametros_manuales!$G$102+parametros_manuales!$F$22*(datos_base!$B$4+IF(parametros_manuales!$H$22="Todos",datos_base!$B$11,0))*parametros_manuales!$G$107+parametros_manuales!$G$22*(datos_base!$B$5+IF(parametros_manuales!$H$22="Todos",datos_base!$B$12,0))*parametros_manuales!$G$112)*parametros_manuales!$I$22*parametros_manuales!$J$22</f>
        <v>987.66</v>
      </c>
      <c r="H5" s="8">
        <f>(parametros_manuales!$D$22*(datos_base!$B$2+IF(parametros_manuales!$H$22="Todos",datos_base!$B$9,0))*parametros_manuales!$H$97+parametros_manuales!$E$22*(datos_base!$B$3+IF(parametros_manuales!$H$22="Todos",datos_base!$B$10,0))*parametros_manuales!$H$102+parametros_manuales!$F$22*(datos_base!$B$4+IF(parametros_manuales!$H$22="Todos",datos_base!$B$11,0))*parametros_manuales!$H$107+parametros_manuales!$G$22*(datos_base!$B$5+IF(parametros_manuales!$H$22="Todos",datos_base!$B$12,0))*parametros_manuales!$H$112)*parametros_manuales!$I$22*parametros_manuales!$J$22</f>
        <v>1056.29</v>
      </c>
      <c r="I5" s="8">
        <f>(parametros_manuales!$D$22*(datos_base!$B$2+IF(parametros_manuales!$H$22="Todos",datos_base!$B$9,0))*parametros_manuales!$I$97+parametros_manuales!$E$22*(datos_base!$B$3+IF(parametros_manuales!$H$22="Todos",datos_base!$B$10,0))*parametros_manuales!$I$102+parametros_manuales!$F$22*(datos_base!$B$4+IF(parametros_manuales!$H$22="Todos",datos_base!$B$11,0))*parametros_manuales!$I$107+parametros_manuales!$G$22*(datos_base!$B$5+IF(parametros_manuales!$H$22="Todos",datos_base!$B$12,0))*parametros_manuales!$I$112)*parametros_manuales!$I$22*parametros_manuales!$J$22</f>
        <v>1181.66</v>
      </c>
      <c r="J5" s="8">
        <f>(parametros_manuales!$D$22*(datos_base!$B$2+IF(parametros_manuales!$H$22="Todos",datos_base!$B$9,0))*parametros_manuales!$J$97+parametros_manuales!$E$22*(datos_base!$B$3+IF(parametros_manuales!$H$22="Todos",datos_base!$B$10,0))*parametros_manuales!$J$102+parametros_manuales!$F$22*(datos_base!$B$4+IF(parametros_manuales!$H$22="Todos",datos_base!$B$11,0))*parametros_manuales!$J$107+parametros_manuales!$G$22*(datos_base!$B$5+IF(parametros_manuales!$H$22="Todos",datos_base!$B$12,0))*parametros_manuales!$J$112)*parametros_manuales!$I$22*parametros_manuales!$J$22</f>
        <v>1181.66</v>
      </c>
      <c r="K5" s="8">
        <f>(parametros_manuales!$D$22*(datos_base!$B$2+IF(parametros_manuales!$H$22="Todos",datos_base!$B$9,0))*parametros_manuales!$K$97+parametros_manuales!$E$22*(datos_base!$B$3+IF(parametros_manuales!$H$22="Todos",datos_base!$B$10,0))*parametros_manuales!$K$102+parametros_manuales!$F$22*(datos_base!$B$4+IF(parametros_manuales!$H$22="Todos",datos_base!$B$11,0))*parametros_manuales!$K$107+parametros_manuales!$G$22*(datos_base!$B$5+IF(parametros_manuales!$H$22="Todos",datos_base!$B$12,0))*parametros_manuales!$K$112)*parametros_manuales!$I$22*parametros_manuales!$J$22</f>
        <v>1208.5</v>
      </c>
      <c r="L5" s="8">
        <f>(parametros_manuales!$D$22*(datos_base!$B$2+IF(parametros_manuales!$H$22="Todos",datos_base!$B$9,0))*parametros_manuales!$L$97+parametros_manuales!$E$22*(datos_base!$B$3+IF(parametros_manuales!$H$22="Todos",datos_base!$B$10,0))*parametros_manuales!$L$102+parametros_manuales!$F$22*(datos_base!$B$4+IF(parametros_manuales!$H$22="Todos",datos_base!$B$11,0))*parametros_manuales!$L$107+parametros_manuales!$G$22*(datos_base!$B$5+IF(parametros_manuales!$H$22="Todos",datos_base!$B$12,0))*parametros_manuales!$L$112)*parametros_manuales!$I$22*parametros_manuales!$J$22</f>
        <v>1235.34</v>
      </c>
      <c r="M5" s="8">
        <f>(parametros_manuales!$D$22*(datos_base!$B$2+IF(parametros_manuales!$H$22="Todos",datos_base!$B$9,0))*parametros_manuales!$M$97+parametros_manuales!$E$22*(datos_base!$B$3+IF(parametros_manuales!$H$22="Todos",datos_base!$B$10,0))*parametros_manuales!$M$102+parametros_manuales!$F$22*(datos_base!$B$4+IF(parametros_manuales!$H$22="Todos",datos_base!$B$11,0))*parametros_manuales!$M$107+parametros_manuales!$G$22*(datos_base!$B$5+IF(parametros_manuales!$H$22="Todos",datos_base!$B$12,0))*parametros_manuales!$M$112)*parametros_manuales!$I$22*parametros_manuales!$J$22</f>
        <v>1235.34</v>
      </c>
      <c r="N5" s="8">
        <f t="shared" si="1"/>
        <v>13726</v>
      </c>
      <c r="O5" s="8">
        <f t="shared" si="2"/>
        <v>1235.34</v>
      </c>
      <c r="P5" s="27">
        <f>O5/(parametros_manuales!$B$7)</f>
        <v>8.2356</v>
      </c>
      <c r="Q5" s="4" t="str">
        <f t="shared" si="3"/>
        <v>Ene</v>
      </c>
      <c r="R5" s="16"/>
      <c r="S5" s="16"/>
    </row>
    <row r="6" ht="14.25" customHeight="1">
      <c r="A6" s="4" t="str">
        <f>parametros_manuales!$B$23</f>
        <v>Preparación de cuello</v>
      </c>
      <c r="B6" s="8">
        <f>(parametros_manuales!$D$23*(datos_base!$B$2+IF(parametros_manuales!$H$23="Todos",datos_base!$B$9,0))*parametros_manuales!$B$97+parametros_manuales!$E$23*(datos_base!$B$3+IF(parametros_manuales!$H$23="Todos",datos_base!$B$10,0))*parametros_manuales!$B$102+parametros_manuales!$F$23*(datos_base!$B$4+IF(parametros_manuales!$H$23="Todos",datos_base!$B$11,0))*parametros_manuales!$B$107+parametros_manuales!$G$23*(datos_base!$B$5+IF(parametros_manuales!$H$23="Todos",datos_base!$B$12,0))*parametros_manuales!$B$112)*parametros_manuales!$I$23*parametros_manuales!$J$23</f>
        <v>617.67</v>
      </c>
      <c r="C6" s="8">
        <f>(parametros_manuales!$D$23*(datos_base!$B$2+IF(parametros_manuales!$H$23="Todos",datos_base!$B$9,0))*parametros_manuales!$C$97+parametros_manuales!$E$23*(datos_base!$B$3+IF(parametros_manuales!$H$23="Todos",datos_base!$B$10,0))*parametros_manuales!$C$102+parametros_manuales!$F$23*(datos_base!$B$4+IF(parametros_manuales!$H$23="Todos",datos_base!$B$11,0))*parametros_manuales!$C$107+parametros_manuales!$G$23*(datos_base!$B$5+IF(parametros_manuales!$H$23="Todos",datos_base!$B$12,0))*parametros_manuales!$C$112)*parametros_manuales!$I$23*parametros_manuales!$J$23</f>
        <v>590.83</v>
      </c>
      <c r="D6" s="8">
        <f>(parametros_manuales!$D$23*(datos_base!$B$2+IF(parametros_manuales!$H$23="Todos",datos_base!$B$9,0))*parametros_manuales!$D$97+parametros_manuales!$E$23*(datos_base!$B$3+IF(parametros_manuales!$H$23="Todos",datos_base!$B$10,0))*parametros_manuales!$D$102+parametros_manuales!$F$23*(datos_base!$B$4+IF(parametros_manuales!$H$23="Todos",datos_base!$B$11,0))*parametros_manuales!$D$107+parametros_manuales!$G$23*(datos_base!$B$5+IF(parametros_manuales!$H$23="Todos",datos_base!$B$12,0))*parametros_manuales!$D$112)*parametros_manuales!$I$23*parametros_manuales!$J$23</f>
        <v>562.46</v>
      </c>
      <c r="E6" s="8">
        <f>(parametros_manuales!$D$23*(datos_base!$B$2+IF(parametros_manuales!$H$23="Todos",datos_base!$B$9,0))*parametros_manuales!$E$97+parametros_manuales!$E$23*(datos_base!$B$3+IF(parametros_manuales!$H$23="Todos",datos_base!$B$10,0))*parametros_manuales!$E$102+parametros_manuales!$F$23*(datos_base!$B$4+IF(parametros_manuales!$H$23="Todos",datos_base!$B$11,0))*parametros_manuales!$E$107+parametros_manuales!$G$23*(datos_base!$B$5+IF(parametros_manuales!$H$23="Todos",datos_base!$B$12,0))*parametros_manuales!$E$112)*parametros_manuales!$I$23*parametros_manuales!$J$23</f>
        <v>541.565</v>
      </c>
      <c r="F6" s="8">
        <f>(parametros_manuales!$D$23*(datos_base!$B$2+IF(parametros_manuales!$H$23="Todos",datos_base!$B$9,0))*parametros_manuales!$F$97+parametros_manuales!$E$23*(datos_base!$B$3+IF(parametros_manuales!$H$23="Todos",datos_base!$B$10,0))*parametros_manuales!$F$102+parametros_manuales!$F$23*(datos_base!$B$4+IF(parametros_manuales!$H$23="Todos",datos_base!$B$11,0))*parametros_manuales!$F$107+parametros_manuales!$G$23*(datos_base!$B$5+IF(parametros_manuales!$H$23="Todos",datos_base!$B$12,0))*parametros_manuales!$F$112)*parametros_manuales!$I$23*parametros_manuales!$J$23</f>
        <v>507.25</v>
      </c>
      <c r="G6" s="8">
        <f>(parametros_manuales!$D$23*(datos_base!$B$2+IF(parametros_manuales!$H$23="Todos",datos_base!$B$9,0))*parametros_manuales!$G$97+parametros_manuales!$E$23*(datos_base!$B$3+IF(parametros_manuales!$H$23="Todos",datos_base!$B$10,0))*parametros_manuales!$G$102+parametros_manuales!$F$23*(datos_base!$B$4+IF(parametros_manuales!$H$23="Todos",datos_base!$B$11,0))*parametros_manuales!$G$107+parametros_manuales!$G$23*(datos_base!$B$5+IF(parametros_manuales!$H$23="Todos",datos_base!$B$12,0))*parametros_manuales!$G$112)*parametros_manuales!$I$23*parametros_manuales!$J$23</f>
        <v>493.83</v>
      </c>
      <c r="H6" s="8">
        <f>(parametros_manuales!$D$23*(datos_base!$B$2+IF(parametros_manuales!$H$23="Todos",datos_base!$B$9,0))*parametros_manuales!$H$97+parametros_manuales!$E$23*(datos_base!$B$3+IF(parametros_manuales!$H$23="Todos",datos_base!$B$10,0))*parametros_manuales!$H$102+parametros_manuales!$F$23*(datos_base!$B$4+IF(parametros_manuales!$H$23="Todos",datos_base!$B$11,0))*parametros_manuales!$H$107+parametros_manuales!$G$23*(datos_base!$B$5+IF(parametros_manuales!$H$23="Todos",datos_base!$B$12,0))*parametros_manuales!$H$112)*parametros_manuales!$I$23*parametros_manuales!$J$23</f>
        <v>528.145</v>
      </c>
      <c r="I6" s="8">
        <f>(parametros_manuales!$D$23*(datos_base!$B$2+IF(parametros_manuales!$H$23="Todos",datos_base!$B$9,0))*parametros_manuales!$I$97+parametros_manuales!$E$23*(datos_base!$B$3+IF(parametros_manuales!$H$23="Todos",datos_base!$B$10,0))*parametros_manuales!$I$102+parametros_manuales!$F$23*(datos_base!$B$4+IF(parametros_manuales!$H$23="Todos",datos_base!$B$11,0))*parametros_manuales!$I$107+parametros_manuales!$G$23*(datos_base!$B$5+IF(parametros_manuales!$H$23="Todos",datos_base!$B$12,0))*parametros_manuales!$I$112)*parametros_manuales!$I$23*parametros_manuales!$J$23</f>
        <v>590.83</v>
      </c>
      <c r="J6" s="8">
        <f>(parametros_manuales!$D$23*(datos_base!$B$2+IF(parametros_manuales!$H$23="Todos",datos_base!$B$9,0))*parametros_manuales!$J$97+parametros_manuales!$E$23*(datos_base!$B$3+IF(parametros_manuales!$H$23="Todos",datos_base!$B$10,0))*parametros_manuales!$J$102+parametros_manuales!$F$23*(datos_base!$B$4+IF(parametros_manuales!$H$23="Todos",datos_base!$B$11,0))*parametros_manuales!$J$107+parametros_manuales!$G$23*(datos_base!$B$5+IF(parametros_manuales!$H$23="Todos",datos_base!$B$12,0))*parametros_manuales!$J$112)*parametros_manuales!$I$23*parametros_manuales!$J$23</f>
        <v>590.83</v>
      </c>
      <c r="K6" s="8">
        <f>(parametros_manuales!$D$23*(datos_base!$B$2+IF(parametros_manuales!$H$23="Todos",datos_base!$B$9,0))*parametros_manuales!$K$97+parametros_manuales!$E$23*(datos_base!$B$3+IF(parametros_manuales!$H$23="Todos",datos_base!$B$10,0))*parametros_manuales!$K$102+parametros_manuales!$F$23*(datos_base!$B$4+IF(parametros_manuales!$H$23="Todos",datos_base!$B$11,0))*parametros_manuales!$K$107+parametros_manuales!$G$23*(datos_base!$B$5+IF(parametros_manuales!$H$23="Todos",datos_base!$B$12,0))*parametros_manuales!$K$112)*parametros_manuales!$I$23*parametros_manuales!$J$23</f>
        <v>604.25</v>
      </c>
      <c r="L6" s="8">
        <f>(parametros_manuales!$D$23*(datos_base!$B$2+IF(parametros_manuales!$H$23="Todos",datos_base!$B$9,0))*parametros_manuales!$L$97+parametros_manuales!$E$23*(datos_base!$B$3+IF(parametros_manuales!$H$23="Todos",datos_base!$B$10,0))*parametros_manuales!$L$102+parametros_manuales!$F$23*(datos_base!$B$4+IF(parametros_manuales!$H$23="Todos",datos_base!$B$11,0))*parametros_manuales!$L$107+parametros_manuales!$G$23*(datos_base!$B$5+IF(parametros_manuales!$H$23="Todos",datos_base!$B$12,0))*parametros_manuales!$L$112)*parametros_manuales!$I$23*parametros_manuales!$J$23</f>
        <v>617.67</v>
      </c>
      <c r="M6" s="8">
        <f>(parametros_manuales!$D$23*(datos_base!$B$2+IF(parametros_manuales!$H$23="Todos",datos_base!$B$9,0))*parametros_manuales!$M$97+parametros_manuales!$E$23*(datos_base!$B$3+IF(parametros_manuales!$H$23="Todos",datos_base!$B$10,0))*parametros_manuales!$M$102+parametros_manuales!$F$23*(datos_base!$B$4+IF(parametros_manuales!$H$23="Todos",datos_base!$B$11,0))*parametros_manuales!$M$107+parametros_manuales!$G$23*(datos_base!$B$5+IF(parametros_manuales!$H$23="Todos",datos_base!$B$12,0))*parametros_manuales!$M$112)*parametros_manuales!$I$23*parametros_manuales!$J$23</f>
        <v>617.67</v>
      </c>
      <c r="N6" s="8">
        <f t="shared" si="1"/>
        <v>6863</v>
      </c>
      <c r="O6" s="8">
        <f t="shared" si="2"/>
        <v>617.67</v>
      </c>
      <c r="P6" s="27">
        <f>O6/(parametros_manuales!$B$7)</f>
        <v>4.1178</v>
      </c>
      <c r="Q6" s="4" t="str">
        <f t="shared" si="3"/>
        <v>Ene</v>
      </c>
      <c r="R6" s="16"/>
      <c r="S6" s="16"/>
    </row>
    <row r="7" ht="14.25" customHeight="1">
      <c r="A7" s="4" t="str">
        <f>parametros_manuales!$B$24</f>
        <v>Numerado de cúpula</v>
      </c>
      <c r="B7" s="8">
        <f>(parametros_manuales!$D$24*(datos_base!$B$2+IF(parametros_manuales!$H$24="Todos",datos_base!$B$9,0))*parametros_manuales!$B$97+parametros_manuales!$E$24*(datos_base!$B$3+IF(parametros_manuales!$H$24="Todos",datos_base!$B$10,0))*parametros_manuales!$B$102+parametros_manuales!$F$24*(datos_base!$B$4+IF(parametros_manuales!$H$24="Todos",datos_base!$B$11,0))*parametros_manuales!$B$107+parametros_manuales!$G$24*(datos_base!$B$5+IF(parametros_manuales!$H$24="Todos",datos_base!$B$12,0))*parametros_manuales!$B$112)*parametros_manuales!$I$24*parametros_manuales!$J$24</f>
        <v>617.67</v>
      </c>
      <c r="C7" s="8">
        <f>(parametros_manuales!$D$24*(datos_base!$B$2+IF(parametros_manuales!$H$24="Todos",datos_base!$B$9,0))*parametros_manuales!$C$97+parametros_manuales!$E$24*(datos_base!$B$3+IF(parametros_manuales!$H$24="Todos",datos_base!$B$10,0))*parametros_manuales!$C$102+parametros_manuales!$F$24*(datos_base!$B$4+IF(parametros_manuales!$H$24="Todos",datos_base!$B$11,0))*parametros_manuales!$C$107+parametros_manuales!$G$24*(datos_base!$B$5+IF(parametros_manuales!$H$24="Todos",datos_base!$B$12,0))*parametros_manuales!$C$112)*parametros_manuales!$I$24*parametros_manuales!$J$24</f>
        <v>590.83</v>
      </c>
      <c r="D7" s="8">
        <f>(parametros_manuales!$D$24*(datos_base!$B$2+IF(parametros_manuales!$H$24="Todos",datos_base!$B$9,0))*parametros_manuales!$D$97+parametros_manuales!$E$24*(datos_base!$B$3+IF(parametros_manuales!$H$24="Todos",datos_base!$B$10,0))*parametros_manuales!$D$102+parametros_manuales!$F$24*(datos_base!$B$4+IF(parametros_manuales!$H$24="Todos",datos_base!$B$11,0))*parametros_manuales!$D$107+parametros_manuales!$G$24*(datos_base!$B$5+IF(parametros_manuales!$H$24="Todos",datos_base!$B$12,0))*parametros_manuales!$D$112)*parametros_manuales!$I$24*parametros_manuales!$J$24</f>
        <v>562.46</v>
      </c>
      <c r="E7" s="8">
        <f>(parametros_manuales!$D$24*(datos_base!$B$2+IF(parametros_manuales!$H$24="Todos",datos_base!$B$9,0))*parametros_manuales!$E$97+parametros_manuales!$E$24*(datos_base!$B$3+IF(parametros_manuales!$H$24="Todos",datos_base!$B$10,0))*parametros_manuales!$E$102+parametros_manuales!$F$24*(datos_base!$B$4+IF(parametros_manuales!$H$24="Todos",datos_base!$B$11,0))*parametros_manuales!$E$107+parametros_manuales!$G$24*(datos_base!$B$5+IF(parametros_manuales!$H$24="Todos",datos_base!$B$12,0))*parametros_manuales!$E$112)*parametros_manuales!$I$24*parametros_manuales!$J$24</f>
        <v>541.565</v>
      </c>
      <c r="F7" s="8">
        <f>(parametros_manuales!$D$24*(datos_base!$B$2+IF(parametros_manuales!$H$24="Todos",datos_base!$B$9,0))*parametros_manuales!$F$97+parametros_manuales!$E$24*(datos_base!$B$3+IF(parametros_manuales!$H$24="Todos",datos_base!$B$10,0))*parametros_manuales!$F$102+parametros_manuales!$F$24*(datos_base!$B$4+IF(parametros_manuales!$H$24="Todos",datos_base!$B$11,0))*parametros_manuales!$F$107+parametros_manuales!$G$24*(datos_base!$B$5+IF(parametros_manuales!$H$24="Todos",datos_base!$B$12,0))*parametros_manuales!$F$112)*parametros_manuales!$I$24*parametros_manuales!$J$24</f>
        <v>507.25</v>
      </c>
      <c r="G7" s="8">
        <f>(parametros_manuales!$D$24*(datos_base!$B$2+IF(parametros_manuales!$H$24="Todos",datos_base!$B$9,0))*parametros_manuales!$G$97+parametros_manuales!$E$24*(datos_base!$B$3+IF(parametros_manuales!$H$24="Todos",datos_base!$B$10,0))*parametros_manuales!$G$102+parametros_manuales!$F$24*(datos_base!$B$4+IF(parametros_manuales!$H$24="Todos",datos_base!$B$11,0))*parametros_manuales!$G$107+parametros_manuales!$G$24*(datos_base!$B$5+IF(parametros_manuales!$H$24="Todos",datos_base!$B$12,0))*parametros_manuales!$G$112)*parametros_manuales!$I$24*parametros_manuales!$J$24</f>
        <v>493.83</v>
      </c>
      <c r="H7" s="8">
        <f>(parametros_manuales!$D$24*(datos_base!$B$2+IF(parametros_manuales!$H$24="Todos",datos_base!$B$9,0))*parametros_manuales!$H$97+parametros_manuales!$E$24*(datos_base!$B$3+IF(parametros_manuales!$H$24="Todos",datos_base!$B$10,0))*parametros_manuales!$H$102+parametros_manuales!$F$24*(datos_base!$B$4+IF(parametros_manuales!$H$24="Todos",datos_base!$B$11,0))*parametros_manuales!$H$107+parametros_manuales!$G$24*(datos_base!$B$5+IF(parametros_manuales!$H$24="Todos",datos_base!$B$12,0))*parametros_manuales!$H$112)*parametros_manuales!$I$24*parametros_manuales!$J$24</f>
        <v>528.145</v>
      </c>
      <c r="I7" s="8">
        <f>(parametros_manuales!$D$24*(datos_base!$B$2+IF(parametros_manuales!$H$24="Todos",datos_base!$B$9,0))*parametros_manuales!$I$97+parametros_manuales!$E$24*(datos_base!$B$3+IF(parametros_manuales!$H$24="Todos",datos_base!$B$10,0))*parametros_manuales!$I$102+parametros_manuales!$F$24*(datos_base!$B$4+IF(parametros_manuales!$H$24="Todos",datos_base!$B$11,0))*parametros_manuales!$I$107+parametros_manuales!$G$24*(datos_base!$B$5+IF(parametros_manuales!$H$24="Todos",datos_base!$B$12,0))*parametros_manuales!$I$112)*parametros_manuales!$I$24*parametros_manuales!$J$24</f>
        <v>590.83</v>
      </c>
      <c r="J7" s="8">
        <f>(parametros_manuales!$D$24*(datos_base!$B$2+IF(parametros_manuales!$H$24="Todos",datos_base!$B$9,0))*parametros_manuales!$J$97+parametros_manuales!$E$24*(datos_base!$B$3+IF(parametros_manuales!$H$24="Todos",datos_base!$B$10,0))*parametros_manuales!$J$102+parametros_manuales!$F$24*(datos_base!$B$4+IF(parametros_manuales!$H$24="Todos",datos_base!$B$11,0))*parametros_manuales!$J$107+parametros_manuales!$G$24*(datos_base!$B$5+IF(parametros_manuales!$H$24="Todos",datos_base!$B$12,0))*parametros_manuales!$J$112)*parametros_manuales!$I$24*parametros_manuales!$J$24</f>
        <v>590.83</v>
      </c>
      <c r="K7" s="8">
        <f>(parametros_manuales!$D$24*(datos_base!$B$2+IF(parametros_manuales!$H$24="Todos",datos_base!$B$9,0))*parametros_manuales!$K$97+parametros_manuales!$E$24*(datos_base!$B$3+IF(parametros_manuales!$H$24="Todos",datos_base!$B$10,0))*parametros_manuales!$K$102+parametros_manuales!$F$24*(datos_base!$B$4+IF(parametros_manuales!$H$24="Todos",datos_base!$B$11,0))*parametros_manuales!$K$107+parametros_manuales!$G$24*(datos_base!$B$5+IF(parametros_manuales!$H$24="Todos",datos_base!$B$12,0))*parametros_manuales!$K$112)*parametros_manuales!$I$24*parametros_manuales!$J$24</f>
        <v>604.25</v>
      </c>
      <c r="L7" s="8">
        <f>(parametros_manuales!$D$24*(datos_base!$B$2+IF(parametros_manuales!$H$24="Todos",datos_base!$B$9,0))*parametros_manuales!$L$97+parametros_manuales!$E$24*(datos_base!$B$3+IF(parametros_manuales!$H$24="Todos",datos_base!$B$10,0))*parametros_manuales!$L$102+parametros_manuales!$F$24*(datos_base!$B$4+IF(parametros_manuales!$H$24="Todos",datos_base!$B$11,0))*parametros_manuales!$L$107+parametros_manuales!$G$24*(datos_base!$B$5+IF(parametros_manuales!$H$24="Todos",datos_base!$B$12,0))*parametros_manuales!$L$112)*parametros_manuales!$I$24*parametros_manuales!$J$24</f>
        <v>617.67</v>
      </c>
      <c r="M7" s="8">
        <f>(parametros_manuales!$D$24*(datos_base!$B$2+IF(parametros_manuales!$H$24="Todos",datos_base!$B$9,0))*parametros_manuales!$M$97+parametros_manuales!$E$24*(datos_base!$B$3+IF(parametros_manuales!$H$24="Todos",datos_base!$B$10,0))*parametros_manuales!$M$102+parametros_manuales!$F$24*(datos_base!$B$4+IF(parametros_manuales!$H$24="Todos",datos_base!$B$11,0))*parametros_manuales!$M$107+parametros_manuales!$G$24*(datos_base!$B$5+IF(parametros_manuales!$H$24="Todos",datos_base!$B$12,0))*parametros_manuales!$M$112)*parametros_manuales!$I$24*parametros_manuales!$J$24</f>
        <v>617.67</v>
      </c>
      <c r="N7" s="8">
        <f t="shared" si="1"/>
        <v>6863</v>
      </c>
      <c r="O7" s="8">
        <f t="shared" si="2"/>
        <v>617.67</v>
      </c>
      <c r="P7" s="27">
        <f>O7/(parametros_manuales!$B$7)</f>
        <v>4.1178</v>
      </c>
      <c r="Q7" s="4" t="str">
        <f t="shared" si="3"/>
        <v>Ene</v>
      </c>
      <c r="R7" s="16"/>
      <c r="S7" s="16"/>
    </row>
    <row r="8" ht="14.25" customHeight="1">
      <c r="A8" s="4" t="str">
        <f>parametros_manuales!$B$25</f>
        <v>Soldadura del cuello a la cúpula</v>
      </c>
      <c r="B8" s="8">
        <f>(parametros_manuales!$D$25*(datos_base!$B$2+IF(parametros_manuales!$H$25="Todos",datos_base!$B$9,0))*parametros_manuales!$B$97+parametros_manuales!$E$25*(datos_base!$B$3+IF(parametros_manuales!$H$25="Todos",datos_base!$B$10,0))*parametros_manuales!$B$102+parametros_manuales!$F$25*(datos_base!$B$4+IF(parametros_manuales!$H$25="Todos",datos_base!$B$11,0))*parametros_manuales!$B$107+parametros_manuales!$G$25*(datos_base!$B$5+IF(parametros_manuales!$H$25="Todos",datos_base!$B$12,0))*parametros_manuales!$B$112)*parametros_manuales!$I$25*parametros_manuales!$J$25</f>
        <v>617.67</v>
      </c>
      <c r="C8" s="8">
        <f>(parametros_manuales!$D$25*(datos_base!$B$2+IF(parametros_manuales!$H$25="Todos",datos_base!$B$9,0))*parametros_manuales!$C$97+parametros_manuales!$E$25*(datos_base!$B$3+IF(parametros_manuales!$H$25="Todos",datos_base!$B$10,0))*parametros_manuales!$C$102+parametros_manuales!$F$25*(datos_base!$B$4+IF(parametros_manuales!$H$25="Todos",datos_base!$B$11,0))*parametros_manuales!$C$107+parametros_manuales!$G$25*(datos_base!$B$5+IF(parametros_manuales!$H$25="Todos",datos_base!$B$12,0))*parametros_manuales!$C$112)*parametros_manuales!$I$25*parametros_manuales!$J$25</f>
        <v>590.83</v>
      </c>
      <c r="D8" s="8">
        <f>(parametros_manuales!$D$25*(datos_base!$B$2+IF(parametros_manuales!$H$25="Todos",datos_base!$B$9,0))*parametros_manuales!$D$97+parametros_manuales!$E$25*(datos_base!$B$3+IF(parametros_manuales!$H$25="Todos",datos_base!$B$10,0))*parametros_manuales!$D$102+parametros_manuales!$F$25*(datos_base!$B$4+IF(parametros_manuales!$H$25="Todos",datos_base!$B$11,0))*parametros_manuales!$D$107+parametros_manuales!$G$25*(datos_base!$B$5+IF(parametros_manuales!$H$25="Todos",datos_base!$B$12,0))*parametros_manuales!$D$112)*parametros_manuales!$I$25*parametros_manuales!$J$25</f>
        <v>562.46</v>
      </c>
      <c r="E8" s="8">
        <f>(parametros_manuales!$D$25*(datos_base!$B$2+IF(parametros_manuales!$H$25="Todos",datos_base!$B$9,0))*parametros_manuales!$E$97+parametros_manuales!$E$25*(datos_base!$B$3+IF(parametros_manuales!$H$25="Todos",datos_base!$B$10,0))*parametros_manuales!$E$102+parametros_manuales!$F$25*(datos_base!$B$4+IF(parametros_manuales!$H$25="Todos",datos_base!$B$11,0))*parametros_manuales!$E$107+parametros_manuales!$G$25*(datos_base!$B$5+IF(parametros_manuales!$H$25="Todos",datos_base!$B$12,0))*parametros_manuales!$E$112)*parametros_manuales!$I$25*parametros_manuales!$J$25</f>
        <v>541.565</v>
      </c>
      <c r="F8" s="8">
        <f>(parametros_manuales!$D$25*(datos_base!$B$2+IF(parametros_manuales!$H$25="Todos",datos_base!$B$9,0))*parametros_manuales!$F$97+parametros_manuales!$E$25*(datos_base!$B$3+IF(parametros_manuales!$H$25="Todos",datos_base!$B$10,0))*parametros_manuales!$F$102+parametros_manuales!$F$25*(datos_base!$B$4+IF(parametros_manuales!$H$25="Todos",datos_base!$B$11,0))*parametros_manuales!$F$107+parametros_manuales!$G$25*(datos_base!$B$5+IF(parametros_manuales!$H$25="Todos",datos_base!$B$12,0))*parametros_manuales!$F$112)*parametros_manuales!$I$25*parametros_manuales!$J$25</f>
        <v>507.25</v>
      </c>
      <c r="G8" s="8">
        <f>(parametros_manuales!$D$25*(datos_base!$B$2+IF(parametros_manuales!$H$25="Todos",datos_base!$B$9,0))*parametros_manuales!$G$97+parametros_manuales!$E$25*(datos_base!$B$3+IF(parametros_manuales!$H$25="Todos",datos_base!$B$10,0))*parametros_manuales!$G$102+parametros_manuales!$F$25*(datos_base!$B$4+IF(parametros_manuales!$H$25="Todos",datos_base!$B$11,0))*parametros_manuales!$G$107+parametros_manuales!$G$25*(datos_base!$B$5+IF(parametros_manuales!$H$25="Todos",datos_base!$B$12,0))*parametros_manuales!$G$112)*parametros_manuales!$I$25*parametros_manuales!$J$25</f>
        <v>493.83</v>
      </c>
      <c r="H8" s="8">
        <f>(parametros_manuales!$D$25*(datos_base!$B$2+IF(parametros_manuales!$H$25="Todos",datos_base!$B$9,0))*parametros_manuales!$H$97+parametros_manuales!$E$25*(datos_base!$B$3+IF(parametros_manuales!$H$25="Todos",datos_base!$B$10,0))*parametros_manuales!$H$102+parametros_manuales!$F$25*(datos_base!$B$4+IF(parametros_manuales!$H$25="Todos",datos_base!$B$11,0))*parametros_manuales!$H$107+parametros_manuales!$G$25*(datos_base!$B$5+IF(parametros_manuales!$H$25="Todos",datos_base!$B$12,0))*parametros_manuales!$H$112)*parametros_manuales!$I$25*parametros_manuales!$J$25</f>
        <v>528.145</v>
      </c>
      <c r="I8" s="8">
        <f>(parametros_manuales!$D$25*(datos_base!$B$2+IF(parametros_manuales!$H$25="Todos",datos_base!$B$9,0))*parametros_manuales!$I$97+parametros_manuales!$E$25*(datos_base!$B$3+IF(parametros_manuales!$H$25="Todos",datos_base!$B$10,0))*parametros_manuales!$I$102+parametros_manuales!$F$25*(datos_base!$B$4+IF(parametros_manuales!$H$25="Todos",datos_base!$B$11,0))*parametros_manuales!$I$107+parametros_manuales!$G$25*(datos_base!$B$5+IF(parametros_manuales!$H$25="Todos",datos_base!$B$12,0))*parametros_manuales!$I$112)*parametros_manuales!$I$25*parametros_manuales!$J$25</f>
        <v>590.83</v>
      </c>
      <c r="J8" s="8">
        <f>(parametros_manuales!$D$25*(datos_base!$B$2+IF(parametros_manuales!$H$25="Todos",datos_base!$B$9,0))*parametros_manuales!$J$97+parametros_manuales!$E$25*(datos_base!$B$3+IF(parametros_manuales!$H$25="Todos",datos_base!$B$10,0))*parametros_manuales!$J$102+parametros_manuales!$F$25*(datos_base!$B$4+IF(parametros_manuales!$H$25="Todos",datos_base!$B$11,0))*parametros_manuales!$J$107+parametros_manuales!$G$25*(datos_base!$B$5+IF(parametros_manuales!$H$25="Todos",datos_base!$B$12,0))*parametros_manuales!$J$112)*parametros_manuales!$I$25*parametros_manuales!$J$25</f>
        <v>590.83</v>
      </c>
      <c r="K8" s="8">
        <f>(parametros_manuales!$D$25*(datos_base!$B$2+IF(parametros_manuales!$H$25="Todos",datos_base!$B$9,0))*parametros_manuales!$K$97+parametros_manuales!$E$25*(datos_base!$B$3+IF(parametros_manuales!$H$25="Todos",datos_base!$B$10,0))*parametros_manuales!$K$102+parametros_manuales!$F$25*(datos_base!$B$4+IF(parametros_manuales!$H$25="Todos",datos_base!$B$11,0))*parametros_manuales!$K$107+parametros_manuales!$G$25*(datos_base!$B$5+IF(parametros_manuales!$H$25="Todos",datos_base!$B$12,0))*parametros_manuales!$K$112)*parametros_manuales!$I$25*parametros_manuales!$J$25</f>
        <v>604.25</v>
      </c>
      <c r="L8" s="8">
        <f>(parametros_manuales!$D$25*(datos_base!$B$2+IF(parametros_manuales!$H$25="Todos",datos_base!$B$9,0))*parametros_manuales!$L$97+parametros_manuales!$E$25*(datos_base!$B$3+IF(parametros_manuales!$H$25="Todos",datos_base!$B$10,0))*parametros_manuales!$L$102+parametros_manuales!$F$25*(datos_base!$B$4+IF(parametros_manuales!$H$25="Todos",datos_base!$B$11,0))*parametros_manuales!$L$107+parametros_manuales!$G$25*(datos_base!$B$5+IF(parametros_manuales!$H$25="Todos",datos_base!$B$12,0))*parametros_manuales!$L$112)*parametros_manuales!$I$25*parametros_manuales!$J$25</f>
        <v>617.67</v>
      </c>
      <c r="M8" s="8">
        <f>(parametros_manuales!$D$25*(datos_base!$B$2+IF(parametros_manuales!$H$25="Todos",datos_base!$B$9,0))*parametros_manuales!$M$97+parametros_manuales!$E$25*(datos_base!$B$3+IF(parametros_manuales!$H$25="Todos",datos_base!$B$10,0))*parametros_manuales!$M$102+parametros_manuales!$F$25*(datos_base!$B$4+IF(parametros_manuales!$H$25="Todos",datos_base!$B$11,0))*parametros_manuales!$M$107+parametros_manuales!$G$25*(datos_base!$B$5+IF(parametros_manuales!$H$25="Todos",datos_base!$B$12,0))*parametros_manuales!$M$112)*parametros_manuales!$I$25*parametros_manuales!$J$25</f>
        <v>617.67</v>
      </c>
      <c r="N8" s="8">
        <f t="shared" si="1"/>
        <v>6863</v>
      </c>
      <c r="O8" s="8">
        <f t="shared" si="2"/>
        <v>617.67</v>
      </c>
      <c r="P8" s="27">
        <f>O8/(parametros_manuales!$B$7)</f>
        <v>4.1178</v>
      </c>
      <c r="Q8" s="4" t="str">
        <f t="shared" si="3"/>
        <v>Ene</v>
      </c>
      <c r="R8" s="16"/>
      <c r="S8" s="16"/>
    </row>
    <row r="9" ht="14.25" customHeight="1">
      <c r="A9" s="4" t="str">
        <f>parametros_manuales!$B$26</f>
        <v>Cilindrado</v>
      </c>
      <c r="B9" s="8">
        <f>(parametros_manuales!$D$26*(datos_base!$B$2+IF(parametros_manuales!$H$26="Todos",datos_base!$B$9,0))*parametros_manuales!$B$97+parametros_manuales!$E$26*(datos_base!$B$3+IF(parametros_manuales!$H$26="Todos",datos_base!$B$10,0))*parametros_manuales!$B$102+parametros_manuales!$F$26*(datos_base!$B$4+IF(parametros_manuales!$H$26="Todos",datos_base!$B$11,0))*parametros_manuales!$B$107+parametros_manuales!$G$26*(datos_base!$B$5+IF(parametros_manuales!$H$26="Todos",datos_base!$B$12,0))*parametros_manuales!$B$112)*parametros_manuales!$I$26*parametros_manuales!$J$26</f>
        <v>617.67</v>
      </c>
      <c r="C9" s="8">
        <f>(parametros_manuales!$D$26*(datos_base!$B$2+IF(parametros_manuales!$H$26="Todos",datos_base!$B$9,0))*parametros_manuales!$C$97+parametros_manuales!$E$26*(datos_base!$B$3+IF(parametros_manuales!$H$26="Todos",datos_base!$B$10,0))*parametros_manuales!$C$102+parametros_manuales!$F$26*(datos_base!$B$4+IF(parametros_manuales!$H$26="Todos",datos_base!$B$11,0))*parametros_manuales!$C$107+parametros_manuales!$G$26*(datos_base!$B$5+IF(parametros_manuales!$H$26="Todos",datos_base!$B$12,0))*parametros_manuales!$C$112)*parametros_manuales!$I$26*parametros_manuales!$J$26</f>
        <v>590.83</v>
      </c>
      <c r="D9" s="8">
        <f>(parametros_manuales!$D$26*(datos_base!$B$2+IF(parametros_manuales!$H$26="Todos",datos_base!$B$9,0))*parametros_manuales!$D$97+parametros_manuales!$E$26*(datos_base!$B$3+IF(parametros_manuales!$H$26="Todos",datos_base!$B$10,0))*parametros_manuales!$D$102+parametros_manuales!$F$26*(datos_base!$B$4+IF(parametros_manuales!$H$26="Todos",datos_base!$B$11,0))*parametros_manuales!$D$107+parametros_manuales!$G$26*(datos_base!$B$5+IF(parametros_manuales!$H$26="Todos",datos_base!$B$12,0))*parametros_manuales!$D$112)*parametros_manuales!$I$26*parametros_manuales!$J$26</f>
        <v>562.46</v>
      </c>
      <c r="E9" s="8">
        <f>(parametros_manuales!$D$26*(datos_base!$B$2+IF(parametros_manuales!$H$26="Todos",datos_base!$B$9,0))*parametros_manuales!$E$97+parametros_manuales!$E$26*(datos_base!$B$3+IF(parametros_manuales!$H$26="Todos",datos_base!$B$10,0))*parametros_manuales!$E$102+parametros_manuales!$F$26*(datos_base!$B$4+IF(parametros_manuales!$H$26="Todos",datos_base!$B$11,0))*parametros_manuales!$E$107+parametros_manuales!$G$26*(datos_base!$B$5+IF(parametros_manuales!$H$26="Todos",datos_base!$B$12,0))*parametros_manuales!$E$112)*parametros_manuales!$I$26*parametros_manuales!$J$26</f>
        <v>541.565</v>
      </c>
      <c r="F9" s="8">
        <f>(parametros_manuales!$D$26*(datos_base!$B$2+IF(parametros_manuales!$H$26="Todos",datos_base!$B$9,0))*parametros_manuales!$F$97+parametros_manuales!$E$26*(datos_base!$B$3+IF(parametros_manuales!$H$26="Todos",datos_base!$B$10,0))*parametros_manuales!$F$102+parametros_manuales!$F$26*(datos_base!$B$4+IF(parametros_manuales!$H$26="Todos",datos_base!$B$11,0))*parametros_manuales!$F$107+parametros_manuales!$G$26*(datos_base!$B$5+IF(parametros_manuales!$H$26="Todos",datos_base!$B$12,0))*parametros_manuales!$F$112)*parametros_manuales!$I$26*parametros_manuales!$J$26</f>
        <v>507.25</v>
      </c>
      <c r="G9" s="8">
        <f>(parametros_manuales!$D$26*(datos_base!$B$2+IF(parametros_manuales!$H$26="Todos",datos_base!$B$9,0))*parametros_manuales!$G$97+parametros_manuales!$E$26*(datos_base!$B$3+IF(parametros_manuales!$H$26="Todos",datos_base!$B$10,0))*parametros_manuales!$G$102+parametros_manuales!$F$26*(datos_base!$B$4+IF(parametros_manuales!$H$26="Todos",datos_base!$B$11,0))*parametros_manuales!$G$107+parametros_manuales!$G$26*(datos_base!$B$5+IF(parametros_manuales!$H$26="Todos",datos_base!$B$12,0))*parametros_manuales!$G$112)*parametros_manuales!$I$26*parametros_manuales!$J$26</f>
        <v>493.83</v>
      </c>
      <c r="H9" s="8">
        <f>(parametros_manuales!$D$26*(datos_base!$B$2+IF(parametros_manuales!$H$26="Todos",datos_base!$B$9,0))*parametros_manuales!$H$97+parametros_manuales!$E$26*(datos_base!$B$3+IF(parametros_manuales!$H$26="Todos",datos_base!$B$10,0))*parametros_manuales!$H$102+parametros_manuales!$F$26*(datos_base!$B$4+IF(parametros_manuales!$H$26="Todos",datos_base!$B$11,0))*parametros_manuales!$H$107+parametros_manuales!$G$26*(datos_base!$B$5+IF(parametros_manuales!$H$26="Todos",datos_base!$B$12,0))*parametros_manuales!$H$112)*parametros_manuales!$I$26*parametros_manuales!$J$26</f>
        <v>528.145</v>
      </c>
      <c r="I9" s="8">
        <f>(parametros_manuales!$D$26*(datos_base!$B$2+IF(parametros_manuales!$H$26="Todos",datos_base!$B$9,0))*parametros_manuales!$I$97+parametros_manuales!$E$26*(datos_base!$B$3+IF(parametros_manuales!$H$26="Todos",datos_base!$B$10,0))*parametros_manuales!$I$102+parametros_manuales!$F$26*(datos_base!$B$4+IF(parametros_manuales!$H$26="Todos",datos_base!$B$11,0))*parametros_manuales!$I$107+parametros_manuales!$G$26*(datos_base!$B$5+IF(parametros_manuales!$H$26="Todos",datos_base!$B$12,0))*parametros_manuales!$I$112)*parametros_manuales!$I$26*parametros_manuales!$J$26</f>
        <v>590.83</v>
      </c>
      <c r="J9" s="8">
        <f>(parametros_manuales!$D$26*(datos_base!$B$2+IF(parametros_manuales!$H$26="Todos",datos_base!$B$9,0))*parametros_manuales!$J$97+parametros_manuales!$E$26*(datos_base!$B$3+IF(parametros_manuales!$H$26="Todos",datos_base!$B$10,0))*parametros_manuales!$J$102+parametros_manuales!$F$26*(datos_base!$B$4+IF(parametros_manuales!$H$26="Todos",datos_base!$B$11,0))*parametros_manuales!$J$107+parametros_manuales!$G$26*(datos_base!$B$5+IF(parametros_manuales!$H$26="Todos",datos_base!$B$12,0))*parametros_manuales!$J$112)*parametros_manuales!$I$26*parametros_manuales!$J$26</f>
        <v>590.83</v>
      </c>
      <c r="K9" s="8">
        <f>(parametros_manuales!$D$26*(datos_base!$B$2+IF(parametros_manuales!$H$26="Todos",datos_base!$B$9,0))*parametros_manuales!$K$97+parametros_manuales!$E$26*(datos_base!$B$3+IF(parametros_manuales!$H$26="Todos",datos_base!$B$10,0))*parametros_manuales!$K$102+parametros_manuales!$F$26*(datos_base!$B$4+IF(parametros_manuales!$H$26="Todos",datos_base!$B$11,0))*parametros_manuales!$K$107+parametros_manuales!$G$26*(datos_base!$B$5+IF(parametros_manuales!$H$26="Todos",datos_base!$B$12,0))*parametros_manuales!$K$112)*parametros_manuales!$I$26*parametros_manuales!$J$26</f>
        <v>604.25</v>
      </c>
      <c r="L9" s="8">
        <f>(parametros_manuales!$D$26*(datos_base!$B$2+IF(parametros_manuales!$H$26="Todos",datos_base!$B$9,0))*parametros_manuales!$L$97+parametros_manuales!$E$26*(datos_base!$B$3+IF(parametros_manuales!$H$26="Todos",datos_base!$B$10,0))*parametros_manuales!$L$102+parametros_manuales!$F$26*(datos_base!$B$4+IF(parametros_manuales!$H$26="Todos",datos_base!$B$11,0))*parametros_manuales!$L$107+parametros_manuales!$G$26*(datos_base!$B$5+IF(parametros_manuales!$H$26="Todos",datos_base!$B$12,0))*parametros_manuales!$L$112)*parametros_manuales!$I$26*parametros_manuales!$J$26</f>
        <v>617.67</v>
      </c>
      <c r="M9" s="8">
        <f>(parametros_manuales!$D$26*(datos_base!$B$2+IF(parametros_manuales!$H$26="Todos",datos_base!$B$9,0))*parametros_manuales!$M$97+parametros_manuales!$E$26*(datos_base!$B$3+IF(parametros_manuales!$H$26="Todos",datos_base!$B$10,0))*parametros_manuales!$M$102+parametros_manuales!$F$26*(datos_base!$B$4+IF(parametros_manuales!$H$26="Todos",datos_base!$B$11,0))*parametros_manuales!$M$107+parametros_manuales!$G$26*(datos_base!$B$5+IF(parametros_manuales!$H$26="Todos",datos_base!$B$12,0))*parametros_manuales!$M$112)*parametros_manuales!$I$26*parametros_manuales!$J$26</f>
        <v>617.67</v>
      </c>
      <c r="N9" s="8">
        <f t="shared" si="1"/>
        <v>6863</v>
      </c>
      <c r="O9" s="8">
        <f t="shared" si="2"/>
        <v>617.67</v>
      </c>
      <c r="P9" s="27">
        <f>O9/(parametros_manuales!$B$7)</f>
        <v>4.1178</v>
      </c>
      <c r="Q9" s="4" t="str">
        <f t="shared" si="3"/>
        <v>Ene</v>
      </c>
      <c r="R9" s="16"/>
      <c r="S9" s="16"/>
    </row>
    <row r="10" ht="14.25" customHeight="1">
      <c r="A10" s="4" t="str">
        <f>parametros_manuales!$B$27</f>
        <v>Soldadura longitudinal — 2,5 a 10 kg</v>
      </c>
      <c r="B10" s="8">
        <f>(parametros_manuales!$D$27*(datos_base!$B$2+IF(parametros_manuales!$H$27="Todos",datos_base!$B$9,0))*parametros_manuales!$B$97+parametros_manuales!$E$27*(datos_base!$B$3+IF(parametros_manuales!$H$27="Todos",datos_base!$B$10,0))*parametros_manuales!$B$102+parametros_manuales!$F$27*(datos_base!$B$4+IF(parametros_manuales!$H$27="Todos",datos_base!$B$11,0))*parametros_manuales!$B$107+parametros_manuales!$G$27*(datos_base!$B$5+IF(parametros_manuales!$H$27="Todos",datos_base!$B$12,0))*parametros_manuales!$B$112)*parametros_manuales!$I$27*parametros_manuales!$J$27</f>
        <v>241.56</v>
      </c>
      <c r="C10" s="8">
        <f>(parametros_manuales!$D$27*(datos_base!$B$2+IF(parametros_manuales!$H$27="Todos",datos_base!$B$9,0))*parametros_manuales!$C$97+parametros_manuales!$E$27*(datos_base!$B$3+IF(parametros_manuales!$H$27="Todos",datos_base!$B$10,0))*parametros_manuales!$C$102+parametros_manuales!$F$27*(datos_base!$B$4+IF(parametros_manuales!$H$27="Todos",datos_base!$B$11,0))*parametros_manuales!$C$107+parametros_manuales!$G$27*(datos_base!$B$5+IF(parametros_manuales!$H$27="Todos",datos_base!$B$12,0))*parametros_manuales!$C$112)*parametros_manuales!$I$27*parametros_manuales!$J$27</f>
        <v>214.72</v>
      </c>
      <c r="D10" s="8">
        <f>(parametros_manuales!$D$27*(datos_base!$B$2+IF(parametros_manuales!$H$27="Todos",datos_base!$B$9,0))*parametros_manuales!$D$97+parametros_manuales!$E$27*(datos_base!$B$3+IF(parametros_manuales!$H$27="Todos",datos_base!$B$10,0))*parametros_manuales!$D$102+parametros_manuales!$F$27*(datos_base!$B$4+IF(parametros_manuales!$H$27="Todos",datos_base!$B$11,0))*parametros_manuales!$D$107+parametros_manuales!$G$27*(datos_base!$B$5+IF(parametros_manuales!$H$27="Todos",datos_base!$B$12,0))*parametros_manuales!$D$112)*parametros_manuales!$I$27*parametros_manuales!$J$27</f>
        <v>228.14</v>
      </c>
      <c r="E10" s="8">
        <f>(parametros_manuales!$D$27*(datos_base!$B$2+IF(parametros_manuales!$H$27="Todos",datos_base!$B$9,0))*parametros_manuales!$E$97+parametros_manuales!$E$27*(datos_base!$B$3+IF(parametros_manuales!$H$27="Todos",datos_base!$B$10,0))*parametros_manuales!$E$102+parametros_manuales!$F$27*(datos_base!$B$4+IF(parametros_manuales!$H$27="Todos",datos_base!$B$11,0))*parametros_manuales!$E$107+parametros_manuales!$G$27*(datos_base!$B$5+IF(parametros_manuales!$H$27="Todos",datos_base!$B$12,0))*parametros_manuales!$E$112)*parametros_manuales!$I$27*parametros_manuales!$J$27</f>
        <v>228.14</v>
      </c>
      <c r="F10" s="8">
        <f>(parametros_manuales!$D$27*(datos_base!$B$2+IF(parametros_manuales!$H$27="Todos",datos_base!$B$9,0))*parametros_manuales!$F$97+parametros_manuales!$E$27*(datos_base!$B$3+IF(parametros_manuales!$H$27="Todos",datos_base!$B$10,0))*parametros_manuales!$F$102+parametros_manuales!$F$27*(datos_base!$B$4+IF(parametros_manuales!$H$27="Todos",datos_base!$B$11,0))*parametros_manuales!$F$107+parametros_manuales!$G$27*(datos_base!$B$5+IF(parametros_manuales!$H$27="Todos",datos_base!$B$12,0))*parametros_manuales!$F$112)*parametros_manuales!$I$27*parametros_manuales!$J$27</f>
        <v>214.72</v>
      </c>
      <c r="G10" s="8">
        <f>(parametros_manuales!$D$27*(datos_base!$B$2+IF(parametros_manuales!$H$27="Todos",datos_base!$B$9,0))*parametros_manuales!$G$97+parametros_manuales!$E$27*(datos_base!$B$3+IF(parametros_manuales!$H$27="Todos",datos_base!$B$10,0))*parametros_manuales!$G$102+parametros_manuales!$F$27*(datos_base!$B$4+IF(parametros_manuales!$H$27="Todos",datos_base!$B$11,0))*parametros_manuales!$G$107+parametros_manuales!$G$27*(datos_base!$B$5+IF(parametros_manuales!$H$27="Todos",datos_base!$B$12,0))*parametros_manuales!$G$112)*parametros_manuales!$I$27*parametros_manuales!$J$27</f>
        <v>201.3</v>
      </c>
      <c r="H10" s="8">
        <f>(parametros_manuales!$D$27*(datos_base!$B$2+IF(parametros_manuales!$H$27="Todos",datos_base!$B$9,0))*parametros_manuales!$H$97+parametros_manuales!$E$27*(datos_base!$B$3+IF(parametros_manuales!$H$27="Todos",datos_base!$B$10,0))*parametros_manuales!$H$102+parametros_manuales!$F$27*(datos_base!$B$4+IF(parametros_manuales!$H$27="Todos",datos_base!$B$11,0))*parametros_manuales!$H$107+parametros_manuales!$G$27*(datos_base!$B$5+IF(parametros_manuales!$H$27="Todos",datos_base!$B$12,0))*parametros_manuales!$H$112)*parametros_manuales!$I$27*parametros_manuales!$J$27</f>
        <v>214.72</v>
      </c>
      <c r="I10" s="8">
        <f>(parametros_manuales!$D$27*(datos_base!$B$2+IF(parametros_manuales!$H$27="Todos",datos_base!$B$9,0))*parametros_manuales!$I$97+parametros_manuales!$E$27*(datos_base!$B$3+IF(parametros_manuales!$H$27="Todos",datos_base!$B$10,0))*parametros_manuales!$I$102+parametros_manuales!$F$27*(datos_base!$B$4+IF(parametros_manuales!$H$27="Todos",datos_base!$B$11,0))*parametros_manuales!$I$107+parametros_manuales!$G$27*(datos_base!$B$5+IF(parametros_manuales!$H$27="Todos",datos_base!$B$12,0))*parametros_manuales!$I$112)*parametros_manuales!$I$27*parametros_manuales!$J$27</f>
        <v>214.72</v>
      </c>
      <c r="J10" s="8">
        <f>(parametros_manuales!$D$27*(datos_base!$B$2+IF(parametros_manuales!$H$27="Todos",datos_base!$B$9,0))*parametros_manuales!$J$97+parametros_manuales!$E$27*(datos_base!$B$3+IF(parametros_manuales!$H$27="Todos",datos_base!$B$10,0))*parametros_manuales!$J$102+parametros_manuales!$F$27*(datos_base!$B$4+IF(parametros_manuales!$H$27="Todos",datos_base!$B$11,0))*parametros_manuales!$J$107+parametros_manuales!$G$27*(datos_base!$B$5+IF(parametros_manuales!$H$27="Todos",datos_base!$B$12,0))*parametros_manuales!$J$112)*parametros_manuales!$I$27*parametros_manuales!$J$27</f>
        <v>214.72</v>
      </c>
      <c r="K10" s="8">
        <f>(parametros_manuales!$D$27*(datos_base!$B$2+IF(parametros_manuales!$H$27="Todos",datos_base!$B$9,0))*parametros_manuales!$K$97+parametros_manuales!$E$27*(datos_base!$B$3+IF(parametros_manuales!$H$27="Todos",datos_base!$B$10,0))*parametros_manuales!$K$102+parametros_manuales!$F$27*(datos_base!$B$4+IF(parametros_manuales!$H$27="Todos",datos_base!$B$11,0))*parametros_manuales!$K$107+parametros_manuales!$G$27*(datos_base!$B$5+IF(parametros_manuales!$H$27="Todos",datos_base!$B$12,0))*parametros_manuales!$K$112)*parametros_manuales!$I$27*parametros_manuales!$J$27</f>
        <v>228.14</v>
      </c>
      <c r="L10" s="8">
        <f>(parametros_manuales!$D$27*(datos_base!$B$2+IF(parametros_manuales!$H$27="Todos",datos_base!$B$9,0))*parametros_manuales!$L$97+parametros_manuales!$E$27*(datos_base!$B$3+IF(parametros_manuales!$H$27="Todos",datos_base!$B$10,0))*parametros_manuales!$L$102+parametros_manuales!$F$27*(datos_base!$B$4+IF(parametros_manuales!$H$27="Todos",datos_base!$B$11,0))*parametros_manuales!$L$107+parametros_manuales!$G$27*(datos_base!$B$5+IF(parametros_manuales!$H$27="Todos",datos_base!$B$12,0))*parametros_manuales!$L$112)*parametros_manuales!$I$27*parametros_manuales!$J$27</f>
        <v>241.56</v>
      </c>
      <c r="M10" s="8">
        <f>(parametros_manuales!$D$27*(datos_base!$B$2+IF(parametros_manuales!$H$27="Todos",datos_base!$B$9,0))*parametros_manuales!$M$97+parametros_manuales!$E$27*(datos_base!$B$3+IF(parametros_manuales!$H$27="Todos",datos_base!$B$10,0))*parametros_manuales!$M$102+parametros_manuales!$F$27*(datos_base!$B$4+IF(parametros_manuales!$H$27="Todos",datos_base!$B$11,0))*parametros_manuales!$M$107+parametros_manuales!$G$27*(datos_base!$B$5+IF(parametros_manuales!$H$27="Todos",datos_base!$B$12,0))*parametros_manuales!$M$112)*parametros_manuales!$I$27*parametros_manuales!$J$27</f>
        <v>241.56</v>
      </c>
      <c r="N10" s="8">
        <f t="shared" si="1"/>
        <v>2684</v>
      </c>
      <c r="O10" s="8">
        <f t="shared" si="2"/>
        <v>241.56</v>
      </c>
      <c r="P10" s="27">
        <f>O10/(parametros_manuales!$B$7)</f>
        <v>1.6104</v>
      </c>
      <c r="Q10" s="4" t="str">
        <f t="shared" si="3"/>
        <v>Ene</v>
      </c>
      <c r="R10" s="16"/>
      <c r="S10" s="16"/>
    </row>
    <row r="11" ht="14.25" customHeight="1">
      <c r="A11" s="4" t="str">
        <f>parametros_manuales!$B$28</f>
        <v>Soldadura longitudinal TIG — 1 kg</v>
      </c>
      <c r="B11" s="8">
        <f>(parametros_manuales!$D$28*(datos_base!$B$2+IF(parametros_manuales!$H$28="Todos",datos_base!$B$9,0))*parametros_manuales!$B$97+parametros_manuales!$E$28*(datos_base!$B$3+IF(parametros_manuales!$H$28="Todos",datos_base!$B$10,0))*parametros_manuales!$B$102+parametros_manuales!$F$28*(datos_base!$B$4+IF(parametros_manuales!$H$28="Todos",datos_base!$B$11,0))*parametros_manuales!$B$107+parametros_manuales!$G$28*(datos_base!$B$5+IF(parametros_manuales!$H$28="Todos",datos_base!$B$12,0))*parametros_manuales!$B$112)*parametros_manuales!$I$28*parametros_manuales!$J$28</f>
        <v>376.11</v>
      </c>
      <c r="C11" s="8">
        <f>(parametros_manuales!$D$28*(datos_base!$B$2+IF(parametros_manuales!$H$28="Todos",datos_base!$B$9,0))*parametros_manuales!$C$97+parametros_manuales!$E$28*(datos_base!$B$3+IF(parametros_manuales!$H$28="Todos",datos_base!$B$10,0))*parametros_manuales!$C$102+parametros_manuales!$F$28*(datos_base!$B$4+IF(parametros_manuales!$H$28="Todos",datos_base!$B$11,0))*parametros_manuales!$C$107+parametros_manuales!$G$28*(datos_base!$B$5+IF(parametros_manuales!$H$28="Todos",datos_base!$B$12,0))*parametros_manuales!$C$112)*parametros_manuales!$I$28*parametros_manuales!$J$28</f>
        <v>376.11</v>
      </c>
      <c r="D11" s="8">
        <f>(parametros_manuales!$D$28*(datos_base!$B$2+IF(parametros_manuales!$H$28="Todos",datos_base!$B$9,0))*parametros_manuales!$D$97+parametros_manuales!$E$28*(datos_base!$B$3+IF(parametros_manuales!$H$28="Todos",datos_base!$B$10,0))*parametros_manuales!$D$102+parametros_manuales!$F$28*(datos_base!$B$4+IF(parametros_manuales!$H$28="Todos",datos_base!$B$11,0))*parametros_manuales!$D$107+parametros_manuales!$G$28*(datos_base!$B$5+IF(parametros_manuales!$H$28="Todos",datos_base!$B$12,0))*parametros_manuales!$D$112)*parametros_manuales!$I$28*parametros_manuales!$J$28</f>
        <v>334.32</v>
      </c>
      <c r="E11" s="8">
        <f>(parametros_manuales!$D$28*(datos_base!$B$2+IF(parametros_manuales!$H$28="Todos",datos_base!$B$9,0))*parametros_manuales!$E$97+parametros_manuales!$E$28*(datos_base!$B$3+IF(parametros_manuales!$H$28="Todos",datos_base!$B$10,0))*parametros_manuales!$E$102+parametros_manuales!$F$28*(datos_base!$B$4+IF(parametros_manuales!$H$28="Todos",datos_base!$B$11,0))*parametros_manuales!$E$107+parametros_manuales!$G$28*(datos_base!$B$5+IF(parametros_manuales!$H$28="Todos",datos_base!$B$12,0))*parametros_manuales!$E$112)*parametros_manuales!$I$28*parametros_manuales!$J$28</f>
        <v>313.425</v>
      </c>
      <c r="F11" s="8">
        <f>(parametros_manuales!$D$28*(datos_base!$B$2+IF(parametros_manuales!$H$28="Todos",datos_base!$B$9,0))*parametros_manuales!$F$97+parametros_manuales!$E$28*(datos_base!$B$3+IF(parametros_manuales!$H$28="Todos",datos_base!$B$10,0))*parametros_manuales!$F$102+parametros_manuales!$F$28*(datos_base!$B$4+IF(parametros_manuales!$H$28="Todos",datos_base!$B$11,0))*parametros_manuales!$F$107+parametros_manuales!$G$28*(datos_base!$B$5+IF(parametros_manuales!$H$28="Todos",datos_base!$B$12,0))*parametros_manuales!$F$112)*parametros_manuales!$I$28*parametros_manuales!$J$28</f>
        <v>292.53</v>
      </c>
      <c r="G11" s="8">
        <f>(parametros_manuales!$D$28*(datos_base!$B$2+IF(parametros_manuales!$H$28="Todos",datos_base!$B$9,0))*parametros_manuales!$G$97+parametros_manuales!$E$28*(datos_base!$B$3+IF(parametros_manuales!$H$28="Todos",datos_base!$B$10,0))*parametros_manuales!$G$102+parametros_manuales!$F$28*(datos_base!$B$4+IF(parametros_manuales!$H$28="Todos",datos_base!$B$11,0))*parametros_manuales!$G$107+parametros_manuales!$G$28*(datos_base!$B$5+IF(parametros_manuales!$H$28="Todos",datos_base!$B$12,0))*parametros_manuales!$G$112)*parametros_manuales!$I$28*parametros_manuales!$J$28</f>
        <v>292.53</v>
      </c>
      <c r="H11" s="8">
        <f>(parametros_manuales!$D$28*(datos_base!$B$2+IF(parametros_manuales!$H$28="Todos",datos_base!$B$9,0))*parametros_manuales!$H$97+parametros_manuales!$E$28*(datos_base!$B$3+IF(parametros_manuales!$H$28="Todos",datos_base!$B$10,0))*parametros_manuales!$H$102+parametros_manuales!$F$28*(datos_base!$B$4+IF(parametros_manuales!$H$28="Todos",datos_base!$B$11,0))*parametros_manuales!$H$107+parametros_manuales!$G$28*(datos_base!$B$5+IF(parametros_manuales!$H$28="Todos",datos_base!$B$12,0))*parametros_manuales!$H$112)*parametros_manuales!$I$28*parametros_manuales!$J$28</f>
        <v>313.425</v>
      </c>
      <c r="I11" s="8">
        <f>(parametros_manuales!$D$28*(datos_base!$B$2+IF(parametros_manuales!$H$28="Todos",datos_base!$B$9,0))*parametros_manuales!$I$97+parametros_manuales!$E$28*(datos_base!$B$3+IF(parametros_manuales!$H$28="Todos",datos_base!$B$10,0))*parametros_manuales!$I$102+parametros_manuales!$F$28*(datos_base!$B$4+IF(parametros_manuales!$H$28="Todos",datos_base!$B$11,0))*parametros_manuales!$I$107+parametros_manuales!$G$28*(datos_base!$B$5+IF(parametros_manuales!$H$28="Todos",datos_base!$B$12,0))*parametros_manuales!$I$112)*parametros_manuales!$I$28*parametros_manuales!$J$28</f>
        <v>376.11</v>
      </c>
      <c r="J11" s="8">
        <f>(parametros_manuales!$D$28*(datos_base!$B$2+IF(parametros_manuales!$H$28="Todos",datos_base!$B$9,0))*parametros_manuales!$J$97+parametros_manuales!$E$28*(datos_base!$B$3+IF(parametros_manuales!$H$28="Todos",datos_base!$B$10,0))*parametros_manuales!$J$102+parametros_manuales!$F$28*(datos_base!$B$4+IF(parametros_manuales!$H$28="Todos",datos_base!$B$11,0))*parametros_manuales!$J$107+parametros_manuales!$G$28*(datos_base!$B$5+IF(parametros_manuales!$H$28="Todos",datos_base!$B$12,0))*parametros_manuales!$J$112)*parametros_manuales!$I$28*parametros_manuales!$J$28</f>
        <v>376.11</v>
      </c>
      <c r="K11" s="8">
        <f>(parametros_manuales!$D$28*(datos_base!$B$2+IF(parametros_manuales!$H$28="Todos",datos_base!$B$9,0))*parametros_manuales!$K$97+parametros_manuales!$E$28*(datos_base!$B$3+IF(parametros_manuales!$H$28="Todos",datos_base!$B$10,0))*parametros_manuales!$K$102+parametros_manuales!$F$28*(datos_base!$B$4+IF(parametros_manuales!$H$28="Todos",datos_base!$B$11,0))*parametros_manuales!$K$107+parametros_manuales!$G$28*(datos_base!$B$5+IF(parametros_manuales!$H$28="Todos",datos_base!$B$12,0))*parametros_manuales!$K$112)*parametros_manuales!$I$28*parametros_manuales!$J$28</f>
        <v>376.11</v>
      </c>
      <c r="L11" s="8">
        <f>(parametros_manuales!$D$28*(datos_base!$B$2+IF(parametros_manuales!$H$28="Todos",datos_base!$B$9,0))*parametros_manuales!$L$97+parametros_manuales!$E$28*(datos_base!$B$3+IF(parametros_manuales!$H$28="Todos",datos_base!$B$10,0))*parametros_manuales!$L$102+parametros_manuales!$F$28*(datos_base!$B$4+IF(parametros_manuales!$H$28="Todos",datos_base!$B$11,0))*parametros_manuales!$L$107+parametros_manuales!$G$28*(datos_base!$B$5+IF(parametros_manuales!$H$28="Todos",datos_base!$B$12,0))*parametros_manuales!$L$112)*parametros_manuales!$I$28*parametros_manuales!$J$28</f>
        <v>376.11</v>
      </c>
      <c r="M11" s="8">
        <f>(parametros_manuales!$D$28*(datos_base!$B$2+IF(parametros_manuales!$H$28="Todos",datos_base!$B$9,0))*parametros_manuales!$M$97+parametros_manuales!$E$28*(datos_base!$B$3+IF(parametros_manuales!$H$28="Todos",datos_base!$B$10,0))*parametros_manuales!$M$102+parametros_manuales!$F$28*(datos_base!$B$4+IF(parametros_manuales!$H$28="Todos",datos_base!$B$11,0))*parametros_manuales!$M$107+parametros_manuales!$G$28*(datos_base!$B$5+IF(parametros_manuales!$H$28="Todos",datos_base!$B$12,0))*parametros_manuales!$M$112)*parametros_manuales!$I$28*parametros_manuales!$J$28</f>
        <v>376.11</v>
      </c>
      <c r="N11" s="8">
        <f t="shared" si="1"/>
        <v>4179</v>
      </c>
      <c r="O11" s="8">
        <f t="shared" si="2"/>
        <v>376.11</v>
      </c>
      <c r="P11" s="27">
        <f>O11/(parametros_manuales!$B$7)</f>
        <v>2.5074</v>
      </c>
      <c r="Q11" s="4" t="str">
        <f t="shared" si="3"/>
        <v>Ene</v>
      </c>
      <c r="R11" s="16"/>
      <c r="S11" s="16"/>
    </row>
    <row r="12" ht="14.25" customHeight="1">
      <c r="A12" s="4" t="str">
        <f>parametros_manuales!$B$29</f>
        <v>Encastre de fondo</v>
      </c>
      <c r="B12" s="8">
        <f>(parametros_manuales!$D$29*(datos_base!$B$2+IF(parametros_manuales!$H$29="Todos",datos_base!$B$9,0))*parametros_manuales!$B$97+parametros_manuales!$E$29*(datos_base!$B$3+IF(parametros_manuales!$H$29="Todos",datos_base!$B$10,0))*parametros_manuales!$B$102+parametros_manuales!$F$29*(datos_base!$B$4+IF(parametros_manuales!$H$29="Todos",datos_base!$B$11,0))*parametros_manuales!$B$107+parametros_manuales!$G$29*(datos_base!$B$5+IF(parametros_manuales!$H$29="Todos",datos_base!$B$12,0))*parametros_manuales!$B$112)*parametros_manuales!$I$29*parametros_manuales!$J$29</f>
        <v>617.67</v>
      </c>
      <c r="C12" s="8">
        <f>(parametros_manuales!$D$29*(datos_base!$B$2+IF(parametros_manuales!$H$29="Todos",datos_base!$B$9,0))*parametros_manuales!$C$97+parametros_manuales!$E$29*(datos_base!$B$3+IF(parametros_manuales!$H$29="Todos",datos_base!$B$10,0))*parametros_manuales!$C$102+parametros_manuales!$F$29*(datos_base!$B$4+IF(parametros_manuales!$H$29="Todos",datos_base!$B$11,0))*parametros_manuales!$C$107+parametros_manuales!$G$29*(datos_base!$B$5+IF(parametros_manuales!$H$29="Todos",datos_base!$B$12,0))*parametros_manuales!$C$112)*parametros_manuales!$I$29*parametros_manuales!$J$29</f>
        <v>590.83</v>
      </c>
      <c r="D12" s="8">
        <f>(parametros_manuales!$D$29*(datos_base!$B$2+IF(parametros_manuales!$H$29="Todos",datos_base!$B$9,0))*parametros_manuales!$D$97+parametros_manuales!$E$29*(datos_base!$B$3+IF(parametros_manuales!$H$29="Todos",datos_base!$B$10,0))*parametros_manuales!$D$102+parametros_manuales!$F$29*(datos_base!$B$4+IF(parametros_manuales!$H$29="Todos",datos_base!$B$11,0))*parametros_manuales!$D$107+parametros_manuales!$G$29*(datos_base!$B$5+IF(parametros_manuales!$H$29="Todos",datos_base!$B$12,0))*parametros_manuales!$D$112)*parametros_manuales!$I$29*parametros_manuales!$J$29</f>
        <v>562.46</v>
      </c>
      <c r="E12" s="8">
        <f>(parametros_manuales!$D$29*(datos_base!$B$2+IF(parametros_manuales!$H$29="Todos",datos_base!$B$9,0))*parametros_manuales!$E$97+parametros_manuales!$E$29*(datos_base!$B$3+IF(parametros_manuales!$H$29="Todos",datos_base!$B$10,0))*parametros_manuales!$E$102+parametros_manuales!$F$29*(datos_base!$B$4+IF(parametros_manuales!$H$29="Todos",datos_base!$B$11,0))*parametros_manuales!$E$107+parametros_manuales!$G$29*(datos_base!$B$5+IF(parametros_manuales!$H$29="Todos",datos_base!$B$12,0))*parametros_manuales!$E$112)*parametros_manuales!$I$29*parametros_manuales!$J$29</f>
        <v>541.565</v>
      </c>
      <c r="F12" s="8">
        <f>(parametros_manuales!$D$29*(datos_base!$B$2+IF(parametros_manuales!$H$29="Todos",datos_base!$B$9,0))*parametros_manuales!$F$97+parametros_manuales!$E$29*(datos_base!$B$3+IF(parametros_manuales!$H$29="Todos",datos_base!$B$10,0))*parametros_manuales!$F$102+parametros_manuales!$F$29*(datos_base!$B$4+IF(parametros_manuales!$H$29="Todos",datos_base!$B$11,0))*parametros_manuales!$F$107+parametros_manuales!$G$29*(datos_base!$B$5+IF(parametros_manuales!$H$29="Todos",datos_base!$B$12,0))*parametros_manuales!$F$112)*parametros_manuales!$I$29*parametros_manuales!$J$29</f>
        <v>507.25</v>
      </c>
      <c r="G12" s="8">
        <f>(parametros_manuales!$D$29*(datos_base!$B$2+IF(parametros_manuales!$H$29="Todos",datos_base!$B$9,0))*parametros_manuales!$G$97+parametros_manuales!$E$29*(datos_base!$B$3+IF(parametros_manuales!$H$29="Todos",datos_base!$B$10,0))*parametros_manuales!$G$102+parametros_manuales!$F$29*(datos_base!$B$4+IF(parametros_manuales!$H$29="Todos",datos_base!$B$11,0))*parametros_manuales!$G$107+parametros_manuales!$G$29*(datos_base!$B$5+IF(parametros_manuales!$H$29="Todos",datos_base!$B$12,0))*parametros_manuales!$G$112)*parametros_manuales!$I$29*parametros_manuales!$J$29</f>
        <v>493.83</v>
      </c>
      <c r="H12" s="8">
        <f>(parametros_manuales!$D$29*(datos_base!$B$2+IF(parametros_manuales!$H$29="Todos",datos_base!$B$9,0))*parametros_manuales!$H$97+parametros_manuales!$E$29*(datos_base!$B$3+IF(parametros_manuales!$H$29="Todos",datos_base!$B$10,0))*parametros_manuales!$H$102+parametros_manuales!$F$29*(datos_base!$B$4+IF(parametros_manuales!$H$29="Todos",datos_base!$B$11,0))*parametros_manuales!$H$107+parametros_manuales!$G$29*(datos_base!$B$5+IF(parametros_manuales!$H$29="Todos",datos_base!$B$12,0))*parametros_manuales!$H$112)*parametros_manuales!$I$29*parametros_manuales!$J$29</f>
        <v>528.145</v>
      </c>
      <c r="I12" s="8">
        <f>(parametros_manuales!$D$29*(datos_base!$B$2+IF(parametros_manuales!$H$29="Todos",datos_base!$B$9,0))*parametros_manuales!$I$97+parametros_manuales!$E$29*(datos_base!$B$3+IF(parametros_manuales!$H$29="Todos",datos_base!$B$10,0))*parametros_manuales!$I$102+parametros_manuales!$F$29*(datos_base!$B$4+IF(parametros_manuales!$H$29="Todos",datos_base!$B$11,0))*parametros_manuales!$I$107+parametros_manuales!$G$29*(datos_base!$B$5+IF(parametros_manuales!$H$29="Todos",datos_base!$B$12,0))*parametros_manuales!$I$112)*parametros_manuales!$I$29*parametros_manuales!$J$29</f>
        <v>590.83</v>
      </c>
      <c r="J12" s="8">
        <f>(parametros_manuales!$D$29*(datos_base!$B$2+IF(parametros_manuales!$H$29="Todos",datos_base!$B$9,0))*parametros_manuales!$J$97+parametros_manuales!$E$29*(datos_base!$B$3+IF(parametros_manuales!$H$29="Todos",datos_base!$B$10,0))*parametros_manuales!$J$102+parametros_manuales!$F$29*(datos_base!$B$4+IF(parametros_manuales!$H$29="Todos",datos_base!$B$11,0))*parametros_manuales!$J$107+parametros_manuales!$G$29*(datos_base!$B$5+IF(parametros_manuales!$H$29="Todos",datos_base!$B$12,0))*parametros_manuales!$J$112)*parametros_manuales!$I$29*parametros_manuales!$J$29</f>
        <v>590.83</v>
      </c>
      <c r="K12" s="8">
        <f>(parametros_manuales!$D$29*(datos_base!$B$2+IF(parametros_manuales!$H$29="Todos",datos_base!$B$9,0))*parametros_manuales!$K$97+parametros_manuales!$E$29*(datos_base!$B$3+IF(parametros_manuales!$H$29="Todos",datos_base!$B$10,0))*parametros_manuales!$K$102+parametros_manuales!$F$29*(datos_base!$B$4+IF(parametros_manuales!$H$29="Todos",datos_base!$B$11,0))*parametros_manuales!$K$107+parametros_manuales!$G$29*(datos_base!$B$5+IF(parametros_manuales!$H$29="Todos",datos_base!$B$12,0))*parametros_manuales!$K$112)*parametros_manuales!$I$29*parametros_manuales!$J$29</f>
        <v>604.25</v>
      </c>
      <c r="L12" s="8">
        <f>(parametros_manuales!$D$29*(datos_base!$B$2+IF(parametros_manuales!$H$29="Todos",datos_base!$B$9,0))*parametros_manuales!$L$97+parametros_manuales!$E$29*(datos_base!$B$3+IF(parametros_manuales!$H$29="Todos",datos_base!$B$10,0))*parametros_manuales!$L$102+parametros_manuales!$F$29*(datos_base!$B$4+IF(parametros_manuales!$H$29="Todos",datos_base!$B$11,0))*parametros_manuales!$L$107+parametros_manuales!$G$29*(datos_base!$B$5+IF(parametros_manuales!$H$29="Todos",datos_base!$B$12,0))*parametros_manuales!$L$112)*parametros_manuales!$I$29*parametros_manuales!$J$29</f>
        <v>617.67</v>
      </c>
      <c r="M12" s="8">
        <f>(parametros_manuales!$D$29*(datos_base!$B$2+IF(parametros_manuales!$H$29="Todos",datos_base!$B$9,0))*parametros_manuales!$M$97+parametros_manuales!$E$29*(datos_base!$B$3+IF(parametros_manuales!$H$29="Todos",datos_base!$B$10,0))*parametros_manuales!$M$102+parametros_manuales!$F$29*(datos_base!$B$4+IF(parametros_manuales!$H$29="Todos",datos_base!$B$11,0))*parametros_manuales!$M$107+parametros_manuales!$G$29*(datos_base!$B$5+IF(parametros_manuales!$H$29="Todos",datos_base!$B$12,0))*parametros_manuales!$M$112)*parametros_manuales!$I$29*parametros_manuales!$J$29</f>
        <v>617.67</v>
      </c>
      <c r="N12" s="8">
        <f t="shared" si="1"/>
        <v>6863</v>
      </c>
      <c r="O12" s="8">
        <f t="shared" si="2"/>
        <v>617.67</v>
      </c>
      <c r="P12" s="27">
        <f>O12/(parametros_manuales!$B$7)</f>
        <v>4.1178</v>
      </c>
      <c r="Q12" s="4" t="str">
        <f t="shared" si="3"/>
        <v>Ene</v>
      </c>
      <c r="R12" s="16"/>
      <c r="S12" s="16"/>
    </row>
    <row r="13" ht="14.25" customHeight="1">
      <c r="A13" s="4" t="str">
        <f>parametros_manuales!$B$30</f>
        <v>Bordoneado</v>
      </c>
      <c r="B13" s="8">
        <f>(parametros_manuales!$D$30*(datos_base!$B$2+IF(parametros_manuales!$H$30="Todos",datos_base!$B$9,0))*parametros_manuales!$B$97+parametros_manuales!$E$30*(datos_base!$B$3+IF(parametros_manuales!$H$30="Todos",datos_base!$B$10,0))*parametros_manuales!$B$102+parametros_manuales!$F$30*(datos_base!$B$4+IF(parametros_manuales!$H$30="Todos",datos_base!$B$11,0))*parametros_manuales!$B$107+parametros_manuales!$G$30*(datos_base!$B$5+IF(parametros_manuales!$H$30="Todos",datos_base!$B$12,0))*parametros_manuales!$B$112)*parametros_manuales!$I$30*parametros_manuales!$J$30</f>
        <v>617.67</v>
      </c>
      <c r="C13" s="8">
        <f>(parametros_manuales!$D$30*(datos_base!$B$2+IF(parametros_manuales!$H$30="Todos",datos_base!$B$9,0))*parametros_manuales!$C$97+parametros_manuales!$E$30*(datos_base!$B$3+IF(parametros_manuales!$H$30="Todos",datos_base!$B$10,0))*parametros_manuales!$C$102+parametros_manuales!$F$30*(datos_base!$B$4+IF(parametros_manuales!$H$30="Todos",datos_base!$B$11,0))*parametros_manuales!$C$107+parametros_manuales!$G$30*(datos_base!$B$5+IF(parametros_manuales!$H$30="Todos",datos_base!$B$12,0))*parametros_manuales!$C$112)*parametros_manuales!$I$30*parametros_manuales!$J$30</f>
        <v>590.83</v>
      </c>
      <c r="D13" s="8">
        <f>(parametros_manuales!$D$30*(datos_base!$B$2+IF(parametros_manuales!$H$30="Todos",datos_base!$B$9,0))*parametros_manuales!$D$97+parametros_manuales!$E$30*(datos_base!$B$3+IF(parametros_manuales!$H$30="Todos",datos_base!$B$10,0))*parametros_manuales!$D$102+parametros_manuales!$F$30*(datos_base!$B$4+IF(parametros_manuales!$H$30="Todos",datos_base!$B$11,0))*parametros_manuales!$D$107+parametros_manuales!$G$30*(datos_base!$B$5+IF(parametros_manuales!$H$30="Todos",datos_base!$B$12,0))*parametros_manuales!$D$112)*parametros_manuales!$I$30*parametros_manuales!$J$30</f>
        <v>562.46</v>
      </c>
      <c r="E13" s="8">
        <f>(parametros_manuales!$D$30*(datos_base!$B$2+IF(parametros_manuales!$H$30="Todos",datos_base!$B$9,0))*parametros_manuales!$E$97+parametros_manuales!$E$30*(datos_base!$B$3+IF(parametros_manuales!$H$30="Todos",datos_base!$B$10,0))*parametros_manuales!$E$102+parametros_manuales!$F$30*(datos_base!$B$4+IF(parametros_manuales!$H$30="Todos",datos_base!$B$11,0))*parametros_manuales!$E$107+parametros_manuales!$G$30*(datos_base!$B$5+IF(parametros_manuales!$H$30="Todos",datos_base!$B$12,0))*parametros_manuales!$E$112)*parametros_manuales!$I$30*parametros_manuales!$J$30</f>
        <v>541.565</v>
      </c>
      <c r="F13" s="8">
        <f>(parametros_manuales!$D$30*(datos_base!$B$2+IF(parametros_manuales!$H$30="Todos",datos_base!$B$9,0))*parametros_manuales!$F$97+parametros_manuales!$E$30*(datos_base!$B$3+IF(parametros_manuales!$H$30="Todos",datos_base!$B$10,0))*parametros_manuales!$F$102+parametros_manuales!$F$30*(datos_base!$B$4+IF(parametros_manuales!$H$30="Todos",datos_base!$B$11,0))*parametros_manuales!$F$107+parametros_manuales!$G$30*(datos_base!$B$5+IF(parametros_manuales!$H$30="Todos",datos_base!$B$12,0))*parametros_manuales!$F$112)*parametros_manuales!$I$30*parametros_manuales!$J$30</f>
        <v>507.25</v>
      </c>
      <c r="G13" s="8">
        <f>(parametros_manuales!$D$30*(datos_base!$B$2+IF(parametros_manuales!$H$30="Todos",datos_base!$B$9,0))*parametros_manuales!$G$97+parametros_manuales!$E$30*(datos_base!$B$3+IF(parametros_manuales!$H$30="Todos",datos_base!$B$10,0))*parametros_manuales!$G$102+parametros_manuales!$F$30*(datos_base!$B$4+IF(parametros_manuales!$H$30="Todos",datos_base!$B$11,0))*parametros_manuales!$G$107+parametros_manuales!$G$30*(datos_base!$B$5+IF(parametros_manuales!$H$30="Todos",datos_base!$B$12,0))*parametros_manuales!$G$112)*parametros_manuales!$I$30*parametros_manuales!$J$30</f>
        <v>493.83</v>
      </c>
      <c r="H13" s="8">
        <f>(parametros_manuales!$D$30*(datos_base!$B$2+IF(parametros_manuales!$H$30="Todos",datos_base!$B$9,0))*parametros_manuales!$H$97+parametros_manuales!$E$30*(datos_base!$B$3+IF(parametros_manuales!$H$30="Todos",datos_base!$B$10,0))*parametros_manuales!$H$102+parametros_manuales!$F$30*(datos_base!$B$4+IF(parametros_manuales!$H$30="Todos",datos_base!$B$11,0))*parametros_manuales!$H$107+parametros_manuales!$G$30*(datos_base!$B$5+IF(parametros_manuales!$H$30="Todos",datos_base!$B$12,0))*parametros_manuales!$H$112)*parametros_manuales!$I$30*parametros_manuales!$J$30</f>
        <v>528.145</v>
      </c>
      <c r="I13" s="8">
        <f>(parametros_manuales!$D$30*(datos_base!$B$2+IF(parametros_manuales!$H$30="Todos",datos_base!$B$9,0))*parametros_manuales!$I$97+parametros_manuales!$E$30*(datos_base!$B$3+IF(parametros_manuales!$H$30="Todos",datos_base!$B$10,0))*parametros_manuales!$I$102+parametros_manuales!$F$30*(datos_base!$B$4+IF(parametros_manuales!$H$30="Todos",datos_base!$B$11,0))*parametros_manuales!$I$107+parametros_manuales!$G$30*(datos_base!$B$5+IF(parametros_manuales!$H$30="Todos",datos_base!$B$12,0))*parametros_manuales!$I$112)*parametros_manuales!$I$30*parametros_manuales!$J$30</f>
        <v>590.83</v>
      </c>
      <c r="J13" s="8">
        <f>(parametros_manuales!$D$30*(datos_base!$B$2+IF(parametros_manuales!$H$30="Todos",datos_base!$B$9,0))*parametros_manuales!$J$97+parametros_manuales!$E$30*(datos_base!$B$3+IF(parametros_manuales!$H$30="Todos",datos_base!$B$10,0))*parametros_manuales!$J$102+parametros_manuales!$F$30*(datos_base!$B$4+IF(parametros_manuales!$H$30="Todos",datos_base!$B$11,0))*parametros_manuales!$J$107+parametros_manuales!$G$30*(datos_base!$B$5+IF(parametros_manuales!$H$30="Todos",datos_base!$B$12,0))*parametros_manuales!$J$112)*parametros_manuales!$I$30*parametros_manuales!$J$30</f>
        <v>590.83</v>
      </c>
      <c r="K13" s="8">
        <f>(parametros_manuales!$D$30*(datos_base!$B$2+IF(parametros_manuales!$H$30="Todos",datos_base!$B$9,0))*parametros_manuales!$K$97+parametros_manuales!$E$30*(datos_base!$B$3+IF(parametros_manuales!$H$30="Todos",datos_base!$B$10,0))*parametros_manuales!$K$102+parametros_manuales!$F$30*(datos_base!$B$4+IF(parametros_manuales!$H$30="Todos",datos_base!$B$11,0))*parametros_manuales!$K$107+parametros_manuales!$G$30*(datos_base!$B$5+IF(parametros_manuales!$H$30="Todos",datos_base!$B$12,0))*parametros_manuales!$K$112)*parametros_manuales!$I$30*parametros_manuales!$J$30</f>
        <v>604.25</v>
      </c>
      <c r="L13" s="8">
        <f>(parametros_manuales!$D$30*(datos_base!$B$2+IF(parametros_manuales!$H$30="Todos",datos_base!$B$9,0))*parametros_manuales!$L$97+parametros_manuales!$E$30*(datos_base!$B$3+IF(parametros_manuales!$H$30="Todos",datos_base!$B$10,0))*parametros_manuales!$L$102+parametros_manuales!$F$30*(datos_base!$B$4+IF(parametros_manuales!$H$30="Todos",datos_base!$B$11,0))*parametros_manuales!$L$107+parametros_manuales!$G$30*(datos_base!$B$5+IF(parametros_manuales!$H$30="Todos",datos_base!$B$12,0))*parametros_manuales!$L$112)*parametros_manuales!$I$30*parametros_manuales!$J$30</f>
        <v>617.67</v>
      </c>
      <c r="M13" s="8">
        <f>(parametros_manuales!$D$30*(datos_base!$B$2+IF(parametros_manuales!$H$30="Todos",datos_base!$B$9,0))*parametros_manuales!$M$97+parametros_manuales!$E$30*(datos_base!$B$3+IF(parametros_manuales!$H$30="Todos",datos_base!$B$10,0))*parametros_manuales!$M$102+parametros_manuales!$F$30*(datos_base!$B$4+IF(parametros_manuales!$H$30="Todos",datos_base!$B$11,0))*parametros_manuales!$M$107+parametros_manuales!$G$30*(datos_base!$B$5+IF(parametros_manuales!$H$30="Todos",datos_base!$B$12,0))*parametros_manuales!$M$112)*parametros_manuales!$I$30*parametros_manuales!$J$30</f>
        <v>617.67</v>
      </c>
      <c r="N13" s="8">
        <f t="shared" si="1"/>
        <v>6863</v>
      </c>
      <c r="O13" s="8">
        <f t="shared" si="2"/>
        <v>617.67</v>
      </c>
      <c r="P13" s="27">
        <f>O13/(parametros_manuales!$B$7)</f>
        <v>4.1178</v>
      </c>
      <c r="Q13" s="4" t="str">
        <f t="shared" si="3"/>
        <v>Ene</v>
      </c>
      <c r="R13" s="16"/>
      <c r="S13" s="16"/>
    </row>
    <row r="14" ht="14.25" customHeight="1">
      <c r="A14" s="4" t="str">
        <f>parametros_manuales!$B$31</f>
        <v>Soldadura circunferencial de cúpula y fondo</v>
      </c>
      <c r="B14" s="8">
        <f>(parametros_manuales!$D$31*(datos_base!$B$2+IF(parametros_manuales!$H$31="Todos",datos_base!$B$9,0))*parametros_manuales!$B$97+parametros_manuales!$E$31*(datos_base!$B$3+IF(parametros_manuales!$H$31="Todos",datos_base!$B$10,0))*parametros_manuales!$B$102+parametros_manuales!$F$31*(datos_base!$B$4+IF(parametros_manuales!$H$31="Todos",datos_base!$B$11,0))*parametros_manuales!$B$107+parametros_manuales!$G$31*(datos_base!$B$5+IF(parametros_manuales!$H$31="Todos",datos_base!$B$12,0))*parametros_manuales!$B$112)*parametros_manuales!$I$31*parametros_manuales!$J$31</f>
        <v>617.67</v>
      </c>
      <c r="C14" s="8">
        <f>(parametros_manuales!$D$31*(datos_base!$B$2+IF(parametros_manuales!$H$31="Todos",datos_base!$B$9,0))*parametros_manuales!$C$97+parametros_manuales!$E$31*(datos_base!$B$3+IF(parametros_manuales!$H$31="Todos",datos_base!$B$10,0))*parametros_manuales!$C$102+parametros_manuales!$F$31*(datos_base!$B$4+IF(parametros_manuales!$H$31="Todos",datos_base!$B$11,0))*parametros_manuales!$C$107+parametros_manuales!$G$31*(datos_base!$B$5+IF(parametros_manuales!$H$31="Todos",datos_base!$B$12,0))*parametros_manuales!$C$112)*parametros_manuales!$I$31*parametros_manuales!$J$31</f>
        <v>590.83</v>
      </c>
      <c r="D14" s="8">
        <f>(parametros_manuales!$D$31*(datos_base!$B$2+IF(parametros_manuales!$H$31="Todos",datos_base!$B$9,0))*parametros_manuales!$D$97+parametros_manuales!$E$31*(datos_base!$B$3+IF(parametros_manuales!$H$31="Todos",datos_base!$B$10,0))*parametros_manuales!$D$102+parametros_manuales!$F$31*(datos_base!$B$4+IF(parametros_manuales!$H$31="Todos",datos_base!$B$11,0))*parametros_manuales!$D$107+parametros_manuales!$G$31*(datos_base!$B$5+IF(parametros_manuales!$H$31="Todos",datos_base!$B$12,0))*parametros_manuales!$D$112)*parametros_manuales!$I$31*parametros_manuales!$J$31</f>
        <v>562.46</v>
      </c>
      <c r="E14" s="8">
        <f>(parametros_manuales!$D$31*(datos_base!$B$2+IF(parametros_manuales!$H$31="Todos",datos_base!$B$9,0))*parametros_manuales!$E$97+parametros_manuales!$E$31*(datos_base!$B$3+IF(parametros_manuales!$H$31="Todos",datos_base!$B$10,0))*parametros_manuales!$E$102+parametros_manuales!$F$31*(datos_base!$B$4+IF(parametros_manuales!$H$31="Todos",datos_base!$B$11,0))*parametros_manuales!$E$107+parametros_manuales!$G$31*(datos_base!$B$5+IF(parametros_manuales!$H$31="Todos",datos_base!$B$12,0))*parametros_manuales!$E$112)*parametros_manuales!$I$31*parametros_manuales!$J$31</f>
        <v>541.565</v>
      </c>
      <c r="F14" s="8">
        <f>(parametros_manuales!$D$31*(datos_base!$B$2+IF(parametros_manuales!$H$31="Todos",datos_base!$B$9,0))*parametros_manuales!$F$97+parametros_manuales!$E$31*(datos_base!$B$3+IF(parametros_manuales!$H$31="Todos",datos_base!$B$10,0))*parametros_manuales!$F$102+parametros_manuales!$F$31*(datos_base!$B$4+IF(parametros_manuales!$H$31="Todos",datos_base!$B$11,0))*parametros_manuales!$F$107+parametros_manuales!$G$31*(datos_base!$B$5+IF(parametros_manuales!$H$31="Todos",datos_base!$B$12,0))*parametros_manuales!$F$112)*parametros_manuales!$I$31*parametros_manuales!$J$31</f>
        <v>507.25</v>
      </c>
      <c r="G14" s="8">
        <f>(parametros_manuales!$D$31*(datos_base!$B$2+IF(parametros_manuales!$H$31="Todos",datos_base!$B$9,0))*parametros_manuales!$G$97+parametros_manuales!$E$31*(datos_base!$B$3+IF(parametros_manuales!$H$31="Todos",datos_base!$B$10,0))*parametros_manuales!$G$102+parametros_manuales!$F$31*(datos_base!$B$4+IF(parametros_manuales!$H$31="Todos",datos_base!$B$11,0))*parametros_manuales!$G$107+parametros_manuales!$G$31*(datos_base!$B$5+IF(parametros_manuales!$H$31="Todos",datos_base!$B$12,0))*parametros_manuales!$G$112)*parametros_manuales!$I$31*parametros_manuales!$J$31</f>
        <v>493.83</v>
      </c>
      <c r="H14" s="8">
        <f>(parametros_manuales!$D$31*(datos_base!$B$2+IF(parametros_manuales!$H$31="Todos",datos_base!$B$9,0))*parametros_manuales!$H$97+parametros_manuales!$E$31*(datos_base!$B$3+IF(parametros_manuales!$H$31="Todos",datos_base!$B$10,0))*parametros_manuales!$H$102+parametros_manuales!$F$31*(datos_base!$B$4+IF(parametros_manuales!$H$31="Todos",datos_base!$B$11,0))*parametros_manuales!$H$107+parametros_manuales!$G$31*(datos_base!$B$5+IF(parametros_manuales!$H$31="Todos",datos_base!$B$12,0))*parametros_manuales!$H$112)*parametros_manuales!$I$31*parametros_manuales!$J$31</f>
        <v>528.145</v>
      </c>
      <c r="I14" s="8">
        <f>(parametros_manuales!$D$31*(datos_base!$B$2+IF(parametros_manuales!$H$31="Todos",datos_base!$B$9,0))*parametros_manuales!$I$97+parametros_manuales!$E$31*(datos_base!$B$3+IF(parametros_manuales!$H$31="Todos",datos_base!$B$10,0))*parametros_manuales!$I$102+parametros_manuales!$F$31*(datos_base!$B$4+IF(parametros_manuales!$H$31="Todos",datos_base!$B$11,0))*parametros_manuales!$I$107+parametros_manuales!$G$31*(datos_base!$B$5+IF(parametros_manuales!$H$31="Todos",datos_base!$B$12,0))*parametros_manuales!$I$112)*parametros_manuales!$I$31*parametros_manuales!$J$31</f>
        <v>590.83</v>
      </c>
      <c r="J14" s="8">
        <f>(parametros_manuales!$D$31*(datos_base!$B$2+IF(parametros_manuales!$H$31="Todos",datos_base!$B$9,0))*parametros_manuales!$J$97+parametros_manuales!$E$31*(datos_base!$B$3+IF(parametros_manuales!$H$31="Todos",datos_base!$B$10,0))*parametros_manuales!$J$102+parametros_manuales!$F$31*(datos_base!$B$4+IF(parametros_manuales!$H$31="Todos",datos_base!$B$11,0))*parametros_manuales!$J$107+parametros_manuales!$G$31*(datos_base!$B$5+IF(parametros_manuales!$H$31="Todos",datos_base!$B$12,0))*parametros_manuales!$J$112)*parametros_manuales!$I$31*parametros_manuales!$J$31</f>
        <v>590.83</v>
      </c>
      <c r="K14" s="8">
        <f>(parametros_manuales!$D$31*(datos_base!$B$2+IF(parametros_manuales!$H$31="Todos",datos_base!$B$9,0))*parametros_manuales!$K$97+parametros_manuales!$E$31*(datos_base!$B$3+IF(parametros_manuales!$H$31="Todos",datos_base!$B$10,0))*parametros_manuales!$K$102+parametros_manuales!$F$31*(datos_base!$B$4+IF(parametros_manuales!$H$31="Todos",datos_base!$B$11,0))*parametros_manuales!$K$107+parametros_manuales!$G$31*(datos_base!$B$5+IF(parametros_manuales!$H$31="Todos",datos_base!$B$12,0))*parametros_manuales!$K$112)*parametros_manuales!$I$31*parametros_manuales!$J$31</f>
        <v>604.25</v>
      </c>
      <c r="L14" s="8">
        <f>(parametros_manuales!$D$31*(datos_base!$B$2+IF(parametros_manuales!$H$31="Todos",datos_base!$B$9,0))*parametros_manuales!$L$97+parametros_manuales!$E$31*(datos_base!$B$3+IF(parametros_manuales!$H$31="Todos",datos_base!$B$10,0))*parametros_manuales!$L$102+parametros_manuales!$F$31*(datos_base!$B$4+IF(parametros_manuales!$H$31="Todos",datos_base!$B$11,0))*parametros_manuales!$L$107+parametros_manuales!$G$31*(datos_base!$B$5+IF(parametros_manuales!$H$31="Todos",datos_base!$B$12,0))*parametros_manuales!$L$112)*parametros_manuales!$I$31*parametros_manuales!$J$31</f>
        <v>617.67</v>
      </c>
      <c r="M14" s="8">
        <f>(parametros_manuales!$D$31*(datos_base!$B$2+IF(parametros_manuales!$H$31="Todos",datos_base!$B$9,0))*parametros_manuales!$M$97+parametros_manuales!$E$31*(datos_base!$B$3+IF(parametros_manuales!$H$31="Todos",datos_base!$B$10,0))*parametros_manuales!$M$102+parametros_manuales!$F$31*(datos_base!$B$4+IF(parametros_manuales!$H$31="Todos",datos_base!$B$11,0))*parametros_manuales!$M$107+parametros_manuales!$G$31*(datos_base!$B$5+IF(parametros_manuales!$H$31="Todos",datos_base!$B$12,0))*parametros_manuales!$M$112)*parametros_manuales!$I$31*parametros_manuales!$J$31</f>
        <v>617.67</v>
      </c>
      <c r="N14" s="8">
        <f t="shared" si="1"/>
        <v>6863</v>
      </c>
      <c r="O14" s="8">
        <f t="shared" si="2"/>
        <v>617.67</v>
      </c>
      <c r="P14" s="27">
        <f>O14/(parametros_manuales!$B$7)</f>
        <v>4.1178</v>
      </c>
      <c r="Q14" s="4" t="str">
        <f t="shared" si="3"/>
        <v>Ene</v>
      </c>
      <c r="R14" s="16"/>
      <c r="S14" s="16"/>
    </row>
    <row r="15" ht="14.25" customHeight="1">
      <c r="A15" s="4" t="str">
        <f>parametros_manuales!$B$32</f>
        <v>Control de calidad — Espesor</v>
      </c>
      <c r="B15" s="8">
        <f>(parametros_manuales!$D$32*(datos_base!$B$2+IF(parametros_manuales!$H$32="Todos",datos_base!$B$9,0))*parametros_manuales!$B$97+parametros_manuales!$E$32*(datos_base!$B$3+IF(parametros_manuales!$H$32="Todos",datos_base!$B$10,0))*parametros_manuales!$B$102+parametros_manuales!$F$32*(datos_base!$B$4+IF(parametros_manuales!$H$32="Todos",datos_base!$B$11,0))*parametros_manuales!$B$107+parametros_manuales!$G$32*(datos_base!$B$5+IF(parametros_manuales!$H$32="Todos",datos_base!$B$12,0))*parametros_manuales!$B$112)*parametros_manuales!$I$32*parametros_manuales!$J$32</f>
        <v>12.3534</v>
      </c>
      <c r="C15" s="8">
        <f>(parametros_manuales!$D$32*(datos_base!$B$2+IF(parametros_manuales!$H$32="Todos",datos_base!$B$9,0))*parametros_manuales!$C$97+parametros_manuales!$E$32*(datos_base!$B$3+IF(parametros_manuales!$H$32="Todos",datos_base!$B$10,0))*parametros_manuales!$C$102+parametros_manuales!$F$32*(datos_base!$B$4+IF(parametros_manuales!$H$32="Todos",datos_base!$B$11,0))*parametros_manuales!$C$107+parametros_manuales!$G$32*(datos_base!$B$5+IF(parametros_manuales!$H$32="Todos",datos_base!$B$12,0))*parametros_manuales!$C$112)*parametros_manuales!$I$32*parametros_manuales!$J$32</f>
        <v>11.8166</v>
      </c>
      <c r="D15" s="8">
        <f>(parametros_manuales!$D$32*(datos_base!$B$2+IF(parametros_manuales!$H$32="Todos",datos_base!$B$9,0))*parametros_manuales!$D$97+parametros_manuales!$E$32*(datos_base!$B$3+IF(parametros_manuales!$H$32="Todos",datos_base!$B$10,0))*parametros_manuales!$D$102+parametros_manuales!$F$32*(datos_base!$B$4+IF(parametros_manuales!$H$32="Todos",datos_base!$B$11,0))*parametros_manuales!$D$107+parametros_manuales!$G$32*(datos_base!$B$5+IF(parametros_manuales!$H$32="Todos",datos_base!$B$12,0))*parametros_manuales!$D$112)*parametros_manuales!$I$32*parametros_manuales!$J$32</f>
        <v>11.2492</v>
      </c>
      <c r="E15" s="8">
        <f>(parametros_manuales!$D$32*(datos_base!$B$2+IF(parametros_manuales!$H$32="Todos",datos_base!$B$9,0))*parametros_manuales!$E$97+parametros_manuales!$E$32*(datos_base!$B$3+IF(parametros_manuales!$H$32="Todos",datos_base!$B$10,0))*parametros_manuales!$E$102+parametros_manuales!$F$32*(datos_base!$B$4+IF(parametros_manuales!$H$32="Todos",datos_base!$B$11,0))*parametros_manuales!$E$107+parametros_manuales!$G$32*(datos_base!$B$5+IF(parametros_manuales!$H$32="Todos",datos_base!$B$12,0))*parametros_manuales!$E$112)*parametros_manuales!$I$32*parametros_manuales!$J$32</f>
        <v>10.8313</v>
      </c>
      <c r="F15" s="8">
        <f>(parametros_manuales!$D$32*(datos_base!$B$2+IF(parametros_manuales!$H$32="Todos",datos_base!$B$9,0))*parametros_manuales!$F$97+parametros_manuales!$E$32*(datos_base!$B$3+IF(parametros_manuales!$H$32="Todos",datos_base!$B$10,0))*parametros_manuales!$F$102+parametros_manuales!$F$32*(datos_base!$B$4+IF(parametros_manuales!$H$32="Todos",datos_base!$B$11,0))*parametros_manuales!$F$107+parametros_manuales!$G$32*(datos_base!$B$5+IF(parametros_manuales!$H$32="Todos",datos_base!$B$12,0))*parametros_manuales!$F$112)*parametros_manuales!$I$32*parametros_manuales!$J$32</f>
        <v>10.145</v>
      </c>
      <c r="G15" s="8">
        <f>(parametros_manuales!$D$32*(datos_base!$B$2+IF(parametros_manuales!$H$32="Todos",datos_base!$B$9,0))*parametros_manuales!$G$97+parametros_manuales!$E$32*(datos_base!$B$3+IF(parametros_manuales!$H$32="Todos",datos_base!$B$10,0))*parametros_manuales!$G$102+parametros_manuales!$F$32*(datos_base!$B$4+IF(parametros_manuales!$H$32="Todos",datos_base!$B$11,0))*parametros_manuales!$G$107+parametros_manuales!$G$32*(datos_base!$B$5+IF(parametros_manuales!$H$32="Todos",datos_base!$B$12,0))*parametros_manuales!$G$112)*parametros_manuales!$I$32*parametros_manuales!$J$32</f>
        <v>9.8766</v>
      </c>
      <c r="H15" s="8">
        <f>(parametros_manuales!$D$32*(datos_base!$B$2+IF(parametros_manuales!$H$32="Todos",datos_base!$B$9,0))*parametros_manuales!$H$97+parametros_manuales!$E$32*(datos_base!$B$3+IF(parametros_manuales!$H$32="Todos",datos_base!$B$10,0))*parametros_manuales!$H$102+parametros_manuales!$F$32*(datos_base!$B$4+IF(parametros_manuales!$H$32="Todos",datos_base!$B$11,0))*parametros_manuales!$H$107+parametros_manuales!$G$32*(datos_base!$B$5+IF(parametros_manuales!$H$32="Todos",datos_base!$B$12,0))*parametros_manuales!$H$112)*parametros_manuales!$I$32*parametros_manuales!$J$32</f>
        <v>10.5629</v>
      </c>
      <c r="I15" s="8">
        <f>(parametros_manuales!$D$32*(datos_base!$B$2+IF(parametros_manuales!$H$32="Todos",datos_base!$B$9,0))*parametros_manuales!$I$97+parametros_manuales!$E$32*(datos_base!$B$3+IF(parametros_manuales!$H$32="Todos",datos_base!$B$10,0))*parametros_manuales!$I$102+parametros_manuales!$F$32*(datos_base!$B$4+IF(parametros_manuales!$H$32="Todos",datos_base!$B$11,0))*parametros_manuales!$I$107+parametros_manuales!$G$32*(datos_base!$B$5+IF(parametros_manuales!$H$32="Todos",datos_base!$B$12,0))*parametros_manuales!$I$112)*parametros_manuales!$I$32*parametros_manuales!$J$32</f>
        <v>11.8166</v>
      </c>
      <c r="J15" s="8">
        <f>(parametros_manuales!$D$32*(datos_base!$B$2+IF(parametros_manuales!$H$32="Todos",datos_base!$B$9,0))*parametros_manuales!$J$97+parametros_manuales!$E$32*(datos_base!$B$3+IF(parametros_manuales!$H$32="Todos",datos_base!$B$10,0))*parametros_manuales!$J$102+parametros_manuales!$F$32*(datos_base!$B$4+IF(parametros_manuales!$H$32="Todos",datos_base!$B$11,0))*parametros_manuales!$J$107+parametros_manuales!$G$32*(datos_base!$B$5+IF(parametros_manuales!$H$32="Todos",datos_base!$B$12,0))*parametros_manuales!$J$112)*parametros_manuales!$I$32*parametros_manuales!$J$32</f>
        <v>11.8166</v>
      </c>
      <c r="K15" s="8">
        <f>(parametros_manuales!$D$32*(datos_base!$B$2+IF(parametros_manuales!$H$32="Todos",datos_base!$B$9,0))*parametros_manuales!$K$97+parametros_manuales!$E$32*(datos_base!$B$3+IF(parametros_manuales!$H$32="Todos",datos_base!$B$10,0))*parametros_manuales!$K$102+parametros_manuales!$F$32*(datos_base!$B$4+IF(parametros_manuales!$H$32="Todos",datos_base!$B$11,0))*parametros_manuales!$K$107+parametros_manuales!$G$32*(datos_base!$B$5+IF(parametros_manuales!$H$32="Todos",datos_base!$B$12,0))*parametros_manuales!$K$112)*parametros_manuales!$I$32*parametros_manuales!$J$32</f>
        <v>12.085</v>
      </c>
      <c r="L15" s="8">
        <f>(parametros_manuales!$D$32*(datos_base!$B$2+IF(parametros_manuales!$H$32="Todos",datos_base!$B$9,0))*parametros_manuales!$L$97+parametros_manuales!$E$32*(datos_base!$B$3+IF(parametros_manuales!$H$32="Todos",datos_base!$B$10,0))*parametros_manuales!$L$102+parametros_manuales!$F$32*(datos_base!$B$4+IF(parametros_manuales!$H$32="Todos",datos_base!$B$11,0))*parametros_manuales!$L$107+parametros_manuales!$G$32*(datos_base!$B$5+IF(parametros_manuales!$H$32="Todos",datos_base!$B$12,0))*parametros_manuales!$L$112)*parametros_manuales!$I$32*parametros_manuales!$J$32</f>
        <v>12.3534</v>
      </c>
      <c r="M15" s="8">
        <f>(parametros_manuales!$D$32*(datos_base!$B$2+IF(parametros_manuales!$H$32="Todos",datos_base!$B$9,0))*parametros_manuales!$M$97+parametros_manuales!$E$32*(datos_base!$B$3+IF(parametros_manuales!$H$32="Todos",datos_base!$B$10,0))*parametros_manuales!$M$102+parametros_manuales!$F$32*(datos_base!$B$4+IF(parametros_manuales!$H$32="Todos",datos_base!$B$11,0))*parametros_manuales!$M$107+parametros_manuales!$G$32*(datos_base!$B$5+IF(parametros_manuales!$H$32="Todos",datos_base!$B$12,0))*parametros_manuales!$M$112)*parametros_manuales!$I$32*parametros_manuales!$J$32</f>
        <v>12.3534</v>
      </c>
      <c r="N15" s="8">
        <f t="shared" si="1"/>
        <v>137.26</v>
      </c>
      <c r="O15" s="8">
        <f t="shared" si="2"/>
        <v>12.3534</v>
      </c>
      <c r="P15" s="27">
        <f>O15/(parametros_manuales!$B$7)</f>
        <v>0.082356</v>
      </c>
      <c r="Q15" s="4" t="str">
        <f t="shared" si="3"/>
        <v>Ene</v>
      </c>
      <c r="R15" s="16"/>
      <c r="S15" s="16"/>
    </row>
    <row r="16" ht="14.25" customHeight="1">
      <c r="A16" s="4" t="str">
        <f>parametros_manuales!$B$33</f>
        <v>Prueba hidráulica</v>
      </c>
      <c r="B16" s="8">
        <f>(parametros_manuales!$D$33*(datos_base!$B$2+IF(parametros_manuales!$H$33="Todos",datos_base!$B$9,0))*parametros_manuales!$B$97+parametros_manuales!$E$33*(datos_base!$B$3+IF(parametros_manuales!$H$33="Todos",datos_base!$B$10,0))*parametros_manuales!$B$102+parametros_manuales!$F$33*(datos_base!$B$4+IF(parametros_manuales!$H$33="Todos",datos_base!$B$11,0))*parametros_manuales!$B$107+parametros_manuales!$G$33*(datos_base!$B$5+IF(parametros_manuales!$H$33="Todos",datos_base!$B$12,0))*parametros_manuales!$B$112)*parametros_manuales!$I$33*parametros_manuales!$J$33</f>
        <v>617.67</v>
      </c>
      <c r="C16" s="8">
        <f>(parametros_manuales!$D$33*(datos_base!$B$2+IF(parametros_manuales!$H$33="Todos",datos_base!$B$9,0))*parametros_manuales!$C$97+parametros_manuales!$E$33*(datos_base!$B$3+IF(parametros_manuales!$H$33="Todos",datos_base!$B$10,0))*parametros_manuales!$C$102+parametros_manuales!$F$33*(datos_base!$B$4+IF(parametros_manuales!$H$33="Todos",datos_base!$B$11,0))*parametros_manuales!$C$107+parametros_manuales!$G$33*(datos_base!$B$5+IF(parametros_manuales!$H$33="Todos",datos_base!$B$12,0))*parametros_manuales!$C$112)*parametros_manuales!$I$33*parametros_manuales!$J$33</f>
        <v>590.83</v>
      </c>
      <c r="D16" s="8">
        <f>(parametros_manuales!$D$33*(datos_base!$B$2+IF(parametros_manuales!$H$33="Todos",datos_base!$B$9,0))*parametros_manuales!$D$97+parametros_manuales!$E$33*(datos_base!$B$3+IF(parametros_manuales!$H$33="Todos",datos_base!$B$10,0))*parametros_manuales!$D$102+parametros_manuales!$F$33*(datos_base!$B$4+IF(parametros_manuales!$H$33="Todos",datos_base!$B$11,0))*parametros_manuales!$D$107+parametros_manuales!$G$33*(datos_base!$B$5+IF(parametros_manuales!$H$33="Todos",datos_base!$B$12,0))*parametros_manuales!$D$112)*parametros_manuales!$I$33*parametros_manuales!$J$33</f>
        <v>562.46</v>
      </c>
      <c r="E16" s="8">
        <f>(parametros_manuales!$D$33*(datos_base!$B$2+IF(parametros_manuales!$H$33="Todos",datos_base!$B$9,0))*parametros_manuales!$E$97+parametros_manuales!$E$33*(datos_base!$B$3+IF(parametros_manuales!$H$33="Todos",datos_base!$B$10,0))*parametros_manuales!$E$102+parametros_manuales!$F$33*(datos_base!$B$4+IF(parametros_manuales!$H$33="Todos",datos_base!$B$11,0))*parametros_manuales!$E$107+parametros_manuales!$G$33*(datos_base!$B$5+IF(parametros_manuales!$H$33="Todos",datos_base!$B$12,0))*parametros_manuales!$E$112)*parametros_manuales!$I$33*parametros_manuales!$J$33</f>
        <v>541.565</v>
      </c>
      <c r="F16" s="8">
        <f>(parametros_manuales!$D$33*(datos_base!$B$2+IF(parametros_manuales!$H$33="Todos",datos_base!$B$9,0))*parametros_manuales!$F$97+parametros_manuales!$E$33*(datos_base!$B$3+IF(parametros_manuales!$H$33="Todos",datos_base!$B$10,0))*parametros_manuales!$F$102+parametros_manuales!$F$33*(datos_base!$B$4+IF(parametros_manuales!$H$33="Todos",datos_base!$B$11,0))*parametros_manuales!$F$107+parametros_manuales!$G$33*(datos_base!$B$5+IF(parametros_manuales!$H$33="Todos",datos_base!$B$12,0))*parametros_manuales!$F$112)*parametros_manuales!$I$33*parametros_manuales!$J$33</f>
        <v>507.25</v>
      </c>
      <c r="G16" s="8">
        <f>(parametros_manuales!$D$33*(datos_base!$B$2+IF(parametros_manuales!$H$33="Todos",datos_base!$B$9,0))*parametros_manuales!$G$97+parametros_manuales!$E$33*(datos_base!$B$3+IF(parametros_manuales!$H$33="Todos",datos_base!$B$10,0))*parametros_manuales!$G$102+parametros_manuales!$F$33*(datos_base!$B$4+IF(parametros_manuales!$H$33="Todos",datos_base!$B$11,0))*parametros_manuales!$G$107+parametros_manuales!$G$33*(datos_base!$B$5+IF(parametros_manuales!$H$33="Todos",datos_base!$B$12,0))*parametros_manuales!$G$112)*parametros_manuales!$I$33*parametros_manuales!$J$33</f>
        <v>493.83</v>
      </c>
      <c r="H16" s="8">
        <f>(parametros_manuales!$D$33*(datos_base!$B$2+IF(parametros_manuales!$H$33="Todos",datos_base!$B$9,0))*parametros_manuales!$H$97+parametros_manuales!$E$33*(datos_base!$B$3+IF(parametros_manuales!$H$33="Todos",datos_base!$B$10,0))*parametros_manuales!$H$102+parametros_manuales!$F$33*(datos_base!$B$4+IF(parametros_manuales!$H$33="Todos",datos_base!$B$11,0))*parametros_manuales!$H$107+parametros_manuales!$G$33*(datos_base!$B$5+IF(parametros_manuales!$H$33="Todos",datos_base!$B$12,0))*parametros_manuales!$H$112)*parametros_manuales!$I$33*parametros_manuales!$J$33</f>
        <v>528.145</v>
      </c>
      <c r="I16" s="8">
        <f>(parametros_manuales!$D$33*(datos_base!$B$2+IF(parametros_manuales!$H$33="Todos",datos_base!$B$9,0))*parametros_manuales!$I$97+parametros_manuales!$E$33*(datos_base!$B$3+IF(parametros_manuales!$H$33="Todos",datos_base!$B$10,0))*parametros_manuales!$I$102+parametros_manuales!$F$33*(datos_base!$B$4+IF(parametros_manuales!$H$33="Todos",datos_base!$B$11,0))*parametros_manuales!$I$107+parametros_manuales!$G$33*(datos_base!$B$5+IF(parametros_manuales!$H$33="Todos",datos_base!$B$12,0))*parametros_manuales!$I$112)*parametros_manuales!$I$33*parametros_manuales!$J$33</f>
        <v>590.83</v>
      </c>
      <c r="J16" s="8">
        <f>(parametros_manuales!$D$33*(datos_base!$B$2+IF(parametros_manuales!$H$33="Todos",datos_base!$B$9,0))*parametros_manuales!$J$97+parametros_manuales!$E$33*(datos_base!$B$3+IF(parametros_manuales!$H$33="Todos",datos_base!$B$10,0))*parametros_manuales!$J$102+parametros_manuales!$F$33*(datos_base!$B$4+IF(parametros_manuales!$H$33="Todos",datos_base!$B$11,0))*parametros_manuales!$J$107+parametros_manuales!$G$33*(datos_base!$B$5+IF(parametros_manuales!$H$33="Todos",datos_base!$B$12,0))*parametros_manuales!$J$112)*parametros_manuales!$I$33*parametros_manuales!$J$33</f>
        <v>590.83</v>
      </c>
      <c r="K16" s="8">
        <f>(parametros_manuales!$D$33*(datos_base!$B$2+IF(parametros_manuales!$H$33="Todos",datos_base!$B$9,0))*parametros_manuales!$K$97+parametros_manuales!$E$33*(datos_base!$B$3+IF(parametros_manuales!$H$33="Todos",datos_base!$B$10,0))*parametros_manuales!$K$102+parametros_manuales!$F$33*(datos_base!$B$4+IF(parametros_manuales!$H$33="Todos",datos_base!$B$11,0))*parametros_manuales!$K$107+parametros_manuales!$G$33*(datos_base!$B$5+IF(parametros_manuales!$H$33="Todos",datos_base!$B$12,0))*parametros_manuales!$K$112)*parametros_manuales!$I$33*parametros_manuales!$J$33</f>
        <v>604.25</v>
      </c>
      <c r="L16" s="8">
        <f>(parametros_manuales!$D$33*(datos_base!$B$2+IF(parametros_manuales!$H$33="Todos",datos_base!$B$9,0))*parametros_manuales!$L$97+parametros_manuales!$E$33*(datos_base!$B$3+IF(parametros_manuales!$H$33="Todos",datos_base!$B$10,0))*parametros_manuales!$L$102+parametros_manuales!$F$33*(datos_base!$B$4+IF(parametros_manuales!$H$33="Todos",datos_base!$B$11,0))*parametros_manuales!$L$107+parametros_manuales!$G$33*(datos_base!$B$5+IF(parametros_manuales!$H$33="Todos",datos_base!$B$12,0))*parametros_manuales!$L$112)*parametros_manuales!$I$33*parametros_manuales!$J$33</f>
        <v>617.67</v>
      </c>
      <c r="M16" s="8">
        <f>(parametros_manuales!$D$33*(datos_base!$B$2+IF(parametros_manuales!$H$33="Todos",datos_base!$B$9,0))*parametros_manuales!$M$97+parametros_manuales!$E$33*(datos_base!$B$3+IF(parametros_manuales!$H$33="Todos",datos_base!$B$10,0))*parametros_manuales!$M$102+parametros_manuales!$F$33*(datos_base!$B$4+IF(parametros_manuales!$H$33="Todos",datos_base!$B$11,0))*parametros_manuales!$M$107+parametros_manuales!$G$33*(datos_base!$B$5+IF(parametros_manuales!$H$33="Todos",datos_base!$B$12,0))*parametros_manuales!$M$112)*parametros_manuales!$I$33*parametros_manuales!$J$33</f>
        <v>617.67</v>
      </c>
      <c r="N16" s="8">
        <f t="shared" si="1"/>
        <v>6863</v>
      </c>
      <c r="O16" s="8">
        <f t="shared" si="2"/>
        <v>617.67</v>
      </c>
      <c r="P16" s="27">
        <f>O16/(parametros_manuales!$B$7)</f>
        <v>4.1178</v>
      </c>
      <c r="Q16" s="4" t="str">
        <f t="shared" si="3"/>
        <v>Ene</v>
      </c>
      <c r="R16" s="16"/>
      <c r="S16" s="16"/>
    </row>
    <row r="17" ht="14.25" customHeight="1">
      <c r="A17" s="4" t="str">
        <f>parametros_manuales!$B$34</f>
        <v>Secado</v>
      </c>
      <c r="B17" s="8">
        <f>(parametros_manuales!$D$34*(datos_base!$B$2+IF(parametros_manuales!$H$34="Todos",datos_base!$B$9,0))*parametros_manuales!$B$97+parametros_manuales!$E$34*(datos_base!$B$3+IF(parametros_manuales!$H$34="Todos",datos_base!$B$10,0))*parametros_manuales!$B$102+parametros_manuales!$F$34*(datos_base!$B$4+IF(parametros_manuales!$H$34="Todos",datos_base!$B$11,0))*parametros_manuales!$B$107+parametros_manuales!$G$34*(datos_base!$B$5+IF(parametros_manuales!$H$34="Todos",datos_base!$B$12,0))*parametros_manuales!$B$112)*parametros_manuales!$I$34*parametros_manuales!$J$34</f>
        <v>617.67</v>
      </c>
      <c r="C17" s="8">
        <f>(parametros_manuales!$D$34*(datos_base!$B$2+IF(parametros_manuales!$H$34="Todos",datos_base!$B$9,0))*parametros_manuales!$C$97+parametros_manuales!$E$34*(datos_base!$B$3+IF(parametros_manuales!$H$34="Todos",datos_base!$B$10,0))*parametros_manuales!$C$102+parametros_manuales!$F$34*(datos_base!$B$4+IF(parametros_manuales!$H$34="Todos",datos_base!$B$11,0))*parametros_manuales!$C$107+parametros_manuales!$G$34*(datos_base!$B$5+IF(parametros_manuales!$H$34="Todos",datos_base!$B$12,0))*parametros_manuales!$C$112)*parametros_manuales!$I$34*parametros_manuales!$J$34</f>
        <v>590.83</v>
      </c>
      <c r="D17" s="8">
        <f>(parametros_manuales!$D$34*(datos_base!$B$2+IF(parametros_manuales!$H$34="Todos",datos_base!$B$9,0))*parametros_manuales!$D$97+parametros_manuales!$E$34*(datos_base!$B$3+IF(parametros_manuales!$H$34="Todos",datos_base!$B$10,0))*parametros_manuales!$D$102+parametros_manuales!$F$34*(datos_base!$B$4+IF(parametros_manuales!$H$34="Todos",datos_base!$B$11,0))*parametros_manuales!$D$107+parametros_manuales!$G$34*(datos_base!$B$5+IF(parametros_manuales!$H$34="Todos",datos_base!$B$12,0))*parametros_manuales!$D$112)*parametros_manuales!$I$34*parametros_manuales!$J$34</f>
        <v>562.46</v>
      </c>
      <c r="E17" s="8">
        <f>(parametros_manuales!$D$34*(datos_base!$B$2+IF(parametros_manuales!$H$34="Todos",datos_base!$B$9,0))*parametros_manuales!$E$97+parametros_manuales!$E$34*(datos_base!$B$3+IF(parametros_manuales!$H$34="Todos",datos_base!$B$10,0))*parametros_manuales!$E$102+parametros_manuales!$F$34*(datos_base!$B$4+IF(parametros_manuales!$H$34="Todos",datos_base!$B$11,0))*parametros_manuales!$E$107+parametros_manuales!$G$34*(datos_base!$B$5+IF(parametros_manuales!$H$34="Todos",datos_base!$B$12,0))*parametros_manuales!$E$112)*parametros_manuales!$I$34*parametros_manuales!$J$34</f>
        <v>541.565</v>
      </c>
      <c r="F17" s="8">
        <f>(parametros_manuales!$D$34*(datos_base!$B$2+IF(parametros_manuales!$H$34="Todos",datos_base!$B$9,0))*parametros_manuales!$F$97+parametros_manuales!$E$34*(datos_base!$B$3+IF(parametros_manuales!$H$34="Todos",datos_base!$B$10,0))*parametros_manuales!$F$102+parametros_manuales!$F$34*(datos_base!$B$4+IF(parametros_manuales!$H$34="Todos",datos_base!$B$11,0))*parametros_manuales!$F$107+parametros_manuales!$G$34*(datos_base!$B$5+IF(parametros_manuales!$H$34="Todos",datos_base!$B$12,0))*parametros_manuales!$F$112)*parametros_manuales!$I$34*parametros_manuales!$J$34</f>
        <v>507.25</v>
      </c>
      <c r="G17" s="8">
        <f>(parametros_manuales!$D$34*(datos_base!$B$2+IF(parametros_manuales!$H$34="Todos",datos_base!$B$9,0))*parametros_manuales!$G$97+parametros_manuales!$E$34*(datos_base!$B$3+IF(parametros_manuales!$H$34="Todos",datos_base!$B$10,0))*parametros_manuales!$G$102+parametros_manuales!$F$34*(datos_base!$B$4+IF(parametros_manuales!$H$34="Todos",datos_base!$B$11,0))*parametros_manuales!$G$107+parametros_manuales!$G$34*(datos_base!$B$5+IF(parametros_manuales!$H$34="Todos",datos_base!$B$12,0))*parametros_manuales!$G$112)*parametros_manuales!$I$34*parametros_manuales!$J$34</f>
        <v>493.83</v>
      </c>
      <c r="H17" s="8">
        <f>(parametros_manuales!$D$34*(datos_base!$B$2+IF(parametros_manuales!$H$34="Todos",datos_base!$B$9,0))*parametros_manuales!$H$97+parametros_manuales!$E$34*(datos_base!$B$3+IF(parametros_manuales!$H$34="Todos",datos_base!$B$10,0))*parametros_manuales!$H$102+parametros_manuales!$F$34*(datos_base!$B$4+IF(parametros_manuales!$H$34="Todos",datos_base!$B$11,0))*parametros_manuales!$H$107+parametros_manuales!$G$34*(datos_base!$B$5+IF(parametros_manuales!$H$34="Todos",datos_base!$B$12,0))*parametros_manuales!$H$112)*parametros_manuales!$I$34*parametros_manuales!$J$34</f>
        <v>528.145</v>
      </c>
      <c r="I17" s="8">
        <f>(parametros_manuales!$D$34*(datos_base!$B$2+IF(parametros_manuales!$H$34="Todos",datos_base!$B$9,0))*parametros_manuales!$I$97+parametros_manuales!$E$34*(datos_base!$B$3+IF(parametros_manuales!$H$34="Todos",datos_base!$B$10,0))*parametros_manuales!$I$102+parametros_manuales!$F$34*(datos_base!$B$4+IF(parametros_manuales!$H$34="Todos",datos_base!$B$11,0))*parametros_manuales!$I$107+parametros_manuales!$G$34*(datos_base!$B$5+IF(parametros_manuales!$H$34="Todos",datos_base!$B$12,0))*parametros_manuales!$I$112)*parametros_manuales!$I$34*parametros_manuales!$J$34</f>
        <v>590.83</v>
      </c>
      <c r="J17" s="8">
        <f>(parametros_manuales!$D$34*(datos_base!$B$2+IF(parametros_manuales!$H$34="Todos",datos_base!$B$9,0))*parametros_manuales!$J$97+parametros_manuales!$E$34*(datos_base!$B$3+IF(parametros_manuales!$H$34="Todos",datos_base!$B$10,0))*parametros_manuales!$J$102+parametros_manuales!$F$34*(datos_base!$B$4+IF(parametros_manuales!$H$34="Todos",datos_base!$B$11,0))*parametros_manuales!$J$107+parametros_manuales!$G$34*(datos_base!$B$5+IF(parametros_manuales!$H$34="Todos",datos_base!$B$12,0))*parametros_manuales!$J$112)*parametros_manuales!$I$34*parametros_manuales!$J$34</f>
        <v>590.83</v>
      </c>
      <c r="K17" s="8">
        <f>(parametros_manuales!$D$34*(datos_base!$B$2+IF(parametros_manuales!$H$34="Todos",datos_base!$B$9,0))*parametros_manuales!$K$97+parametros_manuales!$E$34*(datos_base!$B$3+IF(parametros_manuales!$H$34="Todos",datos_base!$B$10,0))*parametros_manuales!$K$102+parametros_manuales!$F$34*(datos_base!$B$4+IF(parametros_manuales!$H$34="Todos",datos_base!$B$11,0))*parametros_manuales!$K$107+parametros_manuales!$G$34*(datos_base!$B$5+IF(parametros_manuales!$H$34="Todos",datos_base!$B$12,0))*parametros_manuales!$K$112)*parametros_manuales!$I$34*parametros_manuales!$J$34</f>
        <v>604.25</v>
      </c>
      <c r="L17" s="8">
        <f>(parametros_manuales!$D$34*(datos_base!$B$2+IF(parametros_manuales!$H$34="Todos",datos_base!$B$9,0))*parametros_manuales!$L$97+parametros_manuales!$E$34*(datos_base!$B$3+IF(parametros_manuales!$H$34="Todos",datos_base!$B$10,0))*parametros_manuales!$L$102+parametros_manuales!$F$34*(datos_base!$B$4+IF(parametros_manuales!$H$34="Todos",datos_base!$B$11,0))*parametros_manuales!$L$107+parametros_manuales!$G$34*(datos_base!$B$5+IF(parametros_manuales!$H$34="Todos",datos_base!$B$12,0))*parametros_manuales!$L$112)*parametros_manuales!$I$34*parametros_manuales!$J$34</f>
        <v>617.67</v>
      </c>
      <c r="M17" s="8">
        <f>(parametros_manuales!$D$34*(datos_base!$B$2+IF(parametros_manuales!$H$34="Todos",datos_base!$B$9,0))*parametros_manuales!$M$97+parametros_manuales!$E$34*(datos_base!$B$3+IF(parametros_manuales!$H$34="Todos",datos_base!$B$10,0))*parametros_manuales!$M$102+parametros_manuales!$F$34*(datos_base!$B$4+IF(parametros_manuales!$H$34="Todos",datos_base!$B$11,0))*parametros_manuales!$M$107+parametros_manuales!$G$34*(datos_base!$B$5+IF(parametros_manuales!$H$34="Todos",datos_base!$B$12,0))*parametros_manuales!$M$112)*parametros_manuales!$I$34*parametros_manuales!$J$34</f>
        <v>617.67</v>
      </c>
      <c r="N17" s="8">
        <f t="shared" si="1"/>
        <v>6863</v>
      </c>
      <c r="O17" s="8">
        <f t="shared" si="2"/>
        <v>617.67</v>
      </c>
      <c r="P17" s="27">
        <f>O17/(parametros_manuales!$B$7)</f>
        <v>4.1178</v>
      </c>
      <c r="Q17" s="4" t="str">
        <f t="shared" si="3"/>
        <v>Ene</v>
      </c>
      <c r="R17" s="16"/>
      <c r="S17" s="16"/>
    </row>
    <row r="18" ht="14.25" customHeight="1">
      <c r="A18" s="4" t="str">
        <f>parametros_manuales!$B$35</f>
        <v>Granallado</v>
      </c>
      <c r="B18" s="8">
        <f>(parametros_manuales!$D$35*(datos_base!$B$2+IF(parametros_manuales!$H$35="Todos",datos_base!$B$9,0))*parametros_manuales!$B$97+parametros_manuales!$E$35*(datos_base!$B$3+IF(parametros_manuales!$H$35="Todos",datos_base!$B$10,0))*parametros_manuales!$B$102+parametros_manuales!$F$35*(datos_base!$B$4+IF(parametros_manuales!$H$35="Todos",datos_base!$B$11,0))*parametros_manuales!$B$107+parametros_manuales!$G$35*(datos_base!$B$5+IF(parametros_manuales!$H$35="Todos",datos_base!$B$12,0))*parametros_manuales!$B$112)*parametros_manuales!$I$35*parametros_manuales!$J$35</f>
        <v>617.67</v>
      </c>
      <c r="C18" s="8">
        <f>(parametros_manuales!$D$35*(datos_base!$B$2+IF(parametros_manuales!$H$35="Todos",datos_base!$B$9,0))*parametros_manuales!$C$97+parametros_manuales!$E$35*(datos_base!$B$3+IF(parametros_manuales!$H$35="Todos",datos_base!$B$10,0))*parametros_manuales!$C$102+parametros_manuales!$F$35*(datos_base!$B$4+IF(parametros_manuales!$H$35="Todos",datos_base!$B$11,0))*parametros_manuales!$C$107+parametros_manuales!$G$35*(datos_base!$B$5+IF(parametros_manuales!$H$35="Todos",datos_base!$B$12,0))*parametros_manuales!$C$112)*parametros_manuales!$I$35*parametros_manuales!$J$35</f>
        <v>590.83</v>
      </c>
      <c r="D18" s="8">
        <f>(parametros_manuales!$D$35*(datos_base!$B$2+IF(parametros_manuales!$H$35="Todos",datos_base!$B$9,0))*parametros_manuales!$D$97+parametros_manuales!$E$35*(datos_base!$B$3+IF(parametros_manuales!$H$35="Todos",datos_base!$B$10,0))*parametros_manuales!$D$102+parametros_manuales!$F$35*(datos_base!$B$4+IF(parametros_manuales!$H$35="Todos",datos_base!$B$11,0))*parametros_manuales!$D$107+parametros_manuales!$G$35*(datos_base!$B$5+IF(parametros_manuales!$H$35="Todos",datos_base!$B$12,0))*parametros_manuales!$D$112)*parametros_manuales!$I$35*parametros_manuales!$J$35</f>
        <v>562.46</v>
      </c>
      <c r="E18" s="8">
        <f>(parametros_manuales!$D$35*(datos_base!$B$2+IF(parametros_manuales!$H$35="Todos",datos_base!$B$9,0))*parametros_manuales!$E$97+parametros_manuales!$E$35*(datos_base!$B$3+IF(parametros_manuales!$H$35="Todos",datos_base!$B$10,0))*parametros_manuales!$E$102+parametros_manuales!$F$35*(datos_base!$B$4+IF(parametros_manuales!$H$35="Todos",datos_base!$B$11,0))*parametros_manuales!$E$107+parametros_manuales!$G$35*(datos_base!$B$5+IF(parametros_manuales!$H$35="Todos",datos_base!$B$12,0))*parametros_manuales!$E$112)*parametros_manuales!$I$35*parametros_manuales!$J$35</f>
        <v>541.565</v>
      </c>
      <c r="F18" s="8">
        <f>(parametros_manuales!$D$35*(datos_base!$B$2+IF(parametros_manuales!$H$35="Todos",datos_base!$B$9,0))*parametros_manuales!$F$97+parametros_manuales!$E$35*(datos_base!$B$3+IF(parametros_manuales!$H$35="Todos",datos_base!$B$10,0))*parametros_manuales!$F$102+parametros_manuales!$F$35*(datos_base!$B$4+IF(parametros_manuales!$H$35="Todos",datos_base!$B$11,0))*parametros_manuales!$F$107+parametros_manuales!$G$35*(datos_base!$B$5+IF(parametros_manuales!$H$35="Todos",datos_base!$B$12,0))*parametros_manuales!$F$112)*parametros_manuales!$I$35*parametros_manuales!$J$35</f>
        <v>507.25</v>
      </c>
      <c r="G18" s="8">
        <f>(parametros_manuales!$D$35*(datos_base!$B$2+IF(parametros_manuales!$H$35="Todos",datos_base!$B$9,0))*parametros_manuales!$G$97+parametros_manuales!$E$35*(datos_base!$B$3+IF(parametros_manuales!$H$35="Todos",datos_base!$B$10,0))*parametros_manuales!$G$102+parametros_manuales!$F$35*(datos_base!$B$4+IF(parametros_manuales!$H$35="Todos",datos_base!$B$11,0))*parametros_manuales!$G$107+parametros_manuales!$G$35*(datos_base!$B$5+IF(parametros_manuales!$H$35="Todos",datos_base!$B$12,0))*parametros_manuales!$G$112)*parametros_manuales!$I$35*parametros_manuales!$J$35</f>
        <v>493.83</v>
      </c>
      <c r="H18" s="8">
        <f>(parametros_manuales!$D$35*(datos_base!$B$2+IF(parametros_manuales!$H$35="Todos",datos_base!$B$9,0))*parametros_manuales!$H$97+parametros_manuales!$E$35*(datos_base!$B$3+IF(parametros_manuales!$H$35="Todos",datos_base!$B$10,0))*parametros_manuales!$H$102+parametros_manuales!$F$35*(datos_base!$B$4+IF(parametros_manuales!$H$35="Todos",datos_base!$B$11,0))*parametros_manuales!$H$107+parametros_manuales!$G$35*(datos_base!$B$5+IF(parametros_manuales!$H$35="Todos",datos_base!$B$12,0))*parametros_manuales!$H$112)*parametros_manuales!$I$35*parametros_manuales!$J$35</f>
        <v>528.145</v>
      </c>
      <c r="I18" s="8">
        <f>(parametros_manuales!$D$35*(datos_base!$B$2+IF(parametros_manuales!$H$35="Todos",datos_base!$B$9,0))*parametros_manuales!$I$97+parametros_manuales!$E$35*(datos_base!$B$3+IF(parametros_manuales!$H$35="Todos",datos_base!$B$10,0))*parametros_manuales!$I$102+parametros_manuales!$F$35*(datos_base!$B$4+IF(parametros_manuales!$H$35="Todos",datos_base!$B$11,0))*parametros_manuales!$I$107+parametros_manuales!$G$35*(datos_base!$B$5+IF(parametros_manuales!$H$35="Todos",datos_base!$B$12,0))*parametros_manuales!$I$112)*parametros_manuales!$I$35*parametros_manuales!$J$35</f>
        <v>590.83</v>
      </c>
      <c r="J18" s="8">
        <f>(parametros_manuales!$D$35*(datos_base!$B$2+IF(parametros_manuales!$H$35="Todos",datos_base!$B$9,0))*parametros_manuales!$J$97+parametros_manuales!$E$35*(datos_base!$B$3+IF(parametros_manuales!$H$35="Todos",datos_base!$B$10,0))*parametros_manuales!$J$102+parametros_manuales!$F$35*(datos_base!$B$4+IF(parametros_manuales!$H$35="Todos",datos_base!$B$11,0))*parametros_manuales!$J$107+parametros_manuales!$G$35*(datos_base!$B$5+IF(parametros_manuales!$H$35="Todos",datos_base!$B$12,0))*parametros_manuales!$J$112)*parametros_manuales!$I$35*parametros_manuales!$J$35</f>
        <v>590.83</v>
      </c>
      <c r="K18" s="8">
        <f>(parametros_manuales!$D$35*(datos_base!$B$2+IF(parametros_manuales!$H$35="Todos",datos_base!$B$9,0))*parametros_manuales!$K$97+parametros_manuales!$E$35*(datos_base!$B$3+IF(parametros_manuales!$H$35="Todos",datos_base!$B$10,0))*parametros_manuales!$K$102+parametros_manuales!$F$35*(datos_base!$B$4+IF(parametros_manuales!$H$35="Todos",datos_base!$B$11,0))*parametros_manuales!$K$107+parametros_manuales!$G$35*(datos_base!$B$5+IF(parametros_manuales!$H$35="Todos",datos_base!$B$12,0))*parametros_manuales!$K$112)*parametros_manuales!$I$35*parametros_manuales!$J$35</f>
        <v>604.25</v>
      </c>
      <c r="L18" s="8">
        <f>(parametros_manuales!$D$35*(datos_base!$B$2+IF(parametros_manuales!$H$35="Todos",datos_base!$B$9,0))*parametros_manuales!$L$97+parametros_manuales!$E$35*(datos_base!$B$3+IF(parametros_manuales!$H$35="Todos",datos_base!$B$10,0))*parametros_manuales!$L$102+parametros_manuales!$F$35*(datos_base!$B$4+IF(parametros_manuales!$H$35="Todos",datos_base!$B$11,0))*parametros_manuales!$L$107+parametros_manuales!$G$35*(datos_base!$B$5+IF(parametros_manuales!$H$35="Todos",datos_base!$B$12,0))*parametros_manuales!$L$112)*parametros_manuales!$I$35*parametros_manuales!$J$35</f>
        <v>617.67</v>
      </c>
      <c r="M18" s="8">
        <f>(parametros_manuales!$D$35*(datos_base!$B$2+IF(parametros_manuales!$H$35="Todos",datos_base!$B$9,0))*parametros_manuales!$M$97+parametros_manuales!$E$35*(datos_base!$B$3+IF(parametros_manuales!$H$35="Todos",datos_base!$B$10,0))*parametros_manuales!$M$102+parametros_manuales!$F$35*(datos_base!$B$4+IF(parametros_manuales!$H$35="Todos",datos_base!$B$11,0))*parametros_manuales!$M$107+parametros_manuales!$G$35*(datos_base!$B$5+IF(parametros_manuales!$H$35="Todos",datos_base!$B$12,0))*parametros_manuales!$M$112)*parametros_manuales!$I$35*parametros_manuales!$J$35</f>
        <v>617.67</v>
      </c>
      <c r="N18" s="8">
        <f t="shared" si="1"/>
        <v>6863</v>
      </c>
      <c r="O18" s="8">
        <f t="shared" si="2"/>
        <v>617.67</v>
      </c>
      <c r="P18" s="27">
        <f>O18/(parametros_manuales!$B$7)</f>
        <v>4.1178</v>
      </c>
      <c r="Q18" s="4" t="str">
        <f t="shared" si="3"/>
        <v>Ene</v>
      </c>
      <c r="R18" s="16"/>
      <c r="S18" s="16"/>
    </row>
    <row r="19" ht="14.25" customHeight="1">
      <c r="A19" s="4" t="str">
        <f>parametros_manuales!$B$36</f>
        <v>Detección de defectos</v>
      </c>
      <c r="B19" s="8">
        <f>(parametros_manuales!$D$36*(datos_base!$B$2+IF(parametros_manuales!$H$36="Todos",datos_base!$B$9,0))*parametros_manuales!$B$97+parametros_manuales!$E$36*(datos_base!$B$3+IF(parametros_manuales!$H$36="Todos",datos_base!$B$10,0))*parametros_manuales!$B$102+parametros_manuales!$F$36*(datos_base!$B$4+IF(parametros_manuales!$H$36="Todos",datos_base!$B$11,0))*parametros_manuales!$B$107+parametros_manuales!$G$36*(datos_base!$B$5+IF(parametros_manuales!$H$36="Todos",datos_base!$B$12,0))*parametros_manuales!$B$112)*parametros_manuales!$I$36*parametros_manuales!$J$36</f>
        <v>617.67</v>
      </c>
      <c r="C19" s="8">
        <f>(parametros_manuales!$D$36*(datos_base!$B$2+IF(parametros_manuales!$H$36="Todos",datos_base!$B$9,0))*parametros_manuales!$C$97+parametros_manuales!$E$36*(datos_base!$B$3+IF(parametros_manuales!$H$36="Todos",datos_base!$B$10,0))*parametros_manuales!$C$102+parametros_manuales!$F$36*(datos_base!$B$4+IF(parametros_manuales!$H$36="Todos",datos_base!$B$11,0))*parametros_manuales!$C$107+parametros_manuales!$G$36*(datos_base!$B$5+IF(parametros_manuales!$H$36="Todos",datos_base!$B$12,0))*parametros_manuales!$C$112)*parametros_manuales!$I$36*parametros_manuales!$J$36</f>
        <v>590.83</v>
      </c>
      <c r="D19" s="8">
        <f>(parametros_manuales!$D$36*(datos_base!$B$2+IF(parametros_manuales!$H$36="Todos",datos_base!$B$9,0))*parametros_manuales!$D$97+parametros_manuales!$E$36*(datos_base!$B$3+IF(parametros_manuales!$H$36="Todos",datos_base!$B$10,0))*parametros_manuales!$D$102+parametros_manuales!$F$36*(datos_base!$B$4+IF(parametros_manuales!$H$36="Todos",datos_base!$B$11,0))*parametros_manuales!$D$107+parametros_manuales!$G$36*(datos_base!$B$5+IF(parametros_manuales!$H$36="Todos",datos_base!$B$12,0))*parametros_manuales!$D$112)*parametros_manuales!$I$36*parametros_manuales!$J$36</f>
        <v>562.46</v>
      </c>
      <c r="E19" s="8">
        <f>(parametros_manuales!$D$36*(datos_base!$B$2+IF(parametros_manuales!$H$36="Todos",datos_base!$B$9,0))*parametros_manuales!$E$97+parametros_manuales!$E$36*(datos_base!$B$3+IF(parametros_manuales!$H$36="Todos",datos_base!$B$10,0))*parametros_manuales!$E$102+parametros_manuales!$F$36*(datos_base!$B$4+IF(parametros_manuales!$H$36="Todos",datos_base!$B$11,0))*parametros_manuales!$E$107+parametros_manuales!$G$36*(datos_base!$B$5+IF(parametros_manuales!$H$36="Todos",datos_base!$B$12,0))*parametros_manuales!$E$112)*parametros_manuales!$I$36*parametros_manuales!$J$36</f>
        <v>541.565</v>
      </c>
      <c r="F19" s="8">
        <f>(parametros_manuales!$D$36*(datos_base!$B$2+IF(parametros_manuales!$H$36="Todos",datos_base!$B$9,0))*parametros_manuales!$F$97+parametros_manuales!$E$36*(datos_base!$B$3+IF(parametros_manuales!$H$36="Todos",datos_base!$B$10,0))*parametros_manuales!$F$102+parametros_manuales!$F$36*(datos_base!$B$4+IF(parametros_manuales!$H$36="Todos",datos_base!$B$11,0))*parametros_manuales!$F$107+parametros_manuales!$G$36*(datos_base!$B$5+IF(parametros_manuales!$H$36="Todos",datos_base!$B$12,0))*parametros_manuales!$F$112)*parametros_manuales!$I$36*parametros_manuales!$J$36</f>
        <v>507.25</v>
      </c>
      <c r="G19" s="8">
        <f>(parametros_manuales!$D$36*(datos_base!$B$2+IF(parametros_manuales!$H$36="Todos",datos_base!$B$9,0))*parametros_manuales!$G$97+parametros_manuales!$E$36*(datos_base!$B$3+IF(parametros_manuales!$H$36="Todos",datos_base!$B$10,0))*parametros_manuales!$G$102+parametros_manuales!$F$36*(datos_base!$B$4+IF(parametros_manuales!$H$36="Todos",datos_base!$B$11,0))*parametros_manuales!$G$107+parametros_manuales!$G$36*(datos_base!$B$5+IF(parametros_manuales!$H$36="Todos",datos_base!$B$12,0))*parametros_manuales!$G$112)*parametros_manuales!$I$36*parametros_manuales!$J$36</f>
        <v>493.83</v>
      </c>
      <c r="H19" s="8">
        <f>(parametros_manuales!$D$36*(datos_base!$B$2+IF(parametros_manuales!$H$36="Todos",datos_base!$B$9,0))*parametros_manuales!$H$97+parametros_manuales!$E$36*(datos_base!$B$3+IF(parametros_manuales!$H$36="Todos",datos_base!$B$10,0))*parametros_manuales!$H$102+parametros_manuales!$F$36*(datos_base!$B$4+IF(parametros_manuales!$H$36="Todos",datos_base!$B$11,0))*parametros_manuales!$H$107+parametros_manuales!$G$36*(datos_base!$B$5+IF(parametros_manuales!$H$36="Todos",datos_base!$B$12,0))*parametros_manuales!$H$112)*parametros_manuales!$I$36*parametros_manuales!$J$36</f>
        <v>528.145</v>
      </c>
      <c r="I19" s="8">
        <f>(parametros_manuales!$D$36*(datos_base!$B$2+IF(parametros_manuales!$H$36="Todos",datos_base!$B$9,0))*parametros_manuales!$I$97+parametros_manuales!$E$36*(datos_base!$B$3+IF(parametros_manuales!$H$36="Todos",datos_base!$B$10,0))*parametros_manuales!$I$102+parametros_manuales!$F$36*(datos_base!$B$4+IF(parametros_manuales!$H$36="Todos",datos_base!$B$11,0))*parametros_manuales!$I$107+parametros_manuales!$G$36*(datos_base!$B$5+IF(parametros_manuales!$H$36="Todos",datos_base!$B$12,0))*parametros_manuales!$I$112)*parametros_manuales!$I$36*parametros_manuales!$J$36</f>
        <v>590.83</v>
      </c>
      <c r="J19" s="8">
        <f>(parametros_manuales!$D$36*(datos_base!$B$2+IF(parametros_manuales!$H$36="Todos",datos_base!$B$9,0))*parametros_manuales!$J$97+parametros_manuales!$E$36*(datos_base!$B$3+IF(parametros_manuales!$H$36="Todos",datos_base!$B$10,0))*parametros_manuales!$J$102+parametros_manuales!$F$36*(datos_base!$B$4+IF(parametros_manuales!$H$36="Todos",datos_base!$B$11,0))*parametros_manuales!$J$107+parametros_manuales!$G$36*(datos_base!$B$5+IF(parametros_manuales!$H$36="Todos",datos_base!$B$12,0))*parametros_manuales!$J$112)*parametros_manuales!$I$36*parametros_manuales!$J$36</f>
        <v>590.83</v>
      </c>
      <c r="K19" s="8">
        <f>(parametros_manuales!$D$36*(datos_base!$B$2+IF(parametros_manuales!$H$36="Todos",datos_base!$B$9,0))*parametros_manuales!$K$97+parametros_manuales!$E$36*(datos_base!$B$3+IF(parametros_manuales!$H$36="Todos",datos_base!$B$10,0))*parametros_manuales!$K$102+parametros_manuales!$F$36*(datos_base!$B$4+IF(parametros_manuales!$H$36="Todos",datos_base!$B$11,0))*parametros_manuales!$K$107+parametros_manuales!$G$36*(datos_base!$B$5+IF(parametros_manuales!$H$36="Todos",datos_base!$B$12,0))*parametros_manuales!$K$112)*parametros_manuales!$I$36*parametros_manuales!$J$36</f>
        <v>604.25</v>
      </c>
      <c r="L19" s="8">
        <f>(parametros_manuales!$D$36*(datos_base!$B$2+IF(parametros_manuales!$H$36="Todos",datos_base!$B$9,0))*parametros_manuales!$L$97+parametros_manuales!$E$36*(datos_base!$B$3+IF(parametros_manuales!$H$36="Todos",datos_base!$B$10,0))*parametros_manuales!$L$102+parametros_manuales!$F$36*(datos_base!$B$4+IF(parametros_manuales!$H$36="Todos",datos_base!$B$11,0))*parametros_manuales!$L$107+parametros_manuales!$G$36*(datos_base!$B$5+IF(parametros_manuales!$H$36="Todos",datos_base!$B$12,0))*parametros_manuales!$L$112)*parametros_manuales!$I$36*parametros_manuales!$J$36</f>
        <v>617.67</v>
      </c>
      <c r="M19" s="8">
        <f>(parametros_manuales!$D$36*(datos_base!$B$2+IF(parametros_manuales!$H$36="Todos",datos_base!$B$9,0))*parametros_manuales!$M$97+parametros_manuales!$E$36*(datos_base!$B$3+IF(parametros_manuales!$H$36="Todos",datos_base!$B$10,0))*parametros_manuales!$M$102+parametros_manuales!$F$36*(datos_base!$B$4+IF(parametros_manuales!$H$36="Todos",datos_base!$B$11,0))*parametros_manuales!$M$107+parametros_manuales!$G$36*(datos_base!$B$5+IF(parametros_manuales!$H$36="Todos",datos_base!$B$12,0))*parametros_manuales!$M$112)*parametros_manuales!$I$36*parametros_manuales!$J$36</f>
        <v>617.67</v>
      </c>
      <c r="N19" s="8">
        <f t="shared" si="1"/>
        <v>6863</v>
      </c>
      <c r="O19" s="8">
        <f t="shared" si="2"/>
        <v>617.67</v>
      </c>
      <c r="P19" s="27">
        <f>O19/(parametros_manuales!$B$7)</f>
        <v>4.1178</v>
      </c>
      <c r="Q19" s="4" t="str">
        <f t="shared" si="3"/>
        <v>Ene</v>
      </c>
      <c r="R19" s="16"/>
      <c r="S19" s="16"/>
    </row>
    <row r="20" ht="14.25" customHeight="1">
      <c r="A20" s="4" t="str">
        <f>parametros_manuales!$B$37</f>
        <v>Corrección de defectos</v>
      </c>
      <c r="B20" s="8">
        <f>(parametros_manuales!$D$37*(datos_base!$B$2+IF(parametros_manuales!$H$37="Todos",datos_base!$B$9,0))*parametros_manuales!$B$97+parametros_manuales!$E$37*(datos_base!$B$3+IF(parametros_manuales!$H$37="Todos",datos_base!$B$10,0))*parametros_manuales!$B$102+parametros_manuales!$F$37*(datos_base!$B$4+IF(parametros_manuales!$H$37="Todos",datos_base!$B$11,0))*parametros_manuales!$B$107+parametros_manuales!$G$37*(datos_base!$B$5+IF(parametros_manuales!$H$37="Todos",datos_base!$B$12,0))*parametros_manuales!$B$112)*parametros_manuales!$I$37*parametros_manuales!$J$37</f>
        <v>30.8835</v>
      </c>
      <c r="C20" s="8">
        <f>(parametros_manuales!$D$37*(datos_base!$B$2+IF(parametros_manuales!$H$37="Todos",datos_base!$B$9,0))*parametros_manuales!$C$97+parametros_manuales!$E$37*(datos_base!$B$3+IF(parametros_manuales!$H$37="Todos",datos_base!$B$10,0))*parametros_manuales!$C$102+parametros_manuales!$F$37*(datos_base!$B$4+IF(parametros_manuales!$H$37="Todos",datos_base!$B$11,0))*parametros_manuales!$C$107+parametros_manuales!$G$37*(datos_base!$B$5+IF(parametros_manuales!$H$37="Todos",datos_base!$B$12,0))*parametros_manuales!$C$112)*parametros_manuales!$I$37*parametros_manuales!$J$37</f>
        <v>29.5415</v>
      </c>
      <c r="D20" s="8">
        <f>(parametros_manuales!$D$37*(datos_base!$B$2+IF(parametros_manuales!$H$37="Todos",datos_base!$B$9,0))*parametros_manuales!$D$97+parametros_manuales!$E$37*(datos_base!$B$3+IF(parametros_manuales!$H$37="Todos",datos_base!$B$10,0))*parametros_manuales!$D$102+parametros_manuales!$F$37*(datos_base!$B$4+IF(parametros_manuales!$H$37="Todos",datos_base!$B$11,0))*parametros_manuales!$D$107+parametros_manuales!$G$37*(datos_base!$B$5+IF(parametros_manuales!$H$37="Todos",datos_base!$B$12,0))*parametros_manuales!$D$112)*parametros_manuales!$I$37*parametros_manuales!$J$37</f>
        <v>28.123</v>
      </c>
      <c r="E20" s="8">
        <f>(parametros_manuales!$D$37*(datos_base!$B$2+IF(parametros_manuales!$H$37="Todos",datos_base!$B$9,0))*parametros_manuales!$E$97+parametros_manuales!$E$37*(datos_base!$B$3+IF(parametros_manuales!$H$37="Todos",datos_base!$B$10,0))*parametros_manuales!$E$102+parametros_manuales!$F$37*(datos_base!$B$4+IF(parametros_manuales!$H$37="Todos",datos_base!$B$11,0))*parametros_manuales!$E$107+parametros_manuales!$G$37*(datos_base!$B$5+IF(parametros_manuales!$H$37="Todos",datos_base!$B$12,0))*parametros_manuales!$E$112)*parametros_manuales!$I$37*parametros_manuales!$J$37</f>
        <v>27.07825</v>
      </c>
      <c r="F20" s="8">
        <f>(parametros_manuales!$D$37*(datos_base!$B$2+IF(parametros_manuales!$H$37="Todos",datos_base!$B$9,0))*parametros_manuales!$F$97+parametros_manuales!$E$37*(datos_base!$B$3+IF(parametros_manuales!$H$37="Todos",datos_base!$B$10,0))*parametros_manuales!$F$102+parametros_manuales!$F$37*(datos_base!$B$4+IF(parametros_manuales!$H$37="Todos",datos_base!$B$11,0))*parametros_manuales!$F$107+parametros_manuales!$G$37*(datos_base!$B$5+IF(parametros_manuales!$H$37="Todos",datos_base!$B$12,0))*parametros_manuales!$F$112)*parametros_manuales!$I$37*parametros_manuales!$J$37</f>
        <v>25.3625</v>
      </c>
      <c r="G20" s="8">
        <f>(parametros_manuales!$D$37*(datos_base!$B$2+IF(parametros_manuales!$H$37="Todos",datos_base!$B$9,0))*parametros_manuales!$G$97+parametros_manuales!$E$37*(datos_base!$B$3+IF(parametros_manuales!$H$37="Todos",datos_base!$B$10,0))*parametros_manuales!$G$102+parametros_manuales!$F$37*(datos_base!$B$4+IF(parametros_manuales!$H$37="Todos",datos_base!$B$11,0))*parametros_manuales!$G$107+parametros_manuales!$G$37*(datos_base!$B$5+IF(parametros_manuales!$H$37="Todos",datos_base!$B$12,0))*parametros_manuales!$G$112)*parametros_manuales!$I$37*parametros_manuales!$J$37</f>
        <v>24.6915</v>
      </c>
      <c r="H20" s="8">
        <f>(parametros_manuales!$D$37*(datos_base!$B$2+IF(parametros_manuales!$H$37="Todos",datos_base!$B$9,0))*parametros_manuales!$H$97+parametros_manuales!$E$37*(datos_base!$B$3+IF(parametros_manuales!$H$37="Todos",datos_base!$B$10,0))*parametros_manuales!$H$102+parametros_manuales!$F$37*(datos_base!$B$4+IF(parametros_manuales!$H$37="Todos",datos_base!$B$11,0))*parametros_manuales!$H$107+parametros_manuales!$G$37*(datos_base!$B$5+IF(parametros_manuales!$H$37="Todos",datos_base!$B$12,0))*parametros_manuales!$H$112)*parametros_manuales!$I$37*parametros_manuales!$J$37</f>
        <v>26.40725</v>
      </c>
      <c r="I20" s="8">
        <f>(parametros_manuales!$D$37*(datos_base!$B$2+IF(parametros_manuales!$H$37="Todos",datos_base!$B$9,0))*parametros_manuales!$I$97+parametros_manuales!$E$37*(datos_base!$B$3+IF(parametros_manuales!$H$37="Todos",datos_base!$B$10,0))*parametros_manuales!$I$102+parametros_manuales!$F$37*(datos_base!$B$4+IF(parametros_manuales!$H$37="Todos",datos_base!$B$11,0))*parametros_manuales!$I$107+parametros_manuales!$G$37*(datos_base!$B$5+IF(parametros_manuales!$H$37="Todos",datos_base!$B$12,0))*parametros_manuales!$I$112)*parametros_manuales!$I$37*parametros_manuales!$J$37</f>
        <v>29.5415</v>
      </c>
      <c r="J20" s="8">
        <f>(parametros_manuales!$D$37*(datos_base!$B$2+IF(parametros_manuales!$H$37="Todos",datos_base!$B$9,0))*parametros_manuales!$J$97+parametros_manuales!$E$37*(datos_base!$B$3+IF(parametros_manuales!$H$37="Todos",datos_base!$B$10,0))*parametros_manuales!$J$102+parametros_manuales!$F$37*(datos_base!$B$4+IF(parametros_manuales!$H$37="Todos",datos_base!$B$11,0))*parametros_manuales!$J$107+parametros_manuales!$G$37*(datos_base!$B$5+IF(parametros_manuales!$H$37="Todos",datos_base!$B$12,0))*parametros_manuales!$J$112)*parametros_manuales!$I$37*parametros_manuales!$J$37</f>
        <v>29.5415</v>
      </c>
      <c r="K20" s="8">
        <f>(parametros_manuales!$D$37*(datos_base!$B$2+IF(parametros_manuales!$H$37="Todos",datos_base!$B$9,0))*parametros_manuales!$K$97+parametros_manuales!$E$37*(datos_base!$B$3+IF(parametros_manuales!$H$37="Todos",datos_base!$B$10,0))*parametros_manuales!$K$102+parametros_manuales!$F$37*(datos_base!$B$4+IF(parametros_manuales!$H$37="Todos",datos_base!$B$11,0))*parametros_manuales!$K$107+parametros_manuales!$G$37*(datos_base!$B$5+IF(parametros_manuales!$H$37="Todos",datos_base!$B$12,0))*parametros_manuales!$K$112)*parametros_manuales!$I$37*parametros_manuales!$J$37</f>
        <v>30.2125</v>
      </c>
      <c r="L20" s="8">
        <f>(parametros_manuales!$D$37*(datos_base!$B$2+IF(parametros_manuales!$H$37="Todos",datos_base!$B$9,0))*parametros_manuales!$L$97+parametros_manuales!$E$37*(datos_base!$B$3+IF(parametros_manuales!$H$37="Todos",datos_base!$B$10,0))*parametros_manuales!$L$102+parametros_manuales!$F$37*(datos_base!$B$4+IF(parametros_manuales!$H$37="Todos",datos_base!$B$11,0))*parametros_manuales!$L$107+parametros_manuales!$G$37*(datos_base!$B$5+IF(parametros_manuales!$H$37="Todos",datos_base!$B$12,0))*parametros_manuales!$L$112)*parametros_manuales!$I$37*parametros_manuales!$J$37</f>
        <v>30.8835</v>
      </c>
      <c r="M20" s="8">
        <f>(parametros_manuales!$D$37*(datos_base!$B$2+IF(parametros_manuales!$H$37="Todos",datos_base!$B$9,0))*parametros_manuales!$M$97+parametros_manuales!$E$37*(datos_base!$B$3+IF(parametros_manuales!$H$37="Todos",datos_base!$B$10,0))*parametros_manuales!$M$102+parametros_manuales!$F$37*(datos_base!$B$4+IF(parametros_manuales!$H$37="Todos",datos_base!$B$11,0))*parametros_manuales!$M$107+parametros_manuales!$G$37*(datos_base!$B$5+IF(parametros_manuales!$H$37="Todos",datos_base!$B$12,0))*parametros_manuales!$M$112)*parametros_manuales!$I$37*parametros_manuales!$J$37</f>
        <v>30.8835</v>
      </c>
      <c r="N20" s="8">
        <f t="shared" si="1"/>
        <v>343.15</v>
      </c>
      <c r="O20" s="8">
        <f t="shared" si="2"/>
        <v>30.8835</v>
      </c>
      <c r="P20" s="27">
        <f>O20/(parametros_manuales!$B$7)</f>
        <v>0.20589</v>
      </c>
      <c r="Q20" s="4" t="str">
        <f t="shared" si="3"/>
        <v>Ene</v>
      </c>
      <c r="R20" s="16"/>
      <c r="S20" s="16"/>
    </row>
    <row r="21" ht="14.25" customHeight="1">
      <c r="A21" s="4" t="str">
        <f>parametros_manuales!$B$38</f>
        <v>Pintura en polvo + horno</v>
      </c>
      <c r="B21" s="8">
        <f>(parametros_manuales!$D$38*(datos_base!$B$2+IF(parametros_manuales!$H$38="Todos",datos_base!$B$9,0))*parametros_manuales!$B$97+parametros_manuales!$E$38*(datos_base!$B$3+IF(parametros_manuales!$H$38="Todos",datos_base!$B$10,0))*parametros_manuales!$B$102+parametros_manuales!$F$38*(datos_base!$B$4+IF(parametros_manuales!$H$38="Todos",datos_base!$B$11,0))*parametros_manuales!$B$107+parametros_manuales!$G$38*(datos_base!$B$5+IF(parametros_manuales!$H$38="Todos",datos_base!$B$12,0))*parametros_manuales!$B$112)*parametros_manuales!$I$38*parametros_manuales!$J$38</f>
        <v>617.67</v>
      </c>
      <c r="C21" s="8">
        <f>(parametros_manuales!$D$38*(datos_base!$B$2+IF(parametros_manuales!$H$38="Todos",datos_base!$B$9,0))*parametros_manuales!$C$97+parametros_manuales!$E$38*(datos_base!$B$3+IF(parametros_manuales!$H$38="Todos",datos_base!$B$10,0))*parametros_manuales!$C$102+parametros_manuales!$F$38*(datos_base!$B$4+IF(parametros_manuales!$H$38="Todos",datos_base!$B$11,0))*parametros_manuales!$C$107+parametros_manuales!$G$38*(datos_base!$B$5+IF(parametros_manuales!$H$38="Todos",datos_base!$B$12,0))*parametros_manuales!$C$112)*parametros_manuales!$I$38*parametros_manuales!$J$38</f>
        <v>590.83</v>
      </c>
      <c r="D21" s="8">
        <f>(parametros_manuales!$D$38*(datos_base!$B$2+IF(parametros_manuales!$H$38="Todos",datos_base!$B$9,0))*parametros_manuales!$D$97+parametros_manuales!$E$38*(datos_base!$B$3+IF(parametros_manuales!$H$38="Todos",datos_base!$B$10,0))*parametros_manuales!$D$102+parametros_manuales!$F$38*(datos_base!$B$4+IF(parametros_manuales!$H$38="Todos",datos_base!$B$11,0))*parametros_manuales!$D$107+parametros_manuales!$G$38*(datos_base!$B$5+IF(parametros_manuales!$H$38="Todos",datos_base!$B$12,0))*parametros_manuales!$D$112)*parametros_manuales!$I$38*parametros_manuales!$J$38</f>
        <v>562.46</v>
      </c>
      <c r="E21" s="8">
        <f>(parametros_manuales!$D$38*(datos_base!$B$2+IF(parametros_manuales!$H$38="Todos",datos_base!$B$9,0))*parametros_manuales!$E$97+parametros_manuales!$E$38*(datos_base!$B$3+IF(parametros_manuales!$H$38="Todos",datos_base!$B$10,0))*parametros_manuales!$E$102+parametros_manuales!$F$38*(datos_base!$B$4+IF(parametros_manuales!$H$38="Todos",datos_base!$B$11,0))*parametros_manuales!$E$107+parametros_manuales!$G$38*(datos_base!$B$5+IF(parametros_manuales!$H$38="Todos",datos_base!$B$12,0))*parametros_manuales!$E$112)*parametros_manuales!$I$38*parametros_manuales!$J$38</f>
        <v>541.565</v>
      </c>
      <c r="F21" s="8">
        <f>(parametros_manuales!$D$38*(datos_base!$B$2+IF(parametros_manuales!$H$38="Todos",datos_base!$B$9,0))*parametros_manuales!$F$97+parametros_manuales!$E$38*(datos_base!$B$3+IF(parametros_manuales!$H$38="Todos",datos_base!$B$10,0))*parametros_manuales!$F$102+parametros_manuales!$F$38*(datos_base!$B$4+IF(parametros_manuales!$H$38="Todos",datos_base!$B$11,0))*parametros_manuales!$F$107+parametros_manuales!$G$38*(datos_base!$B$5+IF(parametros_manuales!$H$38="Todos",datos_base!$B$12,0))*parametros_manuales!$F$112)*parametros_manuales!$I$38*parametros_manuales!$J$38</f>
        <v>507.25</v>
      </c>
      <c r="G21" s="8">
        <f>(parametros_manuales!$D$38*(datos_base!$B$2+IF(parametros_manuales!$H$38="Todos",datos_base!$B$9,0))*parametros_manuales!$G$97+parametros_manuales!$E$38*(datos_base!$B$3+IF(parametros_manuales!$H$38="Todos",datos_base!$B$10,0))*parametros_manuales!$G$102+parametros_manuales!$F$38*(datos_base!$B$4+IF(parametros_manuales!$H$38="Todos",datos_base!$B$11,0))*parametros_manuales!$G$107+parametros_manuales!$G$38*(datos_base!$B$5+IF(parametros_manuales!$H$38="Todos",datos_base!$B$12,0))*parametros_manuales!$G$112)*parametros_manuales!$I$38*parametros_manuales!$J$38</f>
        <v>493.83</v>
      </c>
      <c r="H21" s="8">
        <f>(parametros_manuales!$D$38*(datos_base!$B$2+IF(parametros_manuales!$H$38="Todos",datos_base!$B$9,0))*parametros_manuales!$H$97+parametros_manuales!$E$38*(datos_base!$B$3+IF(parametros_manuales!$H$38="Todos",datos_base!$B$10,0))*parametros_manuales!$H$102+parametros_manuales!$F$38*(datos_base!$B$4+IF(parametros_manuales!$H$38="Todos",datos_base!$B$11,0))*parametros_manuales!$H$107+parametros_manuales!$G$38*(datos_base!$B$5+IF(parametros_manuales!$H$38="Todos",datos_base!$B$12,0))*parametros_manuales!$H$112)*parametros_manuales!$I$38*parametros_manuales!$J$38</f>
        <v>528.145</v>
      </c>
      <c r="I21" s="8">
        <f>(parametros_manuales!$D$38*(datos_base!$B$2+IF(parametros_manuales!$H$38="Todos",datos_base!$B$9,0))*parametros_manuales!$I$97+parametros_manuales!$E$38*(datos_base!$B$3+IF(parametros_manuales!$H$38="Todos",datos_base!$B$10,0))*parametros_manuales!$I$102+parametros_manuales!$F$38*(datos_base!$B$4+IF(parametros_manuales!$H$38="Todos",datos_base!$B$11,0))*parametros_manuales!$I$107+parametros_manuales!$G$38*(datos_base!$B$5+IF(parametros_manuales!$H$38="Todos",datos_base!$B$12,0))*parametros_manuales!$I$112)*parametros_manuales!$I$38*parametros_manuales!$J$38</f>
        <v>590.83</v>
      </c>
      <c r="J21" s="8">
        <f>(parametros_manuales!$D$38*(datos_base!$B$2+IF(parametros_manuales!$H$38="Todos",datos_base!$B$9,0))*parametros_manuales!$J$97+parametros_manuales!$E$38*(datos_base!$B$3+IF(parametros_manuales!$H$38="Todos",datos_base!$B$10,0))*parametros_manuales!$J$102+parametros_manuales!$F$38*(datos_base!$B$4+IF(parametros_manuales!$H$38="Todos",datos_base!$B$11,0))*parametros_manuales!$J$107+parametros_manuales!$G$38*(datos_base!$B$5+IF(parametros_manuales!$H$38="Todos",datos_base!$B$12,0))*parametros_manuales!$J$112)*parametros_manuales!$I$38*parametros_manuales!$J$38</f>
        <v>590.83</v>
      </c>
      <c r="K21" s="8">
        <f>(parametros_manuales!$D$38*(datos_base!$B$2+IF(parametros_manuales!$H$38="Todos",datos_base!$B$9,0))*parametros_manuales!$K$97+parametros_manuales!$E$38*(datos_base!$B$3+IF(parametros_manuales!$H$38="Todos",datos_base!$B$10,0))*parametros_manuales!$K$102+parametros_manuales!$F$38*(datos_base!$B$4+IF(parametros_manuales!$H$38="Todos",datos_base!$B$11,0))*parametros_manuales!$K$107+parametros_manuales!$G$38*(datos_base!$B$5+IF(parametros_manuales!$H$38="Todos",datos_base!$B$12,0))*parametros_manuales!$K$112)*parametros_manuales!$I$38*parametros_manuales!$J$38</f>
        <v>604.25</v>
      </c>
      <c r="L21" s="8">
        <f>(parametros_manuales!$D$38*(datos_base!$B$2+IF(parametros_manuales!$H$38="Todos",datos_base!$B$9,0))*parametros_manuales!$L$97+parametros_manuales!$E$38*(datos_base!$B$3+IF(parametros_manuales!$H$38="Todos",datos_base!$B$10,0))*parametros_manuales!$L$102+parametros_manuales!$F$38*(datos_base!$B$4+IF(parametros_manuales!$H$38="Todos",datos_base!$B$11,0))*parametros_manuales!$L$107+parametros_manuales!$G$38*(datos_base!$B$5+IF(parametros_manuales!$H$38="Todos",datos_base!$B$12,0))*parametros_manuales!$L$112)*parametros_manuales!$I$38*parametros_manuales!$J$38</f>
        <v>617.67</v>
      </c>
      <c r="M21" s="8">
        <f>(parametros_manuales!$D$38*(datos_base!$B$2+IF(parametros_manuales!$H$38="Todos",datos_base!$B$9,0))*parametros_manuales!$M$97+parametros_manuales!$E$38*(datos_base!$B$3+IF(parametros_manuales!$H$38="Todos",datos_base!$B$10,0))*parametros_manuales!$M$102+parametros_manuales!$F$38*(datos_base!$B$4+IF(parametros_manuales!$H$38="Todos",datos_base!$B$11,0))*parametros_manuales!$M$107+parametros_manuales!$G$38*(datos_base!$B$5+IF(parametros_manuales!$H$38="Todos",datos_base!$B$12,0))*parametros_manuales!$M$112)*parametros_manuales!$I$38*parametros_manuales!$J$38</f>
        <v>617.67</v>
      </c>
      <c r="N21" s="8">
        <f t="shared" si="1"/>
        <v>6863</v>
      </c>
      <c r="O21" s="8">
        <f t="shared" si="2"/>
        <v>617.67</v>
      </c>
      <c r="P21" s="27">
        <f>O21/(parametros_manuales!$B$7)</f>
        <v>4.1178</v>
      </c>
      <c r="Q21" s="4" t="str">
        <f t="shared" si="3"/>
        <v>Ene</v>
      </c>
      <c r="R21" s="16"/>
      <c r="S21" s="16"/>
    </row>
    <row r="22" ht="14.25" customHeight="1">
      <c r="A22" s="4" t="str">
        <f>parametros_manuales!$B$39</f>
        <v>Carga de polvo</v>
      </c>
      <c r="B22" s="8">
        <f>(parametros_manuales!$D$39*(datos_base!$B$2+IF(parametros_manuales!$H$39="Todos",datos_base!$B$9,0))*parametros_manuales!$B$97+parametros_manuales!$E$39*(datos_base!$B$3+IF(parametros_manuales!$H$39="Todos",datos_base!$B$10,0))*parametros_manuales!$B$102+parametros_manuales!$F$39*(datos_base!$B$4+IF(parametros_manuales!$H$39="Todos",datos_base!$B$11,0))*parametros_manuales!$B$107+parametros_manuales!$G$39*(datos_base!$B$5+IF(parametros_manuales!$H$39="Todos",datos_base!$B$12,0))*parametros_manuales!$B$112)*parametros_manuales!$I$39*parametros_manuales!$J$39</f>
        <v>615.33</v>
      </c>
      <c r="C22" s="8">
        <f>(parametros_manuales!$D$39*(datos_base!$B$2+IF(parametros_manuales!$H$39="Todos",datos_base!$B$9,0))*parametros_manuales!$C$97+parametros_manuales!$E$39*(datos_base!$B$3+IF(parametros_manuales!$H$39="Todos",datos_base!$B$10,0))*parametros_manuales!$C$102+parametros_manuales!$F$39*(datos_base!$B$4+IF(parametros_manuales!$H$39="Todos",datos_base!$B$11,0))*parametros_manuales!$C$107+parametros_manuales!$G$39*(datos_base!$B$5+IF(parametros_manuales!$H$39="Todos",datos_base!$B$12,0))*parametros_manuales!$C$112)*parametros_manuales!$I$39*parametros_manuales!$J$39</f>
        <v>588.75</v>
      </c>
      <c r="D22" s="8">
        <f>(parametros_manuales!$D$39*(datos_base!$B$2+IF(parametros_manuales!$H$39="Todos",datos_base!$B$9,0))*parametros_manuales!$D$97+parametros_manuales!$E$39*(datos_base!$B$3+IF(parametros_manuales!$H$39="Todos",datos_base!$B$10,0))*parametros_manuales!$D$102+parametros_manuales!$F$39*(datos_base!$B$4+IF(parametros_manuales!$H$39="Todos",datos_base!$B$11,0))*parametros_manuales!$D$107+parametros_manuales!$G$39*(datos_base!$B$5+IF(parametros_manuales!$H$39="Todos",datos_base!$B$12,0))*parametros_manuales!$D$112)*parametros_manuales!$I$39*parametros_manuales!$J$39</f>
        <v>560.25</v>
      </c>
      <c r="E22" s="8">
        <f>(parametros_manuales!$D$39*(datos_base!$B$2+IF(parametros_manuales!$H$39="Todos",datos_base!$B$9,0))*parametros_manuales!$E$97+parametros_manuales!$E$39*(datos_base!$B$3+IF(parametros_manuales!$H$39="Todos",datos_base!$B$10,0))*parametros_manuales!$E$102+parametros_manuales!$F$39*(datos_base!$B$4+IF(parametros_manuales!$H$39="Todos",datos_base!$B$11,0))*parametros_manuales!$E$107+parametros_manuales!$G$39*(datos_base!$B$5+IF(parametros_manuales!$H$39="Todos",datos_base!$B$12,0))*parametros_manuales!$E$112)*parametros_manuales!$I$39*parametros_manuales!$J$39</f>
        <v>539.355</v>
      </c>
      <c r="F22" s="8">
        <f>(parametros_manuales!$D$39*(datos_base!$B$2+IF(parametros_manuales!$H$39="Todos",datos_base!$B$9,0))*parametros_manuales!$F$97+parametros_manuales!$E$39*(datos_base!$B$3+IF(parametros_manuales!$H$39="Todos",datos_base!$B$10,0))*parametros_manuales!$F$102+parametros_manuales!$F$39*(datos_base!$B$4+IF(parametros_manuales!$H$39="Todos",datos_base!$B$11,0))*parametros_manuales!$F$107+parametros_manuales!$G$39*(datos_base!$B$5+IF(parametros_manuales!$H$39="Todos",datos_base!$B$12,0))*parametros_manuales!$F$112)*parametros_manuales!$I$39*parametros_manuales!$J$39</f>
        <v>505.17</v>
      </c>
      <c r="G22" s="8">
        <f>(parametros_manuales!$D$39*(datos_base!$B$2+IF(parametros_manuales!$H$39="Todos",datos_base!$B$9,0))*parametros_manuales!$G$97+parametros_manuales!$E$39*(datos_base!$B$3+IF(parametros_manuales!$H$39="Todos",datos_base!$B$10,0))*parametros_manuales!$G$102+parametros_manuales!$F$39*(datos_base!$B$4+IF(parametros_manuales!$H$39="Todos",datos_base!$B$11,0))*parametros_manuales!$G$107+parametros_manuales!$G$39*(datos_base!$B$5+IF(parametros_manuales!$H$39="Todos",datos_base!$B$12,0))*parametros_manuales!$G$112)*parametros_manuales!$I$39*parametros_manuales!$J$39</f>
        <v>491.88</v>
      </c>
      <c r="H22" s="8">
        <f>(parametros_manuales!$D$39*(datos_base!$B$2+IF(parametros_manuales!$H$39="Todos",datos_base!$B$9,0))*parametros_manuales!$H$97+parametros_manuales!$E$39*(datos_base!$B$3+IF(parametros_manuales!$H$39="Todos",datos_base!$B$10,0))*parametros_manuales!$H$102+parametros_manuales!$F$39*(datos_base!$B$4+IF(parametros_manuales!$H$39="Todos",datos_base!$B$11,0))*parametros_manuales!$H$107+parametros_manuales!$G$39*(datos_base!$B$5+IF(parametros_manuales!$H$39="Todos",datos_base!$B$12,0))*parametros_manuales!$H$112)*parametros_manuales!$I$39*parametros_manuales!$J$39</f>
        <v>526.065</v>
      </c>
      <c r="I22" s="8">
        <f>(parametros_manuales!$D$39*(datos_base!$B$2+IF(parametros_manuales!$H$39="Todos",datos_base!$B$9,0))*parametros_manuales!$I$97+parametros_manuales!$E$39*(datos_base!$B$3+IF(parametros_manuales!$H$39="Todos",datos_base!$B$10,0))*parametros_manuales!$I$102+parametros_manuales!$F$39*(datos_base!$B$4+IF(parametros_manuales!$H$39="Todos",datos_base!$B$11,0))*parametros_manuales!$I$107+parametros_manuales!$G$39*(datos_base!$B$5+IF(parametros_manuales!$H$39="Todos",datos_base!$B$12,0))*parametros_manuales!$I$112)*parametros_manuales!$I$39*parametros_manuales!$J$39</f>
        <v>588.75</v>
      </c>
      <c r="J22" s="8">
        <f>(parametros_manuales!$D$39*(datos_base!$B$2+IF(parametros_manuales!$H$39="Todos",datos_base!$B$9,0))*parametros_manuales!$J$97+parametros_manuales!$E$39*(datos_base!$B$3+IF(parametros_manuales!$H$39="Todos",datos_base!$B$10,0))*parametros_manuales!$J$102+parametros_manuales!$F$39*(datos_base!$B$4+IF(parametros_manuales!$H$39="Todos",datos_base!$B$11,0))*parametros_manuales!$J$107+parametros_manuales!$G$39*(datos_base!$B$5+IF(parametros_manuales!$H$39="Todos",datos_base!$B$12,0))*parametros_manuales!$J$112)*parametros_manuales!$I$39*parametros_manuales!$J$39</f>
        <v>588.75</v>
      </c>
      <c r="K22" s="8">
        <f>(parametros_manuales!$D$39*(datos_base!$B$2+IF(parametros_manuales!$H$39="Todos",datos_base!$B$9,0))*parametros_manuales!$K$97+parametros_manuales!$E$39*(datos_base!$B$3+IF(parametros_manuales!$H$39="Todos",datos_base!$B$10,0))*parametros_manuales!$K$102+parametros_manuales!$F$39*(datos_base!$B$4+IF(parametros_manuales!$H$39="Todos",datos_base!$B$11,0))*parametros_manuales!$K$107+parametros_manuales!$G$39*(datos_base!$B$5+IF(parametros_manuales!$H$39="Todos",datos_base!$B$12,0))*parametros_manuales!$K$112)*parametros_manuales!$I$39*parametros_manuales!$J$39</f>
        <v>602.04</v>
      </c>
      <c r="L22" s="8">
        <f>(parametros_manuales!$D$39*(datos_base!$B$2+IF(parametros_manuales!$H$39="Todos",datos_base!$B$9,0))*parametros_manuales!$L$97+parametros_manuales!$E$39*(datos_base!$B$3+IF(parametros_manuales!$H$39="Todos",datos_base!$B$10,0))*parametros_manuales!$L$102+parametros_manuales!$F$39*(datos_base!$B$4+IF(parametros_manuales!$H$39="Todos",datos_base!$B$11,0))*parametros_manuales!$L$107+parametros_manuales!$G$39*(datos_base!$B$5+IF(parametros_manuales!$H$39="Todos",datos_base!$B$12,0))*parametros_manuales!$L$112)*parametros_manuales!$I$39*parametros_manuales!$J$39</f>
        <v>615.33</v>
      </c>
      <c r="M22" s="8">
        <f>(parametros_manuales!$D$39*(datos_base!$B$2+IF(parametros_manuales!$H$39="Todos",datos_base!$B$9,0))*parametros_manuales!$M$97+parametros_manuales!$E$39*(datos_base!$B$3+IF(parametros_manuales!$H$39="Todos",datos_base!$B$10,0))*parametros_manuales!$M$102+parametros_manuales!$F$39*(datos_base!$B$4+IF(parametros_manuales!$H$39="Todos",datos_base!$B$11,0))*parametros_manuales!$M$107+parametros_manuales!$G$39*(datos_base!$B$5+IF(parametros_manuales!$H$39="Todos",datos_base!$B$12,0))*parametros_manuales!$M$112)*parametros_manuales!$I$39*parametros_manuales!$J$39</f>
        <v>615.33</v>
      </c>
      <c r="N22" s="8">
        <f t="shared" si="1"/>
        <v>6837</v>
      </c>
      <c r="O22" s="8">
        <f t="shared" si="2"/>
        <v>615.33</v>
      </c>
      <c r="P22" s="27">
        <f>O22/(parametros_manuales!$B$7)</f>
        <v>4.1022</v>
      </c>
      <c r="Q22" s="4" t="str">
        <f t="shared" si="3"/>
        <v>Ene</v>
      </c>
      <c r="R22" s="16"/>
      <c r="S22" s="16"/>
    </row>
    <row r="23" ht="14.25" customHeight="1">
      <c r="A23" s="4" t="str">
        <f>parametros_manuales!$B$40</f>
        <v>Ensamblaje</v>
      </c>
      <c r="B23" s="8">
        <f>(parametros_manuales!$D$40*(datos_base!$B$2+IF(parametros_manuales!$H$40="Todos",datos_base!$B$9,0))*parametros_manuales!$B$97+parametros_manuales!$E$40*(datos_base!$B$3+IF(parametros_manuales!$H$40="Todos",datos_base!$B$10,0))*parametros_manuales!$B$102+parametros_manuales!$F$40*(datos_base!$B$4+IF(parametros_manuales!$H$40="Todos",datos_base!$B$11,0))*parametros_manuales!$B$107+parametros_manuales!$G$40*(datos_base!$B$5+IF(parametros_manuales!$H$40="Todos",datos_base!$B$12,0))*parametros_manuales!$B$112)*parametros_manuales!$I$40*parametros_manuales!$J$40</f>
        <v>615.33</v>
      </c>
      <c r="C23" s="8">
        <f>(parametros_manuales!$D$40*(datos_base!$B$2+IF(parametros_manuales!$H$40="Todos",datos_base!$B$9,0))*parametros_manuales!$C$97+parametros_manuales!$E$40*(datos_base!$B$3+IF(parametros_manuales!$H$40="Todos",datos_base!$B$10,0))*parametros_manuales!$C$102+parametros_manuales!$F$40*(datos_base!$B$4+IF(parametros_manuales!$H$40="Todos",datos_base!$B$11,0))*parametros_manuales!$C$107+parametros_manuales!$G$40*(datos_base!$B$5+IF(parametros_manuales!$H$40="Todos",datos_base!$B$12,0))*parametros_manuales!$C$112)*parametros_manuales!$I$40*parametros_manuales!$J$40</f>
        <v>588.75</v>
      </c>
      <c r="D23" s="8">
        <f>(parametros_manuales!$D$40*(datos_base!$B$2+IF(parametros_manuales!$H$40="Todos",datos_base!$B$9,0))*parametros_manuales!$D$97+parametros_manuales!$E$40*(datos_base!$B$3+IF(parametros_manuales!$H$40="Todos",datos_base!$B$10,0))*parametros_manuales!$D$102+parametros_manuales!$F$40*(datos_base!$B$4+IF(parametros_manuales!$H$40="Todos",datos_base!$B$11,0))*parametros_manuales!$D$107+parametros_manuales!$G$40*(datos_base!$B$5+IF(parametros_manuales!$H$40="Todos",datos_base!$B$12,0))*parametros_manuales!$D$112)*parametros_manuales!$I$40*parametros_manuales!$J$40</f>
        <v>560.25</v>
      </c>
      <c r="E23" s="8">
        <f>(parametros_manuales!$D$40*(datos_base!$B$2+IF(parametros_manuales!$H$40="Todos",datos_base!$B$9,0))*parametros_manuales!$E$97+parametros_manuales!$E$40*(datos_base!$B$3+IF(parametros_manuales!$H$40="Todos",datos_base!$B$10,0))*parametros_manuales!$E$102+parametros_manuales!$F$40*(datos_base!$B$4+IF(parametros_manuales!$H$40="Todos",datos_base!$B$11,0))*parametros_manuales!$E$107+parametros_manuales!$G$40*(datos_base!$B$5+IF(parametros_manuales!$H$40="Todos",datos_base!$B$12,0))*parametros_manuales!$E$112)*parametros_manuales!$I$40*parametros_manuales!$J$40</f>
        <v>539.355</v>
      </c>
      <c r="F23" s="8">
        <f>(parametros_manuales!$D$40*(datos_base!$B$2+IF(parametros_manuales!$H$40="Todos",datos_base!$B$9,0))*parametros_manuales!$F$97+parametros_manuales!$E$40*(datos_base!$B$3+IF(parametros_manuales!$H$40="Todos",datos_base!$B$10,0))*parametros_manuales!$F$102+parametros_manuales!$F$40*(datos_base!$B$4+IF(parametros_manuales!$H$40="Todos",datos_base!$B$11,0))*parametros_manuales!$F$107+parametros_manuales!$G$40*(datos_base!$B$5+IF(parametros_manuales!$H$40="Todos",datos_base!$B$12,0))*parametros_manuales!$F$112)*parametros_manuales!$I$40*parametros_manuales!$J$40</f>
        <v>505.17</v>
      </c>
      <c r="G23" s="8">
        <f>(parametros_manuales!$D$40*(datos_base!$B$2+IF(parametros_manuales!$H$40="Todos",datos_base!$B$9,0))*parametros_manuales!$G$97+parametros_manuales!$E$40*(datos_base!$B$3+IF(parametros_manuales!$H$40="Todos",datos_base!$B$10,0))*parametros_manuales!$G$102+parametros_manuales!$F$40*(datos_base!$B$4+IF(parametros_manuales!$H$40="Todos",datos_base!$B$11,0))*parametros_manuales!$G$107+parametros_manuales!$G$40*(datos_base!$B$5+IF(parametros_manuales!$H$40="Todos",datos_base!$B$12,0))*parametros_manuales!$G$112)*parametros_manuales!$I$40*parametros_manuales!$J$40</f>
        <v>491.88</v>
      </c>
      <c r="H23" s="8">
        <f>(parametros_manuales!$D$40*(datos_base!$B$2+IF(parametros_manuales!$H$40="Todos",datos_base!$B$9,0))*parametros_manuales!$H$97+parametros_manuales!$E$40*(datos_base!$B$3+IF(parametros_manuales!$H$40="Todos",datos_base!$B$10,0))*parametros_manuales!$H$102+parametros_manuales!$F$40*(datos_base!$B$4+IF(parametros_manuales!$H$40="Todos",datos_base!$B$11,0))*parametros_manuales!$H$107+parametros_manuales!$G$40*(datos_base!$B$5+IF(parametros_manuales!$H$40="Todos",datos_base!$B$12,0))*parametros_manuales!$H$112)*parametros_manuales!$I$40*parametros_manuales!$J$40</f>
        <v>526.065</v>
      </c>
      <c r="I23" s="8">
        <f>(parametros_manuales!$D$40*(datos_base!$B$2+IF(parametros_manuales!$H$40="Todos",datos_base!$B$9,0))*parametros_manuales!$I$97+parametros_manuales!$E$40*(datos_base!$B$3+IF(parametros_manuales!$H$40="Todos",datos_base!$B$10,0))*parametros_manuales!$I$102+parametros_manuales!$F$40*(datos_base!$B$4+IF(parametros_manuales!$H$40="Todos",datos_base!$B$11,0))*parametros_manuales!$I$107+parametros_manuales!$G$40*(datos_base!$B$5+IF(parametros_manuales!$H$40="Todos",datos_base!$B$12,0))*parametros_manuales!$I$112)*parametros_manuales!$I$40*parametros_manuales!$J$40</f>
        <v>588.75</v>
      </c>
      <c r="J23" s="8">
        <f>(parametros_manuales!$D$40*(datos_base!$B$2+IF(parametros_manuales!$H$40="Todos",datos_base!$B$9,0))*parametros_manuales!$J$97+parametros_manuales!$E$40*(datos_base!$B$3+IF(parametros_manuales!$H$40="Todos",datos_base!$B$10,0))*parametros_manuales!$J$102+parametros_manuales!$F$40*(datos_base!$B$4+IF(parametros_manuales!$H$40="Todos",datos_base!$B$11,0))*parametros_manuales!$J$107+parametros_manuales!$G$40*(datos_base!$B$5+IF(parametros_manuales!$H$40="Todos",datos_base!$B$12,0))*parametros_manuales!$J$112)*parametros_manuales!$I$40*parametros_manuales!$J$40</f>
        <v>588.75</v>
      </c>
      <c r="K23" s="8">
        <f>(parametros_manuales!$D$40*(datos_base!$B$2+IF(parametros_manuales!$H$40="Todos",datos_base!$B$9,0))*parametros_manuales!$K$97+parametros_manuales!$E$40*(datos_base!$B$3+IF(parametros_manuales!$H$40="Todos",datos_base!$B$10,0))*parametros_manuales!$K$102+parametros_manuales!$F$40*(datos_base!$B$4+IF(parametros_manuales!$H$40="Todos",datos_base!$B$11,0))*parametros_manuales!$K$107+parametros_manuales!$G$40*(datos_base!$B$5+IF(parametros_manuales!$H$40="Todos",datos_base!$B$12,0))*parametros_manuales!$K$112)*parametros_manuales!$I$40*parametros_manuales!$J$40</f>
        <v>602.04</v>
      </c>
      <c r="L23" s="8">
        <f>(parametros_manuales!$D$40*(datos_base!$B$2+IF(parametros_manuales!$H$40="Todos",datos_base!$B$9,0))*parametros_manuales!$L$97+parametros_manuales!$E$40*(datos_base!$B$3+IF(parametros_manuales!$H$40="Todos",datos_base!$B$10,0))*parametros_manuales!$L$102+parametros_manuales!$F$40*(datos_base!$B$4+IF(parametros_manuales!$H$40="Todos",datos_base!$B$11,0))*parametros_manuales!$L$107+parametros_manuales!$G$40*(datos_base!$B$5+IF(parametros_manuales!$H$40="Todos",datos_base!$B$12,0))*parametros_manuales!$L$112)*parametros_manuales!$I$40*parametros_manuales!$J$40</f>
        <v>615.33</v>
      </c>
      <c r="M23" s="8">
        <f>(parametros_manuales!$D$40*(datos_base!$B$2+IF(parametros_manuales!$H$40="Todos",datos_base!$B$9,0))*parametros_manuales!$M$97+parametros_manuales!$E$40*(datos_base!$B$3+IF(parametros_manuales!$H$40="Todos",datos_base!$B$10,0))*parametros_manuales!$M$102+parametros_manuales!$F$40*(datos_base!$B$4+IF(parametros_manuales!$H$40="Todos",datos_base!$B$11,0))*parametros_manuales!$M$107+parametros_manuales!$G$40*(datos_base!$B$5+IF(parametros_manuales!$H$40="Todos",datos_base!$B$12,0))*parametros_manuales!$M$112)*parametros_manuales!$I$40*parametros_manuales!$J$40</f>
        <v>615.33</v>
      </c>
      <c r="N23" s="8">
        <f t="shared" si="1"/>
        <v>6837</v>
      </c>
      <c r="O23" s="8">
        <f t="shared" si="2"/>
        <v>615.33</v>
      </c>
      <c r="P23" s="27">
        <f>O23/(parametros_manuales!$B$7)</f>
        <v>4.1022</v>
      </c>
      <c r="Q23" s="4" t="str">
        <f t="shared" si="3"/>
        <v>Ene</v>
      </c>
      <c r="R23" s="16"/>
      <c r="S23" s="16"/>
    </row>
    <row r="24" ht="14.25" customHeight="1">
      <c r="A24" s="4" t="str">
        <f>parametros_manuales!$B$41</f>
        <v>Presurización</v>
      </c>
      <c r="B24" s="8">
        <f>(parametros_manuales!$D$41*(datos_base!$B$2+IF(parametros_manuales!$H$41="Todos",datos_base!$B$9,0))*parametros_manuales!$B$97+parametros_manuales!$E$41*(datos_base!$B$3+IF(parametros_manuales!$H$41="Todos",datos_base!$B$10,0))*parametros_manuales!$B$102+parametros_manuales!$F$41*(datos_base!$B$4+IF(parametros_manuales!$H$41="Todos",datos_base!$B$11,0))*parametros_manuales!$B$107+parametros_manuales!$G$41*(datos_base!$B$5+IF(parametros_manuales!$H$41="Todos",datos_base!$B$12,0))*parametros_manuales!$B$112)*parametros_manuales!$I$41*parametros_manuales!$J$41</f>
        <v>615.33</v>
      </c>
      <c r="C24" s="8">
        <f>(parametros_manuales!$D$41*(datos_base!$B$2+IF(parametros_manuales!$H$41="Todos",datos_base!$B$9,0))*parametros_manuales!$C$97+parametros_manuales!$E$41*(datos_base!$B$3+IF(parametros_manuales!$H$41="Todos",datos_base!$B$10,0))*parametros_manuales!$C$102+parametros_manuales!$F$41*(datos_base!$B$4+IF(parametros_manuales!$H$41="Todos",datos_base!$B$11,0))*parametros_manuales!$C$107+parametros_manuales!$G$41*(datos_base!$B$5+IF(parametros_manuales!$H$41="Todos",datos_base!$B$12,0))*parametros_manuales!$C$112)*parametros_manuales!$I$41*parametros_manuales!$J$41</f>
        <v>588.75</v>
      </c>
      <c r="D24" s="8">
        <f>(parametros_manuales!$D$41*(datos_base!$B$2+IF(parametros_manuales!$H$41="Todos",datos_base!$B$9,0))*parametros_manuales!$D$97+parametros_manuales!$E$41*(datos_base!$B$3+IF(parametros_manuales!$H$41="Todos",datos_base!$B$10,0))*parametros_manuales!$D$102+parametros_manuales!$F$41*(datos_base!$B$4+IF(parametros_manuales!$H$41="Todos",datos_base!$B$11,0))*parametros_manuales!$D$107+parametros_manuales!$G$41*(datos_base!$B$5+IF(parametros_manuales!$H$41="Todos",datos_base!$B$12,0))*parametros_manuales!$D$112)*parametros_manuales!$I$41*parametros_manuales!$J$41</f>
        <v>560.25</v>
      </c>
      <c r="E24" s="8">
        <f>(parametros_manuales!$D$41*(datos_base!$B$2+IF(parametros_manuales!$H$41="Todos",datos_base!$B$9,0))*parametros_manuales!$E$97+parametros_manuales!$E$41*(datos_base!$B$3+IF(parametros_manuales!$H$41="Todos",datos_base!$B$10,0))*parametros_manuales!$E$102+parametros_manuales!$F$41*(datos_base!$B$4+IF(parametros_manuales!$H$41="Todos",datos_base!$B$11,0))*parametros_manuales!$E$107+parametros_manuales!$G$41*(datos_base!$B$5+IF(parametros_manuales!$H$41="Todos",datos_base!$B$12,0))*parametros_manuales!$E$112)*parametros_manuales!$I$41*parametros_manuales!$J$41</f>
        <v>539.355</v>
      </c>
      <c r="F24" s="8">
        <f>(parametros_manuales!$D$41*(datos_base!$B$2+IF(parametros_manuales!$H$41="Todos",datos_base!$B$9,0))*parametros_manuales!$F$97+parametros_manuales!$E$41*(datos_base!$B$3+IF(parametros_manuales!$H$41="Todos",datos_base!$B$10,0))*parametros_manuales!$F$102+parametros_manuales!$F$41*(datos_base!$B$4+IF(parametros_manuales!$H$41="Todos",datos_base!$B$11,0))*parametros_manuales!$F$107+parametros_manuales!$G$41*(datos_base!$B$5+IF(parametros_manuales!$H$41="Todos",datos_base!$B$12,0))*parametros_manuales!$F$112)*parametros_manuales!$I$41*parametros_manuales!$J$41</f>
        <v>505.17</v>
      </c>
      <c r="G24" s="8">
        <f>(parametros_manuales!$D$41*(datos_base!$B$2+IF(parametros_manuales!$H$41="Todos",datos_base!$B$9,0))*parametros_manuales!$G$97+parametros_manuales!$E$41*(datos_base!$B$3+IF(parametros_manuales!$H$41="Todos",datos_base!$B$10,0))*parametros_manuales!$G$102+parametros_manuales!$F$41*(datos_base!$B$4+IF(parametros_manuales!$H$41="Todos",datos_base!$B$11,0))*parametros_manuales!$G$107+parametros_manuales!$G$41*(datos_base!$B$5+IF(parametros_manuales!$H$41="Todos",datos_base!$B$12,0))*parametros_manuales!$G$112)*parametros_manuales!$I$41*parametros_manuales!$J$41</f>
        <v>491.88</v>
      </c>
      <c r="H24" s="8">
        <f>(parametros_manuales!$D$41*(datos_base!$B$2+IF(parametros_manuales!$H$41="Todos",datos_base!$B$9,0))*parametros_manuales!$H$97+parametros_manuales!$E$41*(datos_base!$B$3+IF(parametros_manuales!$H$41="Todos",datos_base!$B$10,0))*parametros_manuales!$H$102+parametros_manuales!$F$41*(datos_base!$B$4+IF(parametros_manuales!$H$41="Todos",datos_base!$B$11,0))*parametros_manuales!$H$107+parametros_manuales!$G$41*(datos_base!$B$5+IF(parametros_manuales!$H$41="Todos",datos_base!$B$12,0))*parametros_manuales!$H$112)*parametros_manuales!$I$41*parametros_manuales!$J$41</f>
        <v>526.065</v>
      </c>
      <c r="I24" s="8">
        <f>(parametros_manuales!$D$41*(datos_base!$B$2+IF(parametros_manuales!$H$41="Todos",datos_base!$B$9,0))*parametros_manuales!$I$97+parametros_manuales!$E$41*(datos_base!$B$3+IF(parametros_manuales!$H$41="Todos",datos_base!$B$10,0))*parametros_manuales!$I$102+parametros_manuales!$F$41*(datos_base!$B$4+IF(parametros_manuales!$H$41="Todos",datos_base!$B$11,0))*parametros_manuales!$I$107+parametros_manuales!$G$41*(datos_base!$B$5+IF(parametros_manuales!$H$41="Todos",datos_base!$B$12,0))*parametros_manuales!$I$112)*parametros_manuales!$I$41*parametros_manuales!$J$41</f>
        <v>588.75</v>
      </c>
      <c r="J24" s="8">
        <f>(parametros_manuales!$D$41*(datos_base!$B$2+IF(parametros_manuales!$H$41="Todos",datos_base!$B$9,0))*parametros_manuales!$J$97+parametros_manuales!$E$41*(datos_base!$B$3+IF(parametros_manuales!$H$41="Todos",datos_base!$B$10,0))*parametros_manuales!$J$102+parametros_manuales!$F$41*(datos_base!$B$4+IF(parametros_manuales!$H$41="Todos",datos_base!$B$11,0))*parametros_manuales!$J$107+parametros_manuales!$G$41*(datos_base!$B$5+IF(parametros_manuales!$H$41="Todos",datos_base!$B$12,0))*parametros_manuales!$J$112)*parametros_manuales!$I$41*parametros_manuales!$J$41</f>
        <v>588.75</v>
      </c>
      <c r="K24" s="8">
        <f>(parametros_manuales!$D$41*(datos_base!$B$2+IF(parametros_manuales!$H$41="Todos",datos_base!$B$9,0))*parametros_manuales!$K$97+parametros_manuales!$E$41*(datos_base!$B$3+IF(parametros_manuales!$H$41="Todos",datos_base!$B$10,0))*parametros_manuales!$K$102+parametros_manuales!$F$41*(datos_base!$B$4+IF(parametros_manuales!$H$41="Todos",datos_base!$B$11,0))*parametros_manuales!$K$107+parametros_manuales!$G$41*(datos_base!$B$5+IF(parametros_manuales!$H$41="Todos",datos_base!$B$12,0))*parametros_manuales!$K$112)*parametros_manuales!$I$41*parametros_manuales!$J$41</f>
        <v>602.04</v>
      </c>
      <c r="L24" s="8">
        <f>(parametros_manuales!$D$41*(datos_base!$B$2+IF(parametros_manuales!$H$41="Todos",datos_base!$B$9,0))*parametros_manuales!$L$97+parametros_manuales!$E$41*(datos_base!$B$3+IF(parametros_manuales!$H$41="Todos",datos_base!$B$10,0))*parametros_manuales!$L$102+parametros_manuales!$F$41*(datos_base!$B$4+IF(parametros_manuales!$H$41="Todos",datos_base!$B$11,0))*parametros_manuales!$L$107+parametros_manuales!$G$41*(datos_base!$B$5+IF(parametros_manuales!$H$41="Todos",datos_base!$B$12,0))*parametros_manuales!$L$112)*parametros_manuales!$I$41*parametros_manuales!$J$41</f>
        <v>615.33</v>
      </c>
      <c r="M24" s="8">
        <f>(parametros_manuales!$D$41*(datos_base!$B$2+IF(parametros_manuales!$H$41="Todos",datos_base!$B$9,0))*parametros_manuales!$M$97+parametros_manuales!$E$41*(datos_base!$B$3+IF(parametros_manuales!$H$41="Todos",datos_base!$B$10,0))*parametros_manuales!$M$102+parametros_manuales!$F$41*(datos_base!$B$4+IF(parametros_manuales!$H$41="Todos",datos_base!$B$11,0))*parametros_manuales!$M$107+parametros_manuales!$G$41*(datos_base!$B$5+IF(parametros_manuales!$H$41="Todos",datos_base!$B$12,0))*parametros_manuales!$M$112)*parametros_manuales!$I$41*parametros_manuales!$J$41</f>
        <v>615.33</v>
      </c>
      <c r="N24" s="8">
        <f t="shared" si="1"/>
        <v>6837</v>
      </c>
      <c r="O24" s="8">
        <f t="shared" si="2"/>
        <v>615.33</v>
      </c>
      <c r="P24" s="27">
        <f>O24/(parametros_manuales!$B$7)</f>
        <v>4.1022</v>
      </c>
      <c r="Q24" s="4" t="str">
        <f t="shared" si="3"/>
        <v>Ene</v>
      </c>
      <c r="R24" s="16"/>
      <c r="S24" s="16"/>
    </row>
    <row r="25" ht="14.25" customHeight="1">
      <c r="A25" s="4" t="str">
        <f>parametros_manuales!$B$42</f>
        <v>Control de calidad — Ensayo de pérdidas</v>
      </c>
      <c r="B25" s="8">
        <f>(parametros_manuales!$D$42*(datos_base!$B$2+IF(parametros_manuales!$H$42="Todos",datos_base!$B$9,0))*parametros_manuales!$B$97+parametros_manuales!$E$42*(datos_base!$B$3+IF(parametros_manuales!$H$42="Todos",datos_base!$B$10,0))*parametros_manuales!$B$102+parametros_manuales!$F$42*(datos_base!$B$4+IF(parametros_manuales!$H$42="Todos",datos_base!$B$11,0))*parametros_manuales!$B$107+parametros_manuales!$G$42*(datos_base!$B$5+IF(parametros_manuales!$H$42="Todos",datos_base!$B$12,0))*parametros_manuales!$B$112)*parametros_manuales!$I$42*parametros_manuales!$J$42</f>
        <v>615.33</v>
      </c>
      <c r="C25" s="8">
        <f>(parametros_manuales!$D$42*(datos_base!$B$2+IF(parametros_manuales!$H$42="Todos",datos_base!$B$9,0))*parametros_manuales!$C$97+parametros_manuales!$E$42*(datos_base!$B$3+IF(parametros_manuales!$H$42="Todos",datos_base!$B$10,0))*parametros_manuales!$C$102+parametros_manuales!$F$42*(datos_base!$B$4+IF(parametros_manuales!$H$42="Todos",datos_base!$B$11,0))*parametros_manuales!$C$107+parametros_manuales!$G$42*(datos_base!$B$5+IF(parametros_manuales!$H$42="Todos",datos_base!$B$12,0))*parametros_manuales!$C$112)*parametros_manuales!$I$42*parametros_manuales!$J$42</f>
        <v>588.75</v>
      </c>
      <c r="D25" s="8">
        <f>(parametros_manuales!$D$42*(datos_base!$B$2+IF(parametros_manuales!$H$42="Todos",datos_base!$B$9,0))*parametros_manuales!$D$97+parametros_manuales!$E$42*(datos_base!$B$3+IF(parametros_manuales!$H$42="Todos",datos_base!$B$10,0))*parametros_manuales!$D$102+parametros_manuales!$F$42*(datos_base!$B$4+IF(parametros_manuales!$H$42="Todos",datos_base!$B$11,0))*parametros_manuales!$D$107+parametros_manuales!$G$42*(datos_base!$B$5+IF(parametros_manuales!$H$42="Todos",datos_base!$B$12,0))*parametros_manuales!$D$112)*parametros_manuales!$I$42*parametros_manuales!$J$42</f>
        <v>560.25</v>
      </c>
      <c r="E25" s="8">
        <f>(parametros_manuales!$D$42*(datos_base!$B$2+IF(parametros_manuales!$H$42="Todos",datos_base!$B$9,0))*parametros_manuales!$E$97+parametros_manuales!$E$42*(datos_base!$B$3+IF(parametros_manuales!$H$42="Todos",datos_base!$B$10,0))*parametros_manuales!$E$102+parametros_manuales!$F$42*(datos_base!$B$4+IF(parametros_manuales!$H$42="Todos",datos_base!$B$11,0))*parametros_manuales!$E$107+parametros_manuales!$G$42*(datos_base!$B$5+IF(parametros_manuales!$H$42="Todos",datos_base!$B$12,0))*parametros_manuales!$E$112)*parametros_manuales!$I$42*parametros_manuales!$J$42</f>
        <v>539.355</v>
      </c>
      <c r="F25" s="8">
        <f>(parametros_manuales!$D$42*(datos_base!$B$2+IF(parametros_manuales!$H$42="Todos",datos_base!$B$9,0))*parametros_manuales!$F$97+parametros_manuales!$E$42*(datos_base!$B$3+IF(parametros_manuales!$H$42="Todos",datos_base!$B$10,0))*parametros_manuales!$F$102+parametros_manuales!$F$42*(datos_base!$B$4+IF(parametros_manuales!$H$42="Todos",datos_base!$B$11,0))*parametros_manuales!$F$107+parametros_manuales!$G$42*(datos_base!$B$5+IF(parametros_manuales!$H$42="Todos",datos_base!$B$12,0))*parametros_manuales!$F$112)*parametros_manuales!$I$42*parametros_manuales!$J$42</f>
        <v>505.17</v>
      </c>
      <c r="G25" s="8">
        <f>(parametros_manuales!$D$42*(datos_base!$B$2+IF(parametros_manuales!$H$42="Todos",datos_base!$B$9,0))*parametros_manuales!$G$97+parametros_manuales!$E$42*(datos_base!$B$3+IF(parametros_manuales!$H$42="Todos",datos_base!$B$10,0))*parametros_manuales!$G$102+parametros_manuales!$F$42*(datos_base!$B$4+IF(parametros_manuales!$H$42="Todos",datos_base!$B$11,0))*parametros_manuales!$G$107+parametros_manuales!$G$42*(datos_base!$B$5+IF(parametros_manuales!$H$42="Todos",datos_base!$B$12,0))*parametros_manuales!$G$112)*parametros_manuales!$I$42*parametros_manuales!$J$42</f>
        <v>491.88</v>
      </c>
      <c r="H25" s="8">
        <f>(parametros_manuales!$D$42*(datos_base!$B$2+IF(parametros_manuales!$H$42="Todos",datos_base!$B$9,0))*parametros_manuales!$H$97+parametros_manuales!$E$42*(datos_base!$B$3+IF(parametros_manuales!$H$42="Todos",datos_base!$B$10,0))*parametros_manuales!$H$102+parametros_manuales!$F$42*(datos_base!$B$4+IF(parametros_manuales!$H$42="Todos",datos_base!$B$11,0))*parametros_manuales!$H$107+parametros_manuales!$G$42*(datos_base!$B$5+IF(parametros_manuales!$H$42="Todos",datos_base!$B$12,0))*parametros_manuales!$H$112)*parametros_manuales!$I$42*parametros_manuales!$J$42</f>
        <v>526.065</v>
      </c>
      <c r="I25" s="8">
        <f>(parametros_manuales!$D$42*(datos_base!$B$2+IF(parametros_manuales!$H$42="Todos",datos_base!$B$9,0))*parametros_manuales!$I$97+parametros_manuales!$E$42*(datos_base!$B$3+IF(parametros_manuales!$H$42="Todos",datos_base!$B$10,0))*parametros_manuales!$I$102+parametros_manuales!$F$42*(datos_base!$B$4+IF(parametros_manuales!$H$42="Todos",datos_base!$B$11,0))*parametros_manuales!$I$107+parametros_manuales!$G$42*(datos_base!$B$5+IF(parametros_manuales!$H$42="Todos",datos_base!$B$12,0))*parametros_manuales!$I$112)*parametros_manuales!$I$42*parametros_manuales!$J$42</f>
        <v>588.75</v>
      </c>
      <c r="J25" s="8">
        <f>(parametros_manuales!$D$42*(datos_base!$B$2+IF(parametros_manuales!$H$42="Todos",datos_base!$B$9,0))*parametros_manuales!$J$97+parametros_manuales!$E$42*(datos_base!$B$3+IF(parametros_manuales!$H$42="Todos",datos_base!$B$10,0))*parametros_manuales!$J$102+parametros_manuales!$F$42*(datos_base!$B$4+IF(parametros_manuales!$H$42="Todos",datos_base!$B$11,0))*parametros_manuales!$J$107+parametros_manuales!$G$42*(datos_base!$B$5+IF(parametros_manuales!$H$42="Todos",datos_base!$B$12,0))*parametros_manuales!$J$112)*parametros_manuales!$I$42*parametros_manuales!$J$42</f>
        <v>588.75</v>
      </c>
      <c r="K25" s="8">
        <f>(parametros_manuales!$D$42*(datos_base!$B$2+IF(parametros_manuales!$H$42="Todos",datos_base!$B$9,0))*parametros_manuales!$K$97+parametros_manuales!$E$42*(datos_base!$B$3+IF(parametros_manuales!$H$42="Todos",datos_base!$B$10,0))*parametros_manuales!$K$102+parametros_manuales!$F$42*(datos_base!$B$4+IF(parametros_manuales!$H$42="Todos",datos_base!$B$11,0))*parametros_manuales!$K$107+parametros_manuales!$G$42*(datos_base!$B$5+IF(parametros_manuales!$H$42="Todos",datos_base!$B$12,0))*parametros_manuales!$K$112)*parametros_manuales!$I$42*parametros_manuales!$J$42</f>
        <v>602.04</v>
      </c>
      <c r="L25" s="8">
        <f>(parametros_manuales!$D$42*(datos_base!$B$2+IF(parametros_manuales!$H$42="Todos",datos_base!$B$9,0))*parametros_manuales!$L$97+parametros_manuales!$E$42*(datos_base!$B$3+IF(parametros_manuales!$H$42="Todos",datos_base!$B$10,0))*parametros_manuales!$L$102+parametros_manuales!$F$42*(datos_base!$B$4+IF(parametros_manuales!$H$42="Todos",datos_base!$B$11,0))*parametros_manuales!$L$107+parametros_manuales!$G$42*(datos_base!$B$5+IF(parametros_manuales!$H$42="Todos",datos_base!$B$12,0))*parametros_manuales!$L$112)*parametros_manuales!$I$42*parametros_manuales!$J$42</f>
        <v>615.33</v>
      </c>
      <c r="M25" s="8">
        <f>(parametros_manuales!$D$42*(datos_base!$B$2+IF(parametros_manuales!$H$42="Todos",datos_base!$B$9,0))*parametros_manuales!$M$97+parametros_manuales!$E$42*(datos_base!$B$3+IF(parametros_manuales!$H$42="Todos",datos_base!$B$10,0))*parametros_manuales!$M$102+parametros_manuales!$F$42*(datos_base!$B$4+IF(parametros_manuales!$H$42="Todos",datos_base!$B$11,0))*parametros_manuales!$M$107+parametros_manuales!$G$42*(datos_base!$B$5+IF(parametros_manuales!$H$42="Todos",datos_base!$B$12,0))*parametros_manuales!$M$112)*parametros_manuales!$I$42*parametros_manuales!$J$42</f>
        <v>615.33</v>
      </c>
      <c r="N25" s="8">
        <f t="shared" si="1"/>
        <v>6837</v>
      </c>
      <c r="O25" s="8">
        <f t="shared" si="2"/>
        <v>615.33</v>
      </c>
      <c r="P25" s="27">
        <f>O25/(parametros_manuales!$B$7)</f>
        <v>4.1022</v>
      </c>
      <c r="Q25" s="4" t="str">
        <f t="shared" si="3"/>
        <v>Ene</v>
      </c>
      <c r="R25" s="16"/>
      <c r="S25" s="16"/>
    </row>
    <row r="26" ht="14.25" customHeight="1">
      <c r="A26" s="4" t="str">
        <f>parametros_manuales!$B$43</f>
        <v>Etiquetado</v>
      </c>
      <c r="B26" s="8">
        <f>(parametros_manuales!$D$43*(datos_base!$B$2+IF(parametros_manuales!$H$43="Todos",datos_base!$B$9,0))*parametros_manuales!$B$97+parametros_manuales!$E$43*(datos_base!$B$3+IF(parametros_manuales!$H$43="Todos",datos_base!$B$10,0))*parametros_manuales!$B$102+parametros_manuales!$F$43*(datos_base!$B$4+IF(parametros_manuales!$H$43="Todos",datos_base!$B$11,0))*parametros_manuales!$B$107+parametros_manuales!$G$43*(datos_base!$B$5+IF(parametros_manuales!$H$43="Todos",datos_base!$B$12,0))*parametros_manuales!$B$112)*parametros_manuales!$I$43*parametros_manuales!$J$43</f>
        <v>615.33</v>
      </c>
      <c r="C26" s="8">
        <f>(parametros_manuales!$D$43*(datos_base!$B$2+IF(parametros_manuales!$H$43="Todos",datos_base!$B$9,0))*parametros_manuales!$C$97+parametros_manuales!$E$43*(datos_base!$B$3+IF(parametros_manuales!$H$43="Todos",datos_base!$B$10,0))*parametros_manuales!$C$102+parametros_manuales!$F$43*(datos_base!$B$4+IF(parametros_manuales!$H$43="Todos",datos_base!$B$11,0))*parametros_manuales!$C$107+parametros_manuales!$G$43*(datos_base!$B$5+IF(parametros_manuales!$H$43="Todos",datos_base!$B$12,0))*parametros_manuales!$C$112)*parametros_manuales!$I$43*parametros_manuales!$J$43</f>
        <v>588.75</v>
      </c>
      <c r="D26" s="8">
        <f>(parametros_manuales!$D$43*(datos_base!$B$2+IF(parametros_manuales!$H$43="Todos",datos_base!$B$9,0))*parametros_manuales!$D$97+parametros_manuales!$E$43*(datos_base!$B$3+IF(parametros_manuales!$H$43="Todos",datos_base!$B$10,0))*parametros_manuales!$D$102+parametros_manuales!$F$43*(datos_base!$B$4+IF(parametros_manuales!$H$43="Todos",datos_base!$B$11,0))*parametros_manuales!$D$107+parametros_manuales!$G$43*(datos_base!$B$5+IF(parametros_manuales!$H$43="Todos",datos_base!$B$12,0))*parametros_manuales!$D$112)*parametros_manuales!$I$43*parametros_manuales!$J$43</f>
        <v>560.25</v>
      </c>
      <c r="E26" s="8">
        <f>(parametros_manuales!$D$43*(datos_base!$B$2+IF(parametros_manuales!$H$43="Todos",datos_base!$B$9,0))*parametros_manuales!$E$97+parametros_manuales!$E$43*(datos_base!$B$3+IF(parametros_manuales!$H$43="Todos",datos_base!$B$10,0))*parametros_manuales!$E$102+parametros_manuales!$F$43*(datos_base!$B$4+IF(parametros_manuales!$H$43="Todos",datos_base!$B$11,0))*parametros_manuales!$E$107+parametros_manuales!$G$43*(datos_base!$B$5+IF(parametros_manuales!$H$43="Todos",datos_base!$B$12,0))*parametros_manuales!$E$112)*parametros_manuales!$I$43*parametros_manuales!$J$43</f>
        <v>539.355</v>
      </c>
      <c r="F26" s="8">
        <f>(parametros_manuales!$D$43*(datos_base!$B$2+IF(parametros_manuales!$H$43="Todos",datos_base!$B$9,0))*parametros_manuales!$F$97+parametros_manuales!$E$43*(datos_base!$B$3+IF(parametros_manuales!$H$43="Todos",datos_base!$B$10,0))*parametros_manuales!$F$102+parametros_manuales!$F$43*(datos_base!$B$4+IF(parametros_manuales!$H$43="Todos",datos_base!$B$11,0))*parametros_manuales!$F$107+parametros_manuales!$G$43*(datos_base!$B$5+IF(parametros_manuales!$H$43="Todos",datos_base!$B$12,0))*parametros_manuales!$F$112)*parametros_manuales!$I$43*parametros_manuales!$J$43</f>
        <v>505.17</v>
      </c>
      <c r="G26" s="8">
        <f>(parametros_manuales!$D$43*(datos_base!$B$2+IF(parametros_manuales!$H$43="Todos",datos_base!$B$9,0))*parametros_manuales!$G$97+parametros_manuales!$E$43*(datos_base!$B$3+IF(parametros_manuales!$H$43="Todos",datos_base!$B$10,0))*parametros_manuales!$G$102+parametros_manuales!$F$43*(datos_base!$B$4+IF(parametros_manuales!$H$43="Todos",datos_base!$B$11,0))*parametros_manuales!$G$107+parametros_manuales!$G$43*(datos_base!$B$5+IF(parametros_manuales!$H$43="Todos",datos_base!$B$12,0))*parametros_manuales!$G$112)*parametros_manuales!$I$43*parametros_manuales!$J$43</f>
        <v>491.88</v>
      </c>
      <c r="H26" s="8">
        <f>(parametros_manuales!$D$43*(datos_base!$B$2+IF(parametros_manuales!$H$43="Todos",datos_base!$B$9,0))*parametros_manuales!$H$97+parametros_manuales!$E$43*(datos_base!$B$3+IF(parametros_manuales!$H$43="Todos",datos_base!$B$10,0))*parametros_manuales!$H$102+parametros_manuales!$F$43*(datos_base!$B$4+IF(parametros_manuales!$H$43="Todos",datos_base!$B$11,0))*parametros_manuales!$H$107+parametros_manuales!$G$43*(datos_base!$B$5+IF(parametros_manuales!$H$43="Todos",datos_base!$B$12,0))*parametros_manuales!$H$112)*parametros_manuales!$I$43*parametros_manuales!$J$43</f>
        <v>526.065</v>
      </c>
      <c r="I26" s="8">
        <f>(parametros_manuales!$D$43*(datos_base!$B$2+IF(parametros_manuales!$H$43="Todos",datos_base!$B$9,0))*parametros_manuales!$I$97+parametros_manuales!$E$43*(datos_base!$B$3+IF(parametros_manuales!$H$43="Todos",datos_base!$B$10,0))*parametros_manuales!$I$102+parametros_manuales!$F$43*(datos_base!$B$4+IF(parametros_manuales!$H$43="Todos",datos_base!$B$11,0))*parametros_manuales!$I$107+parametros_manuales!$G$43*(datos_base!$B$5+IF(parametros_manuales!$H$43="Todos",datos_base!$B$12,0))*parametros_manuales!$I$112)*parametros_manuales!$I$43*parametros_manuales!$J$43</f>
        <v>588.75</v>
      </c>
      <c r="J26" s="8">
        <f>(parametros_manuales!$D$43*(datos_base!$B$2+IF(parametros_manuales!$H$43="Todos",datos_base!$B$9,0))*parametros_manuales!$J$97+parametros_manuales!$E$43*(datos_base!$B$3+IF(parametros_manuales!$H$43="Todos",datos_base!$B$10,0))*parametros_manuales!$J$102+parametros_manuales!$F$43*(datos_base!$B$4+IF(parametros_manuales!$H$43="Todos",datos_base!$B$11,0))*parametros_manuales!$J$107+parametros_manuales!$G$43*(datos_base!$B$5+IF(parametros_manuales!$H$43="Todos",datos_base!$B$12,0))*parametros_manuales!$J$112)*parametros_manuales!$I$43*parametros_manuales!$J$43</f>
        <v>588.75</v>
      </c>
      <c r="K26" s="8">
        <f>(parametros_manuales!$D$43*(datos_base!$B$2+IF(parametros_manuales!$H$43="Todos",datos_base!$B$9,0))*parametros_manuales!$K$97+parametros_manuales!$E$43*(datos_base!$B$3+IF(parametros_manuales!$H$43="Todos",datos_base!$B$10,0))*parametros_manuales!$K$102+parametros_manuales!$F$43*(datos_base!$B$4+IF(parametros_manuales!$H$43="Todos",datos_base!$B$11,0))*parametros_manuales!$K$107+parametros_manuales!$G$43*(datos_base!$B$5+IF(parametros_manuales!$H$43="Todos",datos_base!$B$12,0))*parametros_manuales!$K$112)*parametros_manuales!$I$43*parametros_manuales!$J$43</f>
        <v>602.04</v>
      </c>
      <c r="L26" s="8">
        <f>(parametros_manuales!$D$43*(datos_base!$B$2+IF(parametros_manuales!$H$43="Todos",datos_base!$B$9,0))*parametros_manuales!$L$97+parametros_manuales!$E$43*(datos_base!$B$3+IF(parametros_manuales!$H$43="Todos",datos_base!$B$10,0))*parametros_manuales!$L$102+parametros_manuales!$F$43*(datos_base!$B$4+IF(parametros_manuales!$H$43="Todos",datos_base!$B$11,0))*parametros_manuales!$L$107+parametros_manuales!$G$43*(datos_base!$B$5+IF(parametros_manuales!$H$43="Todos",datos_base!$B$12,0))*parametros_manuales!$L$112)*parametros_manuales!$I$43*parametros_manuales!$J$43</f>
        <v>615.33</v>
      </c>
      <c r="M26" s="8">
        <f>(parametros_manuales!$D$43*(datos_base!$B$2+IF(parametros_manuales!$H$43="Todos",datos_base!$B$9,0))*parametros_manuales!$M$97+parametros_manuales!$E$43*(datos_base!$B$3+IF(parametros_manuales!$H$43="Todos",datos_base!$B$10,0))*parametros_manuales!$M$102+parametros_manuales!$F$43*(datos_base!$B$4+IF(parametros_manuales!$H$43="Todos",datos_base!$B$11,0))*parametros_manuales!$M$107+parametros_manuales!$G$43*(datos_base!$B$5+IF(parametros_manuales!$H$43="Todos",datos_base!$B$12,0))*parametros_manuales!$M$112)*parametros_manuales!$I$43*parametros_manuales!$J$43</f>
        <v>615.33</v>
      </c>
      <c r="N26" s="8">
        <f t="shared" si="1"/>
        <v>6837</v>
      </c>
      <c r="O26" s="8">
        <f t="shared" si="2"/>
        <v>615.33</v>
      </c>
      <c r="P26" s="27">
        <f>O26/(parametros_manuales!$B$7)</f>
        <v>4.1022</v>
      </c>
      <c r="Q26" s="4" t="str">
        <f t="shared" si="3"/>
        <v>Ene</v>
      </c>
      <c r="R26" s="16"/>
      <c r="S26" s="16"/>
    </row>
    <row r="27" ht="14.25" customHeight="1">
      <c r="A27" s="4" t="str">
        <f>parametros_manuales!$B$44</f>
        <v>Embalaje y paletizado</v>
      </c>
      <c r="B27" s="8">
        <f>(parametros_manuales!$D$44*(datos_base!$B$2+IF(parametros_manuales!$H$44="Todos",datos_base!$B$9,0))*parametros_manuales!$B$97+parametros_manuales!$E$44*(datos_base!$B$3+IF(parametros_manuales!$H$44="Todos",datos_base!$B$10,0))*parametros_manuales!$B$102+parametros_manuales!$F$44*(datos_base!$B$4+IF(parametros_manuales!$H$44="Todos",datos_base!$B$11,0))*parametros_manuales!$B$107+parametros_manuales!$G$44*(datos_base!$B$5+IF(parametros_manuales!$H$44="Todos",datos_base!$B$12,0))*parametros_manuales!$B$112)*parametros_manuales!$I$44*parametros_manuales!$J$44</f>
        <v>617.67</v>
      </c>
      <c r="C27" s="8">
        <f>(parametros_manuales!$D$44*(datos_base!$B$2+IF(parametros_manuales!$H$44="Todos",datos_base!$B$9,0))*parametros_manuales!$C$97+parametros_manuales!$E$44*(datos_base!$B$3+IF(parametros_manuales!$H$44="Todos",datos_base!$B$10,0))*parametros_manuales!$C$102+parametros_manuales!$F$44*(datos_base!$B$4+IF(parametros_manuales!$H$44="Todos",datos_base!$B$11,0))*parametros_manuales!$C$107+parametros_manuales!$G$44*(datos_base!$B$5+IF(parametros_manuales!$H$44="Todos",datos_base!$B$12,0))*parametros_manuales!$C$112)*parametros_manuales!$I$44*parametros_manuales!$J$44</f>
        <v>590.83</v>
      </c>
      <c r="D27" s="8">
        <f>(parametros_manuales!$D$44*(datos_base!$B$2+IF(parametros_manuales!$H$44="Todos",datos_base!$B$9,0))*parametros_manuales!$D$97+parametros_manuales!$E$44*(datos_base!$B$3+IF(parametros_manuales!$H$44="Todos",datos_base!$B$10,0))*parametros_manuales!$D$102+parametros_manuales!$F$44*(datos_base!$B$4+IF(parametros_manuales!$H$44="Todos",datos_base!$B$11,0))*parametros_manuales!$D$107+parametros_manuales!$G$44*(datos_base!$B$5+IF(parametros_manuales!$H$44="Todos",datos_base!$B$12,0))*parametros_manuales!$D$112)*parametros_manuales!$I$44*parametros_manuales!$J$44</f>
        <v>562.46</v>
      </c>
      <c r="E27" s="8">
        <f>(parametros_manuales!$D$44*(datos_base!$B$2+IF(parametros_manuales!$H$44="Todos",datos_base!$B$9,0))*parametros_manuales!$E$97+parametros_manuales!$E$44*(datos_base!$B$3+IF(parametros_manuales!$H$44="Todos",datos_base!$B$10,0))*parametros_manuales!$E$102+parametros_manuales!$F$44*(datos_base!$B$4+IF(parametros_manuales!$H$44="Todos",datos_base!$B$11,0))*parametros_manuales!$E$107+parametros_manuales!$G$44*(datos_base!$B$5+IF(parametros_manuales!$H$44="Todos",datos_base!$B$12,0))*parametros_manuales!$E$112)*parametros_manuales!$I$44*parametros_manuales!$J$44</f>
        <v>541.565</v>
      </c>
      <c r="F27" s="8">
        <f>(parametros_manuales!$D$44*(datos_base!$B$2+IF(parametros_manuales!$H$44="Todos",datos_base!$B$9,0))*parametros_manuales!$F$97+parametros_manuales!$E$44*(datos_base!$B$3+IF(parametros_manuales!$H$44="Todos",datos_base!$B$10,0))*parametros_manuales!$F$102+parametros_manuales!$F$44*(datos_base!$B$4+IF(parametros_manuales!$H$44="Todos",datos_base!$B$11,0))*parametros_manuales!$F$107+parametros_manuales!$G$44*(datos_base!$B$5+IF(parametros_manuales!$H$44="Todos",datos_base!$B$12,0))*parametros_manuales!$F$112)*parametros_manuales!$I$44*parametros_manuales!$J$44</f>
        <v>507.25</v>
      </c>
      <c r="G27" s="8">
        <f>(parametros_manuales!$D$44*(datos_base!$B$2+IF(parametros_manuales!$H$44="Todos",datos_base!$B$9,0))*parametros_manuales!$G$97+parametros_manuales!$E$44*(datos_base!$B$3+IF(parametros_manuales!$H$44="Todos",datos_base!$B$10,0))*parametros_manuales!$G$102+parametros_manuales!$F$44*(datos_base!$B$4+IF(parametros_manuales!$H$44="Todos",datos_base!$B$11,0))*parametros_manuales!$G$107+parametros_manuales!$G$44*(datos_base!$B$5+IF(parametros_manuales!$H$44="Todos",datos_base!$B$12,0))*parametros_manuales!$G$112)*parametros_manuales!$I$44*parametros_manuales!$J$44</f>
        <v>493.83</v>
      </c>
      <c r="H27" s="8">
        <f>(parametros_manuales!$D$44*(datos_base!$B$2+IF(parametros_manuales!$H$44="Todos",datos_base!$B$9,0))*parametros_manuales!$H$97+parametros_manuales!$E$44*(datos_base!$B$3+IF(parametros_manuales!$H$44="Todos",datos_base!$B$10,0))*parametros_manuales!$H$102+parametros_manuales!$F$44*(datos_base!$B$4+IF(parametros_manuales!$H$44="Todos",datos_base!$B$11,0))*parametros_manuales!$H$107+parametros_manuales!$G$44*(datos_base!$B$5+IF(parametros_manuales!$H$44="Todos",datos_base!$B$12,0))*parametros_manuales!$H$112)*parametros_manuales!$I$44*parametros_manuales!$J$44</f>
        <v>528.145</v>
      </c>
      <c r="I27" s="8">
        <f>(parametros_manuales!$D$44*(datos_base!$B$2+IF(parametros_manuales!$H$44="Todos",datos_base!$B$9,0))*parametros_manuales!$I$97+parametros_manuales!$E$44*(datos_base!$B$3+IF(parametros_manuales!$H$44="Todos",datos_base!$B$10,0))*parametros_manuales!$I$102+parametros_manuales!$F$44*(datos_base!$B$4+IF(parametros_manuales!$H$44="Todos",datos_base!$B$11,0))*parametros_manuales!$I$107+parametros_manuales!$G$44*(datos_base!$B$5+IF(parametros_manuales!$H$44="Todos",datos_base!$B$12,0))*parametros_manuales!$I$112)*parametros_manuales!$I$44*parametros_manuales!$J$44</f>
        <v>590.83</v>
      </c>
      <c r="J27" s="8">
        <f>(parametros_manuales!$D$44*(datos_base!$B$2+IF(parametros_manuales!$H$44="Todos",datos_base!$B$9,0))*parametros_manuales!$J$97+parametros_manuales!$E$44*(datos_base!$B$3+IF(parametros_manuales!$H$44="Todos",datos_base!$B$10,0))*parametros_manuales!$J$102+parametros_manuales!$F$44*(datos_base!$B$4+IF(parametros_manuales!$H$44="Todos",datos_base!$B$11,0))*parametros_manuales!$J$107+parametros_manuales!$G$44*(datos_base!$B$5+IF(parametros_manuales!$H$44="Todos",datos_base!$B$12,0))*parametros_manuales!$J$112)*parametros_manuales!$I$44*parametros_manuales!$J$44</f>
        <v>590.83</v>
      </c>
      <c r="K27" s="8">
        <f>(parametros_manuales!$D$44*(datos_base!$B$2+IF(parametros_manuales!$H$44="Todos",datos_base!$B$9,0))*parametros_manuales!$K$97+parametros_manuales!$E$44*(datos_base!$B$3+IF(parametros_manuales!$H$44="Todos",datos_base!$B$10,0))*parametros_manuales!$K$102+parametros_manuales!$F$44*(datos_base!$B$4+IF(parametros_manuales!$H$44="Todos",datos_base!$B$11,0))*parametros_manuales!$K$107+parametros_manuales!$G$44*(datos_base!$B$5+IF(parametros_manuales!$H$44="Todos",datos_base!$B$12,0))*parametros_manuales!$K$112)*parametros_manuales!$I$44*parametros_manuales!$J$44</f>
        <v>604.25</v>
      </c>
      <c r="L27" s="8">
        <f>(parametros_manuales!$D$44*(datos_base!$B$2+IF(parametros_manuales!$H$44="Todos",datos_base!$B$9,0))*parametros_manuales!$L$97+parametros_manuales!$E$44*(datos_base!$B$3+IF(parametros_manuales!$H$44="Todos",datos_base!$B$10,0))*parametros_manuales!$L$102+parametros_manuales!$F$44*(datos_base!$B$4+IF(parametros_manuales!$H$44="Todos",datos_base!$B$11,0))*parametros_manuales!$L$107+parametros_manuales!$G$44*(datos_base!$B$5+IF(parametros_manuales!$H$44="Todos",datos_base!$B$12,0))*parametros_manuales!$L$112)*parametros_manuales!$I$44*parametros_manuales!$J$44</f>
        <v>617.67</v>
      </c>
      <c r="M27" s="8">
        <f>(parametros_manuales!$D$44*(datos_base!$B$2+IF(parametros_manuales!$H$44="Todos",datos_base!$B$9,0))*parametros_manuales!$M$97+parametros_manuales!$E$44*(datos_base!$B$3+IF(parametros_manuales!$H$44="Todos",datos_base!$B$10,0))*parametros_manuales!$M$102+parametros_manuales!$F$44*(datos_base!$B$4+IF(parametros_manuales!$H$44="Todos",datos_base!$B$11,0))*parametros_manuales!$M$107+parametros_manuales!$G$44*(datos_base!$B$5+IF(parametros_manuales!$H$44="Todos",datos_base!$B$12,0))*parametros_manuales!$M$112)*parametros_manuales!$I$44*parametros_manuales!$J$44</f>
        <v>617.67</v>
      </c>
      <c r="N27" s="8">
        <f t="shared" si="1"/>
        <v>6863</v>
      </c>
      <c r="O27" s="8">
        <f t="shared" si="2"/>
        <v>617.67</v>
      </c>
      <c r="P27" s="27">
        <f>O27/(parametros_manuales!$B$7)</f>
        <v>4.1178</v>
      </c>
      <c r="Q27" s="4" t="str">
        <f t="shared" si="3"/>
        <v>Ene</v>
      </c>
      <c r="R27" s="16"/>
      <c r="S27" s="16"/>
    </row>
    <row r="28" ht="14.25" customHeight="1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</row>
    <row r="29" ht="14.25" customHeight="1">
      <c r="A29" s="1" t="s">
        <v>225</v>
      </c>
      <c r="B29" s="1" t="s">
        <v>5</v>
      </c>
      <c r="C29" s="1" t="s">
        <v>6</v>
      </c>
      <c r="D29" s="1" t="s">
        <v>7</v>
      </c>
      <c r="E29" s="1" t="s">
        <v>8</v>
      </c>
      <c r="F29" s="1" t="s">
        <v>9</v>
      </c>
      <c r="G29" s="1" t="s">
        <v>10</v>
      </c>
      <c r="H29" s="1" t="s">
        <v>12</v>
      </c>
      <c r="I29" s="1" t="s">
        <v>13</v>
      </c>
      <c r="J29" s="1" t="s">
        <v>15</v>
      </c>
      <c r="K29" s="1" t="s">
        <v>16</v>
      </c>
      <c r="L29" s="1" t="s">
        <v>17</v>
      </c>
      <c r="M29" s="1" t="s">
        <v>18</v>
      </c>
      <c r="N29" s="1" t="s">
        <v>19</v>
      </c>
      <c r="O29" s="1" t="s">
        <v>20</v>
      </c>
      <c r="P29" s="1" t="s">
        <v>21</v>
      </c>
      <c r="Q29" s="1" t="s">
        <v>22</v>
      </c>
      <c r="R29" s="16"/>
      <c r="S29" s="16"/>
    </row>
    <row r="30" ht="14.25" customHeight="1">
      <c r="A30" s="4" t="str">
        <f>parametros_manuales!$B$19</f>
        <v>Recepción de materia prima</v>
      </c>
      <c r="B30" s="8">
        <f>(parametros_manuales!$D$19*(datos_base!$C$2+IF(parametros_manuales!$H$19="Todos",datos_base!$C$9,0))*parametros_manuales!$B$97+parametros_manuales!$E$19*(datos_base!$C$3+IF(parametros_manuales!$H$19="Todos",datos_base!$C$10,0))*parametros_manuales!$B$102+parametros_manuales!$F$19*(datos_base!$C$4+IF(parametros_manuales!$H$19="Todos",datos_base!$C$11,0))*parametros_manuales!$B$107+parametros_manuales!$G$19*(datos_base!$C$5+IF(parametros_manuales!$H$19="Todos",datos_base!$C$12,0))*parametros_manuales!$B$112)*parametros_manuales!$I$19*parametros_manuales!$J$19</f>
        <v>979.74</v>
      </c>
      <c r="C30" s="8">
        <f>(parametros_manuales!$D$19*(datos_base!$C$2+IF(parametros_manuales!$H$19="Todos",datos_base!$C$9,0))*parametros_manuales!$C$97+parametros_manuales!$E$19*(datos_base!$C$3+IF(parametros_manuales!$H$19="Todos",datos_base!$C$10,0))*parametros_manuales!$C$102+parametros_manuales!$F$19*(datos_base!$C$4+IF(parametros_manuales!$H$19="Todos",datos_base!$C$11,0))*parametros_manuales!$C$107+parametros_manuales!$G$19*(datos_base!$C$5+IF(parametros_manuales!$H$19="Todos",datos_base!$C$12,0))*parametros_manuales!$C$112)*parametros_manuales!$I$19*parametros_manuales!$J$19</f>
        <v>930.85</v>
      </c>
      <c r="D30" s="8">
        <f>(parametros_manuales!$D$19*(datos_base!$C$2+IF(parametros_manuales!$H$19="Todos",datos_base!$C$9,0))*parametros_manuales!$D$97+parametros_manuales!$E$19*(datos_base!$C$3+IF(parametros_manuales!$H$19="Todos",datos_base!$C$10,0))*parametros_manuales!$D$102+parametros_manuales!$F$19*(datos_base!$C$4+IF(parametros_manuales!$H$19="Todos",datos_base!$C$11,0))*parametros_manuales!$D$107+parametros_manuales!$G$19*(datos_base!$C$5+IF(parametros_manuales!$H$19="Todos",datos_base!$C$12,0))*parametros_manuales!$D$112)*parametros_manuales!$I$19*parametros_manuales!$J$19</f>
        <v>895.325</v>
      </c>
      <c r="E30" s="8">
        <f>(parametros_manuales!$D$19*(datos_base!$C$2+IF(parametros_manuales!$H$19="Todos",datos_base!$C$9,0))*parametros_manuales!$E$97+parametros_manuales!$E$19*(datos_base!$C$3+IF(parametros_manuales!$H$19="Todos",datos_base!$C$10,0))*parametros_manuales!$E$102+parametros_manuales!$F$19*(datos_base!$C$4+IF(parametros_manuales!$H$19="Todos",datos_base!$C$11,0))*parametros_manuales!$E$107+parametros_manuales!$G$19*(datos_base!$C$5+IF(parametros_manuales!$H$19="Todos",datos_base!$C$12,0))*parametros_manuales!$E$112)*parametros_manuales!$I$19*parametros_manuales!$J$19</f>
        <v>865.34</v>
      </c>
      <c r="F30" s="8">
        <f>(parametros_manuales!$D$19*(datos_base!$C$2+IF(parametros_manuales!$H$19="Todos",datos_base!$C$9,0))*parametros_manuales!$F$97+parametros_manuales!$E$19*(datos_base!$C$3+IF(parametros_manuales!$H$19="Todos",datos_base!$C$10,0))*parametros_manuales!$F$102+parametros_manuales!$F$19*(datos_base!$C$4+IF(parametros_manuales!$H$19="Todos",datos_base!$C$11,0))*parametros_manuales!$F$107+parametros_manuales!$G$19*(datos_base!$C$5+IF(parametros_manuales!$H$19="Todos",datos_base!$C$12,0))*parametros_manuales!$F$112)*parametros_manuales!$I$19*parametros_manuales!$J$19</f>
        <v>810.91</v>
      </c>
      <c r="G30" s="8">
        <f>(parametros_manuales!$D$19*(datos_base!$C$2+IF(parametros_manuales!$H$19="Todos",datos_base!$C$9,0))*parametros_manuales!$G$97+parametros_manuales!$E$19*(datos_base!$C$3+IF(parametros_manuales!$H$19="Todos",datos_base!$C$10,0))*parametros_manuales!$G$102+parametros_manuales!$F$19*(datos_base!$C$4+IF(parametros_manuales!$H$19="Todos",datos_base!$C$11,0))*parametros_manuales!$G$107+parametros_manuales!$G$19*(datos_base!$C$5+IF(parametros_manuales!$H$19="Todos",datos_base!$C$12,0))*parametros_manuales!$G$112)*parametros_manuales!$I$19*parametros_manuales!$J$19</f>
        <v>786.465</v>
      </c>
      <c r="H30" s="8">
        <f>(parametros_manuales!$D$19*(datos_base!$C$2+IF(parametros_manuales!$H$19="Todos",datos_base!$C$9,0))*parametros_manuales!$H$97+parametros_manuales!$E$19*(datos_base!$C$3+IF(parametros_manuales!$H$19="Todos",datos_base!$C$10,0))*parametros_manuales!$H$102+parametros_manuales!$F$19*(datos_base!$C$4+IF(parametros_manuales!$H$19="Todos",datos_base!$C$11,0))*parametros_manuales!$H$107+parametros_manuales!$G$19*(datos_base!$C$5+IF(parametros_manuales!$H$19="Todos",datos_base!$C$12,0))*parametros_manuales!$H$112)*parametros_manuales!$I$19*parametros_manuales!$J$19</f>
        <v>840.895</v>
      </c>
      <c r="I30" s="8">
        <f>(parametros_manuales!$D$19*(datos_base!$C$2+IF(parametros_manuales!$H$19="Todos",datos_base!$C$9,0))*parametros_manuales!$I$97+parametros_manuales!$E$19*(datos_base!$C$3+IF(parametros_manuales!$H$19="Todos",datos_base!$C$10,0))*parametros_manuales!$I$102+parametros_manuales!$F$19*(datos_base!$C$4+IF(parametros_manuales!$H$19="Todos",datos_base!$C$11,0))*parametros_manuales!$I$107+parametros_manuales!$G$19*(datos_base!$C$5+IF(parametros_manuales!$H$19="Todos",datos_base!$C$12,0))*parametros_manuales!$I$112)*parametros_manuales!$I$19*parametros_manuales!$J$19</f>
        <v>930.85</v>
      </c>
      <c r="J30" s="8">
        <f>(parametros_manuales!$D$19*(datos_base!$C$2+IF(parametros_manuales!$H$19="Todos",datos_base!$C$9,0))*parametros_manuales!$J$97+parametros_manuales!$E$19*(datos_base!$C$3+IF(parametros_manuales!$H$19="Todos",datos_base!$C$10,0))*parametros_manuales!$J$102+parametros_manuales!$F$19*(datos_base!$C$4+IF(parametros_manuales!$H$19="Todos",datos_base!$C$11,0))*parametros_manuales!$J$107+parametros_manuales!$G$19*(datos_base!$C$5+IF(parametros_manuales!$H$19="Todos",datos_base!$C$12,0))*parametros_manuales!$J$112)*parametros_manuales!$I$19*parametros_manuales!$J$19</f>
        <v>930.85</v>
      </c>
      <c r="K30" s="8">
        <f>(parametros_manuales!$D$19*(datos_base!$C$2+IF(parametros_manuales!$H$19="Todos",datos_base!$C$9,0))*parametros_manuales!$K$97+parametros_manuales!$E$19*(datos_base!$C$3+IF(parametros_manuales!$H$19="Todos",datos_base!$C$10,0))*parametros_manuales!$K$102+parametros_manuales!$F$19*(datos_base!$C$4+IF(parametros_manuales!$H$19="Todos",datos_base!$C$11,0))*parametros_manuales!$K$107+parametros_manuales!$G$19*(datos_base!$C$5+IF(parametros_manuales!$H$19="Todos",datos_base!$C$12,0))*parametros_manuales!$K$112)*parametros_manuales!$I$19*parametros_manuales!$J$19</f>
        <v>955.295</v>
      </c>
      <c r="L30" s="8">
        <f>(parametros_manuales!$D$19*(datos_base!$C$2+IF(parametros_manuales!$H$19="Todos",datos_base!$C$9,0))*parametros_manuales!$L$97+parametros_manuales!$E$19*(datos_base!$C$3+IF(parametros_manuales!$H$19="Todos",datos_base!$C$10,0))*parametros_manuales!$L$102+parametros_manuales!$F$19*(datos_base!$C$4+IF(parametros_manuales!$H$19="Todos",datos_base!$C$11,0))*parametros_manuales!$L$107+parametros_manuales!$G$19*(datos_base!$C$5+IF(parametros_manuales!$H$19="Todos",datos_base!$C$12,0))*parametros_manuales!$L$112)*parametros_manuales!$I$19*parametros_manuales!$J$19</f>
        <v>979.74</v>
      </c>
      <c r="M30" s="8">
        <f>(parametros_manuales!$D$19*(datos_base!$C$2+IF(parametros_manuales!$H$19="Todos",datos_base!$C$9,0))*parametros_manuales!$M$97+parametros_manuales!$E$19*(datos_base!$C$3+IF(parametros_manuales!$H$19="Todos",datos_base!$C$10,0))*parametros_manuales!$M$102+parametros_manuales!$F$19*(datos_base!$C$4+IF(parametros_manuales!$H$19="Todos",datos_base!$C$11,0))*parametros_manuales!$M$107+parametros_manuales!$G$19*(datos_base!$C$5+IF(parametros_manuales!$H$19="Todos",datos_base!$C$12,0))*parametros_manuales!$M$112)*parametros_manuales!$I$19*parametros_manuales!$J$19</f>
        <v>979.74</v>
      </c>
      <c r="N30" s="8">
        <f t="shared" ref="N30:N55" si="4">SUM(B30:M30)</f>
        <v>10886</v>
      </c>
      <c r="O30" s="8">
        <f t="shared" ref="O30:O55" si="5">MAX(B30:M30)</f>
        <v>979.74</v>
      </c>
      <c r="P30" s="27">
        <f>O30/(parametros_manuales!$B$7)</f>
        <v>6.5316</v>
      </c>
      <c r="Q30" s="4" t="str">
        <f t="shared" ref="Q30:Q55" si="6">IF(O30=0,"-",INDEX($B$29:$M$29,MATCH(O30,B30:M30,0)))</f>
        <v>Ene</v>
      </c>
      <c r="R30" s="16"/>
      <c r="S30" s="16"/>
    </row>
    <row r="31" ht="14.25" customHeight="1">
      <c r="A31" s="4" t="str">
        <f>parametros_manuales!$B$20</f>
        <v>Corte de chapa — 1.er corte en franjas (guillotina 1)</v>
      </c>
      <c r="B31" s="8">
        <f>(parametros_manuales!$D$20*(datos_base!$C$2+IF(parametros_manuales!$H$20="Todos",datos_base!$C$9,0))*parametros_manuales!$B$97+parametros_manuales!$E$20*(datos_base!$C$3+IF(parametros_manuales!$H$20="Todos",datos_base!$C$10,0))*parametros_manuales!$B$102+parametros_manuales!$F$20*(datos_base!$C$4+IF(parametros_manuales!$H$20="Todos",datos_base!$C$11,0))*parametros_manuales!$B$107+parametros_manuales!$G$20*(datos_base!$C$5+IF(parametros_manuales!$H$20="Todos",datos_base!$C$12,0))*parametros_manuales!$B$112)*parametros_manuales!$I$20*parametros_manuales!$J$20</f>
        <v>979.74</v>
      </c>
      <c r="C31" s="8">
        <f>(parametros_manuales!$D$20*(datos_base!$C$2+IF(parametros_manuales!$H$20="Todos",datos_base!$C$9,0))*parametros_manuales!$C$97+parametros_manuales!$E$20*(datos_base!$C$3+IF(parametros_manuales!$H$20="Todos",datos_base!$C$10,0))*parametros_manuales!$C$102+parametros_manuales!$F$20*(datos_base!$C$4+IF(parametros_manuales!$H$20="Todos",datos_base!$C$11,0))*parametros_manuales!$C$107+parametros_manuales!$G$20*(datos_base!$C$5+IF(parametros_manuales!$H$20="Todos",datos_base!$C$12,0))*parametros_manuales!$C$112)*parametros_manuales!$I$20*parametros_manuales!$J$20</f>
        <v>930.85</v>
      </c>
      <c r="D31" s="8">
        <f>(parametros_manuales!$D$20*(datos_base!$C$2+IF(parametros_manuales!$H$20="Todos",datos_base!$C$9,0))*parametros_manuales!$D$97+parametros_manuales!$E$20*(datos_base!$C$3+IF(parametros_manuales!$H$20="Todos",datos_base!$C$10,0))*parametros_manuales!$D$102+parametros_manuales!$F$20*(datos_base!$C$4+IF(parametros_manuales!$H$20="Todos",datos_base!$C$11,0))*parametros_manuales!$D$107+parametros_manuales!$G$20*(datos_base!$C$5+IF(parametros_manuales!$H$20="Todos",datos_base!$C$12,0))*parametros_manuales!$D$112)*parametros_manuales!$I$20*parametros_manuales!$J$20</f>
        <v>895.325</v>
      </c>
      <c r="E31" s="8">
        <f>(parametros_manuales!$D$20*(datos_base!$C$2+IF(parametros_manuales!$H$20="Todos",datos_base!$C$9,0))*parametros_manuales!$E$97+parametros_manuales!$E$20*(datos_base!$C$3+IF(parametros_manuales!$H$20="Todos",datos_base!$C$10,0))*parametros_manuales!$E$102+parametros_manuales!$F$20*(datos_base!$C$4+IF(parametros_manuales!$H$20="Todos",datos_base!$C$11,0))*parametros_manuales!$E$107+parametros_manuales!$G$20*(datos_base!$C$5+IF(parametros_manuales!$H$20="Todos",datos_base!$C$12,0))*parametros_manuales!$E$112)*parametros_manuales!$I$20*parametros_manuales!$J$20</f>
        <v>865.34</v>
      </c>
      <c r="F31" s="8">
        <f>(parametros_manuales!$D$20*(datos_base!$C$2+IF(parametros_manuales!$H$20="Todos",datos_base!$C$9,0))*parametros_manuales!$F$97+parametros_manuales!$E$20*(datos_base!$C$3+IF(parametros_manuales!$H$20="Todos",datos_base!$C$10,0))*parametros_manuales!$F$102+parametros_manuales!$F$20*(datos_base!$C$4+IF(parametros_manuales!$H$20="Todos",datos_base!$C$11,0))*parametros_manuales!$F$107+parametros_manuales!$G$20*(datos_base!$C$5+IF(parametros_manuales!$H$20="Todos",datos_base!$C$12,0))*parametros_manuales!$F$112)*parametros_manuales!$I$20*parametros_manuales!$J$20</f>
        <v>810.91</v>
      </c>
      <c r="G31" s="8">
        <f>(parametros_manuales!$D$20*(datos_base!$C$2+IF(parametros_manuales!$H$20="Todos",datos_base!$C$9,0))*parametros_manuales!$G$97+parametros_manuales!$E$20*(datos_base!$C$3+IF(parametros_manuales!$H$20="Todos",datos_base!$C$10,0))*parametros_manuales!$G$102+parametros_manuales!$F$20*(datos_base!$C$4+IF(parametros_manuales!$H$20="Todos",datos_base!$C$11,0))*parametros_manuales!$G$107+parametros_manuales!$G$20*(datos_base!$C$5+IF(parametros_manuales!$H$20="Todos",datos_base!$C$12,0))*parametros_manuales!$G$112)*parametros_manuales!$I$20*parametros_manuales!$J$20</f>
        <v>786.465</v>
      </c>
      <c r="H31" s="8">
        <f>(parametros_manuales!$D$20*(datos_base!$C$2+IF(parametros_manuales!$H$20="Todos",datos_base!$C$9,0))*parametros_manuales!$H$97+parametros_manuales!$E$20*(datos_base!$C$3+IF(parametros_manuales!$H$20="Todos",datos_base!$C$10,0))*parametros_manuales!$H$102+parametros_manuales!$F$20*(datos_base!$C$4+IF(parametros_manuales!$H$20="Todos",datos_base!$C$11,0))*parametros_manuales!$H$107+parametros_manuales!$G$20*(datos_base!$C$5+IF(parametros_manuales!$H$20="Todos",datos_base!$C$12,0))*parametros_manuales!$H$112)*parametros_manuales!$I$20*parametros_manuales!$J$20</f>
        <v>840.895</v>
      </c>
      <c r="I31" s="8">
        <f>(parametros_manuales!$D$20*(datos_base!$C$2+IF(parametros_manuales!$H$20="Todos",datos_base!$C$9,0))*parametros_manuales!$I$97+parametros_manuales!$E$20*(datos_base!$C$3+IF(parametros_manuales!$H$20="Todos",datos_base!$C$10,0))*parametros_manuales!$I$102+parametros_manuales!$F$20*(datos_base!$C$4+IF(parametros_manuales!$H$20="Todos",datos_base!$C$11,0))*parametros_manuales!$I$107+parametros_manuales!$G$20*(datos_base!$C$5+IF(parametros_manuales!$H$20="Todos",datos_base!$C$12,0))*parametros_manuales!$I$112)*parametros_manuales!$I$20*parametros_manuales!$J$20</f>
        <v>930.85</v>
      </c>
      <c r="J31" s="8">
        <f>(parametros_manuales!$D$20*(datos_base!$C$2+IF(parametros_manuales!$H$20="Todos",datos_base!$C$9,0))*parametros_manuales!$J$97+parametros_manuales!$E$20*(datos_base!$C$3+IF(parametros_manuales!$H$20="Todos",datos_base!$C$10,0))*parametros_manuales!$J$102+parametros_manuales!$F$20*(datos_base!$C$4+IF(parametros_manuales!$H$20="Todos",datos_base!$C$11,0))*parametros_manuales!$J$107+parametros_manuales!$G$20*(datos_base!$C$5+IF(parametros_manuales!$H$20="Todos",datos_base!$C$12,0))*parametros_manuales!$J$112)*parametros_manuales!$I$20*parametros_manuales!$J$20</f>
        <v>930.85</v>
      </c>
      <c r="K31" s="8">
        <f>(parametros_manuales!$D$20*(datos_base!$C$2+IF(parametros_manuales!$H$20="Todos",datos_base!$C$9,0))*parametros_manuales!$K$97+parametros_manuales!$E$20*(datos_base!$C$3+IF(parametros_manuales!$H$20="Todos",datos_base!$C$10,0))*parametros_manuales!$K$102+parametros_manuales!$F$20*(datos_base!$C$4+IF(parametros_manuales!$H$20="Todos",datos_base!$C$11,0))*parametros_manuales!$K$107+parametros_manuales!$G$20*(datos_base!$C$5+IF(parametros_manuales!$H$20="Todos",datos_base!$C$12,0))*parametros_manuales!$K$112)*parametros_manuales!$I$20*parametros_manuales!$J$20</f>
        <v>955.295</v>
      </c>
      <c r="L31" s="8">
        <f>(parametros_manuales!$D$20*(datos_base!$C$2+IF(parametros_manuales!$H$20="Todos",datos_base!$C$9,0))*parametros_manuales!$L$97+parametros_manuales!$E$20*(datos_base!$C$3+IF(parametros_manuales!$H$20="Todos",datos_base!$C$10,0))*parametros_manuales!$L$102+parametros_manuales!$F$20*(datos_base!$C$4+IF(parametros_manuales!$H$20="Todos",datos_base!$C$11,0))*parametros_manuales!$L$107+parametros_manuales!$G$20*(datos_base!$C$5+IF(parametros_manuales!$H$20="Todos",datos_base!$C$12,0))*parametros_manuales!$L$112)*parametros_manuales!$I$20*parametros_manuales!$J$20</f>
        <v>979.74</v>
      </c>
      <c r="M31" s="8">
        <f>(parametros_manuales!$D$20*(datos_base!$C$2+IF(parametros_manuales!$H$20="Todos",datos_base!$C$9,0))*parametros_manuales!$M$97+parametros_manuales!$E$20*(datos_base!$C$3+IF(parametros_manuales!$H$20="Todos",datos_base!$C$10,0))*parametros_manuales!$M$102+parametros_manuales!$F$20*(datos_base!$C$4+IF(parametros_manuales!$H$20="Todos",datos_base!$C$11,0))*parametros_manuales!$M$107+parametros_manuales!$G$20*(datos_base!$C$5+IF(parametros_manuales!$H$20="Todos",datos_base!$C$12,0))*parametros_manuales!$M$112)*parametros_manuales!$I$20*parametros_manuales!$J$20</f>
        <v>979.74</v>
      </c>
      <c r="N31" s="8">
        <f t="shared" si="4"/>
        <v>10886</v>
      </c>
      <c r="O31" s="8">
        <f t="shared" si="5"/>
        <v>979.74</v>
      </c>
      <c r="P31" s="27">
        <f>O31/(parametros_manuales!$B$7)</f>
        <v>6.5316</v>
      </c>
      <c r="Q31" s="4" t="str">
        <f t="shared" si="6"/>
        <v>Ene</v>
      </c>
      <c r="R31" s="16"/>
      <c r="S31" s="16"/>
    </row>
    <row r="32" ht="14.25" customHeight="1">
      <c r="A32" s="4" t="str">
        <f>parametros_manuales!$B$21</f>
        <v>Corte de chapa — 2.º corte en piezas (guillotina 2)</v>
      </c>
      <c r="B32" s="8">
        <f>(parametros_manuales!$D$21*(datos_base!$C$2+IF(parametros_manuales!$H$21="Todos",datos_base!$C$9,0))*parametros_manuales!$B$97+parametros_manuales!$E$21*(datos_base!$C$3+IF(parametros_manuales!$H$21="Todos",datos_base!$C$10,0))*parametros_manuales!$B$102+parametros_manuales!$F$21*(datos_base!$C$4+IF(parametros_manuales!$H$21="Todos",datos_base!$C$11,0))*parametros_manuales!$B$107+parametros_manuales!$G$21*(datos_base!$C$5+IF(parametros_manuales!$H$21="Todos",datos_base!$C$12,0))*parametros_manuales!$B$112)*parametros_manuales!$I$21*parametros_manuales!$J$21</f>
        <v>979.74</v>
      </c>
      <c r="C32" s="8">
        <f>(parametros_manuales!$D$21*(datos_base!$C$2+IF(parametros_manuales!$H$21="Todos",datos_base!$C$9,0))*parametros_manuales!$C$97+parametros_manuales!$E$21*(datos_base!$C$3+IF(parametros_manuales!$H$21="Todos",datos_base!$C$10,0))*parametros_manuales!$C$102+parametros_manuales!$F$21*(datos_base!$C$4+IF(parametros_manuales!$H$21="Todos",datos_base!$C$11,0))*parametros_manuales!$C$107+parametros_manuales!$G$21*(datos_base!$C$5+IF(parametros_manuales!$H$21="Todos",datos_base!$C$12,0))*parametros_manuales!$C$112)*parametros_manuales!$I$21*parametros_manuales!$J$21</f>
        <v>930.85</v>
      </c>
      <c r="D32" s="8">
        <f>(parametros_manuales!$D$21*(datos_base!$C$2+IF(parametros_manuales!$H$21="Todos",datos_base!$C$9,0))*parametros_manuales!$D$97+parametros_manuales!$E$21*(datos_base!$C$3+IF(parametros_manuales!$H$21="Todos",datos_base!$C$10,0))*parametros_manuales!$D$102+parametros_manuales!$F$21*(datos_base!$C$4+IF(parametros_manuales!$H$21="Todos",datos_base!$C$11,0))*parametros_manuales!$D$107+parametros_manuales!$G$21*(datos_base!$C$5+IF(parametros_manuales!$H$21="Todos",datos_base!$C$12,0))*parametros_manuales!$D$112)*parametros_manuales!$I$21*parametros_manuales!$J$21</f>
        <v>895.325</v>
      </c>
      <c r="E32" s="8">
        <f>(parametros_manuales!$D$21*(datos_base!$C$2+IF(parametros_manuales!$H$21="Todos",datos_base!$C$9,0))*parametros_manuales!$E$97+parametros_manuales!$E$21*(datos_base!$C$3+IF(parametros_manuales!$H$21="Todos",datos_base!$C$10,0))*parametros_manuales!$E$102+parametros_manuales!$F$21*(datos_base!$C$4+IF(parametros_manuales!$H$21="Todos",datos_base!$C$11,0))*parametros_manuales!$E$107+parametros_manuales!$G$21*(datos_base!$C$5+IF(parametros_manuales!$H$21="Todos",datos_base!$C$12,0))*parametros_manuales!$E$112)*parametros_manuales!$I$21*parametros_manuales!$J$21</f>
        <v>865.34</v>
      </c>
      <c r="F32" s="8">
        <f>(parametros_manuales!$D$21*(datos_base!$C$2+IF(parametros_manuales!$H$21="Todos",datos_base!$C$9,0))*parametros_manuales!$F$97+parametros_manuales!$E$21*(datos_base!$C$3+IF(parametros_manuales!$H$21="Todos",datos_base!$C$10,0))*parametros_manuales!$F$102+parametros_manuales!$F$21*(datos_base!$C$4+IF(parametros_manuales!$H$21="Todos",datos_base!$C$11,0))*parametros_manuales!$F$107+parametros_manuales!$G$21*(datos_base!$C$5+IF(parametros_manuales!$H$21="Todos",datos_base!$C$12,0))*parametros_manuales!$F$112)*parametros_manuales!$I$21*parametros_manuales!$J$21</f>
        <v>810.91</v>
      </c>
      <c r="G32" s="8">
        <f>(parametros_manuales!$D$21*(datos_base!$C$2+IF(parametros_manuales!$H$21="Todos",datos_base!$C$9,0))*parametros_manuales!$G$97+parametros_manuales!$E$21*(datos_base!$C$3+IF(parametros_manuales!$H$21="Todos",datos_base!$C$10,0))*parametros_manuales!$G$102+parametros_manuales!$F$21*(datos_base!$C$4+IF(parametros_manuales!$H$21="Todos",datos_base!$C$11,0))*parametros_manuales!$G$107+parametros_manuales!$G$21*(datos_base!$C$5+IF(parametros_manuales!$H$21="Todos",datos_base!$C$12,0))*parametros_manuales!$G$112)*parametros_manuales!$I$21*parametros_manuales!$J$21</f>
        <v>786.465</v>
      </c>
      <c r="H32" s="8">
        <f>(parametros_manuales!$D$21*(datos_base!$C$2+IF(parametros_manuales!$H$21="Todos",datos_base!$C$9,0))*parametros_manuales!$H$97+parametros_manuales!$E$21*(datos_base!$C$3+IF(parametros_manuales!$H$21="Todos",datos_base!$C$10,0))*parametros_manuales!$H$102+parametros_manuales!$F$21*(datos_base!$C$4+IF(parametros_manuales!$H$21="Todos",datos_base!$C$11,0))*parametros_manuales!$H$107+parametros_manuales!$G$21*(datos_base!$C$5+IF(parametros_manuales!$H$21="Todos",datos_base!$C$12,0))*parametros_manuales!$H$112)*parametros_manuales!$I$21*parametros_manuales!$J$21</f>
        <v>840.895</v>
      </c>
      <c r="I32" s="8">
        <f>(parametros_manuales!$D$21*(datos_base!$C$2+IF(parametros_manuales!$H$21="Todos",datos_base!$C$9,0))*parametros_manuales!$I$97+parametros_manuales!$E$21*(datos_base!$C$3+IF(parametros_manuales!$H$21="Todos",datos_base!$C$10,0))*parametros_manuales!$I$102+parametros_manuales!$F$21*(datos_base!$C$4+IF(parametros_manuales!$H$21="Todos",datos_base!$C$11,0))*parametros_manuales!$I$107+parametros_manuales!$G$21*(datos_base!$C$5+IF(parametros_manuales!$H$21="Todos",datos_base!$C$12,0))*parametros_manuales!$I$112)*parametros_manuales!$I$21*parametros_manuales!$J$21</f>
        <v>930.85</v>
      </c>
      <c r="J32" s="8">
        <f>(parametros_manuales!$D$21*(datos_base!$C$2+IF(parametros_manuales!$H$21="Todos",datos_base!$C$9,0))*parametros_manuales!$J$97+parametros_manuales!$E$21*(datos_base!$C$3+IF(parametros_manuales!$H$21="Todos",datos_base!$C$10,0))*parametros_manuales!$J$102+parametros_manuales!$F$21*(datos_base!$C$4+IF(parametros_manuales!$H$21="Todos",datos_base!$C$11,0))*parametros_manuales!$J$107+parametros_manuales!$G$21*(datos_base!$C$5+IF(parametros_manuales!$H$21="Todos",datos_base!$C$12,0))*parametros_manuales!$J$112)*parametros_manuales!$I$21*parametros_manuales!$J$21</f>
        <v>930.85</v>
      </c>
      <c r="K32" s="8">
        <f>(parametros_manuales!$D$21*(datos_base!$C$2+IF(parametros_manuales!$H$21="Todos",datos_base!$C$9,0))*parametros_manuales!$K$97+parametros_manuales!$E$21*(datos_base!$C$3+IF(parametros_manuales!$H$21="Todos",datos_base!$C$10,0))*parametros_manuales!$K$102+parametros_manuales!$F$21*(datos_base!$C$4+IF(parametros_manuales!$H$21="Todos",datos_base!$C$11,0))*parametros_manuales!$K$107+parametros_manuales!$G$21*(datos_base!$C$5+IF(parametros_manuales!$H$21="Todos",datos_base!$C$12,0))*parametros_manuales!$K$112)*parametros_manuales!$I$21*parametros_manuales!$J$21</f>
        <v>955.295</v>
      </c>
      <c r="L32" s="8">
        <f>(parametros_manuales!$D$21*(datos_base!$C$2+IF(parametros_manuales!$H$21="Todos",datos_base!$C$9,0))*parametros_manuales!$L$97+parametros_manuales!$E$21*(datos_base!$C$3+IF(parametros_manuales!$H$21="Todos",datos_base!$C$10,0))*parametros_manuales!$L$102+parametros_manuales!$F$21*(datos_base!$C$4+IF(parametros_manuales!$H$21="Todos",datos_base!$C$11,0))*parametros_manuales!$L$107+parametros_manuales!$G$21*(datos_base!$C$5+IF(parametros_manuales!$H$21="Todos",datos_base!$C$12,0))*parametros_manuales!$L$112)*parametros_manuales!$I$21*parametros_manuales!$J$21</f>
        <v>979.74</v>
      </c>
      <c r="M32" s="8">
        <f>(parametros_manuales!$D$21*(datos_base!$C$2+IF(parametros_manuales!$H$21="Todos",datos_base!$C$9,0))*parametros_manuales!$M$97+parametros_manuales!$E$21*(datos_base!$C$3+IF(parametros_manuales!$H$21="Todos",datos_base!$C$10,0))*parametros_manuales!$M$102+parametros_manuales!$F$21*(datos_base!$C$4+IF(parametros_manuales!$H$21="Todos",datos_base!$C$11,0))*parametros_manuales!$M$107+parametros_manuales!$G$21*(datos_base!$C$5+IF(parametros_manuales!$H$21="Todos",datos_base!$C$12,0))*parametros_manuales!$M$112)*parametros_manuales!$I$21*parametros_manuales!$J$21</f>
        <v>979.74</v>
      </c>
      <c r="N32" s="8">
        <f t="shared" si="4"/>
        <v>10886</v>
      </c>
      <c r="O32" s="8">
        <f t="shared" si="5"/>
        <v>979.74</v>
      </c>
      <c r="P32" s="27">
        <f>O32/(parametros_manuales!$B$7)</f>
        <v>6.5316</v>
      </c>
      <c r="Q32" s="4" t="str">
        <f t="shared" si="6"/>
        <v>Ene</v>
      </c>
      <c r="R32" s="16"/>
      <c r="S32" s="16"/>
    </row>
    <row r="33" ht="14.25" customHeight="1">
      <c r="A33" s="4" t="str">
        <f>parametros_manuales!$B$22</f>
        <v>Corte de disco y embutido (cúpula y fondo)</v>
      </c>
      <c r="B33" s="8">
        <f>(parametros_manuales!$D$22*(datos_base!$C$2+IF(parametros_manuales!$H$22="Todos",datos_base!$C$9,0))*parametros_manuales!$B$97+parametros_manuales!$E$22*(datos_base!$C$3+IF(parametros_manuales!$H$22="Todos",datos_base!$C$10,0))*parametros_manuales!$B$102+parametros_manuales!$F$22*(datos_base!$C$4+IF(parametros_manuales!$H$22="Todos",datos_base!$C$11,0))*parametros_manuales!$B$107+parametros_manuales!$G$22*(datos_base!$C$5+IF(parametros_manuales!$H$22="Todos",datos_base!$C$12,0))*parametros_manuales!$B$112)*parametros_manuales!$I$22*parametros_manuales!$J$22</f>
        <v>1959.48</v>
      </c>
      <c r="C33" s="8">
        <f>(parametros_manuales!$D$22*(datos_base!$C$2+IF(parametros_manuales!$H$22="Todos",datos_base!$C$9,0))*parametros_manuales!$C$97+parametros_manuales!$E$22*(datos_base!$C$3+IF(parametros_manuales!$H$22="Todos",datos_base!$C$10,0))*parametros_manuales!$C$102+parametros_manuales!$F$22*(datos_base!$C$4+IF(parametros_manuales!$H$22="Todos",datos_base!$C$11,0))*parametros_manuales!$C$107+parametros_manuales!$G$22*(datos_base!$C$5+IF(parametros_manuales!$H$22="Todos",datos_base!$C$12,0))*parametros_manuales!$C$112)*parametros_manuales!$I$22*parametros_manuales!$J$22</f>
        <v>1861.7</v>
      </c>
      <c r="D33" s="8">
        <f>(parametros_manuales!$D$22*(datos_base!$C$2+IF(parametros_manuales!$H$22="Todos",datos_base!$C$9,0))*parametros_manuales!$D$97+parametros_manuales!$E$22*(datos_base!$C$3+IF(parametros_manuales!$H$22="Todos",datos_base!$C$10,0))*parametros_manuales!$D$102+parametros_manuales!$F$22*(datos_base!$C$4+IF(parametros_manuales!$H$22="Todos",datos_base!$C$11,0))*parametros_manuales!$D$107+parametros_manuales!$G$22*(datos_base!$C$5+IF(parametros_manuales!$H$22="Todos",datos_base!$C$12,0))*parametros_manuales!$D$112)*parametros_manuales!$I$22*parametros_manuales!$J$22</f>
        <v>1790.65</v>
      </c>
      <c r="E33" s="8">
        <f>(parametros_manuales!$D$22*(datos_base!$C$2+IF(parametros_manuales!$H$22="Todos",datos_base!$C$9,0))*parametros_manuales!$E$97+parametros_manuales!$E$22*(datos_base!$C$3+IF(parametros_manuales!$H$22="Todos",datos_base!$C$10,0))*parametros_manuales!$E$102+parametros_manuales!$F$22*(datos_base!$C$4+IF(parametros_manuales!$H$22="Todos",datos_base!$C$11,0))*parametros_manuales!$E$107+parametros_manuales!$G$22*(datos_base!$C$5+IF(parametros_manuales!$H$22="Todos",datos_base!$C$12,0))*parametros_manuales!$E$112)*parametros_manuales!$I$22*parametros_manuales!$J$22</f>
        <v>1730.68</v>
      </c>
      <c r="F33" s="8">
        <f>(parametros_manuales!$D$22*(datos_base!$C$2+IF(parametros_manuales!$H$22="Todos",datos_base!$C$9,0))*parametros_manuales!$F$97+parametros_manuales!$E$22*(datos_base!$C$3+IF(parametros_manuales!$H$22="Todos",datos_base!$C$10,0))*parametros_manuales!$F$102+parametros_manuales!$F$22*(datos_base!$C$4+IF(parametros_manuales!$H$22="Todos",datos_base!$C$11,0))*parametros_manuales!$F$107+parametros_manuales!$G$22*(datos_base!$C$5+IF(parametros_manuales!$H$22="Todos",datos_base!$C$12,0))*parametros_manuales!$F$112)*parametros_manuales!$I$22*parametros_manuales!$J$22</f>
        <v>1621.82</v>
      </c>
      <c r="G33" s="8">
        <f>(parametros_manuales!$D$22*(datos_base!$C$2+IF(parametros_manuales!$H$22="Todos",datos_base!$C$9,0))*parametros_manuales!$G$97+parametros_manuales!$E$22*(datos_base!$C$3+IF(parametros_manuales!$H$22="Todos",datos_base!$C$10,0))*parametros_manuales!$G$102+parametros_manuales!$F$22*(datos_base!$C$4+IF(parametros_manuales!$H$22="Todos",datos_base!$C$11,0))*parametros_manuales!$G$107+parametros_manuales!$G$22*(datos_base!$C$5+IF(parametros_manuales!$H$22="Todos",datos_base!$C$12,0))*parametros_manuales!$G$112)*parametros_manuales!$I$22*parametros_manuales!$J$22</f>
        <v>1572.93</v>
      </c>
      <c r="H33" s="8">
        <f>(parametros_manuales!$D$22*(datos_base!$C$2+IF(parametros_manuales!$H$22="Todos",datos_base!$C$9,0))*parametros_manuales!$H$97+parametros_manuales!$E$22*(datos_base!$C$3+IF(parametros_manuales!$H$22="Todos",datos_base!$C$10,0))*parametros_manuales!$H$102+parametros_manuales!$F$22*(datos_base!$C$4+IF(parametros_manuales!$H$22="Todos",datos_base!$C$11,0))*parametros_manuales!$H$107+parametros_manuales!$G$22*(datos_base!$C$5+IF(parametros_manuales!$H$22="Todos",datos_base!$C$12,0))*parametros_manuales!$H$112)*parametros_manuales!$I$22*parametros_manuales!$J$22</f>
        <v>1681.79</v>
      </c>
      <c r="I33" s="8">
        <f>(parametros_manuales!$D$22*(datos_base!$C$2+IF(parametros_manuales!$H$22="Todos",datos_base!$C$9,0))*parametros_manuales!$I$97+parametros_manuales!$E$22*(datos_base!$C$3+IF(parametros_manuales!$H$22="Todos",datos_base!$C$10,0))*parametros_manuales!$I$102+parametros_manuales!$F$22*(datos_base!$C$4+IF(parametros_manuales!$H$22="Todos",datos_base!$C$11,0))*parametros_manuales!$I$107+parametros_manuales!$G$22*(datos_base!$C$5+IF(parametros_manuales!$H$22="Todos",datos_base!$C$12,0))*parametros_manuales!$I$112)*parametros_manuales!$I$22*parametros_manuales!$J$22</f>
        <v>1861.7</v>
      </c>
      <c r="J33" s="8">
        <f>(parametros_manuales!$D$22*(datos_base!$C$2+IF(parametros_manuales!$H$22="Todos",datos_base!$C$9,0))*parametros_manuales!$J$97+parametros_manuales!$E$22*(datos_base!$C$3+IF(parametros_manuales!$H$22="Todos",datos_base!$C$10,0))*parametros_manuales!$J$102+parametros_manuales!$F$22*(datos_base!$C$4+IF(parametros_manuales!$H$22="Todos",datos_base!$C$11,0))*parametros_manuales!$J$107+parametros_manuales!$G$22*(datos_base!$C$5+IF(parametros_manuales!$H$22="Todos",datos_base!$C$12,0))*parametros_manuales!$J$112)*parametros_manuales!$I$22*parametros_manuales!$J$22</f>
        <v>1861.7</v>
      </c>
      <c r="K33" s="8">
        <f>(parametros_manuales!$D$22*(datos_base!$C$2+IF(parametros_manuales!$H$22="Todos",datos_base!$C$9,0))*parametros_manuales!$K$97+parametros_manuales!$E$22*(datos_base!$C$3+IF(parametros_manuales!$H$22="Todos",datos_base!$C$10,0))*parametros_manuales!$K$102+parametros_manuales!$F$22*(datos_base!$C$4+IF(parametros_manuales!$H$22="Todos",datos_base!$C$11,0))*parametros_manuales!$K$107+parametros_manuales!$G$22*(datos_base!$C$5+IF(parametros_manuales!$H$22="Todos",datos_base!$C$12,0))*parametros_manuales!$K$112)*parametros_manuales!$I$22*parametros_manuales!$J$22</f>
        <v>1910.59</v>
      </c>
      <c r="L33" s="8">
        <f>(parametros_manuales!$D$22*(datos_base!$C$2+IF(parametros_manuales!$H$22="Todos",datos_base!$C$9,0))*parametros_manuales!$L$97+parametros_manuales!$E$22*(datos_base!$C$3+IF(parametros_manuales!$H$22="Todos",datos_base!$C$10,0))*parametros_manuales!$L$102+parametros_manuales!$F$22*(datos_base!$C$4+IF(parametros_manuales!$H$22="Todos",datos_base!$C$11,0))*parametros_manuales!$L$107+parametros_manuales!$G$22*(datos_base!$C$5+IF(parametros_manuales!$H$22="Todos",datos_base!$C$12,0))*parametros_manuales!$L$112)*parametros_manuales!$I$22*parametros_manuales!$J$22</f>
        <v>1959.48</v>
      </c>
      <c r="M33" s="8">
        <f>(parametros_manuales!$D$22*(datos_base!$C$2+IF(parametros_manuales!$H$22="Todos",datos_base!$C$9,0))*parametros_manuales!$M$97+parametros_manuales!$E$22*(datos_base!$C$3+IF(parametros_manuales!$H$22="Todos",datos_base!$C$10,0))*parametros_manuales!$M$102+parametros_manuales!$F$22*(datos_base!$C$4+IF(parametros_manuales!$H$22="Todos",datos_base!$C$11,0))*parametros_manuales!$M$107+parametros_manuales!$G$22*(datos_base!$C$5+IF(parametros_manuales!$H$22="Todos",datos_base!$C$12,0))*parametros_manuales!$M$112)*parametros_manuales!$I$22*parametros_manuales!$J$22</f>
        <v>1959.48</v>
      </c>
      <c r="N33" s="8">
        <f t="shared" si="4"/>
        <v>21772</v>
      </c>
      <c r="O33" s="8">
        <f t="shared" si="5"/>
        <v>1959.48</v>
      </c>
      <c r="P33" s="27">
        <f>O33/(parametros_manuales!$B$7)</f>
        <v>13.0632</v>
      </c>
      <c r="Q33" s="4" t="str">
        <f t="shared" si="6"/>
        <v>Ene</v>
      </c>
      <c r="R33" s="16"/>
      <c r="S33" s="16"/>
    </row>
    <row r="34" ht="14.25" customHeight="1">
      <c r="A34" s="4" t="str">
        <f>parametros_manuales!$B$23</f>
        <v>Preparación de cuello</v>
      </c>
      <c r="B34" s="8">
        <f>(parametros_manuales!$D$23*(datos_base!$C$2+IF(parametros_manuales!$H$23="Todos",datos_base!$C$9,0))*parametros_manuales!$B$97+parametros_manuales!$E$23*(datos_base!$C$3+IF(parametros_manuales!$H$23="Todos",datos_base!$C$10,0))*parametros_manuales!$B$102+parametros_manuales!$F$23*(datos_base!$C$4+IF(parametros_manuales!$H$23="Todos",datos_base!$C$11,0))*parametros_manuales!$B$107+parametros_manuales!$G$23*(datos_base!$C$5+IF(parametros_manuales!$H$23="Todos",datos_base!$C$12,0))*parametros_manuales!$B$112)*parametros_manuales!$I$23*parametros_manuales!$J$23</f>
        <v>979.74</v>
      </c>
      <c r="C34" s="8">
        <f>(parametros_manuales!$D$23*(datos_base!$C$2+IF(parametros_manuales!$H$23="Todos",datos_base!$C$9,0))*parametros_manuales!$C$97+parametros_manuales!$E$23*(datos_base!$C$3+IF(parametros_manuales!$H$23="Todos",datos_base!$C$10,0))*parametros_manuales!$C$102+parametros_manuales!$F$23*(datos_base!$C$4+IF(parametros_manuales!$H$23="Todos",datos_base!$C$11,0))*parametros_manuales!$C$107+parametros_manuales!$G$23*(datos_base!$C$5+IF(parametros_manuales!$H$23="Todos",datos_base!$C$12,0))*parametros_manuales!$C$112)*parametros_manuales!$I$23*parametros_manuales!$J$23</f>
        <v>930.85</v>
      </c>
      <c r="D34" s="8">
        <f>(parametros_manuales!$D$23*(datos_base!$C$2+IF(parametros_manuales!$H$23="Todos",datos_base!$C$9,0))*parametros_manuales!$D$97+parametros_manuales!$E$23*(datos_base!$C$3+IF(parametros_manuales!$H$23="Todos",datos_base!$C$10,0))*parametros_manuales!$D$102+parametros_manuales!$F$23*(datos_base!$C$4+IF(parametros_manuales!$H$23="Todos",datos_base!$C$11,0))*parametros_manuales!$D$107+parametros_manuales!$G$23*(datos_base!$C$5+IF(parametros_manuales!$H$23="Todos",datos_base!$C$12,0))*parametros_manuales!$D$112)*parametros_manuales!$I$23*parametros_manuales!$J$23</f>
        <v>895.325</v>
      </c>
      <c r="E34" s="8">
        <f>(parametros_manuales!$D$23*(datos_base!$C$2+IF(parametros_manuales!$H$23="Todos",datos_base!$C$9,0))*parametros_manuales!$E$97+parametros_manuales!$E$23*(datos_base!$C$3+IF(parametros_manuales!$H$23="Todos",datos_base!$C$10,0))*parametros_manuales!$E$102+parametros_manuales!$F$23*(datos_base!$C$4+IF(parametros_manuales!$H$23="Todos",datos_base!$C$11,0))*parametros_manuales!$E$107+parametros_manuales!$G$23*(datos_base!$C$5+IF(parametros_manuales!$H$23="Todos",datos_base!$C$12,0))*parametros_manuales!$E$112)*parametros_manuales!$I$23*parametros_manuales!$J$23</f>
        <v>865.34</v>
      </c>
      <c r="F34" s="8">
        <f>(parametros_manuales!$D$23*(datos_base!$C$2+IF(parametros_manuales!$H$23="Todos",datos_base!$C$9,0))*parametros_manuales!$F$97+parametros_manuales!$E$23*(datos_base!$C$3+IF(parametros_manuales!$H$23="Todos",datos_base!$C$10,0))*parametros_manuales!$F$102+parametros_manuales!$F$23*(datos_base!$C$4+IF(parametros_manuales!$H$23="Todos",datos_base!$C$11,0))*parametros_manuales!$F$107+parametros_manuales!$G$23*(datos_base!$C$5+IF(parametros_manuales!$H$23="Todos",datos_base!$C$12,0))*parametros_manuales!$F$112)*parametros_manuales!$I$23*parametros_manuales!$J$23</f>
        <v>810.91</v>
      </c>
      <c r="G34" s="8">
        <f>(parametros_manuales!$D$23*(datos_base!$C$2+IF(parametros_manuales!$H$23="Todos",datos_base!$C$9,0))*parametros_manuales!$G$97+parametros_manuales!$E$23*(datos_base!$C$3+IF(parametros_manuales!$H$23="Todos",datos_base!$C$10,0))*parametros_manuales!$G$102+parametros_manuales!$F$23*(datos_base!$C$4+IF(parametros_manuales!$H$23="Todos",datos_base!$C$11,0))*parametros_manuales!$G$107+parametros_manuales!$G$23*(datos_base!$C$5+IF(parametros_manuales!$H$23="Todos",datos_base!$C$12,0))*parametros_manuales!$G$112)*parametros_manuales!$I$23*parametros_manuales!$J$23</f>
        <v>786.465</v>
      </c>
      <c r="H34" s="8">
        <f>(parametros_manuales!$D$23*(datos_base!$C$2+IF(parametros_manuales!$H$23="Todos",datos_base!$C$9,0))*parametros_manuales!$H$97+parametros_manuales!$E$23*(datos_base!$C$3+IF(parametros_manuales!$H$23="Todos",datos_base!$C$10,0))*parametros_manuales!$H$102+parametros_manuales!$F$23*(datos_base!$C$4+IF(parametros_manuales!$H$23="Todos",datos_base!$C$11,0))*parametros_manuales!$H$107+parametros_manuales!$G$23*(datos_base!$C$5+IF(parametros_manuales!$H$23="Todos",datos_base!$C$12,0))*parametros_manuales!$H$112)*parametros_manuales!$I$23*parametros_manuales!$J$23</f>
        <v>840.895</v>
      </c>
      <c r="I34" s="8">
        <f>(parametros_manuales!$D$23*(datos_base!$C$2+IF(parametros_manuales!$H$23="Todos",datos_base!$C$9,0))*parametros_manuales!$I$97+parametros_manuales!$E$23*(datos_base!$C$3+IF(parametros_manuales!$H$23="Todos",datos_base!$C$10,0))*parametros_manuales!$I$102+parametros_manuales!$F$23*(datos_base!$C$4+IF(parametros_manuales!$H$23="Todos",datos_base!$C$11,0))*parametros_manuales!$I$107+parametros_manuales!$G$23*(datos_base!$C$5+IF(parametros_manuales!$H$23="Todos",datos_base!$C$12,0))*parametros_manuales!$I$112)*parametros_manuales!$I$23*parametros_manuales!$J$23</f>
        <v>930.85</v>
      </c>
      <c r="J34" s="8">
        <f>(parametros_manuales!$D$23*(datos_base!$C$2+IF(parametros_manuales!$H$23="Todos",datos_base!$C$9,0))*parametros_manuales!$J$97+parametros_manuales!$E$23*(datos_base!$C$3+IF(parametros_manuales!$H$23="Todos",datos_base!$C$10,0))*parametros_manuales!$J$102+parametros_manuales!$F$23*(datos_base!$C$4+IF(parametros_manuales!$H$23="Todos",datos_base!$C$11,0))*parametros_manuales!$J$107+parametros_manuales!$G$23*(datos_base!$C$5+IF(parametros_manuales!$H$23="Todos",datos_base!$C$12,0))*parametros_manuales!$J$112)*parametros_manuales!$I$23*parametros_manuales!$J$23</f>
        <v>930.85</v>
      </c>
      <c r="K34" s="8">
        <f>(parametros_manuales!$D$23*(datos_base!$C$2+IF(parametros_manuales!$H$23="Todos",datos_base!$C$9,0))*parametros_manuales!$K$97+parametros_manuales!$E$23*(datos_base!$C$3+IF(parametros_manuales!$H$23="Todos",datos_base!$C$10,0))*parametros_manuales!$K$102+parametros_manuales!$F$23*(datos_base!$C$4+IF(parametros_manuales!$H$23="Todos",datos_base!$C$11,0))*parametros_manuales!$K$107+parametros_manuales!$G$23*(datos_base!$C$5+IF(parametros_manuales!$H$23="Todos",datos_base!$C$12,0))*parametros_manuales!$K$112)*parametros_manuales!$I$23*parametros_manuales!$J$23</f>
        <v>955.295</v>
      </c>
      <c r="L34" s="8">
        <f>(parametros_manuales!$D$23*(datos_base!$C$2+IF(parametros_manuales!$H$23="Todos",datos_base!$C$9,0))*parametros_manuales!$L$97+parametros_manuales!$E$23*(datos_base!$C$3+IF(parametros_manuales!$H$23="Todos",datos_base!$C$10,0))*parametros_manuales!$L$102+parametros_manuales!$F$23*(datos_base!$C$4+IF(parametros_manuales!$H$23="Todos",datos_base!$C$11,0))*parametros_manuales!$L$107+parametros_manuales!$G$23*(datos_base!$C$5+IF(parametros_manuales!$H$23="Todos",datos_base!$C$12,0))*parametros_manuales!$L$112)*parametros_manuales!$I$23*parametros_manuales!$J$23</f>
        <v>979.74</v>
      </c>
      <c r="M34" s="8">
        <f>(parametros_manuales!$D$23*(datos_base!$C$2+IF(parametros_manuales!$H$23="Todos",datos_base!$C$9,0))*parametros_manuales!$M$97+parametros_manuales!$E$23*(datos_base!$C$3+IF(parametros_manuales!$H$23="Todos",datos_base!$C$10,0))*parametros_manuales!$M$102+parametros_manuales!$F$23*(datos_base!$C$4+IF(parametros_manuales!$H$23="Todos",datos_base!$C$11,0))*parametros_manuales!$M$107+parametros_manuales!$G$23*(datos_base!$C$5+IF(parametros_manuales!$H$23="Todos",datos_base!$C$12,0))*parametros_manuales!$M$112)*parametros_manuales!$I$23*parametros_manuales!$J$23</f>
        <v>979.74</v>
      </c>
      <c r="N34" s="8">
        <f t="shared" si="4"/>
        <v>10886</v>
      </c>
      <c r="O34" s="8">
        <f t="shared" si="5"/>
        <v>979.74</v>
      </c>
      <c r="P34" s="27">
        <f>O34/(parametros_manuales!$B$7)</f>
        <v>6.5316</v>
      </c>
      <c r="Q34" s="4" t="str">
        <f t="shared" si="6"/>
        <v>Ene</v>
      </c>
      <c r="R34" s="16"/>
      <c r="S34" s="16"/>
    </row>
    <row r="35" ht="14.25" customHeight="1">
      <c r="A35" s="4" t="str">
        <f>parametros_manuales!$B$24</f>
        <v>Numerado de cúpula</v>
      </c>
      <c r="B35" s="8">
        <f>(parametros_manuales!$D$24*(datos_base!$C$2+IF(parametros_manuales!$H$24="Todos",datos_base!$C$9,0))*parametros_manuales!$B$97+parametros_manuales!$E$24*(datos_base!$C$3+IF(parametros_manuales!$H$24="Todos",datos_base!$C$10,0))*parametros_manuales!$B$102+parametros_manuales!$F$24*(datos_base!$C$4+IF(parametros_manuales!$H$24="Todos",datos_base!$C$11,0))*parametros_manuales!$B$107+parametros_manuales!$G$24*(datos_base!$C$5+IF(parametros_manuales!$H$24="Todos",datos_base!$C$12,0))*parametros_manuales!$B$112)*parametros_manuales!$I$24*parametros_manuales!$J$24</f>
        <v>979.74</v>
      </c>
      <c r="C35" s="8">
        <f>(parametros_manuales!$D$24*(datos_base!$C$2+IF(parametros_manuales!$H$24="Todos",datos_base!$C$9,0))*parametros_manuales!$C$97+parametros_manuales!$E$24*(datos_base!$C$3+IF(parametros_manuales!$H$24="Todos",datos_base!$C$10,0))*parametros_manuales!$C$102+parametros_manuales!$F$24*(datos_base!$C$4+IF(parametros_manuales!$H$24="Todos",datos_base!$C$11,0))*parametros_manuales!$C$107+parametros_manuales!$G$24*(datos_base!$C$5+IF(parametros_manuales!$H$24="Todos",datos_base!$C$12,0))*parametros_manuales!$C$112)*parametros_manuales!$I$24*parametros_manuales!$J$24</f>
        <v>930.85</v>
      </c>
      <c r="D35" s="8">
        <f>(parametros_manuales!$D$24*(datos_base!$C$2+IF(parametros_manuales!$H$24="Todos",datos_base!$C$9,0))*parametros_manuales!$D$97+parametros_manuales!$E$24*(datos_base!$C$3+IF(parametros_manuales!$H$24="Todos",datos_base!$C$10,0))*parametros_manuales!$D$102+parametros_manuales!$F$24*(datos_base!$C$4+IF(parametros_manuales!$H$24="Todos",datos_base!$C$11,0))*parametros_manuales!$D$107+parametros_manuales!$G$24*(datos_base!$C$5+IF(parametros_manuales!$H$24="Todos",datos_base!$C$12,0))*parametros_manuales!$D$112)*parametros_manuales!$I$24*parametros_manuales!$J$24</f>
        <v>895.325</v>
      </c>
      <c r="E35" s="8">
        <f>(parametros_manuales!$D$24*(datos_base!$C$2+IF(parametros_manuales!$H$24="Todos",datos_base!$C$9,0))*parametros_manuales!$E$97+parametros_manuales!$E$24*(datos_base!$C$3+IF(parametros_manuales!$H$24="Todos",datos_base!$C$10,0))*parametros_manuales!$E$102+parametros_manuales!$F$24*(datos_base!$C$4+IF(parametros_manuales!$H$24="Todos",datos_base!$C$11,0))*parametros_manuales!$E$107+parametros_manuales!$G$24*(datos_base!$C$5+IF(parametros_manuales!$H$24="Todos",datos_base!$C$12,0))*parametros_manuales!$E$112)*parametros_manuales!$I$24*parametros_manuales!$J$24</f>
        <v>865.34</v>
      </c>
      <c r="F35" s="8">
        <f>(parametros_manuales!$D$24*(datos_base!$C$2+IF(parametros_manuales!$H$24="Todos",datos_base!$C$9,0))*parametros_manuales!$F$97+parametros_manuales!$E$24*(datos_base!$C$3+IF(parametros_manuales!$H$24="Todos",datos_base!$C$10,0))*parametros_manuales!$F$102+parametros_manuales!$F$24*(datos_base!$C$4+IF(parametros_manuales!$H$24="Todos",datos_base!$C$11,0))*parametros_manuales!$F$107+parametros_manuales!$G$24*(datos_base!$C$5+IF(parametros_manuales!$H$24="Todos",datos_base!$C$12,0))*parametros_manuales!$F$112)*parametros_manuales!$I$24*parametros_manuales!$J$24</f>
        <v>810.91</v>
      </c>
      <c r="G35" s="8">
        <f>(parametros_manuales!$D$24*(datos_base!$C$2+IF(parametros_manuales!$H$24="Todos",datos_base!$C$9,0))*parametros_manuales!$G$97+parametros_manuales!$E$24*(datos_base!$C$3+IF(parametros_manuales!$H$24="Todos",datos_base!$C$10,0))*parametros_manuales!$G$102+parametros_manuales!$F$24*(datos_base!$C$4+IF(parametros_manuales!$H$24="Todos",datos_base!$C$11,0))*parametros_manuales!$G$107+parametros_manuales!$G$24*(datos_base!$C$5+IF(parametros_manuales!$H$24="Todos",datos_base!$C$12,0))*parametros_manuales!$G$112)*parametros_manuales!$I$24*parametros_manuales!$J$24</f>
        <v>786.465</v>
      </c>
      <c r="H35" s="8">
        <f>(parametros_manuales!$D$24*(datos_base!$C$2+IF(parametros_manuales!$H$24="Todos",datos_base!$C$9,0))*parametros_manuales!$H$97+parametros_manuales!$E$24*(datos_base!$C$3+IF(parametros_manuales!$H$24="Todos",datos_base!$C$10,0))*parametros_manuales!$H$102+parametros_manuales!$F$24*(datos_base!$C$4+IF(parametros_manuales!$H$24="Todos",datos_base!$C$11,0))*parametros_manuales!$H$107+parametros_manuales!$G$24*(datos_base!$C$5+IF(parametros_manuales!$H$24="Todos",datos_base!$C$12,0))*parametros_manuales!$H$112)*parametros_manuales!$I$24*parametros_manuales!$J$24</f>
        <v>840.895</v>
      </c>
      <c r="I35" s="8">
        <f>(parametros_manuales!$D$24*(datos_base!$C$2+IF(parametros_manuales!$H$24="Todos",datos_base!$C$9,0))*parametros_manuales!$I$97+parametros_manuales!$E$24*(datos_base!$C$3+IF(parametros_manuales!$H$24="Todos",datos_base!$C$10,0))*parametros_manuales!$I$102+parametros_manuales!$F$24*(datos_base!$C$4+IF(parametros_manuales!$H$24="Todos",datos_base!$C$11,0))*parametros_manuales!$I$107+parametros_manuales!$G$24*(datos_base!$C$5+IF(parametros_manuales!$H$24="Todos",datos_base!$C$12,0))*parametros_manuales!$I$112)*parametros_manuales!$I$24*parametros_manuales!$J$24</f>
        <v>930.85</v>
      </c>
      <c r="J35" s="8">
        <f>(parametros_manuales!$D$24*(datos_base!$C$2+IF(parametros_manuales!$H$24="Todos",datos_base!$C$9,0))*parametros_manuales!$J$97+parametros_manuales!$E$24*(datos_base!$C$3+IF(parametros_manuales!$H$24="Todos",datos_base!$C$10,0))*parametros_manuales!$J$102+parametros_manuales!$F$24*(datos_base!$C$4+IF(parametros_manuales!$H$24="Todos",datos_base!$C$11,0))*parametros_manuales!$J$107+parametros_manuales!$G$24*(datos_base!$C$5+IF(parametros_manuales!$H$24="Todos",datos_base!$C$12,0))*parametros_manuales!$J$112)*parametros_manuales!$I$24*parametros_manuales!$J$24</f>
        <v>930.85</v>
      </c>
      <c r="K35" s="8">
        <f>(parametros_manuales!$D$24*(datos_base!$C$2+IF(parametros_manuales!$H$24="Todos",datos_base!$C$9,0))*parametros_manuales!$K$97+parametros_manuales!$E$24*(datos_base!$C$3+IF(parametros_manuales!$H$24="Todos",datos_base!$C$10,0))*parametros_manuales!$K$102+parametros_manuales!$F$24*(datos_base!$C$4+IF(parametros_manuales!$H$24="Todos",datos_base!$C$11,0))*parametros_manuales!$K$107+parametros_manuales!$G$24*(datos_base!$C$5+IF(parametros_manuales!$H$24="Todos",datos_base!$C$12,0))*parametros_manuales!$K$112)*parametros_manuales!$I$24*parametros_manuales!$J$24</f>
        <v>955.295</v>
      </c>
      <c r="L35" s="8">
        <f>(parametros_manuales!$D$24*(datos_base!$C$2+IF(parametros_manuales!$H$24="Todos",datos_base!$C$9,0))*parametros_manuales!$L$97+parametros_manuales!$E$24*(datos_base!$C$3+IF(parametros_manuales!$H$24="Todos",datos_base!$C$10,0))*parametros_manuales!$L$102+parametros_manuales!$F$24*(datos_base!$C$4+IF(parametros_manuales!$H$24="Todos",datos_base!$C$11,0))*parametros_manuales!$L$107+parametros_manuales!$G$24*(datos_base!$C$5+IF(parametros_manuales!$H$24="Todos",datos_base!$C$12,0))*parametros_manuales!$L$112)*parametros_manuales!$I$24*parametros_manuales!$J$24</f>
        <v>979.74</v>
      </c>
      <c r="M35" s="8">
        <f>(parametros_manuales!$D$24*(datos_base!$C$2+IF(parametros_manuales!$H$24="Todos",datos_base!$C$9,0))*parametros_manuales!$M$97+parametros_manuales!$E$24*(datos_base!$C$3+IF(parametros_manuales!$H$24="Todos",datos_base!$C$10,0))*parametros_manuales!$M$102+parametros_manuales!$F$24*(datos_base!$C$4+IF(parametros_manuales!$H$24="Todos",datos_base!$C$11,0))*parametros_manuales!$M$107+parametros_manuales!$G$24*(datos_base!$C$5+IF(parametros_manuales!$H$24="Todos",datos_base!$C$12,0))*parametros_manuales!$M$112)*parametros_manuales!$I$24*parametros_manuales!$J$24</f>
        <v>979.74</v>
      </c>
      <c r="N35" s="8">
        <f t="shared" si="4"/>
        <v>10886</v>
      </c>
      <c r="O35" s="8">
        <f t="shared" si="5"/>
        <v>979.74</v>
      </c>
      <c r="P35" s="27">
        <f>O35/(parametros_manuales!$B$7)</f>
        <v>6.5316</v>
      </c>
      <c r="Q35" s="4" t="str">
        <f t="shared" si="6"/>
        <v>Ene</v>
      </c>
      <c r="R35" s="16"/>
      <c r="S35" s="16"/>
    </row>
    <row r="36" ht="14.25" customHeight="1">
      <c r="A36" s="4" t="str">
        <f>parametros_manuales!$B$25</f>
        <v>Soldadura del cuello a la cúpula</v>
      </c>
      <c r="B36" s="8">
        <f>(parametros_manuales!$D$25*(datos_base!$C$2+IF(parametros_manuales!$H$25="Todos",datos_base!$C$9,0))*parametros_manuales!$B$97+parametros_manuales!$E$25*(datos_base!$C$3+IF(parametros_manuales!$H$25="Todos",datos_base!$C$10,0))*parametros_manuales!$B$102+parametros_manuales!$F$25*(datos_base!$C$4+IF(parametros_manuales!$H$25="Todos",datos_base!$C$11,0))*parametros_manuales!$B$107+parametros_manuales!$G$25*(datos_base!$C$5+IF(parametros_manuales!$H$25="Todos",datos_base!$C$12,0))*parametros_manuales!$B$112)*parametros_manuales!$I$25*parametros_manuales!$J$25</f>
        <v>979.74</v>
      </c>
      <c r="C36" s="8">
        <f>(parametros_manuales!$D$25*(datos_base!$C$2+IF(parametros_manuales!$H$25="Todos",datos_base!$C$9,0))*parametros_manuales!$C$97+parametros_manuales!$E$25*(datos_base!$C$3+IF(parametros_manuales!$H$25="Todos",datos_base!$C$10,0))*parametros_manuales!$C$102+parametros_manuales!$F$25*(datos_base!$C$4+IF(parametros_manuales!$H$25="Todos",datos_base!$C$11,0))*parametros_manuales!$C$107+parametros_manuales!$G$25*(datos_base!$C$5+IF(parametros_manuales!$H$25="Todos",datos_base!$C$12,0))*parametros_manuales!$C$112)*parametros_manuales!$I$25*parametros_manuales!$J$25</f>
        <v>930.85</v>
      </c>
      <c r="D36" s="8">
        <f>(parametros_manuales!$D$25*(datos_base!$C$2+IF(parametros_manuales!$H$25="Todos",datos_base!$C$9,0))*parametros_manuales!$D$97+parametros_manuales!$E$25*(datos_base!$C$3+IF(parametros_manuales!$H$25="Todos",datos_base!$C$10,0))*parametros_manuales!$D$102+parametros_manuales!$F$25*(datos_base!$C$4+IF(parametros_manuales!$H$25="Todos",datos_base!$C$11,0))*parametros_manuales!$D$107+parametros_manuales!$G$25*(datos_base!$C$5+IF(parametros_manuales!$H$25="Todos",datos_base!$C$12,0))*parametros_manuales!$D$112)*parametros_manuales!$I$25*parametros_manuales!$J$25</f>
        <v>895.325</v>
      </c>
      <c r="E36" s="8">
        <f>(parametros_manuales!$D$25*(datos_base!$C$2+IF(parametros_manuales!$H$25="Todos",datos_base!$C$9,0))*parametros_manuales!$E$97+parametros_manuales!$E$25*(datos_base!$C$3+IF(parametros_manuales!$H$25="Todos",datos_base!$C$10,0))*parametros_manuales!$E$102+parametros_manuales!$F$25*(datos_base!$C$4+IF(parametros_manuales!$H$25="Todos",datos_base!$C$11,0))*parametros_manuales!$E$107+parametros_manuales!$G$25*(datos_base!$C$5+IF(parametros_manuales!$H$25="Todos",datos_base!$C$12,0))*parametros_manuales!$E$112)*parametros_manuales!$I$25*parametros_manuales!$J$25</f>
        <v>865.34</v>
      </c>
      <c r="F36" s="8">
        <f>(parametros_manuales!$D$25*(datos_base!$C$2+IF(parametros_manuales!$H$25="Todos",datos_base!$C$9,0))*parametros_manuales!$F$97+parametros_manuales!$E$25*(datos_base!$C$3+IF(parametros_manuales!$H$25="Todos",datos_base!$C$10,0))*parametros_manuales!$F$102+parametros_manuales!$F$25*(datos_base!$C$4+IF(parametros_manuales!$H$25="Todos",datos_base!$C$11,0))*parametros_manuales!$F$107+parametros_manuales!$G$25*(datos_base!$C$5+IF(parametros_manuales!$H$25="Todos",datos_base!$C$12,0))*parametros_manuales!$F$112)*parametros_manuales!$I$25*parametros_manuales!$J$25</f>
        <v>810.91</v>
      </c>
      <c r="G36" s="8">
        <f>(parametros_manuales!$D$25*(datos_base!$C$2+IF(parametros_manuales!$H$25="Todos",datos_base!$C$9,0))*parametros_manuales!$G$97+parametros_manuales!$E$25*(datos_base!$C$3+IF(parametros_manuales!$H$25="Todos",datos_base!$C$10,0))*parametros_manuales!$G$102+parametros_manuales!$F$25*(datos_base!$C$4+IF(parametros_manuales!$H$25="Todos",datos_base!$C$11,0))*parametros_manuales!$G$107+parametros_manuales!$G$25*(datos_base!$C$5+IF(parametros_manuales!$H$25="Todos",datos_base!$C$12,0))*parametros_manuales!$G$112)*parametros_manuales!$I$25*parametros_manuales!$J$25</f>
        <v>786.465</v>
      </c>
      <c r="H36" s="8">
        <f>(parametros_manuales!$D$25*(datos_base!$C$2+IF(parametros_manuales!$H$25="Todos",datos_base!$C$9,0))*parametros_manuales!$H$97+parametros_manuales!$E$25*(datos_base!$C$3+IF(parametros_manuales!$H$25="Todos",datos_base!$C$10,0))*parametros_manuales!$H$102+parametros_manuales!$F$25*(datos_base!$C$4+IF(parametros_manuales!$H$25="Todos",datos_base!$C$11,0))*parametros_manuales!$H$107+parametros_manuales!$G$25*(datos_base!$C$5+IF(parametros_manuales!$H$25="Todos",datos_base!$C$12,0))*parametros_manuales!$H$112)*parametros_manuales!$I$25*parametros_manuales!$J$25</f>
        <v>840.895</v>
      </c>
      <c r="I36" s="8">
        <f>(parametros_manuales!$D$25*(datos_base!$C$2+IF(parametros_manuales!$H$25="Todos",datos_base!$C$9,0))*parametros_manuales!$I$97+parametros_manuales!$E$25*(datos_base!$C$3+IF(parametros_manuales!$H$25="Todos",datos_base!$C$10,0))*parametros_manuales!$I$102+parametros_manuales!$F$25*(datos_base!$C$4+IF(parametros_manuales!$H$25="Todos",datos_base!$C$11,0))*parametros_manuales!$I$107+parametros_manuales!$G$25*(datos_base!$C$5+IF(parametros_manuales!$H$25="Todos",datos_base!$C$12,0))*parametros_manuales!$I$112)*parametros_manuales!$I$25*parametros_manuales!$J$25</f>
        <v>930.85</v>
      </c>
      <c r="J36" s="8">
        <f>(parametros_manuales!$D$25*(datos_base!$C$2+IF(parametros_manuales!$H$25="Todos",datos_base!$C$9,0))*parametros_manuales!$J$97+parametros_manuales!$E$25*(datos_base!$C$3+IF(parametros_manuales!$H$25="Todos",datos_base!$C$10,0))*parametros_manuales!$J$102+parametros_manuales!$F$25*(datos_base!$C$4+IF(parametros_manuales!$H$25="Todos",datos_base!$C$11,0))*parametros_manuales!$J$107+parametros_manuales!$G$25*(datos_base!$C$5+IF(parametros_manuales!$H$25="Todos",datos_base!$C$12,0))*parametros_manuales!$J$112)*parametros_manuales!$I$25*parametros_manuales!$J$25</f>
        <v>930.85</v>
      </c>
      <c r="K36" s="8">
        <f>(parametros_manuales!$D$25*(datos_base!$C$2+IF(parametros_manuales!$H$25="Todos",datos_base!$C$9,0))*parametros_manuales!$K$97+parametros_manuales!$E$25*(datos_base!$C$3+IF(parametros_manuales!$H$25="Todos",datos_base!$C$10,0))*parametros_manuales!$K$102+parametros_manuales!$F$25*(datos_base!$C$4+IF(parametros_manuales!$H$25="Todos",datos_base!$C$11,0))*parametros_manuales!$K$107+parametros_manuales!$G$25*(datos_base!$C$5+IF(parametros_manuales!$H$25="Todos",datos_base!$C$12,0))*parametros_manuales!$K$112)*parametros_manuales!$I$25*parametros_manuales!$J$25</f>
        <v>955.295</v>
      </c>
      <c r="L36" s="8">
        <f>(parametros_manuales!$D$25*(datos_base!$C$2+IF(parametros_manuales!$H$25="Todos",datos_base!$C$9,0))*parametros_manuales!$L$97+parametros_manuales!$E$25*(datos_base!$C$3+IF(parametros_manuales!$H$25="Todos",datos_base!$C$10,0))*parametros_manuales!$L$102+parametros_manuales!$F$25*(datos_base!$C$4+IF(parametros_manuales!$H$25="Todos",datos_base!$C$11,0))*parametros_manuales!$L$107+parametros_manuales!$G$25*(datos_base!$C$5+IF(parametros_manuales!$H$25="Todos",datos_base!$C$12,0))*parametros_manuales!$L$112)*parametros_manuales!$I$25*parametros_manuales!$J$25</f>
        <v>979.74</v>
      </c>
      <c r="M36" s="8">
        <f>(parametros_manuales!$D$25*(datos_base!$C$2+IF(parametros_manuales!$H$25="Todos",datos_base!$C$9,0))*parametros_manuales!$M$97+parametros_manuales!$E$25*(datos_base!$C$3+IF(parametros_manuales!$H$25="Todos",datos_base!$C$10,0))*parametros_manuales!$M$102+parametros_manuales!$F$25*(datos_base!$C$4+IF(parametros_manuales!$H$25="Todos",datos_base!$C$11,0))*parametros_manuales!$M$107+parametros_manuales!$G$25*(datos_base!$C$5+IF(parametros_manuales!$H$25="Todos",datos_base!$C$12,0))*parametros_manuales!$M$112)*parametros_manuales!$I$25*parametros_manuales!$J$25</f>
        <v>979.74</v>
      </c>
      <c r="N36" s="8">
        <f t="shared" si="4"/>
        <v>10886</v>
      </c>
      <c r="O36" s="8">
        <f t="shared" si="5"/>
        <v>979.74</v>
      </c>
      <c r="P36" s="27">
        <f>O36/(parametros_manuales!$B$7)</f>
        <v>6.5316</v>
      </c>
      <c r="Q36" s="4" t="str">
        <f t="shared" si="6"/>
        <v>Ene</v>
      </c>
      <c r="R36" s="16"/>
      <c r="S36" s="16"/>
    </row>
    <row r="37" ht="14.25" customHeight="1">
      <c r="A37" s="4" t="str">
        <f>parametros_manuales!$B$26</f>
        <v>Cilindrado</v>
      </c>
      <c r="B37" s="8">
        <f>(parametros_manuales!$D$26*(datos_base!$C$2+IF(parametros_manuales!$H$26="Todos",datos_base!$C$9,0))*parametros_manuales!$B$97+parametros_manuales!$E$26*(datos_base!$C$3+IF(parametros_manuales!$H$26="Todos",datos_base!$C$10,0))*parametros_manuales!$B$102+parametros_manuales!$F$26*(datos_base!$C$4+IF(parametros_manuales!$H$26="Todos",datos_base!$C$11,0))*parametros_manuales!$B$107+parametros_manuales!$G$26*(datos_base!$C$5+IF(parametros_manuales!$H$26="Todos",datos_base!$C$12,0))*parametros_manuales!$B$112)*parametros_manuales!$I$26*parametros_manuales!$J$26</f>
        <v>979.74</v>
      </c>
      <c r="C37" s="8">
        <f>(parametros_manuales!$D$26*(datos_base!$C$2+IF(parametros_manuales!$H$26="Todos",datos_base!$C$9,0))*parametros_manuales!$C$97+parametros_manuales!$E$26*(datos_base!$C$3+IF(parametros_manuales!$H$26="Todos",datos_base!$C$10,0))*parametros_manuales!$C$102+parametros_manuales!$F$26*(datos_base!$C$4+IF(parametros_manuales!$H$26="Todos",datos_base!$C$11,0))*parametros_manuales!$C$107+parametros_manuales!$G$26*(datos_base!$C$5+IF(parametros_manuales!$H$26="Todos",datos_base!$C$12,0))*parametros_manuales!$C$112)*parametros_manuales!$I$26*parametros_manuales!$J$26</f>
        <v>930.85</v>
      </c>
      <c r="D37" s="8">
        <f>(parametros_manuales!$D$26*(datos_base!$C$2+IF(parametros_manuales!$H$26="Todos",datos_base!$C$9,0))*parametros_manuales!$D$97+parametros_manuales!$E$26*(datos_base!$C$3+IF(parametros_manuales!$H$26="Todos",datos_base!$C$10,0))*parametros_manuales!$D$102+parametros_manuales!$F$26*(datos_base!$C$4+IF(parametros_manuales!$H$26="Todos",datos_base!$C$11,0))*parametros_manuales!$D$107+parametros_manuales!$G$26*(datos_base!$C$5+IF(parametros_manuales!$H$26="Todos",datos_base!$C$12,0))*parametros_manuales!$D$112)*parametros_manuales!$I$26*parametros_manuales!$J$26</f>
        <v>895.325</v>
      </c>
      <c r="E37" s="8">
        <f>(parametros_manuales!$D$26*(datos_base!$C$2+IF(parametros_manuales!$H$26="Todos",datos_base!$C$9,0))*parametros_manuales!$E$97+parametros_manuales!$E$26*(datos_base!$C$3+IF(parametros_manuales!$H$26="Todos",datos_base!$C$10,0))*parametros_manuales!$E$102+parametros_manuales!$F$26*(datos_base!$C$4+IF(parametros_manuales!$H$26="Todos",datos_base!$C$11,0))*parametros_manuales!$E$107+parametros_manuales!$G$26*(datos_base!$C$5+IF(parametros_manuales!$H$26="Todos",datos_base!$C$12,0))*parametros_manuales!$E$112)*parametros_manuales!$I$26*parametros_manuales!$J$26</f>
        <v>865.34</v>
      </c>
      <c r="F37" s="8">
        <f>(parametros_manuales!$D$26*(datos_base!$C$2+IF(parametros_manuales!$H$26="Todos",datos_base!$C$9,0))*parametros_manuales!$F$97+parametros_manuales!$E$26*(datos_base!$C$3+IF(parametros_manuales!$H$26="Todos",datos_base!$C$10,0))*parametros_manuales!$F$102+parametros_manuales!$F$26*(datos_base!$C$4+IF(parametros_manuales!$H$26="Todos",datos_base!$C$11,0))*parametros_manuales!$F$107+parametros_manuales!$G$26*(datos_base!$C$5+IF(parametros_manuales!$H$26="Todos",datos_base!$C$12,0))*parametros_manuales!$F$112)*parametros_manuales!$I$26*parametros_manuales!$J$26</f>
        <v>810.91</v>
      </c>
      <c r="G37" s="8">
        <f>(parametros_manuales!$D$26*(datos_base!$C$2+IF(parametros_manuales!$H$26="Todos",datos_base!$C$9,0))*parametros_manuales!$G$97+parametros_manuales!$E$26*(datos_base!$C$3+IF(parametros_manuales!$H$26="Todos",datos_base!$C$10,0))*parametros_manuales!$G$102+parametros_manuales!$F$26*(datos_base!$C$4+IF(parametros_manuales!$H$26="Todos",datos_base!$C$11,0))*parametros_manuales!$G$107+parametros_manuales!$G$26*(datos_base!$C$5+IF(parametros_manuales!$H$26="Todos",datos_base!$C$12,0))*parametros_manuales!$G$112)*parametros_manuales!$I$26*parametros_manuales!$J$26</f>
        <v>786.465</v>
      </c>
      <c r="H37" s="8">
        <f>(parametros_manuales!$D$26*(datos_base!$C$2+IF(parametros_manuales!$H$26="Todos",datos_base!$C$9,0))*parametros_manuales!$H$97+parametros_manuales!$E$26*(datos_base!$C$3+IF(parametros_manuales!$H$26="Todos",datos_base!$C$10,0))*parametros_manuales!$H$102+parametros_manuales!$F$26*(datos_base!$C$4+IF(parametros_manuales!$H$26="Todos",datos_base!$C$11,0))*parametros_manuales!$H$107+parametros_manuales!$G$26*(datos_base!$C$5+IF(parametros_manuales!$H$26="Todos",datos_base!$C$12,0))*parametros_manuales!$H$112)*parametros_manuales!$I$26*parametros_manuales!$J$26</f>
        <v>840.895</v>
      </c>
      <c r="I37" s="8">
        <f>(parametros_manuales!$D$26*(datos_base!$C$2+IF(parametros_manuales!$H$26="Todos",datos_base!$C$9,0))*parametros_manuales!$I$97+parametros_manuales!$E$26*(datos_base!$C$3+IF(parametros_manuales!$H$26="Todos",datos_base!$C$10,0))*parametros_manuales!$I$102+parametros_manuales!$F$26*(datos_base!$C$4+IF(parametros_manuales!$H$26="Todos",datos_base!$C$11,0))*parametros_manuales!$I$107+parametros_manuales!$G$26*(datos_base!$C$5+IF(parametros_manuales!$H$26="Todos",datos_base!$C$12,0))*parametros_manuales!$I$112)*parametros_manuales!$I$26*parametros_manuales!$J$26</f>
        <v>930.85</v>
      </c>
      <c r="J37" s="8">
        <f>(parametros_manuales!$D$26*(datos_base!$C$2+IF(parametros_manuales!$H$26="Todos",datos_base!$C$9,0))*parametros_manuales!$J$97+parametros_manuales!$E$26*(datos_base!$C$3+IF(parametros_manuales!$H$26="Todos",datos_base!$C$10,0))*parametros_manuales!$J$102+parametros_manuales!$F$26*(datos_base!$C$4+IF(parametros_manuales!$H$26="Todos",datos_base!$C$11,0))*parametros_manuales!$J$107+parametros_manuales!$G$26*(datos_base!$C$5+IF(parametros_manuales!$H$26="Todos",datos_base!$C$12,0))*parametros_manuales!$J$112)*parametros_manuales!$I$26*parametros_manuales!$J$26</f>
        <v>930.85</v>
      </c>
      <c r="K37" s="8">
        <f>(parametros_manuales!$D$26*(datos_base!$C$2+IF(parametros_manuales!$H$26="Todos",datos_base!$C$9,0))*parametros_manuales!$K$97+parametros_manuales!$E$26*(datos_base!$C$3+IF(parametros_manuales!$H$26="Todos",datos_base!$C$10,0))*parametros_manuales!$K$102+parametros_manuales!$F$26*(datos_base!$C$4+IF(parametros_manuales!$H$26="Todos",datos_base!$C$11,0))*parametros_manuales!$K$107+parametros_manuales!$G$26*(datos_base!$C$5+IF(parametros_manuales!$H$26="Todos",datos_base!$C$12,0))*parametros_manuales!$K$112)*parametros_manuales!$I$26*parametros_manuales!$J$26</f>
        <v>955.295</v>
      </c>
      <c r="L37" s="8">
        <f>(parametros_manuales!$D$26*(datos_base!$C$2+IF(parametros_manuales!$H$26="Todos",datos_base!$C$9,0))*parametros_manuales!$L$97+parametros_manuales!$E$26*(datos_base!$C$3+IF(parametros_manuales!$H$26="Todos",datos_base!$C$10,0))*parametros_manuales!$L$102+parametros_manuales!$F$26*(datos_base!$C$4+IF(parametros_manuales!$H$26="Todos",datos_base!$C$11,0))*parametros_manuales!$L$107+parametros_manuales!$G$26*(datos_base!$C$5+IF(parametros_manuales!$H$26="Todos",datos_base!$C$12,0))*parametros_manuales!$L$112)*parametros_manuales!$I$26*parametros_manuales!$J$26</f>
        <v>979.74</v>
      </c>
      <c r="M37" s="8">
        <f>(parametros_manuales!$D$26*(datos_base!$C$2+IF(parametros_manuales!$H$26="Todos",datos_base!$C$9,0))*parametros_manuales!$M$97+parametros_manuales!$E$26*(datos_base!$C$3+IF(parametros_manuales!$H$26="Todos",datos_base!$C$10,0))*parametros_manuales!$M$102+parametros_manuales!$F$26*(datos_base!$C$4+IF(parametros_manuales!$H$26="Todos",datos_base!$C$11,0))*parametros_manuales!$M$107+parametros_manuales!$G$26*(datos_base!$C$5+IF(parametros_manuales!$H$26="Todos",datos_base!$C$12,0))*parametros_manuales!$M$112)*parametros_manuales!$I$26*parametros_manuales!$J$26</f>
        <v>979.74</v>
      </c>
      <c r="N37" s="8">
        <f t="shared" si="4"/>
        <v>10886</v>
      </c>
      <c r="O37" s="8">
        <f t="shared" si="5"/>
        <v>979.74</v>
      </c>
      <c r="P37" s="27">
        <f>O37/(parametros_manuales!$B$7)</f>
        <v>6.5316</v>
      </c>
      <c r="Q37" s="4" t="str">
        <f t="shared" si="6"/>
        <v>Ene</v>
      </c>
      <c r="R37" s="16"/>
      <c r="S37" s="16"/>
    </row>
    <row r="38" ht="14.25" customHeight="1">
      <c r="A38" s="4" t="str">
        <f>parametros_manuales!$B$27</f>
        <v>Soldadura longitudinal — 2,5 a 10 kg</v>
      </c>
      <c r="B38" s="8">
        <f>(parametros_manuales!$D$27*(datos_base!$C$2+IF(parametros_manuales!$H$27="Todos",datos_base!$C$9,0))*parametros_manuales!$B$97+parametros_manuales!$E$27*(datos_base!$C$3+IF(parametros_manuales!$H$27="Todos",datos_base!$C$10,0))*parametros_manuales!$B$102+parametros_manuales!$F$27*(datos_base!$C$4+IF(parametros_manuales!$H$27="Todos",datos_base!$C$11,0))*parametros_manuales!$B$107+parametros_manuales!$G$27*(datos_base!$C$5+IF(parametros_manuales!$H$27="Todos",datos_base!$C$12,0))*parametros_manuales!$B$112)*parametros_manuales!$I$27*parametros_manuales!$J$27</f>
        <v>440.01</v>
      </c>
      <c r="C38" s="8">
        <f>(parametros_manuales!$D$27*(datos_base!$C$2+IF(parametros_manuales!$H$27="Todos",datos_base!$C$9,0))*parametros_manuales!$C$97+parametros_manuales!$E$27*(datos_base!$C$3+IF(parametros_manuales!$H$27="Todos",datos_base!$C$10,0))*parametros_manuales!$C$102+parametros_manuales!$F$27*(datos_base!$C$4+IF(parametros_manuales!$H$27="Todos",datos_base!$C$11,0))*parametros_manuales!$C$107+parametros_manuales!$G$27*(datos_base!$C$5+IF(parametros_manuales!$H$27="Todos",datos_base!$C$12,0))*parametros_manuales!$C$112)*parametros_manuales!$I$27*parametros_manuales!$J$27</f>
        <v>391.12</v>
      </c>
      <c r="D38" s="8">
        <f>(parametros_manuales!$D$27*(datos_base!$C$2+IF(parametros_manuales!$H$27="Todos",datos_base!$C$9,0))*parametros_manuales!$D$97+parametros_manuales!$E$27*(datos_base!$C$3+IF(parametros_manuales!$H$27="Todos",datos_base!$C$10,0))*parametros_manuales!$D$102+parametros_manuales!$F$27*(datos_base!$C$4+IF(parametros_manuales!$H$27="Todos",datos_base!$C$11,0))*parametros_manuales!$D$107+parametros_manuales!$G$27*(datos_base!$C$5+IF(parametros_manuales!$H$27="Todos",datos_base!$C$12,0))*parametros_manuales!$D$112)*parametros_manuales!$I$27*parametros_manuales!$J$27</f>
        <v>415.565</v>
      </c>
      <c r="E38" s="8">
        <f>(parametros_manuales!$D$27*(datos_base!$C$2+IF(parametros_manuales!$H$27="Todos",datos_base!$C$9,0))*parametros_manuales!$E$97+parametros_manuales!$E$27*(datos_base!$C$3+IF(parametros_manuales!$H$27="Todos",datos_base!$C$10,0))*parametros_manuales!$E$102+parametros_manuales!$F$27*(datos_base!$C$4+IF(parametros_manuales!$H$27="Todos",datos_base!$C$11,0))*parametros_manuales!$E$107+parametros_manuales!$G$27*(datos_base!$C$5+IF(parametros_manuales!$H$27="Todos",datos_base!$C$12,0))*parametros_manuales!$E$112)*parametros_manuales!$I$27*parametros_manuales!$J$27</f>
        <v>415.565</v>
      </c>
      <c r="F38" s="8">
        <f>(parametros_manuales!$D$27*(datos_base!$C$2+IF(parametros_manuales!$H$27="Todos",datos_base!$C$9,0))*parametros_manuales!$F$97+parametros_manuales!$E$27*(datos_base!$C$3+IF(parametros_manuales!$H$27="Todos",datos_base!$C$10,0))*parametros_manuales!$F$102+parametros_manuales!$F$27*(datos_base!$C$4+IF(parametros_manuales!$H$27="Todos",datos_base!$C$11,0))*parametros_manuales!$F$107+parametros_manuales!$G$27*(datos_base!$C$5+IF(parametros_manuales!$H$27="Todos",datos_base!$C$12,0))*parametros_manuales!$F$112)*parametros_manuales!$I$27*parametros_manuales!$J$27</f>
        <v>391.12</v>
      </c>
      <c r="G38" s="8">
        <f>(parametros_manuales!$D$27*(datos_base!$C$2+IF(parametros_manuales!$H$27="Todos",datos_base!$C$9,0))*parametros_manuales!$G$97+parametros_manuales!$E$27*(datos_base!$C$3+IF(parametros_manuales!$H$27="Todos",datos_base!$C$10,0))*parametros_manuales!$G$102+parametros_manuales!$F$27*(datos_base!$C$4+IF(parametros_manuales!$H$27="Todos",datos_base!$C$11,0))*parametros_manuales!$G$107+parametros_manuales!$G$27*(datos_base!$C$5+IF(parametros_manuales!$H$27="Todos",datos_base!$C$12,0))*parametros_manuales!$G$112)*parametros_manuales!$I$27*parametros_manuales!$J$27</f>
        <v>366.675</v>
      </c>
      <c r="H38" s="8">
        <f>(parametros_manuales!$D$27*(datos_base!$C$2+IF(parametros_manuales!$H$27="Todos",datos_base!$C$9,0))*parametros_manuales!$H$97+parametros_manuales!$E$27*(datos_base!$C$3+IF(parametros_manuales!$H$27="Todos",datos_base!$C$10,0))*parametros_manuales!$H$102+parametros_manuales!$F$27*(datos_base!$C$4+IF(parametros_manuales!$H$27="Todos",datos_base!$C$11,0))*parametros_manuales!$H$107+parametros_manuales!$G$27*(datos_base!$C$5+IF(parametros_manuales!$H$27="Todos",datos_base!$C$12,0))*parametros_manuales!$H$112)*parametros_manuales!$I$27*parametros_manuales!$J$27</f>
        <v>391.12</v>
      </c>
      <c r="I38" s="8">
        <f>(parametros_manuales!$D$27*(datos_base!$C$2+IF(parametros_manuales!$H$27="Todos",datos_base!$C$9,0))*parametros_manuales!$I$97+parametros_manuales!$E$27*(datos_base!$C$3+IF(parametros_manuales!$H$27="Todos",datos_base!$C$10,0))*parametros_manuales!$I$102+parametros_manuales!$F$27*(datos_base!$C$4+IF(parametros_manuales!$H$27="Todos",datos_base!$C$11,0))*parametros_manuales!$I$107+parametros_manuales!$G$27*(datos_base!$C$5+IF(parametros_manuales!$H$27="Todos",datos_base!$C$12,0))*parametros_manuales!$I$112)*parametros_manuales!$I$27*parametros_manuales!$J$27</f>
        <v>391.12</v>
      </c>
      <c r="J38" s="8">
        <f>(parametros_manuales!$D$27*(datos_base!$C$2+IF(parametros_manuales!$H$27="Todos",datos_base!$C$9,0))*parametros_manuales!$J$97+parametros_manuales!$E$27*(datos_base!$C$3+IF(parametros_manuales!$H$27="Todos",datos_base!$C$10,0))*parametros_manuales!$J$102+parametros_manuales!$F$27*(datos_base!$C$4+IF(parametros_manuales!$H$27="Todos",datos_base!$C$11,0))*parametros_manuales!$J$107+parametros_manuales!$G$27*(datos_base!$C$5+IF(parametros_manuales!$H$27="Todos",datos_base!$C$12,0))*parametros_manuales!$J$112)*parametros_manuales!$I$27*parametros_manuales!$J$27</f>
        <v>391.12</v>
      </c>
      <c r="K38" s="8">
        <f>(parametros_manuales!$D$27*(datos_base!$C$2+IF(parametros_manuales!$H$27="Todos",datos_base!$C$9,0))*parametros_manuales!$K$97+parametros_manuales!$E$27*(datos_base!$C$3+IF(parametros_manuales!$H$27="Todos",datos_base!$C$10,0))*parametros_manuales!$K$102+parametros_manuales!$F$27*(datos_base!$C$4+IF(parametros_manuales!$H$27="Todos",datos_base!$C$11,0))*parametros_manuales!$K$107+parametros_manuales!$G$27*(datos_base!$C$5+IF(parametros_manuales!$H$27="Todos",datos_base!$C$12,0))*parametros_manuales!$K$112)*parametros_manuales!$I$27*parametros_manuales!$J$27</f>
        <v>415.565</v>
      </c>
      <c r="L38" s="8">
        <f>(parametros_manuales!$D$27*(datos_base!$C$2+IF(parametros_manuales!$H$27="Todos",datos_base!$C$9,0))*parametros_manuales!$L$97+parametros_manuales!$E$27*(datos_base!$C$3+IF(parametros_manuales!$H$27="Todos",datos_base!$C$10,0))*parametros_manuales!$L$102+parametros_manuales!$F$27*(datos_base!$C$4+IF(parametros_manuales!$H$27="Todos",datos_base!$C$11,0))*parametros_manuales!$L$107+parametros_manuales!$G$27*(datos_base!$C$5+IF(parametros_manuales!$H$27="Todos",datos_base!$C$12,0))*parametros_manuales!$L$112)*parametros_manuales!$I$27*parametros_manuales!$J$27</f>
        <v>440.01</v>
      </c>
      <c r="M38" s="8">
        <f>(parametros_manuales!$D$27*(datos_base!$C$2+IF(parametros_manuales!$H$27="Todos",datos_base!$C$9,0))*parametros_manuales!$M$97+parametros_manuales!$E$27*(datos_base!$C$3+IF(parametros_manuales!$H$27="Todos",datos_base!$C$10,0))*parametros_manuales!$M$102+parametros_manuales!$F$27*(datos_base!$C$4+IF(parametros_manuales!$H$27="Todos",datos_base!$C$11,0))*parametros_manuales!$M$107+parametros_manuales!$G$27*(datos_base!$C$5+IF(parametros_manuales!$H$27="Todos",datos_base!$C$12,0))*parametros_manuales!$M$112)*parametros_manuales!$I$27*parametros_manuales!$J$27</f>
        <v>440.01</v>
      </c>
      <c r="N38" s="8">
        <f t="shared" si="4"/>
        <v>4889</v>
      </c>
      <c r="O38" s="8">
        <f t="shared" si="5"/>
        <v>440.01</v>
      </c>
      <c r="P38" s="27">
        <f>O38/(parametros_manuales!$B$7)</f>
        <v>2.9334</v>
      </c>
      <c r="Q38" s="4" t="str">
        <f t="shared" si="6"/>
        <v>Ene</v>
      </c>
      <c r="R38" s="16"/>
      <c r="S38" s="16"/>
    </row>
    <row r="39" ht="14.25" customHeight="1">
      <c r="A39" s="4" t="str">
        <f>parametros_manuales!$B$28</f>
        <v>Soldadura longitudinal TIG — 1 kg</v>
      </c>
      <c r="B39" s="8">
        <f>(parametros_manuales!$D$28*(datos_base!$C$2+IF(parametros_manuales!$H$28="Todos",datos_base!$C$9,0))*parametros_manuales!$B$97+parametros_manuales!$E$28*(datos_base!$C$3+IF(parametros_manuales!$H$28="Todos",datos_base!$C$10,0))*parametros_manuales!$B$102+parametros_manuales!$F$28*(datos_base!$C$4+IF(parametros_manuales!$H$28="Todos",datos_base!$C$11,0))*parametros_manuales!$B$107+parametros_manuales!$G$28*(datos_base!$C$5+IF(parametros_manuales!$H$28="Todos",datos_base!$C$12,0))*parametros_manuales!$B$112)*parametros_manuales!$I$28*parametros_manuales!$J$28</f>
        <v>539.73</v>
      </c>
      <c r="C39" s="8">
        <f>(parametros_manuales!$D$28*(datos_base!$C$2+IF(parametros_manuales!$H$28="Todos",datos_base!$C$9,0))*parametros_manuales!$C$97+parametros_manuales!$E$28*(datos_base!$C$3+IF(parametros_manuales!$H$28="Todos",datos_base!$C$10,0))*parametros_manuales!$C$102+parametros_manuales!$F$28*(datos_base!$C$4+IF(parametros_manuales!$H$28="Todos",datos_base!$C$11,0))*parametros_manuales!$C$107+parametros_manuales!$G$28*(datos_base!$C$5+IF(parametros_manuales!$H$28="Todos",datos_base!$C$12,0))*parametros_manuales!$C$112)*parametros_manuales!$I$28*parametros_manuales!$J$28</f>
        <v>539.73</v>
      </c>
      <c r="D39" s="8">
        <f>(parametros_manuales!$D$28*(datos_base!$C$2+IF(parametros_manuales!$H$28="Todos",datos_base!$C$9,0))*parametros_manuales!$D$97+parametros_manuales!$E$28*(datos_base!$C$3+IF(parametros_manuales!$H$28="Todos",datos_base!$C$10,0))*parametros_manuales!$D$102+parametros_manuales!$F$28*(datos_base!$C$4+IF(parametros_manuales!$H$28="Todos",datos_base!$C$11,0))*parametros_manuales!$D$107+parametros_manuales!$G$28*(datos_base!$C$5+IF(parametros_manuales!$H$28="Todos",datos_base!$C$12,0))*parametros_manuales!$D$112)*parametros_manuales!$I$28*parametros_manuales!$J$28</f>
        <v>479.76</v>
      </c>
      <c r="E39" s="8">
        <f>(parametros_manuales!$D$28*(datos_base!$C$2+IF(parametros_manuales!$H$28="Todos",datos_base!$C$9,0))*parametros_manuales!$E$97+parametros_manuales!$E$28*(datos_base!$C$3+IF(parametros_manuales!$H$28="Todos",datos_base!$C$10,0))*parametros_manuales!$E$102+parametros_manuales!$F$28*(datos_base!$C$4+IF(parametros_manuales!$H$28="Todos",datos_base!$C$11,0))*parametros_manuales!$E$107+parametros_manuales!$G$28*(datos_base!$C$5+IF(parametros_manuales!$H$28="Todos",datos_base!$C$12,0))*parametros_manuales!$E$112)*parametros_manuales!$I$28*parametros_manuales!$J$28</f>
        <v>449.775</v>
      </c>
      <c r="F39" s="8">
        <f>(parametros_manuales!$D$28*(datos_base!$C$2+IF(parametros_manuales!$H$28="Todos",datos_base!$C$9,0))*parametros_manuales!$F$97+parametros_manuales!$E$28*(datos_base!$C$3+IF(parametros_manuales!$H$28="Todos",datos_base!$C$10,0))*parametros_manuales!$F$102+parametros_manuales!$F$28*(datos_base!$C$4+IF(parametros_manuales!$H$28="Todos",datos_base!$C$11,0))*parametros_manuales!$F$107+parametros_manuales!$G$28*(datos_base!$C$5+IF(parametros_manuales!$H$28="Todos",datos_base!$C$12,0))*parametros_manuales!$F$112)*parametros_manuales!$I$28*parametros_manuales!$J$28</f>
        <v>419.79</v>
      </c>
      <c r="G39" s="8">
        <f>(parametros_manuales!$D$28*(datos_base!$C$2+IF(parametros_manuales!$H$28="Todos",datos_base!$C$9,0))*parametros_manuales!$G$97+parametros_manuales!$E$28*(datos_base!$C$3+IF(parametros_manuales!$H$28="Todos",datos_base!$C$10,0))*parametros_manuales!$G$102+parametros_manuales!$F$28*(datos_base!$C$4+IF(parametros_manuales!$H$28="Todos",datos_base!$C$11,0))*parametros_manuales!$G$107+parametros_manuales!$G$28*(datos_base!$C$5+IF(parametros_manuales!$H$28="Todos",datos_base!$C$12,0))*parametros_manuales!$G$112)*parametros_manuales!$I$28*parametros_manuales!$J$28</f>
        <v>419.79</v>
      </c>
      <c r="H39" s="8">
        <f>(parametros_manuales!$D$28*(datos_base!$C$2+IF(parametros_manuales!$H$28="Todos",datos_base!$C$9,0))*parametros_manuales!$H$97+parametros_manuales!$E$28*(datos_base!$C$3+IF(parametros_manuales!$H$28="Todos",datos_base!$C$10,0))*parametros_manuales!$H$102+parametros_manuales!$F$28*(datos_base!$C$4+IF(parametros_manuales!$H$28="Todos",datos_base!$C$11,0))*parametros_manuales!$H$107+parametros_manuales!$G$28*(datos_base!$C$5+IF(parametros_manuales!$H$28="Todos",datos_base!$C$12,0))*parametros_manuales!$H$112)*parametros_manuales!$I$28*parametros_manuales!$J$28</f>
        <v>449.775</v>
      </c>
      <c r="I39" s="8">
        <f>(parametros_manuales!$D$28*(datos_base!$C$2+IF(parametros_manuales!$H$28="Todos",datos_base!$C$9,0))*parametros_manuales!$I$97+parametros_manuales!$E$28*(datos_base!$C$3+IF(parametros_manuales!$H$28="Todos",datos_base!$C$10,0))*parametros_manuales!$I$102+parametros_manuales!$F$28*(datos_base!$C$4+IF(parametros_manuales!$H$28="Todos",datos_base!$C$11,0))*parametros_manuales!$I$107+parametros_manuales!$G$28*(datos_base!$C$5+IF(parametros_manuales!$H$28="Todos",datos_base!$C$12,0))*parametros_manuales!$I$112)*parametros_manuales!$I$28*parametros_manuales!$J$28</f>
        <v>539.73</v>
      </c>
      <c r="J39" s="8">
        <f>(parametros_manuales!$D$28*(datos_base!$C$2+IF(parametros_manuales!$H$28="Todos",datos_base!$C$9,0))*parametros_manuales!$J$97+parametros_manuales!$E$28*(datos_base!$C$3+IF(parametros_manuales!$H$28="Todos",datos_base!$C$10,0))*parametros_manuales!$J$102+parametros_manuales!$F$28*(datos_base!$C$4+IF(parametros_manuales!$H$28="Todos",datos_base!$C$11,0))*parametros_manuales!$J$107+parametros_manuales!$G$28*(datos_base!$C$5+IF(parametros_manuales!$H$28="Todos",datos_base!$C$12,0))*parametros_manuales!$J$112)*parametros_manuales!$I$28*parametros_manuales!$J$28</f>
        <v>539.73</v>
      </c>
      <c r="K39" s="8">
        <f>(parametros_manuales!$D$28*(datos_base!$C$2+IF(parametros_manuales!$H$28="Todos",datos_base!$C$9,0))*parametros_manuales!$K$97+parametros_manuales!$E$28*(datos_base!$C$3+IF(parametros_manuales!$H$28="Todos",datos_base!$C$10,0))*parametros_manuales!$K$102+parametros_manuales!$F$28*(datos_base!$C$4+IF(parametros_manuales!$H$28="Todos",datos_base!$C$11,0))*parametros_manuales!$K$107+parametros_manuales!$G$28*(datos_base!$C$5+IF(parametros_manuales!$H$28="Todos",datos_base!$C$12,0))*parametros_manuales!$K$112)*parametros_manuales!$I$28*parametros_manuales!$J$28</f>
        <v>539.73</v>
      </c>
      <c r="L39" s="8">
        <f>(parametros_manuales!$D$28*(datos_base!$C$2+IF(parametros_manuales!$H$28="Todos",datos_base!$C$9,0))*parametros_manuales!$L$97+parametros_manuales!$E$28*(datos_base!$C$3+IF(parametros_manuales!$H$28="Todos",datos_base!$C$10,0))*parametros_manuales!$L$102+parametros_manuales!$F$28*(datos_base!$C$4+IF(parametros_manuales!$H$28="Todos",datos_base!$C$11,0))*parametros_manuales!$L$107+parametros_manuales!$G$28*(datos_base!$C$5+IF(parametros_manuales!$H$28="Todos",datos_base!$C$12,0))*parametros_manuales!$L$112)*parametros_manuales!$I$28*parametros_manuales!$J$28</f>
        <v>539.73</v>
      </c>
      <c r="M39" s="8">
        <f>(parametros_manuales!$D$28*(datos_base!$C$2+IF(parametros_manuales!$H$28="Todos",datos_base!$C$9,0))*parametros_manuales!$M$97+parametros_manuales!$E$28*(datos_base!$C$3+IF(parametros_manuales!$H$28="Todos",datos_base!$C$10,0))*parametros_manuales!$M$102+parametros_manuales!$F$28*(datos_base!$C$4+IF(parametros_manuales!$H$28="Todos",datos_base!$C$11,0))*parametros_manuales!$M$107+parametros_manuales!$G$28*(datos_base!$C$5+IF(parametros_manuales!$H$28="Todos",datos_base!$C$12,0))*parametros_manuales!$M$112)*parametros_manuales!$I$28*parametros_manuales!$J$28</f>
        <v>539.73</v>
      </c>
      <c r="N39" s="8">
        <f t="shared" si="4"/>
        <v>5997</v>
      </c>
      <c r="O39" s="8">
        <f t="shared" si="5"/>
        <v>539.73</v>
      </c>
      <c r="P39" s="27">
        <f>O39/(parametros_manuales!$B$7)</f>
        <v>3.5982</v>
      </c>
      <c r="Q39" s="4" t="str">
        <f t="shared" si="6"/>
        <v>Ene</v>
      </c>
      <c r="R39" s="16"/>
      <c r="S39" s="16"/>
    </row>
    <row r="40" ht="14.25" customHeight="1">
      <c r="A40" s="4" t="str">
        <f>parametros_manuales!$B$29</f>
        <v>Encastre de fondo</v>
      </c>
      <c r="B40" s="8">
        <f>(parametros_manuales!$D$29*(datos_base!$C$2+IF(parametros_manuales!$H$29="Todos",datos_base!$C$9,0))*parametros_manuales!$B$97+parametros_manuales!$E$29*(datos_base!$C$3+IF(parametros_manuales!$H$29="Todos",datos_base!$C$10,0))*parametros_manuales!$B$102+parametros_manuales!$F$29*(datos_base!$C$4+IF(parametros_manuales!$H$29="Todos",datos_base!$C$11,0))*parametros_manuales!$B$107+parametros_manuales!$G$29*(datos_base!$C$5+IF(parametros_manuales!$H$29="Todos",datos_base!$C$12,0))*parametros_manuales!$B$112)*parametros_manuales!$I$29*parametros_manuales!$J$29</f>
        <v>979.74</v>
      </c>
      <c r="C40" s="8">
        <f>(parametros_manuales!$D$29*(datos_base!$C$2+IF(parametros_manuales!$H$29="Todos",datos_base!$C$9,0))*parametros_manuales!$C$97+parametros_manuales!$E$29*(datos_base!$C$3+IF(parametros_manuales!$H$29="Todos",datos_base!$C$10,0))*parametros_manuales!$C$102+parametros_manuales!$F$29*(datos_base!$C$4+IF(parametros_manuales!$H$29="Todos",datos_base!$C$11,0))*parametros_manuales!$C$107+parametros_manuales!$G$29*(datos_base!$C$5+IF(parametros_manuales!$H$29="Todos",datos_base!$C$12,0))*parametros_manuales!$C$112)*parametros_manuales!$I$29*parametros_manuales!$J$29</f>
        <v>930.85</v>
      </c>
      <c r="D40" s="8">
        <f>(parametros_manuales!$D$29*(datos_base!$C$2+IF(parametros_manuales!$H$29="Todos",datos_base!$C$9,0))*parametros_manuales!$D$97+parametros_manuales!$E$29*(datos_base!$C$3+IF(parametros_manuales!$H$29="Todos",datos_base!$C$10,0))*parametros_manuales!$D$102+parametros_manuales!$F$29*(datos_base!$C$4+IF(parametros_manuales!$H$29="Todos",datos_base!$C$11,0))*parametros_manuales!$D$107+parametros_manuales!$G$29*(datos_base!$C$5+IF(parametros_manuales!$H$29="Todos",datos_base!$C$12,0))*parametros_manuales!$D$112)*parametros_manuales!$I$29*parametros_manuales!$J$29</f>
        <v>895.325</v>
      </c>
      <c r="E40" s="8">
        <f>(parametros_manuales!$D$29*(datos_base!$C$2+IF(parametros_manuales!$H$29="Todos",datos_base!$C$9,0))*parametros_manuales!$E$97+parametros_manuales!$E$29*(datos_base!$C$3+IF(parametros_manuales!$H$29="Todos",datos_base!$C$10,0))*parametros_manuales!$E$102+parametros_manuales!$F$29*(datos_base!$C$4+IF(parametros_manuales!$H$29="Todos",datos_base!$C$11,0))*parametros_manuales!$E$107+parametros_manuales!$G$29*(datos_base!$C$5+IF(parametros_manuales!$H$29="Todos",datos_base!$C$12,0))*parametros_manuales!$E$112)*parametros_manuales!$I$29*parametros_manuales!$J$29</f>
        <v>865.34</v>
      </c>
      <c r="F40" s="8">
        <f>(parametros_manuales!$D$29*(datos_base!$C$2+IF(parametros_manuales!$H$29="Todos",datos_base!$C$9,0))*parametros_manuales!$F$97+parametros_manuales!$E$29*(datos_base!$C$3+IF(parametros_manuales!$H$29="Todos",datos_base!$C$10,0))*parametros_manuales!$F$102+parametros_manuales!$F$29*(datos_base!$C$4+IF(parametros_manuales!$H$29="Todos",datos_base!$C$11,0))*parametros_manuales!$F$107+parametros_manuales!$G$29*(datos_base!$C$5+IF(parametros_manuales!$H$29="Todos",datos_base!$C$12,0))*parametros_manuales!$F$112)*parametros_manuales!$I$29*parametros_manuales!$J$29</f>
        <v>810.91</v>
      </c>
      <c r="G40" s="8">
        <f>(parametros_manuales!$D$29*(datos_base!$C$2+IF(parametros_manuales!$H$29="Todos",datos_base!$C$9,0))*parametros_manuales!$G$97+parametros_manuales!$E$29*(datos_base!$C$3+IF(parametros_manuales!$H$29="Todos",datos_base!$C$10,0))*parametros_manuales!$G$102+parametros_manuales!$F$29*(datos_base!$C$4+IF(parametros_manuales!$H$29="Todos",datos_base!$C$11,0))*parametros_manuales!$G$107+parametros_manuales!$G$29*(datos_base!$C$5+IF(parametros_manuales!$H$29="Todos",datos_base!$C$12,0))*parametros_manuales!$G$112)*parametros_manuales!$I$29*parametros_manuales!$J$29</f>
        <v>786.465</v>
      </c>
      <c r="H40" s="8">
        <f>(parametros_manuales!$D$29*(datos_base!$C$2+IF(parametros_manuales!$H$29="Todos",datos_base!$C$9,0))*parametros_manuales!$H$97+parametros_manuales!$E$29*(datos_base!$C$3+IF(parametros_manuales!$H$29="Todos",datos_base!$C$10,0))*parametros_manuales!$H$102+parametros_manuales!$F$29*(datos_base!$C$4+IF(parametros_manuales!$H$29="Todos",datos_base!$C$11,0))*parametros_manuales!$H$107+parametros_manuales!$G$29*(datos_base!$C$5+IF(parametros_manuales!$H$29="Todos",datos_base!$C$12,0))*parametros_manuales!$H$112)*parametros_manuales!$I$29*parametros_manuales!$J$29</f>
        <v>840.895</v>
      </c>
      <c r="I40" s="8">
        <f>(parametros_manuales!$D$29*(datos_base!$C$2+IF(parametros_manuales!$H$29="Todos",datos_base!$C$9,0))*parametros_manuales!$I$97+parametros_manuales!$E$29*(datos_base!$C$3+IF(parametros_manuales!$H$29="Todos",datos_base!$C$10,0))*parametros_manuales!$I$102+parametros_manuales!$F$29*(datos_base!$C$4+IF(parametros_manuales!$H$29="Todos",datos_base!$C$11,0))*parametros_manuales!$I$107+parametros_manuales!$G$29*(datos_base!$C$5+IF(parametros_manuales!$H$29="Todos",datos_base!$C$12,0))*parametros_manuales!$I$112)*parametros_manuales!$I$29*parametros_manuales!$J$29</f>
        <v>930.85</v>
      </c>
      <c r="J40" s="8">
        <f>(parametros_manuales!$D$29*(datos_base!$C$2+IF(parametros_manuales!$H$29="Todos",datos_base!$C$9,0))*parametros_manuales!$J$97+parametros_manuales!$E$29*(datos_base!$C$3+IF(parametros_manuales!$H$29="Todos",datos_base!$C$10,0))*parametros_manuales!$J$102+parametros_manuales!$F$29*(datos_base!$C$4+IF(parametros_manuales!$H$29="Todos",datos_base!$C$11,0))*parametros_manuales!$J$107+parametros_manuales!$G$29*(datos_base!$C$5+IF(parametros_manuales!$H$29="Todos",datos_base!$C$12,0))*parametros_manuales!$J$112)*parametros_manuales!$I$29*parametros_manuales!$J$29</f>
        <v>930.85</v>
      </c>
      <c r="K40" s="8">
        <f>(parametros_manuales!$D$29*(datos_base!$C$2+IF(parametros_manuales!$H$29="Todos",datos_base!$C$9,0))*parametros_manuales!$K$97+parametros_manuales!$E$29*(datos_base!$C$3+IF(parametros_manuales!$H$29="Todos",datos_base!$C$10,0))*parametros_manuales!$K$102+parametros_manuales!$F$29*(datos_base!$C$4+IF(parametros_manuales!$H$29="Todos",datos_base!$C$11,0))*parametros_manuales!$K$107+parametros_manuales!$G$29*(datos_base!$C$5+IF(parametros_manuales!$H$29="Todos",datos_base!$C$12,0))*parametros_manuales!$K$112)*parametros_manuales!$I$29*parametros_manuales!$J$29</f>
        <v>955.295</v>
      </c>
      <c r="L40" s="8">
        <f>(parametros_manuales!$D$29*(datos_base!$C$2+IF(parametros_manuales!$H$29="Todos",datos_base!$C$9,0))*parametros_manuales!$L$97+parametros_manuales!$E$29*(datos_base!$C$3+IF(parametros_manuales!$H$29="Todos",datos_base!$C$10,0))*parametros_manuales!$L$102+parametros_manuales!$F$29*(datos_base!$C$4+IF(parametros_manuales!$H$29="Todos",datos_base!$C$11,0))*parametros_manuales!$L$107+parametros_manuales!$G$29*(datos_base!$C$5+IF(parametros_manuales!$H$29="Todos",datos_base!$C$12,0))*parametros_manuales!$L$112)*parametros_manuales!$I$29*parametros_manuales!$J$29</f>
        <v>979.74</v>
      </c>
      <c r="M40" s="8">
        <f>(parametros_manuales!$D$29*(datos_base!$C$2+IF(parametros_manuales!$H$29="Todos",datos_base!$C$9,0))*parametros_manuales!$M$97+parametros_manuales!$E$29*(datos_base!$C$3+IF(parametros_manuales!$H$29="Todos",datos_base!$C$10,0))*parametros_manuales!$M$102+parametros_manuales!$F$29*(datos_base!$C$4+IF(parametros_manuales!$H$29="Todos",datos_base!$C$11,0))*parametros_manuales!$M$107+parametros_manuales!$G$29*(datos_base!$C$5+IF(parametros_manuales!$H$29="Todos",datos_base!$C$12,0))*parametros_manuales!$M$112)*parametros_manuales!$I$29*parametros_manuales!$J$29</f>
        <v>979.74</v>
      </c>
      <c r="N40" s="8">
        <f t="shared" si="4"/>
        <v>10886</v>
      </c>
      <c r="O40" s="8">
        <f t="shared" si="5"/>
        <v>979.74</v>
      </c>
      <c r="P40" s="27">
        <f>O40/(parametros_manuales!$B$7)</f>
        <v>6.5316</v>
      </c>
      <c r="Q40" s="4" t="str">
        <f t="shared" si="6"/>
        <v>Ene</v>
      </c>
      <c r="R40" s="16"/>
      <c r="S40" s="16"/>
    </row>
    <row r="41" ht="14.25" customHeight="1">
      <c r="A41" s="4" t="str">
        <f>parametros_manuales!$B$30</f>
        <v>Bordoneado</v>
      </c>
      <c r="B41" s="8">
        <f>(parametros_manuales!$D$30*(datos_base!$C$2+IF(parametros_manuales!$H$30="Todos",datos_base!$C$9,0))*parametros_manuales!$B$97+parametros_manuales!$E$30*(datos_base!$C$3+IF(parametros_manuales!$H$30="Todos",datos_base!$C$10,0))*parametros_manuales!$B$102+parametros_manuales!$F$30*(datos_base!$C$4+IF(parametros_manuales!$H$30="Todos",datos_base!$C$11,0))*parametros_manuales!$B$107+parametros_manuales!$G$30*(datos_base!$C$5+IF(parametros_manuales!$H$30="Todos",datos_base!$C$12,0))*parametros_manuales!$B$112)*parametros_manuales!$I$30*parametros_manuales!$J$30</f>
        <v>979.74</v>
      </c>
      <c r="C41" s="8">
        <f>(parametros_manuales!$D$30*(datos_base!$C$2+IF(parametros_manuales!$H$30="Todos",datos_base!$C$9,0))*parametros_manuales!$C$97+parametros_manuales!$E$30*(datos_base!$C$3+IF(parametros_manuales!$H$30="Todos",datos_base!$C$10,0))*parametros_manuales!$C$102+parametros_manuales!$F$30*(datos_base!$C$4+IF(parametros_manuales!$H$30="Todos",datos_base!$C$11,0))*parametros_manuales!$C$107+parametros_manuales!$G$30*(datos_base!$C$5+IF(parametros_manuales!$H$30="Todos",datos_base!$C$12,0))*parametros_manuales!$C$112)*parametros_manuales!$I$30*parametros_manuales!$J$30</f>
        <v>930.85</v>
      </c>
      <c r="D41" s="8">
        <f>(parametros_manuales!$D$30*(datos_base!$C$2+IF(parametros_manuales!$H$30="Todos",datos_base!$C$9,0))*parametros_manuales!$D$97+parametros_manuales!$E$30*(datos_base!$C$3+IF(parametros_manuales!$H$30="Todos",datos_base!$C$10,0))*parametros_manuales!$D$102+parametros_manuales!$F$30*(datos_base!$C$4+IF(parametros_manuales!$H$30="Todos",datos_base!$C$11,0))*parametros_manuales!$D$107+parametros_manuales!$G$30*(datos_base!$C$5+IF(parametros_manuales!$H$30="Todos",datos_base!$C$12,0))*parametros_manuales!$D$112)*parametros_manuales!$I$30*parametros_manuales!$J$30</f>
        <v>895.325</v>
      </c>
      <c r="E41" s="8">
        <f>(parametros_manuales!$D$30*(datos_base!$C$2+IF(parametros_manuales!$H$30="Todos",datos_base!$C$9,0))*parametros_manuales!$E$97+parametros_manuales!$E$30*(datos_base!$C$3+IF(parametros_manuales!$H$30="Todos",datos_base!$C$10,0))*parametros_manuales!$E$102+parametros_manuales!$F$30*(datos_base!$C$4+IF(parametros_manuales!$H$30="Todos",datos_base!$C$11,0))*parametros_manuales!$E$107+parametros_manuales!$G$30*(datos_base!$C$5+IF(parametros_manuales!$H$30="Todos",datos_base!$C$12,0))*parametros_manuales!$E$112)*parametros_manuales!$I$30*parametros_manuales!$J$30</f>
        <v>865.34</v>
      </c>
      <c r="F41" s="8">
        <f>(parametros_manuales!$D$30*(datos_base!$C$2+IF(parametros_manuales!$H$30="Todos",datos_base!$C$9,0))*parametros_manuales!$F$97+parametros_manuales!$E$30*(datos_base!$C$3+IF(parametros_manuales!$H$30="Todos",datos_base!$C$10,0))*parametros_manuales!$F$102+parametros_manuales!$F$30*(datos_base!$C$4+IF(parametros_manuales!$H$30="Todos",datos_base!$C$11,0))*parametros_manuales!$F$107+parametros_manuales!$G$30*(datos_base!$C$5+IF(parametros_manuales!$H$30="Todos",datos_base!$C$12,0))*parametros_manuales!$F$112)*parametros_manuales!$I$30*parametros_manuales!$J$30</f>
        <v>810.91</v>
      </c>
      <c r="G41" s="8">
        <f>(parametros_manuales!$D$30*(datos_base!$C$2+IF(parametros_manuales!$H$30="Todos",datos_base!$C$9,0))*parametros_manuales!$G$97+parametros_manuales!$E$30*(datos_base!$C$3+IF(parametros_manuales!$H$30="Todos",datos_base!$C$10,0))*parametros_manuales!$G$102+parametros_manuales!$F$30*(datos_base!$C$4+IF(parametros_manuales!$H$30="Todos",datos_base!$C$11,0))*parametros_manuales!$G$107+parametros_manuales!$G$30*(datos_base!$C$5+IF(parametros_manuales!$H$30="Todos",datos_base!$C$12,0))*parametros_manuales!$G$112)*parametros_manuales!$I$30*parametros_manuales!$J$30</f>
        <v>786.465</v>
      </c>
      <c r="H41" s="8">
        <f>(parametros_manuales!$D$30*(datos_base!$C$2+IF(parametros_manuales!$H$30="Todos",datos_base!$C$9,0))*parametros_manuales!$H$97+parametros_manuales!$E$30*(datos_base!$C$3+IF(parametros_manuales!$H$30="Todos",datos_base!$C$10,0))*parametros_manuales!$H$102+parametros_manuales!$F$30*(datos_base!$C$4+IF(parametros_manuales!$H$30="Todos",datos_base!$C$11,0))*parametros_manuales!$H$107+parametros_manuales!$G$30*(datos_base!$C$5+IF(parametros_manuales!$H$30="Todos",datos_base!$C$12,0))*parametros_manuales!$H$112)*parametros_manuales!$I$30*parametros_manuales!$J$30</f>
        <v>840.895</v>
      </c>
      <c r="I41" s="8">
        <f>(parametros_manuales!$D$30*(datos_base!$C$2+IF(parametros_manuales!$H$30="Todos",datos_base!$C$9,0))*parametros_manuales!$I$97+parametros_manuales!$E$30*(datos_base!$C$3+IF(parametros_manuales!$H$30="Todos",datos_base!$C$10,0))*parametros_manuales!$I$102+parametros_manuales!$F$30*(datos_base!$C$4+IF(parametros_manuales!$H$30="Todos",datos_base!$C$11,0))*parametros_manuales!$I$107+parametros_manuales!$G$30*(datos_base!$C$5+IF(parametros_manuales!$H$30="Todos",datos_base!$C$12,0))*parametros_manuales!$I$112)*parametros_manuales!$I$30*parametros_manuales!$J$30</f>
        <v>930.85</v>
      </c>
      <c r="J41" s="8">
        <f>(parametros_manuales!$D$30*(datos_base!$C$2+IF(parametros_manuales!$H$30="Todos",datos_base!$C$9,0))*parametros_manuales!$J$97+parametros_manuales!$E$30*(datos_base!$C$3+IF(parametros_manuales!$H$30="Todos",datos_base!$C$10,0))*parametros_manuales!$J$102+parametros_manuales!$F$30*(datos_base!$C$4+IF(parametros_manuales!$H$30="Todos",datos_base!$C$11,0))*parametros_manuales!$J$107+parametros_manuales!$G$30*(datos_base!$C$5+IF(parametros_manuales!$H$30="Todos",datos_base!$C$12,0))*parametros_manuales!$J$112)*parametros_manuales!$I$30*parametros_manuales!$J$30</f>
        <v>930.85</v>
      </c>
      <c r="K41" s="8">
        <f>(parametros_manuales!$D$30*(datos_base!$C$2+IF(parametros_manuales!$H$30="Todos",datos_base!$C$9,0))*parametros_manuales!$K$97+parametros_manuales!$E$30*(datos_base!$C$3+IF(parametros_manuales!$H$30="Todos",datos_base!$C$10,0))*parametros_manuales!$K$102+parametros_manuales!$F$30*(datos_base!$C$4+IF(parametros_manuales!$H$30="Todos",datos_base!$C$11,0))*parametros_manuales!$K$107+parametros_manuales!$G$30*(datos_base!$C$5+IF(parametros_manuales!$H$30="Todos",datos_base!$C$12,0))*parametros_manuales!$K$112)*parametros_manuales!$I$30*parametros_manuales!$J$30</f>
        <v>955.295</v>
      </c>
      <c r="L41" s="8">
        <f>(parametros_manuales!$D$30*(datos_base!$C$2+IF(parametros_manuales!$H$30="Todos",datos_base!$C$9,0))*parametros_manuales!$L$97+parametros_manuales!$E$30*(datos_base!$C$3+IF(parametros_manuales!$H$30="Todos",datos_base!$C$10,0))*parametros_manuales!$L$102+parametros_manuales!$F$30*(datos_base!$C$4+IF(parametros_manuales!$H$30="Todos",datos_base!$C$11,0))*parametros_manuales!$L$107+parametros_manuales!$G$30*(datos_base!$C$5+IF(parametros_manuales!$H$30="Todos",datos_base!$C$12,0))*parametros_manuales!$L$112)*parametros_manuales!$I$30*parametros_manuales!$J$30</f>
        <v>979.74</v>
      </c>
      <c r="M41" s="8">
        <f>(parametros_manuales!$D$30*(datos_base!$C$2+IF(parametros_manuales!$H$30="Todos",datos_base!$C$9,0))*parametros_manuales!$M$97+parametros_manuales!$E$30*(datos_base!$C$3+IF(parametros_manuales!$H$30="Todos",datos_base!$C$10,0))*parametros_manuales!$M$102+parametros_manuales!$F$30*(datos_base!$C$4+IF(parametros_manuales!$H$30="Todos",datos_base!$C$11,0))*parametros_manuales!$M$107+parametros_manuales!$G$30*(datos_base!$C$5+IF(parametros_manuales!$H$30="Todos",datos_base!$C$12,0))*parametros_manuales!$M$112)*parametros_manuales!$I$30*parametros_manuales!$J$30</f>
        <v>979.74</v>
      </c>
      <c r="N41" s="8">
        <f t="shared" si="4"/>
        <v>10886</v>
      </c>
      <c r="O41" s="8">
        <f t="shared" si="5"/>
        <v>979.74</v>
      </c>
      <c r="P41" s="27">
        <f>O41/(parametros_manuales!$B$7)</f>
        <v>6.5316</v>
      </c>
      <c r="Q41" s="4" t="str">
        <f t="shared" si="6"/>
        <v>Ene</v>
      </c>
      <c r="R41" s="16"/>
      <c r="S41" s="16"/>
    </row>
    <row r="42" ht="14.25" customHeight="1">
      <c r="A42" s="4" t="str">
        <f>parametros_manuales!$B$31</f>
        <v>Soldadura circunferencial de cúpula y fondo</v>
      </c>
      <c r="B42" s="8">
        <f>(parametros_manuales!$D$31*(datos_base!$C$2+IF(parametros_manuales!$H$31="Todos",datos_base!$C$9,0))*parametros_manuales!$B$97+parametros_manuales!$E$31*(datos_base!$C$3+IF(parametros_manuales!$H$31="Todos",datos_base!$C$10,0))*parametros_manuales!$B$102+parametros_manuales!$F$31*(datos_base!$C$4+IF(parametros_manuales!$H$31="Todos",datos_base!$C$11,0))*parametros_manuales!$B$107+parametros_manuales!$G$31*(datos_base!$C$5+IF(parametros_manuales!$H$31="Todos",datos_base!$C$12,0))*parametros_manuales!$B$112)*parametros_manuales!$I$31*parametros_manuales!$J$31</f>
        <v>979.74</v>
      </c>
      <c r="C42" s="8">
        <f>(parametros_manuales!$D$31*(datos_base!$C$2+IF(parametros_manuales!$H$31="Todos",datos_base!$C$9,0))*parametros_manuales!$C$97+parametros_manuales!$E$31*(datos_base!$C$3+IF(parametros_manuales!$H$31="Todos",datos_base!$C$10,0))*parametros_manuales!$C$102+parametros_manuales!$F$31*(datos_base!$C$4+IF(parametros_manuales!$H$31="Todos",datos_base!$C$11,0))*parametros_manuales!$C$107+parametros_manuales!$G$31*(datos_base!$C$5+IF(parametros_manuales!$H$31="Todos",datos_base!$C$12,0))*parametros_manuales!$C$112)*parametros_manuales!$I$31*parametros_manuales!$J$31</f>
        <v>930.85</v>
      </c>
      <c r="D42" s="8">
        <f>(parametros_manuales!$D$31*(datos_base!$C$2+IF(parametros_manuales!$H$31="Todos",datos_base!$C$9,0))*parametros_manuales!$D$97+parametros_manuales!$E$31*(datos_base!$C$3+IF(parametros_manuales!$H$31="Todos",datos_base!$C$10,0))*parametros_manuales!$D$102+parametros_manuales!$F$31*(datos_base!$C$4+IF(parametros_manuales!$H$31="Todos",datos_base!$C$11,0))*parametros_manuales!$D$107+parametros_manuales!$G$31*(datos_base!$C$5+IF(parametros_manuales!$H$31="Todos",datos_base!$C$12,0))*parametros_manuales!$D$112)*parametros_manuales!$I$31*parametros_manuales!$J$31</f>
        <v>895.325</v>
      </c>
      <c r="E42" s="8">
        <f>(parametros_manuales!$D$31*(datos_base!$C$2+IF(parametros_manuales!$H$31="Todos",datos_base!$C$9,0))*parametros_manuales!$E$97+parametros_manuales!$E$31*(datos_base!$C$3+IF(parametros_manuales!$H$31="Todos",datos_base!$C$10,0))*parametros_manuales!$E$102+parametros_manuales!$F$31*(datos_base!$C$4+IF(parametros_manuales!$H$31="Todos",datos_base!$C$11,0))*parametros_manuales!$E$107+parametros_manuales!$G$31*(datos_base!$C$5+IF(parametros_manuales!$H$31="Todos",datos_base!$C$12,0))*parametros_manuales!$E$112)*parametros_manuales!$I$31*parametros_manuales!$J$31</f>
        <v>865.34</v>
      </c>
      <c r="F42" s="8">
        <f>(parametros_manuales!$D$31*(datos_base!$C$2+IF(parametros_manuales!$H$31="Todos",datos_base!$C$9,0))*parametros_manuales!$F$97+parametros_manuales!$E$31*(datos_base!$C$3+IF(parametros_manuales!$H$31="Todos",datos_base!$C$10,0))*parametros_manuales!$F$102+parametros_manuales!$F$31*(datos_base!$C$4+IF(parametros_manuales!$H$31="Todos",datos_base!$C$11,0))*parametros_manuales!$F$107+parametros_manuales!$G$31*(datos_base!$C$5+IF(parametros_manuales!$H$31="Todos",datos_base!$C$12,0))*parametros_manuales!$F$112)*parametros_manuales!$I$31*parametros_manuales!$J$31</f>
        <v>810.91</v>
      </c>
      <c r="G42" s="8">
        <f>(parametros_manuales!$D$31*(datos_base!$C$2+IF(parametros_manuales!$H$31="Todos",datos_base!$C$9,0))*parametros_manuales!$G$97+parametros_manuales!$E$31*(datos_base!$C$3+IF(parametros_manuales!$H$31="Todos",datos_base!$C$10,0))*parametros_manuales!$G$102+parametros_manuales!$F$31*(datos_base!$C$4+IF(parametros_manuales!$H$31="Todos",datos_base!$C$11,0))*parametros_manuales!$G$107+parametros_manuales!$G$31*(datos_base!$C$5+IF(parametros_manuales!$H$31="Todos",datos_base!$C$12,0))*parametros_manuales!$G$112)*parametros_manuales!$I$31*parametros_manuales!$J$31</f>
        <v>786.465</v>
      </c>
      <c r="H42" s="8">
        <f>(parametros_manuales!$D$31*(datos_base!$C$2+IF(parametros_manuales!$H$31="Todos",datos_base!$C$9,0))*parametros_manuales!$H$97+parametros_manuales!$E$31*(datos_base!$C$3+IF(parametros_manuales!$H$31="Todos",datos_base!$C$10,0))*parametros_manuales!$H$102+parametros_manuales!$F$31*(datos_base!$C$4+IF(parametros_manuales!$H$31="Todos",datos_base!$C$11,0))*parametros_manuales!$H$107+parametros_manuales!$G$31*(datos_base!$C$5+IF(parametros_manuales!$H$31="Todos",datos_base!$C$12,0))*parametros_manuales!$H$112)*parametros_manuales!$I$31*parametros_manuales!$J$31</f>
        <v>840.895</v>
      </c>
      <c r="I42" s="8">
        <f>(parametros_manuales!$D$31*(datos_base!$C$2+IF(parametros_manuales!$H$31="Todos",datos_base!$C$9,0))*parametros_manuales!$I$97+parametros_manuales!$E$31*(datos_base!$C$3+IF(parametros_manuales!$H$31="Todos",datos_base!$C$10,0))*parametros_manuales!$I$102+parametros_manuales!$F$31*(datos_base!$C$4+IF(parametros_manuales!$H$31="Todos",datos_base!$C$11,0))*parametros_manuales!$I$107+parametros_manuales!$G$31*(datos_base!$C$5+IF(parametros_manuales!$H$31="Todos",datos_base!$C$12,0))*parametros_manuales!$I$112)*parametros_manuales!$I$31*parametros_manuales!$J$31</f>
        <v>930.85</v>
      </c>
      <c r="J42" s="8">
        <f>(parametros_manuales!$D$31*(datos_base!$C$2+IF(parametros_manuales!$H$31="Todos",datos_base!$C$9,0))*parametros_manuales!$J$97+parametros_manuales!$E$31*(datos_base!$C$3+IF(parametros_manuales!$H$31="Todos",datos_base!$C$10,0))*parametros_manuales!$J$102+parametros_manuales!$F$31*(datos_base!$C$4+IF(parametros_manuales!$H$31="Todos",datos_base!$C$11,0))*parametros_manuales!$J$107+parametros_manuales!$G$31*(datos_base!$C$5+IF(parametros_manuales!$H$31="Todos",datos_base!$C$12,0))*parametros_manuales!$J$112)*parametros_manuales!$I$31*parametros_manuales!$J$31</f>
        <v>930.85</v>
      </c>
      <c r="K42" s="8">
        <f>(parametros_manuales!$D$31*(datos_base!$C$2+IF(parametros_manuales!$H$31="Todos",datos_base!$C$9,0))*parametros_manuales!$K$97+parametros_manuales!$E$31*(datos_base!$C$3+IF(parametros_manuales!$H$31="Todos",datos_base!$C$10,0))*parametros_manuales!$K$102+parametros_manuales!$F$31*(datos_base!$C$4+IF(parametros_manuales!$H$31="Todos",datos_base!$C$11,0))*parametros_manuales!$K$107+parametros_manuales!$G$31*(datos_base!$C$5+IF(parametros_manuales!$H$31="Todos",datos_base!$C$12,0))*parametros_manuales!$K$112)*parametros_manuales!$I$31*parametros_manuales!$J$31</f>
        <v>955.295</v>
      </c>
      <c r="L42" s="8">
        <f>(parametros_manuales!$D$31*(datos_base!$C$2+IF(parametros_manuales!$H$31="Todos",datos_base!$C$9,0))*parametros_manuales!$L$97+parametros_manuales!$E$31*(datos_base!$C$3+IF(parametros_manuales!$H$31="Todos",datos_base!$C$10,0))*parametros_manuales!$L$102+parametros_manuales!$F$31*(datos_base!$C$4+IF(parametros_manuales!$H$31="Todos",datos_base!$C$11,0))*parametros_manuales!$L$107+parametros_manuales!$G$31*(datos_base!$C$5+IF(parametros_manuales!$H$31="Todos",datos_base!$C$12,0))*parametros_manuales!$L$112)*parametros_manuales!$I$31*parametros_manuales!$J$31</f>
        <v>979.74</v>
      </c>
      <c r="M42" s="8">
        <f>(parametros_manuales!$D$31*(datos_base!$C$2+IF(parametros_manuales!$H$31="Todos",datos_base!$C$9,0))*parametros_manuales!$M$97+parametros_manuales!$E$31*(datos_base!$C$3+IF(parametros_manuales!$H$31="Todos",datos_base!$C$10,0))*parametros_manuales!$M$102+parametros_manuales!$F$31*(datos_base!$C$4+IF(parametros_manuales!$H$31="Todos",datos_base!$C$11,0))*parametros_manuales!$M$107+parametros_manuales!$G$31*(datos_base!$C$5+IF(parametros_manuales!$H$31="Todos",datos_base!$C$12,0))*parametros_manuales!$M$112)*parametros_manuales!$I$31*parametros_manuales!$J$31</f>
        <v>979.74</v>
      </c>
      <c r="N42" s="8">
        <f t="shared" si="4"/>
        <v>10886</v>
      </c>
      <c r="O42" s="8">
        <f t="shared" si="5"/>
        <v>979.74</v>
      </c>
      <c r="P42" s="27">
        <f>O42/(parametros_manuales!$B$7)</f>
        <v>6.5316</v>
      </c>
      <c r="Q42" s="4" t="str">
        <f t="shared" si="6"/>
        <v>Ene</v>
      </c>
      <c r="R42" s="16"/>
      <c r="S42" s="16"/>
    </row>
    <row r="43" ht="14.25" customHeight="1">
      <c r="A43" s="4" t="str">
        <f>parametros_manuales!$B$32</f>
        <v>Control de calidad — Espesor</v>
      </c>
      <c r="B43" s="8">
        <f>(parametros_manuales!$D$32*(datos_base!$C$2+IF(parametros_manuales!$H$32="Todos",datos_base!$C$9,0))*parametros_manuales!$B$97+parametros_manuales!$E$32*(datos_base!$C$3+IF(parametros_manuales!$H$32="Todos",datos_base!$C$10,0))*parametros_manuales!$B$102+parametros_manuales!$F$32*(datos_base!$C$4+IF(parametros_manuales!$H$32="Todos",datos_base!$C$11,0))*parametros_manuales!$B$107+parametros_manuales!$G$32*(datos_base!$C$5+IF(parametros_manuales!$H$32="Todos",datos_base!$C$12,0))*parametros_manuales!$B$112)*parametros_manuales!$I$32*parametros_manuales!$J$32</f>
        <v>19.5948</v>
      </c>
      <c r="C43" s="8">
        <f>(parametros_manuales!$D$32*(datos_base!$C$2+IF(parametros_manuales!$H$32="Todos",datos_base!$C$9,0))*parametros_manuales!$C$97+parametros_manuales!$E$32*(datos_base!$C$3+IF(parametros_manuales!$H$32="Todos",datos_base!$C$10,0))*parametros_manuales!$C$102+parametros_manuales!$F$32*(datos_base!$C$4+IF(parametros_manuales!$H$32="Todos",datos_base!$C$11,0))*parametros_manuales!$C$107+parametros_manuales!$G$32*(datos_base!$C$5+IF(parametros_manuales!$H$32="Todos",datos_base!$C$12,0))*parametros_manuales!$C$112)*parametros_manuales!$I$32*parametros_manuales!$J$32</f>
        <v>18.617</v>
      </c>
      <c r="D43" s="8">
        <f>(parametros_manuales!$D$32*(datos_base!$C$2+IF(parametros_manuales!$H$32="Todos",datos_base!$C$9,0))*parametros_manuales!$D$97+parametros_manuales!$E$32*(datos_base!$C$3+IF(parametros_manuales!$H$32="Todos",datos_base!$C$10,0))*parametros_manuales!$D$102+parametros_manuales!$F$32*(datos_base!$C$4+IF(parametros_manuales!$H$32="Todos",datos_base!$C$11,0))*parametros_manuales!$D$107+parametros_manuales!$G$32*(datos_base!$C$5+IF(parametros_manuales!$H$32="Todos",datos_base!$C$12,0))*parametros_manuales!$D$112)*parametros_manuales!$I$32*parametros_manuales!$J$32</f>
        <v>17.9065</v>
      </c>
      <c r="E43" s="8">
        <f>(parametros_manuales!$D$32*(datos_base!$C$2+IF(parametros_manuales!$H$32="Todos",datos_base!$C$9,0))*parametros_manuales!$E$97+parametros_manuales!$E$32*(datos_base!$C$3+IF(parametros_manuales!$H$32="Todos",datos_base!$C$10,0))*parametros_manuales!$E$102+parametros_manuales!$F$32*(datos_base!$C$4+IF(parametros_manuales!$H$32="Todos",datos_base!$C$11,0))*parametros_manuales!$E$107+parametros_manuales!$G$32*(datos_base!$C$5+IF(parametros_manuales!$H$32="Todos",datos_base!$C$12,0))*parametros_manuales!$E$112)*parametros_manuales!$I$32*parametros_manuales!$J$32</f>
        <v>17.3068</v>
      </c>
      <c r="F43" s="8">
        <f>(parametros_manuales!$D$32*(datos_base!$C$2+IF(parametros_manuales!$H$32="Todos",datos_base!$C$9,0))*parametros_manuales!$F$97+parametros_manuales!$E$32*(datos_base!$C$3+IF(parametros_manuales!$H$32="Todos",datos_base!$C$10,0))*parametros_manuales!$F$102+parametros_manuales!$F$32*(datos_base!$C$4+IF(parametros_manuales!$H$32="Todos",datos_base!$C$11,0))*parametros_manuales!$F$107+parametros_manuales!$G$32*(datos_base!$C$5+IF(parametros_manuales!$H$32="Todos",datos_base!$C$12,0))*parametros_manuales!$F$112)*parametros_manuales!$I$32*parametros_manuales!$J$32</f>
        <v>16.2182</v>
      </c>
      <c r="G43" s="8">
        <f>(parametros_manuales!$D$32*(datos_base!$C$2+IF(parametros_manuales!$H$32="Todos",datos_base!$C$9,0))*parametros_manuales!$G$97+parametros_manuales!$E$32*(datos_base!$C$3+IF(parametros_manuales!$H$32="Todos",datos_base!$C$10,0))*parametros_manuales!$G$102+parametros_manuales!$F$32*(datos_base!$C$4+IF(parametros_manuales!$H$32="Todos",datos_base!$C$11,0))*parametros_manuales!$G$107+parametros_manuales!$G$32*(datos_base!$C$5+IF(parametros_manuales!$H$32="Todos",datos_base!$C$12,0))*parametros_manuales!$G$112)*parametros_manuales!$I$32*parametros_manuales!$J$32</f>
        <v>15.7293</v>
      </c>
      <c r="H43" s="8">
        <f>(parametros_manuales!$D$32*(datos_base!$C$2+IF(parametros_manuales!$H$32="Todos",datos_base!$C$9,0))*parametros_manuales!$H$97+parametros_manuales!$E$32*(datos_base!$C$3+IF(parametros_manuales!$H$32="Todos",datos_base!$C$10,0))*parametros_manuales!$H$102+parametros_manuales!$F$32*(datos_base!$C$4+IF(parametros_manuales!$H$32="Todos",datos_base!$C$11,0))*parametros_manuales!$H$107+parametros_manuales!$G$32*(datos_base!$C$5+IF(parametros_manuales!$H$32="Todos",datos_base!$C$12,0))*parametros_manuales!$H$112)*parametros_manuales!$I$32*parametros_manuales!$J$32</f>
        <v>16.8179</v>
      </c>
      <c r="I43" s="8">
        <f>(parametros_manuales!$D$32*(datos_base!$C$2+IF(parametros_manuales!$H$32="Todos",datos_base!$C$9,0))*parametros_manuales!$I$97+parametros_manuales!$E$32*(datos_base!$C$3+IF(parametros_manuales!$H$32="Todos",datos_base!$C$10,0))*parametros_manuales!$I$102+parametros_manuales!$F$32*(datos_base!$C$4+IF(parametros_manuales!$H$32="Todos",datos_base!$C$11,0))*parametros_manuales!$I$107+parametros_manuales!$G$32*(datos_base!$C$5+IF(parametros_manuales!$H$32="Todos",datos_base!$C$12,0))*parametros_manuales!$I$112)*parametros_manuales!$I$32*parametros_manuales!$J$32</f>
        <v>18.617</v>
      </c>
      <c r="J43" s="8">
        <f>(parametros_manuales!$D$32*(datos_base!$C$2+IF(parametros_manuales!$H$32="Todos",datos_base!$C$9,0))*parametros_manuales!$J$97+parametros_manuales!$E$32*(datos_base!$C$3+IF(parametros_manuales!$H$32="Todos",datos_base!$C$10,0))*parametros_manuales!$J$102+parametros_manuales!$F$32*(datos_base!$C$4+IF(parametros_manuales!$H$32="Todos",datos_base!$C$11,0))*parametros_manuales!$J$107+parametros_manuales!$G$32*(datos_base!$C$5+IF(parametros_manuales!$H$32="Todos",datos_base!$C$12,0))*parametros_manuales!$J$112)*parametros_manuales!$I$32*parametros_manuales!$J$32</f>
        <v>18.617</v>
      </c>
      <c r="K43" s="8">
        <f>(parametros_manuales!$D$32*(datos_base!$C$2+IF(parametros_manuales!$H$32="Todos",datos_base!$C$9,0))*parametros_manuales!$K$97+parametros_manuales!$E$32*(datos_base!$C$3+IF(parametros_manuales!$H$32="Todos",datos_base!$C$10,0))*parametros_manuales!$K$102+parametros_manuales!$F$32*(datos_base!$C$4+IF(parametros_manuales!$H$32="Todos",datos_base!$C$11,0))*parametros_manuales!$K$107+parametros_manuales!$G$32*(datos_base!$C$5+IF(parametros_manuales!$H$32="Todos",datos_base!$C$12,0))*parametros_manuales!$K$112)*parametros_manuales!$I$32*parametros_manuales!$J$32</f>
        <v>19.1059</v>
      </c>
      <c r="L43" s="8">
        <f>(parametros_manuales!$D$32*(datos_base!$C$2+IF(parametros_manuales!$H$32="Todos",datos_base!$C$9,0))*parametros_manuales!$L$97+parametros_manuales!$E$32*(datos_base!$C$3+IF(parametros_manuales!$H$32="Todos",datos_base!$C$10,0))*parametros_manuales!$L$102+parametros_manuales!$F$32*(datos_base!$C$4+IF(parametros_manuales!$H$32="Todos",datos_base!$C$11,0))*parametros_manuales!$L$107+parametros_manuales!$G$32*(datos_base!$C$5+IF(parametros_manuales!$H$32="Todos",datos_base!$C$12,0))*parametros_manuales!$L$112)*parametros_manuales!$I$32*parametros_manuales!$J$32</f>
        <v>19.5948</v>
      </c>
      <c r="M43" s="8">
        <f>(parametros_manuales!$D$32*(datos_base!$C$2+IF(parametros_manuales!$H$32="Todos",datos_base!$C$9,0))*parametros_manuales!$M$97+parametros_manuales!$E$32*(datos_base!$C$3+IF(parametros_manuales!$H$32="Todos",datos_base!$C$10,0))*parametros_manuales!$M$102+parametros_manuales!$F$32*(datos_base!$C$4+IF(parametros_manuales!$H$32="Todos",datos_base!$C$11,0))*parametros_manuales!$M$107+parametros_manuales!$G$32*(datos_base!$C$5+IF(parametros_manuales!$H$32="Todos",datos_base!$C$12,0))*parametros_manuales!$M$112)*parametros_manuales!$I$32*parametros_manuales!$J$32</f>
        <v>19.5948</v>
      </c>
      <c r="N43" s="8">
        <f t="shared" si="4"/>
        <v>217.72</v>
      </c>
      <c r="O43" s="8">
        <f t="shared" si="5"/>
        <v>19.5948</v>
      </c>
      <c r="P43" s="27">
        <f>O43/(parametros_manuales!$B$7)</f>
        <v>0.130632</v>
      </c>
      <c r="Q43" s="4" t="str">
        <f t="shared" si="6"/>
        <v>Ene</v>
      </c>
      <c r="R43" s="16"/>
      <c r="S43" s="16"/>
    </row>
    <row r="44" ht="14.25" customHeight="1">
      <c r="A44" s="4" t="str">
        <f>parametros_manuales!$B$33</f>
        <v>Prueba hidráulica</v>
      </c>
      <c r="B44" s="8">
        <f>(parametros_manuales!$D$33*(datos_base!$C$2+IF(parametros_manuales!$H$33="Todos",datos_base!$C$9,0))*parametros_manuales!$B$97+parametros_manuales!$E$33*(datos_base!$C$3+IF(parametros_manuales!$H$33="Todos",datos_base!$C$10,0))*parametros_manuales!$B$102+parametros_manuales!$F$33*(datos_base!$C$4+IF(parametros_manuales!$H$33="Todos",datos_base!$C$11,0))*parametros_manuales!$B$107+parametros_manuales!$G$33*(datos_base!$C$5+IF(parametros_manuales!$H$33="Todos",datos_base!$C$12,0))*parametros_manuales!$B$112)*parametros_manuales!$I$33*parametros_manuales!$J$33</f>
        <v>979.74</v>
      </c>
      <c r="C44" s="8">
        <f>(parametros_manuales!$D$33*(datos_base!$C$2+IF(parametros_manuales!$H$33="Todos",datos_base!$C$9,0))*parametros_manuales!$C$97+parametros_manuales!$E$33*(datos_base!$C$3+IF(parametros_manuales!$H$33="Todos",datos_base!$C$10,0))*parametros_manuales!$C$102+parametros_manuales!$F$33*(datos_base!$C$4+IF(parametros_manuales!$H$33="Todos",datos_base!$C$11,0))*parametros_manuales!$C$107+parametros_manuales!$G$33*(datos_base!$C$5+IF(parametros_manuales!$H$33="Todos",datos_base!$C$12,0))*parametros_manuales!$C$112)*parametros_manuales!$I$33*parametros_manuales!$J$33</f>
        <v>930.85</v>
      </c>
      <c r="D44" s="8">
        <f>(parametros_manuales!$D$33*(datos_base!$C$2+IF(parametros_manuales!$H$33="Todos",datos_base!$C$9,0))*parametros_manuales!$D$97+parametros_manuales!$E$33*(datos_base!$C$3+IF(parametros_manuales!$H$33="Todos",datos_base!$C$10,0))*parametros_manuales!$D$102+parametros_manuales!$F$33*(datos_base!$C$4+IF(parametros_manuales!$H$33="Todos",datos_base!$C$11,0))*parametros_manuales!$D$107+parametros_manuales!$G$33*(datos_base!$C$5+IF(parametros_manuales!$H$33="Todos",datos_base!$C$12,0))*parametros_manuales!$D$112)*parametros_manuales!$I$33*parametros_manuales!$J$33</f>
        <v>895.325</v>
      </c>
      <c r="E44" s="8">
        <f>(parametros_manuales!$D$33*(datos_base!$C$2+IF(parametros_manuales!$H$33="Todos",datos_base!$C$9,0))*parametros_manuales!$E$97+parametros_manuales!$E$33*(datos_base!$C$3+IF(parametros_manuales!$H$33="Todos",datos_base!$C$10,0))*parametros_manuales!$E$102+parametros_manuales!$F$33*(datos_base!$C$4+IF(parametros_manuales!$H$33="Todos",datos_base!$C$11,0))*parametros_manuales!$E$107+parametros_manuales!$G$33*(datos_base!$C$5+IF(parametros_manuales!$H$33="Todos",datos_base!$C$12,0))*parametros_manuales!$E$112)*parametros_manuales!$I$33*parametros_manuales!$J$33</f>
        <v>865.34</v>
      </c>
      <c r="F44" s="8">
        <f>(parametros_manuales!$D$33*(datos_base!$C$2+IF(parametros_manuales!$H$33="Todos",datos_base!$C$9,0))*parametros_manuales!$F$97+parametros_manuales!$E$33*(datos_base!$C$3+IF(parametros_manuales!$H$33="Todos",datos_base!$C$10,0))*parametros_manuales!$F$102+parametros_manuales!$F$33*(datos_base!$C$4+IF(parametros_manuales!$H$33="Todos",datos_base!$C$11,0))*parametros_manuales!$F$107+parametros_manuales!$G$33*(datos_base!$C$5+IF(parametros_manuales!$H$33="Todos",datos_base!$C$12,0))*parametros_manuales!$F$112)*parametros_manuales!$I$33*parametros_manuales!$J$33</f>
        <v>810.91</v>
      </c>
      <c r="G44" s="8">
        <f>(parametros_manuales!$D$33*(datos_base!$C$2+IF(parametros_manuales!$H$33="Todos",datos_base!$C$9,0))*parametros_manuales!$G$97+parametros_manuales!$E$33*(datos_base!$C$3+IF(parametros_manuales!$H$33="Todos",datos_base!$C$10,0))*parametros_manuales!$G$102+parametros_manuales!$F$33*(datos_base!$C$4+IF(parametros_manuales!$H$33="Todos",datos_base!$C$11,0))*parametros_manuales!$G$107+parametros_manuales!$G$33*(datos_base!$C$5+IF(parametros_manuales!$H$33="Todos",datos_base!$C$12,0))*parametros_manuales!$G$112)*parametros_manuales!$I$33*parametros_manuales!$J$33</f>
        <v>786.465</v>
      </c>
      <c r="H44" s="8">
        <f>(parametros_manuales!$D$33*(datos_base!$C$2+IF(parametros_manuales!$H$33="Todos",datos_base!$C$9,0))*parametros_manuales!$H$97+parametros_manuales!$E$33*(datos_base!$C$3+IF(parametros_manuales!$H$33="Todos",datos_base!$C$10,0))*parametros_manuales!$H$102+parametros_manuales!$F$33*(datos_base!$C$4+IF(parametros_manuales!$H$33="Todos",datos_base!$C$11,0))*parametros_manuales!$H$107+parametros_manuales!$G$33*(datos_base!$C$5+IF(parametros_manuales!$H$33="Todos",datos_base!$C$12,0))*parametros_manuales!$H$112)*parametros_manuales!$I$33*parametros_manuales!$J$33</f>
        <v>840.895</v>
      </c>
      <c r="I44" s="8">
        <f>(parametros_manuales!$D$33*(datos_base!$C$2+IF(parametros_manuales!$H$33="Todos",datos_base!$C$9,0))*parametros_manuales!$I$97+parametros_manuales!$E$33*(datos_base!$C$3+IF(parametros_manuales!$H$33="Todos",datos_base!$C$10,0))*parametros_manuales!$I$102+parametros_manuales!$F$33*(datos_base!$C$4+IF(parametros_manuales!$H$33="Todos",datos_base!$C$11,0))*parametros_manuales!$I$107+parametros_manuales!$G$33*(datos_base!$C$5+IF(parametros_manuales!$H$33="Todos",datos_base!$C$12,0))*parametros_manuales!$I$112)*parametros_manuales!$I$33*parametros_manuales!$J$33</f>
        <v>930.85</v>
      </c>
      <c r="J44" s="8">
        <f>(parametros_manuales!$D$33*(datos_base!$C$2+IF(parametros_manuales!$H$33="Todos",datos_base!$C$9,0))*parametros_manuales!$J$97+parametros_manuales!$E$33*(datos_base!$C$3+IF(parametros_manuales!$H$33="Todos",datos_base!$C$10,0))*parametros_manuales!$J$102+parametros_manuales!$F$33*(datos_base!$C$4+IF(parametros_manuales!$H$33="Todos",datos_base!$C$11,0))*parametros_manuales!$J$107+parametros_manuales!$G$33*(datos_base!$C$5+IF(parametros_manuales!$H$33="Todos",datos_base!$C$12,0))*parametros_manuales!$J$112)*parametros_manuales!$I$33*parametros_manuales!$J$33</f>
        <v>930.85</v>
      </c>
      <c r="K44" s="8">
        <f>(parametros_manuales!$D$33*(datos_base!$C$2+IF(parametros_manuales!$H$33="Todos",datos_base!$C$9,0))*parametros_manuales!$K$97+parametros_manuales!$E$33*(datos_base!$C$3+IF(parametros_manuales!$H$33="Todos",datos_base!$C$10,0))*parametros_manuales!$K$102+parametros_manuales!$F$33*(datos_base!$C$4+IF(parametros_manuales!$H$33="Todos",datos_base!$C$11,0))*parametros_manuales!$K$107+parametros_manuales!$G$33*(datos_base!$C$5+IF(parametros_manuales!$H$33="Todos",datos_base!$C$12,0))*parametros_manuales!$K$112)*parametros_manuales!$I$33*parametros_manuales!$J$33</f>
        <v>955.295</v>
      </c>
      <c r="L44" s="8">
        <f>(parametros_manuales!$D$33*(datos_base!$C$2+IF(parametros_manuales!$H$33="Todos",datos_base!$C$9,0))*parametros_manuales!$L$97+parametros_manuales!$E$33*(datos_base!$C$3+IF(parametros_manuales!$H$33="Todos",datos_base!$C$10,0))*parametros_manuales!$L$102+parametros_manuales!$F$33*(datos_base!$C$4+IF(parametros_manuales!$H$33="Todos",datos_base!$C$11,0))*parametros_manuales!$L$107+parametros_manuales!$G$33*(datos_base!$C$5+IF(parametros_manuales!$H$33="Todos",datos_base!$C$12,0))*parametros_manuales!$L$112)*parametros_manuales!$I$33*parametros_manuales!$J$33</f>
        <v>979.74</v>
      </c>
      <c r="M44" s="8">
        <f>(parametros_manuales!$D$33*(datos_base!$C$2+IF(parametros_manuales!$H$33="Todos",datos_base!$C$9,0))*parametros_manuales!$M$97+parametros_manuales!$E$33*(datos_base!$C$3+IF(parametros_manuales!$H$33="Todos",datos_base!$C$10,0))*parametros_manuales!$M$102+parametros_manuales!$F$33*(datos_base!$C$4+IF(parametros_manuales!$H$33="Todos",datos_base!$C$11,0))*parametros_manuales!$M$107+parametros_manuales!$G$33*(datos_base!$C$5+IF(parametros_manuales!$H$33="Todos",datos_base!$C$12,0))*parametros_manuales!$M$112)*parametros_manuales!$I$33*parametros_manuales!$J$33</f>
        <v>979.74</v>
      </c>
      <c r="N44" s="8">
        <f t="shared" si="4"/>
        <v>10886</v>
      </c>
      <c r="O44" s="8">
        <f t="shared" si="5"/>
        <v>979.74</v>
      </c>
      <c r="P44" s="27">
        <f>O44/(parametros_manuales!$B$7)</f>
        <v>6.5316</v>
      </c>
      <c r="Q44" s="4" t="str">
        <f t="shared" si="6"/>
        <v>Ene</v>
      </c>
      <c r="R44" s="16"/>
      <c r="S44" s="16"/>
    </row>
    <row r="45" ht="14.25" customHeight="1">
      <c r="A45" s="4" t="str">
        <f>parametros_manuales!$B$34</f>
        <v>Secado</v>
      </c>
      <c r="B45" s="8">
        <f>(parametros_manuales!$D$34*(datos_base!$C$2+IF(parametros_manuales!$H$34="Todos",datos_base!$C$9,0))*parametros_manuales!$B$97+parametros_manuales!$E$34*(datos_base!$C$3+IF(parametros_manuales!$H$34="Todos",datos_base!$C$10,0))*parametros_manuales!$B$102+parametros_manuales!$F$34*(datos_base!$C$4+IF(parametros_manuales!$H$34="Todos",datos_base!$C$11,0))*parametros_manuales!$B$107+parametros_manuales!$G$34*(datos_base!$C$5+IF(parametros_manuales!$H$34="Todos",datos_base!$C$12,0))*parametros_manuales!$B$112)*parametros_manuales!$I$34*parametros_manuales!$J$34</f>
        <v>979.74</v>
      </c>
      <c r="C45" s="8">
        <f>(parametros_manuales!$D$34*(datos_base!$C$2+IF(parametros_manuales!$H$34="Todos",datos_base!$C$9,0))*parametros_manuales!$C$97+parametros_manuales!$E$34*(datos_base!$C$3+IF(parametros_manuales!$H$34="Todos",datos_base!$C$10,0))*parametros_manuales!$C$102+parametros_manuales!$F$34*(datos_base!$C$4+IF(parametros_manuales!$H$34="Todos",datos_base!$C$11,0))*parametros_manuales!$C$107+parametros_manuales!$G$34*(datos_base!$C$5+IF(parametros_manuales!$H$34="Todos",datos_base!$C$12,0))*parametros_manuales!$C$112)*parametros_manuales!$I$34*parametros_manuales!$J$34</f>
        <v>930.85</v>
      </c>
      <c r="D45" s="8">
        <f>(parametros_manuales!$D$34*(datos_base!$C$2+IF(parametros_manuales!$H$34="Todos",datos_base!$C$9,0))*parametros_manuales!$D$97+parametros_manuales!$E$34*(datos_base!$C$3+IF(parametros_manuales!$H$34="Todos",datos_base!$C$10,0))*parametros_manuales!$D$102+parametros_manuales!$F$34*(datos_base!$C$4+IF(parametros_manuales!$H$34="Todos",datos_base!$C$11,0))*parametros_manuales!$D$107+parametros_manuales!$G$34*(datos_base!$C$5+IF(parametros_manuales!$H$34="Todos",datos_base!$C$12,0))*parametros_manuales!$D$112)*parametros_manuales!$I$34*parametros_manuales!$J$34</f>
        <v>895.325</v>
      </c>
      <c r="E45" s="8">
        <f>(parametros_manuales!$D$34*(datos_base!$C$2+IF(parametros_manuales!$H$34="Todos",datos_base!$C$9,0))*parametros_manuales!$E$97+parametros_manuales!$E$34*(datos_base!$C$3+IF(parametros_manuales!$H$34="Todos",datos_base!$C$10,0))*parametros_manuales!$E$102+parametros_manuales!$F$34*(datos_base!$C$4+IF(parametros_manuales!$H$34="Todos",datos_base!$C$11,0))*parametros_manuales!$E$107+parametros_manuales!$G$34*(datos_base!$C$5+IF(parametros_manuales!$H$34="Todos",datos_base!$C$12,0))*parametros_manuales!$E$112)*parametros_manuales!$I$34*parametros_manuales!$J$34</f>
        <v>865.34</v>
      </c>
      <c r="F45" s="8">
        <f>(parametros_manuales!$D$34*(datos_base!$C$2+IF(parametros_manuales!$H$34="Todos",datos_base!$C$9,0))*parametros_manuales!$F$97+parametros_manuales!$E$34*(datos_base!$C$3+IF(parametros_manuales!$H$34="Todos",datos_base!$C$10,0))*parametros_manuales!$F$102+parametros_manuales!$F$34*(datos_base!$C$4+IF(parametros_manuales!$H$34="Todos",datos_base!$C$11,0))*parametros_manuales!$F$107+parametros_manuales!$G$34*(datos_base!$C$5+IF(parametros_manuales!$H$34="Todos",datos_base!$C$12,0))*parametros_manuales!$F$112)*parametros_manuales!$I$34*parametros_manuales!$J$34</f>
        <v>810.91</v>
      </c>
      <c r="G45" s="8">
        <f>(parametros_manuales!$D$34*(datos_base!$C$2+IF(parametros_manuales!$H$34="Todos",datos_base!$C$9,0))*parametros_manuales!$G$97+parametros_manuales!$E$34*(datos_base!$C$3+IF(parametros_manuales!$H$34="Todos",datos_base!$C$10,0))*parametros_manuales!$G$102+parametros_manuales!$F$34*(datos_base!$C$4+IF(parametros_manuales!$H$34="Todos",datos_base!$C$11,0))*parametros_manuales!$G$107+parametros_manuales!$G$34*(datos_base!$C$5+IF(parametros_manuales!$H$34="Todos",datos_base!$C$12,0))*parametros_manuales!$G$112)*parametros_manuales!$I$34*parametros_manuales!$J$34</f>
        <v>786.465</v>
      </c>
      <c r="H45" s="8">
        <f>(parametros_manuales!$D$34*(datos_base!$C$2+IF(parametros_manuales!$H$34="Todos",datos_base!$C$9,0))*parametros_manuales!$H$97+parametros_manuales!$E$34*(datos_base!$C$3+IF(parametros_manuales!$H$34="Todos",datos_base!$C$10,0))*parametros_manuales!$H$102+parametros_manuales!$F$34*(datos_base!$C$4+IF(parametros_manuales!$H$34="Todos",datos_base!$C$11,0))*parametros_manuales!$H$107+parametros_manuales!$G$34*(datos_base!$C$5+IF(parametros_manuales!$H$34="Todos",datos_base!$C$12,0))*parametros_manuales!$H$112)*parametros_manuales!$I$34*parametros_manuales!$J$34</f>
        <v>840.895</v>
      </c>
      <c r="I45" s="8">
        <f>(parametros_manuales!$D$34*(datos_base!$C$2+IF(parametros_manuales!$H$34="Todos",datos_base!$C$9,0))*parametros_manuales!$I$97+parametros_manuales!$E$34*(datos_base!$C$3+IF(parametros_manuales!$H$34="Todos",datos_base!$C$10,0))*parametros_manuales!$I$102+parametros_manuales!$F$34*(datos_base!$C$4+IF(parametros_manuales!$H$34="Todos",datos_base!$C$11,0))*parametros_manuales!$I$107+parametros_manuales!$G$34*(datos_base!$C$5+IF(parametros_manuales!$H$34="Todos",datos_base!$C$12,0))*parametros_manuales!$I$112)*parametros_manuales!$I$34*parametros_manuales!$J$34</f>
        <v>930.85</v>
      </c>
      <c r="J45" s="8">
        <f>(parametros_manuales!$D$34*(datos_base!$C$2+IF(parametros_manuales!$H$34="Todos",datos_base!$C$9,0))*parametros_manuales!$J$97+parametros_manuales!$E$34*(datos_base!$C$3+IF(parametros_manuales!$H$34="Todos",datos_base!$C$10,0))*parametros_manuales!$J$102+parametros_manuales!$F$34*(datos_base!$C$4+IF(parametros_manuales!$H$34="Todos",datos_base!$C$11,0))*parametros_manuales!$J$107+parametros_manuales!$G$34*(datos_base!$C$5+IF(parametros_manuales!$H$34="Todos",datos_base!$C$12,0))*parametros_manuales!$J$112)*parametros_manuales!$I$34*parametros_manuales!$J$34</f>
        <v>930.85</v>
      </c>
      <c r="K45" s="8">
        <f>(parametros_manuales!$D$34*(datos_base!$C$2+IF(parametros_manuales!$H$34="Todos",datos_base!$C$9,0))*parametros_manuales!$K$97+parametros_manuales!$E$34*(datos_base!$C$3+IF(parametros_manuales!$H$34="Todos",datos_base!$C$10,0))*parametros_manuales!$K$102+parametros_manuales!$F$34*(datos_base!$C$4+IF(parametros_manuales!$H$34="Todos",datos_base!$C$11,0))*parametros_manuales!$K$107+parametros_manuales!$G$34*(datos_base!$C$5+IF(parametros_manuales!$H$34="Todos",datos_base!$C$12,0))*parametros_manuales!$K$112)*parametros_manuales!$I$34*parametros_manuales!$J$34</f>
        <v>955.295</v>
      </c>
      <c r="L45" s="8">
        <f>(parametros_manuales!$D$34*(datos_base!$C$2+IF(parametros_manuales!$H$34="Todos",datos_base!$C$9,0))*parametros_manuales!$L$97+parametros_manuales!$E$34*(datos_base!$C$3+IF(parametros_manuales!$H$34="Todos",datos_base!$C$10,0))*parametros_manuales!$L$102+parametros_manuales!$F$34*(datos_base!$C$4+IF(parametros_manuales!$H$34="Todos",datos_base!$C$11,0))*parametros_manuales!$L$107+parametros_manuales!$G$34*(datos_base!$C$5+IF(parametros_manuales!$H$34="Todos",datos_base!$C$12,0))*parametros_manuales!$L$112)*parametros_manuales!$I$34*parametros_manuales!$J$34</f>
        <v>979.74</v>
      </c>
      <c r="M45" s="8">
        <f>(parametros_manuales!$D$34*(datos_base!$C$2+IF(parametros_manuales!$H$34="Todos",datos_base!$C$9,0))*parametros_manuales!$M$97+parametros_manuales!$E$34*(datos_base!$C$3+IF(parametros_manuales!$H$34="Todos",datos_base!$C$10,0))*parametros_manuales!$M$102+parametros_manuales!$F$34*(datos_base!$C$4+IF(parametros_manuales!$H$34="Todos",datos_base!$C$11,0))*parametros_manuales!$M$107+parametros_manuales!$G$34*(datos_base!$C$5+IF(parametros_manuales!$H$34="Todos",datos_base!$C$12,0))*parametros_manuales!$M$112)*parametros_manuales!$I$34*parametros_manuales!$J$34</f>
        <v>979.74</v>
      </c>
      <c r="N45" s="8">
        <f t="shared" si="4"/>
        <v>10886</v>
      </c>
      <c r="O45" s="8">
        <f t="shared" si="5"/>
        <v>979.74</v>
      </c>
      <c r="P45" s="27">
        <f>O45/(parametros_manuales!$B$7)</f>
        <v>6.5316</v>
      </c>
      <c r="Q45" s="4" t="str">
        <f t="shared" si="6"/>
        <v>Ene</v>
      </c>
      <c r="R45" s="16"/>
      <c r="S45" s="16"/>
    </row>
    <row r="46" ht="14.25" customHeight="1">
      <c r="A46" s="4" t="str">
        <f>parametros_manuales!$B$35</f>
        <v>Granallado</v>
      </c>
      <c r="B46" s="8">
        <f>(parametros_manuales!$D$35*(datos_base!$C$2+IF(parametros_manuales!$H$35="Todos",datos_base!$C$9,0))*parametros_manuales!$B$97+parametros_manuales!$E$35*(datos_base!$C$3+IF(parametros_manuales!$H$35="Todos",datos_base!$C$10,0))*parametros_manuales!$B$102+parametros_manuales!$F$35*(datos_base!$C$4+IF(parametros_manuales!$H$35="Todos",datos_base!$C$11,0))*parametros_manuales!$B$107+parametros_manuales!$G$35*(datos_base!$C$5+IF(parametros_manuales!$H$35="Todos",datos_base!$C$12,0))*parametros_manuales!$B$112)*parametros_manuales!$I$35*parametros_manuales!$J$35</f>
        <v>979.74</v>
      </c>
      <c r="C46" s="8">
        <f>(parametros_manuales!$D$35*(datos_base!$C$2+IF(parametros_manuales!$H$35="Todos",datos_base!$C$9,0))*parametros_manuales!$C$97+parametros_manuales!$E$35*(datos_base!$C$3+IF(parametros_manuales!$H$35="Todos",datos_base!$C$10,0))*parametros_manuales!$C$102+parametros_manuales!$F$35*(datos_base!$C$4+IF(parametros_manuales!$H$35="Todos",datos_base!$C$11,0))*parametros_manuales!$C$107+parametros_manuales!$G$35*(datos_base!$C$5+IF(parametros_manuales!$H$35="Todos",datos_base!$C$12,0))*parametros_manuales!$C$112)*parametros_manuales!$I$35*parametros_manuales!$J$35</f>
        <v>930.85</v>
      </c>
      <c r="D46" s="8">
        <f>(parametros_manuales!$D$35*(datos_base!$C$2+IF(parametros_manuales!$H$35="Todos",datos_base!$C$9,0))*parametros_manuales!$D$97+parametros_manuales!$E$35*(datos_base!$C$3+IF(parametros_manuales!$H$35="Todos",datos_base!$C$10,0))*parametros_manuales!$D$102+parametros_manuales!$F$35*(datos_base!$C$4+IF(parametros_manuales!$H$35="Todos",datos_base!$C$11,0))*parametros_manuales!$D$107+parametros_manuales!$G$35*(datos_base!$C$5+IF(parametros_manuales!$H$35="Todos",datos_base!$C$12,0))*parametros_manuales!$D$112)*parametros_manuales!$I$35*parametros_manuales!$J$35</f>
        <v>895.325</v>
      </c>
      <c r="E46" s="8">
        <f>(parametros_manuales!$D$35*(datos_base!$C$2+IF(parametros_manuales!$H$35="Todos",datos_base!$C$9,0))*parametros_manuales!$E$97+parametros_manuales!$E$35*(datos_base!$C$3+IF(parametros_manuales!$H$35="Todos",datos_base!$C$10,0))*parametros_manuales!$E$102+parametros_manuales!$F$35*(datos_base!$C$4+IF(parametros_manuales!$H$35="Todos",datos_base!$C$11,0))*parametros_manuales!$E$107+parametros_manuales!$G$35*(datos_base!$C$5+IF(parametros_manuales!$H$35="Todos",datos_base!$C$12,0))*parametros_manuales!$E$112)*parametros_manuales!$I$35*parametros_manuales!$J$35</f>
        <v>865.34</v>
      </c>
      <c r="F46" s="8">
        <f>(parametros_manuales!$D$35*(datos_base!$C$2+IF(parametros_manuales!$H$35="Todos",datos_base!$C$9,0))*parametros_manuales!$F$97+parametros_manuales!$E$35*(datos_base!$C$3+IF(parametros_manuales!$H$35="Todos",datos_base!$C$10,0))*parametros_manuales!$F$102+parametros_manuales!$F$35*(datos_base!$C$4+IF(parametros_manuales!$H$35="Todos",datos_base!$C$11,0))*parametros_manuales!$F$107+parametros_manuales!$G$35*(datos_base!$C$5+IF(parametros_manuales!$H$35="Todos",datos_base!$C$12,0))*parametros_manuales!$F$112)*parametros_manuales!$I$35*parametros_manuales!$J$35</f>
        <v>810.91</v>
      </c>
      <c r="G46" s="8">
        <f>(parametros_manuales!$D$35*(datos_base!$C$2+IF(parametros_manuales!$H$35="Todos",datos_base!$C$9,0))*parametros_manuales!$G$97+parametros_manuales!$E$35*(datos_base!$C$3+IF(parametros_manuales!$H$35="Todos",datos_base!$C$10,0))*parametros_manuales!$G$102+parametros_manuales!$F$35*(datos_base!$C$4+IF(parametros_manuales!$H$35="Todos",datos_base!$C$11,0))*parametros_manuales!$G$107+parametros_manuales!$G$35*(datos_base!$C$5+IF(parametros_manuales!$H$35="Todos",datos_base!$C$12,0))*parametros_manuales!$G$112)*parametros_manuales!$I$35*parametros_manuales!$J$35</f>
        <v>786.465</v>
      </c>
      <c r="H46" s="8">
        <f>(parametros_manuales!$D$35*(datos_base!$C$2+IF(parametros_manuales!$H$35="Todos",datos_base!$C$9,0))*parametros_manuales!$H$97+parametros_manuales!$E$35*(datos_base!$C$3+IF(parametros_manuales!$H$35="Todos",datos_base!$C$10,0))*parametros_manuales!$H$102+parametros_manuales!$F$35*(datos_base!$C$4+IF(parametros_manuales!$H$35="Todos",datos_base!$C$11,0))*parametros_manuales!$H$107+parametros_manuales!$G$35*(datos_base!$C$5+IF(parametros_manuales!$H$35="Todos",datos_base!$C$12,0))*parametros_manuales!$H$112)*parametros_manuales!$I$35*parametros_manuales!$J$35</f>
        <v>840.895</v>
      </c>
      <c r="I46" s="8">
        <f>(parametros_manuales!$D$35*(datos_base!$C$2+IF(parametros_manuales!$H$35="Todos",datos_base!$C$9,0))*parametros_manuales!$I$97+parametros_manuales!$E$35*(datos_base!$C$3+IF(parametros_manuales!$H$35="Todos",datos_base!$C$10,0))*parametros_manuales!$I$102+parametros_manuales!$F$35*(datos_base!$C$4+IF(parametros_manuales!$H$35="Todos",datos_base!$C$11,0))*parametros_manuales!$I$107+parametros_manuales!$G$35*(datos_base!$C$5+IF(parametros_manuales!$H$35="Todos",datos_base!$C$12,0))*parametros_manuales!$I$112)*parametros_manuales!$I$35*parametros_manuales!$J$35</f>
        <v>930.85</v>
      </c>
      <c r="J46" s="8">
        <f>(parametros_manuales!$D$35*(datos_base!$C$2+IF(parametros_manuales!$H$35="Todos",datos_base!$C$9,0))*parametros_manuales!$J$97+parametros_manuales!$E$35*(datos_base!$C$3+IF(parametros_manuales!$H$35="Todos",datos_base!$C$10,0))*parametros_manuales!$J$102+parametros_manuales!$F$35*(datos_base!$C$4+IF(parametros_manuales!$H$35="Todos",datos_base!$C$11,0))*parametros_manuales!$J$107+parametros_manuales!$G$35*(datos_base!$C$5+IF(parametros_manuales!$H$35="Todos",datos_base!$C$12,0))*parametros_manuales!$J$112)*parametros_manuales!$I$35*parametros_manuales!$J$35</f>
        <v>930.85</v>
      </c>
      <c r="K46" s="8">
        <f>(parametros_manuales!$D$35*(datos_base!$C$2+IF(parametros_manuales!$H$35="Todos",datos_base!$C$9,0))*parametros_manuales!$K$97+parametros_manuales!$E$35*(datos_base!$C$3+IF(parametros_manuales!$H$35="Todos",datos_base!$C$10,0))*parametros_manuales!$K$102+parametros_manuales!$F$35*(datos_base!$C$4+IF(parametros_manuales!$H$35="Todos",datos_base!$C$11,0))*parametros_manuales!$K$107+parametros_manuales!$G$35*(datos_base!$C$5+IF(parametros_manuales!$H$35="Todos",datos_base!$C$12,0))*parametros_manuales!$K$112)*parametros_manuales!$I$35*parametros_manuales!$J$35</f>
        <v>955.295</v>
      </c>
      <c r="L46" s="8">
        <f>(parametros_manuales!$D$35*(datos_base!$C$2+IF(parametros_manuales!$H$35="Todos",datos_base!$C$9,0))*parametros_manuales!$L$97+parametros_manuales!$E$35*(datos_base!$C$3+IF(parametros_manuales!$H$35="Todos",datos_base!$C$10,0))*parametros_manuales!$L$102+parametros_manuales!$F$35*(datos_base!$C$4+IF(parametros_manuales!$H$35="Todos",datos_base!$C$11,0))*parametros_manuales!$L$107+parametros_manuales!$G$35*(datos_base!$C$5+IF(parametros_manuales!$H$35="Todos",datos_base!$C$12,0))*parametros_manuales!$L$112)*parametros_manuales!$I$35*parametros_manuales!$J$35</f>
        <v>979.74</v>
      </c>
      <c r="M46" s="8">
        <f>(parametros_manuales!$D$35*(datos_base!$C$2+IF(parametros_manuales!$H$35="Todos",datos_base!$C$9,0))*parametros_manuales!$M$97+parametros_manuales!$E$35*(datos_base!$C$3+IF(parametros_manuales!$H$35="Todos",datos_base!$C$10,0))*parametros_manuales!$M$102+parametros_manuales!$F$35*(datos_base!$C$4+IF(parametros_manuales!$H$35="Todos",datos_base!$C$11,0))*parametros_manuales!$M$107+parametros_manuales!$G$35*(datos_base!$C$5+IF(parametros_manuales!$H$35="Todos",datos_base!$C$12,0))*parametros_manuales!$M$112)*parametros_manuales!$I$35*parametros_manuales!$J$35</f>
        <v>979.74</v>
      </c>
      <c r="N46" s="8">
        <f t="shared" si="4"/>
        <v>10886</v>
      </c>
      <c r="O46" s="8">
        <f t="shared" si="5"/>
        <v>979.74</v>
      </c>
      <c r="P46" s="27">
        <f>O46/(parametros_manuales!$B$7)</f>
        <v>6.5316</v>
      </c>
      <c r="Q46" s="4" t="str">
        <f t="shared" si="6"/>
        <v>Ene</v>
      </c>
      <c r="R46" s="16"/>
      <c r="S46" s="16"/>
    </row>
    <row r="47" ht="14.25" customHeight="1">
      <c r="A47" s="4" t="str">
        <f>parametros_manuales!$B$36</f>
        <v>Detección de defectos</v>
      </c>
      <c r="B47" s="8">
        <f>(parametros_manuales!$D$36*(datos_base!$C$2+IF(parametros_manuales!$H$36="Todos",datos_base!$C$9,0))*parametros_manuales!$B$97+parametros_manuales!$E$36*(datos_base!$C$3+IF(parametros_manuales!$H$36="Todos",datos_base!$C$10,0))*parametros_manuales!$B$102+parametros_manuales!$F$36*(datos_base!$C$4+IF(parametros_manuales!$H$36="Todos",datos_base!$C$11,0))*parametros_manuales!$B$107+parametros_manuales!$G$36*(datos_base!$C$5+IF(parametros_manuales!$H$36="Todos",datos_base!$C$12,0))*parametros_manuales!$B$112)*parametros_manuales!$I$36*parametros_manuales!$J$36</f>
        <v>979.74</v>
      </c>
      <c r="C47" s="8">
        <f>(parametros_manuales!$D$36*(datos_base!$C$2+IF(parametros_manuales!$H$36="Todos",datos_base!$C$9,0))*parametros_manuales!$C$97+parametros_manuales!$E$36*(datos_base!$C$3+IF(parametros_manuales!$H$36="Todos",datos_base!$C$10,0))*parametros_manuales!$C$102+parametros_manuales!$F$36*(datos_base!$C$4+IF(parametros_manuales!$H$36="Todos",datos_base!$C$11,0))*parametros_manuales!$C$107+parametros_manuales!$G$36*(datos_base!$C$5+IF(parametros_manuales!$H$36="Todos",datos_base!$C$12,0))*parametros_manuales!$C$112)*parametros_manuales!$I$36*parametros_manuales!$J$36</f>
        <v>930.85</v>
      </c>
      <c r="D47" s="8">
        <f>(parametros_manuales!$D$36*(datos_base!$C$2+IF(parametros_manuales!$H$36="Todos",datos_base!$C$9,0))*parametros_manuales!$D$97+parametros_manuales!$E$36*(datos_base!$C$3+IF(parametros_manuales!$H$36="Todos",datos_base!$C$10,0))*parametros_manuales!$D$102+parametros_manuales!$F$36*(datos_base!$C$4+IF(parametros_manuales!$H$36="Todos",datos_base!$C$11,0))*parametros_manuales!$D$107+parametros_manuales!$G$36*(datos_base!$C$5+IF(parametros_manuales!$H$36="Todos",datos_base!$C$12,0))*parametros_manuales!$D$112)*parametros_manuales!$I$36*parametros_manuales!$J$36</f>
        <v>895.325</v>
      </c>
      <c r="E47" s="8">
        <f>(parametros_manuales!$D$36*(datos_base!$C$2+IF(parametros_manuales!$H$36="Todos",datos_base!$C$9,0))*parametros_manuales!$E$97+parametros_manuales!$E$36*(datos_base!$C$3+IF(parametros_manuales!$H$36="Todos",datos_base!$C$10,0))*parametros_manuales!$E$102+parametros_manuales!$F$36*(datos_base!$C$4+IF(parametros_manuales!$H$36="Todos",datos_base!$C$11,0))*parametros_manuales!$E$107+parametros_manuales!$G$36*(datos_base!$C$5+IF(parametros_manuales!$H$36="Todos",datos_base!$C$12,0))*parametros_manuales!$E$112)*parametros_manuales!$I$36*parametros_manuales!$J$36</f>
        <v>865.34</v>
      </c>
      <c r="F47" s="8">
        <f>(parametros_manuales!$D$36*(datos_base!$C$2+IF(parametros_manuales!$H$36="Todos",datos_base!$C$9,0))*parametros_manuales!$F$97+parametros_manuales!$E$36*(datos_base!$C$3+IF(parametros_manuales!$H$36="Todos",datos_base!$C$10,0))*parametros_manuales!$F$102+parametros_manuales!$F$36*(datos_base!$C$4+IF(parametros_manuales!$H$36="Todos",datos_base!$C$11,0))*parametros_manuales!$F$107+parametros_manuales!$G$36*(datos_base!$C$5+IF(parametros_manuales!$H$36="Todos",datos_base!$C$12,0))*parametros_manuales!$F$112)*parametros_manuales!$I$36*parametros_manuales!$J$36</f>
        <v>810.91</v>
      </c>
      <c r="G47" s="8">
        <f>(parametros_manuales!$D$36*(datos_base!$C$2+IF(parametros_manuales!$H$36="Todos",datos_base!$C$9,0))*parametros_manuales!$G$97+parametros_manuales!$E$36*(datos_base!$C$3+IF(parametros_manuales!$H$36="Todos",datos_base!$C$10,0))*parametros_manuales!$G$102+parametros_manuales!$F$36*(datos_base!$C$4+IF(parametros_manuales!$H$36="Todos",datos_base!$C$11,0))*parametros_manuales!$G$107+parametros_manuales!$G$36*(datos_base!$C$5+IF(parametros_manuales!$H$36="Todos",datos_base!$C$12,0))*parametros_manuales!$G$112)*parametros_manuales!$I$36*parametros_manuales!$J$36</f>
        <v>786.465</v>
      </c>
      <c r="H47" s="8">
        <f>(parametros_manuales!$D$36*(datos_base!$C$2+IF(parametros_manuales!$H$36="Todos",datos_base!$C$9,0))*parametros_manuales!$H$97+parametros_manuales!$E$36*(datos_base!$C$3+IF(parametros_manuales!$H$36="Todos",datos_base!$C$10,0))*parametros_manuales!$H$102+parametros_manuales!$F$36*(datos_base!$C$4+IF(parametros_manuales!$H$36="Todos",datos_base!$C$11,0))*parametros_manuales!$H$107+parametros_manuales!$G$36*(datos_base!$C$5+IF(parametros_manuales!$H$36="Todos",datos_base!$C$12,0))*parametros_manuales!$H$112)*parametros_manuales!$I$36*parametros_manuales!$J$36</f>
        <v>840.895</v>
      </c>
      <c r="I47" s="8">
        <f>(parametros_manuales!$D$36*(datos_base!$C$2+IF(parametros_manuales!$H$36="Todos",datos_base!$C$9,0))*parametros_manuales!$I$97+parametros_manuales!$E$36*(datos_base!$C$3+IF(parametros_manuales!$H$36="Todos",datos_base!$C$10,0))*parametros_manuales!$I$102+parametros_manuales!$F$36*(datos_base!$C$4+IF(parametros_manuales!$H$36="Todos",datos_base!$C$11,0))*parametros_manuales!$I$107+parametros_manuales!$G$36*(datos_base!$C$5+IF(parametros_manuales!$H$36="Todos",datos_base!$C$12,0))*parametros_manuales!$I$112)*parametros_manuales!$I$36*parametros_manuales!$J$36</f>
        <v>930.85</v>
      </c>
      <c r="J47" s="8">
        <f>(parametros_manuales!$D$36*(datos_base!$C$2+IF(parametros_manuales!$H$36="Todos",datos_base!$C$9,0))*parametros_manuales!$J$97+parametros_manuales!$E$36*(datos_base!$C$3+IF(parametros_manuales!$H$36="Todos",datos_base!$C$10,0))*parametros_manuales!$J$102+parametros_manuales!$F$36*(datos_base!$C$4+IF(parametros_manuales!$H$36="Todos",datos_base!$C$11,0))*parametros_manuales!$J$107+parametros_manuales!$G$36*(datos_base!$C$5+IF(parametros_manuales!$H$36="Todos",datos_base!$C$12,0))*parametros_manuales!$J$112)*parametros_manuales!$I$36*parametros_manuales!$J$36</f>
        <v>930.85</v>
      </c>
      <c r="K47" s="8">
        <f>(parametros_manuales!$D$36*(datos_base!$C$2+IF(parametros_manuales!$H$36="Todos",datos_base!$C$9,0))*parametros_manuales!$K$97+parametros_manuales!$E$36*(datos_base!$C$3+IF(parametros_manuales!$H$36="Todos",datos_base!$C$10,0))*parametros_manuales!$K$102+parametros_manuales!$F$36*(datos_base!$C$4+IF(parametros_manuales!$H$36="Todos",datos_base!$C$11,0))*parametros_manuales!$K$107+parametros_manuales!$G$36*(datos_base!$C$5+IF(parametros_manuales!$H$36="Todos",datos_base!$C$12,0))*parametros_manuales!$K$112)*parametros_manuales!$I$36*parametros_manuales!$J$36</f>
        <v>955.295</v>
      </c>
      <c r="L47" s="8">
        <f>(parametros_manuales!$D$36*(datos_base!$C$2+IF(parametros_manuales!$H$36="Todos",datos_base!$C$9,0))*parametros_manuales!$L$97+parametros_manuales!$E$36*(datos_base!$C$3+IF(parametros_manuales!$H$36="Todos",datos_base!$C$10,0))*parametros_manuales!$L$102+parametros_manuales!$F$36*(datos_base!$C$4+IF(parametros_manuales!$H$36="Todos",datos_base!$C$11,0))*parametros_manuales!$L$107+parametros_manuales!$G$36*(datos_base!$C$5+IF(parametros_manuales!$H$36="Todos",datos_base!$C$12,0))*parametros_manuales!$L$112)*parametros_manuales!$I$36*parametros_manuales!$J$36</f>
        <v>979.74</v>
      </c>
      <c r="M47" s="8">
        <f>(parametros_manuales!$D$36*(datos_base!$C$2+IF(parametros_manuales!$H$36="Todos",datos_base!$C$9,0))*parametros_manuales!$M$97+parametros_manuales!$E$36*(datos_base!$C$3+IF(parametros_manuales!$H$36="Todos",datos_base!$C$10,0))*parametros_manuales!$M$102+parametros_manuales!$F$36*(datos_base!$C$4+IF(parametros_manuales!$H$36="Todos",datos_base!$C$11,0))*parametros_manuales!$M$107+parametros_manuales!$G$36*(datos_base!$C$5+IF(parametros_manuales!$H$36="Todos",datos_base!$C$12,0))*parametros_manuales!$M$112)*parametros_manuales!$I$36*parametros_manuales!$J$36</f>
        <v>979.74</v>
      </c>
      <c r="N47" s="8">
        <f t="shared" si="4"/>
        <v>10886</v>
      </c>
      <c r="O47" s="8">
        <f t="shared" si="5"/>
        <v>979.74</v>
      </c>
      <c r="P47" s="27">
        <f>O47/(parametros_manuales!$B$7)</f>
        <v>6.5316</v>
      </c>
      <c r="Q47" s="4" t="str">
        <f t="shared" si="6"/>
        <v>Ene</v>
      </c>
      <c r="R47" s="16"/>
      <c r="S47" s="16"/>
    </row>
    <row r="48" ht="14.25" customHeight="1">
      <c r="A48" s="4" t="str">
        <f>parametros_manuales!$B$37</f>
        <v>Corrección de defectos</v>
      </c>
      <c r="B48" s="8">
        <f>(parametros_manuales!$D$37*(datos_base!$C$2+IF(parametros_manuales!$H$37="Todos",datos_base!$C$9,0))*parametros_manuales!$B$97+parametros_manuales!$E$37*(datos_base!$C$3+IF(parametros_manuales!$H$37="Todos",datos_base!$C$10,0))*parametros_manuales!$B$102+parametros_manuales!$F$37*(datos_base!$C$4+IF(parametros_manuales!$H$37="Todos",datos_base!$C$11,0))*parametros_manuales!$B$107+parametros_manuales!$G$37*(datos_base!$C$5+IF(parametros_manuales!$H$37="Todos",datos_base!$C$12,0))*parametros_manuales!$B$112)*parametros_manuales!$I$37*parametros_manuales!$J$37</f>
        <v>48.987</v>
      </c>
      <c r="C48" s="8">
        <f>(parametros_manuales!$D$37*(datos_base!$C$2+IF(parametros_manuales!$H$37="Todos",datos_base!$C$9,0))*parametros_manuales!$C$97+parametros_manuales!$E$37*(datos_base!$C$3+IF(parametros_manuales!$H$37="Todos",datos_base!$C$10,0))*parametros_manuales!$C$102+parametros_manuales!$F$37*(datos_base!$C$4+IF(parametros_manuales!$H$37="Todos",datos_base!$C$11,0))*parametros_manuales!$C$107+parametros_manuales!$G$37*(datos_base!$C$5+IF(parametros_manuales!$H$37="Todos",datos_base!$C$12,0))*parametros_manuales!$C$112)*parametros_manuales!$I$37*parametros_manuales!$J$37</f>
        <v>46.5425</v>
      </c>
      <c r="D48" s="8">
        <f>(parametros_manuales!$D$37*(datos_base!$C$2+IF(parametros_manuales!$H$37="Todos",datos_base!$C$9,0))*parametros_manuales!$D$97+parametros_manuales!$E$37*(datos_base!$C$3+IF(parametros_manuales!$H$37="Todos",datos_base!$C$10,0))*parametros_manuales!$D$102+parametros_manuales!$F$37*(datos_base!$C$4+IF(parametros_manuales!$H$37="Todos",datos_base!$C$11,0))*parametros_manuales!$D$107+parametros_manuales!$G$37*(datos_base!$C$5+IF(parametros_manuales!$H$37="Todos",datos_base!$C$12,0))*parametros_manuales!$D$112)*parametros_manuales!$I$37*parametros_manuales!$J$37</f>
        <v>44.76625</v>
      </c>
      <c r="E48" s="8">
        <f>(parametros_manuales!$D$37*(datos_base!$C$2+IF(parametros_manuales!$H$37="Todos",datos_base!$C$9,0))*parametros_manuales!$E$97+parametros_manuales!$E$37*(datos_base!$C$3+IF(parametros_manuales!$H$37="Todos",datos_base!$C$10,0))*parametros_manuales!$E$102+parametros_manuales!$F$37*(datos_base!$C$4+IF(parametros_manuales!$H$37="Todos",datos_base!$C$11,0))*parametros_manuales!$E$107+parametros_manuales!$G$37*(datos_base!$C$5+IF(parametros_manuales!$H$37="Todos",datos_base!$C$12,0))*parametros_manuales!$E$112)*parametros_manuales!$I$37*parametros_manuales!$J$37</f>
        <v>43.267</v>
      </c>
      <c r="F48" s="8">
        <f>(parametros_manuales!$D$37*(datos_base!$C$2+IF(parametros_manuales!$H$37="Todos",datos_base!$C$9,0))*parametros_manuales!$F$97+parametros_manuales!$E$37*(datos_base!$C$3+IF(parametros_manuales!$H$37="Todos",datos_base!$C$10,0))*parametros_manuales!$F$102+parametros_manuales!$F$37*(datos_base!$C$4+IF(parametros_manuales!$H$37="Todos",datos_base!$C$11,0))*parametros_manuales!$F$107+parametros_manuales!$G$37*(datos_base!$C$5+IF(parametros_manuales!$H$37="Todos",datos_base!$C$12,0))*parametros_manuales!$F$112)*parametros_manuales!$I$37*parametros_manuales!$J$37</f>
        <v>40.5455</v>
      </c>
      <c r="G48" s="8">
        <f>(parametros_manuales!$D$37*(datos_base!$C$2+IF(parametros_manuales!$H$37="Todos",datos_base!$C$9,0))*parametros_manuales!$G$97+parametros_manuales!$E$37*(datos_base!$C$3+IF(parametros_manuales!$H$37="Todos",datos_base!$C$10,0))*parametros_manuales!$G$102+parametros_manuales!$F$37*(datos_base!$C$4+IF(parametros_manuales!$H$37="Todos",datos_base!$C$11,0))*parametros_manuales!$G$107+parametros_manuales!$G$37*(datos_base!$C$5+IF(parametros_manuales!$H$37="Todos",datos_base!$C$12,0))*parametros_manuales!$G$112)*parametros_manuales!$I$37*parametros_manuales!$J$37</f>
        <v>39.32325</v>
      </c>
      <c r="H48" s="8">
        <f>(parametros_manuales!$D$37*(datos_base!$C$2+IF(parametros_manuales!$H$37="Todos",datos_base!$C$9,0))*parametros_manuales!$H$97+parametros_manuales!$E$37*(datos_base!$C$3+IF(parametros_manuales!$H$37="Todos",datos_base!$C$10,0))*parametros_manuales!$H$102+parametros_manuales!$F$37*(datos_base!$C$4+IF(parametros_manuales!$H$37="Todos",datos_base!$C$11,0))*parametros_manuales!$H$107+parametros_manuales!$G$37*(datos_base!$C$5+IF(parametros_manuales!$H$37="Todos",datos_base!$C$12,0))*parametros_manuales!$H$112)*parametros_manuales!$I$37*parametros_manuales!$J$37</f>
        <v>42.04475</v>
      </c>
      <c r="I48" s="8">
        <f>(parametros_manuales!$D$37*(datos_base!$C$2+IF(parametros_manuales!$H$37="Todos",datos_base!$C$9,0))*parametros_manuales!$I$97+parametros_manuales!$E$37*(datos_base!$C$3+IF(parametros_manuales!$H$37="Todos",datos_base!$C$10,0))*parametros_manuales!$I$102+parametros_manuales!$F$37*(datos_base!$C$4+IF(parametros_manuales!$H$37="Todos",datos_base!$C$11,0))*parametros_manuales!$I$107+parametros_manuales!$G$37*(datos_base!$C$5+IF(parametros_manuales!$H$37="Todos",datos_base!$C$12,0))*parametros_manuales!$I$112)*parametros_manuales!$I$37*parametros_manuales!$J$37</f>
        <v>46.5425</v>
      </c>
      <c r="J48" s="8">
        <f>(parametros_manuales!$D$37*(datos_base!$C$2+IF(parametros_manuales!$H$37="Todos",datos_base!$C$9,0))*parametros_manuales!$J$97+parametros_manuales!$E$37*(datos_base!$C$3+IF(parametros_manuales!$H$37="Todos",datos_base!$C$10,0))*parametros_manuales!$J$102+parametros_manuales!$F$37*(datos_base!$C$4+IF(parametros_manuales!$H$37="Todos",datos_base!$C$11,0))*parametros_manuales!$J$107+parametros_manuales!$G$37*(datos_base!$C$5+IF(parametros_manuales!$H$37="Todos",datos_base!$C$12,0))*parametros_manuales!$J$112)*parametros_manuales!$I$37*parametros_manuales!$J$37</f>
        <v>46.5425</v>
      </c>
      <c r="K48" s="8">
        <f>(parametros_manuales!$D$37*(datos_base!$C$2+IF(parametros_manuales!$H$37="Todos",datos_base!$C$9,0))*parametros_manuales!$K$97+parametros_manuales!$E$37*(datos_base!$C$3+IF(parametros_manuales!$H$37="Todos",datos_base!$C$10,0))*parametros_manuales!$K$102+parametros_manuales!$F$37*(datos_base!$C$4+IF(parametros_manuales!$H$37="Todos",datos_base!$C$11,0))*parametros_manuales!$K$107+parametros_manuales!$G$37*(datos_base!$C$5+IF(parametros_manuales!$H$37="Todos",datos_base!$C$12,0))*parametros_manuales!$K$112)*parametros_manuales!$I$37*parametros_manuales!$J$37</f>
        <v>47.76475</v>
      </c>
      <c r="L48" s="8">
        <f>(parametros_manuales!$D$37*(datos_base!$C$2+IF(parametros_manuales!$H$37="Todos",datos_base!$C$9,0))*parametros_manuales!$L$97+parametros_manuales!$E$37*(datos_base!$C$3+IF(parametros_manuales!$H$37="Todos",datos_base!$C$10,0))*parametros_manuales!$L$102+parametros_manuales!$F$37*(datos_base!$C$4+IF(parametros_manuales!$H$37="Todos",datos_base!$C$11,0))*parametros_manuales!$L$107+parametros_manuales!$G$37*(datos_base!$C$5+IF(parametros_manuales!$H$37="Todos",datos_base!$C$12,0))*parametros_manuales!$L$112)*parametros_manuales!$I$37*parametros_manuales!$J$37</f>
        <v>48.987</v>
      </c>
      <c r="M48" s="8">
        <f>(parametros_manuales!$D$37*(datos_base!$C$2+IF(parametros_manuales!$H$37="Todos",datos_base!$C$9,0))*parametros_manuales!$M$97+parametros_manuales!$E$37*(datos_base!$C$3+IF(parametros_manuales!$H$37="Todos",datos_base!$C$10,0))*parametros_manuales!$M$102+parametros_manuales!$F$37*(datos_base!$C$4+IF(parametros_manuales!$H$37="Todos",datos_base!$C$11,0))*parametros_manuales!$M$107+parametros_manuales!$G$37*(datos_base!$C$5+IF(parametros_manuales!$H$37="Todos",datos_base!$C$12,0))*parametros_manuales!$M$112)*parametros_manuales!$I$37*parametros_manuales!$J$37</f>
        <v>48.987</v>
      </c>
      <c r="N48" s="8">
        <f t="shared" si="4"/>
        <v>544.3</v>
      </c>
      <c r="O48" s="8">
        <f t="shared" si="5"/>
        <v>48.987</v>
      </c>
      <c r="P48" s="27">
        <f>O48/(parametros_manuales!$B$7)</f>
        <v>0.32658</v>
      </c>
      <c r="Q48" s="4" t="str">
        <f t="shared" si="6"/>
        <v>Ene</v>
      </c>
      <c r="R48" s="16"/>
      <c r="S48" s="16"/>
    </row>
    <row r="49" ht="14.25" customHeight="1">
      <c r="A49" s="4" t="str">
        <f>parametros_manuales!$B$38</f>
        <v>Pintura en polvo + horno</v>
      </c>
      <c r="B49" s="8">
        <f>(parametros_manuales!$D$38*(datos_base!$C$2+IF(parametros_manuales!$H$38="Todos",datos_base!$C$9,0))*parametros_manuales!$B$97+parametros_manuales!$E$38*(datos_base!$C$3+IF(parametros_manuales!$H$38="Todos",datos_base!$C$10,0))*parametros_manuales!$B$102+parametros_manuales!$F$38*(datos_base!$C$4+IF(parametros_manuales!$H$38="Todos",datos_base!$C$11,0))*parametros_manuales!$B$107+parametros_manuales!$G$38*(datos_base!$C$5+IF(parametros_manuales!$H$38="Todos",datos_base!$C$12,0))*parametros_manuales!$B$112)*parametros_manuales!$I$38*parametros_manuales!$J$38</f>
        <v>979.74</v>
      </c>
      <c r="C49" s="8">
        <f>(parametros_manuales!$D$38*(datos_base!$C$2+IF(parametros_manuales!$H$38="Todos",datos_base!$C$9,0))*parametros_manuales!$C$97+parametros_manuales!$E$38*(datos_base!$C$3+IF(parametros_manuales!$H$38="Todos",datos_base!$C$10,0))*parametros_manuales!$C$102+parametros_manuales!$F$38*(datos_base!$C$4+IF(parametros_manuales!$H$38="Todos",datos_base!$C$11,0))*parametros_manuales!$C$107+parametros_manuales!$G$38*(datos_base!$C$5+IF(parametros_manuales!$H$38="Todos",datos_base!$C$12,0))*parametros_manuales!$C$112)*parametros_manuales!$I$38*parametros_manuales!$J$38</f>
        <v>930.85</v>
      </c>
      <c r="D49" s="8">
        <f>(parametros_manuales!$D$38*(datos_base!$C$2+IF(parametros_manuales!$H$38="Todos",datos_base!$C$9,0))*parametros_manuales!$D$97+parametros_manuales!$E$38*(datos_base!$C$3+IF(parametros_manuales!$H$38="Todos",datos_base!$C$10,0))*parametros_manuales!$D$102+parametros_manuales!$F$38*(datos_base!$C$4+IF(parametros_manuales!$H$38="Todos",datos_base!$C$11,0))*parametros_manuales!$D$107+parametros_manuales!$G$38*(datos_base!$C$5+IF(parametros_manuales!$H$38="Todos",datos_base!$C$12,0))*parametros_manuales!$D$112)*parametros_manuales!$I$38*parametros_manuales!$J$38</f>
        <v>895.325</v>
      </c>
      <c r="E49" s="8">
        <f>(parametros_manuales!$D$38*(datos_base!$C$2+IF(parametros_manuales!$H$38="Todos",datos_base!$C$9,0))*parametros_manuales!$E$97+parametros_manuales!$E$38*(datos_base!$C$3+IF(parametros_manuales!$H$38="Todos",datos_base!$C$10,0))*parametros_manuales!$E$102+parametros_manuales!$F$38*(datos_base!$C$4+IF(parametros_manuales!$H$38="Todos",datos_base!$C$11,0))*parametros_manuales!$E$107+parametros_manuales!$G$38*(datos_base!$C$5+IF(parametros_manuales!$H$38="Todos",datos_base!$C$12,0))*parametros_manuales!$E$112)*parametros_manuales!$I$38*parametros_manuales!$J$38</f>
        <v>865.34</v>
      </c>
      <c r="F49" s="8">
        <f>(parametros_manuales!$D$38*(datos_base!$C$2+IF(parametros_manuales!$H$38="Todos",datos_base!$C$9,0))*parametros_manuales!$F$97+parametros_manuales!$E$38*(datos_base!$C$3+IF(parametros_manuales!$H$38="Todos",datos_base!$C$10,0))*parametros_manuales!$F$102+parametros_manuales!$F$38*(datos_base!$C$4+IF(parametros_manuales!$H$38="Todos",datos_base!$C$11,0))*parametros_manuales!$F$107+parametros_manuales!$G$38*(datos_base!$C$5+IF(parametros_manuales!$H$38="Todos",datos_base!$C$12,0))*parametros_manuales!$F$112)*parametros_manuales!$I$38*parametros_manuales!$J$38</f>
        <v>810.91</v>
      </c>
      <c r="G49" s="8">
        <f>(parametros_manuales!$D$38*(datos_base!$C$2+IF(parametros_manuales!$H$38="Todos",datos_base!$C$9,0))*parametros_manuales!$G$97+parametros_manuales!$E$38*(datos_base!$C$3+IF(parametros_manuales!$H$38="Todos",datos_base!$C$10,0))*parametros_manuales!$G$102+parametros_manuales!$F$38*(datos_base!$C$4+IF(parametros_manuales!$H$38="Todos",datos_base!$C$11,0))*parametros_manuales!$G$107+parametros_manuales!$G$38*(datos_base!$C$5+IF(parametros_manuales!$H$38="Todos",datos_base!$C$12,0))*parametros_manuales!$G$112)*parametros_manuales!$I$38*parametros_manuales!$J$38</f>
        <v>786.465</v>
      </c>
      <c r="H49" s="8">
        <f>(parametros_manuales!$D$38*(datos_base!$C$2+IF(parametros_manuales!$H$38="Todos",datos_base!$C$9,0))*parametros_manuales!$H$97+parametros_manuales!$E$38*(datos_base!$C$3+IF(parametros_manuales!$H$38="Todos",datos_base!$C$10,0))*parametros_manuales!$H$102+parametros_manuales!$F$38*(datos_base!$C$4+IF(parametros_manuales!$H$38="Todos",datos_base!$C$11,0))*parametros_manuales!$H$107+parametros_manuales!$G$38*(datos_base!$C$5+IF(parametros_manuales!$H$38="Todos",datos_base!$C$12,0))*parametros_manuales!$H$112)*parametros_manuales!$I$38*parametros_manuales!$J$38</f>
        <v>840.895</v>
      </c>
      <c r="I49" s="8">
        <f>(parametros_manuales!$D$38*(datos_base!$C$2+IF(parametros_manuales!$H$38="Todos",datos_base!$C$9,0))*parametros_manuales!$I$97+parametros_manuales!$E$38*(datos_base!$C$3+IF(parametros_manuales!$H$38="Todos",datos_base!$C$10,0))*parametros_manuales!$I$102+parametros_manuales!$F$38*(datos_base!$C$4+IF(parametros_manuales!$H$38="Todos",datos_base!$C$11,0))*parametros_manuales!$I$107+parametros_manuales!$G$38*(datos_base!$C$5+IF(parametros_manuales!$H$38="Todos",datos_base!$C$12,0))*parametros_manuales!$I$112)*parametros_manuales!$I$38*parametros_manuales!$J$38</f>
        <v>930.85</v>
      </c>
      <c r="J49" s="8">
        <f>(parametros_manuales!$D$38*(datos_base!$C$2+IF(parametros_manuales!$H$38="Todos",datos_base!$C$9,0))*parametros_manuales!$J$97+parametros_manuales!$E$38*(datos_base!$C$3+IF(parametros_manuales!$H$38="Todos",datos_base!$C$10,0))*parametros_manuales!$J$102+parametros_manuales!$F$38*(datos_base!$C$4+IF(parametros_manuales!$H$38="Todos",datos_base!$C$11,0))*parametros_manuales!$J$107+parametros_manuales!$G$38*(datos_base!$C$5+IF(parametros_manuales!$H$38="Todos",datos_base!$C$12,0))*parametros_manuales!$J$112)*parametros_manuales!$I$38*parametros_manuales!$J$38</f>
        <v>930.85</v>
      </c>
      <c r="K49" s="8">
        <f>(parametros_manuales!$D$38*(datos_base!$C$2+IF(parametros_manuales!$H$38="Todos",datos_base!$C$9,0))*parametros_manuales!$K$97+parametros_manuales!$E$38*(datos_base!$C$3+IF(parametros_manuales!$H$38="Todos",datos_base!$C$10,0))*parametros_manuales!$K$102+parametros_manuales!$F$38*(datos_base!$C$4+IF(parametros_manuales!$H$38="Todos",datos_base!$C$11,0))*parametros_manuales!$K$107+parametros_manuales!$G$38*(datos_base!$C$5+IF(parametros_manuales!$H$38="Todos",datos_base!$C$12,0))*parametros_manuales!$K$112)*parametros_manuales!$I$38*parametros_manuales!$J$38</f>
        <v>955.295</v>
      </c>
      <c r="L49" s="8">
        <f>(parametros_manuales!$D$38*(datos_base!$C$2+IF(parametros_manuales!$H$38="Todos",datos_base!$C$9,0))*parametros_manuales!$L$97+parametros_manuales!$E$38*(datos_base!$C$3+IF(parametros_manuales!$H$38="Todos",datos_base!$C$10,0))*parametros_manuales!$L$102+parametros_manuales!$F$38*(datos_base!$C$4+IF(parametros_manuales!$H$38="Todos",datos_base!$C$11,0))*parametros_manuales!$L$107+parametros_manuales!$G$38*(datos_base!$C$5+IF(parametros_manuales!$H$38="Todos",datos_base!$C$12,0))*parametros_manuales!$L$112)*parametros_manuales!$I$38*parametros_manuales!$J$38</f>
        <v>979.74</v>
      </c>
      <c r="M49" s="8">
        <f>(parametros_manuales!$D$38*(datos_base!$C$2+IF(parametros_manuales!$H$38="Todos",datos_base!$C$9,0))*parametros_manuales!$M$97+parametros_manuales!$E$38*(datos_base!$C$3+IF(parametros_manuales!$H$38="Todos",datos_base!$C$10,0))*parametros_manuales!$M$102+parametros_manuales!$F$38*(datos_base!$C$4+IF(parametros_manuales!$H$38="Todos",datos_base!$C$11,0))*parametros_manuales!$M$107+parametros_manuales!$G$38*(datos_base!$C$5+IF(parametros_manuales!$H$38="Todos",datos_base!$C$12,0))*parametros_manuales!$M$112)*parametros_manuales!$I$38*parametros_manuales!$J$38</f>
        <v>979.74</v>
      </c>
      <c r="N49" s="8">
        <f t="shared" si="4"/>
        <v>10886</v>
      </c>
      <c r="O49" s="8">
        <f t="shared" si="5"/>
        <v>979.74</v>
      </c>
      <c r="P49" s="27">
        <f>O49/(parametros_manuales!$B$7)</f>
        <v>6.5316</v>
      </c>
      <c r="Q49" s="4" t="str">
        <f t="shared" si="6"/>
        <v>Ene</v>
      </c>
      <c r="R49" s="16"/>
      <c r="S49" s="16"/>
    </row>
    <row r="50" ht="14.25" customHeight="1">
      <c r="A50" s="4" t="str">
        <f>parametros_manuales!$B$39</f>
        <v>Carga de polvo</v>
      </c>
      <c r="B50" s="8">
        <f>(parametros_manuales!$D$39*(datos_base!$C$2+IF(parametros_manuales!$H$39="Todos",datos_base!$C$9,0))*parametros_manuales!$B$97+parametros_manuales!$E$39*(datos_base!$C$3+IF(parametros_manuales!$H$39="Todos",datos_base!$C$10,0))*parametros_manuales!$B$102+parametros_manuales!$F$39*(datos_base!$C$4+IF(parametros_manuales!$H$39="Todos",datos_base!$C$11,0))*parametros_manuales!$B$107+parametros_manuales!$G$39*(datos_base!$C$5+IF(parametros_manuales!$H$39="Todos",datos_base!$C$12,0))*parametros_manuales!$B$112)*parametros_manuales!$I$39*parametros_manuales!$J$39</f>
        <v>970.83</v>
      </c>
      <c r="C50" s="8">
        <f>(parametros_manuales!$D$39*(datos_base!$C$2+IF(parametros_manuales!$H$39="Todos",datos_base!$C$9,0))*parametros_manuales!$C$97+parametros_manuales!$E$39*(datos_base!$C$3+IF(parametros_manuales!$H$39="Todos",datos_base!$C$10,0))*parametros_manuales!$C$102+parametros_manuales!$F$39*(datos_base!$C$4+IF(parametros_manuales!$H$39="Todos",datos_base!$C$11,0))*parametros_manuales!$C$107+parametros_manuales!$G$39*(datos_base!$C$5+IF(parametros_manuales!$H$39="Todos",datos_base!$C$12,0))*parametros_manuales!$C$112)*parametros_manuales!$I$39*parametros_manuales!$J$39</f>
        <v>922.93</v>
      </c>
      <c r="D50" s="8">
        <f>(parametros_manuales!$D$39*(datos_base!$C$2+IF(parametros_manuales!$H$39="Todos",datos_base!$C$9,0))*parametros_manuales!$D$97+parametros_manuales!$E$39*(datos_base!$C$3+IF(parametros_manuales!$H$39="Todos",datos_base!$C$10,0))*parametros_manuales!$D$102+parametros_manuales!$F$39*(datos_base!$C$4+IF(parametros_manuales!$H$39="Todos",datos_base!$C$11,0))*parametros_manuales!$D$107+parametros_manuales!$G$39*(datos_base!$C$5+IF(parametros_manuales!$H$39="Todos",datos_base!$C$12,0))*parametros_manuales!$D$112)*parametros_manuales!$I$39*parametros_manuales!$J$39</f>
        <v>886.91</v>
      </c>
      <c r="E50" s="8">
        <f>(parametros_manuales!$D$39*(datos_base!$C$2+IF(parametros_manuales!$H$39="Todos",datos_base!$C$9,0))*parametros_manuales!$E$97+parametros_manuales!$E$39*(datos_base!$C$3+IF(parametros_manuales!$H$39="Todos",datos_base!$C$10,0))*parametros_manuales!$E$102+parametros_manuales!$F$39*(datos_base!$C$4+IF(parametros_manuales!$H$39="Todos",datos_base!$C$11,0))*parametros_manuales!$E$107+parametros_manuales!$G$39*(datos_base!$C$5+IF(parametros_manuales!$H$39="Todos",datos_base!$C$12,0))*parametros_manuales!$E$112)*parametros_manuales!$I$39*parametros_manuales!$J$39</f>
        <v>856.925</v>
      </c>
      <c r="F50" s="8">
        <f>(parametros_manuales!$D$39*(datos_base!$C$2+IF(parametros_manuales!$H$39="Todos",datos_base!$C$9,0))*parametros_manuales!$F$97+parametros_manuales!$E$39*(datos_base!$C$3+IF(parametros_manuales!$H$39="Todos",datos_base!$C$10,0))*parametros_manuales!$F$102+parametros_manuales!$F$39*(datos_base!$C$4+IF(parametros_manuales!$H$39="Todos",datos_base!$C$11,0))*parametros_manuales!$F$107+parametros_manuales!$G$39*(datos_base!$C$5+IF(parametros_manuales!$H$39="Todos",datos_base!$C$12,0))*parametros_manuales!$F$112)*parametros_manuales!$I$39*parametros_manuales!$J$39</f>
        <v>802.99</v>
      </c>
      <c r="G50" s="8">
        <f>(parametros_manuales!$D$39*(datos_base!$C$2+IF(parametros_manuales!$H$39="Todos",datos_base!$C$9,0))*parametros_manuales!$G$97+parametros_manuales!$E$39*(datos_base!$C$3+IF(parametros_manuales!$H$39="Todos",datos_base!$C$10,0))*parametros_manuales!$G$102+parametros_manuales!$F$39*(datos_base!$C$4+IF(parametros_manuales!$H$39="Todos",datos_base!$C$11,0))*parametros_manuales!$G$107+parametros_manuales!$G$39*(datos_base!$C$5+IF(parametros_manuales!$H$39="Todos",datos_base!$C$12,0))*parametros_manuales!$G$112)*parametros_manuales!$I$39*parametros_manuales!$J$39</f>
        <v>779.04</v>
      </c>
      <c r="H50" s="8">
        <f>(parametros_manuales!$D$39*(datos_base!$C$2+IF(parametros_manuales!$H$39="Todos",datos_base!$C$9,0))*parametros_manuales!$H$97+parametros_manuales!$E$39*(datos_base!$C$3+IF(parametros_manuales!$H$39="Todos",datos_base!$C$10,0))*parametros_manuales!$H$102+parametros_manuales!$F$39*(datos_base!$C$4+IF(parametros_manuales!$H$39="Todos",datos_base!$C$11,0))*parametros_manuales!$H$107+parametros_manuales!$G$39*(datos_base!$C$5+IF(parametros_manuales!$H$39="Todos",datos_base!$C$12,0))*parametros_manuales!$H$112)*parametros_manuales!$I$39*parametros_manuales!$J$39</f>
        <v>832.975</v>
      </c>
      <c r="I50" s="8">
        <f>(parametros_manuales!$D$39*(datos_base!$C$2+IF(parametros_manuales!$H$39="Todos",datos_base!$C$9,0))*parametros_manuales!$I$97+parametros_manuales!$E$39*(datos_base!$C$3+IF(parametros_manuales!$H$39="Todos",datos_base!$C$10,0))*parametros_manuales!$I$102+parametros_manuales!$F$39*(datos_base!$C$4+IF(parametros_manuales!$H$39="Todos",datos_base!$C$11,0))*parametros_manuales!$I$107+parametros_manuales!$G$39*(datos_base!$C$5+IF(parametros_manuales!$H$39="Todos",datos_base!$C$12,0))*parametros_manuales!$I$112)*parametros_manuales!$I$39*parametros_manuales!$J$39</f>
        <v>922.93</v>
      </c>
      <c r="J50" s="8">
        <f>(parametros_manuales!$D$39*(datos_base!$C$2+IF(parametros_manuales!$H$39="Todos",datos_base!$C$9,0))*parametros_manuales!$J$97+parametros_manuales!$E$39*(datos_base!$C$3+IF(parametros_manuales!$H$39="Todos",datos_base!$C$10,0))*parametros_manuales!$J$102+parametros_manuales!$F$39*(datos_base!$C$4+IF(parametros_manuales!$H$39="Todos",datos_base!$C$11,0))*parametros_manuales!$J$107+parametros_manuales!$G$39*(datos_base!$C$5+IF(parametros_manuales!$H$39="Todos",datos_base!$C$12,0))*parametros_manuales!$J$112)*parametros_manuales!$I$39*parametros_manuales!$J$39</f>
        <v>922.93</v>
      </c>
      <c r="K50" s="8">
        <f>(parametros_manuales!$D$39*(datos_base!$C$2+IF(parametros_manuales!$H$39="Todos",datos_base!$C$9,0))*parametros_manuales!$K$97+parametros_manuales!$E$39*(datos_base!$C$3+IF(parametros_manuales!$H$39="Todos",datos_base!$C$10,0))*parametros_manuales!$K$102+parametros_manuales!$F$39*(datos_base!$C$4+IF(parametros_manuales!$H$39="Todos",datos_base!$C$11,0))*parametros_manuales!$K$107+parametros_manuales!$G$39*(datos_base!$C$5+IF(parametros_manuales!$H$39="Todos",datos_base!$C$12,0))*parametros_manuales!$K$112)*parametros_manuales!$I$39*parametros_manuales!$J$39</f>
        <v>946.88</v>
      </c>
      <c r="L50" s="8">
        <f>(parametros_manuales!$D$39*(datos_base!$C$2+IF(parametros_manuales!$H$39="Todos",datos_base!$C$9,0))*parametros_manuales!$L$97+parametros_manuales!$E$39*(datos_base!$C$3+IF(parametros_manuales!$H$39="Todos",datos_base!$C$10,0))*parametros_manuales!$L$102+parametros_manuales!$F$39*(datos_base!$C$4+IF(parametros_manuales!$H$39="Todos",datos_base!$C$11,0))*parametros_manuales!$L$107+parametros_manuales!$G$39*(datos_base!$C$5+IF(parametros_manuales!$H$39="Todos",datos_base!$C$12,0))*parametros_manuales!$L$112)*parametros_manuales!$I$39*parametros_manuales!$J$39</f>
        <v>970.83</v>
      </c>
      <c r="M50" s="8">
        <f>(parametros_manuales!$D$39*(datos_base!$C$2+IF(parametros_manuales!$H$39="Todos",datos_base!$C$9,0))*parametros_manuales!$M$97+parametros_manuales!$E$39*(datos_base!$C$3+IF(parametros_manuales!$H$39="Todos",datos_base!$C$10,0))*parametros_manuales!$M$102+parametros_manuales!$F$39*(datos_base!$C$4+IF(parametros_manuales!$H$39="Todos",datos_base!$C$11,0))*parametros_manuales!$M$107+parametros_manuales!$G$39*(datos_base!$C$5+IF(parametros_manuales!$H$39="Todos",datos_base!$C$12,0))*parametros_manuales!$M$112)*parametros_manuales!$I$39*parametros_manuales!$J$39</f>
        <v>970.83</v>
      </c>
      <c r="N50" s="8">
        <f t="shared" si="4"/>
        <v>10787</v>
      </c>
      <c r="O50" s="8">
        <f t="shared" si="5"/>
        <v>970.83</v>
      </c>
      <c r="P50" s="27">
        <f>O50/(parametros_manuales!$B$7)</f>
        <v>6.4722</v>
      </c>
      <c r="Q50" s="4" t="str">
        <f t="shared" si="6"/>
        <v>Ene</v>
      </c>
      <c r="R50" s="16"/>
      <c r="S50" s="16"/>
    </row>
    <row r="51" ht="14.25" customHeight="1">
      <c r="A51" s="4" t="str">
        <f>parametros_manuales!$B$40</f>
        <v>Ensamblaje</v>
      </c>
      <c r="B51" s="8">
        <f>(parametros_manuales!$D$40*(datos_base!$C$2+IF(parametros_manuales!$H$40="Todos",datos_base!$C$9,0))*parametros_manuales!$B$97+parametros_manuales!$E$40*(datos_base!$C$3+IF(parametros_manuales!$H$40="Todos",datos_base!$C$10,0))*parametros_manuales!$B$102+parametros_manuales!$F$40*(datos_base!$C$4+IF(parametros_manuales!$H$40="Todos",datos_base!$C$11,0))*parametros_manuales!$B$107+parametros_manuales!$G$40*(datos_base!$C$5+IF(parametros_manuales!$H$40="Todos",datos_base!$C$12,0))*parametros_manuales!$B$112)*parametros_manuales!$I$40*parametros_manuales!$J$40</f>
        <v>970.83</v>
      </c>
      <c r="C51" s="8">
        <f>(parametros_manuales!$D$40*(datos_base!$C$2+IF(parametros_manuales!$H$40="Todos",datos_base!$C$9,0))*parametros_manuales!$C$97+parametros_manuales!$E$40*(datos_base!$C$3+IF(parametros_manuales!$H$40="Todos",datos_base!$C$10,0))*parametros_manuales!$C$102+parametros_manuales!$F$40*(datos_base!$C$4+IF(parametros_manuales!$H$40="Todos",datos_base!$C$11,0))*parametros_manuales!$C$107+parametros_manuales!$G$40*(datos_base!$C$5+IF(parametros_manuales!$H$40="Todos",datos_base!$C$12,0))*parametros_manuales!$C$112)*parametros_manuales!$I$40*parametros_manuales!$J$40</f>
        <v>922.93</v>
      </c>
      <c r="D51" s="8">
        <f>(parametros_manuales!$D$40*(datos_base!$C$2+IF(parametros_manuales!$H$40="Todos",datos_base!$C$9,0))*parametros_manuales!$D$97+parametros_manuales!$E$40*(datos_base!$C$3+IF(parametros_manuales!$H$40="Todos",datos_base!$C$10,0))*parametros_manuales!$D$102+parametros_manuales!$F$40*(datos_base!$C$4+IF(parametros_manuales!$H$40="Todos",datos_base!$C$11,0))*parametros_manuales!$D$107+parametros_manuales!$G$40*(datos_base!$C$5+IF(parametros_manuales!$H$40="Todos",datos_base!$C$12,0))*parametros_manuales!$D$112)*parametros_manuales!$I$40*parametros_manuales!$J$40</f>
        <v>886.91</v>
      </c>
      <c r="E51" s="8">
        <f>(parametros_manuales!$D$40*(datos_base!$C$2+IF(parametros_manuales!$H$40="Todos",datos_base!$C$9,0))*parametros_manuales!$E$97+parametros_manuales!$E$40*(datos_base!$C$3+IF(parametros_manuales!$H$40="Todos",datos_base!$C$10,0))*parametros_manuales!$E$102+parametros_manuales!$F$40*(datos_base!$C$4+IF(parametros_manuales!$H$40="Todos",datos_base!$C$11,0))*parametros_manuales!$E$107+parametros_manuales!$G$40*(datos_base!$C$5+IF(parametros_manuales!$H$40="Todos",datos_base!$C$12,0))*parametros_manuales!$E$112)*parametros_manuales!$I$40*parametros_manuales!$J$40</f>
        <v>856.925</v>
      </c>
      <c r="F51" s="8">
        <f>(parametros_manuales!$D$40*(datos_base!$C$2+IF(parametros_manuales!$H$40="Todos",datos_base!$C$9,0))*parametros_manuales!$F$97+parametros_manuales!$E$40*(datos_base!$C$3+IF(parametros_manuales!$H$40="Todos",datos_base!$C$10,0))*parametros_manuales!$F$102+parametros_manuales!$F$40*(datos_base!$C$4+IF(parametros_manuales!$H$40="Todos",datos_base!$C$11,0))*parametros_manuales!$F$107+parametros_manuales!$G$40*(datos_base!$C$5+IF(parametros_manuales!$H$40="Todos",datos_base!$C$12,0))*parametros_manuales!$F$112)*parametros_manuales!$I$40*parametros_manuales!$J$40</f>
        <v>802.99</v>
      </c>
      <c r="G51" s="8">
        <f>(parametros_manuales!$D$40*(datos_base!$C$2+IF(parametros_manuales!$H$40="Todos",datos_base!$C$9,0))*parametros_manuales!$G$97+parametros_manuales!$E$40*(datos_base!$C$3+IF(parametros_manuales!$H$40="Todos",datos_base!$C$10,0))*parametros_manuales!$G$102+parametros_manuales!$F$40*(datos_base!$C$4+IF(parametros_manuales!$H$40="Todos",datos_base!$C$11,0))*parametros_manuales!$G$107+parametros_manuales!$G$40*(datos_base!$C$5+IF(parametros_manuales!$H$40="Todos",datos_base!$C$12,0))*parametros_manuales!$G$112)*parametros_manuales!$I$40*parametros_manuales!$J$40</f>
        <v>779.04</v>
      </c>
      <c r="H51" s="8">
        <f>(parametros_manuales!$D$40*(datos_base!$C$2+IF(parametros_manuales!$H$40="Todos",datos_base!$C$9,0))*parametros_manuales!$H$97+parametros_manuales!$E$40*(datos_base!$C$3+IF(parametros_manuales!$H$40="Todos",datos_base!$C$10,0))*parametros_manuales!$H$102+parametros_manuales!$F$40*(datos_base!$C$4+IF(parametros_manuales!$H$40="Todos",datos_base!$C$11,0))*parametros_manuales!$H$107+parametros_manuales!$G$40*(datos_base!$C$5+IF(parametros_manuales!$H$40="Todos",datos_base!$C$12,0))*parametros_manuales!$H$112)*parametros_manuales!$I$40*parametros_manuales!$J$40</f>
        <v>832.975</v>
      </c>
      <c r="I51" s="8">
        <f>(parametros_manuales!$D$40*(datos_base!$C$2+IF(parametros_manuales!$H$40="Todos",datos_base!$C$9,0))*parametros_manuales!$I$97+parametros_manuales!$E$40*(datos_base!$C$3+IF(parametros_manuales!$H$40="Todos",datos_base!$C$10,0))*parametros_manuales!$I$102+parametros_manuales!$F$40*(datos_base!$C$4+IF(parametros_manuales!$H$40="Todos",datos_base!$C$11,0))*parametros_manuales!$I$107+parametros_manuales!$G$40*(datos_base!$C$5+IF(parametros_manuales!$H$40="Todos",datos_base!$C$12,0))*parametros_manuales!$I$112)*parametros_manuales!$I$40*parametros_manuales!$J$40</f>
        <v>922.93</v>
      </c>
      <c r="J51" s="8">
        <f>(parametros_manuales!$D$40*(datos_base!$C$2+IF(parametros_manuales!$H$40="Todos",datos_base!$C$9,0))*parametros_manuales!$J$97+parametros_manuales!$E$40*(datos_base!$C$3+IF(parametros_manuales!$H$40="Todos",datos_base!$C$10,0))*parametros_manuales!$J$102+parametros_manuales!$F$40*(datos_base!$C$4+IF(parametros_manuales!$H$40="Todos",datos_base!$C$11,0))*parametros_manuales!$J$107+parametros_manuales!$G$40*(datos_base!$C$5+IF(parametros_manuales!$H$40="Todos",datos_base!$C$12,0))*parametros_manuales!$J$112)*parametros_manuales!$I$40*parametros_manuales!$J$40</f>
        <v>922.93</v>
      </c>
      <c r="K51" s="8">
        <f>(parametros_manuales!$D$40*(datos_base!$C$2+IF(parametros_manuales!$H$40="Todos",datos_base!$C$9,0))*parametros_manuales!$K$97+parametros_manuales!$E$40*(datos_base!$C$3+IF(parametros_manuales!$H$40="Todos",datos_base!$C$10,0))*parametros_manuales!$K$102+parametros_manuales!$F$40*(datos_base!$C$4+IF(parametros_manuales!$H$40="Todos",datos_base!$C$11,0))*parametros_manuales!$K$107+parametros_manuales!$G$40*(datos_base!$C$5+IF(parametros_manuales!$H$40="Todos",datos_base!$C$12,0))*parametros_manuales!$K$112)*parametros_manuales!$I$40*parametros_manuales!$J$40</f>
        <v>946.88</v>
      </c>
      <c r="L51" s="8">
        <f>(parametros_manuales!$D$40*(datos_base!$C$2+IF(parametros_manuales!$H$40="Todos",datos_base!$C$9,0))*parametros_manuales!$L$97+parametros_manuales!$E$40*(datos_base!$C$3+IF(parametros_manuales!$H$40="Todos",datos_base!$C$10,0))*parametros_manuales!$L$102+parametros_manuales!$F$40*(datos_base!$C$4+IF(parametros_manuales!$H$40="Todos",datos_base!$C$11,0))*parametros_manuales!$L$107+parametros_manuales!$G$40*(datos_base!$C$5+IF(parametros_manuales!$H$40="Todos",datos_base!$C$12,0))*parametros_manuales!$L$112)*parametros_manuales!$I$40*parametros_manuales!$J$40</f>
        <v>970.83</v>
      </c>
      <c r="M51" s="8">
        <f>(parametros_manuales!$D$40*(datos_base!$C$2+IF(parametros_manuales!$H$40="Todos",datos_base!$C$9,0))*parametros_manuales!$M$97+parametros_manuales!$E$40*(datos_base!$C$3+IF(parametros_manuales!$H$40="Todos",datos_base!$C$10,0))*parametros_manuales!$M$102+parametros_manuales!$F$40*(datos_base!$C$4+IF(parametros_manuales!$H$40="Todos",datos_base!$C$11,0))*parametros_manuales!$M$107+parametros_manuales!$G$40*(datos_base!$C$5+IF(parametros_manuales!$H$40="Todos",datos_base!$C$12,0))*parametros_manuales!$M$112)*parametros_manuales!$I$40*parametros_manuales!$J$40</f>
        <v>970.83</v>
      </c>
      <c r="N51" s="8">
        <f t="shared" si="4"/>
        <v>10787</v>
      </c>
      <c r="O51" s="8">
        <f t="shared" si="5"/>
        <v>970.83</v>
      </c>
      <c r="P51" s="27">
        <f>O51/(parametros_manuales!$B$7)</f>
        <v>6.4722</v>
      </c>
      <c r="Q51" s="4" t="str">
        <f t="shared" si="6"/>
        <v>Ene</v>
      </c>
      <c r="R51" s="16"/>
      <c r="S51" s="16"/>
    </row>
    <row r="52" ht="14.25" customHeight="1">
      <c r="A52" s="4" t="str">
        <f>parametros_manuales!$B$41</f>
        <v>Presurización</v>
      </c>
      <c r="B52" s="8">
        <f>(parametros_manuales!$D$41*(datos_base!$C$2+IF(parametros_manuales!$H$41="Todos",datos_base!$C$9,0))*parametros_manuales!$B$97+parametros_manuales!$E$41*(datos_base!$C$3+IF(parametros_manuales!$H$41="Todos",datos_base!$C$10,0))*parametros_manuales!$B$102+parametros_manuales!$F$41*(datos_base!$C$4+IF(parametros_manuales!$H$41="Todos",datos_base!$C$11,0))*parametros_manuales!$B$107+parametros_manuales!$G$41*(datos_base!$C$5+IF(parametros_manuales!$H$41="Todos",datos_base!$C$12,0))*parametros_manuales!$B$112)*parametros_manuales!$I$41*parametros_manuales!$J$41</f>
        <v>970.83</v>
      </c>
      <c r="C52" s="8">
        <f>(parametros_manuales!$D$41*(datos_base!$C$2+IF(parametros_manuales!$H$41="Todos",datos_base!$C$9,0))*parametros_manuales!$C$97+parametros_manuales!$E$41*(datos_base!$C$3+IF(parametros_manuales!$H$41="Todos",datos_base!$C$10,0))*parametros_manuales!$C$102+parametros_manuales!$F$41*(datos_base!$C$4+IF(parametros_manuales!$H$41="Todos",datos_base!$C$11,0))*parametros_manuales!$C$107+parametros_manuales!$G$41*(datos_base!$C$5+IF(parametros_manuales!$H$41="Todos",datos_base!$C$12,0))*parametros_manuales!$C$112)*parametros_manuales!$I$41*parametros_manuales!$J$41</f>
        <v>922.93</v>
      </c>
      <c r="D52" s="8">
        <f>(parametros_manuales!$D$41*(datos_base!$C$2+IF(parametros_manuales!$H$41="Todos",datos_base!$C$9,0))*parametros_manuales!$D$97+parametros_manuales!$E$41*(datos_base!$C$3+IF(parametros_manuales!$H$41="Todos",datos_base!$C$10,0))*parametros_manuales!$D$102+parametros_manuales!$F$41*(datos_base!$C$4+IF(parametros_manuales!$H$41="Todos",datos_base!$C$11,0))*parametros_manuales!$D$107+parametros_manuales!$G$41*(datos_base!$C$5+IF(parametros_manuales!$H$41="Todos",datos_base!$C$12,0))*parametros_manuales!$D$112)*parametros_manuales!$I$41*parametros_manuales!$J$41</f>
        <v>886.91</v>
      </c>
      <c r="E52" s="8">
        <f>(parametros_manuales!$D$41*(datos_base!$C$2+IF(parametros_manuales!$H$41="Todos",datos_base!$C$9,0))*parametros_manuales!$E$97+parametros_manuales!$E$41*(datos_base!$C$3+IF(parametros_manuales!$H$41="Todos",datos_base!$C$10,0))*parametros_manuales!$E$102+parametros_manuales!$F$41*(datos_base!$C$4+IF(parametros_manuales!$H$41="Todos",datos_base!$C$11,0))*parametros_manuales!$E$107+parametros_manuales!$G$41*(datos_base!$C$5+IF(parametros_manuales!$H$41="Todos",datos_base!$C$12,0))*parametros_manuales!$E$112)*parametros_manuales!$I$41*parametros_manuales!$J$41</f>
        <v>856.925</v>
      </c>
      <c r="F52" s="8">
        <f>(parametros_manuales!$D$41*(datos_base!$C$2+IF(parametros_manuales!$H$41="Todos",datos_base!$C$9,0))*parametros_manuales!$F$97+parametros_manuales!$E$41*(datos_base!$C$3+IF(parametros_manuales!$H$41="Todos",datos_base!$C$10,0))*parametros_manuales!$F$102+parametros_manuales!$F$41*(datos_base!$C$4+IF(parametros_manuales!$H$41="Todos",datos_base!$C$11,0))*parametros_manuales!$F$107+parametros_manuales!$G$41*(datos_base!$C$5+IF(parametros_manuales!$H$41="Todos",datos_base!$C$12,0))*parametros_manuales!$F$112)*parametros_manuales!$I$41*parametros_manuales!$J$41</f>
        <v>802.99</v>
      </c>
      <c r="G52" s="8">
        <f>(parametros_manuales!$D$41*(datos_base!$C$2+IF(parametros_manuales!$H$41="Todos",datos_base!$C$9,0))*parametros_manuales!$G$97+parametros_manuales!$E$41*(datos_base!$C$3+IF(parametros_manuales!$H$41="Todos",datos_base!$C$10,0))*parametros_manuales!$G$102+parametros_manuales!$F$41*(datos_base!$C$4+IF(parametros_manuales!$H$41="Todos",datos_base!$C$11,0))*parametros_manuales!$G$107+parametros_manuales!$G$41*(datos_base!$C$5+IF(parametros_manuales!$H$41="Todos",datos_base!$C$12,0))*parametros_manuales!$G$112)*parametros_manuales!$I$41*parametros_manuales!$J$41</f>
        <v>779.04</v>
      </c>
      <c r="H52" s="8">
        <f>(parametros_manuales!$D$41*(datos_base!$C$2+IF(parametros_manuales!$H$41="Todos",datos_base!$C$9,0))*parametros_manuales!$H$97+parametros_manuales!$E$41*(datos_base!$C$3+IF(parametros_manuales!$H$41="Todos",datos_base!$C$10,0))*parametros_manuales!$H$102+parametros_manuales!$F$41*(datos_base!$C$4+IF(parametros_manuales!$H$41="Todos",datos_base!$C$11,0))*parametros_manuales!$H$107+parametros_manuales!$G$41*(datos_base!$C$5+IF(parametros_manuales!$H$41="Todos",datos_base!$C$12,0))*parametros_manuales!$H$112)*parametros_manuales!$I$41*parametros_manuales!$J$41</f>
        <v>832.975</v>
      </c>
      <c r="I52" s="8">
        <f>(parametros_manuales!$D$41*(datos_base!$C$2+IF(parametros_manuales!$H$41="Todos",datos_base!$C$9,0))*parametros_manuales!$I$97+parametros_manuales!$E$41*(datos_base!$C$3+IF(parametros_manuales!$H$41="Todos",datos_base!$C$10,0))*parametros_manuales!$I$102+parametros_manuales!$F$41*(datos_base!$C$4+IF(parametros_manuales!$H$41="Todos",datos_base!$C$11,0))*parametros_manuales!$I$107+parametros_manuales!$G$41*(datos_base!$C$5+IF(parametros_manuales!$H$41="Todos",datos_base!$C$12,0))*parametros_manuales!$I$112)*parametros_manuales!$I$41*parametros_manuales!$J$41</f>
        <v>922.93</v>
      </c>
      <c r="J52" s="8">
        <f>(parametros_manuales!$D$41*(datos_base!$C$2+IF(parametros_manuales!$H$41="Todos",datos_base!$C$9,0))*parametros_manuales!$J$97+parametros_manuales!$E$41*(datos_base!$C$3+IF(parametros_manuales!$H$41="Todos",datos_base!$C$10,0))*parametros_manuales!$J$102+parametros_manuales!$F$41*(datos_base!$C$4+IF(parametros_manuales!$H$41="Todos",datos_base!$C$11,0))*parametros_manuales!$J$107+parametros_manuales!$G$41*(datos_base!$C$5+IF(parametros_manuales!$H$41="Todos",datos_base!$C$12,0))*parametros_manuales!$J$112)*parametros_manuales!$I$41*parametros_manuales!$J$41</f>
        <v>922.93</v>
      </c>
      <c r="K52" s="8">
        <f>(parametros_manuales!$D$41*(datos_base!$C$2+IF(parametros_manuales!$H$41="Todos",datos_base!$C$9,0))*parametros_manuales!$K$97+parametros_manuales!$E$41*(datos_base!$C$3+IF(parametros_manuales!$H$41="Todos",datos_base!$C$10,0))*parametros_manuales!$K$102+parametros_manuales!$F$41*(datos_base!$C$4+IF(parametros_manuales!$H$41="Todos",datos_base!$C$11,0))*parametros_manuales!$K$107+parametros_manuales!$G$41*(datos_base!$C$5+IF(parametros_manuales!$H$41="Todos",datos_base!$C$12,0))*parametros_manuales!$K$112)*parametros_manuales!$I$41*parametros_manuales!$J$41</f>
        <v>946.88</v>
      </c>
      <c r="L52" s="8">
        <f>(parametros_manuales!$D$41*(datos_base!$C$2+IF(parametros_manuales!$H$41="Todos",datos_base!$C$9,0))*parametros_manuales!$L$97+parametros_manuales!$E$41*(datos_base!$C$3+IF(parametros_manuales!$H$41="Todos",datos_base!$C$10,0))*parametros_manuales!$L$102+parametros_manuales!$F$41*(datos_base!$C$4+IF(parametros_manuales!$H$41="Todos",datos_base!$C$11,0))*parametros_manuales!$L$107+parametros_manuales!$G$41*(datos_base!$C$5+IF(parametros_manuales!$H$41="Todos",datos_base!$C$12,0))*parametros_manuales!$L$112)*parametros_manuales!$I$41*parametros_manuales!$J$41</f>
        <v>970.83</v>
      </c>
      <c r="M52" s="8">
        <f>(parametros_manuales!$D$41*(datos_base!$C$2+IF(parametros_manuales!$H$41="Todos",datos_base!$C$9,0))*parametros_manuales!$M$97+parametros_manuales!$E$41*(datos_base!$C$3+IF(parametros_manuales!$H$41="Todos",datos_base!$C$10,0))*parametros_manuales!$M$102+parametros_manuales!$F$41*(datos_base!$C$4+IF(parametros_manuales!$H$41="Todos",datos_base!$C$11,0))*parametros_manuales!$M$107+parametros_manuales!$G$41*(datos_base!$C$5+IF(parametros_manuales!$H$41="Todos",datos_base!$C$12,0))*parametros_manuales!$M$112)*parametros_manuales!$I$41*parametros_manuales!$J$41</f>
        <v>970.83</v>
      </c>
      <c r="N52" s="8">
        <f t="shared" si="4"/>
        <v>10787</v>
      </c>
      <c r="O52" s="8">
        <f t="shared" si="5"/>
        <v>970.83</v>
      </c>
      <c r="P52" s="27">
        <f>O52/(parametros_manuales!$B$7)</f>
        <v>6.4722</v>
      </c>
      <c r="Q52" s="4" t="str">
        <f t="shared" si="6"/>
        <v>Ene</v>
      </c>
      <c r="R52" s="16"/>
      <c r="S52" s="16"/>
    </row>
    <row r="53" ht="14.25" customHeight="1">
      <c r="A53" s="4" t="str">
        <f>parametros_manuales!$B$42</f>
        <v>Control de calidad — Ensayo de pérdidas</v>
      </c>
      <c r="B53" s="8">
        <f>(parametros_manuales!$D$42*(datos_base!$C$2+IF(parametros_manuales!$H$42="Todos",datos_base!$C$9,0))*parametros_manuales!$B$97+parametros_manuales!$E$42*(datos_base!$C$3+IF(parametros_manuales!$H$42="Todos",datos_base!$C$10,0))*parametros_manuales!$B$102+parametros_manuales!$F$42*(datos_base!$C$4+IF(parametros_manuales!$H$42="Todos",datos_base!$C$11,0))*parametros_manuales!$B$107+parametros_manuales!$G$42*(datos_base!$C$5+IF(parametros_manuales!$H$42="Todos",datos_base!$C$12,0))*parametros_manuales!$B$112)*parametros_manuales!$I$42*parametros_manuales!$J$42</f>
        <v>970.83</v>
      </c>
      <c r="C53" s="8">
        <f>(parametros_manuales!$D$42*(datos_base!$C$2+IF(parametros_manuales!$H$42="Todos",datos_base!$C$9,0))*parametros_manuales!$C$97+parametros_manuales!$E$42*(datos_base!$C$3+IF(parametros_manuales!$H$42="Todos",datos_base!$C$10,0))*parametros_manuales!$C$102+parametros_manuales!$F$42*(datos_base!$C$4+IF(parametros_manuales!$H$42="Todos",datos_base!$C$11,0))*parametros_manuales!$C$107+parametros_manuales!$G$42*(datos_base!$C$5+IF(parametros_manuales!$H$42="Todos",datos_base!$C$12,0))*parametros_manuales!$C$112)*parametros_manuales!$I$42*parametros_manuales!$J$42</f>
        <v>922.93</v>
      </c>
      <c r="D53" s="8">
        <f>(parametros_manuales!$D$42*(datos_base!$C$2+IF(parametros_manuales!$H$42="Todos",datos_base!$C$9,0))*parametros_manuales!$D$97+parametros_manuales!$E$42*(datos_base!$C$3+IF(parametros_manuales!$H$42="Todos",datos_base!$C$10,0))*parametros_manuales!$D$102+parametros_manuales!$F$42*(datos_base!$C$4+IF(parametros_manuales!$H$42="Todos",datos_base!$C$11,0))*parametros_manuales!$D$107+parametros_manuales!$G$42*(datos_base!$C$5+IF(parametros_manuales!$H$42="Todos",datos_base!$C$12,0))*parametros_manuales!$D$112)*parametros_manuales!$I$42*parametros_manuales!$J$42</f>
        <v>886.91</v>
      </c>
      <c r="E53" s="8">
        <f>(parametros_manuales!$D$42*(datos_base!$C$2+IF(parametros_manuales!$H$42="Todos",datos_base!$C$9,0))*parametros_manuales!$E$97+parametros_manuales!$E$42*(datos_base!$C$3+IF(parametros_manuales!$H$42="Todos",datos_base!$C$10,0))*parametros_manuales!$E$102+parametros_manuales!$F$42*(datos_base!$C$4+IF(parametros_manuales!$H$42="Todos",datos_base!$C$11,0))*parametros_manuales!$E$107+parametros_manuales!$G$42*(datos_base!$C$5+IF(parametros_manuales!$H$42="Todos",datos_base!$C$12,0))*parametros_manuales!$E$112)*parametros_manuales!$I$42*parametros_manuales!$J$42</f>
        <v>856.925</v>
      </c>
      <c r="F53" s="8">
        <f>(parametros_manuales!$D$42*(datos_base!$C$2+IF(parametros_manuales!$H$42="Todos",datos_base!$C$9,0))*parametros_manuales!$F$97+parametros_manuales!$E$42*(datos_base!$C$3+IF(parametros_manuales!$H$42="Todos",datos_base!$C$10,0))*parametros_manuales!$F$102+parametros_manuales!$F$42*(datos_base!$C$4+IF(parametros_manuales!$H$42="Todos",datos_base!$C$11,0))*parametros_manuales!$F$107+parametros_manuales!$G$42*(datos_base!$C$5+IF(parametros_manuales!$H$42="Todos",datos_base!$C$12,0))*parametros_manuales!$F$112)*parametros_manuales!$I$42*parametros_manuales!$J$42</f>
        <v>802.99</v>
      </c>
      <c r="G53" s="8">
        <f>(parametros_manuales!$D$42*(datos_base!$C$2+IF(parametros_manuales!$H$42="Todos",datos_base!$C$9,0))*parametros_manuales!$G$97+parametros_manuales!$E$42*(datos_base!$C$3+IF(parametros_manuales!$H$42="Todos",datos_base!$C$10,0))*parametros_manuales!$G$102+parametros_manuales!$F$42*(datos_base!$C$4+IF(parametros_manuales!$H$42="Todos",datos_base!$C$11,0))*parametros_manuales!$G$107+parametros_manuales!$G$42*(datos_base!$C$5+IF(parametros_manuales!$H$42="Todos",datos_base!$C$12,0))*parametros_manuales!$G$112)*parametros_manuales!$I$42*parametros_manuales!$J$42</f>
        <v>779.04</v>
      </c>
      <c r="H53" s="8">
        <f>(parametros_manuales!$D$42*(datos_base!$C$2+IF(parametros_manuales!$H$42="Todos",datos_base!$C$9,0))*parametros_manuales!$H$97+parametros_manuales!$E$42*(datos_base!$C$3+IF(parametros_manuales!$H$42="Todos",datos_base!$C$10,0))*parametros_manuales!$H$102+parametros_manuales!$F$42*(datos_base!$C$4+IF(parametros_manuales!$H$42="Todos",datos_base!$C$11,0))*parametros_manuales!$H$107+parametros_manuales!$G$42*(datos_base!$C$5+IF(parametros_manuales!$H$42="Todos",datos_base!$C$12,0))*parametros_manuales!$H$112)*parametros_manuales!$I$42*parametros_manuales!$J$42</f>
        <v>832.975</v>
      </c>
      <c r="I53" s="8">
        <f>(parametros_manuales!$D$42*(datos_base!$C$2+IF(parametros_manuales!$H$42="Todos",datos_base!$C$9,0))*parametros_manuales!$I$97+parametros_manuales!$E$42*(datos_base!$C$3+IF(parametros_manuales!$H$42="Todos",datos_base!$C$10,0))*parametros_manuales!$I$102+parametros_manuales!$F$42*(datos_base!$C$4+IF(parametros_manuales!$H$42="Todos",datos_base!$C$11,0))*parametros_manuales!$I$107+parametros_manuales!$G$42*(datos_base!$C$5+IF(parametros_manuales!$H$42="Todos",datos_base!$C$12,0))*parametros_manuales!$I$112)*parametros_manuales!$I$42*parametros_manuales!$J$42</f>
        <v>922.93</v>
      </c>
      <c r="J53" s="8">
        <f>(parametros_manuales!$D$42*(datos_base!$C$2+IF(parametros_manuales!$H$42="Todos",datos_base!$C$9,0))*parametros_manuales!$J$97+parametros_manuales!$E$42*(datos_base!$C$3+IF(parametros_manuales!$H$42="Todos",datos_base!$C$10,0))*parametros_manuales!$J$102+parametros_manuales!$F$42*(datos_base!$C$4+IF(parametros_manuales!$H$42="Todos",datos_base!$C$11,0))*parametros_manuales!$J$107+parametros_manuales!$G$42*(datos_base!$C$5+IF(parametros_manuales!$H$42="Todos",datos_base!$C$12,0))*parametros_manuales!$J$112)*parametros_manuales!$I$42*parametros_manuales!$J$42</f>
        <v>922.93</v>
      </c>
      <c r="K53" s="8">
        <f>(parametros_manuales!$D$42*(datos_base!$C$2+IF(parametros_manuales!$H$42="Todos",datos_base!$C$9,0))*parametros_manuales!$K$97+parametros_manuales!$E$42*(datos_base!$C$3+IF(parametros_manuales!$H$42="Todos",datos_base!$C$10,0))*parametros_manuales!$K$102+parametros_manuales!$F$42*(datos_base!$C$4+IF(parametros_manuales!$H$42="Todos",datos_base!$C$11,0))*parametros_manuales!$K$107+parametros_manuales!$G$42*(datos_base!$C$5+IF(parametros_manuales!$H$42="Todos",datos_base!$C$12,0))*parametros_manuales!$K$112)*parametros_manuales!$I$42*parametros_manuales!$J$42</f>
        <v>946.88</v>
      </c>
      <c r="L53" s="8">
        <f>(parametros_manuales!$D$42*(datos_base!$C$2+IF(parametros_manuales!$H$42="Todos",datos_base!$C$9,0))*parametros_manuales!$L$97+parametros_manuales!$E$42*(datos_base!$C$3+IF(parametros_manuales!$H$42="Todos",datos_base!$C$10,0))*parametros_manuales!$L$102+parametros_manuales!$F$42*(datos_base!$C$4+IF(parametros_manuales!$H$42="Todos",datos_base!$C$11,0))*parametros_manuales!$L$107+parametros_manuales!$G$42*(datos_base!$C$5+IF(parametros_manuales!$H$42="Todos",datos_base!$C$12,0))*parametros_manuales!$L$112)*parametros_manuales!$I$42*parametros_manuales!$J$42</f>
        <v>970.83</v>
      </c>
      <c r="M53" s="8">
        <f>(parametros_manuales!$D$42*(datos_base!$C$2+IF(parametros_manuales!$H$42="Todos",datos_base!$C$9,0))*parametros_manuales!$M$97+parametros_manuales!$E$42*(datos_base!$C$3+IF(parametros_manuales!$H$42="Todos",datos_base!$C$10,0))*parametros_manuales!$M$102+parametros_manuales!$F$42*(datos_base!$C$4+IF(parametros_manuales!$H$42="Todos",datos_base!$C$11,0))*parametros_manuales!$M$107+parametros_manuales!$G$42*(datos_base!$C$5+IF(parametros_manuales!$H$42="Todos",datos_base!$C$12,0))*parametros_manuales!$M$112)*parametros_manuales!$I$42*parametros_manuales!$J$42</f>
        <v>970.83</v>
      </c>
      <c r="N53" s="8">
        <f t="shared" si="4"/>
        <v>10787</v>
      </c>
      <c r="O53" s="8">
        <f t="shared" si="5"/>
        <v>970.83</v>
      </c>
      <c r="P53" s="27">
        <f>O53/(parametros_manuales!$B$7)</f>
        <v>6.4722</v>
      </c>
      <c r="Q53" s="4" t="str">
        <f t="shared" si="6"/>
        <v>Ene</v>
      </c>
      <c r="R53" s="16"/>
      <c r="S53" s="16"/>
    </row>
    <row r="54" ht="14.25" customHeight="1">
      <c r="A54" s="4" t="str">
        <f>parametros_manuales!$B$43</f>
        <v>Etiquetado</v>
      </c>
      <c r="B54" s="8">
        <f>(parametros_manuales!$D$43*(datos_base!$C$2+IF(parametros_manuales!$H$43="Todos",datos_base!$C$9,0))*parametros_manuales!$B$97+parametros_manuales!$E$43*(datos_base!$C$3+IF(parametros_manuales!$H$43="Todos",datos_base!$C$10,0))*parametros_manuales!$B$102+parametros_manuales!$F$43*(datos_base!$C$4+IF(parametros_manuales!$H$43="Todos",datos_base!$C$11,0))*parametros_manuales!$B$107+parametros_manuales!$G$43*(datos_base!$C$5+IF(parametros_manuales!$H$43="Todos",datos_base!$C$12,0))*parametros_manuales!$B$112)*parametros_manuales!$I$43*parametros_manuales!$J$43</f>
        <v>970.83</v>
      </c>
      <c r="C54" s="8">
        <f>(parametros_manuales!$D$43*(datos_base!$C$2+IF(parametros_manuales!$H$43="Todos",datos_base!$C$9,0))*parametros_manuales!$C$97+parametros_manuales!$E$43*(datos_base!$C$3+IF(parametros_manuales!$H$43="Todos",datos_base!$C$10,0))*parametros_manuales!$C$102+parametros_manuales!$F$43*(datos_base!$C$4+IF(parametros_manuales!$H$43="Todos",datos_base!$C$11,0))*parametros_manuales!$C$107+parametros_manuales!$G$43*(datos_base!$C$5+IF(parametros_manuales!$H$43="Todos",datos_base!$C$12,0))*parametros_manuales!$C$112)*parametros_manuales!$I$43*parametros_manuales!$J$43</f>
        <v>922.93</v>
      </c>
      <c r="D54" s="8">
        <f>(parametros_manuales!$D$43*(datos_base!$C$2+IF(parametros_manuales!$H$43="Todos",datos_base!$C$9,0))*parametros_manuales!$D$97+parametros_manuales!$E$43*(datos_base!$C$3+IF(parametros_manuales!$H$43="Todos",datos_base!$C$10,0))*parametros_manuales!$D$102+parametros_manuales!$F$43*(datos_base!$C$4+IF(parametros_manuales!$H$43="Todos",datos_base!$C$11,0))*parametros_manuales!$D$107+parametros_manuales!$G$43*(datos_base!$C$5+IF(parametros_manuales!$H$43="Todos",datos_base!$C$12,0))*parametros_manuales!$D$112)*parametros_manuales!$I$43*parametros_manuales!$J$43</f>
        <v>886.91</v>
      </c>
      <c r="E54" s="8">
        <f>(parametros_manuales!$D$43*(datos_base!$C$2+IF(parametros_manuales!$H$43="Todos",datos_base!$C$9,0))*parametros_manuales!$E$97+parametros_manuales!$E$43*(datos_base!$C$3+IF(parametros_manuales!$H$43="Todos",datos_base!$C$10,0))*parametros_manuales!$E$102+parametros_manuales!$F$43*(datos_base!$C$4+IF(parametros_manuales!$H$43="Todos",datos_base!$C$11,0))*parametros_manuales!$E$107+parametros_manuales!$G$43*(datos_base!$C$5+IF(parametros_manuales!$H$43="Todos",datos_base!$C$12,0))*parametros_manuales!$E$112)*parametros_manuales!$I$43*parametros_manuales!$J$43</f>
        <v>856.925</v>
      </c>
      <c r="F54" s="8">
        <f>(parametros_manuales!$D$43*(datos_base!$C$2+IF(parametros_manuales!$H$43="Todos",datos_base!$C$9,0))*parametros_manuales!$F$97+parametros_manuales!$E$43*(datos_base!$C$3+IF(parametros_manuales!$H$43="Todos",datos_base!$C$10,0))*parametros_manuales!$F$102+parametros_manuales!$F$43*(datos_base!$C$4+IF(parametros_manuales!$H$43="Todos",datos_base!$C$11,0))*parametros_manuales!$F$107+parametros_manuales!$G$43*(datos_base!$C$5+IF(parametros_manuales!$H$43="Todos",datos_base!$C$12,0))*parametros_manuales!$F$112)*parametros_manuales!$I$43*parametros_manuales!$J$43</f>
        <v>802.99</v>
      </c>
      <c r="G54" s="8">
        <f>(parametros_manuales!$D$43*(datos_base!$C$2+IF(parametros_manuales!$H$43="Todos",datos_base!$C$9,0))*parametros_manuales!$G$97+parametros_manuales!$E$43*(datos_base!$C$3+IF(parametros_manuales!$H$43="Todos",datos_base!$C$10,0))*parametros_manuales!$G$102+parametros_manuales!$F$43*(datos_base!$C$4+IF(parametros_manuales!$H$43="Todos",datos_base!$C$11,0))*parametros_manuales!$G$107+parametros_manuales!$G$43*(datos_base!$C$5+IF(parametros_manuales!$H$43="Todos",datos_base!$C$12,0))*parametros_manuales!$G$112)*parametros_manuales!$I$43*parametros_manuales!$J$43</f>
        <v>779.04</v>
      </c>
      <c r="H54" s="8">
        <f>(parametros_manuales!$D$43*(datos_base!$C$2+IF(parametros_manuales!$H$43="Todos",datos_base!$C$9,0))*parametros_manuales!$H$97+parametros_manuales!$E$43*(datos_base!$C$3+IF(parametros_manuales!$H$43="Todos",datos_base!$C$10,0))*parametros_manuales!$H$102+parametros_manuales!$F$43*(datos_base!$C$4+IF(parametros_manuales!$H$43="Todos",datos_base!$C$11,0))*parametros_manuales!$H$107+parametros_manuales!$G$43*(datos_base!$C$5+IF(parametros_manuales!$H$43="Todos",datos_base!$C$12,0))*parametros_manuales!$H$112)*parametros_manuales!$I$43*parametros_manuales!$J$43</f>
        <v>832.975</v>
      </c>
      <c r="I54" s="8">
        <f>(parametros_manuales!$D$43*(datos_base!$C$2+IF(parametros_manuales!$H$43="Todos",datos_base!$C$9,0))*parametros_manuales!$I$97+parametros_manuales!$E$43*(datos_base!$C$3+IF(parametros_manuales!$H$43="Todos",datos_base!$C$10,0))*parametros_manuales!$I$102+parametros_manuales!$F$43*(datos_base!$C$4+IF(parametros_manuales!$H$43="Todos",datos_base!$C$11,0))*parametros_manuales!$I$107+parametros_manuales!$G$43*(datos_base!$C$5+IF(parametros_manuales!$H$43="Todos",datos_base!$C$12,0))*parametros_manuales!$I$112)*parametros_manuales!$I$43*parametros_manuales!$J$43</f>
        <v>922.93</v>
      </c>
      <c r="J54" s="8">
        <f>(parametros_manuales!$D$43*(datos_base!$C$2+IF(parametros_manuales!$H$43="Todos",datos_base!$C$9,0))*parametros_manuales!$J$97+parametros_manuales!$E$43*(datos_base!$C$3+IF(parametros_manuales!$H$43="Todos",datos_base!$C$10,0))*parametros_manuales!$J$102+parametros_manuales!$F$43*(datos_base!$C$4+IF(parametros_manuales!$H$43="Todos",datos_base!$C$11,0))*parametros_manuales!$J$107+parametros_manuales!$G$43*(datos_base!$C$5+IF(parametros_manuales!$H$43="Todos",datos_base!$C$12,0))*parametros_manuales!$J$112)*parametros_manuales!$I$43*parametros_manuales!$J$43</f>
        <v>922.93</v>
      </c>
      <c r="K54" s="8">
        <f>(parametros_manuales!$D$43*(datos_base!$C$2+IF(parametros_manuales!$H$43="Todos",datos_base!$C$9,0))*parametros_manuales!$K$97+parametros_manuales!$E$43*(datos_base!$C$3+IF(parametros_manuales!$H$43="Todos",datos_base!$C$10,0))*parametros_manuales!$K$102+parametros_manuales!$F$43*(datos_base!$C$4+IF(parametros_manuales!$H$43="Todos",datos_base!$C$11,0))*parametros_manuales!$K$107+parametros_manuales!$G$43*(datos_base!$C$5+IF(parametros_manuales!$H$43="Todos",datos_base!$C$12,0))*parametros_manuales!$K$112)*parametros_manuales!$I$43*parametros_manuales!$J$43</f>
        <v>946.88</v>
      </c>
      <c r="L54" s="8">
        <f>(parametros_manuales!$D$43*(datos_base!$C$2+IF(parametros_manuales!$H$43="Todos",datos_base!$C$9,0))*parametros_manuales!$L$97+parametros_manuales!$E$43*(datos_base!$C$3+IF(parametros_manuales!$H$43="Todos",datos_base!$C$10,0))*parametros_manuales!$L$102+parametros_manuales!$F$43*(datos_base!$C$4+IF(parametros_manuales!$H$43="Todos",datos_base!$C$11,0))*parametros_manuales!$L$107+parametros_manuales!$G$43*(datos_base!$C$5+IF(parametros_manuales!$H$43="Todos",datos_base!$C$12,0))*parametros_manuales!$L$112)*parametros_manuales!$I$43*parametros_manuales!$J$43</f>
        <v>970.83</v>
      </c>
      <c r="M54" s="8">
        <f>(parametros_manuales!$D$43*(datos_base!$C$2+IF(parametros_manuales!$H$43="Todos",datos_base!$C$9,0))*parametros_manuales!$M$97+parametros_manuales!$E$43*(datos_base!$C$3+IF(parametros_manuales!$H$43="Todos",datos_base!$C$10,0))*parametros_manuales!$M$102+parametros_manuales!$F$43*(datos_base!$C$4+IF(parametros_manuales!$H$43="Todos",datos_base!$C$11,0))*parametros_manuales!$M$107+parametros_manuales!$G$43*(datos_base!$C$5+IF(parametros_manuales!$H$43="Todos",datos_base!$C$12,0))*parametros_manuales!$M$112)*parametros_manuales!$I$43*parametros_manuales!$J$43</f>
        <v>970.83</v>
      </c>
      <c r="N54" s="8">
        <f t="shared" si="4"/>
        <v>10787</v>
      </c>
      <c r="O54" s="8">
        <f t="shared" si="5"/>
        <v>970.83</v>
      </c>
      <c r="P54" s="27">
        <f>O54/(parametros_manuales!$B$7)</f>
        <v>6.4722</v>
      </c>
      <c r="Q54" s="4" t="str">
        <f t="shared" si="6"/>
        <v>Ene</v>
      </c>
      <c r="R54" s="16"/>
      <c r="S54" s="16"/>
    </row>
    <row r="55" ht="14.25" customHeight="1">
      <c r="A55" s="4" t="str">
        <f>parametros_manuales!$B$44</f>
        <v>Embalaje y paletizado</v>
      </c>
      <c r="B55" s="8">
        <f>(parametros_manuales!$D$44*(datos_base!$C$2+IF(parametros_manuales!$H$44="Todos",datos_base!$C$9,0))*parametros_manuales!$B$97+parametros_manuales!$E$44*(datos_base!$C$3+IF(parametros_manuales!$H$44="Todos",datos_base!$C$10,0))*parametros_manuales!$B$102+parametros_manuales!$F$44*(datos_base!$C$4+IF(parametros_manuales!$H$44="Todos",datos_base!$C$11,0))*parametros_manuales!$B$107+parametros_manuales!$G$44*(datos_base!$C$5+IF(parametros_manuales!$H$44="Todos",datos_base!$C$12,0))*parametros_manuales!$B$112)*parametros_manuales!$I$44*parametros_manuales!$J$44</f>
        <v>979.74</v>
      </c>
      <c r="C55" s="8">
        <f>(parametros_manuales!$D$44*(datos_base!$C$2+IF(parametros_manuales!$H$44="Todos",datos_base!$C$9,0))*parametros_manuales!$C$97+parametros_manuales!$E$44*(datos_base!$C$3+IF(parametros_manuales!$H$44="Todos",datos_base!$C$10,0))*parametros_manuales!$C$102+parametros_manuales!$F$44*(datos_base!$C$4+IF(parametros_manuales!$H$44="Todos",datos_base!$C$11,0))*parametros_manuales!$C$107+parametros_manuales!$G$44*(datos_base!$C$5+IF(parametros_manuales!$H$44="Todos",datos_base!$C$12,0))*parametros_manuales!$C$112)*parametros_manuales!$I$44*parametros_manuales!$J$44</f>
        <v>930.85</v>
      </c>
      <c r="D55" s="8">
        <f>(parametros_manuales!$D$44*(datos_base!$C$2+IF(parametros_manuales!$H$44="Todos",datos_base!$C$9,0))*parametros_manuales!$D$97+parametros_manuales!$E$44*(datos_base!$C$3+IF(parametros_manuales!$H$44="Todos",datos_base!$C$10,0))*parametros_manuales!$D$102+parametros_manuales!$F$44*(datos_base!$C$4+IF(parametros_manuales!$H$44="Todos",datos_base!$C$11,0))*parametros_manuales!$D$107+parametros_manuales!$G$44*(datos_base!$C$5+IF(parametros_manuales!$H$44="Todos",datos_base!$C$12,0))*parametros_manuales!$D$112)*parametros_manuales!$I$44*parametros_manuales!$J$44</f>
        <v>895.325</v>
      </c>
      <c r="E55" s="8">
        <f>(parametros_manuales!$D$44*(datos_base!$C$2+IF(parametros_manuales!$H$44="Todos",datos_base!$C$9,0))*parametros_manuales!$E$97+parametros_manuales!$E$44*(datos_base!$C$3+IF(parametros_manuales!$H$44="Todos",datos_base!$C$10,0))*parametros_manuales!$E$102+parametros_manuales!$F$44*(datos_base!$C$4+IF(parametros_manuales!$H$44="Todos",datos_base!$C$11,0))*parametros_manuales!$E$107+parametros_manuales!$G$44*(datos_base!$C$5+IF(parametros_manuales!$H$44="Todos",datos_base!$C$12,0))*parametros_manuales!$E$112)*parametros_manuales!$I$44*parametros_manuales!$J$44</f>
        <v>865.34</v>
      </c>
      <c r="F55" s="8">
        <f>(parametros_manuales!$D$44*(datos_base!$C$2+IF(parametros_manuales!$H$44="Todos",datos_base!$C$9,0))*parametros_manuales!$F$97+parametros_manuales!$E$44*(datos_base!$C$3+IF(parametros_manuales!$H$44="Todos",datos_base!$C$10,0))*parametros_manuales!$F$102+parametros_manuales!$F$44*(datos_base!$C$4+IF(parametros_manuales!$H$44="Todos",datos_base!$C$11,0))*parametros_manuales!$F$107+parametros_manuales!$G$44*(datos_base!$C$5+IF(parametros_manuales!$H$44="Todos",datos_base!$C$12,0))*parametros_manuales!$F$112)*parametros_manuales!$I$44*parametros_manuales!$J$44</f>
        <v>810.91</v>
      </c>
      <c r="G55" s="8">
        <f>(parametros_manuales!$D$44*(datos_base!$C$2+IF(parametros_manuales!$H$44="Todos",datos_base!$C$9,0))*parametros_manuales!$G$97+parametros_manuales!$E$44*(datos_base!$C$3+IF(parametros_manuales!$H$44="Todos",datos_base!$C$10,0))*parametros_manuales!$G$102+parametros_manuales!$F$44*(datos_base!$C$4+IF(parametros_manuales!$H$44="Todos",datos_base!$C$11,0))*parametros_manuales!$G$107+parametros_manuales!$G$44*(datos_base!$C$5+IF(parametros_manuales!$H$44="Todos",datos_base!$C$12,0))*parametros_manuales!$G$112)*parametros_manuales!$I$44*parametros_manuales!$J$44</f>
        <v>786.465</v>
      </c>
      <c r="H55" s="8">
        <f>(parametros_manuales!$D$44*(datos_base!$C$2+IF(parametros_manuales!$H$44="Todos",datos_base!$C$9,0))*parametros_manuales!$H$97+parametros_manuales!$E$44*(datos_base!$C$3+IF(parametros_manuales!$H$44="Todos",datos_base!$C$10,0))*parametros_manuales!$H$102+parametros_manuales!$F$44*(datos_base!$C$4+IF(parametros_manuales!$H$44="Todos",datos_base!$C$11,0))*parametros_manuales!$H$107+parametros_manuales!$G$44*(datos_base!$C$5+IF(parametros_manuales!$H$44="Todos",datos_base!$C$12,0))*parametros_manuales!$H$112)*parametros_manuales!$I$44*parametros_manuales!$J$44</f>
        <v>840.895</v>
      </c>
      <c r="I55" s="8">
        <f>(parametros_manuales!$D$44*(datos_base!$C$2+IF(parametros_manuales!$H$44="Todos",datos_base!$C$9,0))*parametros_manuales!$I$97+parametros_manuales!$E$44*(datos_base!$C$3+IF(parametros_manuales!$H$44="Todos",datos_base!$C$10,0))*parametros_manuales!$I$102+parametros_manuales!$F$44*(datos_base!$C$4+IF(parametros_manuales!$H$44="Todos",datos_base!$C$11,0))*parametros_manuales!$I$107+parametros_manuales!$G$44*(datos_base!$C$5+IF(parametros_manuales!$H$44="Todos",datos_base!$C$12,0))*parametros_manuales!$I$112)*parametros_manuales!$I$44*parametros_manuales!$J$44</f>
        <v>930.85</v>
      </c>
      <c r="J55" s="8">
        <f>(parametros_manuales!$D$44*(datos_base!$C$2+IF(parametros_manuales!$H$44="Todos",datos_base!$C$9,0))*parametros_manuales!$J$97+parametros_manuales!$E$44*(datos_base!$C$3+IF(parametros_manuales!$H$44="Todos",datos_base!$C$10,0))*parametros_manuales!$J$102+parametros_manuales!$F$44*(datos_base!$C$4+IF(parametros_manuales!$H$44="Todos",datos_base!$C$11,0))*parametros_manuales!$J$107+parametros_manuales!$G$44*(datos_base!$C$5+IF(parametros_manuales!$H$44="Todos",datos_base!$C$12,0))*parametros_manuales!$J$112)*parametros_manuales!$I$44*parametros_manuales!$J$44</f>
        <v>930.85</v>
      </c>
      <c r="K55" s="8">
        <f>(parametros_manuales!$D$44*(datos_base!$C$2+IF(parametros_manuales!$H$44="Todos",datos_base!$C$9,0))*parametros_manuales!$K$97+parametros_manuales!$E$44*(datos_base!$C$3+IF(parametros_manuales!$H$44="Todos",datos_base!$C$10,0))*parametros_manuales!$K$102+parametros_manuales!$F$44*(datos_base!$C$4+IF(parametros_manuales!$H$44="Todos",datos_base!$C$11,0))*parametros_manuales!$K$107+parametros_manuales!$G$44*(datos_base!$C$5+IF(parametros_manuales!$H$44="Todos",datos_base!$C$12,0))*parametros_manuales!$K$112)*parametros_manuales!$I$44*parametros_manuales!$J$44</f>
        <v>955.295</v>
      </c>
      <c r="L55" s="8">
        <f>(parametros_manuales!$D$44*(datos_base!$C$2+IF(parametros_manuales!$H$44="Todos",datos_base!$C$9,0))*parametros_manuales!$L$97+parametros_manuales!$E$44*(datos_base!$C$3+IF(parametros_manuales!$H$44="Todos",datos_base!$C$10,0))*parametros_manuales!$L$102+parametros_manuales!$F$44*(datos_base!$C$4+IF(parametros_manuales!$H$44="Todos",datos_base!$C$11,0))*parametros_manuales!$L$107+parametros_manuales!$G$44*(datos_base!$C$5+IF(parametros_manuales!$H$44="Todos",datos_base!$C$12,0))*parametros_manuales!$L$112)*parametros_manuales!$I$44*parametros_manuales!$J$44</f>
        <v>979.74</v>
      </c>
      <c r="M55" s="8">
        <f>(parametros_manuales!$D$44*(datos_base!$C$2+IF(parametros_manuales!$H$44="Todos",datos_base!$C$9,0))*parametros_manuales!$M$97+parametros_manuales!$E$44*(datos_base!$C$3+IF(parametros_manuales!$H$44="Todos",datos_base!$C$10,0))*parametros_manuales!$M$102+parametros_manuales!$F$44*(datos_base!$C$4+IF(parametros_manuales!$H$44="Todos",datos_base!$C$11,0))*parametros_manuales!$M$107+parametros_manuales!$G$44*(datos_base!$C$5+IF(parametros_manuales!$H$44="Todos",datos_base!$C$12,0))*parametros_manuales!$M$112)*parametros_manuales!$I$44*parametros_manuales!$J$44</f>
        <v>979.74</v>
      </c>
      <c r="N55" s="8">
        <f t="shared" si="4"/>
        <v>10886</v>
      </c>
      <c r="O55" s="8">
        <f t="shared" si="5"/>
        <v>979.74</v>
      </c>
      <c r="P55" s="27">
        <f>O55/(parametros_manuales!$B$7)</f>
        <v>6.5316</v>
      </c>
      <c r="Q55" s="4" t="str">
        <f t="shared" si="6"/>
        <v>Ene</v>
      </c>
      <c r="R55" s="16"/>
      <c r="S55" s="16"/>
    </row>
    <row r="56" ht="14.25" customHeight="1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</row>
    <row r="57" ht="14.25" customHeight="1">
      <c r="A57" s="1" t="s">
        <v>229</v>
      </c>
      <c r="B57" s="1" t="s">
        <v>5</v>
      </c>
      <c r="C57" s="1" t="s">
        <v>6</v>
      </c>
      <c r="D57" s="1" t="s">
        <v>7</v>
      </c>
      <c r="E57" s="1" t="s">
        <v>8</v>
      </c>
      <c r="F57" s="1" t="s">
        <v>9</v>
      </c>
      <c r="G57" s="1" t="s">
        <v>10</v>
      </c>
      <c r="H57" s="1" t="s">
        <v>12</v>
      </c>
      <c r="I57" s="1" t="s">
        <v>13</v>
      </c>
      <c r="J57" s="1" t="s">
        <v>15</v>
      </c>
      <c r="K57" s="1" t="s">
        <v>16</v>
      </c>
      <c r="L57" s="1" t="s">
        <v>17</v>
      </c>
      <c r="M57" s="1" t="s">
        <v>18</v>
      </c>
      <c r="N57" s="1" t="s">
        <v>19</v>
      </c>
      <c r="O57" s="1" t="s">
        <v>20</v>
      </c>
      <c r="P57" s="1" t="s">
        <v>21</v>
      </c>
      <c r="Q57" s="1" t="s">
        <v>22</v>
      </c>
      <c r="R57" s="16"/>
      <c r="S57" s="16"/>
    </row>
    <row r="58" ht="14.25" customHeight="1">
      <c r="A58" s="4" t="str">
        <f>parametros_manuales!$B$19</f>
        <v>Recepción de materia prima</v>
      </c>
      <c r="B58" s="8">
        <f>(parametros_manuales!$D$19*(datos_base!$D$2+IF(parametros_manuales!$H$19="Todos",datos_base!$D$9,0))*parametros_manuales!$B$97+parametros_manuales!$E$19*(datos_base!$D$3+IF(parametros_manuales!$H$19="Todos",datos_base!$D$10,0))*parametros_manuales!$B$102+parametros_manuales!$F$19*(datos_base!$D$4+IF(parametros_manuales!$H$19="Todos",datos_base!$D$11,0))*parametros_manuales!$B$107+parametros_manuales!$G$19*(datos_base!$D$5+IF(parametros_manuales!$H$19="Todos",datos_base!$D$12,0))*parametros_manuales!$B$112)*parametros_manuales!$I$19*parametros_manuales!$J$19</f>
        <v>2075.85</v>
      </c>
      <c r="C58" s="8">
        <f>(parametros_manuales!$D$19*(datos_base!$D$2+IF(parametros_manuales!$H$19="Todos",datos_base!$D$9,0))*parametros_manuales!$C$97+parametros_manuales!$E$19*(datos_base!$D$3+IF(parametros_manuales!$H$19="Todos",datos_base!$D$10,0))*parametros_manuales!$C$102+parametros_manuales!$F$19*(datos_base!$D$4+IF(parametros_manuales!$H$19="Todos",datos_base!$D$11,0))*parametros_manuales!$C$107+parametros_manuales!$G$19*(datos_base!$D$5+IF(parametros_manuales!$H$19="Todos",datos_base!$D$12,0))*parametros_manuales!$C$112)*parametros_manuales!$I$19*parametros_manuales!$J$19</f>
        <v>1990.34</v>
      </c>
      <c r="D58" s="8">
        <f>(parametros_manuales!$D$19*(datos_base!$D$2+IF(parametros_manuales!$H$19="Todos",datos_base!$D$9,0))*parametros_manuales!$D$97+parametros_manuales!$E$19*(datos_base!$D$3+IF(parametros_manuales!$H$19="Todos",datos_base!$D$10,0))*parametros_manuales!$D$102+parametros_manuales!$F$19*(datos_base!$D$4+IF(parametros_manuales!$H$19="Todos",datos_base!$D$11,0))*parametros_manuales!$D$107+parametros_manuales!$G$19*(datos_base!$D$5+IF(parametros_manuales!$H$19="Todos",datos_base!$D$12,0))*parametros_manuales!$D$112)*parametros_manuales!$I$19*parametros_manuales!$J$19</f>
        <v>1887.955</v>
      </c>
      <c r="E58" s="8">
        <f>(parametros_manuales!$D$19*(datos_base!$D$2+IF(parametros_manuales!$H$19="Todos",datos_base!$D$9,0))*parametros_manuales!$E$97+parametros_manuales!$E$19*(datos_base!$D$3+IF(parametros_manuales!$H$19="Todos",datos_base!$D$10,0))*parametros_manuales!$E$102+parametros_manuales!$F$19*(datos_base!$D$4+IF(parametros_manuales!$H$19="Todos",datos_base!$D$11,0))*parametros_manuales!$E$107+parametros_manuales!$G$19*(datos_base!$D$5+IF(parametros_manuales!$H$19="Todos",datos_base!$D$12,0))*parametros_manuales!$E$112)*parametros_manuales!$I$19*parametros_manuales!$J$19</f>
        <v>1815.385</v>
      </c>
      <c r="F58" s="8">
        <f>(parametros_manuales!$D$19*(datos_base!$D$2+IF(parametros_manuales!$H$19="Todos",datos_base!$D$9,0))*parametros_manuales!$F$97+parametros_manuales!$E$19*(datos_base!$D$3+IF(parametros_manuales!$H$19="Todos",datos_base!$D$10,0))*parametros_manuales!$F$102+parametros_manuales!$F$19*(datos_base!$D$4+IF(parametros_manuales!$H$19="Todos",datos_base!$D$11,0))*parametros_manuales!$F$107+parametros_manuales!$G$19*(datos_base!$D$5+IF(parametros_manuales!$H$19="Todos",datos_base!$D$12,0))*parametros_manuales!$F$112)*parametros_manuales!$I$19*parametros_manuales!$J$19</f>
        <v>1700.06</v>
      </c>
      <c r="G58" s="8">
        <f>(parametros_manuales!$D$19*(datos_base!$D$2+IF(parametros_manuales!$H$19="Todos",datos_base!$D$9,0))*parametros_manuales!$G$97+parametros_manuales!$E$19*(datos_base!$D$3+IF(parametros_manuales!$H$19="Todos",datos_base!$D$10,0))*parametros_manuales!$G$102+parametros_manuales!$F$19*(datos_base!$D$4+IF(parametros_manuales!$H$19="Todos",datos_base!$D$11,0))*parametros_manuales!$G$107+parametros_manuales!$G$19*(datos_base!$D$5+IF(parametros_manuales!$H$19="Todos",datos_base!$D$12,0))*parametros_manuales!$G$112)*parametros_manuales!$I$19*parametros_manuales!$J$19</f>
        <v>1657.305</v>
      </c>
      <c r="H58" s="8">
        <f>(parametros_manuales!$D$19*(datos_base!$D$2+IF(parametros_manuales!$H$19="Todos",datos_base!$D$9,0))*parametros_manuales!$H$97+parametros_manuales!$E$19*(datos_base!$D$3+IF(parametros_manuales!$H$19="Todos",datos_base!$D$10,0))*parametros_manuales!$H$102+parametros_manuales!$F$19*(datos_base!$D$4+IF(parametros_manuales!$H$19="Todos",datos_base!$D$11,0))*parametros_manuales!$H$107+parametros_manuales!$G$19*(datos_base!$D$5+IF(parametros_manuales!$H$19="Todos",datos_base!$D$12,0))*parametros_manuales!$H$112)*parametros_manuales!$I$19*parametros_manuales!$J$19</f>
        <v>1772.63</v>
      </c>
      <c r="I58" s="8">
        <f>(parametros_manuales!$D$19*(datos_base!$D$2+IF(parametros_manuales!$H$19="Todos",datos_base!$D$9,0))*parametros_manuales!$I$97+parametros_manuales!$E$19*(datos_base!$D$3+IF(parametros_manuales!$H$19="Todos",datos_base!$D$10,0))*parametros_manuales!$I$102+parametros_manuales!$F$19*(datos_base!$D$4+IF(parametros_manuales!$H$19="Todos",datos_base!$D$11,0))*parametros_manuales!$I$107+parametros_manuales!$G$19*(datos_base!$D$5+IF(parametros_manuales!$H$19="Todos",datos_base!$D$12,0))*parametros_manuales!$I$112)*parametros_manuales!$I$19*parametros_manuales!$J$19</f>
        <v>1990.34</v>
      </c>
      <c r="J58" s="8">
        <f>(parametros_manuales!$D$19*(datos_base!$D$2+IF(parametros_manuales!$H$19="Todos",datos_base!$D$9,0))*parametros_manuales!$J$97+parametros_manuales!$E$19*(datos_base!$D$3+IF(parametros_manuales!$H$19="Todos",datos_base!$D$10,0))*parametros_manuales!$J$102+parametros_manuales!$F$19*(datos_base!$D$4+IF(parametros_manuales!$H$19="Todos",datos_base!$D$11,0))*parametros_manuales!$J$107+parametros_manuales!$G$19*(datos_base!$D$5+IF(parametros_manuales!$H$19="Todos",datos_base!$D$12,0))*parametros_manuales!$J$112)*parametros_manuales!$I$19*parametros_manuales!$J$19</f>
        <v>1990.34</v>
      </c>
      <c r="K58" s="8">
        <f>(parametros_manuales!$D$19*(datos_base!$D$2+IF(parametros_manuales!$H$19="Todos",datos_base!$D$9,0))*parametros_manuales!$K$97+parametros_manuales!$E$19*(datos_base!$D$3+IF(parametros_manuales!$H$19="Todos",datos_base!$D$10,0))*parametros_manuales!$K$102+parametros_manuales!$F$19*(datos_base!$D$4+IF(parametros_manuales!$H$19="Todos",datos_base!$D$11,0))*parametros_manuales!$K$107+parametros_manuales!$G$19*(datos_base!$D$5+IF(parametros_manuales!$H$19="Todos",datos_base!$D$12,0))*parametros_manuales!$K$112)*parametros_manuales!$I$19*parametros_manuales!$J$19</f>
        <v>2033.095</v>
      </c>
      <c r="L58" s="8">
        <f>(parametros_manuales!$D$19*(datos_base!$D$2+IF(parametros_manuales!$H$19="Todos",datos_base!$D$9,0))*parametros_manuales!$L$97+parametros_manuales!$E$19*(datos_base!$D$3+IF(parametros_manuales!$H$19="Todos",datos_base!$D$10,0))*parametros_manuales!$L$102+parametros_manuales!$F$19*(datos_base!$D$4+IF(parametros_manuales!$H$19="Todos",datos_base!$D$11,0))*parametros_manuales!$L$107+parametros_manuales!$G$19*(datos_base!$D$5+IF(parametros_manuales!$H$19="Todos",datos_base!$D$12,0))*parametros_manuales!$L$112)*parametros_manuales!$I$19*parametros_manuales!$J$19</f>
        <v>2075.85</v>
      </c>
      <c r="M58" s="8">
        <f>(parametros_manuales!$D$19*(datos_base!$D$2+IF(parametros_manuales!$H$19="Todos",datos_base!$D$9,0))*parametros_manuales!$M$97+parametros_manuales!$E$19*(datos_base!$D$3+IF(parametros_manuales!$H$19="Todos",datos_base!$D$10,0))*parametros_manuales!$M$102+parametros_manuales!$F$19*(datos_base!$D$4+IF(parametros_manuales!$H$19="Todos",datos_base!$D$11,0))*parametros_manuales!$M$107+parametros_manuales!$G$19*(datos_base!$D$5+IF(parametros_manuales!$H$19="Todos",datos_base!$D$12,0))*parametros_manuales!$M$112)*parametros_manuales!$I$19*parametros_manuales!$J$19</f>
        <v>2075.85</v>
      </c>
      <c r="N58" s="8">
        <f t="shared" ref="N58:N83" si="7">SUM(B58:M58)</f>
        <v>23065</v>
      </c>
      <c r="O58" s="8">
        <f t="shared" ref="O58:O83" si="8">MAX(B58:M58)</f>
        <v>2075.85</v>
      </c>
      <c r="P58" s="27">
        <f>O58/(parametros_manuales!$B$7)</f>
        <v>13.839</v>
      </c>
      <c r="Q58" s="4" t="str">
        <f t="shared" ref="Q58:Q83" si="9">IF(O58=0,"-",INDEX($B$57:$M$57,MATCH(O58,B58:M58,0)))</f>
        <v>Ene</v>
      </c>
      <c r="R58" s="16"/>
      <c r="S58" s="16"/>
    </row>
    <row r="59" ht="14.25" customHeight="1">
      <c r="A59" s="4" t="str">
        <f>parametros_manuales!$B$20</f>
        <v>Corte de chapa — 1.er corte en franjas (guillotina 1)</v>
      </c>
      <c r="B59" s="8">
        <f>(parametros_manuales!$D$20*(datos_base!$D$2+IF(parametros_manuales!$H$20="Todos",datos_base!$D$9,0))*parametros_manuales!$B$97+parametros_manuales!$E$20*(datos_base!$D$3+IF(parametros_manuales!$H$20="Todos",datos_base!$D$10,0))*parametros_manuales!$B$102+parametros_manuales!$F$20*(datos_base!$D$4+IF(parametros_manuales!$H$20="Todos",datos_base!$D$11,0))*parametros_manuales!$B$107+parametros_manuales!$G$20*(datos_base!$D$5+IF(parametros_manuales!$H$20="Todos",datos_base!$D$12,0))*parametros_manuales!$B$112)*parametros_manuales!$I$20*parametros_manuales!$J$20</f>
        <v>2075.85</v>
      </c>
      <c r="C59" s="8">
        <f>(parametros_manuales!$D$20*(datos_base!$D$2+IF(parametros_manuales!$H$20="Todos",datos_base!$D$9,0))*parametros_manuales!$C$97+parametros_manuales!$E$20*(datos_base!$D$3+IF(parametros_manuales!$H$20="Todos",datos_base!$D$10,0))*parametros_manuales!$C$102+parametros_manuales!$F$20*(datos_base!$D$4+IF(parametros_manuales!$H$20="Todos",datos_base!$D$11,0))*parametros_manuales!$C$107+parametros_manuales!$G$20*(datos_base!$D$5+IF(parametros_manuales!$H$20="Todos",datos_base!$D$12,0))*parametros_manuales!$C$112)*parametros_manuales!$I$20*parametros_manuales!$J$20</f>
        <v>1990.34</v>
      </c>
      <c r="D59" s="8">
        <f>(parametros_manuales!$D$20*(datos_base!$D$2+IF(parametros_manuales!$H$20="Todos",datos_base!$D$9,0))*parametros_manuales!$D$97+parametros_manuales!$E$20*(datos_base!$D$3+IF(parametros_manuales!$H$20="Todos",datos_base!$D$10,0))*parametros_manuales!$D$102+parametros_manuales!$F$20*(datos_base!$D$4+IF(parametros_manuales!$H$20="Todos",datos_base!$D$11,0))*parametros_manuales!$D$107+parametros_manuales!$G$20*(datos_base!$D$5+IF(parametros_manuales!$H$20="Todos",datos_base!$D$12,0))*parametros_manuales!$D$112)*parametros_manuales!$I$20*parametros_manuales!$J$20</f>
        <v>1887.955</v>
      </c>
      <c r="E59" s="8">
        <f>(parametros_manuales!$D$20*(datos_base!$D$2+IF(parametros_manuales!$H$20="Todos",datos_base!$D$9,0))*parametros_manuales!$E$97+parametros_manuales!$E$20*(datos_base!$D$3+IF(parametros_manuales!$H$20="Todos",datos_base!$D$10,0))*parametros_manuales!$E$102+parametros_manuales!$F$20*(datos_base!$D$4+IF(parametros_manuales!$H$20="Todos",datos_base!$D$11,0))*parametros_manuales!$E$107+parametros_manuales!$G$20*(datos_base!$D$5+IF(parametros_manuales!$H$20="Todos",datos_base!$D$12,0))*parametros_manuales!$E$112)*parametros_manuales!$I$20*parametros_manuales!$J$20</f>
        <v>1815.385</v>
      </c>
      <c r="F59" s="8">
        <f>(parametros_manuales!$D$20*(datos_base!$D$2+IF(parametros_manuales!$H$20="Todos",datos_base!$D$9,0))*parametros_manuales!$F$97+parametros_manuales!$E$20*(datos_base!$D$3+IF(parametros_manuales!$H$20="Todos",datos_base!$D$10,0))*parametros_manuales!$F$102+parametros_manuales!$F$20*(datos_base!$D$4+IF(parametros_manuales!$H$20="Todos",datos_base!$D$11,0))*parametros_manuales!$F$107+parametros_manuales!$G$20*(datos_base!$D$5+IF(parametros_manuales!$H$20="Todos",datos_base!$D$12,0))*parametros_manuales!$F$112)*parametros_manuales!$I$20*parametros_manuales!$J$20</f>
        <v>1700.06</v>
      </c>
      <c r="G59" s="8">
        <f>(parametros_manuales!$D$20*(datos_base!$D$2+IF(parametros_manuales!$H$20="Todos",datos_base!$D$9,0))*parametros_manuales!$G$97+parametros_manuales!$E$20*(datos_base!$D$3+IF(parametros_manuales!$H$20="Todos",datos_base!$D$10,0))*parametros_manuales!$G$102+parametros_manuales!$F$20*(datos_base!$D$4+IF(parametros_manuales!$H$20="Todos",datos_base!$D$11,0))*parametros_manuales!$G$107+parametros_manuales!$G$20*(datos_base!$D$5+IF(parametros_manuales!$H$20="Todos",datos_base!$D$12,0))*parametros_manuales!$G$112)*parametros_manuales!$I$20*parametros_manuales!$J$20</f>
        <v>1657.305</v>
      </c>
      <c r="H59" s="8">
        <f>(parametros_manuales!$D$20*(datos_base!$D$2+IF(parametros_manuales!$H$20="Todos",datos_base!$D$9,0))*parametros_manuales!$H$97+parametros_manuales!$E$20*(datos_base!$D$3+IF(parametros_manuales!$H$20="Todos",datos_base!$D$10,0))*parametros_manuales!$H$102+parametros_manuales!$F$20*(datos_base!$D$4+IF(parametros_manuales!$H$20="Todos",datos_base!$D$11,0))*parametros_manuales!$H$107+parametros_manuales!$G$20*(datos_base!$D$5+IF(parametros_manuales!$H$20="Todos",datos_base!$D$12,0))*parametros_manuales!$H$112)*parametros_manuales!$I$20*parametros_manuales!$J$20</f>
        <v>1772.63</v>
      </c>
      <c r="I59" s="8">
        <f>(parametros_manuales!$D$20*(datos_base!$D$2+IF(parametros_manuales!$H$20="Todos",datos_base!$D$9,0))*parametros_manuales!$I$97+parametros_manuales!$E$20*(datos_base!$D$3+IF(parametros_manuales!$H$20="Todos",datos_base!$D$10,0))*parametros_manuales!$I$102+parametros_manuales!$F$20*(datos_base!$D$4+IF(parametros_manuales!$H$20="Todos",datos_base!$D$11,0))*parametros_manuales!$I$107+parametros_manuales!$G$20*(datos_base!$D$5+IF(parametros_manuales!$H$20="Todos",datos_base!$D$12,0))*parametros_manuales!$I$112)*parametros_manuales!$I$20*parametros_manuales!$J$20</f>
        <v>1990.34</v>
      </c>
      <c r="J59" s="8">
        <f>(parametros_manuales!$D$20*(datos_base!$D$2+IF(parametros_manuales!$H$20="Todos",datos_base!$D$9,0))*parametros_manuales!$J$97+parametros_manuales!$E$20*(datos_base!$D$3+IF(parametros_manuales!$H$20="Todos",datos_base!$D$10,0))*parametros_manuales!$J$102+parametros_manuales!$F$20*(datos_base!$D$4+IF(parametros_manuales!$H$20="Todos",datos_base!$D$11,0))*parametros_manuales!$J$107+parametros_manuales!$G$20*(datos_base!$D$5+IF(parametros_manuales!$H$20="Todos",datos_base!$D$12,0))*parametros_manuales!$J$112)*parametros_manuales!$I$20*parametros_manuales!$J$20</f>
        <v>1990.34</v>
      </c>
      <c r="K59" s="8">
        <f>(parametros_manuales!$D$20*(datos_base!$D$2+IF(parametros_manuales!$H$20="Todos",datos_base!$D$9,0))*parametros_manuales!$K$97+parametros_manuales!$E$20*(datos_base!$D$3+IF(parametros_manuales!$H$20="Todos",datos_base!$D$10,0))*parametros_manuales!$K$102+parametros_manuales!$F$20*(datos_base!$D$4+IF(parametros_manuales!$H$20="Todos",datos_base!$D$11,0))*parametros_manuales!$K$107+parametros_manuales!$G$20*(datos_base!$D$5+IF(parametros_manuales!$H$20="Todos",datos_base!$D$12,0))*parametros_manuales!$K$112)*parametros_manuales!$I$20*parametros_manuales!$J$20</f>
        <v>2033.095</v>
      </c>
      <c r="L59" s="8">
        <f>(parametros_manuales!$D$20*(datos_base!$D$2+IF(parametros_manuales!$H$20="Todos",datos_base!$D$9,0))*parametros_manuales!$L$97+parametros_manuales!$E$20*(datos_base!$D$3+IF(parametros_manuales!$H$20="Todos",datos_base!$D$10,0))*parametros_manuales!$L$102+parametros_manuales!$F$20*(datos_base!$D$4+IF(parametros_manuales!$H$20="Todos",datos_base!$D$11,0))*parametros_manuales!$L$107+parametros_manuales!$G$20*(datos_base!$D$5+IF(parametros_manuales!$H$20="Todos",datos_base!$D$12,0))*parametros_manuales!$L$112)*parametros_manuales!$I$20*parametros_manuales!$J$20</f>
        <v>2075.85</v>
      </c>
      <c r="M59" s="8">
        <f>(parametros_manuales!$D$20*(datos_base!$D$2+IF(parametros_manuales!$H$20="Todos",datos_base!$D$9,0))*parametros_manuales!$M$97+parametros_manuales!$E$20*(datos_base!$D$3+IF(parametros_manuales!$H$20="Todos",datos_base!$D$10,0))*parametros_manuales!$M$102+parametros_manuales!$F$20*(datos_base!$D$4+IF(parametros_manuales!$H$20="Todos",datos_base!$D$11,0))*parametros_manuales!$M$107+parametros_manuales!$G$20*(datos_base!$D$5+IF(parametros_manuales!$H$20="Todos",datos_base!$D$12,0))*parametros_manuales!$M$112)*parametros_manuales!$I$20*parametros_manuales!$J$20</f>
        <v>2075.85</v>
      </c>
      <c r="N59" s="8">
        <f t="shared" si="7"/>
        <v>23065</v>
      </c>
      <c r="O59" s="8">
        <f t="shared" si="8"/>
        <v>2075.85</v>
      </c>
      <c r="P59" s="27">
        <f>O59/(parametros_manuales!$B$7)</f>
        <v>13.839</v>
      </c>
      <c r="Q59" s="4" t="str">
        <f t="shared" si="9"/>
        <v>Ene</v>
      </c>
      <c r="R59" s="16"/>
      <c r="S59" s="16"/>
    </row>
    <row r="60" ht="14.25" customHeight="1">
      <c r="A60" s="4" t="str">
        <f>parametros_manuales!$B$21</f>
        <v>Corte de chapa — 2.º corte en piezas (guillotina 2)</v>
      </c>
      <c r="B60" s="8">
        <f>(parametros_manuales!$D$21*(datos_base!$D$2+IF(parametros_manuales!$H$21="Todos",datos_base!$D$9,0))*parametros_manuales!$B$97+parametros_manuales!$E$21*(datos_base!$D$3+IF(parametros_manuales!$H$21="Todos",datos_base!$D$10,0))*parametros_manuales!$B$102+parametros_manuales!$F$21*(datos_base!$D$4+IF(parametros_manuales!$H$21="Todos",datos_base!$D$11,0))*parametros_manuales!$B$107+parametros_manuales!$G$21*(datos_base!$D$5+IF(parametros_manuales!$H$21="Todos",datos_base!$D$12,0))*parametros_manuales!$B$112)*parametros_manuales!$I$21*parametros_manuales!$J$21</f>
        <v>2075.85</v>
      </c>
      <c r="C60" s="8">
        <f>(parametros_manuales!$D$21*(datos_base!$D$2+IF(parametros_manuales!$H$21="Todos",datos_base!$D$9,0))*parametros_manuales!$C$97+parametros_manuales!$E$21*(datos_base!$D$3+IF(parametros_manuales!$H$21="Todos",datos_base!$D$10,0))*parametros_manuales!$C$102+parametros_manuales!$F$21*(datos_base!$D$4+IF(parametros_manuales!$H$21="Todos",datos_base!$D$11,0))*parametros_manuales!$C$107+parametros_manuales!$G$21*(datos_base!$D$5+IF(parametros_manuales!$H$21="Todos",datos_base!$D$12,0))*parametros_manuales!$C$112)*parametros_manuales!$I$21*parametros_manuales!$J$21</f>
        <v>1990.34</v>
      </c>
      <c r="D60" s="8">
        <f>(parametros_manuales!$D$21*(datos_base!$D$2+IF(parametros_manuales!$H$21="Todos",datos_base!$D$9,0))*parametros_manuales!$D$97+parametros_manuales!$E$21*(datos_base!$D$3+IF(parametros_manuales!$H$21="Todos",datos_base!$D$10,0))*parametros_manuales!$D$102+parametros_manuales!$F$21*(datos_base!$D$4+IF(parametros_manuales!$H$21="Todos",datos_base!$D$11,0))*parametros_manuales!$D$107+parametros_manuales!$G$21*(datos_base!$D$5+IF(parametros_manuales!$H$21="Todos",datos_base!$D$12,0))*parametros_manuales!$D$112)*parametros_manuales!$I$21*parametros_manuales!$J$21</f>
        <v>1887.955</v>
      </c>
      <c r="E60" s="8">
        <f>(parametros_manuales!$D$21*(datos_base!$D$2+IF(parametros_manuales!$H$21="Todos",datos_base!$D$9,0))*parametros_manuales!$E$97+parametros_manuales!$E$21*(datos_base!$D$3+IF(parametros_manuales!$H$21="Todos",datos_base!$D$10,0))*parametros_manuales!$E$102+parametros_manuales!$F$21*(datos_base!$D$4+IF(parametros_manuales!$H$21="Todos",datos_base!$D$11,0))*parametros_manuales!$E$107+parametros_manuales!$G$21*(datos_base!$D$5+IF(parametros_manuales!$H$21="Todos",datos_base!$D$12,0))*parametros_manuales!$E$112)*parametros_manuales!$I$21*parametros_manuales!$J$21</f>
        <v>1815.385</v>
      </c>
      <c r="F60" s="8">
        <f>(parametros_manuales!$D$21*(datos_base!$D$2+IF(parametros_manuales!$H$21="Todos",datos_base!$D$9,0))*parametros_manuales!$F$97+parametros_manuales!$E$21*(datos_base!$D$3+IF(parametros_manuales!$H$21="Todos",datos_base!$D$10,0))*parametros_manuales!$F$102+parametros_manuales!$F$21*(datos_base!$D$4+IF(parametros_manuales!$H$21="Todos",datos_base!$D$11,0))*parametros_manuales!$F$107+parametros_manuales!$G$21*(datos_base!$D$5+IF(parametros_manuales!$H$21="Todos",datos_base!$D$12,0))*parametros_manuales!$F$112)*parametros_manuales!$I$21*parametros_manuales!$J$21</f>
        <v>1700.06</v>
      </c>
      <c r="G60" s="8">
        <f>(parametros_manuales!$D$21*(datos_base!$D$2+IF(parametros_manuales!$H$21="Todos",datos_base!$D$9,0))*parametros_manuales!$G$97+parametros_manuales!$E$21*(datos_base!$D$3+IF(parametros_manuales!$H$21="Todos",datos_base!$D$10,0))*parametros_manuales!$G$102+parametros_manuales!$F$21*(datos_base!$D$4+IF(parametros_manuales!$H$21="Todos",datos_base!$D$11,0))*parametros_manuales!$G$107+parametros_manuales!$G$21*(datos_base!$D$5+IF(parametros_manuales!$H$21="Todos",datos_base!$D$12,0))*parametros_manuales!$G$112)*parametros_manuales!$I$21*parametros_manuales!$J$21</f>
        <v>1657.305</v>
      </c>
      <c r="H60" s="8">
        <f>(parametros_manuales!$D$21*(datos_base!$D$2+IF(parametros_manuales!$H$21="Todos",datos_base!$D$9,0))*parametros_manuales!$H$97+parametros_manuales!$E$21*(datos_base!$D$3+IF(parametros_manuales!$H$21="Todos",datos_base!$D$10,0))*parametros_manuales!$H$102+parametros_manuales!$F$21*(datos_base!$D$4+IF(parametros_manuales!$H$21="Todos",datos_base!$D$11,0))*parametros_manuales!$H$107+parametros_manuales!$G$21*(datos_base!$D$5+IF(parametros_manuales!$H$21="Todos",datos_base!$D$12,0))*parametros_manuales!$H$112)*parametros_manuales!$I$21*parametros_manuales!$J$21</f>
        <v>1772.63</v>
      </c>
      <c r="I60" s="8">
        <f>(parametros_manuales!$D$21*(datos_base!$D$2+IF(parametros_manuales!$H$21="Todos",datos_base!$D$9,0))*parametros_manuales!$I$97+parametros_manuales!$E$21*(datos_base!$D$3+IF(parametros_manuales!$H$21="Todos",datos_base!$D$10,0))*parametros_manuales!$I$102+parametros_manuales!$F$21*(datos_base!$D$4+IF(parametros_manuales!$H$21="Todos",datos_base!$D$11,0))*parametros_manuales!$I$107+parametros_manuales!$G$21*(datos_base!$D$5+IF(parametros_manuales!$H$21="Todos",datos_base!$D$12,0))*parametros_manuales!$I$112)*parametros_manuales!$I$21*parametros_manuales!$J$21</f>
        <v>1990.34</v>
      </c>
      <c r="J60" s="8">
        <f>(parametros_manuales!$D$21*(datos_base!$D$2+IF(parametros_manuales!$H$21="Todos",datos_base!$D$9,0))*parametros_manuales!$J$97+parametros_manuales!$E$21*(datos_base!$D$3+IF(parametros_manuales!$H$21="Todos",datos_base!$D$10,0))*parametros_manuales!$J$102+parametros_manuales!$F$21*(datos_base!$D$4+IF(parametros_manuales!$H$21="Todos",datos_base!$D$11,0))*parametros_manuales!$J$107+parametros_manuales!$G$21*(datos_base!$D$5+IF(parametros_manuales!$H$21="Todos",datos_base!$D$12,0))*parametros_manuales!$J$112)*parametros_manuales!$I$21*parametros_manuales!$J$21</f>
        <v>1990.34</v>
      </c>
      <c r="K60" s="8">
        <f>(parametros_manuales!$D$21*(datos_base!$D$2+IF(parametros_manuales!$H$21="Todos",datos_base!$D$9,0))*parametros_manuales!$K$97+parametros_manuales!$E$21*(datos_base!$D$3+IF(parametros_manuales!$H$21="Todos",datos_base!$D$10,0))*parametros_manuales!$K$102+parametros_manuales!$F$21*(datos_base!$D$4+IF(parametros_manuales!$H$21="Todos",datos_base!$D$11,0))*parametros_manuales!$K$107+parametros_manuales!$G$21*(datos_base!$D$5+IF(parametros_manuales!$H$21="Todos",datos_base!$D$12,0))*parametros_manuales!$K$112)*parametros_manuales!$I$21*parametros_manuales!$J$21</f>
        <v>2033.095</v>
      </c>
      <c r="L60" s="8">
        <f>(parametros_manuales!$D$21*(datos_base!$D$2+IF(parametros_manuales!$H$21="Todos",datos_base!$D$9,0))*parametros_manuales!$L$97+parametros_manuales!$E$21*(datos_base!$D$3+IF(parametros_manuales!$H$21="Todos",datos_base!$D$10,0))*parametros_manuales!$L$102+parametros_manuales!$F$21*(datos_base!$D$4+IF(parametros_manuales!$H$21="Todos",datos_base!$D$11,0))*parametros_manuales!$L$107+parametros_manuales!$G$21*(datos_base!$D$5+IF(parametros_manuales!$H$21="Todos",datos_base!$D$12,0))*parametros_manuales!$L$112)*parametros_manuales!$I$21*parametros_manuales!$J$21</f>
        <v>2075.85</v>
      </c>
      <c r="M60" s="8">
        <f>(parametros_manuales!$D$21*(datos_base!$D$2+IF(parametros_manuales!$H$21="Todos",datos_base!$D$9,0))*parametros_manuales!$M$97+parametros_manuales!$E$21*(datos_base!$D$3+IF(parametros_manuales!$H$21="Todos",datos_base!$D$10,0))*parametros_manuales!$M$102+parametros_manuales!$F$21*(datos_base!$D$4+IF(parametros_manuales!$H$21="Todos",datos_base!$D$11,0))*parametros_manuales!$M$107+parametros_manuales!$G$21*(datos_base!$D$5+IF(parametros_manuales!$H$21="Todos",datos_base!$D$12,0))*parametros_manuales!$M$112)*parametros_manuales!$I$21*parametros_manuales!$J$21</f>
        <v>2075.85</v>
      </c>
      <c r="N60" s="8">
        <f t="shared" si="7"/>
        <v>23065</v>
      </c>
      <c r="O60" s="8">
        <f t="shared" si="8"/>
        <v>2075.85</v>
      </c>
      <c r="P60" s="27">
        <f>O60/(parametros_manuales!$B$7)</f>
        <v>13.839</v>
      </c>
      <c r="Q60" s="4" t="str">
        <f t="shared" si="9"/>
        <v>Ene</v>
      </c>
      <c r="R60" s="16"/>
      <c r="S60" s="16"/>
    </row>
    <row r="61" ht="14.25" customHeight="1">
      <c r="A61" s="4" t="str">
        <f>parametros_manuales!$B$22</f>
        <v>Corte de disco y embutido (cúpula y fondo)</v>
      </c>
      <c r="B61" s="8">
        <f>(parametros_manuales!$D$22*(datos_base!$D$2+IF(parametros_manuales!$H$22="Todos",datos_base!$D$9,0))*parametros_manuales!$B$97+parametros_manuales!$E$22*(datos_base!$D$3+IF(parametros_manuales!$H$22="Todos",datos_base!$D$10,0))*parametros_manuales!$B$102+parametros_manuales!$F$22*(datos_base!$D$4+IF(parametros_manuales!$H$22="Todos",datos_base!$D$11,0))*parametros_manuales!$B$107+parametros_manuales!$G$22*(datos_base!$D$5+IF(parametros_manuales!$H$22="Todos",datos_base!$D$12,0))*parametros_manuales!$B$112)*parametros_manuales!$I$22*parametros_manuales!$J$22</f>
        <v>4151.7</v>
      </c>
      <c r="C61" s="8">
        <f>(parametros_manuales!$D$22*(datos_base!$D$2+IF(parametros_manuales!$H$22="Todos",datos_base!$D$9,0))*parametros_manuales!$C$97+parametros_manuales!$E$22*(datos_base!$D$3+IF(parametros_manuales!$H$22="Todos",datos_base!$D$10,0))*parametros_manuales!$C$102+parametros_manuales!$F$22*(datos_base!$D$4+IF(parametros_manuales!$H$22="Todos",datos_base!$D$11,0))*parametros_manuales!$C$107+parametros_manuales!$G$22*(datos_base!$D$5+IF(parametros_manuales!$H$22="Todos",datos_base!$D$12,0))*parametros_manuales!$C$112)*parametros_manuales!$I$22*parametros_manuales!$J$22</f>
        <v>3980.68</v>
      </c>
      <c r="D61" s="8">
        <f>(parametros_manuales!$D$22*(datos_base!$D$2+IF(parametros_manuales!$H$22="Todos",datos_base!$D$9,0))*parametros_manuales!$D$97+parametros_manuales!$E$22*(datos_base!$D$3+IF(parametros_manuales!$H$22="Todos",datos_base!$D$10,0))*parametros_manuales!$D$102+parametros_manuales!$F$22*(datos_base!$D$4+IF(parametros_manuales!$H$22="Todos",datos_base!$D$11,0))*parametros_manuales!$D$107+parametros_manuales!$G$22*(datos_base!$D$5+IF(parametros_manuales!$H$22="Todos",datos_base!$D$12,0))*parametros_manuales!$D$112)*parametros_manuales!$I$22*parametros_manuales!$J$22</f>
        <v>3775.91</v>
      </c>
      <c r="E61" s="8">
        <f>(parametros_manuales!$D$22*(datos_base!$D$2+IF(parametros_manuales!$H$22="Todos",datos_base!$D$9,0))*parametros_manuales!$E$97+parametros_manuales!$E$22*(datos_base!$D$3+IF(parametros_manuales!$H$22="Todos",datos_base!$D$10,0))*parametros_manuales!$E$102+parametros_manuales!$F$22*(datos_base!$D$4+IF(parametros_manuales!$H$22="Todos",datos_base!$D$11,0))*parametros_manuales!$E$107+parametros_manuales!$G$22*(datos_base!$D$5+IF(parametros_manuales!$H$22="Todos",datos_base!$D$12,0))*parametros_manuales!$E$112)*parametros_manuales!$I$22*parametros_manuales!$J$22</f>
        <v>3630.77</v>
      </c>
      <c r="F61" s="8">
        <f>(parametros_manuales!$D$22*(datos_base!$D$2+IF(parametros_manuales!$H$22="Todos",datos_base!$D$9,0))*parametros_manuales!$F$97+parametros_manuales!$E$22*(datos_base!$D$3+IF(parametros_manuales!$H$22="Todos",datos_base!$D$10,0))*parametros_manuales!$F$102+parametros_manuales!$F$22*(datos_base!$D$4+IF(parametros_manuales!$H$22="Todos",datos_base!$D$11,0))*parametros_manuales!$F$107+parametros_manuales!$G$22*(datos_base!$D$5+IF(parametros_manuales!$H$22="Todos",datos_base!$D$12,0))*parametros_manuales!$F$112)*parametros_manuales!$I$22*parametros_manuales!$J$22</f>
        <v>3400.12</v>
      </c>
      <c r="G61" s="8">
        <f>(parametros_manuales!$D$22*(datos_base!$D$2+IF(parametros_manuales!$H$22="Todos",datos_base!$D$9,0))*parametros_manuales!$G$97+parametros_manuales!$E$22*(datos_base!$D$3+IF(parametros_manuales!$H$22="Todos",datos_base!$D$10,0))*parametros_manuales!$G$102+parametros_manuales!$F$22*(datos_base!$D$4+IF(parametros_manuales!$H$22="Todos",datos_base!$D$11,0))*parametros_manuales!$G$107+parametros_manuales!$G$22*(datos_base!$D$5+IF(parametros_manuales!$H$22="Todos",datos_base!$D$12,0))*parametros_manuales!$G$112)*parametros_manuales!$I$22*parametros_manuales!$J$22</f>
        <v>3314.61</v>
      </c>
      <c r="H61" s="8">
        <f>(parametros_manuales!$D$22*(datos_base!$D$2+IF(parametros_manuales!$H$22="Todos",datos_base!$D$9,0))*parametros_manuales!$H$97+parametros_manuales!$E$22*(datos_base!$D$3+IF(parametros_manuales!$H$22="Todos",datos_base!$D$10,0))*parametros_manuales!$H$102+parametros_manuales!$F$22*(datos_base!$D$4+IF(parametros_manuales!$H$22="Todos",datos_base!$D$11,0))*parametros_manuales!$H$107+parametros_manuales!$G$22*(datos_base!$D$5+IF(parametros_manuales!$H$22="Todos",datos_base!$D$12,0))*parametros_manuales!$H$112)*parametros_manuales!$I$22*parametros_manuales!$J$22</f>
        <v>3545.26</v>
      </c>
      <c r="I61" s="8">
        <f>(parametros_manuales!$D$22*(datos_base!$D$2+IF(parametros_manuales!$H$22="Todos",datos_base!$D$9,0))*parametros_manuales!$I$97+parametros_manuales!$E$22*(datos_base!$D$3+IF(parametros_manuales!$H$22="Todos",datos_base!$D$10,0))*parametros_manuales!$I$102+parametros_manuales!$F$22*(datos_base!$D$4+IF(parametros_manuales!$H$22="Todos",datos_base!$D$11,0))*parametros_manuales!$I$107+parametros_manuales!$G$22*(datos_base!$D$5+IF(parametros_manuales!$H$22="Todos",datos_base!$D$12,0))*parametros_manuales!$I$112)*parametros_manuales!$I$22*parametros_manuales!$J$22</f>
        <v>3980.68</v>
      </c>
      <c r="J61" s="8">
        <f>(parametros_manuales!$D$22*(datos_base!$D$2+IF(parametros_manuales!$H$22="Todos",datos_base!$D$9,0))*parametros_manuales!$J$97+parametros_manuales!$E$22*(datos_base!$D$3+IF(parametros_manuales!$H$22="Todos",datos_base!$D$10,0))*parametros_manuales!$J$102+parametros_manuales!$F$22*(datos_base!$D$4+IF(parametros_manuales!$H$22="Todos",datos_base!$D$11,0))*parametros_manuales!$J$107+parametros_manuales!$G$22*(datos_base!$D$5+IF(parametros_manuales!$H$22="Todos",datos_base!$D$12,0))*parametros_manuales!$J$112)*parametros_manuales!$I$22*parametros_manuales!$J$22</f>
        <v>3980.68</v>
      </c>
      <c r="K61" s="8">
        <f>(parametros_manuales!$D$22*(datos_base!$D$2+IF(parametros_manuales!$H$22="Todos",datos_base!$D$9,0))*parametros_manuales!$K$97+parametros_manuales!$E$22*(datos_base!$D$3+IF(parametros_manuales!$H$22="Todos",datos_base!$D$10,0))*parametros_manuales!$K$102+parametros_manuales!$F$22*(datos_base!$D$4+IF(parametros_manuales!$H$22="Todos",datos_base!$D$11,0))*parametros_manuales!$K$107+parametros_manuales!$G$22*(datos_base!$D$5+IF(parametros_manuales!$H$22="Todos",datos_base!$D$12,0))*parametros_manuales!$K$112)*parametros_manuales!$I$22*parametros_manuales!$J$22</f>
        <v>4066.19</v>
      </c>
      <c r="L61" s="8">
        <f>(parametros_manuales!$D$22*(datos_base!$D$2+IF(parametros_manuales!$H$22="Todos",datos_base!$D$9,0))*parametros_manuales!$L$97+parametros_manuales!$E$22*(datos_base!$D$3+IF(parametros_manuales!$H$22="Todos",datos_base!$D$10,0))*parametros_manuales!$L$102+parametros_manuales!$F$22*(datos_base!$D$4+IF(parametros_manuales!$H$22="Todos",datos_base!$D$11,0))*parametros_manuales!$L$107+parametros_manuales!$G$22*(datos_base!$D$5+IF(parametros_manuales!$H$22="Todos",datos_base!$D$12,0))*parametros_manuales!$L$112)*parametros_manuales!$I$22*parametros_manuales!$J$22</f>
        <v>4151.7</v>
      </c>
      <c r="M61" s="8">
        <f>(parametros_manuales!$D$22*(datos_base!$D$2+IF(parametros_manuales!$H$22="Todos",datos_base!$D$9,0))*parametros_manuales!$M$97+parametros_manuales!$E$22*(datos_base!$D$3+IF(parametros_manuales!$H$22="Todos",datos_base!$D$10,0))*parametros_manuales!$M$102+parametros_manuales!$F$22*(datos_base!$D$4+IF(parametros_manuales!$H$22="Todos",datos_base!$D$11,0))*parametros_manuales!$M$107+parametros_manuales!$G$22*(datos_base!$D$5+IF(parametros_manuales!$H$22="Todos",datos_base!$D$12,0))*parametros_manuales!$M$112)*parametros_manuales!$I$22*parametros_manuales!$J$22</f>
        <v>4151.7</v>
      </c>
      <c r="N61" s="8">
        <f t="shared" si="7"/>
        <v>46130</v>
      </c>
      <c r="O61" s="8">
        <f t="shared" si="8"/>
        <v>4151.7</v>
      </c>
      <c r="P61" s="27">
        <f>O61/(parametros_manuales!$B$7)</f>
        <v>27.678</v>
      </c>
      <c r="Q61" s="4" t="str">
        <f t="shared" si="9"/>
        <v>Ene</v>
      </c>
      <c r="R61" s="16"/>
      <c r="S61" s="16"/>
    </row>
    <row r="62" ht="14.25" customHeight="1">
      <c r="A62" s="4" t="str">
        <f>parametros_manuales!$B$23</f>
        <v>Preparación de cuello</v>
      </c>
      <c r="B62" s="8">
        <f>(parametros_manuales!$D$23*(datos_base!$D$2+IF(parametros_manuales!$H$23="Todos",datos_base!$D$9,0))*parametros_manuales!$B$97+parametros_manuales!$E$23*(datos_base!$D$3+IF(parametros_manuales!$H$23="Todos",datos_base!$D$10,0))*parametros_manuales!$B$102+parametros_manuales!$F$23*(datos_base!$D$4+IF(parametros_manuales!$H$23="Todos",datos_base!$D$11,0))*parametros_manuales!$B$107+parametros_manuales!$G$23*(datos_base!$D$5+IF(parametros_manuales!$H$23="Todos",datos_base!$D$12,0))*parametros_manuales!$B$112)*parametros_manuales!$I$23*parametros_manuales!$J$23</f>
        <v>2075.85</v>
      </c>
      <c r="C62" s="8">
        <f>(parametros_manuales!$D$23*(datos_base!$D$2+IF(parametros_manuales!$H$23="Todos",datos_base!$D$9,0))*parametros_manuales!$C$97+parametros_manuales!$E$23*(datos_base!$D$3+IF(parametros_manuales!$H$23="Todos",datos_base!$D$10,0))*parametros_manuales!$C$102+parametros_manuales!$F$23*(datos_base!$D$4+IF(parametros_manuales!$H$23="Todos",datos_base!$D$11,0))*parametros_manuales!$C$107+parametros_manuales!$G$23*(datos_base!$D$5+IF(parametros_manuales!$H$23="Todos",datos_base!$D$12,0))*parametros_manuales!$C$112)*parametros_manuales!$I$23*parametros_manuales!$J$23</f>
        <v>1990.34</v>
      </c>
      <c r="D62" s="8">
        <f>(parametros_manuales!$D$23*(datos_base!$D$2+IF(parametros_manuales!$H$23="Todos",datos_base!$D$9,0))*parametros_manuales!$D$97+parametros_manuales!$E$23*(datos_base!$D$3+IF(parametros_manuales!$H$23="Todos",datos_base!$D$10,0))*parametros_manuales!$D$102+parametros_manuales!$F$23*(datos_base!$D$4+IF(parametros_manuales!$H$23="Todos",datos_base!$D$11,0))*parametros_manuales!$D$107+parametros_manuales!$G$23*(datos_base!$D$5+IF(parametros_manuales!$H$23="Todos",datos_base!$D$12,0))*parametros_manuales!$D$112)*parametros_manuales!$I$23*parametros_manuales!$J$23</f>
        <v>1887.955</v>
      </c>
      <c r="E62" s="8">
        <f>(parametros_manuales!$D$23*(datos_base!$D$2+IF(parametros_manuales!$H$23="Todos",datos_base!$D$9,0))*parametros_manuales!$E$97+parametros_manuales!$E$23*(datos_base!$D$3+IF(parametros_manuales!$H$23="Todos",datos_base!$D$10,0))*parametros_manuales!$E$102+parametros_manuales!$F$23*(datos_base!$D$4+IF(parametros_manuales!$H$23="Todos",datos_base!$D$11,0))*parametros_manuales!$E$107+parametros_manuales!$G$23*(datos_base!$D$5+IF(parametros_manuales!$H$23="Todos",datos_base!$D$12,0))*parametros_manuales!$E$112)*parametros_manuales!$I$23*parametros_manuales!$J$23</f>
        <v>1815.385</v>
      </c>
      <c r="F62" s="8">
        <f>(parametros_manuales!$D$23*(datos_base!$D$2+IF(parametros_manuales!$H$23="Todos",datos_base!$D$9,0))*parametros_manuales!$F$97+parametros_manuales!$E$23*(datos_base!$D$3+IF(parametros_manuales!$H$23="Todos",datos_base!$D$10,0))*parametros_manuales!$F$102+parametros_manuales!$F$23*(datos_base!$D$4+IF(parametros_manuales!$H$23="Todos",datos_base!$D$11,0))*parametros_manuales!$F$107+parametros_manuales!$G$23*(datos_base!$D$5+IF(parametros_manuales!$H$23="Todos",datos_base!$D$12,0))*parametros_manuales!$F$112)*parametros_manuales!$I$23*parametros_manuales!$J$23</f>
        <v>1700.06</v>
      </c>
      <c r="G62" s="8">
        <f>(parametros_manuales!$D$23*(datos_base!$D$2+IF(parametros_manuales!$H$23="Todos",datos_base!$D$9,0))*parametros_manuales!$G$97+parametros_manuales!$E$23*(datos_base!$D$3+IF(parametros_manuales!$H$23="Todos",datos_base!$D$10,0))*parametros_manuales!$G$102+parametros_manuales!$F$23*(datos_base!$D$4+IF(parametros_manuales!$H$23="Todos",datos_base!$D$11,0))*parametros_manuales!$G$107+parametros_manuales!$G$23*(datos_base!$D$5+IF(parametros_manuales!$H$23="Todos",datos_base!$D$12,0))*parametros_manuales!$G$112)*parametros_manuales!$I$23*parametros_manuales!$J$23</f>
        <v>1657.305</v>
      </c>
      <c r="H62" s="8">
        <f>(parametros_manuales!$D$23*(datos_base!$D$2+IF(parametros_manuales!$H$23="Todos",datos_base!$D$9,0))*parametros_manuales!$H$97+parametros_manuales!$E$23*(datos_base!$D$3+IF(parametros_manuales!$H$23="Todos",datos_base!$D$10,0))*parametros_manuales!$H$102+parametros_manuales!$F$23*(datos_base!$D$4+IF(parametros_manuales!$H$23="Todos",datos_base!$D$11,0))*parametros_manuales!$H$107+parametros_manuales!$G$23*(datos_base!$D$5+IF(parametros_manuales!$H$23="Todos",datos_base!$D$12,0))*parametros_manuales!$H$112)*parametros_manuales!$I$23*parametros_manuales!$J$23</f>
        <v>1772.63</v>
      </c>
      <c r="I62" s="8">
        <f>(parametros_manuales!$D$23*(datos_base!$D$2+IF(parametros_manuales!$H$23="Todos",datos_base!$D$9,0))*parametros_manuales!$I$97+parametros_manuales!$E$23*(datos_base!$D$3+IF(parametros_manuales!$H$23="Todos",datos_base!$D$10,0))*parametros_manuales!$I$102+parametros_manuales!$F$23*(datos_base!$D$4+IF(parametros_manuales!$H$23="Todos",datos_base!$D$11,0))*parametros_manuales!$I$107+parametros_manuales!$G$23*(datos_base!$D$5+IF(parametros_manuales!$H$23="Todos",datos_base!$D$12,0))*parametros_manuales!$I$112)*parametros_manuales!$I$23*parametros_manuales!$J$23</f>
        <v>1990.34</v>
      </c>
      <c r="J62" s="8">
        <f>(parametros_manuales!$D$23*(datos_base!$D$2+IF(parametros_manuales!$H$23="Todos",datos_base!$D$9,0))*parametros_manuales!$J$97+parametros_manuales!$E$23*(datos_base!$D$3+IF(parametros_manuales!$H$23="Todos",datos_base!$D$10,0))*parametros_manuales!$J$102+parametros_manuales!$F$23*(datos_base!$D$4+IF(parametros_manuales!$H$23="Todos",datos_base!$D$11,0))*parametros_manuales!$J$107+parametros_manuales!$G$23*(datos_base!$D$5+IF(parametros_manuales!$H$23="Todos",datos_base!$D$12,0))*parametros_manuales!$J$112)*parametros_manuales!$I$23*parametros_manuales!$J$23</f>
        <v>1990.34</v>
      </c>
      <c r="K62" s="8">
        <f>(parametros_manuales!$D$23*(datos_base!$D$2+IF(parametros_manuales!$H$23="Todos",datos_base!$D$9,0))*parametros_manuales!$K$97+parametros_manuales!$E$23*(datos_base!$D$3+IF(parametros_manuales!$H$23="Todos",datos_base!$D$10,0))*parametros_manuales!$K$102+parametros_manuales!$F$23*(datos_base!$D$4+IF(parametros_manuales!$H$23="Todos",datos_base!$D$11,0))*parametros_manuales!$K$107+parametros_manuales!$G$23*(datos_base!$D$5+IF(parametros_manuales!$H$23="Todos",datos_base!$D$12,0))*parametros_manuales!$K$112)*parametros_manuales!$I$23*parametros_manuales!$J$23</f>
        <v>2033.095</v>
      </c>
      <c r="L62" s="8">
        <f>(parametros_manuales!$D$23*(datos_base!$D$2+IF(parametros_manuales!$H$23="Todos",datos_base!$D$9,0))*parametros_manuales!$L$97+parametros_manuales!$E$23*(datos_base!$D$3+IF(parametros_manuales!$H$23="Todos",datos_base!$D$10,0))*parametros_manuales!$L$102+parametros_manuales!$F$23*(datos_base!$D$4+IF(parametros_manuales!$H$23="Todos",datos_base!$D$11,0))*parametros_manuales!$L$107+parametros_manuales!$G$23*(datos_base!$D$5+IF(parametros_manuales!$H$23="Todos",datos_base!$D$12,0))*parametros_manuales!$L$112)*parametros_manuales!$I$23*parametros_manuales!$J$23</f>
        <v>2075.85</v>
      </c>
      <c r="M62" s="8">
        <f>(parametros_manuales!$D$23*(datos_base!$D$2+IF(parametros_manuales!$H$23="Todos",datos_base!$D$9,0))*parametros_manuales!$M$97+parametros_manuales!$E$23*(datos_base!$D$3+IF(parametros_manuales!$H$23="Todos",datos_base!$D$10,0))*parametros_manuales!$M$102+parametros_manuales!$F$23*(datos_base!$D$4+IF(parametros_manuales!$H$23="Todos",datos_base!$D$11,0))*parametros_manuales!$M$107+parametros_manuales!$G$23*(datos_base!$D$5+IF(parametros_manuales!$H$23="Todos",datos_base!$D$12,0))*parametros_manuales!$M$112)*parametros_manuales!$I$23*parametros_manuales!$J$23</f>
        <v>2075.85</v>
      </c>
      <c r="N62" s="8">
        <f t="shared" si="7"/>
        <v>23065</v>
      </c>
      <c r="O62" s="8">
        <f t="shared" si="8"/>
        <v>2075.85</v>
      </c>
      <c r="P62" s="27">
        <f>O62/(parametros_manuales!$B$7)</f>
        <v>13.839</v>
      </c>
      <c r="Q62" s="4" t="str">
        <f t="shared" si="9"/>
        <v>Ene</v>
      </c>
      <c r="R62" s="16"/>
      <c r="S62" s="16"/>
    </row>
    <row r="63" ht="14.25" customHeight="1">
      <c r="A63" s="4" t="str">
        <f>parametros_manuales!$B$24</f>
        <v>Numerado de cúpula</v>
      </c>
      <c r="B63" s="8">
        <f>(parametros_manuales!$D$24*(datos_base!$D$2+IF(parametros_manuales!$H$24="Todos",datos_base!$D$9,0))*parametros_manuales!$B$97+parametros_manuales!$E$24*(datos_base!$D$3+IF(parametros_manuales!$H$24="Todos",datos_base!$D$10,0))*parametros_manuales!$B$102+parametros_manuales!$F$24*(datos_base!$D$4+IF(parametros_manuales!$H$24="Todos",datos_base!$D$11,0))*parametros_manuales!$B$107+parametros_manuales!$G$24*(datos_base!$D$5+IF(parametros_manuales!$H$24="Todos",datos_base!$D$12,0))*parametros_manuales!$B$112)*parametros_manuales!$I$24*parametros_manuales!$J$24</f>
        <v>2075.85</v>
      </c>
      <c r="C63" s="8">
        <f>(parametros_manuales!$D$24*(datos_base!$D$2+IF(parametros_manuales!$H$24="Todos",datos_base!$D$9,0))*parametros_manuales!$C$97+parametros_manuales!$E$24*(datos_base!$D$3+IF(parametros_manuales!$H$24="Todos",datos_base!$D$10,0))*parametros_manuales!$C$102+parametros_manuales!$F$24*(datos_base!$D$4+IF(parametros_manuales!$H$24="Todos",datos_base!$D$11,0))*parametros_manuales!$C$107+parametros_manuales!$G$24*(datos_base!$D$5+IF(parametros_manuales!$H$24="Todos",datos_base!$D$12,0))*parametros_manuales!$C$112)*parametros_manuales!$I$24*parametros_manuales!$J$24</f>
        <v>1990.34</v>
      </c>
      <c r="D63" s="8">
        <f>(parametros_manuales!$D$24*(datos_base!$D$2+IF(parametros_manuales!$H$24="Todos",datos_base!$D$9,0))*parametros_manuales!$D$97+parametros_manuales!$E$24*(datos_base!$D$3+IF(parametros_manuales!$H$24="Todos",datos_base!$D$10,0))*parametros_manuales!$D$102+parametros_manuales!$F$24*(datos_base!$D$4+IF(parametros_manuales!$H$24="Todos",datos_base!$D$11,0))*parametros_manuales!$D$107+parametros_manuales!$G$24*(datos_base!$D$5+IF(parametros_manuales!$H$24="Todos",datos_base!$D$12,0))*parametros_manuales!$D$112)*parametros_manuales!$I$24*parametros_manuales!$J$24</f>
        <v>1887.955</v>
      </c>
      <c r="E63" s="8">
        <f>(parametros_manuales!$D$24*(datos_base!$D$2+IF(parametros_manuales!$H$24="Todos",datos_base!$D$9,0))*parametros_manuales!$E$97+parametros_manuales!$E$24*(datos_base!$D$3+IF(parametros_manuales!$H$24="Todos",datos_base!$D$10,0))*parametros_manuales!$E$102+parametros_manuales!$F$24*(datos_base!$D$4+IF(parametros_manuales!$H$24="Todos",datos_base!$D$11,0))*parametros_manuales!$E$107+parametros_manuales!$G$24*(datos_base!$D$5+IF(parametros_manuales!$H$24="Todos",datos_base!$D$12,0))*parametros_manuales!$E$112)*parametros_manuales!$I$24*parametros_manuales!$J$24</f>
        <v>1815.385</v>
      </c>
      <c r="F63" s="8">
        <f>(parametros_manuales!$D$24*(datos_base!$D$2+IF(parametros_manuales!$H$24="Todos",datos_base!$D$9,0))*parametros_manuales!$F$97+parametros_manuales!$E$24*(datos_base!$D$3+IF(parametros_manuales!$H$24="Todos",datos_base!$D$10,0))*parametros_manuales!$F$102+parametros_manuales!$F$24*(datos_base!$D$4+IF(parametros_manuales!$H$24="Todos",datos_base!$D$11,0))*parametros_manuales!$F$107+parametros_manuales!$G$24*(datos_base!$D$5+IF(parametros_manuales!$H$24="Todos",datos_base!$D$12,0))*parametros_manuales!$F$112)*parametros_manuales!$I$24*parametros_manuales!$J$24</f>
        <v>1700.06</v>
      </c>
      <c r="G63" s="8">
        <f>(parametros_manuales!$D$24*(datos_base!$D$2+IF(parametros_manuales!$H$24="Todos",datos_base!$D$9,0))*parametros_manuales!$G$97+parametros_manuales!$E$24*(datos_base!$D$3+IF(parametros_manuales!$H$24="Todos",datos_base!$D$10,0))*parametros_manuales!$G$102+parametros_manuales!$F$24*(datos_base!$D$4+IF(parametros_manuales!$H$24="Todos",datos_base!$D$11,0))*parametros_manuales!$G$107+parametros_manuales!$G$24*(datos_base!$D$5+IF(parametros_manuales!$H$24="Todos",datos_base!$D$12,0))*parametros_manuales!$G$112)*parametros_manuales!$I$24*parametros_manuales!$J$24</f>
        <v>1657.305</v>
      </c>
      <c r="H63" s="8">
        <f>(parametros_manuales!$D$24*(datos_base!$D$2+IF(parametros_manuales!$H$24="Todos",datos_base!$D$9,0))*parametros_manuales!$H$97+parametros_manuales!$E$24*(datos_base!$D$3+IF(parametros_manuales!$H$24="Todos",datos_base!$D$10,0))*parametros_manuales!$H$102+parametros_manuales!$F$24*(datos_base!$D$4+IF(parametros_manuales!$H$24="Todos",datos_base!$D$11,0))*parametros_manuales!$H$107+parametros_manuales!$G$24*(datos_base!$D$5+IF(parametros_manuales!$H$24="Todos",datos_base!$D$12,0))*parametros_manuales!$H$112)*parametros_manuales!$I$24*parametros_manuales!$J$24</f>
        <v>1772.63</v>
      </c>
      <c r="I63" s="8">
        <f>(parametros_manuales!$D$24*(datos_base!$D$2+IF(parametros_manuales!$H$24="Todos",datos_base!$D$9,0))*parametros_manuales!$I$97+parametros_manuales!$E$24*(datos_base!$D$3+IF(parametros_manuales!$H$24="Todos",datos_base!$D$10,0))*parametros_manuales!$I$102+parametros_manuales!$F$24*(datos_base!$D$4+IF(parametros_manuales!$H$24="Todos",datos_base!$D$11,0))*parametros_manuales!$I$107+parametros_manuales!$G$24*(datos_base!$D$5+IF(parametros_manuales!$H$24="Todos",datos_base!$D$12,0))*parametros_manuales!$I$112)*parametros_manuales!$I$24*parametros_manuales!$J$24</f>
        <v>1990.34</v>
      </c>
      <c r="J63" s="8">
        <f>(parametros_manuales!$D$24*(datos_base!$D$2+IF(parametros_manuales!$H$24="Todos",datos_base!$D$9,0))*parametros_manuales!$J$97+parametros_manuales!$E$24*(datos_base!$D$3+IF(parametros_manuales!$H$24="Todos",datos_base!$D$10,0))*parametros_manuales!$J$102+parametros_manuales!$F$24*(datos_base!$D$4+IF(parametros_manuales!$H$24="Todos",datos_base!$D$11,0))*parametros_manuales!$J$107+parametros_manuales!$G$24*(datos_base!$D$5+IF(parametros_manuales!$H$24="Todos",datos_base!$D$12,0))*parametros_manuales!$J$112)*parametros_manuales!$I$24*parametros_manuales!$J$24</f>
        <v>1990.34</v>
      </c>
      <c r="K63" s="8">
        <f>(parametros_manuales!$D$24*(datos_base!$D$2+IF(parametros_manuales!$H$24="Todos",datos_base!$D$9,0))*parametros_manuales!$K$97+parametros_manuales!$E$24*(datos_base!$D$3+IF(parametros_manuales!$H$24="Todos",datos_base!$D$10,0))*parametros_manuales!$K$102+parametros_manuales!$F$24*(datos_base!$D$4+IF(parametros_manuales!$H$24="Todos",datos_base!$D$11,0))*parametros_manuales!$K$107+parametros_manuales!$G$24*(datos_base!$D$5+IF(parametros_manuales!$H$24="Todos",datos_base!$D$12,0))*parametros_manuales!$K$112)*parametros_manuales!$I$24*parametros_manuales!$J$24</f>
        <v>2033.095</v>
      </c>
      <c r="L63" s="8">
        <f>(parametros_manuales!$D$24*(datos_base!$D$2+IF(parametros_manuales!$H$24="Todos",datos_base!$D$9,0))*parametros_manuales!$L$97+parametros_manuales!$E$24*(datos_base!$D$3+IF(parametros_manuales!$H$24="Todos",datos_base!$D$10,0))*parametros_manuales!$L$102+parametros_manuales!$F$24*(datos_base!$D$4+IF(parametros_manuales!$H$24="Todos",datos_base!$D$11,0))*parametros_manuales!$L$107+parametros_manuales!$G$24*(datos_base!$D$5+IF(parametros_manuales!$H$24="Todos",datos_base!$D$12,0))*parametros_manuales!$L$112)*parametros_manuales!$I$24*parametros_manuales!$J$24</f>
        <v>2075.85</v>
      </c>
      <c r="M63" s="8">
        <f>(parametros_manuales!$D$24*(datos_base!$D$2+IF(parametros_manuales!$H$24="Todos",datos_base!$D$9,0))*parametros_manuales!$M$97+parametros_manuales!$E$24*(datos_base!$D$3+IF(parametros_manuales!$H$24="Todos",datos_base!$D$10,0))*parametros_manuales!$M$102+parametros_manuales!$F$24*(datos_base!$D$4+IF(parametros_manuales!$H$24="Todos",datos_base!$D$11,0))*parametros_manuales!$M$107+parametros_manuales!$G$24*(datos_base!$D$5+IF(parametros_manuales!$H$24="Todos",datos_base!$D$12,0))*parametros_manuales!$M$112)*parametros_manuales!$I$24*parametros_manuales!$J$24</f>
        <v>2075.85</v>
      </c>
      <c r="N63" s="8">
        <f t="shared" si="7"/>
        <v>23065</v>
      </c>
      <c r="O63" s="8">
        <f t="shared" si="8"/>
        <v>2075.85</v>
      </c>
      <c r="P63" s="27">
        <f>O63/(parametros_manuales!$B$7)</f>
        <v>13.839</v>
      </c>
      <c r="Q63" s="4" t="str">
        <f t="shared" si="9"/>
        <v>Ene</v>
      </c>
      <c r="R63" s="16"/>
      <c r="S63" s="16"/>
    </row>
    <row r="64" ht="14.25" customHeight="1">
      <c r="A64" s="4" t="str">
        <f>parametros_manuales!$B$25</f>
        <v>Soldadura del cuello a la cúpula</v>
      </c>
      <c r="B64" s="8">
        <f>(parametros_manuales!$D$25*(datos_base!$D$2+IF(parametros_manuales!$H$25="Todos",datos_base!$D$9,0))*parametros_manuales!$B$97+parametros_manuales!$E$25*(datos_base!$D$3+IF(parametros_manuales!$H$25="Todos",datos_base!$D$10,0))*parametros_manuales!$B$102+parametros_manuales!$F$25*(datos_base!$D$4+IF(parametros_manuales!$H$25="Todos",datos_base!$D$11,0))*parametros_manuales!$B$107+parametros_manuales!$G$25*(datos_base!$D$5+IF(parametros_manuales!$H$25="Todos",datos_base!$D$12,0))*parametros_manuales!$B$112)*parametros_manuales!$I$25*parametros_manuales!$J$25</f>
        <v>2075.85</v>
      </c>
      <c r="C64" s="8">
        <f>(parametros_manuales!$D$25*(datos_base!$D$2+IF(parametros_manuales!$H$25="Todos",datos_base!$D$9,0))*parametros_manuales!$C$97+parametros_manuales!$E$25*(datos_base!$D$3+IF(parametros_manuales!$H$25="Todos",datos_base!$D$10,0))*parametros_manuales!$C$102+parametros_manuales!$F$25*(datos_base!$D$4+IF(parametros_manuales!$H$25="Todos",datos_base!$D$11,0))*parametros_manuales!$C$107+parametros_manuales!$G$25*(datos_base!$D$5+IF(parametros_manuales!$H$25="Todos",datos_base!$D$12,0))*parametros_manuales!$C$112)*parametros_manuales!$I$25*parametros_manuales!$J$25</f>
        <v>1990.34</v>
      </c>
      <c r="D64" s="8">
        <f>(parametros_manuales!$D$25*(datos_base!$D$2+IF(parametros_manuales!$H$25="Todos",datos_base!$D$9,0))*parametros_manuales!$D$97+parametros_manuales!$E$25*(datos_base!$D$3+IF(parametros_manuales!$H$25="Todos",datos_base!$D$10,0))*parametros_manuales!$D$102+parametros_manuales!$F$25*(datos_base!$D$4+IF(parametros_manuales!$H$25="Todos",datos_base!$D$11,0))*parametros_manuales!$D$107+parametros_manuales!$G$25*(datos_base!$D$5+IF(parametros_manuales!$H$25="Todos",datos_base!$D$12,0))*parametros_manuales!$D$112)*parametros_manuales!$I$25*parametros_manuales!$J$25</f>
        <v>1887.955</v>
      </c>
      <c r="E64" s="8">
        <f>(parametros_manuales!$D$25*(datos_base!$D$2+IF(parametros_manuales!$H$25="Todos",datos_base!$D$9,0))*parametros_manuales!$E$97+parametros_manuales!$E$25*(datos_base!$D$3+IF(parametros_manuales!$H$25="Todos",datos_base!$D$10,0))*parametros_manuales!$E$102+parametros_manuales!$F$25*(datos_base!$D$4+IF(parametros_manuales!$H$25="Todos",datos_base!$D$11,0))*parametros_manuales!$E$107+parametros_manuales!$G$25*(datos_base!$D$5+IF(parametros_manuales!$H$25="Todos",datos_base!$D$12,0))*parametros_manuales!$E$112)*parametros_manuales!$I$25*parametros_manuales!$J$25</f>
        <v>1815.385</v>
      </c>
      <c r="F64" s="8">
        <f>(parametros_manuales!$D$25*(datos_base!$D$2+IF(parametros_manuales!$H$25="Todos",datos_base!$D$9,0))*parametros_manuales!$F$97+parametros_manuales!$E$25*(datos_base!$D$3+IF(parametros_manuales!$H$25="Todos",datos_base!$D$10,0))*parametros_manuales!$F$102+parametros_manuales!$F$25*(datos_base!$D$4+IF(parametros_manuales!$H$25="Todos",datos_base!$D$11,0))*parametros_manuales!$F$107+parametros_manuales!$G$25*(datos_base!$D$5+IF(parametros_manuales!$H$25="Todos",datos_base!$D$12,0))*parametros_manuales!$F$112)*parametros_manuales!$I$25*parametros_manuales!$J$25</f>
        <v>1700.06</v>
      </c>
      <c r="G64" s="8">
        <f>(parametros_manuales!$D$25*(datos_base!$D$2+IF(parametros_manuales!$H$25="Todos",datos_base!$D$9,0))*parametros_manuales!$G$97+parametros_manuales!$E$25*(datos_base!$D$3+IF(parametros_manuales!$H$25="Todos",datos_base!$D$10,0))*parametros_manuales!$G$102+parametros_manuales!$F$25*(datos_base!$D$4+IF(parametros_manuales!$H$25="Todos",datos_base!$D$11,0))*parametros_manuales!$G$107+parametros_manuales!$G$25*(datos_base!$D$5+IF(parametros_manuales!$H$25="Todos",datos_base!$D$12,0))*parametros_manuales!$G$112)*parametros_manuales!$I$25*parametros_manuales!$J$25</f>
        <v>1657.305</v>
      </c>
      <c r="H64" s="8">
        <f>(parametros_manuales!$D$25*(datos_base!$D$2+IF(parametros_manuales!$H$25="Todos",datos_base!$D$9,0))*parametros_manuales!$H$97+parametros_manuales!$E$25*(datos_base!$D$3+IF(parametros_manuales!$H$25="Todos",datos_base!$D$10,0))*parametros_manuales!$H$102+parametros_manuales!$F$25*(datos_base!$D$4+IF(parametros_manuales!$H$25="Todos",datos_base!$D$11,0))*parametros_manuales!$H$107+parametros_manuales!$G$25*(datos_base!$D$5+IF(parametros_manuales!$H$25="Todos",datos_base!$D$12,0))*parametros_manuales!$H$112)*parametros_manuales!$I$25*parametros_manuales!$J$25</f>
        <v>1772.63</v>
      </c>
      <c r="I64" s="8">
        <f>(parametros_manuales!$D$25*(datos_base!$D$2+IF(parametros_manuales!$H$25="Todos",datos_base!$D$9,0))*parametros_manuales!$I$97+parametros_manuales!$E$25*(datos_base!$D$3+IF(parametros_manuales!$H$25="Todos",datos_base!$D$10,0))*parametros_manuales!$I$102+parametros_manuales!$F$25*(datos_base!$D$4+IF(parametros_manuales!$H$25="Todos",datos_base!$D$11,0))*parametros_manuales!$I$107+parametros_manuales!$G$25*(datos_base!$D$5+IF(parametros_manuales!$H$25="Todos",datos_base!$D$12,0))*parametros_manuales!$I$112)*parametros_manuales!$I$25*parametros_manuales!$J$25</f>
        <v>1990.34</v>
      </c>
      <c r="J64" s="8">
        <f>(parametros_manuales!$D$25*(datos_base!$D$2+IF(parametros_manuales!$H$25="Todos",datos_base!$D$9,0))*parametros_manuales!$J$97+parametros_manuales!$E$25*(datos_base!$D$3+IF(parametros_manuales!$H$25="Todos",datos_base!$D$10,0))*parametros_manuales!$J$102+parametros_manuales!$F$25*(datos_base!$D$4+IF(parametros_manuales!$H$25="Todos",datos_base!$D$11,0))*parametros_manuales!$J$107+parametros_manuales!$G$25*(datos_base!$D$5+IF(parametros_manuales!$H$25="Todos",datos_base!$D$12,0))*parametros_manuales!$J$112)*parametros_manuales!$I$25*parametros_manuales!$J$25</f>
        <v>1990.34</v>
      </c>
      <c r="K64" s="8">
        <f>(parametros_manuales!$D$25*(datos_base!$D$2+IF(parametros_manuales!$H$25="Todos",datos_base!$D$9,0))*parametros_manuales!$K$97+parametros_manuales!$E$25*(datos_base!$D$3+IF(parametros_manuales!$H$25="Todos",datos_base!$D$10,0))*parametros_manuales!$K$102+parametros_manuales!$F$25*(datos_base!$D$4+IF(parametros_manuales!$H$25="Todos",datos_base!$D$11,0))*parametros_manuales!$K$107+parametros_manuales!$G$25*(datos_base!$D$5+IF(parametros_manuales!$H$25="Todos",datos_base!$D$12,0))*parametros_manuales!$K$112)*parametros_manuales!$I$25*parametros_manuales!$J$25</f>
        <v>2033.095</v>
      </c>
      <c r="L64" s="8">
        <f>(parametros_manuales!$D$25*(datos_base!$D$2+IF(parametros_manuales!$H$25="Todos",datos_base!$D$9,0))*parametros_manuales!$L$97+parametros_manuales!$E$25*(datos_base!$D$3+IF(parametros_manuales!$H$25="Todos",datos_base!$D$10,0))*parametros_manuales!$L$102+parametros_manuales!$F$25*(datos_base!$D$4+IF(parametros_manuales!$H$25="Todos",datos_base!$D$11,0))*parametros_manuales!$L$107+parametros_manuales!$G$25*(datos_base!$D$5+IF(parametros_manuales!$H$25="Todos",datos_base!$D$12,0))*parametros_manuales!$L$112)*parametros_manuales!$I$25*parametros_manuales!$J$25</f>
        <v>2075.85</v>
      </c>
      <c r="M64" s="8">
        <f>(parametros_manuales!$D$25*(datos_base!$D$2+IF(parametros_manuales!$H$25="Todos",datos_base!$D$9,0))*parametros_manuales!$M$97+parametros_manuales!$E$25*(datos_base!$D$3+IF(parametros_manuales!$H$25="Todos",datos_base!$D$10,0))*parametros_manuales!$M$102+parametros_manuales!$F$25*(datos_base!$D$4+IF(parametros_manuales!$H$25="Todos",datos_base!$D$11,0))*parametros_manuales!$M$107+parametros_manuales!$G$25*(datos_base!$D$5+IF(parametros_manuales!$H$25="Todos",datos_base!$D$12,0))*parametros_manuales!$M$112)*parametros_manuales!$I$25*parametros_manuales!$J$25</f>
        <v>2075.85</v>
      </c>
      <c r="N64" s="8">
        <f t="shared" si="7"/>
        <v>23065</v>
      </c>
      <c r="O64" s="8">
        <f t="shared" si="8"/>
        <v>2075.85</v>
      </c>
      <c r="P64" s="27">
        <f>O64/(parametros_manuales!$B$7)</f>
        <v>13.839</v>
      </c>
      <c r="Q64" s="4" t="str">
        <f t="shared" si="9"/>
        <v>Ene</v>
      </c>
      <c r="R64" s="16"/>
      <c r="S64" s="16"/>
    </row>
    <row r="65" ht="14.25" customHeight="1">
      <c r="A65" s="4" t="str">
        <f>parametros_manuales!$B$26</f>
        <v>Cilindrado</v>
      </c>
      <c r="B65" s="8">
        <f>(parametros_manuales!$D$26*(datos_base!$D$2+IF(parametros_manuales!$H$26="Todos",datos_base!$D$9,0))*parametros_manuales!$B$97+parametros_manuales!$E$26*(datos_base!$D$3+IF(parametros_manuales!$H$26="Todos",datos_base!$D$10,0))*parametros_manuales!$B$102+parametros_manuales!$F$26*(datos_base!$D$4+IF(parametros_manuales!$H$26="Todos",datos_base!$D$11,0))*parametros_manuales!$B$107+parametros_manuales!$G$26*(datos_base!$D$5+IF(parametros_manuales!$H$26="Todos",datos_base!$D$12,0))*parametros_manuales!$B$112)*parametros_manuales!$I$26*parametros_manuales!$J$26</f>
        <v>2075.85</v>
      </c>
      <c r="C65" s="8">
        <f>(parametros_manuales!$D$26*(datos_base!$D$2+IF(parametros_manuales!$H$26="Todos",datos_base!$D$9,0))*parametros_manuales!$C$97+parametros_manuales!$E$26*(datos_base!$D$3+IF(parametros_manuales!$H$26="Todos",datos_base!$D$10,0))*parametros_manuales!$C$102+parametros_manuales!$F$26*(datos_base!$D$4+IF(parametros_manuales!$H$26="Todos",datos_base!$D$11,0))*parametros_manuales!$C$107+parametros_manuales!$G$26*(datos_base!$D$5+IF(parametros_manuales!$H$26="Todos",datos_base!$D$12,0))*parametros_manuales!$C$112)*parametros_manuales!$I$26*parametros_manuales!$J$26</f>
        <v>1990.34</v>
      </c>
      <c r="D65" s="8">
        <f>(parametros_manuales!$D$26*(datos_base!$D$2+IF(parametros_manuales!$H$26="Todos",datos_base!$D$9,0))*parametros_manuales!$D$97+parametros_manuales!$E$26*(datos_base!$D$3+IF(parametros_manuales!$H$26="Todos",datos_base!$D$10,0))*parametros_manuales!$D$102+parametros_manuales!$F$26*(datos_base!$D$4+IF(parametros_manuales!$H$26="Todos",datos_base!$D$11,0))*parametros_manuales!$D$107+parametros_manuales!$G$26*(datos_base!$D$5+IF(parametros_manuales!$H$26="Todos",datos_base!$D$12,0))*parametros_manuales!$D$112)*parametros_manuales!$I$26*parametros_manuales!$J$26</f>
        <v>1887.955</v>
      </c>
      <c r="E65" s="8">
        <f>(parametros_manuales!$D$26*(datos_base!$D$2+IF(parametros_manuales!$H$26="Todos",datos_base!$D$9,0))*parametros_manuales!$E$97+parametros_manuales!$E$26*(datos_base!$D$3+IF(parametros_manuales!$H$26="Todos",datos_base!$D$10,0))*parametros_manuales!$E$102+parametros_manuales!$F$26*(datos_base!$D$4+IF(parametros_manuales!$H$26="Todos",datos_base!$D$11,0))*parametros_manuales!$E$107+parametros_manuales!$G$26*(datos_base!$D$5+IF(parametros_manuales!$H$26="Todos",datos_base!$D$12,0))*parametros_manuales!$E$112)*parametros_manuales!$I$26*parametros_manuales!$J$26</f>
        <v>1815.385</v>
      </c>
      <c r="F65" s="8">
        <f>(parametros_manuales!$D$26*(datos_base!$D$2+IF(parametros_manuales!$H$26="Todos",datos_base!$D$9,0))*parametros_manuales!$F$97+parametros_manuales!$E$26*(datos_base!$D$3+IF(parametros_manuales!$H$26="Todos",datos_base!$D$10,0))*parametros_manuales!$F$102+parametros_manuales!$F$26*(datos_base!$D$4+IF(parametros_manuales!$H$26="Todos",datos_base!$D$11,0))*parametros_manuales!$F$107+parametros_manuales!$G$26*(datos_base!$D$5+IF(parametros_manuales!$H$26="Todos",datos_base!$D$12,0))*parametros_manuales!$F$112)*parametros_manuales!$I$26*parametros_manuales!$J$26</f>
        <v>1700.06</v>
      </c>
      <c r="G65" s="8">
        <f>(parametros_manuales!$D$26*(datos_base!$D$2+IF(parametros_manuales!$H$26="Todos",datos_base!$D$9,0))*parametros_manuales!$G$97+parametros_manuales!$E$26*(datos_base!$D$3+IF(parametros_manuales!$H$26="Todos",datos_base!$D$10,0))*parametros_manuales!$G$102+parametros_manuales!$F$26*(datos_base!$D$4+IF(parametros_manuales!$H$26="Todos",datos_base!$D$11,0))*parametros_manuales!$G$107+parametros_manuales!$G$26*(datos_base!$D$5+IF(parametros_manuales!$H$26="Todos",datos_base!$D$12,0))*parametros_manuales!$G$112)*parametros_manuales!$I$26*parametros_manuales!$J$26</f>
        <v>1657.305</v>
      </c>
      <c r="H65" s="8">
        <f>(parametros_manuales!$D$26*(datos_base!$D$2+IF(parametros_manuales!$H$26="Todos",datos_base!$D$9,0))*parametros_manuales!$H$97+parametros_manuales!$E$26*(datos_base!$D$3+IF(parametros_manuales!$H$26="Todos",datos_base!$D$10,0))*parametros_manuales!$H$102+parametros_manuales!$F$26*(datos_base!$D$4+IF(parametros_manuales!$H$26="Todos",datos_base!$D$11,0))*parametros_manuales!$H$107+parametros_manuales!$G$26*(datos_base!$D$5+IF(parametros_manuales!$H$26="Todos",datos_base!$D$12,0))*parametros_manuales!$H$112)*parametros_manuales!$I$26*parametros_manuales!$J$26</f>
        <v>1772.63</v>
      </c>
      <c r="I65" s="8">
        <f>(parametros_manuales!$D$26*(datos_base!$D$2+IF(parametros_manuales!$H$26="Todos",datos_base!$D$9,0))*parametros_manuales!$I$97+parametros_manuales!$E$26*(datos_base!$D$3+IF(parametros_manuales!$H$26="Todos",datos_base!$D$10,0))*parametros_manuales!$I$102+parametros_manuales!$F$26*(datos_base!$D$4+IF(parametros_manuales!$H$26="Todos",datos_base!$D$11,0))*parametros_manuales!$I$107+parametros_manuales!$G$26*(datos_base!$D$5+IF(parametros_manuales!$H$26="Todos",datos_base!$D$12,0))*parametros_manuales!$I$112)*parametros_manuales!$I$26*parametros_manuales!$J$26</f>
        <v>1990.34</v>
      </c>
      <c r="J65" s="8">
        <f>(parametros_manuales!$D$26*(datos_base!$D$2+IF(parametros_manuales!$H$26="Todos",datos_base!$D$9,0))*parametros_manuales!$J$97+parametros_manuales!$E$26*(datos_base!$D$3+IF(parametros_manuales!$H$26="Todos",datos_base!$D$10,0))*parametros_manuales!$J$102+parametros_manuales!$F$26*(datos_base!$D$4+IF(parametros_manuales!$H$26="Todos",datos_base!$D$11,0))*parametros_manuales!$J$107+parametros_manuales!$G$26*(datos_base!$D$5+IF(parametros_manuales!$H$26="Todos",datos_base!$D$12,0))*parametros_manuales!$J$112)*parametros_manuales!$I$26*parametros_manuales!$J$26</f>
        <v>1990.34</v>
      </c>
      <c r="K65" s="8">
        <f>(parametros_manuales!$D$26*(datos_base!$D$2+IF(parametros_manuales!$H$26="Todos",datos_base!$D$9,0))*parametros_manuales!$K$97+parametros_manuales!$E$26*(datos_base!$D$3+IF(parametros_manuales!$H$26="Todos",datos_base!$D$10,0))*parametros_manuales!$K$102+parametros_manuales!$F$26*(datos_base!$D$4+IF(parametros_manuales!$H$26="Todos",datos_base!$D$11,0))*parametros_manuales!$K$107+parametros_manuales!$G$26*(datos_base!$D$5+IF(parametros_manuales!$H$26="Todos",datos_base!$D$12,0))*parametros_manuales!$K$112)*parametros_manuales!$I$26*parametros_manuales!$J$26</f>
        <v>2033.095</v>
      </c>
      <c r="L65" s="8">
        <f>(parametros_manuales!$D$26*(datos_base!$D$2+IF(parametros_manuales!$H$26="Todos",datos_base!$D$9,0))*parametros_manuales!$L$97+parametros_manuales!$E$26*(datos_base!$D$3+IF(parametros_manuales!$H$26="Todos",datos_base!$D$10,0))*parametros_manuales!$L$102+parametros_manuales!$F$26*(datos_base!$D$4+IF(parametros_manuales!$H$26="Todos",datos_base!$D$11,0))*parametros_manuales!$L$107+parametros_manuales!$G$26*(datos_base!$D$5+IF(parametros_manuales!$H$26="Todos",datos_base!$D$12,0))*parametros_manuales!$L$112)*parametros_manuales!$I$26*parametros_manuales!$J$26</f>
        <v>2075.85</v>
      </c>
      <c r="M65" s="8">
        <f>(parametros_manuales!$D$26*(datos_base!$D$2+IF(parametros_manuales!$H$26="Todos",datos_base!$D$9,0))*parametros_manuales!$M$97+parametros_manuales!$E$26*(datos_base!$D$3+IF(parametros_manuales!$H$26="Todos",datos_base!$D$10,0))*parametros_manuales!$M$102+parametros_manuales!$F$26*(datos_base!$D$4+IF(parametros_manuales!$H$26="Todos",datos_base!$D$11,0))*parametros_manuales!$M$107+parametros_manuales!$G$26*(datos_base!$D$5+IF(parametros_manuales!$H$26="Todos",datos_base!$D$12,0))*parametros_manuales!$M$112)*parametros_manuales!$I$26*parametros_manuales!$J$26</f>
        <v>2075.85</v>
      </c>
      <c r="N65" s="8">
        <f t="shared" si="7"/>
        <v>23065</v>
      </c>
      <c r="O65" s="8">
        <f t="shared" si="8"/>
        <v>2075.85</v>
      </c>
      <c r="P65" s="27">
        <f>O65/(parametros_manuales!$B$7)</f>
        <v>13.839</v>
      </c>
      <c r="Q65" s="4" t="str">
        <f t="shared" si="9"/>
        <v>Ene</v>
      </c>
      <c r="R65" s="16"/>
      <c r="S65" s="16"/>
    </row>
    <row r="66" ht="14.25" customHeight="1">
      <c r="A66" s="4" t="str">
        <f>parametros_manuales!$B$27</f>
        <v>Soldadura longitudinal — 2,5 a 10 kg</v>
      </c>
      <c r="B66" s="8">
        <f>(parametros_manuales!$D$27*(datos_base!$D$2+IF(parametros_manuales!$H$27="Todos",datos_base!$D$9,0))*parametros_manuales!$B$97+parametros_manuales!$E$27*(datos_base!$D$3+IF(parametros_manuales!$H$27="Todos",datos_base!$D$10,0))*parametros_manuales!$B$102+parametros_manuales!$F$27*(datos_base!$D$4+IF(parametros_manuales!$H$27="Todos",datos_base!$D$11,0))*parametros_manuales!$B$107+parametros_manuales!$G$27*(datos_base!$D$5+IF(parametros_manuales!$H$27="Todos",datos_base!$D$12,0))*parametros_manuales!$B$112)*parametros_manuales!$I$27*parametros_manuales!$J$27</f>
        <v>769.59</v>
      </c>
      <c r="C66" s="8">
        <f>(parametros_manuales!$D$27*(datos_base!$D$2+IF(parametros_manuales!$H$27="Todos",datos_base!$D$9,0))*parametros_manuales!$C$97+parametros_manuales!$E$27*(datos_base!$D$3+IF(parametros_manuales!$H$27="Todos",datos_base!$D$10,0))*parametros_manuales!$C$102+parametros_manuales!$F$27*(datos_base!$D$4+IF(parametros_manuales!$H$27="Todos",datos_base!$D$11,0))*parametros_manuales!$C$107+parametros_manuales!$G$27*(datos_base!$D$5+IF(parametros_manuales!$H$27="Todos",datos_base!$D$12,0))*parametros_manuales!$C$112)*parametros_manuales!$I$27*parametros_manuales!$J$27</f>
        <v>684.08</v>
      </c>
      <c r="D66" s="8">
        <f>(parametros_manuales!$D$27*(datos_base!$D$2+IF(parametros_manuales!$H$27="Todos",datos_base!$D$9,0))*parametros_manuales!$D$97+parametros_manuales!$E$27*(datos_base!$D$3+IF(parametros_manuales!$H$27="Todos",datos_base!$D$10,0))*parametros_manuales!$D$102+parametros_manuales!$F$27*(datos_base!$D$4+IF(parametros_manuales!$H$27="Todos",datos_base!$D$11,0))*parametros_manuales!$D$107+parametros_manuales!$G$27*(datos_base!$D$5+IF(parametros_manuales!$H$27="Todos",datos_base!$D$12,0))*parametros_manuales!$D$112)*parametros_manuales!$I$27*parametros_manuales!$J$27</f>
        <v>726.835</v>
      </c>
      <c r="E66" s="8">
        <f>(parametros_manuales!$D$27*(datos_base!$D$2+IF(parametros_manuales!$H$27="Todos",datos_base!$D$9,0))*parametros_manuales!$E$97+parametros_manuales!$E$27*(datos_base!$D$3+IF(parametros_manuales!$H$27="Todos",datos_base!$D$10,0))*parametros_manuales!$E$102+parametros_manuales!$F$27*(datos_base!$D$4+IF(parametros_manuales!$H$27="Todos",datos_base!$D$11,0))*parametros_manuales!$E$107+parametros_manuales!$G$27*(datos_base!$D$5+IF(parametros_manuales!$H$27="Todos",datos_base!$D$12,0))*parametros_manuales!$E$112)*parametros_manuales!$I$27*parametros_manuales!$J$27</f>
        <v>726.835</v>
      </c>
      <c r="F66" s="8">
        <f>(parametros_manuales!$D$27*(datos_base!$D$2+IF(parametros_manuales!$H$27="Todos",datos_base!$D$9,0))*parametros_manuales!$F$97+parametros_manuales!$E$27*(datos_base!$D$3+IF(parametros_manuales!$H$27="Todos",datos_base!$D$10,0))*parametros_manuales!$F$102+parametros_manuales!$F$27*(datos_base!$D$4+IF(parametros_manuales!$H$27="Todos",datos_base!$D$11,0))*parametros_manuales!$F$107+parametros_manuales!$G$27*(datos_base!$D$5+IF(parametros_manuales!$H$27="Todos",datos_base!$D$12,0))*parametros_manuales!$F$112)*parametros_manuales!$I$27*parametros_manuales!$J$27</f>
        <v>684.08</v>
      </c>
      <c r="G66" s="8">
        <f>(parametros_manuales!$D$27*(datos_base!$D$2+IF(parametros_manuales!$H$27="Todos",datos_base!$D$9,0))*parametros_manuales!$G$97+parametros_manuales!$E$27*(datos_base!$D$3+IF(parametros_manuales!$H$27="Todos",datos_base!$D$10,0))*parametros_manuales!$G$102+parametros_manuales!$F$27*(datos_base!$D$4+IF(parametros_manuales!$H$27="Todos",datos_base!$D$11,0))*parametros_manuales!$G$107+parametros_manuales!$G$27*(datos_base!$D$5+IF(parametros_manuales!$H$27="Todos",datos_base!$D$12,0))*parametros_manuales!$G$112)*parametros_manuales!$I$27*parametros_manuales!$J$27</f>
        <v>641.325</v>
      </c>
      <c r="H66" s="8">
        <f>(parametros_manuales!$D$27*(datos_base!$D$2+IF(parametros_manuales!$H$27="Todos",datos_base!$D$9,0))*parametros_manuales!$H$97+parametros_manuales!$E$27*(datos_base!$D$3+IF(parametros_manuales!$H$27="Todos",datos_base!$D$10,0))*parametros_manuales!$H$102+parametros_manuales!$F$27*(datos_base!$D$4+IF(parametros_manuales!$H$27="Todos",datos_base!$D$11,0))*parametros_manuales!$H$107+parametros_manuales!$G$27*(datos_base!$D$5+IF(parametros_manuales!$H$27="Todos",datos_base!$D$12,0))*parametros_manuales!$H$112)*parametros_manuales!$I$27*parametros_manuales!$J$27</f>
        <v>684.08</v>
      </c>
      <c r="I66" s="8">
        <f>(parametros_manuales!$D$27*(datos_base!$D$2+IF(parametros_manuales!$H$27="Todos",datos_base!$D$9,0))*parametros_manuales!$I$97+parametros_manuales!$E$27*(datos_base!$D$3+IF(parametros_manuales!$H$27="Todos",datos_base!$D$10,0))*parametros_manuales!$I$102+parametros_manuales!$F$27*(datos_base!$D$4+IF(parametros_manuales!$H$27="Todos",datos_base!$D$11,0))*parametros_manuales!$I$107+parametros_manuales!$G$27*(datos_base!$D$5+IF(parametros_manuales!$H$27="Todos",datos_base!$D$12,0))*parametros_manuales!$I$112)*parametros_manuales!$I$27*parametros_manuales!$J$27</f>
        <v>684.08</v>
      </c>
      <c r="J66" s="8">
        <f>(parametros_manuales!$D$27*(datos_base!$D$2+IF(parametros_manuales!$H$27="Todos",datos_base!$D$9,0))*parametros_manuales!$J$97+parametros_manuales!$E$27*(datos_base!$D$3+IF(parametros_manuales!$H$27="Todos",datos_base!$D$10,0))*parametros_manuales!$J$102+parametros_manuales!$F$27*(datos_base!$D$4+IF(parametros_manuales!$H$27="Todos",datos_base!$D$11,0))*parametros_manuales!$J$107+parametros_manuales!$G$27*(datos_base!$D$5+IF(parametros_manuales!$H$27="Todos",datos_base!$D$12,0))*parametros_manuales!$J$112)*parametros_manuales!$I$27*parametros_manuales!$J$27</f>
        <v>684.08</v>
      </c>
      <c r="K66" s="8">
        <f>(parametros_manuales!$D$27*(datos_base!$D$2+IF(parametros_manuales!$H$27="Todos",datos_base!$D$9,0))*parametros_manuales!$K$97+parametros_manuales!$E$27*(datos_base!$D$3+IF(parametros_manuales!$H$27="Todos",datos_base!$D$10,0))*parametros_manuales!$K$102+parametros_manuales!$F$27*(datos_base!$D$4+IF(parametros_manuales!$H$27="Todos",datos_base!$D$11,0))*parametros_manuales!$K$107+parametros_manuales!$G$27*(datos_base!$D$5+IF(parametros_manuales!$H$27="Todos",datos_base!$D$12,0))*parametros_manuales!$K$112)*parametros_manuales!$I$27*parametros_manuales!$J$27</f>
        <v>726.835</v>
      </c>
      <c r="L66" s="8">
        <f>(parametros_manuales!$D$27*(datos_base!$D$2+IF(parametros_manuales!$H$27="Todos",datos_base!$D$9,0))*parametros_manuales!$L$97+parametros_manuales!$E$27*(datos_base!$D$3+IF(parametros_manuales!$H$27="Todos",datos_base!$D$10,0))*parametros_manuales!$L$102+parametros_manuales!$F$27*(datos_base!$D$4+IF(parametros_manuales!$H$27="Todos",datos_base!$D$11,0))*parametros_manuales!$L$107+parametros_manuales!$G$27*(datos_base!$D$5+IF(parametros_manuales!$H$27="Todos",datos_base!$D$12,0))*parametros_manuales!$L$112)*parametros_manuales!$I$27*parametros_manuales!$J$27</f>
        <v>769.59</v>
      </c>
      <c r="M66" s="8">
        <f>(parametros_manuales!$D$27*(datos_base!$D$2+IF(parametros_manuales!$H$27="Todos",datos_base!$D$9,0))*parametros_manuales!$M$97+parametros_manuales!$E$27*(datos_base!$D$3+IF(parametros_manuales!$H$27="Todos",datos_base!$D$10,0))*parametros_manuales!$M$102+parametros_manuales!$F$27*(datos_base!$D$4+IF(parametros_manuales!$H$27="Todos",datos_base!$D$11,0))*parametros_manuales!$M$107+parametros_manuales!$G$27*(datos_base!$D$5+IF(parametros_manuales!$H$27="Todos",datos_base!$D$12,0))*parametros_manuales!$M$112)*parametros_manuales!$I$27*parametros_manuales!$J$27</f>
        <v>769.59</v>
      </c>
      <c r="N66" s="8">
        <f t="shared" si="7"/>
        <v>8551</v>
      </c>
      <c r="O66" s="8">
        <f t="shared" si="8"/>
        <v>769.59</v>
      </c>
      <c r="P66" s="27">
        <f>O66/(parametros_manuales!$B$7)</f>
        <v>5.1306</v>
      </c>
      <c r="Q66" s="4" t="str">
        <f t="shared" si="9"/>
        <v>Ene</v>
      </c>
      <c r="R66" s="16"/>
      <c r="S66" s="16"/>
    </row>
    <row r="67" ht="14.25" customHeight="1">
      <c r="A67" s="4" t="str">
        <f>parametros_manuales!$B$28</f>
        <v>Soldadura longitudinal TIG — 1 kg</v>
      </c>
      <c r="B67" s="8">
        <f>(parametros_manuales!$D$28*(datos_base!$D$2+IF(parametros_manuales!$H$28="Todos",datos_base!$D$9,0))*parametros_manuales!$B$97+parametros_manuales!$E$28*(datos_base!$D$3+IF(parametros_manuales!$H$28="Todos",datos_base!$D$10,0))*parametros_manuales!$B$102+parametros_manuales!$F$28*(datos_base!$D$4+IF(parametros_manuales!$H$28="Todos",datos_base!$D$11,0))*parametros_manuales!$B$107+parametros_manuales!$G$28*(datos_base!$D$5+IF(parametros_manuales!$H$28="Todos",datos_base!$D$12,0))*parametros_manuales!$B$112)*parametros_manuales!$I$28*parametros_manuales!$J$28</f>
        <v>1306.26</v>
      </c>
      <c r="C67" s="8">
        <f>(parametros_manuales!$D$28*(datos_base!$D$2+IF(parametros_manuales!$H$28="Todos",datos_base!$D$9,0))*parametros_manuales!$C$97+parametros_manuales!$E$28*(datos_base!$D$3+IF(parametros_manuales!$H$28="Todos",datos_base!$D$10,0))*parametros_manuales!$C$102+parametros_manuales!$F$28*(datos_base!$D$4+IF(parametros_manuales!$H$28="Todos",datos_base!$D$11,0))*parametros_manuales!$C$107+parametros_manuales!$G$28*(datos_base!$D$5+IF(parametros_manuales!$H$28="Todos",datos_base!$D$12,0))*parametros_manuales!$C$112)*parametros_manuales!$I$28*parametros_manuales!$J$28</f>
        <v>1306.26</v>
      </c>
      <c r="D67" s="8">
        <f>(parametros_manuales!$D$28*(datos_base!$D$2+IF(parametros_manuales!$H$28="Todos",datos_base!$D$9,0))*parametros_manuales!$D$97+parametros_manuales!$E$28*(datos_base!$D$3+IF(parametros_manuales!$H$28="Todos",datos_base!$D$10,0))*parametros_manuales!$D$102+parametros_manuales!$F$28*(datos_base!$D$4+IF(parametros_manuales!$H$28="Todos",datos_base!$D$11,0))*parametros_manuales!$D$107+parametros_manuales!$G$28*(datos_base!$D$5+IF(parametros_manuales!$H$28="Todos",datos_base!$D$12,0))*parametros_manuales!$D$112)*parametros_manuales!$I$28*parametros_manuales!$J$28</f>
        <v>1161.12</v>
      </c>
      <c r="E67" s="8">
        <f>(parametros_manuales!$D$28*(datos_base!$D$2+IF(parametros_manuales!$H$28="Todos",datos_base!$D$9,0))*parametros_manuales!$E$97+parametros_manuales!$E$28*(datos_base!$D$3+IF(parametros_manuales!$H$28="Todos",datos_base!$D$10,0))*parametros_manuales!$E$102+parametros_manuales!$F$28*(datos_base!$D$4+IF(parametros_manuales!$H$28="Todos",datos_base!$D$11,0))*parametros_manuales!$E$107+parametros_manuales!$G$28*(datos_base!$D$5+IF(parametros_manuales!$H$28="Todos",datos_base!$D$12,0))*parametros_manuales!$E$112)*parametros_manuales!$I$28*parametros_manuales!$J$28</f>
        <v>1088.55</v>
      </c>
      <c r="F67" s="8">
        <f>(parametros_manuales!$D$28*(datos_base!$D$2+IF(parametros_manuales!$H$28="Todos",datos_base!$D$9,0))*parametros_manuales!$F$97+parametros_manuales!$E$28*(datos_base!$D$3+IF(parametros_manuales!$H$28="Todos",datos_base!$D$10,0))*parametros_manuales!$F$102+parametros_manuales!$F$28*(datos_base!$D$4+IF(parametros_manuales!$H$28="Todos",datos_base!$D$11,0))*parametros_manuales!$F$107+parametros_manuales!$G$28*(datos_base!$D$5+IF(parametros_manuales!$H$28="Todos",datos_base!$D$12,0))*parametros_manuales!$F$112)*parametros_manuales!$I$28*parametros_manuales!$J$28</f>
        <v>1015.98</v>
      </c>
      <c r="G67" s="8">
        <f>(parametros_manuales!$D$28*(datos_base!$D$2+IF(parametros_manuales!$H$28="Todos",datos_base!$D$9,0))*parametros_manuales!$G$97+parametros_manuales!$E$28*(datos_base!$D$3+IF(parametros_manuales!$H$28="Todos",datos_base!$D$10,0))*parametros_manuales!$G$102+parametros_manuales!$F$28*(datos_base!$D$4+IF(parametros_manuales!$H$28="Todos",datos_base!$D$11,0))*parametros_manuales!$G$107+parametros_manuales!$G$28*(datos_base!$D$5+IF(parametros_manuales!$H$28="Todos",datos_base!$D$12,0))*parametros_manuales!$G$112)*parametros_manuales!$I$28*parametros_manuales!$J$28</f>
        <v>1015.98</v>
      </c>
      <c r="H67" s="8">
        <f>(parametros_manuales!$D$28*(datos_base!$D$2+IF(parametros_manuales!$H$28="Todos",datos_base!$D$9,0))*parametros_manuales!$H$97+parametros_manuales!$E$28*(datos_base!$D$3+IF(parametros_manuales!$H$28="Todos",datos_base!$D$10,0))*parametros_manuales!$H$102+parametros_manuales!$F$28*(datos_base!$D$4+IF(parametros_manuales!$H$28="Todos",datos_base!$D$11,0))*parametros_manuales!$H$107+parametros_manuales!$G$28*(datos_base!$D$5+IF(parametros_manuales!$H$28="Todos",datos_base!$D$12,0))*parametros_manuales!$H$112)*parametros_manuales!$I$28*parametros_manuales!$J$28</f>
        <v>1088.55</v>
      </c>
      <c r="I67" s="8">
        <f>(parametros_manuales!$D$28*(datos_base!$D$2+IF(parametros_manuales!$H$28="Todos",datos_base!$D$9,0))*parametros_manuales!$I$97+parametros_manuales!$E$28*(datos_base!$D$3+IF(parametros_manuales!$H$28="Todos",datos_base!$D$10,0))*parametros_manuales!$I$102+parametros_manuales!$F$28*(datos_base!$D$4+IF(parametros_manuales!$H$28="Todos",datos_base!$D$11,0))*parametros_manuales!$I$107+parametros_manuales!$G$28*(datos_base!$D$5+IF(parametros_manuales!$H$28="Todos",datos_base!$D$12,0))*parametros_manuales!$I$112)*parametros_manuales!$I$28*parametros_manuales!$J$28</f>
        <v>1306.26</v>
      </c>
      <c r="J67" s="8">
        <f>(parametros_manuales!$D$28*(datos_base!$D$2+IF(parametros_manuales!$H$28="Todos",datos_base!$D$9,0))*parametros_manuales!$J$97+parametros_manuales!$E$28*(datos_base!$D$3+IF(parametros_manuales!$H$28="Todos",datos_base!$D$10,0))*parametros_manuales!$J$102+parametros_manuales!$F$28*(datos_base!$D$4+IF(parametros_manuales!$H$28="Todos",datos_base!$D$11,0))*parametros_manuales!$J$107+parametros_manuales!$G$28*(datos_base!$D$5+IF(parametros_manuales!$H$28="Todos",datos_base!$D$12,0))*parametros_manuales!$J$112)*parametros_manuales!$I$28*parametros_manuales!$J$28</f>
        <v>1306.26</v>
      </c>
      <c r="K67" s="8">
        <f>(parametros_manuales!$D$28*(datos_base!$D$2+IF(parametros_manuales!$H$28="Todos",datos_base!$D$9,0))*parametros_manuales!$K$97+parametros_manuales!$E$28*(datos_base!$D$3+IF(parametros_manuales!$H$28="Todos",datos_base!$D$10,0))*parametros_manuales!$K$102+parametros_manuales!$F$28*(datos_base!$D$4+IF(parametros_manuales!$H$28="Todos",datos_base!$D$11,0))*parametros_manuales!$K$107+parametros_manuales!$G$28*(datos_base!$D$5+IF(parametros_manuales!$H$28="Todos",datos_base!$D$12,0))*parametros_manuales!$K$112)*parametros_manuales!$I$28*parametros_manuales!$J$28</f>
        <v>1306.26</v>
      </c>
      <c r="L67" s="8">
        <f>(parametros_manuales!$D$28*(datos_base!$D$2+IF(parametros_manuales!$H$28="Todos",datos_base!$D$9,0))*parametros_manuales!$L$97+parametros_manuales!$E$28*(datos_base!$D$3+IF(parametros_manuales!$H$28="Todos",datos_base!$D$10,0))*parametros_manuales!$L$102+parametros_manuales!$F$28*(datos_base!$D$4+IF(parametros_manuales!$H$28="Todos",datos_base!$D$11,0))*parametros_manuales!$L$107+parametros_manuales!$G$28*(datos_base!$D$5+IF(parametros_manuales!$H$28="Todos",datos_base!$D$12,0))*parametros_manuales!$L$112)*parametros_manuales!$I$28*parametros_manuales!$J$28</f>
        <v>1306.26</v>
      </c>
      <c r="M67" s="8">
        <f>(parametros_manuales!$D$28*(datos_base!$D$2+IF(parametros_manuales!$H$28="Todos",datos_base!$D$9,0))*parametros_manuales!$M$97+parametros_manuales!$E$28*(datos_base!$D$3+IF(parametros_manuales!$H$28="Todos",datos_base!$D$10,0))*parametros_manuales!$M$102+parametros_manuales!$F$28*(datos_base!$D$4+IF(parametros_manuales!$H$28="Todos",datos_base!$D$11,0))*parametros_manuales!$M$107+parametros_manuales!$G$28*(datos_base!$D$5+IF(parametros_manuales!$H$28="Todos",datos_base!$D$12,0))*parametros_manuales!$M$112)*parametros_manuales!$I$28*parametros_manuales!$J$28</f>
        <v>1306.26</v>
      </c>
      <c r="N67" s="8">
        <f t="shared" si="7"/>
        <v>14514</v>
      </c>
      <c r="O67" s="8">
        <f t="shared" si="8"/>
        <v>1306.26</v>
      </c>
      <c r="P67" s="27">
        <f>O67/(parametros_manuales!$B$7)</f>
        <v>8.7084</v>
      </c>
      <c r="Q67" s="4" t="str">
        <f t="shared" si="9"/>
        <v>Ene</v>
      </c>
      <c r="R67" s="16"/>
      <c r="S67" s="16"/>
    </row>
    <row r="68" ht="14.25" customHeight="1">
      <c r="A68" s="4" t="str">
        <f>parametros_manuales!$B$29</f>
        <v>Encastre de fondo</v>
      </c>
      <c r="B68" s="8">
        <f>(parametros_manuales!$D$29*(datos_base!$D$2+IF(parametros_manuales!$H$29="Todos",datos_base!$D$9,0))*parametros_manuales!$B$97+parametros_manuales!$E$29*(datos_base!$D$3+IF(parametros_manuales!$H$29="Todos",datos_base!$D$10,0))*parametros_manuales!$B$102+parametros_manuales!$F$29*(datos_base!$D$4+IF(parametros_manuales!$H$29="Todos",datos_base!$D$11,0))*parametros_manuales!$B$107+parametros_manuales!$G$29*(datos_base!$D$5+IF(parametros_manuales!$H$29="Todos",datos_base!$D$12,0))*parametros_manuales!$B$112)*parametros_manuales!$I$29*parametros_manuales!$J$29</f>
        <v>2075.85</v>
      </c>
      <c r="C68" s="8">
        <f>(parametros_manuales!$D$29*(datos_base!$D$2+IF(parametros_manuales!$H$29="Todos",datos_base!$D$9,0))*parametros_manuales!$C$97+parametros_manuales!$E$29*(datos_base!$D$3+IF(parametros_manuales!$H$29="Todos",datos_base!$D$10,0))*parametros_manuales!$C$102+parametros_manuales!$F$29*(datos_base!$D$4+IF(parametros_manuales!$H$29="Todos",datos_base!$D$11,0))*parametros_manuales!$C$107+parametros_manuales!$G$29*(datos_base!$D$5+IF(parametros_manuales!$H$29="Todos",datos_base!$D$12,0))*parametros_manuales!$C$112)*parametros_manuales!$I$29*parametros_manuales!$J$29</f>
        <v>1990.34</v>
      </c>
      <c r="D68" s="8">
        <f>(parametros_manuales!$D$29*(datos_base!$D$2+IF(parametros_manuales!$H$29="Todos",datos_base!$D$9,0))*parametros_manuales!$D$97+parametros_manuales!$E$29*(datos_base!$D$3+IF(parametros_manuales!$H$29="Todos",datos_base!$D$10,0))*parametros_manuales!$D$102+parametros_manuales!$F$29*(datos_base!$D$4+IF(parametros_manuales!$H$29="Todos",datos_base!$D$11,0))*parametros_manuales!$D$107+parametros_manuales!$G$29*(datos_base!$D$5+IF(parametros_manuales!$H$29="Todos",datos_base!$D$12,0))*parametros_manuales!$D$112)*parametros_manuales!$I$29*parametros_manuales!$J$29</f>
        <v>1887.955</v>
      </c>
      <c r="E68" s="8">
        <f>(parametros_manuales!$D$29*(datos_base!$D$2+IF(parametros_manuales!$H$29="Todos",datos_base!$D$9,0))*parametros_manuales!$E$97+parametros_manuales!$E$29*(datos_base!$D$3+IF(parametros_manuales!$H$29="Todos",datos_base!$D$10,0))*parametros_manuales!$E$102+parametros_manuales!$F$29*(datos_base!$D$4+IF(parametros_manuales!$H$29="Todos",datos_base!$D$11,0))*parametros_manuales!$E$107+parametros_manuales!$G$29*(datos_base!$D$5+IF(parametros_manuales!$H$29="Todos",datos_base!$D$12,0))*parametros_manuales!$E$112)*parametros_manuales!$I$29*parametros_manuales!$J$29</f>
        <v>1815.385</v>
      </c>
      <c r="F68" s="8">
        <f>(parametros_manuales!$D$29*(datos_base!$D$2+IF(parametros_manuales!$H$29="Todos",datos_base!$D$9,0))*parametros_manuales!$F$97+parametros_manuales!$E$29*(datos_base!$D$3+IF(parametros_manuales!$H$29="Todos",datos_base!$D$10,0))*parametros_manuales!$F$102+parametros_manuales!$F$29*(datos_base!$D$4+IF(parametros_manuales!$H$29="Todos",datos_base!$D$11,0))*parametros_manuales!$F$107+parametros_manuales!$G$29*(datos_base!$D$5+IF(parametros_manuales!$H$29="Todos",datos_base!$D$12,0))*parametros_manuales!$F$112)*parametros_manuales!$I$29*parametros_manuales!$J$29</f>
        <v>1700.06</v>
      </c>
      <c r="G68" s="8">
        <f>(parametros_manuales!$D$29*(datos_base!$D$2+IF(parametros_manuales!$H$29="Todos",datos_base!$D$9,0))*parametros_manuales!$G$97+parametros_manuales!$E$29*(datos_base!$D$3+IF(parametros_manuales!$H$29="Todos",datos_base!$D$10,0))*parametros_manuales!$G$102+parametros_manuales!$F$29*(datos_base!$D$4+IF(parametros_manuales!$H$29="Todos",datos_base!$D$11,0))*parametros_manuales!$G$107+parametros_manuales!$G$29*(datos_base!$D$5+IF(parametros_manuales!$H$29="Todos",datos_base!$D$12,0))*parametros_manuales!$G$112)*parametros_manuales!$I$29*parametros_manuales!$J$29</f>
        <v>1657.305</v>
      </c>
      <c r="H68" s="8">
        <f>(parametros_manuales!$D$29*(datos_base!$D$2+IF(parametros_manuales!$H$29="Todos",datos_base!$D$9,0))*parametros_manuales!$H$97+parametros_manuales!$E$29*(datos_base!$D$3+IF(parametros_manuales!$H$29="Todos",datos_base!$D$10,0))*parametros_manuales!$H$102+parametros_manuales!$F$29*(datos_base!$D$4+IF(parametros_manuales!$H$29="Todos",datos_base!$D$11,0))*parametros_manuales!$H$107+parametros_manuales!$G$29*(datos_base!$D$5+IF(parametros_manuales!$H$29="Todos",datos_base!$D$12,0))*parametros_manuales!$H$112)*parametros_manuales!$I$29*parametros_manuales!$J$29</f>
        <v>1772.63</v>
      </c>
      <c r="I68" s="8">
        <f>(parametros_manuales!$D$29*(datos_base!$D$2+IF(parametros_manuales!$H$29="Todos",datos_base!$D$9,0))*parametros_manuales!$I$97+parametros_manuales!$E$29*(datos_base!$D$3+IF(parametros_manuales!$H$29="Todos",datos_base!$D$10,0))*parametros_manuales!$I$102+parametros_manuales!$F$29*(datos_base!$D$4+IF(parametros_manuales!$H$29="Todos",datos_base!$D$11,0))*parametros_manuales!$I$107+parametros_manuales!$G$29*(datos_base!$D$5+IF(parametros_manuales!$H$29="Todos",datos_base!$D$12,0))*parametros_manuales!$I$112)*parametros_manuales!$I$29*parametros_manuales!$J$29</f>
        <v>1990.34</v>
      </c>
      <c r="J68" s="8">
        <f>(parametros_manuales!$D$29*(datos_base!$D$2+IF(parametros_manuales!$H$29="Todos",datos_base!$D$9,0))*parametros_manuales!$J$97+parametros_manuales!$E$29*(datos_base!$D$3+IF(parametros_manuales!$H$29="Todos",datos_base!$D$10,0))*parametros_manuales!$J$102+parametros_manuales!$F$29*(datos_base!$D$4+IF(parametros_manuales!$H$29="Todos",datos_base!$D$11,0))*parametros_manuales!$J$107+parametros_manuales!$G$29*(datos_base!$D$5+IF(parametros_manuales!$H$29="Todos",datos_base!$D$12,0))*parametros_manuales!$J$112)*parametros_manuales!$I$29*parametros_manuales!$J$29</f>
        <v>1990.34</v>
      </c>
      <c r="K68" s="8">
        <f>(parametros_manuales!$D$29*(datos_base!$D$2+IF(parametros_manuales!$H$29="Todos",datos_base!$D$9,0))*parametros_manuales!$K$97+parametros_manuales!$E$29*(datos_base!$D$3+IF(parametros_manuales!$H$29="Todos",datos_base!$D$10,0))*parametros_manuales!$K$102+parametros_manuales!$F$29*(datos_base!$D$4+IF(parametros_manuales!$H$29="Todos",datos_base!$D$11,0))*parametros_manuales!$K$107+parametros_manuales!$G$29*(datos_base!$D$5+IF(parametros_manuales!$H$29="Todos",datos_base!$D$12,0))*parametros_manuales!$K$112)*parametros_manuales!$I$29*parametros_manuales!$J$29</f>
        <v>2033.095</v>
      </c>
      <c r="L68" s="8">
        <f>(parametros_manuales!$D$29*(datos_base!$D$2+IF(parametros_manuales!$H$29="Todos",datos_base!$D$9,0))*parametros_manuales!$L$97+parametros_manuales!$E$29*(datos_base!$D$3+IF(parametros_manuales!$H$29="Todos",datos_base!$D$10,0))*parametros_manuales!$L$102+parametros_manuales!$F$29*(datos_base!$D$4+IF(parametros_manuales!$H$29="Todos",datos_base!$D$11,0))*parametros_manuales!$L$107+parametros_manuales!$G$29*(datos_base!$D$5+IF(parametros_manuales!$H$29="Todos",datos_base!$D$12,0))*parametros_manuales!$L$112)*parametros_manuales!$I$29*parametros_manuales!$J$29</f>
        <v>2075.85</v>
      </c>
      <c r="M68" s="8">
        <f>(parametros_manuales!$D$29*(datos_base!$D$2+IF(parametros_manuales!$H$29="Todos",datos_base!$D$9,0))*parametros_manuales!$M$97+parametros_manuales!$E$29*(datos_base!$D$3+IF(parametros_manuales!$H$29="Todos",datos_base!$D$10,0))*parametros_manuales!$M$102+parametros_manuales!$F$29*(datos_base!$D$4+IF(parametros_manuales!$H$29="Todos",datos_base!$D$11,0))*parametros_manuales!$M$107+parametros_manuales!$G$29*(datos_base!$D$5+IF(parametros_manuales!$H$29="Todos",datos_base!$D$12,0))*parametros_manuales!$M$112)*parametros_manuales!$I$29*parametros_manuales!$J$29</f>
        <v>2075.85</v>
      </c>
      <c r="N68" s="8">
        <f t="shared" si="7"/>
        <v>23065</v>
      </c>
      <c r="O68" s="8">
        <f t="shared" si="8"/>
        <v>2075.85</v>
      </c>
      <c r="P68" s="27">
        <f>O68/(parametros_manuales!$B$7)</f>
        <v>13.839</v>
      </c>
      <c r="Q68" s="4" t="str">
        <f t="shared" si="9"/>
        <v>Ene</v>
      </c>
      <c r="R68" s="16"/>
      <c r="S68" s="16"/>
    </row>
    <row r="69" ht="14.25" customHeight="1">
      <c r="A69" s="4" t="str">
        <f>parametros_manuales!$B$30</f>
        <v>Bordoneado</v>
      </c>
      <c r="B69" s="8">
        <f>(parametros_manuales!$D$30*(datos_base!$D$2+IF(parametros_manuales!$H$30="Todos",datos_base!$D$9,0))*parametros_manuales!$B$97+parametros_manuales!$E$30*(datos_base!$D$3+IF(parametros_manuales!$H$30="Todos",datos_base!$D$10,0))*parametros_manuales!$B$102+parametros_manuales!$F$30*(datos_base!$D$4+IF(parametros_manuales!$H$30="Todos",datos_base!$D$11,0))*parametros_manuales!$B$107+parametros_manuales!$G$30*(datos_base!$D$5+IF(parametros_manuales!$H$30="Todos",datos_base!$D$12,0))*parametros_manuales!$B$112)*parametros_manuales!$I$30*parametros_manuales!$J$30</f>
        <v>2075.85</v>
      </c>
      <c r="C69" s="8">
        <f>(parametros_manuales!$D$30*(datos_base!$D$2+IF(parametros_manuales!$H$30="Todos",datos_base!$D$9,0))*parametros_manuales!$C$97+parametros_manuales!$E$30*(datos_base!$D$3+IF(parametros_manuales!$H$30="Todos",datos_base!$D$10,0))*parametros_manuales!$C$102+parametros_manuales!$F$30*(datos_base!$D$4+IF(parametros_manuales!$H$30="Todos",datos_base!$D$11,0))*parametros_manuales!$C$107+parametros_manuales!$G$30*(datos_base!$D$5+IF(parametros_manuales!$H$30="Todos",datos_base!$D$12,0))*parametros_manuales!$C$112)*parametros_manuales!$I$30*parametros_manuales!$J$30</f>
        <v>1990.34</v>
      </c>
      <c r="D69" s="8">
        <f>(parametros_manuales!$D$30*(datos_base!$D$2+IF(parametros_manuales!$H$30="Todos",datos_base!$D$9,0))*parametros_manuales!$D$97+parametros_manuales!$E$30*(datos_base!$D$3+IF(parametros_manuales!$H$30="Todos",datos_base!$D$10,0))*parametros_manuales!$D$102+parametros_manuales!$F$30*(datos_base!$D$4+IF(parametros_manuales!$H$30="Todos",datos_base!$D$11,0))*parametros_manuales!$D$107+parametros_manuales!$G$30*(datos_base!$D$5+IF(parametros_manuales!$H$30="Todos",datos_base!$D$12,0))*parametros_manuales!$D$112)*parametros_manuales!$I$30*parametros_manuales!$J$30</f>
        <v>1887.955</v>
      </c>
      <c r="E69" s="8">
        <f>(parametros_manuales!$D$30*(datos_base!$D$2+IF(parametros_manuales!$H$30="Todos",datos_base!$D$9,0))*parametros_manuales!$E$97+parametros_manuales!$E$30*(datos_base!$D$3+IF(parametros_manuales!$H$30="Todos",datos_base!$D$10,0))*parametros_manuales!$E$102+parametros_manuales!$F$30*(datos_base!$D$4+IF(parametros_manuales!$H$30="Todos",datos_base!$D$11,0))*parametros_manuales!$E$107+parametros_manuales!$G$30*(datos_base!$D$5+IF(parametros_manuales!$H$30="Todos",datos_base!$D$12,0))*parametros_manuales!$E$112)*parametros_manuales!$I$30*parametros_manuales!$J$30</f>
        <v>1815.385</v>
      </c>
      <c r="F69" s="8">
        <f>(parametros_manuales!$D$30*(datos_base!$D$2+IF(parametros_manuales!$H$30="Todos",datos_base!$D$9,0))*parametros_manuales!$F$97+parametros_manuales!$E$30*(datos_base!$D$3+IF(parametros_manuales!$H$30="Todos",datos_base!$D$10,0))*parametros_manuales!$F$102+parametros_manuales!$F$30*(datos_base!$D$4+IF(parametros_manuales!$H$30="Todos",datos_base!$D$11,0))*parametros_manuales!$F$107+parametros_manuales!$G$30*(datos_base!$D$5+IF(parametros_manuales!$H$30="Todos",datos_base!$D$12,0))*parametros_manuales!$F$112)*parametros_manuales!$I$30*parametros_manuales!$J$30</f>
        <v>1700.06</v>
      </c>
      <c r="G69" s="8">
        <f>(parametros_manuales!$D$30*(datos_base!$D$2+IF(parametros_manuales!$H$30="Todos",datos_base!$D$9,0))*parametros_manuales!$G$97+parametros_manuales!$E$30*(datos_base!$D$3+IF(parametros_manuales!$H$30="Todos",datos_base!$D$10,0))*parametros_manuales!$G$102+parametros_manuales!$F$30*(datos_base!$D$4+IF(parametros_manuales!$H$30="Todos",datos_base!$D$11,0))*parametros_manuales!$G$107+parametros_manuales!$G$30*(datos_base!$D$5+IF(parametros_manuales!$H$30="Todos",datos_base!$D$12,0))*parametros_manuales!$G$112)*parametros_manuales!$I$30*parametros_manuales!$J$30</f>
        <v>1657.305</v>
      </c>
      <c r="H69" s="8">
        <f>(parametros_manuales!$D$30*(datos_base!$D$2+IF(parametros_manuales!$H$30="Todos",datos_base!$D$9,0))*parametros_manuales!$H$97+parametros_manuales!$E$30*(datos_base!$D$3+IF(parametros_manuales!$H$30="Todos",datos_base!$D$10,0))*parametros_manuales!$H$102+parametros_manuales!$F$30*(datos_base!$D$4+IF(parametros_manuales!$H$30="Todos",datos_base!$D$11,0))*parametros_manuales!$H$107+parametros_manuales!$G$30*(datos_base!$D$5+IF(parametros_manuales!$H$30="Todos",datos_base!$D$12,0))*parametros_manuales!$H$112)*parametros_manuales!$I$30*parametros_manuales!$J$30</f>
        <v>1772.63</v>
      </c>
      <c r="I69" s="8">
        <f>(parametros_manuales!$D$30*(datos_base!$D$2+IF(parametros_manuales!$H$30="Todos",datos_base!$D$9,0))*parametros_manuales!$I$97+parametros_manuales!$E$30*(datos_base!$D$3+IF(parametros_manuales!$H$30="Todos",datos_base!$D$10,0))*parametros_manuales!$I$102+parametros_manuales!$F$30*(datos_base!$D$4+IF(parametros_manuales!$H$30="Todos",datos_base!$D$11,0))*parametros_manuales!$I$107+parametros_manuales!$G$30*(datos_base!$D$5+IF(parametros_manuales!$H$30="Todos",datos_base!$D$12,0))*parametros_manuales!$I$112)*parametros_manuales!$I$30*parametros_manuales!$J$30</f>
        <v>1990.34</v>
      </c>
      <c r="J69" s="8">
        <f>(parametros_manuales!$D$30*(datos_base!$D$2+IF(parametros_manuales!$H$30="Todos",datos_base!$D$9,0))*parametros_manuales!$J$97+parametros_manuales!$E$30*(datos_base!$D$3+IF(parametros_manuales!$H$30="Todos",datos_base!$D$10,0))*parametros_manuales!$J$102+parametros_manuales!$F$30*(datos_base!$D$4+IF(parametros_manuales!$H$30="Todos",datos_base!$D$11,0))*parametros_manuales!$J$107+parametros_manuales!$G$30*(datos_base!$D$5+IF(parametros_manuales!$H$30="Todos",datos_base!$D$12,0))*parametros_manuales!$J$112)*parametros_manuales!$I$30*parametros_manuales!$J$30</f>
        <v>1990.34</v>
      </c>
      <c r="K69" s="8">
        <f>(parametros_manuales!$D$30*(datos_base!$D$2+IF(parametros_manuales!$H$30="Todos",datos_base!$D$9,0))*parametros_manuales!$K$97+parametros_manuales!$E$30*(datos_base!$D$3+IF(parametros_manuales!$H$30="Todos",datos_base!$D$10,0))*parametros_manuales!$K$102+parametros_manuales!$F$30*(datos_base!$D$4+IF(parametros_manuales!$H$30="Todos",datos_base!$D$11,0))*parametros_manuales!$K$107+parametros_manuales!$G$30*(datos_base!$D$5+IF(parametros_manuales!$H$30="Todos",datos_base!$D$12,0))*parametros_manuales!$K$112)*parametros_manuales!$I$30*parametros_manuales!$J$30</f>
        <v>2033.095</v>
      </c>
      <c r="L69" s="8">
        <f>(parametros_manuales!$D$30*(datos_base!$D$2+IF(parametros_manuales!$H$30="Todos",datos_base!$D$9,0))*parametros_manuales!$L$97+parametros_manuales!$E$30*(datos_base!$D$3+IF(parametros_manuales!$H$30="Todos",datos_base!$D$10,0))*parametros_manuales!$L$102+parametros_manuales!$F$30*(datos_base!$D$4+IF(parametros_manuales!$H$30="Todos",datos_base!$D$11,0))*parametros_manuales!$L$107+parametros_manuales!$G$30*(datos_base!$D$5+IF(parametros_manuales!$H$30="Todos",datos_base!$D$12,0))*parametros_manuales!$L$112)*parametros_manuales!$I$30*parametros_manuales!$J$30</f>
        <v>2075.85</v>
      </c>
      <c r="M69" s="8">
        <f>(parametros_manuales!$D$30*(datos_base!$D$2+IF(parametros_manuales!$H$30="Todos",datos_base!$D$9,0))*parametros_manuales!$M$97+parametros_manuales!$E$30*(datos_base!$D$3+IF(parametros_manuales!$H$30="Todos",datos_base!$D$10,0))*parametros_manuales!$M$102+parametros_manuales!$F$30*(datos_base!$D$4+IF(parametros_manuales!$H$30="Todos",datos_base!$D$11,0))*parametros_manuales!$M$107+parametros_manuales!$G$30*(datos_base!$D$5+IF(parametros_manuales!$H$30="Todos",datos_base!$D$12,0))*parametros_manuales!$M$112)*parametros_manuales!$I$30*parametros_manuales!$J$30</f>
        <v>2075.85</v>
      </c>
      <c r="N69" s="8">
        <f t="shared" si="7"/>
        <v>23065</v>
      </c>
      <c r="O69" s="8">
        <f t="shared" si="8"/>
        <v>2075.85</v>
      </c>
      <c r="P69" s="27">
        <f>O69/(parametros_manuales!$B$7)</f>
        <v>13.839</v>
      </c>
      <c r="Q69" s="4" t="str">
        <f t="shared" si="9"/>
        <v>Ene</v>
      </c>
      <c r="R69" s="16"/>
      <c r="S69" s="16"/>
    </row>
    <row r="70" ht="14.25" customHeight="1">
      <c r="A70" s="4" t="str">
        <f>parametros_manuales!$B$31</f>
        <v>Soldadura circunferencial de cúpula y fondo</v>
      </c>
      <c r="B70" s="8">
        <f>(parametros_manuales!$D$31*(datos_base!$D$2+IF(parametros_manuales!$H$31="Todos",datos_base!$D$9,0))*parametros_manuales!$B$97+parametros_manuales!$E$31*(datos_base!$D$3+IF(parametros_manuales!$H$31="Todos",datos_base!$D$10,0))*parametros_manuales!$B$102+parametros_manuales!$F$31*(datos_base!$D$4+IF(parametros_manuales!$H$31="Todos",datos_base!$D$11,0))*parametros_manuales!$B$107+parametros_manuales!$G$31*(datos_base!$D$5+IF(parametros_manuales!$H$31="Todos",datos_base!$D$12,0))*parametros_manuales!$B$112)*parametros_manuales!$I$31*parametros_manuales!$J$31</f>
        <v>2075.85</v>
      </c>
      <c r="C70" s="8">
        <f>(parametros_manuales!$D$31*(datos_base!$D$2+IF(parametros_manuales!$H$31="Todos",datos_base!$D$9,0))*parametros_manuales!$C$97+parametros_manuales!$E$31*(datos_base!$D$3+IF(parametros_manuales!$H$31="Todos",datos_base!$D$10,0))*parametros_manuales!$C$102+parametros_manuales!$F$31*(datos_base!$D$4+IF(parametros_manuales!$H$31="Todos",datos_base!$D$11,0))*parametros_manuales!$C$107+parametros_manuales!$G$31*(datos_base!$D$5+IF(parametros_manuales!$H$31="Todos",datos_base!$D$12,0))*parametros_manuales!$C$112)*parametros_manuales!$I$31*parametros_manuales!$J$31</f>
        <v>1990.34</v>
      </c>
      <c r="D70" s="8">
        <f>(parametros_manuales!$D$31*(datos_base!$D$2+IF(parametros_manuales!$H$31="Todos",datos_base!$D$9,0))*parametros_manuales!$D$97+parametros_manuales!$E$31*(datos_base!$D$3+IF(parametros_manuales!$H$31="Todos",datos_base!$D$10,0))*parametros_manuales!$D$102+parametros_manuales!$F$31*(datos_base!$D$4+IF(parametros_manuales!$H$31="Todos",datos_base!$D$11,0))*parametros_manuales!$D$107+parametros_manuales!$G$31*(datos_base!$D$5+IF(parametros_manuales!$H$31="Todos",datos_base!$D$12,0))*parametros_manuales!$D$112)*parametros_manuales!$I$31*parametros_manuales!$J$31</f>
        <v>1887.955</v>
      </c>
      <c r="E70" s="8">
        <f>(parametros_manuales!$D$31*(datos_base!$D$2+IF(parametros_manuales!$H$31="Todos",datos_base!$D$9,0))*parametros_manuales!$E$97+parametros_manuales!$E$31*(datos_base!$D$3+IF(parametros_manuales!$H$31="Todos",datos_base!$D$10,0))*parametros_manuales!$E$102+parametros_manuales!$F$31*(datos_base!$D$4+IF(parametros_manuales!$H$31="Todos",datos_base!$D$11,0))*parametros_manuales!$E$107+parametros_manuales!$G$31*(datos_base!$D$5+IF(parametros_manuales!$H$31="Todos",datos_base!$D$12,0))*parametros_manuales!$E$112)*parametros_manuales!$I$31*parametros_manuales!$J$31</f>
        <v>1815.385</v>
      </c>
      <c r="F70" s="8">
        <f>(parametros_manuales!$D$31*(datos_base!$D$2+IF(parametros_manuales!$H$31="Todos",datos_base!$D$9,0))*parametros_manuales!$F$97+parametros_manuales!$E$31*(datos_base!$D$3+IF(parametros_manuales!$H$31="Todos",datos_base!$D$10,0))*parametros_manuales!$F$102+parametros_manuales!$F$31*(datos_base!$D$4+IF(parametros_manuales!$H$31="Todos",datos_base!$D$11,0))*parametros_manuales!$F$107+parametros_manuales!$G$31*(datos_base!$D$5+IF(parametros_manuales!$H$31="Todos",datos_base!$D$12,0))*parametros_manuales!$F$112)*parametros_manuales!$I$31*parametros_manuales!$J$31</f>
        <v>1700.06</v>
      </c>
      <c r="G70" s="8">
        <f>(parametros_manuales!$D$31*(datos_base!$D$2+IF(parametros_manuales!$H$31="Todos",datos_base!$D$9,0))*parametros_manuales!$G$97+parametros_manuales!$E$31*(datos_base!$D$3+IF(parametros_manuales!$H$31="Todos",datos_base!$D$10,0))*parametros_manuales!$G$102+parametros_manuales!$F$31*(datos_base!$D$4+IF(parametros_manuales!$H$31="Todos",datos_base!$D$11,0))*parametros_manuales!$G$107+parametros_manuales!$G$31*(datos_base!$D$5+IF(parametros_manuales!$H$31="Todos",datos_base!$D$12,0))*parametros_manuales!$G$112)*parametros_manuales!$I$31*parametros_manuales!$J$31</f>
        <v>1657.305</v>
      </c>
      <c r="H70" s="8">
        <f>(parametros_manuales!$D$31*(datos_base!$D$2+IF(parametros_manuales!$H$31="Todos",datos_base!$D$9,0))*parametros_manuales!$H$97+parametros_manuales!$E$31*(datos_base!$D$3+IF(parametros_manuales!$H$31="Todos",datos_base!$D$10,0))*parametros_manuales!$H$102+parametros_manuales!$F$31*(datos_base!$D$4+IF(parametros_manuales!$H$31="Todos",datos_base!$D$11,0))*parametros_manuales!$H$107+parametros_manuales!$G$31*(datos_base!$D$5+IF(parametros_manuales!$H$31="Todos",datos_base!$D$12,0))*parametros_manuales!$H$112)*parametros_manuales!$I$31*parametros_manuales!$J$31</f>
        <v>1772.63</v>
      </c>
      <c r="I70" s="8">
        <f>(parametros_manuales!$D$31*(datos_base!$D$2+IF(parametros_manuales!$H$31="Todos",datos_base!$D$9,0))*parametros_manuales!$I$97+parametros_manuales!$E$31*(datos_base!$D$3+IF(parametros_manuales!$H$31="Todos",datos_base!$D$10,0))*parametros_manuales!$I$102+parametros_manuales!$F$31*(datos_base!$D$4+IF(parametros_manuales!$H$31="Todos",datos_base!$D$11,0))*parametros_manuales!$I$107+parametros_manuales!$G$31*(datos_base!$D$5+IF(parametros_manuales!$H$31="Todos",datos_base!$D$12,0))*parametros_manuales!$I$112)*parametros_manuales!$I$31*parametros_manuales!$J$31</f>
        <v>1990.34</v>
      </c>
      <c r="J70" s="8">
        <f>(parametros_manuales!$D$31*(datos_base!$D$2+IF(parametros_manuales!$H$31="Todos",datos_base!$D$9,0))*parametros_manuales!$J$97+parametros_manuales!$E$31*(datos_base!$D$3+IF(parametros_manuales!$H$31="Todos",datos_base!$D$10,0))*parametros_manuales!$J$102+parametros_manuales!$F$31*(datos_base!$D$4+IF(parametros_manuales!$H$31="Todos",datos_base!$D$11,0))*parametros_manuales!$J$107+parametros_manuales!$G$31*(datos_base!$D$5+IF(parametros_manuales!$H$31="Todos",datos_base!$D$12,0))*parametros_manuales!$J$112)*parametros_manuales!$I$31*parametros_manuales!$J$31</f>
        <v>1990.34</v>
      </c>
      <c r="K70" s="8">
        <f>(parametros_manuales!$D$31*(datos_base!$D$2+IF(parametros_manuales!$H$31="Todos",datos_base!$D$9,0))*parametros_manuales!$K$97+parametros_manuales!$E$31*(datos_base!$D$3+IF(parametros_manuales!$H$31="Todos",datos_base!$D$10,0))*parametros_manuales!$K$102+parametros_manuales!$F$31*(datos_base!$D$4+IF(parametros_manuales!$H$31="Todos",datos_base!$D$11,0))*parametros_manuales!$K$107+parametros_manuales!$G$31*(datos_base!$D$5+IF(parametros_manuales!$H$31="Todos",datos_base!$D$12,0))*parametros_manuales!$K$112)*parametros_manuales!$I$31*parametros_manuales!$J$31</f>
        <v>2033.095</v>
      </c>
      <c r="L70" s="8">
        <f>(parametros_manuales!$D$31*(datos_base!$D$2+IF(parametros_manuales!$H$31="Todos",datos_base!$D$9,0))*parametros_manuales!$L$97+parametros_manuales!$E$31*(datos_base!$D$3+IF(parametros_manuales!$H$31="Todos",datos_base!$D$10,0))*parametros_manuales!$L$102+parametros_manuales!$F$31*(datos_base!$D$4+IF(parametros_manuales!$H$31="Todos",datos_base!$D$11,0))*parametros_manuales!$L$107+parametros_manuales!$G$31*(datos_base!$D$5+IF(parametros_manuales!$H$31="Todos",datos_base!$D$12,0))*parametros_manuales!$L$112)*parametros_manuales!$I$31*parametros_manuales!$J$31</f>
        <v>2075.85</v>
      </c>
      <c r="M70" s="8">
        <f>(parametros_manuales!$D$31*(datos_base!$D$2+IF(parametros_manuales!$H$31="Todos",datos_base!$D$9,0))*parametros_manuales!$M$97+parametros_manuales!$E$31*(datos_base!$D$3+IF(parametros_manuales!$H$31="Todos",datos_base!$D$10,0))*parametros_manuales!$M$102+parametros_manuales!$F$31*(datos_base!$D$4+IF(parametros_manuales!$H$31="Todos",datos_base!$D$11,0))*parametros_manuales!$M$107+parametros_manuales!$G$31*(datos_base!$D$5+IF(parametros_manuales!$H$31="Todos",datos_base!$D$12,0))*parametros_manuales!$M$112)*parametros_manuales!$I$31*parametros_manuales!$J$31</f>
        <v>2075.85</v>
      </c>
      <c r="N70" s="8">
        <f t="shared" si="7"/>
        <v>23065</v>
      </c>
      <c r="O70" s="8">
        <f t="shared" si="8"/>
        <v>2075.85</v>
      </c>
      <c r="P70" s="27">
        <f>O70/(parametros_manuales!$B$7)</f>
        <v>13.839</v>
      </c>
      <c r="Q70" s="4" t="str">
        <f t="shared" si="9"/>
        <v>Ene</v>
      </c>
      <c r="R70" s="16"/>
      <c r="S70" s="16"/>
    </row>
    <row r="71" ht="14.25" customHeight="1">
      <c r="A71" s="4" t="str">
        <f>parametros_manuales!$B$32</f>
        <v>Control de calidad — Espesor</v>
      </c>
      <c r="B71" s="8">
        <f>(parametros_manuales!$D$32*(datos_base!$D$2+IF(parametros_manuales!$H$32="Todos",datos_base!$D$9,0))*parametros_manuales!$B$97+parametros_manuales!$E$32*(datos_base!$D$3+IF(parametros_manuales!$H$32="Todos",datos_base!$D$10,0))*parametros_manuales!$B$102+parametros_manuales!$F$32*(datos_base!$D$4+IF(parametros_manuales!$H$32="Todos",datos_base!$D$11,0))*parametros_manuales!$B$107+parametros_manuales!$G$32*(datos_base!$D$5+IF(parametros_manuales!$H$32="Todos",datos_base!$D$12,0))*parametros_manuales!$B$112)*parametros_manuales!$I$32*parametros_manuales!$J$32</f>
        <v>41.517</v>
      </c>
      <c r="C71" s="8">
        <f>(parametros_manuales!$D$32*(datos_base!$D$2+IF(parametros_manuales!$H$32="Todos",datos_base!$D$9,0))*parametros_manuales!$C$97+parametros_manuales!$E$32*(datos_base!$D$3+IF(parametros_manuales!$H$32="Todos",datos_base!$D$10,0))*parametros_manuales!$C$102+parametros_manuales!$F$32*(datos_base!$D$4+IF(parametros_manuales!$H$32="Todos",datos_base!$D$11,0))*parametros_manuales!$C$107+parametros_manuales!$G$32*(datos_base!$D$5+IF(parametros_manuales!$H$32="Todos",datos_base!$D$12,0))*parametros_manuales!$C$112)*parametros_manuales!$I$32*parametros_manuales!$J$32</f>
        <v>39.8068</v>
      </c>
      <c r="D71" s="8">
        <f>(parametros_manuales!$D$32*(datos_base!$D$2+IF(parametros_manuales!$H$32="Todos",datos_base!$D$9,0))*parametros_manuales!$D$97+parametros_manuales!$E$32*(datos_base!$D$3+IF(parametros_manuales!$H$32="Todos",datos_base!$D$10,0))*parametros_manuales!$D$102+parametros_manuales!$F$32*(datos_base!$D$4+IF(parametros_manuales!$H$32="Todos",datos_base!$D$11,0))*parametros_manuales!$D$107+parametros_manuales!$G$32*(datos_base!$D$5+IF(parametros_manuales!$H$32="Todos",datos_base!$D$12,0))*parametros_manuales!$D$112)*parametros_manuales!$I$32*parametros_manuales!$J$32</f>
        <v>37.7591</v>
      </c>
      <c r="E71" s="8">
        <f>(parametros_manuales!$D$32*(datos_base!$D$2+IF(parametros_manuales!$H$32="Todos",datos_base!$D$9,0))*parametros_manuales!$E$97+parametros_manuales!$E$32*(datos_base!$D$3+IF(parametros_manuales!$H$32="Todos",datos_base!$D$10,0))*parametros_manuales!$E$102+parametros_manuales!$F$32*(datos_base!$D$4+IF(parametros_manuales!$H$32="Todos",datos_base!$D$11,0))*parametros_manuales!$E$107+parametros_manuales!$G$32*(datos_base!$D$5+IF(parametros_manuales!$H$32="Todos",datos_base!$D$12,0))*parametros_manuales!$E$112)*parametros_manuales!$I$32*parametros_manuales!$J$32</f>
        <v>36.3077</v>
      </c>
      <c r="F71" s="8">
        <f>(parametros_manuales!$D$32*(datos_base!$D$2+IF(parametros_manuales!$H$32="Todos",datos_base!$D$9,0))*parametros_manuales!$F$97+parametros_manuales!$E$32*(datos_base!$D$3+IF(parametros_manuales!$H$32="Todos",datos_base!$D$10,0))*parametros_manuales!$F$102+parametros_manuales!$F$32*(datos_base!$D$4+IF(parametros_manuales!$H$32="Todos",datos_base!$D$11,0))*parametros_manuales!$F$107+parametros_manuales!$G$32*(datos_base!$D$5+IF(parametros_manuales!$H$32="Todos",datos_base!$D$12,0))*parametros_manuales!$F$112)*parametros_manuales!$I$32*parametros_manuales!$J$32</f>
        <v>34.0012</v>
      </c>
      <c r="G71" s="8">
        <f>(parametros_manuales!$D$32*(datos_base!$D$2+IF(parametros_manuales!$H$32="Todos",datos_base!$D$9,0))*parametros_manuales!$G$97+parametros_manuales!$E$32*(datos_base!$D$3+IF(parametros_manuales!$H$32="Todos",datos_base!$D$10,0))*parametros_manuales!$G$102+parametros_manuales!$F$32*(datos_base!$D$4+IF(parametros_manuales!$H$32="Todos",datos_base!$D$11,0))*parametros_manuales!$G$107+parametros_manuales!$G$32*(datos_base!$D$5+IF(parametros_manuales!$H$32="Todos",datos_base!$D$12,0))*parametros_manuales!$G$112)*parametros_manuales!$I$32*parametros_manuales!$J$32</f>
        <v>33.1461</v>
      </c>
      <c r="H71" s="8">
        <f>(parametros_manuales!$D$32*(datos_base!$D$2+IF(parametros_manuales!$H$32="Todos",datos_base!$D$9,0))*parametros_manuales!$H$97+parametros_manuales!$E$32*(datos_base!$D$3+IF(parametros_manuales!$H$32="Todos",datos_base!$D$10,0))*parametros_manuales!$H$102+parametros_manuales!$F$32*(datos_base!$D$4+IF(parametros_manuales!$H$32="Todos",datos_base!$D$11,0))*parametros_manuales!$H$107+parametros_manuales!$G$32*(datos_base!$D$5+IF(parametros_manuales!$H$32="Todos",datos_base!$D$12,0))*parametros_manuales!$H$112)*parametros_manuales!$I$32*parametros_manuales!$J$32</f>
        <v>35.4526</v>
      </c>
      <c r="I71" s="8">
        <f>(parametros_manuales!$D$32*(datos_base!$D$2+IF(parametros_manuales!$H$32="Todos",datos_base!$D$9,0))*parametros_manuales!$I$97+parametros_manuales!$E$32*(datos_base!$D$3+IF(parametros_manuales!$H$32="Todos",datos_base!$D$10,0))*parametros_manuales!$I$102+parametros_manuales!$F$32*(datos_base!$D$4+IF(parametros_manuales!$H$32="Todos",datos_base!$D$11,0))*parametros_manuales!$I$107+parametros_manuales!$G$32*(datos_base!$D$5+IF(parametros_manuales!$H$32="Todos",datos_base!$D$12,0))*parametros_manuales!$I$112)*parametros_manuales!$I$32*parametros_manuales!$J$32</f>
        <v>39.8068</v>
      </c>
      <c r="J71" s="8">
        <f>(parametros_manuales!$D$32*(datos_base!$D$2+IF(parametros_manuales!$H$32="Todos",datos_base!$D$9,0))*parametros_manuales!$J$97+parametros_manuales!$E$32*(datos_base!$D$3+IF(parametros_manuales!$H$32="Todos",datos_base!$D$10,0))*parametros_manuales!$J$102+parametros_manuales!$F$32*(datos_base!$D$4+IF(parametros_manuales!$H$32="Todos",datos_base!$D$11,0))*parametros_manuales!$J$107+parametros_manuales!$G$32*(datos_base!$D$5+IF(parametros_manuales!$H$32="Todos",datos_base!$D$12,0))*parametros_manuales!$J$112)*parametros_manuales!$I$32*parametros_manuales!$J$32</f>
        <v>39.8068</v>
      </c>
      <c r="K71" s="8">
        <f>(parametros_manuales!$D$32*(datos_base!$D$2+IF(parametros_manuales!$H$32="Todos",datos_base!$D$9,0))*parametros_manuales!$K$97+parametros_manuales!$E$32*(datos_base!$D$3+IF(parametros_manuales!$H$32="Todos",datos_base!$D$10,0))*parametros_manuales!$K$102+parametros_manuales!$F$32*(datos_base!$D$4+IF(parametros_manuales!$H$32="Todos",datos_base!$D$11,0))*parametros_manuales!$K$107+parametros_manuales!$G$32*(datos_base!$D$5+IF(parametros_manuales!$H$32="Todos",datos_base!$D$12,0))*parametros_manuales!$K$112)*parametros_manuales!$I$32*parametros_manuales!$J$32</f>
        <v>40.6619</v>
      </c>
      <c r="L71" s="8">
        <f>(parametros_manuales!$D$32*(datos_base!$D$2+IF(parametros_manuales!$H$32="Todos",datos_base!$D$9,0))*parametros_manuales!$L$97+parametros_manuales!$E$32*(datos_base!$D$3+IF(parametros_manuales!$H$32="Todos",datos_base!$D$10,0))*parametros_manuales!$L$102+parametros_manuales!$F$32*(datos_base!$D$4+IF(parametros_manuales!$H$32="Todos",datos_base!$D$11,0))*parametros_manuales!$L$107+parametros_manuales!$G$32*(datos_base!$D$5+IF(parametros_manuales!$H$32="Todos",datos_base!$D$12,0))*parametros_manuales!$L$112)*parametros_manuales!$I$32*parametros_manuales!$J$32</f>
        <v>41.517</v>
      </c>
      <c r="M71" s="8">
        <f>(parametros_manuales!$D$32*(datos_base!$D$2+IF(parametros_manuales!$H$32="Todos",datos_base!$D$9,0))*parametros_manuales!$M$97+parametros_manuales!$E$32*(datos_base!$D$3+IF(parametros_manuales!$H$32="Todos",datos_base!$D$10,0))*parametros_manuales!$M$102+parametros_manuales!$F$32*(datos_base!$D$4+IF(parametros_manuales!$H$32="Todos",datos_base!$D$11,0))*parametros_manuales!$M$107+parametros_manuales!$G$32*(datos_base!$D$5+IF(parametros_manuales!$H$32="Todos",datos_base!$D$12,0))*parametros_manuales!$M$112)*parametros_manuales!$I$32*parametros_manuales!$J$32</f>
        <v>41.517</v>
      </c>
      <c r="N71" s="8">
        <f t="shared" si="7"/>
        <v>461.3</v>
      </c>
      <c r="O71" s="8">
        <f t="shared" si="8"/>
        <v>41.517</v>
      </c>
      <c r="P71" s="27">
        <f>O71/(parametros_manuales!$B$7)</f>
        <v>0.27678</v>
      </c>
      <c r="Q71" s="4" t="str">
        <f t="shared" si="9"/>
        <v>Ene</v>
      </c>
      <c r="R71" s="16"/>
      <c r="S71" s="16"/>
    </row>
    <row r="72" ht="14.25" customHeight="1">
      <c r="A72" s="4" t="str">
        <f>parametros_manuales!$B$33</f>
        <v>Prueba hidráulica</v>
      </c>
      <c r="B72" s="8">
        <f>(parametros_manuales!$D$33*(datos_base!$D$2+IF(parametros_manuales!$H$33="Todos",datos_base!$D$9,0))*parametros_manuales!$B$97+parametros_manuales!$E$33*(datos_base!$D$3+IF(parametros_manuales!$H$33="Todos",datos_base!$D$10,0))*parametros_manuales!$B$102+parametros_manuales!$F$33*(datos_base!$D$4+IF(parametros_manuales!$H$33="Todos",datos_base!$D$11,0))*parametros_manuales!$B$107+parametros_manuales!$G$33*(datos_base!$D$5+IF(parametros_manuales!$H$33="Todos",datos_base!$D$12,0))*parametros_manuales!$B$112)*parametros_manuales!$I$33*parametros_manuales!$J$33</f>
        <v>2075.85</v>
      </c>
      <c r="C72" s="8">
        <f>(parametros_manuales!$D$33*(datos_base!$D$2+IF(parametros_manuales!$H$33="Todos",datos_base!$D$9,0))*parametros_manuales!$C$97+parametros_manuales!$E$33*(datos_base!$D$3+IF(parametros_manuales!$H$33="Todos",datos_base!$D$10,0))*parametros_manuales!$C$102+parametros_manuales!$F$33*(datos_base!$D$4+IF(parametros_manuales!$H$33="Todos",datos_base!$D$11,0))*parametros_manuales!$C$107+parametros_manuales!$G$33*(datos_base!$D$5+IF(parametros_manuales!$H$33="Todos",datos_base!$D$12,0))*parametros_manuales!$C$112)*parametros_manuales!$I$33*parametros_manuales!$J$33</f>
        <v>1990.34</v>
      </c>
      <c r="D72" s="8">
        <f>(parametros_manuales!$D$33*(datos_base!$D$2+IF(parametros_manuales!$H$33="Todos",datos_base!$D$9,0))*parametros_manuales!$D$97+parametros_manuales!$E$33*(datos_base!$D$3+IF(parametros_manuales!$H$33="Todos",datos_base!$D$10,0))*parametros_manuales!$D$102+parametros_manuales!$F$33*(datos_base!$D$4+IF(parametros_manuales!$H$33="Todos",datos_base!$D$11,0))*parametros_manuales!$D$107+parametros_manuales!$G$33*(datos_base!$D$5+IF(parametros_manuales!$H$33="Todos",datos_base!$D$12,0))*parametros_manuales!$D$112)*parametros_manuales!$I$33*parametros_manuales!$J$33</f>
        <v>1887.955</v>
      </c>
      <c r="E72" s="8">
        <f>(parametros_manuales!$D$33*(datos_base!$D$2+IF(parametros_manuales!$H$33="Todos",datos_base!$D$9,0))*parametros_manuales!$E$97+parametros_manuales!$E$33*(datos_base!$D$3+IF(parametros_manuales!$H$33="Todos",datos_base!$D$10,0))*parametros_manuales!$E$102+parametros_manuales!$F$33*(datos_base!$D$4+IF(parametros_manuales!$H$33="Todos",datos_base!$D$11,0))*parametros_manuales!$E$107+parametros_manuales!$G$33*(datos_base!$D$5+IF(parametros_manuales!$H$33="Todos",datos_base!$D$12,0))*parametros_manuales!$E$112)*parametros_manuales!$I$33*parametros_manuales!$J$33</f>
        <v>1815.385</v>
      </c>
      <c r="F72" s="8">
        <f>(parametros_manuales!$D$33*(datos_base!$D$2+IF(parametros_manuales!$H$33="Todos",datos_base!$D$9,0))*parametros_manuales!$F$97+parametros_manuales!$E$33*(datos_base!$D$3+IF(parametros_manuales!$H$33="Todos",datos_base!$D$10,0))*parametros_manuales!$F$102+parametros_manuales!$F$33*(datos_base!$D$4+IF(parametros_manuales!$H$33="Todos",datos_base!$D$11,0))*parametros_manuales!$F$107+parametros_manuales!$G$33*(datos_base!$D$5+IF(parametros_manuales!$H$33="Todos",datos_base!$D$12,0))*parametros_manuales!$F$112)*parametros_manuales!$I$33*parametros_manuales!$J$33</f>
        <v>1700.06</v>
      </c>
      <c r="G72" s="8">
        <f>(parametros_manuales!$D$33*(datos_base!$D$2+IF(parametros_manuales!$H$33="Todos",datos_base!$D$9,0))*parametros_manuales!$G$97+parametros_manuales!$E$33*(datos_base!$D$3+IF(parametros_manuales!$H$33="Todos",datos_base!$D$10,0))*parametros_manuales!$G$102+parametros_manuales!$F$33*(datos_base!$D$4+IF(parametros_manuales!$H$33="Todos",datos_base!$D$11,0))*parametros_manuales!$G$107+parametros_manuales!$G$33*(datos_base!$D$5+IF(parametros_manuales!$H$33="Todos",datos_base!$D$12,0))*parametros_manuales!$G$112)*parametros_manuales!$I$33*parametros_manuales!$J$33</f>
        <v>1657.305</v>
      </c>
      <c r="H72" s="8">
        <f>(parametros_manuales!$D$33*(datos_base!$D$2+IF(parametros_manuales!$H$33="Todos",datos_base!$D$9,0))*parametros_manuales!$H$97+parametros_manuales!$E$33*(datos_base!$D$3+IF(parametros_manuales!$H$33="Todos",datos_base!$D$10,0))*parametros_manuales!$H$102+parametros_manuales!$F$33*(datos_base!$D$4+IF(parametros_manuales!$H$33="Todos",datos_base!$D$11,0))*parametros_manuales!$H$107+parametros_manuales!$G$33*(datos_base!$D$5+IF(parametros_manuales!$H$33="Todos",datos_base!$D$12,0))*parametros_manuales!$H$112)*parametros_manuales!$I$33*parametros_manuales!$J$33</f>
        <v>1772.63</v>
      </c>
      <c r="I72" s="8">
        <f>(parametros_manuales!$D$33*(datos_base!$D$2+IF(parametros_manuales!$H$33="Todos",datos_base!$D$9,0))*parametros_manuales!$I$97+parametros_manuales!$E$33*(datos_base!$D$3+IF(parametros_manuales!$H$33="Todos",datos_base!$D$10,0))*parametros_manuales!$I$102+parametros_manuales!$F$33*(datos_base!$D$4+IF(parametros_manuales!$H$33="Todos",datos_base!$D$11,0))*parametros_manuales!$I$107+parametros_manuales!$G$33*(datos_base!$D$5+IF(parametros_manuales!$H$33="Todos",datos_base!$D$12,0))*parametros_manuales!$I$112)*parametros_manuales!$I$33*parametros_manuales!$J$33</f>
        <v>1990.34</v>
      </c>
      <c r="J72" s="8">
        <f>(parametros_manuales!$D$33*(datos_base!$D$2+IF(parametros_manuales!$H$33="Todos",datos_base!$D$9,0))*parametros_manuales!$J$97+parametros_manuales!$E$33*(datos_base!$D$3+IF(parametros_manuales!$H$33="Todos",datos_base!$D$10,0))*parametros_manuales!$J$102+parametros_manuales!$F$33*(datos_base!$D$4+IF(parametros_manuales!$H$33="Todos",datos_base!$D$11,0))*parametros_manuales!$J$107+parametros_manuales!$G$33*(datos_base!$D$5+IF(parametros_manuales!$H$33="Todos",datos_base!$D$12,0))*parametros_manuales!$J$112)*parametros_manuales!$I$33*parametros_manuales!$J$33</f>
        <v>1990.34</v>
      </c>
      <c r="K72" s="8">
        <f>(parametros_manuales!$D$33*(datos_base!$D$2+IF(parametros_manuales!$H$33="Todos",datos_base!$D$9,0))*parametros_manuales!$K$97+parametros_manuales!$E$33*(datos_base!$D$3+IF(parametros_manuales!$H$33="Todos",datos_base!$D$10,0))*parametros_manuales!$K$102+parametros_manuales!$F$33*(datos_base!$D$4+IF(parametros_manuales!$H$33="Todos",datos_base!$D$11,0))*parametros_manuales!$K$107+parametros_manuales!$G$33*(datos_base!$D$5+IF(parametros_manuales!$H$33="Todos",datos_base!$D$12,0))*parametros_manuales!$K$112)*parametros_manuales!$I$33*parametros_manuales!$J$33</f>
        <v>2033.095</v>
      </c>
      <c r="L72" s="8">
        <f>(parametros_manuales!$D$33*(datos_base!$D$2+IF(parametros_manuales!$H$33="Todos",datos_base!$D$9,0))*parametros_manuales!$L$97+parametros_manuales!$E$33*(datos_base!$D$3+IF(parametros_manuales!$H$33="Todos",datos_base!$D$10,0))*parametros_manuales!$L$102+parametros_manuales!$F$33*(datos_base!$D$4+IF(parametros_manuales!$H$33="Todos",datos_base!$D$11,0))*parametros_manuales!$L$107+parametros_manuales!$G$33*(datos_base!$D$5+IF(parametros_manuales!$H$33="Todos",datos_base!$D$12,0))*parametros_manuales!$L$112)*parametros_manuales!$I$33*parametros_manuales!$J$33</f>
        <v>2075.85</v>
      </c>
      <c r="M72" s="8">
        <f>(parametros_manuales!$D$33*(datos_base!$D$2+IF(parametros_manuales!$H$33="Todos",datos_base!$D$9,0))*parametros_manuales!$M$97+parametros_manuales!$E$33*(datos_base!$D$3+IF(parametros_manuales!$H$33="Todos",datos_base!$D$10,0))*parametros_manuales!$M$102+parametros_manuales!$F$33*(datos_base!$D$4+IF(parametros_manuales!$H$33="Todos",datos_base!$D$11,0))*parametros_manuales!$M$107+parametros_manuales!$G$33*(datos_base!$D$5+IF(parametros_manuales!$H$33="Todos",datos_base!$D$12,0))*parametros_manuales!$M$112)*parametros_manuales!$I$33*parametros_manuales!$J$33</f>
        <v>2075.85</v>
      </c>
      <c r="N72" s="8">
        <f t="shared" si="7"/>
        <v>23065</v>
      </c>
      <c r="O72" s="8">
        <f t="shared" si="8"/>
        <v>2075.85</v>
      </c>
      <c r="P72" s="27">
        <f>O72/(parametros_manuales!$B$7)</f>
        <v>13.839</v>
      </c>
      <c r="Q72" s="4" t="str">
        <f t="shared" si="9"/>
        <v>Ene</v>
      </c>
      <c r="R72" s="16"/>
      <c r="S72" s="16"/>
    </row>
    <row r="73" ht="14.25" customHeight="1">
      <c r="A73" s="4" t="str">
        <f>parametros_manuales!$B$34</f>
        <v>Secado</v>
      </c>
      <c r="B73" s="8">
        <f>(parametros_manuales!$D$34*(datos_base!$D$2+IF(parametros_manuales!$H$34="Todos",datos_base!$D$9,0))*parametros_manuales!$B$97+parametros_manuales!$E$34*(datos_base!$D$3+IF(parametros_manuales!$H$34="Todos",datos_base!$D$10,0))*parametros_manuales!$B$102+parametros_manuales!$F$34*(datos_base!$D$4+IF(parametros_manuales!$H$34="Todos",datos_base!$D$11,0))*parametros_manuales!$B$107+parametros_manuales!$G$34*(datos_base!$D$5+IF(parametros_manuales!$H$34="Todos",datos_base!$D$12,0))*parametros_manuales!$B$112)*parametros_manuales!$I$34*parametros_manuales!$J$34</f>
        <v>2075.85</v>
      </c>
      <c r="C73" s="8">
        <f>(parametros_manuales!$D$34*(datos_base!$D$2+IF(parametros_manuales!$H$34="Todos",datos_base!$D$9,0))*parametros_manuales!$C$97+parametros_manuales!$E$34*(datos_base!$D$3+IF(parametros_manuales!$H$34="Todos",datos_base!$D$10,0))*parametros_manuales!$C$102+parametros_manuales!$F$34*(datos_base!$D$4+IF(parametros_manuales!$H$34="Todos",datos_base!$D$11,0))*parametros_manuales!$C$107+parametros_manuales!$G$34*(datos_base!$D$5+IF(parametros_manuales!$H$34="Todos",datos_base!$D$12,0))*parametros_manuales!$C$112)*parametros_manuales!$I$34*parametros_manuales!$J$34</f>
        <v>1990.34</v>
      </c>
      <c r="D73" s="8">
        <f>(parametros_manuales!$D$34*(datos_base!$D$2+IF(parametros_manuales!$H$34="Todos",datos_base!$D$9,0))*parametros_manuales!$D$97+parametros_manuales!$E$34*(datos_base!$D$3+IF(parametros_manuales!$H$34="Todos",datos_base!$D$10,0))*parametros_manuales!$D$102+parametros_manuales!$F$34*(datos_base!$D$4+IF(parametros_manuales!$H$34="Todos",datos_base!$D$11,0))*parametros_manuales!$D$107+parametros_manuales!$G$34*(datos_base!$D$5+IF(parametros_manuales!$H$34="Todos",datos_base!$D$12,0))*parametros_manuales!$D$112)*parametros_manuales!$I$34*parametros_manuales!$J$34</f>
        <v>1887.955</v>
      </c>
      <c r="E73" s="8">
        <f>(parametros_manuales!$D$34*(datos_base!$D$2+IF(parametros_manuales!$H$34="Todos",datos_base!$D$9,0))*parametros_manuales!$E$97+parametros_manuales!$E$34*(datos_base!$D$3+IF(parametros_manuales!$H$34="Todos",datos_base!$D$10,0))*parametros_manuales!$E$102+parametros_manuales!$F$34*(datos_base!$D$4+IF(parametros_manuales!$H$34="Todos",datos_base!$D$11,0))*parametros_manuales!$E$107+parametros_manuales!$G$34*(datos_base!$D$5+IF(parametros_manuales!$H$34="Todos",datos_base!$D$12,0))*parametros_manuales!$E$112)*parametros_manuales!$I$34*parametros_manuales!$J$34</f>
        <v>1815.385</v>
      </c>
      <c r="F73" s="8">
        <f>(parametros_manuales!$D$34*(datos_base!$D$2+IF(parametros_manuales!$H$34="Todos",datos_base!$D$9,0))*parametros_manuales!$F$97+parametros_manuales!$E$34*(datos_base!$D$3+IF(parametros_manuales!$H$34="Todos",datos_base!$D$10,0))*parametros_manuales!$F$102+parametros_manuales!$F$34*(datos_base!$D$4+IF(parametros_manuales!$H$34="Todos",datos_base!$D$11,0))*parametros_manuales!$F$107+parametros_manuales!$G$34*(datos_base!$D$5+IF(parametros_manuales!$H$34="Todos",datos_base!$D$12,0))*parametros_manuales!$F$112)*parametros_manuales!$I$34*parametros_manuales!$J$34</f>
        <v>1700.06</v>
      </c>
      <c r="G73" s="8">
        <f>(parametros_manuales!$D$34*(datos_base!$D$2+IF(parametros_manuales!$H$34="Todos",datos_base!$D$9,0))*parametros_manuales!$G$97+parametros_manuales!$E$34*(datos_base!$D$3+IF(parametros_manuales!$H$34="Todos",datos_base!$D$10,0))*parametros_manuales!$G$102+parametros_manuales!$F$34*(datos_base!$D$4+IF(parametros_manuales!$H$34="Todos",datos_base!$D$11,0))*parametros_manuales!$G$107+parametros_manuales!$G$34*(datos_base!$D$5+IF(parametros_manuales!$H$34="Todos",datos_base!$D$12,0))*parametros_manuales!$G$112)*parametros_manuales!$I$34*parametros_manuales!$J$34</f>
        <v>1657.305</v>
      </c>
      <c r="H73" s="8">
        <f>(parametros_manuales!$D$34*(datos_base!$D$2+IF(parametros_manuales!$H$34="Todos",datos_base!$D$9,0))*parametros_manuales!$H$97+parametros_manuales!$E$34*(datos_base!$D$3+IF(parametros_manuales!$H$34="Todos",datos_base!$D$10,0))*parametros_manuales!$H$102+parametros_manuales!$F$34*(datos_base!$D$4+IF(parametros_manuales!$H$34="Todos",datos_base!$D$11,0))*parametros_manuales!$H$107+parametros_manuales!$G$34*(datos_base!$D$5+IF(parametros_manuales!$H$34="Todos",datos_base!$D$12,0))*parametros_manuales!$H$112)*parametros_manuales!$I$34*parametros_manuales!$J$34</f>
        <v>1772.63</v>
      </c>
      <c r="I73" s="8">
        <f>(parametros_manuales!$D$34*(datos_base!$D$2+IF(parametros_manuales!$H$34="Todos",datos_base!$D$9,0))*parametros_manuales!$I$97+parametros_manuales!$E$34*(datos_base!$D$3+IF(parametros_manuales!$H$34="Todos",datos_base!$D$10,0))*parametros_manuales!$I$102+parametros_manuales!$F$34*(datos_base!$D$4+IF(parametros_manuales!$H$34="Todos",datos_base!$D$11,0))*parametros_manuales!$I$107+parametros_manuales!$G$34*(datos_base!$D$5+IF(parametros_manuales!$H$34="Todos",datos_base!$D$12,0))*parametros_manuales!$I$112)*parametros_manuales!$I$34*parametros_manuales!$J$34</f>
        <v>1990.34</v>
      </c>
      <c r="J73" s="8">
        <f>(parametros_manuales!$D$34*(datos_base!$D$2+IF(parametros_manuales!$H$34="Todos",datos_base!$D$9,0))*parametros_manuales!$J$97+parametros_manuales!$E$34*(datos_base!$D$3+IF(parametros_manuales!$H$34="Todos",datos_base!$D$10,0))*parametros_manuales!$J$102+parametros_manuales!$F$34*(datos_base!$D$4+IF(parametros_manuales!$H$34="Todos",datos_base!$D$11,0))*parametros_manuales!$J$107+parametros_manuales!$G$34*(datos_base!$D$5+IF(parametros_manuales!$H$34="Todos",datos_base!$D$12,0))*parametros_manuales!$J$112)*parametros_manuales!$I$34*parametros_manuales!$J$34</f>
        <v>1990.34</v>
      </c>
      <c r="K73" s="8">
        <f>(parametros_manuales!$D$34*(datos_base!$D$2+IF(parametros_manuales!$H$34="Todos",datos_base!$D$9,0))*parametros_manuales!$K$97+parametros_manuales!$E$34*(datos_base!$D$3+IF(parametros_manuales!$H$34="Todos",datos_base!$D$10,0))*parametros_manuales!$K$102+parametros_manuales!$F$34*(datos_base!$D$4+IF(parametros_manuales!$H$34="Todos",datos_base!$D$11,0))*parametros_manuales!$K$107+parametros_manuales!$G$34*(datos_base!$D$5+IF(parametros_manuales!$H$34="Todos",datos_base!$D$12,0))*parametros_manuales!$K$112)*parametros_manuales!$I$34*parametros_manuales!$J$34</f>
        <v>2033.095</v>
      </c>
      <c r="L73" s="8">
        <f>(parametros_manuales!$D$34*(datos_base!$D$2+IF(parametros_manuales!$H$34="Todos",datos_base!$D$9,0))*parametros_manuales!$L$97+parametros_manuales!$E$34*(datos_base!$D$3+IF(parametros_manuales!$H$34="Todos",datos_base!$D$10,0))*parametros_manuales!$L$102+parametros_manuales!$F$34*(datos_base!$D$4+IF(parametros_manuales!$H$34="Todos",datos_base!$D$11,0))*parametros_manuales!$L$107+parametros_manuales!$G$34*(datos_base!$D$5+IF(parametros_manuales!$H$34="Todos",datos_base!$D$12,0))*parametros_manuales!$L$112)*parametros_manuales!$I$34*parametros_manuales!$J$34</f>
        <v>2075.85</v>
      </c>
      <c r="M73" s="8">
        <f>(parametros_manuales!$D$34*(datos_base!$D$2+IF(parametros_manuales!$H$34="Todos",datos_base!$D$9,0))*parametros_manuales!$M$97+parametros_manuales!$E$34*(datos_base!$D$3+IF(parametros_manuales!$H$34="Todos",datos_base!$D$10,0))*parametros_manuales!$M$102+parametros_manuales!$F$34*(datos_base!$D$4+IF(parametros_manuales!$H$34="Todos",datos_base!$D$11,0))*parametros_manuales!$M$107+parametros_manuales!$G$34*(datos_base!$D$5+IF(parametros_manuales!$H$34="Todos",datos_base!$D$12,0))*parametros_manuales!$M$112)*parametros_manuales!$I$34*parametros_manuales!$J$34</f>
        <v>2075.85</v>
      </c>
      <c r="N73" s="8">
        <f t="shared" si="7"/>
        <v>23065</v>
      </c>
      <c r="O73" s="8">
        <f t="shared" si="8"/>
        <v>2075.85</v>
      </c>
      <c r="P73" s="27">
        <f>O73/(parametros_manuales!$B$7)</f>
        <v>13.839</v>
      </c>
      <c r="Q73" s="4" t="str">
        <f t="shared" si="9"/>
        <v>Ene</v>
      </c>
      <c r="R73" s="16"/>
      <c r="S73" s="16"/>
    </row>
    <row r="74" ht="14.25" customHeight="1">
      <c r="A74" s="4" t="str">
        <f>parametros_manuales!$B$35</f>
        <v>Granallado</v>
      </c>
      <c r="B74" s="8">
        <f>(parametros_manuales!$D$35*(datos_base!$D$2+IF(parametros_manuales!$H$35="Todos",datos_base!$D$9,0))*parametros_manuales!$B$97+parametros_manuales!$E$35*(datos_base!$D$3+IF(parametros_manuales!$H$35="Todos",datos_base!$D$10,0))*parametros_manuales!$B$102+parametros_manuales!$F$35*(datos_base!$D$4+IF(parametros_manuales!$H$35="Todos",datos_base!$D$11,0))*parametros_manuales!$B$107+parametros_manuales!$G$35*(datos_base!$D$5+IF(parametros_manuales!$H$35="Todos",datos_base!$D$12,0))*parametros_manuales!$B$112)*parametros_manuales!$I$35*parametros_manuales!$J$35</f>
        <v>2075.85</v>
      </c>
      <c r="C74" s="8">
        <f>(parametros_manuales!$D$35*(datos_base!$D$2+IF(parametros_manuales!$H$35="Todos",datos_base!$D$9,0))*parametros_manuales!$C$97+parametros_manuales!$E$35*(datos_base!$D$3+IF(parametros_manuales!$H$35="Todos",datos_base!$D$10,0))*parametros_manuales!$C$102+parametros_manuales!$F$35*(datos_base!$D$4+IF(parametros_manuales!$H$35="Todos",datos_base!$D$11,0))*parametros_manuales!$C$107+parametros_manuales!$G$35*(datos_base!$D$5+IF(parametros_manuales!$H$35="Todos",datos_base!$D$12,0))*parametros_manuales!$C$112)*parametros_manuales!$I$35*parametros_manuales!$J$35</f>
        <v>1990.34</v>
      </c>
      <c r="D74" s="8">
        <f>(parametros_manuales!$D$35*(datos_base!$D$2+IF(parametros_manuales!$H$35="Todos",datos_base!$D$9,0))*parametros_manuales!$D$97+parametros_manuales!$E$35*(datos_base!$D$3+IF(parametros_manuales!$H$35="Todos",datos_base!$D$10,0))*parametros_manuales!$D$102+parametros_manuales!$F$35*(datos_base!$D$4+IF(parametros_manuales!$H$35="Todos",datos_base!$D$11,0))*parametros_manuales!$D$107+parametros_manuales!$G$35*(datos_base!$D$5+IF(parametros_manuales!$H$35="Todos",datos_base!$D$12,0))*parametros_manuales!$D$112)*parametros_manuales!$I$35*parametros_manuales!$J$35</f>
        <v>1887.955</v>
      </c>
      <c r="E74" s="8">
        <f>(parametros_manuales!$D$35*(datos_base!$D$2+IF(parametros_manuales!$H$35="Todos",datos_base!$D$9,0))*parametros_manuales!$E$97+parametros_manuales!$E$35*(datos_base!$D$3+IF(parametros_manuales!$H$35="Todos",datos_base!$D$10,0))*parametros_manuales!$E$102+parametros_manuales!$F$35*(datos_base!$D$4+IF(parametros_manuales!$H$35="Todos",datos_base!$D$11,0))*parametros_manuales!$E$107+parametros_manuales!$G$35*(datos_base!$D$5+IF(parametros_manuales!$H$35="Todos",datos_base!$D$12,0))*parametros_manuales!$E$112)*parametros_manuales!$I$35*parametros_manuales!$J$35</f>
        <v>1815.385</v>
      </c>
      <c r="F74" s="8">
        <f>(parametros_manuales!$D$35*(datos_base!$D$2+IF(parametros_manuales!$H$35="Todos",datos_base!$D$9,0))*parametros_manuales!$F$97+parametros_manuales!$E$35*(datos_base!$D$3+IF(parametros_manuales!$H$35="Todos",datos_base!$D$10,0))*parametros_manuales!$F$102+parametros_manuales!$F$35*(datos_base!$D$4+IF(parametros_manuales!$H$35="Todos",datos_base!$D$11,0))*parametros_manuales!$F$107+parametros_manuales!$G$35*(datos_base!$D$5+IF(parametros_manuales!$H$35="Todos",datos_base!$D$12,0))*parametros_manuales!$F$112)*parametros_manuales!$I$35*parametros_manuales!$J$35</f>
        <v>1700.06</v>
      </c>
      <c r="G74" s="8">
        <f>(parametros_manuales!$D$35*(datos_base!$D$2+IF(parametros_manuales!$H$35="Todos",datos_base!$D$9,0))*parametros_manuales!$G$97+parametros_manuales!$E$35*(datos_base!$D$3+IF(parametros_manuales!$H$35="Todos",datos_base!$D$10,0))*parametros_manuales!$G$102+parametros_manuales!$F$35*(datos_base!$D$4+IF(parametros_manuales!$H$35="Todos",datos_base!$D$11,0))*parametros_manuales!$G$107+parametros_manuales!$G$35*(datos_base!$D$5+IF(parametros_manuales!$H$35="Todos",datos_base!$D$12,0))*parametros_manuales!$G$112)*parametros_manuales!$I$35*parametros_manuales!$J$35</f>
        <v>1657.305</v>
      </c>
      <c r="H74" s="8">
        <f>(parametros_manuales!$D$35*(datos_base!$D$2+IF(parametros_manuales!$H$35="Todos",datos_base!$D$9,0))*parametros_manuales!$H$97+parametros_manuales!$E$35*(datos_base!$D$3+IF(parametros_manuales!$H$35="Todos",datos_base!$D$10,0))*parametros_manuales!$H$102+parametros_manuales!$F$35*(datos_base!$D$4+IF(parametros_manuales!$H$35="Todos",datos_base!$D$11,0))*parametros_manuales!$H$107+parametros_manuales!$G$35*(datos_base!$D$5+IF(parametros_manuales!$H$35="Todos",datos_base!$D$12,0))*parametros_manuales!$H$112)*parametros_manuales!$I$35*parametros_manuales!$J$35</f>
        <v>1772.63</v>
      </c>
      <c r="I74" s="8">
        <f>(parametros_manuales!$D$35*(datos_base!$D$2+IF(parametros_manuales!$H$35="Todos",datos_base!$D$9,0))*parametros_manuales!$I$97+parametros_manuales!$E$35*(datos_base!$D$3+IF(parametros_manuales!$H$35="Todos",datos_base!$D$10,0))*parametros_manuales!$I$102+parametros_manuales!$F$35*(datos_base!$D$4+IF(parametros_manuales!$H$35="Todos",datos_base!$D$11,0))*parametros_manuales!$I$107+parametros_manuales!$G$35*(datos_base!$D$5+IF(parametros_manuales!$H$35="Todos",datos_base!$D$12,0))*parametros_manuales!$I$112)*parametros_manuales!$I$35*parametros_manuales!$J$35</f>
        <v>1990.34</v>
      </c>
      <c r="J74" s="8">
        <f>(parametros_manuales!$D$35*(datos_base!$D$2+IF(parametros_manuales!$H$35="Todos",datos_base!$D$9,0))*parametros_manuales!$J$97+parametros_manuales!$E$35*(datos_base!$D$3+IF(parametros_manuales!$H$35="Todos",datos_base!$D$10,0))*parametros_manuales!$J$102+parametros_manuales!$F$35*(datos_base!$D$4+IF(parametros_manuales!$H$35="Todos",datos_base!$D$11,0))*parametros_manuales!$J$107+parametros_manuales!$G$35*(datos_base!$D$5+IF(parametros_manuales!$H$35="Todos",datos_base!$D$12,0))*parametros_manuales!$J$112)*parametros_manuales!$I$35*parametros_manuales!$J$35</f>
        <v>1990.34</v>
      </c>
      <c r="K74" s="8">
        <f>(parametros_manuales!$D$35*(datos_base!$D$2+IF(parametros_manuales!$H$35="Todos",datos_base!$D$9,0))*parametros_manuales!$K$97+parametros_manuales!$E$35*(datos_base!$D$3+IF(parametros_manuales!$H$35="Todos",datos_base!$D$10,0))*parametros_manuales!$K$102+parametros_manuales!$F$35*(datos_base!$D$4+IF(parametros_manuales!$H$35="Todos",datos_base!$D$11,0))*parametros_manuales!$K$107+parametros_manuales!$G$35*(datos_base!$D$5+IF(parametros_manuales!$H$35="Todos",datos_base!$D$12,0))*parametros_manuales!$K$112)*parametros_manuales!$I$35*parametros_manuales!$J$35</f>
        <v>2033.095</v>
      </c>
      <c r="L74" s="8">
        <f>(parametros_manuales!$D$35*(datos_base!$D$2+IF(parametros_manuales!$H$35="Todos",datos_base!$D$9,0))*parametros_manuales!$L$97+parametros_manuales!$E$35*(datos_base!$D$3+IF(parametros_manuales!$H$35="Todos",datos_base!$D$10,0))*parametros_manuales!$L$102+parametros_manuales!$F$35*(datos_base!$D$4+IF(parametros_manuales!$H$35="Todos",datos_base!$D$11,0))*parametros_manuales!$L$107+parametros_manuales!$G$35*(datos_base!$D$5+IF(parametros_manuales!$H$35="Todos",datos_base!$D$12,0))*parametros_manuales!$L$112)*parametros_manuales!$I$35*parametros_manuales!$J$35</f>
        <v>2075.85</v>
      </c>
      <c r="M74" s="8">
        <f>(parametros_manuales!$D$35*(datos_base!$D$2+IF(parametros_manuales!$H$35="Todos",datos_base!$D$9,0))*parametros_manuales!$M$97+parametros_manuales!$E$35*(datos_base!$D$3+IF(parametros_manuales!$H$35="Todos",datos_base!$D$10,0))*parametros_manuales!$M$102+parametros_manuales!$F$35*(datos_base!$D$4+IF(parametros_manuales!$H$35="Todos",datos_base!$D$11,0))*parametros_manuales!$M$107+parametros_manuales!$G$35*(datos_base!$D$5+IF(parametros_manuales!$H$35="Todos",datos_base!$D$12,0))*parametros_manuales!$M$112)*parametros_manuales!$I$35*parametros_manuales!$J$35</f>
        <v>2075.85</v>
      </c>
      <c r="N74" s="8">
        <f t="shared" si="7"/>
        <v>23065</v>
      </c>
      <c r="O74" s="8">
        <f t="shared" si="8"/>
        <v>2075.85</v>
      </c>
      <c r="P74" s="27">
        <f>O74/(parametros_manuales!$B$7)</f>
        <v>13.839</v>
      </c>
      <c r="Q74" s="4" t="str">
        <f t="shared" si="9"/>
        <v>Ene</v>
      </c>
      <c r="R74" s="16"/>
      <c r="S74" s="16"/>
    </row>
    <row r="75" ht="14.25" customHeight="1">
      <c r="A75" s="4" t="str">
        <f>parametros_manuales!$B$36</f>
        <v>Detección de defectos</v>
      </c>
      <c r="B75" s="8">
        <f>(parametros_manuales!$D$36*(datos_base!$D$2+IF(parametros_manuales!$H$36="Todos",datos_base!$D$9,0))*parametros_manuales!$B$97+parametros_manuales!$E$36*(datos_base!$D$3+IF(parametros_manuales!$H$36="Todos",datos_base!$D$10,0))*parametros_manuales!$B$102+parametros_manuales!$F$36*(datos_base!$D$4+IF(parametros_manuales!$H$36="Todos",datos_base!$D$11,0))*parametros_manuales!$B$107+parametros_manuales!$G$36*(datos_base!$D$5+IF(parametros_manuales!$H$36="Todos",datos_base!$D$12,0))*parametros_manuales!$B$112)*parametros_manuales!$I$36*parametros_manuales!$J$36</f>
        <v>2075.85</v>
      </c>
      <c r="C75" s="8">
        <f>(parametros_manuales!$D$36*(datos_base!$D$2+IF(parametros_manuales!$H$36="Todos",datos_base!$D$9,0))*parametros_manuales!$C$97+parametros_manuales!$E$36*(datos_base!$D$3+IF(parametros_manuales!$H$36="Todos",datos_base!$D$10,0))*parametros_manuales!$C$102+parametros_manuales!$F$36*(datos_base!$D$4+IF(parametros_manuales!$H$36="Todos",datos_base!$D$11,0))*parametros_manuales!$C$107+parametros_manuales!$G$36*(datos_base!$D$5+IF(parametros_manuales!$H$36="Todos",datos_base!$D$12,0))*parametros_manuales!$C$112)*parametros_manuales!$I$36*parametros_manuales!$J$36</f>
        <v>1990.34</v>
      </c>
      <c r="D75" s="8">
        <f>(parametros_manuales!$D$36*(datos_base!$D$2+IF(parametros_manuales!$H$36="Todos",datos_base!$D$9,0))*parametros_manuales!$D$97+parametros_manuales!$E$36*(datos_base!$D$3+IF(parametros_manuales!$H$36="Todos",datos_base!$D$10,0))*parametros_manuales!$D$102+parametros_manuales!$F$36*(datos_base!$D$4+IF(parametros_manuales!$H$36="Todos",datos_base!$D$11,0))*parametros_manuales!$D$107+parametros_manuales!$G$36*(datos_base!$D$5+IF(parametros_manuales!$H$36="Todos",datos_base!$D$12,0))*parametros_manuales!$D$112)*parametros_manuales!$I$36*parametros_manuales!$J$36</f>
        <v>1887.955</v>
      </c>
      <c r="E75" s="8">
        <f>(parametros_manuales!$D$36*(datos_base!$D$2+IF(parametros_manuales!$H$36="Todos",datos_base!$D$9,0))*parametros_manuales!$E$97+parametros_manuales!$E$36*(datos_base!$D$3+IF(parametros_manuales!$H$36="Todos",datos_base!$D$10,0))*parametros_manuales!$E$102+parametros_manuales!$F$36*(datos_base!$D$4+IF(parametros_manuales!$H$36="Todos",datos_base!$D$11,0))*parametros_manuales!$E$107+parametros_manuales!$G$36*(datos_base!$D$5+IF(parametros_manuales!$H$36="Todos",datos_base!$D$12,0))*parametros_manuales!$E$112)*parametros_manuales!$I$36*parametros_manuales!$J$36</f>
        <v>1815.385</v>
      </c>
      <c r="F75" s="8">
        <f>(parametros_manuales!$D$36*(datos_base!$D$2+IF(parametros_manuales!$H$36="Todos",datos_base!$D$9,0))*parametros_manuales!$F$97+parametros_manuales!$E$36*(datos_base!$D$3+IF(parametros_manuales!$H$36="Todos",datos_base!$D$10,0))*parametros_manuales!$F$102+parametros_manuales!$F$36*(datos_base!$D$4+IF(parametros_manuales!$H$36="Todos",datos_base!$D$11,0))*parametros_manuales!$F$107+parametros_manuales!$G$36*(datos_base!$D$5+IF(parametros_manuales!$H$36="Todos",datos_base!$D$12,0))*parametros_manuales!$F$112)*parametros_manuales!$I$36*parametros_manuales!$J$36</f>
        <v>1700.06</v>
      </c>
      <c r="G75" s="8">
        <f>(parametros_manuales!$D$36*(datos_base!$D$2+IF(parametros_manuales!$H$36="Todos",datos_base!$D$9,0))*parametros_manuales!$G$97+parametros_manuales!$E$36*(datos_base!$D$3+IF(parametros_manuales!$H$36="Todos",datos_base!$D$10,0))*parametros_manuales!$G$102+parametros_manuales!$F$36*(datos_base!$D$4+IF(parametros_manuales!$H$36="Todos",datos_base!$D$11,0))*parametros_manuales!$G$107+parametros_manuales!$G$36*(datos_base!$D$5+IF(parametros_manuales!$H$36="Todos",datos_base!$D$12,0))*parametros_manuales!$G$112)*parametros_manuales!$I$36*parametros_manuales!$J$36</f>
        <v>1657.305</v>
      </c>
      <c r="H75" s="8">
        <f>(parametros_manuales!$D$36*(datos_base!$D$2+IF(parametros_manuales!$H$36="Todos",datos_base!$D$9,0))*parametros_manuales!$H$97+parametros_manuales!$E$36*(datos_base!$D$3+IF(parametros_manuales!$H$36="Todos",datos_base!$D$10,0))*parametros_manuales!$H$102+parametros_manuales!$F$36*(datos_base!$D$4+IF(parametros_manuales!$H$36="Todos",datos_base!$D$11,0))*parametros_manuales!$H$107+parametros_manuales!$G$36*(datos_base!$D$5+IF(parametros_manuales!$H$36="Todos",datos_base!$D$12,0))*parametros_manuales!$H$112)*parametros_manuales!$I$36*parametros_manuales!$J$36</f>
        <v>1772.63</v>
      </c>
      <c r="I75" s="8">
        <f>(parametros_manuales!$D$36*(datos_base!$D$2+IF(parametros_manuales!$H$36="Todos",datos_base!$D$9,0))*parametros_manuales!$I$97+parametros_manuales!$E$36*(datos_base!$D$3+IF(parametros_manuales!$H$36="Todos",datos_base!$D$10,0))*parametros_manuales!$I$102+parametros_manuales!$F$36*(datos_base!$D$4+IF(parametros_manuales!$H$36="Todos",datos_base!$D$11,0))*parametros_manuales!$I$107+parametros_manuales!$G$36*(datos_base!$D$5+IF(parametros_manuales!$H$36="Todos",datos_base!$D$12,0))*parametros_manuales!$I$112)*parametros_manuales!$I$36*parametros_manuales!$J$36</f>
        <v>1990.34</v>
      </c>
      <c r="J75" s="8">
        <f>(parametros_manuales!$D$36*(datos_base!$D$2+IF(parametros_manuales!$H$36="Todos",datos_base!$D$9,0))*parametros_manuales!$J$97+parametros_manuales!$E$36*(datos_base!$D$3+IF(parametros_manuales!$H$36="Todos",datos_base!$D$10,0))*parametros_manuales!$J$102+parametros_manuales!$F$36*(datos_base!$D$4+IF(parametros_manuales!$H$36="Todos",datos_base!$D$11,0))*parametros_manuales!$J$107+parametros_manuales!$G$36*(datos_base!$D$5+IF(parametros_manuales!$H$36="Todos",datos_base!$D$12,0))*parametros_manuales!$J$112)*parametros_manuales!$I$36*parametros_manuales!$J$36</f>
        <v>1990.34</v>
      </c>
      <c r="K75" s="8">
        <f>(parametros_manuales!$D$36*(datos_base!$D$2+IF(parametros_manuales!$H$36="Todos",datos_base!$D$9,0))*parametros_manuales!$K$97+parametros_manuales!$E$36*(datos_base!$D$3+IF(parametros_manuales!$H$36="Todos",datos_base!$D$10,0))*parametros_manuales!$K$102+parametros_manuales!$F$36*(datos_base!$D$4+IF(parametros_manuales!$H$36="Todos",datos_base!$D$11,0))*parametros_manuales!$K$107+parametros_manuales!$G$36*(datos_base!$D$5+IF(parametros_manuales!$H$36="Todos",datos_base!$D$12,0))*parametros_manuales!$K$112)*parametros_manuales!$I$36*parametros_manuales!$J$36</f>
        <v>2033.095</v>
      </c>
      <c r="L75" s="8">
        <f>(parametros_manuales!$D$36*(datos_base!$D$2+IF(parametros_manuales!$H$36="Todos",datos_base!$D$9,0))*parametros_manuales!$L$97+parametros_manuales!$E$36*(datos_base!$D$3+IF(parametros_manuales!$H$36="Todos",datos_base!$D$10,0))*parametros_manuales!$L$102+parametros_manuales!$F$36*(datos_base!$D$4+IF(parametros_manuales!$H$36="Todos",datos_base!$D$11,0))*parametros_manuales!$L$107+parametros_manuales!$G$36*(datos_base!$D$5+IF(parametros_manuales!$H$36="Todos",datos_base!$D$12,0))*parametros_manuales!$L$112)*parametros_manuales!$I$36*parametros_manuales!$J$36</f>
        <v>2075.85</v>
      </c>
      <c r="M75" s="8">
        <f>(parametros_manuales!$D$36*(datos_base!$D$2+IF(parametros_manuales!$H$36="Todos",datos_base!$D$9,0))*parametros_manuales!$M$97+parametros_manuales!$E$36*(datos_base!$D$3+IF(parametros_manuales!$H$36="Todos",datos_base!$D$10,0))*parametros_manuales!$M$102+parametros_manuales!$F$36*(datos_base!$D$4+IF(parametros_manuales!$H$36="Todos",datos_base!$D$11,0))*parametros_manuales!$M$107+parametros_manuales!$G$36*(datos_base!$D$5+IF(parametros_manuales!$H$36="Todos",datos_base!$D$12,0))*parametros_manuales!$M$112)*parametros_manuales!$I$36*parametros_manuales!$J$36</f>
        <v>2075.85</v>
      </c>
      <c r="N75" s="8">
        <f t="shared" si="7"/>
        <v>23065</v>
      </c>
      <c r="O75" s="8">
        <f t="shared" si="8"/>
        <v>2075.85</v>
      </c>
      <c r="P75" s="27">
        <f>O75/(parametros_manuales!$B$7)</f>
        <v>13.839</v>
      </c>
      <c r="Q75" s="4" t="str">
        <f t="shared" si="9"/>
        <v>Ene</v>
      </c>
      <c r="R75" s="16"/>
      <c r="S75" s="16"/>
    </row>
    <row r="76" ht="14.25" customHeight="1">
      <c r="A76" s="4" t="str">
        <f>parametros_manuales!$B$37</f>
        <v>Corrección de defectos</v>
      </c>
      <c r="B76" s="8">
        <f>(parametros_manuales!$D$37*(datos_base!$D$2+IF(parametros_manuales!$H$37="Todos",datos_base!$D$9,0))*parametros_manuales!$B$97+parametros_manuales!$E$37*(datos_base!$D$3+IF(parametros_manuales!$H$37="Todos",datos_base!$D$10,0))*parametros_manuales!$B$102+parametros_manuales!$F$37*(datos_base!$D$4+IF(parametros_manuales!$H$37="Todos",datos_base!$D$11,0))*parametros_manuales!$B$107+parametros_manuales!$G$37*(datos_base!$D$5+IF(parametros_manuales!$H$37="Todos",datos_base!$D$12,0))*parametros_manuales!$B$112)*parametros_manuales!$I$37*parametros_manuales!$J$37</f>
        <v>103.7925</v>
      </c>
      <c r="C76" s="8">
        <f>(parametros_manuales!$D$37*(datos_base!$D$2+IF(parametros_manuales!$H$37="Todos",datos_base!$D$9,0))*parametros_manuales!$C$97+parametros_manuales!$E$37*(datos_base!$D$3+IF(parametros_manuales!$H$37="Todos",datos_base!$D$10,0))*parametros_manuales!$C$102+parametros_manuales!$F$37*(datos_base!$D$4+IF(parametros_manuales!$H$37="Todos",datos_base!$D$11,0))*parametros_manuales!$C$107+parametros_manuales!$G$37*(datos_base!$D$5+IF(parametros_manuales!$H$37="Todos",datos_base!$D$12,0))*parametros_manuales!$C$112)*parametros_manuales!$I$37*parametros_manuales!$J$37</f>
        <v>99.517</v>
      </c>
      <c r="D76" s="8">
        <f>(parametros_manuales!$D$37*(datos_base!$D$2+IF(parametros_manuales!$H$37="Todos",datos_base!$D$9,0))*parametros_manuales!$D$97+parametros_manuales!$E$37*(datos_base!$D$3+IF(parametros_manuales!$H$37="Todos",datos_base!$D$10,0))*parametros_manuales!$D$102+parametros_manuales!$F$37*(datos_base!$D$4+IF(parametros_manuales!$H$37="Todos",datos_base!$D$11,0))*parametros_manuales!$D$107+parametros_manuales!$G$37*(datos_base!$D$5+IF(parametros_manuales!$H$37="Todos",datos_base!$D$12,0))*parametros_manuales!$D$112)*parametros_manuales!$I$37*parametros_manuales!$J$37</f>
        <v>94.39775</v>
      </c>
      <c r="E76" s="8">
        <f>(parametros_manuales!$D$37*(datos_base!$D$2+IF(parametros_manuales!$H$37="Todos",datos_base!$D$9,0))*parametros_manuales!$E$97+parametros_manuales!$E$37*(datos_base!$D$3+IF(parametros_manuales!$H$37="Todos",datos_base!$D$10,0))*parametros_manuales!$E$102+parametros_manuales!$F$37*(datos_base!$D$4+IF(parametros_manuales!$H$37="Todos",datos_base!$D$11,0))*parametros_manuales!$E$107+parametros_manuales!$G$37*(datos_base!$D$5+IF(parametros_manuales!$H$37="Todos",datos_base!$D$12,0))*parametros_manuales!$E$112)*parametros_manuales!$I$37*parametros_manuales!$J$37</f>
        <v>90.76925</v>
      </c>
      <c r="F76" s="8">
        <f>(parametros_manuales!$D$37*(datos_base!$D$2+IF(parametros_manuales!$H$37="Todos",datos_base!$D$9,0))*parametros_manuales!$F$97+parametros_manuales!$E$37*(datos_base!$D$3+IF(parametros_manuales!$H$37="Todos",datos_base!$D$10,0))*parametros_manuales!$F$102+parametros_manuales!$F$37*(datos_base!$D$4+IF(parametros_manuales!$H$37="Todos",datos_base!$D$11,0))*parametros_manuales!$F$107+parametros_manuales!$G$37*(datos_base!$D$5+IF(parametros_manuales!$H$37="Todos",datos_base!$D$12,0))*parametros_manuales!$F$112)*parametros_manuales!$I$37*parametros_manuales!$J$37</f>
        <v>85.003</v>
      </c>
      <c r="G76" s="8">
        <f>(parametros_manuales!$D$37*(datos_base!$D$2+IF(parametros_manuales!$H$37="Todos",datos_base!$D$9,0))*parametros_manuales!$G$97+parametros_manuales!$E$37*(datos_base!$D$3+IF(parametros_manuales!$H$37="Todos",datos_base!$D$10,0))*parametros_manuales!$G$102+parametros_manuales!$F$37*(datos_base!$D$4+IF(parametros_manuales!$H$37="Todos",datos_base!$D$11,0))*parametros_manuales!$G$107+parametros_manuales!$G$37*(datos_base!$D$5+IF(parametros_manuales!$H$37="Todos",datos_base!$D$12,0))*parametros_manuales!$G$112)*parametros_manuales!$I$37*parametros_manuales!$J$37</f>
        <v>82.86525</v>
      </c>
      <c r="H76" s="8">
        <f>(parametros_manuales!$D$37*(datos_base!$D$2+IF(parametros_manuales!$H$37="Todos",datos_base!$D$9,0))*parametros_manuales!$H$97+parametros_manuales!$E$37*(datos_base!$D$3+IF(parametros_manuales!$H$37="Todos",datos_base!$D$10,0))*parametros_manuales!$H$102+parametros_manuales!$F$37*(datos_base!$D$4+IF(parametros_manuales!$H$37="Todos",datos_base!$D$11,0))*parametros_manuales!$H$107+parametros_manuales!$G$37*(datos_base!$D$5+IF(parametros_manuales!$H$37="Todos",datos_base!$D$12,0))*parametros_manuales!$H$112)*parametros_manuales!$I$37*parametros_manuales!$J$37</f>
        <v>88.6315</v>
      </c>
      <c r="I76" s="8">
        <f>(parametros_manuales!$D$37*(datos_base!$D$2+IF(parametros_manuales!$H$37="Todos",datos_base!$D$9,0))*parametros_manuales!$I$97+parametros_manuales!$E$37*(datos_base!$D$3+IF(parametros_manuales!$H$37="Todos",datos_base!$D$10,0))*parametros_manuales!$I$102+parametros_manuales!$F$37*(datos_base!$D$4+IF(parametros_manuales!$H$37="Todos",datos_base!$D$11,0))*parametros_manuales!$I$107+parametros_manuales!$G$37*(datos_base!$D$5+IF(parametros_manuales!$H$37="Todos",datos_base!$D$12,0))*parametros_manuales!$I$112)*parametros_manuales!$I$37*parametros_manuales!$J$37</f>
        <v>99.517</v>
      </c>
      <c r="J76" s="8">
        <f>(parametros_manuales!$D$37*(datos_base!$D$2+IF(parametros_manuales!$H$37="Todos",datos_base!$D$9,0))*parametros_manuales!$J$97+parametros_manuales!$E$37*(datos_base!$D$3+IF(parametros_manuales!$H$37="Todos",datos_base!$D$10,0))*parametros_manuales!$J$102+parametros_manuales!$F$37*(datos_base!$D$4+IF(parametros_manuales!$H$37="Todos",datos_base!$D$11,0))*parametros_manuales!$J$107+parametros_manuales!$G$37*(datos_base!$D$5+IF(parametros_manuales!$H$37="Todos",datos_base!$D$12,0))*parametros_manuales!$J$112)*parametros_manuales!$I$37*parametros_manuales!$J$37</f>
        <v>99.517</v>
      </c>
      <c r="K76" s="8">
        <f>(parametros_manuales!$D$37*(datos_base!$D$2+IF(parametros_manuales!$H$37="Todos",datos_base!$D$9,0))*parametros_manuales!$K$97+parametros_manuales!$E$37*(datos_base!$D$3+IF(parametros_manuales!$H$37="Todos",datos_base!$D$10,0))*parametros_manuales!$K$102+parametros_manuales!$F$37*(datos_base!$D$4+IF(parametros_manuales!$H$37="Todos",datos_base!$D$11,0))*parametros_manuales!$K$107+parametros_manuales!$G$37*(datos_base!$D$5+IF(parametros_manuales!$H$37="Todos",datos_base!$D$12,0))*parametros_manuales!$K$112)*parametros_manuales!$I$37*parametros_manuales!$J$37</f>
        <v>101.65475</v>
      </c>
      <c r="L76" s="8">
        <f>(parametros_manuales!$D$37*(datos_base!$D$2+IF(parametros_manuales!$H$37="Todos",datos_base!$D$9,0))*parametros_manuales!$L$97+parametros_manuales!$E$37*(datos_base!$D$3+IF(parametros_manuales!$H$37="Todos",datos_base!$D$10,0))*parametros_manuales!$L$102+parametros_manuales!$F$37*(datos_base!$D$4+IF(parametros_manuales!$H$37="Todos",datos_base!$D$11,0))*parametros_manuales!$L$107+parametros_manuales!$G$37*(datos_base!$D$5+IF(parametros_manuales!$H$37="Todos",datos_base!$D$12,0))*parametros_manuales!$L$112)*parametros_manuales!$I$37*parametros_manuales!$J$37</f>
        <v>103.7925</v>
      </c>
      <c r="M76" s="8">
        <f>(parametros_manuales!$D$37*(datos_base!$D$2+IF(parametros_manuales!$H$37="Todos",datos_base!$D$9,0))*parametros_manuales!$M$97+parametros_manuales!$E$37*(datos_base!$D$3+IF(parametros_manuales!$H$37="Todos",datos_base!$D$10,0))*parametros_manuales!$M$102+parametros_manuales!$F$37*(datos_base!$D$4+IF(parametros_manuales!$H$37="Todos",datos_base!$D$11,0))*parametros_manuales!$M$107+parametros_manuales!$G$37*(datos_base!$D$5+IF(parametros_manuales!$H$37="Todos",datos_base!$D$12,0))*parametros_manuales!$M$112)*parametros_manuales!$I$37*parametros_manuales!$J$37</f>
        <v>103.7925</v>
      </c>
      <c r="N76" s="8">
        <f t="shared" si="7"/>
        <v>1153.25</v>
      </c>
      <c r="O76" s="8">
        <f t="shared" si="8"/>
        <v>103.7925</v>
      </c>
      <c r="P76" s="27">
        <f>O76/(parametros_manuales!$B$7)</f>
        <v>0.69195</v>
      </c>
      <c r="Q76" s="4" t="str">
        <f t="shared" si="9"/>
        <v>Ene</v>
      </c>
      <c r="R76" s="16"/>
      <c r="S76" s="16"/>
    </row>
    <row r="77" ht="14.25" customHeight="1">
      <c r="A77" s="4" t="str">
        <f>parametros_manuales!$B$38</f>
        <v>Pintura en polvo + horno</v>
      </c>
      <c r="B77" s="8">
        <f>(parametros_manuales!$D$38*(datos_base!$D$2+IF(parametros_manuales!$H$38="Todos",datos_base!$D$9,0))*parametros_manuales!$B$97+parametros_manuales!$E$38*(datos_base!$D$3+IF(parametros_manuales!$H$38="Todos",datos_base!$D$10,0))*parametros_manuales!$B$102+parametros_manuales!$F$38*(datos_base!$D$4+IF(parametros_manuales!$H$38="Todos",datos_base!$D$11,0))*parametros_manuales!$B$107+parametros_manuales!$G$38*(datos_base!$D$5+IF(parametros_manuales!$H$38="Todos",datos_base!$D$12,0))*parametros_manuales!$B$112)*parametros_manuales!$I$38*parametros_manuales!$J$38</f>
        <v>2075.85</v>
      </c>
      <c r="C77" s="8">
        <f>(parametros_manuales!$D$38*(datos_base!$D$2+IF(parametros_manuales!$H$38="Todos",datos_base!$D$9,0))*parametros_manuales!$C$97+parametros_manuales!$E$38*(datos_base!$D$3+IF(parametros_manuales!$H$38="Todos",datos_base!$D$10,0))*parametros_manuales!$C$102+parametros_manuales!$F$38*(datos_base!$D$4+IF(parametros_manuales!$H$38="Todos",datos_base!$D$11,0))*parametros_manuales!$C$107+parametros_manuales!$G$38*(datos_base!$D$5+IF(parametros_manuales!$H$38="Todos",datos_base!$D$12,0))*parametros_manuales!$C$112)*parametros_manuales!$I$38*parametros_manuales!$J$38</f>
        <v>1990.34</v>
      </c>
      <c r="D77" s="8">
        <f>(parametros_manuales!$D$38*(datos_base!$D$2+IF(parametros_manuales!$H$38="Todos",datos_base!$D$9,0))*parametros_manuales!$D$97+parametros_manuales!$E$38*(datos_base!$D$3+IF(parametros_manuales!$H$38="Todos",datos_base!$D$10,0))*parametros_manuales!$D$102+parametros_manuales!$F$38*(datos_base!$D$4+IF(parametros_manuales!$H$38="Todos",datos_base!$D$11,0))*parametros_manuales!$D$107+parametros_manuales!$G$38*(datos_base!$D$5+IF(parametros_manuales!$H$38="Todos",datos_base!$D$12,0))*parametros_manuales!$D$112)*parametros_manuales!$I$38*parametros_manuales!$J$38</f>
        <v>1887.955</v>
      </c>
      <c r="E77" s="8">
        <f>(parametros_manuales!$D$38*(datos_base!$D$2+IF(parametros_manuales!$H$38="Todos",datos_base!$D$9,0))*parametros_manuales!$E$97+parametros_manuales!$E$38*(datos_base!$D$3+IF(parametros_manuales!$H$38="Todos",datos_base!$D$10,0))*parametros_manuales!$E$102+parametros_manuales!$F$38*(datos_base!$D$4+IF(parametros_manuales!$H$38="Todos",datos_base!$D$11,0))*parametros_manuales!$E$107+parametros_manuales!$G$38*(datos_base!$D$5+IF(parametros_manuales!$H$38="Todos",datos_base!$D$12,0))*parametros_manuales!$E$112)*parametros_manuales!$I$38*parametros_manuales!$J$38</f>
        <v>1815.385</v>
      </c>
      <c r="F77" s="8">
        <f>(parametros_manuales!$D$38*(datos_base!$D$2+IF(parametros_manuales!$H$38="Todos",datos_base!$D$9,0))*parametros_manuales!$F$97+parametros_manuales!$E$38*(datos_base!$D$3+IF(parametros_manuales!$H$38="Todos",datos_base!$D$10,0))*parametros_manuales!$F$102+parametros_manuales!$F$38*(datos_base!$D$4+IF(parametros_manuales!$H$38="Todos",datos_base!$D$11,0))*parametros_manuales!$F$107+parametros_manuales!$G$38*(datos_base!$D$5+IF(parametros_manuales!$H$38="Todos",datos_base!$D$12,0))*parametros_manuales!$F$112)*parametros_manuales!$I$38*parametros_manuales!$J$38</f>
        <v>1700.06</v>
      </c>
      <c r="G77" s="8">
        <f>(parametros_manuales!$D$38*(datos_base!$D$2+IF(parametros_manuales!$H$38="Todos",datos_base!$D$9,0))*parametros_manuales!$G$97+parametros_manuales!$E$38*(datos_base!$D$3+IF(parametros_manuales!$H$38="Todos",datos_base!$D$10,0))*parametros_manuales!$G$102+parametros_manuales!$F$38*(datos_base!$D$4+IF(parametros_manuales!$H$38="Todos",datos_base!$D$11,0))*parametros_manuales!$G$107+parametros_manuales!$G$38*(datos_base!$D$5+IF(parametros_manuales!$H$38="Todos",datos_base!$D$12,0))*parametros_manuales!$G$112)*parametros_manuales!$I$38*parametros_manuales!$J$38</f>
        <v>1657.305</v>
      </c>
      <c r="H77" s="8">
        <f>(parametros_manuales!$D$38*(datos_base!$D$2+IF(parametros_manuales!$H$38="Todos",datos_base!$D$9,0))*parametros_manuales!$H$97+parametros_manuales!$E$38*(datos_base!$D$3+IF(parametros_manuales!$H$38="Todos",datos_base!$D$10,0))*parametros_manuales!$H$102+parametros_manuales!$F$38*(datos_base!$D$4+IF(parametros_manuales!$H$38="Todos",datos_base!$D$11,0))*parametros_manuales!$H$107+parametros_manuales!$G$38*(datos_base!$D$5+IF(parametros_manuales!$H$38="Todos",datos_base!$D$12,0))*parametros_manuales!$H$112)*parametros_manuales!$I$38*parametros_manuales!$J$38</f>
        <v>1772.63</v>
      </c>
      <c r="I77" s="8">
        <f>(parametros_manuales!$D$38*(datos_base!$D$2+IF(parametros_manuales!$H$38="Todos",datos_base!$D$9,0))*parametros_manuales!$I$97+parametros_manuales!$E$38*(datos_base!$D$3+IF(parametros_manuales!$H$38="Todos",datos_base!$D$10,0))*parametros_manuales!$I$102+parametros_manuales!$F$38*(datos_base!$D$4+IF(parametros_manuales!$H$38="Todos",datos_base!$D$11,0))*parametros_manuales!$I$107+parametros_manuales!$G$38*(datos_base!$D$5+IF(parametros_manuales!$H$38="Todos",datos_base!$D$12,0))*parametros_manuales!$I$112)*parametros_manuales!$I$38*parametros_manuales!$J$38</f>
        <v>1990.34</v>
      </c>
      <c r="J77" s="8">
        <f>(parametros_manuales!$D$38*(datos_base!$D$2+IF(parametros_manuales!$H$38="Todos",datos_base!$D$9,0))*parametros_manuales!$J$97+parametros_manuales!$E$38*(datos_base!$D$3+IF(parametros_manuales!$H$38="Todos",datos_base!$D$10,0))*parametros_manuales!$J$102+parametros_manuales!$F$38*(datos_base!$D$4+IF(parametros_manuales!$H$38="Todos",datos_base!$D$11,0))*parametros_manuales!$J$107+parametros_manuales!$G$38*(datos_base!$D$5+IF(parametros_manuales!$H$38="Todos",datos_base!$D$12,0))*parametros_manuales!$J$112)*parametros_manuales!$I$38*parametros_manuales!$J$38</f>
        <v>1990.34</v>
      </c>
      <c r="K77" s="8">
        <f>(parametros_manuales!$D$38*(datos_base!$D$2+IF(parametros_manuales!$H$38="Todos",datos_base!$D$9,0))*parametros_manuales!$K$97+parametros_manuales!$E$38*(datos_base!$D$3+IF(parametros_manuales!$H$38="Todos",datos_base!$D$10,0))*parametros_manuales!$K$102+parametros_manuales!$F$38*(datos_base!$D$4+IF(parametros_manuales!$H$38="Todos",datos_base!$D$11,0))*parametros_manuales!$K$107+parametros_manuales!$G$38*(datos_base!$D$5+IF(parametros_manuales!$H$38="Todos",datos_base!$D$12,0))*parametros_manuales!$K$112)*parametros_manuales!$I$38*parametros_manuales!$J$38</f>
        <v>2033.095</v>
      </c>
      <c r="L77" s="8">
        <f>(parametros_manuales!$D$38*(datos_base!$D$2+IF(parametros_manuales!$H$38="Todos",datos_base!$D$9,0))*parametros_manuales!$L$97+parametros_manuales!$E$38*(datos_base!$D$3+IF(parametros_manuales!$H$38="Todos",datos_base!$D$10,0))*parametros_manuales!$L$102+parametros_manuales!$F$38*(datos_base!$D$4+IF(parametros_manuales!$H$38="Todos",datos_base!$D$11,0))*parametros_manuales!$L$107+parametros_manuales!$G$38*(datos_base!$D$5+IF(parametros_manuales!$H$38="Todos",datos_base!$D$12,0))*parametros_manuales!$L$112)*parametros_manuales!$I$38*parametros_manuales!$J$38</f>
        <v>2075.85</v>
      </c>
      <c r="M77" s="8">
        <f>(parametros_manuales!$D$38*(datos_base!$D$2+IF(parametros_manuales!$H$38="Todos",datos_base!$D$9,0))*parametros_manuales!$M$97+parametros_manuales!$E$38*(datos_base!$D$3+IF(parametros_manuales!$H$38="Todos",datos_base!$D$10,0))*parametros_manuales!$M$102+parametros_manuales!$F$38*(datos_base!$D$4+IF(parametros_manuales!$H$38="Todos",datos_base!$D$11,0))*parametros_manuales!$M$107+parametros_manuales!$G$38*(datos_base!$D$5+IF(parametros_manuales!$H$38="Todos",datos_base!$D$12,0))*parametros_manuales!$M$112)*parametros_manuales!$I$38*parametros_manuales!$J$38</f>
        <v>2075.85</v>
      </c>
      <c r="N77" s="8">
        <f t="shared" si="7"/>
        <v>23065</v>
      </c>
      <c r="O77" s="8">
        <f t="shared" si="8"/>
        <v>2075.85</v>
      </c>
      <c r="P77" s="27">
        <f>O77/(parametros_manuales!$B$7)</f>
        <v>13.839</v>
      </c>
      <c r="Q77" s="4" t="str">
        <f t="shared" si="9"/>
        <v>Ene</v>
      </c>
      <c r="R77" s="16"/>
      <c r="S77" s="16"/>
    </row>
    <row r="78" ht="14.25" customHeight="1">
      <c r="A78" s="4" t="str">
        <f>parametros_manuales!$B$39</f>
        <v>Carga de polvo</v>
      </c>
      <c r="B78" s="8">
        <f>(parametros_manuales!$D$39*(datos_base!$D$2+IF(parametros_manuales!$H$39="Todos",datos_base!$D$9,0))*parametros_manuales!$B$97+parametros_manuales!$E$39*(datos_base!$D$3+IF(parametros_manuales!$H$39="Todos",datos_base!$D$10,0))*parametros_manuales!$B$102+parametros_manuales!$F$39*(datos_base!$D$4+IF(parametros_manuales!$H$39="Todos",datos_base!$D$11,0))*parametros_manuales!$B$107+parametros_manuales!$G$39*(datos_base!$D$5+IF(parametros_manuales!$H$39="Todos",datos_base!$D$12,0))*parametros_manuales!$B$112)*parametros_manuales!$I$39*parametros_manuales!$J$39</f>
        <v>1197.99</v>
      </c>
      <c r="C78" s="8">
        <f>(parametros_manuales!$D$39*(datos_base!$D$2+IF(parametros_manuales!$H$39="Todos",datos_base!$D$9,0))*parametros_manuales!$C$97+parametros_manuales!$E$39*(datos_base!$D$3+IF(parametros_manuales!$H$39="Todos",datos_base!$D$10,0))*parametros_manuales!$C$102+parametros_manuales!$F$39*(datos_base!$D$4+IF(parametros_manuales!$H$39="Todos",datos_base!$D$11,0))*parametros_manuales!$C$107+parametros_manuales!$G$39*(datos_base!$D$5+IF(parametros_manuales!$H$39="Todos",datos_base!$D$12,0))*parametros_manuales!$C$112)*parametros_manuales!$I$39*parametros_manuales!$J$39</f>
        <v>1133.4</v>
      </c>
      <c r="D78" s="8">
        <f>(parametros_manuales!$D$39*(datos_base!$D$2+IF(parametros_manuales!$H$39="Todos",datos_base!$D$9,0))*parametros_manuales!$D$97+parametros_manuales!$E$39*(datos_base!$D$3+IF(parametros_manuales!$H$39="Todos",datos_base!$D$10,0))*parametros_manuales!$D$102+parametros_manuales!$F$39*(datos_base!$D$4+IF(parametros_manuales!$H$39="Todos",datos_base!$D$11,0))*parametros_manuales!$D$107+parametros_manuales!$G$39*(datos_base!$D$5+IF(parametros_manuales!$H$39="Todos",datos_base!$D$12,0))*parametros_manuales!$D$112)*parametros_manuales!$I$39*parametros_manuales!$J$39</f>
        <v>1097.175</v>
      </c>
      <c r="E78" s="8">
        <f>(parametros_manuales!$D$39*(datos_base!$D$2+IF(parametros_manuales!$H$39="Todos",datos_base!$D$9,0))*parametros_manuales!$E$97+parametros_manuales!$E$39*(datos_base!$D$3+IF(parametros_manuales!$H$39="Todos",datos_base!$D$10,0))*parametros_manuales!$E$102+parametros_manuales!$F$39*(datos_base!$D$4+IF(parametros_manuales!$H$39="Todos",datos_base!$D$11,0))*parametros_manuales!$E$107+parametros_manuales!$G$39*(datos_base!$D$5+IF(parametros_manuales!$H$39="Todos",datos_base!$D$12,0))*parametros_manuales!$E$112)*parametros_manuales!$I$39*parametros_manuales!$J$39</f>
        <v>1062.915</v>
      </c>
      <c r="F78" s="8">
        <f>(parametros_manuales!$D$39*(datos_base!$D$2+IF(parametros_manuales!$H$39="Todos",datos_base!$D$9,0))*parametros_manuales!$F$97+parametros_manuales!$E$39*(datos_base!$D$3+IF(parametros_manuales!$H$39="Todos",datos_base!$D$10,0))*parametros_manuales!$F$102+parametros_manuales!$F$39*(datos_base!$D$4+IF(parametros_manuales!$H$39="Todos",datos_base!$D$11,0))*parametros_manuales!$F$107+parametros_manuales!$G$39*(datos_base!$D$5+IF(parametros_manuales!$H$39="Todos",datos_base!$D$12,0))*parametros_manuales!$F$112)*parametros_manuales!$I$39*parametros_manuales!$J$39</f>
        <v>996.36</v>
      </c>
      <c r="G78" s="8">
        <f>(parametros_manuales!$D$39*(datos_base!$D$2+IF(parametros_manuales!$H$39="Todos",datos_base!$D$9,0))*parametros_manuales!$G$97+parametros_manuales!$E$39*(datos_base!$D$3+IF(parametros_manuales!$H$39="Todos",datos_base!$D$10,0))*parametros_manuales!$G$102+parametros_manuales!$F$39*(datos_base!$D$4+IF(parametros_manuales!$H$39="Todos",datos_base!$D$11,0))*parametros_manuales!$G$107+parametros_manuales!$G$39*(datos_base!$D$5+IF(parametros_manuales!$H$39="Todos",datos_base!$D$12,0))*parametros_manuales!$G$112)*parametros_manuales!$I$39*parametros_manuales!$J$39</f>
        <v>964.065</v>
      </c>
      <c r="H78" s="8">
        <f>(parametros_manuales!$D$39*(datos_base!$D$2+IF(parametros_manuales!$H$39="Todos",datos_base!$D$9,0))*parametros_manuales!$H$97+parametros_manuales!$E$39*(datos_base!$D$3+IF(parametros_manuales!$H$39="Todos",datos_base!$D$10,0))*parametros_manuales!$H$102+parametros_manuales!$F$39*(datos_base!$D$4+IF(parametros_manuales!$H$39="Todos",datos_base!$D$11,0))*parametros_manuales!$H$107+parametros_manuales!$G$39*(datos_base!$D$5+IF(parametros_manuales!$H$39="Todos",datos_base!$D$12,0))*parametros_manuales!$H$112)*parametros_manuales!$I$39*parametros_manuales!$J$39</f>
        <v>1030.62</v>
      </c>
      <c r="I78" s="8">
        <f>(parametros_manuales!$D$39*(datos_base!$D$2+IF(parametros_manuales!$H$39="Todos",datos_base!$D$9,0))*parametros_manuales!$I$97+parametros_manuales!$E$39*(datos_base!$D$3+IF(parametros_manuales!$H$39="Todos",datos_base!$D$10,0))*parametros_manuales!$I$102+parametros_manuales!$F$39*(datos_base!$D$4+IF(parametros_manuales!$H$39="Todos",datos_base!$D$11,0))*parametros_manuales!$I$107+parametros_manuales!$G$39*(datos_base!$D$5+IF(parametros_manuales!$H$39="Todos",datos_base!$D$12,0))*parametros_manuales!$I$112)*parametros_manuales!$I$39*parametros_manuales!$J$39</f>
        <v>1133.4</v>
      </c>
      <c r="J78" s="8">
        <f>(parametros_manuales!$D$39*(datos_base!$D$2+IF(parametros_manuales!$H$39="Todos",datos_base!$D$9,0))*parametros_manuales!$J$97+parametros_manuales!$E$39*(datos_base!$D$3+IF(parametros_manuales!$H$39="Todos",datos_base!$D$10,0))*parametros_manuales!$J$102+parametros_manuales!$F$39*(datos_base!$D$4+IF(parametros_manuales!$H$39="Todos",datos_base!$D$11,0))*parametros_manuales!$J$107+parametros_manuales!$G$39*(datos_base!$D$5+IF(parametros_manuales!$H$39="Todos",datos_base!$D$12,0))*parametros_manuales!$J$112)*parametros_manuales!$I$39*parametros_manuales!$J$39</f>
        <v>1133.4</v>
      </c>
      <c r="K78" s="8">
        <f>(parametros_manuales!$D$39*(datos_base!$D$2+IF(parametros_manuales!$H$39="Todos",datos_base!$D$9,0))*parametros_manuales!$K$97+parametros_manuales!$E$39*(datos_base!$D$3+IF(parametros_manuales!$H$39="Todos",datos_base!$D$10,0))*parametros_manuales!$K$102+parametros_manuales!$F$39*(datos_base!$D$4+IF(parametros_manuales!$H$39="Todos",datos_base!$D$11,0))*parametros_manuales!$K$107+parametros_manuales!$G$39*(datos_base!$D$5+IF(parametros_manuales!$H$39="Todos",datos_base!$D$12,0))*parametros_manuales!$K$112)*parametros_manuales!$I$39*parametros_manuales!$J$39</f>
        <v>1165.695</v>
      </c>
      <c r="L78" s="8">
        <f>(parametros_manuales!$D$39*(datos_base!$D$2+IF(parametros_manuales!$H$39="Todos",datos_base!$D$9,0))*parametros_manuales!$L$97+parametros_manuales!$E$39*(datos_base!$D$3+IF(parametros_manuales!$H$39="Todos",datos_base!$D$10,0))*parametros_manuales!$L$102+parametros_manuales!$F$39*(datos_base!$D$4+IF(parametros_manuales!$H$39="Todos",datos_base!$D$11,0))*parametros_manuales!$L$107+parametros_manuales!$G$39*(datos_base!$D$5+IF(parametros_manuales!$H$39="Todos",datos_base!$D$12,0))*parametros_manuales!$L$112)*parametros_manuales!$I$39*parametros_manuales!$J$39</f>
        <v>1197.99</v>
      </c>
      <c r="M78" s="8">
        <f>(parametros_manuales!$D$39*(datos_base!$D$2+IF(parametros_manuales!$H$39="Todos",datos_base!$D$9,0))*parametros_manuales!$M$97+parametros_manuales!$E$39*(datos_base!$D$3+IF(parametros_manuales!$H$39="Todos",datos_base!$D$10,0))*parametros_manuales!$M$102+parametros_manuales!$F$39*(datos_base!$D$4+IF(parametros_manuales!$H$39="Todos",datos_base!$D$11,0))*parametros_manuales!$M$107+parametros_manuales!$G$39*(datos_base!$D$5+IF(parametros_manuales!$H$39="Todos",datos_base!$D$12,0))*parametros_manuales!$M$112)*parametros_manuales!$I$39*parametros_manuales!$J$39</f>
        <v>1197.99</v>
      </c>
      <c r="N78" s="8">
        <f t="shared" si="7"/>
        <v>13311</v>
      </c>
      <c r="O78" s="8">
        <f t="shared" si="8"/>
        <v>1197.99</v>
      </c>
      <c r="P78" s="27">
        <f>O78/(parametros_manuales!$B$7)</f>
        <v>7.9866</v>
      </c>
      <c r="Q78" s="4" t="str">
        <f t="shared" si="9"/>
        <v>Ene</v>
      </c>
      <c r="R78" s="16"/>
      <c r="S78" s="16"/>
    </row>
    <row r="79" ht="14.25" customHeight="1">
      <c r="A79" s="4" t="str">
        <f>parametros_manuales!$B$40</f>
        <v>Ensamblaje</v>
      </c>
      <c r="B79" s="8">
        <f>(parametros_manuales!$D$40*(datos_base!$D$2+IF(parametros_manuales!$H$40="Todos",datos_base!$D$9,0))*parametros_manuales!$B$97+parametros_manuales!$E$40*(datos_base!$D$3+IF(parametros_manuales!$H$40="Todos",datos_base!$D$10,0))*parametros_manuales!$B$102+parametros_manuales!$F$40*(datos_base!$D$4+IF(parametros_manuales!$H$40="Todos",datos_base!$D$11,0))*parametros_manuales!$B$107+parametros_manuales!$G$40*(datos_base!$D$5+IF(parametros_manuales!$H$40="Todos",datos_base!$D$12,0))*parametros_manuales!$B$112)*parametros_manuales!$I$40*parametros_manuales!$J$40</f>
        <v>1197.99</v>
      </c>
      <c r="C79" s="8">
        <f>(parametros_manuales!$D$40*(datos_base!$D$2+IF(parametros_manuales!$H$40="Todos",datos_base!$D$9,0))*parametros_manuales!$C$97+parametros_manuales!$E$40*(datos_base!$D$3+IF(parametros_manuales!$H$40="Todos",datos_base!$D$10,0))*parametros_manuales!$C$102+parametros_manuales!$F$40*(datos_base!$D$4+IF(parametros_manuales!$H$40="Todos",datos_base!$D$11,0))*parametros_manuales!$C$107+parametros_manuales!$G$40*(datos_base!$D$5+IF(parametros_manuales!$H$40="Todos",datos_base!$D$12,0))*parametros_manuales!$C$112)*parametros_manuales!$I$40*parametros_manuales!$J$40</f>
        <v>1133.4</v>
      </c>
      <c r="D79" s="8">
        <f>(parametros_manuales!$D$40*(datos_base!$D$2+IF(parametros_manuales!$H$40="Todos",datos_base!$D$9,0))*parametros_manuales!$D$97+parametros_manuales!$E$40*(datos_base!$D$3+IF(parametros_manuales!$H$40="Todos",datos_base!$D$10,0))*parametros_manuales!$D$102+parametros_manuales!$F$40*(datos_base!$D$4+IF(parametros_manuales!$H$40="Todos",datos_base!$D$11,0))*parametros_manuales!$D$107+parametros_manuales!$G$40*(datos_base!$D$5+IF(parametros_manuales!$H$40="Todos",datos_base!$D$12,0))*parametros_manuales!$D$112)*parametros_manuales!$I$40*parametros_manuales!$J$40</f>
        <v>1097.175</v>
      </c>
      <c r="E79" s="8">
        <f>(parametros_manuales!$D$40*(datos_base!$D$2+IF(parametros_manuales!$H$40="Todos",datos_base!$D$9,0))*parametros_manuales!$E$97+parametros_manuales!$E$40*(datos_base!$D$3+IF(parametros_manuales!$H$40="Todos",datos_base!$D$10,0))*parametros_manuales!$E$102+parametros_manuales!$F$40*(datos_base!$D$4+IF(parametros_manuales!$H$40="Todos",datos_base!$D$11,0))*parametros_manuales!$E$107+parametros_manuales!$G$40*(datos_base!$D$5+IF(parametros_manuales!$H$40="Todos",datos_base!$D$12,0))*parametros_manuales!$E$112)*parametros_manuales!$I$40*parametros_manuales!$J$40</f>
        <v>1062.915</v>
      </c>
      <c r="F79" s="8">
        <f>(parametros_manuales!$D$40*(datos_base!$D$2+IF(parametros_manuales!$H$40="Todos",datos_base!$D$9,0))*parametros_manuales!$F$97+parametros_manuales!$E$40*(datos_base!$D$3+IF(parametros_manuales!$H$40="Todos",datos_base!$D$10,0))*parametros_manuales!$F$102+parametros_manuales!$F$40*(datos_base!$D$4+IF(parametros_manuales!$H$40="Todos",datos_base!$D$11,0))*parametros_manuales!$F$107+parametros_manuales!$G$40*(datos_base!$D$5+IF(parametros_manuales!$H$40="Todos",datos_base!$D$12,0))*parametros_manuales!$F$112)*parametros_manuales!$I$40*parametros_manuales!$J$40</f>
        <v>996.36</v>
      </c>
      <c r="G79" s="8">
        <f>(parametros_manuales!$D$40*(datos_base!$D$2+IF(parametros_manuales!$H$40="Todos",datos_base!$D$9,0))*parametros_manuales!$G$97+parametros_manuales!$E$40*(datos_base!$D$3+IF(parametros_manuales!$H$40="Todos",datos_base!$D$10,0))*parametros_manuales!$G$102+parametros_manuales!$F$40*(datos_base!$D$4+IF(parametros_manuales!$H$40="Todos",datos_base!$D$11,0))*parametros_manuales!$G$107+parametros_manuales!$G$40*(datos_base!$D$5+IF(parametros_manuales!$H$40="Todos",datos_base!$D$12,0))*parametros_manuales!$G$112)*parametros_manuales!$I$40*parametros_manuales!$J$40</f>
        <v>964.065</v>
      </c>
      <c r="H79" s="8">
        <f>(parametros_manuales!$D$40*(datos_base!$D$2+IF(parametros_manuales!$H$40="Todos",datos_base!$D$9,0))*parametros_manuales!$H$97+parametros_manuales!$E$40*(datos_base!$D$3+IF(parametros_manuales!$H$40="Todos",datos_base!$D$10,0))*parametros_manuales!$H$102+parametros_manuales!$F$40*(datos_base!$D$4+IF(parametros_manuales!$H$40="Todos",datos_base!$D$11,0))*parametros_manuales!$H$107+parametros_manuales!$G$40*(datos_base!$D$5+IF(parametros_manuales!$H$40="Todos",datos_base!$D$12,0))*parametros_manuales!$H$112)*parametros_manuales!$I$40*parametros_manuales!$J$40</f>
        <v>1030.62</v>
      </c>
      <c r="I79" s="8">
        <f>(parametros_manuales!$D$40*(datos_base!$D$2+IF(parametros_manuales!$H$40="Todos",datos_base!$D$9,0))*parametros_manuales!$I$97+parametros_manuales!$E$40*(datos_base!$D$3+IF(parametros_manuales!$H$40="Todos",datos_base!$D$10,0))*parametros_manuales!$I$102+parametros_manuales!$F$40*(datos_base!$D$4+IF(parametros_manuales!$H$40="Todos",datos_base!$D$11,0))*parametros_manuales!$I$107+parametros_manuales!$G$40*(datos_base!$D$5+IF(parametros_manuales!$H$40="Todos",datos_base!$D$12,0))*parametros_manuales!$I$112)*parametros_manuales!$I$40*parametros_manuales!$J$40</f>
        <v>1133.4</v>
      </c>
      <c r="J79" s="8">
        <f>(parametros_manuales!$D$40*(datos_base!$D$2+IF(parametros_manuales!$H$40="Todos",datos_base!$D$9,0))*parametros_manuales!$J$97+parametros_manuales!$E$40*(datos_base!$D$3+IF(parametros_manuales!$H$40="Todos",datos_base!$D$10,0))*parametros_manuales!$J$102+parametros_manuales!$F$40*(datos_base!$D$4+IF(parametros_manuales!$H$40="Todos",datos_base!$D$11,0))*parametros_manuales!$J$107+parametros_manuales!$G$40*(datos_base!$D$5+IF(parametros_manuales!$H$40="Todos",datos_base!$D$12,0))*parametros_manuales!$J$112)*parametros_manuales!$I$40*parametros_manuales!$J$40</f>
        <v>1133.4</v>
      </c>
      <c r="K79" s="8">
        <f>(parametros_manuales!$D$40*(datos_base!$D$2+IF(parametros_manuales!$H$40="Todos",datos_base!$D$9,0))*parametros_manuales!$K$97+parametros_manuales!$E$40*(datos_base!$D$3+IF(parametros_manuales!$H$40="Todos",datos_base!$D$10,0))*parametros_manuales!$K$102+parametros_manuales!$F$40*(datos_base!$D$4+IF(parametros_manuales!$H$40="Todos",datos_base!$D$11,0))*parametros_manuales!$K$107+parametros_manuales!$G$40*(datos_base!$D$5+IF(parametros_manuales!$H$40="Todos",datos_base!$D$12,0))*parametros_manuales!$K$112)*parametros_manuales!$I$40*parametros_manuales!$J$40</f>
        <v>1165.695</v>
      </c>
      <c r="L79" s="8">
        <f>(parametros_manuales!$D$40*(datos_base!$D$2+IF(parametros_manuales!$H$40="Todos",datos_base!$D$9,0))*parametros_manuales!$L$97+parametros_manuales!$E$40*(datos_base!$D$3+IF(parametros_manuales!$H$40="Todos",datos_base!$D$10,0))*parametros_manuales!$L$102+parametros_manuales!$F$40*(datos_base!$D$4+IF(parametros_manuales!$H$40="Todos",datos_base!$D$11,0))*parametros_manuales!$L$107+parametros_manuales!$G$40*(datos_base!$D$5+IF(parametros_manuales!$H$40="Todos",datos_base!$D$12,0))*parametros_manuales!$L$112)*parametros_manuales!$I$40*parametros_manuales!$J$40</f>
        <v>1197.99</v>
      </c>
      <c r="M79" s="8">
        <f>(parametros_manuales!$D$40*(datos_base!$D$2+IF(parametros_manuales!$H$40="Todos",datos_base!$D$9,0))*parametros_manuales!$M$97+parametros_manuales!$E$40*(datos_base!$D$3+IF(parametros_manuales!$H$40="Todos",datos_base!$D$10,0))*parametros_manuales!$M$102+parametros_manuales!$F$40*(datos_base!$D$4+IF(parametros_manuales!$H$40="Todos",datos_base!$D$11,0))*parametros_manuales!$M$107+parametros_manuales!$G$40*(datos_base!$D$5+IF(parametros_manuales!$H$40="Todos",datos_base!$D$12,0))*parametros_manuales!$M$112)*parametros_manuales!$I$40*parametros_manuales!$J$40</f>
        <v>1197.99</v>
      </c>
      <c r="N79" s="8">
        <f t="shared" si="7"/>
        <v>13311</v>
      </c>
      <c r="O79" s="8">
        <f t="shared" si="8"/>
        <v>1197.99</v>
      </c>
      <c r="P79" s="27">
        <f>O79/(parametros_manuales!$B$7)</f>
        <v>7.9866</v>
      </c>
      <c r="Q79" s="4" t="str">
        <f t="shared" si="9"/>
        <v>Ene</v>
      </c>
      <c r="R79" s="16"/>
      <c r="S79" s="16"/>
    </row>
    <row r="80" ht="14.25" customHeight="1">
      <c r="A80" s="4" t="str">
        <f>parametros_manuales!$B$41</f>
        <v>Presurización</v>
      </c>
      <c r="B80" s="8">
        <f>(parametros_manuales!$D$41*(datos_base!$D$2+IF(parametros_manuales!$H$41="Todos",datos_base!$D$9,0))*parametros_manuales!$B$97+parametros_manuales!$E$41*(datos_base!$D$3+IF(parametros_manuales!$H$41="Todos",datos_base!$D$10,0))*parametros_manuales!$B$102+parametros_manuales!$F$41*(datos_base!$D$4+IF(parametros_manuales!$H$41="Todos",datos_base!$D$11,0))*parametros_manuales!$B$107+parametros_manuales!$G$41*(datos_base!$D$5+IF(parametros_manuales!$H$41="Todos",datos_base!$D$12,0))*parametros_manuales!$B$112)*parametros_manuales!$I$41*parametros_manuales!$J$41</f>
        <v>1197.99</v>
      </c>
      <c r="C80" s="8">
        <f>(parametros_manuales!$D$41*(datos_base!$D$2+IF(parametros_manuales!$H$41="Todos",datos_base!$D$9,0))*parametros_manuales!$C$97+parametros_manuales!$E$41*(datos_base!$D$3+IF(parametros_manuales!$H$41="Todos",datos_base!$D$10,0))*parametros_manuales!$C$102+parametros_manuales!$F$41*(datos_base!$D$4+IF(parametros_manuales!$H$41="Todos",datos_base!$D$11,0))*parametros_manuales!$C$107+parametros_manuales!$G$41*(datos_base!$D$5+IF(parametros_manuales!$H$41="Todos",datos_base!$D$12,0))*parametros_manuales!$C$112)*parametros_manuales!$I$41*parametros_manuales!$J$41</f>
        <v>1133.4</v>
      </c>
      <c r="D80" s="8">
        <f>(parametros_manuales!$D$41*(datos_base!$D$2+IF(parametros_manuales!$H$41="Todos",datos_base!$D$9,0))*parametros_manuales!$D$97+parametros_manuales!$E$41*(datos_base!$D$3+IF(parametros_manuales!$H$41="Todos",datos_base!$D$10,0))*parametros_manuales!$D$102+parametros_manuales!$F$41*(datos_base!$D$4+IF(parametros_manuales!$H$41="Todos",datos_base!$D$11,0))*parametros_manuales!$D$107+parametros_manuales!$G$41*(datos_base!$D$5+IF(parametros_manuales!$H$41="Todos",datos_base!$D$12,0))*parametros_manuales!$D$112)*parametros_manuales!$I$41*parametros_manuales!$J$41</f>
        <v>1097.175</v>
      </c>
      <c r="E80" s="8">
        <f>(parametros_manuales!$D$41*(datos_base!$D$2+IF(parametros_manuales!$H$41="Todos",datos_base!$D$9,0))*parametros_manuales!$E$97+parametros_manuales!$E$41*(datos_base!$D$3+IF(parametros_manuales!$H$41="Todos",datos_base!$D$10,0))*parametros_manuales!$E$102+parametros_manuales!$F$41*(datos_base!$D$4+IF(parametros_manuales!$H$41="Todos",datos_base!$D$11,0))*parametros_manuales!$E$107+parametros_manuales!$G$41*(datos_base!$D$5+IF(parametros_manuales!$H$41="Todos",datos_base!$D$12,0))*parametros_manuales!$E$112)*parametros_manuales!$I$41*parametros_manuales!$J$41</f>
        <v>1062.915</v>
      </c>
      <c r="F80" s="8">
        <f>(parametros_manuales!$D$41*(datos_base!$D$2+IF(parametros_manuales!$H$41="Todos",datos_base!$D$9,0))*parametros_manuales!$F$97+parametros_manuales!$E$41*(datos_base!$D$3+IF(parametros_manuales!$H$41="Todos",datos_base!$D$10,0))*parametros_manuales!$F$102+parametros_manuales!$F$41*(datos_base!$D$4+IF(parametros_manuales!$H$41="Todos",datos_base!$D$11,0))*parametros_manuales!$F$107+parametros_manuales!$G$41*(datos_base!$D$5+IF(parametros_manuales!$H$41="Todos",datos_base!$D$12,0))*parametros_manuales!$F$112)*parametros_manuales!$I$41*parametros_manuales!$J$41</f>
        <v>996.36</v>
      </c>
      <c r="G80" s="8">
        <f>(parametros_manuales!$D$41*(datos_base!$D$2+IF(parametros_manuales!$H$41="Todos",datos_base!$D$9,0))*parametros_manuales!$G$97+parametros_manuales!$E$41*(datos_base!$D$3+IF(parametros_manuales!$H$41="Todos",datos_base!$D$10,0))*parametros_manuales!$G$102+parametros_manuales!$F$41*(datos_base!$D$4+IF(parametros_manuales!$H$41="Todos",datos_base!$D$11,0))*parametros_manuales!$G$107+parametros_manuales!$G$41*(datos_base!$D$5+IF(parametros_manuales!$H$41="Todos",datos_base!$D$12,0))*parametros_manuales!$G$112)*parametros_manuales!$I$41*parametros_manuales!$J$41</f>
        <v>964.065</v>
      </c>
      <c r="H80" s="8">
        <f>(parametros_manuales!$D$41*(datos_base!$D$2+IF(parametros_manuales!$H$41="Todos",datos_base!$D$9,0))*parametros_manuales!$H$97+parametros_manuales!$E$41*(datos_base!$D$3+IF(parametros_manuales!$H$41="Todos",datos_base!$D$10,0))*parametros_manuales!$H$102+parametros_manuales!$F$41*(datos_base!$D$4+IF(parametros_manuales!$H$41="Todos",datos_base!$D$11,0))*parametros_manuales!$H$107+parametros_manuales!$G$41*(datos_base!$D$5+IF(parametros_manuales!$H$41="Todos",datos_base!$D$12,0))*parametros_manuales!$H$112)*parametros_manuales!$I$41*parametros_manuales!$J$41</f>
        <v>1030.62</v>
      </c>
      <c r="I80" s="8">
        <f>(parametros_manuales!$D$41*(datos_base!$D$2+IF(parametros_manuales!$H$41="Todos",datos_base!$D$9,0))*parametros_manuales!$I$97+parametros_manuales!$E$41*(datos_base!$D$3+IF(parametros_manuales!$H$41="Todos",datos_base!$D$10,0))*parametros_manuales!$I$102+parametros_manuales!$F$41*(datos_base!$D$4+IF(parametros_manuales!$H$41="Todos",datos_base!$D$11,0))*parametros_manuales!$I$107+parametros_manuales!$G$41*(datos_base!$D$5+IF(parametros_manuales!$H$41="Todos",datos_base!$D$12,0))*parametros_manuales!$I$112)*parametros_manuales!$I$41*parametros_manuales!$J$41</f>
        <v>1133.4</v>
      </c>
      <c r="J80" s="8">
        <f>(parametros_manuales!$D$41*(datos_base!$D$2+IF(parametros_manuales!$H$41="Todos",datos_base!$D$9,0))*parametros_manuales!$J$97+parametros_manuales!$E$41*(datos_base!$D$3+IF(parametros_manuales!$H$41="Todos",datos_base!$D$10,0))*parametros_manuales!$J$102+parametros_manuales!$F$41*(datos_base!$D$4+IF(parametros_manuales!$H$41="Todos",datos_base!$D$11,0))*parametros_manuales!$J$107+parametros_manuales!$G$41*(datos_base!$D$5+IF(parametros_manuales!$H$41="Todos",datos_base!$D$12,0))*parametros_manuales!$J$112)*parametros_manuales!$I$41*parametros_manuales!$J$41</f>
        <v>1133.4</v>
      </c>
      <c r="K80" s="8">
        <f>(parametros_manuales!$D$41*(datos_base!$D$2+IF(parametros_manuales!$H$41="Todos",datos_base!$D$9,0))*parametros_manuales!$K$97+parametros_manuales!$E$41*(datos_base!$D$3+IF(parametros_manuales!$H$41="Todos",datos_base!$D$10,0))*parametros_manuales!$K$102+parametros_manuales!$F$41*(datos_base!$D$4+IF(parametros_manuales!$H$41="Todos",datos_base!$D$11,0))*parametros_manuales!$K$107+parametros_manuales!$G$41*(datos_base!$D$5+IF(parametros_manuales!$H$41="Todos",datos_base!$D$12,0))*parametros_manuales!$K$112)*parametros_manuales!$I$41*parametros_manuales!$J$41</f>
        <v>1165.695</v>
      </c>
      <c r="L80" s="8">
        <f>(parametros_manuales!$D$41*(datos_base!$D$2+IF(parametros_manuales!$H$41="Todos",datos_base!$D$9,0))*parametros_manuales!$L$97+parametros_manuales!$E$41*(datos_base!$D$3+IF(parametros_manuales!$H$41="Todos",datos_base!$D$10,0))*parametros_manuales!$L$102+parametros_manuales!$F$41*(datos_base!$D$4+IF(parametros_manuales!$H$41="Todos",datos_base!$D$11,0))*parametros_manuales!$L$107+parametros_manuales!$G$41*(datos_base!$D$5+IF(parametros_manuales!$H$41="Todos",datos_base!$D$12,0))*parametros_manuales!$L$112)*parametros_manuales!$I$41*parametros_manuales!$J$41</f>
        <v>1197.99</v>
      </c>
      <c r="M80" s="8">
        <f>(parametros_manuales!$D$41*(datos_base!$D$2+IF(parametros_manuales!$H$41="Todos",datos_base!$D$9,0))*parametros_manuales!$M$97+parametros_manuales!$E$41*(datos_base!$D$3+IF(parametros_manuales!$H$41="Todos",datos_base!$D$10,0))*parametros_manuales!$M$102+parametros_manuales!$F$41*(datos_base!$D$4+IF(parametros_manuales!$H$41="Todos",datos_base!$D$11,0))*parametros_manuales!$M$107+parametros_manuales!$G$41*(datos_base!$D$5+IF(parametros_manuales!$H$41="Todos",datos_base!$D$12,0))*parametros_manuales!$M$112)*parametros_manuales!$I$41*parametros_manuales!$J$41</f>
        <v>1197.99</v>
      </c>
      <c r="N80" s="8">
        <f t="shared" si="7"/>
        <v>13311</v>
      </c>
      <c r="O80" s="8">
        <f t="shared" si="8"/>
        <v>1197.99</v>
      </c>
      <c r="P80" s="27">
        <f>O80/(parametros_manuales!$B$7)</f>
        <v>7.9866</v>
      </c>
      <c r="Q80" s="4" t="str">
        <f t="shared" si="9"/>
        <v>Ene</v>
      </c>
      <c r="R80" s="16"/>
      <c r="S80" s="16"/>
    </row>
    <row r="81" ht="14.25" customHeight="1">
      <c r="A81" s="4" t="str">
        <f>parametros_manuales!$B$42</f>
        <v>Control de calidad — Ensayo de pérdidas</v>
      </c>
      <c r="B81" s="8">
        <f>(parametros_manuales!$D$42*(datos_base!$D$2+IF(parametros_manuales!$H$42="Todos",datos_base!$D$9,0))*parametros_manuales!$B$97+parametros_manuales!$E$42*(datos_base!$D$3+IF(parametros_manuales!$H$42="Todos",datos_base!$D$10,0))*parametros_manuales!$B$102+parametros_manuales!$F$42*(datos_base!$D$4+IF(parametros_manuales!$H$42="Todos",datos_base!$D$11,0))*parametros_manuales!$B$107+parametros_manuales!$G$42*(datos_base!$D$5+IF(parametros_manuales!$H$42="Todos",datos_base!$D$12,0))*parametros_manuales!$B$112)*parametros_manuales!$I$42*parametros_manuales!$J$42</f>
        <v>1197.99</v>
      </c>
      <c r="C81" s="8">
        <f>(parametros_manuales!$D$42*(datos_base!$D$2+IF(parametros_manuales!$H$42="Todos",datos_base!$D$9,0))*parametros_manuales!$C$97+parametros_manuales!$E$42*(datos_base!$D$3+IF(parametros_manuales!$H$42="Todos",datos_base!$D$10,0))*parametros_manuales!$C$102+parametros_manuales!$F$42*(datos_base!$D$4+IF(parametros_manuales!$H$42="Todos",datos_base!$D$11,0))*parametros_manuales!$C$107+parametros_manuales!$G$42*(datos_base!$D$5+IF(parametros_manuales!$H$42="Todos",datos_base!$D$12,0))*parametros_manuales!$C$112)*parametros_manuales!$I$42*parametros_manuales!$J$42</f>
        <v>1133.4</v>
      </c>
      <c r="D81" s="8">
        <f>(parametros_manuales!$D$42*(datos_base!$D$2+IF(parametros_manuales!$H$42="Todos",datos_base!$D$9,0))*parametros_manuales!$D$97+parametros_manuales!$E$42*(datos_base!$D$3+IF(parametros_manuales!$H$42="Todos",datos_base!$D$10,0))*parametros_manuales!$D$102+parametros_manuales!$F$42*(datos_base!$D$4+IF(parametros_manuales!$H$42="Todos",datos_base!$D$11,0))*parametros_manuales!$D$107+parametros_manuales!$G$42*(datos_base!$D$5+IF(parametros_manuales!$H$42="Todos",datos_base!$D$12,0))*parametros_manuales!$D$112)*parametros_manuales!$I$42*parametros_manuales!$J$42</f>
        <v>1097.175</v>
      </c>
      <c r="E81" s="8">
        <f>(parametros_manuales!$D$42*(datos_base!$D$2+IF(parametros_manuales!$H$42="Todos",datos_base!$D$9,0))*parametros_manuales!$E$97+parametros_manuales!$E$42*(datos_base!$D$3+IF(parametros_manuales!$H$42="Todos",datos_base!$D$10,0))*parametros_manuales!$E$102+parametros_manuales!$F$42*(datos_base!$D$4+IF(parametros_manuales!$H$42="Todos",datos_base!$D$11,0))*parametros_manuales!$E$107+parametros_manuales!$G$42*(datos_base!$D$5+IF(parametros_manuales!$H$42="Todos",datos_base!$D$12,0))*parametros_manuales!$E$112)*parametros_manuales!$I$42*parametros_manuales!$J$42</f>
        <v>1062.915</v>
      </c>
      <c r="F81" s="8">
        <f>(parametros_manuales!$D$42*(datos_base!$D$2+IF(parametros_manuales!$H$42="Todos",datos_base!$D$9,0))*parametros_manuales!$F$97+parametros_manuales!$E$42*(datos_base!$D$3+IF(parametros_manuales!$H$42="Todos",datos_base!$D$10,0))*parametros_manuales!$F$102+parametros_manuales!$F$42*(datos_base!$D$4+IF(parametros_manuales!$H$42="Todos",datos_base!$D$11,0))*parametros_manuales!$F$107+parametros_manuales!$G$42*(datos_base!$D$5+IF(parametros_manuales!$H$42="Todos",datos_base!$D$12,0))*parametros_manuales!$F$112)*parametros_manuales!$I$42*parametros_manuales!$J$42</f>
        <v>996.36</v>
      </c>
      <c r="G81" s="8">
        <f>(parametros_manuales!$D$42*(datos_base!$D$2+IF(parametros_manuales!$H$42="Todos",datos_base!$D$9,0))*parametros_manuales!$G$97+parametros_manuales!$E$42*(datos_base!$D$3+IF(parametros_manuales!$H$42="Todos",datos_base!$D$10,0))*parametros_manuales!$G$102+parametros_manuales!$F$42*(datos_base!$D$4+IF(parametros_manuales!$H$42="Todos",datos_base!$D$11,0))*parametros_manuales!$G$107+parametros_manuales!$G$42*(datos_base!$D$5+IF(parametros_manuales!$H$42="Todos",datos_base!$D$12,0))*parametros_manuales!$G$112)*parametros_manuales!$I$42*parametros_manuales!$J$42</f>
        <v>964.065</v>
      </c>
      <c r="H81" s="8">
        <f>(parametros_manuales!$D$42*(datos_base!$D$2+IF(parametros_manuales!$H$42="Todos",datos_base!$D$9,0))*parametros_manuales!$H$97+parametros_manuales!$E$42*(datos_base!$D$3+IF(parametros_manuales!$H$42="Todos",datos_base!$D$10,0))*parametros_manuales!$H$102+parametros_manuales!$F$42*(datos_base!$D$4+IF(parametros_manuales!$H$42="Todos",datos_base!$D$11,0))*parametros_manuales!$H$107+parametros_manuales!$G$42*(datos_base!$D$5+IF(parametros_manuales!$H$42="Todos",datos_base!$D$12,0))*parametros_manuales!$H$112)*parametros_manuales!$I$42*parametros_manuales!$J$42</f>
        <v>1030.62</v>
      </c>
      <c r="I81" s="8">
        <f>(parametros_manuales!$D$42*(datos_base!$D$2+IF(parametros_manuales!$H$42="Todos",datos_base!$D$9,0))*parametros_manuales!$I$97+parametros_manuales!$E$42*(datos_base!$D$3+IF(parametros_manuales!$H$42="Todos",datos_base!$D$10,0))*parametros_manuales!$I$102+parametros_manuales!$F$42*(datos_base!$D$4+IF(parametros_manuales!$H$42="Todos",datos_base!$D$11,0))*parametros_manuales!$I$107+parametros_manuales!$G$42*(datos_base!$D$5+IF(parametros_manuales!$H$42="Todos",datos_base!$D$12,0))*parametros_manuales!$I$112)*parametros_manuales!$I$42*parametros_manuales!$J$42</f>
        <v>1133.4</v>
      </c>
      <c r="J81" s="8">
        <f>(parametros_manuales!$D$42*(datos_base!$D$2+IF(parametros_manuales!$H$42="Todos",datos_base!$D$9,0))*parametros_manuales!$J$97+parametros_manuales!$E$42*(datos_base!$D$3+IF(parametros_manuales!$H$42="Todos",datos_base!$D$10,0))*parametros_manuales!$J$102+parametros_manuales!$F$42*(datos_base!$D$4+IF(parametros_manuales!$H$42="Todos",datos_base!$D$11,0))*parametros_manuales!$J$107+parametros_manuales!$G$42*(datos_base!$D$5+IF(parametros_manuales!$H$42="Todos",datos_base!$D$12,0))*parametros_manuales!$J$112)*parametros_manuales!$I$42*parametros_manuales!$J$42</f>
        <v>1133.4</v>
      </c>
      <c r="K81" s="8">
        <f>(parametros_manuales!$D$42*(datos_base!$D$2+IF(parametros_manuales!$H$42="Todos",datos_base!$D$9,0))*parametros_manuales!$K$97+parametros_manuales!$E$42*(datos_base!$D$3+IF(parametros_manuales!$H$42="Todos",datos_base!$D$10,0))*parametros_manuales!$K$102+parametros_manuales!$F$42*(datos_base!$D$4+IF(parametros_manuales!$H$42="Todos",datos_base!$D$11,0))*parametros_manuales!$K$107+parametros_manuales!$G$42*(datos_base!$D$5+IF(parametros_manuales!$H$42="Todos",datos_base!$D$12,0))*parametros_manuales!$K$112)*parametros_manuales!$I$42*parametros_manuales!$J$42</f>
        <v>1165.695</v>
      </c>
      <c r="L81" s="8">
        <f>(parametros_manuales!$D$42*(datos_base!$D$2+IF(parametros_manuales!$H$42="Todos",datos_base!$D$9,0))*parametros_manuales!$L$97+parametros_manuales!$E$42*(datos_base!$D$3+IF(parametros_manuales!$H$42="Todos",datos_base!$D$10,0))*parametros_manuales!$L$102+parametros_manuales!$F$42*(datos_base!$D$4+IF(parametros_manuales!$H$42="Todos",datos_base!$D$11,0))*parametros_manuales!$L$107+parametros_manuales!$G$42*(datos_base!$D$5+IF(parametros_manuales!$H$42="Todos",datos_base!$D$12,0))*parametros_manuales!$L$112)*parametros_manuales!$I$42*parametros_manuales!$J$42</f>
        <v>1197.99</v>
      </c>
      <c r="M81" s="8">
        <f>(parametros_manuales!$D$42*(datos_base!$D$2+IF(parametros_manuales!$H$42="Todos",datos_base!$D$9,0))*parametros_manuales!$M$97+parametros_manuales!$E$42*(datos_base!$D$3+IF(parametros_manuales!$H$42="Todos",datos_base!$D$10,0))*parametros_manuales!$M$102+parametros_manuales!$F$42*(datos_base!$D$4+IF(parametros_manuales!$H$42="Todos",datos_base!$D$11,0))*parametros_manuales!$M$107+parametros_manuales!$G$42*(datos_base!$D$5+IF(parametros_manuales!$H$42="Todos",datos_base!$D$12,0))*parametros_manuales!$M$112)*parametros_manuales!$I$42*parametros_manuales!$J$42</f>
        <v>1197.99</v>
      </c>
      <c r="N81" s="8">
        <f t="shared" si="7"/>
        <v>13311</v>
      </c>
      <c r="O81" s="8">
        <f t="shared" si="8"/>
        <v>1197.99</v>
      </c>
      <c r="P81" s="27">
        <f>O81/(parametros_manuales!$B$7)</f>
        <v>7.9866</v>
      </c>
      <c r="Q81" s="4" t="str">
        <f t="shared" si="9"/>
        <v>Ene</v>
      </c>
      <c r="R81" s="16"/>
      <c r="S81" s="16"/>
    </row>
    <row r="82" ht="14.25" customHeight="1">
      <c r="A82" s="4" t="str">
        <f>parametros_manuales!$B$43</f>
        <v>Etiquetado</v>
      </c>
      <c r="B82" s="8">
        <f>(parametros_manuales!$D$43*(datos_base!$D$2+IF(parametros_manuales!$H$43="Todos",datos_base!$D$9,0))*parametros_manuales!$B$97+parametros_manuales!$E$43*(datos_base!$D$3+IF(parametros_manuales!$H$43="Todos",datos_base!$D$10,0))*parametros_manuales!$B$102+parametros_manuales!$F$43*(datos_base!$D$4+IF(parametros_manuales!$H$43="Todos",datos_base!$D$11,0))*parametros_manuales!$B$107+parametros_manuales!$G$43*(datos_base!$D$5+IF(parametros_manuales!$H$43="Todos",datos_base!$D$12,0))*parametros_manuales!$B$112)*parametros_manuales!$I$43*parametros_manuales!$J$43</f>
        <v>1197.99</v>
      </c>
      <c r="C82" s="8">
        <f>(parametros_manuales!$D$43*(datos_base!$D$2+IF(parametros_manuales!$H$43="Todos",datos_base!$D$9,0))*parametros_manuales!$C$97+parametros_manuales!$E$43*(datos_base!$D$3+IF(parametros_manuales!$H$43="Todos",datos_base!$D$10,0))*parametros_manuales!$C$102+parametros_manuales!$F$43*(datos_base!$D$4+IF(parametros_manuales!$H$43="Todos",datos_base!$D$11,0))*parametros_manuales!$C$107+parametros_manuales!$G$43*(datos_base!$D$5+IF(parametros_manuales!$H$43="Todos",datos_base!$D$12,0))*parametros_manuales!$C$112)*parametros_manuales!$I$43*parametros_manuales!$J$43</f>
        <v>1133.4</v>
      </c>
      <c r="D82" s="8">
        <f>(parametros_manuales!$D$43*(datos_base!$D$2+IF(parametros_manuales!$H$43="Todos",datos_base!$D$9,0))*parametros_manuales!$D$97+parametros_manuales!$E$43*(datos_base!$D$3+IF(parametros_manuales!$H$43="Todos",datos_base!$D$10,0))*parametros_manuales!$D$102+parametros_manuales!$F$43*(datos_base!$D$4+IF(parametros_manuales!$H$43="Todos",datos_base!$D$11,0))*parametros_manuales!$D$107+parametros_manuales!$G$43*(datos_base!$D$5+IF(parametros_manuales!$H$43="Todos",datos_base!$D$12,0))*parametros_manuales!$D$112)*parametros_manuales!$I$43*parametros_manuales!$J$43</f>
        <v>1097.175</v>
      </c>
      <c r="E82" s="8">
        <f>(parametros_manuales!$D$43*(datos_base!$D$2+IF(parametros_manuales!$H$43="Todos",datos_base!$D$9,0))*parametros_manuales!$E$97+parametros_manuales!$E$43*(datos_base!$D$3+IF(parametros_manuales!$H$43="Todos",datos_base!$D$10,0))*parametros_manuales!$E$102+parametros_manuales!$F$43*(datos_base!$D$4+IF(parametros_manuales!$H$43="Todos",datos_base!$D$11,0))*parametros_manuales!$E$107+parametros_manuales!$G$43*(datos_base!$D$5+IF(parametros_manuales!$H$43="Todos",datos_base!$D$12,0))*parametros_manuales!$E$112)*parametros_manuales!$I$43*parametros_manuales!$J$43</f>
        <v>1062.915</v>
      </c>
      <c r="F82" s="8">
        <f>(parametros_manuales!$D$43*(datos_base!$D$2+IF(parametros_manuales!$H$43="Todos",datos_base!$D$9,0))*parametros_manuales!$F$97+parametros_manuales!$E$43*(datos_base!$D$3+IF(parametros_manuales!$H$43="Todos",datos_base!$D$10,0))*parametros_manuales!$F$102+parametros_manuales!$F$43*(datos_base!$D$4+IF(parametros_manuales!$H$43="Todos",datos_base!$D$11,0))*parametros_manuales!$F$107+parametros_manuales!$G$43*(datos_base!$D$5+IF(parametros_manuales!$H$43="Todos",datos_base!$D$12,0))*parametros_manuales!$F$112)*parametros_manuales!$I$43*parametros_manuales!$J$43</f>
        <v>996.36</v>
      </c>
      <c r="G82" s="8">
        <f>(parametros_manuales!$D$43*(datos_base!$D$2+IF(parametros_manuales!$H$43="Todos",datos_base!$D$9,0))*parametros_manuales!$G$97+parametros_manuales!$E$43*(datos_base!$D$3+IF(parametros_manuales!$H$43="Todos",datos_base!$D$10,0))*parametros_manuales!$G$102+parametros_manuales!$F$43*(datos_base!$D$4+IF(parametros_manuales!$H$43="Todos",datos_base!$D$11,0))*parametros_manuales!$G$107+parametros_manuales!$G$43*(datos_base!$D$5+IF(parametros_manuales!$H$43="Todos",datos_base!$D$12,0))*parametros_manuales!$G$112)*parametros_manuales!$I$43*parametros_manuales!$J$43</f>
        <v>964.065</v>
      </c>
      <c r="H82" s="8">
        <f>(parametros_manuales!$D$43*(datos_base!$D$2+IF(parametros_manuales!$H$43="Todos",datos_base!$D$9,0))*parametros_manuales!$H$97+parametros_manuales!$E$43*(datos_base!$D$3+IF(parametros_manuales!$H$43="Todos",datos_base!$D$10,0))*parametros_manuales!$H$102+parametros_manuales!$F$43*(datos_base!$D$4+IF(parametros_manuales!$H$43="Todos",datos_base!$D$11,0))*parametros_manuales!$H$107+parametros_manuales!$G$43*(datos_base!$D$5+IF(parametros_manuales!$H$43="Todos",datos_base!$D$12,0))*parametros_manuales!$H$112)*parametros_manuales!$I$43*parametros_manuales!$J$43</f>
        <v>1030.62</v>
      </c>
      <c r="I82" s="8">
        <f>(parametros_manuales!$D$43*(datos_base!$D$2+IF(parametros_manuales!$H$43="Todos",datos_base!$D$9,0))*parametros_manuales!$I$97+parametros_manuales!$E$43*(datos_base!$D$3+IF(parametros_manuales!$H$43="Todos",datos_base!$D$10,0))*parametros_manuales!$I$102+parametros_manuales!$F$43*(datos_base!$D$4+IF(parametros_manuales!$H$43="Todos",datos_base!$D$11,0))*parametros_manuales!$I$107+parametros_manuales!$G$43*(datos_base!$D$5+IF(parametros_manuales!$H$43="Todos",datos_base!$D$12,0))*parametros_manuales!$I$112)*parametros_manuales!$I$43*parametros_manuales!$J$43</f>
        <v>1133.4</v>
      </c>
      <c r="J82" s="8">
        <f>(parametros_manuales!$D$43*(datos_base!$D$2+IF(parametros_manuales!$H$43="Todos",datos_base!$D$9,0))*parametros_manuales!$J$97+parametros_manuales!$E$43*(datos_base!$D$3+IF(parametros_manuales!$H$43="Todos",datos_base!$D$10,0))*parametros_manuales!$J$102+parametros_manuales!$F$43*(datos_base!$D$4+IF(parametros_manuales!$H$43="Todos",datos_base!$D$11,0))*parametros_manuales!$J$107+parametros_manuales!$G$43*(datos_base!$D$5+IF(parametros_manuales!$H$43="Todos",datos_base!$D$12,0))*parametros_manuales!$J$112)*parametros_manuales!$I$43*parametros_manuales!$J$43</f>
        <v>1133.4</v>
      </c>
      <c r="K82" s="8">
        <f>(parametros_manuales!$D$43*(datos_base!$D$2+IF(parametros_manuales!$H$43="Todos",datos_base!$D$9,0))*parametros_manuales!$K$97+parametros_manuales!$E$43*(datos_base!$D$3+IF(parametros_manuales!$H$43="Todos",datos_base!$D$10,0))*parametros_manuales!$K$102+parametros_manuales!$F$43*(datos_base!$D$4+IF(parametros_manuales!$H$43="Todos",datos_base!$D$11,0))*parametros_manuales!$K$107+parametros_manuales!$G$43*(datos_base!$D$5+IF(parametros_manuales!$H$43="Todos",datos_base!$D$12,0))*parametros_manuales!$K$112)*parametros_manuales!$I$43*parametros_manuales!$J$43</f>
        <v>1165.695</v>
      </c>
      <c r="L82" s="8">
        <f>(parametros_manuales!$D$43*(datos_base!$D$2+IF(parametros_manuales!$H$43="Todos",datos_base!$D$9,0))*parametros_manuales!$L$97+parametros_manuales!$E$43*(datos_base!$D$3+IF(parametros_manuales!$H$43="Todos",datos_base!$D$10,0))*parametros_manuales!$L$102+parametros_manuales!$F$43*(datos_base!$D$4+IF(parametros_manuales!$H$43="Todos",datos_base!$D$11,0))*parametros_manuales!$L$107+parametros_manuales!$G$43*(datos_base!$D$5+IF(parametros_manuales!$H$43="Todos",datos_base!$D$12,0))*parametros_manuales!$L$112)*parametros_manuales!$I$43*parametros_manuales!$J$43</f>
        <v>1197.99</v>
      </c>
      <c r="M82" s="8">
        <f>(parametros_manuales!$D$43*(datos_base!$D$2+IF(parametros_manuales!$H$43="Todos",datos_base!$D$9,0))*parametros_manuales!$M$97+parametros_manuales!$E$43*(datos_base!$D$3+IF(parametros_manuales!$H$43="Todos",datos_base!$D$10,0))*parametros_manuales!$M$102+parametros_manuales!$F$43*(datos_base!$D$4+IF(parametros_manuales!$H$43="Todos",datos_base!$D$11,0))*parametros_manuales!$M$107+parametros_manuales!$G$43*(datos_base!$D$5+IF(parametros_manuales!$H$43="Todos",datos_base!$D$12,0))*parametros_manuales!$M$112)*parametros_manuales!$I$43*parametros_manuales!$J$43</f>
        <v>1197.99</v>
      </c>
      <c r="N82" s="8">
        <f t="shared" si="7"/>
        <v>13311</v>
      </c>
      <c r="O82" s="8">
        <f t="shared" si="8"/>
        <v>1197.99</v>
      </c>
      <c r="P82" s="27">
        <f>O82/(parametros_manuales!$B$7)</f>
        <v>7.9866</v>
      </c>
      <c r="Q82" s="4" t="str">
        <f t="shared" si="9"/>
        <v>Ene</v>
      </c>
      <c r="R82" s="16"/>
      <c r="S82" s="16"/>
    </row>
    <row r="83" ht="14.25" customHeight="1">
      <c r="A83" s="4" t="str">
        <f>parametros_manuales!$B$44</f>
        <v>Embalaje y paletizado</v>
      </c>
      <c r="B83" s="8">
        <f>(parametros_manuales!$D$44*(datos_base!$D$2+IF(parametros_manuales!$H$44="Todos",datos_base!$D$9,0))*parametros_manuales!$B$97+parametros_manuales!$E$44*(datos_base!$D$3+IF(parametros_manuales!$H$44="Todos",datos_base!$D$10,0))*parametros_manuales!$B$102+parametros_manuales!$F$44*(datos_base!$D$4+IF(parametros_manuales!$H$44="Todos",datos_base!$D$11,0))*parametros_manuales!$B$107+parametros_manuales!$G$44*(datos_base!$D$5+IF(parametros_manuales!$H$44="Todos",datos_base!$D$12,0))*parametros_manuales!$B$112)*parametros_manuales!$I$44*parametros_manuales!$J$44</f>
        <v>2075.85</v>
      </c>
      <c r="C83" s="8">
        <f>(parametros_manuales!$D$44*(datos_base!$D$2+IF(parametros_manuales!$H$44="Todos",datos_base!$D$9,0))*parametros_manuales!$C$97+parametros_manuales!$E$44*(datos_base!$D$3+IF(parametros_manuales!$H$44="Todos",datos_base!$D$10,0))*parametros_manuales!$C$102+parametros_manuales!$F$44*(datos_base!$D$4+IF(parametros_manuales!$H$44="Todos",datos_base!$D$11,0))*parametros_manuales!$C$107+parametros_manuales!$G$44*(datos_base!$D$5+IF(parametros_manuales!$H$44="Todos",datos_base!$D$12,0))*parametros_manuales!$C$112)*parametros_manuales!$I$44*parametros_manuales!$J$44</f>
        <v>1990.34</v>
      </c>
      <c r="D83" s="8">
        <f>(parametros_manuales!$D$44*(datos_base!$D$2+IF(parametros_manuales!$H$44="Todos",datos_base!$D$9,0))*parametros_manuales!$D$97+parametros_manuales!$E$44*(datos_base!$D$3+IF(parametros_manuales!$H$44="Todos",datos_base!$D$10,0))*parametros_manuales!$D$102+parametros_manuales!$F$44*(datos_base!$D$4+IF(parametros_manuales!$H$44="Todos",datos_base!$D$11,0))*parametros_manuales!$D$107+parametros_manuales!$G$44*(datos_base!$D$5+IF(parametros_manuales!$H$44="Todos",datos_base!$D$12,0))*parametros_manuales!$D$112)*parametros_manuales!$I$44*parametros_manuales!$J$44</f>
        <v>1887.955</v>
      </c>
      <c r="E83" s="8">
        <f>(parametros_manuales!$D$44*(datos_base!$D$2+IF(parametros_manuales!$H$44="Todos",datos_base!$D$9,0))*parametros_manuales!$E$97+parametros_manuales!$E$44*(datos_base!$D$3+IF(parametros_manuales!$H$44="Todos",datos_base!$D$10,0))*parametros_manuales!$E$102+parametros_manuales!$F$44*(datos_base!$D$4+IF(parametros_manuales!$H$44="Todos",datos_base!$D$11,0))*parametros_manuales!$E$107+parametros_manuales!$G$44*(datos_base!$D$5+IF(parametros_manuales!$H$44="Todos",datos_base!$D$12,0))*parametros_manuales!$E$112)*parametros_manuales!$I$44*parametros_manuales!$J$44</f>
        <v>1815.385</v>
      </c>
      <c r="F83" s="8">
        <f>(parametros_manuales!$D$44*(datos_base!$D$2+IF(parametros_manuales!$H$44="Todos",datos_base!$D$9,0))*parametros_manuales!$F$97+parametros_manuales!$E$44*(datos_base!$D$3+IF(parametros_manuales!$H$44="Todos",datos_base!$D$10,0))*parametros_manuales!$F$102+parametros_manuales!$F$44*(datos_base!$D$4+IF(parametros_manuales!$H$44="Todos",datos_base!$D$11,0))*parametros_manuales!$F$107+parametros_manuales!$G$44*(datos_base!$D$5+IF(parametros_manuales!$H$44="Todos",datos_base!$D$12,0))*parametros_manuales!$F$112)*parametros_manuales!$I$44*parametros_manuales!$J$44</f>
        <v>1700.06</v>
      </c>
      <c r="G83" s="8">
        <f>(parametros_manuales!$D$44*(datos_base!$D$2+IF(parametros_manuales!$H$44="Todos",datos_base!$D$9,0))*parametros_manuales!$G$97+parametros_manuales!$E$44*(datos_base!$D$3+IF(parametros_manuales!$H$44="Todos",datos_base!$D$10,0))*parametros_manuales!$G$102+parametros_manuales!$F$44*(datos_base!$D$4+IF(parametros_manuales!$H$44="Todos",datos_base!$D$11,0))*parametros_manuales!$G$107+parametros_manuales!$G$44*(datos_base!$D$5+IF(parametros_manuales!$H$44="Todos",datos_base!$D$12,0))*parametros_manuales!$G$112)*parametros_manuales!$I$44*parametros_manuales!$J$44</f>
        <v>1657.305</v>
      </c>
      <c r="H83" s="8">
        <f>(parametros_manuales!$D$44*(datos_base!$D$2+IF(parametros_manuales!$H$44="Todos",datos_base!$D$9,0))*parametros_manuales!$H$97+parametros_manuales!$E$44*(datos_base!$D$3+IF(parametros_manuales!$H$44="Todos",datos_base!$D$10,0))*parametros_manuales!$H$102+parametros_manuales!$F$44*(datos_base!$D$4+IF(parametros_manuales!$H$44="Todos",datos_base!$D$11,0))*parametros_manuales!$H$107+parametros_manuales!$G$44*(datos_base!$D$5+IF(parametros_manuales!$H$44="Todos",datos_base!$D$12,0))*parametros_manuales!$H$112)*parametros_manuales!$I$44*parametros_manuales!$J$44</f>
        <v>1772.63</v>
      </c>
      <c r="I83" s="8">
        <f>(parametros_manuales!$D$44*(datos_base!$D$2+IF(parametros_manuales!$H$44="Todos",datos_base!$D$9,0))*parametros_manuales!$I$97+parametros_manuales!$E$44*(datos_base!$D$3+IF(parametros_manuales!$H$44="Todos",datos_base!$D$10,0))*parametros_manuales!$I$102+parametros_manuales!$F$44*(datos_base!$D$4+IF(parametros_manuales!$H$44="Todos",datos_base!$D$11,0))*parametros_manuales!$I$107+parametros_manuales!$G$44*(datos_base!$D$5+IF(parametros_manuales!$H$44="Todos",datos_base!$D$12,0))*parametros_manuales!$I$112)*parametros_manuales!$I$44*parametros_manuales!$J$44</f>
        <v>1990.34</v>
      </c>
      <c r="J83" s="8">
        <f>(parametros_manuales!$D$44*(datos_base!$D$2+IF(parametros_manuales!$H$44="Todos",datos_base!$D$9,0))*parametros_manuales!$J$97+parametros_manuales!$E$44*(datos_base!$D$3+IF(parametros_manuales!$H$44="Todos",datos_base!$D$10,0))*parametros_manuales!$J$102+parametros_manuales!$F$44*(datos_base!$D$4+IF(parametros_manuales!$H$44="Todos",datos_base!$D$11,0))*parametros_manuales!$J$107+parametros_manuales!$G$44*(datos_base!$D$5+IF(parametros_manuales!$H$44="Todos",datos_base!$D$12,0))*parametros_manuales!$J$112)*parametros_manuales!$I$44*parametros_manuales!$J$44</f>
        <v>1990.34</v>
      </c>
      <c r="K83" s="8">
        <f>(parametros_manuales!$D$44*(datos_base!$D$2+IF(parametros_manuales!$H$44="Todos",datos_base!$D$9,0))*parametros_manuales!$K$97+parametros_manuales!$E$44*(datos_base!$D$3+IF(parametros_manuales!$H$44="Todos",datos_base!$D$10,0))*parametros_manuales!$K$102+parametros_manuales!$F$44*(datos_base!$D$4+IF(parametros_manuales!$H$44="Todos",datos_base!$D$11,0))*parametros_manuales!$K$107+parametros_manuales!$G$44*(datos_base!$D$5+IF(parametros_manuales!$H$44="Todos",datos_base!$D$12,0))*parametros_manuales!$K$112)*parametros_manuales!$I$44*parametros_manuales!$J$44</f>
        <v>2033.095</v>
      </c>
      <c r="L83" s="8">
        <f>(parametros_manuales!$D$44*(datos_base!$D$2+IF(parametros_manuales!$H$44="Todos",datos_base!$D$9,0))*parametros_manuales!$L$97+parametros_manuales!$E$44*(datos_base!$D$3+IF(parametros_manuales!$H$44="Todos",datos_base!$D$10,0))*parametros_manuales!$L$102+parametros_manuales!$F$44*(datos_base!$D$4+IF(parametros_manuales!$H$44="Todos",datos_base!$D$11,0))*parametros_manuales!$L$107+parametros_manuales!$G$44*(datos_base!$D$5+IF(parametros_manuales!$H$44="Todos",datos_base!$D$12,0))*parametros_manuales!$L$112)*parametros_manuales!$I$44*parametros_manuales!$J$44</f>
        <v>2075.85</v>
      </c>
      <c r="M83" s="8">
        <f>(parametros_manuales!$D$44*(datos_base!$D$2+IF(parametros_manuales!$H$44="Todos",datos_base!$D$9,0))*parametros_manuales!$M$97+parametros_manuales!$E$44*(datos_base!$D$3+IF(parametros_manuales!$H$44="Todos",datos_base!$D$10,0))*parametros_manuales!$M$102+parametros_manuales!$F$44*(datos_base!$D$4+IF(parametros_manuales!$H$44="Todos",datos_base!$D$11,0))*parametros_manuales!$M$107+parametros_manuales!$G$44*(datos_base!$D$5+IF(parametros_manuales!$H$44="Todos",datos_base!$D$12,0))*parametros_manuales!$M$112)*parametros_manuales!$I$44*parametros_manuales!$J$44</f>
        <v>2075.85</v>
      </c>
      <c r="N83" s="8">
        <f t="shared" si="7"/>
        <v>23065</v>
      </c>
      <c r="O83" s="8">
        <f t="shared" si="8"/>
        <v>2075.85</v>
      </c>
      <c r="P83" s="27">
        <f>O83/(parametros_manuales!$B$7)</f>
        <v>13.839</v>
      </c>
      <c r="Q83" s="4" t="str">
        <f t="shared" si="9"/>
        <v>Ene</v>
      </c>
      <c r="R83" s="16"/>
      <c r="S83" s="16"/>
    </row>
    <row r="84" ht="14.25" customHeight="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</row>
    <row r="85" ht="14.25" customHeight="1">
      <c r="A85" s="1" t="s">
        <v>230</v>
      </c>
      <c r="B85" s="1" t="s">
        <v>5</v>
      </c>
      <c r="C85" s="1" t="s">
        <v>6</v>
      </c>
      <c r="D85" s="1" t="s">
        <v>7</v>
      </c>
      <c r="E85" s="1" t="s">
        <v>8</v>
      </c>
      <c r="F85" s="1" t="s">
        <v>9</v>
      </c>
      <c r="G85" s="1" t="s">
        <v>10</v>
      </c>
      <c r="H85" s="1" t="s">
        <v>12</v>
      </c>
      <c r="I85" s="1" t="s">
        <v>13</v>
      </c>
      <c r="J85" s="1" t="s">
        <v>15</v>
      </c>
      <c r="K85" s="1" t="s">
        <v>16</v>
      </c>
      <c r="L85" s="1" t="s">
        <v>17</v>
      </c>
      <c r="M85" s="1" t="s">
        <v>18</v>
      </c>
      <c r="N85" s="1" t="s">
        <v>19</v>
      </c>
      <c r="O85" s="1" t="s">
        <v>20</v>
      </c>
      <c r="P85" s="1" t="s">
        <v>21</v>
      </c>
      <c r="Q85" s="1" t="s">
        <v>22</v>
      </c>
      <c r="R85" s="16"/>
      <c r="S85" s="16"/>
    </row>
    <row r="86" ht="14.25" customHeight="1">
      <c r="A86" s="4" t="str">
        <f>parametros_manuales!$B$19</f>
        <v>Recepción de materia prima</v>
      </c>
      <c r="B86" s="8">
        <f>(parametros_manuales!$D$19*(datos_base!$E$2+IF(parametros_manuales!$H$19="Todos",datos_base!$E$9,0))*parametros_manuales!$B$97+parametros_manuales!$E$19*(datos_base!$E$3+IF(parametros_manuales!$H$19="Todos",datos_base!$E$10,0))*parametros_manuales!$B$102+parametros_manuales!$F$19*(datos_base!$E$4+IF(parametros_manuales!$H$19="Todos",datos_base!$E$11,0))*parametros_manuales!$B$107+parametros_manuales!$G$19*(datos_base!$E$5+IF(parametros_manuales!$H$19="Todos",datos_base!$E$12,0))*parametros_manuales!$B$112)*parametros_manuales!$I$19*parametros_manuales!$J$19</f>
        <v>4590.9</v>
      </c>
      <c r="C86" s="8">
        <f>(parametros_manuales!$D$19*(datos_base!$E$2+IF(parametros_manuales!$H$19="Todos",datos_base!$E$9,0))*parametros_manuales!$C$97+parametros_manuales!$E$19*(datos_base!$E$3+IF(parametros_manuales!$H$19="Todos",datos_base!$E$10,0))*parametros_manuales!$C$102+parametros_manuales!$F$19*(datos_base!$E$4+IF(parametros_manuales!$H$19="Todos",datos_base!$E$11,0))*parametros_manuales!$C$107+parametros_manuales!$G$19*(datos_base!$E$5+IF(parametros_manuales!$H$19="Todos",datos_base!$E$12,0))*parametros_manuales!$C$112)*parametros_manuales!$I$19*parametros_manuales!$J$19</f>
        <v>4432.42</v>
      </c>
      <c r="D86" s="8">
        <f>(parametros_manuales!$D$19*(datos_base!$E$2+IF(parametros_manuales!$H$19="Todos",datos_base!$E$9,0))*parametros_manuales!$D$97+parametros_manuales!$E$19*(datos_base!$E$3+IF(parametros_manuales!$H$19="Todos",datos_base!$E$10,0))*parametros_manuales!$D$102+parametros_manuales!$F$19*(datos_base!$E$4+IF(parametros_manuales!$H$19="Todos",datos_base!$E$11,0))*parametros_manuales!$D$107+parametros_manuales!$G$19*(datos_base!$E$5+IF(parametros_manuales!$H$19="Todos",datos_base!$E$12,0))*parametros_manuales!$D$112)*parametros_manuales!$I$19*parametros_manuales!$J$19</f>
        <v>4160.04</v>
      </c>
      <c r="E86" s="8">
        <f>(parametros_manuales!$D$19*(datos_base!$E$2+IF(parametros_manuales!$H$19="Todos",datos_base!$E$9,0))*parametros_manuales!$E$97+parametros_manuales!$E$19*(datos_base!$E$3+IF(parametros_manuales!$H$19="Todos",datos_base!$E$10,0))*parametros_manuales!$E$102+parametros_manuales!$F$19*(datos_base!$E$4+IF(parametros_manuales!$H$19="Todos",datos_base!$E$11,0))*parametros_manuales!$E$107+parametros_manuales!$G$19*(datos_base!$E$5+IF(parametros_manuales!$H$19="Todos",datos_base!$E$12,0))*parametros_manuales!$E$112)*parametros_manuales!$I$19*parametros_manuales!$J$19</f>
        <v>3984.23</v>
      </c>
      <c r="F86" s="8">
        <f>(parametros_manuales!$D$19*(datos_base!$E$2+IF(parametros_manuales!$H$19="Todos",datos_base!$E$9,0))*parametros_manuales!$F$97+parametros_manuales!$E$19*(datos_base!$E$3+IF(parametros_manuales!$H$19="Todos",datos_base!$E$10,0))*parametros_manuales!$F$102+parametros_manuales!$F$19*(datos_base!$E$4+IF(parametros_manuales!$H$19="Todos",datos_base!$E$11,0))*parametros_manuales!$F$107+parametros_manuales!$G$19*(datos_base!$E$5+IF(parametros_manuales!$H$19="Todos",datos_base!$E$12,0))*parametros_manuales!$F$112)*parametros_manuales!$I$19*parametros_manuales!$J$19</f>
        <v>3729.18</v>
      </c>
      <c r="G86" s="8">
        <f>(parametros_manuales!$D$19*(datos_base!$E$2+IF(parametros_manuales!$H$19="Todos",datos_base!$E$9,0))*parametros_manuales!$G$97+parametros_manuales!$E$19*(datos_base!$E$3+IF(parametros_manuales!$H$19="Todos",datos_base!$E$10,0))*parametros_manuales!$G$102+parametros_manuales!$F$19*(datos_base!$E$4+IF(parametros_manuales!$H$19="Todos",datos_base!$E$11,0))*parametros_manuales!$G$107+parametros_manuales!$G$19*(datos_base!$E$5+IF(parametros_manuales!$H$19="Todos",datos_base!$E$12,0))*parametros_manuales!$G$112)*parametros_manuales!$I$19*parametros_manuales!$J$19</f>
        <v>3649.94</v>
      </c>
      <c r="H86" s="8">
        <f>(parametros_manuales!$D$19*(datos_base!$E$2+IF(parametros_manuales!$H$19="Todos",datos_base!$E$9,0))*parametros_manuales!$H$97+parametros_manuales!$E$19*(datos_base!$E$3+IF(parametros_manuales!$H$19="Todos",datos_base!$E$10,0))*parametros_manuales!$H$102+parametros_manuales!$F$19*(datos_base!$E$4+IF(parametros_manuales!$H$19="Todos",datos_base!$E$11,0))*parametros_manuales!$H$107+parametros_manuales!$G$19*(datos_base!$E$5+IF(parametros_manuales!$H$19="Todos",datos_base!$E$12,0))*parametros_manuales!$H$112)*parametros_manuales!$I$19*parametros_manuales!$J$19</f>
        <v>3904.99</v>
      </c>
      <c r="I86" s="8">
        <f>(parametros_manuales!$D$19*(datos_base!$E$2+IF(parametros_manuales!$H$19="Todos",datos_base!$E$9,0))*parametros_manuales!$I$97+parametros_manuales!$E$19*(datos_base!$E$3+IF(parametros_manuales!$H$19="Todos",datos_base!$E$10,0))*parametros_manuales!$I$102+parametros_manuales!$F$19*(datos_base!$E$4+IF(parametros_manuales!$H$19="Todos",datos_base!$E$11,0))*parametros_manuales!$I$107+parametros_manuales!$G$19*(datos_base!$E$5+IF(parametros_manuales!$H$19="Todos",datos_base!$E$12,0))*parametros_manuales!$I$112)*parametros_manuales!$I$19*parametros_manuales!$J$19</f>
        <v>4432.42</v>
      </c>
      <c r="J86" s="8">
        <f>(parametros_manuales!$D$19*(datos_base!$E$2+IF(parametros_manuales!$H$19="Todos",datos_base!$E$9,0))*parametros_manuales!$J$97+parametros_manuales!$E$19*(datos_base!$E$3+IF(parametros_manuales!$H$19="Todos",datos_base!$E$10,0))*parametros_manuales!$J$102+parametros_manuales!$F$19*(datos_base!$E$4+IF(parametros_manuales!$H$19="Todos",datos_base!$E$11,0))*parametros_manuales!$J$107+parametros_manuales!$G$19*(datos_base!$E$5+IF(parametros_manuales!$H$19="Todos",datos_base!$E$12,0))*parametros_manuales!$J$112)*parametros_manuales!$I$19*parametros_manuales!$J$19</f>
        <v>4432.42</v>
      </c>
      <c r="K86" s="8">
        <f>(parametros_manuales!$D$19*(datos_base!$E$2+IF(parametros_manuales!$H$19="Todos",datos_base!$E$9,0))*parametros_manuales!$K$97+parametros_manuales!$E$19*(datos_base!$E$3+IF(parametros_manuales!$H$19="Todos",datos_base!$E$10,0))*parametros_manuales!$K$102+parametros_manuales!$F$19*(datos_base!$E$4+IF(parametros_manuales!$H$19="Todos",datos_base!$E$11,0))*parametros_manuales!$K$107+parametros_manuales!$G$19*(datos_base!$E$5+IF(parametros_manuales!$H$19="Todos",datos_base!$E$12,0))*parametros_manuales!$K$112)*parametros_manuales!$I$19*parametros_manuales!$J$19</f>
        <v>4511.66</v>
      </c>
      <c r="L86" s="8">
        <f>(parametros_manuales!$D$19*(datos_base!$E$2+IF(parametros_manuales!$H$19="Todos",datos_base!$E$9,0))*parametros_manuales!$L$97+parametros_manuales!$E$19*(datos_base!$E$3+IF(parametros_manuales!$H$19="Todos",datos_base!$E$10,0))*parametros_manuales!$L$102+parametros_manuales!$F$19*(datos_base!$E$4+IF(parametros_manuales!$H$19="Todos",datos_base!$E$11,0))*parametros_manuales!$L$107+parametros_manuales!$G$19*(datos_base!$E$5+IF(parametros_manuales!$H$19="Todos",datos_base!$E$12,0))*parametros_manuales!$L$112)*parametros_manuales!$I$19*parametros_manuales!$J$19</f>
        <v>4590.9</v>
      </c>
      <c r="M86" s="8">
        <f>(parametros_manuales!$D$19*(datos_base!$E$2+IF(parametros_manuales!$H$19="Todos",datos_base!$E$9,0))*parametros_manuales!$M$97+parametros_manuales!$E$19*(datos_base!$E$3+IF(parametros_manuales!$H$19="Todos",datos_base!$E$10,0))*parametros_manuales!$M$102+parametros_manuales!$F$19*(datos_base!$E$4+IF(parametros_manuales!$H$19="Todos",datos_base!$E$11,0))*parametros_manuales!$M$107+parametros_manuales!$G$19*(datos_base!$E$5+IF(parametros_manuales!$H$19="Todos",datos_base!$E$12,0))*parametros_manuales!$M$112)*parametros_manuales!$I$19*parametros_manuales!$J$19</f>
        <v>4590.9</v>
      </c>
      <c r="N86" s="8">
        <f t="shared" ref="N86:N111" si="10">SUM(B86:M86)</f>
        <v>51010</v>
      </c>
      <c r="O86" s="8">
        <f t="shared" ref="O86:O111" si="11">MAX(B86:M86)</f>
        <v>4590.9</v>
      </c>
      <c r="P86" s="27">
        <f>O86/(parametros_manuales!$B$7)</f>
        <v>30.606</v>
      </c>
      <c r="Q86" s="4" t="str">
        <f t="shared" ref="Q86:Q111" si="12">IF(O86=0,"-",INDEX($B$85:$M$85,MATCH(O86,B86:M86,0)))</f>
        <v>Ene</v>
      </c>
      <c r="R86" s="16"/>
      <c r="S86" s="16"/>
    </row>
    <row r="87" ht="14.25" customHeight="1">
      <c r="A87" s="4" t="str">
        <f>parametros_manuales!$B$20</f>
        <v>Corte de chapa — 1.er corte en franjas (guillotina 1)</v>
      </c>
      <c r="B87" s="8">
        <f>(parametros_manuales!$D$20*(datos_base!$E$2+IF(parametros_manuales!$H$20="Todos",datos_base!$E$9,0))*parametros_manuales!$B$97+parametros_manuales!$E$20*(datos_base!$E$3+IF(parametros_manuales!$H$20="Todos",datos_base!$E$10,0))*parametros_manuales!$B$102+parametros_manuales!$F$20*(datos_base!$E$4+IF(parametros_manuales!$H$20="Todos",datos_base!$E$11,0))*parametros_manuales!$B$107+parametros_manuales!$G$20*(datos_base!$E$5+IF(parametros_manuales!$H$20="Todos",datos_base!$E$12,0))*parametros_manuales!$B$112)*parametros_manuales!$I$20*parametros_manuales!$J$20</f>
        <v>4590.9</v>
      </c>
      <c r="C87" s="8">
        <f>(parametros_manuales!$D$20*(datos_base!$E$2+IF(parametros_manuales!$H$20="Todos",datos_base!$E$9,0))*parametros_manuales!$C$97+parametros_manuales!$E$20*(datos_base!$E$3+IF(parametros_manuales!$H$20="Todos",datos_base!$E$10,0))*parametros_manuales!$C$102+parametros_manuales!$F$20*(datos_base!$E$4+IF(parametros_manuales!$H$20="Todos",datos_base!$E$11,0))*parametros_manuales!$C$107+parametros_manuales!$G$20*(datos_base!$E$5+IF(parametros_manuales!$H$20="Todos",datos_base!$E$12,0))*parametros_manuales!$C$112)*parametros_manuales!$I$20*parametros_manuales!$J$20</f>
        <v>4432.42</v>
      </c>
      <c r="D87" s="8">
        <f>(parametros_manuales!$D$20*(datos_base!$E$2+IF(parametros_manuales!$H$20="Todos",datos_base!$E$9,0))*parametros_manuales!$D$97+parametros_manuales!$E$20*(datos_base!$E$3+IF(parametros_manuales!$H$20="Todos",datos_base!$E$10,0))*parametros_manuales!$D$102+parametros_manuales!$F$20*(datos_base!$E$4+IF(parametros_manuales!$H$20="Todos",datos_base!$E$11,0))*parametros_manuales!$D$107+parametros_manuales!$G$20*(datos_base!$E$5+IF(parametros_manuales!$H$20="Todos",datos_base!$E$12,0))*parametros_manuales!$D$112)*parametros_manuales!$I$20*parametros_manuales!$J$20</f>
        <v>4160.04</v>
      </c>
      <c r="E87" s="8">
        <f>(parametros_manuales!$D$20*(datos_base!$E$2+IF(parametros_manuales!$H$20="Todos",datos_base!$E$9,0))*parametros_manuales!$E$97+parametros_manuales!$E$20*(datos_base!$E$3+IF(parametros_manuales!$H$20="Todos",datos_base!$E$10,0))*parametros_manuales!$E$102+parametros_manuales!$F$20*(datos_base!$E$4+IF(parametros_manuales!$H$20="Todos",datos_base!$E$11,0))*parametros_manuales!$E$107+parametros_manuales!$G$20*(datos_base!$E$5+IF(parametros_manuales!$H$20="Todos",datos_base!$E$12,0))*parametros_manuales!$E$112)*parametros_manuales!$I$20*parametros_manuales!$J$20</f>
        <v>3984.23</v>
      </c>
      <c r="F87" s="8">
        <f>(parametros_manuales!$D$20*(datos_base!$E$2+IF(parametros_manuales!$H$20="Todos",datos_base!$E$9,0))*parametros_manuales!$F$97+parametros_manuales!$E$20*(datos_base!$E$3+IF(parametros_manuales!$H$20="Todos",datos_base!$E$10,0))*parametros_manuales!$F$102+parametros_manuales!$F$20*(datos_base!$E$4+IF(parametros_manuales!$H$20="Todos",datos_base!$E$11,0))*parametros_manuales!$F$107+parametros_manuales!$G$20*(datos_base!$E$5+IF(parametros_manuales!$H$20="Todos",datos_base!$E$12,0))*parametros_manuales!$F$112)*parametros_manuales!$I$20*parametros_manuales!$J$20</f>
        <v>3729.18</v>
      </c>
      <c r="G87" s="8">
        <f>(parametros_manuales!$D$20*(datos_base!$E$2+IF(parametros_manuales!$H$20="Todos",datos_base!$E$9,0))*parametros_manuales!$G$97+parametros_manuales!$E$20*(datos_base!$E$3+IF(parametros_manuales!$H$20="Todos",datos_base!$E$10,0))*parametros_manuales!$G$102+parametros_manuales!$F$20*(datos_base!$E$4+IF(parametros_manuales!$H$20="Todos",datos_base!$E$11,0))*parametros_manuales!$G$107+parametros_manuales!$G$20*(datos_base!$E$5+IF(parametros_manuales!$H$20="Todos",datos_base!$E$12,0))*parametros_manuales!$G$112)*parametros_manuales!$I$20*parametros_manuales!$J$20</f>
        <v>3649.94</v>
      </c>
      <c r="H87" s="8">
        <f>(parametros_manuales!$D$20*(datos_base!$E$2+IF(parametros_manuales!$H$20="Todos",datos_base!$E$9,0))*parametros_manuales!$H$97+parametros_manuales!$E$20*(datos_base!$E$3+IF(parametros_manuales!$H$20="Todos",datos_base!$E$10,0))*parametros_manuales!$H$102+parametros_manuales!$F$20*(datos_base!$E$4+IF(parametros_manuales!$H$20="Todos",datos_base!$E$11,0))*parametros_manuales!$H$107+parametros_manuales!$G$20*(datos_base!$E$5+IF(parametros_manuales!$H$20="Todos",datos_base!$E$12,0))*parametros_manuales!$H$112)*parametros_manuales!$I$20*parametros_manuales!$J$20</f>
        <v>3904.99</v>
      </c>
      <c r="I87" s="8">
        <f>(parametros_manuales!$D$20*(datos_base!$E$2+IF(parametros_manuales!$H$20="Todos",datos_base!$E$9,0))*parametros_manuales!$I$97+parametros_manuales!$E$20*(datos_base!$E$3+IF(parametros_manuales!$H$20="Todos",datos_base!$E$10,0))*parametros_manuales!$I$102+parametros_manuales!$F$20*(datos_base!$E$4+IF(parametros_manuales!$H$20="Todos",datos_base!$E$11,0))*parametros_manuales!$I$107+parametros_manuales!$G$20*(datos_base!$E$5+IF(parametros_manuales!$H$20="Todos",datos_base!$E$12,0))*parametros_manuales!$I$112)*parametros_manuales!$I$20*parametros_manuales!$J$20</f>
        <v>4432.42</v>
      </c>
      <c r="J87" s="8">
        <f>(parametros_manuales!$D$20*(datos_base!$E$2+IF(parametros_manuales!$H$20="Todos",datos_base!$E$9,0))*parametros_manuales!$J$97+parametros_manuales!$E$20*(datos_base!$E$3+IF(parametros_manuales!$H$20="Todos",datos_base!$E$10,0))*parametros_manuales!$J$102+parametros_manuales!$F$20*(datos_base!$E$4+IF(parametros_manuales!$H$20="Todos",datos_base!$E$11,0))*parametros_manuales!$J$107+parametros_manuales!$G$20*(datos_base!$E$5+IF(parametros_manuales!$H$20="Todos",datos_base!$E$12,0))*parametros_manuales!$J$112)*parametros_manuales!$I$20*parametros_manuales!$J$20</f>
        <v>4432.42</v>
      </c>
      <c r="K87" s="8">
        <f>(parametros_manuales!$D$20*(datos_base!$E$2+IF(parametros_manuales!$H$20="Todos",datos_base!$E$9,0))*parametros_manuales!$K$97+parametros_manuales!$E$20*(datos_base!$E$3+IF(parametros_manuales!$H$20="Todos",datos_base!$E$10,0))*parametros_manuales!$K$102+parametros_manuales!$F$20*(datos_base!$E$4+IF(parametros_manuales!$H$20="Todos",datos_base!$E$11,0))*parametros_manuales!$K$107+parametros_manuales!$G$20*(datos_base!$E$5+IF(parametros_manuales!$H$20="Todos",datos_base!$E$12,0))*parametros_manuales!$K$112)*parametros_manuales!$I$20*parametros_manuales!$J$20</f>
        <v>4511.66</v>
      </c>
      <c r="L87" s="8">
        <f>(parametros_manuales!$D$20*(datos_base!$E$2+IF(parametros_manuales!$H$20="Todos",datos_base!$E$9,0))*parametros_manuales!$L$97+parametros_manuales!$E$20*(datos_base!$E$3+IF(parametros_manuales!$H$20="Todos",datos_base!$E$10,0))*parametros_manuales!$L$102+parametros_manuales!$F$20*(datos_base!$E$4+IF(parametros_manuales!$H$20="Todos",datos_base!$E$11,0))*parametros_manuales!$L$107+parametros_manuales!$G$20*(datos_base!$E$5+IF(parametros_manuales!$H$20="Todos",datos_base!$E$12,0))*parametros_manuales!$L$112)*parametros_manuales!$I$20*parametros_manuales!$J$20</f>
        <v>4590.9</v>
      </c>
      <c r="M87" s="8">
        <f>(parametros_manuales!$D$20*(datos_base!$E$2+IF(parametros_manuales!$H$20="Todos",datos_base!$E$9,0))*parametros_manuales!$M$97+parametros_manuales!$E$20*(datos_base!$E$3+IF(parametros_manuales!$H$20="Todos",datos_base!$E$10,0))*parametros_manuales!$M$102+parametros_manuales!$F$20*(datos_base!$E$4+IF(parametros_manuales!$H$20="Todos",datos_base!$E$11,0))*parametros_manuales!$M$107+parametros_manuales!$G$20*(datos_base!$E$5+IF(parametros_manuales!$H$20="Todos",datos_base!$E$12,0))*parametros_manuales!$M$112)*parametros_manuales!$I$20*parametros_manuales!$J$20</f>
        <v>4590.9</v>
      </c>
      <c r="N87" s="8">
        <f t="shared" si="10"/>
        <v>51010</v>
      </c>
      <c r="O87" s="8">
        <f t="shared" si="11"/>
        <v>4590.9</v>
      </c>
      <c r="P87" s="27">
        <f>O87/(parametros_manuales!$B$7)</f>
        <v>30.606</v>
      </c>
      <c r="Q87" s="4" t="str">
        <f t="shared" si="12"/>
        <v>Ene</v>
      </c>
      <c r="R87" s="16"/>
      <c r="S87" s="16"/>
    </row>
    <row r="88" ht="14.25" customHeight="1">
      <c r="A88" s="4" t="str">
        <f>parametros_manuales!$B$21</f>
        <v>Corte de chapa — 2.º corte en piezas (guillotina 2)</v>
      </c>
      <c r="B88" s="8">
        <f>(parametros_manuales!$D$21*(datos_base!$E$2+IF(parametros_manuales!$H$21="Todos",datos_base!$E$9,0))*parametros_manuales!$B$97+parametros_manuales!$E$21*(datos_base!$E$3+IF(parametros_manuales!$H$21="Todos",datos_base!$E$10,0))*parametros_manuales!$B$102+parametros_manuales!$F$21*(datos_base!$E$4+IF(parametros_manuales!$H$21="Todos",datos_base!$E$11,0))*parametros_manuales!$B$107+parametros_manuales!$G$21*(datos_base!$E$5+IF(parametros_manuales!$H$21="Todos",datos_base!$E$12,0))*parametros_manuales!$B$112)*parametros_manuales!$I$21*parametros_manuales!$J$21</f>
        <v>4590.9</v>
      </c>
      <c r="C88" s="8">
        <f>(parametros_manuales!$D$21*(datos_base!$E$2+IF(parametros_manuales!$H$21="Todos",datos_base!$E$9,0))*parametros_manuales!$C$97+parametros_manuales!$E$21*(datos_base!$E$3+IF(parametros_manuales!$H$21="Todos",datos_base!$E$10,0))*parametros_manuales!$C$102+parametros_manuales!$F$21*(datos_base!$E$4+IF(parametros_manuales!$H$21="Todos",datos_base!$E$11,0))*parametros_manuales!$C$107+parametros_manuales!$G$21*(datos_base!$E$5+IF(parametros_manuales!$H$21="Todos",datos_base!$E$12,0))*parametros_manuales!$C$112)*parametros_manuales!$I$21*parametros_manuales!$J$21</f>
        <v>4432.42</v>
      </c>
      <c r="D88" s="8">
        <f>(parametros_manuales!$D$21*(datos_base!$E$2+IF(parametros_manuales!$H$21="Todos",datos_base!$E$9,0))*parametros_manuales!$D$97+parametros_manuales!$E$21*(datos_base!$E$3+IF(parametros_manuales!$H$21="Todos",datos_base!$E$10,0))*parametros_manuales!$D$102+parametros_manuales!$F$21*(datos_base!$E$4+IF(parametros_manuales!$H$21="Todos",datos_base!$E$11,0))*parametros_manuales!$D$107+parametros_manuales!$G$21*(datos_base!$E$5+IF(parametros_manuales!$H$21="Todos",datos_base!$E$12,0))*parametros_manuales!$D$112)*parametros_manuales!$I$21*parametros_manuales!$J$21</f>
        <v>4160.04</v>
      </c>
      <c r="E88" s="8">
        <f>(parametros_manuales!$D$21*(datos_base!$E$2+IF(parametros_manuales!$H$21="Todos",datos_base!$E$9,0))*parametros_manuales!$E$97+parametros_manuales!$E$21*(datos_base!$E$3+IF(parametros_manuales!$H$21="Todos",datos_base!$E$10,0))*parametros_manuales!$E$102+parametros_manuales!$F$21*(datos_base!$E$4+IF(parametros_manuales!$H$21="Todos",datos_base!$E$11,0))*parametros_manuales!$E$107+parametros_manuales!$G$21*(datos_base!$E$5+IF(parametros_manuales!$H$21="Todos",datos_base!$E$12,0))*parametros_manuales!$E$112)*parametros_manuales!$I$21*parametros_manuales!$J$21</f>
        <v>3984.23</v>
      </c>
      <c r="F88" s="8">
        <f>(parametros_manuales!$D$21*(datos_base!$E$2+IF(parametros_manuales!$H$21="Todos",datos_base!$E$9,0))*parametros_manuales!$F$97+parametros_manuales!$E$21*(datos_base!$E$3+IF(parametros_manuales!$H$21="Todos",datos_base!$E$10,0))*parametros_manuales!$F$102+parametros_manuales!$F$21*(datos_base!$E$4+IF(parametros_manuales!$H$21="Todos",datos_base!$E$11,0))*parametros_manuales!$F$107+parametros_manuales!$G$21*(datos_base!$E$5+IF(parametros_manuales!$H$21="Todos",datos_base!$E$12,0))*parametros_manuales!$F$112)*parametros_manuales!$I$21*parametros_manuales!$J$21</f>
        <v>3729.18</v>
      </c>
      <c r="G88" s="8">
        <f>(parametros_manuales!$D$21*(datos_base!$E$2+IF(parametros_manuales!$H$21="Todos",datos_base!$E$9,0))*parametros_manuales!$G$97+parametros_manuales!$E$21*(datos_base!$E$3+IF(parametros_manuales!$H$21="Todos",datos_base!$E$10,0))*parametros_manuales!$G$102+parametros_manuales!$F$21*(datos_base!$E$4+IF(parametros_manuales!$H$21="Todos",datos_base!$E$11,0))*parametros_manuales!$G$107+parametros_manuales!$G$21*(datos_base!$E$5+IF(parametros_manuales!$H$21="Todos",datos_base!$E$12,0))*parametros_manuales!$G$112)*parametros_manuales!$I$21*parametros_manuales!$J$21</f>
        <v>3649.94</v>
      </c>
      <c r="H88" s="8">
        <f>(parametros_manuales!$D$21*(datos_base!$E$2+IF(parametros_manuales!$H$21="Todos",datos_base!$E$9,0))*parametros_manuales!$H$97+parametros_manuales!$E$21*(datos_base!$E$3+IF(parametros_manuales!$H$21="Todos",datos_base!$E$10,0))*parametros_manuales!$H$102+parametros_manuales!$F$21*(datos_base!$E$4+IF(parametros_manuales!$H$21="Todos",datos_base!$E$11,0))*parametros_manuales!$H$107+parametros_manuales!$G$21*(datos_base!$E$5+IF(parametros_manuales!$H$21="Todos",datos_base!$E$12,0))*parametros_manuales!$H$112)*parametros_manuales!$I$21*parametros_manuales!$J$21</f>
        <v>3904.99</v>
      </c>
      <c r="I88" s="8">
        <f>(parametros_manuales!$D$21*(datos_base!$E$2+IF(parametros_manuales!$H$21="Todos",datos_base!$E$9,0))*parametros_manuales!$I$97+parametros_manuales!$E$21*(datos_base!$E$3+IF(parametros_manuales!$H$21="Todos",datos_base!$E$10,0))*parametros_manuales!$I$102+parametros_manuales!$F$21*(datos_base!$E$4+IF(parametros_manuales!$H$21="Todos",datos_base!$E$11,0))*parametros_manuales!$I$107+parametros_manuales!$G$21*(datos_base!$E$5+IF(parametros_manuales!$H$21="Todos",datos_base!$E$12,0))*parametros_manuales!$I$112)*parametros_manuales!$I$21*parametros_manuales!$J$21</f>
        <v>4432.42</v>
      </c>
      <c r="J88" s="8">
        <f>(parametros_manuales!$D$21*(datos_base!$E$2+IF(parametros_manuales!$H$21="Todos",datos_base!$E$9,0))*parametros_manuales!$J$97+parametros_manuales!$E$21*(datos_base!$E$3+IF(parametros_manuales!$H$21="Todos",datos_base!$E$10,0))*parametros_manuales!$J$102+parametros_manuales!$F$21*(datos_base!$E$4+IF(parametros_manuales!$H$21="Todos",datos_base!$E$11,0))*parametros_manuales!$J$107+parametros_manuales!$G$21*(datos_base!$E$5+IF(parametros_manuales!$H$21="Todos",datos_base!$E$12,0))*parametros_manuales!$J$112)*parametros_manuales!$I$21*parametros_manuales!$J$21</f>
        <v>4432.42</v>
      </c>
      <c r="K88" s="8">
        <f>(parametros_manuales!$D$21*(datos_base!$E$2+IF(parametros_manuales!$H$21="Todos",datos_base!$E$9,0))*parametros_manuales!$K$97+parametros_manuales!$E$21*(datos_base!$E$3+IF(parametros_manuales!$H$21="Todos",datos_base!$E$10,0))*parametros_manuales!$K$102+parametros_manuales!$F$21*(datos_base!$E$4+IF(parametros_manuales!$H$21="Todos",datos_base!$E$11,0))*parametros_manuales!$K$107+parametros_manuales!$G$21*(datos_base!$E$5+IF(parametros_manuales!$H$21="Todos",datos_base!$E$12,0))*parametros_manuales!$K$112)*parametros_manuales!$I$21*parametros_manuales!$J$21</f>
        <v>4511.66</v>
      </c>
      <c r="L88" s="8">
        <f>(parametros_manuales!$D$21*(datos_base!$E$2+IF(parametros_manuales!$H$21="Todos",datos_base!$E$9,0))*parametros_manuales!$L$97+parametros_manuales!$E$21*(datos_base!$E$3+IF(parametros_manuales!$H$21="Todos",datos_base!$E$10,0))*parametros_manuales!$L$102+parametros_manuales!$F$21*(datos_base!$E$4+IF(parametros_manuales!$H$21="Todos",datos_base!$E$11,0))*parametros_manuales!$L$107+parametros_manuales!$G$21*(datos_base!$E$5+IF(parametros_manuales!$H$21="Todos",datos_base!$E$12,0))*parametros_manuales!$L$112)*parametros_manuales!$I$21*parametros_manuales!$J$21</f>
        <v>4590.9</v>
      </c>
      <c r="M88" s="8">
        <f>(parametros_manuales!$D$21*(datos_base!$E$2+IF(parametros_manuales!$H$21="Todos",datos_base!$E$9,0))*parametros_manuales!$M$97+parametros_manuales!$E$21*(datos_base!$E$3+IF(parametros_manuales!$H$21="Todos",datos_base!$E$10,0))*parametros_manuales!$M$102+parametros_manuales!$F$21*(datos_base!$E$4+IF(parametros_manuales!$H$21="Todos",datos_base!$E$11,0))*parametros_manuales!$M$107+parametros_manuales!$G$21*(datos_base!$E$5+IF(parametros_manuales!$H$21="Todos",datos_base!$E$12,0))*parametros_manuales!$M$112)*parametros_manuales!$I$21*parametros_manuales!$J$21</f>
        <v>4590.9</v>
      </c>
      <c r="N88" s="8">
        <f t="shared" si="10"/>
        <v>51010</v>
      </c>
      <c r="O88" s="8">
        <f t="shared" si="11"/>
        <v>4590.9</v>
      </c>
      <c r="P88" s="27">
        <f>O88/(parametros_manuales!$B$7)</f>
        <v>30.606</v>
      </c>
      <c r="Q88" s="4" t="str">
        <f t="shared" si="12"/>
        <v>Ene</v>
      </c>
      <c r="R88" s="16"/>
      <c r="S88" s="16"/>
    </row>
    <row r="89" ht="14.25" customHeight="1">
      <c r="A89" s="4" t="str">
        <f>parametros_manuales!$B$22</f>
        <v>Corte de disco y embutido (cúpula y fondo)</v>
      </c>
      <c r="B89" s="8">
        <f>(parametros_manuales!$D$22*(datos_base!$E$2+IF(parametros_manuales!$H$22="Todos",datos_base!$E$9,0))*parametros_manuales!$B$97+parametros_manuales!$E$22*(datos_base!$E$3+IF(parametros_manuales!$H$22="Todos",datos_base!$E$10,0))*parametros_manuales!$B$102+parametros_manuales!$F$22*(datos_base!$E$4+IF(parametros_manuales!$H$22="Todos",datos_base!$E$11,0))*parametros_manuales!$B$107+parametros_manuales!$G$22*(datos_base!$E$5+IF(parametros_manuales!$H$22="Todos",datos_base!$E$12,0))*parametros_manuales!$B$112)*parametros_manuales!$I$22*parametros_manuales!$J$22</f>
        <v>9181.8</v>
      </c>
      <c r="C89" s="8">
        <f>(parametros_manuales!$D$22*(datos_base!$E$2+IF(parametros_manuales!$H$22="Todos",datos_base!$E$9,0))*parametros_manuales!$C$97+parametros_manuales!$E$22*(datos_base!$E$3+IF(parametros_manuales!$H$22="Todos",datos_base!$E$10,0))*parametros_manuales!$C$102+parametros_manuales!$F$22*(datos_base!$E$4+IF(parametros_manuales!$H$22="Todos",datos_base!$E$11,0))*parametros_manuales!$C$107+parametros_manuales!$G$22*(datos_base!$E$5+IF(parametros_manuales!$H$22="Todos",datos_base!$E$12,0))*parametros_manuales!$C$112)*parametros_manuales!$I$22*parametros_manuales!$J$22</f>
        <v>8864.84</v>
      </c>
      <c r="D89" s="8">
        <f>(parametros_manuales!$D$22*(datos_base!$E$2+IF(parametros_manuales!$H$22="Todos",datos_base!$E$9,0))*parametros_manuales!$D$97+parametros_manuales!$E$22*(datos_base!$E$3+IF(parametros_manuales!$H$22="Todos",datos_base!$E$10,0))*parametros_manuales!$D$102+parametros_manuales!$F$22*(datos_base!$E$4+IF(parametros_manuales!$H$22="Todos",datos_base!$E$11,0))*parametros_manuales!$D$107+parametros_manuales!$G$22*(datos_base!$E$5+IF(parametros_manuales!$H$22="Todos",datos_base!$E$12,0))*parametros_manuales!$D$112)*parametros_manuales!$I$22*parametros_manuales!$J$22</f>
        <v>8320.08</v>
      </c>
      <c r="E89" s="8">
        <f>(parametros_manuales!$D$22*(datos_base!$E$2+IF(parametros_manuales!$H$22="Todos",datos_base!$E$9,0))*parametros_manuales!$E$97+parametros_manuales!$E$22*(datos_base!$E$3+IF(parametros_manuales!$H$22="Todos",datos_base!$E$10,0))*parametros_manuales!$E$102+parametros_manuales!$F$22*(datos_base!$E$4+IF(parametros_manuales!$H$22="Todos",datos_base!$E$11,0))*parametros_manuales!$E$107+parametros_manuales!$G$22*(datos_base!$E$5+IF(parametros_manuales!$H$22="Todos",datos_base!$E$12,0))*parametros_manuales!$E$112)*parametros_manuales!$I$22*parametros_manuales!$J$22</f>
        <v>7968.46</v>
      </c>
      <c r="F89" s="8">
        <f>(parametros_manuales!$D$22*(datos_base!$E$2+IF(parametros_manuales!$H$22="Todos",datos_base!$E$9,0))*parametros_manuales!$F$97+parametros_manuales!$E$22*(datos_base!$E$3+IF(parametros_manuales!$H$22="Todos",datos_base!$E$10,0))*parametros_manuales!$F$102+parametros_manuales!$F$22*(datos_base!$E$4+IF(parametros_manuales!$H$22="Todos",datos_base!$E$11,0))*parametros_manuales!$F$107+parametros_manuales!$G$22*(datos_base!$E$5+IF(parametros_manuales!$H$22="Todos",datos_base!$E$12,0))*parametros_manuales!$F$112)*parametros_manuales!$I$22*parametros_manuales!$J$22</f>
        <v>7458.36</v>
      </c>
      <c r="G89" s="8">
        <f>(parametros_manuales!$D$22*(datos_base!$E$2+IF(parametros_manuales!$H$22="Todos",datos_base!$E$9,0))*parametros_manuales!$G$97+parametros_manuales!$E$22*(datos_base!$E$3+IF(parametros_manuales!$H$22="Todos",datos_base!$E$10,0))*parametros_manuales!$G$102+parametros_manuales!$F$22*(datos_base!$E$4+IF(parametros_manuales!$H$22="Todos",datos_base!$E$11,0))*parametros_manuales!$G$107+parametros_manuales!$G$22*(datos_base!$E$5+IF(parametros_manuales!$H$22="Todos",datos_base!$E$12,0))*parametros_manuales!$G$112)*parametros_manuales!$I$22*parametros_manuales!$J$22</f>
        <v>7299.88</v>
      </c>
      <c r="H89" s="8">
        <f>(parametros_manuales!$D$22*(datos_base!$E$2+IF(parametros_manuales!$H$22="Todos",datos_base!$E$9,0))*parametros_manuales!$H$97+parametros_manuales!$E$22*(datos_base!$E$3+IF(parametros_manuales!$H$22="Todos",datos_base!$E$10,0))*parametros_manuales!$H$102+parametros_manuales!$F$22*(datos_base!$E$4+IF(parametros_manuales!$H$22="Todos",datos_base!$E$11,0))*parametros_manuales!$H$107+parametros_manuales!$G$22*(datos_base!$E$5+IF(parametros_manuales!$H$22="Todos",datos_base!$E$12,0))*parametros_manuales!$H$112)*parametros_manuales!$I$22*parametros_manuales!$J$22</f>
        <v>7809.98</v>
      </c>
      <c r="I89" s="8">
        <f>(parametros_manuales!$D$22*(datos_base!$E$2+IF(parametros_manuales!$H$22="Todos",datos_base!$E$9,0))*parametros_manuales!$I$97+parametros_manuales!$E$22*(datos_base!$E$3+IF(parametros_manuales!$H$22="Todos",datos_base!$E$10,0))*parametros_manuales!$I$102+parametros_manuales!$F$22*(datos_base!$E$4+IF(parametros_manuales!$H$22="Todos",datos_base!$E$11,0))*parametros_manuales!$I$107+parametros_manuales!$G$22*(datos_base!$E$5+IF(parametros_manuales!$H$22="Todos",datos_base!$E$12,0))*parametros_manuales!$I$112)*parametros_manuales!$I$22*parametros_manuales!$J$22</f>
        <v>8864.84</v>
      </c>
      <c r="J89" s="8">
        <f>(parametros_manuales!$D$22*(datos_base!$E$2+IF(parametros_manuales!$H$22="Todos",datos_base!$E$9,0))*parametros_manuales!$J$97+parametros_manuales!$E$22*(datos_base!$E$3+IF(parametros_manuales!$H$22="Todos",datos_base!$E$10,0))*parametros_manuales!$J$102+parametros_manuales!$F$22*(datos_base!$E$4+IF(parametros_manuales!$H$22="Todos",datos_base!$E$11,0))*parametros_manuales!$J$107+parametros_manuales!$G$22*(datos_base!$E$5+IF(parametros_manuales!$H$22="Todos",datos_base!$E$12,0))*parametros_manuales!$J$112)*parametros_manuales!$I$22*parametros_manuales!$J$22</f>
        <v>8864.84</v>
      </c>
      <c r="K89" s="8">
        <f>(parametros_manuales!$D$22*(datos_base!$E$2+IF(parametros_manuales!$H$22="Todos",datos_base!$E$9,0))*parametros_manuales!$K$97+parametros_manuales!$E$22*(datos_base!$E$3+IF(parametros_manuales!$H$22="Todos",datos_base!$E$10,0))*parametros_manuales!$K$102+parametros_manuales!$F$22*(datos_base!$E$4+IF(parametros_manuales!$H$22="Todos",datos_base!$E$11,0))*parametros_manuales!$K$107+parametros_manuales!$G$22*(datos_base!$E$5+IF(parametros_manuales!$H$22="Todos",datos_base!$E$12,0))*parametros_manuales!$K$112)*parametros_manuales!$I$22*parametros_manuales!$J$22</f>
        <v>9023.32</v>
      </c>
      <c r="L89" s="8">
        <f>(parametros_manuales!$D$22*(datos_base!$E$2+IF(parametros_manuales!$H$22="Todos",datos_base!$E$9,0))*parametros_manuales!$L$97+parametros_manuales!$E$22*(datos_base!$E$3+IF(parametros_manuales!$H$22="Todos",datos_base!$E$10,0))*parametros_manuales!$L$102+parametros_manuales!$F$22*(datos_base!$E$4+IF(parametros_manuales!$H$22="Todos",datos_base!$E$11,0))*parametros_manuales!$L$107+parametros_manuales!$G$22*(datos_base!$E$5+IF(parametros_manuales!$H$22="Todos",datos_base!$E$12,0))*parametros_manuales!$L$112)*parametros_manuales!$I$22*parametros_manuales!$J$22</f>
        <v>9181.8</v>
      </c>
      <c r="M89" s="8">
        <f>(parametros_manuales!$D$22*(datos_base!$E$2+IF(parametros_manuales!$H$22="Todos",datos_base!$E$9,0))*parametros_manuales!$M$97+parametros_manuales!$E$22*(datos_base!$E$3+IF(parametros_manuales!$H$22="Todos",datos_base!$E$10,0))*parametros_manuales!$M$102+parametros_manuales!$F$22*(datos_base!$E$4+IF(parametros_manuales!$H$22="Todos",datos_base!$E$11,0))*parametros_manuales!$M$107+parametros_manuales!$G$22*(datos_base!$E$5+IF(parametros_manuales!$H$22="Todos",datos_base!$E$12,0))*parametros_manuales!$M$112)*parametros_manuales!$I$22*parametros_manuales!$J$22</f>
        <v>9181.8</v>
      </c>
      <c r="N89" s="8">
        <f t="shared" si="10"/>
        <v>102020</v>
      </c>
      <c r="O89" s="8">
        <f t="shared" si="11"/>
        <v>9181.8</v>
      </c>
      <c r="P89" s="27">
        <f>O89/(parametros_manuales!$B$7)</f>
        <v>61.212</v>
      </c>
      <c r="Q89" s="4" t="str">
        <f t="shared" si="12"/>
        <v>Ene</v>
      </c>
      <c r="R89" s="16"/>
      <c r="S89" s="16"/>
    </row>
    <row r="90" ht="14.25" customHeight="1">
      <c r="A90" s="4" t="str">
        <f>parametros_manuales!$B$23</f>
        <v>Preparación de cuello</v>
      </c>
      <c r="B90" s="8">
        <f>(parametros_manuales!$D$23*(datos_base!$E$2+IF(parametros_manuales!$H$23="Todos",datos_base!$E$9,0))*parametros_manuales!$B$97+parametros_manuales!$E$23*(datos_base!$E$3+IF(parametros_manuales!$H$23="Todos",datos_base!$E$10,0))*parametros_manuales!$B$102+parametros_manuales!$F$23*(datos_base!$E$4+IF(parametros_manuales!$H$23="Todos",datos_base!$E$11,0))*parametros_manuales!$B$107+parametros_manuales!$G$23*(datos_base!$E$5+IF(parametros_manuales!$H$23="Todos",datos_base!$E$12,0))*parametros_manuales!$B$112)*parametros_manuales!$I$23*parametros_manuales!$J$23</f>
        <v>4590.9</v>
      </c>
      <c r="C90" s="8">
        <f>(parametros_manuales!$D$23*(datos_base!$E$2+IF(parametros_manuales!$H$23="Todos",datos_base!$E$9,0))*parametros_manuales!$C$97+parametros_manuales!$E$23*(datos_base!$E$3+IF(parametros_manuales!$H$23="Todos",datos_base!$E$10,0))*parametros_manuales!$C$102+parametros_manuales!$F$23*(datos_base!$E$4+IF(parametros_manuales!$H$23="Todos",datos_base!$E$11,0))*parametros_manuales!$C$107+parametros_manuales!$G$23*(datos_base!$E$5+IF(parametros_manuales!$H$23="Todos",datos_base!$E$12,0))*parametros_manuales!$C$112)*parametros_manuales!$I$23*parametros_manuales!$J$23</f>
        <v>4432.42</v>
      </c>
      <c r="D90" s="8">
        <f>(parametros_manuales!$D$23*(datos_base!$E$2+IF(parametros_manuales!$H$23="Todos",datos_base!$E$9,0))*parametros_manuales!$D$97+parametros_manuales!$E$23*(datos_base!$E$3+IF(parametros_manuales!$H$23="Todos",datos_base!$E$10,0))*parametros_manuales!$D$102+parametros_manuales!$F$23*(datos_base!$E$4+IF(parametros_manuales!$H$23="Todos",datos_base!$E$11,0))*parametros_manuales!$D$107+parametros_manuales!$G$23*(datos_base!$E$5+IF(parametros_manuales!$H$23="Todos",datos_base!$E$12,0))*parametros_manuales!$D$112)*parametros_manuales!$I$23*parametros_manuales!$J$23</f>
        <v>4160.04</v>
      </c>
      <c r="E90" s="8">
        <f>(parametros_manuales!$D$23*(datos_base!$E$2+IF(parametros_manuales!$H$23="Todos",datos_base!$E$9,0))*parametros_manuales!$E$97+parametros_manuales!$E$23*(datos_base!$E$3+IF(parametros_manuales!$H$23="Todos",datos_base!$E$10,0))*parametros_manuales!$E$102+parametros_manuales!$F$23*(datos_base!$E$4+IF(parametros_manuales!$H$23="Todos",datos_base!$E$11,0))*parametros_manuales!$E$107+parametros_manuales!$G$23*(datos_base!$E$5+IF(parametros_manuales!$H$23="Todos",datos_base!$E$12,0))*parametros_manuales!$E$112)*parametros_manuales!$I$23*parametros_manuales!$J$23</f>
        <v>3984.23</v>
      </c>
      <c r="F90" s="8">
        <f>(parametros_manuales!$D$23*(datos_base!$E$2+IF(parametros_manuales!$H$23="Todos",datos_base!$E$9,0))*parametros_manuales!$F$97+parametros_manuales!$E$23*(datos_base!$E$3+IF(parametros_manuales!$H$23="Todos",datos_base!$E$10,0))*parametros_manuales!$F$102+parametros_manuales!$F$23*(datos_base!$E$4+IF(parametros_manuales!$H$23="Todos",datos_base!$E$11,0))*parametros_manuales!$F$107+parametros_manuales!$G$23*(datos_base!$E$5+IF(parametros_manuales!$H$23="Todos",datos_base!$E$12,0))*parametros_manuales!$F$112)*parametros_manuales!$I$23*parametros_manuales!$J$23</f>
        <v>3729.18</v>
      </c>
      <c r="G90" s="8">
        <f>(parametros_manuales!$D$23*(datos_base!$E$2+IF(parametros_manuales!$H$23="Todos",datos_base!$E$9,0))*parametros_manuales!$G$97+parametros_manuales!$E$23*(datos_base!$E$3+IF(parametros_manuales!$H$23="Todos",datos_base!$E$10,0))*parametros_manuales!$G$102+parametros_manuales!$F$23*(datos_base!$E$4+IF(parametros_manuales!$H$23="Todos",datos_base!$E$11,0))*parametros_manuales!$G$107+parametros_manuales!$G$23*(datos_base!$E$5+IF(parametros_manuales!$H$23="Todos",datos_base!$E$12,0))*parametros_manuales!$G$112)*parametros_manuales!$I$23*parametros_manuales!$J$23</f>
        <v>3649.94</v>
      </c>
      <c r="H90" s="8">
        <f>(parametros_manuales!$D$23*(datos_base!$E$2+IF(parametros_manuales!$H$23="Todos",datos_base!$E$9,0))*parametros_manuales!$H$97+parametros_manuales!$E$23*(datos_base!$E$3+IF(parametros_manuales!$H$23="Todos",datos_base!$E$10,0))*parametros_manuales!$H$102+parametros_manuales!$F$23*(datos_base!$E$4+IF(parametros_manuales!$H$23="Todos",datos_base!$E$11,0))*parametros_manuales!$H$107+parametros_manuales!$G$23*(datos_base!$E$5+IF(parametros_manuales!$H$23="Todos",datos_base!$E$12,0))*parametros_manuales!$H$112)*parametros_manuales!$I$23*parametros_manuales!$J$23</f>
        <v>3904.99</v>
      </c>
      <c r="I90" s="8">
        <f>(parametros_manuales!$D$23*(datos_base!$E$2+IF(parametros_manuales!$H$23="Todos",datos_base!$E$9,0))*parametros_manuales!$I$97+parametros_manuales!$E$23*(datos_base!$E$3+IF(parametros_manuales!$H$23="Todos",datos_base!$E$10,0))*parametros_manuales!$I$102+parametros_manuales!$F$23*(datos_base!$E$4+IF(parametros_manuales!$H$23="Todos",datos_base!$E$11,0))*parametros_manuales!$I$107+parametros_manuales!$G$23*(datos_base!$E$5+IF(parametros_manuales!$H$23="Todos",datos_base!$E$12,0))*parametros_manuales!$I$112)*parametros_manuales!$I$23*parametros_manuales!$J$23</f>
        <v>4432.42</v>
      </c>
      <c r="J90" s="8">
        <f>(parametros_manuales!$D$23*(datos_base!$E$2+IF(parametros_manuales!$H$23="Todos",datos_base!$E$9,0))*parametros_manuales!$J$97+parametros_manuales!$E$23*(datos_base!$E$3+IF(parametros_manuales!$H$23="Todos",datos_base!$E$10,0))*parametros_manuales!$J$102+parametros_manuales!$F$23*(datos_base!$E$4+IF(parametros_manuales!$H$23="Todos",datos_base!$E$11,0))*parametros_manuales!$J$107+parametros_manuales!$G$23*(datos_base!$E$5+IF(parametros_manuales!$H$23="Todos",datos_base!$E$12,0))*parametros_manuales!$J$112)*parametros_manuales!$I$23*parametros_manuales!$J$23</f>
        <v>4432.42</v>
      </c>
      <c r="K90" s="8">
        <f>(parametros_manuales!$D$23*(datos_base!$E$2+IF(parametros_manuales!$H$23="Todos",datos_base!$E$9,0))*parametros_manuales!$K$97+parametros_manuales!$E$23*(datos_base!$E$3+IF(parametros_manuales!$H$23="Todos",datos_base!$E$10,0))*parametros_manuales!$K$102+parametros_manuales!$F$23*(datos_base!$E$4+IF(parametros_manuales!$H$23="Todos",datos_base!$E$11,0))*parametros_manuales!$K$107+parametros_manuales!$G$23*(datos_base!$E$5+IF(parametros_manuales!$H$23="Todos",datos_base!$E$12,0))*parametros_manuales!$K$112)*parametros_manuales!$I$23*parametros_manuales!$J$23</f>
        <v>4511.66</v>
      </c>
      <c r="L90" s="8">
        <f>(parametros_manuales!$D$23*(datos_base!$E$2+IF(parametros_manuales!$H$23="Todos",datos_base!$E$9,0))*parametros_manuales!$L$97+parametros_manuales!$E$23*(datos_base!$E$3+IF(parametros_manuales!$H$23="Todos",datos_base!$E$10,0))*parametros_manuales!$L$102+parametros_manuales!$F$23*(datos_base!$E$4+IF(parametros_manuales!$H$23="Todos",datos_base!$E$11,0))*parametros_manuales!$L$107+parametros_manuales!$G$23*(datos_base!$E$5+IF(parametros_manuales!$H$23="Todos",datos_base!$E$12,0))*parametros_manuales!$L$112)*parametros_manuales!$I$23*parametros_manuales!$J$23</f>
        <v>4590.9</v>
      </c>
      <c r="M90" s="8">
        <f>(parametros_manuales!$D$23*(datos_base!$E$2+IF(parametros_manuales!$H$23="Todos",datos_base!$E$9,0))*parametros_manuales!$M$97+parametros_manuales!$E$23*(datos_base!$E$3+IF(parametros_manuales!$H$23="Todos",datos_base!$E$10,0))*parametros_manuales!$M$102+parametros_manuales!$F$23*(datos_base!$E$4+IF(parametros_manuales!$H$23="Todos",datos_base!$E$11,0))*parametros_manuales!$M$107+parametros_manuales!$G$23*(datos_base!$E$5+IF(parametros_manuales!$H$23="Todos",datos_base!$E$12,0))*parametros_manuales!$M$112)*parametros_manuales!$I$23*parametros_manuales!$J$23</f>
        <v>4590.9</v>
      </c>
      <c r="N90" s="8">
        <f t="shared" si="10"/>
        <v>51010</v>
      </c>
      <c r="O90" s="8">
        <f t="shared" si="11"/>
        <v>4590.9</v>
      </c>
      <c r="P90" s="27">
        <f>O90/(parametros_manuales!$B$7)</f>
        <v>30.606</v>
      </c>
      <c r="Q90" s="4" t="str">
        <f t="shared" si="12"/>
        <v>Ene</v>
      </c>
      <c r="R90" s="16"/>
      <c r="S90" s="16"/>
    </row>
    <row r="91" ht="14.25" customHeight="1">
      <c r="A91" s="4" t="str">
        <f>parametros_manuales!$B$24</f>
        <v>Numerado de cúpula</v>
      </c>
      <c r="B91" s="8">
        <f>(parametros_manuales!$D$24*(datos_base!$E$2+IF(parametros_manuales!$H$24="Todos",datos_base!$E$9,0))*parametros_manuales!$B$97+parametros_manuales!$E$24*(datos_base!$E$3+IF(parametros_manuales!$H$24="Todos",datos_base!$E$10,0))*parametros_manuales!$B$102+parametros_manuales!$F$24*(datos_base!$E$4+IF(parametros_manuales!$H$24="Todos",datos_base!$E$11,0))*parametros_manuales!$B$107+parametros_manuales!$G$24*(datos_base!$E$5+IF(parametros_manuales!$H$24="Todos",datos_base!$E$12,0))*parametros_manuales!$B$112)*parametros_manuales!$I$24*parametros_manuales!$J$24</f>
        <v>4590.9</v>
      </c>
      <c r="C91" s="8">
        <f>(parametros_manuales!$D$24*(datos_base!$E$2+IF(parametros_manuales!$H$24="Todos",datos_base!$E$9,0))*parametros_manuales!$C$97+parametros_manuales!$E$24*(datos_base!$E$3+IF(parametros_manuales!$H$24="Todos",datos_base!$E$10,0))*parametros_manuales!$C$102+parametros_manuales!$F$24*(datos_base!$E$4+IF(parametros_manuales!$H$24="Todos",datos_base!$E$11,0))*parametros_manuales!$C$107+parametros_manuales!$G$24*(datos_base!$E$5+IF(parametros_manuales!$H$24="Todos",datos_base!$E$12,0))*parametros_manuales!$C$112)*parametros_manuales!$I$24*parametros_manuales!$J$24</f>
        <v>4432.42</v>
      </c>
      <c r="D91" s="8">
        <f>(parametros_manuales!$D$24*(datos_base!$E$2+IF(parametros_manuales!$H$24="Todos",datos_base!$E$9,0))*parametros_manuales!$D$97+parametros_manuales!$E$24*(datos_base!$E$3+IF(parametros_manuales!$H$24="Todos",datos_base!$E$10,0))*parametros_manuales!$D$102+parametros_manuales!$F$24*(datos_base!$E$4+IF(parametros_manuales!$H$24="Todos",datos_base!$E$11,0))*parametros_manuales!$D$107+parametros_manuales!$G$24*(datos_base!$E$5+IF(parametros_manuales!$H$24="Todos",datos_base!$E$12,0))*parametros_manuales!$D$112)*parametros_manuales!$I$24*parametros_manuales!$J$24</f>
        <v>4160.04</v>
      </c>
      <c r="E91" s="8">
        <f>(parametros_manuales!$D$24*(datos_base!$E$2+IF(parametros_manuales!$H$24="Todos",datos_base!$E$9,0))*parametros_manuales!$E$97+parametros_manuales!$E$24*(datos_base!$E$3+IF(parametros_manuales!$H$24="Todos",datos_base!$E$10,0))*parametros_manuales!$E$102+parametros_manuales!$F$24*(datos_base!$E$4+IF(parametros_manuales!$H$24="Todos",datos_base!$E$11,0))*parametros_manuales!$E$107+parametros_manuales!$G$24*(datos_base!$E$5+IF(parametros_manuales!$H$24="Todos",datos_base!$E$12,0))*parametros_manuales!$E$112)*parametros_manuales!$I$24*parametros_manuales!$J$24</f>
        <v>3984.23</v>
      </c>
      <c r="F91" s="8">
        <f>(parametros_manuales!$D$24*(datos_base!$E$2+IF(parametros_manuales!$H$24="Todos",datos_base!$E$9,0))*parametros_manuales!$F$97+parametros_manuales!$E$24*(datos_base!$E$3+IF(parametros_manuales!$H$24="Todos",datos_base!$E$10,0))*parametros_manuales!$F$102+parametros_manuales!$F$24*(datos_base!$E$4+IF(parametros_manuales!$H$24="Todos",datos_base!$E$11,0))*parametros_manuales!$F$107+parametros_manuales!$G$24*(datos_base!$E$5+IF(parametros_manuales!$H$24="Todos",datos_base!$E$12,0))*parametros_manuales!$F$112)*parametros_manuales!$I$24*parametros_manuales!$J$24</f>
        <v>3729.18</v>
      </c>
      <c r="G91" s="8">
        <f>(parametros_manuales!$D$24*(datos_base!$E$2+IF(parametros_manuales!$H$24="Todos",datos_base!$E$9,0))*parametros_manuales!$G$97+parametros_manuales!$E$24*(datos_base!$E$3+IF(parametros_manuales!$H$24="Todos",datos_base!$E$10,0))*parametros_manuales!$G$102+parametros_manuales!$F$24*(datos_base!$E$4+IF(parametros_manuales!$H$24="Todos",datos_base!$E$11,0))*parametros_manuales!$G$107+parametros_manuales!$G$24*(datos_base!$E$5+IF(parametros_manuales!$H$24="Todos",datos_base!$E$12,0))*parametros_manuales!$G$112)*parametros_manuales!$I$24*parametros_manuales!$J$24</f>
        <v>3649.94</v>
      </c>
      <c r="H91" s="8">
        <f>(parametros_manuales!$D$24*(datos_base!$E$2+IF(parametros_manuales!$H$24="Todos",datos_base!$E$9,0))*parametros_manuales!$H$97+parametros_manuales!$E$24*(datos_base!$E$3+IF(parametros_manuales!$H$24="Todos",datos_base!$E$10,0))*parametros_manuales!$H$102+parametros_manuales!$F$24*(datos_base!$E$4+IF(parametros_manuales!$H$24="Todos",datos_base!$E$11,0))*parametros_manuales!$H$107+parametros_manuales!$G$24*(datos_base!$E$5+IF(parametros_manuales!$H$24="Todos",datos_base!$E$12,0))*parametros_manuales!$H$112)*parametros_manuales!$I$24*parametros_manuales!$J$24</f>
        <v>3904.99</v>
      </c>
      <c r="I91" s="8">
        <f>(parametros_manuales!$D$24*(datos_base!$E$2+IF(parametros_manuales!$H$24="Todos",datos_base!$E$9,0))*parametros_manuales!$I$97+parametros_manuales!$E$24*(datos_base!$E$3+IF(parametros_manuales!$H$24="Todos",datos_base!$E$10,0))*parametros_manuales!$I$102+parametros_manuales!$F$24*(datos_base!$E$4+IF(parametros_manuales!$H$24="Todos",datos_base!$E$11,0))*parametros_manuales!$I$107+parametros_manuales!$G$24*(datos_base!$E$5+IF(parametros_manuales!$H$24="Todos",datos_base!$E$12,0))*parametros_manuales!$I$112)*parametros_manuales!$I$24*parametros_manuales!$J$24</f>
        <v>4432.42</v>
      </c>
      <c r="J91" s="8">
        <f>(parametros_manuales!$D$24*(datos_base!$E$2+IF(parametros_manuales!$H$24="Todos",datos_base!$E$9,0))*parametros_manuales!$J$97+parametros_manuales!$E$24*(datos_base!$E$3+IF(parametros_manuales!$H$24="Todos",datos_base!$E$10,0))*parametros_manuales!$J$102+parametros_manuales!$F$24*(datos_base!$E$4+IF(parametros_manuales!$H$24="Todos",datos_base!$E$11,0))*parametros_manuales!$J$107+parametros_manuales!$G$24*(datos_base!$E$5+IF(parametros_manuales!$H$24="Todos",datos_base!$E$12,0))*parametros_manuales!$J$112)*parametros_manuales!$I$24*parametros_manuales!$J$24</f>
        <v>4432.42</v>
      </c>
      <c r="K91" s="8">
        <f>(parametros_manuales!$D$24*(datos_base!$E$2+IF(parametros_manuales!$H$24="Todos",datos_base!$E$9,0))*parametros_manuales!$K$97+parametros_manuales!$E$24*(datos_base!$E$3+IF(parametros_manuales!$H$24="Todos",datos_base!$E$10,0))*parametros_manuales!$K$102+parametros_manuales!$F$24*(datos_base!$E$4+IF(parametros_manuales!$H$24="Todos",datos_base!$E$11,0))*parametros_manuales!$K$107+parametros_manuales!$G$24*(datos_base!$E$5+IF(parametros_manuales!$H$24="Todos",datos_base!$E$12,0))*parametros_manuales!$K$112)*parametros_manuales!$I$24*parametros_manuales!$J$24</f>
        <v>4511.66</v>
      </c>
      <c r="L91" s="8">
        <f>(parametros_manuales!$D$24*(datos_base!$E$2+IF(parametros_manuales!$H$24="Todos",datos_base!$E$9,0))*parametros_manuales!$L$97+parametros_manuales!$E$24*(datos_base!$E$3+IF(parametros_manuales!$H$24="Todos",datos_base!$E$10,0))*parametros_manuales!$L$102+parametros_manuales!$F$24*(datos_base!$E$4+IF(parametros_manuales!$H$24="Todos",datos_base!$E$11,0))*parametros_manuales!$L$107+parametros_manuales!$G$24*(datos_base!$E$5+IF(parametros_manuales!$H$24="Todos",datos_base!$E$12,0))*parametros_manuales!$L$112)*parametros_manuales!$I$24*parametros_manuales!$J$24</f>
        <v>4590.9</v>
      </c>
      <c r="M91" s="8">
        <f>(parametros_manuales!$D$24*(datos_base!$E$2+IF(parametros_manuales!$H$24="Todos",datos_base!$E$9,0))*parametros_manuales!$M$97+parametros_manuales!$E$24*(datos_base!$E$3+IF(parametros_manuales!$H$24="Todos",datos_base!$E$10,0))*parametros_manuales!$M$102+parametros_manuales!$F$24*(datos_base!$E$4+IF(parametros_manuales!$H$24="Todos",datos_base!$E$11,0))*parametros_manuales!$M$107+parametros_manuales!$G$24*(datos_base!$E$5+IF(parametros_manuales!$H$24="Todos",datos_base!$E$12,0))*parametros_manuales!$M$112)*parametros_manuales!$I$24*parametros_manuales!$J$24</f>
        <v>4590.9</v>
      </c>
      <c r="N91" s="8">
        <f t="shared" si="10"/>
        <v>51010</v>
      </c>
      <c r="O91" s="8">
        <f t="shared" si="11"/>
        <v>4590.9</v>
      </c>
      <c r="P91" s="27">
        <f>O91/(parametros_manuales!$B$7)</f>
        <v>30.606</v>
      </c>
      <c r="Q91" s="4" t="str">
        <f t="shared" si="12"/>
        <v>Ene</v>
      </c>
      <c r="R91" s="16"/>
      <c r="S91" s="16"/>
    </row>
    <row r="92" ht="14.25" customHeight="1">
      <c r="A92" s="4" t="str">
        <f>parametros_manuales!$B$25</f>
        <v>Soldadura del cuello a la cúpula</v>
      </c>
      <c r="B92" s="8">
        <f>(parametros_manuales!$D$25*(datos_base!$E$2+IF(parametros_manuales!$H$25="Todos",datos_base!$E$9,0))*parametros_manuales!$B$97+parametros_manuales!$E$25*(datos_base!$E$3+IF(parametros_manuales!$H$25="Todos",datos_base!$E$10,0))*parametros_manuales!$B$102+parametros_manuales!$F$25*(datos_base!$E$4+IF(parametros_manuales!$H$25="Todos",datos_base!$E$11,0))*parametros_manuales!$B$107+parametros_manuales!$G$25*(datos_base!$E$5+IF(parametros_manuales!$H$25="Todos",datos_base!$E$12,0))*parametros_manuales!$B$112)*parametros_manuales!$I$25*parametros_manuales!$J$25</f>
        <v>4590.9</v>
      </c>
      <c r="C92" s="8">
        <f>(parametros_manuales!$D$25*(datos_base!$E$2+IF(parametros_manuales!$H$25="Todos",datos_base!$E$9,0))*parametros_manuales!$C$97+parametros_manuales!$E$25*(datos_base!$E$3+IF(parametros_manuales!$H$25="Todos",datos_base!$E$10,0))*parametros_manuales!$C$102+parametros_manuales!$F$25*(datos_base!$E$4+IF(parametros_manuales!$H$25="Todos",datos_base!$E$11,0))*parametros_manuales!$C$107+parametros_manuales!$G$25*(datos_base!$E$5+IF(parametros_manuales!$H$25="Todos",datos_base!$E$12,0))*parametros_manuales!$C$112)*parametros_manuales!$I$25*parametros_manuales!$J$25</f>
        <v>4432.42</v>
      </c>
      <c r="D92" s="8">
        <f>(parametros_manuales!$D$25*(datos_base!$E$2+IF(parametros_manuales!$H$25="Todos",datos_base!$E$9,0))*parametros_manuales!$D$97+parametros_manuales!$E$25*(datos_base!$E$3+IF(parametros_manuales!$H$25="Todos",datos_base!$E$10,0))*parametros_manuales!$D$102+parametros_manuales!$F$25*(datos_base!$E$4+IF(parametros_manuales!$H$25="Todos",datos_base!$E$11,0))*parametros_manuales!$D$107+parametros_manuales!$G$25*(datos_base!$E$5+IF(parametros_manuales!$H$25="Todos",datos_base!$E$12,0))*parametros_manuales!$D$112)*parametros_manuales!$I$25*parametros_manuales!$J$25</f>
        <v>4160.04</v>
      </c>
      <c r="E92" s="8">
        <f>(parametros_manuales!$D$25*(datos_base!$E$2+IF(parametros_manuales!$H$25="Todos",datos_base!$E$9,0))*parametros_manuales!$E$97+parametros_manuales!$E$25*(datos_base!$E$3+IF(parametros_manuales!$H$25="Todos",datos_base!$E$10,0))*parametros_manuales!$E$102+parametros_manuales!$F$25*(datos_base!$E$4+IF(parametros_manuales!$H$25="Todos",datos_base!$E$11,0))*parametros_manuales!$E$107+parametros_manuales!$G$25*(datos_base!$E$5+IF(parametros_manuales!$H$25="Todos",datos_base!$E$12,0))*parametros_manuales!$E$112)*parametros_manuales!$I$25*parametros_manuales!$J$25</f>
        <v>3984.23</v>
      </c>
      <c r="F92" s="8">
        <f>(parametros_manuales!$D$25*(datos_base!$E$2+IF(parametros_manuales!$H$25="Todos",datos_base!$E$9,0))*parametros_manuales!$F$97+parametros_manuales!$E$25*(datos_base!$E$3+IF(parametros_manuales!$H$25="Todos",datos_base!$E$10,0))*parametros_manuales!$F$102+parametros_manuales!$F$25*(datos_base!$E$4+IF(parametros_manuales!$H$25="Todos",datos_base!$E$11,0))*parametros_manuales!$F$107+parametros_manuales!$G$25*(datos_base!$E$5+IF(parametros_manuales!$H$25="Todos",datos_base!$E$12,0))*parametros_manuales!$F$112)*parametros_manuales!$I$25*parametros_manuales!$J$25</f>
        <v>3729.18</v>
      </c>
      <c r="G92" s="8">
        <f>(parametros_manuales!$D$25*(datos_base!$E$2+IF(parametros_manuales!$H$25="Todos",datos_base!$E$9,0))*parametros_manuales!$G$97+parametros_manuales!$E$25*(datos_base!$E$3+IF(parametros_manuales!$H$25="Todos",datos_base!$E$10,0))*parametros_manuales!$G$102+parametros_manuales!$F$25*(datos_base!$E$4+IF(parametros_manuales!$H$25="Todos",datos_base!$E$11,0))*parametros_manuales!$G$107+parametros_manuales!$G$25*(datos_base!$E$5+IF(parametros_manuales!$H$25="Todos",datos_base!$E$12,0))*parametros_manuales!$G$112)*parametros_manuales!$I$25*parametros_manuales!$J$25</f>
        <v>3649.94</v>
      </c>
      <c r="H92" s="8">
        <f>(parametros_manuales!$D$25*(datos_base!$E$2+IF(parametros_manuales!$H$25="Todos",datos_base!$E$9,0))*parametros_manuales!$H$97+parametros_manuales!$E$25*(datos_base!$E$3+IF(parametros_manuales!$H$25="Todos",datos_base!$E$10,0))*parametros_manuales!$H$102+parametros_manuales!$F$25*(datos_base!$E$4+IF(parametros_manuales!$H$25="Todos",datos_base!$E$11,0))*parametros_manuales!$H$107+parametros_manuales!$G$25*(datos_base!$E$5+IF(parametros_manuales!$H$25="Todos",datos_base!$E$12,0))*parametros_manuales!$H$112)*parametros_manuales!$I$25*parametros_manuales!$J$25</f>
        <v>3904.99</v>
      </c>
      <c r="I92" s="8">
        <f>(parametros_manuales!$D$25*(datos_base!$E$2+IF(parametros_manuales!$H$25="Todos",datos_base!$E$9,0))*parametros_manuales!$I$97+parametros_manuales!$E$25*(datos_base!$E$3+IF(parametros_manuales!$H$25="Todos",datos_base!$E$10,0))*parametros_manuales!$I$102+parametros_manuales!$F$25*(datos_base!$E$4+IF(parametros_manuales!$H$25="Todos",datos_base!$E$11,0))*parametros_manuales!$I$107+parametros_manuales!$G$25*(datos_base!$E$5+IF(parametros_manuales!$H$25="Todos",datos_base!$E$12,0))*parametros_manuales!$I$112)*parametros_manuales!$I$25*parametros_manuales!$J$25</f>
        <v>4432.42</v>
      </c>
      <c r="J92" s="8">
        <f>(parametros_manuales!$D$25*(datos_base!$E$2+IF(parametros_manuales!$H$25="Todos",datos_base!$E$9,0))*parametros_manuales!$J$97+parametros_manuales!$E$25*(datos_base!$E$3+IF(parametros_manuales!$H$25="Todos",datos_base!$E$10,0))*parametros_manuales!$J$102+parametros_manuales!$F$25*(datos_base!$E$4+IF(parametros_manuales!$H$25="Todos",datos_base!$E$11,0))*parametros_manuales!$J$107+parametros_manuales!$G$25*(datos_base!$E$5+IF(parametros_manuales!$H$25="Todos",datos_base!$E$12,0))*parametros_manuales!$J$112)*parametros_manuales!$I$25*parametros_manuales!$J$25</f>
        <v>4432.42</v>
      </c>
      <c r="K92" s="8">
        <f>(parametros_manuales!$D$25*(datos_base!$E$2+IF(parametros_manuales!$H$25="Todos",datos_base!$E$9,0))*parametros_manuales!$K$97+parametros_manuales!$E$25*(datos_base!$E$3+IF(parametros_manuales!$H$25="Todos",datos_base!$E$10,0))*parametros_manuales!$K$102+parametros_manuales!$F$25*(datos_base!$E$4+IF(parametros_manuales!$H$25="Todos",datos_base!$E$11,0))*parametros_manuales!$K$107+parametros_manuales!$G$25*(datos_base!$E$5+IF(parametros_manuales!$H$25="Todos",datos_base!$E$12,0))*parametros_manuales!$K$112)*parametros_manuales!$I$25*parametros_manuales!$J$25</f>
        <v>4511.66</v>
      </c>
      <c r="L92" s="8">
        <f>(parametros_manuales!$D$25*(datos_base!$E$2+IF(parametros_manuales!$H$25="Todos",datos_base!$E$9,0))*parametros_manuales!$L$97+parametros_manuales!$E$25*(datos_base!$E$3+IF(parametros_manuales!$H$25="Todos",datos_base!$E$10,0))*parametros_manuales!$L$102+parametros_manuales!$F$25*(datos_base!$E$4+IF(parametros_manuales!$H$25="Todos",datos_base!$E$11,0))*parametros_manuales!$L$107+parametros_manuales!$G$25*(datos_base!$E$5+IF(parametros_manuales!$H$25="Todos",datos_base!$E$12,0))*parametros_manuales!$L$112)*parametros_manuales!$I$25*parametros_manuales!$J$25</f>
        <v>4590.9</v>
      </c>
      <c r="M92" s="8">
        <f>(parametros_manuales!$D$25*(datos_base!$E$2+IF(parametros_manuales!$H$25="Todos",datos_base!$E$9,0))*parametros_manuales!$M$97+parametros_manuales!$E$25*(datos_base!$E$3+IF(parametros_manuales!$H$25="Todos",datos_base!$E$10,0))*parametros_manuales!$M$102+parametros_manuales!$F$25*(datos_base!$E$4+IF(parametros_manuales!$H$25="Todos",datos_base!$E$11,0))*parametros_manuales!$M$107+parametros_manuales!$G$25*(datos_base!$E$5+IF(parametros_manuales!$H$25="Todos",datos_base!$E$12,0))*parametros_manuales!$M$112)*parametros_manuales!$I$25*parametros_manuales!$J$25</f>
        <v>4590.9</v>
      </c>
      <c r="N92" s="8">
        <f t="shared" si="10"/>
        <v>51010</v>
      </c>
      <c r="O92" s="8">
        <f t="shared" si="11"/>
        <v>4590.9</v>
      </c>
      <c r="P92" s="27">
        <f>O92/(parametros_manuales!$B$7)</f>
        <v>30.606</v>
      </c>
      <c r="Q92" s="4" t="str">
        <f t="shared" si="12"/>
        <v>Ene</v>
      </c>
      <c r="R92" s="16"/>
      <c r="S92" s="16"/>
    </row>
    <row r="93" ht="14.25" customHeight="1">
      <c r="A93" s="4" t="str">
        <f>parametros_manuales!$B$26</f>
        <v>Cilindrado</v>
      </c>
      <c r="B93" s="8">
        <f>(parametros_manuales!$D$26*(datos_base!$E$2+IF(parametros_manuales!$H$26="Todos",datos_base!$E$9,0))*parametros_manuales!$B$97+parametros_manuales!$E$26*(datos_base!$E$3+IF(parametros_manuales!$H$26="Todos",datos_base!$E$10,0))*parametros_manuales!$B$102+parametros_manuales!$F$26*(datos_base!$E$4+IF(parametros_manuales!$H$26="Todos",datos_base!$E$11,0))*parametros_manuales!$B$107+parametros_manuales!$G$26*(datos_base!$E$5+IF(parametros_manuales!$H$26="Todos",datos_base!$E$12,0))*parametros_manuales!$B$112)*parametros_manuales!$I$26*parametros_manuales!$J$26</f>
        <v>4590.9</v>
      </c>
      <c r="C93" s="8">
        <f>(parametros_manuales!$D$26*(datos_base!$E$2+IF(parametros_manuales!$H$26="Todos",datos_base!$E$9,0))*parametros_manuales!$C$97+parametros_manuales!$E$26*(datos_base!$E$3+IF(parametros_manuales!$H$26="Todos",datos_base!$E$10,0))*parametros_manuales!$C$102+parametros_manuales!$F$26*(datos_base!$E$4+IF(parametros_manuales!$H$26="Todos",datos_base!$E$11,0))*parametros_manuales!$C$107+parametros_manuales!$G$26*(datos_base!$E$5+IF(parametros_manuales!$H$26="Todos",datos_base!$E$12,0))*parametros_manuales!$C$112)*parametros_manuales!$I$26*parametros_manuales!$J$26</f>
        <v>4432.42</v>
      </c>
      <c r="D93" s="8">
        <f>(parametros_manuales!$D$26*(datos_base!$E$2+IF(parametros_manuales!$H$26="Todos",datos_base!$E$9,0))*parametros_manuales!$D$97+parametros_manuales!$E$26*(datos_base!$E$3+IF(parametros_manuales!$H$26="Todos",datos_base!$E$10,0))*parametros_manuales!$D$102+parametros_manuales!$F$26*(datos_base!$E$4+IF(parametros_manuales!$H$26="Todos",datos_base!$E$11,0))*parametros_manuales!$D$107+parametros_manuales!$G$26*(datos_base!$E$5+IF(parametros_manuales!$H$26="Todos",datos_base!$E$12,0))*parametros_manuales!$D$112)*parametros_manuales!$I$26*parametros_manuales!$J$26</f>
        <v>4160.04</v>
      </c>
      <c r="E93" s="8">
        <f>(parametros_manuales!$D$26*(datos_base!$E$2+IF(parametros_manuales!$H$26="Todos",datos_base!$E$9,0))*parametros_manuales!$E$97+parametros_manuales!$E$26*(datos_base!$E$3+IF(parametros_manuales!$H$26="Todos",datos_base!$E$10,0))*parametros_manuales!$E$102+parametros_manuales!$F$26*(datos_base!$E$4+IF(parametros_manuales!$H$26="Todos",datos_base!$E$11,0))*parametros_manuales!$E$107+parametros_manuales!$G$26*(datos_base!$E$5+IF(parametros_manuales!$H$26="Todos",datos_base!$E$12,0))*parametros_manuales!$E$112)*parametros_manuales!$I$26*parametros_manuales!$J$26</f>
        <v>3984.23</v>
      </c>
      <c r="F93" s="8">
        <f>(parametros_manuales!$D$26*(datos_base!$E$2+IF(parametros_manuales!$H$26="Todos",datos_base!$E$9,0))*parametros_manuales!$F$97+parametros_manuales!$E$26*(datos_base!$E$3+IF(parametros_manuales!$H$26="Todos",datos_base!$E$10,0))*parametros_manuales!$F$102+parametros_manuales!$F$26*(datos_base!$E$4+IF(parametros_manuales!$H$26="Todos",datos_base!$E$11,0))*parametros_manuales!$F$107+parametros_manuales!$G$26*(datos_base!$E$5+IF(parametros_manuales!$H$26="Todos",datos_base!$E$12,0))*parametros_manuales!$F$112)*parametros_manuales!$I$26*parametros_manuales!$J$26</f>
        <v>3729.18</v>
      </c>
      <c r="G93" s="8">
        <f>(parametros_manuales!$D$26*(datos_base!$E$2+IF(parametros_manuales!$H$26="Todos",datos_base!$E$9,0))*parametros_manuales!$G$97+parametros_manuales!$E$26*(datos_base!$E$3+IF(parametros_manuales!$H$26="Todos",datos_base!$E$10,0))*parametros_manuales!$G$102+parametros_manuales!$F$26*(datos_base!$E$4+IF(parametros_manuales!$H$26="Todos",datos_base!$E$11,0))*parametros_manuales!$G$107+parametros_manuales!$G$26*(datos_base!$E$5+IF(parametros_manuales!$H$26="Todos",datos_base!$E$12,0))*parametros_manuales!$G$112)*parametros_manuales!$I$26*parametros_manuales!$J$26</f>
        <v>3649.94</v>
      </c>
      <c r="H93" s="8">
        <f>(parametros_manuales!$D$26*(datos_base!$E$2+IF(parametros_manuales!$H$26="Todos",datos_base!$E$9,0))*parametros_manuales!$H$97+parametros_manuales!$E$26*(datos_base!$E$3+IF(parametros_manuales!$H$26="Todos",datos_base!$E$10,0))*parametros_manuales!$H$102+parametros_manuales!$F$26*(datos_base!$E$4+IF(parametros_manuales!$H$26="Todos",datos_base!$E$11,0))*parametros_manuales!$H$107+parametros_manuales!$G$26*(datos_base!$E$5+IF(parametros_manuales!$H$26="Todos",datos_base!$E$12,0))*parametros_manuales!$H$112)*parametros_manuales!$I$26*parametros_manuales!$J$26</f>
        <v>3904.99</v>
      </c>
      <c r="I93" s="8">
        <f>(parametros_manuales!$D$26*(datos_base!$E$2+IF(parametros_manuales!$H$26="Todos",datos_base!$E$9,0))*parametros_manuales!$I$97+parametros_manuales!$E$26*(datos_base!$E$3+IF(parametros_manuales!$H$26="Todos",datos_base!$E$10,0))*parametros_manuales!$I$102+parametros_manuales!$F$26*(datos_base!$E$4+IF(parametros_manuales!$H$26="Todos",datos_base!$E$11,0))*parametros_manuales!$I$107+parametros_manuales!$G$26*(datos_base!$E$5+IF(parametros_manuales!$H$26="Todos",datos_base!$E$12,0))*parametros_manuales!$I$112)*parametros_manuales!$I$26*parametros_manuales!$J$26</f>
        <v>4432.42</v>
      </c>
      <c r="J93" s="8">
        <f>(parametros_manuales!$D$26*(datos_base!$E$2+IF(parametros_manuales!$H$26="Todos",datos_base!$E$9,0))*parametros_manuales!$J$97+parametros_manuales!$E$26*(datos_base!$E$3+IF(parametros_manuales!$H$26="Todos",datos_base!$E$10,0))*parametros_manuales!$J$102+parametros_manuales!$F$26*(datos_base!$E$4+IF(parametros_manuales!$H$26="Todos",datos_base!$E$11,0))*parametros_manuales!$J$107+parametros_manuales!$G$26*(datos_base!$E$5+IF(parametros_manuales!$H$26="Todos",datos_base!$E$12,0))*parametros_manuales!$J$112)*parametros_manuales!$I$26*parametros_manuales!$J$26</f>
        <v>4432.42</v>
      </c>
      <c r="K93" s="8">
        <f>(parametros_manuales!$D$26*(datos_base!$E$2+IF(parametros_manuales!$H$26="Todos",datos_base!$E$9,0))*parametros_manuales!$K$97+parametros_manuales!$E$26*(datos_base!$E$3+IF(parametros_manuales!$H$26="Todos",datos_base!$E$10,0))*parametros_manuales!$K$102+parametros_manuales!$F$26*(datos_base!$E$4+IF(parametros_manuales!$H$26="Todos",datos_base!$E$11,0))*parametros_manuales!$K$107+parametros_manuales!$G$26*(datos_base!$E$5+IF(parametros_manuales!$H$26="Todos",datos_base!$E$12,0))*parametros_manuales!$K$112)*parametros_manuales!$I$26*parametros_manuales!$J$26</f>
        <v>4511.66</v>
      </c>
      <c r="L93" s="8">
        <f>(parametros_manuales!$D$26*(datos_base!$E$2+IF(parametros_manuales!$H$26="Todos",datos_base!$E$9,0))*parametros_manuales!$L$97+parametros_manuales!$E$26*(datos_base!$E$3+IF(parametros_manuales!$H$26="Todos",datos_base!$E$10,0))*parametros_manuales!$L$102+parametros_manuales!$F$26*(datos_base!$E$4+IF(parametros_manuales!$H$26="Todos",datos_base!$E$11,0))*parametros_manuales!$L$107+parametros_manuales!$G$26*(datos_base!$E$5+IF(parametros_manuales!$H$26="Todos",datos_base!$E$12,0))*parametros_manuales!$L$112)*parametros_manuales!$I$26*parametros_manuales!$J$26</f>
        <v>4590.9</v>
      </c>
      <c r="M93" s="8">
        <f>(parametros_manuales!$D$26*(datos_base!$E$2+IF(parametros_manuales!$H$26="Todos",datos_base!$E$9,0))*parametros_manuales!$M$97+parametros_manuales!$E$26*(datos_base!$E$3+IF(parametros_manuales!$H$26="Todos",datos_base!$E$10,0))*parametros_manuales!$M$102+parametros_manuales!$F$26*(datos_base!$E$4+IF(parametros_manuales!$H$26="Todos",datos_base!$E$11,0))*parametros_manuales!$M$107+parametros_manuales!$G$26*(datos_base!$E$5+IF(parametros_manuales!$H$26="Todos",datos_base!$E$12,0))*parametros_manuales!$M$112)*parametros_manuales!$I$26*parametros_manuales!$J$26</f>
        <v>4590.9</v>
      </c>
      <c r="N93" s="8">
        <f t="shared" si="10"/>
        <v>51010</v>
      </c>
      <c r="O93" s="8">
        <f t="shared" si="11"/>
        <v>4590.9</v>
      </c>
      <c r="P93" s="27">
        <f>O93/(parametros_manuales!$B$7)</f>
        <v>30.606</v>
      </c>
      <c r="Q93" s="4" t="str">
        <f t="shared" si="12"/>
        <v>Ene</v>
      </c>
      <c r="R93" s="16"/>
      <c r="S93" s="16"/>
    </row>
    <row r="94" ht="14.25" customHeight="1">
      <c r="A94" s="4" t="str">
        <f>parametros_manuales!$B$27</f>
        <v>Soldadura longitudinal — 2,5 a 10 kg</v>
      </c>
      <c r="B94" s="8">
        <f>(parametros_manuales!$D$27*(datos_base!$E$2+IF(parametros_manuales!$H$27="Todos",datos_base!$E$9,0))*parametros_manuales!$B$97+parametros_manuales!$E$27*(datos_base!$E$3+IF(parametros_manuales!$H$27="Todos",datos_base!$E$10,0))*parametros_manuales!$B$102+parametros_manuales!$F$27*(datos_base!$E$4+IF(parametros_manuales!$H$27="Todos",datos_base!$E$11,0))*parametros_manuales!$B$107+parametros_manuales!$G$27*(datos_base!$E$5+IF(parametros_manuales!$H$27="Todos",datos_base!$E$12,0))*parametros_manuales!$B$112)*parametros_manuales!$I$27*parametros_manuales!$J$27</f>
        <v>1426.32</v>
      </c>
      <c r="C94" s="8">
        <f>(parametros_manuales!$D$27*(datos_base!$E$2+IF(parametros_manuales!$H$27="Todos",datos_base!$E$9,0))*parametros_manuales!$C$97+parametros_manuales!$E$27*(datos_base!$E$3+IF(parametros_manuales!$H$27="Todos",datos_base!$E$10,0))*parametros_manuales!$C$102+parametros_manuales!$F$27*(datos_base!$E$4+IF(parametros_manuales!$H$27="Todos",datos_base!$E$11,0))*parametros_manuales!$C$107+parametros_manuales!$G$27*(datos_base!$E$5+IF(parametros_manuales!$H$27="Todos",datos_base!$E$12,0))*parametros_manuales!$C$112)*parametros_manuales!$I$27*parametros_manuales!$J$27</f>
        <v>1267.84</v>
      </c>
      <c r="D94" s="8">
        <f>(parametros_manuales!$D$27*(datos_base!$E$2+IF(parametros_manuales!$H$27="Todos",datos_base!$E$9,0))*parametros_manuales!$D$97+parametros_manuales!$E$27*(datos_base!$E$3+IF(parametros_manuales!$H$27="Todos",datos_base!$E$10,0))*parametros_manuales!$D$102+parametros_manuales!$F$27*(datos_base!$E$4+IF(parametros_manuales!$H$27="Todos",datos_base!$E$11,0))*parametros_manuales!$D$107+parametros_manuales!$G$27*(datos_base!$E$5+IF(parametros_manuales!$H$27="Todos",datos_base!$E$12,0))*parametros_manuales!$D$112)*parametros_manuales!$I$27*parametros_manuales!$J$27</f>
        <v>1347.08</v>
      </c>
      <c r="E94" s="8">
        <f>(parametros_manuales!$D$27*(datos_base!$E$2+IF(parametros_manuales!$H$27="Todos",datos_base!$E$9,0))*parametros_manuales!$E$97+parametros_manuales!$E$27*(datos_base!$E$3+IF(parametros_manuales!$H$27="Todos",datos_base!$E$10,0))*parametros_manuales!$E$102+parametros_manuales!$F$27*(datos_base!$E$4+IF(parametros_manuales!$H$27="Todos",datos_base!$E$11,0))*parametros_manuales!$E$107+parametros_manuales!$G$27*(datos_base!$E$5+IF(parametros_manuales!$H$27="Todos",datos_base!$E$12,0))*parametros_manuales!$E$112)*parametros_manuales!$I$27*parametros_manuales!$J$27</f>
        <v>1347.08</v>
      </c>
      <c r="F94" s="8">
        <f>(parametros_manuales!$D$27*(datos_base!$E$2+IF(parametros_manuales!$H$27="Todos",datos_base!$E$9,0))*parametros_manuales!$F$97+parametros_manuales!$E$27*(datos_base!$E$3+IF(parametros_manuales!$H$27="Todos",datos_base!$E$10,0))*parametros_manuales!$F$102+parametros_manuales!$F$27*(datos_base!$E$4+IF(parametros_manuales!$H$27="Todos",datos_base!$E$11,0))*parametros_manuales!$F$107+parametros_manuales!$G$27*(datos_base!$E$5+IF(parametros_manuales!$H$27="Todos",datos_base!$E$12,0))*parametros_manuales!$F$112)*parametros_manuales!$I$27*parametros_manuales!$J$27</f>
        <v>1267.84</v>
      </c>
      <c r="G94" s="8">
        <f>(parametros_manuales!$D$27*(datos_base!$E$2+IF(parametros_manuales!$H$27="Todos",datos_base!$E$9,0))*parametros_manuales!$G$97+parametros_manuales!$E$27*(datos_base!$E$3+IF(parametros_manuales!$H$27="Todos",datos_base!$E$10,0))*parametros_manuales!$G$102+parametros_manuales!$F$27*(datos_base!$E$4+IF(parametros_manuales!$H$27="Todos",datos_base!$E$11,0))*parametros_manuales!$G$107+parametros_manuales!$G$27*(datos_base!$E$5+IF(parametros_manuales!$H$27="Todos",datos_base!$E$12,0))*parametros_manuales!$G$112)*parametros_manuales!$I$27*parametros_manuales!$J$27</f>
        <v>1188.6</v>
      </c>
      <c r="H94" s="8">
        <f>(parametros_manuales!$D$27*(datos_base!$E$2+IF(parametros_manuales!$H$27="Todos",datos_base!$E$9,0))*parametros_manuales!$H$97+parametros_manuales!$E$27*(datos_base!$E$3+IF(parametros_manuales!$H$27="Todos",datos_base!$E$10,0))*parametros_manuales!$H$102+parametros_manuales!$F$27*(datos_base!$E$4+IF(parametros_manuales!$H$27="Todos",datos_base!$E$11,0))*parametros_manuales!$H$107+parametros_manuales!$G$27*(datos_base!$E$5+IF(parametros_manuales!$H$27="Todos",datos_base!$E$12,0))*parametros_manuales!$H$112)*parametros_manuales!$I$27*parametros_manuales!$J$27</f>
        <v>1267.84</v>
      </c>
      <c r="I94" s="8">
        <f>(parametros_manuales!$D$27*(datos_base!$E$2+IF(parametros_manuales!$H$27="Todos",datos_base!$E$9,0))*parametros_manuales!$I$97+parametros_manuales!$E$27*(datos_base!$E$3+IF(parametros_manuales!$H$27="Todos",datos_base!$E$10,0))*parametros_manuales!$I$102+parametros_manuales!$F$27*(datos_base!$E$4+IF(parametros_manuales!$H$27="Todos",datos_base!$E$11,0))*parametros_manuales!$I$107+parametros_manuales!$G$27*(datos_base!$E$5+IF(parametros_manuales!$H$27="Todos",datos_base!$E$12,0))*parametros_manuales!$I$112)*parametros_manuales!$I$27*parametros_manuales!$J$27</f>
        <v>1267.84</v>
      </c>
      <c r="J94" s="8">
        <f>(parametros_manuales!$D$27*(datos_base!$E$2+IF(parametros_manuales!$H$27="Todos",datos_base!$E$9,0))*parametros_manuales!$J$97+parametros_manuales!$E$27*(datos_base!$E$3+IF(parametros_manuales!$H$27="Todos",datos_base!$E$10,0))*parametros_manuales!$J$102+parametros_manuales!$F$27*(datos_base!$E$4+IF(parametros_manuales!$H$27="Todos",datos_base!$E$11,0))*parametros_manuales!$J$107+parametros_manuales!$G$27*(datos_base!$E$5+IF(parametros_manuales!$H$27="Todos",datos_base!$E$12,0))*parametros_manuales!$J$112)*parametros_manuales!$I$27*parametros_manuales!$J$27</f>
        <v>1267.84</v>
      </c>
      <c r="K94" s="8">
        <f>(parametros_manuales!$D$27*(datos_base!$E$2+IF(parametros_manuales!$H$27="Todos",datos_base!$E$9,0))*parametros_manuales!$K$97+parametros_manuales!$E$27*(datos_base!$E$3+IF(parametros_manuales!$H$27="Todos",datos_base!$E$10,0))*parametros_manuales!$K$102+parametros_manuales!$F$27*(datos_base!$E$4+IF(parametros_manuales!$H$27="Todos",datos_base!$E$11,0))*parametros_manuales!$K$107+parametros_manuales!$G$27*(datos_base!$E$5+IF(parametros_manuales!$H$27="Todos",datos_base!$E$12,0))*parametros_manuales!$K$112)*parametros_manuales!$I$27*parametros_manuales!$J$27</f>
        <v>1347.08</v>
      </c>
      <c r="L94" s="8">
        <f>(parametros_manuales!$D$27*(datos_base!$E$2+IF(parametros_manuales!$H$27="Todos",datos_base!$E$9,0))*parametros_manuales!$L$97+parametros_manuales!$E$27*(datos_base!$E$3+IF(parametros_manuales!$H$27="Todos",datos_base!$E$10,0))*parametros_manuales!$L$102+parametros_manuales!$F$27*(datos_base!$E$4+IF(parametros_manuales!$H$27="Todos",datos_base!$E$11,0))*parametros_manuales!$L$107+parametros_manuales!$G$27*(datos_base!$E$5+IF(parametros_manuales!$H$27="Todos",datos_base!$E$12,0))*parametros_manuales!$L$112)*parametros_manuales!$I$27*parametros_manuales!$J$27</f>
        <v>1426.32</v>
      </c>
      <c r="M94" s="8">
        <f>(parametros_manuales!$D$27*(datos_base!$E$2+IF(parametros_manuales!$H$27="Todos",datos_base!$E$9,0))*parametros_manuales!$M$97+parametros_manuales!$E$27*(datos_base!$E$3+IF(parametros_manuales!$H$27="Todos",datos_base!$E$10,0))*parametros_manuales!$M$102+parametros_manuales!$F$27*(datos_base!$E$4+IF(parametros_manuales!$H$27="Todos",datos_base!$E$11,0))*parametros_manuales!$M$107+parametros_manuales!$G$27*(datos_base!$E$5+IF(parametros_manuales!$H$27="Todos",datos_base!$E$12,0))*parametros_manuales!$M$112)*parametros_manuales!$I$27*parametros_manuales!$J$27</f>
        <v>1426.32</v>
      </c>
      <c r="N94" s="8">
        <f t="shared" si="10"/>
        <v>15848</v>
      </c>
      <c r="O94" s="8">
        <f t="shared" si="11"/>
        <v>1426.32</v>
      </c>
      <c r="P94" s="27">
        <f>O94/(parametros_manuales!$B$7)</f>
        <v>9.5088</v>
      </c>
      <c r="Q94" s="4" t="str">
        <f t="shared" si="12"/>
        <v>Ene</v>
      </c>
      <c r="R94" s="16"/>
      <c r="S94" s="16"/>
    </row>
    <row r="95" ht="14.25" customHeight="1">
      <c r="A95" s="4" t="str">
        <f>parametros_manuales!$B$28</f>
        <v>Soldadura longitudinal TIG — 1 kg</v>
      </c>
      <c r="B95" s="8">
        <f>(parametros_manuales!$D$28*(datos_base!$E$2+IF(parametros_manuales!$H$28="Todos",datos_base!$E$9,0))*parametros_manuales!$B$97+parametros_manuales!$E$28*(datos_base!$E$3+IF(parametros_manuales!$H$28="Todos",datos_base!$E$10,0))*parametros_manuales!$B$102+parametros_manuales!$F$28*(datos_base!$E$4+IF(parametros_manuales!$H$28="Todos",datos_base!$E$11,0))*parametros_manuales!$B$107+parametros_manuales!$G$28*(datos_base!$E$5+IF(parametros_manuales!$H$28="Todos",datos_base!$E$12,0))*parametros_manuales!$B$112)*parametros_manuales!$I$28*parametros_manuales!$J$28</f>
        <v>3164.58</v>
      </c>
      <c r="C95" s="8">
        <f>(parametros_manuales!$D$28*(datos_base!$E$2+IF(parametros_manuales!$H$28="Todos",datos_base!$E$9,0))*parametros_manuales!$C$97+parametros_manuales!$E$28*(datos_base!$E$3+IF(parametros_manuales!$H$28="Todos",datos_base!$E$10,0))*parametros_manuales!$C$102+parametros_manuales!$F$28*(datos_base!$E$4+IF(parametros_manuales!$H$28="Todos",datos_base!$E$11,0))*parametros_manuales!$C$107+parametros_manuales!$G$28*(datos_base!$E$5+IF(parametros_manuales!$H$28="Todos",datos_base!$E$12,0))*parametros_manuales!$C$112)*parametros_manuales!$I$28*parametros_manuales!$J$28</f>
        <v>3164.58</v>
      </c>
      <c r="D95" s="8">
        <f>(parametros_manuales!$D$28*(datos_base!$E$2+IF(parametros_manuales!$H$28="Todos",datos_base!$E$9,0))*parametros_manuales!$D$97+parametros_manuales!$E$28*(datos_base!$E$3+IF(parametros_manuales!$H$28="Todos",datos_base!$E$10,0))*parametros_manuales!$D$102+parametros_manuales!$F$28*(datos_base!$E$4+IF(parametros_manuales!$H$28="Todos",datos_base!$E$11,0))*parametros_manuales!$D$107+parametros_manuales!$G$28*(datos_base!$E$5+IF(parametros_manuales!$H$28="Todos",datos_base!$E$12,0))*parametros_manuales!$D$112)*parametros_manuales!$I$28*parametros_manuales!$J$28</f>
        <v>2812.96</v>
      </c>
      <c r="E95" s="8">
        <f>(parametros_manuales!$D$28*(datos_base!$E$2+IF(parametros_manuales!$H$28="Todos",datos_base!$E$9,0))*parametros_manuales!$E$97+parametros_manuales!$E$28*(datos_base!$E$3+IF(parametros_manuales!$H$28="Todos",datos_base!$E$10,0))*parametros_manuales!$E$102+parametros_manuales!$F$28*(datos_base!$E$4+IF(parametros_manuales!$H$28="Todos",datos_base!$E$11,0))*parametros_manuales!$E$107+parametros_manuales!$G$28*(datos_base!$E$5+IF(parametros_manuales!$H$28="Todos",datos_base!$E$12,0))*parametros_manuales!$E$112)*parametros_manuales!$I$28*parametros_manuales!$J$28</f>
        <v>2637.15</v>
      </c>
      <c r="F95" s="8">
        <f>(parametros_manuales!$D$28*(datos_base!$E$2+IF(parametros_manuales!$H$28="Todos",datos_base!$E$9,0))*parametros_manuales!$F$97+parametros_manuales!$E$28*(datos_base!$E$3+IF(parametros_manuales!$H$28="Todos",datos_base!$E$10,0))*parametros_manuales!$F$102+parametros_manuales!$F$28*(datos_base!$E$4+IF(parametros_manuales!$H$28="Todos",datos_base!$E$11,0))*parametros_manuales!$F$107+parametros_manuales!$G$28*(datos_base!$E$5+IF(parametros_manuales!$H$28="Todos",datos_base!$E$12,0))*parametros_manuales!$F$112)*parametros_manuales!$I$28*parametros_manuales!$J$28</f>
        <v>2461.34</v>
      </c>
      <c r="G95" s="8">
        <f>(parametros_manuales!$D$28*(datos_base!$E$2+IF(parametros_manuales!$H$28="Todos",datos_base!$E$9,0))*parametros_manuales!$G$97+parametros_manuales!$E$28*(datos_base!$E$3+IF(parametros_manuales!$H$28="Todos",datos_base!$E$10,0))*parametros_manuales!$G$102+parametros_manuales!$F$28*(datos_base!$E$4+IF(parametros_manuales!$H$28="Todos",datos_base!$E$11,0))*parametros_manuales!$G$107+parametros_manuales!$G$28*(datos_base!$E$5+IF(parametros_manuales!$H$28="Todos",datos_base!$E$12,0))*parametros_manuales!$G$112)*parametros_manuales!$I$28*parametros_manuales!$J$28</f>
        <v>2461.34</v>
      </c>
      <c r="H95" s="8">
        <f>(parametros_manuales!$D$28*(datos_base!$E$2+IF(parametros_manuales!$H$28="Todos",datos_base!$E$9,0))*parametros_manuales!$H$97+parametros_manuales!$E$28*(datos_base!$E$3+IF(parametros_manuales!$H$28="Todos",datos_base!$E$10,0))*parametros_manuales!$H$102+parametros_manuales!$F$28*(datos_base!$E$4+IF(parametros_manuales!$H$28="Todos",datos_base!$E$11,0))*parametros_manuales!$H$107+parametros_manuales!$G$28*(datos_base!$E$5+IF(parametros_manuales!$H$28="Todos",datos_base!$E$12,0))*parametros_manuales!$H$112)*parametros_manuales!$I$28*parametros_manuales!$J$28</f>
        <v>2637.15</v>
      </c>
      <c r="I95" s="8">
        <f>(parametros_manuales!$D$28*(datos_base!$E$2+IF(parametros_manuales!$H$28="Todos",datos_base!$E$9,0))*parametros_manuales!$I$97+parametros_manuales!$E$28*(datos_base!$E$3+IF(parametros_manuales!$H$28="Todos",datos_base!$E$10,0))*parametros_manuales!$I$102+parametros_manuales!$F$28*(datos_base!$E$4+IF(parametros_manuales!$H$28="Todos",datos_base!$E$11,0))*parametros_manuales!$I$107+parametros_manuales!$G$28*(datos_base!$E$5+IF(parametros_manuales!$H$28="Todos",datos_base!$E$12,0))*parametros_manuales!$I$112)*parametros_manuales!$I$28*parametros_manuales!$J$28</f>
        <v>3164.58</v>
      </c>
      <c r="J95" s="8">
        <f>(parametros_manuales!$D$28*(datos_base!$E$2+IF(parametros_manuales!$H$28="Todos",datos_base!$E$9,0))*parametros_manuales!$J$97+parametros_manuales!$E$28*(datos_base!$E$3+IF(parametros_manuales!$H$28="Todos",datos_base!$E$10,0))*parametros_manuales!$J$102+parametros_manuales!$F$28*(datos_base!$E$4+IF(parametros_manuales!$H$28="Todos",datos_base!$E$11,0))*parametros_manuales!$J$107+parametros_manuales!$G$28*(datos_base!$E$5+IF(parametros_manuales!$H$28="Todos",datos_base!$E$12,0))*parametros_manuales!$J$112)*parametros_manuales!$I$28*parametros_manuales!$J$28</f>
        <v>3164.58</v>
      </c>
      <c r="K95" s="8">
        <f>(parametros_manuales!$D$28*(datos_base!$E$2+IF(parametros_manuales!$H$28="Todos",datos_base!$E$9,0))*parametros_manuales!$K$97+parametros_manuales!$E$28*(datos_base!$E$3+IF(parametros_manuales!$H$28="Todos",datos_base!$E$10,0))*parametros_manuales!$K$102+parametros_manuales!$F$28*(datos_base!$E$4+IF(parametros_manuales!$H$28="Todos",datos_base!$E$11,0))*parametros_manuales!$K$107+parametros_manuales!$G$28*(datos_base!$E$5+IF(parametros_manuales!$H$28="Todos",datos_base!$E$12,0))*parametros_manuales!$K$112)*parametros_manuales!$I$28*parametros_manuales!$J$28</f>
        <v>3164.58</v>
      </c>
      <c r="L95" s="8">
        <f>(parametros_manuales!$D$28*(datos_base!$E$2+IF(parametros_manuales!$H$28="Todos",datos_base!$E$9,0))*parametros_manuales!$L$97+parametros_manuales!$E$28*(datos_base!$E$3+IF(parametros_manuales!$H$28="Todos",datos_base!$E$10,0))*parametros_manuales!$L$102+parametros_manuales!$F$28*(datos_base!$E$4+IF(parametros_manuales!$H$28="Todos",datos_base!$E$11,0))*parametros_manuales!$L$107+parametros_manuales!$G$28*(datos_base!$E$5+IF(parametros_manuales!$H$28="Todos",datos_base!$E$12,0))*parametros_manuales!$L$112)*parametros_manuales!$I$28*parametros_manuales!$J$28</f>
        <v>3164.58</v>
      </c>
      <c r="M95" s="8">
        <f>(parametros_manuales!$D$28*(datos_base!$E$2+IF(parametros_manuales!$H$28="Todos",datos_base!$E$9,0))*parametros_manuales!$M$97+parametros_manuales!$E$28*(datos_base!$E$3+IF(parametros_manuales!$H$28="Todos",datos_base!$E$10,0))*parametros_manuales!$M$102+parametros_manuales!$F$28*(datos_base!$E$4+IF(parametros_manuales!$H$28="Todos",datos_base!$E$11,0))*parametros_manuales!$M$107+parametros_manuales!$G$28*(datos_base!$E$5+IF(parametros_manuales!$H$28="Todos",datos_base!$E$12,0))*parametros_manuales!$M$112)*parametros_manuales!$I$28*parametros_manuales!$J$28</f>
        <v>3164.58</v>
      </c>
      <c r="N95" s="8">
        <f t="shared" si="10"/>
        <v>35162</v>
      </c>
      <c r="O95" s="8">
        <f t="shared" si="11"/>
        <v>3164.58</v>
      </c>
      <c r="P95" s="27">
        <f>O95/(parametros_manuales!$B$7)</f>
        <v>21.0972</v>
      </c>
      <c r="Q95" s="4" t="str">
        <f t="shared" si="12"/>
        <v>Ene</v>
      </c>
      <c r="R95" s="16"/>
      <c r="S95" s="16"/>
    </row>
    <row r="96" ht="14.25" customHeight="1">
      <c r="A96" s="4" t="str">
        <f>parametros_manuales!$B$29</f>
        <v>Encastre de fondo</v>
      </c>
      <c r="B96" s="8">
        <f>(parametros_manuales!$D$29*(datos_base!$E$2+IF(parametros_manuales!$H$29="Todos",datos_base!$E$9,0))*parametros_manuales!$B$97+parametros_manuales!$E$29*(datos_base!$E$3+IF(parametros_manuales!$H$29="Todos",datos_base!$E$10,0))*parametros_manuales!$B$102+parametros_manuales!$F$29*(datos_base!$E$4+IF(parametros_manuales!$H$29="Todos",datos_base!$E$11,0))*parametros_manuales!$B$107+parametros_manuales!$G$29*(datos_base!$E$5+IF(parametros_manuales!$H$29="Todos",datos_base!$E$12,0))*parametros_manuales!$B$112)*parametros_manuales!$I$29*parametros_manuales!$J$29</f>
        <v>4590.9</v>
      </c>
      <c r="C96" s="8">
        <f>(parametros_manuales!$D$29*(datos_base!$E$2+IF(parametros_manuales!$H$29="Todos",datos_base!$E$9,0))*parametros_manuales!$C$97+parametros_manuales!$E$29*(datos_base!$E$3+IF(parametros_manuales!$H$29="Todos",datos_base!$E$10,0))*parametros_manuales!$C$102+parametros_manuales!$F$29*(datos_base!$E$4+IF(parametros_manuales!$H$29="Todos",datos_base!$E$11,0))*parametros_manuales!$C$107+parametros_manuales!$G$29*(datos_base!$E$5+IF(parametros_manuales!$H$29="Todos",datos_base!$E$12,0))*parametros_manuales!$C$112)*parametros_manuales!$I$29*parametros_manuales!$J$29</f>
        <v>4432.42</v>
      </c>
      <c r="D96" s="8">
        <f>(parametros_manuales!$D$29*(datos_base!$E$2+IF(parametros_manuales!$H$29="Todos",datos_base!$E$9,0))*parametros_manuales!$D$97+parametros_manuales!$E$29*(datos_base!$E$3+IF(parametros_manuales!$H$29="Todos",datos_base!$E$10,0))*parametros_manuales!$D$102+parametros_manuales!$F$29*(datos_base!$E$4+IF(parametros_manuales!$H$29="Todos",datos_base!$E$11,0))*parametros_manuales!$D$107+parametros_manuales!$G$29*(datos_base!$E$5+IF(parametros_manuales!$H$29="Todos",datos_base!$E$12,0))*parametros_manuales!$D$112)*parametros_manuales!$I$29*parametros_manuales!$J$29</f>
        <v>4160.04</v>
      </c>
      <c r="E96" s="8">
        <f>(parametros_manuales!$D$29*(datos_base!$E$2+IF(parametros_manuales!$H$29="Todos",datos_base!$E$9,0))*parametros_manuales!$E$97+parametros_manuales!$E$29*(datos_base!$E$3+IF(parametros_manuales!$H$29="Todos",datos_base!$E$10,0))*parametros_manuales!$E$102+parametros_manuales!$F$29*(datos_base!$E$4+IF(parametros_manuales!$H$29="Todos",datos_base!$E$11,0))*parametros_manuales!$E$107+parametros_manuales!$G$29*(datos_base!$E$5+IF(parametros_manuales!$H$29="Todos",datos_base!$E$12,0))*parametros_manuales!$E$112)*parametros_manuales!$I$29*parametros_manuales!$J$29</f>
        <v>3984.23</v>
      </c>
      <c r="F96" s="8">
        <f>(parametros_manuales!$D$29*(datos_base!$E$2+IF(parametros_manuales!$H$29="Todos",datos_base!$E$9,0))*parametros_manuales!$F$97+parametros_manuales!$E$29*(datos_base!$E$3+IF(parametros_manuales!$H$29="Todos",datos_base!$E$10,0))*parametros_manuales!$F$102+parametros_manuales!$F$29*(datos_base!$E$4+IF(parametros_manuales!$H$29="Todos",datos_base!$E$11,0))*parametros_manuales!$F$107+parametros_manuales!$G$29*(datos_base!$E$5+IF(parametros_manuales!$H$29="Todos",datos_base!$E$12,0))*parametros_manuales!$F$112)*parametros_manuales!$I$29*parametros_manuales!$J$29</f>
        <v>3729.18</v>
      </c>
      <c r="G96" s="8">
        <f>(parametros_manuales!$D$29*(datos_base!$E$2+IF(parametros_manuales!$H$29="Todos",datos_base!$E$9,0))*parametros_manuales!$G$97+parametros_manuales!$E$29*(datos_base!$E$3+IF(parametros_manuales!$H$29="Todos",datos_base!$E$10,0))*parametros_manuales!$G$102+parametros_manuales!$F$29*(datos_base!$E$4+IF(parametros_manuales!$H$29="Todos",datos_base!$E$11,0))*parametros_manuales!$G$107+parametros_manuales!$G$29*(datos_base!$E$5+IF(parametros_manuales!$H$29="Todos",datos_base!$E$12,0))*parametros_manuales!$G$112)*parametros_manuales!$I$29*parametros_manuales!$J$29</f>
        <v>3649.94</v>
      </c>
      <c r="H96" s="8">
        <f>(parametros_manuales!$D$29*(datos_base!$E$2+IF(parametros_manuales!$H$29="Todos",datos_base!$E$9,0))*parametros_manuales!$H$97+parametros_manuales!$E$29*(datos_base!$E$3+IF(parametros_manuales!$H$29="Todos",datos_base!$E$10,0))*parametros_manuales!$H$102+parametros_manuales!$F$29*(datos_base!$E$4+IF(parametros_manuales!$H$29="Todos",datos_base!$E$11,0))*parametros_manuales!$H$107+parametros_manuales!$G$29*(datos_base!$E$5+IF(parametros_manuales!$H$29="Todos",datos_base!$E$12,0))*parametros_manuales!$H$112)*parametros_manuales!$I$29*parametros_manuales!$J$29</f>
        <v>3904.99</v>
      </c>
      <c r="I96" s="8">
        <f>(parametros_manuales!$D$29*(datos_base!$E$2+IF(parametros_manuales!$H$29="Todos",datos_base!$E$9,0))*parametros_manuales!$I$97+parametros_manuales!$E$29*(datos_base!$E$3+IF(parametros_manuales!$H$29="Todos",datos_base!$E$10,0))*parametros_manuales!$I$102+parametros_manuales!$F$29*(datos_base!$E$4+IF(parametros_manuales!$H$29="Todos",datos_base!$E$11,0))*parametros_manuales!$I$107+parametros_manuales!$G$29*(datos_base!$E$5+IF(parametros_manuales!$H$29="Todos",datos_base!$E$12,0))*parametros_manuales!$I$112)*parametros_manuales!$I$29*parametros_manuales!$J$29</f>
        <v>4432.42</v>
      </c>
      <c r="J96" s="8">
        <f>(parametros_manuales!$D$29*(datos_base!$E$2+IF(parametros_manuales!$H$29="Todos",datos_base!$E$9,0))*parametros_manuales!$J$97+parametros_manuales!$E$29*(datos_base!$E$3+IF(parametros_manuales!$H$29="Todos",datos_base!$E$10,0))*parametros_manuales!$J$102+parametros_manuales!$F$29*(datos_base!$E$4+IF(parametros_manuales!$H$29="Todos",datos_base!$E$11,0))*parametros_manuales!$J$107+parametros_manuales!$G$29*(datos_base!$E$5+IF(parametros_manuales!$H$29="Todos",datos_base!$E$12,0))*parametros_manuales!$J$112)*parametros_manuales!$I$29*parametros_manuales!$J$29</f>
        <v>4432.42</v>
      </c>
      <c r="K96" s="8">
        <f>(parametros_manuales!$D$29*(datos_base!$E$2+IF(parametros_manuales!$H$29="Todos",datos_base!$E$9,0))*parametros_manuales!$K$97+parametros_manuales!$E$29*(datos_base!$E$3+IF(parametros_manuales!$H$29="Todos",datos_base!$E$10,0))*parametros_manuales!$K$102+parametros_manuales!$F$29*(datos_base!$E$4+IF(parametros_manuales!$H$29="Todos",datos_base!$E$11,0))*parametros_manuales!$K$107+parametros_manuales!$G$29*(datos_base!$E$5+IF(parametros_manuales!$H$29="Todos",datos_base!$E$12,0))*parametros_manuales!$K$112)*parametros_manuales!$I$29*parametros_manuales!$J$29</f>
        <v>4511.66</v>
      </c>
      <c r="L96" s="8">
        <f>(parametros_manuales!$D$29*(datos_base!$E$2+IF(parametros_manuales!$H$29="Todos",datos_base!$E$9,0))*parametros_manuales!$L$97+parametros_manuales!$E$29*(datos_base!$E$3+IF(parametros_manuales!$H$29="Todos",datos_base!$E$10,0))*parametros_manuales!$L$102+parametros_manuales!$F$29*(datos_base!$E$4+IF(parametros_manuales!$H$29="Todos",datos_base!$E$11,0))*parametros_manuales!$L$107+parametros_manuales!$G$29*(datos_base!$E$5+IF(parametros_manuales!$H$29="Todos",datos_base!$E$12,0))*parametros_manuales!$L$112)*parametros_manuales!$I$29*parametros_manuales!$J$29</f>
        <v>4590.9</v>
      </c>
      <c r="M96" s="8">
        <f>(parametros_manuales!$D$29*(datos_base!$E$2+IF(parametros_manuales!$H$29="Todos",datos_base!$E$9,0))*parametros_manuales!$M$97+parametros_manuales!$E$29*(datos_base!$E$3+IF(parametros_manuales!$H$29="Todos",datos_base!$E$10,0))*parametros_manuales!$M$102+parametros_manuales!$F$29*(datos_base!$E$4+IF(parametros_manuales!$H$29="Todos",datos_base!$E$11,0))*parametros_manuales!$M$107+parametros_manuales!$G$29*(datos_base!$E$5+IF(parametros_manuales!$H$29="Todos",datos_base!$E$12,0))*parametros_manuales!$M$112)*parametros_manuales!$I$29*parametros_manuales!$J$29</f>
        <v>4590.9</v>
      </c>
      <c r="N96" s="8">
        <f t="shared" si="10"/>
        <v>51010</v>
      </c>
      <c r="O96" s="8">
        <f t="shared" si="11"/>
        <v>4590.9</v>
      </c>
      <c r="P96" s="27">
        <f>O96/(parametros_manuales!$B$7)</f>
        <v>30.606</v>
      </c>
      <c r="Q96" s="4" t="str">
        <f t="shared" si="12"/>
        <v>Ene</v>
      </c>
      <c r="R96" s="16"/>
      <c r="S96" s="16"/>
    </row>
    <row r="97" ht="14.25" customHeight="1">
      <c r="A97" s="4" t="str">
        <f>parametros_manuales!$B$30</f>
        <v>Bordoneado</v>
      </c>
      <c r="B97" s="8">
        <f>(parametros_manuales!$D$30*(datos_base!$E$2+IF(parametros_manuales!$H$30="Todos",datos_base!$E$9,0))*parametros_manuales!$B$97+parametros_manuales!$E$30*(datos_base!$E$3+IF(parametros_manuales!$H$30="Todos",datos_base!$E$10,0))*parametros_manuales!$B$102+parametros_manuales!$F$30*(datos_base!$E$4+IF(parametros_manuales!$H$30="Todos",datos_base!$E$11,0))*parametros_manuales!$B$107+parametros_manuales!$G$30*(datos_base!$E$5+IF(parametros_manuales!$H$30="Todos",datos_base!$E$12,0))*parametros_manuales!$B$112)*parametros_manuales!$I$30*parametros_manuales!$J$30</f>
        <v>4590.9</v>
      </c>
      <c r="C97" s="8">
        <f>(parametros_manuales!$D$30*(datos_base!$E$2+IF(parametros_manuales!$H$30="Todos",datos_base!$E$9,0))*parametros_manuales!$C$97+parametros_manuales!$E$30*(datos_base!$E$3+IF(parametros_manuales!$H$30="Todos",datos_base!$E$10,0))*parametros_manuales!$C$102+parametros_manuales!$F$30*(datos_base!$E$4+IF(parametros_manuales!$H$30="Todos",datos_base!$E$11,0))*parametros_manuales!$C$107+parametros_manuales!$G$30*(datos_base!$E$5+IF(parametros_manuales!$H$30="Todos",datos_base!$E$12,0))*parametros_manuales!$C$112)*parametros_manuales!$I$30*parametros_manuales!$J$30</f>
        <v>4432.42</v>
      </c>
      <c r="D97" s="8">
        <f>(parametros_manuales!$D$30*(datos_base!$E$2+IF(parametros_manuales!$H$30="Todos",datos_base!$E$9,0))*parametros_manuales!$D$97+parametros_manuales!$E$30*(datos_base!$E$3+IF(parametros_manuales!$H$30="Todos",datos_base!$E$10,0))*parametros_manuales!$D$102+parametros_manuales!$F$30*(datos_base!$E$4+IF(parametros_manuales!$H$30="Todos",datos_base!$E$11,0))*parametros_manuales!$D$107+parametros_manuales!$G$30*(datos_base!$E$5+IF(parametros_manuales!$H$30="Todos",datos_base!$E$12,0))*parametros_manuales!$D$112)*parametros_manuales!$I$30*parametros_manuales!$J$30</f>
        <v>4160.04</v>
      </c>
      <c r="E97" s="8">
        <f>(parametros_manuales!$D$30*(datos_base!$E$2+IF(parametros_manuales!$H$30="Todos",datos_base!$E$9,0))*parametros_manuales!$E$97+parametros_manuales!$E$30*(datos_base!$E$3+IF(parametros_manuales!$H$30="Todos",datos_base!$E$10,0))*parametros_manuales!$E$102+parametros_manuales!$F$30*(datos_base!$E$4+IF(parametros_manuales!$H$30="Todos",datos_base!$E$11,0))*parametros_manuales!$E$107+parametros_manuales!$G$30*(datos_base!$E$5+IF(parametros_manuales!$H$30="Todos",datos_base!$E$12,0))*parametros_manuales!$E$112)*parametros_manuales!$I$30*parametros_manuales!$J$30</f>
        <v>3984.23</v>
      </c>
      <c r="F97" s="8">
        <f>(parametros_manuales!$D$30*(datos_base!$E$2+IF(parametros_manuales!$H$30="Todos",datos_base!$E$9,0))*parametros_manuales!$F$97+parametros_manuales!$E$30*(datos_base!$E$3+IF(parametros_manuales!$H$30="Todos",datos_base!$E$10,0))*parametros_manuales!$F$102+parametros_manuales!$F$30*(datos_base!$E$4+IF(parametros_manuales!$H$30="Todos",datos_base!$E$11,0))*parametros_manuales!$F$107+parametros_manuales!$G$30*(datos_base!$E$5+IF(parametros_manuales!$H$30="Todos",datos_base!$E$12,0))*parametros_manuales!$F$112)*parametros_manuales!$I$30*parametros_manuales!$J$30</f>
        <v>3729.18</v>
      </c>
      <c r="G97" s="8">
        <f>(parametros_manuales!$D$30*(datos_base!$E$2+IF(parametros_manuales!$H$30="Todos",datos_base!$E$9,0))*parametros_manuales!$G$97+parametros_manuales!$E$30*(datos_base!$E$3+IF(parametros_manuales!$H$30="Todos",datos_base!$E$10,0))*parametros_manuales!$G$102+parametros_manuales!$F$30*(datos_base!$E$4+IF(parametros_manuales!$H$30="Todos",datos_base!$E$11,0))*parametros_manuales!$G$107+parametros_manuales!$G$30*(datos_base!$E$5+IF(parametros_manuales!$H$30="Todos",datos_base!$E$12,0))*parametros_manuales!$G$112)*parametros_manuales!$I$30*parametros_manuales!$J$30</f>
        <v>3649.94</v>
      </c>
      <c r="H97" s="8">
        <f>(parametros_manuales!$D$30*(datos_base!$E$2+IF(parametros_manuales!$H$30="Todos",datos_base!$E$9,0))*parametros_manuales!$H$97+parametros_manuales!$E$30*(datos_base!$E$3+IF(parametros_manuales!$H$30="Todos",datos_base!$E$10,0))*parametros_manuales!$H$102+parametros_manuales!$F$30*(datos_base!$E$4+IF(parametros_manuales!$H$30="Todos",datos_base!$E$11,0))*parametros_manuales!$H$107+parametros_manuales!$G$30*(datos_base!$E$5+IF(parametros_manuales!$H$30="Todos",datos_base!$E$12,0))*parametros_manuales!$H$112)*parametros_manuales!$I$30*parametros_manuales!$J$30</f>
        <v>3904.99</v>
      </c>
      <c r="I97" s="8">
        <f>(parametros_manuales!$D$30*(datos_base!$E$2+IF(parametros_manuales!$H$30="Todos",datos_base!$E$9,0))*parametros_manuales!$I$97+parametros_manuales!$E$30*(datos_base!$E$3+IF(parametros_manuales!$H$30="Todos",datos_base!$E$10,0))*parametros_manuales!$I$102+parametros_manuales!$F$30*(datos_base!$E$4+IF(parametros_manuales!$H$30="Todos",datos_base!$E$11,0))*parametros_manuales!$I$107+parametros_manuales!$G$30*(datos_base!$E$5+IF(parametros_manuales!$H$30="Todos",datos_base!$E$12,0))*parametros_manuales!$I$112)*parametros_manuales!$I$30*parametros_manuales!$J$30</f>
        <v>4432.42</v>
      </c>
      <c r="J97" s="8">
        <f>(parametros_manuales!$D$30*(datos_base!$E$2+IF(parametros_manuales!$H$30="Todos",datos_base!$E$9,0))*parametros_manuales!$J$97+parametros_manuales!$E$30*(datos_base!$E$3+IF(parametros_manuales!$H$30="Todos",datos_base!$E$10,0))*parametros_manuales!$J$102+parametros_manuales!$F$30*(datos_base!$E$4+IF(parametros_manuales!$H$30="Todos",datos_base!$E$11,0))*parametros_manuales!$J$107+parametros_manuales!$G$30*(datos_base!$E$5+IF(parametros_manuales!$H$30="Todos",datos_base!$E$12,0))*parametros_manuales!$J$112)*parametros_manuales!$I$30*parametros_manuales!$J$30</f>
        <v>4432.42</v>
      </c>
      <c r="K97" s="8">
        <f>(parametros_manuales!$D$30*(datos_base!$E$2+IF(parametros_manuales!$H$30="Todos",datos_base!$E$9,0))*parametros_manuales!$K$97+parametros_manuales!$E$30*(datos_base!$E$3+IF(parametros_manuales!$H$30="Todos",datos_base!$E$10,0))*parametros_manuales!$K$102+parametros_manuales!$F$30*(datos_base!$E$4+IF(parametros_manuales!$H$30="Todos",datos_base!$E$11,0))*parametros_manuales!$K$107+parametros_manuales!$G$30*(datos_base!$E$5+IF(parametros_manuales!$H$30="Todos",datos_base!$E$12,0))*parametros_manuales!$K$112)*parametros_manuales!$I$30*parametros_manuales!$J$30</f>
        <v>4511.66</v>
      </c>
      <c r="L97" s="8">
        <f>(parametros_manuales!$D$30*(datos_base!$E$2+IF(parametros_manuales!$H$30="Todos",datos_base!$E$9,0))*parametros_manuales!$L$97+parametros_manuales!$E$30*(datos_base!$E$3+IF(parametros_manuales!$H$30="Todos",datos_base!$E$10,0))*parametros_manuales!$L$102+parametros_manuales!$F$30*(datos_base!$E$4+IF(parametros_manuales!$H$30="Todos",datos_base!$E$11,0))*parametros_manuales!$L$107+parametros_manuales!$G$30*(datos_base!$E$5+IF(parametros_manuales!$H$30="Todos",datos_base!$E$12,0))*parametros_manuales!$L$112)*parametros_manuales!$I$30*parametros_manuales!$J$30</f>
        <v>4590.9</v>
      </c>
      <c r="M97" s="8">
        <f>(parametros_manuales!$D$30*(datos_base!$E$2+IF(parametros_manuales!$H$30="Todos",datos_base!$E$9,0))*parametros_manuales!$M$97+parametros_manuales!$E$30*(datos_base!$E$3+IF(parametros_manuales!$H$30="Todos",datos_base!$E$10,0))*parametros_manuales!$M$102+parametros_manuales!$F$30*(datos_base!$E$4+IF(parametros_manuales!$H$30="Todos",datos_base!$E$11,0))*parametros_manuales!$M$107+parametros_manuales!$G$30*(datos_base!$E$5+IF(parametros_manuales!$H$30="Todos",datos_base!$E$12,0))*parametros_manuales!$M$112)*parametros_manuales!$I$30*parametros_manuales!$J$30</f>
        <v>4590.9</v>
      </c>
      <c r="N97" s="8">
        <f t="shared" si="10"/>
        <v>51010</v>
      </c>
      <c r="O97" s="8">
        <f t="shared" si="11"/>
        <v>4590.9</v>
      </c>
      <c r="P97" s="27">
        <f>O97/(parametros_manuales!$B$7)</f>
        <v>30.606</v>
      </c>
      <c r="Q97" s="4" t="str">
        <f t="shared" si="12"/>
        <v>Ene</v>
      </c>
      <c r="R97" s="16"/>
      <c r="S97" s="16"/>
    </row>
    <row r="98" ht="14.25" customHeight="1">
      <c r="A98" s="4" t="str">
        <f>parametros_manuales!$B$31</f>
        <v>Soldadura circunferencial de cúpula y fondo</v>
      </c>
      <c r="B98" s="8">
        <f>(parametros_manuales!$D$31*(datos_base!$E$2+IF(parametros_manuales!$H$31="Todos",datos_base!$E$9,0))*parametros_manuales!$B$97+parametros_manuales!$E$31*(datos_base!$E$3+IF(parametros_manuales!$H$31="Todos",datos_base!$E$10,0))*parametros_manuales!$B$102+parametros_manuales!$F$31*(datos_base!$E$4+IF(parametros_manuales!$H$31="Todos",datos_base!$E$11,0))*parametros_manuales!$B$107+parametros_manuales!$G$31*(datos_base!$E$5+IF(parametros_manuales!$H$31="Todos",datos_base!$E$12,0))*parametros_manuales!$B$112)*parametros_manuales!$I$31*parametros_manuales!$J$31</f>
        <v>4590.9</v>
      </c>
      <c r="C98" s="8">
        <f>(parametros_manuales!$D$31*(datos_base!$E$2+IF(parametros_manuales!$H$31="Todos",datos_base!$E$9,0))*parametros_manuales!$C$97+parametros_manuales!$E$31*(datos_base!$E$3+IF(parametros_manuales!$H$31="Todos",datos_base!$E$10,0))*parametros_manuales!$C$102+parametros_manuales!$F$31*(datos_base!$E$4+IF(parametros_manuales!$H$31="Todos",datos_base!$E$11,0))*parametros_manuales!$C$107+parametros_manuales!$G$31*(datos_base!$E$5+IF(parametros_manuales!$H$31="Todos",datos_base!$E$12,0))*parametros_manuales!$C$112)*parametros_manuales!$I$31*parametros_manuales!$J$31</f>
        <v>4432.42</v>
      </c>
      <c r="D98" s="8">
        <f>(parametros_manuales!$D$31*(datos_base!$E$2+IF(parametros_manuales!$H$31="Todos",datos_base!$E$9,0))*parametros_manuales!$D$97+parametros_manuales!$E$31*(datos_base!$E$3+IF(parametros_manuales!$H$31="Todos",datos_base!$E$10,0))*parametros_manuales!$D$102+parametros_manuales!$F$31*(datos_base!$E$4+IF(parametros_manuales!$H$31="Todos",datos_base!$E$11,0))*parametros_manuales!$D$107+parametros_manuales!$G$31*(datos_base!$E$5+IF(parametros_manuales!$H$31="Todos",datos_base!$E$12,0))*parametros_manuales!$D$112)*parametros_manuales!$I$31*parametros_manuales!$J$31</f>
        <v>4160.04</v>
      </c>
      <c r="E98" s="8">
        <f>(parametros_manuales!$D$31*(datos_base!$E$2+IF(parametros_manuales!$H$31="Todos",datos_base!$E$9,0))*parametros_manuales!$E$97+parametros_manuales!$E$31*(datos_base!$E$3+IF(parametros_manuales!$H$31="Todos",datos_base!$E$10,0))*parametros_manuales!$E$102+parametros_manuales!$F$31*(datos_base!$E$4+IF(parametros_manuales!$H$31="Todos",datos_base!$E$11,0))*parametros_manuales!$E$107+parametros_manuales!$G$31*(datos_base!$E$5+IF(parametros_manuales!$H$31="Todos",datos_base!$E$12,0))*parametros_manuales!$E$112)*parametros_manuales!$I$31*parametros_manuales!$J$31</f>
        <v>3984.23</v>
      </c>
      <c r="F98" s="8">
        <f>(parametros_manuales!$D$31*(datos_base!$E$2+IF(parametros_manuales!$H$31="Todos",datos_base!$E$9,0))*parametros_manuales!$F$97+parametros_manuales!$E$31*(datos_base!$E$3+IF(parametros_manuales!$H$31="Todos",datos_base!$E$10,0))*parametros_manuales!$F$102+parametros_manuales!$F$31*(datos_base!$E$4+IF(parametros_manuales!$H$31="Todos",datos_base!$E$11,0))*parametros_manuales!$F$107+parametros_manuales!$G$31*(datos_base!$E$5+IF(parametros_manuales!$H$31="Todos",datos_base!$E$12,0))*parametros_manuales!$F$112)*parametros_manuales!$I$31*parametros_manuales!$J$31</f>
        <v>3729.18</v>
      </c>
      <c r="G98" s="8">
        <f>(parametros_manuales!$D$31*(datos_base!$E$2+IF(parametros_manuales!$H$31="Todos",datos_base!$E$9,0))*parametros_manuales!$G$97+parametros_manuales!$E$31*(datos_base!$E$3+IF(parametros_manuales!$H$31="Todos",datos_base!$E$10,0))*parametros_manuales!$G$102+parametros_manuales!$F$31*(datos_base!$E$4+IF(parametros_manuales!$H$31="Todos",datos_base!$E$11,0))*parametros_manuales!$G$107+parametros_manuales!$G$31*(datos_base!$E$5+IF(parametros_manuales!$H$31="Todos",datos_base!$E$12,0))*parametros_manuales!$G$112)*parametros_manuales!$I$31*parametros_manuales!$J$31</f>
        <v>3649.94</v>
      </c>
      <c r="H98" s="8">
        <f>(parametros_manuales!$D$31*(datos_base!$E$2+IF(parametros_manuales!$H$31="Todos",datos_base!$E$9,0))*parametros_manuales!$H$97+parametros_manuales!$E$31*(datos_base!$E$3+IF(parametros_manuales!$H$31="Todos",datos_base!$E$10,0))*parametros_manuales!$H$102+parametros_manuales!$F$31*(datos_base!$E$4+IF(parametros_manuales!$H$31="Todos",datos_base!$E$11,0))*parametros_manuales!$H$107+parametros_manuales!$G$31*(datos_base!$E$5+IF(parametros_manuales!$H$31="Todos",datos_base!$E$12,0))*parametros_manuales!$H$112)*parametros_manuales!$I$31*parametros_manuales!$J$31</f>
        <v>3904.99</v>
      </c>
      <c r="I98" s="8">
        <f>(parametros_manuales!$D$31*(datos_base!$E$2+IF(parametros_manuales!$H$31="Todos",datos_base!$E$9,0))*parametros_manuales!$I$97+parametros_manuales!$E$31*(datos_base!$E$3+IF(parametros_manuales!$H$31="Todos",datos_base!$E$10,0))*parametros_manuales!$I$102+parametros_manuales!$F$31*(datos_base!$E$4+IF(parametros_manuales!$H$31="Todos",datos_base!$E$11,0))*parametros_manuales!$I$107+parametros_manuales!$G$31*(datos_base!$E$5+IF(parametros_manuales!$H$31="Todos",datos_base!$E$12,0))*parametros_manuales!$I$112)*parametros_manuales!$I$31*parametros_manuales!$J$31</f>
        <v>4432.42</v>
      </c>
      <c r="J98" s="8">
        <f>(parametros_manuales!$D$31*(datos_base!$E$2+IF(parametros_manuales!$H$31="Todos",datos_base!$E$9,0))*parametros_manuales!$J$97+parametros_manuales!$E$31*(datos_base!$E$3+IF(parametros_manuales!$H$31="Todos",datos_base!$E$10,0))*parametros_manuales!$J$102+parametros_manuales!$F$31*(datos_base!$E$4+IF(parametros_manuales!$H$31="Todos",datos_base!$E$11,0))*parametros_manuales!$J$107+parametros_manuales!$G$31*(datos_base!$E$5+IF(parametros_manuales!$H$31="Todos",datos_base!$E$12,0))*parametros_manuales!$J$112)*parametros_manuales!$I$31*parametros_manuales!$J$31</f>
        <v>4432.42</v>
      </c>
      <c r="K98" s="8">
        <f>(parametros_manuales!$D$31*(datos_base!$E$2+IF(parametros_manuales!$H$31="Todos",datos_base!$E$9,0))*parametros_manuales!$K$97+parametros_manuales!$E$31*(datos_base!$E$3+IF(parametros_manuales!$H$31="Todos",datos_base!$E$10,0))*parametros_manuales!$K$102+parametros_manuales!$F$31*(datos_base!$E$4+IF(parametros_manuales!$H$31="Todos",datos_base!$E$11,0))*parametros_manuales!$K$107+parametros_manuales!$G$31*(datos_base!$E$5+IF(parametros_manuales!$H$31="Todos",datos_base!$E$12,0))*parametros_manuales!$K$112)*parametros_manuales!$I$31*parametros_manuales!$J$31</f>
        <v>4511.66</v>
      </c>
      <c r="L98" s="8">
        <f>(parametros_manuales!$D$31*(datos_base!$E$2+IF(parametros_manuales!$H$31="Todos",datos_base!$E$9,0))*parametros_manuales!$L$97+parametros_manuales!$E$31*(datos_base!$E$3+IF(parametros_manuales!$H$31="Todos",datos_base!$E$10,0))*parametros_manuales!$L$102+parametros_manuales!$F$31*(datos_base!$E$4+IF(parametros_manuales!$H$31="Todos",datos_base!$E$11,0))*parametros_manuales!$L$107+parametros_manuales!$G$31*(datos_base!$E$5+IF(parametros_manuales!$H$31="Todos",datos_base!$E$12,0))*parametros_manuales!$L$112)*parametros_manuales!$I$31*parametros_manuales!$J$31</f>
        <v>4590.9</v>
      </c>
      <c r="M98" s="8">
        <f>(parametros_manuales!$D$31*(datos_base!$E$2+IF(parametros_manuales!$H$31="Todos",datos_base!$E$9,0))*parametros_manuales!$M$97+parametros_manuales!$E$31*(datos_base!$E$3+IF(parametros_manuales!$H$31="Todos",datos_base!$E$10,0))*parametros_manuales!$M$102+parametros_manuales!$F$31*(datos_base!$E$4+IF(parametros_manuales!$H$31="Todos",datos_base!$E$11,0))*parametros_manuales!$M$107+parametros_manuales!$G$31*(datos_base!$E$5+IF(parametros_manuales!$H$31="Todos",datos_base!$E$12,0))*parametros_manuales!$M$112)*parametros_manuales!$I$31*parametros_manuales!$J$31</f>
        <v>4590.9</v>
      </c>
      <c r="N98" s="8">
        <f t="shared" si="10"/>
        <v>51010</v>
      </c>
      <c r="O98" s="8">
        <f t="shared" si="11"/>
        <v>4590.9</v>
      </c>
      <c r="P98" s="27">
        <f>O98/(parametros_manuales!$B$7)</f>
        <v>30.606</v>
      </c>
      <c r="Q98" s="4" t="str">
        <f t="shared" si="12"/>
        <v>Ene</v>
      </c>
      <c r="R98" s="16"/>
      <c r="S98" s="16"/>
    </row>
    <row r="99" ht="14.25" customHeight="1">
      <c r="A99" s="4" t="str">
        <f>parametros_manuales!$B$32</f>
        <v>Control de calidad — Espesor</v>
      </c>
      <c r="B99" s="8">
        <f>(parametros_manuales!$D$32*(datos_base!$E$2+IF(parametros_manuales!$H$32="Todos",datos_base!$E$9,0))*parametros_manuales!$B$97+parametros_manuales!$E$32*(datos_base!$E$3+IF(parametros_manuales!$H$32="Todos",datos_base!$E$10,0))*parametros_manuales!$B$102+parametros_manuales!$F$32*(datos_base!$E$4+IF(parametros_manuales!$H$32="Todos",datos_base!$E$11,0))*parametros_manuales!$B$107+parametros_manuales!$G$32*(datos_base!$E$5+IF(parametros_manuales!$H$32="Todos",datos_base!$E$12,0))*parametros_manuales!$B$112)*parametros_manuales!$I$32*parametros_manuales!$J$32</f>
        <v>91.818</v>
      </c>
      <c r="C99" s="8">
        <f>(parametros_manuales!$D$32*(datos_base!$E$2+IF(parametros_manuales!$H$32="Todos",datos_base!$E$9,0))*parametros_manuales!$C$97+parametros_manuales!$E$32*(datos_base!$E$3+IF(parametros_manuales!$H$32="Todos",datos_base!$E$10,0))*parametros_manuales!$C$102+parametros_manuales!$F$32*(datos_base!$E$4+IF(parametros_manuales!$H$32="Todos",datos_base!$E$11,0))*parametros_manuales!$C$107+parametros_manuales!$G$32*(datos_base!$E$5+IF(parametros_manuales!$H$32="Todos",datos_base!$E$12,0))*parametros_manuales!$C$112)*parametros_manuales!$I$32*parametros_manuales!$J$32</f>
        <v>88.6484</v>
      </c>
      <c r="D99" s="8">
        <f>(parametros_manuales!$D$32*(datos_base!$E$2+IF(parametros_manuales!$H$32="Todos",datos_base!$E$9,0))*parametros_manuales!$D$97+parametros_manuales!$E$32*(datos_base!$E$3+IF(parametros_manuales!$H$32="Todos",datos_base!$E$10,0))*parametros_manuales!$D$102+parametros_manuales!$F$32*(datos_base!$E$4+IF(parametros_manuales!$H$32="Todos",datos_base!$E$11,0))*parametros_manuales!$D$107+parametros_manuales!$G$32*(datos_base!$E$5+IF(parametros_manuales!$H$32="Todos",datos_base!$E$12,0))*parametros_manuales!$D$112)*parametros_manuales!$I$32*parametros_manuales!$J$32</f>
        <v>83.2008</v>
      </c>
      <c r="E99" s="8">
        <f>(parametros_manuales!$D$32*(datos_base!$E$2+IF(parametros_manuales!$H$32="Todos",datos_base!$E$9,0))*parametros_manuales!$E$97+parametros_manuales!$E$32*(datos_base!$E$3+IF(parametros_manuales!$H$32="Todos",datos_base!$E$10,0))*parametros_manuales!$E$102+parametros_manuales!$F$32*(datos_base!$E$4+IF(parametros_manuales!$H$32="Todos",datos_base!$E$11,0))*parametros_manuales!$E$107+parametros_manuales!$G$32*(datos_base!$E$5+IF(parametros_manuales!$H$32="Todos",datos_base!$E$12,0))*parametros_manuales!$E$112)*parametros_manuales!$I$32*parametros_manuales!$J$32</f>
        <v>79.6846</v>
      </c>
      <c r="F99" s="8">
        <f>(parametros_manuales!$D$32*(datos_base!$E$2+IF(parametros_manuales!$H$32="Todos",datos_base!$E$9,0))*parametros_manuales!$F$97+parametros_manuales!$E$32*(datos_base!$E$3+IF(parametros_manuales!$H$32="Todos",datos_base!$E$10,0))*parametros_manuales!$F$102+parametros_manuales!$F$32*(datos_base!$E$4+IF(parametros_manuales!$H$32="Todos",datos_base!$E$11,0))*parametros_manuales!$F$107+parametros_manuales!$G$32*(datos_base!$E$5+IF(parametros_manuales!$H$32="Todos",datos_base!$E$12,0))*parametros_manuales!$F$112)*parametros_manuales!$I$32*parametros_manuales!$J$32</f>
        <v>74.5836</v>
      </c>
      <c r="G99" s="8">
        <f>(parametros_manuales!$D$32*(datos_base!$E$2+IF(parametros_manuales!$H$32="Todos",datos_base!$E$9,0))*parametros_manuales!$G$97+parametros_manuales!$E$32*(datos_base!$E$3+IF(parametros_manuales!$H$32="Todos",datos_base!$E$10,0))*parametros_manuales!$G$102+parametros_manuales!$F$32*(datos_base!$E$4+IF(parametros_manuales!$H$32="Todos",datos_base!$E$11,0))*parametros_manuales!$G$107+parametros_manuales!$G$32*(datos_base!$E$5+IF(parametros_manuales!$H$32="Todos",datos_base!$E$12,0))*parametros_manuales!$G$112)*parametros_manuales!$I$32*parametros_manuales!$J$32</f>
        <v>72.9988</v>
      </c>
      <c r="H99" s="8">
        <f>(parametros_manuales!$D$32*(datos_base!$E$2+IF(parametros_manuales!$H$32="Todos",datos_base!$E$9,0))*parametros_manuales!$H$97+parametros_manuales!$E$32*(datos_base!$E$3+IF(parametros_manuales!$H$32="Todos",datos_base!$E$10,0))*parametros_manuales!$H$102+parametros_manuales!$F$32*(datos_base!$E$4+IF(parametros_manuales!$H$32="Todos",datos_base!$E$11,0))*parametros_manuales!$H$107+parametros_manuales!$G$32*(datos_base!$E$5+IF(parametros_manuales!$H$32="Todos",datos_base!$E$12,0))*parametros_manuales!$H$112)*parametros_manuales!$I$32*parametros_manuales!$J$32</f>
        <v>78.0998</v>
      </c>
      <c r="I99" s="8">
        <f>(parametros_manuales!$D$32*(datos_base!$E$2+IF(parametros_manuales!$H$32="Todos",datos_base!$E$9,0))*parametros_manuales!$I$97+parametros_manuales!$E$32*(datos_base!$E$3+IF(parametros_manuales!$H$32="Todos",datos_base!$E$10,0))*parametros_manuales!$I$102+parametros_manuales!$F$32*(datos_base!$E$4+IF(parametros_manuales!$H$32="Todos",datos_base!$E$11,0))*parametros_manuales!$I$107+parametros_manuales!$G$32*(datos_base!$E$5+IF(parametros_manuales!$H$32="Todos",datos_base!$E$12,0))*parametros_manuales!$I$112)*parametros_manuales!$I$32*parametros_manuales!$J$32</f>
        <v>88.6484</v>
      </c>
      <c r="J99" s="8">
        <f>(parametros_manuales!$D$32*(datos_base!$E$2+IF(parametros_manuales!$H$32="Todos",datos_base!$E$9,0))*parametros_manuales!$J$97+parametros_manuales!$E$32*(datos_base!$E$3+IF(parametros_manuales!$H$32="Todos",datos_base!$E$10,0))*parametros_manuales!$J$102+parametros_manuales!$F$32*(datos_base!$E$4+IF(parametros_manuales!$H$32="Todos",datos_base!$E$11,0))*parametros_manuales!$J$107+parametros_manuales!$G$32*(datos_base!$E$5+IF(parametros_manuales!$H$32="Todos",datos_base!$E$12,0))*parametros_manuales!$J$112)*parametros_manuales!$I$32*parametros_manuales!$J$32</f>
        <v>88.6484</v>
      </c>
      <c r="K99" s="8">
        <f>(parametros_manuales!$D$32*(datos_base!$E$2+IF(parametros_manuales!$H$32="Todos",datos_base!$E$9,0))*parametros_manuales!$K$97+parametros_manuales!$E$32*(datos_base!$E$3+IF(parametros_manuales!$H$32="Todos",datos_base!$E$10,0))*parametros_manuales!$K$102+parametros_manuales!$F$32*(datos_base!$E$4+IF(parametros_manuales!$H$32="Todos",datos_base!$E$11,0))*parametros_manuales!$K$107+parametros_manuales!$G$32*(datos_base!$E$5+IF(parametros_manuales!$H$32="Todos",datos_base!$E$12,0))*parametros_manuales!$K$112)*parametros_manuales!$I$32*parametros_manuales!$J$32</f>
        <v>90.2332</v>
      </c>
      <c r="L99" s="8">
        <f>(parametros_manuales!$D$32*(datos_base!$E$2+IF(parametros_manuales!$H$32="Todos",datos_base!$E$9,0))*parametros_manuales!$L$97+parametros_manuales!$E$32*(datos_base!$E$3+IF(parametros_manuales!$H$32="Todos",datos_base!$E$10,0))*parametros_manuales!$L$102+parametros_manuales!$F$32*(datos_base!$E$4+IF(parametros_manuales!$H$32="Todos",datos_base!$E$11,0))*parametros_manuales!$L$107+parametros_manuales!$G$32*(datos_base!$E$5+IF(parametros_manuales!$H$32="Todos",datos_base!$E$12,0))*parametros_manuales!$L$112)*parametros_manuales!$I$32*parametros_manuales!$J$32</f>
        <v>91.818</v>
      </c>
      <c r="M99" s="8">
        <f>(parametros_manuales!$D$32*(datos_base!$E$2+IF(parametros_manuales!$H$32="Todos",datos_base!$E$9,0))*parametros_manuales!$M$97+parametros_manuales!$E$32*(datos_base!$E$3+IF(parametros_manuales!$H$32="Todos",datos_base!$E$10,0))*parametros_manuales!$M$102+parametros_manuales!$F$32*(datos_base!$E$4+IF(parametros_manuales!$H$32="Todos",datos_base!$E$11,0))*parametros_manuales!$M$107+parametros_manuales!$G$32*(datos_base!$E$5+IF(parametros_manuales!$H$32="Todos",datos_base!$E$12,0))*parametros_manuales!$M$112)*parametros_manuales!$I$32*parametros_manuales!$J$32</f>
        <v>91.818</v>
      </c>
      <c r="N99" s="8">
        <f t="shared" si="10"/>
        <v>1020.2</v>
      </c>
      <c r="O99" s="8">
        <f t="shared" si="11"/>
        <v>91.818</v>
      </c>
      <c r="P99" s="27">
        <f>O99/(parametros_manuales!$B$7)</f>
        <v>0.61212</v>
      </c>
      <c r="Q99" s="4" t="str">
        <f t="shared" si="12"/>
        <v>Ene</v>
      </c>
      <c r="R99" s="16"/>
      <c r="S99" s="16"/>
    </row>
    <row r="100" ht="14.25" customHeight="1">
      <c r="A100" s="4" t="str">
        <f>parametros_manuales!$B$33</f>
        <v>Prueba hidráulica</v>
      </c>
      <c r="B100" s="8">
        <f>(parametros_manuales!$D$33*(datos_base!$E$2+IF(parametros_manuales!$H$33="Todos",datos_base!$E$9,0))*parametros_manuales!$B$97+parametros_manuales!$E$33*(datos_base!$E$3+IF(parametros_manuales!$H$33="Todos",datos_base!$E$10,0))*parametros_manuales!$B$102+parametros_manuales!$F$33*(datos_base!$E$4+IF(parametros_manuales!$H$33="Todos",datos_base!$E$11,0))*parametros_manuales!$B$107+parametros_manuales!$G$33*(datos_base!$E$5+IF(parametros_manuales!$H$33="Todos",datos_base!$E$12,0))*parametros_manuales!$B$112)*parametros_manuales!$I$33*parametros_manuales!$J$33</f>
        <v>4590.9</v>
      </c>
      <c r="C100" s="8">
        <f>(parametros_manuales!$D$33*(datos_base!$E$2+IF(parametros_manuales!$H$33="Todos",datos_base!$E$9,0))*parametros_manuales!$C$97+parametros_manuales!$E$33*(datos_base!$E$3+IF(parametros_manuales!$H$33="Todos",datos_base!$E$10,0))*parametros_manuales!$C$102+parametros_manuales!$F$33*(datos_base!$E$4+IF(parametros_manuales!$H$33="Todos",datos_base!$E$11,0))*parametros_manuales!$C$107+parametros_manuales!$G$33*(datos_base!$E$5+IF(parametros_manuales!$H$33="Todos",datos_base!$E$12,0))*parametros_manuales!$C$112)*parametros_manuales!$I$33*parametros_manuales!$J$33</f>
        <v>4432.42</v>
      </c>
      <c r="D100" s="8">
        <f>(parametros_manuales!$D$33*(datos_base!$E$2+IF(parametros_manuales!$H$33="Todos",datos_base!$E$9,0))*parametros_manuales!$D$97+parametros_manuales!$E$33*(datos_base!$E$3+IF(parametros_manuales!$H$33="Todos",datos_base!$E$10,0))*parametros_manuales!$D$102+parametros_manuales!$F$33*(datos_base!$E$4+IF(parametros_manuales!$H$33="Todos",datos_base!$E$11,0))*parametros_manuales!$D$107+parametros_manuales!$G$33*(datos_base!$E$5+IF(parametros_manuales!$H$33="Todos",datos_base!$E$12,0))*parametros_manuales!$D$112)*parametros_manuales!$I$33*parametros_manuales!$J$33</f>
        <v>4160.04</v>
      </c>
      <c r="E100" s="8">
        <f>(parametros_manuales!$D$33*(datos_base!$E$2+IF(parametros_manuales!$H$33="Todos",datos_base!$E$9,0))*parametros_manuales!$E$97+parametros_manuales!$E$33*(datos_base!$E$3+IF(parametros_manuales!$H$33="Todos",datos_base!$E$10,0))*parametros_manuales!$E$102+parametros_manuales!$F$33*(datos_base!$E$4+IF(parametros_manuales!$H$33="Todos",datos_base!$E$11,0))*parametros_manuales!$E$107+parametros_manuales!$G$33*(datos_base!$E$5+IF(parametros_manuales!$H$33="Todos",datos_base!$E$12,0))*parametros_manuales!$E$112)*parametros_manuales!$I$33*parametros_manuales!$J$33</f>
        <v>3984.23</v>
      </c>
      <c r="F100" s="8">
        <f>(parametros_manuales!$D$33*(datos_base!$E$2+IF(parametros_manuales!$H$33="Todos",datos_base!$E$9,0))*parametros_manuales!$F$97+parametros_manuales!$E$33*(datos_base!$E$3+IF(parametros_manuales!$H$33="Todos",datos_base!$E$10,0))*parametros_manuales!$F$102+parametros_manuales!$F$33*(datos_base!$E$4+IF(parametros_manuales!$H$33="Todos",datos_base!$E$11,0))*parametros_manuales!$F$107+parametros_manuales!$G$33*(datos_base!$E$5+IF(parametros_manuales!$H$33="Todos",datos_base!$E$12,0))*parametros_manuales!$F$112)*parametros_manuales!$I$33*parametros_manuales!$J$33</f>
        <v>3729.18</v>
      </c>
      <c r="G100" s="8">
        <f>(parametros_manuales!$D$33*(datos_base!$E$2+IF(parametros_manuales!$H$33="Todos",datos_base!$E$9,0))*parametros_manuales!$G$97+parametros_manuales!$E$33*(datos_base!$E$3+IF(parametros_manuales!$H$33="Todos",datos_base!$E$10,0))*parametros_manuales!$G$102+parametros_manuales!$F$33*(datos_base!$E$4+IF(parametros_manuales!$H$33="Todos",datos_base!$E$11,0))*parametros_manuales!$G$107+parametros_manuales!$G$33*(datos_base!$E$5+IF(parametros_manuales!$H$33="Todos",datos_base!$E$12,0))*parametros_manuales!$G$112)*parametros_manuales!$I$33*parametros_manuales!$J$33</f>
        <v>3649.94</v>
      </c>
      <c r="H100" s="8">
        <f>(parametros_manuales!$D$33*(datos_base!$E$2+IF(parametros_manuales!$H$33="Todos",datos_base!$E$9,0))*parametros_manuales!$H$97+parametros_manuales!$E$33*(datos_base!$E$3+IF(parametros_manuales!$H$33="Todos",datos_base!$E$10,0))*parametros_manuales!$H$102+parametros_manuales!$F$33*(datos_base!$E$4+IF(parametros_manuales!$H$33="Todos",datos_base!$E$11,0))*parametros_manuales!$H$107+parametros_manuales!$G$33*(datos_base!$E$5+IF(parametros_manuales!$H$33="Todos",datos_base!$E$12,0))*parametros_manuales!$H$112)*parametros_manuales!$I$33*parametros_manuales!$J$33</f>
        <v>3904.99</v>
      </c>
      <c r="I100" s="8">
        <f>(parametros_manuales!$D$33*(datos_base!$E$2+IF(parametros_manuales!$H$33="Todos",datos_base!$E$9,0))*parametros_manuales!$I$97+parametros_manuales!$E$33*(datos_base!$E$3+IF(parametros_manuales!$H$33="Todos",datos_base!$E$10,0))*parametros_manuales!$I$102+parametros_manuales!$F$33*(datos_base!$E$4+IF(parametros_manuales!$H$33="Todos",datos_base!$E$11,0))*parametros_manuales!$I$107+parametros_manuales!$G$33*(datos_base!$E$5+IF(parametros_manuales!$H$33="Todos",datos_base!$E$12,0))*parametros_manuales!$I$112)*parametros_manuales!$I$33*parametros_manuales!$J$33</f>
        <v>4432.42</v>
      </c>
      <c r="J100" s="8">
        <f>(parametros_manuales!$D$33*(datos_base!$E$2+IF(parametros_manuales!$H$33="Todos",datos_base!$E$9,0))*parametros_manuales!$J$97+parametros_manuales!$E$33*(datos_base!$E$3+IF(parametros_manuales!$H$33="Todos",datos_base!$E$10,0))*parametros_manuales!$J$102+parametros_manuales!$F$33*(datos_base!$E$4+IF(parametros_manuales!$H$33="Todos",datos_base!$E$11,0))*parametros_manuales!$J$107+parametros_manuales!$G$33*(datos_base!$E$5+IF(parametros_manuales!$H$33="Todos",datos_base!$E$12,0))*parametros_manuales!$J$112)*parametros_manuales!$I$33*parametros_manuales!$J$33</f>
        <v>4432.42</v>
      </c>
      <c r="K100" s="8">
        <f>(parametros_manuales!$D$33*(datos_base!$E$2+IF(parametros_manuales!$H$33="Todos",datos_base!$E$9,0))*parametros_manuales!$K$97+parametros_manuales!$E$33*(datos_base!$E$3+IF(parametros_manuales!$H$33="Todos",datos_base!$E$10,0))*parametros_manuales!$K$102+parametros_manuales!$F$33*(datos_base!$E$4+IF(parametros_manuales!$H$33="Todos",datos_base!$E$11,0))*parametros_manuales!$K$107+parametros_manuales!$G$33*(datos_base!$E$5+IF(parametros_manuales!$H$33="Todos",datos_base!$E$12,0))*parametros_manuales!$K$112)*parametros_manuales!$I$33*parametros_manuales!$J$33</f>
        <v>4511.66</v>
      </c>
      <c r="L100" s="8">
        <f>(parametros_manuales!$D$33*(datos_base!$E$2+IF(parametros_manuales!$H$33="Todos",datos_base!$E$9,0))*parametros_manuales!$L$97+parametros_manuales!$E$33*(datos_base!$E$3+IF(parametros_manuales!$H$33="Todos",datos_base!$E$10,0))*parametros_manuales!$L$102+parametros_manuales!$F$33*(datos_base!$E$4+IF(parametros_manuales!$H$33="Todos",datos_base!$E$11,0))*parametros_manuales!$L$107+parametros_manuales!$G$33*(datos_base!$E$5+IF(parametros_manuales!$H$33="Todos",datos_base!$E$12,0))*parametros_manuales!$L$112)*parametros_manuales!$I$33*parametros_manuales!$J$33</f>
        <v>4590.9</v>
      </c>
      <c r="M100" s="8">
        <f>(parametros_manuales!$D$33*(datos_base!$E$2+IF(parametros_manuales!$H$33="Todos",datos_base!$E$9,0))*parametros_manuales!$M$97+parametros_manuales!$E$33*(datos_base!$E$3+IF(parametros_manuales!$H$33="Todos",datos_base!$E$10,0))*parametros_manuales!$M$102+parametros_manuales!$F$33*(datos_base!$E$4+IF(parametros_manuales!$H$33="Todos",datos_base!$E$11,0))*parametros_manuales!$M$107+parametros_manuales!$G$33*(datos_base!$E$5+IF(parametros_manuales!$H$33="Todos",datos_base!$E$12,0))*parametros_manuales!$M$112)*parametros_manuales!$I$33*parametros_manuales!$J$33</f>
        <v>4590.9</v>
      </c>
      <c r="N100" s="8">
        <f t="shared" si="10"/>
        <v>51010</v>
      </c>
      <c r="O100" s="8">
        <f t="shared" si="11"/>
        <v>4590.9</v>
      </c>
      <c r="P100" s="27">
        <f>O100/(parametros_manuales!$B$7)</f>
        <v>30.606</v>
      </c>
      <c r="Q100" s="4" t="str">
        <f t="shared" si="12"/>
        <v>Ene</v>
      </c>
      <c r="R100" s="16"/>
      <c r="S100" s="16"/>
    </row>
    <row r="101" ht="14.25" customHeight="1">
      <c r="A101" s="4" t="str">
        <f>parametros_manuales!$B$34</f>
        <v>Secado</v>
      </c>
      <c r="B101" s="8">
        <f>(parametros_manuales!$D$34*(datos_base!$E$2+IF(parametros_manuales!$H$34="Todos",datos_base!$E$9,0))*parametros_manuales!$B$97+parametros_manuales!$E$34*(datos_base!$E$3+IF(parametros_manuales!$H$34="Todos",datos_base!$E$10,0))*parametros_manuales!$B$102+parametros_manuales!$F$34*(datos_base!$E$4+IF(parametros_manuales!$H$34="Todos",datos_base!$E$11,0))*parametros_manuales!$B$107+parametros_manuales!$G$34*(datos_base!$E$5+IF(parametros_manuales!$H$34="Todos",datos_base!$E$12,0))*parametros_manuales!$B$112)*parametros_manuales!$I$34*parametros_manuales!$J$34</f>
        <v>4590.9</v>
      </c>
      <c r="C101" s="8">
        <f>(parametros_manuales!$D$34*(datos_base!$E$2+IF(parametros_manuales!$H$34="Todos",datos_base!$E$9,0))*parametros_manuales!$C$97+parametros_manuales!$E$34*(datos_base!$E$3+IF(parametros_manuales!$H$34="Todos",datos_base!$E$10,0))*parametros_manuales!$C$102+parametros_manuales!$F$34*(datos_base!$E$4+IF(parametros_manuales!$H$34="Todos",datos_base!$E$11,0))*parametros_manuales!$C$107+parametros_manuales!$G$34*(datos_base!$E$5+IF(parametros_manuales!$H$34="Todos",datos_base!$E$12,0))*parametros_manuales!$C$112)*parametros_manuales!$I$34*parametros_manuales!$J$34</f>
        <v>4432.42</v>
      </c>
      <c r="D101" s="8">
        <f>(parametros_manuales!$D$34*(datos_base!$E$2+IF(parametros_manuales!$H$34="Todos",datos_base!$E$9,0))*parametros_manuales!$D$97+parametros_manuales!$E$34*(datos_base!$E$3+IF(parametros_manuales!$H$34="Todos",datos_base!$E$10,0))*parametros_manuales!$D$102+parametros_manuales!$F$34*(datos_base!$E$4+IF(parametros_manuales!$H$34="Todos",datos_base!$E$11,0))*parametros_manuales!$D$107+parametros_manuales!$G$34*(datos_base!$E$5+IF(parametros_manuales!$H$34="Todos",datos_base!$E$12,0))*parametros_manuales!$D$112)*parametros_manuales!$I$34*parametros_manuales!$J$34</f>
        <v>4160.04</v>
      </c>
      <c r="E101" s="8">
        <f>(parametros_manuales!$D$34*(datos_base!$E$2+IF(parametros_manuales!$H$34="Todos",datos_base!$E$9,0))*parametros_manuales!$E$97+parametros_manuales!$E$34*(datos_base!$E$3+IF(parametros_manuales!$H$34="Todos",datos_base!$E$10,0))*parametros_manuales!$E$102+parametros_manuales!$F$34*(datos_base!$E$4+IF(parametros_manuales!$H$34="Todos",datos_base!$E$11,0))*parametros_manuales!$E$107+parametros_manuales!$G$34*(datos_base!$E$5+IF(parametros_manuales!$H$34="Todos",datos_base!$E$12,0))*parametros_manuales!$E$112)*parametros_manuales!$I$34*parametros_manuales!$J$34</f>
        <v>3984.23</v>
      </c>
      <c r="F101" s="8">
        <f>(parametros_manuales!$D$34*(datos_base!$E$2+IF(parametros_manuales!$H$34="Todos",datos_base!$E$9,0))*parametros_manuales!$F$97+parametros_manuales!$E$34*(datos_base!$E$3+IF(parametros_manuales!$H$34="Todos",datos_base!$E$10,0))*parametros_manuales!$F$102+parametros_manuales!$F$34*(datos_base!$E$4+IF(parametros_manuales!$H$34="Todos",datos_base!$E$11,0))*parametros_manuales!$F$107+parametros_manuales!$G$34*(datos_base!$E$5+IF(parametros_manuales!$H$34="Todos",datos_base!$E$12,0))*parametros_manuales!$F$112)*parametros_manuales!$I$34*parametros_manuales!$J$34</f>
        <v>3729.18</v>
      </c>
      <c r="G101" s="8">
        <f>(parametros_manuales!$D$34*(datos_base!$E$2+IF(parametros_manuales!$H$34="Todos",datos_base!$E$9,0))*parametros_manuales!$G$97+parametros_manuales!$E$34*(datos_base!$E$3+IF(parametros_manuales!$H$34="Todos",datos_base!$E$10,0))*parametros_manuales!$G$102+parametros_manuales!$F$34*(datos_base!$E$4+IF(parametros_manuales!$H$34="Todos",datos_base!$E$11,0))*parametros_manuales!$G$107+parametros_manuales!$G$34*(datos_base!$E$5+IF(parametros_manuales!$H$34="Todos",datos_base!$E$12,0))*parametros_manuales!$G$112)*parametros_manuales!$I$34*parametros_manuales!$J$34</f>
        <v>3649.94</v>
      </c>
      <c r="H101" s="8">
        <f>(parametros_manuales!$D$34*(datos_base!$E$2+IF(parametros_manuales!$H$34="Todos",datos_base!$E$9,0))*parametros_manuales!$H$97+parametros_manuales!$E$34*(datos_base!$E$3+IF(parametros_manuales!$H$34="Todos",datos_base!$E$10,0))*parametros_manuales!$H$102+parametros_manuales!$F$34*(datos_base!$E$4+IF(parametros_manuales!$H$34="Todos",datos_base!$E$11,0))*parametros_manuales!$H$107+parametros_manuales!$G$34*(datos_base!$E$5+IF(parametros_manuales!$H$34="Todos",datos_base!$E$12,0))*parametros_manuales!$H$112)*parametros_manuales!$I$34*parametros_manuales!$J$34</f>
        <v>3904.99</v>
      </c>
      <c r="I101" s="8">
        <f>(parametros_manuales!$D$34*(datos_base!$E$2+IF(parametros_manuales!$H$34="Todos",datos_base!$E$9,0))*parametros_manuales!$I$97+parametros_manuales!$E$34*(datos_base!$E$3+IF(parametros_manuales!$H$34="Todos",datos_base!$E$10,0))*parametros_manuales!$I$102+parametros_manuales!$F$34*(datos_base!$E$4+IF(parametros_manuales!$H$34="Todos",datos_base!$E$11,0))*parametros_manuales!$I$107+parametros_manuales!$G$34*(datos_base!$E$5+IF(parametros_manuales!$H$34="Todos",datos_base!$E$12,0))*parametros_manuales!$I$112)*parametros_manuales!$I$34*parametros_manuales!$J$34</f>
        <v>4432.42</v>
      </c>
      <c r="J101" s="8">
        <f>(parametros_manuales!$D$34*(datos_base!$E$2+IF(parametros_manuales!$H$34="Todos",datos_base!$E$9,0))*parametros_manuales!$J$97+parametros_manuales!$E$34*(datos_base!$E$3+IF(parametros_manuales!$H$34="Todos",datos_base!$E$10,0))*parametros_manuales!$J$102+parametros_manuales!$F$34*(datos_base!$E$4+IF(parametros_manuales!$H$34="Todos",datos_base!$E$11,0))*parametros_manuales!$J$107+parametros_manuales!$G$34*(datos_base!$E$5+IF(parametros_manuales!$H$34="Todos",datos_base!$E$12,0))*parametros_manuales!$J$112)*parametros_manuales!$I$34*parametros_manuales!$J$34</f>
        <v>4432.42</v>
      </c>
      <c r="K101" s="8">
        <f>(parametros_manuales!$D$34*(datos_base!$E$2+IF(parametros_manuales!$H$34="Todos",datos_base!$E$9,0))*parametros_manuales!$K$97+parametros_manuales!$E$34*(datos_base!$E$3+IF(parametros_manuales!$H$34="Todos",datos_base!$E$10,0))*parametros_manuales!$K$102+parametros_manuales!$F$34*(datos_base!$E$4+IF(parametros_manuales!$H$34="Todos",datos_base!$E$11,0))*parametros_manuales!$K$107+parametros_manuales!$G$34*(datos_base!$E$5+IF(parametros_manuales!$H$34="Todos",datos_base!$E$12,0))*parametros_manuales!$K$112)*parametros_manuales!$I$34*parametros_manuales!$J$34</f>
        <v>4511.66</v>
      </c>
      <c r="L101" s="8">
        <f>(parametros_manuales!$D$34*(datos_base!$E$2+IF(parametros_manuales!$H$34="Todos",datos_base!$E$9,0))*parametros_manuales!$L$97+parametros_manuales!$E$34*(datos_base!$E$3+IF(parametros_manuales!$H$34="Todos",datos_base!$E$10,0))*parametros_manuales!$L$102+parametros_manuales!$F$34*(datos_base!$E$4+IF(parametros_manuales!$H$34="Todos",datos_base!$E$11,0))*parametros_manuales!$L$107+parametros_manuales!$G$34*(datos_base!$E$5+IF(parametros_manuales!$H$34="Todos",datos_base!$E$12,0))*parametros_manuales!$L$112)*parametros_manuales!$I$34*parametros_manuales!$J$34</f>
        <v>4590.9</v>
      </c>
      <c r="M101" s="8">
        <f>(parametros_manuales!$D$34*(datos_base!$E$2+IF(parametros_manuales!$H$34="Todos",datos_base!$E$9,0))*parametros_manuales!$M$97+parametros_manuales!$E$34*(datos_base!$E$3+IF(parametros_manuales!$H$34="Todos",datos_base!$E$10,0))*parametros_manuales!$M$102+parametros_manuales!$F$34*(datos_base!$E$4+IF(parametros_manuales!$H$34="Todos",datos_base!$E$11,0))*parametros_manuales!$M$107+parametros_manuales!$G$34*(datos_base!$E$5+IF(parametros_manuales!$H$34="Todos",datos_base!$E$12,0))*parametros_manuales!$M$112)*parametros_manuales!$I$34*parametros_manuales!$J$34</f>
        <v>4590.9</v>
      </c>
      <c r="N101" s="8">
        <f t="shared" si="10"/>
        <v>51010</v>
      </c>
      <c r="O101" s="8">
        <f t="shared" si="11"/>
        <v>4590.9</v>
      </c>
      <c r="P101" s="27">
        <f>O101/(parametros_manuales!$B$7)</f>
        <v>30.606</v>
      </c>
      <c r="Q101" s="4" t="str">
        <f t="shared" si="12"/>
        <v>Ene</v>
      </c>
      <c r="R101" s="16"/>
      <c r="S101" s="16"/>
    </row>
    <row r="102" ht="14.25" customHeight="1">
      <c r="A102" s="4" t="str">
        <f>parametros_manuales!$B$35</f>
        <v>Granallado</v>
      </c>
      <c r="B102" s="8">
        <f>(parametros_manuales!$D$35*(datos_base!$E$2+IF(parametros_manuales!$H$35="Todos",datos_base!$E$9,0))*parametros_manuales!$B$97+parametros_manuales!$E$35*(datos_base!$E$3+IF(parametros_manuales!$H$35="Todos",datos_base!$E$10,0))*parametros_manuales!$B$102+parametros_manuales!$F$35*(datos_base!$E$4+IF(parametros_manuales!$H$35="Todos",datos_base!$E$11,0))*parametros_manuales!$B$107+parametros_manuales!$G$35*(datos_base!$E$5+IF(parametros_manuales!$H$35="Todos",datos_base!$E$12,0))*parametros_manuales!$B$112)*parametros_manuales!$I$35*parametros_manuales!$J$35</f>
        <v>4590.9</v>
      </c>
      <c r="C102" s="8">
        <f>(parametros_manuales!$D$35*(datos_base!$E$2+IF(parametros_manuales!$H$35="Todos",datos_base!$E$9,0))*parametros_manuales!$C$97+parametros_manuales!$E$35*(datos_base!$E$3+IF(parametros_manuales!$H$35="Todos",datos_base!$E$10,0))*parametros_manuales!$C$102+parametros_manuales!$F$35*(datos_base!$E$4+IF(parametros_manuales!$H$35="Todos",datos_base!$E$11,0))*parametros_manuales!$C$107+parametros_manuales!$G$35*(datos_base!$E$5+IF(parametros_manuales!$H$35="Todos",datos_base!$E$12,0))*parametros_manuales!$C$112)*parametros_manuales!$I$35*parametros_manuales!$J$35</f>
        <v>4432.42</v>
      </c>
      <c r="D102" s="8">
        <f>(parametros_manuales!$D$35*(datos_base!$E$2+IF(parametros_manuales!$H$35="Todos",datos_base!$E$9,0))*parametros_manuales!$D$97+parametros_manuales!$E$35*(datos_base!$E$3+IF(parametros_manuales!$H$35="Todos",datos_base!$E$10,0))*parametros_manuales!$D$102+parametros_manuales!$F$35*(datos_base!$E$4+IF(parametros_manuales!$H$35="Todos",datos_base!$E$11,0))*parametros_manuales!$D$107+parametros_manuales!$G$35*(datos_base!$E$5+IF(parametros_manuales!$H$35="Todos",datos_base!$E$12,0))*parametros_manuales!$D$112)*parametros_manuales!$I$35*parametros_manuales!$J$35</f>
        <v>4160.04</v>
      </c>
      <c r="E102" s="8">
        <f>(parametros_manuales!$D$35*(datos_base!$E$2+IF(parametros_manuales!$H$35="Todos",datos_base!$E$9,0))*parametros_manuales!$E$97+parametros_manuales!$E$35*(datos_base!$E$3+IF(parametros_manuales!$H$35="Todos",datos_base!$E$10,0))*parametros_manuales!$E$102+parametros_manuales!$F$35*(datos_base!$E$4+IF(parametros_manuales!$H$35="Todos",datos_base!$E$11,0))*parametros_manuales!$E$107+parametros_manuales!$G$35*(datos_base!$E$5+IF(parametros_manuales!$H$35="Todos",datos_base!$E$12,0))*parametros_manuales!$E$112)*parametros_manuales!$I$35*parametros_manuales!$J$35</f>
        <v>3984.23</v>
      </c>
      <c r="F102" s="8">
        <f>(parametros_manuales!$D$35*(datos_base!$E$2+IF(parametros_manuales!$H$35="Todos",datos_base!$E$9,0))*parametros_manuales!$F$97+parametros_manuales!$E$35*(datos_base!$E$3+IF(parametros_manuales!$H$35="Todos",datos_base!$E$10,0))*parametros_manuales!$F$102+parametros_manuales!$F$35*(datos_base!$E$4+IF(parametros_manuales!$H$35="Todos",datos_base!$E$11,0))*parametros_manuales!$F$107+parametros_manuales!$G$35*(datos_base!$E$5+IF(parametros_manuales!$H$35="Todos",datos_base!$E$12,0))*parametros_manuales!$F$112)*parametros_manuales!$I$35*parametros_manuales!$J$35</f>
        <v>3729.18</v>
      </c>
      <c r="G102" s="8">
        <f>(parametros_manuales!$D$35*(datos_base!$E$2+IF(parametros_manuales!$H$35="Todos",datos_base!$E$9,0))*parametros_manuales!$G$97+parametros_manuales!$E$35*(datos_base!$E$3+IF(parametros_manuales!$H$35="Todos",datos_base!$E$10,0))*parametros_manuales!$G$102+parametros_manuales!$F$35*(datos_base!$E$4+IF(parametros_manuales!$H$35="Todos",datos_base!$E$11,0))*parametros_manuales!$G$107+parametros_manuales!$G$35*(datos_base!$E$5+IF(parametros_manuales!$H$35="Todos",datos_base!$E$12,0))*parametros_manuales!$G$112)*parametros_manuales!$I$35*parametros_manuales!$J$35</f>
        <v>3649.94</v>
      </c>
      <c r="H102" s="8">
        <f>(parametros_manuales!$D$35*(datos_base!$E$2+IF(parametros_manuales!$H$35="Todos",datos_base!$E$9,0))*parametros_manuales!$H$97+parametros_manuales!$E$35*(datos_base!$E$3+IF(parametros_manuales!$H$35="Todos",datos_base!$E$10,0))*parametros_manuales!$H$102+parametros_manuales!$F$35*(datos_base!$E$4+IF(parametros_manuales!$H$35="Todos",datos_base!$E$11,0))*parametros_manuales!$H$107+parametros_manuales!$G$35*(datos_base!$E$5+IF(parametros_manuales!$H$35="Todos",datos_base!$E$12,0))*parametros_manuales!$H$112)*parametros_manuales!$I$35*parametros_manuales!$J$35</f>
        <v>3904.99</v>
      </c>
      <c r="I102" s="8">
        <f>(parametros_manuales!$D$35*(datos_base!$E$2+IF(parametros_manuales!$H$35="Todos",datos_base!$E$9,0))*parametros_manuales!$I$97+parametros_manuales!$E$35*(datos_base!$E$3+IF(parametros_manuales!$H$35="Todos",datos_base!$E$10,0))*parametros_manuales!$I$102+parametros_manuales!$F$35*(datos_base!$E$4+IF(parametros_manuales!$H$35="Todos",datos_base!$E$11,0))*parametros_manuales!$I$107+parametros_manuales!$G$35*(datos_base!$E$5+IF(parametros_manuales!$H$35="Todos",datos_base!$E$12,0))*parametros_manuales!$I$112)*parametros_manuales!$I$35*parametros_manuales!$J$35</f>
        <v>4432.42</v>
      </c>
      <c r="J102" s="8">
        <f>(parametros_manuales!$D$35*(datos_base!$E$2+IF(parametros_manuales!$H$35="Todos",datos_base!$E$9,0))*parametros_manuales!$J$97+parametros_manuales!$E$35*(datos_base!$E$3+IF(parametros_manuales!$H$35="Todos",datos_base!$E$10,0))*parametros_manuales!$J$102+parametros_manuales!$F$35*(datos_base!$E$4+IF(parametros_manuales!$H$35="Todos",datos_base!$E$11,0))*parametros_manuales!$J$107+parametros_manuales!$G$35*(datos_base!$E$5+IF(parametros_manuales!$H$35="Todos",datos_base!$E$12,0))*parametros_manuales!$J$112)*parametros_manuales!$I$35*parametros_manuales!$J$35</f>
        <v>4432.42</v>
      </c>
      <c r="K102" s="8">
        <f>(parametros_manuales!$D$35*(datos_base!$E$2+IF(parametros_manuales!$H$35="Todos",datos_base!$E$9,0))*parametros_manuales!$K$97+parametros_manuales!$E$35*(datos_base!$E$3+IF(parametros_manuales!$H$35="Todos",datos_base!$E$10,0))*parametros_manuales!$K$102+parametros_manuales!$F$35*(datos_base!$E$4+IF(parametros_manuales!$H$35="Todos",datos_base!$E$11,0))*parametros_manuales!$K$107+parametros_manuales!$G$35*(datos_base!$E$5+IF(parametros_manuales!$H$35="Todos",datos_base!$E$12,0))*parametros_manuales!$K$112)*parametros_manuales!$I$35*parametros_manuales!$J$35</f>
        <v>4511.66</v>
      </c>
      <c r="L102" s="8">
        <f>(parametros_manuales!$D$35*(datos_base!$E$2+IF(parametros_manuales!$H$35="Todos",datos_base!$E$9,0))*parametros_manuales!$L$97+parametros_manuales!$E$35*(datos_base!$E$3+IF(parametros_manuales!$H$35="Todos",datos_base!$E$10,0))*parametros_manuales!$L$102+parametros_manuales!$F$35*(datos_base!$E$4+IF(parametros_manuales!$H$35="Todos",datos_base!$E$11,0))*parametros_manuales!$L$107+parametros_manuales!$G$35*(datos_base!$E$5+IF(parametros_manuales!$H$35="Todos",datos_base!$E$12,0))*parametros_manuales!$L$112)*parametros_manuales!$I$35*parametros_manuales!$J$35</f>
        <v>4590.9</v>
      </c>
      <c r="M102" s="8">
        <f>(parametros_manuales!$D$35*(datos_base!$E$2+IF(parametros_manuales!$H$35="Todos",datos_base!$E$9,0))*parametros_manuales!$M$97+parametros_manuales!$E$35*(datos_base!$E$3+IF(parametros_manuales!$H$35="Todos",datos_base!$E$10,0))*parametros_manuales!$M$102+parametros_manuales!$F$35*(datos_base!$E$4+IF(parametros_manuales!$H$35="Todos",datos_base!$E$11,0))*parametros_manuales!$M$107+parametros_manuales!$G$35*(datos_base!$E$5+IF(parametros_manuales!$H$35="Todos",datos_base!$E$12,0))*parametros_manuales!$M$112)*parametros_manuales!$I$35*parametros_manuales!$J$35</f>
        <v>4590.9</v>
      </c>
      <c r="N102" s="8">
        <f t="shared" si="10"/>
        <v>51010</v>
      </c>
      <c r="O102" s="8">
        <f t="shared" si="11"/>
        <v>4590.9</v>
      </c>
      <c r="P102" s="27">
        <f>O102/(parametros_manuales!$B$7)</f>
        <v>30.606</v>
      </c>
      <c r="Q102" s="4" t="str">
        <f t="shared" si="12"/>
        <v>Ene</v>
      </c>
      <c r="R102" s="16"/>
      <c r="S102" s="16"/>
    </row>
    <row r="103" ht="14.25" customHeight="1">
      <c r="A103" s="4" t="str">
        <f>parametros_manuales!$B$36</f>
        <v>Detección de defectos</v>
      </c>
      <c r="B103" s="8">
        <f>(parametros_manuales!$D$36*(datos_base!$E$2+IF(parametros_manuales!$H$36="Todos",datos_base!$E$9,0))*parametros_manuales!$B$97+parametros_manuales!$E$36*(datos_base!$E$3+IF(parametros_manuales!$H$36="Todos",datos_base!$E$10,0))*parametros_manuales!$B$102+parametros_manuales!$F$36*(datos_base!$E$4+IF(parametros_manuales!$H$36="Todos",datos_base!$E$11,0))*parametros_manuales!$B$107+parametros_manuales!$G$36*(datos_base!$E$5+IF(parametros_manuales!$H$36="Todos",datos_base!$E$12,0))*parametros_manuales!$B$112)*parametros_manuales!$I$36*parametros_manuales!$J$36</f>
        <v>4590.9</v>
      </c>
      <c r="C103" s="8">
        <f>(parametros_manuales!$D$36*(datos_base!$E$2+IF(parametros_manuales!$H$36="Todos",datos_base!$E$9,0))*parametros_manuales!$C$97+parametros_manuales!$E$36*(datos_base!$E$3+IF(parametros_manuales!$H$36="Todos",datos_base!$E$10,0))*parametros_manuales!$C$102+parametros_manuales!$F$36*(datos_base!$E$4+IF(parametros_manuales!$H$36="Todos",datos_base!$E$11,0))*parametros_manuales!$C$107+parametros_manuales!$G$36*(datos_base!$E$5+IF(parametros_manuales!$H$36="Todos",datos_base!$E$12,0))*parametros_manuales!$C$112)*parametros_manuales!$I$36*parametros_manuales!$J$36</f>
        <v>4432.42</v>
      </c>
      <c r="D103" s="8">
        <f>(parametros_manuales!$D$36*(datos_base!$E$2+IF(parametros_manuales!$H$36="Todos",datos_base!$E$9,0))*parametros_manuales!$D$97+parametros_manuales!$E$36*(datos_base!$E$3+IF(parametros_manuales!$H$36="Todos",datos_base!$E$10,0))*parametros_manuales!$D$102+parametros_manuales!$F$36*(datos_base!$E$4+IF(parametros_manuales!$H$36="Todos",datos_base!$E$11,0))*parametros_manuales!$D$107+parametros_manuales!$G$36*(datos_base!$E$5+IF(parametros_manuales!$H$36="Todos",datos_base!$E$12,0))*parametros_manuales!$D$112)*parametros_manuales!$I$36*parametros_manuales!$J$36</f>
        <v>4160.04</v>
      </c>
      <c r="E103" s="8">
        <f>(parametros_manuales!$D$36*(datos_base!$E$2+IF(parametros_manuales!$H$36="Todos",datos_base!$E$9,0))*parametros_manuales!$E$97+parametros_manuales!$E$36*(datos_base!$E$3+IF(parametros_manuales!$H$36="Todos",datos_base!$E$10,0))*parametros_manuales!$E$102+parametros_manuales!$F$36*(datos_base!$E$4+IF(parametros_manuales!$H$36="Todos",datos_base!$E$11,0))*parametros_manuales!$E$107+parametros_manuales!$G$36*(datos_base!$E$5+IF(parametros_manuales!$H$36="Todos",datos_base!$E$12,0))*parametros_manuales!$E$112)*parametros_manuales!$I$36*parametros_manuales!$J$36</f>
        <v>3984.23</v>
      </c>
      <c r="F103" s="8">
        <f>(parametros_manuales!$D$36*(datos_base!$E$2+IF(parametros_manuales!$H$36="Todos",datos_base!$E$9,0))*parametros_manuales!$F$97+parametros_manuales!$E$36*(datos_base!$E$3+IF(parametros_manuales!$H$36="Todos",datos_base!$E$10,0))*parametros_manuales!$F$102+parametros_manuales!$F$36*(datos_base!$E$4+IF(parametros_manuales!$H$36="Todos",datos_base!$E$11,0))*parametros_manuales!$F$107+parametros_manuales!$G$36*(datos_base!$E$5+IF(parametros_manuales!$H$36="Todos",datos_base!$E$12,0))*parametros_manuales!$F$112)*parametros_manuales!$I$36*parametros_manuales!$J$36</f>
        <v>3729.18</v>
      </c>
      <c r="G103" s="8">
        <f>(parametros_manuales!$D$36*(datos_base!$E$2+IF(parametros_manuales!$H$36="Todos",datos_base!$E$9,0))*parametros_manuales!$G$97+parametros_manuales!$E$36*(datos_base!$E$3+IF(parametros_manuales!$H$36="Todos",datos_base!$E$10,0))*parametros_manuales!$G$102+parametros_manuales!$F$36*(datos_base!$E$4+IF(parametros_manuales!$H$36="Todos",datos_base!$E$11,0))*parametros_manuales!$G$107+parametros_manuales!$G$36*(datos_base!$E$5+IF(parametros_manuales!$H$36="Todos",datos_base!$E$12,0))*parametros_manuales!$G$112)*parametros_manuales!$I$36*parametros_manuales!$J$36</f>
        <v>3649.94</v>
      </c>
      <c r="H103" s="8">
        <f>(parametros_manuales!$D$36*(datos_base!$E$2+IF(parametros_manuales!$H$36="Todos",datos_base!$E$9,0))*parametros_manuales!$H$97+parametros_manuales!$E$36*(datos_base!$E$3+IF(parametros_manuales!$H$36="Todos",datos_base!$E$10,0))*parametros_manuales!$H$102+parametros_manuales!$F$36*(datos_base!$E$4+IF(parametros_manuales!$H$36="Todos",datos_base!$E$11,0))*parametros_manuales!$H$107+parametros_manuales!$G$36*(datos_base!$E$5+IF(parametros_manuales!$H$36="Todos",datos_base!$E$12,0))*parametros_manuales!$H$112)*parametros_manuales!$I$36*parametros_manuales!$J$36</f>
        <v>3904.99</v>
      </c>
      <c r="I103" s="8">
        <f>(parametros_manuales!$D$36*(datos_base!$E$2+IF(parametros_manuales!$H$36="Todos",datos_base!$E$9,0))*parametros_manuales!$I$97+parametros_manuales!$E$36*(datos_base!$E$3+IF(parametros_manuales!$H$36="Todos",datos_base!$E$10,0))*parametros_manuales!$I$102+parametros_manuales!$F$36*(datos_base!$E$4+IF(parametros_manuales!$H$36="Todos",datos_base!$E$11,0))*parametros_manuales!$I$107+parametros_manuales!$G$36*(datos_base!$E$5+IF(parametros_manuales!$H$36="Todos",datos_base!$E$12,0))*parametros_manuales!$I$112)*parametros_manuales!$I$36*parametros_manuales!$J$36</f>
        <v>4432.42</v>
      </c>
      <c r="J103" s="8">
        <f>(parametros_manuales!$D$36*(datos_base!$E$2+IF(parametros_manuales!$H$36="Todos",datos_base!$E$9,0))*parametros_manuales!$J$97+parametros_manuales!$E$36*(datos_base!$E$3+IF(parametros_manuales!$H$36="Todos",datos_base!$E$10,0))*parametros_manuales!$J$102+parametros_manuales!$F$36*(datos_base!$E$4+IF(parametros_manuales!$H$36="Todos",datos_base!$E$11,0))*parametros_manuales!$J$107+parametros_manuales!$G$36*(datos_base!$E$5+IF(parametros_manuales!$H$36="Todos",datos_base!$E$12,0))*parametros_manuales!$J$112)*parametros_manuales!$I$36*parametros_manuales!$J$36</f>
        <v>4432.42</v>
      </c>
      <c r="K103" s="8">
        <f>(parametros_manuales!$D$36*(datos_base!$E$2+IF(parametros_manuales!$H$36="Todos",datos_base!$E$9,0))*parametros_manuales!$K$97+parametros_manuales!$E$36*(datos_base!$E$3+IF(parametros_manuales!$H$36="Todos",datos_base!$E$10,0))*parametros_manuales!$K$102+parametros_manuales!$F$36*(datos_base!$E$4+IF(parametros_manuales!$H$36="Todos",datos_base!$E$11,0))*parametros_manuales!$K$107+parametros_manuales!$G$36*(datos_base!$E$5+IF(parametros_manuales!$H$36="Todos",datos_base!$E$12,0))*parametros_manuales!$K$112)*parametros_manuales!$I$36*parametros_manuales!$J$36</f>
        <v>4511.66</v>
      </c>
      <c r="L103" s="8">
        <f>(parametros_manuales!$D$36*(datos_base!$E$2+IF(parametros_manuales!$H$36="Todos",datos_base!$E$9,0))*parametros_manuales!$L$97+parametros_manuales!$E$36*(datos_base!$E$3+IF(parametros_manuales!$H$36="Todos",datos_base!$E$10,0))*parametros_manuales!$L$102+parametros_manuales!$F$36*(datos_base!$E$4+IF(parametros_manuales!$H$36="Todos",datos_base!$E$11,0))*parametros_manuales!$L$107+parametros_manuales!$G$36*(datos_base!$E$5+IF(parametros_manuales!$H$36="Todos",datos_base!$E$12,0))*parametros_manuales!$L$112)*parametros_manuales!$I$36*parametros_manuales!$J$36</f>
        <v>4590.9</v>
      </c>
      <c r="M103" s="8">
        <f>(parametros_manuales!$D$36*(datos_base!$E$2+IF(parametros_manuales!$H$36="Todos",datos_base!$E$9,0))*parametros_manuales!$M$97+parametros_manuales!$E$36*(datos_base!$E$3+IF(parametros_manuales!$H$36="Todos",datos_base!$E$10,0))*parametros_manuales!$M$102+parametros_manuales!$F$36*(datos_base!$E$4+IF(parametros_manuales!$H$36="Todos",datos_base!$E$11,0))*parametros_manuales!$M$107+parametros_manuales!$G$36*(datos_base!$E$5+IF(parametros_manuales!$H$36="Todos",datos_base!$E$12,0))*parametros_manuales!$M$112)*parametros_manuales!$I$36*parametros_manuales!$J$36</f>
        <v>4590.9</v>
      </c>
      <c r="N103" s="8">
        <f t="shared" si="10"/>
        <v>51010</v>
      </c>
      <c r="O103" s="8">
        <f t="shared" si="11"/>
        <v>4590.9</v>
      </c>
      <c r="P103" s="27">
        <f>O103/(parametros_manuales!$B$7)</f>
        <v>30.606</v>
      </c>
      <c r="Q103" s="4" t="str">
        <f t="shared" si="12"/>
        <v>Ene</v>
      </c>
      <c r="R103" s="16"/>
      <c r="S103" s="16"/>
    </row>
    <row r="104" ht="14.25" customHeight="1">
      <c r="A104" s="4" t="str">
        <f>parametros_manuales!$B$37</f>
        <v>Corrección de defectos</v>
      </c>
      <c r="B104" s="8">
        <f>(parametros_manuales!$D$37*(datos_base!$E$2+IF(parametros_manuales!$H$37="Todos",datos_base!$E$9,0))*parametros_manuales!$B$97+parametros_manuales!$E$37*(datos_base!$E$3+IF(parametros_manuales!$H$37="Todos",datos_base!$E$10,0))*parametros_manuales!$B$102+parametros_manuales!$F$37*(datos_base!$E$4+IF(parametros_manuales!$H$37="Todos",datos_base!$E$11,0))*parametros_manuales!$B$107+parametros_manuales!$G$37*(datos_base!$E$5+IF(parametros_manuales!$H$37="Todos",datos_base!$E$12,0))*parametros_manuales!$B$112)*parametros_manuales!$I$37*parametros_manuales!$J$37</f>
        <v>229.545</v>
      </c>
      <c r="C104" s="8">
        <f>(parametros_manuales!$D$37*(datos_base!$E$2+IF(parametros_manuales!$H$37="Todos",datos_base!$E$9,0))*parametros_manuales!$C$97+parametros_manuales!$E$37*(datos_base!$E$3+IF(parametros_manuales!$H$37="Todos",datos_base!$E$10,0))*parametros_manuales!$C$102+parametros_manuales!$F$37*(datos_base!$E$4+IF(parametros_manuales!$H$37="Todos",datos_base!$E$11,0))*parametros_manuales!$C$107+parametros_manuales!$G$37*(datos_base!$E$5+IF(parametros_manuales!$H$37="Todos",datos_base!$E$12,0))*parametros_manuales!$C$112)*parametros_manuales!$I$37*parametros_manuales!$J$37</f>
        <v>221.621</v>
      </c>
      <c r="D104" s="8">
        <f>(parametros_manuales!$D$37*(datos_base!$E$2+IF(parametros_manuales!$H$37="Todos",datos_base!$E$9,0))*parametros_manuales!$D$97+parametros_manuales!$E$37*(datos_base!$E$3+IF(parametros_manuales!$H$37="Todos",datos_base!$E$10,0))*parametros_manuales!$D$102+parametros_manuales!$F$37*(datos_base!$E$4+IF(parametros_manuales!$H$37="Todos",datos_base!$E$11,0))*parametros_manuales!$D$107+parametros_manuales!$G$37*(datos_base!$E$5+IF(parametros_manuales!$H$37="Todos",datos_base!$E$12,0))*parametros_manuales!$D$112)*parametros_manuales!$I$37*parametros_manuales!$J$37</f>
        <v>208.002</v>
      </c>
      <c r="E104" s="8">
        <f>(parametros_manuales!$D$37*(datos_base!$E$2+IF(parametros_manuales!$H$37="Todos",datos_base!$E$9,0))*parametros_manuales!$E$97+parametros_manuales!$E$37*(datos_base!$E$3+IF(parametros_manuales!$H$37="Todos",datos_base!$E$10,0))*parametros_manuales!$E$102+parametros_manuales!$F$37*(datos_base!$E$4+IF(parametros_manuales!$H$37="Todos",datos_base!$E$11,0))*parametros_manuales!$E$107+parametros_manuales!$G$37*(datos_base!$E$5+IF(parametros_manuales!$H$37="Todos",datos_base!$E$12,0))*parametros_manuales!$E$112)*parametros_manuales!$I$37*parametros_manuales!$J$37</f>
        <v>199.2115</v>
      </c>
      <c r="F104" s="8">
        <f>(parametros_manuales!$D$37*(datos_base!$E$2+IF(parametros_manuales!$H$37="Todos",datos_base!$E$9,0))*parametros_manuales!$F$97+parametros_manuales!$E$37*(datos_base!$E$3+IF(parametros_manuales!$H$37="Todos",datos_base!$E$10,0))*parametros_manuales!$F$102+parametros_manuales!$F$37*(datos_base!$E$4+IF(parametros_manuales!$H$37="Todos",datos_base!$E$11,0))*parametros_manuales!$F$107+parametros_manuales!$G$37*(datos_base!$E$5+IF(parametros_manuales!$H$37="Todos",datos_base!$E$12,0))*parametros_manuales!$F$112)*parametros_manuales!$I$37*parametros_manuales!$J$37</f>
        <v>186.459</v>
      </c>
      <c r="G104" s="8">
        <f>(parametros_manuales!$D$37*(datos_base!$E$2+IF(parametros_manuales!$H$37="Todos",datos_base!$E$9,0))*parametros_manuales!$G$97+parametros_manuales!$E$37*(datos_base!$E$3+IF(parametros_manuales!$H$37="Todos",datos_base!$E$10,0))*parametros_manuales!$G$102+parametros_manuales!$F$37*(datos_base!$E$4+IF(parametros_manuales!$H$37="Todos",datos_base!$E$11,0))*parametros_manuales!$G$107+parametros_manuales!$G$37*(datos_base!$E$5+IF(parametros_manuales!$H$37="Todos",datos_base!$E$12,0))*parametros_manuales!$G$112)*parametros_manuales!$I$37*parametros_manuales!$J$37</f>
        <v>182.497</v>
      </c>
      <c r="H104" s="8">
        <f>(parametros_manuales!$D$37*(datos_base!$E$2+IF(parametros_manuales!$H$37="Todos",datos_base!$E$9,0))*parametros_manuales!$H$97+parametros_manuales!$E$37*(datos_base!$E$3+IF(parametros_manuales!$H$37="Todos",datos_base!$E$10,0))*parametros_manuales!$H$102+parametros_manuales!$F$37*(datos_base!$E$4+IF(parametros_manuales!$H$37="Todos",datos_base!$E$11,0))*parametros_manuales!$H$107+parametros_manuales!$G$37*(datos_base!$E$5+IF(parametros_manuales!$H$37="Todos",datos_base!$E$12,0))*parametros_manuales!$H$112)*parametros_manuales!$I$37*parametros_manuales!$J$37</f>
        <v>195.2495</v>
      </c>
      <c r="I104" s="8">
        <f>(parametros_manuales!$D$37*(datos_base!$E$2+IF(parametros_manuales!$H$37="Todos",datos_base!$E$9,0))*parametros_manuales!$I$97+parametros_manuales!$E$37*(datos_base!$E$3+IF(parametros_manuales!$H$37="Todos",datos_base!$E$10,0))*parametros_manuales!$I$102+parametros_manuales!$F$37*(datos_base!$E$4+IF(parametros_manuales!$H$37="Todos",datos_base!$E$11,0))*parametros_manuales!$I$107+parametros_manuales!$G$37*(datos_base!$E$5+IF(parametros_manuales!$H$37="Todos",datos_base!$E$12,0))*parametros_manuales!$I$112)*parametros_manuales!$I$37*parametros_manuales!$J$37</f>
        <v>221.621</v>
      </c>
      <c r="J104" s="8">
        <f>(parametros_manuales!$D$37*(datos_base!$E$2+IF(parametros_manuales!$H$37="Todos",datos_base!$E$9,0))*parametros_manuales!$J$97+parametros_manuales!$E$37*(datos_base!$E$3+IF(parametros_manuales!$H$37="Todos",datos_base!$E$10,0))*parametros_manuales!$J$102+parametros_manuales!$F$37*(datos_base!$E$4+IF(parametros_manuales!$H$37="Todos",datos_base!$E$11,0))*parametros_manuales!$J$107+parametros_manuales!$G$37*(datos_base!$E$5+IF(parametros_manuales!$H$37="Todos",datos_base!$E$12,0))*parametros_manuales!$J$112)*parametros_manuales!$I$37*parametros_manuales!$J$37</f>
        <v>221.621</v>
      </c>
      <c r="K104" s="8">
        <f>(parametros_manuales!$D$37*(datos_base!$E$2+IF(parametros_manuales!$H$37="Todos",datos_base!$E$9,0))*parametros_manuales!$K$97+parametros_manuales!$E$37*(datos_base!$E$3+IF(parametros_manuales!$H$37="Todos",datos_base!$E$10,0))*parametros_manuales!$K$102+parametros_manuales!$F$37*(datos_base!$E$4+IF(parametros_manuales!$H$37="Todos",datos_base!$E$11,0))*parametros_manuales!$K$107+parametros_manuales!$G$37*(datos_base!$E$5+IF(parametros_manuales!$H$37="Todos",datos_base!$E$12,0))*parametros_manuales!$K$112)*parametros_manuales!$I$37*parametros_manuales!$J$37</f>
        <v>225.583</v>
      </c>
      <c r="L104" s="8">
        <f>(parametros_manuales!$D$37*(datos_base!$E$2+IF(parametros_manuales!$H$37="Todos",datos_base!$E$9,0))*parametros_manuales!$L$97+parametros_manuales!$E$37*(datos_base!$E$3+IF(parametros_manuales!$H$37="Todos",datos_base!$E$10,0))*parametros_manuales!$L$102+parametros_manuales!$F$37*(datos_base!$E$4+IF(parametros_manuales!$H$37="Todos",datos_base!$E$11,0))*parametros_manuales!$L$107+parametros_manuales!$G$37*(datos_base!$E$5+IF(parametros_manuales!$H$37="Todos",datos_base!$E$12,0))*parametros_manuales!$L$112)*parametros_manuales!$I$37*parametros_manuales!$J$37</f>
        <v>229.545</v>
      </c>
      <c r="M104" s="8">
        <f>(parametros_manuales!$D$37*(datos_base!$E$2+IF(parametros_manuales!$H$37="Todos",datos_base!$E$9,0))*parametros_manuales!$M$97+parametros_manuales!$E$37*(datos_base!$E$3+IF(parametros_manuales!$H$37="Todos",datos_base!$E$10,0))*parametros_manuales!$M$102+parametros_manuales!$F$37*(datos_base!$E$4+IF(parametros_manuales!$H$37="Todos",datos_base!$E$11,0))*parametros_manuales!$M$107+parametros_manuales!$G$37*(datos_base!$E$5+IF(parametros_manuales!$H$37="Todos",datos_base!$E$12,0))*parametros_manuales!$M$112)*parametros_manuales!$I$37*parametros_manuales!$J$37</f>
        <v>229.545</v>
      </c>
      <c r="N104" s="8">
        <f t="shared" si="10"/>
        <v>2550.5</v>
      </c>
      <c r="O104" s="8">
        <f t="shared" si="11"/>
        <v>229.545</v>
      </c>
      <c r="P104" s="27">
        <f>O104/(parametros_manuales!$B$7)</f>
        <v>1.5303</v>
      </c>
      <c r="Q104" s="4" t="str">
        <f t="shared" si="12"/>
        <v>Ene</v>
      </c>
      <c r="R104" s="16"/>
      <c r="S104" s="16"/>
    </row>
    <row r="105" ht="14.25" customHeight="1">
      <c r="A105" s="4" t="str">
        <f>parametros_manuales!$B$38</f>
        <v>Pintura en polvo + horno</v>
      </c>
      <c r="B105" s="8">
        <f>(parametros_manuales!$D$38*(datos_base!$E$2+IF(parametros_manuales!$H$38="Todos",datos_base!$E$9,0))*parametros_manuales!$B$97+parametros_manuales!$E$38*(datos_base!$E$3+IF(parametros_manuales!$H$38="Todos",datos_base!$E$10,0))*parametros_manuales!$B$102+parametros_manuales!$F$38*(datos_base!$E$4+IF(parametros_manuales!$H$38="Todos",datos_base!$E$11,0))*parametros_manuales!$B$107+parametros_manuales!$G$38*(datos_base!$E$5+IF(parametros_manuales!$H$38="Todos",datos_base!$E$12,0))*parametros_manuales!$B$112)*parametros_manuales!$I$38*parametros_manuales!$J$38</f>
        <v>4590.9</v>
      </c>
      <c r="C105" s="8">
        <f>(parametros_manuales!$D$38*(datos_base!$E$2+IF(parametros_manuales!$H$38="Todos",datos_base!$E$9,0))*parametros_manuales!$C$97+parametros_manuales!$E$38*(datos_base!$E$3+IF(parametros_manuales!$H$38="Todos",datos_base!$E$10,0))*parametros_manuales!$C$102+parametros_manuales!$F$38*(datos_base!$E$4+IF(parametros_manuales!$H$38="Todos",datos_base!$E$11,0))*parametros_manuales!$C$107+parametros_manuales!$G$38*(datos_base!$E$5+IF(parametros_manuales!$H$38="Todos",datos_base!$E$12,0))*parametros_manuales!$C$112)*parametros_manuales!$I$38*parametros_manuales!$J$38</f>
        <v>4432.42</v>
      </c>
      <c r="D105" s="8">
        <f>(parametros_manuales!$D$38*(datos_base!$E$2+IF(parametros_manuales!$H$38="Todos",datos_base!$E$9,0))*parametros_manuales!$D$97+parametros_manuales!$E$38*(datos_base!$E$3+IF(parametros_manuales!$H$38="Todos",datos_base!$E$10,0))*parametros_manuales!$D$102+parametros_manuales!$F$38*(datos_base!$E$4+IF(parametros_manuales!$H$38="Todos",datos_base!$E$11,0))*parametros_manuales!$D$107+parametros_manuales!$G$38*(datos_base!$E$5+IF(parametros_manuales!$H$38="Todos",datos_base!$E$12,0))*parametros_manuales!$D$112)*parametros_manuales!$I$38*parametros_manuales!$J$38</f>
        <v>4160.04</v>
      </c>
      <c r="E105" s="8">
        <f>(parametros_manuales!$D$38*(datos_base!$E$2+IF(parametros_manuales!$H$38="Todos",datos_base!$E$9,0))*parametros_manuales!$E$97+parametros_manuales!$E$38*(datos_base!$E$3+IF(parametros_manuales!$H$38="Todos",datos_base!$E$10,0))*parametros_manuales!$E$102+parametros_manuales!$F$38*(datos_base!$E$4+IF(parametros_manuales!$H$38="Todos",datos_base!$E$11,0))*parametros_manuales!$E$107+parametros_manuales!$G$38*(datos_base!$E$5+IF(parametros_manuales!$H$38="Todos",datos_base!$E$12,0))*parametros_manuales!$E$112)*parametros_manuales!$I$38*parametros_manuales!$J$38</f>
        <v>3984.23</v>
      </c>
      <c r="F105" s="8">
        <f>(parametros_manuales!$D$38*(datos_base!$E$2+IF(parametros_manuales!$H$38="Todos",datos_base!$E$9,0))*parametros_manuales!$F$97+parametros_manuales!$E$38*(datos_base!$E$3+IF(parametros_manuales!$H$38="Todos",datos_base!$E$10,0))*parametros_manuales!$F$102+parametros_manuales!$F$38*(datos_base!$E$4+IF(parametros_manuales!$H$38="Todos",datos_base!$E$11,0))*parametros_manuales!$F$107+parametros_manuales!$G$38*(datos_base!$E$5+IF(parametros_manuales!$H$38="Todos",datos_base!$E$12,0))*parametros_manuales!$F$112)*parametros_manuales!$I$38*parametros_manuales!$J$38</f>
        <v>3729.18</v>
      </c>
      <c r="G105" s="8">
        <f>(parametros_manuales!$D$38*(datos_base!$E$2+IF(parametros_manuales!$H$38="Todos",datos_base!$E$9,0))*parametros_manuales!$G$97+parametros_manuales!$E$38*(datos_base!$E$3+IF(parametros_manuales!$H$38="Todos",datos_base!$E$10,0))*parametros_manuales!$G$102+parametros_manuales!$F$38*(datos_base!$E$4+IF(parametros_manuales!$H$38="Todos",datos_base!$E$11,0))*parametros_manuales!$G$107+parametros_manuales!$G$38*(datos_base!$E$5+IF(parametros_manuales!$H$38="Todos",datos_base!$E$12,0))*parametros_manuales!$G$112)*parametros_manuales!$I$38*parametros_manuales!$J$38</f>
        <v>3649.94</v>
      </c>
      <c r="H105" s="8">
        <f>(parametros_manuales!$D$38*(datos_base!$E$2+IF(parametros_manuales!$H$38="Todos",datos_base!$E$9,0))*parametros_manuales!$H$97+parametros_manuales!$E$38*(datos_base!$E$3+IF(parametros_manuales!$H$38="Todos",datos_base!$E$10,0))*parametros_manuales!$H$102+parametros_manuales!$F$38*(datos_base!$E$4+IF(parametros_manuales!$H$38="Todos",datos_base!$E$11,0))*parametros_manuales!$H$107+parametros_manuales!$G$38*(datos_base!$E$5+IF(parametros_manuales!$H$38="Todos",datos_base!$E$12,0))*parametros_manuales!$H$112)*parametros_manuales!$I$38*parametros_manuales!$J$38</f>
        <v>3904.99</v>
      </c>
      <c r="I105" s="8">
        <f>(parametros_manuales!$D$38*(datos_base!$E$2+IF(parametros_manuales!$H$38="Todos",datos_base!$E$9,0))*parametros_manuales!$I$97+parametros_manuales!$E$38*(datos_base!$E$3+IF(parametros_manuales!$H$38="Todos",datos_base!$E$10,0))*parametros_manuales!$I$102+parametros_manuales!$F$38*(datos_base!$E$4+IF(parametros_manuales!$H$38="Todos",datos_base!$E$11,0))*parametros_manuales!$I$107+parametros_manuales!$G$38*(datos_base!$E$5+IF(parametros_manuales!$H$38="Todos",datos_base!$E$12,0))*parametros_manuales!$I$112)*parametros_manuales!$I$38*parametros_manuales!$J$38</f>
        <v>4432.42</v>
      </c>
      <c r="J105" s="8">
        <f>(parametros_manuales!$D$38*(datos_base!$E$2+IF(parametros_manuales!$H$38="Todos",datos_base!$E$9,0))*parametros_manuales!$J$97+parametros_manuales!$E$38*(datos_base!$E$3+IF(parametros_manuales!$H$38="Todos",datos_base!$E$10,0))*parametros_manuales!$J$102+parametros_manuales!$F$38*(datos_base!$E$4+IF(parametros_manuales!$H$38="Todos",datos_base!$E$11,0))*parametros_manuales!$J$107+parametros_manuales!$G$38*(datos_base!$E$5+IF(parametros_manuales!$H$38="Todos",datos_base!$E$12,0))*parametros_manuales!$J$112)*parametros_manuales!$I$38*parametros_manuales!$J$38</f>
        <v>4432.42</v>
      </c>
      <c r="K105" s="8">
        <f>(parametros_manuales!$D$38*(datos_base!$E$2+IF(parametros_manuales!$H$38="Todos",datos_base!$E$9,0))*parametros_manuales!$K$97+parametros_manuales!$E$38*(datos_base!$E$3+IF(parametros_manuales!$H$38="Todos",datos_base!$E$10,0))*parametros_manuales!$K$102+parametros_manuales!$F$38*(datos_base!$E$4+IF(parametros_manuales!$H$38="Todos",datos_base!$E$11,0))*parametros_manuales!$K$107+parametros_manuales!$G$38*(datos_base!$E$5+IF(parametros_manuales!$H$38="Todos",datos_base!$E$12,0))*parametros_manuales!$K$112)*parametros_manuales!$I$38*parametros_manuales!$J$38</f>
        <v>4511.66</v>
      </c>
      <c r="L105" s="8">
        <f>(parametros_manuales!$D$38*(datos_base!$E$2+IF(parametros_manuales!$H$38="Todos",datos_base!$E$9,0))*parametros_manuales!$L$97+parametros_manuales!$E$38*(datos_base!$E$3+IF(parametros_manuales!$H$38="Todos",datos_base!$E$10,0))*parametros_manuales!$L$102+parametros_manuales!$F$38*(datos_base!$E$4+IF(parametros_manuales!$H$38="Todos",datos_base!$E$11,0))*parametros_manuales!$L$107+parametros_manuales!$G$38*(datos_base!$E$5+IF(parametros_manuales!$H$38="Todos",datos_base!$E$12,0))*parametros_manuales!$L$112)*parametros_manuales!$I$38*parametros_manuales!$J$38</f>
        <v>4590.9</v>
      </c>
      <c r="M105" s="8">
        <f>(parametros_manuales!$D$38*(datos_base!$E$2+IF(parametros_manuales!$H$38="Todos",datos_base!$E$9,0))*parametros_manuales!$M$97+parametros_manuales!$E$38*(datos_base!$E$3+IF(parametros_manuales!$H$38="Todos",datos_base!$E$10,0))*parametros_manuales!$M$102+parametros_manuales!$F$38*(datos_base!$E$4+IF(parametros_manuales!$H$38="Todos",datos_base!$E$11,0))*parametros_manuales!$M$107+parametros_manuales!$G$38*(datos_base!$E$5+IF(parametros_manuales!$H$38="Todos",datos_base!$E$12,0))*parametros_manuales!$M$112)*parametros_manuales!$I$38*parametros_manuales!$J$38</f>
        <v>4590.9</v>
      </c>
      <c r="N105" s="8">
        <f t="shared" si="10"/>
        <v>51010</v>
      </c>
      <c r="O105" s="8">
        <f t="shared" si="11"/>
        <v>4590.9</v>
      </c>
      <c r="P105" s="27">
        <f>O105/(parametros_manuales!$B$7)</f>
        <v>30.606</v>
      </c>
      <c r="Q105" s="4" t="str">
        <f t="shared" si="12"/>
        <v>Ene</v>
      </c>
      <c r="R105" s="16"/>
      <c r="S105" s="16"/>
    </row>
    <row r="106" ht="14.25" customHeight="1">
      <c r="A106" s="4" t="str">
        <f>parametros_manuales!$B$39</f>
        <v>Carga de polvo</v>
      </c>
      <c r="B106" s="8">
        <f>(parametros_manuales!$D$39*(datos_base!$E$2+IF(parametros_manuales!$H$39="Todos",datos_base!$E$9,0))*parametros_manuales!$B$97+parametros_manuales!$E$39*(datos_base!$E$3+IF(parametros_manuales!$H$39="Todos",datos_base!$E$10,0))*parametros_manuales!$B$102+parametros_manuales!$F$39*(datos_base!$E$4+IF(parametros_manuales!$H$39="Todos",datos_base!$E$11,0))*parametros_manuales!$B$107+parametros_manuales!$G$39*(datos_base!$E$5+IF(parametros_manuales!$H$39="Todos",datos_base!$E$12,0))*parametros_manuales!$B$112)*parametros_manuales!$I$39*parametros_manuales!$J$39</f>
        <v>1564.65</v>
      </c>
      <c r="C106" s="8">
        <f>(parametros_manuales!$D$39*(datos_base!$E$2+IF(parametros_manuales!$H$39="Todos",datos_base!$E$9,0))*parametros_manuales!$C$97+parametros_manuales!$E$39*(datos_base!$E$3+IF(parametros_manuales!$H$39="Todos",datos_base!$E$10,0))*parametros_manuales!$C$102+parametros_manuales!$F$39*(datos_base!$E$4+IF(parametros_manuales!$H$39="Todos",datos_base!$E$11,0))*parametros_manuales!$C$107+parametros_manuales!$G$39*(datos_base!$E$5+IF(parametros_manuales!$H$39="Todos",datos_base!$E$12,0))*parametros_manuales!$C$112)*parametros_manuales!$I$39*parametros_manuales!$J$39</f>
        <v>1475.47</v>
      </c>
      <c r="D106" s="8">
        <f>(parametros_manuales!$D$39*(datos_base!$E$2+IF(parametros_manuales!$H$39="Todos",datos_base!$E$9,0))*parametros_manuales!$D$97+parametros_manuales!$E$39*(datos_base!$E$3+IF(parametros_manuales!$H$39="Todos",datos_base!$E$10,0))*parametros_manuales!$D$102+parametros_manuales!$F$39*(datos_base!$E$4+IF(parametros_manuales!$H$39="Todos",datos_base!$E$11,0))*parametros_manuales!$D$107+parametros_manuales!$G$39*(datos_base!$E$5+IF(parametros_manuales!$H$39="Todos",datos_base!$E$12,0))*parametros_manuales!$D$112)*parametros_manuales!$I$39*parametros_manuales!$J$39</f>
        <v>1435.39</v>
      </c>
      <c r="E106" s="8">
        <f>(parametros_manuales!$D$39*(datos_base!$E$2+IF(parametros_manuales!$H$39="Todos",datos_base!$E$9,0))*parametros_manuales!$E$97+parametros_manuales!$E$39*(datos_base!$E$3+IF(parametros_manuales!$H$39="Todos",datos_base!$E$10,0))*parametros_manuales!$E$102+parametros_manuales!$F$39*(datos_base!$E$4+IF(parametros_manuales!$H$39="Todos",datos_base!$E$11,0))*parametros_manuales!$E$107+parametros_manuales!$G$39*(datos_base!$E$5+IF(parametros_manuales!$H$39="Todos",datos_base!$E$12,0))*parametros_manuales!$E$112)*parametros_manuales!$I$39*parametros_manuales!$J$39</f>
        <v>1393.055</v>
      </c>
      <c r="F106" s="8">
        <f>(parametros_manuales!$D$39*(datos_base!$E$2+IF(parametros_manuales!$H$39="Todos",datos_base!$E$9,0))*parametros_manuales!$F$97+parametros_manuales!$E$39*(datos_base!$E$3+IF(parametros_manuales!$H$39="Todos",datos_base!$E$10,0))*parametros_manuales!$F$102+parametros_manuales!$F$39*(datos_base!$E$4+IF(parametros_manuales!$H$39="Todos",datos_base!$E$11,0))*parametros_manuales!$F$107+parametros_manuales!$G$39*(datos_base!$E$5+IF(parametros_manuales!$H$39="Todos",datos_base!$E$12,0))*parametros_manuales!$F$112)*parametros_manuales!$I$39*parametros_manuales!$J$39</f>
        <v>1306.13</v>
      </c>
      <c r="G106" s="8">
        <f>(parametros_manuales!$D$39*(datos_base!$E$2+IF(parametros_manuales!$H$39="Todos",datos_base!$E$9,0))*parametros_manuales!$G$97+parametros_manuales!$E$39*(datos_base!$E$3+IF(parametros_manuales!$H$39="Todos",datos_base!$E$10,0))*parametros_manuales!$G$102+parametros_manuales!$F$39*(datos_base!$E$4+IF(parametros_manuales!$H$39="Todos",datos_base!$E$11,0))*parametros_manuales!$G$107+parametros_manuales!$G$39*(datos_base!$E$5+IF(parametros_manuales!$H$39="Todos",datos_base!$E$12,0))*parametros_manuales!$G$112)*parametros_manuales!$I$39*parametros_manuales!$J$39</f>
        <v>1261.54</v>
      </c>
      <c r="H106" s="8">
        <f>(parametros_manuales!$D$39*(datos_base!$E$2+IF(parametros_manuales!$H$39="Todos",datos_base!$E$9,0))*parametros_manuales!$H$97+parametros_manuales!$E$39*(datos_base!$E$3+IF(parametros_manuales!$H$39="Todos",datos_base!$E$10,0))*parametros_manuales!$H$102+parametros_manuales!$F$39*(datos_base!$E$4+IF(parametros_manuales!$H$39="Todos",datos_base!$E$11,0))*parametros_manuales!$H$107+parametros_manuales!$G$39*(datos_base!$E$5+IF(parametros_manuales!$H$39="Todos",datos_base!$E$12,0))*parametros_manuales!$H$112)*parametros_manuales!$I$39*parametros_manuales!$J$39</f>
        <v>1348.465</v>
      </c>
      <c r="I106" s="8">
        <f>(parametros_manuales!$D$39*(datos_base!$E$2+IF(parametros_manuales!$H$39="Todos",datos_base!$E$9,0))*parametros_manuales!$I$97+parametros_manuales!$E$39*(datos_base!$E$3+IF(parametros_manuales!$H$39="Todos",datos_base!$E$10,0))*parametros_manuales!$I$102+parametros_manuales!$F$39*(datos_base!$E$4+IF(parametros_manuales!$H$39="Todos",datos_base!$E$11,0))*parametros_manuales!$I$107+parametros_manuales!$G$39*(datos_base!$E$5+IF(parametros_manuales!$H$39="Todos",datos_base!$E$12,0))*parametros_manuales!$I$112)*parametros_manuales!$I$39*parametros_manuales!$J$39</f>
        <v>1475.47</v>
      </c>
      <c r="J106" s="8">
        <f>(parametros_manuales!$D$39*(datos_base!$E$2+IF(parametros_manuales!$H$39="Todos",datos_base!$E$9,0))*parametros_manuales!$J$97+parametros_manuales!$E$39*(datos_base!$E$3+IF(parametros_manuales!$H$39="Todos",datos_base!$E$10,0))*parametros_manuales!$J$102+parametros_manuales!$F$39*(datos_base!$E$4+IF(parametros_manuales!$H$39="Todos",datos_base!$E$11,0))*parametros_manuales!$J$107+parametros_manuales!$G$39*(datos_base!$E$5+IF(parametros_manuales!$H$39="Todos",datos_base!$E$12,0))*parametros_manuales!$J$112)*parametros_manuales!$I$39*parametros_manuales!$J$39</f>
        <v>1475.47</v>
      </c>
      <c r="K106" s="8">
        <f>(parametros_manuales!$D$39*(datos_base!$E$2+IF(parametros_manuales!$H$39="Todos",datos_base!$E$9,0))*parametros_manuales!$K$97+parametros_manuales!$E$39*(datos_base!$E$3+IF(parametros_manuales!$H$39="Todos",datos_base!$E$10,0))*parametros_manuales!$K$102+parametros_manuales!$F$39*(datos_base!$E$4+IF(parametros_manuales!$H$39="Todos",datos_base!$E$11,0))*parametros_manuales!$K$107+parametros_manuales!$G$39*(datos_base!$E$5+IF(parametros_manuales!$H$39="Todos",datos_base!$E$12,0))*parametros_manuales!$K$112)*parametros_manuales!$I$39*parametros_manuales!$J$39</f>
        <v>1520.06</v>
      </c>
      <c r="L106" s="8">
        <f>(parametros_manuales!$D$39*(datos_base!$E$2+IF(parametros_manuales!$H$39="Todos",datos_base!$E$9,0))*parametros_manuales!$L$97+parametros_manuales!$E$39*(datos_base!$E$3+IF(parametros_manuales!$H$39="Todos",datos_base!$E$10,0))*parametros_manuales!$L$102+parametros_manuales!$F$39*(datos_base!$E$4+IF(parametros_manuales!$H$39="Todos",datos_base!$E$11,0))*parametros_manuales!$L$107+parametros_manuales!$G$39*(datos_base!$E$5+IF(parametros_manuales!$H$39="Todos",datos_base!$E$12,0))*parametros_manuales!$L$112)*parametros_manuales!$I$39*parametros_manuales!$J$39</f>
        <v>1564.65</v>
      </c>
      <c r="M106" s="8">
        <f>(parametros_manuales!$D$39*(datos_base!$E$2+IF(parametros_manuales!$H$39="Todos",datos_base!$E$9,0))*parametros_manuales!$M$97+parametros_manuales!$E$39*(datos_base!$E$3+IF(parametros_manuales!$H$39="Todos",datos_base!$E$10,0))*parametros_manuales!$M$102+parametros_manuales!$F$39*(datos_base!$E$4+IF(parametros_manuales!$H$39="Todos",datos_base!$E$11,0))*parametros_manuales!$M$107+parametros_manuales!$G$39*(datos_base!$E$5+IF(parametros_manuales!$H$39="Todos",datos_base!$E$12,0))*parametros_manuales!$M$112)*parametros_manuales!$I$39*parametros_manuales!$J$39</f>
        <v>1564.65</v>
      </c>
      <c r="N106" s="8">
        <f t="shared" si="10"/>
        <v>17385</v>
      </c>
      <c r="O106" s="8">
        <f t="shared" si="11"/>
        <v>1564.65</v>
      </c>
      <c r="P106" s="27">
        <f>O106/(parametros_manuales!$B$7)</f>
        <v>10.431</v>
      </c>
      <c r="Q106" s="4" t="str">
        <f t="shared" si="12"/>
        <v>Ene</v>
      </c>
      <c r="R106" s="16"/>
      <c r="S106" s="16"/>
    </row>
    <row r="107" ht="14.25" customHeight="1">
      <c r="A107" s="4" t="str">
        <f>parametros_manuales!$B$40</f>
        <v>Ensamblaje</v>
      </c>
      <c r="B107" s="8">
        <f>(parametros_manuales!$D$40*(datos_base!$E$2+IF(parametros_manuales!$H$40="Todos",datos_base!$E$9,0))*parametros_manuales!$B$97+parametros_manuales!$E$40*(datos_base!$E$3+IF(parametros_manuales!$H$40="Todos",datos_base!$E$10,0))*parametros_manuales!$B$102+parametros_manuales!$F$40*(datos_base!$E$4+IF(parametros_manuales!$H$40="Todos",datos_base!$E$11,0))*parametros_manuales!$B$107+parametros_manuales!$G$40*(datos_base!$E$5+IF(parametros_manuales!$H$40="Todos",datos_base!$E$12,0))*parametros_manuales!$B$112)*parametros_manuales!$I$40*parametros_manuales!$J$40</f>
        <v>1564.65</v>
      </c>
      <c r="C107" s="8">
        <f>(parametros_manuales!$D$40*(datos_base!$E$2+IF(parametros_manuales!$H$40="Todos",datos_base!$E$9,0))*parametros_manuales!$C$97+parametros_manuales!$E$40*(datos_base!$E$3+IF(parametros_manuales!$H$40="Todos",datos_base!$E$10,0))*parametros_manuales!$C$102+parametros_manuales!$F$40*(datos_base!$E$4+IF(parametros_manuales!$H$40="Todos",datos_base!$E$11,0))*parametros_manuales!$C$107+parametros_manuales!$G$40*(datos_base!$E$5+IF(parametros_manuales!$H$40="Todos",datos_base!$E$12,0))*parametros_manuales!$C$112)*parametros_manuales!$I$40*parametros_manuales!$J$40</f>
        <v>1475.47</v>
      </c>
      <c r="D107" s="8">
        <f>(parametros_manuales!$D$40*(datos_base!$E$2+IF(parametros_manuales!$H$40="Todos",datos_base!$E$9,0))*parametros_manuales!$D$97+parametros_manuales!$E$40*(datos_base!$E$3+IF(parametros_manuales!$H$40="Todos",datos_base!$E$10,0))*parametros_manuales!$D$102+parametros_manuales!$F$40*(datos_base!$E$4+IF(parametros_manuales!$H$40="Todos",datos_base!$E$11,0))*parametros_manuales!$D$107+parametros_manuales!$G$40*(datos_base!$E$5+IF(parametros_manuales!$H$40="Todos",datos_base!$E$12,0))*parametros_manuales!$D$112)*parametros_manuales!$I$40*parametros_manuales!$J$40</f>
        <v>1435.39</v>
      </c>
      <c r="E107" s="8">
        <f>(parametros_manuales!$D$40*(datos_base!$E$2+IF(parametros_manuales!$H$40="Todos",datos_base!$E$9,0))*parametros_manuales!$E$97+parametros_manuales!$E$40*(datos_base!$E$3+IF(parametros_manuales!$H$40="Todos",datos_base!$E$10,0))*parametros_manuales!$E$102+parametros_manuales!$F$40*(datos_base!$E$4+IF(parametros_manuales!$H$40="Todos",datos_base!$E$11,0))*parametros_manuales!$E$107+parametros_manuales!$G$40*(datos_base!$E$5+IF(parametros_manuales!$H$40="Todos",datos_base!$E$12,0))*parametros_manuales!$E$112)*parametros_manuales!$I$40*parametros_manuales!$J$40</f>
        <v>1393.055</v>
      </c>
      <c r="F107" s="8">
        <f>(parametros_manuales!$D$40*(datos_base!$E$2+IF(parametros_manuales!$H$40="Todos",datos_base!$E$9,0))*parametros_manuales!$F$97+parametros_manuales!$E$40*(datos_base!$E$3+IF(parametros_manuales!$H$40="Todos",datos_base!$E$10,0))*parametros_manuales!$F$102+parametros_manuales!$F$40*(datos_base!$E$4+IF(parametros_manuales!$H$40="Todos",datos_base!$E$11,0))*parametros_manuales!$F$107+parametros_manuales!$G$40*(datos_base!$E$5+IF(parametros_manuales!$H$40="Todos",datos_base!$E$12,0))*parametros_manuales!$F$112)*parametros_manuales!$I$40*parametros_manuales!$J$40</f>
        <v>1306.13</v>
      </c>
      <c r="G107" s="8">
        <f>(parametros_manuales!$D$40*(datos_base!$E$2+IF(parametros_manuales!$H$40="Todos",datos_base!$E$9,0))*parametros_manuales!$G$97+parametros_manuales!$E$40*(datos_base!$E$3+IF(parametros_manuales!$H$40="Todos",datos_base!$E$10,0))*parametros_manuales!$G$102+parametros_manuales!$F$40*(datos_base!$E$4+IF(parametros_manuales!$H$40="Todos",datos_base!$E$11,0))*parametros_manuales!$G$107+parametros_manuales!$G$40*(datos_base!$E$5+IF(parametros_manuales!$H$40="Todos",datos_base!$E$12,0))*parametros_manuales!$G$112)*parametros_manuales!$I$40*parametros_manuales!$J$40</f>
        <v>1261.54</v>
      </c>
      <c r="H107" s="8">
        <f>(parametros_manuales!$D$40*(datos_base!$E$2+IF(parametros_manuales!$H$40="Todos",datos_base!$E$9,0))*parametros_manuales!$H$97+parametros_manuales!$E$40*(datos_base!$E$3+IF(parametros_manuales!$H$40="Todos",datos_base!$E$10,0))*parametros_manuales!$H$102+parametros_manuales!$F$40*(datos_base!$E$4+IF(parametros_manuales!$H$40="Todos",datos_base!$E$11,0))*parametros_manuales!$H$107+parametros_manuales!$G$40*(datos_base!$E$5+IF(parametros_manuales!$H$40="Todos",datos_base!$E$12,0))*parametros_manuales!$H$112)*parametros_manuales!$I$40*parametros_manuales!$J$40</f>
        <v>1348.465</v>
      </c>
      <c r="I107" s="8">
        <f>(parametros_manuales!$D$40*(datos_base!$E$2+IF(parametros_manuales!$H$40="Todos",datos_base!$E$9,0))*parametros_manuales!$I$97+parametros_manuales!$E$40*(datos_base!$E$3+IF(parametros_manuales!$H$40="Todos",datos_base!$E$10,0))*parametros_manuales!$I$102+parametros_manuales!$F$40*(datos_base!$E$4+IF(parametros_manuales!$H$40="Todos",datos_base!$E$11,0))*parametros_manuales!$I$107+parametros_manuales!$G$40*(datos_base!$E$5+IF(parametros_manuales!$H$40="Todos",datos_base!$E$12,0))*parametros_manuales!$I$112)*parametros_manuales!$I$40*parametros_manuales!$J$40</f>
        <v>1475.47</v>
      </c>
      <c r="J107" s="8">
        <f>(parametros_manuales!$D$40*(datos_base!$E$2+IF(parametros_manuales!$H$40="Todos",datos_base!$E$9,0))*parametros_manuales!$J$97+parametros_manuales!$E$40*(datos_base!$E$3+IF(parametros_manuales!$H$40="Todos",datos_base!$E$10,0))*parametros_manuales!$J$102+parametros_manuales!$F$40*(datos_base!$E$4+IF(parametros_manuales!$H$40="Todos",datos_base!$E$11,0))*parametros_manuales!$J$107+parametros_manuales!$G$40*(datos_base!$E$5+IF(parametros_manuales!$H$40="Todos",datos_base!$E$12,0))*parametros_manuales!$J$112)*parametros_manuales!$I$40*parametros_manuales!$J$40</f>
        <v>1475.47</v>
      </c>
      <c r="K107" s="8">
        <f>(parametros_manuales!$D$40*(datos_base!$E$2+IF(parametros_manuales!$H$40="Todos",datos_base!$E$9,0))*parametros_manuales!$K$97+parametros_manuales!$E$40*(datos_base!$E$3+IF(parametros_manuales!$H$40="Todos",datos_base!$E$10,0))*parametros_manuales!$K$102+parametros_manuales!$F$40*(datos_base!$E$4+IF(parametros_manuales!$H$40="Todos",datos_base!$E$11,0))*parametros_manuales!$K$107+parametros_manuales!$G$40*(datos_base!$E$5+IF(parametros_manuales!$H$40="Todos",datos_base!$E$12,0))*parametros_manuales!$K$112)*parametros_manuales!$I$40*parametros_manuales!$J$40</f>
        <v>1520.06</v>
      </c>
      <c r="L107" s="8">
        <f>(parametros_manuales!$D$40*(datos_base!$E$2+IF(parametros_manuales!$H$40="Todos",datos_base!$E$9,0))*parametros_manuales!$L$97+parametros_manuales!$E$40*(datos_base!$E$3+IF(parametros_manuales!$H$40="Todos",datos_base!$E$10,0))*parametros_manuales!$L$102+parametros_manuales!$F$40*(datos_base!$E$4+IF(parametros_manuales!$H$40="Todos",datos_base!$E$11,0))*parametros_manuales!$L$107+parametros_manuales!$G$40*(datos_base!$E$5+IF(parametros_manuales!$H$40="Todos",datos_base!$E$12,0))*parametros_manuales!$L$112)*parametros_manuales!$I$40*parametros_manuales!$J$40</f>
        <v>1564.65</v>
      </c>
      <c r="M107" s="8">
        <f>(parametros_manuales!$D$40*(datos_base!$E$2+IF(parametros_manuales!$H$40="Todos",datos_base!$E$9,0))*parametros_manuales!$M$97+parametros_manuales!$E$40*(datos_base!$E$3+IF(parametros_manuales!$H$40="Todos",datos_base!$E$10,0))*parametros_manuales!$M$102+parametros_manuales!$F$40*(datos_base!$E$4+IF(parametros_manuales!$H$40="Todos",datos_base!$E$11,0))*parametros_manuales!$M$107+parametros_manuales!$G$40*(datos_base!$E$5+IF(parametros_manuales!$H$40="Todos",datos_base!$E$12,0))*parametros_manuales!$M$112)*parametros_manuales!$I$40*parametros_manuales!$J$40</f>
        <v>1564.65</v>
      </c>
      <c r="N107" s="8">
        <f t="shared" si="10"/>
        <v>17385</v>
      </c>
      <c r="O107" s="8">
        <f t="shared" si="11"/>
        <v>1564.65</v>
      </c>
      <c r="P107" s="27">
        <f>O107/(parametros_manuales!$B$7)</f>
        <v>10.431</v>
      </c>
      <c r="Q107" s="4" t="str">
        <f t="shared" si="12"/>
        <v>Ene</v>
      </c>
      <c r="R107" s="16"/>
      <c r="S107" s="16"/>
    </row>
    <row r="108" ht="14.25" customHeight="1">
      <c r="A108" s="4" t="str">
        <f>parametros_manuales!$B$41</f>
        <v>Presurización</v>
      </c>
      <c r="B108" s="8">
        <f>(parametros_manuales!$D$41*(datos_base!$E$2+IF(parametros_manuales!$H$41="Todos",datos_base!$E$9,0))*parametros_manuales!$B$97+parametros_manuales!$E$41*(datos_base!$E$3+IF(parametros_manuales!$H$41="Todos",datos_base!$E$10,0))*parametros_manuales!$B$102+parametros_manuales!$F$41*(datos_base!$E$4+IF(parametros_manuales!$H$41="Todos",datos_base!$E$11,0))*parametros_manuales!$B$107+parametros_manuales!$G$41*(datos_base!$E$5+IF(parametros_manuales!$H$41="Todos",datos_base!$E$12,0))*parametros_manuales!$B$112)*parametros_manuales!$I$41*parametros_manuales!$J$41</f>
        <v>1564.65</v>
      </c>
      <c r="C108" s="8">
        <f>(parametros_manuales!$D$41*(datos_base!$E$2+IF(parametros_manuales!$H$41="Todos",datos_base!$E$9,0))*parametros_manuales!$C$97+parametros_manuales!$E$41*(datos_base!$E$3+IF(parametros_manuales!$H$41="Todos",datos_base!$E$10,0))*parametros_manuales!$C$102+parametros_manuales!$F$41*(datos_base!$E$4+IF(parametros_manuales!$H$41="Todos",datos_base!$E$11,0))*parametros_manuales!$C$107+parametros_manuales!$G$41*(datos_base!$E$5+IF(parametros_manuales!$H$41="Todos",datos_base!$E$12,0))*parametros_manuales!$C$112)*parametros_manuales!$I$41*parametros_manuales!$J$41</f>
        <v>1475.47</v>
      </c>
      <c r="D108" s="8">
        <f>(parametros_manuales!$D$41*(datos_base!$E$2+IF(parametros_manuales!$H$41="Todos",datos_base!$E$9,0))*parametros_manuales!$D$97+parametros_manuales!$E$41*(datos_base!$E$3+IF(parametros_manuales!$H$41="Todos",datos_base!$E$10,0))*parametros_manuales!$D$102+parametros_manuales!$F$41*(datos_base!$E$4+IF(parametros_manuales!$H$41="Todos",datos_base!$E$11,0))*parametros_manuales!$D$107+parametros_manuales!$G$41*(datos_base!$E$5+IF(parametros_manuales!$H$41="Todos",datos_base!$E$12,0))*parametros_manuales!$D$112)*parametros_manuales!$I$41*parametros_manuales!$J$41</f>
        <v>1435.39</v>
      </c>
      <c r="E108" s="8">
        <f>(parametros_manuales!$D$41*(datos_base!$E$2+IF(parametros_manuales!$H$41="Todos",datos_base!$E$9,0))*parametros_manuales!$E$97+parametros_manuales!$E$41*(datos_base!$E$3+IF(parametros_manuales!$H$41="Todos",datos_base!$E$10,0))*parametros_manuales!$E$102+parametros_manuales!$F$41*(datos_base!$E$4+IF(parametros_manuales!$H$41="Todos",datos_base!$E$11,0))*parametros_manuales!$E$107+parametros_manuales!$G$41*(datos_base!$E$5+IF(parametros_manuales!$H$41="Todos",datos_base!$E$12,0))*parametros_manuales!$E$112)*parametros_manuales!$I$41*parametros_manuales!$J$41</f>
        <v>1393.055</v>
      </c>
      <c r="F108" s="8">
        <f>(parametros_manuales!$D$41*(datos_base!$E$2+IF(parametros_manuales!$H$41="Todos",datos_base!$E$9,0))*parametros_manuales!$F$97+parametros_manuales!$E$41*(datos_base!$E$3+IF(parametros_manuales!$H$41="Todos",datos_base!$E$10,0))*parametros_manuales!$F$102+parametros_manuales!$F$41*(datos_base!$E$4+IF(parametros_manuales!$H$41="Todos",datos_base!$E$11,0))*parametros_manuales!$F$107+parametros_manuales!$G$41*(datos_base!$E$5+IF(parametros_manuales!$H$41="Todos",datos_base!$E$12,0))*parametros_manuales!$F$112)*parametros_manuales!$I$41*parametros_manuales!$J$41</f>
        <v>1306.13</v>
      </c>
      <c r="G108" s="8">
        <f>(parametros_manuales!$D$41*(datos_base!$E$2+IF(parametros_manuales!$H$41="Todos",datos_base!$E$9,0))*parametros_manuales!$G$97+parametros_manuales!$E$41*(datos_base!$E$3+IF(parametros_manuales!$H$41="Todos",datos_base!$E$10,0))*parametros_manuales!$G$102+parametros_manuales!$F$41*(datos_base!$E$4+IF(parametros_manuales!$H$41="Todos",datos_base!$E$11,0))*parametros_manuales!$G$107+parametros_manuales!$G$41*(datos_base!$E$5+IF(parametros_manuales!$H$41="Todos",datos_base!$E$12,0))*parametros_manuales!$G$112)*parametros_manuales!$I$41*parametros_manuales!$J$41</f>
        <v>1261.54</v>
      </c>
      <c r="H108" s="8">
        <f>(parametros_manuales!$D$41*(datos_base!$E$2+IF(parametros_manuales!$H$41="Todos",datos_base!$E$9,0))*parametros_manuales!$H$97+parametros_manuales!$E$41*(datos_base!$E$3+IF(parametros_manuales!$H$41="Todos",datos_base!$E$10,0))*parametros_manuales!$H$102+parametros_manuales!$F$41*(datos_base!$E$4+IF(parametros_manuales!$H$41="Todos",datos_base!$E$11,0))*parametros_manuales!$H$107+parametros_manuales!$G$41*(datos_base!$E$5+IF(parametros_manuales!$H$41="Todos",datos_base!$E$12,0))*parametros_manuales!$H$112)*parametros_manuales!$I$41*parametros_manuales!$J$41</f>
        <v>1348.465</v>
      </c>
      <c r="I108" s="8">
        <f>(parametros_manuales!$D$41*(datos_base!$E$2+IF(parametros_manuales!$H$41="Todos",datos_base!$E$9,0))*parametros_manuales!$I$97+parametros_manuales!$E$41*(datos_base!$E$3+IF(parametros_manuales!$H$41="Todos",datos_base!$E$10,0))*parametros_manuales!$I$102+parametros_manuales!$F$41*(datos_base!$E$4+IF(parametros_manuales!$H$41="Todos",datos_base!$E$11,0))*parametros_manuales!$I$107+parametros_manuales!$G$41*(datos_base!$E$5+IF(parametros_manuales!$H$41="Todos",datos_base!$E$12,0))*parametros_manuales!$I$112)*parametros_manuales!$I$41*parametros_manuales!$J$41</f>
        <v>1475.47</v>
      </c>
      <c r="J108" s="8">
        <f>(parametros_manuales!$D$41*(datos_base!$E$2+IF(parametros_manuales!$H$41="Todos",datos_base!$E$9,0))*parametros_manuales!$J$97+parametros_manuales!$E$41*(datos_base!$E$3+IF(parametros_manuales!$H$41="Todos",datos_base!$E$10,0))*parametros_manuales!$J$102+parametros_manuales!$F$41*(datos_base!$E$4+IF(parametros_manuales!$H$41="Todos",datos_base!$E$11,0))*parametros_manuales!$J$107+parametros_manuales!$G$41*(datos_base!$E$5+IF(parametros_manuales!$H$41="Todos",datos_base!$E$12,0))*parametros_manuales!$J$112)*parametros_manuales!$I$41*parametros_manuales!$J$41</f>
        <v>1475.47</v>
      </c>
      <c r="K108" s="8">
        <f>(parametros_manuales!$D$41*(datos_base!$E$2+IF(parametros_manuales!$H$41="Todos",datos_base!$E$9,0))*parametros_manuales!$K$97+parametros_manuales!$E$41*(datos_base!$E$3+IF(parametros_manuales!$H$41="Todos",datos_base!$E$10,0))*parametros_manuales!$K$102+parametros_manuales!$F$41*(datos_base!$E$4+IF(parametros_manuales!$H$41="Todos",datos_base!$E$11,0))*parametros_manuales!$K$107+parametros_manuales!$G$41*(datos_base!$E$5+IF(parametros_manuales!$H$41="Todos",datos_base!$E$12,0))*parametros_manuales!$K$112)*parametros_manuales!$I$41*parametros_manuales!$J$41</f>
        <v>1520.06</v>
      </c>
      <c r="L108" s="8">
        <f>(parametros_manuales!$D$41*(datos_base!$E$2+IF(parametros_manuales!$H$41="Todos",datos_base!$E$9,0))*parametros_manuales!$L$97+parametros_manuales!$E$41*(datos_base!$E$3+IF(parametros_manuales!$H$41="Todos",datos_base!$E$10,0))*parametros_manuales!$L$102+parametros_manuales!$F$41*(datos_base!$E$4+IF(parametros_manuales!$H$41="Todos",datos_base!$E$11,0))*parametros_manuales!$L$107+parametros_manuales!$G$41*(datos_base!$E$5+IF(parametros_manuales!$H$41="Todos",datos_base!$E$12,0))*parametros_manuales!$L$112)*parametros_manuales!$I$41*parametros_manuales!$J$41</f>
        <v>1564.65</v>
      </c>
      <c r="M108" s="8">
        <f>(parametros_manuales!$D$41*(datos_base!$E$2+IF(parametros_manuales!$H$41="Todos",datos_base!$E$9,0))*parametros_manuales!$M$97+parametros_manuales!$E$41*(datos_base!$E$3+IF(parametros_manuales!$H$41="Todos",datos_base!$E$10,0))*parametros_manuales!$M$102+parametros_manuales!$F$41*(datos_base!$E$4+IF(parametros_manuales!$H$41="Todos",datos_base!$E$11,0))*parametros_manuales!$M$107+parametros_manuales!$G$41*(datos_base!$E$5+IF(parametros_manuales!$H$41="Todos",datos_base!$E$12,0))*parametros_manuales!$M$112)*parametros_manuales!$I$41*parametros_manuales!$J$41</f>
        <v>1564.65</v>
      </c>
      <c r="N108" s="8">
        <f t="shared" si="10"/>
        <v>17385</v>
      </c>
      <c r="O108" s="8">
        <f t="shared" si="11"/>
        <v>1564.65</v>
      </c>
      <c r="P108" s="27">
        <f>O108/(parametros_manuales!$B$7)</f>
        <v>10.431</v>
      </c>
      <c r="Q108" s="4" t="str">
        <f t="shared" si="12"/>
        <v>Ene</v>
      </c>
      <c r="R108" s="16"/>
      <c r="S108" s="16"/>
    </row>
    <row r="109" ht="14.25" customHeight="1">
      <c r="A109" s="4" t="str">
        <f>parametros_manuales!$B$42</f>
        <v>Control de calidad — Ensayo de pérdidas</v>
      </c>
      <c r="B109" s="8">
        <f>(parametros_manuales!$D$42*(datos_base!$E$2+IF(parametros_manuales!$H$42="Todos",datos_base!$E$9,0))*parametros_manuales!$B$97+parametros_manuales!$E$42*(datos_base!$E$3+IF(parametros_manuales!$H$42="Todos",datos_base!$E$10,0))*parametros_manuales!$B$102+parametros_manuales!$F$42*(datos_base!$E$4+IF(parametros_manuales!$H$42="Todos",datos_base!$E$11,0))*parametros_manuales!$B$107+parametros_manuales!$G$42*(datos_base!$E$5+IF(parametros_manuales!$H$42="Todos",datos_base!$E$12,0))*parametros_manuales!$B$112)*parametros_manuales!$I$42*parametros_manuales!$J$42</f>
        <v>1564.65</v>
      </c>
      <c r="C109" s="8">
        <f>(parametros_manuales!$D$42*(datos_base!$E$2+IF(parametros_manuales!$H$42="Todos",datos_base!$E$9,0))*parametros_manuales!$C$97+parametros_manuales!$E$42*(datos_base!$E$3+IF(parametros_manuales!$H$42="Todos",datos_base!$E$10,0))*parametros_manuales!$C$102+parametros_manuales!$F$42*(datos_base!$E$4+IF(parametros_manuales!$H$42="Todos",datos_base!$E$11,0))*parametros_manuales!$C$107+parametros_manuales!$G$42*(datos_base!$E$5+IF(parametros_manuales!$H$42="Todos",datos_base!$E$12,0))*parametros_manuales!$C$112)*parametros_manuales!$I$42*parametros_manuales!$J$42</f>
        <v>1475.47</v>
      </c>
      <c r="D109" s="8">
        <f>(parametros_manuales!$D$42*(datos_base!$E$2+IF(parametros_manuales!$H$42="Todos",datos_base!$E$9,0))*parametros_manuales!$D$97+parametros_manuales!$E$42*(datos_base!$E$3+IF(parametros_manuales!$H$42="Todos",datos_base!$E$10,0))*parametros_manuales!$D$102+parametros_manuales!$F$42*(datos_base!$E$4+IF(parametros_manuales!$H$42="Todos",datos_base!$E$11,0))*parametros_manuales!$D$107+parametros_manuales!$G$42*(datos_base!$E$5+IF(parametros_manuales!$H$42="Todos",datos_base!$E$12,0))*parametros_manuales!$D$112)*parametros_manuales!$I$42*parametros_manuales!$J$42</f>
        <v>1435.39</v>
      </c>
      <c r="E109" s="8">
        <f>(parametros_manuales!$D$42*(datos_base!$E$2+IF(parametros_manuales!$H$42="Todos",datos_base!$E$9,0))*parametros_manuales!$E$97+parametros_manuales!$E$42*(datos_base!$E$3+IF(parametros_manuales!$H$42="Todos",datos_base!$E$10,0))*parametros_manuales!$E$102+parametros_manuales!$F$42*(datos_base!$E$4+IF(parametros_manuales!$H$42="Todos",datos_base!$E$11,0))*parametros_manuales!$E$107+parametros_manuales!$G$42*(datos_base!$E$5+IF(parametros_manuales!$H$42="Todos",datos_base!$E$12,0))*parametros_manuales!$E$112)*parametros_manuales!$I$42*parametros_manuales!$J$42</f>
        <v>1393.055</v>
      </c>
      <c r="F109" s="8">
        <f>(parametros_manuales!$D$42*(datos_base!$E$2+IF(parametros_manuales!$H$42="Todos",datos_base!$E$9,0))*parametros_manuales!$F$97+parametros_manuales!$E$42*(datos_base!$E$3+IF(parametros_manuales!$H$42="Todos",datos_base!$E$10,0))*parametros_manuales!$F$102+parametros_manuales!$F$42*(datos_base!$E$4+IF(parametros_manuales!$H$42="Todos",datos_base!$E$11,0))*parametros_manuales!$F$107+parametros_manuales!$G$42*(datos_base!$E$5+IF(parametros_manuales!$H$42="Todos",datos_base!$E$12,0))*parametros_manuales!$F$112)*parametros_manuales!$I$42*parametros_manuales!$J$42</f>
        <v>1306.13</v>
      </c>
      <c r="G109" s="8">
        <f>(parametros_manuales!$D$42*(datos_base!$E$2+IF(parametros_manuales!$H$42="Todos",datos_base!$E$9,0))*parametros_manuales!$G$97+parametros_manuales!$E$42*(datos_base!$E$3+IF(parametros_manuales!$H$42="Todos",datos_base!$E$10,0))*parametros_manuales!$G$102+parametros_manuales!$F$42*(datos_base!$E$4+IF(parametros_manuales!$H$42="Todos",datos_base!$E$11,0))*parametros_manuales!$G$107+parametros_manuales!$G$42*(datos_base!$E$5+IF(parametros_manuales!$H$42="Todos",datos_base!$E$12,0))*parametros_manuales!$G$112)*parametros_manuales!$I$42*parametros_manuales!$J$42</f>
        <v>1261.54</v>
      </c>
      <c r="H109" s="8">
        <f>(parametros_manuales!$D$42*(datos_base!$E$2+IF(parametros_manuales!$H$42="Todos",datos_base!$E$9,0))*parametros_manuales!$H$97+parametros_manuales!$E$42*(datos_base!$E$3+IF(parametros_manuales!$H$42="Todos",datos_base!$E$10,0))*parametros_manuales!$H$102+parametros_manuales!$F$42*(datos_base!$E$4+IF(parametros_manuales!$H$42="Todos",datos_base!$E$11,0))*parametros_manuales!$H$107+parametros_manuales!$G$42*(datos_base!$E$5+IF(parametros_manuales!$H$42="Todos",datos_base!$E$12,0))*parametros_manuales!$H$112)*parametros_manuales!$I$42*parametros_manuales!$J$42</f>
        <v>1348.465</v>
      </c>
      <c r="I109" s="8">
        <f>(parametros_manuales!$D$42*(datos_base!$E$2+IF(parametros_manuales!$H$42="Todos",datos_base!$E$9,0))*parametros_manuales!$I$97+parametros_manuales!$E$42*(datos_base!$E$3+IF(parametros_manuales!$H$42="Todos",datos_base!$E$10,0))*parametros_manuales!$I$102+parametros_manuales!$F$42*(datos_base!$E$4+IF(parametros_manuales!$H$42="Todos",datos_base!$E$11,0))*parametros_manuales!$I$107+parametros_manuales!$G$42*(datos_base!$E$5+IF(parametros_manuales!$H$42="Todos",datos_base!$E$12,0))*parametros_manuales!$I$112)*parametros_manuales!$I$42*parametros_manuales!$J$42</f>
        <v>1475.47</v>
      </c>
      <c r="J109" s="8">
        <f>(parametros_manuales!$D$42*(datos_base!$E$2+IF(parametros_manuales!$H$42="Todos",datos_base!$E$9,0))*parametros_manuales!$J$97+parametros_manuales!$E$42*(datos_base!$E$3+IF(parametros_manuales!$H$42="Todos",datos_base!$E$10,0))*parametros_manuales!$J$102+parametros_manuales!$F$42*(datos_base!$E$4+IF(parametros_manuales!$H$42="Todos",datos_base!$E$11,0))*parametros_manuales!$J$107+parametros_manuales!$G$42*(datos_base!$E$5+IF(parametros_manuales!$H$42="Todos",datos_base!$E$12,0))*parametros_manuales!$J$112)*parametros_manuales!$I$42*parametros_manuales!$J$42</f>
        <v>1475.47</v>
      </c>
      <c r="K109" s="8">
        <f>(parametros_manuales!$D$42*(datos_base!$E$2+IF(parametros_manuales!$H$42="Todos",datos_base!$E$9,0))*parametros_manuales!$K$97+parametros_manuales!$E$42*(datos_base!$E$3+IF(parametros_manuales!$H$42="Todos",datos_base!$E$10,0))*parametros_manuales!$K$102+parametros_manuales!$F$42*(datos_base!$E$4+IF(parametros_manuales!$H$42="Todos",datos_base!$E$11,0))*parametros_manuales!$K$107+parametros_manuales!$G$42*(datos_base!$E$5+IF(parametros_manuales!$H$42="Todos",datos_base!$E$12,0))*parametros_manuales!$K$112)*parametros_manuales!$I$42*parametros_manuales!$J$42</f>
        <v>1520.06</v>
      </c>
      <c r="L109" s="8">
        <f>(parametros_manuales!$D$42*(datos_base!$E$2+IF(parametros_manuales!$H$42="Todos",datos_base!$E$9,0))*parametros_manuales!$L$97+parametros_manuales!$E$42*(datos_base!$E$3+IF(parametros_manuales!$H$42="Todos",datos_base!$E$10,0))*parametros_manuales!$L$102+parametros_manuales!$F$42*(datos_base!$E$4+IF(parametros_manuales!$H$42="Todos",datos_base!$E$11,0))*parametros_manuales!$L$107+parametros_manuales!$G$42*(datos_base!$E$5+IF(parametros_manuales!$H$42="Todos",datos_base!$E$12,0))*parametros_manuales!$L$112)*parametros_manuales!$I$42*parametros_manuales!$J$42</f>
        <v>1564.65</v>
      </c>
      <c r="M109" s="8">
        <f>(parametros_manuales!$D$42*(datos_base!$E$2+IF(parametros_manuales!$H$42="Todos",datos_base!$E$9,0))*parametros_manuales!$M$97+parametros_manuales!$E$42*(datos_base!$E$3+IF(parametros_manuales!$H$42="Todos",datos_base!$E$10,0))*parametros_manuales!$M$102+parametros_manuales!$F$42*(datos_base!$E$4+IF(parametros_manuales!$H$42="Todos",datos_base!$E$11,0))*parametros_manuales!$M$107+parametros_manuales!$G$42*(datos_base!$E$5+IF(parametros_manuales!$H$42="Todos",datos_base!$E$12,0))*parametros_manuales!$M$112)*parametros_manuales!$I$42*parametros_manuales!$J$42</f>
        <v>1564.65</v>
      </c>
      <c r="N109" s="8">
        <f t="shared" si="10"/>
        <v>17385</v>
      </c>
      <c r="O109" s="8">
        <f t="shared" si="11"/>
        <v>1564.65</v>
      </c>
      <c r="P109" s="27">
        <f>O109/(parametros_manuales!$B$7)</f>
        <v>10.431</v>
      </c>
      <c r="Q109" s="4" t="str">
        <f t="shared" si="12"/>
        <v>Ene</v>
      </c>
      <c r="R109" s="16"/>
      <c r="S109" s="16"/>
    </row>
    <row r="110" ht="14.25" customHeight="1">
      <c r="A110" s="4" t="str">
        <f>parametros_manuales!$B$43</f>
        <v>Etiquetado</v>
      </c>
      <c r="B110" s="8">
        <f>(parametros_manuales!$D$43*(datos_base!$E$2+IF(parametros_manuales!$H$43="Todos",datos_base!$E$9,0))*parametros_manuales!$B$97+parametros_manuales!$E$43*(datos_base!$E$3+IF(parametros_manuales!$H$43="Todos",datos_base!$E$10,0))*parametros_manuales!$B$102+parametros_manuales!$F$43*(datos_base!$E$4+IF(parametros_manuales!$H$43="Todos",datos_base!$E$11,0))*parametros_manuales!$B$107+parametros_manuales!$G$43*(datos_base!$E$5+IF(parametros_manuales!$H$43="Todos",datos_base!$E$12,0))*parametros_manuales!$B$112)*parametros_manuales!$I$43*parametros_manuales!$J$43</f>
        <v>1564.65</v>
      </c>
      <c r="C110" s="8">
        <f>(parametros_manuales!$D$43*(datos_base!$E$2+IF(parametros_manuales!$H$43="Todos",datos_base!$E$9,0))*parametros_manuales!$C$97+parametros_manuales!$E$43*(datos_base!$E$3+IF(parametros_manuales!$H$43="Todos",datos_base!$E$10,0))*parametros_manuales!$C$102+parametros_manuales!$F$43*(datos_base!$E$4+IF(parametros_manuales!$H$43="Todos",datos_base!$E$11,0))*parametros_manuales!$C$107+parametros_manuales!$G$43*(datos_base!$E$5+IF(parametros_manuales!$H$43="Todos",datos_base!$E$12,0))*parametros_manuales!$C$112)*parametros_manuales!$I$43*parametros_manuales!$J$43</f>
        <v>1475.47</v>
      </c>
      <c r="D110" s="8">
        <f>(parametros_manuales!$D$43*(datos_base!$E$2+IF(parametros_manuales!$H$43="Todos",datos_base!$E$9,0))*parametros_manuales!$D$97+parametros_manuales!$E$43*(datos_base!$E$3+IF(parametros_manuales!$H$43="Todos",datos_base!$E$10,0))*parametros_manuales!$D$102+parametros_manuales!$F$43*(datos_base!$E$4+IF(parametros_manuales!$H$43="Todos",datos_base!$E$11,0))*parametros_manuales!$D$107+parametros_manuales!$G$43*(datos_base!$E$5+IF(parametros_manuales!$H$43="Todos",datos_base!$E$12,0))*parametros_manuales!$D$112)*parametros_manuales!$I$43*parametros_manuales!$J$43</f>
        <v>1435.39</v>
      </c>
      <c r="E110" s="8">
        <f>(parametros_manuales!$D$43*(datos_base!$E$2+IF(parametros_manuales!$H$43="Todos",datos_base!$E$9,0))*parametros_manuales!$E$97+parametros_manuales!$E$43*(datos_base!$E$3+IF(parametros_manuales!$H$43="Todos",datos_base!$E$10,0))*parametros_manuales!$E$102+parametros_manuales!$F$43*(datos_base!$E$4+IF(parametros_manuales!$H$43="Todos",datos_base!$E$11,0))*parametros_manuales!$E$107+parametros_manuales!$G$43*(datos_base!$E$5+IF(parametros_manuales!$H$43="Todos",datos_base!$E$12,0))*parametros_manuales!$E$112)*parametros_manuales!$I$43*parametros_manuales!$J$43</f>
        <v>1393.055</v>
      </c>
      <c r="F110" s="8">
        <f>(parametros_manuales!$D$43*(datos_base!$E$2+IF(parametros_manuales!$H$43="Todos",datos_base!$E$9,0))*parametros_manuales!$F$97+parametros_manuales!$E$43*(datos_base!$E$3+IF(parametros_manuales!$H$43="Todos",datos_base!$E$10,0))*parametros_manuales!$F$102+parametros_manuales!$F$43*(datos_base!$E$4+IF(parametros_manuales!$H$43="Todos",datos_base!$E$11,0))*parametros_manuales!$F$107+parametros_manuales!$G$43*(datos_base!$E$5+IF(parametros_manuales!$H$43="Todos",datos_base!$E$12,0))*parametros_manuales!$F$112)*parametros_manuales!$I$43*parametros_manuales!$J$43</f>
        <v>1306.13</v>
      </c>
      <c r="G110" s="8">
        <f>(parametros_manuales!$D$43*(datos_base!$E$2+IF(parametros_manuales!$H$43="Todos",datos_base!$E$9,0))*parametros_manuales!$G$97+parametros_manuales!$E$43*(datos_base!$E$3+IF(parametros_manuales!$H$43="Todos",datos_base!$E$10,0))*parametros_manuales!$G$102+parametros_manuales!$F$43*(datos_base!$E$4+IF(parametros_manuales!$H$43="Todos",datos_base!$E$11,0))*parametros_manuales!$G$107+parametros_manuales!$G$43*(datos_base!$E$5+IF(parametros_manuales!$H$43="Todos",datos_base!$E$12,0))*parametros_manuales!$G$112)*parametros_manuales!$I$43*parametros_manuales!$J$43</f>
        <v>1261.54</v>
      </c>
      <c r="H110" s="8">
        <f>(parametros_manuales!$D$43*(datos_base!$E$2+IF(parametros_manuales!$H$43="Todos",datos_base!$E$9,0))*parametros_manuales!$H$97+parametros_manuales!$E$43*(datos_base!$E$3+IF(parametros_manuales!$H$43="Todos",datos_base!$E$10,0))*parametros_manuales!$H$102+parametros_manuales!$F$43*(datos_base!$E$4+IF(parametros_manuales!$H$43="Todos",datos_base!$E$11,0))*parametros_manuales!$H$107+parametros_manuales!$G$43*(datos_base!$E$5+IF(parametros_manuales!$H$43="Todos",datos_base!$E$12,0))*parametros_manuales!$H$112)*parametros_manuales!$I$43*parametros_manuales!$J$43</f>
        <v>1348.465</v>
      </c>
      <c r="I110" s="8">
        <f>(parametros_manuales!$D$43*(datos_base!$E$2+IF(parametros_manuales!$H$43="Todos",datos_base!$E$9,0))*parametros_manuales!$I$97+parametros_manuales!$E$43*(datos_base!$E$3+IF(parametros_manuales!$H$43="Todos",datos_base!$E$10,0))*parametros_manuales!$I$102+parametros_manuales!$F$43*(datos_base!$E$4+IF(parametros_manuales!$H$43="Todos",datos_base!$E$11,0))*parametros_manuales!$I$107+parametros_manuales!$G$43*(datos_base!$E$5+IF(parametros_manuales!$H$43="Todos",datos_base!$E$12,0))*parametros_manuales!$I$112)*parametros_manuales!$I$43*parametros_manuales!$J$43</f>
        <v>1475.47</v>
      </c>
      <c r="J110" s="8">
        <f>(parametros_manuales!$D$43*(datos_base!$E$2+IF(parametros_manuales!$H$43="Todos",datos_base!$E$9,0))*parametros_manuales!$J$97+parametros_manuales!$E$43*(datos_base!$E$3+IF(parametros_manuales!$H$43="Todos",datos_base!$E$10,0))*parametros_manuales!$J$102+parametros_manuales!$F$43*(datos_base!$E$4+IF(parametros_manuales!$H$43="Todos",datos_base!$E$11,0))*parametros_manuales!$J$107+parametros_manuales!$G$43*(datos_base!$E$5+IF(parametros_manuales!$H$43="Todos",datos_base!$E$12,0))*parametros_manuales!$J$112)*parametros_manuales!$I$43*parametros_manuales!$J$43</f>
        <v>1475.47</v>
      </c>
      <c r="K110" s="8">
        <f>(parametros_manuales!$D$43*(datos_base!$E$2+IF(parametros_manuales!$H$43="Todos",datos_base!$E$9,0))*parametros_manuales!$K$97+parametros_manuales!$E$43*(datos_base!$E$3+IF(parametros_manuales!$H$43="Todos",datos_base!$E$10,0))*parametros_manuales!$K$102+parametros_manuales!$F$43*(datos_base!$E$4+IF(parametros_manuales!$H$43="Todos",datos_base!$E$11,0))*parametros_manuales!$K$107+parametros_manuales!$G$43*(datos_base!$E$5+IF(parametros_manuales!$H$43="Todos",datos_base!$E$12,0))*parametros_manuales!$K$112)*parametros_manuales!$I$43*parametros_manuales!$J$43</f>
        <v>1520.06</v>
      </c>
      <c r="L110" s="8">
        <f>(parametros_manuales!$D$43*(datos_base!$E$2+IF(parametros_manuales!$H$43="Todos",datos_base!$E$9,0))*parametros_manuales!$L$97+parametros_manuales!$E$43*(datos_base!$E$3+IF(parametros_manuales!$H$43="Todos",datos_base!$E$10,0))*parametros_manuales!$L$102+parametros_manuales!$F$43*(datos_base!$E$4+IF(parametros_manuales!$H$43="Todos",datos_base!$E$11,0))*parametros_manuales!$L$107+parametros_manuales!$G$43*(datos_base!$E$5+IF(parametros_manuales!$H$43="Todos",datos_base!$E$12,0))*parametros_manuales!$L$112)*parametros_manuales!$I$43*parametros_manuales!$J$43</f>
        <v>1564.65</v>
      </c>
      <c r="M110" s="8">
        <f>(parametros_manuales!$D$43*(datos_base!$E$2+IF(parametros_manuales!$H$43="Todos",datos_base!$E$9,0))*parametros_manuales!$M$97+parametros_manuales!$E$43*(datos_base!$E$3+IF(parametros_manuales!$H$43="Todos",datos_base!$E$10,0))*parametros_manuales!$M$102+parametros_manuales!$F$43*(datos_base!$E$4+IF(parametros_manuales!$H$43="Todos",datos_base!$E$11,0))*parametros_manuales!$M$107+parametros_manuales!$G$43*(datos_base!$E$5+IF(parametros_manuales!$H$43="Todos",datos_base!$E$12,0))*parametros_manuales!$M$112)*parametros_manuales!$I$43*parametros_manuales!$J$43</f>
        <v>1564.65</v>
      </c>
      <c r="N110" s="8">
        <f t="shared" si="10"/>
        <v>17385</v>
      </c>
      <c r="O110" s="8">
        <f t="shared" si="11"/>
        <v>1564.65</v>
      </c>
      <c r="P110" s="27">
        <f>O110/(parametros_manuales!$B$7)</f>
        <v>10.431</v>
      </c>
      <c r="Q110" s="4" t="str">
        <f t="shared" si="12"/>
        <v>Ene</v>
      </c>
      <c r="R110" s="16"/>
      <c r="S110" s="16"/>
    </row>
    <row r="111" ht="14.25" customHeight="1">
      <c r="A111" s="4" t="str">
        <f>parametros_manuales!$B$44</f>
        <v>Embalaje y paletizado</v>
      </c>
      <c r="B111" s="8">
        <f>(parametros_manuales!$D$44*(datos_base!$E$2+IF(parametros_manuales!$H$44="Todos",datos_base!$E$9,0))*parametros_manuales!$B$97+parametros_manuales!$E$44*(datos_base!$E$3+IF(parametros_manuales!$H$44="Todos",datos_base!$E$10,0))*parametros_manuales!$B$102+parametros_manuales!$F$44*(datos_base!$E$4+IF(parametros_manuales!$H$44="Todos",datos_base!$E$11,0))*parametros_manuales!$B$107+parametros_manuales!$G$44*(datos_base!$E$5+IF(parametros_manuales!$H$44="Todos",datos_base!$E$12,0))*parametros_manuales!$B$112)*parametros_manuales!$I$44*parametros_manuales!$J$44</f>
        <v>4590.9</v>
      </c>
      <c r="C111" s="8">
        <f>(parametros_manuales!$D$44*(datos_base!$E$2+IF(parametros_manuales!$H$44="Todos",datos_base!$E$9,0))*parametros_manuales!$C$97+parametros_manuales!$E$44*(datos_base!$E$3+IF(parametros_manuales!$H$44="Todos",datos_base!$E$10,0))*parametros_manuales!$C$102+parametros_manuales!$F$44*(datos_base!$E$4+IF(parametros_manuales!$H$44="Todos",datos_base!$E$11,0))*parametros_manuales!$C$107+parametros_manuales!$G$44*(datos_base!$E$5+IF(parametros_manuales!$H$44="Todos",datos_base!$E$12,0))*parametros_manuales!$C$112)*parametros_manuales!$I$44*parametros_manuales!$J$44</f>
        <v>4432.42</v>
      </c>
      <c r="D111" s="8">
        <f>(parametros_manuales!$D$44*(datos_base!$E$2+IF(parametros_manuales!$H$44="Todos",datos_base!$E$9,0))*parametros_manuales!$D$97+parametros_manuales!$E$44*(datos_base!$E$3+IF(parametros_manuales!$H$44="Todos",datos_base!$E$10,0))*parametros_manuales!$D$102+parametros_manuales!$F$44*(datos_base!$E$4+IF(parametros_manuales!$H$44="Todos",datos_base!$E$11,0))*parametros_manuales!$D$107+parametros_manuales!$G$44*(datos_base!$E$5+IF(parametros_manuales!$H$44="Todos",datos_base!$E$12,0))*parametros_manuales!$D$112)*parametros_manuales!$I$44*parametros_manuales!$J$44</f>
        <v>4160.04</v>
      </c>
      <c r="E111" s="8">
        <f>(parametros_manuales!$D$44*(datos_base!$E$2+IF(parametros_manuales!$H$44="Todos",datos_base!$E$9,0))*parametros_manuales!$E$97+parametros_manuales!$E$44*(datos_base!$E$3+IF(parametros_manuales!$H$44="Todos",datos_base!$E$10,0))*parametros_manuales!$E$102+parametros_manuales!$F$44*(datos_base!$E$4+IF(parametros_manuales!$H$44="Todos",datos_base!$E$11,0))*parametros_manuales!$E$107+parametros_manuales!$G$44*(datos_base!$E$5+IF(parametros_manuales!$H$44="Todos",datos_base!$E$12,0))*parametros_manuales!$E$112)*parametros_manuales!$I$44*parametros_manuales!$J$44</f>
        <v>3984.23</v>
      </c>
      <c r="F111" s="8">
        <f>(parametros_manuales!$D$44*(datos_base!$E$2+IF(parametros_manuales!$H$44="Todos",datos_base!$E$9,0))*parametros_manuales!$F$97+parametros_manuales!$E$44*(datos_base!$E$3+IF(parametros_manuales!$H$44="Todos",datos_base!$E$10,0))*parametros_manuales!$F$102+parametros_manuales!$F$44*(datos_base!$E$4+IF(parametros_manuales!$H$44="Todos",datos_base!$E$11,0))*parametros_manuales!$F$107+parametros_manuales!$G$44*(datos_base!$E$5+IF(parametros_manuales!$H$44="Todos",datos_base!$E$12,0))*parametros_manuales!$F$112)*parametros_manuales!$I$44*parametros_manuales!$J$44</f>
        <v>3729.18</v>
      </c>
      <c r="G111" s="8">
        <f>(parametros_manuales!$D$44*(datos_base!$E$2+IF(parametros_manuales!$H$44="Todos",datos_base!$E$9,0))*parametros_manuales!$G$97+parametros_manuales!$E$44*(datos_base!$E$3+IF(parametros_manuales!$H$44="Todos",datos_base!$E$10,0))*parametros_manuales!$G$102+parametros_manuales!$F$44*(datos_base!$E$4+IF(parametros_manuales!$H$44="Todos",datos_base!$E$11,0))*parametros_manuales!$G$107+parametros_manuales!$G$44*(datos_base!$E$5+IF(parametros_manuales!$H$44="Todos",datos_base!$E$12,0))*parametros_manuales!$G$112)*parametros_manuales!$I$44*parametros_manuales!$J$44</f>
        <v>3649.94</v>
      </c>
      <c r="H111" s="8">
        <f>(parametros_manuales!$D$44*(datos_base!$E$2+IF(parametros_manuales!$H$44="Todos",datos_base!$E$9,0))*parametros_manuales!$H$97+parametros_manuales!$E$44*(datos_base!$E$3+IF(parametros_manuales!$H$44="Todos",datos_base!$E$10,0))*parametros_manuales!$H$102+parametros_manuales!$F$44*(datos_base!$E$4+IF(parametros_manuales!$H$44="Todos",datos_base!$E$11,0))*parametros_manuales!$H$107+parametros_manuales!$G$44*(datos_base!$E$5+IF(parametros_manuales!$H$44="Todos",datos_base!$E$12,0))*parametros_manuales!$H$112)*parametros_manuales!$I$44*parametros_manuales!$J$44</f>
        <v>3904.99</v>
      </c>
      <c r="I111" s="8">
        <f>(parametros_manuales!$D$44*(datos_base!$E$2+IF(parametros_manuales!$H$44="Todos",datos_base!$E$9,0))*parametros_manuales!$I$97+parametros_manuales!$E$44*(datos_base!$E$3+IF(parametros_manuales!$H$44="Todos",datos_base!$E$10,0))*parametros_manuales!$I$102+parametros_manuales!$F$44*(datos_base!$E$4+IF(parametros_manuales!$H$44="Todos",datos_base!$E$11,0))*parametros_manuales!$I$107+parametros_manuales!$G$44*(datos_base!$E$5+IF(parametros_manuales!$H$44="Todos",datos_base!$E$12,0))*parametros_manuales!$I$112)*parametros_manuales!$I$44*parametros_manuales!$J$44</f>
        <v>4432.42</v>
      </c>
      <c r="J111" s="8">
        <f>(parametros_manuales!$D$44*(datos_base!$E$2+IF(parametros_manuales!$H$44="Todos",datos_base!$E$9,0))*parametros_manuales!$J$97+parametros_manuales!$E$44*(datos_base!$E$3+IF(parametros_manuales!$H$44="Todos",datos_base!$E$10,0))*parametros_manuales!$J$102+parametros_manuales!$F$44*(datos_base!$E$4+IF(parametros_manuales!$H$44="Todos",datos_base!$E$11,0))*parametros_manuales!$J$107+parametros_manuales!$G$44*(datos_base!$E$5+IF(parametros_manuales!$H$44="Todos",datos_base!$E$12,0))*parametros_manuales!$J$112)*parametros_manuales!$I$44*parametros_manuales!$J$44</f>
        <v>4432.42</v>
      </c>
      <c r="K111" s="8">
        <f>(parametros_manuales!$D$44*(datos_base!$E$2+IF(parametros_manuales!$H$44="Todos",datos_base!$E$9,0))*parametros_manuales!$K$97+parametros_manuales!$E$44*(datos_base!$E$3+IF(parametros_manuales!$H$44="Todos",datos_base!$E$10,0))*parametros_manuales!$K$102+parametros_manuales!$F$44*(datos_base!$E$4+IF(parametros_manuales!$H$44="Todos",datos_base!$E$11,0))*parametros_manuales!$K$107+parametros_manuales!$G$44*(datos_base!$E$5+IF(parametros_manuales!$H$44="Todos",datos_base!$E$12,0))*parametros_manuales!$K$112)*parametros_manuales!$I$44*parametros_manuales!$J$44</f>
        <v>4511.66</v>
      </c>
      <c r="L111" s="8">
        <f>(parametros_manuales!$D$44*(datos_base!$E$2+IF(parametros_manuales!$H$44="Todos",datos_base!$E$9,0))*parametros_manuales!$L$97+parametros_manuales!$E$44*(datos_base!$E$3+IF(parametros_manuales!$H$44="Todos",datos_base!$E$10,0))*parametros_manuales!$L$102+parametros_manuales!$F$44*(datos_base!$E$4+IF(parametros_manuales!$H$44="Todos",datos_base!$E$11,0))*parametros_manuales!$L$107+parametros_manuales!$G$44*(datos_base!$E$5+IF(parametros_manuales!$H$44="Todos",datos_base!$E$12,0))*parametros_manuales!$L$112)*parametros_manuales!$I$44*parametros_manuales!$J$44</f>
        <v>4590.9</v>
      </c>
      <c r="M111" s="8">
        <f>(parametros_manuales!$D$44*(datos_base!$E$2+IF(parametros_manuales!$H$44="Todos",datos_base!$E$9,0))*parametros_manuales!$M$97+parametros_manuales!$E$44*(datos_base!$E$3+IF(parametros_manuales!$H$44="Todos",datos_base!$E$10,0))*parametros_manuales!$M$102+parametros_manuales!$F$44*(datos_base!$E$4+IF(parametros_manuales!$H$44="Todos",datos_base!$E$11,0))*parametros_manuales!$M$107+parametros_manuales!$G$44*(datos_base!$E$5+IF(parametros_manuales!$H$44="Todos",datos_base!$E$12,0))*parametros_manuales!$M$112)*parametros_manuales!$I$44*parametros_manuales!$J$44</f>
        <v>4590.9</v>
      </c>
      <c r="N111" s="8">
        <f t="shared" si="10"/>
        <v>51010</v>
      </c>
      <c r="O111" s="8">
        <f t="shared" si="11"/>
        <v>4590.9</v>
      </c>
      <c r="P111" s="27">
        <f>O111/(parametros_manuales!$B$7)</f>
        <v>30.606</v>
      </c>
      <c r="Q111" s="4" t="str">
        <f t="shared" si="12"/>
        <v>Ene</v>
      </c>
      <c r="R111" s="16"/>
      <c r="S111" s="16"/>
    </row>
    <row r="112" ht="14.2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</row>
    <row r="113" ht="14.25" customHeight="1">
      <c r="A113" s="1" t="s">
        <v>231</v>
      </c>
      <c r="B113" s="1" t="s">
        <v>5</v>
      </c>
      <c r="C113" s="1" t="s">
        <v>6</v>
      </c>
      <c r="D113" s="1" t="s">
        <v>7</v>
      </c>
      <c r="E113" s="1" t="s">
        <v>8</v>
      </c>
      <c r="F113" s="1" t="s">
        <v>9</v>
      </c>
      <c r="G113" s="1" t="s">
        <v>10</v>
      </c>
      <c r="H113" s="1" t="s">
        <v>12</v>
      </c>
      <c r="I113" s="1" t="s">
        <v>13</v>
      </c>
      <c r="J113" s="1" t="s">
        <v>15</v>
      </c>
      <c r="K113" s="1" t="s">
        <v>16</v>
      </c>
      <c r="L113" s="1" t="s">
        <v>17</v>
      </c>
      <c r="M113" s="1" t="s">
        <v>18</v>
      </c>
      <c r="N113" s="1" t="s">
        <v>19</v>
      </c>
      <c r="O113" s="1" t="s">
        <v>20</v>
      </c>
      <c r="P113" s="1" t="s">
        <v>21</v>
      </c>
      <c r="Q113" s="1" t="s">
        <v>22</v>
      </c>
      <c r="R113" s="16"/>
      <c r="S113" s="16"/>
    </row>
    <row r="114" ht="14.25" customHeight="1">
      <c r="A114" s="4" t="str">
        <f>parametros_manuales!$B$19</f>
        <v>Recepción de materia prima</v>
      </c>
      <c r="B114" s="8">
        <f>(parametros_manuales!$D$19*(datos_base!$F$2+IF(parametros_manuales!$H$19="Todos",datos_base!$F$9,0))*parametros_manuales!$B$97+parametros_manuales!$E$19*(datos_base!$F$3+IF(parametros_manuales!$H$19="Todos",datos_base!$F$10,0))*parametros_manuales!$B$102+parametros_manuales!$F$19*(datos_base!$F$4+IF(parametros_manuales!$H$19="Todos",datos_base!$F$11,0))*parametros_manuales!$B$107+parametros_manuales!$G$19*(datos_base!$F$5+IF(parametros_manuales!$H$19="Todos",datos_base!$F$12,0))*parametros_manuales!$B$112)*parametros_manuales!$I$19*parametros_manuales!$J$19</f>
        <v>7996.5</v>
      </c>
      <c r="C114" s="8">
        <f>(parametros_manuales!$D$19*(datos_base!$F$2+IF(parametros_manuales!$H$19="Todos",datos_base!$F$9,0))*parametros_manuales!$C$97+parametros_manuales!$E$19*(datos_base!$F$3+IF(parametros_manuales!$H$19="Todos",datos_base!$F$10,0))*parametros_manuales!$C$102+parametros_manuales!$F$19*(datos_base!$F$4+IF(parametros_manuales!$H$19="Todos",datos_base!$F$11,0))*parametros_manuales!$C$107+parametros_manuales!$G$19*(datos_base!$F$5+IF(parametros_manuales!$H$19="Todos",datos_base!$F$12,0))*parametros_manuales!$C$112)*parametros_manuales!$I$19*parametros_manuales!$J$19</f>
        <v>7729.16</v>
      </c>
      <c r="D114" s="8">
        <f>(parametros_manuales!$D$19*(datos_base!$F$2+IF(parametros_manuales!$H$19="Todos",datos_base!$F$9,0))*parametros_manuales!$D$97+parametros_manuales!$E$19*(datos_base!$F$3+IF(parametros_manuales!$H$19="Todos",datos_base!$F$10,0))*parametros_manuales!$D$102+parametros_manuales!$F$19*(datos_base!$F$4+IF(parametros_manuales!$H$19="Todos",datos_base!$F$11,0))*parametros_manuales!$D$107+parametros_manuales!$G$19*(datos_base!$F$5+IF(parametros_manuales!$H$19="Todos",datos_base!$F$12,0))*parametros_manuales!$D$112)*parametros_manuales!$I$19*parametros_manuales!$J$19</f>
        <v>7241.67</v>
      </c>
      <c r="E114" s="8">
        <f>(parametros_manuales!$D$19*(datos_base!$F$2+IF(parametros_manuales!$H$19="Todos",datos_base!$F$9,0))*parametros_manuales!$E$97+parametros_manuales!$E$19*(datos_base!$F$3+IF(parametros_manuales!$H$19="Todos",datos_base!$F$10,0))*parametros_manuales!$E$102+parametros_manuales!$F$19*(datos_base!$F$4+IF(parametros_manuales!$H$19="Todos",datos_base!$F$11,0))*parametros_manuales!$E$107+parametros_manuales!$G$19*(datos_base!$F$5+IF(parametros_manuales!$H$19="Todos",datos_base!$F$12,0))*parametros_manuales!$E$112)*parametros_manuales!$I$19*parametros_manuales!$J$19</f>
        <v>6931.09</v>
      </c>
      <c r="F114" s="8">
        <f>(parametros_manuales!$D$19*(datos_base!$F$2+IF(parametros_manuales!$H$19="Todos",datos_base!$F$9,0))*parametros_manuales!$F$97+parametros_manuales!$E$19*(datos_base!$F$3+IF(parametros_manuales!$H$19="Todos",datos_base!$F$10,0))*parametros_manuales!$F$102+parametros_manuales!$F$19*(datos_base!$F$4+IF(parametros_manuales!$H$19="Todos",datos_base!$F$11,0))*parametros_manuales!$F$107+parametros_manuales!$G$19*(datos_base!$F$5+IF(parametros_manuales!$H$19="Todos",datos_base!$F$12,0))*parametros_manuales!$F$112)*parametros_manuales!$I$19*parametros_manuales!$J$19</f>
        <v>6486.84</v>
      </c>
      <c r="G114" s="8">
        <f>(parametros_manuales!$D$19*(datos_base!$F$2+IF(parametros_manuales!$H$19="Todos",datos_base!$F$9,0))*parametros_manuales!$G$97+parametros_manuales!$E$19*(datos_base!$F$3+IF(parametros_manuales!$H$19="Todos",datos_base!$F$10,0))*parametros_manuales!$G$102+parametros_manuales!$F$19*(datos_base!$F$4+IF(parametros_manuales!$H$19="Todos",datos_base!$F$11,0))*parametros_manuales!$G$107+parametros_manuales!$G$19*(datos_base!$F$5+IF(parametros_manuales!$H$19="Todos",datos_base!$F$12,0))*parametros_manuales!$G$112)*parametros_manuales!$I$19*parametros_manuales!$J$19</f>
        <v>6353.17</v>
      </c>
      <c r="H114" s="8">
        <f>(parametros_manuales!$D$19*(datos_base!$F$2+IF(parametros_manuales!$H$19="Todos",datos_base!$F$9,0))*parametros_manuales!$H$97+parametros_manuales!$E$19*(datos_base!$F$3+IF(parametros_manuales!$H$19="Todos",datos_base!$F$10,0))*parametros_manuales!$H$102+parametros_manuales!$F$19*(datos_base!$F$4+IF(parametros_manuales!$H$19="Todos",datos_base!$F$11,0))*parametros_manuales!$H$107+parametros_manuales!$G$19*(datos_base!$F$5+IF(parametros_manuales!$H$19="Todos",datos_base!$F$12,0))*parametros_manuales!$H$112)*parametros_manuales!$I$19*parametros_manuales!$J$19</f>
        <v>6797.42</v>
      </c>
      <c r="I114" s="8">
        <f>(parametros_manuales!$D$19*(datos_base!$F$2+IF(parametros_manuales!$H$19="Todos",datos_base!$F$9,0))*parametros_manuales!$I$97+parametros_manuales!$E$19*(datos_base!$F$3+IF(parametros_manuales!$H$19="Todos",datos_base!$F$10,0))*parametros_manuales!$I$102+parametros_manuales!$F$19*(datos_base!$F$4+IF(parametros_manuales!$H$19="Todos",datos_base!$F$11,0))*parametros_manuales!$I$107+parametros_manuales!$G$19*(datos_base!$F$5+IF(parametros_manuales!$H$19="Todos",datos_base!$F$12,0))*parametros_manuales!$I$112)*parametros_manuales!$I$19*parametros_manuales!$J$19</f>
        <v>7729.16</v>
      </c>
      <c r="J114" s="8">
        <f>(parametros_manuales!$D$19*(datos_base!$F$2+IF(parametros_manuales!$H$19="Todos",datos_base!$F$9,0))*parametros_manuales!$J$97+parametros_manuales!$E$19*(datos_base!$F$3+IF(parametros_manuales!$H$19="Todos",datos_base!$F$10,0))*parametros_manuales!$J$102+parametros_manuales!$F$19*(datos_base!$F$4+IF(parametros_manuales!$H$19="Todos",datos_base!$F$11,0))*parametros_manuales!$J$107+parametros_manuales!$G$19*(datos_base!$F$5+IF(parametros_manuales!$H$19="Todos",datos_base!$F$12,0))*parametros_manuales!$J$112)*parametros_manuales!$I$19*parametros_manuales!$J$19</f>
        <v>7729.16</v>
      </c>
      <c r="K114" s="8">
        <f>(parametros_manuales!$D$19*(datos_base!$F$2+IF(parametros_manuales!$H$19="Todos",datos_base!$F$9,0))*parametros_manuales!$K$97+parametros_manuales!$E$19*(datos_base!$F$3+IF(parametros_manuales!$H$19="Todos",datos_base!$F$10,0))*parametros_manuales!$K$102+parametros_manuales!$F$19*(datos_base!$F$4+IF(parametros_manuales!$H$19="Todos",datos_base!$F$11,0))*parametros_manuales!$K$107+parametros_manuales!$G$19*(datos_base!$F$5+IF(parametros_manuales!$H$19="Todos",datos_base!$F$12,0))*parametros_manuales!$K$112)*parametros_manuales!$I$19*parametros_manuales!$J$19</f>
        <v>7862.83</v>
      </c>
      <c r="L114" s="8">
        <f>(parametros_manuales!$D$19*(datos_base!$F$2+IF(parametros_manuales!$H$19="Todos",datos_base!$F$9,0))*parametros_manuales!$L$97+parametros_manuales!$E$19*(datos_base!$F$3+IF(parametros_manuales!$H$19="Todos",datos_base!$F$10,0))*parametros_manuales!$L$102+parametros_manuales!$F$19*(datos_base!$F$4+IF(parametros_manuales!$H$19="Todos",datos_base!$F$11,0))*parametros_manuales!$L$107+parametros_manuales!$G$19*(datos_base!$F$5+IF(parametros_manuales!$H$19="Todos",datos_base!$F$12,0))*parametros_manuales!$L$112)*parametros_manuales!$I$19*parametros_manuales!$J$19</f>
        <v>7996.5</v>
      </c>
      <c r="M114" s="8">
        <f>(parametros_manuales!$D$19*(datos_base!$F$2+IF(parametros_manuales!$H$19="Todos",datos_base!$F$9,0))*parametros_manuales!$M$97+parametros_manuales!$E$19*(datos_base!$F$3+IF(parametros_manuales!$H$19="Todos",datos_base!$F$10,0))*parametros_manuales!$M$102+parametros_manuales!$F$19*(datos_base!$F$4+IF(parametros_manuales!$H$19="Todos",datos_base!$F$11,0))*parametros_manuales!$M$107+parametros_manuales!$G$19*(datos_base!$F$5+IF(parametros_manuales!$H$19="Todos",datos_base!$F$12,0))*parametros_manuales!$M$112)*parametros_manuales!$I$19*parametros_manuales!$J$19</f>
        <v>7996.5</v>
      </c>
      <c r="N114" s="8">
        <f t="shared" ref="N114:N139" si="13">SUM(B114:M114)</f>
        <v>88850</v>
      </c>
      <c r="O114" s="8">
        <f t="shared" ref="O114:O139" si="14">MAX(B114:M114)</f>
        <v>7996.5</v>
      </c>
      <c r="P114" s="27">
        <f>O114/(parametros_manuales!$B$7)</f>
        <v>53.31</v>
      </c>
      <c r="Q114" s="4" t="str">
        <f t="shared" ref="Q114:Q139" si="15">IF(O114=0,"-",INDEX($B$113:$M$113,MATCH(O114,B114:M114,0)))</f>
        <v>Ene</v>
      </c>
      <c r="R114" s="16"/>
      <c r="S114" s="16"/>
    </row>
    <row r="115" ht="14.25" customHeight="1">
      <c r="A115" s="4" t="str">
        <f>parametros_manuales!$B$20</f>
        <v>Corte de chapa — 1.er corte en franjas (guillotina 1)</v>
      </c>
      <c r="B115" s="8">
        <f>(parametros_manuales!$D$20*(datos_base!$F$2+IF(parametros_manuales!$H$20="Todos",datos_base!$F$9,0))*parametros_manuales!$B$97+parametros_manuales!$E$20*(datos_base!$F$3+IF(parametros_manuales!$H$20="Todos",datos_base!$F$10,0))*parametros_manuales!$B$102+parametros_manuales!$F$20*(datos_base!$F$4+IF(parametros_manuales!$H$20="Todos",datos_base!$F$11,0))*parametros_manuales!$B$107+parametros_manuales!$G$20*(datos_base!$F$5+IF(parametros_manuales!$H$20="Todos",datos_base!$F$12,0))*parametros_manuales!$B$112)*parametros_manuales!$I$20*parametros_manuales!$J$20</f>
        <v>7996.5</v>
      </c>
      <c r="C115" s="8">
        <f>(parametros_manuales!$D$20*(datos_base!$F$2+IF(parametros_manuales!$H$20="Todos",datos_base!$F$9,0))*parametros_manuales!$C$97+parametros_manuales!$E$20*(datos_base!$F$3+IF(parametros_manuales!$H$20="Todos",datos_base!$F$10,0))*parametros_manuales!$C$102+parametros_manuales!$F$20*(datos_base!$F$4+IF(parametros_manuales!$H$20="Todos",datos_base!$F$11,0))*parametros_manuales!$C$107+parametros_manuales!$G$20*(datos_base!$F$5+IF(parametros_manuales!$H$20="Todos",datos_base!$F$12,0))*parametros_manuales!$C$112)*parametros_manuales!$I$20*parametros_manuales!$J$20</f>
        <v>7729.16</v>
      </c>
      <c r="D115" s="8">
        <f>(parametros_manuales!$D$20*(datos_base!$F$2+IF(parametros_manuales!$H$20="Todos",datos_base!$F$9,0))*parametros_manuales!$D$97+parametros_manuales!$E$20*(datos_base!$F$3+IF(parametros_manuales!$H$20="Todos",datos_base!$F$10,0))*parametros_manuales!$D$102+parametros_manuales!$F$20*(datos_base!$F$4+IF(parametros_manuales!$H$20="Todos",datos_base!$F$11,0))*parametros_manuales!$D$107+parametros_manuales!$G$20*(datos_base!$F$5+IF(parametros_manuales!$H$20="Todos",datos_base!$F$12,0))*parametros_manuales!$D$112)*parametros_manuales!$I$20*parametros_manuales!$J$20</f>
        <v>7241.67</v>
      </c>
      <c r="E115" s="8">
        <f>(parametros_manuales!$D$20*(datos_base!$F$2+IF(parametros_manuales!$H$20="Todos",datos_base!$F$9,0))*parametros_manuales!$E$97+parametros_manuales!$E$20*(datos_base!$F$3+IF(parametros_manuales!$H$20="Todos",datos_base!$F$10,0))*parametros_manuales!$E$102+parametros_manuales!$F$20*(datos_base!$F$4+IF(parametros_manuales!$H$20="Todos",datos_base!$F$11,0))*parametros_manuales!$E$107+parametros_manuales!$G$20*(datos_base!$F$5+IF(parametros_manuales!$H$20="Todos",datos_base!$F$12,0))*parametros_manuales!$E$112)*parametros_manuales!$I$20*parametros_manuales!$J$20</f>
        <v>6931.09</v>
      </c>
      <c r="F115" s="8">
        <f>(parametros_manuales!$D$20*(datos_base!$F$2+IF(parametros_manuales!$H$20="Todos",datos_base!$F$9,0))*parametros_manuales!$F$97+parametros_manuales!$E$20*(datos_base!$F$3+IF(parametros_manuales!$H$20="Todos",datos_base!$F$10,0))*parametros_manuales!$F$102+parametros_manuales!$F$20*(datos_base!$F$4+IF(parametros_manuales!$H$20="Todos",datos_base!$F$11,0))*parametros_manuales!$F$107+parametros_manuales!$G$20*(datos_base!$F$5+IF(parametros_manuales!$H$20="Todos",datos_base!$F$12,0))*parametros_manuales!$F$112)*parametros_manuales!$I$20*parametros_manuales!$J$20</f>
        <v>6486.84</v>
      </c>
      <c r="G115" s="8">
        <f>(parametros_manuales!$D$20*(datos_base!$F$2+IF(parametros_manuales!$H$20="Todos",datos_base!$F$9,0))*parametros_manuales!$G$97+parametros_manuales!$E$20*(datos_base!$F$3+IF(parametros_manuales!$H$20="Todos",datos_base!$F$10,0))*parametros_manuales!$G$102+parametros_manuales!$F$20*(datos_base!$F$4+IF(parametros_manuales!$H$20="Todos",datos_base!$F$11,0))*parametros_manuales!$G$107+parametros_manuales!$G$20*(datos_base!$F$5+IF(parametros_manuales!$H$20="Todos",datos_base!$F$12,0))*parametros_manuales!$G$112)*parametros_manuales!$I$20*parametros_manuales!$J$20</f>
        <v>6353.17</v>
      </c>
      <c r="H115" s="8">
        <f>(parametros_manuales!$D$20*(datos_base!$F$2+IF(parametros_manuales!$H$20="Todos",datos_base!$F$9,0))*parametros_manuales!$H$97+parametros_manuales!$E$20*(datos_base!$F$3+IF(parametros_manuales!$H$20="Todos",datos_base!$F$10,0))*parametros_manuales!$H$102+parametros_manuales!$F$20*(datos_base!$F$4+IF(parametros_manuales!$H$20="Todos",datos_base!$F$11,0))*parametros_manuales!$H$107+parametros_manuales!$G$20*(datos_base!$F$5+IF(parametros_manuales!$H$20="Todos",datos_base!$F$12,0))*parametros_manuales!$H$112)*parametros_manuales!$I$20*parametros_manuales!$J$20</f>
        <v>6797.42</v>
      </c>
      <c r="I115" s="8">
        <f>(parametros_manuales!$D$20*(datos_base!$F$2+IF(parametros_manuales!$H$20="Todos",datos_base!$F$9,0))*parametros_manuales!$I$97+parametros_manuales!$E$20*(datos_base!$F$3+IF(parametros_manuales!$H$20="Todos",datos_base!$F$10,0))*parametros_manuales!$I$102+parametros_manuales!$F$20*(datos_base!$F$4+IF(parametros_manuales!$H$20="Todos",datos_base!$F$11,0))*parametros_manuales!$I$107+parametros_manuales!$G$20*(datos_base!$F$5+IF(parametros_manuales!$H$20="Todos",datos_base!$F$12,0))*parametros_manuales!$I$112)*parametros_manuales!$I$20*parametros_manuales!$J$20</f>
        <v>7729.16</v>
      </c>
      <c r="J115" s="8">
        <f>(parametros_manuales!$D$20*(datos_base!$F$2+IF(parametros_manuales!$H$20="Todos",datos_base!$F$9,0))*parametros_manuales!$J$97+parametros_manuales!$E$20*(datos_base!$F$3+IF(parametros_manuales!$H$20="Todos",datos_base!$F$10,0))*parametros_manuales!$J$102+parametros_manuales!$F$20*(datos_base!$F$4+IF(parametros_manuales!$H$20="Todos",datos_base!$F$11,0))*parametros_manuales!$J$107+parametros_manuales!$G$20*(datos_base!$F$5+IF(parametros_manuales!$H$20="Todos",datos_base!$F$12,0))*parametros_manuales!$J$112)*parametros_manuales!$I$20*parametros_manuales!$J$20</f>
        <v>7729.16</v>
      </c>
      <c r="K115" s="8">
        <f>(parametros_manuales!$D$20*(datos_base!$F$2+IF(parametros_manuales!$H$20="Todos",datos_base!$F$9,0))*parametros_manuales!$K$97+parametros_manuales!$E$20*(datos_base!$F$3+IF(parametros_manuales!$H$20="Todos",datos_base!$F$10,0))*parametros_manuales!$K$102+parametros_manuales!$F$20*(datos_base!$F$4+IF(parametros_manuales!$H$20="Todos",datos_base!$F$11,0))*parametros_manuales!$K$107+parametros_manuales!$G$20*(datos_base!$F$5+IF(parametros_manuales!$H$20="Todos",datos_base!$F$12,0))*parametros_manuales!$K$112)*parametros_manuales!$I$20*parametros_manuales!$J$20</f>
        <v>7862.83</v>
      </c>
      <c r="L115" s="8">
        <f>(parametros_manuales!$D$20*(datos_base!$F$2+IF(parametros_manuales!$H$20="Todos",datos_base!$F$9,0))*parametros_manuales!$L$97+parametros_manuales!$E$20*(datos_base!$F$3+IF(parametros_manuales!$H$20="Todos",datos_base!$F$10,0))*parametros_manuales!$L$102+parametros_manuales!$F$20*(datos_base!$F$4+IF(parametros_manuales!$H$20="Todos",datos_base!$F$11,0))*parametros_manuales!$L$107+parametros_manuales!$G$20*(datos_base!$F$5+IF(parametros_manuales!$H$20="Todos",datos_base!$F$12,0))*parametros_manuales!$L$112)*parametros_manuales!$I$20*parametros_manuales!$J$20</f>
        <v>7996.5</v>
      </c>
      <c r="M115" s="8">
        <f>(parametros_manuales!$D$20*(datos_base!$F$2+IF(parametros_manuales!$H$20="Todos",datos_base!$F$9,0))*parametros_manuales!$M$97+parametros_manuales!$E$20*(datos_base!$F$3+IF(parametros_manuales!$H$20="Todos",datos_base!$F$10,0))*parametros_manuales!$M$102+parametros_manuales!$F$20*(datos_base!$F$4+IF(parametros_manuales!$H$20="Todos",datos_base!$F$11,0))*parametros_manuales!$M$107+parametros_manuales!$G$20*(datos_base!$F$5+IF(parametros_manuales!$H$20="Todos",datos_base!$F$12,0))*parametros_manuales!$M$112)*parametros_manuales!$I$20*parametros_manuales!$J$20</f>
        <v>7996.5</v>
      </c>
      <c r="N115" s="8">
        <f t="shared" si="13"/>
        <v>88850</v>
      </c>
      <c r="O115" s="8">
        <f t="shared" si="14"/>
        <v>7996.5</v>
      </c>
      <c r="P115" s="27">
        <f>O115/(parametros_manuales!$B$7)</f>
        <v>53.31</v>
      </c>
      <c r="Q115" s="4" t="str">
        <f t="shared" si="15"/>
        <v>Ene</v>
      </c>
      <c r="R115" s="16"/>
      <c r="S115" s="16"/>
    </row>
    <row r="116" ht="14.25" customHeight="1">
      <c r="A116" s="4" t="str">
        <f>parametros_manuales!$B$21</f>
        <v>Corte de chapa — 2.º corte en piezas (guillotina 2)</v>
      </c>
      <c r="B116" s="8">
        <f>(parametros_manuales!$D$21*(datos_base!$F$2+IF(parametros_manuales!$H$21="Todos",datos_base!$F$9,0))*parametros_manuales!$B$97+parametros_manuales!$E$21*(datos_base!$F$3+IF(parametros_manuales!$H$21="Todos",datos_base!$F$10,0))*parametros_manuales!$B$102+parametros_manuales!$F$21*(datos_base!$F$4+IF(parametros_manuales!$H$21="Todos",datos_base!$F$11,0))*parametros_manuales!$B$107+parametros_manuales!$G$21*(datos_base!$F$5+IF(parametros_manuales!$H$21="Todos",datos_base!$F$12,0))*parametros_manuales!$B$112)*parametros_manuales!$I$21*parametros_manuales!$J$21</f>
        <v>7996.5</v>
      </c>
      <c r="C116" s="8">
        <f>(parametros_manuales!$D$21*(datos_base!$F$2+IF(parametros_manuales!$H$21="Todos",datos_base!$F$9,0))*parametros_manuales!$C$97+parametros_manuales!$E$21*(datos_base!$F$3+IF(parametros_manuales!$H$21="Todos",datos_base!$F$10,0))*parametros_manuales!$C$102+parametros_manuales!$F$21*(datos_base!$F$4+IF(parametros_manuales!$H$21="Todos",datos_base!$F$11,0))*parametros_manuales!$C$107+parametros_manuales!$G$21*(datos_base!$F$5+IF(parametros_manuales!$H$21="Todos",datos_base!$F$12,0))*parametros_manuales!$C$112)*parametros_manuales!$I$21*parametros_manuales!$J$21</f>
        <v>7729.16</v>
      </c>
      <c r="D116" s="8">
        <f>(parametros_manuales!$D$21*(datos_base!$F$2+IF(parametros_manuales!$H$21="Todos",datos_base!$F$9,0))*parametros_manuales!$D$97+parametros_manuales!$E$21*(datos_base!$F$3+IF(parametros_manuales!$H$21="Todos",datos_base!$F$10,0))*parametros_manuales!$D$102+parametros_manuales!$F$21*(datos_base!$F$4+IF(parametros_manuales!$H$21="Todos",datos_base!$F$11,0))*parametros_manuales!$D$107+parametros_manuales!$G$21*(datos_base!$F$5+IF(parametros_manuales!$H$21="Todos",datos_base!$F$12,0))*parametros_manuales!$D$112)*parametros_manuales!$I$21*parametros_manuales!$J$21</f>
        <v>7241.67</v>
      </c>
      <c r="E116" s="8">
        <f>(parametros_manuales!$D$21*(datos_base!$F$2+IF(parametros_manuales!$H$21="Todos",datos_base!$F$9,0))*parametros_manuales!$E$97+parametros_manuales!$E$21*(datos_base!$F$3+IF(parametros_manuales!$H$21="Todos",datos_base!$F$10,0))*parametros_manuales!$E$102+parametros_manuales!$F$21*(datos_base!$F$4+IF(parametros_manuales!$H$21="Todos",datos_base!$F$11,0))*parametros_manuales!$E$107+parametros_manuales!$G$21*(datos_base!$F$5+IF(parametros_manuales!$H$21="Todos",datos_base!$F$12,0))*parametros_manuales!$E$112)*parametros_manuales!$I$21*parametros_manuales!$J$21</f>
        <v>6931.09</v>
      </c>
      <c r="F116" s="8">
        <f>(parametros_manuales!$D$21*(datos_base!$F$2+IF(parametros_manuales!$H$21="Todos",datos_base!$F$9,0))*parametros_manuales!$F$97+parametros_manuales!$E$21*(datos_base!$F$3+IF(parametros_manuales!$H$21="Todos",datos_base!$F$10,0))*parametros_manuales!$F$102+parametros_manuales!$F$21*(datos_base!$F$4+IF(parametros_manuales!$H$21="Todos",datos_base!$F$11,0))*parametros_manuales!$F$107+parametros_manuales!$G$21*(datos_base!$F$5+IF(parametros_manuales!$H$21="Todos",datos_base!$F$12,0))*parametros_manuales!$F$112)*parametros_manuales!$I$21*parametros_manuales!$J$21</f>
        <v>6486.84</v>
      </c>
      <c r="G116" s="8">
        <f>(parametros_manuales!$D$21*(datos_base!$F$2+IF(parametros_manuales!$H$21="Todos",datos_base!$F$9,0))*parametros_manuales!$G$97+parametros_manuales!$E$21*(datos_base!$F$3+IF(parametros_manuales!$H$21="Todos",datos_base!$F$10,0))*parametros_manuales!$G$102+parametros_manuales!$F$21*(datos_base!$F$4+IF(parametros_manuales!$H$21="Todos",datos_base!$F$11,0))*parametros_manuales!$G$107+parametros_manuales!$G$21*(datos_base!$F$5+IF(parametros_manuales!$H$21="Todos",datos_base!$F$12,0))*parametros_manuales!$G$112)*parametros_manuales!$I$21*parametros_manuales!$J$21</f>
        <v>6353.17</v>
      </c>
      <c r="H116" s="8">
        <f>(parametros_manuales!$D$21*(datos_base!$F$2+IF(parametros_manuales!$H$21="Todos",datos_base!$F$9,0))*parametros_manuales!$H$97+parametros_manuales!$E$21*(datos_base!$F$3+IF(parametros_manuales!$H$21="Todos",datos_base!$F$10,0))*parametros_manuales!$H$102+parametros_manuales!$F$21*(datos_base!$F$4+IF(parametros_manuales!$H$21="Todos",datos_base!$F$11,0))*parametros_manuales!$H$107+parametros_manuales!$G$21*(datos_base!$F$5+IF(parametros_manuales!$H$21="Todos",datos_base!$F$12,0))*parametros_manuales!$H$112)*parametros_manuales!$I$21*parametros_manuales!$J$21</f>
        <v>6797.42</v>
      </c>
      <c r="I116" s="8">
        <f>(parametros_manuales!$D$21*(datos_base!$F$2+IF(parametros_manuales!$H$21="Todos",datos_base!$F$9,0))*parametros_manuales!$I$97+parametros_manuales!$E$21*(datos_base!$F$3+IF(parametros_manuales!$H$21="Todos",datos_base!$F$10,0))*parametros_manuales!$I$102+parametros_manuales!$F$21*(datos_base!$F$4+IF(parametros_manuales!$H$21="Todos",datos_base!$F$11,0))*parametros_manuales!$I$107+parametros_manuales!$G$21*(datos_base!$F$5+IF(parametros_manuales!$H$21="Todos",datos_base!$F$12,0))*parametros_manuales!$I$112)*parametros_manuales!$I$21*parametros_manuales!$J$21</f>
        <v>7729.16</v>
      </c>
      <c r="J116" s="8">
        <f>(parametros_manuales!$D$21*(datos_base!$F$2+IF(parametros_manuales!$H$21="Todos",datos_base!$F$9,0))*parametros_manuales!$J$97+parametros_manuales!$E$21*(datos_base!$F$3+IF(parametros_manuales!$H$21="Todos",datos_base!$F$10,0))*parametros_manuales!$J$102+parametros_manuales!$F$21*(datos_base!$F$4+IF(parametros_manuales!$H$21="Todos",datos_base!$F$11,0))*parametros_manuales!$J$107+parametros_manuales!$G$21*(datos_base!$F$5+IF(parametros_manuales!$H$21="Todos",datos_base!$F$12,0))*parametros_manuales!$J$112)*parametros_manuales!$I$21*parametros_manuales!$J$21</f>
        <v>7729.16</v>
      </c>
      <c r="K116" s="8">
        <f>(parametros_manuales!$D$21*(datos_base!$F$2+IF(parametros_manuales!$H$21="Todos",datos_base!$F$9,0))*parametros_manuales!$K$97+parametros_manuales!$E$21*(datos_base!$F$3+IF(parametros_manuales!$H$21="Todos",datos_base!$F$10,0))*parametros_manuales!$K$102+parametros_manuales!$F$21*(datos_base!$F$4+IF(parametros_manuales!$H$21="Todos",datos_base!$F$11,0))*parametros_manuales!$K$107+parametros_manuales!$G$21*(datos_base!$F$5+IF(parametros_manuales!$H$21="Todos",datos_base!$F$12,0))*parametros_manuales!$K$112)*parametros_manuales!$I$21*parametros_manuales!$J$21</f>
        <v>7862.83</v>
      </c>
      <c r="L116" s="8">
        <f>(parametros_manuales!$D$21*(datos_base!$F$2+IF(parametros_manuales!$H$21="Todos",datos_base!$F$9,0))*parametros_manuales!$L$97+parametros_manuales!$E$21*(datos_base!$F$3+IF(parametros_manuales!$H$21="Todos",datos_base!$F$10,0))*parametros_manuales!$L$102+parametros_manuales!$F$21*(datos_base!$F$4+IF(parametros_manuales!$H$21="Todos",datos_base!$F$11,0))*parametros_manuales!$L$107+parametros_manuales!$G$21*(datos_base!$F$5+IF(parametros_manuales!$H$21="Todos",datos_base!$F$12,0))*parametros_manuales!$L$112)*parametros_manuales!$I$21*parametros_manuales!$J$21</f>
        <v>7996.5</v>
      </c>
      <c r="M116" s="8">
        <f>(parametros_manuales!$D$21*(datos_base!$F$2+IF(parametros_manuales!$H$21="Todos",datos_base!$F$9,0))*parametros_manuales!$M$97+parametros_manuales!$E$21*(datos_base!$F$3+IF(parametros_manuales!$H$21="Todos",datos_base!$F$10,0))*parametros_manuales!$M$102+parametros_manuales!$F$21*(datos_base!$F$4+IF(parametros_manuales!$H$21="Todos",datos_base!$F$11,0))*parametros_manuales!$M$107+parametros_manuales!$G$21*(datos_base!$F$5+IF(parametros_manuales!$H$21="Todos",datos_base!$F$12,0))*parametros_manuales!$M$112)*parametros_manuales!$I$21*parametros_manuales!$J$21</f>
        <v>7996.5</v>
      </c>
      <c r="N116" s="8">
        <f t="shared" si="13"/>
        <v>88850</v>
      </c>
      <c r="O116" s="8">
        <f t="shared" si="14"/>
        <v>7996.5</v>
      </c>
      <c r="P116" s="27">
        <f>O116/(parametros_manuales!$B$7)</f>
        <v>53.31</v>
      </c>
      <c r="Q116" s="4" t="str">
        <f t="shared" si="15"/>
        <v>Ene</v>
      </c>
      <c r="R116" s="16"/>
      <c r="S116" s="16"/>
    </row>
    <row r="117" ht="14.25" customHeight="1">
      <c r="A117" s="4" t="str">
        <f>parametros_manuales!$B$22</f>
        <v>Corte de disco y embutido (cúpula y fondo)</v>
      </c>
      <c r="B117" s="8">
        <f>(parametros_manuales!$D$22*(datos_base!$F$2+IF(parametros_manuales!$H$22="Todos",datos_base!$F$9,0))*parametros_manuales!$B$97+parametros_manuales!$E$22*(datos_base!$F$3+IF(parametros_manuales!$H$22="Todos",datos_base!$F$10,0))*parametros_manuales!$B$102+parametros_manuales!$F$22*(datos_base!$F$4+IF(parametros_manuales!$H$22="Todos",datos_base!$F$11,0))*parametros_manuales!$B$107+parametros_manuales!$G$22*(datos_base!$F$5+IF(parametros_manuales!$H$22="Todos",datos_base!$F$12,0))*parametros_manuales!$B$112)*parametros_manuales!$I$22*parametros_manuales!$J$22</f>
        <v>15993</v>
      </c>
      <c r="C117" s="8">
        <f>(parametros_manuales!$D$22*(datos_base!$F$2+IF(parametros_manuales!$H$22="Todos",datos_base!$F$9,0))*parametros_manuales!$C$97+parametros_manuales!$E$22*(datos_base!$F$3+IF(parametros_manuales!$H$22="Todos",datos_base!$F$10,0))*parametros_manuales!$C$102+parametros_manuales!$F$22*(datos_base!$F$4+IF(parametros_manuales!$H$22="Todos",datos_base!$F$11,0))*parametros_manuales!$C$107+parametros_manuales!$G$22*(datos_base!$F$5+IF(parametros_manuales!$H$22="Todos",datos_base!$F$12,0))*parametros_manuales!$C$112)*parametros_manuales!$I$22*parametros_manuales!$J$22</f>
        <v>15458.32</v>
      </c>
      <c r="D117" s="8">
        <f>(parametros_manuales!$D$22*(datos_base!$F$2+IF(parametros_manuales!$H$22="Todos",datos_base!$F$9,0))*parametros_manuales!$D$97+parametros_manuales!$E$22*(datos_base!$F$3+IF(parametros_manuales!$H$22="Todos",datos_base!$F$10,0))*parametros_manuales!$D$102+parametros_manuales!$F$22*(datos_base!$F$4+IF(parametros_manuales!$H$22="Todos",datos_base!$F$11,0))*parametros_manuales!$D$107+parametros_manuales!$G$22*(datos_base!$F$5+IF(parametros_manuales!$H$22="Todos",datos_base!$F$12,0))*parametros_manuales!$D$112)*parametros_manuales!$I$22*parametros_manuales!$J$22</f>
        <v>14483.34</v>
      </c>
      <c r="E117" s="8">
        <f>(parametros_manuales!$D$22*(datos_base!$F$2+IF(parametros_manuales!$H$22="Todos",datos_base!$F$9,0))*parametros_manuales!$E$97+parametros_manuales!$E$22*(datos_base!$F$3+IF(parametros_manuales!$H$22="Todos",datos_base!$F$10,0))*parametros_manuales!$E$102+parametros_manuales!$F$22*(datos_base!$F$4+IF(parametros_manuales!$H$22="Todos",datos_base!$F$11,0))*parametros_manuales!$E$107+parametros_manuales!$G$22*(datos_base!$F$5+IF(parametros_manuales!$H$22="Todos",datos_base!$F$12,0))*parametros_manuales!$E$112)*parametros_manuales!$I$22*parametros_manuales!$J$22</f>
        <v>13862.18</v>
      </c>
      <c r="F117" s="8">
        <f>(parametros_manuales!$D$22*(datos_base!$F$2+IF(parametros_manuales!$H$22="Todos",datos_base!$F$9,0))*parametros_manuales!$F$97+parametros_manuales!$E$22*(datos_base!$F$3+IF(parametros_manuales!$H$22="Todos",datos_base!$F$10,0))*parametros_manuales!$F$102+parametros_manuales!$F$22*(datos_base!$F$4+IF(parametros_manuales!$H$22="Todos",datos_base!$F$11,0))*parametros_manuales!$F$107+parametros_manuales!$G$22*(datos_base!$F$5+IF(parametros_manuales!$H$22="Todos",datos_base!$F$12,0))*parametros_manuales!$F$112)*parametros_manuales!$I$22*parametros_manuales!$J$22</f>
        <v>12973.68</v>
      </c>
      <c r="G117" s="8">
        <f>(parametros_manuales!$D$22*(datos_base!$F$2+IF(parametros_manuales!$H$22="Todos",datos_base!$F$9,0))*parametros_manuales!$G$97+parametros_manuales!$E$22*(datos_base!$F$3+IF(parametros_manuales!$H$22="Todos",datos_base!$F$10,0))*parametros_manuales!$G$102+parametros_manuales!$F$22*(datos_base!$F$4+IF(parametros_manuales!$H$22="Todos",datos_base!$F$11,0))*parametros_manuales!$G$107+parametros_manuales!$G$22*(datos_base!$F$5+IF(parametros_manuales!$H$22="Todos",datos_base!$F$12,0))*parametros_manuales!$G$112)*parametros_manuales!$I$22*parametros_manuales!$J$22</f>
        <v>12706.34</v>
      </c>
      <c r="H117" s="8">
        <f>(parametros_manuales!$D$22*(datos_base!$F$2+IF(parametros_manuales!$H$22="Todos",datos_base!$F$9,0))*parametros_manuales!$H$97+parametros_manuales!$E$22*(datos_base!$F$3+IF(parametros_manuales!$H$22="Todos",datos_base!$F$10,0))*parametros_manuales!$H$102+parametros_manuales!$F$22*(datos_base!$F$4+IF(parametros_manuales!$H$22="Todos",datos_base!$F$11,0))*parametros_manuales!$H$107+parametros_manuales!$G$22*(datos_base!$F$5+IF(parametros_manuales!$H$22="Todos",datos_base!$F$12,0))*parametros_manuales!$H$112)*parametros_manuales!$I$22*parametros_manuales!$J$22</f>
        <v>13594.84</v>
      </c>
      <c r="I117" s="8">
        <f>(parametros_manuales!$D$22*(datos_base!$F$2+IF(parametros_manuales!$H$22="Todos",datos_base!$F$9,0))*parametros_manuales!$I$97+parametros_manuales!$E$22*(datos_base!$F$3+IF(parametros_manuales!$H$22="Todos",datos_base!$F$10,0))*parametros_manuales!$I$102+parametros_manuales!$F$22*(datos_base!$F$4+IF(parametros_manuales!$H$22="Todos",datos_base!$F$11,0))*parametros_manuales!$I$107+parametros_manuales!$G$22*(datos_base!$F$5+IF(parametros_manuales!$H$22="Todos",datos_base!$F$12,0))*parametros_manuales!$I$112)*parametros_manuales!$I$22*parametros_manuales!$J$22</f>
        <v>15458.32</v>
      </c>
      <c r="J117" s="8">
        <f>(parametros_manuales!$D$22*(datos_base!$F$2+IF(parametros_manuales!$H$22="Todos",datos_base!$F$9,0))*parametros_manuales!$J$97+parametros_manuales!$E$22*(datos_base!$F$3+IF(parametros_manuales!$H$22="Todos",datos_base!$F$10,0))*parametros_manuales!$J$102+parametros_manuales!$F$22*(datos_base!$F$4+IF(parametros_manuales!$H$22="Todos",datos_base!$F$11,0))*parametros_manuales!$J$107+parametros_manuales!$G$22*(datos_base!$F$5+IF(parametros_manuales!$H$22="Todos",datos_base!$F$12,0))*parametros_manuales!$J$112)*parametros_manuales!$I$22*parametros_manuales!$J$22</f>
        <v>15458.32</v>
      </c>
      <c r="K117" s="8">
        <f>(parametros_manuales!$D$22*(datos_base!$F$2+IF(parametros_manuales!$H$22="Todos",datos_base!$F$9,0))*parametros_manuales!$K$97+parametros_manuales!$E$22*(datos_base!$F$3+IF(parametros_manuales!$H$22="Todos",datos_base!$F$10,0))*parametros_manuales!$K$102+parametros_manuales!$F$22*(datos_base!$F$4+IF(parametros_manuales!$H$22="Todos",datos_base!$F$11,0))*parametros_manuales!$K$107+parametros_manuales!$G$22*(datos_base!$F$5+IF(parametros_manuales!$H$22="Todos",datos_base!$F$12,0))*parametros_manuales!$K$112)*parametros_manuales!$I$22*parametros_manuales!$J$22</f>
        <v>15725.66</v>
      </c>
      <c r="L117" s="8">
        <f>(parametros_manuales!$D$22*(datos_base!$F$2+IF(parametros_manuales!$H$22="Todos",datos_base!$F$9,0))*parametros_manuales!$L$97+parametros_manuales!$E$22*(datos_base!$F$3+IF(parametros_manuales!$H$22="Todos",datos_base!$F$10,0))*parametros_manuales!$L$102+parametros_manuales!$F$22*(datos_base!$F$4+IF(parametros_manuales!$H$22="Todos",datos_base!$F$11,0))*parametros_manuales!$L$107+parametros_manuales!$G$22*(datos_base!$F$5+IF(parametros_manuales!$H$22="Todos",datos_base!$F$12,0))*parametros_manuales!$L$112)*parametros_manuales!$I$22*parametros_manuales!$J$22</f>
        <v>15993</v>
      </c>
      <c r="M117" s="8">
        <f>(parametros_manuales!$D$22*(datos_base!$F$2+IF(parametros_manuales!$H$22="Todos",datos_base!$F$9,0))*parametros_manuales!$M$97+parametros_manuales!$E$22*(datos_base!$F$3+IF(parametros_manuales!$H$22="Todos",datos_base!$F$10,0))*parametros_manuales!$M$102+parametros_manuales!$F$22*(datos_base!$F$4+IF(parametros_manuales!$H$22="Todos",datos_base!$F$11,0))*parametros_manuales!$M$107+parametros_manuales!$G$22*(datos_base!$F$5+IF(parametros_manuales!$H$22="Todos",datos_base!$F$12,0))*parametros_manuales!$M$112)*parametros_manuales!$I$22*parametros_manuales!$J$22</f>
        <v>15993</v>
      </c>
      <c r="N117" s="8">
        <f t="shared" si="13"/>
        <v>177700</v>
      </c>
      <c r="O117" s="8">
        <f t="shared" si="14"/>
        <v>15993</v>
      </c>
      <c r="P117" s="27">
        <f>O117/(parametros_manuales!$B$7)</f>
        <v>106.62</v>
      </c>
      <c r="Q117" s="4" t="str">
        <f t="shared" si="15"/>
        <v>Ene</v>
      </c>
      <c r="R117" s="16"/>
      <c r="S117" s="16"/>
    </row>
    <row r="118" ht="14.25" customHeight="1">
      <c r="A118" s="4" t="str">
        <f>parametros_manuales!$B$23</f>
        <v>Preparación de cuello</v>
      </c>
      <c r="B118" s="8">
        <f>(parametros_manuales!$D$23*(datos_base!$F$2+IF(parametros_manuales!$H$23="Todos",datos_base!$F$9,0))*parametros_manuales!$B$97+parametros_manuales!$E$23*(datos_base!$F$3+IF(parametros_manuales!$H$23="Todos",datos_base!$F$10,0))*parametros_manuales!$B$102+parametros_manuales!$F$23*(datos_base!$F$4+IF(parametros_manuales!$H$23="Todos",datos_base!$F$11,0))*parametros_manuales!$B$107+parametros_manuales!$G$23*(datos_base!$F$5+IF(parametros_manuales!$H$23="Todos",datos_base!$F$12,0))*parametros_manuales!$B$112)*parametros_manuales!$I$23*parametros_manuales!$J$23</f>
        <v>7996.5</v>
      </c>
      <c r="C118" s="8">
        <f>(parametros_manuales!$D$23*(datos_base!$F$2+IF(parametros_manuales!$H$23="Todos",datos_base!$F$9,0))*parametros_manuales!$C$97+parametros_manuales!$E$23*(datos_base!$F$3+IF(parametros_manuales!$H$23="Todos",datos_base!$F$10,0))*parametros_manuales!$C$102+parametros_manuales!$F$23*(datos_base!$F$4+IF(parametros_manuales!$H$23="Todos",datos_base!$F$11,0))*parametros_manuales!$C$107+parametros_manuales!$G$23*(datos_base!$F$5+IF(parametros_manuales!$H$23="Todos",datos_base!$F$12,0))*parametros_manuales!$C$112)*parametros_manuales!$I$23*parametros_manuales!$J$23</f>
        <v>7729.16</v>
      </c>
      <c r="D118" s="8">
        <f>(parametros_manuales!$D$23*(datos_base!$F$2+IF(parametros_manuales!$H$23="Todos",datos_base!$F$9,0))*parametros_manuales!$D$97+parametros_manuales!$E$23*(datos_base!$F$3+IF(parametros_manuales!$H$23="Todos",datos_base!$F$10,0))*parametros_manuales!$D$102+parametros_manuales!$F$23*(datos_base!$F$4+IF(parametros_manuales!$H$23="Todos",datos_base!$F$11,0))*parametros_manuales!$D$107+parametros_manuales!$G$23*(datos_base!$F$5+IF(parametros_manuales!$H$23="Todos",datos_base!$F$12,0))*parametros_manuales!$D$112)*parametros_manuales!$I$23*parametros_manuales!$J$23</f>
        <v>7241.67</v>
      </c>
      <c r="E118" s="8">
        <f>(parametros_manuales!$D$23*(datos_base!$F$2+IF(parametros_manuales!$H$23="Todos",datos_base!$F$9,0))*parametros_manuales!$E$97+parametros_manuales!$E$23*(datos_base!$F$3+IF(parametros_manuales!$H$23="Todos",datos_base!$F$10,0))*parametros_manuales!$E$102+parametros_manuales!$F$23*(datos_base!$F$4+IF(parametros_manuales!$H$23="Todos",datos_base!$F$11,0))*parametros_manuales!$E$107+parametros_manuales!$G$23*(datos_base!$F$5+IF(parametros_manuales!$H$23="Todos",datos_base!$F$12,0))*parametros_manuales!$E$112)*parametros_manuales!$I$23*parametros_manuales!$J$23</f>
        <v>6931.09</v>
      </c>
      <c r="F118" s="8">
        <f>(parametros_manuales!$D$23*(datos_base!$F$2+IF(parametros_manuales!$H$23="Todos",datos_base!$F$9,0))*parametros_manuales!$F$97+parametros_manuales!$E$23*(datos_base!$F$3+IF(parametros_manuales!$H$23="Todos",datos_base!$F$10,0))*parametros_manuales!$F$102+parametros_manuales!$F$23*(datos_base!$F$4+IF(parametros_manuales!$H$23="Todos",datos_base!$F$11,0))*parametros_manuales!$F$107+parametros_manuales!$G$23*(datos_base!$F$5+IF(parametros_manuales!$H$23="Todos",datos_base!$F$12,0))*parametros_manuales!$F$112)*parametros_manuales!$I$23*parametros_manuales!$J$23</f>
        <v>6486.84</v>
      </c>
      <c r="G118" s="8">
        <f>(parametros_manuales!$D$23*(datos_base!$F$2+IF(parametros_manuales!$H$23="Todos",datos_base!$F$9,0))*parametros_manuales!$G$97+parametros_manuales!$E$23*(datos_base!$F$3+IF(parametros_manuales!$H$23="Todos",datos_base!$F$10,0))*parametros_manuales!$G$102+parametros_manuales!$F$23*(datos_base!$F$4+IF(parametros_manuales!$H$23="Todos",datos_base!$F$11,0))*parametros_manuales!$G$107+parametros_manuales!$G$23*(datos_base!$F$5+IF(parametros_manuales!$H$23="Todos",datos_base!$F$12,0))*parametros_manuales!$G$112)*parametros_manuales!$I$23*parametros_manuales!$J$23</f>
        <v>6353.17</v>
      </c>
      <c r="H118" s="8">
        <f>(parametros_manuales!$D$23*(datos_base!$F$2+IF(parametros_manuales!$H$23="Todos",datos_base!$F$9,0))*parametros_manuales!$H$97+parametros_manuales!$E$23*(datos_base!$F$3+IF(parametros_manuales!$H$23="Todos",datos_base!$F$10,0))*parametros_manuales!$H$102+parametros_manuales!$F$23*(datos_base!$F$4+IF(parametros_manuales!$H$23="Todos",datos_base!$F$11,0))*parametros_manuales!$H$107+parametros_manuales!$G$23*(datos_base!$F$5+IF(parametros_manuales!$H$23="Todos",datos_base!$F$12,0))*parametros_manuales!$H$112)*parametros_manuales!$I$23*parametros_manuales!$J$23</f>
        <v>6797.42</v>
      </c>
      <c r="I118" s="8">
        <f>(parametros_manuales!$D$23*(datos_base!$F$2+IF(parametros_manuales!$H$23="Todos",datos_base!$F$9,0))*parametros_manuales!$I$97+parametros_manuales!$E$23*(datos_base!$F$3+IF(parametros_manuales!$H$23="Todos",datos_base!$F$10,0))*parametros_manuales!$I$102+parametros_manuales!$F$23*(datos_base!$F$4+IF(parametros_manuales!$H$23="Todos",datos_base!$F$11,0))*parametros_manuales!$I$107+parametros_manuales!$G$23*(datos_base!$F$5+IF(parametros_manuales!$H$23="Todos",datos_base!$F$12,0))*parametros_manuales!$I$112)*parametros_manuales!$I$23*parametros_manuales!$J$23</f>
        <v>7729.16</v>
      </c>
      <c r="J118" s="8">
        <f>(parametros_manuales!$D$23*(datos_base!$F$2+IF(parametros_manuales!$H$23="Todos",datos_base!$F$9,0))*parametros_manuales!$J$97+parametros_manuales!$E$23*(datos_base!$F$3+IF(parametros_manuales!$H$23="Todos",datos_base!$F$10,0))*parametros_manuales!$J$102+parametros_manuales!$F$23*(datos_base!$F$4+IF(parametros_manuales!$H$23="Todos",datos_base!$F$11,0))*parametros_manuales!$J$107+parametros_manuales!$G$23*(datos_base!$F$5+IF(parametros_manuales!$H$23="Todos",datos_base!$F$12,0))*parametros_manuales!$J$112)*parametros_manuales!$I$23*parametros_manuales!$J$23</f>
        <v>7729.16</v>
      </c>
      <c r="K118" s="8">
        <f>(parametros_manuales!$D$23*(datos_base!$F$2+IF(parametros_manuales!$H$23="Todos",datos_base!$F$9,0))*parametros_manuales!$K$97+parametros_manuales!$E$23*(datos_base!$F$3+IF(parametros_manuales!$H$23="Todos",datos_base!$F$10,0))*parametros_manuales!$K$102+parametros_manuales!$F$23*(datos_base!$F$4+IF(parametros_manuales!$H$23="Todos",datos_base!$F$11,0))*parametros_manuales!$K$107+parametros_manuales!$G$23*(datos_base!$F$5+IF(parametros_manuales!$H$23="Todos",datos_base!$F$12,0))*parametros_manuales!$K$112)*parametros_manuales!$I$23*parametros_manuales!$J$23</f>
        <v>7862.83</v>
      </c>
      <c r="L118" s="8">
        <f>(parametros_manuales!$D$23*(datos_base!$F$2+IF(parametros_manuales!$H$23="Todos",datos_base!$F$9,0))*parametros_manuales!$L$97+parametros_manuales!$E$23*(datos_base!$F$3+IF(parametros_manuales!$H$23="Todos",datos_base!$F$10,0))*parametros_manuales!$L$102+parametros_manuales!$F$23*(datos_base!$F$4+IF(parametros_manuales!$H$23="Todos",datos_base!$F$11,0))*parametros_manuales!$L$107+parametros_manuales!$G$23*(datos_base!$F$5+IF(parametros_manuales!$H$23="Todos",datos_base!$F$12,0))*parametros_manuales!$L$112)*parametros_manuales!$I$23*parametros_manuales!$J$23</f>
        <v>7996.5</v>
      </c>
      <c r="M118" s="8">
        <f>(parametros_manuales!$D$23*(datos_base!$F$2+IF(parametros_manuales!$H$23="Todos",datos_base!$F$9,0))*parametros_manuales!$M$97+parametros_manuales!$E$23*(datos_base!$F$3+IF(parametros_manuales!$H$23="Todos",datos_base!$F$10,0))*parametros_manuales!$M$102+parametros_manuales!$F$23*(datos_base!$F$4+IF(parametros_manuales!$H$23="Todos",datos_base!$F$11,0))*parametros_manuales!$M$107+parametros_manuales!$G$23*(datos_base!$F$5+IF(parametros_manuales!$H$23="Todos",datos_base!$F$12,0))*parametros_manuales!$M$112)*parametros_manuales!$I$23*parametros_manuales!$J$23</f>
        <v>7996.5</v>
      </c>
      <c r="N118" s="8">
        <f t="shared" si="13"/>
        <v>88850</v>
      </c>
      <c r="O118" s="8">
        <f t="shared" si="14"/>
        <v>7996.5</v>
      </c>
      <c r="P118" s="27">
        <f>O118/(parametros_manuales!$B$7)</f>
        <v>53.31</v>
      </c>
      <c r="Q118" s="4" t="str">
        <f t="shared" si="15"/>
        <v>Ene</v>
      </c>
      <c r="R118" s="16"/>
      <c r="S118" s="16"/>
    </row>
    <row r="119" ht="14.25" customHeight="1">
      <c r="A119" s="4" t="str">
        <f>parametros_manuales!$B$24</f>
        <v>Numerado de cúpula</v>
      </c>
      <c r="B119" s="8">
        <f>(parametros_manuales!$D$24*(datos_base!$F$2+IF(parametros_manuales!$H$24="Todos",datos_base!$F$9,0))*parametros_manuales!$B$97+parametros_manuales!$E$24*(datos_base!$F$3+IF(parametros_manuales!$H$24="Todos",datos_base!$F$10,0))*parametros_manuales!$B$102+parametros_manuales!$F$24*(datos_base!$F$4+IF(parametros_manuales!$H$24="Todos",datos_base!$F$11,0))*parametros_manuales!$B$107+parametros_manuales!$G$24*(datos_base!$F$5+IF(parametros_manuales!$H$24="Todos",datos_base!$F$12,0))*parametros_manuales!$B$112)*parametros_manuales!$I$24*parametros_manuales!$J$24</f>
        <v>7996.5</v>
      </c>
      <c r="C119" s="8">
        <f>(parametros_manuales!$D$24*(datos_base!$F$2+IF(parametros_manuales!$H$24="Todos",datos_base!$F$9,0))*parametros_manuales!$C$97+parametros_manuales!$E$24*(datos_base!$F$3+IF(parametros_manuales!$H$24="Todos",datos_base!$F$10,0))*parametros_manuales!$C$102+parametros_manuales!$F$24*(datos_base!$F$4+IF(parametros_manuales!$H$24="Todos",datos_base!$F$11,0))*parametros_manuales!$C$107+parametros_manuales!$G$24*(datos_base!$F$5+IF(parametros_manuales!$H$24="Todos",datos_base!$F$12,0))*parametros_manuales!$C$112)*parametros_manuales!$I$24*parametros_manuales!$J$24</f>
        <v>7729.16</v>
      </c>
      <c r="D119" s="8">
        <f>(parametros_manuales!$D$24*(datos_base!$F$2+IF(parametros_manuales!$H$24="Todos",datos_base!$F$9,0))*parametros_manuales!$D$97+parametros_manuales!$E$24*(datos_base!$F$3+IF(parametros_manuales!$H$24="Todos",datos_base!$F$10,0))*parametros_manuales!$D$102+parametros_manuales!$F$24*(datos_base!$F$4+IF(parametros_manuales!$H$24="Todos",datos_base!$F$11,0))*parametros_manuales!$D$107+parametros_manuales!$G$24*(datos_base!$F$5+IF(parametros_manuales!$H$24="Todos",datos_base!$F$12,0))*parametros_manuales!$D$112)*parametros_manuales!$I$24*parametros_manuales!$J$24</f>
        <v>7241.67</v>
      </c>
      <c r="E119" s="8">
        <f>(parametros_manuales!$D$24*(datos_base!$F$2+IF(parametros_manuales!$H$24="Todos",datos_base!$F$9,0))*parametros_manuales!$E$97+parametros_manuales!$E$24*(datos_base!$F$3+IF(parametros_manuales!$H$24="Todos",datos_base!$F$10,0))*parametros_manuales!$E$102+parametros_manuales!$F$24*(datos_base!$F$4+IF(parametros_manuales!$H$24="Todos",datos_base!$F$11,0))*parametros_manuales!$E$107+parametros_manuales!$G$24*(datos_base!$F$5+IF(parametros_manuales!$H$24="Todos",datos_base!$F$12,0))*parametros_manuales!$E$112)*parametros_manuales!$I$24*parametros_manuales!$J$24</f>
        <v>6931.09</v>
      </c>
      <c r="F119" s="8">
        <f>(parametros_manuales!$D$24*(datos_base!$F$2+IF(parametros_manuales!$H$24="Todos",datos_base!$F$9,0))*parametros_manuales!$F$97+parametros_manuales!$E$24*(datos_base!$F$3+IF(parametros_manuales!$H$24="Todos",datos_base!$F$10,0))*parametros_manuales!$F$102+parametros_manuales!$F$24*(datos_base!$F$4+IF(parametros_manuales!$H$24="Todos",datos_base!$F$11,0))*parametros_manuales!$F$107+parametros_manuales!$G$24*(datos_base!$F$5+IF(parametros_manuales!$H$24="Todos",datos_base!$F$12,0))*parametros_manuales!$F$112)*parametros_manuales!$I$24*parametros_manuales!$J$24</f>
        <v>6486.84</v>
      </c>
      <c r="G119" s="8">
        <f>(parametros_manuales!$D$24*(datos_base!$F$2+IF(parametros_manuales!$H$24="Todos",datos_base!$F$9,0))*parametros_manuales!$G$97+parametros_manuales!$E$24*(datos_base!$F$3+IF(parametros_manuales!$H$24="Todos",datos_base!$F$10,0))*parametros_manuales!$G$102+parametros_manuales!$F$24*(datos_base!$F$4+IF(parametros_manuales!$H$24="Todos",datos_base!$F$11,0))*parametros_manuales!$G$107+parametros_manuales!$G$24*(datos_base!$F$5+IF(parametros_manuales!$H$24="Todos",datos_base!$F$12,0))*parametros_manuales!$G$112)*parametros_manuales!$I$24*parametros_manuales!$J$24</f>
        <v>6353.17</v>
      </c>
      <c r="H119" s="8">
        <f>(parametros_manuales!$D$24*(datos_base!$F$2+IF(parametros_manuales!$H$24="Todos",datos_base!$F$9,0))*parametros_manuales!$H$97+parametros_manuales!$E$24*(datos_base!$F$3+IF(parametros_manuales!$H$24="Todos",datos_base!$F$10,0))*parametros_manuales!$H$102+parametros_manuales!$F$24*(datos_base!$F$4+IF(parametros_manuales!$H$24="Todos",datos_base!$F$11,0))*parametros_manuales!$H$107+parametros_manuales!$G$24*(datos_base!$F$5+IF(parametros_manuales!$H$24="Todos",datos_base!$F$12,0))*parametros_manuales!$H$112)*parametros_manuales!$I$24*parametros_manuales!$J$24</f>
        <v>6797.42</v>
      </c>
      <c r="I119" s="8">
        <f>(parametros_manuales!$D$24*(datos_base!$F$2+IF(parametros_manuales!$H$24="Todos",datos_base!$F$9,0))*parametros_manuales!$I$97+parametros_manuales!$E$24*(datos_base!$F$3+IF(parametros_manuales!$H$24="Todos",datos_base!$F$10,0))*parametros_manuales!$I$102+parametros_manuales!$F$24*(datos_base!$F$4+IF(parametros_manuales!$H$24="Todos",datos_base!$F$11,0))*parametros_manuales!$I$107+parametros_manuales!$G$24*(datos_base!$F$5+IF(parametros_manuales!$H$24="Todos",datos_base!$F$12,0))*parametros_manuales!$I$112)*parametros_manuales!$I$24*parametros_manuales!$J$24</f>
        <v>7729.16</v>
      </c>
      <c r="J119" s="8">
        <f>(parametros_manuales!$D$24*(datos_base!$F$2+IF(parametros_manuales!$H$24="Todos",datos_base!$F$9,0))*parametros_manuales!$J$97+parametros_manuales!$E$24*(datos_base!$F$3+IF(parametros_manuales!$H$24="Todos",datos_base!$F$10,0))*parametros_manuales!$J$102+parametros_manuales!$F$24*(datos_base!$F$4+IF(parametros_manuales!$H$24="Todos",datos_base!$F$11,0))*parametros_manuales!$J$107+parametros_manuales!$G$24*(datos_base!$F$5+IF(parametros_manuales!$H$24="Todos",datos_base!$F$12,0))*parametros_manuales!$J$112)*parametros_manuales!$I$24*parametros_manuales!$J$24</f>
        <v>7729.16</v>
      </c>
      <c r="K119" s="8">
        <f>(parametros_manuales!$D$24*(datos_base!$F$2+IF(parametros_manuales!$H$24="Todos",datos_base!$F$9,0))*parametros_manuales!$K$97+parametros_manuales!$E$24*(datos_base!$F$3+IF(parametros_manuales!$H$24="Todos",datos_base!$F$10,0))*parametros_manuales!$K$102+parametros_manuales!$F$24*(datos_base!$F$4+IF(parametros_manuales!$H$24="Todos",datos_base!$F$11,0))*parametros_manuales!$K$107+parametros_manuales!$G$24*(datos_base!$F$5+IF(parametros_manuales!$H$24="Todos",datos_base!$F$12,0))*parametros_manuales!$K$112)*parametros_manuales!$I$24*parametros_manuales!$J$24</f>
        <v>7862.83</v>
      </c>
      <c r="L119" s="8">
        <f>(parametros_manuales!$D$24*(datos_base!$F$2+IF(parametros_manuales!$H$24="Todos",datos_base!$F$9,0))*parametros_manuales!$L$97+parametros_manuales!$E$24*(datos_base!$F$3+IF(parametros_manuales!$H$24="Todos",datos_base!$F$10,0))*parametros_manuales!$L$102+parametros_manuales!$F$24*(datos_base!$F$4+IF(parametros_manuales!$H$24="Todos",datos_base!$F$11,0))*parametros_manuales!$L$107+parametros_manuales!$G$24*(datos_base!$F$5+IF(parametros_manuales!$H$24="Todos",datos_base!$F$12,0))*parametros_manuales!$L$112)*parametros_manuales!$I$24*parametros_manuales!$J$24</f>
        <v>7996.5</v>
      </c>
      <c r="M119" s="8">
        <f>(parametros_manuales!$D$24*(datos_base!$F$2+IF(parametros_manuales!$H$24="Todos",datos_base!$F$9,0))*parametros_manuales!$M$97+parametros_manuales!$E$24*(datos_base!$F$3+IF(parametros_manuales!$H$24="Todos",datos_base!$F$10,0))*parametros_manuales!$M$102+parametros_manuales!$F$24*(datos_base!$F$4+IF(parametros_manuales!$H$24="Todos",datos_base!$F$11,0))*parametros_manuales!$M$107+parametros_manuales!$G$24*(datos_base!$F$5+IF(parametros_manuales!$H$24="Todos",datos_base!$F$12,0))*parametros_manuales!$M$112)*parametros_manuales!$I$24*parametros_manuales!$J$24</f>
        <v>7996.5</v>
      </c>
      <c r="N119" s="8">
        <f t="shared" si="13"/>
        <v>88850</v>
      </c>
      <c r="O119" s="8">
        <f t="shared" si="14"/>
        <v>7996.5</v>
      </c>
      <c r="P119" s="27">
        <f>O119/(parametros_manuales!$B$7)</f>
        <v>53.31</v>
      </c>
      <c r="Q119" s="4" t="str">
        <f t="shared" si="15"/>
        <v>Ene</v>
      </c>
      <c r="R119" s="16"/>
      <c r="S119" s="16"/>
    </row>
    <row r="120" ht="14.25" customHeight="1">
      <c r="A120" s="4" t="str">
        <f>parametros_manuales!$B$25</f>
        <v>Soldadura del cuello a la cúpula</v>
      </c>
      <c r="B120" s="8">
        <f>(parametros_manuales!$D$25*(datos_base!$F$2+IF(parametros_manuales!$H$25="Todos",datos_base!$F$9,0))*parametros_manuales!$B$97+parametros_manuales!$E$25*(datos_base!$F$3+IF(parametros_manuales!$H$25="Todos",datos_base!$F$10,0))*parametros_manuales!$B$102+parametros_manuales!$F$25*(datos_base!$F$4+IF(parametros_manuales!$H$25="Todos",datos_base!$F$11,0))*parametros_manuales!$B$107+parametros_manuales!$G$25*(datos_base!$F$5+IF(parametros_manuales!$H$25="Todos",datos_base!$F$12,0))*parametros_manuales!$B$112)*parametros_manuales!$I$25*parametros_manuales!$J$25</f>
        <v>7996.5</v>
      </c>
      <c r="C120" s="8">
        <f>(parametros_manuales!$D$25*(datos_base!$F$2+IF(parametros_manuales!$H$25="Todos",datos_base!$F$9,0))*parametros_manuales!$C$97+parametros_manuales!$E$25*(datos_base!$F$3+IF(parametros_manuales!$H$25="Todos",datos_base!$F$10,0))*parametros_manuales!$C$102+parametros_manuales!$F$25*(datos_base!$F$4+IF(parametros_manuales!$H$25="Todos",datos_base!$F$11,0))*parametros_manuales!$C$107+parametros_manuales!$G$25*(datos_base!$F$5+IF(parametros_manuales!$H$25="Todos",datos_base!$F$12,0))*parametros_manuales!$C$112)*parametros_manuales!$I$25*parametros_manuales!$J$25</f>
        <v>7729.16</v>
      </c>
      <c r="D120" s="8">
        <f>(parametros_manuales!$D$25*(datos_base!$F$2+IF(parametros_manuales!$H$25="Todos",datos_base!$F$9,0))*parametros_manuales!$D$97+parametros_manuales!$E$25*(datos_base!$F$3+IF(parametros_manuales!$H$25="Todos",datos_base!$F$10,0))*parametros_manuales!$D$102+parametros_manuales!$F$25*(datos_base!$F$4+IF(parametros_manuales!$H$25="Todos",datos_base!$F$11,0))*parametros_manuales!$D$107+parametros_manuales!$G$25*(datos_base!$F$5+IF(parametros_manuales!$H$25="Todos",datos_base!$F$12,0))*parametros_manuales!$D$112)*parametros_manuales!$I$25*parametros_manuales!$J$25</f>
        <v>7241.67</v>
      </c>
      <c r="E120" s="8">
        <f>(parametros_manuales!$D$25*(datos_base!$F$2+IF(parametros_manuales!$H$25="Todos",datos_base!$F$9,0))*parametros_manuales!$E$97+parametros_manuales!$E$25*(datos_base!$F$3+IF(parametros_manuales!$H$25="Todos",datos_base!$F$10,0))*parametros_manuales!$E$102+parametros_manuales!$F$25*(datos_base!$F$4+IF(parametros_manuales!$H$25="Todos",datos_base!$F$11,0))*parametros_manuales!$E$107+parametros_manuales!$G$25*(datos_base!$F$5+IF(parametros_manuales!$H$25="Todos",datos_base!$F$12,0))*parametros_manuales!$E$112)*parametros_manuales!$I$25*parametros_manuales!$J$25</f>
        <v>6931.09</v>
      </c>
      <c r="F120" s="8">
        <f>(parametros_manuales!$D$25*(datos_base!$F$2+IF(parametros_manuales!$H$25="Todos",datos_base!$F$9,0))*parametros_manuales!$F$97+parametros_manuales!$E$25*(datos_base!$F$3+IF(parametros_manuales!$H$25="Todos",datos_base!$F$10,0))*parametros_manuales!$F$102+parametros_manuales!$F$25*(datos_base!$F$4+IF(parametros_manuales!$H$25="Todos",datos_base!$F$11,0))*parametros_manuales!$F$107+parametros_manuales!$G$25*(datos_base!$F$5+IF(parametros_manuales!$H$25="Todos",datos_base!$F$12,0))*parametros_manuales!$F$112)*parametros_manuales!$I$25*parametros_manuales!$J$25</f>
        <v>6486.84</v>
      </c>
      <c r="G120" s="8">
        <f>(parametros_manuales!$D$25*(datos_base!$F$2+IF(parametros_manuales!$H$25="Todos",datos_base!$F$9,0))*parametros_manuales!$G$97+parametros_manuales!$E$25*(datos_base!$F$3+IF(parametros_manuales!$H$25="Todos",datos_base!$F$10,0))*parametros_manuales!$G$102+parametros_manuales!$F$25*(datos_base!$F$4+IF(parametros_manuales!$H$25="Todos",datos_base!$F$11,0))*parametros_manuales!$G$107+parametros_manuales!$G$25*(datos_base!$F$5+IF(parametros_manuales!$H$25="Todos",datos_base!$F$12,0))*parametros_manuales!$G$112)*parametros_manuales!$I$25*parametros_manuales!$J$25</f>
        <v>6353.17</v>
      </c>
      <c r="H120" s="8">
        <f>(parametros_manuales!$D$25*(datos_base!$F$2+IF(parametros_manuales!$H$25="Todos",datos_base!$F$9,0))*parametros_manuales!$H$97+parametros_manuales!$E$25*(datos_base!$F$3+IF(parametros_manuales!$H$25="Todos",datos_base!$F$10,0))*parametros_manuales!$H$102+parametros_manuales!$F$25*(datos_base!$F$4+IF(parametros_manuales!$H$25="Todos",datos_base!$F$11,0))*parametros_manuales!$H$107+parametros_manuales!$G$25*(datos_base!$F$5+IF(parametros_manuales!$H$25="Todos",datos_base!$F$12,0))*parametros_manuales!$H$112)*parametros_manuales!$I$25*parametros_manuales!$J$25</f>
        <v>6797.42</v>
      </c>
      <c r="I120" s="8">
        <f>(parametros_manuales!$D$25*(datos_base!$F$2+IF(parametros_manuales!$H$25="Todos",datos_base!$F$9,0))*parametros_manuales!$I$97+parametros_manuales!$E$25*(datos_base!$F$3+IF(parametros_manuales!$H$25="Todos",datos_base!$F$10,0))*parametros_manuales!$I$102+parametros_manuales!$F$25*(datos_base!$F$4+IF(parametros_manuales!$H$25="Todos",datos_base!$F$11,0))*parametros_manuales!$I$107+parametros_manuales!$G$25*(datos_base!$F$5+IF(parametros_manuales!$H$25="Todos",datos_base!$F$12,0))*parametros_manuales!$I$112)*parametros_manuales!$I$25*parametros_manuales!$J$25</f>
        <v>7729.16</v>
      </c>
      <c r="J120" s="8">
        <f>(parametros_manuales!$D$25*(datos_base!$F$2+IF(parametros_manuales!$H$25="Todos",datos_base!$F$9,0))*parametros_manuales!$J$97+parametros_manuales!$E$25*(datos_base!$F$3+IF(parametros_manuales!$H$25="Todos",datos_base!$F$10,0))*parametros_manuales!$J$102+parametros_manuales!$F$25*(datos_base!$F$4+IF(parametros_manuales!$H$25="Todos",datos_base!$F$11,0))*parametros_manuales!$J$107+parametros_manuales!$G$25*(datos_base!$F$5+IF(parametros_manuales!$H$25="Todos",datos_base!$F$12,0))*parametros_manuales!$J$112)*parametros_manuales!$I$25*parametros_manuales!$J$25</f>
        <v>7729.16</v>
      </c>
      <c r="K120" s="8">
        <f>(parametros_manuales!$D$25*(datos_base!$F$2+IF(parametros_manuales!$H$25="Todos",datos_base!$F$9,0))*parametros_manuales!$K$97+parametros_manuales!$E$25*(datos_base!$F$3+IF(parametros_manuales!$H$25="Todos",datos_base!$F$10,0))*parametros_manuales!$K$102+parametros_manuales!$F$25*(datos_base!$F$4+IF(parametros_manuales!$H$25="Todos",datos_base!$F$11,0))*parametros_manuales!$K$107+parametros_manuales!$G$25*(datos_base!$F$5+IF(parametros_manuales!$H$25="Todos",datos_base!$F$12,0))*parametros_manuales!$K$112)*parametros_manuales!$I$25*parametros_manuales!$J$25</f>
        <v>7862.83</v>
      </c>
      <c r="L120" s="8">
        <f>(parametros_manuales!$D$25*(datos_base!$F$2+IF(parametros_manuales!$H$25="Todos",datos_base!$F$9,0))*parametros_manuales!$L$97+parametros_manuales!$E$25*(datos_base!$F$3+IF(parametros_manuales!$H$25="Todos",datos_base!$F$10,0))*parametros_manuales!$L$102+parametros_manuales!$F$25*(datos_base!$F$4+IF(parametros_manuales!$H$25="Todos",datos_base!$F$11,0))*parametros_manuales!$L$107+parametros_manuales!$G$25*(datos_base!$F$5+IF(parametros_manuales!$H$25="Todos",datos_base!$F$12,0))*parametros_manuales!$L$112)*parametros_manuales!$I$25*parametros_manuales!$J$25</f>
        <v>7996.5</v>
      </c>
      <c r="M120" s="8">
        <f>(parametros_manuales!$D$25*(datos_base!$F$2+IF(parametros_manuales!$H$25="Todos",datos_base!$F$9,0))*parametros_manuales!$M$97+parametros_manuales!$E$25*(datos_base!$F$3+IF(parametros_manuales!$H$25="Todos",datos_base!$F$10,0))*parametros_manuales!$M$102+parametros_manuales!$F$25*(datos_base!$F$4+IF(parametros_manuales!$H$25="Todos",datos_base!$F$11,0))*parametros_manuales!$M$107+parametros_manuales!$G$25*(datos_base!$F$5+IF(parametros_manuales!$H$25="Todos",datos_base!$F$12,0))*parametros_manuales!$M$112)*parametros_manuales!$I$25*parametros_manuales!$J$25</f>
        <v>7996.5</v>
      </c>
      <c r="N120" s="8">
        <f t="shared" si="13"/>
        <v>88850</v>
      </c>
      <c r="O120" s="8">
        <f t="shared" si="14"/>
        <v>7996.5</v>
      </c>
      <c r="P120" s="27">
        <f>O120/(parametros_manuales!$B$7)</f>
        <v>53.31</v>
      </c>
      <c r="Q120" s="4" t="str">
        <f t="shared" si="15"/>
        <v>Ene</v>
      </c>
      <c r="R120" s="16"/>
      <c r="S120" s="16"/>
    </row>
    <row r="121" ht="14.25" customHeight="1">
      <c r="A121" s="4" t="str">
        <f>parametros_manuales!$B$26</f>
        <v>Cilindrado</v>
      </c>
      <c r="B121" s="8">
        <f>(parametros_manuales!$D$26*(datos_base!$F$2+IF(parametros_manuales!$H$26="Todos",datos_base!$F$9,0))*parametros_manuales!$B$97+parametros_manuales!$E$26*(datos_base!$F$3+IF(parametros_manuales!$H$26="Todos",datos_base!$F$10,0))*parametros_manuales!$B$102+parametros_manuales!$F$26*(datos_base!$F$4+IF(parametros_manuales!$H$26="Todos",datos_base!$F$11,0))*parametros_manuales!$B$107+parametros_manuales!$G$26*(datos_base!$F$5+IF(parametros_manuales!$H$26="Todos",datos_base!$F$12,0))*parametros_manuales!$B$112)*parametros_manuales!$I$26*parametros_manuales!$J$26</f>
        <v>7996.5</v>
      </c>
      <c r="C121" s="8">
        <f>(parametros_manuales!$D$26*(datos_base!$F$2+IF(parametros_manuales!$H$26="Todos",datos_base!$F$9,0))*parametros_manuales!$C$97+parametros_manuales!$E$26*(datos_base!$F$3+IF(parametros_manuales!$H$26="Todos",datos_base!$F$10,0))*parametros_manuales!$C$102+parametros_manuales!$F$26*(datos_base!$F$4+IF(parametros_manuales!$H$26="Todos",datos_base!$F$11,0))*parametros_manuales!$C$107+parametros_manuales!$G$26*(datos_base!$F$5+IF(parametros_manuales!$H$26="Todos",datos_base!$F$12,0))*parametros_manuales!$C$112)*parametros_manuales!$I$26*parametros_manuales!$J$26</f>
        <v>7729.16</v>
      </c>
      <c r="D121" s="8">
        <f>(parametros_manuales!$D$26*(datos_base!$F$2+IF(parametros_manuales!$H$26="Todos",datos_base!$F$9,0))*parametros_manuales!$D$97+parametros_manuales!$E$26*(datos_base!$F$3+IF(parametros_manuales!$H$26="Todos",datos_base!$F$10,0))*parametros_manuales!$D$102+parametros_manuales!$F$26*(datos_base!$F$4+IF(parametros_manuales!$H$26="Todos",datos_base!$F$11,0))*parametros_manuales!$D$107+parametros_manuales!$G$26*(datos_base!$F$5+IF(parametros_manuales!$H$26="Todos",datos_base!$F$12,0))*parametros_manuales!$D$112)*parametros_manuales!$I$26*parametros_manuales!$J$26</f>
        <v>7241.67</v>
      </c>
      <c r="E121" s="8">
        <f>(parametros_manuales!$D$26*(datos_base!$F$2+IF(parametros_manuales!$H$26="Todos",datos_base!$F$9,0))*parametros_manuales!$E$97+parametros_manuales!$E$26*(datos_base!$F$3+IF(parametros_manuales!$H$26="Todos",datos_base!$F$10,0))*parametros_manuales!$E$102+parametros_manuales!$F$26*(datos_base!$F$4+IF(parametros_manuales!$H$26="Todos",datos_base!$F$11,0))*parametros_manuales!$E$107+parametros_manuales!$G$26*(datos_base!$F$5+IF(parametros_manuales!$H$26="Todos",datos_base!$F$12,0))*parametros_manuales!$E$112)*parametros_manuales!$I$26*parametros_manuales!$J$26</f>
        <v>6931.09</v>
      </c>
      <c r="F121" s="8">
        <f>(parametros_manuales!$D$26*(datos_base!$F$2+IF(parametros_manuales!$H$26="Todos",datos_base!$F$9,0))*parametros_manuales!$F$97+parametros_manuales!$E$26*(datos_base!$F$3+IF(parametros_manuales!$H$26="Todos",datos_base!$F$10,0))*parametros_manuales!$F$102+parametros_manuales!$F$26*(datos_base!$F$4+IF(parametros_manuales!$H$26="Todos",datos_base!$F$11,0))*parametros_manuales!$F$107+parametros_manuales!$G$26*(datos_base!$F$5+IF(parametros_manuales!$H$26="Todos",datos_base!$F$12,0))*parametros_manuales!$F$112)*parametros_manuales!$I$26*parametros_manuales!$J$26</f>
        <v>6486.84</v>
      </c>
      <c r="G121" s="8">
        <f>(parametros_manuales!$D$26*(datos_base!$F$2+IF(parametros_manuales!$H$26="Todos",datos_base!$F$9,0))*parametros_manuales!$G$97+parametros_manuales!$E$26*(datos_base!$F$3+IF(parametros_manuales!$H$26="Todos",datos_base!$F$10,0))*parametros_manuales!$G$102+parametros_manuales!$F$26*(datos_base!$F$4+IF(parametros_manuales!$H$26="Todos",datos_base!$F$11,0))*parametros_manuales!$G$107+parametros_manuales!$G$26*(datos_base!$F$5+IF(parametros_manuales!$H$26="Todos",datos_base!$F$12,0))*parametros_manuales!$G$112)*parametros_manuales!$I$26*parametros_manuales!$J$26</f>
        <v>6353.17</v>
      </c>
      <c r="H121" s="8">
        <f>(parametros_manuales!$D$26*(datos_base!$F$2+IF(parametros_manuales!$H$26="Todos",datos_base!$F$9,0))*parametros_manuales!$H$97+parametros_manuales!$E$26*(datos_base!$F$3+IF(parametros_manuales!$H$26="Todos",datos_base!$F$10,0))*parametros_manuales!$H$102+parametros_manuales!$F$26*(datos_base!$F$4+IF(parametros_manuales!$H$26="Todos",datos_base!$F$11,0))*parametros_manuales!$H$107+parametros_manuales!$G$26*(datos_base!$F$5+IF(parametros_manuales!$H$26="Todos",datos_base!$F$12,0))*parametros_manuales!$H$112)*parametros_manuales!$I$26*parametros_manuales!$J$26</f>
        <v>6797.42</v>
      </c>
      <c r="I121" s="8">
        <f>(parametros_manuales!$D$26*(datos_base!$F$2+IF(parametros_manuales!$H$26="Todos",datos_base!$F$9,0))*parametros_manuales!$I$97+parametros_manuales!$E$26*(datos_base!$F$3+IF(parametros_manuales!$H$26="Todos",datos_base!$F$10,0))*parametros_manuales!$I$102+parametros_manuales!$F$26*(datos_base!$F$4+IF(parametros_manuales!$H$26="Todos",datos_base!$F$11,0))*parametros_manuales!$I$107+parametros_manuales!$G$26*(datos_base!$F$5+IF(parametros_manuales!$H$26="Todos",datos_base!$F$12,0))*parametros_manuales!$I$112)*parametros_manuales!$I$26*parametros_manuales!$J$26</f>
        <v>7729.16</v>
      </c>
      <c r="J121" s="8">
        <f>(parametros_manuales!$D$26*(datos_base!$F$2+IF(parametros_manuales!$H$26="Todos",datos_base!$F$9,0))*parametros_manuales!$J$97+parametros_manuales!$E$26*(datos_base!$F$3+IF(parametros_manuales!$H$26="Todos",datos_base!$F$10,0))*parametros_manuales!$J$102+parametros_manuales!$F$26*(datos_base!$F$4+IF(parametros_manuales!$H$26="Todos",datos_base!$F$11,0))*parametros_manuales!$J$107+parametros_manuales!$G$26*(datos_base!$F$5+IF(parametros_manuales!$H$26="Todos",datos_base!$F$12,0))*parametros_manuales!$J$112)*parametros_manuales!$I$26*parametros_manuales!$J$26</f>
        <v>7729.16</v>
      </c>
      <c r="K121" s="8">
        <f>(parametros_manuales!$D$26*(datos_base!$F$2+IF(parametros_manuales!$H$26="Todos",datos_base!$F$9,0))*parametros_manuales!$K$97+parametros_manuales!$E$26*(datos_base!$F$3+IF(parametros_manuales!$H$26="Todos",datos_base!$F$10,0))*parametros_manuales!$K$102+parametros_manuales!$F$26*(datos_base!$F$4+IF(parametros_manuales!$H$26="Todos",datos_base!$F$11,0))*parametros_manuales!$K$107+parametros_manuales!$G$26*(datos_base!$F$5+IF(parametros_manuales!$H$26="Todos",datos_base!$F$12,0))*parametros_manuales!$K$112)*parametros_manuales!$I$26*parametros_manuales!$J$26</f>
        <v>7862.83</v>
      </c>
      <c r="L121" s="8">
        <f>(parametros_manuales!$D$26*(datos_base!$F$2+IF(parametros_manuales!$H$26="Todos",datos_base!$F$9,0))*parametros_manuales!$L$97+parametros_manuales!$E$26*(datos_base!$F$3+IF(parametros_manuales!$H$26="Todos",datos_base!$F$10,0))*parametros_manuales!$L$102+parametros_manuales!$F$26*(datos_base!$F$4+IF(parametros_manuales!$H$26="Todos",datos_base!$F$11,0))*parametros_manuales!$L$107+parametros_manuales!$G$26*(datos_base!$F$5+IF(parametros_manuales!$H$26="Todos",datos_base!$F$12,0))*parametros_manuales!$L$112)*parametros_manuales!$I$26*parametros_manuales!$J$26</f>
        <v>7996.5</v>
      </c>
      <c r="M121" s="8">
        <f>(parametros_manuales!$D$26*(datos_base!$F$2+IF(parametros_manuales!$H$26="Todos",datos_base!$F$9,0))*parametros_manuales!$M$97+parametros_manuales!$E$26*(datos_base!$F$3+IF(parametros_manuales!$H$26="Todos",datos_base!$F$10,0))*parametros_manuales!$M$102+parametros_manuales!$F$26*(datos_base!$F$4+IF(parametros_manuales!$H$26="Todos",datos_base!$F$11,0))*parametros_manuales!$M$107+parametros_manuales!$G$26*(datos_base!$F$5+IF(parametros_manuales!$H$26="Todos",datos_base!$F$12,0))*parametros_manuales!$M$112)*parametros_manuales!$I$26*parametros_manuales!$J$26</f>
        <v>7996.5</v>
      </c>
      <c r="N121" s="8">
        <f t="shared" si="13"/>
        <v>88850</v>
      </c>
      <c r="O121" s="8">
        <f t="shared" si="14"/>
        <v>7996.5</v>
      </c>
      <c r="P121" s="27">
        <f>O121/(parametros_manuales!$B$7)</f>
        <v>53.31</v>
      </c>
      <c r="Q121" s="4" t="str">
        <f t="shared" si="15"/>
        <v>Ene</v>
      </c>
      <c r="R121" s="16"/>
      <c r="S121" s="16"/>
    </row>
    <row r="122" ht="14.25" customHeight="1">
      <c r="A122" s="4" t="str">
        <f>parametros_manuales!$B$27</f>
        <v>Soldadura longitudinal — 2,5 a 10 kg</v>
      </c>
      <c r="B122" s="8">
        <f>(parametros_manuales!$D$27*(datos_base!$F$2+IF(parametros_manuales!$H$27="Todos",datos_base!$F$9,0))*parametros_manuales!$B$97+parametros_manuales!$E$27*(datos_base!$F$3+IF(parametros_manuales!$H$27="Todos",datos_base!$F$10,0))*parametros_manuales!$B$102+parametros_manuales!$F$27*(datos_base!$F$4+IF(parametros_manuales!$H$27="Todos",datos_base!$F$11,0))*parametros_manuales!$B$107+parametros_manuales!$G$27*(datos_base!$F$5+IF(parametros_manuales!$H$27="Todos",datos_base!$F$12,0))*parametros_manuales!$B$112)*parametros_manuales!$I$27*parametros_manuales!$J$27</f>
        <v>2406.06</v>
      </c>
      <c r="C122" s="8">
        <f>(parametros_manuales!$D$27*(datos_base!$F$2+IF(parametros_manuales!$H$27="Todos",datos_base!$F$9,0))*parametros_manuales!$C$97+parametros_manuales!$E$27*(datos_base!$F$3+IF(parametros_manuales!$H$27="Todos",datos_base!$F$10,0))*parametros_manuales!$C$102+parametros_manuales!$F$27*(datos_base!$F$4+IF(parametros_manuales!$H$27="Todos",datos_base!$F$11,0))*parametros_manuales!$C$107+parametros_manuales!$G$27*(datos_base!$F$5+IF(parametros_manuales!$H$27="Todos",datos_base!$F$12,0))*parametros_manuales!$C$112)*parametros_manuales!$I$27*parametros_manuales!$J$27</f>
        <v>2138.72</v>
      </c>
      <c r="D122" s="8">
        <f>(parametros_manuales!$D$27*(datos_base!$F$2+IF(parametros_manuales!$H$27="Todos",datos_base!$F$9,0))*parametros_manuales!$D$97+parametros_manuales!$E$27*(datos_base!$F$3+IF(parametros_manuales!$H$27="Todos",datos_base!$F$10,0))*parametros_manuales!$D$102+parametros_manuales!$F$27*(datos_base!$F$4+IF(parametros_manuales!$H$27="Todos",datos_base!$F$11,0))*parametros_manuales!$D$107+parametros_manuales!$G$27*(datos_base!$F$5+IF(parametros_manuales!$H$27="Todos",datos_base!$F$12,0))*parametros_manuales!$D$112)*parametros_manuales!$I$27*parametros_manuales!$J$27</f>
        <v>2272.39</v>
      </c>
      <c r="E122" s="8">
        <f>(parametros_manuales!$D$27*(datos_base!$F$2+IF(parametros_manuales!$H$27="Todos",datos_base!$F$9,0))*parametros_manuales!$E$97+parametros_manuales!$E$27*(datos_base!$F$3+IF(parametros_manuales!$H$27="Todos",datos_base!$F$10,0))*parametros_manuales!$E$102+parametros_manuales!$F$27*(datos_base!$F$4+IF(parametros_manuales!$H$27="Todos",datos_base!$F$11,0))*parametros_manuales!$E$107+parametros_manuales!$G$27*(datos_base!$F$5+IF(parametros_manuales!$H$27="Todos",datos_base!$F$12,0))*parametros_manuales!$E$112)*parametros_manuales!$I$27*parametros_manuales!$J$27</f>
        <v>2272.39</v>
      </c>
      <c r="F122" s="8">
        <f>(parametros_manuales!$D$27*(datos_base!$F$2+IF(parametros_manuales!$H$27="Todos",datos_base!$F$9,0))*parametros_manuales!$F$97+parametros_manuales!$E$27*(datos_base!$F$3+IF(parametros_manuales!$H$27="Todos",datos_base!$F$10,0))*parametros_manuales!$F$102+parametros_manuales!$F$27*(datos_base!$F$4+IF(parametros_manuales!$H$27="Todos",datos_base!$F$11,0))*parametros_manuales!$F$107+parametros_manuales!$G$27*(datos_base!$F$5+IF(parametros_manuales!$H$27="Todos",datos_base!$F$12,0))*parametros_manuales!$F$112)*parametros_manuales!$I$27*parametros_manuales!$J$27</f>
        <v>2138.72</v>
      </c>
      <c r="G122" s="8">
        <f>(parametros_manuales!$D$27*(datos_base!$F$2+IF(parametros_manuales!$H$27="Todos",datos_base!$F$9,0))*parametros_manuales!$G$97+parametros_manuales!$E$27*(datos_base!$F$3+IF(parametros_manuales!$H$27="Todos",datos_base!$F$10,0))*parametros_manuales!$G$102+parametros_manuales!$F$27*(datos_base!$F$4+IF(parametros_manuales!$H$27="Todos",datos_base!$F$11,0))*parametros_manuales!$G$107+parametros_manuales!$G$27*(datos_base!$F$5+IF(parametros_manuales!$H$27="Todos",datos_base!$F$12,0))*parametros_manuales!$G$112)*parametros_manuales!$I$27*parametros_manuales!$J$27</f>
        <v>2005.05</v>
      </c>
      <c r="H122" s="8">
        <f>(parametros_manuales!$D$27*(datos_base!$F$2+IF(parametros_manuales!$H$27="Todos",datos_base!$F$9,0))*parametros_manuales!$H$97+parametros_manuales!$E$27*(datos_base!$F$3+IF(parametros_manuales!$H$27="Todos",datos_base!$F$10,0))*parametros_manuales!$H$102+parametros_manuales!$F$27*(datos_base!$F$4+IF(parametros_manuales!$H$27="Todos",datos_base!$F$11,0))*parametros_manuales!$H$107+parametros_manuales!$G$27*(datos_base!$F$5+IF(parametros_manuales!$H$27="Todos",datos_base!$F$12,0))*parametros_manuales!$H$112)*parametros_manuales!$I$27*parametros_manuales!$J$27</f>
        <v>2138.72</v>
      </c>
      <c r="I122" s="8">
        <f>(parametros_manuales!$D$27*(datos_base!$F$2+IF(parametros_manuales!$H$27="Todos",datos_base!$F$9,0))*parametros_manuales!$I$97+parametros_manuales!$E$27*(datos_base!$F$3+IF(parametros_manuales!$H$27="Todos",datos_base!$F$10,0))*parametros_manuales!$I$102+parametros_manuales!$F$27*(datos_base!$F$4+IF(parametros_manuales!$H$27="Todos",datos_base!$F$11,0))*parametros_manuales!$I$107+parametros_manuales!$G$27*(datos_base!$F$5+IF(parametros_manuales!$H$27="Todos",datos_base!$F$12,0))*parametros_manuales!$I$112)*parametros_manuales!$I$27*parametros_manuales!$J$27</f>
        <v>2138.72</v>
      </c>
      <c r="J122" s="8">
        <f>(parametros_manuales!$D$27*(datos_base!$F$2+IF(parametros_manuales!$H$27="Todos",datos_base!$F$9,0))*parametros_manuales!$J$97+parametros_manuales!$E$27*(datos_base!$F$3+IF(parametros_manuales!$H$27="Todos",datos_base!$F$10,0))*parametros_manuales!$J$102+parametros_manuales!$F$27*(datos_base!$F$4+IF(parametros_manuales!$H$27="Todos",datos_base!$F$11,0))*parametros_manuales!$J$107+parametros_manuales!$G$27*(datos_base!$F$5+IF(parametros_manuales!$H$27="Todos",datos_base!$F$12,0))*parametros_manuales!$J$112)*parametros_manuales!$I$27*parametros_manuales!$J$27</f>
        <v>2138.72</v>
      </c>
      <c r="K122" s="8">
        <f>(parametros_manuales!$D$27*(datos_base!$F$2+IF(parametros_manuales!$H$27="Todos",datos_base!$F$9,0))*parametros_manuales!$K$97+parametros_manuales!$E$27*(datos_base!$F$3+IF(parametros_manuales!$H$27="Todos",datos_base!$F$10,0))*parametros_manuales!$K$102+parametros_manuales!$F$27*(datos_base!$F$4+IF(parametros_manuales!$H$27="Todos",datos_base!$F$11,0))*parametros_manuales!$K$107+parametros_manuales!$G$27*(datos_base!$F$5+IF(parametros_manuales!$H$27="Todos",datos_base!$F$12,0))*parametros_manuales!$K$112)*parametros_manuales!$I$27*parametros_manuales!$J$27</f>
        <v>2272.39</v>
      </c>
      <c r="L122" s="8">
        <f>(parametros_manuales!$D$27*(datos_base!$F$2+IF(parametros_manuales!$H$27="Todos",datos_base!$F$9,0))*parametros_manuales!$L$97+parametros_manuales!$E$27*(datos_base!$F$3+IF(parametros_manuales!$H$27="Todos",datos_base!$F$10,0))*parametros_manuales!$L$102+parametros_manuales!$F$27*(datos_base!$F$4+IF(parametros_manuales!$H$27="Todos",datos_base!$F$11,0))*parametros_manuales!$L$107+parametros_manuales!$G$27*(datos_base!$F$5+IF(parametros_manuales!$H$27="Todos",datos_base!$F$12,0))*parametros_manuales!$L$112)*parametros_manuales!$I$27*parametros_manuales!$J$27</f>
        <v>2406.06</v>
      </c>
      <c r="M122" s="8">
        <f>(parametros_manuales!$D$27*(datos_base!$F$2+IF(parametros_manuales!$H$27="Todos",datos_base!$F$9,0))*parametros_manuales!$M$97+parametros_manuales!$E$27*(datos_base!$F$3+IF(parametros_manuales!$H$27="Todos",datos_base!$F$10,0))*parametros_manuales!$M$102+parametros_manuales!$F$27*(datos_base!$F$4+IF(parametros_manuales!$H$27="Todos",datos_base!$F$11,0))*parametros_manuales!$M$107+parametros_manuales!$G$27*(datos_base!$F$5+IF(parametros_manuales!$H$27="Todos",datos_base!$F$12,0))*parametros_manuales!$M$112)*parametros_manuales!$I$27*parametros_manuales!$J$27</f>
        <v>2406.06</v>
      </c>
      <c r="N122" s="8">
        <f t="shared" si="13"/>
        <v>26734</v>
      </c>
      <c r="O122" s="8">
        <f t="shared" si="14"/>
        <v>2406.06</v>
      </c>
      <c r="P122" s="27">
        <f>O122/(parametros_manuales!$B$7)</f>
        <v>16.0404</v>
      </c>
      <c r="Q122" s="4" t="str">
        <f t="shared" si="15"/>
        <v>Ene</v>
      </c>
      <c r="R122" s="16"/>
      <c r="S122" s="16"/>
    </row>
    <row r="123" ht="14.25" customHeight="1">
      <c r="A123" s="4" t="str">
        <f>parametros_manuales!$B$28</f>
        <v>Soldadura longitudinal TIG — 1 kg</v>
      </c>
      <c r="B123" s="8">
        <f>(parametros_manuales!$D$28*(datos_base!$F$2+IF(parametros_manuales!$H$28="Todos",datos_base!$F$9,0))*parametros_manuales!$B$97+parametros_manuales!$E$28*(datos_base!$F$3+IF(parametros_manuales!$H$28="Todos",datos_base!$F$10,0))*parametros_manuales!$B$102+parametros_manuales!$F$28*(datos_base!$F$4+IF(parametros_manuales!$H$28="Todos",datos_base!$F$11,0))*parametros_manuales!$B$107+parametros_manuales!$G$28*(datos_base!$F$5+IF(parametros_manuales!$H$28="Todos",datos_base!$F$12,0))*parametros_manuales!$B$112)*parametros_manuales!$I$28*parametros_manuales!$J$28</f>
        <v>5590.44</v>
      </c>
      <c r="C123" s="8">
        <f>(parametros_manuales!$D$28*(datos_base!$F$2+IF(parametros_manuales!$H$28="Todos",datos_base!$F$9,0))*parametros_manuales!$C$97+parametros_manuales!$E$28*(datos_base!$F$3+IF(parametros_manuales!$H$28="Todos",datos_base!$F$10,0))*parametros_manuales!$C$102+parametros_manuales!$F$28*(datos_base!$F$4+IF(parametros_manuales!$H$28="Todos",datos_base!$F$11,0))*parametros_manuales!$C$107+parametros_manuales!$G$28*(datos_base!$F$5+IF(parametros_manuales!$H$28="Todos",datos_base!$F$12,0))*parametros_manuales!$C$112)*parametros_manuales!$I$28*parametros_manuales!$J$28</f>
        <v>5590.44</v>
      </c>
      <c r="D123" s="8">
        <f>(parametros_manuales!$D$28*(datos_base!$F$2+IF(parametros_manuales!$H$28="Todos",datos_base!$F$9,0))*parametros_manuales!$D$97+parametros_manuales!$E$28*(datos_base!$F$3+IF(parametros_manuales!$H$28="Todos",datos_base!$F$10,0))*parametros_manuales!$D$102+parametros_manuales!$F$28*(datos_base!$F$4+IF(parametros_manuales!$H$28="Todos",datos_base!$F$11,0))*parametros_manuales!$D$107+parametros_manuales!$G$28*(datos_base!$F$5+IF(parametros_manuales!$H$28="Todos",datos_base!$F$12,0))*parametros_manuales!$D$112)*parametros_manuales!$I$28*parametros_manuales!$J$28</f>
        <v>4969.28</v>
      </c>
      <c r="E123" s="8">
        <f>(parametros_manuales!$D$28*(datos_base!$F$2+IF(parametros_manuales!$H$28="Todos",datos_base!$F$9,0))*parametros_manuales!$E$97+parametros_manuales!$E$28*(datos_base!$F$3+IF(parametros_manuales!$H$28="Todos",datos_base!$F$10,0))*parametros_manuales!$E$102+parametros_manuales!$F$28*(datos_base!$F$4+IF(parametros_manuales!$H$28="Todos",datos_base!$F$11,0))*parametros_manuales!$E$107+parametros_manuales!$G$28*(datos_base!$F$5+IF(parametros_manuales!$H$28="Todos",datos_base!$F$12,0))*parametros_manuales!$E$112)*parametros_manuales!$I$28*parametros_manuales!$J$28</f>
        <v>4658.7</v>
      </c>
      <c r="F123" s="8">
        <f>(parametros_manuales!$D$28*(datos_base!$F$2+IF(parametros_manuales!$H$28="Todos",datos_base!$F$9,0))*parametros_manuales!$F$97+parametros_manuales!$E$28*(datos_base!$F$3+IF(parametros_manuales!$H$28="Todos",datos_base!$F$10,0))*parametros_manuales!$F$102+parametros_manuales!$F$28*(datos_base!$F$4+IF(parametros_manuales!$H$28="Todos",datos_base!$F$11,0))*parametros_manuales!$F$107+parametros_manuales!$G$28*(datos_base!$F$5+IF(parametros_manuales!$H$28="Todos",datos_base!$F$12,0))*parametros_manuales!$F$112)*parametros_manuales!$I$28*parametros_manuales!$J$28</f>
        <v>4348.12</v>
      </c>
      <c r="G123" s="8">
        <f>(parametros_manuales!$D$28*(datos_base!$F$2+IF(parametros_manuales!$H$28="Todos",datos_base!$F$9,0))*parametros_manuales!$G$97+parametros_manuales!$E$28*(datos_base!$F$3+IF(parametros_manuales!$H$28="Todos",datos_base!$F$10,0))*parametros_manuales!$G$102+parametros_manuales!$F$28*(datos_base!$F$4+IF(parametros_manuales!$H$28="Todos",datos_base!$F$11,0))*parametros_manuales!$G$107+parametros_manuales!$G$28*(datos_base!$F$5+IF(parametros_manuales!$H$28="Todos",datos_base!$F$12,0))*parametros_manuales!$G$112)*parametros_manuales!$I$28*parametros_manuales!$J$28</f>
        <v>4348.12</v>
      </c>
      <c r="H123" s="8">
        <f>(parametros_manuales!$D$28*(datos_base!$F$2+IF(parametros_manuales!$H$28="Todos",datos_base!$F$9,0))*parametros_manuales!$H$97+parametros_manuales!$E$28*(datos_base!$F$3+IF(parametros_manuales!$H$28="Todos",datos_base!$F$10,0))*parametros_manuales!$H$102+parametros_manuales!$F$28*(datos_base!$F$4+IF(parametros_manuales!$H$28="Todos",datos_base!$F$11,0))*parametros_manuales!$H$107+parametros_manuales!$G$28*(datos_base!$F$5+IF(parametros_manuales!$H$28="Todos",datos_base!$F$12,0))*parametros_manuales!$H$112)*parametros_manuales!$I$28*parametros_manuales!$J$28</f>
        <v>4658.7</v>
      </c>
      <c r="I123" s="8">
        <f>(parametros_manuales!$D$28*(datos_base!$F$2+IF(parametros_manuales!$H$28="Todos",datos_base!$F$9,0))*parametros_manuales!$I$97+parametros_manuales!$E$28*(datos_base!$F$3+IF(parametros_manuales!$H$28="Todos",datos_base!$F$10,0))*parametros_manuales!$I$102+parametros_manuales!$F$28*(datos_base!$F$4+IF(parametros_manuales!$H$28="Todos",datos_base!$F$11,0))*parametros_manuales!$I$107+parametros_manuales!$G$28*(datos_base!$F$5+IF(parametros_manuales!$H$28="Todos",datos_base!$F$12,0))*parametros_manuales!$I$112)*parametros_manuales!$I$28*parametros_manuales!$J$28</f>
        <v>5590.44</v>
      </c>
      <c r="J123" s="8">
        <f>(parametros_manuales!$D$28*(datos_base!$F$2+IF(parametros_manuales!$H$28="Todos",datos_base!$F$9,0))*parametros_manuales!$J$97+parametros_manuales!$E$28*(datos_base!$F$3+IF(parametros_manuales!$H$28="Todos",datos_base!$F$10,0))*parametros_manuales!$J$102+parametros_manuales!$F$28*(datos_base!$F$4+IF(parametros_manuales!$H$28="Todos",datos_base!$F$11,0))*parametros_manuales!$J$107+parametros_manuales!$G$28*(datos_base!$F$5+IF(parametros_manuales!$H$28="Todos",datos_base!$F$12,0))*parametros_manuales!$J$112)*parametros_manuales!$I$28*parametros_manuales!$J$28</f>
        <v>5590.44</v>
      </c>
      <c r="K123" s="8">
        <f>(parametros_manuales!$D$28*(datos_base!$F$2+IF(parametros_manuales!$H$28="Todos",datos_base!$F$9,0))*parametros_manuales!$K$97+parametros_manuales!$E$28*(datos_base!$F$3+IF(parametros_manuales!$H$28="Todos",datos_base!$F$10,0))*parametros_manuales!$K$102+parametros_manuales!$F$28*(datos_base!$F$4+IF(parametros_manuales!$H$28="Todos",datos_base!$F$11,0))*parametros_manuales!$K$107+parametros_manuales!$G$28*(datos_base!$F$5+IF(parametros_manuales!$H$28="Todos",datos_base!$F$12,0))*parametros_manuales!$K$112)*parametros_manuales!$I$28*parametros_manuales!$J$28</f>
        <v>5590.44</v>
      </c>
      <c r="L123" s="8">
        <f>(parametros_manuales!$D$28*(datos_base!$F$2+IF(parametros_manuales!$H$28="Todos",datos_base!$F$9,0))*parametros_manuales!$L$97+parametros_manuales!$E$28*(datos_base!$F$3+IF(parametros_manuales!$H$28="Todos",datos_base!$F$10,0))*parametros_manuales!$L$102+parametros_manuales!$F$28*(datos_base!$F$4+IF(parametros_manuales!$H$28="Todos",datos_base!$F$11,0))*parametros_manuales!$L$107+parametros_manuales!$G$28*(datos_base!$F$5+IF(parametros_manuales!$H$28="Todos",datos_base!$F$12,0))*parametros_manuales!$L$112)*parametros_manuales!$I$28*parametros_manuales!$J$28</f>
        <v>5590.44</v>
      </c>
      <c r="M123" s="8">
        <f>(parametros_manuales!$D$28*(datos_base!$F$2+IF(parametros_manuales!$H$28="Todos",datos_base!$F$9,0))*parametros_manuales!$M$97+parametros_manuales!$E$28*(datos_base!$F$3+IF(parametros_manuales!$H$28="Todos",datos_base!$F$10,0))*parametros_manuales!$M$102+parametros_manuales!$F$28*(datos_base!$F$4+IF(parametros_manuales!$H$28="Todos",datos_base!$F$11,0))*parametros_manuales!$M$107+parametros_manuales!$G$28*(datos_base!$F$5+IF(parametros_manuales!$H$28="Todos",datos_base!$F$12,0))*parametros_manuales!$M$112)*parametros_manuales!$I$28*parametros_manuales!$J$28</f>
        <v>5590.44</v>
      </c>
      <c r="N123" s="8">
        <f t="shared" si="13"/>
        <v>62116</v>
      </c>
      <c r="O123" s="8">
        <f t="shared" si="14"/>
        <v>5590.44</v>
      </c>
      <c r="P123" s="27">
        <f>O123/(parametros_manuales!$B$7)</f>
        <v>37.2696</v>
      </c>
      <c r="Q123" s="4" t="str">
        <f t="shared" si="15"/>
        <v>Ene</v>
      </c>
      <c r="R123" s="16"/>
      <c r="S123" s="16"/>
    </row>
    <row r="124" ht="14.25" customHeight="1">
      <c r="A124" s="4" t="str">
        <f>parametros_manuales!$B$29</f>
        <v>Encastre de fondo</v>
      </c>
      <c r="B124" s="8">
        <f>(parametros_manuales!$D$29*(datos_base!$F$2+IF(parametros_manuales!$H$29="Todos",datos_base!$F$9,0))*parametros_manuales!$B$97+parametros_manuales!$E$29*(datos_base!$F$3+IF(parametros_manuales!$H$29="Todos",datos_base!$F$10,0))*parametros_manuales!$B$102+parametros_manuales!$F$29*(datos_base!$F$4+IF(parametros_manuales!$H$29="Todos",datos_base!$F$11,0))*parametros_manuales!$B$107+parametros_manuales!$G$29*(datos_base!$F$5+IF(parametros_manuales!$H$29="Todos",datos_base!$F$12,0))*parametros_manuales!$B$112)*parametros_manuales!$I$29*parametros_manuales!$J$29</f>
        <v>7996.5</v>
      </c>
      <c r="C124" s="8">
        <f>(parametros_manuales!$D$29*(datos_base!$F$2+IF(parametros_manuales!$H$29="Todos",datos_base!$F$9,0))*parametros_manuales!$C$97+parametros_manuales!$E$29*(datos_base!$F$3+IF(parametros_manuales!$H$29="Todos",datos_base!$F$10,0))*parametros_manuales!$C$102+parametros_manuales!$F$29*(datos_base!$F$4+IF(parametros_manuales!$H$29="Todos",datos_base!$F$11,0))*parametros_manuales!$C$107+parametros_manuales!$G$29*(datos_base!$F$5+IF(parametros_manuales!$H$29="Todos",datos_base!$F$12,0))*parametros_manuales!$C$112)*parametros_manuales!$I$29*parametros_manuales!$J$29</f>
        <v>7729.16</v>
      </c>
      <c r="D124" s="8">
        <f>(parametros_manuales!$D$29*(datos_base!$F$2+IF(parametros_manuales!$H$29="Todos",datos_base!$F$9,0))*parametros_manuales!$D$97+parametros_manuales!$E$29*(datos_base!$F$3+IF(parametros_manuales!$H$29="Todos",datos_base!$F$10,0))*parametros_manuales!$D$102+parametros_manuales!$F$29*(datos_base!$F$4+IF(parametros_manuales!$H$29="Todos",datos_base!$F$11,0))*parametros_manuales!$D$107+parametros_manuales!$G$29*(datos_base!$F$5+IF(parametros_manuales!$H$29="Todos",datos_base!$F$12,0))*parametros_manuales!$D$112)*parametros_manuales!$I$29*parametros_manuales!$J$29</f>
        <v>7241.67</v>
      </c>
      <c r="E124" s="8">
        <f>(parametros_manuales!$D$29*(datos_base!$F$2+IF(parametros_manuales!$H$29="Todos",datos_base!$F$9,0))*parametros_manuales!$E$97+parametros_manuales!$E$29*(datos_base!$F$3+IF(parametros_manuales!$H$29="Todos",datos_base!$F$10,0))*parametros_manuales!$E$102+parametros_manuales!$F$29*(datos_base!$F$4+IF(parametros_manuales!$H$29="Todos",datos_base!$F$11,0))*parametros_manuales!$E$107+parametros_manuales!$G$29*(datos_base!$F$5+IF(parametros_manuales!$H$29="Todos",datos_base!$F$12,0))*parametros_manuales!$E$112)*parametros_manuales!$I$29*parametros_manuales!$J$29</f>
        <v>6931.09</v>
      </c>
      <c r="F124" s="8">
        <f>(parametros_manuales!$D$29*(datos_base!$F$2+IF(parametros_manuales!$H$29="Todos",datos_base!$F$9,0))*parametros_manuales!$F$97+parametros_manuales!$E$29*(datos_base!$F$3+IF(parametros_manuales!$H$29="Todos",datos_base!$F$10,0))*parametros_manuales!$F$102+parametros_manuales!$F$29*(datos_base!$F$4+IF(parametros_manuales!$H$29="Todos",datos_base!$F$11,0))*parametros_manuales!$F$107+parametros_manuales!$G$29*(datos_base!$F$5+IF(parametros_manuales!$H$29="Todos",datos_base!$F$12,0))*parametros_manuales!$F$112)*parametros_manuales!$I$29*parametros_manuales!$J$29</f>
        <v>6486.84</v>
      </c>
      <c r="G124" s="8">
        <f>(parametros_manuales!$D$29*(datos_base!$F$2+IF(parametros_manuales!$H$29="Todos",datos_base!$F$9,0))*parametros_manuales!$G$97+parametros_manuales!$E$29*(datos_base!$F$3+IF(parametros_manuales!$H$29="Todos",datos_base!$F$10,0))*parametros_manuales!$G$102+parametros_manuales!$F$29*(datos_base!$F$4+IF(parametros_manuales!$H$29="Todos",datos_base!$F$11,0))*parametros_manuales!$G$107+parametros_manuales!$G$29*(datos_base!$F$5+IF(parametros_manuales!$H$29="Todos",datos_base!$F$12,0))*parametros_manuales!$G$112)*parametros_manuales!$I$29*parametros_manuales!$J$29</f>
        <v>6353.17</v>
      </c>
      <c r="H124" s="8">
        <f>(parametros_manuales!$D$29*(datos_base!$F$2+IF(parametros_manuales!$H$29="Todos",datos_base!$F$9,0))*parametros_manuales!$H$97+parametros_manuales!$E$29*(datos_base!$F$3+IF(parametros_manuales!$H$29="Todos",datos_base!$F$10,0))*parametros_manuales!$H$102+parametros_manuales!$F$29*(datos_base!$F$4+IF(parametros_manuales!$H$29="Todos",datos_base!$F$11,0))*parametros_manuales!$H$107+parametros_manuales!$G$29*(datos_base!$F$5+IF(parametros_manuales!$H$29="Todos",datos_base!$F$12,0))*parametros_manuales!$H$112)*parametros_manuales!$I$29*parametros_manuales!$J$29</f>
        <v>6797.42</v>
      </c>
      <c r="I124" s="8">
        <f>(parametros_manuales!$D$29*(datos_base!$F$2+IF(parametros_manuales!$H$29="Todos",datos_base!$F$9,0))*parametros_manuales!$I$97+parametros_manuales!$E$29*(datos_base!$F$3+IF(parametros_manuales!$H$29="Todos",datos_base!$F$10,0))*parametros_manuales!$I$102+parametros_manuales!$F$29*(datos_base!$F$4+IF(parametros_manuales!$H$29="Todos",datos_base!$F$11,0))*parametros_manuales!$I$107+parametros_manuales!$G$29*(datos_base!$F$5+IF(parametros_manuales!$H$29="Todos",datos_base!$F$12,0))*parametros_manuales!$I$112)*parametros_manuales!$I$29*parametros_manuales!$J$29</f>
        <v>7729.16</v>
      </c>
      <c r="J124" s="8">
        <f>(parametros_manuales!$D$29*(datos_base!$F$2+IF(parametros_manuales!$H$29="Todos",datos_base!$F$9,0))*parametros_manuales!$J$97+parametros_manuales!$E$29*(datos_base!$F$3+IF(parametros_manuales!$H$29="Todos",datos_base!$F$10,0))*parametros_manuales!$J$102+parametros_manuales!$F$29*(datos_base!$F$4+IF(parametros_manuales!$H$29="Todos",datos_base!$F$11,0))*parametros_manuales!$J$107+parametros_manuales!$G$29*(datos_base!$F$5+IF(parametros_manuales!$H$29="Todos",datos_base!$F$12,0))*parametros_manuales!$J$112)*parametros_manuales!$I$29*parametros_manuales!$J$29</f>
        <v>7729.16</v>
      </c>
      <c r="K124" s="8">
        <f>(parametros_manuales!$D$29*(datos_base!$F$2+IF(parametros_manuales!$H$29="Todos",datos_base!$F$9,0))*parametros_manuales!$K$97+parametros_manuales!$E$29*(datos_base!$F$3+IF(parametros_manuales!$H$29="Todos",datos_base!$F$10,0))*parametros_manuales!$K$102+parametros_manuales!$F$29*(datos_base!$F$4+IF(parametros_manuales!$H$29="Todos",datos_base!$F$11,0))*parametros_manuales!$K$107+parametros_manuales!$G$29*(datos_base!$F$5+IF(parametros_manuales!$H$29="Todos",datos_base!$F$12,0))*parametros_manuales!$K$112)*parametros_manuales!$I$29*parametros_manuales!$J$29</f>
        <v>7862.83</v>
      </c>
      <c r="L124" s="8">
        <f>(parametros_manuales!$D$29*(datos_base!$F$2+IF(parametros_manuales!$H$29="Todos",datos_base!$F$9,0))*parametros_manuales!$L$97+parametros_manuales!$E$29*(datos_base!$F$3+IF(parametros_manuales!$H$29="Todos",datos_base!$F$10,0))*parametros_manuales!$L$102+parametros_manuales!$F$29*(datos_base!$F$4+IF(parametros_manuales!$H$29="Todos",datos_base!$F$11,0))*parametros_manuales!$L$107+parametros_manuales!$G$29*(datos_base!$F$5+IF(parametros_manuales!$H$29="Todos",datos_base!$F$12,0))*parametros_manuales!$L$112)*parametros_manuales!$I$29*parametros_manuales!$J$29</f>
        <v>7996.5</v>
      </c>
      <c r="M124" s="8">
        <f>(parametros_manuales!$D$29*(datos_base!$F$2+IF(parametros_manuales!$H$29="Todos",datos_base!$F$9,0))*parametros_manuales!$M$97+parametros_manuales!$E$29*(datos_base!$F$3+IF(parametros_manuales!$H$29="Todos",datos_base!$F$10,0))*parametros_manuales!$M$102+parametros_manuales!$F$29*(datos_base!$F$4+IF(parametros_manuales!$H$29="Todos",datos_base!$F$11,0))*parametros_manuales!$M$107+parametros_manuales!$G$29*(datos_base!$F$5+IF(parametros_manuales!$H$29="Todos",datos_base!$F$12,0))*parametros_manuales!$M$112)*parametros_manuales!$I$29*parametros_manuales!$J$29</f>
        <v>7996.5</v>
      </c>
      <c r="N124" s="8">
        <f t="shared" si="13"/>
        <v>88850</v>
      </c>
      <c r="O124" s="8">
        <f t="shared" si="14"/>
        <v>7996.5</v>
      </c>
      <c r="P124" s="27">
        <f>O124/(parametros_manuales!$B$7)</f>
        <v>53.31</v>
      </c>
      <c r="Q124" s="4" t="str">
        <f t="shared" si="15"/>
        <v>Ene</v>
      </c>
      <c r="R124" s="16"/>
      <c r="S124" s="16"/>
    </row>
    <row r="125" ht="14.25" customHeight="1">
      <c r="A125" s="4" t="str">
        <f>parametros_manuales!$B$30</f>
        <v>Bordoneado</v>
      </c>
      <c r="B125" s="8">
        <f>(parametros_manuales!$D$30*(datos_base!$F$2+IF(parametros_manuales!$H$30="Todos",datos_base!$F$9,0))*parametros_manuales!$B$97+parametros_manuales!$E$30*(datos_base!$F$3+IF(parametros_manuales!$H$30="Todos",datos_base!$F$10,0))*parametros_manuales!$B$102+parametros_manuales!$F$30*(datos_base!$F$4+IF(parametros_manuales!$H$30="Todos",datos_base!$F$11,0))*parametros_manuales!$B$107+parametros_manuales!$G$30*(datos_base!$F$5+IF(parametros_manuales!$H$30="Todos",datos_base!$F$12,0))*parametros_manuales!$B$112)*parametros_manuales!$I$30*parametros_manuales!$J$30</f>
        <v>7996.5</v>
      </c>
      <c r="C125" s="8">
        <f>(parametros_manuales!$D$30*(datos_base!$F$2+IF(parametros_manuales!$H$30="Todos",datos_base!$F$9,0))*parametros_manuales!$C$97+parametros_manuales!$E$30*(datos_base!$F$3+IF(parametros_manuales!$H$30="Todos",datos_base!$F$10,0))*parametros_manuales!$C$102+parametros_manuales!$F$30*(datos_base!$F$4+IF(parametros_manuales!$H$30="Todos",datos_base!$F$11,0))*parametros_manuales!$C$107+parametros_manuales!$G$30*(datos_base!$F$5+IF(parametros_manuales!$H$30="Todos",datos_base!$F$12,0))*parametros_manuales!$C$112)*parametros_manuales!$I$30*parametros_manuales!$J$30</f>
        <v>7729.16</v>
      </c>
      <c r="D125" s="8">
        <f>(parametros_manuales!$D$30*(datos_base!$F$2+IF(parametros_manuales!$H$30="Todos",datos_base!$F$9,0))*parametros_manuales!$D$97+parametros_manuales!$E$30*(datos_base!$F$3+IF(parametros_manuales!$H$30="Todos",datos_base!$F$10,0))*parametros_manuales!$D$102+parametros_manuales!$F$30*(datos_base!$F$4+IF(parametros_manuales!$H$30="Todos",datos_base!$F$11,0))*parametros_manuales!$D$107+parametros_manuales!$G$30*(datos_base!$F$5+IF(parametros_manuales!$H$30="Todos",datos_base!$F$12,0))*parametros_manuales!$D$112)*parametros_manuales!$I$30*parametros_manuales!$J$30</f>
        <v>7241.67</v>
      </c>
      <c r="E125" s="8">
        <f>(parametros_manuales!$D$30*(datos_base!$F$2+IF(parametros_manuales!$H$30="Todos",datos_base!$F$9,0))*parametros_manuales!$E$97+parametros_manuales!$E$30*(datos_base!$F$3+IF(parametros_manuales!$H$30="Todos",datos_base!$F$10,0))*parametros_manuales!$E$102+parametros_manuales!$F$30*(datos_base!$F$4+IF(parametros_manuales!$H$30="Todos",datos_base!$F$11,0))*parametros_manuales!$E$107+parametros_manuales!$G$30*(datos_base!$F$5+IF(parametros_manuales!$H$30="Todos",datos_base!$F$12,0))*parametros_manuales!$E$112)*parametros_manuales!$I$30*parametros_manuales!$J$30</f>
        <v>6931.09</v>
      </c>
      <c r="F125" s="8">
        <f>(parametros_manuales!$D$30*(datos_base!$F$2+IF(parametros_manuales!$H$30="Todos",datos_base!$F$9,0))*parametros_manuales!$F$97+parametros_manuales!$E$30*(datos_base!$F$3+IF(parametros_manuales!$H$30="Todos",datos_base!$F$10,0))*parametros_manuales!$F$102+parametros_manuales!$F$30*(datos_base!$F$4+IF(parametros_manuales!$H$30="Todos",datos_base!$F$11,0))*parametros_manuales!$F$107+parametros_manuales!$G$30*(datos_base!$F$5+IF(parametros_manuales!$H$30="Todos",datos_base!$F$12,0))*parametros_manuales!$F$112)*parametros_manuales!$I$30*parametros_manuales!$J$30</f>
        <v>6486.84</v>
      </c>
      <c r="G125" s="8">
        <f>(parametros_manuales!$D$30*(datos_base!$F$2+IF(parametros_manuales!$H$30="Todos",datos_base!$F$9,0))*parametros_manuales!$G$97+parametros_manuales!$E$30*(datos_base!$F$3+IF(parametros_manuales!$H$30="Todos",datos_base!$F$10,0))*parametros_manuales!$G$102+parametros_manuales!$F$30*(datos_base!$F$4+IF(parametros_manuales!$H$30="Todos",datos_base!$F$11,0))*parametros_manuales!$G$107+parametros_manuales!$G$30*(datos_base!$F$5+IF(parametros_manuales!$H$30="Todos",datos_base!$F$12,0))*parametros_manuales!$G$112)*parametros_manuales!$I$30*parametros_manuales!$J$30</f>
        <v>6353.17</v>
      </c>
      <c r="H125" s="8">
        <f>(parametros_manuales!$D$30*(datos_base!$F$2+IF(parametros_manuales!$H$30="Todos",datos_base!$F$9,0))*parametros_manuales!$H$97+parametros_manuales!$E$30*(datos_base!$F$3+IF(parametros_manuales!$H$30="Todos",datos_base!$F$10,0))*parametros_manuales!$H$102+parametros_manuales!$F$30*(datos_base!$F$4+IF(parametros_manuales!$H$30="Todos",datos_base!$F$11,0))*parametros_manuales!$H$107+parametros_manuales!$G$30*(datos_base!$F$5+IF(parametros_manuales!$H$30="Todos",datos_base!$F$12,0))*parametros_manuales!$H$112)*parametros_manuales!$I$30*parametros_manuales!$J$30</f>
        <v>6797.42</v>
      </c>
      <c r="I125" s="8">
        <f>(parametros_manuales!$D$30*(datos_base!$F$2+IF(parametros_manuales!$H$30="Todos",datos_base!$F$9,0))*parametros_manuales!$I$97+parametros_manuales!$E$30*(datos_base!$F$3+IF(parametros_manuales!$H$30="Todos",datos_base!$F$10,0))*parametros_manuales!$I$102+parametros_manuales!$F$30*(datos_base!$F$4+IF(parametros_manuales!$H$30="Todos",datos_base!$F$11,0))*parametros_manuales!$I$107+parametros_manuales!$G$30*(datos_base!$F$5+IF(parametros_manuales!$H$30="Todos",datos_base!$F$12,0))*parametros_manuales!$I$112)*parametros_manuales!$I$30*parametros_manuales!$J$30</f>
        <v>7729.16</v>
      </c>
      <c r="J125" s="8">
        <f>(parametros_manuales!$D$30*(datos_base!$F$2+IF(parametros_manuales!$H$30="Todos",datos_base!$F$9,0))*parametros_manuales!$J$97+parametros_manuales!$E$30*(datos_base!$F$3+IF(parametros_manuales!$H$30="Todos",datos_base!$F$10,0))*parametros_manuales!$J$102+parametros_manuales!$F$30*(datos_base!$F$4+IF(parametros_manuales!$H$30="Todos",datos_base!$F$11,0))*parametros_manuales!$J$107+parametros_manuales!$G$30*(datos_base!$F$5+IF(parametros_manuales!$H$30="Todos",datos_base!$F$12,0))*parametros_manuales!$J$112)*parametros_manuales!$I$30*parametros_manuales!$J$30</f>
        <v>7729.16</v>
      </c>
      <c r="K125" s="8">
        <f>(parametros_manuales!$D$30*(datos_base!$F$2+IF(parametros_manuales!$H$30="Todos",datos_base!$F$9,0))*parametros_manuales!$K$97+parametros_manuales!$E$30*(datos_base!$F$3+IF(parametros_manuales!$H$30="Todos",datos_base!$F$10,0))*parametros_manuales!$K$102+parametros_manuales!$F$30*(datos_base!$F$4+IF(parametros_manuales!$H$30="Todos",datos_base!$F$11,0))*parametros_manuales!$K$107+parametros_manuales!$G$30*(datos_base!$F$5+IF(parametros_manuales!$H$30="Todos",datos_base!$F$12,0))*parametros_manuales!$K$112)*parametros_manuales!$I$30*parametros_manuales!$J$30</f>
        <v>7862.83</v>
      </c>
      <c r="L125" s="8">
        <f>(parametros_manuales!$D$30*(datos_base!$F$2+IF(parametros_manuales!$H$30="Todos",datos_base!$F$9,0))*parametros_manuales!$L$97+parametros_manuales!$E$30*(datos_base!$F$3+IF(parametros_manuales!$H$30="Todos",datos_base!$F$10,0))*parametros_manuales!$L$102+parametros_manuales!$F$30*(datos_base!$F$4+IF(parametros_manuales!$H$30="Todos",datos_base!$F$11,0))*parametros_manuales!$L$107+parametros_manuales!$G$30*(datos_base!$F$5+IF(parametros_manuales!$H$30="Todos",datos_base!$F$12,0))*parametros_manuales!$L$112)*parametros_manuales!$I$30*parametros_manuales!$J$30</f>
        <v>7996.5</v>
      </c>
      <c r="M125" s="8">
        <f>(parametros_manuales!$D$30*(datos_base!$F$2+IF(parametros_manuales!$H$30="Todos",datos_base!$F$9,0))*parametros_manuales!$M$97+parametros_manuales!$E$30*(datos_base!$F$3+IF(parametros_manuales!$H$30="Todos",datos_base!$F$10,0))*parametros_manuales!$M$102+parametros_manuales!$F$30*(datos_base!$F$4+IF(parametros_manuales!$H$30="Todos",datos_base!$F$11,0))*parametros_manuales!$M$107+parametros_manuales!$G$30*(datos_base!$F$5+IF(parametros_manuales!$H$30="Todos",datos_base!$F$12,0))*parametros_manuales!$M$112)*parametros_manuales!$I$30*parametros_manuales!$J$30</f>
        <v>7996.5</v>
      </c>
      <c r="N125" s="8">
        <f t="shared" si="13"/>
        <v>88850</v>
      </c>
      <c r="O125" s="8">
        <f t="shared" si="14"/>
        <v>7996.5</v>
      </c>
      <c r="P125" s="27">
        <f>O125/(parametros_manuales!$B$7)</f>
        <v>53.31</v>
      </c>
      <c r="Q125" s="4" t="str">
        <f t="shared" si="15"/>
        <v>Ene</v>
      </c>
      <c r="R125" s="16"/>
      <c r="S125" s="16"/>
    </row>
    <row r="126" ht="14.25" customHeight="1">
      <c r="A126" s="4" t="str">
        <f>parametros_manuales!$B$31</f>
        <v>Soldadura circunferencial de cúpula y fondo</v>
      </c>
      <c r="B126" s="8">
        <f>(parametros_manuales!$D$31*(datos_base!$F$2+IF(parametros_manuales!$H$31="Todos",datos_base!$F$9,0))*parametros_manuales!$B$97+parametros_manuales!$E$31*(datos_base!$F$3+IF(parametros_manuales!$H$31="Todos",datos_base!$F$10,0))*parametros_manuales!$B$102+parametros_manuales!$F$31*(datos_base!$F$4+IF(parametros_manuales!$H$31="Todos",datos_base!$F$11,0))*parametros_manuales!$B$107+parametros_manuales!$G$31*(datos_base!$F$5+IF(parametros_manuales!$H$31="Todos",datos_base!$F$12,0))*parametros_manuales!$B$112)*parametros_manuales!$I$31*parametros_manuales!$J$31</f>
        <v>7996.5</v>
      </c>
      <c r="C126" s="8">
        <f>(parametros_manuales!$D$31*(datos_base!$F$2+IF(parametros_manuales!$H$31="Todos",datos_base!$F$9,0))*parametros_manuales!$C$97+parametros_manuales!$E$31*(datos_base!$F$3+IF(parametros_manuales!$H$31="Todos",datos_base!$F$10,0))*parametros_manuales!$C$102+parametros_manuales!$F$31*(datos_base!$F$4+IF(parametros_manuales!$H$31="Todos",datos_base!$F$11,0))*parametros_manuales!$C$107+parametros_manuales!$G$31*(datos_base!$F$5+IF(parametros_manuales!$H$31="Todos",datos_base!$F$12,0))*parametros_manuales!$C$112)*parametros_manuales!$I$31*parametros_manuales!$J$31</f>
        <v>7729.16</v>
      </c>
      <c r="D126" s="8">
        <f>(parametros_manuales!$D$31*(datos_base!$F$2+IF(parametros_manuales!$H$31="Todos",datos_base!$F$9,0))*parametros_manuales!$D$97+parametros_manuales!$E$31*(datos_base!$F$3+IF(parametros_manuales!$H$31="Todos",datos_base!$F$10,0))*parametros_manuales!$D$102+parametros_manuales!$F$31*(datos_base!$F$4+IF(parametros_manuales!$H$31="Todos",datos_base!$F$11,0))*parametros_manuales!$D$107+parametros_manuales!$G$31*(datos_base!$F$5+IF(parametros_manuales!$H$31="Todos",datos_base!$F$12,0))*parametros_manuales!$D$112)*parametros_manuales!$I$31*parametros_manuales!$J$31</f>
        <v>7241.67</v>
      </c>
      <c r="E126" s="8">
        <f>(parametros_manuales!$D$31*(datos_base!$F$2+IF(parametros_manuales!$H$31="Todos",datos_base!$F$9,0))*parametros_manuales!$E$97+parametros_manuales!$E$31*(datos_base!$F$3+IF(parametros_manuales!$H$31="Todos",datos_base!$F$10,0))*parametros_manuales!$E$102+parametros_manuales!$F$31*(datos_base!$F$4+IF(parametros_manuales!$H$31="Todos",datos_base!$F$11,0))*parametros_manuales!$E$107+parametros_manuales!$G$31*(datos_base!$F$5+IF(parametros_manuales!$H$31="Todos",datos_base!$F$12,0))*parametros_manuales!$E$112)*parametros_manuales!$I$31*parametros_manuales!$J$31</f>
        <v>6931.09</v>
      </c>
      <c r="F126" s="8">
        <f>(parametros_manuales!$D$31*(datos_base!$F$2+IF(parametros_manuales!$H$31="Todos",datos_base!$F$9,0))*parametros_manuales!$F$97+parametros_manuales!$E$31*(datos_base!$F$3+IF(parametros_manuales!$H$31="Todos",datos_base!$F$10,0))*parametros_manuales!$F$102+parametros_manuales!$F$31*(datos_base!$F$4+IF(parametros_manuales!$H$31="Todos",datos_base!$F$11,0))*parametros_manuales!$F$107+parametros_manuales!$G$31*(datos_base!$F$5+IF(parametros_manuales!$H$31="Todos",datos_base!$F$12,0))*parametros_manuales!$F$112)*parametros_manuales!$I$31*parametros_manuales!$J$31</f>
        <v>6486.84</v>
      </c>
      <c r="G126" s="8">
        <f>(parametros_manuales!$D$31*(datos_base!$F$2+IF(parametros_manuales!$H$31="Todos",datos_base!$F$9,0))*parametros_manuales!$G$97+parametros_manuales!$E$31*(datos_base!$F$3+IF(parametros_manuales!$H$31="Todos",datos_base!$F$10,0))*parametros_manuales!$G$102+parametros_manuales!$F$31*(datos_base!$F$4+IF(parametros_manuales!$H$31="Todos",datos_base!$F$11,0))*parametros_manuales!$G$107+parametros_manuales!$G$31*(datos_base!$F$5+IF(parametros_manuales!$H$31="Todos",datos_base!$F$12,0))*parametros_manuales!$G$112)*parametros_manuales!$I$31*parametros_manuales!$J$31</f>
        <v>6353.17</v>
      </c>
      <c r="H126" s="8">
        <f>(parametros_manuales!$D$31*(datos_base!$F$2+IF(parametros_manuales!$H$31="Todos",datos_base!$F$9,0))*parametros_manuales!$H$97+parametros_manuales!$E$31*(datos_base!$F$3+IF(parametros_manuales!$H$31="Todos",datos_base!$F$10,0))*parametros_manuales!$H$102+parametros_manuales!$F$31*(datos_base!$F$4+IF(parametros_manuales!$H$31="Todos",datos_base!$F$11,0))*parametros_manuales!$H$107+parametros_manuales!$G$31*(datos_base!$F$5+IF(parametros_manuales!$H$31="Todos",datos_base!$F$12,0))*parametros_manuales!$H$112)*parametros_manuales!$I$31*parametros_manuales!$J$31</f>
        <v>6797.42</v>
      </c>
      <c r="I126" s="8">
        <f>(parametros_manuales!$D$31*(datos_base!$F$2+IF(parametros_manuales!$H$31="Todos",datos_base!$F$9,0))*parametros_manuales!$I$97+parametros_manuales!$E$31*(datos_base!$F$3+IF(parametros_manuales!$H$31="Todos",datos_base!$F$10,0))*parametros_manuales!$I$102+parametros_manuales!$F$31*(datos_base!$F$4+IF(parametros_manuales!$H$31="Todos",datos_base!$F$11,0))*parametros_manuales!$I$107+parametros_manuales!$G$31*(datos_base!$F$5+IF(parametros_manuales!$H$31="Todos",datos_base!$F$12,0))*parametros_manuales!$I$112)*parametros_manuales!$I$31*parametros_manuales!$J$31</f>
        <v>7729.16</v>
      </c>
      <c r="J126" s="8">
        <f>(parametros_manuales!$D$31*(datos_base!$F$2+IF(parametros_manuales!$H$31="Todos",datos_base!$F$9,0))*parametros_manuales!$J$97+parametros_manuales!$E$31*(datos_base!$F$3+IF(parametros_manuales!$H$31="Todos",datos_base!$F$10,0))*parametros_manuales!$J$102+parametros_manuales!$F$31*(datos_base!$F$4+IF(parametros_manuales!$H$31="Todos",datos_base!$F$11,0))*parametros_manuales!$J$107+parametros_manuales!$G$31*(datos_base!$F$5+IF(parametros_manuales!$H$31="Todos",datos_base!$F$12,0))*parametros_manuales!$J$112)*parametros_manuales!$I$31*parametros_manuales!$J$31</f>
        <v>7729.16</v>
      </c>
      <c r="K126" s="8">
        <f>(parametros_manuales!$D$31*(datos_base!$F$2+IF(parametros_manuales!$H$31="Todos",datos_base!$F$9,0))*parametros_manuales!$K$97+parametros_manuales!$E$31*(datos_base!$F$3+IF(parametros_manuales!$H$31="Todos",datos_base!$F$10,0))*parametros_manuales!$K$102+parametros_manuales!$F$31*(datos_base!$F$4+IF(parametros_manuales!$H$31="Todos",datos_base!$F$11,0))*parametros_manuales!$K$107+parametros_manuales!$G$31*(datos_base!$F$5+IF(parametros_manuales!$H$31="Todos",datos_base!$F$12,0))*parametros_manuales!$K$112)*parametros_manuales!$I$31*parametros_manuales!$J$31</f>
        <v>7862.83</v>
      </c>
      <c r="L126" s="8">
        <f>(parametros_manuales!$D$31*(datos_base!$F$2+IF(parametros_manuales!$H$31="Todos",datos_base!$F$9,0))*parametros_manuales!$L$97+parametros_manuales!$E$31*(datos_base!$F$3+IF(parametros_manuales!$H$31="Todos",datos_base!$F$10,0))*parametros_manuales!$L$102+parametros_manuales!$F$31*(datos_base!$F$4+IF(parametros_manuales!$H$31="Todos",datos_base!$F$11,0))*parametros_manuales!$L$107+parametros_manuales!$G$31*(datos_base!$F$5+IF(parametros_manuales!$H$31="Todos",datos_base!$F$12,0))*parametros_manuales!$L$112)*parametros_manuales!$I$31*parametros_manuales!$J$31</f>
        <v>7996.5</v>
      </c>
      <c r="M126" s="8">
        <f>(parametros_manuales!$D$31*(datos_base!$F$2+IF(parametros_manuales!$H$31="Todos",datos_base!$F$9,0))*parametros_manuales!$M$97+parametros_manuales!$E$31*(datos_base!$F$3+IF(parametros_manuales!$H$31="Todos",datos_base!$F$10,0))*parametros_manuales!$M$102+parametros_manuales!$F$31*(datos_base!$F$4+IF(parametros_manuales!$H$31="Todos",datos_base!$F$11,0))*parametros_manuales!$M$107+parametros_manuales!$G$31*(datos_base!$F$5+IF(parametros_manuales!$H$31="Todos",datos_base!$F$12,0))*parametros_manuales!$M$112)*parametros_manuales!$I$31*parametros_manuales!$J$31</f>
        <v>7996.5</v>
      </c>
      <c r="N126" s="8">
        <f t="shared" si="13"/>
        <v>88850</v>
      </c>
      <c r="O126" s="8">
        <f t="shared" si="14"/>
        <v>7996.5</v>
      </c>
      <c r="P126" s="27">
        <f>O126/(parametros_manuales!$B$7)</f>
        <v>53.31</v>
      </c>
      <c r="Q126" s="4" t="str">
        <f t="shared" si="15"/>
        <v>Ene</v>
      </c>
      <c r="R126" s="16"/>
      <c r="S126" s="16"/>
    </row>
    <row r="127" ht="14.25" customHeight="1">
      <c r="A127" s="4" t="str">
        <f>parametros_manuales!$B$32</f>
        <v>Control de calidad — Espesor</v>
      </c>
      <c r="B127" s="8">
        <f>(parametros_manuales!$D$32*(datos_base!$F$2+IF(parametros_manuales!$H$32="Todos",datos_base!$F$9,0))*parametros_manuales!$B$97+parametros_manuales!$E$32*(datos_base!$F$3+IF(parametros_manuales!$H$32="Todos",datos_base!$F$10,0))*parametros_manuales!$B$102+parametros_manuales!$F$32*(datos_base!$F$4+IF(parametros_manuales!$H$32="Todos",datos_base!$F$11,0))*parametros_manuales!$B$107+parametros_manuales!$G$32*(datos_base!$F$5+IF(parametros_manuales!$H$32="Todos",datos_base!$F$12,0))*parametros_manuales!$B$112)*parametros_manuales!$I$32*parametros_manuales!$J$32</f>
        <v>159.93</v>
      </c>
      <c r="C127" s="8">
        <f>(parametros_manuales!$D$32*(datos_base!$F$2+IF(parametros_manuales!$H$32="Todos",datos_base!$F$9,0))*parametros_manuales!$C$97+parametros_manuales!$E$32*(datos_base!$F$3+IF(parametros_manuales!$H$32="Todos",datos_base!$F$10,0))*parametros_manuales!$C$102+parametros_manuales!$F$32*(datos_base!$F$4+IF(parametros_manuales!$H$32="Todos",datos_base!$F$11,0))*parametros_manuales!$C$107+parametros_manuales!$G$32*(datos_base!$F$5+IF(parametros_manuales!$H$32="Todos",datos_base!$F$12,0))*parametros_manuales!$C$112)*parametros_manuales!$I$32*parametros_manuales!$J$32</f>
        <v>154.5832</v>
      </c>
      <c r="D127" s="8">
        <f>(parametros_manuales!$D$32*(datos_base!$F$2+IF(parametros_manuales!$H$32="Todos",datos_base!$F$9,0))*parametros_manuales!$D$97+parametros_manuales!$E$32*(datos_base!$F$3+IF(parametros_manuales!$H$32="Todos",datos_base!$F$10,0))*parametros_manuales!$D$102+parametros_manuales!$F$32*(datos_base!$F$4+IF(parametros_manuales!$H$32="Todos",datos_base!$F$11,0))*parametros_manuales!$D$107+parametros_manuales!$G$32*(datos_base!$F$5+IF(parametros_manuales!$H$32="Todos",datos_base!$F$12,0))*parametros_manuales!$D$112)*parametros_manuales!$I$32*parametros_manuales!$J$32</f>
        <v>144.8334</v>
      </c>
      <c r="E127" s="8">
        <f>(parametros_manuales!$D$32*(datos_base!$F$2+IF(parametros_manuales!$H$32="Todos",datos_base!$F$9,0))*parametros_manuales!$E$97+parametros_manuales!$E$32*(datos_base!$F$3+IF(parametros_manuales!$H$32="Todos",datos_base!$F$10,0))*parametros_manuales!$E$102+parametros_manuales!$F$32*(datos_base!$F$4+IF(parametros_manuales!$H$32="Todos",datos_base!$F$11,0))*parametros_manuales!$E$107+parametros_manuales!$G$32*(datos_base!$F$5+IF(parametros_manuales!$H$32="Todos",datos_base!$F$12,0))*parametros_manuales!$E$112)*parametros_manuales!$I$32*parametros_manuales!$J$32</f>
        <v>138.6218</v>
      </c>
      <c r="F127" s="8">
        <f>(parametros_manuales!$D$32*(datos_base!$F$2+IF(parametros_manuales!$H$32="Todos",datos_base!$F$9,0))*parametros_manuales!$F$97+parametros_manuales!$E$32*(datos_base!$F$3+IF(parametros_manuales!$H$32="Todos",datos_base!$F$10,0))*parametros_manuales!$F$102+parametros_manuales!$F$32*(datos_base!$F$4+IF(parametros_manuales!$H$32="Todos",datos_base!$F$11,0))*parametros_manuales!$F$107+parametros_manuales!$G$32*(datos_base!$F$5+IF(parametros_manuales!$H$32="Todos",datos_base!$F$12,0))*parametros_manuales!$F$112)*parametros_manuales!$I$32*parametros_manuales!$J$32</f>
        <v>129.7368</v>
      </c>
      <c r="G127" s="8">
        <f>(parametros_manuales!$D$32*(datos_base!$F$2+IF(parametros_manuales!$H$32="Todos",datos_base!$F$9,0))*parametros_manuales!$G$97+parametros_manuales!$E$32*(datos_base!$F$3+IF(parametros_manuales!$H$32="Todos",datos_base!$F$10,0))*parametros_manuales!$G$102+parametros_manuales!$F$32*(datos_base!$F$4+IF(parametros_manuales!$H$32="Todos",datos_base!$F$11,0))*parametros_manuales!$G$107+parametros_manuales!$G$32*(datos_base!$F$5+IF(parametros_manuales!$H$32="Todos",datos_base!$F$12,0))*parametros_manuales!$G$112)*parametros_manuales!$I$32*parametros_manuales!$J$32</f>
        <v>127.0634</v>
      </c>
      <c r="H127" s="8">
        <f>(parametros_manuales!$D$32*(datos_base!$F$2+IF(parametros_manuales!$H$32="Todos",datos_base!$F$9,0))*parametros_manuales!$H$97+parametros_manuales!$E$32*(datos_base!$F$3+IF(parametros_manuales!$H$32="Todos",datos_base!$F$10,0))*parametros_manuales!$H$102+parametros_manuales!$F$32*(datos_base!$F$4+IF(parametros_manuales!$H$32="Todos",datos_base!$F$11,0))*parametros_manuales!$H$107+parametros_manuales!$G$32*(datos_base!$F$5+IF(parametros_manuales!$H$32="Todos",datos_base!$F$12,0))*parametros_manuales!$H$112)*parametros_manuales!$I$32*parametros_manuales!$J$32</f>
        <v>135.9484</v>
      </c>
      <c r="I127" s="8">
        <f>(parametros_manuales!$D$32*(datos_base!$F$2+IF(parametros_manuales!$H$32="Todos",datos_base!$F$9,0))*parametros_manuales!$I$97+parametros_manuales!$E$32*(datos_base!$F$3+IF(parametros_manuales!$H$32="Todos",datos_base!$F$10,0))*parametros_manuales!$I$102+parametros_manuales!$F$32*(datos_base!$F$4+IF(parametros_manuales!$H$32="Todos",datos_base!$F$11,0))*parametros_manuales!$I$107+parametros_manuales!$G$32*(datos_base!$F$5+IF(parametros_manuales!$H$32="Todos",datos_base!$F$12,0))*parametros_manuales!$I$112)*parametros_manuales!$I$32*parametros_manuales!$J$32</f>
        <v>154.5832</v>
      </c>
      <c r="J127" s="8">
        <f>(parametros_manuales!$D$32*(datos_base!$F$2+IF(parametros_manuales!$H$32="Todos",datos_base!$F$9,0))*parametros_manuales!$J$97+parametros_manuales!$E$32*(datos_base!$F$3+IF(parametros_manuales!$H$32="Todos",datos_base!$F$10,0))*parametros_manuales!$J$102+parametros_manuales!$F$32*(datos_base!$F$4+IF(parametros_manuales!$H$32="Todos",datos_base!$F$11,0))*parametros_manuales!$J$107+parametros_manuales!$G$32*(datos_base!$F$5+IF(parametros_manuales!$H$32="Todos",datos_base!$F$12,0))*parametros_manuales!$J$112)*parametros_manuales!$I$32*parametros_manuales!$J$32</f>
        <v>154.5832</v>
      </c>
      <c r="K127" s="8">
        <f>(parametros_manuales!$D$32*(datos_base!$F$2+IF(parametros_manuales!$H$32="Todos",datos_base!$F$9,0))*parametros_manuales!$K$97+parametros_manuales!$E$32*(datos_base!$F$3+IF(parametros_manuales!$H$32="Todos",datos_base!$F$10,0))*parametros_manuales!$K$102+parametros_manuales!$F$32*(datos_base!$F$4+IF(parametros_manuales!$H$32="Todos",datos_base!$F$11,0))*parametros_manuales!$K$107+parametros_manuales!$G$32*(datos_base!$F$5+IF(parametros_manuales!$H$32="Todos",datos_base!$F$12,0))*parametros_manuales!$K$112)*parametros_manuales!$I$32*parametros_manuales!$J$32</f>
        <v>157.2566</v>
      </c>
      <c r="L127" s="8">
        <f>(parametros_manuales!$D$32*(datos_base!$F$2+IF(parametros_manuales!$H$32="Todos",datos_base!$F$9,0))*parametros_manuales!$L$97+parametros_manuales!$E$32*(datos_base!$F$3+IF(parametros_manuales!$H$32="Todos",datos_base!$F$10,0))*parametros_manuales!$L$102+parametros_manuales!$F$32*(datos_base!$F$4+IF(parametros_manuales!$H$32="Todos",datos_base!$F$11,0))*parametros_manuales!$L$107+parametros_manuales!$G$32*(datos_base!$F$5+IF(parametros_manuales!$H$32="Todos",datos_base!$F$12,0))*parametros_manuales!$L$112)*parametros_manuales!$I$32*parametros_manuales!$J$32</f>
        <v>159.93</v>
      </c>
      <c r="M127" s="8">
        <f>(parametros_manuales!$D$32*(datos_base!$F$2+IF(parametros_manuales!$H$32="Todos",datos_base!$F$9,0))*parametros_manuales!$M$97+parametros_manuales!$E$32*(datos_base!$F$3+IF(parametros_manuales!$H$32="Todos",datos_base!$F$10,0))*parametros_manuales!$M$102+parametros_manuales!$F$32*(datos_base!$F$4+IF(parametros_manuales!$H$32="Todos",datos_base!$F$11,0))*parametros_manuales!$M$107+parametros_manuales!$G$32*(datos_base!$F$5+IF(parametros_manuales!$H$32="Todos",datos_base!$F$12,0))*parametros_manuales!$M$112)*parametros_manuales!$I$32*parametros_manuales!$J$32</f>
        <v>159.93</v>
      </c>
      <c r="N127" s="8">
        <f t="shared" si="13"/>
        <v>1777</v>
      </c>
      <c r="O127" s="8">
        <f t="shared" si="14"/>
        <v>159.93</v>
      </c>
      <c r="P127" s="27">
        <f>O127/(parametros_manuales!$B$7)</f>
        <v>1.0662</v>
      </c>
      <c r="Q127" s="4" t="str">
        <f t="shared" si="15"/>
        <v>Ene</v>
      </c>
      <c r="R127" s="16"/>
      <c r="S127" s="16"/>
    </row>
    <row r="128" ht="14.25" customHeight="1">
      <c r="A128" s="4" t="str">
        <f>parametros_manuales!$B$33</f>
        <v>Prueba hidráulica</v>
      </c>
      <c r="B128" s="8">
        <f>(parametros_manuales!$D$33*(datos_base!$F$2+IF(parametros_manuales!$H$33="Todos",datos_base!$F$9,0))*parametros_manuales!$B$97+parametros_manuales!$E$33*(datos_base!$F$3+IF(parametros_manuales!$H$33="Todos",datos_base!$F$10,0))*parametros_manuales!$B$102+parametros_manuales!$F$33*(datos_base!$F$4+IF(parametros_manuales!$H$33="Todos",datos_base!$F$11,0))*parametros_manuales!$B$107+parametros_manuales!$G$33*(datos_base!$F$5+IF(parametros_manuales!$H$33="Todos",datos_base!$F$12,0))*parametros_manuales!$B$112)*parametros_manuales!$I$33*parametros_manuales!$J$33</f>
        <v>7996.5</v>
      </c>
      <c r="C128" s="8">
        <f>(parametros_manuales!$D$33*(datos_base!$F$2+IF(parametros_manuales!$H$33="Todos",datos_base!$F$9,0))*parametros_manuales!$C$97+parametros_manuales!$E$33*(datos_base!$F$3+IF(parametros_manuales!$H$33="Todos",datos_base!$F$10,0))*parametros_manuales!$C$102+parametros_manuales!$F$33*(datos_base!$F$4+IF(parametros_manuales!$H$33="Todos",datos_base!$F$11,0))*parametros_manuales!$C$107+parametros_manuales!$G$33*(datos_base!$F$5+IF(parametros_manuales!$H$33="Todos",datos_base!$F$12,0))*parametros_manuales!$C$112)*parametros_manuales!$I$33*parametros_manuales!$J$33</f>
        <v>7729.16</v>
      </c>
      <c r="D128" s="8">
        <f>(parametros_manuales!$D$33*(datos_base!$F$2+IF(parametros_manuales!$H$33="Todos",datos_base!$F$9,0))*parametros_manuales!$D$97+parametros_manuales!$E$33*(datos_base!$F$3+IF(parametros_manuales!$H$33="Todos",datos_base!$F$10,0))*parametros_manuales!$D$102+parametros_manuales!$F$33*(datos_base!$F$4+IF(parametros_manuales!$H$33="Todos",datos_base!$F$11,0))*parametros_manuales!$D$107+parametros_manuales!$G$33*(datos_base!$F$5+IF(parametros_manuales!$H$33="Todos",datos_base!$F$12,0))*parametros_manuales!$D$112)*parametros_manuales!$I$33*parametros_manuales!$J$33</f>
        <v>7241.67</v>
      </c>
      <c r="E128" s="8">
        <f>(parametros_manuales!$D$33*(datos_base!$F$2+IF(parametros_manuales!$H$33="Todos",datos_base!$F$9,0))*parametros_manuales!$E$97+parametros_manuales!$E$33*(datos_base!$F$3+IF(parametros_manuales!$H$33="Todos",datos_base!$F$10,0))*parametros_manuales!$E$102+parametros_manuales!$F$33*(datos_base!$F$4+IF(parametros_manuales!$H$33="Todos",datos_base!$F$11,0))*parametros_manuales!$E$107+parametros_manuales!$G$33*(datos_base!$F$5+IF(parametros_manuales!$H$33="Todos",datos_base!$F$12,0))*parametros_manuales!$E$112)*parametros_manuales!$I$33*parametros_manuales!$J$33</f>
        <v>6931.09</v>
      </c>
      <c r="F128" s="8">
        <f>(parametros_manuales!$D$33*(datos_base!$F$2+IF(parametros_manuales!$H$33="Todos",datos_base!$F$9,0))*parametros_manuales!$F$97+parametros_manuales!$E$33*(datos_base!$F$3+IF(parametros_manuales!$H$33="Todos",datos_base!$F$10,0))*parametros_manuales!$F$102+parametros_manuales!$F$33*(datos_base!$F$4+IF(parametros_manuales!$H$33="Todos",datos_base!$F$11,0))*parametros_manuales!$F$107+parametros_manuales!$G$33*(datos_base!$F$5+IF(parametros_manuales!$H$33="Todos",datos_base!$F$12,0))*parametros_manuales!$F$112)*parametros_manuales!$I$33*parametros_manuales!$J$33</f>
        <v>6486.84</v>
      </c>
      <c r="G128" s="8">
        <f>(parametros_manuales!$D$33*(datos_base!$F$2+IF(parametros_manuales!$H$33="Todos",datos_base!$F$9,0))*parametros_manuales!$G$97+parametros_manuales!$E$33*(datos_base!$F$3+IF(parametros_manuales!$H$33="Todos",datos_base!$F$10,0))*parametros_manuales!$G$102+parametros_manuales!$F$33*(datos_base!$F$4+IF(parametros_manuales!$H$33="Todos",datos_base!$F$11,0))*parametros_manuales!$G$107+parametros_manuales!$G$33*(datos_base!$F$5+IF(parametros_manuales!$H$33="Todos",datos_base!$F$12,0))*parametros_manuales!$G$112)*parametros_manuales!$I$33*parametros_manuales!$J$33</f>
        <v>6353.17</v>
      </c>
      <c r="H128" s="8">
        <f>(parametros_manuales!$D$33*(datos_base!$F$2+IF(parametros_manuales!$H$33="Todos",datos_base!$F$9,0))*parametros_manuales!$H$97+parametros_manuales!$E$33*(datos_base!$F$3+IF(parametros_manuales!$H$33="Todos",datos_base!$F$10,0))*parametros_manuales!$H$102+parametros_manuales!$F$33*(datos_base!$F$4+IF(parametros_manuales!$H$33="Todos",datos_base!$F$11,0))*parametros_manuales!$H$107+parametros_manuales!$G$33*(datos_base!$F$5+IF(parametros_manuales!$H$33="Todos",datos_base!$F$12,0))*parametros_manuales!$H$112)*parametros_manuales!$I$33*parametros_manuales!$J$33</f>
        <v>6797.42</v>
      </c>
      <c r="I128" s="8">
        <f>(parametros_manuales!$D$33*(datos_base!$F$2+IF(parametros_manuales!$H$33="Todos",datos_base!$F$9,0))*parametros_manuales!$I$97+parametros_manuales!$E$33*(datos_base!$F$3+IF(parametros_manuales!$H$33="Todos",datos_base!$F$10,0))*parametros_manuales!$I$102+parametros_manuales!$F$33*(datos_base!$F$4+IF(parametros_manuales!$H$33="Todos",datos_base!$F$11,0))*parametros_manuales!$I$107+parametros_manuales!$G$33*(datos_base!$F$5+IF(parametros_manuales!$H$33="Todos",datos_base!$F$12,0))*parametros_manuales!$I$112)*parametros_manuales!$I$33*parametros_manuales!$J$33</f>
        <v>7729.16</v>
      </c>
      <c r="J128" s="8">
        <f>(parametros_manuales!$D$33*(datos_base!$F$2+IF(parametros_manuales!$H$33="Todos",datos_base!$F$9,0))*parametros_manuales!$J$97+parametros_manuales!$E$33*(datos_base!$F$3+IF(parametros_manuales!$H$33="Todos",datos_base!$F$10,0))*parametros_manuales!$J$102+parametros_manuales!$F$33*(datos_base!$F$4+IF(parametros_manuales!$H$33="Todos",datos_base!$F$11,0))*parametros_manuales!$J$107+parametros_manuales!$G$33*(datos_base!$F$5+IF(parametros_manuales!$H$33="Todos",datos_base!$F$12,0))*parametros_manuales!$J$112)*parametros_manuales!$I$33*parametros_manuales!$J$33</f>
        <v>7729.16</v>
      </c>
      <c r="K128" s="8">
        <f>(parametros_manuales!$D$33*(datos_base!$F$2+IF(parametros_manuales!$H$33="Todos",datos_base!$F$9,0))*parametros_manuales!$K$97+parametros_manuales!$E$33*(datos_base!$F$3+IF(parametros_manuales!$H$33="Todos",datos_base!$F$10,0))*parametros_manuales!$K$102+parametros_manuales!$F$33*(datos_base!$F$4+IF(parametros_manuales!$H$33="Todos",datos_base!$F$11,0))*parametros_manuales!$K$107+parametros_manuales!$G$33*(datos_base!$F$5+IF(parametros_manuales!$H$33="Todos",datos_base!$F$12,0))*parametros_manuales!$K$112)*parametros_manuales!$I$33*parametros_manuales!$J$33</f>
        <v>7862.83</v>
      </c>
      <c r="L128" s="8">
        <f>(parametros_manuales!$D$33*(datos_base!$F$2+IF(parametros_manuales!$H$33="Todos",datos_base!$F$9,0))*parametros_manuales!$L$97+parametros_manuales!$E$33*(datos_base!$F$3+IF(parametros_manuales!$H$33="Todos",datos_base!$F$10,0))*parametros_manuales!$L$102+parametros_manuales!$F$33*(datos_base!$F$4+IF(parametros_manuales!$H$33="Todos",datos_base!$F$11,0))*parametros_manuales!$L$107+parametros_manuales!$G$33*(datos_base!$F$5+IF(parametros_manuales!$H$33="Todos",datos_base!$F$12,0))*parametros_manuales!$L$112)*parametros_manuales!$I$33*parametros_manuales!$J$33</f>
        <v>7996.5</v>
      </c>
      <c r="M128" s="8">
        <f>(parametros_manuales!$D$33*(datos_base!$F$2+IF(parametros_manuales!$H$33="Todos",datos_base!$F$9,0))*parametros_manuales!$M$97+parametros_manuales!$E$33*(datos_base!$F$3+IF(parametros_manuales!$H$33="Todos",datos_base!$F$10,0))*parametros_manuales!$M$102+parametros_manuales!$F$33*(datos_base!$F$4+IF(parametros_manuales!$H$33="Todos",datos_base!$F$11,0))*parametros_manuales!$M$107+parametros_manuales!$G$33*(datos_base!$F$5+IF(parametros_manuales!$H$33="Todos",datos_base!$F$12,0))*parametros_manuales!$M$112)*parametros_manuales!$I$33*parametros_manuales!$J$33</f>
        <v>7996.5</v>
      </c>
      <c r="N128" s="8">
        <f t="shared" si="13"/>
        <v>88850</v>
      </c>
      <c r="O128" s="8">
        <f t="shared" si="14"/>
        <v>7996.5</v>
      </c>
      <c r="P128" s="27">
        <f>O128/(parametros_manuales!$B$7)</f>
        <v>53.31</v>
      </c>
      <c r="Q128" s="4" t="str">
        <f t="shared" si="15"/>
        <v>Ene</v>
      </c>
      <c r="R128" s="16"/>
      <c r="S128" s="16"/>
    </row>
    <row r="129" ht="14.25" customHeight="1">
      <c r="A129" s="4" t="str">
        <f>parametros_manuales!$B$34</f>
        <v>Secado</v>
      </c>
      <c r="B129" s="8">
        <f>(parametros_manuales!$D$34*(datos_base!$F$2+IF(parametros_manuales!$H$34="Todos",datos_base!$F$9,0))*parametros_manuales!$B$97+parametros_manuales!$E$34*(datos_base!$F$3+IF(parametros_manuales!$H$34="Todos",datos_base!$F$10,0))*parametros_manuales!$B$102+parametros_manuales!$F$34*(datos_base!$F$4+IF(parametros_manuales!$H$34="Todos",datos_base!$F$11,0))*parametros_manuales!$B$107+parametros_manuales!$G$34*(datos_base!$F$5+IF(parametros_manuales!$H$34="Todos",datos_base!$F$12,0))*parametros_manuales!$B$112)*parametros_manuales!$I$34*parametros_manuales!$J$34</f>
        <v>7996.5</v>
      </c>
      <c r="C129" s="8">
        <f>(parametros_manuales!$D$34*(datos_base!$F$2+IF(parametros_manuales!$H$34="Todos",datos_base!$F$9,0))*parametros_manuales!$C$97+parametros_manuales!$E$34*(datos_base!$F$3+IF(parametros_manuales!$H$34="Todos",datos_base!$F$10,0))*parametros_manuales!$C$102+parametros_manuales!$F$34*(datos_base!$F$4+IF(parametros_manuales!$H$34="Todos",datos_base!$F$11,0))*parametros_manuales!$C$107+parametros_manuales!$G$34*(datos_base!$F$5+IF(parametros_manuales!$H$34="Todos",datos_base!$F$12,0))*parametros_manuales!$C$112)*parametros_manuales!$I$34*parametros_manuales!$J$34</f>
        <v>7729.16</v>
      </c>
      <c r="D129" s="8">
        <f>(parametros_manuales!$D$34*(datos_base!$F$2+IF(parametros_manuales!$H$34="Todos",datos_base!$F$9,0))*parametros_manuales!$D$97+parametros_manuales!$E$34*(datos_base!$F$3+IF(parametros_manuales!$H$34="Todos",datos_base!$F$10,0))*parametros_manuales!$D$102+parametros_manuales!$F$34*(datos_base!$F$4+IF(parametros_manuales!$H$34="Todos",datos_base!$F$11,0))*parametros_manuales!$D$107+parametros_manuales!$G$34*(datos_base!$F$5+IF(parametros_manuales!$H$34="Todos",datos_base!$F$12,0))*parametros_manuales!$D$112)*parametros_manuales!$I$34*parametros_manuales!$J$34</f>
        <v>7241.67</v>
      </c>
      <c r="E129" s="8">
        <f>(parametros_manuales!$D$34*(datos_base!$F$2+IF(parametros_manuales!$H$34="Todos",datos_base!$F$9,0))*parametros_manuales!$E$97+parametros_manuales!$E$34*(datos_base!$F$3+IF(parametros_manuales!$H$34="Todos",datos_base!$F$10,0))*parametros_manuales!$E$102+parametros_manuales!$F$34*(datos_base!$F$4+IF(parametros_manuales!$H$34="Todos",datos_base!$F$11,0))*parametros_manuales!$E$107+parametros_manuales!$G$34*(datos_base!$F$5+IF(parametros_manuales!$H$34="Todos",datos_base!$F$12,0))*parametros_manuales!$E$112)*parametros_manuales!$I$34*parametros_manuales!$J$34</f>
        <v>6931.09</v>
      </c>
      <c r="F129" s="8">
        <f>(parametros_manuales!$D$34*(datos_base!$F$2+IF(parametros_manuales!$H$34="Todos",datos_base!$F$9,0))*parametros_manuales!$F$97+parametros_manuales!$E$34*(datos_base!$F$3+IF(parametros_manuales!$H$34="Todos",datos_base!$F$10,0))*parametros_manuales!$F$102+parametros_manuales!$F$34*(datos_base!$F$4+IF(parametros_manuales!$H$34="Todos",datos_base!$F$11,0))*parametros_manuales!$F$107+parametros_manuales!$G$34*(datos_base!$F$5+IF(parametros_manuales!$H$34="Todos",datos_base!$F$12,0))*parametros_manuales!$F$112)*parametros_manuales!$I$34*parametros_manuales!$J$34</f>
        <v>6486.84</v>
      </c>
      <c r="G129" s="8">
        <f>(parametros_manuales!$D$34*(datos_base!$F$2+IF(parametros_manuales!$H$34="Todos",datos_base!$F$9,0))*parametros_manuales!$G$97+parametros_manuales!$E$34*(datos_base!$F$3+IF(parametros_manuales!$H$34="Todos",datos_base!$F$10,0))*parametros_manuales!$G$102+parametros_manuales!$F$34*(datos_base!$F$4+IF(parametros_manuales!$H$34="Todos",datos_base!$F$11,0))*parametros_manuales!$G$107+parametros_manuales!$G$34*(datos_base!$F$5+IF(parametros_manuales!$H$34="Todos",datos_base!$F$12,0))*parametros_manuales!$G$112)*parametros_manuales!$I$34*parametros_manuales!$J$34</f>
        <v>6353.17</v>
      </c>
      <c r="H129" s="8">
        <f>(parametros_manuales!$D$34*(datos_base!$F$2+IF(parametros_manuales!$H$34="Todos",datos_base!$F$9,0))*parametros_manuales!$H$97+parametros_manuales!$E$34*(datos_base!$F$3+IF(parametros_manuales!$H$34="Todos",datos_base!$F$10,0))*parametros_manuales!$H$102+parametros_manuales!$F$34*(datos_base!$F$4+IF(parametros_manuales!$H$34="Todos",datos_base!$F$11,0))*parametros_manuales!$H$107+parametros_manuales!$G$34*(datos_base!$F$5+IF(parametros_manuales!$H$34="Todos",datos_base!$F$12,0))*parametros_manuales!$H$112)*parametros_manuales!$I$34*parametros_manuales!$J$34</f>
        <v>6797.42</v>
      </c>
      <c r="I129" s="8">
        <f>(parametros_manuales!$D$34*(datos_base!$F$2+IF(parametros_manuales!$H$34="Todos",datos_base!$F$9,0))*parametros_manuales!$I$97+parametros_manuales!$E$34*(datos_base!$F$3+IF(parametros_manuales!$H$34="Todos",datos_base!$F$10,0))*parametros_manuales!$I$102+parametros_manuales!$F$34*(datos_base!$F$4+IF(parametros_manuales!$H$34="Todos",datos_base!$F$11,0))*parametros_manuales!$I$107+parametros_manuales!$G$34*(datos_base!$F$5+IF(parametros_manuales!$H$34="Todos",datos_base!$F$12,0))*parametros_manuales!$I$112)*parametros_manuales!$I$34*parametros_manuales!$J$34</f>
        <v>7729.16</v>
      </c>
      <c r="J129" s="8">
        <f>(parametros_manuales!$D$34*(datos_base!$F$2+IF(parametros_manuales!$H$34="Todos",datos_base!$F$9,0))*parametros_manuales!$J$97+parametros_manuales!$E$34*(datos_base!$F$3+IF(parametros_manuales!$H$34="Todos",datos_base!$F$10,0))*parametros_manuales!$J$102+parametros_manuales!$F$34*(datos_base!$F$4+IF(parametros_manuales!$H$34="Todos",datos_base!$F$11,0))*parametros_manuales!$J$107+parametros_manuales!$G$34*(datos_base!$F$5+IF(parametros_manuales!$H$34="Todos",datos_base!$F$12,0))*parametros_manuales!$J$112)*parametros_manuales!$I$34*parametros_manuales!$J$34</f>
        <v>7729.16</v>
      </c>
      <c r="K129" s="8">
        <f>(parametros_manuales!$D$34*(datos_base!$F$2+IF(parametros_manuales!$H$34="Todos",datos_base!$F$9,0))*parametros_manuales!$K$97+parametros_manuales!$E$34*(datos_base!$F$3+IF(parametros_manuales!$H$34="Todos",datos_base!$F$10,0))*parametros_manuales!$K$102+parametros_manuales!$F$34*(datos_base!$F$4+IF(parametros_manuales!$H$34="Todos",datos_base!$F$11,0))*parametros_manuales!$K$107+parametros_manuales!$G$34*(datos_base!$F$5+IF(parametros_manuales!$H$34="Todos",datos_base!$F$12,0))*parametros_manuales!$K$112)*parametros_manuales!$I$34*parametros_manuales!$J$34</f>
        <v>7862.83</v>
      </c>
      <c r="L129" s="8">
        <f>(parametros_manuales!$D$34*(datos_base!$F$2+IF(parametros_manuales!$H$34="Todos",datos_base!$F$9,0))*parametros_manuales!$L$97+parametros_manuales!$E$34*(datos_base!$F$3+IF(parametros_manuales!$H$34="Todos",datos_base!$F$10,0))*parametros_manuales!$L$102+parametros_manuales!$F$34*(datos_base!$F$4+IF(parametros_manuales!$H$34="Todos",datos_base!$F$11,0))*parametros_manuales!$L$107+parametros_manuales!$G$34*(datos_base!$F$5+IF(parametros_manuales!$H$34="Todos",datos_base!$F$12,0))*parametros_manuales!$L$112)*parametros_manuales!$I$34*parametros_manuales!$J$34</f>
        <v>7996.5</v>
      </c>
      <c r="M129" s="8">
        <f>(parametros_manuales!$D$34*(datos_base!$F$2+IF(parametros_manuales!$H$34="Todos",datos_base!$F$9,0))*parametros_manuales!$M$97+parametros_manuales!$E$34*(datos_base!$F$3+IF(parametros_manuales!$H$34="Todos",datos_base!$F$10,0))*parametros_manuales!$M$102+parametros_manuales!$F$34*(datos_base!$F$4+IF(parametros_manuales!$H$34="Todos",datos_base!$F$11,0))*parametros_manuales!$M$107+parametros_manuales!$G$34*(datos_base!$F$5+IF(parametros_manuales!$H$34="Todos",datos_base!$F$12,0))*parametros_manuales!$M$112)*parametros_manuales!$I$34*parametros_manuales!$J$34</f>
        <v>7996.5</v>
      </c>
      <c r="N129" s="8">
        <f t="shared" si="13"/>
        <v>88850</v>
      </c>
      <c r="O129" s="8">
        <f t="shared" si="14"/>
        <v>7996.5</v>
      </c>
      <c r="P129" s="27">
        <f>O129/(parametros_manuales!$B$7)</f>
        <v>53.31</v>
      </c>
      <c r="Q129" s="4" t="str">
        <f t="shared" si="15"/>
        <v>Ene</v>
      </c>
      <c r="R129" s="16"/>
      <c r="S129" s="16"/>
    </row>
    <row r="130" ht="14.25" customHeight="1">
      <c r="A130" s="4" t="str">
        <f>parametros_manuales!$B$35</f>
        <v>Granallado</v>
      </c>
      <c r="B130" s="8">
        <f>(parametros_manuales!$D$35*(datos_base!$F$2+IF(parametros_manuales!$H$35="Todos",datos_base!$F$9,0))*parametros_manuales!$B$97+parametros_manuales!$E$35*(datos_base!$F$3+IF(parametros_manuales!$H$35="Todos",datos_base!$F$10,0))*parametros_manuales!$B$102+parametros_manuales!$F$35*(datos_base!$F$4+IF(parametros_manuales!$H$35="Todos",datos_base!$F$11,0))*parametros_manuales!$B$107+parametros_manuales!$G$35*(datos_base!$F$5+IF(parametros_manuales!$H$35="Todos",datos_base!$F$12,0))*parametros_manuales!$B$112)*parametros_manuales!$I$35*parametros_manuales!$J$35</f>
        <v>7996.5</v>
      </c>
      <c r="C130" s="8">
        <f>(parametros_manuales!$D$35*(datos_base!$F$2+IF(parametros_manuales!$H$35="Todos",datos_base!$F$9,0))*parametros_manuales!$C$97+parametros_manuales!$E$35*(datos_base!$F$3+IF(parametros_manuales!$H$35="Todos",datos_base!$F$10,0))*parametros_manuales!$C$102+parametros_manuales!$F$35*(datos_base!$F$4+IF(parametros_manuales!$H$35="Todos",datos_base!$F$11,0))*parametros_manuales!$C$107+parametros_manuales!$G$35*(datos_base!$F$5+IF(parametros_manuales!$H$35="Todos",datos_base!$F$12,0))*parametros_manuales!$C$112)*parametros_manuales!$I$35*parametros_manuales!$J$35</f>
        <v>7729.16</v>
      </c>
      <c r="D130" s="8">
        <f>(parametros_manuales!$D$35*(datos_base!$F$2+IF(parametros_manuales!$H$35="Todos",datos_base!$F$9,0))*parametros_manuales!$D$97+parametros_manuales!$E$35*(datos_base!$F$3+IF(parametros_manuales!$H$35="Todos",datos_base!$F$10,0))*parametros_manuales!$D$102+parametros_manuales!$F$35*(datos_base!$F$4+IF(parametros_manuales!$H$35="Todos",datos_base!$F$11,0))*parametros_manuales!$D$107+parametros_manuales!$G$35*(datos_base!$F$5+IF(parametros_manuales!$H$35="Todos",datos_base!$F$12,0))*parametros_manuales!$D$112)*parametros_manuales!$I$35*parametros_manuales!$J$35</f>
        <v>7241.67</v>
      </c>
      <c r="E130" s="8">
        <f>(parametros_manuales!$D$35*(datos_base!$F$2+IF(parametros_manuales!$H$35="Todos",datos_base!$F$9,0))*parametros_manuales!$E$97+parametros_manuales!$E$35*(datos_base!$F$3+IF(parametros_manuales!$H$35="Todos",datos_base!$F$10,0))*parametros_manuales!$E$102+parametros_manuales!$F$35*(datos_base!$F$4+IF(parametros_manuales!$H$35="Todos",datos_base!$F$11,0))*parametros_manuales!$E$107+parametros_manuales!$G$35*(datos_base!$F$5+IF(parametros_manuales!$H$35="Todos",datos_base!$F$12,0))*parametros_manuales!$E$112)*parametros_manuales!$I$35*parametros_manuales!$J$35</f>
        <v>6931.09</v>
      </c>
      <c r="F130" s="8">
        <f>(parametros_manuales!$D$35*(datos_base!$F$2+IF(parametros_manuales!$H$35="Todos",datos_base!$F$9,0))*parametros_manuales!$F$97+parametros_manuales!$E$35*(datos_base!$F$3+IF(parametros_manuales!$H$35="Todos",datos_base!$F$10,0))*parametros_manuales!$F$102+parametros_manuales!$F$35*(datos_base!$F$4+IF(parametros_manuales!$H$35="Todos",datos_base!$F$11,0))*parametros_manuales!$F$107+parametros_manuales!$G$35*(datos_base!$F$5+IF(parametros_manuales!$H$35="Todos",datos_base!$F$12,0))*parametros_manuales!$F$112)*parametros_manuales!$I$35*parametros_manuales!$J$35</f>
        <v>6486.84</v>
      </c>
      <c r="G130" s="8">
        <f>(parametros_manuales!$D$35*(datos_base!$F$2+IF(parametros_manuales!$H$35="Todos",datos_base!$F$9,0))*parametros_manuales!$G$97+parametros_manuales!$E$35*(datos_base!$F$3+IF(parametros_manuales!$H$35="Todos",datos_base!$F$10,0))*parametros_manuales!$G$102+parametros_manuales!$F$35*(datos_base!$F$4+IF(parametros_manuales!$H$35="Todos",datos_base!$F$11,0))*parametros_manuales!$G$107+parametros_manuales!$G$35*(datos_base!$F$5+IF(parametros_manuales!$H$35="Todos",datos_base!$F$12,0))*parametros_manuales!$G$112)*parametros_manuales!$I$35*parametros_manuales!$J$35</f>
        <v>6353.17</v>
      </c>
      <c r="H130" s="8">
        <f>(parametros_manuales!$D$35*(datos_base!$F$2+IF(parametros_manuales!$H$35="Todos",datos_base!$F$9,0))*parametros_manuales!$H$97+parametros_manuales!$E$35*(datos_base!$F$3+IF(parametros_manuales!$H$35="Todos",datos_base!$F$10,0))*parametros_manuales!$H$102+parametros_manuales!$F$35*(datos_base!$F$4+IF(parametros_manuales!$H$35="Todos",datos_base!$F$11,0))*parametros_manuales!$H$107+parametros_manuales!$G$35*(datos_base!$F$5+IF(parametros_manuales!$H$35="Todos",datos_base!$F$12,0))*parametros_manuales!$H$112)*parametros_manuales!$I$35*parametros_manuales!$J$35</f>
        <v>6797.42</v>
      </c>
      <c r="I130" s="8">
        <f>(parametros_manuales!$D$35*(datos_base!$F$2+IF(parametros_manuales!$H$35="Todos",datos_base!$F$9,0))*parametros_manuales!$I$97+parametros_manuales!$E$35*(datos_base!$F$3+IF(parametros_manuales!$H$35="Todos",datos_base!$F$10,0))*parametros_manuales!$I$102+parametros_manuales!$F$35*(datos_base!$F$4+IF(parametros_manuales!$H$35="Todos",datos_base!$F$11,0))*parametros_manuales!$I$107+parametros_manuales!$G$35*(datos_base!$F$5+IF(parametros_manuales!$H$35="Todos",datos_base!$F$12,0))*parametros_manuales!$I$112)*parametros_manuales!$I$35*parametros_manuales!$J$35</f>
        <v>7729.16</v>
      </c>
      <c r="J130" s="8">
        <f>(parametros_manuales!$D$35*(datos_base!$F$2+IF(parametros_manuales!$H$35="Todos",datos_base!$F$9,0))*parametros_manuales!$J$97+parametros_manuales!$E$35*(datos_base!$F$3+IF(parametros_manuales!$H$35="Todos",datos_base!$F$10,0))*parametros_manuales!$J$102+parametros_manuales!$F$35*(datos_base!$F$4+IF(parametros_manuales!$H$35="Todos",datos_base!$F$11,0))*parametros_manuales!$J$107+parametros_manuales!$G$35*(datos_base!$F$5+IF(parametros_manuales!$H$35="Todos",datos_base!$F$12,0))*parametros_manuales!$J$112)*parametros_manuales!$I$35*parametros_manuales!$J$35</f>
        <v>7729.16</v>
      </c>
      <c r="K130" s="8">
        <f>(parametros_manuales!$D$35*(datos_base!$F$2+IF(parametros_manuales!$H$35="Todos",datos_base!$F$9,0))*parametros_manuales!$K$97+parametros_manuales!$E$35*(datos_base!$F$3+IF(parametros_manuales!$H$35="Todos",datos_base!$F$10,0))*parametros_manuales!$K$102+parametros_manuales!$F$35*(datos_base!$F$4+IF(parametros_manuales!$H$35="Todos",datos_base!$F$11,0))*parametros_manuales!$K$107+parametros_manuales!$G$35*(datos_base!$F$5+IF(parametros_manuales!$H$35="Todos",datos_base!$F$12,0))*parametros_manuales!$K$112)*parametros_manuales!$I$35*parametros_manuales!$J$35</f>
        <v>7862.83</v>
      </c>
      <c r="L130" s="8">
        <f>(parametros_manuales!$D$35*(datos_base!$F$2+IF(parametros_manuales!$H$35="Todos",datos_base!$F$9,0))*parametros_manuales!$L$97+parametros_manuales!$E$35*(datos_base!$F$3+IF(parametros_manuales!$H$35="Todos",datos_base!$F$10,0))*parametros_manuales!$L$102+parametros_manuales!$F$35*(datos_base!$F$4+IF(parametros_manuales!$H$35="Todos",datos_base!$F$11,0))*parametros_manuales!$L$107+parametros_manuales!$G$35*(datos_base!$F$5+IF(parametros_manuales!$H$35="Todos",datos_base!$F$12,0))*parametros_manuales!$L$112)*parametros_manuales!$I$35*parametros_manuales!$J$35</f>
        <v>7996.5</v>
      </c>
      <c r="M130" s="8">
        <f>(parametros_manuales!$D$35*(datos_base!$F$2+IF(parametros_manuales!$H$35="Todos",datos_base!$F$9,0))*parametros_manuales!$M$97+parametros_manuales!$E$35*(datos_base!$F$3+IF(parametros_manuales!$H$35="Todos",datos_base!$F$10,0))*parametros_manuales!$M$102+parametros_manuales!$F$35*(datos_base!$F$4+IF(parametros_manuales!$H$35="Todos",datos_base!$F$11,0))*parametros_manuales!$M$107+parametros_manuales!$G$35*(datos_base!$F$5+IF(parametros_manuales!$H$35="Todos",datos_base!$F$12,0))*parametros_manuales!$M$112)*parametros_manuales!$I$35*parametros_manuales!$J$35</f>
        <v>7996.5</v>
      </c>
      <c r="N130" s="8">
        <f t="shared" si="13"/>
        <v>88850</v>
      </c>
      <c r="O130" s="8">
        <f t="shared" si="14"/>
        <v>7996.5</v>
      </c>
      <c r="P130" s="27">
        <f>O130/(parametros_manuales!$B$7)</f>
        <v>53.31</v>
      </c>
      <c r="Q130" s="4" t="str">
        <f t="shared" si="15"/>
        <v>Ene</v>
      </c>
      <c r="R130" s="16"/>
      <c r="S130" s="16"/>
    </row>
    <row r="131" ht="14.25" customHeight="1">
      <c r="A131" s="4" t="str">
        <f>parametros_manuales!$B$36</f>
        <v>Detección de defectos</v>
      </c>
      <c r="B131" s="8">
        <f>(parametros_manuales!$D$36*(datos_base!$F$2+IF(parametros_manuales!$H$36="Todos",datos_base!$F$9,0))*parametros_manuales!$B$97+parametros_manuales!$E$36*(datos_base!$F$3+IF(parametros_manuales!$H$36="Todos",datos_base!$F$10,0))*parametros_manuales!$B$102+parametros_manuales!$F$36*(datos_base!$F$4+IF(parametros_manuales!$H$36="Todos",datos_base!$F$11,0))*parametros_manuales!$B$107+parametros_manuales!$G$36*(datos_base!$F$5+IF(parametros_manuales!$H$36="Todos",datos_base!$F$12,0))*parametros_manuales!$B$112)*parametros_manuales!$I$36*parametros_manuales!$J$36</f>
        <v>7996.5</v>
      </c>
      <c r="C131" s="8">
        <f>(parametros_manuales!$D$36*(datos_base!$F$2+IF(parametros_manuales!$H$36="Todos",datos_base!$F$9,0))*parametros_manuales!$C$97+parametros_manuales!$E$36*(datos_base!$F$3+IF(parametros_manuales!$H$36="Todos",datos_base!$F$10,0))*parametros_manuales!$C$102+parametros_manuales!$F$36*(datos_base!$F$4+IF(parametros_manuales!$H$36="Todos",datos_base!$F$11,0))*parametros_manuales!$C$107+parametros_manuales!$G$36*(datos_base!$F$5+IF(parametros_manuales!$H$36="Todos",datos_base!$F$12,0))*parametros_manuales!$C$112)*parametros_manuales!$I$36*parametros_manuales!$J$36</f>
        <v>7729.16</v>
      </c>
      <c r="D131" s="8">
        <f>(parametros_manuales!$D$36*(datos_base!$F$2+IF(parametros_manuales!$H$36="Todos",datos_base!$F$9,0))*parametros_manuales!$D$97+parametros_manuales!$E$36*(datos_base!$F$3+IF(parametros_manuales!$H$36="Todos",datos_base!$F$10,0))*parametros_manuales!$D$102+parametros_manuales!$F$36*(datos_base!$F$4+IF(parametros_manuales!$H$36="Todos",datos_base!$F$11,0))*parametros_manuales!$D$107+parametros_manuales!$G$36*(datos_base!$F$5+IF(parametros_manuales!$H$36="Todos",datos_base!$F$12,0))*parametros_manuales!$D$112)*parametros_manuales!$I$36*parametros_manuales!$J$36</f>
        <v>7241.67</v>
      </c>
      <c r="E131" s="8">
        <f>(parametros_manuales!$D$36*(datos_base!$F$2+IF(parametros_manuales!$H$36="Todos",datos_base!$F$9,0))*parametros_manuales!$E$97+parametros_manuales!$E$36*(datos_base!$F$3+IF(parametros_manuales!$H$36="Todos",datos_base!$F$10,0))*parametros_manuales!$E$102+parametros_manuales!$F$36*(datos_base!$F$4+IF(parametros_manuales!$H$36="Todos",datos_base!$F$11,0))*parametros_manuales!$E$107+parametros_manuales!$G$36*(datos_base!$F$5+IF(parametros_manuales!$H$36="Todos",datos_base!$F$12,0))*parametros_manuales!$E$112)*parametros_manuales!$I$36*parametros_manuales!$J$36</f>
        <v>6931.09</v>
      </c>
      <c r="F131" s="8">
        <f>(parametros_manuales!$D$36*(datos_base!$F$2+IF(parametros_manuales!$H$36="Todos",datos_base!$F$9,0))*parametros_manuales!$F$97+parametros_manuales!$E$36*(datos_base!$F$3+IF(parametros_manuales!$H$36="Todos",datos_base!$F$10,0))*parametros_manuales!$F$102+parametros_manuales!$F$36*(datos_base!$F$4+IF(parametros_manuales!$H$36="Todos",datos_base!$F$11,0))*parametros_manuales!$F$107+parametros_manuales!$G$36*(datos_base!$F$5+IF(parametros_manuales!$H$36="Todos",datos_base!$F$12,0))*parametros_manuales!$F$112)*parametros_manuales!$I$36*parametros_manuales!$J$36</f>
        <v>6486.84</v>
      </c>
      <c r="G131" s="8">
        <f>(parametros_manuales!$D$36*(datos_base!$F$2+IF(parametros_manuales!$H$36="Todos",datos_base!$F$9,0))*parametros_manuales!$G$97+parametros_manuales!$E$36*(datos_base!$F$3+IF(parametros_manuales!$H$36="Todos",datos_base!$F$10,0))*parametros_manuales!$G$102+parametros_manuales!$F$36*(datos_base!$F$4+IF(parametros_manuales!$H$36="Todos",datos_base!$F$11,0))*parametros_manuales!$G$107+parametros_manuales!$G$36*(datos_base!$F$5+IF(parametros_manuales!$H$36="Todos",datos_base!$F$12,0))*parametros_manuales!$G$112)*parametros_manuales!$I$36*parametros_manuales!$J$36</f>
        <v>6353.17</v>
      </c>
      <c r="H131" s="8">
        <f>(parametros_manuales!$D$36*(datos_base!$F$2+IF(parametros_manuales!$H$36="Todos",datos_base!$F$9,0))*parametros_manuales!$H$97+parametros_manuales!$E$36*(datos_base!$F$3+IF(parametros_manuales!$H$36="Todos",datos_base!$F$10,0))*parametros_manuales!$H$102+parametros_manuales!$F$36*(datos_base!$F$4+IF(parametros_manuales!$H$36="Todos",datos_base!$F$11,0))*parametros_manuales!$H$107+parametros_manuales!$G$36*(datos_base!$F$5+IF(parametros_manuales!$H$36="Todos",datos_base!$F$12,0))*parametros_manuales!$H$112)*parametros_manuales!$I$36*parametros_manuales!$J$36</f>
        <v>6797.42</v>
      </c>
      <c r="I131" s="8">
        <f>(parametros_manuales!$D$36*(datos_base!$F$2+IF(parametros_manuales!$H$36="Todos",datos_base!$F$9,0))*parametros_manuales!$I$97+parametros_manuales!$E$36*(datos_base!$F$3+IF(parametros_manuales!$H$36="Todos",datos_base!$F$10,0))*parametros_manuales!$I$102+parametros_manuales!$F$36*(datos_base!$F$4+IF(parametros_manuales!$H$36="Todos",datos_base!$F$11,0))*parametros_manuales!$I$107+parametros_manuales!$G$36*(datos_base!$F$5+IF(parametros_manuales!$H$36="Todos",datos_base!$F$12,0))*parametros_manuales!$I$112)*parametros_manuales!$I$36*parametros_manuales!$J$36</f>
        <v>7729.16</v>
      </c>
      <c r="J131" s="8">
        <f>(parametros_manuales!$D$36*(datos_base!$F$2+IF(parametros_manuales!$H$36="Todos",datos_base!$F$9,0))*parametros_manuales!$J$97+parametros_manuales!$E$36*(datos_base!$F$3+IF(parametros_manuales!$H$36="Todos",datos_base!$F$10,0))*parametros_manuales!$J$102+parametros_manuales!$F$36*(datos_base!$F$4+IF(parametros_manuales!$H$36="Todos",datos_base!$F$11,0))*parametros_manuales!$J$107+parametros_manuales!$G$36*(datos_base!$F$5+IF(parametros_manuales!$H$36="Todos",datos_base!$F$12,0))*parametros_manuales!$J$112)*parametros_manuales!$I$36*parametros_manuales!$J$36</f>
        <v>7729.16</v>
      </c>
      <c r="K131" s="8">
        <f>(parametros_manuales!$D$36*(datos_base!$F$2+IF(parametros_manuales!$H$36="Todos",datos_base!$F$9,0))*parametros_manuales!$K$97+parametros_manuales!$E$36*(datos_base!$F$3+IF(parametros_manuales!$H$36="Todos",datos_base!$F$10,0))*parametros_manuales!$K$102+parametros_manuales!$F$36*(datos_base!$F$4+IF(parametros_manuales!$H$36="Todos",datos_base!$F$11,0))*parametros_manuales!$K$107+parametros_manuales!$G$36*(datos_base!$F$5+IF(parametros_manuales!$H$36="Todos",datos_base!$F$12,0))*parametros_manuales!$K$112)*parametros_manuales!$I$36*parametros_manuales!$J$36</f>
        <v>7862.83</v>
      </c>
      <c r="L131" s="8">
        <f>(parametros_manuales!$D$36*(datos_base!$F$2+IF(parametros_manuales!$H$36="Todos",datos_base!$F$9,0))*parametros_manuales!$L$97+parametros_manuales!$E$36*(datos_base!$F$3+IF(parametros_manuales!$H$36="Todos",datos_base!$F$10,0))*parametros_manuales!$L$102+parametros_manuales!$F$36*(datos_base!$F$4+IF(parametros_manuales!$H$36="Todos",datos_base!$F$11,0))*parametros_manuales!$L$107+parametros_manuales!$G$36*(datos_base!$F$5+IF(parametros_manuales!$H$36="Todos",datos_base!$F$12,0))*parametros_manuales!$L$112)*parametros_manuales!$I$36*parametros_manuales!$J$36</f>
        <v>7996.5</v>
      </c>
      <c r="M131" s="8">
        <f>(parametros_manuales!$D$36*(datos_base!$F$2+IF(parametros_manuales!$H$36="Todos",datos_base!$F$9,0))*parametros_manuales!$M$97+parametros_manuales!$E$36*(datos_base!$F$3+IF(parametros_manuales!$H$36="Todos",datos_base!$F$10,0))*parametros_manuales!$M$102+parametros_manuales!$F$36*(datos_base!$F$4+IF(parametros_manuales!$H$36="Todos",datos_base!$F$11,0))*parametros_manuales!$M$107+parametros_manuales!$G$36*(datos_base!$F$5+IF(parametros_manuales!$H$36="Todos",datos_base!$F$12,0))*parametros_manuales!$M$112)*parametros_manuales!$I$36*parametros_manuales!$J$36</f>
        <v>7996.5</v>
      </c>
      <c r="N131" s="8">
        <f t="shared" si="13"/>
        <v>88850</v>
      </c>
      <c r="O131" s="8">
        <f t="shared" si="14"/>
        <v>7996.5</v>
      </c>
      <c r="P131" s="27">
        <f>O131/(parametros_manuales!$B$7)</f>
        <v>53.31</v>
      </c>
      <c r="Q131" s="4" t="str">
        <f t="shared" si="15"/>
        <v>Ene</v>
      </c>
      <c r="R131" s="16"/>
      <c r="S131" s="16"/>
    </row>
    <row r="132" ht="14.25" customHeight="1">
      <c r="A132" s="4" t="str">
        <f>parametros_manuales!$B$37</f>
        <v>Corrección de defectos</v>
      </c>
      <c r="B132" s="8">
        <f>(parametros_manuales!$D$37*(datos_base!$F$2+IF(parametros_manuales!$H$37="Todos",datos_base!$F$9,0))*parametros_manuales!$B$97+parametros_manuales!$E$37*(datos_base!$F$3+IF(parametros_manuales!$H$37="Todos",datos_base!$F$10,0))*parametros_manuales!$B$102+parametros_manuales!$F$37*(datos_base!$F$4+IF(parametros_manuales!$H$37="Todos",datos_base!$F$11,0))*parametros_manuales!$B$107+parametros_manuales!$G$37*(datos_base!$F$5+IF(parametros_manuales!$H$37="Todos",datos_base!$F$12,0))*parametros_manuales!$B$112)*parametros_manuales!$I$37*parametros_manuales!$J$37</f>
        <v>399.825</v>
      </c>
      <c r="C132" s="8">
        <f>(parametros_manuales!$D$37*(datos_base!$F$2+IF(parametros_manuales!$H$37="Todos",datos_base!$F$9,0))*parametros_manuales!$C$97+parametros_manuales!$E$37*(datos_base!$F$3+IF(parametros_manuales!$H$37="Todos",datos_base!$F$10,0))*parametros_manuales!$C$102+parametros_manuales!$F$37*(datos_base!$F$4+IF(parametros_manuales!$H$37="Todos",datos_base!$F$11,0))*parametros_manuales!$C$107+parametros_manuales!$G$37*(datos_base!$F$5+IF(parametros_manuales!$H$37="Todos",datos_base!$F$12,0))*parametros_manuales!$C$112)*parametros_manuales!$I$37*parametros_manuales!$J$37</f>
        <v>386.458</v>
      </c>
      <c r="D132" s="8">
        <f>(parametros_manuales!$D$37*(datos_base!$F$2+IF(parametros_manuales!$H$37="Todos",datos_base!$F$9,0))*parametros_manuales!$D$97+parametros_manuales!$E$37*(datos_base!$F$3+IF(parametros_manuales!$H$37="Todos",datos_base!$F$10,0))*parametros_manuales!$D$102+parametros_manuales!$F$37*(datos_base!$F$4+IF(parametros_manuales!$H$37="Todos",datos_base!$F$11,0))*parametros_manuales!$D$107+parametros_manuales!$G$37*(datos_base!$F$5+IF(parametros_manuales!$H$37="Todos",datos_base!$F$12,0))*parametros_manuales!$D$112)*parametros_manuales!$I$37*parametros_manuales!$J$37</f>
        <v>362.0835</v>
      </c>
      <c r="E132" s="8">
        <f>(parametros_manuales!$D$37*(datos_base!$F$2+IF(parametros_manuales!$H$37="Todos",datos_base!$F$9,0))*parametros_manuales!$E$97+parametros_manuales!$E$37*(datos_base!$F$3+IF(parametros_manuales!$H$37="Todos",datos_base!$F$10,0))*parametros_manuales!$E$102+parametros_manuales!$F$37*(datos_base!$F$4+IF(parametros_manuales!$H$37="Todos",datos_base!$F$11,0))*parametros_manuales!$E$107+parametros_manuales!$G$37*(datos_base!$F$5+IF(parametros_manuales!$H$37="Todos",datos_base!$F$12,0))*parametros_manuales!$E$112)*parametros_manuales!$I$37*parametros_manuales!$J$37</f>
        <v>346.5545</v>
      </c>
      <c r="F132" s="8">
        <f>(parametros_manuales!$D$37*(datos_base!$F$2+IF(parametros_manuales!$H$37="Todos",datos_base!$F$9,0))*parametros_manuales!$F$97+parametros_manuales!$E$37*(datos_base!$F$3+IF(parametros_manuales!$H$37="Todos",datos_base!$F$10,0))*parametros_manuales!$F$102+parametros_manuales!$F$37*(datos_base!$F$4+IF(parametros_manuales!$H$37="Todos",datos_base!$F$11,0))*parametros_manuales!$F$107+parametros_manuales!$G$37*(datos_base!$F$5+IF(parametros_manuales!$H$37="Todos",datos_base!$F$12,0))*parametros_manuales!$F$112)*parametros_manuales!$I$37*parametros_manuales!$J$37</f>
        <v>324.342</v>
      </c>
      <c r="G132" s="8">
        <f>(parametros_manuales!$D$37*(datos_base!$F$2+IF(parametros_manuales!$H$37="Todos",datos_base!$F$9,0))*parametros_manuales!$G$97+parametros_manuales!$E$37*(datos_base!$F$3+IF(parametros_manuales!$H$37="Todos",datos_base!$F$10,0))*parametros_manuales!$G$102+parametros_manuales!$F$37*(datos_base!$F$4+IF(parametros_manuales!$H$37="Todos",datos_base!$F$11,0))*parametros_manuales!$G$107+parametros_manuales!$G$37*(datos_base!$F$5+IF(parametros_manuales!$H$37="Todos",datos_base!$F$12,0))*parametros_manuales!$G$112)*parametros_manuales!$I$37*parametros_manuales!$J$37</f>
        <v>317.6585</v>
      </c>
      <c r="H132" s="8">
        <f>(parametros_manuales!$D$37*(datos_base!$F$2+IF(parametros_manuales!$H$37="Todos",datos_base!$F$9,0))*parametros_manuales!$H$97+parametros_manuales!$E$37*(datos_base!$F$3+IF(parametros_manuales!$H$37="Todos",datos_base!$F$10,0))*parametros_manuales!$H$102+parametros_manuales!$F$37*(datos_base!$F$4+IF(parametros_manuales!$H$37="Todos",datos_base!$F$11,0))*parametros_manuales!$H$107+parametros_manuales!$G$37*(datos_base!$F$5+IF(parametros_manuales!$H$37="Todos",datos_base!$F$12,0))*parametros_manuales!$H$112)*parametros_manuales!$I$37*parametros_manuales!$J$37</f>
        <v>339.871</v>
      </c>
      <c r="I132" s="8">
        <f>(parametros_manuales!$D$37*(datos_base!$F$2+IF(parametros_manuales!$H$37="Todos",datos_base!$F$9,0))*parametros_manuales!$I$97+parametros_manuales!$E$37*(datos_base!$F$3+IF(parametros_manuales!$H$37="Todos",datos_base!$F$10,0))*parametros_manuales!$I$102+parametros_manuales!$F$37*(datos_base!$F$4+IF(parametros_manuales!$H$37="Todos",datos_base!$F$11,0))*parametros_manuales!$I$107+parametros_manuales!$G$37*(datos_base!$F$5+IF(parametros_manuales!$H$37="Todos",datos_base!$F$12,0))*parametros_manuales!$I$112)*parametros_manuales!$I$37*parametros_manuales!$J$37</f>
        <v>386.458</v>
      </c>
      <c r="J132" s="8">
        <f>(parametros_manuales!$D$37*(datos_base!$F$2+IF(parametros_manuales!$H$37="Todos",datos_base!$F$9,0))*parametros_manuales!$J$97+parametros_manuales!$E$37*(datos_base!$F$3+IF(parametros_manuales!$H$37="Todos",datos_base!$F$10,0))*parametros_manuales!$J$102+parametros_manuales!$F$37*(datos_base!$F$4+IF(parametros_manuales!$H$37="Todos",datos_base!$F$11,0))*parametros_manuales!$J$107+parametros_manuales!$G$37*(datos_base!$F$5+IF(parametros_manuales!$H$37="Todos",datos_base!$F$12,0))*parametros_manuales!$J$112)*parametros_manuales!$I$37*parametros_manuales!$J$37</f>
        <v>386.458</v>
      </c>
      <c r="K132" s="8">
        <f>(parametros_manuales!$D$37*(datos_base!$F$2+IF(parametros_manuales!$H$37="Todos",datos_base!$F$9,0))*parametros_manuales!$K$97+parametros_manuales!$E$37*(datos_base!$F$3+IF(parametros_manuales!$H$37="Todos",datos_base!$F$10,0))*parametros_manuales!$K$102+parametros_manuales!$F$37*(datos_base!$F$4+IF(parametros_manuales!$H$37="Todos",datos_base!$F$11,0))*parametros_manuales!$K$107+parametros_manuales!$G$37*(datos_base!$F$5+IF(parametros_manuales!$H$37="Todos",datos_base!$F$12,0))*parametros_manuales!$K$112)*parametros_manuales!$I$37*parametros_manuales!$J$37</f>
        <v>393.1415</v>
      </c>
      <c r="L132" s="8">
        <f>(parametros_manuales!$D$37*(datos_base!$F$2+IF(parametros_manuales!$H$37="Todos",datos_base!$F$9,0))*parametros_manuales!$L$97+parametros_manuales!$E$37*(datos_base!$F$3+IF(parametros_manuales!$H$37="Todos",datos_base!$F$10,0))*parametros_manuales!$L$102+parametros_manuales!$F$37*(datos_base!$F$4+IF(parametros_manuales!$H$37="Todos",datos_base!$F$11,0))*parametros_manuales!$L$107+parametros_manuales!$G$37*(datos_base!$F$5+IF(parametros_manuales!$H$37="Todos",datos_base!$F$12,0))*parametros_manuales!$L$112)*parametros_manuales!$I$37*parametros_manuales!$J$37</f>
        <v>399.825</v>
      </c>
      <c r="M132" s="8">
        <f>(parametros_manuales!$D$37*(datos_base!$F$2+IF(parametros_manuales!$H$37="Todos",datos_base!$F$9,0))*parametros_manuales!$M$97+parametros_manuales!$E$37*(datos_base!$F$3+IF(parametros_manuales!$H$37="Todos",datos_base!$F$10,0))*parametros_manuales!$M$102+parametros_manuales!$F$37*(datos_base!$F$4+IF(parametros_manuales!$H$37="Todos",datos_base!$F$11,0))*parametros_manuales!$M$107+parametros_manuales!$G$37*(datos_base!$F$5+IF(parametros_manuales!$H$37="Todos",datos_base!$F$12,0))*parametros_manuales!$M$112)*parametros_manuales!$I$37*parametros_manuales!$J$37</f>
        <v>399.825</v>
      </c>
      <c r="N132" s="8">
        <f t="shared" si="13"/>
        <v>4442.5</v>
      </c>
      <c r="O132" s="8">
        <f t="shared" si="14"/>
        <v>399.825</v>
      </c>
      <c r="P132" s="27">
        <f>O132/(parametros_manuales!$B$7)</f>
        <v>2.6655</v>
      </c>
      <c r="Q132" s="4" t="str">
        <f t="shared" si="15"/>
        <v>Ene</v>
      </c>
      <c r="R132" s="16"/>
      <c r="S132" s="16"/>
    </row>
    <row r="133" ht="14.25" customHeight="1">
      <c r="A133" s="4" t="str">
        <f>parametros_manuales!$B$38</f>
        <v>Pintura en polvo + horno</v>
      </c>
      <c r="B133" s="8">
        <f>(parametros_manuales!$D$38*(datos_base!$F$2+IF(parametros_manuales!$H$38="Todos",datos_base!$F$9,0))*parametros_manuales!$B$97+parametros_manuales!$E$38*(datos_base!$F$3+IF(parametros_manuales!$H$38="Todos",datos_base!$F$10,0))*parametros_manuales!$B$102+parametros_manuales!$F$38*(datos_base!$F$4+IF(parametros_manuales!$H$38="Todos",datos_base!$F$11,0))*parametros_manuales!$B$107+parametros_manuales!$G$38*(datos_base!$F$5+IF(parametros_manuales!$H$38="Todos",datos_base!$F$12,0))*parametros_manuales!$B$112)*parametros_manuales!$I$38*parametros_manuales!$J$38</f>
        <v>7996.5</v>
      </c>
      <c r="C133" s="8">
        <f>(parametros_manuales!$D$38*(datos_base!$F$2+IF(parametros_manuales!$H$38="Todos",datos_base!$F$9,0))*parametros_manuales!$C$97+parametros_manuales!$E$38*(datos_base!$F$3+IF(parametros_manuales!$H$38="Todos",datos_base!$F$10,0))*parametros_manuales!$C$102+parametros_manuales!$F$38*(datos_base!$F$4+IF(parametros_manuales!$H$38="Todos",datos_base!$F$11,0))*parametros_manuales!$C$107+parametros_manuales!$G$38*(datos_base!$F$5+IF(parametros_manuales!$H$38="Todos",datos_base!$F$12,0))*parametros_manuales!$C$112)*parametros_manuales!$I$38*parametros_manuales!$J$38</f>
        <v>7729.16</v>
      </c>
      <c r="D133" s="8">
        <f>(parametros_manuales!$D$38*(datos_base!$F$2+IF(parametros_manuales!$H$38="Todos",datos_base!$F$9,0))*parametros_manuales!$D$97+parametros_manuales!$E$38*(datos_base!$F$3+IF(parametros_manuales!$H$38="Todos",datos_base!$F$10,0))*parametros_manuales!$D$102+parametros_manuales!$F$38*(datos_base!$F$4+IF(parametros_manuales!$H$38="Todos",datos_base!$F$11,0))*parametros_manuales!$D$107+parametros_manuales!$G$38*(datos_base!$F$5+IF(parametros_manuales!$H$38="Todos",datos_base!$F$12,0))*parametros_manuales!$D$112)*parametros_manuales!$I$38*parametros_manuales!$J$38</f>
        <v>7241.67</v>
      </c>
      <c r="E133" s="8">
        <f>(parametros_manuales!$D$38*(datos_base!$F$2+IF(parametros_manuales!$H$38="Todos",datos_base!$F$9,0))*parametros_manuales!$E$97+parametros_manuales!$E$38*(datos_base!$F$3+IF(parametros_manuales!$H$38="Todos",datos_base!$F$10,0))*parametros_manuales!$E$102+parametros_manuales!$F$38*(datos_base!$F$4+IF(parametros_manuales!$H$38="Todos",datos_base!$F$11,0))*parametros_manuales!$E$107+parametros_manuales!$G$38*(datos_base!$F$5+IF(parametros_manuales!$H$38="Todos",datos_base!$F$12,0))*parametros_manuales!$E$112)*parametros_manuales!$I$38*parametros_manuales!$J$38</f>
        <v>6931.09</v>
      </c>
      <c r="F133" s="8">
        <f>(parametros_manuales!$D$38*(datos_base!$F$2+IF(parametros_manuales!$H$38="Todos",datos_base!$F$9,0))*parametros_manuales!$F$97+parametros_manuales!$E$38*(datos_base!$F$3+IF(parametros_manuales!$H$38="Todos",datos_base!$F$10,0))*parametros_manuales!$F$102+parametros_manuales!$F$38*(datos_base!$F$4+IF(parametros_manuales!$H$38="Todos",datos_base!$F$11,0))*parametros_manuales!$F$107+parametros_manuales!$G$38*(datos_base!$F$5+IF(parametros_manuales!$H$38="Todos",datos_base!$F$12,0))*parametros_manuales!$F$112)*parametros_manuales!$I$38*parametros_manuales!$J$38</f>
        <v>6486.84</v>
      </c>
      <c r="G133" s="8">
        <f>(parametros_manuales!$D$38*(datos_base!$F$2+IF(parametros_manuales!$H$38="Todos",datos_base!$F$9,0))*parametros_manuales!$G$97+parametros_manuales!$E$38*(datos_base!$F$3+IF(parametros_manuales!$H$38="Todos",datos_base!$F$10,0))*parametros_manuales!$G$102+parametros_manuales!$F$38*(datos_base!$F$4+IF(parametros_manuales!$H$38="Todos",datos_base!$F$11,0))*parametros_manuales!$G$107+parametros_manuales!$G$38*(datos_base!$F$5+IF(parametros_manuales!$H$38="Todos",datos_base!$F$12,0))*parametros_manuales!$G$112)*parametros_manuales!$I$38*parametros_manuales!$J$38</f>
        <v>6353.17</v>
      </c>
      <c r="H133" s="8">
        <f>(parametros_manuales!$D$38*(datos_base!$F$2+IF(parametros_manuales!$H$38="Todos",datos_base!$F$9,0))*parametros_manuales!$H$97+parametros_manuales!$E$38*(datos_base!$F$3+IF(parametros_manuales!$H$38="Todos",datos_base!$F$10,0))*parametros_manuales!$H$102+parametros_manuales!$F$38*(datos_base!$F$4+IF(parametros_manuales!$H$38="Todos",datos_base!$F$11,0))*parametros_manuales!$H$107+parametros_manuales!$G$38*(datos_base!$F$5+IF(parametros_manuales!$H$38="Todos",datos_base!$F$12,0))*parametros_manuales!$H$112)*parametros_manuales!$I$38*parametros_manuales!$J$38</f>
        <v>6797.42</v>
      </c>
      <c r="I133" s="8">
        <f>(parametros_manuales!$D$38*(datos_base!$F$2+IF(parametros_manuales!$H$38="Todos",datos_base!$F$9,0))*parametros_manuales!$I$97+parametros_manuales!$E$38*(datos_base!$F$3+IF(parametros_manuales!$H$38="Todos",datos_base!$F$10,0))*parametros_manuales!$I$102+parametros_manuales!$F$38*(datos_base!$F$4+IF(parametros_manuales!$H$38="Todos",datos_base!$F$11,0))*parametros_manuales!$I$107+parametros_manuales!$G$38*(datos_base!$F$5+IF(parametros_manuales!$H$38="Todos",datos_base!$F$12,0))*parametros_manuales!$I$112)*parametros_manuales!$I$38*parametros_manuales!$J$38</f>
        <v>7729.16</v>
      </c>
      <c r="J133" s="8">
        <f>(parametros_manuales!$D$38*(datos_base!$F$2+IF(parametros_manuales!$H$38="Todos",datos_base!$F$9,0))*parametros_manuales!$J$97+parametros_manuales!$E$38*(datos_base!$F$3+IF(parametros_manuales!$H$38="Todos",datos_base!$F$10,0))*parametros_manuales!$J$102+parametros_manuales!$F$38*(datos_base!$F$4+IF(parametros_manuales!$H$38="Todos",datos_base!$F$11,0))*parametros_manuales!$J$107+parametros_manuales!$G$38*(datos_base!$F$5+IF(parametros_manuales!$H$38="Todos",datos_base!$F$12,0))*parametros_manuales!$J$112)*parametros_manuales!$I$38*parametros_manuales!$J$38</f>
        <v>7729.16</v>
      </c>
      <c r="K133" s="8">
        <f>(parametros_manuales!$D$38*(datos_base!$F$2+IF(parametros_manuales!$H$38="Todos",datos_base!$F$9,0))*parametros_manuales!$K$97+parametros_manuales!$E$38*(datos_base!$F$3+IF(parametros_manuales!$H$38="Todos",datos_base!$F$10,0))*parametros_manuales!$K$102+parametros_manuales!$F$38*(datos_base!$F$4+IF(parametros_manuales!$H$38="Todos",datos_base!$F$11,0))*parametros_manuales!$K$107+parametros_manuales!$G$38*(datos_base!$F$5+IF(parametros_manuales!$H$38="Todos",datos_base!$F$12,0))*parametros_manuales!$K$112)*parametros_manuales!$I$38*parametros_manuales!$J$38</f>
        <v>7862.83</v>
      </c>
      <c r="L133" s="8">
        <f>(parametros_manuales!$D$38*(datos_base!$F$2+IF(parametros_manuales!$H$38="Todos",datos_base!$F$9,0))*parametros_manuales!$L$97+parametros_manuales!$E$38*(datos_base!$F$3+IF(parametros_manuales!$H$38="Todos",datos_base!$F$10,0))*parametros_manuales!$L$102+parametros_manuales!$F$38*(datos_base!$F$4+IF(parametros_manuales!$H$38="Todos",datos_base!$F$11,0))*parametros_manuales!$L$107+parametros_manuales!$G$38*(datos_base!$F$5+IF(parametros_manuales!$H$38="Todos",datos_base!$F$12,0))*parametros_manuales!$L$112)*parametros_manuales!$I$38*parametros_manuales!$J$38</f>
        <v>7996.5</v>
      </c>
      <c r="M133" s="8">
        <f>(parametros_manuales!$D$38*(datos_base!$F$2+IF(parametros_manuales!$H$38="Todos",datos_base!$F$9,0))*parametros_manuales!$M$97+parametros_manuales!$E$38*(datos_base!$F$3+IF(parametros_manuales!$H$38="Todos",datos_base!$F$10,0))*parametros_manuales!$M$102+parametros_manuales!$F$38*(datos_base!$F$4+IF(parametros_manuales!$H$38="Todos",datos_base!$F$11,0))*parametros_manuales!$M$107+parametros_manuales!$G$38*(datos_base!$F$5+IF(parametros_manuales!$H$38="Todos",datos_base!$F$12,0))*parametros_manuales!$M$112)*parametros_manuales!$I$38*parametros_manuales!$J$38</f>
        <v>7996.5</v>
      </c>
      <c r="N133" s="8">
        <f t="shared" si="13"/>
        <v>88850</v>
      </c>
      <c r="O133" s="8">
        <f t="shared" si="14"/>
        <v>7996.5</v>
      </c>
      <c r="P133" s="27">
        <f>O133/(parametros_manuales!$B$7)</f>
        <v>53.31</v>
      </c>
      <c r="Q133" s="4" t="str">
        <f t="shared" si="15"/>
        <v>Ene</v>
      </c>
      <c r="R133" s="16"/>
      <c r="S133" s="16"/>
    </row>
    <row r="134" ht="14.25" customHeight="1">
      <c r="A134" s="4" t="str">
        <f>parametros_manuales!$B$39</f>
        <v>Carga de polvo</v>
      </c>
      <c r="B134" s="8">
        <f>(parametros_manuales!$D$39*(datos_base!$F$2+IF(parametros_manuales!$H$39="Todos",datos_base!$F$9,0))*parametros_manuales!$B$97+parametros_manuales!$E$39*(datos_base!$F$3+IF(parametros_manuales!$H$39="Todos",datos_base!$F$10,0))*parametros_manuales!$B$102+parametros_manuales!$F$39*(datos_base!$F$4+IF(parametros_manuales!$H$39="Todos",datos_base!$F$11,0))*parametros_manuales!$B$107+parametros_manuales!$G$39*(datos_base!$F$5+IF(parametros_manuales!$H$39="Todos",datos_base!$F$12,0))*parametros_manuales!$B$112)*parametros_manuales!$I$39*parametros_manuales!$J$39</f>
        <v>2407.86</v>
      </c>
      <c r="C134" s="8">
        <f>(parametros_manuales!$D$39*(datos_base!$F$2+IF(parametros_manuales!$H$39="Todos",datos_base!$F$9,0))*parametros_manuales!$C$97+parametros_manuales!$E$39*(datos_base!$F$3+IF(parametros_manuales!$H$39="Todos",datos_base!$F$10,0))*parametros_manuales!$C$102+parametros_manuales!$F$39*(datos_base!$F$4+IF(parametros_manuales!$H$39="Todos",datos_base!$F$11,0))*parametros_manuales!$C$107+parametros_manuales!$G$39*(datos_base!$F$5+IF(parametros_manuales!$H$39="Todos",datos_base!$F$12,0))*parametros_manuales!$C$112)*parametros_manuales!$I$39*parametros_manuales!$J$39</f>
        <v>2267.13</v>
      </c>
      <c r="D134" s="8">
        <f>(parametros_manuales!$D$39*(datos_base!$F$2+IF(parametros_manuales!$H$39="Todos",datos_base!$F$9,0))*parametros_manuales!$D$97+parametros_manuales!$E$39*(datos_base!$F$3+IF(parametros_manuales!$H$39="Todos",datos_base!$F$10,0))*parametros_manuales!$D$102+parametros_manuales!$F$39*(datos_base!$F$4+IF(parametros_manuales!$H$39="Todos",datos_base!$F$11,0))*parametros_manuales!$D$107+parametros_manuales!$G$39*(datos_base!$F$5+IF(parametros_manuales!$H$39="Todos",datos_base!$F$12,0))*parametros_manuales!$D$112)*parametros_manuales!$I$39*parametros_manuales!$J$39</f>
        <v>2210.685</v>
      </c>
      <c r="E134" s="8">
        <f>(parametros_manuales!$D$39*(datos_base!$F$2+IF(parametros_manuales!$H$39="Todos",datos_base!$F$9,0))*parametros_manuales!$E$97+parametros_manuales!$E$39*(datos_base!$F$3+IF(parametros_manuales!$H$39="Todos",datos_base!$F$10,0))*parametros_manuales!$E$102+parametros_manuales!$F$39*(datos_base!$F$4+IF(parametros_manuales!$H$39="Todos",datos_base!$F$11,0))*parametros_manuales!$E$107+parametros_manuales!$G$39*(datos_base!$F$5+IF(parametros_manuales!$H$39="Todos",datos_base!$F$12,0))*parametros_manuales!$E$112)*parametros_manuales!$I$39*parametros_manuales!$J$39</f>
        <v>2147.28</v>
      </c>
      <c r="F134" s="8">
        <f>(parametros_manuales!$D$39*(datos_base!$F$2+IF(parametros_manuales!$H$39="Todos",datos_base!$F$9,0))*parametros_manuales!$F$97+parametros_manuales!$E$39*(datos_base!$F$3+IF(parametros_manuales!$H$39="Todos",datos_base!$F$10,0))*parametros_manuales!$F$102+parametros_manuales!$F$39*(datos_base!$F$4+IF(parametros_manuales!$H$39="Todos",datos_base!$F$11,0))*parametros_manuales!$F$107+parametros_manuales!$G$39*(datos_base!$F$5+IF(parametros_manuales!$H$39="Todos",datos_base!$F$12,0))*parametros_manuales!$F$112)*parametros_manuales!$I$39*parametros_manuales!$J$39</f>
        <v>2013.51</v>
      </c>
      <c r="G134" s="8">
        <f>(parametros_manuales!$D$39*(datos_base!$F$2+IF(parametros_manuales!$H$39="Todos",datos_base!$F$9,0))*parametros_manuales!$G$97+parametros_manuales!$E$39*(datos_base!$F$3+IF(parametros_manuales!$H$39="Todos",datos_base!$F$10,0))*parametros_manuales!$G$102+parametros_manuales!$F$39*(datos_base!$F$4+IF(parametros_manuales!$H$39="Todos",datos_base!$F$11,0))*parametros_manuales!$G$107+parametros_manuales!$G$39*(datos_base!$F$5+IF(parametros_manuales!$H$39="Todos",datos_base!$F$12,0))*parametros_manuales!$G$112)*parametros_manuales!$I$39*parametros_manuales!$J$39</f>
        <v>1943.145</v>
      </c>
      <c r="H134" s="8">
        <f>(parametros_manuales!$D$39*(datos_base!$F$2+IF(parametros_manuales!$H$39="Todos",datos_base!$F$9,0))*parametros_manuales!$H$97+parametros_manuales!$E$39*(datos_base!$F$3+IF(parametros_manuales!$H$39="Todos",datos_base!$F$10,0))*parametros_manuales!$H$102+parametros_manuales!$F$39*(datos_base!$F$4+IF(parametros_manuales!$H$39="Todos",datos_base!$F$11,0))*parametros_manuales!$H$107+parametros_manuales!$G$39*(datos_base!$F$5+IF(parametros_manuales!$H$39="Todos",datos_base!$F$12,0))*parametros_manuales!$H$112)*parametros_manuales!$I$39*parametros_manuales!$J$39</f>
        <v>2076.915</v>
      </c>
      <c r="I134" s="8">
        <f>(parametros_manuales!$D$39*(datos_base!$F$2+IF(parametros_manuales!$H$39="Todos",datos_base!$F$9,0))*parametros_manuales!$I$97+parametros_manuales!$E$39*(datos_base!$F$3+IF(parametros_manuales!$H$39="Todos",datos_base!$F$10,0))*parametros_manuales!$I$102+parametros_manuales!$F$39*(datos_base!$F$4+IF(parametros_manuales!$H$39="Todos",datos_base!$F$11,0))*parametros_manuales!$I$107+parametros_manuales!$G$39*(datos_base!$F$5+IF(parametros_manuales!$H$39="Todos",datos_base!$F$12,0))*parametros_manuales!$I$112)*parametros_manuales!$I$39*parametros_manuales!$J$39</f>
        <v>2267.13</v>
      </c>
      <c r="J134" s="8">
        <f>(parametros_manuales!$D$39*(datos_base!$F$2+IF(parametros_manuales!$H$39="Todos",datos_base!$F$9,0))*parametros_manuales!$J$97+parametros_manuales!$E$39*(datos_base!$F$3+IF(parametros_manuales!$H$39="Todos",datos_base!$F$10,0))*parametros_manuales!$J$102+parametros_manuales!$F$39*(datos_base!$F$4+IF(parametros_manuales!$H$39="Todos",datos_base!$F$11,0))*parametros_manuales!$J$107+parametros_manuales!$G$39*(datos_base!$F$5+IF(parametros_manuales!$H$39="Todos",datos_base!$F$12,0))*parametros_manuales!$J$112)*parametros_manuales!$I$39*parametros_manuales!$J$39</f>
        <v>2267.13</v>
      </c>
      <c r="K134" s="8">
        <f>(parametros_manuales!$D$39*(datos_base!$F$2+IF(parametros_manuales!$H$39="Todos",datos_base!$F$9,0))*parametros_manuales!$K$97+parametros_manuales!$E$39*(datos_base!$F$3+IF(parametros_manuales!$H$39="Todos",datos_base!$F$10,0))*parametros_manuales!$K$102+parametros_manuales!$F$39*(datos_base!$F$4+IF(parametros_manuales!$H$39="Todos",datos_base!$F$11,0))*parametros_manuales!$K$107+parametros_manuales!$G$39*(datos_base!$F$5+IF(parametros_manuales!$H$39="Todos",datos_base!$F$12,0))*parametros_manuales!$K$112)*parametros_manuales!$I$39*parametros_manuales!$J$39</f>
        <v>2337.495</v>
      </c>
      <c r="L134" s="8">
        <f>(parametros_manuales!$D$39*(datos_base!$F$2+IF(parametros_manuales!$H$39="Todos",datos_base!$F$9,0))*parametros_manuales!$L$97+parametros_manuales!$E$39*(datos_base!$F$3+IF(parametros_manuales!$H$39="Todos",datos_base!$F$10,0))*parametros_manuales!$L$102+parametros_manuales!$F$39*(datos_base!$F$4+IF(parametros_manuales!$H$39="Todos",datos_base!$F$11,0))*parametros_manuales!$L$107+parametros_manuales!$G$39*(datos_base!$F$5+IF(parametros_manuales!$H$39="Todos",datos_base!$F$12,0))*parametros_manuales!$L$112)*parametros_manuales!$I$39*parametros_manuales!$J$39</f>
        <v>2407.86</v>
      </c>
      <c r="M134" s="8">
        <f>(parametros_manuales!$D$39*(datos_base!$F$2+IF(parametros_manuales!$H$39="Todos",datos_base!$F$9,0))*parametros_manuales!$M$97+parametros_manuales!$E$39*(datos_base!$F$3+IF(parametros_manuales!$H$39="Todos",datos_base!$F$10,0))*parametros_manuales!$M$102+parametros_manuales!$F$39*(datos_base!$F$4+IF(parametros_manuales!$H$39="Todos",datos_base!$F$11,0))*parametros_manuales!$M$107+parametros_manuales!$G$39*(datos_base!$F$5+IF(parametros_manuales!$H$39="Todos",datos_base!$F$12,0))*parametros_manuales!$M$112)*parametros_manuales!$I$39*parametros_manuales!$J$39</f>
        <v>2407.86</v>
      </c>
      <c r="N134" s="8">
        <f t="shared" si="13"/>
        <v>26754</v>
      </c>
      <c r="O134" s="8">
        <f t="shared" si="14"/>
        <v>2407.86</v>
      </c>
      <c r="P134" s="27">
        <f>O134/(parametros_manuales!$B$7)</f>
        <v>16.0524</v>
      </c>
      <c r="Q134" s="4" t="str">
        <f t="shared" si="15"/>
        <v>Ene</v>
      </c>
      <c r="R134" s="16"/>
      <c r="S134" s="16"/>
    </row>
    <row r="135" ht="14.25" customHeight="1">
      <c r="A135" s="4" t="str">
        <f>parametros_manuales!$B$40</f>
        <v>Ensamblaje</v>
      </c>
      <c r="B135" s="8">
        <f>(parametros_manuales!$D$40*(datos_base!$F$2+IF(parametros_manuales!$H$40="Todos",datos_base!$F$9,0))*parametros_manuales!$B$97+parametros_manuales!$E$40*(datos_base!$F$3+IF(parametros_manuales!$H$40="Todos",datos_base!$F$10,0))*parametros_manuales!$B$102+parametros_manuales!$F$40*(datos_base!$F$4+IF(parametros_manuales!$H$40="Todos",datos_base!$F$11,0))*parametros_manuales!$B$107+parametros_manuales!$G$40*(datos_base!$F$5+IF(parametros_manuales!$H$40="Todos",datos_base!$F$12,0))*parametros_manuales!$B$112)*parametros_manuales!$I$40*parametros_manuales!$J$40</f>
        <v>2407.86</v>
      </c>
      <c r="C135" s="8">
        <f>(parametros_manuales!$D$40*(datos_base!$F$2+IF(parametros_manuales!$H$40="Todos",datos_base!$F$9,0))*parametros_manuales!$C$97+parametros_manuales!$E$40*(datos_base!$F$3+IF(parametros_manuales!$H$40="Todos",datos_base!$F$10,0))*parametros_manuales!$C$102+parametros_manuales!$F$40*(datos_base!$F$4+IF(parametros_manuales!$H$40="Todos",datos_base!$F$11,0))*parametros_manuales!$C$107+parametros_manuales!$G$40*(datos_base!$F$5+IF(parametros_manuales!$H$40="Todos",datos_base!$F$12,0))*parametros_manuales!$C$112)*parametros_manuales!$I$40*parametros_manuales!$J$40</f>
        <v>2267.13</v>
      </c>
      <c r="D135" s="8">
        <f>(parametros_manuales!$D$40*(datos_base!$F$2+IF(parametros_manuales!$H$40="Todos",datos_base!$F$9,0))*parametros_manuales!$D$97+parametros_manuales!$E$40*(datos_base!$F$3+IF(parametros_manuales!$H$40="Todos",datos_base!$F$10,0))*parametros_manuales!$D$102+parametros_manuales!$F$40*(datos_base!$F$4+IF(parametros_manuales!$H$40="Todos",datos_base!$F$11,0))*parametros_manuales!$D$107+parametros_manuales!$G$40*(datos_base!$F$5+IF(parametros_manuales!$H$40="Todos",datos_base!$F$12,0))*parametros_manuales!$D$112)*parametros_manuales!$I$40*parametros_manuales!$J$40</f>
        <v>2210.685</v>
      </c>
      <c r="E135" s="8">
        <f>(parametros_manuales!$D$40*(datos_base!$F$2+IF(parametros_manuales!$H$40="Todos",datos_base!$F$9,0))*parametros_manuales!$E$97+parametros_manuales!$E$40*(datos_base!$F$3+IF(parametros_manuales!$H$40="Todos",datos_base!$F$10,0))*parametros_manuales!$E$102+parametros_manuales!$F$40*(datos_base!$F$4+IF(parametros_manuales!$H$40="Todos",datos_base!$F$11,0))*parametros_manuales!$E$107+parametros_manuales!$G$40*(datos_base!$F$5+IF(parametros_manuales!$H$40="Todos",datos_base!$F$12,0))*parametros_manuales!$E$112)*parametros_manuales!$I$40*parametros_manuales!$J$40</f>
        <v>2147.28</v>
      </c>
      <c r="F135" s="8">
        <f>(parametros_manuales!$D$40*(datos_base!$F$2+IF(parametros_manuales!$H$40="Todos",datos_base!$F$9,0))*parametros_manuales!$F$97+parametros_manuales!$E$40*(datos_base!$F$3+IF(parametros_manuales!$H$40="Todos",datos_base!$F$10,0))*parametros_manuales!$F$102+parametros_manuales!$F$40*(datos_base!$F$4+IF(parametros_manuales!$H$40="Todos",datos_base!$F$11,0))*parametros_manuales!$F$107+parametros_manuales!$G$40*(datos_base!$F$5+IF(parametros_manuales!$H$40="Todos",datos_base!$F$12,0))*parametros_manuales!$F$112)*parametros_manuales!$I$40*parametros_manuales!$J$40</f>
        <v>2013.51</v>
      </c>
      <c r="G135" s="8">
        <f>(parametros_manuales!$D$40*(datos_base!$F$2+IF(parametros_manuales!$H$40="Todos",datos_base!$F$9,0))*parametros_manuales!$G$97+parametros_manuales!$E$40*(datos_base!$F$3+IF(parametros_manuales!$H$40="Todos",datos_base!$F$10,0))*parametros_manuales!$G$102+parametros_manuales!$F$40*(datos_base!$F$4+IF(parametros_manuales!$H$40="Todos",datos_base!$F$11,0))*parametros_manuales!$G$107+parametros_manuales!$G$40*(datos_base!$F$5+IF(parametros_manuales!$H$40="Todos",datos_base!$F$12,0))*parametros_manuales!$G$112)*parametros_manuales!$I$40*parametros_manuales!$J$40</f>
        <v>1943.145</v>
      </c>
      <c r="H135" s="8">
        <f>(parametros_manuales!$D$40*(datos_base!$F$2+IF(parametros_manuales!$H$40="Todos",datos_base!$F$9,0))*parametros_manuales!$H$97+parametros_manuales!$E$40*(datos_base!$F$3+IF(parametros_manuales!$H$40="Todos",datos_base!$F$10,0))*parametros_manuales!$H$102+parametros_manuales!$F$40*(datos_base!$F$4+IF(parametros_manuales!$H$40="Todos",datos_base!$F$11,0))*parametros_manuales!$H$107+parametros_manuales!$G$40*(datos_base!$F$5+IF(parametros_manuales!$H$40="Todos",datos_base!$F$12,0))*parametros_manuales!$H$112)*parametros_manuales!$I$40*parametros_manuales!$J$40</f>
        <v>2076.915</v>
      </c>
      <c r="I135" s="8">
        <f>(parametros_manuales!$D$40*(datos_base!$F$2+IF(parametros_manuales!$H$40="Todos",datos_base!$F$9,0))*parametros_manuales!$I$97+parametros_manuales!$E$40*(datos_base!$F$3+IF(parametros_manuales!$H$40="Todos",datos_base!$F$10,0))*parametros_manuales!$I$102+parametros_manuales!$F$40*(datos_base!$F$4+IF(parametros_manuales!$H$40="Todos",datos_base!$F$11,0))*parametros_manuales!$I$107+parametros_manuales!$G$40*(datos_base!$F$5+IF(parametros_manuales!$H$40="Todos",datos_base!$F$12,0))*parametros_manuales!$I$112)*parametros_manuales!$I$40*parametros_manuales!$J$40</f>
        <v>2267.13</v>
      </c>
      <c r="J135" s="8">
        <f>(parametros_manuales!$D$40*(datos_base!$F$2+IF(parametros_manuales!$H$40="Todos",datos_base!$F$9,0))*parametros_manuales!$J$97+parametros_manuales!$E$40*(datos_base!$F$3+IF(parametros_manuales!$H$40="Todos",datos_base!$F$10,0))*parametros_manuales!$J$102+parametros_manuales!$F$40*(datos_base!$F$4+IF(parametros_manuales!$H$40="Todos",datos_base!$F$11,0))*parametros_manuales!$J$107+parametros_manuales!$G$40*(datos_base!$F$5+IF(parametros_manuales!$H$40="Todos",datos_base!$F$12,0))*parametros_manuales!$J$112)*parametros_manuales!$I$40*parametros_manuales!$J$40</f>
        <v>2267.13</v>
      </c>
      <c r="K135" s="8">
        <f>(parametros_manuales!$D$40*(datos_base!$F$2+IF(parametros_manuales!$H$40="Todos",datos_base!$F$9,0))*parametros_manuales!$K$97+parametros_manuales!$E$40*(datos_base!$F$3+IF(parametros_manuales!$H$40="Todos",datos_base!$F$10,0))*parametros_manuales!$K$102+parametros_manuales!$F$40*(datos_base!$F$4+IF(parametros_manuales!$H$40="Todos",datos_base!$F$11,0))*parametros_manuales!$K$107+parametros_manuales!$G$40*(datos_base!$F$5+IF(parametros_manuales!$H$40="Todos",datos_base!$F$12,0))*parametros_manuales!$K$112)*parametros_manuales!$I$40*parametros_manuales!$J$40</f>
        <v>2337.495</v>
      </c>
      <c r="L135" s="8">
        <f>(parametros_manuales!$D$40*(datos_base!$F$2+IF(parametros_manuales!$H$40="Todos",datos_base!$F$9,0))*parametros_manuales!$L$97+parametros_manuales!$E$40*(datos_base!$F$3+IF(parametros_manuales!$H$40="Todos",datos_base!$F$10,0))*parametros_manuales!$L$102+parametros_manuales!$F$40*(datos_base!$F$4+IF(parametros_manuales!$H$40="Todos",datos_base!$F$11,0))*parametros_manuales!$L$107+parametros_manuales!$G$40*(datos_base!$F$5+IF(parametros_manuales!$H$40="Todos",datos_base!$F$12,0))*parametros_manuales!$L$112)*parametros_manuales!$I$40*parametros_manuales!$J$40</f>
        <v>2407.86</v>
      </c>
      <c r="M135" s="8">
        <f>(parametros_manuales!$D$40*(datos_base!$F$2+IF(parametros_manuales!$H$40="Todos",datos_base!$F$9,0))*parametros_manuales!$M$97+parametros_manuales!$E$40*(datos_base!$F$3+IF(parametros_manuales!$H$40="Todos",datos_base!$F$10,0))*parametros_manuales!$M$102+parametros_manuales!$F$40*(datos_base!$F$4+IF(parametros_manuales!$H$40="Todos",datos_base!$F$11,0))*parametros_manuales!$M$107+parametros_manuales!$G$40*(datos_base!$F$5+IF(parametros_manuales!$H$40="Todos",datos_base!$F$12,0))*parametros_manuales!$M$112)*parametros_manuales!$I$40*parametros_manuales!$J$40</f>
        <v>2407.86</v>
      </c>
      <c r="N135" s="8">
        <f t="shared" si="13"/>
        <v>26754</v>
      </c>
      <c r="O135" s="8">
        <f t="shared" si="14"/>
        <v>2407.86</v>
      </c>
      <c r="P135" s="27">
        <f>O135/(parametros_manuales!$B$7)</f>
        <v>16.0524</v>
      </c>
      <c r="Q135" s="4" t="str">
        <f t="shared" si="15"/>
        <v>Ene</v>
      </c>
      <c r="R135" s="16"/>
      <c r="S135" s="16"/>
    </row>
    <row r="136" ht="14.25" customHeight="1">
      <c r="A136" s="4" t="str">
        <f>parametros_manuales!$B$41</f>
        <v>Presurización</v>
      </c>
      <c r="B136" s="8">
        <f>(parametros_manuales!$D$41*(datos_base!$F$2+IF(parametros_manuales!$H$41="Todos",datos_base!$F$9,0))*parametros_manuales!$B$97+parametros_manuales!$E$41*(datos_base!$F$3+IF(parametros_manuales!$H$41="Todos",datos_base!$F$10,0))*parametros_manuales!$B$102+parametros_manuales!$F$41*(datos_base!$F$4+IF(parametros_manuales!$H$41="Todos",datos_base!$F$11,0))*parametros_manuales!$B$107+parametros_manuales!$G$41*(datos_base!$F$5+IF(parametros_manuales!$H$41="Todos",datos_base!$F$12,0))*parametros_manuales!$B$112)*parametros_manuales!$I$41*parametros_manuales!$J$41</f>
        <v>2407.86</v>
      </c>
      <c r="C136" s="8">
        <f>(parametros_manuales!$D$41*(datos_base!$F$2+IF(parametros_manuales!$H$41="Todos",datos_base!$F$9,0))*parametros_manuales!$C$97+parametros_manuales!$E$41*(datos_base!$F$3+IF(parametros_manuales!$H$41="Todos",datos_base!$F$10,0))*parametros_manuales!$C$102+parametros_manuales!$F$41*(datos_base!$F$4+IF(parametros_manuales!$H$41="Todos",datos_base!$F$11,0))*parametros_manuales!$C$107+parametros_manuales!$G$41*(datos_base!$F$5+IF(parametros_manuales!$H$41="Todos",datos_base!$F$12,0))*parametros_manuales!$C$112)*parametros_manuales!$I$41*parametros_manuales!$J$41</f>
        <v>2267.13</v>
      </c>
      <c r="D136" s="8">
        <f>(parametros_manuales!$D$41*(datos_base!$F$2+IF(parametros_manuales!$H$41="Todos",datos_base!$F$9,0))*parametros_manuales!$D$97+parametros_manuales!$E$41*(datos_base!$F$3+IF(parametros_manuales!$H$41="Todos",datos_base!$F$10,0))*parametros_manuales!$D$102+parametros_manuales!$F$41*(datos_base!$F$4+IF(parametros_manuales!$H$41="Todos",datos_base!$F$11,0))*parametros_manuales!$D$107+parametros_manuales!$G$41*(datos_base!$F$5+IF(parametros_manuales!$H$41="Todos",datos_base!$F$12,0))*parametros_manuales!$D$112)*parametros_manuales!$I$41*parametros_manuales!$J$41</f>
        <v>2210.685</v>
      </c>
      <c r="E136" s="8">
        <f>(parametros_manuales!$D$41*(datos_base!$F$2+IF(parametros_manuales!$H$41="Todos",datos_base!$F$9,0))*parametros_manuales!$E$97+parametros_manuales!$E$41*(datos_base!$F$3+IF(parametros_manuales!$H$41="Todos",datos_base!$F$10,0))*parametros_manuales!$E$102+parametros_manuales!$F$41*(datos_base!$F$4+IF(parametros_manuales!$H$41="Todos",datos_base!$F$11,0))*parametros_manuales!$E$107+parametros_manuales!$G$41*(datos_base!$F$5+IF(parametros_manuales!$H$41="Todos",datos_base!$F$12,0))*parametros_manuales!$E$112)*parametros_manuales!$I$41*parametros_manuales!$J$41</f>
        <v>2147.28</v>
      </c>
      <c r="F136" s="8">
        <f>(parametros_manuales!$D$41*(datos_base!$F$2+IF(parametros_manuales!$H$41="Todos",datos_base!$F$9,0))*parametros_manuales!$F$97+parametros_manuales!$E$41*(datos_base!$F$3+IF(parametros_manuales!$H$41="Todos",datos_base!$F$10,0))*parametros_manuales!$F$102+parametros_manuales!$F$41*(datos_base!$F$4+IF(parametros_manuales!$H$41="Todos",datos_base!$F$11,0))*parametros_manuales!$F$107+parametros_manuales!$G$41*(datos_base!$F$5+IF(parametros_manuales!$H$41="Todos",datos_base!$F$12,0))*parametros_manuales!$F$112)*parametros_manuales!$I$41*parametros_manuales!$J$41</f>
        <v>2013.51</v>
      </c>
      <c r="G136" s="8">
        <f>(parametros_manuales!$D$41*(datos_base!$F$2+IF(parametros_manuales!$H$41="Todos",datos_base!$F$9,0))*parametros_manuales!$G$97+parametros_manuales!$E$41*(datos_base!$F$3+IF(parametros_manuales!$H$41="Todos",datos_base!$F$10,0))*parametros_manuales!$G$102+parametros_manuales!$F$41*(datos_base!$F$4+IF(parametros_manuales!$H$41="Todos",datos_base!$F$11,0))*parametros_manuales!$G$107+parametros_manuales!$G$41*(datos_base!$F$5+IF(parametros_manuales!$H$41="Todos",datos_base!$F$12,0))*parametros_manuales!$G$112)*parametros_manuales!$I$41*parametros_manuales!$J$41</f>
        <v>1943.145</v>
      </c>
      <c r="H136" s="8">
        <f>(parametros_manuales!$D$41*(datos_base!$F$2+IF(parametros_manuales!$H$41="Todos",datos_base!$F$9,0))*parametros_manuales!$H$97+parametros_manuales!$E$41*(datos_base!$F$3+IF(parametros_manuales!$H$41="Todos",datos_base!$F$10,0))*parametros_manuales!$H$102+parametros_manuales!$F$41*(datos_base!$F$4+IF(parametros_manuales!$H$41="Todos",datos_base!$F$11,0))*parametros_manuales!$H$107+parametros_manuales!$G$41*(datos_base!$F$5+IF(parametros_manuales!$H$41="Todos",datos_base!$F$12,0))*parametros_manuales!$H$112)*parametros_manuales!$I$41*parametros_manuales!$J$41</f>
        <v>2076.915</v>
      </c>
      <c r="I136" s="8">
        <f>(parametros_manuales!$D$41*(datos_base!$F$2+IF(parametros_manuales!$H$41="Todos",datos_base!$F$9,0))*parametros_manuales!$I$97+parametros_manuales!$E$41*(datos_base!$F$3+IF(parametros_manuales!$H$41="Todos",datos_base!$F$10,0))*parametros_manuales!$I$102+parametros_manuales!$F$41*(datos_base!$F$4+IF(parametros_manuales!$H$41="Todos",datos_base!$F$11,0))*parametros_manuales!$I$107+parametros_manuales!$G$41*(datos_base!$F$5+IF(parametros_manuales!$H$41="Todos",datos_base!$F$12,0))*parametros_manuales!$I$112)*parametros_manuales!$I$41*parametros_manuales!$J$41</f>
        <v>2267.13</v>
      </c>
      <c r="J136" s="8">
        <f>(parametros_manuales!$D$41*(datos_base!$F$2+IF(parametros_manuales!$H$41="Todos",datos_base!$F$9,0))*parametros_manuales!$J$97+parametros_manuales!$E$41*(datos_base!$F$3+IF(parametros_manuales!$H$41="Todos",datos_base!$F$10,0))*parametros_manuales!$J$102+parametros_manuales!$F$41*(datos_base!$F$4+IF(parametros_manuales!$H$41="Todos",datos_base!$F$11,0))*parametros_manuales!$J$107+parametros_manuales!$G$41*(datos_base!$F$5+IF(parametros_manuales!$H$41="Todos",datos_base!$F$12,0))*parametros_manuales!$J$112)*parametros_manuales!$I$41*parametros_manuales!$J$41</f>
        <v>2267.13</v>
      </c>
      <c r="K136" s="8">
        <f>(parametros_manuales!$D$41*(datos_base!$F$2+IF(parametros_manuales!$H$41="Todos",datos_base!$F$9,0))*parametros_manuales!$K$97+parametros_manuales!$E$41*(datos_base!$F$3+IF(parametros_manuales!$H$41="Todos",datos_base!$F$10,0))*parametros_manuales!$K$102+parametros_manuales!$F$41*(datos_base!$F$4+IF(parametros_manuales!$H$41="Todos",datos_base!$F$11,0))*parametros_manuales!$K$107+parametros_manuales!$G$41*(datos_base!$F$5+IF(parametros_manuales!$H$41="Todos",datos_base!$F$12,0))*parametros_manuales!$K$112)*parametros_manuales!$I$41*parametros_manuales!$J$41</f>
        <v>2337.495</v>
      </c>
      <c r="L136" s="8">
        <f>(parametros_manuales!$D$41*(datos_base!$F$2+IF(parametros_manuales!$H$41="Todos",datos_base!$F$9,0))*parametros_manuales!$L$97+parametros_manuales!$E$41*(datos_base!$F$3+IF(parametros_manuales!$H$41="Todos",datos_base!$F$10,0))*parametros_manuales!$L$102+parametros_manuales!$F$41*(datos_base!$F$4+IF(parametros_manuales!$H$41="Todos",datos_base!$F$11,0))*parametros_manuales!$L$107+parametros_manuales!$G$41*(datos_base!$F$5+IF(parametros_manuales!$H$41="Todos",datos_base!$F$12,0))*parametros_manuales!$L$112)*parametros_manuales!$I$41*parametros_manuales!$J$41</f>
        <v>2407.86</v>
      </c>
      <c r="M136" s="8">
        <f>(parametros_manuales!$D$41*(datos_base!$F$2+IF(parametros_manuales!$H$41="Todos",datos_base!$F$9,0))*parametros_manuales!$M$97+parametros_manuales!$E$41*(datos_base!$F$3+IF(parametros_manuales!$H$41="Todos",datos_base!$F$10,0))*parametros_manuales!$M$102+parametros_manuales!$F$41*(datos_base!$F$4+IF(parametros_manuales!$H$41="Todos",datos_base!$F$11,0))*parametros_manuales!$M$107+parametros_manuales!$G$41*(datos_base!$F$5+IF(parametros_manuales!$H$41="Todos",datos_base!$F$12,0))*parametros_manuales!$M$112)*parametros_manuales!$I$41*parametros_manuales!$J$41</f>
        <v>2407.86</v>
      </c>
      <c r="N136" s="8">
        <f t="shared" si="13"/>
        <v>26754</v>
      </c>
      <c r="O136" s="8">
        <f t="shared" si="14"/>
        <v>2407.86</v>
      </c>
      <c r="P136" s="27">
        <f>O136/(parametros_manuales!$B$7)</f>
        <v>16.0524</v>
      </c>
      <c r="Q136" s="4" t="str">
        <f t="shared" si="15"/>
        <v>Ene</v>
      </c>
      <c r="R136" s="16"/>
      <c r="S136" s="16"/>
    </row>
    <row r="137" ht="14.25" customHeight="1">
      <c r="A137" s="4" t="str">
        <f>parametros_manuales!$B$42</f>
        <v>Control de calidad — Ensayo de pérdidas</v>
      </c>
      <c r="B137" s="8">
        <f>(parametros_manuales!$D$42*(datos_base!$F$2+IF(parametros_manuales!$H$42="Todos",datos_base!$F$9,0))*parametros_manuales!$B$97+parametros_manuales!$E$42*(datos_base!$F$3+IF(parametros_manuales!$H$42="Todos",datos_base!$F$10,0))*parametros_manuales!$B$102+parametros_manuales!$F$42*(datos_base!$F$4+IF(parametros_manuales!$H$42="Todos",datos_base!$F$11,0))*parametros_manuales!$B$107+parametros_manuales!$G$42*(datos_base!$F$5+IF(parametros_manuales!$H$42="Todos",datos_base!$F$12,0))*parametros_manuales!$B$112)*parametros_manuales!$I$42*parametros_manuales!$J$42</f>
        <v>2407.86</v>
      </c>
      <c r="C137" s="8">
        <f>(parametros_manuales!$D$42*(datos_base!$F$2+IF(parametros_manuales!$H$42="Todos",datos_base!$F$9,0))*parametros_manuales!$C$97+parametros_manuales!$E$42*(datos_base!$F$3+IF(parametros_manuales!$H$42="Todos",datos_base!$F$10,0))*parametros_manuales!$C$102+parametros_manuales!$F$42*(datos_base!$F$4+IF(parametros_manuales!$H$42="Todos",datos_base!$F$11,0))*parametros_manuales!$C$107+parametros_manuales!$G$42*(datos_base!$F$5+IF(parametros_manuales!$H$42="Todos",datos_base!$F$12,0))*parametros_manuales!$C$112)*parametros_manuales!$I$42*parametros_manuales!$J$42</f>
        <v>2267.13</v>
      </c>
      <c r="D137" s="8">
        <f>(parametros_manuales!$D$42*(datos_base!$F$2+IF(parametros_manuales!$H$42="Todos",datos_base!$F$9,0))*parametros_manuales!$D$97+parametros_manuales!$E$42*(datos_base!$F$3+IF(parametros_manuales!$H$42="Todos",datos_base!$F$10,0))*parametros_manuales!$D$102+parametros_manuales!$F$42*(datos_base!$F$4+IF(parametros_manuales!$H$42="Todos",datos_base!$F$11,0))*parametros_manuales!$D$107+parametros_manuales!$G$42*(datos_base!$F$5+IF(parametros_manuales!$H$42="Todos",datos_base!$F$12,0))*parametros_manuales!$D$112)*parametros_manuales!$I$42*parametros_manuales!$J$42</f>
        <v>2210.685</v>
      </c>
      <c r="E137" s="8">
        <f>(parametros_manuales!$D$42*(datos_base!$F$2+IF(parametros_manuales!$H$42="Todos",datos_base!$F$9,0))*parametros_manuales!$E$97+parametros_manuales!$E$42*(datos_base!$F$3+IF(parametros_manuales!$H$42="Todos",datos_base!$F$10,0))*parametros_manuales!$E$102+parametros_manuales!$F$42*(datos_base!$F$4+IF(parametros_manuales!$H$42="Todos",datos_base!$F$11,0))*parametros_manuales!$E$107+parametros_manuales!$G$42*(datos_base!$F$5+IF(parametros_manuales!$H$42="Todos",datos_base!$F$12,0))*parametros_manuales!$E$112)*parametros_manuales!$I$42*parametros_manuales!$J$42</f>
        <v>2147.28</v>
      </c>
      <c r="F137" s="8">
        <f>(parametros_manuales!$D$42*(datos_base!$F$2+IF(parametros_manuales!$H$42="Todos",datos_base!$F$9,0))*parametros_manuales!$F$97+parametros_manuales!$E$42*(datos_base!$F$3+IF(parametros_manuales!$H$42="Todos",datos_base!$F$10,0))*parametros_manuales!$F$102+parametros_manuales!$F$42*(datos_base!$F$4+IF(parametros_manuales!$H$42="Todos",datos_base!$F$11,0))*parametros_manuales!$F$107+parametros_manuales!$G$42*(datos_base!$F$5+IF(parametros_manuales!$H$42="Todos",datos_base!$F$12,0))*parametros_manuales!$F$112)*parametros_manuales!$I$42*parametros_manuales!$J$42</f>
        <v>2013.51</v>
      </c>
      <c r="G137" s="8">
        <f>(parametros_manuales!$D$42*(datos_base!$F$2+IF(parametros_manuales!$H$42="Todos",datos_base!$F$9,0))*parametros_manuales!$G$97+parametros_manuales!$E$42*(datos_base!$F$3+IF(parametros_manuales!$H$42="Todos",datos_base!$F$10,0))*parametros_manuales!$G$102+parametros_manuales!$F$42*(datos_base!$F$4+IF(parametros_manuales!$H$42="Todos",datos_base!$F$11,0))*parametros_manuales!$G$107+parametros_manuales!$G$42*(datos_base!$F$5+IF(parametros_manuales!$H$42="Todos",datos_base!$F$12,0))*parametros_manuales!$G$112)*parametros_manuales!$I$42*parametros_manuales!$J$42</f>
        <v>1943.145</v>
      </c>
      <c r="H137" s="8">
        <f>(parametros_manuales!$D$42*(datos_base!$F$2+IF(parametros_manuales!$H$42="Todos",datos_base!$F$9,0))*parametros_manuales!$H$97+parametros_manuales!$E$42*(datos_base!$F$3+IF(parametros_manuales!$H$42="Todos",datos_base!$F$10,0))*parametros_manuales!$H$102+parametros_manuales!$F$42*(datos_base!$F$4+IF(parametros_manuales!$H$42="Todos",datos_base!$F$11,0))*parametros_manuales!$H$107+parametros_manuales!$G$42*(datos_base!$F$5+IF(parametros_manuales!$H$42="Todos",datos_base!$F$12,0))*parametros_manuales!$H$112)*parametros_manuales!$I$42*parametros_manuales!$J$42</f>
        <v>2076.915</v>
      </c>
      <c r="I137" s="8">
        <f>(parametros_manuales!$D$42*(datos_base!$F$2+IF(parametros_manuales!$H$42="Todos",datos_base!$F$9,0))*parametros_manuales!$I$97+parametros_manuales!$E$42*(datos_base!$F$3+IF(parametros_manuales!$H$42="Todos",datos_base!$F$10,0))*parametros_manuales!$I$102+parametros_manuales!$F$42*(datos_base!$F$4+IF(parametros_manuales!$H$42="Todos",datos_base!$F$11,0))*parametros_manuales!$I$107+parametros_manuales!$G$42*(datos_base!$F$5+IF(parametros_manuales!$H$42="Todos",datos_base!$F$12,0))*parametros_manuales!$I$112)*parametros_manuales!$I$42*parametros_manuales!$J$42</f>
        <v>2267.13</v>
      </c>
      <c r="J137" s="8">
        <f>(parametros_manuales!$D$42*(datos_base!$F$2+IF(parametros_manuales!$H$42="Todos",datos_base!$F$9,0))*parametros_manuales!$J$97+parametros_manuales!$E$42*(datos_base!$F$3+IF(parametros_manuales!$H$42="Todos",datos_base!$F$10,0))*parametros_manuales!$J$102+parametros_manuales!$F$42*(datos_base!$F$4+IF(parametros_manuales!$H$42="Todos",datos_base!$F$11,0))*parametros_manuales!$J$107+parametros_manuales!$G$42*(datos_base!$F$5+IF(parametros_manuales!$H$42="Todos",datos_base!$F$12,0))*parametros_manuales!$J$112)*parametros_manuales!$I$42*parametros_manuales!$J$42</f>
        <v>2267.13</v>
      </c>
      <c r="K137" s="8">
        <f>(parametros_manuales!$D$42*(datos_base!$F$2+IF(parametros_manuales!$H$42="Todos",datos_base!$F$9,0))*parametros_manuales!$K$97+parametros_manuales!$E$42*(datos_base!$F$3+IF(parametros_manuales!$H$42="Todos",datos_base!$F$10,0))*parametros_manuales!$K$102+parametros_manuales!$F$42*(datos_base!$F$4+IF(parametros_manuales!$H$42="Todos",datos_base!$F$11,0))*parametros_manuales!$K$107+parametros_manuales!$G$42*(datos_base!$F$5+IF(parametros_manuales!$H$42="Todos",datos_base!$F$12,0))*parametros_manuales!$K$112)*parametros_manuales!$I$42*parametros_manuales!$J$42</f>
        <v>2337.495</v>
      </c>
      <c r="L137" s="8">
        <f>(parametros_manuales!$D$42*(datos_base!$F$2+IF(parametros_manuales!$H$42="Todos",datos_base!$F$9,0))*parametros_manuales!$L$97+parametros_manuales!$E$42*(datos_base!$F$3+IF(parametros_manuales!$H$42="Todos",datos_base!$F$10,0))*parametros_manuales!$L$102+parametros_manuales!$F$42*(datos_base!$F$4+IF(parametros_manuales!$H$42="Todos",datos_base!$F$11,0))*parametros_manuales!$L$107+parametros_manuales!$G$42*(datos_base!$F$5+IF(parametros_manuales!$H$42="Todos",datos_base!$F$12,0))*parametros_manuales!$L$112)*parametros_manuales!$I$42*parametros_manuales!$J$42</f>
        <v>2407.86</v>
      </c>
      <c r="M137" s="8">
        <f>(parametros_manuales!$D$42*(datos_base!$F$2+IF(parametros_manuales!$H$42="Todos",datos_base!$F$9,0))*parametros_manuales!$M$97+parametros_manuales!$E$42*(datos_base!$F$3+IF(parametros_manuales!$H$42="Todos",datos_base!$F$10,0))*parametros_manuales!$M$102+parametros_manuales!$F$42*(datos_base!$F$4+IF(parametros_manuales!$H$42="Todos",datos_base!$F$11,0))*parametros_manuales!$M$107+parametros_manuales!$G$42*(datos_base!$F$5+IF(parametros_manuales!$H$42="Todos",datos_base!$F$12,0))*parametros_manuales!$M$112)*parametros_manuales!$I$42*parametros_manuales!$J$42</f>
        <v>2407.86</v>
      </c>
      <c r="N137" s="8">
        <f t="shared" si="13"/>
        <v>26754</v>
      </c>
      <c r="O137" s="8">
        <f t="shared" si="14"/>
        <v>2407.86</v>
      </c>
      <c r="P137" s="27">
        <f>O137/(parametros_manuales!$B$7)</f>
        <v>16.0524</v>
      </c>
      <c r="Q137" s="4" t="str">
        <f t="shared" si="15"/>
        <v>Ene</v>
      </c>
      <c r="R137" s="16"/>
      <c r="S137" s="16"/>
    </row>
    <row r="138" ht="14.25" customHeight="1">
      <c r="A138" s="4" t="str">
        <f>parametros_manuales!$B$43</f>
        <v>Etiquetado</v>
      </c>
      <c r="B138" s="8">
        <f>(parametros_manuales!$D$43*(datos_base!$F$2+IF(parametros_manuales!$H$43="Todos",datos_base!$F$9,0))*parametros_manuales!$B$97+parametros_manuales!$E$43*(datos_base!$F$3+IF(parametros_manuales!$H$43="Todos",datos_base!$F$10,0))*parametros_manuales!$B$102+parametros_manuales!$F$43*(datos_base!$F$4+IF(parametros_manuales!$H$43="Todos",datos_base!$F$11,0))*parametros_manuales!$B$107+parametros_manuales!$G$43*(datos_base!$F$5+IF(parametros_manuales!$H$43="Todos",datos_base!$F$12,0))*parametros_manuales!$B$112)*parametros_manuales!$I$43*parametros_manuales!$J$43</f>
        <v>2407.86</v>
      </c>
      <c r="C138" s="8">
        <f>(parametros_manuales!$D$43*(datos_base!$F$2+IF(parametros_manuales!$H$43="Todos",datos_base!$F$9,0))*parametros_manuales!$C$97+parametros_manuales!$E$43*(datos_base!$F$3+IF(parametros_manuales!$H$43="Todos",datos_base!$F$10,0))*parametros_manuales!$C$102+parametros_manuales!$F$43*(datos_base!$F$4+IF(parametros_manuales!$H$43="Todos",datos_base!$F$11,0))*parametros_manuales!$C$107+parametros_manuales!$G$43*(datos_base!$F$5+IF(parametros_manuales!$H$43="Todos",datos_base!$F$12,0))*parametros_manuales!$C$112)*parametros_manuales!$I$43*parametros_manuales!$J$43</f>
        <v>2267.13</v>
      </c>
      <c r="D138" s="8">
        <f>(parametros_manuales!$D$43*(datos_base!$F$2+IF(parametros_manuales!$H$43="Todos",datos_base!$F$9,0))*parametros_manuales!$D$97+parametros_manuales!$E$43*(datos_base!$F$3+IF(parametros_manuales!$H$43="Todos",datos_base!$F$10,0))*parametros_manuales!$D$102+parametros_manuales!$F$43*(datos_base!$F$4+IF(parametros_manuales!$H$43="Todos",datos_base!$F$11,0))*parametros_manuales!$D$107+parametros_manuales!$G$43*(datos_base!$F$5+IF(parametros_manuales!$H$43="Todos",datos_base!$F$12,0))*parametros_manuales!$D$112)*parametros_manuales!$I$43*parametros_manuales!$J$43</f>
        <v>2210.685</v>
      </c>
      <c r="E138" s="8">
        <f>(parametros_manuales!$D$43*(datos_base!$F$2+IF(parametros_manuales!$H$43="Todos",datos_base!$F$9,0))*parametros_manuales!$E$97+parametros_manuales!$E$43*(datos_base!$F$3+IF(parametros_manuales!$H$43="Todos",datos_base!$F$10,0))*parametros_manuales!$E$102+parametros_manuales!$F$43*(datos_base!$F$4+IF(parametros_manuales!$H$43="Todos",datos_base!$F$11,0))*parametros_manuales!$E$107+parametros_manuales!$G$43*(datos_base!$F$5+IF(parametros_manuales!$H$43="Todos",datos_base!$F$12,0))*parametros_manuales!$E$112)*parametros_manuales!$I$43*parametros_manuales!$J$43</f>
        <v>2147.28</v>
      </c>
      <c r="F138" s="8">
        <f>(parametros_manuales!$D$43*(datos_base!$F$2+IF(parametros_manuales!$H$43="Todos",datos_base!$F$9,0))*parametros_manuales!$F$97+parametros_manuales!$E$43*(datos_base!$F$3+IF(parametros_manuales!$H$43="Todos",datos_base!$F$10,0))*parametros_manuales!$F$102+parametros_manuales!$F$43*(datos_base!$F$4+IF(parametros_manuales!$H$43="Todos",datos_base!$F$11,0))*parametros_manuales!$F$107+parametros_manuales!$G$43*(datos_base!$F$5+IF(parametros_manuales!$H$43="Todos",datos_base!$F$12,0))*parametros_manuales!$F$112)*parametros_manuales!$I$43*parametros_manuales!$J$43</f>
        <v>2013.51</v>
      </c>
      <c r="G138" s="8">
        <f>(parametros_manuales!$D$43*(datos_base!$F$2+IF(parametros_manuales!$H$43="Todos",datos_base!$F$9,0))*parametros_manuales!$G$97+parametros_manuales!$E$43*(datos_base!$F$3+IF(parametros_manuales!$H$43="Todos",datos_base!$F$10,0))*parametros_manuales!$G$102+parametros_manuales!$F$43*(datos_base!$F$4+IF(parametros_manuales!$H$43="Todos",datos_base!$F$11,0))*parametros_manuales!$G$107+parametros_manuales!$G$43*(datos_base!$F$5+IF(parametros_manuales!$H$43="Todos",datos_base!$F$12,0))*parametros_manuales!$G$112)*parametros_manuales!$I$43*parametros_manuales!$J$43</f>
        <v>1943.145</v>
      </c>
      <c r="H138" s="8">
        <f>(parametros_manuales!$D$43*(datos_base!$F$2+IF(parametros_manuales!$H$43="Todos",datos_base!$F$9,0))*parametros_manuales!$H$97+parametros_manuales!$E$43*(datos_base!$F$3+IF(parametros_manuales!$H$43="Todos",datos_base!$F$10,0))*parametros_manuales!$H$102+parametros_manuales!$F$43*(datos_base!$F$4+IF(parametros_manuales!$H$43="Todos",datos_base!$F$11,0))*parametros_manuales!$H$107+parametros_manuales!$G$43*(datos_base!$F$5+IF(parametros_manuales!$H$43="Todos",datos_base!$F$12,0))*parametros_manuales!$H$112)*parametros_manuales!$I$43*parametros_manuales!$J$43</f>
        <v>2076.915</v>
      </c>
      <c r="I138" s="8">
        <f>(parametros_manuales!$D$43*(datos_base!$F$2+IF(parametros_manuales!$H$43="Todos",datos_base!$F$9,0))*parametros_manuales!$I$97+parametros_manuales!$E$43*(datos_base!$F$3+IF(parametros_manuales!$H$43="Todos",datos_base!$F$10,0))*parametros_manuales!$I$102+parametros_manuales!$F$43*(datos_base!$F$4+IF(parametros_manuales!$H$43="Todos",datos_base!$F$11,0))*parametros_manuales!$I$107+parametros_manuales!$G$43*(datos_base!$F$5+IF(parametros_manuales!$H$43="Todos",datos_base!$F$12,0))*parametros_manuales!$I$112)*parametros_manuales!$I$43*parametros_manuales!$J$43</f>
        <v>2267.13</v>
      </c>
      <c r="J138" s="8">
        <f>(parametros_manuales!$D$43*(datos_base!$F$2+IF(parametros_manuales!$H$43="Todos",datos_base!$F$9,0))*parametros_manuales!$J$97+parametros_manuales!$E$43*(datos_base!$F$3+IF(parametros_manuales!$H$43="Todos",datos_base!$F$10,0))*parametros_manuales!$J$102+parametros_manuales!$F$43*(datos_base!$F$4+IF(parametros_manuales!$H$43="Todos",datos_base!$F$11,0))*parametros_manuales!$J$107+parametros_manuales!$G$43*(datos_base!$F$5+IF(parametros_manuales!$H$43="Todos",datos_base!$F$12,0))*parametros_manuales!$J$112)*parametros_manuales!$I$43*parametros_manuales!$J$43</f>
        <v>2267.13</v>
      </c>
      <c r="K138" s="8">
        <f>(parametros_manuales!$D$43*(datos_base!$F$2+IF(parametros_manuales!$H$43="Todos",datos_base!$F$9,0))*parametros_manuales!$K$97+parametros_manuales!$E$43*(datos_base!$F$3+IF(parametros_manuales!$H$43="Todos",datos_base!$F$10,0))*parametros_manuales!$K$102+parametros_manuales!$F$43*(datos_base!$F$4+IF(parametros_manuales!$H$43="Todos",datos_base!$F$11,0))*parametros_manuales!$K$107+parametros_manuales!$G$43*(datos_base!$F$5+IF(parametros_manuales!$H$43="Todos",datos_base!$F$12,0))*parametros_manuales!$K$112)*parametros_manuales!$I$43*parametros_manuales!$J$43</f>
        <v>2337.495</v>
      </c>
      <c r="L138" s="8">
        <f>(parametros_manuales!$D$43*(datos_base!$F$2+IF(parametros_manuales!$H$43="Todos",datos_base!$F$9,0))*parametros_manuales!$L$97+parametros_manuales!$E$43*(datos_base!$F$3+IF(parametros_manuales!$H$43="Todos",datos_base!$F$10,0))*parametros_manuales!$L$102+parametros_manuales!$F$43*(datos_base!$F$4+IF(parametros_manuales!$H$43="Todos",datos_base!$F$11,0))*parametros_manuales!$L$107+parametros_manuales!$G$43*(datos_base!$F$5+IF(parametros_manuales!$H$43="Todos",datos_base!$F$12,0))*parametros_manuales!$L$112)*parametros_manuales!$I$43*parametros_manuales!$J$43</f>
        <v>2407.86</v>
      </c>
      <c r="M138" s="8">
        <f>(parametros_manuales!$D$43*(datos_base!$F$2+IF(parametros_manuales!$H$43="Todos",datos_base!$F$9,0))*parametros_manuales!$M$97+parametros_manuales!$E$43*(datos_base!$F$3+IF(parametros_manuales!$H$43="Todos",datos_base!$F$10,0))*parametros_manuales!$M$102+parametros_manuales!$F$43*(datos_base!$F$4+IF(parametros_manuales!$H$43="Todos",datos_base!$F$11,0))*parametros_manuales!$M$107+parametros_manuales!$G$43*(datos_base!$F$5+IF(parametros_manuales!$H$43="Todos",datos_base!$F$12,0))*parametros_manuales!$M$112)*parametros_manuales!$I$43*parametros_manuales!$J$43</f>
        <v>2407.86</v>
      </c>
      <c r="N138" s="8">
        <f t="shared" si="13"/>
        <v>26754</v>
      </c>
      <c r="O138" s="8">
        <f t="shared" si="14"/>
        <v>2407.86</v>
      </c>
      <c r="P138" s="27">
        <f>O138/(parametros_manuales!$B$7)</f>
        <v>16.0524</v>
      </c>
      <c r="Q138" s="4" t="str">
        <f t="shared" si="15"/>
        <v>Ene</v>
      </c>
      <c r="R138" s="16"/>
      <c r="S138" s="16"/>
    </row>
    <row r="139" ht="14.25" customHeight="1">
      <c r="A139" s="4" t="str">
        <f>parametros_manuales!$B$44</f>
        <v>Embalaje y paletizado</v>
      </c>
      <c r="B139" s="8">
        <f>(parametros_manuales!$D$44*(datos_base!$F$2+IF(parametros_manuales!$H$44="Todos",datos_base!$F$9,0))*parametros_manuales!$B$97+parametros_manuales!$E$44*(datos_base!$F$3+IF(parametros_manuales!$H$44="Todos",datos_base!$F$10,0))*parametros_manuales!$B$102+parametros_manuales!$F$44*(datos_base!$F$4+IF(parametros_manuales!$H$44="Todos",datos_base!$F$11,0))*parametros_manuales!$B$107+parametros_manuales!$G$44*(datos_base!$F$5+IF(parametros_manuales!$H$44="Todos",datos_base!$F$12,0))*parametros_manuales!$B$112)*parametros_manuales!$I$44*parametros_manuales!$J$44</f>
        <v>7996.5</v>
      </c>
      <c r="C139" s="8">
        <f>(parametros_manuales!$D$44*(datos_base!$F$2+IF(parametros_manuales!$H$44="Todos",datos_base!$F$9,0))*parametros_manuales!$C$97+parametros_manuales!$E$44*(datos_base!$F$3+IF(parametros_manuales!$H$44="Todos",datos_base!$F$10,0))*parametros_manuales!$C$102+parametros_manuales!$F$44*(datos_base!$F$4+IF(parametros_manuales!$H$44="Todos",datos_base!$F$11,0))*parametros_manuales!$C$107+parametros_manuales!$G$44*(datos_base!$F$5+IF(parametros_manuales!$H$44="Todos",datos_base!$F$12,0))*parametros_manuales!$C$112)*parametros_manuales!$I$44*parametros_manuales!$J$44</f>
        <v>7729.16</v>
      </c>
      <c r="D139" s="8">
        <f>(parametros_manuales!$D$44*(datos_base!$F$2+IF(parametros_manuales!$H$44="Todos",datos_base!$F$9,0))*parametros_manuales!$D$97+parametros_manuales!$E$44*(datos_base!$F$3+IF(parametros_manuales!$H$44="Todos",datos_base!$F$10,0))*parametros_manuales!$D$102+parametros_manuales!$F$44*(datos_base!$F$4+IF(parametros_manuales!$H$44="Todos",datos_base!$F$11,0))*parametros_manuales!$D$107+parametros_manuales!$G$44*(datos_base!$F$5+IF(parametros_manuales!$H$44="Todos",datos_base!$F$12,0))*parametros_manuales!$D$112)*parametros_manuales!$I$44*parametros_manuales!$J$44</f>
        <v>7241.67</v>
      </c>
      <c r="E139" s="8">
        <f>(parametros_manuales!$D$44*(datos_base!$F$2+IF(parametros_manuales!$H$44="Todos",datos_base!$F$9,0))*parametros_manuales!$E$97+parametros_manuales!$E$44*(datos_base!$F$3+IF(parametros_manuales!$H$44="Todos",datos_base!$F$10,0))*parametros_manuales!$E$102+parametros_manuales!$F$44*(datos_base!$F$4+IF(parametros_manuales!$H$44="Todos",datos_base!$F$11,0))*parametros_manuales!$E$107+parametros_manuales!$G$44*(datos_base!$F$5+IF(parametros_manuales!$H$44="Todos",datos_base!$F$12,0))*parametros_manuales!$E$112)*parametros_manuales!$I$44*parametros_manuales!$J$44</f>
        <v>6931.09</v>
      </c>
      <c r="F139" s="8">
        <f>(parametros_manuales!$D$44*(datos_base!$F$2+IF(parametros_manuales!$H$44="Todos",datos_base!$F$9,0))*parametros_manuales!$F$97+parametros_manuales!$E$44*(datos_base!$F$3+IF(parametros_manuales!$H$44="Todos",datos_base!$F$10,0))*parametros_manuales!$F$102+parametros_manuales!$F$44*(datos_base!$F$4+IF(parametros_manuales!$H$44="Todos",datos_base!$F$11,0))*parametros_manuales!$F$107+parametros_manuales!$G$44*(datos_base!$F$5+IF(parametros_manuales!$H$44="Todos",datos_base!$F$12,0))*parametros_manuales!$F$112)*parametros_manuales!$I$44*parametros_manuales!$J$44</f>
        <v>6486.84</v>
      </c>
      <c r="G139" s="8">
        <f>(parametros_manuales!$D$44*(datos_base!$F$2+IF(parametros_manuales!$H$44="Todos",datos_base!$F$9,0))*parametros_manuales!$G$97+parametros_manuales!$E$44*(datos_base!$F$3+IF(parametros_manuales!$H$44="Todos",datos_base!$F$10,0))*parametros_manuales!$G$102+parametros_manuales!$F$44*(datos_base!$F$4+IF(parametros_manuales!$H$44="Todos",datos_base!$F$11,0))*parametros_manuales!$G$107+parametros_manuales!$G$44*(datos_base!$F$5+IF(parametros_manuales!$H$44="Todos",datos_base!$F$12,0))*parametros_manuales!$G$112)*parametros_manuales!$I$44*parametros_manuales!$J$44</f>
        <v>6353.17</v>
      </c>
      <c r="H139" s="8">
        <f>(parametros_manuales!$D$44*(datos_base!$F$2+IF(parametros_manuales!$H$44="Todos",datos_base!$F$9,0))*parametros_manuales!$H$97+parametros_manuales!$E$44*(datos_base!$F$3+IF(parametros_manuales!$H$44="Todos",datos_base!$F$10,0))*parametros_manuales!$H$102+parametros_manuales!$F$44*(datos_base!$F$4+IF(parametros_manuales!$H$44="Todos",datos_base!$F$11,0))*parametros_manuales!$H$107+parametros_manuales!$G$44*(datos_base!$F$5+IF(parametros_manuales!$H$44="Todos",datos_base!$F$12,0))*parametros_manuales!$H$112)*parametros_manuales!$I$44*parametros_manuales!$J$44</f>
        <v>6797.42</v>
      </c>
      <c r="I139" s="8">
        <f>(parametros_manuales!$D$44*(datos_base!$F$2+IF(parametros_manuales!$H$44="Todos",datos_base!$F$9,0))*parametros_manuales!$I$97+parametros_manuales!$E$44*(datos_base!$F$3+IF(parametros_manuales!$H$44="Todos",datos_base!$F$10,0))*parametros_manuales!$I$102+parametros_manuales!$F$44*(datos_base!$F$4+IF(parametros_manuales!$H$44="Todos",datos_base!$F$11,0))*parametros_manuales!$I$107+parametros_manuales!$G$44*(datos_base!$F$5+IF(parametros_manuales!$H$44="Todos",datos_base!$F$12,0))*parametros_manuales!$I$112)*parametros_manuales!$I$44*parametros_manuales!$J$44</f>
        <v>7729.16</v>
      </c>
      <c r="J139" s="8">
        <f>(parametros_manuales!$D$44*(datos_base!$F$2+IF(parametros_manuales!$H$44="Todos",datos_base!$F$9,0))*parametros_manuales!$J$97+parametros_manuales!$E$44*(datos_base!$F$3+IF(parametros_manuales!$H$44="Todos",datos_base!$F$10,0))*parametros_manuales!$J$102+parametros_manuales!$F$44*(datos_base!$F$4+IF(parametros_manuales!$H$44="Todos",datos_base!$F$11,0))*parametros_manuales!$J$107+parametros_manuales!$G$44*(datos_base!$F$5+IF(parametros_manuales!$H$44="Todos",datos_base!$F$12,0))*parametros_manuales!$J$112)*parametros_manuales!$I$44*parametros_manuales!$J$44</f>
        <v>7729.16</v>
      </c>
      <c r="K139" s="8">
        <f>(parametros_manuales!$D$44*(datos_base!$F$2+IF(parametros_manuales!$H$44="Todos",datos_base!$F$9,0))*parametros_manuales!$K$97+parametros_manuales!$E$44*(datos_base!$F$3+IF(parametros_manuales!$H$44="Todos",datos_base!$F$10,0))*parametros_manuales!$K$102+parametros_manuales!$F$44*(datos_base!$F$4+IF(parametros_manuales!$H$44="Todos",datos_base!$F$11,0))*parametros_manuales!$K$107+parametros_manuales!$G$44*(datos_base!$F$5+IF(parametros_manuales!$H$44="Todos",datos_base!$F$12,0))*parametros_manuales!$K$112)*parametros_manuales!$I$44*parametros_manuales!$J$44</f>
        <v>7862.83</v>
      </c>
      <c r="L139" s="8">
        <f>(parametros_manuales!$D$44*(datos_base!$F$2+IF(parametros_manuales!$H$44="Todos",datos_base!$F$9,0))*parametros_manuales!$L$97+parametros_manuales!$E$44*(datos_base!$F$3+IF(parametros_manuales!$H$44="Todos",datos_base!$F$10,0))*parametros_manuales!$L$102+parametros_manuales!$F$44*(datos_base!$F$4+IF(parametros_manuales!$H$44="Todos",datos_base!$F$11,0))*parametros_manuales!$L$107+parametros_manuales!$G$44*(datos_base!$F$5+IF(parametros_manuales!$H$44="Todos",datos_base!$F$12,0))*parametros_manuales!$L$112)*parametros_manuales!$I$44*parametros_manuales!$J$44</f>
        <v>7996.5</v>
      </c>
      <c r="M139" s="8">
        <f>(parametros_manuales!$D$44*(datos_base!$F$2+IF(parametros_manuales!$H$44="Todos",datos_base!$F$9,0))*parametros_manuales!$M$97+parametros_manuales!$E$44*(datos_base!$F$3+IF(parametros_manuales!$H$44="Todos",datos_base!$F$10,0))*parametros_manuales!$M$102+parametros_manuales!$F$44*(datos_base!$F$4+IF(parametros_manuales!$H$44="Todos",datos_base!$F$11,0))*parametros_manuales!$M$107+parametros_manuales!$G$44*(datos_base!$F$5+IF(parametros_manuales!$H$44="Todos",datos_base!$F$12,0))*parametros_manuales!$M$112)*parametros_manuales!$I$44*parametros_manuales!$J$44</f>
        <v>7996.5</v>
      </c>
      <c r="N139" s="8">
        <f t="shared" si="13"/>
        <v>88850</v>
      </c>
      <c r="O139" s="8">
        <f t="shared" si="14"/>
        <v>7996.5</v>
      </c>
      <c r="P139" s="27">
        <f>O139/(parametros_manuales!$B$7)</f>
        <v>53.31</v>
      </c>
      <c r="Q139" s="4" t="str">
        <f t="shared" si="15"/>
        <v>Ene</v>
      </c>
      <c r="R139" s="16"/>
      <c r="S139" s="16"/>
    </row>
    <row r="140" ht="14.2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</row>
    <row r="141" ht="14.25" customHeight="1">
      <c r="A141" s="1" t="s">
        <v>232</v>
      </c>
      <c r="B141" s="1" t="s">
        <v>5</v>
      </c>
      <c r="C141" s="1" t="s">
        <v>6</v>
      </c>
      <c r="D141" s="1" t="s">
        <v>7</v>
      </c>
      <c r="E141" s="1" t="s">
        <v>8</v>
      </c>
      <c r="F141" s="1" t="s">
        <v>9</v>
      </c>
      <c r="G141" s="1" t="s">
        <v>10</v>
      </c>
      <c r="H141" s="1" t="s">
        <v>12</v>
      </c>
      <c r="I141" s="1" t="s">
        <v>13</v>
      </c>
      <c r="J141" s="1" t="s">
        <v>15</v>
      </c>
      <c r="K141" s="1" t="s">
        <v>16</v>
      </c>
      <c r="L141" s="1" t="s">
        <v>17</v>
      </c>
      <c r="M141" s="1" t="s">
        <v>18</v>
      </c>
      <c r="N141" s="1" t="s">
        <v>19</v>
      </c>
      <c r="O141" s="1" t="s">
        <v>20</v>
      </c>
      <c r="P141" s="1" t="s">
        <v>21</v>
      </c>
      <c r="Q141" s="1" t="s">
        <v>22</v>
      </c>
      <c r="R141" s="16"/>
      <c r="S141" s="16"/>
    </row>
    <row r="142" ht="14.25" customHeight="1">
      <c r="A142" s="4" t="str">
        <f>parametros_manuales!$B$19</f>
        <v>Recepción de materia prima</v>
      </c>
      <c r="B142" s="8">
        <f>(parametros_manuales!$D$19*(datos_base!$G$2+IF(parametros_manuales!$H$19="Todos",datos_base!$G$9,0))*parametros_manuales!$B$97+parametros_manuales!$E$19*(datos_base!$G$3+IF(parametros_manuales!$H$19="Todos",datos_base!$G$10,0))*parametros_manuales!$B$102+parametros_manuales!$F$19*(datos_base!$G$4+IF(parametros_manuales!$H$19="Todos",datos_base!$G$11,0))*parametros_manuales!$B$107+parametros_manuales!$G$19*(datos_base!$G$5+IF(parametros_manuales!$H$19="Todos",datos_base!$G$12,0))*parametros_manuales!$B$112)*parametros_manuales!$I$19*parametros_manuales!$J$19</f>
        <v>11229.03</v>
      </c>
      <c r="C142" s="8">
        <f>(parametros_manuales!$D$19*(datos_base!$G$2+IF(parametros_manuales!$H$19="Todos",datos_base!$G$9,0))*parametros_manuales!$C$97+parametros_manuales!$E$19*(datos_base!$G$3+IF(parametros_manuales!$H$19="Todos",datos_base!$G$10,0))*parametros_manuales!$C$102+parametros_manuales!$F$19*(datos_base!$G$4+IF(parametros_manuales!$H$19="Todos",datos_base!$G$11,0))*parametros_manuales!$C$107+parametros_manuales!$G$19*(datos_base!$G$5+IF(parametros_manuales!$H$19="Todos",datos_base!$G$12,0))*parametros_manuales!$C$112)*parametros_manuales!$I$19*parametros_manuales!$J$19</f>
        <v>10854.36</v>
      </c>
      <c r="D142" s="8">
        <f>(parametros_manuales!$D$19*(datos_base!$G$2+IF(parametros_manuales!$H$19="Todos",datos_base!$G$9,0))*parametros_manuales!$D$97+parametros_manuales!$E$19*(datos_base!$G$3+IF(parametros_manuales!$H$19="Todos",datos_base!$G$10,0))*parametros_manuales!$D$102+parametros_manuales!$F$19*(datos_base!$G$4+IF(parametros_manuales!$H$19="Todos",datos_base!$G$11,0))*parametros_manuales!$D$107+parametros_manuales!$G$19*(datos_base!$G$5+IF(parametros_manuales!$H$19="Todos",datos_base!$G$12,0))*parametros_manuales!$D$112)*parametros_manuales!$I$19*parametros_manuales!$J$19</f>
        <v>10168.695</v>
      </c>
      <c r="E142" s="8">
        <f>(parametros_manuales!$D$19*(datos_base!$G$2+IF(parametros_manuales!$H$19="Todos",datos_base!$G$9,0))*parametros_manuales!$E$97+parametros_manuales!$E$19*(datos_base!$G$3+IF(parametros_manuales!$H$19="Todos",datos_base!$G$10,0))*parametros_manuales!$E$102+parametros_manuales!$F$19*(datos_base!$G$4+IF(parametros_manuales!$H$19="Todos",datos_base!$G$11,0))*parametros_manuales!$E$107+parametros_manuales!$G$19*(datos_base!$G$5+IF(parametros_manuales!$H$19="Todos",datos_base!$G$12,0))*parametros_manuales!$E$112)*parametros_manuales!$I$19*parametros_manuales!$J$19</f>
        <v>9732.195</v>
      </c>
      <c r="F142" s="8">
        <f>(parametros_manuales!$D$19*(datos_base!$G$2+IF(parametros_manuales!$H$19="Todos",datos_base!$G$9,0))*parametros_manuales!$F$97+parametros_manuales!$E$19*(datos_base!$G$3+IF(parametros_manuales!$H$19="Todos",datos_base!$G$10,0))*parametros_manuales!$F$102+parametros_manuales!$F$19*(datos_base!$G$4+IF(parametros_manuales!$H$19="Todos",datos_base!$G$11,0))*parametros_manuales!$F$107+parametros_manuales!$G$19*(datos_base!$G$5+IF(parametros_manuales!$H$19="Todos",datos_base!$G$12,0))*parametros_manuales!$F$112)*parametros_manuales!$I$19*parametros_manuales!$J$19</f>
        <v>9108.36</v>
      </c>
      <c r="G142" s="8">
        <f>(parametros_manuales!$D$19*(datos_base!$G$2+IF(parametros_manuales!$H$19="Todos",datos_base!$G$9,0))*parametros_manuales!$G$97+parametros_manuales!$E$19*(datos_base!$G$3+IF(parametros_manuales!$H$19="Todos",datos_base!$G$10,0))*parametros_manuales!$G$102+parametros_manuales!$F$19*(datos_base!$G$4+IF(parametros_manuales!$H$19="Todos",datos_base!$G$11,0))*parametros_manuales!$G$107+parametros_manuales!$G$19*(datos_base!$G$5+IF(parametros_manuales!$H$19="Todos",datos_base!$G$12,0))*parametros_manuales!$G$112)*parametros_manuales!$I$19*parametros_manuales!$J$19</f>
        <v>8921.025</v>
      </c>
      <c r="H142" s="8">
        <f>(parametros_manuales!$D$19*(datos_base!$G$2+IF(parametros_manuales!$H$19="Todos",datos_base!$G$9,0))*parametros_manuales!$H$97+parametros_manuales!$E$19*(datos_base!$G$3+IF(parametros_manuales!$H$19="Todos",datos_base!$G$10,0))*parametros_manuales!$H$102+parametros_manuales!$F$19*(datos_base!$G$4+IF(parametros_manuales!$H$19="Todos",datos_base!$G$11,0))*parametros_manuales!$H$107+parametros_manuales!$G$19*(datos_base!$G$5+IF(parametros_manuales!$H$19="Todos",datos_base!$G$12,0))*parametros_manuales!$H$112)*parametros_manuales!$I$19*parametros_manuales!$J$19</f>
        <v>9544.86</v>
      </c>
      <c r="I142" s="8">
        <f>(parametros_manuales!$D$19*(datos_base!$G$2+IF(parametros_manuales!$H$19="Todos",datos_base!$G$9,0))*parametros_manuales!$I$97+parametros_manuales!$E$19*(datos_base!$G$3+IF(parametros_manuales!$H$19="Todos",datos_base!$G$10,0))*parametros_manuales!$I$102+parametros_manuales!$F$19*(datos_base!$G$4+IF(parametros_manuales!$H$19="Todos",datos_base!$G$11,0))*parametros_manuales!$I$107+parametros_manuales!$G$19*(datos_base!$G$5+IF(parametros_manuales!$H$19="Todos",datos_base!$G$12,0))*parametros_manuales!$I$112)*parametros_manuales!$I$19*parametros_manuales!$J$19</f>
        <v>10854.36</v>
      </c>
      <c r="J142" s="8">
        <f>(parametros_manuales!$D$19*(datos_base!$G$2+IF(parametros_manuales!$H$19="Todos",datos_base!$G$9,0))*parametros_manuales!$J$97+parametros_manuales!$E$19*(datos_base!$G$3+IF(parametros_manuales!$H$19="Todos",datos_base!$G$10,0))*parametros_manuales!$J$102+parametros_manuales!$F$19*(datos_base!$G$4+IF(parametros_manuales!$H$19="Todos",datos_base!$G$11,0))*parametros_manuales!$J$107+parametros_manuales!$G$19*(datos_base!$G$5+IF(parametros_manuales!$H$19="Todos",datos_base!$G$12,0))*parametros_manuales!$J$112)*parametros_manuales!$I$19*parametros_manuales!$J$19</f>
        <v>10854.36</v>
      </c>
      <c r="K142" s="8">
        <f>(parametros_manuales!$D$19*(datos_base!$G$2+IF(parametros_manuales!$H$19="Todos",datos_base!$G$9,0))*parametros_manuales!$K$97+parametros_manuales!$E$19*(datos_base!$G$3+IF(parametros_manuales!$H$19="Todos",datos_base!$G$10,0))*parametros_manuales!$K$102+parametros_manuales!$F$19*(datos_base!$G$4+IF(parametros_manuales!$H$19="Todos",datos_base!$G$11,0))*parametros_manuales!$K$107+parametros_manuales!$G$19*(datos_base!$G$5+IF(parametros_manuales!$H$19="Todos",datos_base!$G$12,0))*parametros_manuales!$K$112)*parametros_manuales!$I$19*parametros_manuales!$J$19</f>
        <v>11041.695</v>
      </c>
      <c r="L142" s="8">
        <f>(parametros_manuales!$D$19*(datos_base!$G$2+IF(parametros_manuales!$H$19="Todos",datos_base!$G$9,0))*parametros_manuales!$L$97+parametros_manuales!$E$19*(datos_base!$G$3+IF(parametros_manuales!$H$19="Todos",datos_base!$G$10,0))*parametros_manuales!$L$102+parametros_manuales!$F$19*(datos_base!$G$4+IF(parametros_manuales!$H$19="Todos",datos_base!$G$11,0))*parametros_manuales!$L$107+parametros_manuales!$G$19*(datos_base!$G$5+IF(parametros_manuales!$H$19="Todos",datos_base!$G$12,0))*parametros_manuales!$L$112)*parametros_manuales!$I$19*parametros_manuales!$J$19</f>
        <v>11229.03</v>
      </c>
      <c r="M142" s="8">
        <f>(parametros_manuales!$D$19*(datos_base!$G$2+IF(parametros_manuales!$H$19="Todos",datos_base!$G$9,0))*parametros_manuales!$M$97+parametros_manuales!$E$19*(datos_base!$G$3+IF(parametros_manuales!$H$19="Todos",datos_base!$G$10,0))*parametros_manuales!$M$102+parametros_manuales!$F$19*(datos_base!$G$4+IF(parametros_manuales!$H$19="Todos",datos_base!$G$11,0))*parametros_manuales!$M$107+parametros_manuales!$G$19*(datos_base!$G$5+IF(parametros_manuales!$H$19="Todos",datos_base!$G$12,0))*parametros_manuales!$M$112)*parametros_manuales!$I$19*parametros_manuales!$J$19</f>
        <v>11229.03</v>
      </c>
      <c r="N142" s="8">
        <f t="shared" ref="N142:N167" si="16">SUM(B142:M142)</f>
        <v>124767</v>
      </c>
      <c r="O142" s="8">
        <f t="shared" ref="O142:O167" si="17">MAX(B142:M142)</f>
        <v>11229.03</v>
      </c>
      <c r="P142" s="27">
        <f>O142/(parametros_manuales!$B$7)</f>
        <v>74.8602</v>
      </c>
      <c r="Q142" s="4" t="str">
        <f t="shared" ref="Q142:Q167" si="18">IF(O142=0,"-",INDEX($B$141:$M$141,MATCH(O142,B142:M142,0)))</f>
        <v>Ene</v>
      </c>
      <c r="R142" s="16"/>
      <c r="S142" s="16"/>
    </row>
    <row r="143" ht="14.25" customHeight="1">
      <c r="A143" s="4" t="str">
        <f>parametros_manuales!$B$20</f>
        <v>Corte de chapa — 1.er corte en franjas (guillotina 1)</v>
      </c>
      <c r="B143" s="8">
        <f>(parametros_manuales!$D$20*(datos_base!$G$2+IF(parametros_manuales!$H$20="Todos",datos_base!$G$9,0))*parametros_manuales!$B$97+parametros_manuales!$E$20*(datos_base!$G$3+IF(parametros_manuales!$H$20="Todos",datos_base!$G$10,0))*parametros_manuales!$B$102+parametros_manuales!$F$20*(datos_base!$G$4+IF(parametros_manuales!$H$20="Todos",datos_base!$G$11,0))*parametros_manuales!$B$107+parametros_manuales!$G$20*(datos_base!$G$5+IF(parametros_manuales!$H$20="Todos",datos_base!$G$12,0))*parametros_manuales!$B$112)*parametros_manuales!$I$20*parametros_manuales!$J$20</f>
        <v>11229.03</v>
      </c>
      <c r="C143" s="8">
        <f>(parametros_manuales!$D$20*(datos_base!$G$2+IF(parametros_manuales!$H$20="Todos",datos_base!$G$9,0))*parametros_manuales!$C$97+parametros_manuales!$E$20*(datos_base!$G$3+IF(parametros_manuales!$H$20="Todos",datos_base!$G$10,0))*parametros_manuales!$C$102+parametros_manuales!$F$20*(datos_base!$G$4+IF(parametros_manuales!$H$20="Todos",datos_base!$G$11,0))*parametros_manuales!$C$107+parametros_manuales!$G$20*(datos_base!$G$5+IF(parametros_manuales!$H$20="Todos",datos_base!$G$12,0))*parametros_manuales!$C$112)*parametros_manuales!$I$20*parametros_manuales!$J$20</f>
        <v>10854.36</v>
      </c>
      <c r="D143" s="8">
        <f>(parametros_manuales!$D$20*(datos_base!$G$2+IF(parametros_manuales!$H$20="Todos",datos_base!$G$9,0))*parametros_manuales!$D$97+parametros_manuales!$E$20*(datos_base!$G$3+IF(parametros_manuales!$H$20="Todos",datos_base!$G$10,0))*parametros_manuales!$D$102+parametros_manuales!$F$20*(datos_base!$G$4+IF(parametros_manuales!$H$20="Todos",datos_base!$G$11,0))*parametros_manuales!$D$107+parametros_manuales!$G$20*(datos_base!$G$5+IF(parametros_manuales!$H$20="Todos",datos_base!$G$12,0))*parametros_manuales!$D$112)*parametros_manuales!$I$20*parametros_manuales!$J$20</f>
        <v>10168.695</v>
      </c>
      <c r="E143" s="8">
        <f>(parametros_manuales!$D$20*(datos_base!$G$2+IF(parametros_manuales!$H$20="Todos",datos_base!$G$9,0))*parametros_manuales!$E$97+parametros_manuales!$E$20*(datos_base!$G$3+IF(parametros_manuales!$H$20="Todos",datos_base!$G$10,0))*parametros_manuales!$E$102+parametros_manuales!$F$20*(datos_base!$G$4+IF(parametros_manuales!$H$20="Todos",datos_base!$G$11,0))*parametros_manuales!$E$107+parametros_manuales!$G$20*(datos_base!$G$5+IF(parametros_manuales!$H$20="Todos",datos_base!$G$12,0))*parametros_manuales!$E$112)*parametros_manuales!$I$20*parametros_manuales!$J$20</f>
        <v>9732.195</v>
      </c>
      <c r="F143" s="8">
        <f>(parametros_manuales!$D$20*(datos_base!$G$2+IF(parametros_manuales!$H$20="Todos",datos_base!$G$9,0))*parametros_manuales!$F$97+parametros_manuales!$E$20*(datos_base!$G$3+IF(parametros_manuales!$H$20="Todos",datos_base!$G$10,0))*parametros_manuales!$F$102+parametros_manuales!$F$20*(datos_base!$G$4+IF(parametros_manuales!$H$20="Todos",datos_base!$G$11,0))*parametros_manuales!$F$107+parametros_manuales!$G$20*(datos_base!$G$5+IF(parametros_manuales!$H$20="Todos",datos_base!$G$12,0))*parametros_manuales!$F$112)*parametros_manuales!$I$20*parametros_manuales!$J$20</f>
        <v>9108.36</v>
      </c>
      <c r="G143" s="8">
        <f>(parametros_manuales!$D$20*(datos_base!$G$2+IF(parametros_manuales!$H$20="Todos",datos_base!$G$9,0))*parametros_manuales!$G$97+parametros_manuales!$E$20*(datos_base!$G$3+IF(parametros_manuales!$H$20="Todos",datos_base!$G$10,0))*parametros_manuales!$G$102+parametros_manuales!$F$20*(datos_base!$G$4+IF(parametros_manuales!$H$20="Todos",datos_base!$G$11,0))*parametros_manuales!$G$107+parametros_manuales!$G$20*(datos_base!$G$5+IF(parametros_manuales!$H$20="Todos",datos_base!$G$12,0))*parametros_manuales!$G$112)*parametros_manuales!$I$20*parametros_manuales!$J$20</f>
        <v>8921.025</v>
      </c>
      <c r="H143" s="8">
        <f>(parametros_manuales!$D$20*(datos_base!$G$2+IF(parametros_manuales!$H$20="Todos",datos_base!$G$9,0))*parametros_manuales!$H$97+parametros_manuales!$E$20*(datos_base!$G$3+IF(parametros_manuales!$H$20="Todos",datos_base!$G$10,0))*parametros_manuales!$H$102+parametros_manuales!$F$20*(datos_base!$G$4+IF(parametros_manuales!$H$20="Todos",datos_base!$G$11,0))*parametros_manuales!$H$107+parametros_manuales!$G$20*(datos_base!$G$5+IF(parametros_manuales!$H$20="Todos",datos_base!$G$12,0))*parametros_manuales!$H$112)*parametros_manuales!$I$20*parametros_manuales!$J$20</f>
        <v>9544.86</v>
      </c>
      <c r="I143" s="8">
        <f>(parametros_manuales!$D$20*(datos_base!$G$2+IF(parametros_manuales!$H$20="Todos",datos_base!$G$9,0))*parametros_manuales!$I$97+parametros_manuales!$E$20*(datos_base!$G$3+IF(parametros_manuales!$H$20="Todos",datos_base!$G$10,0))*parametros_manuales!$I$102+parametros_manuales!$F$20*(datos_base!$G$4+IF(parametros_manuales!$H$20="Todos",datos_base!$G$11,0))*parametros_manuales!$I$107+parametros_manuales!$G$20*(datos_base!$G$5+IF(parametros_manuales!$H$20="Todos",datos_base!$G$12,0))*parametros_manuales!$I$112)*parametros_manuales!$I$20*parametros_manuales!$J$20</f>
        <v>10854.36</v>
      </c>
      <c r="J143" s="8">
        <f>(parametros_manuales!$D$20*(datos_base!$G$2+IF(parametros_manuales!$H$20="Todos",datos_base!$G$9,0))*parametros_manuales!$J$97+parametros_manuales!$E$20*(datos_base!$G$3+IF(parametros_manuales!$H$20="Todos",datos_base!$G$10,0))*parametros_manuales!$J$102+parametros_manuales!$F$20*(datos_base!$G$4+IF(parametros_manuales!$H$20="Todos",datos_base!$G$11,0))*parametros_manuales!$J$107+parametros_manuales!$G$20*(datos_base!$G$5+IF(parametros_manuales!$H$20="Todos",datos_base!$G$12,0))*parametros_manuales!$J$112)*parametros_manuales!$I$20*parametros_manuales!$J$20</f>
        <v>10854.36</v>
      </c>
      <c r="K143" s="8">
        <f>(parametros_manuales!$D$20*(datos_base!$G$2+IF(parametros_manuales!$H$20="Todos",datos_base!$G$9,0))*parametros_manuales!$K$97+parametros_manuales!$E$20*(datos_base!$G$3+IF(parametros_manuales!$H$20="Todos",datos_base!$G$10,0))*parametros_manuales!$K$102+parametros_manuales!$F$20*(datos_base!$G$4+IF(parametros_manuales!$H$20="Todos",datos_base!$G$11,0))*parametros_manuales!$K$107+parametros_manuales!$G$20*(datos_base!$G$5+IF(parametros_manuales!$H$20="Todos",datos_base!$G$12,0))*parametros_manuales!$K$112)*parametros_manuales!$I$20*parametros_manuales!$J$20</f>
        <v>11041.695</v>
      </c>
      <c r="L143" s="8">
        <f>(parametros_manuales!$D$20*(datos_base!$G$2+IF(parametros_manuales!$H$20="Todos",datos_base!$G$9,0))*parametros_manuales!$L$97+parametros_manuales!$E$20*(datos_base!$G$3+IF(parametros_manuales!$H$20="Todos",datos_base!$G$10,0))*parametros_manuales!$L$102+parametros_manuales!$F$20*(datos_base!$G$4+IF(parametros_manuales!$H$20="Todos",datos_base!$G$11,0))*parametros_manuales!$L$107+parametros_manuales!$G$20*(datos_base!$G$5+IF(parametros_manuales!$H$20="Todos",datos_base!$G$12,0))*parametros_manuales!$L$112)*parametros_manuales!$I$20*parametros_manuales!$J$20</f>
        <v>11229.03</v>
      </c>
      <c r="M143" s="8">
        <f>(parametros_manuales!$D$20*(datos_base!$G$2+IF(parametros_manuales!$H$20="Todos",datos_base!$G$9,0))*parametros_manuales!$M$97+parametros_manuales!$E$20*(datos_base!$G$3+IF(parametros_manuales!$H$20="Todos",datos_base!$G$10,0))*parametros_manuales!$M$102+parametros_manuales!$F$20*(datos_base!$G$4+IF(parametros_manuales!$H$20="Todos",datos_base!$G$11,0))*parametros_manuales!$M$107+parametros_manuales!$G$20*(datos_base!$G$5+IF(parametros_manuales!$H$20="Todos",datos_base!$G$12,0))*parametros_manuales!$M$112)*parametros_manuales!$I$20*parametros_manuales!$J$20</f>
        <v>11229.03</v>
      </c>
      <c r="N143" s="8">
        <f t="shared" si="16"/>
        <v>124767</v>
      </c>
      <c r="O143" s="8">
        <f t="shared" si="17"/>
        <v>11229.03</v>
      </c>
      <c r="P143" s="27">
        <f>O143/(parametros_manuales!$B$7)</f>
        <v>74.8602</v>
      </c>
      <c r="Q143" s="4" t="str">
        <f t="shared" si="18"/>
        <v>Ene</v>
      </c>
      <c r="R143" s="16"/>
      <c r="S143" s="16"/>
    </row>
    <row r="144" ht="14.25" customHeight="1">
      <c r="A144" s="4" t="str">
        <f>parametros_manuales!$B$21</f>
        <v>Corte de chapa — 2.º corte en piezas (guillotina 2)</v>
      </c>
      <c r="B144" s="8">
        <f>(parametros_manuales!$D$21*(datos_base!$G$2+IF(parametros_manuales!$H$21="Todos",datos_base!$G$9,0))*parametros_manuales!$B$97+parametros_manuales!$E$21*(datos_base!$G$3+IF(parametros_manuales!$H$21="Todos",datos_base!$G$10,0))*parametros_manuales!$B$102+parametros_manuales!$F$21*(datos_base!$G$4+IF(parametros_manuales!$H$21="Todos",datos_base!$G$11,0))*parametros_manuales!$B$107+parametros_manuales!$G$21*(datos_base!$G$5+IF(parametros_manuales!$H$21="Todos",datos_base!$G$12,0))*parametros_manuales!$B$112)*parametros_manuales!$I$21*parametros_manuales!$J$21</f>
        <v>11229.03</v>
      </c>
      <c r="C144" s="8">
        <f>(parametros_manuales!$D$21*(datos_base!$G$2+IF(parametros_manuales!$H$21="Todos",datos_base!$G$9,0))*parametros_manuales!$C$97+parametros_manuales!$E$21*(datos_base!$G$3+IF(parametros_manuales!$H$21="Todos",datos_base!$G$10,0))*parametros_manuales!$C$102+parametros_manuales!$F$21*(datos_base!$G$4+IF(parametros_manuales!$H$21="Todos",datos_base!$G$11,0))*parametros_manuales!$C$107+parametros_manuales!$G$21*(datos_base!$G$5+IF(parametros_manuales!$H$21="Todos",datos_base!$G$12,0))*parametros_manuales!$C$112)*parametros_manuales!$I$21*parametros_manuales!$J$21</f>
        <v>10854.36</v>
      </c>
      <c r="D144" s="8">
        <f>(parametros_manuales!$D$21*(datos_base!$G$2+IF(parametros_manuales!$H$21="Todos",datos_base!$G$9,0))*parametros_manuales!$D$97+parametros_manuales!$E$21*(datos_base!$G$3+IF(parametros_manuales!$H$21="Todos",datos_base!$G$10,0))*parametros_manuales!$D$102+parametros_manuales!$F$21*(datos_base!$G$4+IF(parametros_manuales!$H$21="Todos",datos_base!$G$11,0))*parametros_manuales!$D$107+parametros_manuales!$G$21*(datos_base!$G$5+IF(parametros_manuales!$H$21="Todos",datos_base!$G$12,0))*parametros_manuales!$D$112)*parametros_manuales!$I$21*parametros_manuales!$J$21</f>
        <v>10168.695</v>
      </c>
      <c r="E144" s="8">
        <f>(parametros_manuales!$D$21*(datos_base!$G$2+IF(parametros_manuales!$H$21="Todos",datos_base!$G$9,0))*parametros_manuales!$E$97+parametros_manuales!$E$21*(datos_base!$G$3+IF(parametros_manuales!$H$21="Todos",datos_base!$G$10,0))*parametros_manuales!$E$102+parametros_manuales!$F$21*(datos_base!$G$4+IF(parametros_manuales!$H$21="Todos",datos_base!$G$11,0))*parametros_manuales!$E$107+parametros_manuales!$G$21*(datos_base!$G$5+IF(parametros_manuales!$H$21="Todos",datos_base!$G$12,0))*parametros_manuales!$E$112)*parametros_manuales!$I$21*parametros_manuales!$J$21</f>
        <v>9732.195</v>
      </c>
      <c r="F144" s="8">
        <f>(parametros_manuales!$D$21*(datos_base!$G$2+IF(parametros_manuales!$H$21="Todos",datos_base!$G$9,0))*parametros_manuales!$F$97+parametros_manuales!$E$21*(datos_base!$G$3+IF(parametros_manuales!$H$21="Todos",datos_base!$G$10,0))*parametros_manuales!$F$102+parametros_manuales!$F$21*(datos_base!$G$4+IF(parametros_manuales!$H$21="Todos",datos_base!$G$11,0))*parametros_manuales!$F$107+parametros_manuales!$G$21*(datos_base!$G$5+IF(parametros_manuales!$H$21="Todos",datos_base!$G$12,0))*parametros_manuales!$F$112)*parametros_manuales!$I$21*parametros_manuales!$J$21</f>
        <v>9108.36</v>
      </c>
      <c r="G144" s="8">
        <f>(parametros_manuales!$D$21*(datos_base!$G$2+IF(parametros_manuales!$H$21="Todos",datos_base!$G$9,0))*parametros_manuales!$G$97+parametros_manuales!$E$21*(datos_base!$G$3+IF(parametros_manuales!$H$21="Todos",datos_base!$G$10,0))*parametros_manuales!$G$102+parametros_manuales!$F$21*(datos_base!$G$4+IF(parametros_manuales!$H$21="Todos",datos_base!$G$11,0))*parametros_manuales!$G$107+parametros_manuales!$G$21*(datos_base!$G$5+IF(parametros_manuales!$H$21="Todos",datos_base!$G$12,0))*parametros_manuales!$G$112)*parametros_manuales!$I$21*parametros_manuales!$J$21</f>
        <v>8921.025</v>
      </c>
      <c r="H144" s="8">
        <f>(parametros_manuales!$D$21*(datos_base!$G$2+IF(parametros_manuales!$H$21="Todos",datos_base!$G$9,0))*parametros_manuales!$H$97+parametros_manuales!$E$21*(datos_base!$G$3+IF(parametros_manuales!$H$21="Todos",datos_base!$G$10,0))*parametros_manuales!$H$102+parametros_manuales!$F$21*(datos_base!$G$4+IF(parametros_manuales!$H$21="Todos",datos_base!$G$11,0))*parametros_manuales!$H$107+parametros_manuales!$G$21*(datos_base!$G$5+IF(parametros_manuales!$H$21="Todos",datos_base!$G$12,0))*parametros_manuales!$H$112)*parametros_manuales!$I$21*parametros_manuales!$J$21</f>
        <v>9544.86</v>
      </c>
      <c r="I144" s="8">
        <f>(parametros_manuales!$D$21*(datos_base!$G$2+IF(parametros_manuales!$H$21="Todos",datos_base!$G$9,0))*parametros_manuales!$I$97+parametros_manuales!$E$21*(datos_base!$G$3+IF(parametros_manuales!$H$21="Todos",datos_base!$G$10,0))*parametros_manuales!$I$102+parametros_manuales!$F$21*(datos_base!$G$4+IF(parametros_manuales!$H$21="Todos",datos_base!$G$11,0))*parametros_manuales!$I$107+parametros_manuales!$G$21*(datos_base!$G$5+IF(parametros_manuales!$H$21="Todos",datos_base!$G$12,0))*parametros_manuales!$I$112)*parametros_manuales!$I$21*parametros_manuales!$J$21</f>
        <v>10854.36</v>
      </c>
      <c r="J144" s="8">
        <f>(parametros_manuales!$D$21*(datos_base!$G$2+IF(parametros_manuales!$H$21="Todos",datos_base!$G$9,0))*parametros_manuales!$J$97+parametros_manuales!$E$21*(datos_base!$G$3+IF(parametros_manuales!$H$21="Todos",datos_base!$G$10,0))*parametros_manuales!$J$102+parametros_manuales!$F$21*(datos_base!$G$4+IF(parametros_manuales!$H$21="Todos",datos_base!$G$11,0))*parametros_manuales!$J$107+parametros_manuales!$G$21*(datos_base!$G$5+IF(parametros_manuales!$H$21="Todos",datos_base!$G$12,0))*parametros_manuales!$J$112)*parametros_manuales!$I$21*parametros_manuales!$J$21</f>
        <v>10854.36</v>
      </c>
      <c r="K144" s="8">
        <f>(parametros_manuales!$D$21*(datos_base!$G$2+IF(parametros_manuales!$H$21="Todos",datos_base!$G$9,0))*parametros_manuales!$K$97+parametros_manuales!$E$21*(datos_base!$G$3+IF(parametros_manuales!$H$21="Todos",datos_base!$G$10,0))*parametros_manuales!$K$102+parametros_manuales!$F$21*(datos_base!$G$4+IF(parametros_manuales!$H$21="Todos",datos_base!$G$11,0))*parametros_manuales!$K$107+parametros_manuales!$G$21*(datos_base!$G$5+IF(parametros_manuales!$H$21="Todos",datos_base!$G$12,0))*parametros_manuales!$K$112)*parametros_manuales!$I$21*parametros_manuales!$J$21</f>
        <v>11041.695</v>
      </c>
      <c r="L144" s="8">
        <f>(parametros_manuales!$D$21*(datos_base!$G$2+IF(parametros_manuales!$H$21="Todos",datos_base!$G$9,0))*parametros_manuales!$L$97+parametros_manuales!$E$21*(datos_base!$G$3+IF(parametros_manuales!$H$21="Todos",datos_base!$G$10,0))*parametros_manuales!$L$102+parametros_manuales!$F$21*(datos_base!$G$4+IF(parametros_manuales!$H$21="Todos",datos_base!$G$11,0))*parametros_manuales!$L$107+parametros_manuales!$G$21*(datos_base!$G$5+IF(parametros_manuales!$H$21="Todos",datos_base!$G$12,0))*parametros_manuales!$L$112)*parametros_manuales!$I$21*parametros_manuales!$J$21</f>
        <v>11229.03</v>
      </c>
      <c r="M144" s="8">
        <f>(parametros_manuales!$D$21*(datos_base!$G$2+IF(parametros_manuales!$H$21="Todos",datos_base!$G$9,0))*parametros_manuales!$M$97+parametros_manuales!$E$21*(datos_base!$G$3+IF(parametros_manuales!$H$21="Todos",datos_base!$G$10,0))*parametros_manuales!$M$102+parametros_manuales!$F$21*(datos_base!$G$4+IF(parametros_manuales!$H$21="Todos",datos_base!$G$11,0))*parametros_manuales!$M$107+parametros_manuales!$G$21*(datos_base!$G$5+IF(parametros_manuales!$H$21="Todos",datos_base!$G$12,0))*parametros_manuales!$M$112)*parametros_manuales!$I$21*parametros_manuales!$J$21</f>
        <v>11229.03</v>
      </c>
      <c r="N144" s="8">
        <f t="shared" si="16"/>
        <v>124767</v>
      </c>
      <c r="O144" s="8">
        <f t="shared" si="17"/>
        <v>11229.03</v>
      </c>
      <c r="P144" s="27">
        <f>O144/(parametros_manuales!$B$7)</f>
        <v>74.8602</v>
      </c>
      <c r="Q144" s="4" t="str">
        <f t="shared" si="18"/>
        <v>Ene</v>
      </c>
      <c r="R144" s="16"/>
      <c r="S144" s="16"/>
    </row>
    <row r="145" ht="14.25" customHeight="1">
      <c r="A145" s="4" t="str">
        <f>parametros_manuales!$B$22</f>
        <v>Corte de disco y embutido (cúpula y fondo)</v>
      </c>
      <c r="B145" s="8">
        <f>(parametros_manuales!$D$22*(datos_base!$G$2+IF(parametros_manuales!$H$22="Todos",datos_base!$G$9,0))*parametros_manuales!$B$97+parametros_manuales!$E$22*(datos_base!$G$3+IF(parametros_manuales!$H$22="Todos",datos_base!$G$10,0))*parametros_manuales!$B$102+parametros_manuales!$F$22*(datos_base!$G$4+IF(parametros_manuales!$H$22="Todos",datos_base!$G$11,0))*parametros_manuales!$B$107+parametros_manuales!$G$22*(datos_base!$G$5+IF(parametros_manuales!$H$22="Todos",datos_base!$G$12,0))*parametros_manuales!$B$112)*parametros_manuales!$I$22*parametros_manuales!$J$22</f>
        <v>22458.06</v>
      </c>
      <c r="C145" s="8">
        <f>(parametros_manuales!$D$22*(datos_base!$G$2+IF(parametros_manuales!$H$22="Todos",datos_base!$G$9,0))*parametros_manuales!$C$97+parametros_manuales!$E$22*(datos_base!$G$3+IF(parametros_manuales!$H$22="Todos",datos_base!$G$10,0))*parametros_manuales!$C$102+parametros_manuales!$F$22*(datos_base!$G$4+IF(parametros_manuales!$H$22="Todos",datos_base!$G$11,0))*parametros_manuales!$C$107+parametros_manuales!$G$22*(datos_base!$G$5+IF(parametros_manuales!$H$22="Todos",datos_base!$G$12,0))*parametros_manuales!$C$112)*parametros_manuales!$I$22*parametros_manuales!$J$22</f>
        <v>21708.72</v>
      </c>
      <c r="D145" s="8">
        <f>(parametros_manuales!$D$22*(datos_base!$G$2+IF(parametros_manuales!$H$22="Todos",datos_base!$G$9,0))*parametros_manuales!$D$97+parametros_manuales!$E$22*(datos_base!$G$3+IF(parametros_manuales!$H$22="Todos",datos_base!$G$10,0))*parametros_manuales!$D$102+parametros_manuales!$F$22*(datos_base!$G$4+IF(parametros_manuales!$H$22="Todos",datos_base!$G$11,0))*parametros_manuales!$D$107+parametros_manuales!$G$22*(datos_base!$G$5+IF(parametros_manuales!$H$22="Todos",datos_base!$G$12,0))*parametros_manuales!$D$112)*parametros_manuales!$I$22*parametros_manuales!$J$22</f>
        <v>20337.39</v>
      </c>
      <c r="E145" s="8">
        <f>(parametros_manuales!$D$22*(datos_base!$G$2+IF(parametros_manuales!$H$22="Todos",datos_base!$G$9,0))*parametros_manuales!$E$97+parametros_manuales!$E$22*(datos_base!$G$3+IF(parametros_manuales!$H$22="Todos",datos_base!$G$10,0))*parametros_manuales!$E$102+parametros_manuales!$F$22*(datos_base!$G$4+IF(parametros_manuales!$H$22="Todos",datos_base!$G$11,0))*parametros_manuales!$E$107+parametros_manuales!$G$22*(datos_base!$G$5+IF(parametros_manuales!$H$22="Todos",datos_base!$G$12,0))*parametros_manuales!$E$112)*parametros_manuales!$I$22*parametros_manuales!$J$22</f>
        <v>19464.39</v>
      </c>
      <c r="F145" s="8">
        <f>(parametros_manuales!$D$22*(datos_base!$G$2+IF(parametros_manuales!$H$22="Todos",datos_base!$G$9,0))*parametros_manuales!$F$97+parametros_manuales!$E$22*(datos_base!$G$3+IF(parametros_manuales!$H$22="Todos",datos_base!$G$10,0))*parametros_manuales!$F$102+parametros_manuales!$F$22*(datos_base!$G$4+IF(parametros_manuales!$H$22="Todos",datos_base!$G$11,0))*parametros_manuales!$F$107+parametros_manuales!$G$22*(datos_base!$G$5+IF(parametros_manuales!$H$22="Todos",datos_base!$G$12,0))*parametros_manuales!$F$112)*parametros_manuales!$I$22*parametros_manuales!$J$22</f>
        <v>18216.72</v>
      </c>
      <c r="G145" s="8">
        <f>(parametros_manuales!$D$22*(datos_base!$G$2+IF(parametros_manuales!$H$22="Todos",datos_base!$G$9,0))*parametros_manuales!$G$97+parametros_manuales!$E$22*(datos_base!$G$3+IF(parametros_manuales!$H$22="Todos",datos_base!$G$10,0))*parametros_manuales!$G$102+parametros_manuales!$F$22*(datos_base!$G$4+IF(parametros_manuales!$H$22="Todos",datos_base!$G$11,0))*parametros_manuales!$G$107+parametros_manuales!$G$22*(datos_base!$G$5+IF(parametros_manuales!$H$22="Todos",datos_base!$G$12,0))*parametros_manuales!$G$112)*parametros_manuales!$I$22*parametros_manuales!$J$22</f>
        <v>17842.05</v>
      </c>
      <c r="H145" s="8">
        <f>(parametros_manuales!$D$22*(datos_base!$G$2+IF(parametros_manuales!$H$22="Todos",datos_base!$G$9,0))*parametros_manuales!$H$97+parametros_manuales!$E$22*(datos_base!$G$3+IF(parametros_manuales!$H$22="Todos",datos_base!$G$10,0))*parametros_manuales!$H$102+parametros_manuales!$F$22*(datos_base!$G$4+IF(parametros_manuales!$H$22="Todos",datos_base!$G$11,0))*parametros_manuales!$H$107+parametros_manuales!$G$22*(datos_base!$G$5+IF(parametros_manuales!$H$22="Todos",datos_base!$G$12,0))*parametros_manuales!$H$112)*parametros_manuales!$I$22*parametros_manuales!$J$22</f>
        <v>19089.72</v>
      </c>
      <c r="I145" s="8">
        <f>(parametros_manuales!$D$22*(datos_base!$G$2+IF(parametros_manuales!$H$22="Todos",datos_base!$G$9,0))*parametros_manuales!$I$97+parametros_manuales!$E$22*(datos_base!$G$3+IF(parametros_manuales!$H$22="Todos",datos_base!$G$10,0))*parametros_manuales!$I$102+parametros_manuales!$F$22*(datos_base!$G$4+IF(parametros_manuales!$H$22="Todos",datos_base!$G$11,0))*parametros_manuales!$I$107+parametros_manuales!$G$22*(datos_base!$G$5+IF(parametros_manuales!$H$22="Todos",datos_base!$G$12,0))*parametros_manuales!$I$112)*parametros_manuales!$I$22*parametros_manuales!$J$22</f>
        <v>21708.72</v>
      </c>
      <c r="J145" s="8">
        <f>(parametros_manuales!$D$22*(datos_base!$G$2+IF(parametros_manuales!$H$22="Todos",datos_base!$G$9,0))*parametros_manuales!$J$97+parametros_manuales!$E$22*(datos_base!$G$3+IF(parametros_manuales!$H$22="Todos",datos_base!$G$10,0))*parametros_manuales!$J$102+parametros_manuales!$F$22*(datos_base!$G$4+IF(parametros_manuales!$H$22="Todos",datos_base!$G$11,0))*parametros_manuales!$J$107+parametros_manuales!$G$22*(datos_base!$G$5+IF(parametros_manuales!$H$22="Todos",datos_base!$G$12,0))*parametros_manuales!$J$112)*parametros_manuales!$I$22*parametros_manuales!$J$22</f>
        <v>21708.72</v>
      </c>
      <c r="K145" s="8">
        <f>(parametros_manuales!$D$22*(datos_base!$G$2+IF(parametros_manuales!$H$22="Todos",datos_base!$G$9,0))*parametros_manuales!$K$97+parametros_manuales!$E$22*(datos_base!$G$3+IF(parametros_manuales!$H$22="Todos",datos_base!$G$10,0))*parametros_manuales!$K$102+parametros_manuales!$F$22*(datos_base!$G$4+IF(parametros_manuales!$H$22="Todos",datos_base!$G$11,0))*parametros_manuales!$K$107+parametros_manuales!$G$22*(datos_base!$G$5+IF(parametros_manuales!$H$22="Todos",datos_base!$G$12,0))*parametros_manuales!$K$112)*parametros_manuales!$I$22*parametros_manuales!$J$22</f>
        <v>22083.39</v>
      </c>
      <c r="L145" s="8">
        <f>(parametros_manuales!$D$22*(datos_base!$G$2+IF(parametros_manuales!$H$22="Todos",datos_base!$G$9,0))*parametros_manuales!$L$97+parametros_manuales!$E$22*(datos_base!$G$3+IF(parametros_manuales!$H$22="Todos",datos_base!$G$10,0))*parametros_manuales!$L$102+parametros_manuales!$F$22*(datos_base!$G$4+IF(parametros_manuales!$H$22="Todos",datos_base!$G$11,0))*parametros_manuales!$L$107+parametros_manuales!$G$22*(datos_base!$G$5+IF(parametros_manuales!$H$22="Todos",datos_base!$G$12,0))*parametros_manuales!$L$112)*parametros_manuales!$I$22*parametros_manuales!$J$22</f>
        <v>22458.06</v>
      </c>
      <c r="M145" s="8">
        <f>(parametros_manuales!$D$22*(datos_base!$G$2+IF(parametros_manuales!$H$22="Todos",datos_base!$G$9,0))*parametros_manuales!$M$97+parametros_manuales!$E$22*(datos_base!$G$3+IF(parametros_manuales!$H$22="Todos",datos_base!$G$10,0))*parametros_manuales!$M$102+parametros_manuales!$F$22*(datos_base!$G$4+IF(parametros_manuales!$H$22="Todos",datos_base!$G$11,0))*parametros_manuales!$M$107+parametros_manuales!$G$22*(datos_base!$G$5+IF(parametros_manuales!$H$22="Todos",datos_base!$G$12,0))*parametros_manuales!$M$112)*parametros_manuales!$I$22*parametros_manuales!$J$22</f>
        <v>22458.06</v>
      </c>
      <c r="N145" s="8">
        <f t="shared" si="16"/>
        <v>249534</v>
      </c>
      <c r="O145" s="8">
        <f t="shared" si="17"/>
        <v>22458.06</v>
      </c>
      <c r="P145" s="27">
        <f>O145/(parametros_manuales!$B$7)</f>
        <v>149.7204</v>
      </c>
      <c r="Q145" s="4" t="str">
        <f t="shared" si="18"/>
        <v>Ene</v>
      </c>
      <c r="R145" s="16"/>
      <c r="S145" s="16"/>
    </row>
    <row r="146" ht="14.25" customHeight="1">
      <c r="A146" s="4" t="str">
        <f>parametros_manuales!$B$23</f>
        <v>Preparación de cuello</v>
      </c>
      <c r="B146" s="8">
        <f>(parametros_manuales!$D$23*(datos_base!$G$2+IF(parametros_manuales!$H$23="Todos",datos_base!$G$9,0))*parametros_manuales!$B$97+parametros_manuales!$E$23*(datos_base!$G$3+IF(parametros_manuales!$H$23="Todos",datos_base!$G$10,0))*parametros_manuales!$B$102+parametros_manuales!$F$23*(datos_base!$G$4+IF(parametros_manuales!$H$23="Todos",datos_base!$G$11,0))*parametros_manuales!$B$107+parametros_manuales!$G$23*(datos_base!$G$5+IF(parametros_manuales!$H$23="Todos",datos_base!$G$12,0))*parametros_manuales!$B$112)*parametros_manuales!$I$23*parametros_manuales!$J$23</f>
        <v>11229.03</v>
      </c>
      <c r="C146" s="8">
        <f>(parametros_manuales!$D$23*(datos_base!$G$2+IF(parametros_manuales!$H$23="Todos",datos_base!$G$9,0))*parametros_manuales!$C$97+parametros_manuales!$E$23*(datos_base!$G$3+IF(parametros_manuales!$H$23="Todos",datos_base!$G$10,0))*parametros_manuales!$C$102+parametros_manuales!$F$23*(datos_base!$G$4+IF(parametros_manuales!$H$23="Todos",datos_base!$G$11,0))*parametros_manuales!$C$107+parametros_manuales!$G$23*(datos_base!$G$5+IF(parametros_manuales!$H$23="Todos",datos_base!$G$12,0))*parametros_manuales!$C$112)*parametros_manuales!$I$23*parametros_manuales!$J$23</f>
        <v>10854.36</v>
      </c>
      <c r="D146" s="8">
        <f>(parametros_manuales!$D$23*(datos_base!$G$2+IF(parametros_manuales!$H$23="Todos",datos_base!$G$9,0))*parametros_manuales!$D$97+parametros_manuales!$E$23*(datos_base!$G$3+IF(parametros_manuales!$H$23="Todos",datos_base!$G$10,0))*parametros_manuales!$D$102+parametros_manuales!$F$23*(datos_base!$G$4+IF(parametros_manuales!$H$23="Todos",datos_base!$G$11,0))*parametros_manuales!$D$107+parametros_manuales!$G$23*(datos_base!$G$5+IF(parametros_manuales!$H$23="Todos",datos_base!$G$12,0))*parametros_manuales!$D$112)*parametros_manuales!$I$23*parametros_manuales!$J$23</f>
        <v>10168.695</v>
      </c>
      <c r="E146" s="8">
        <f>(parametros_manuales!$D$23*(datos_base!$G$2+IF(parametros_manuales!$H$23="Todos",datos_base!$G$9,0))*parametros_manuales!$E$97+parametros_manuales!$E$23*(datos_base!$G$3+IF(parametros_manuales!$H$23="Todos",datos_base!$G$10,0))*parametros_manuales!$E$102+parametros_manuales!$F$23*(datos_base!$G$4+IF(parametros_manuales!$H$23="Todos",datos_base!$G$11,0))*parametros_manuales!$E$107+parametros_manuales!$G$23*(datos_base!$G$5+IF(parametros_manuales!$H$23="Todos",datos_base!$G$12,0))*parametros_manuales!$E$112)*parametros_manuales!$I$23*parametros_manuales!$J$23</f>
        <v>9732.195</v>
      </c>
      <c r="F146" s="8">
        <f>(parametros_manuales!$D$23*(datos_base!$G$2+IF(parametros_manuales!$H$23="Todos",datos_base!$G$9,0))*parametros_manuales!$F$97+parametros_manuales!$E$23*(datos_base!$G$3+IF(parametros_manuales!$H$23="Todos",datos_base!$G$10,0))*parametros_manuales!$F$102+parametros_manuales!$F$23*(datos_base!$G$4+IF(parametros_manuales!$H$23="Todos",datos_base!$G$11,0))*parametros_manuales!$F$107+parametros_manuales!$G$23*(datos_base!$G$5+IF(parametros_manuales!$H$23="Todos",datos_base!$G$12,0))*parametros_manuales!$F$112)*parametros_manuales!$I$23*parametros_manuales!$J$23</f>
        <v>9108.36</v>
      </c>
      <c r="G146" s="8">
        <f>(parametros_manuales!$D$23*(datos_base!$G$2+IF(parametros_manuales!$H$23="Todos",datos_base!$G$9,0))*parametros_manuales!$G$97+parametros_manuales!$E$23*(datos_base!$G$3+IF(parametros_manuales!$H$23="Todos",datos_base!$G$10,0))*parametros_manuales!$G$102+parametros_manuales!$F$23*(datos_base!$G$4+IF(parametros_manuales!$H$23="Todos",datos_base!$G$11,0))*parametros_manuales!$G$107+parametros_manuales!$G$23*(datos_base!$G$5+IF(parametros_manuales!$H$23="Todos",datos_base!$G$12,0))*parametros_manuales!$G$112)*parametros_manuales!$I$23*parametros_manuales!$J$23</f>
        <v>8921.025</v>
      </c>
      <c r="H146" s="8">
        <f>(parametros_manuales!$D$23*(datos_base!$G$2+IF(parametros_manuales!$H$23="Todos",datos_base!$G$9,0))*parametros_manuales!$H$97+parametros_manuales!$E$23*(datos_base!$G$3+IF(parametros_manuales!$H$23="Todos",datos_base!$G$10,0))*parametros_manuales!$H$102+parametros_manuales!$F$23*(datos_base!$G$4+IF(parametros_manuales!$H$23="Todos",datos_base!$G$11,0))*parametros_manuales!$H$107+parametros_manuales!$G$23*(datos_base!$G$5+IF(parametros_manuales!$H$23="Todos",datos_base!$G$12,0))*parametros_manuales!$H$112)*parametros_manuales!$I$23*parametros_manuales!$J$23</f>
        <v>9544.86</v>
      </c>
      <c r="I146" s="8">
        <f>(parametros_manuales!$D$23*(datos_base!$G$2+IF(parametros_manuales!$H$23="Todos",datos_base!$G$9,0))*parametros_manuales!$I$97+parametros_manuales!$E$23*(datos_base!$G$3+IF(parametros_manuales!$H$23="Todos",datos_base!$G$10,0))*parametros_manuales!$I$102+parametros_manuales!$F$23*(datos_base!$G$4+IF(parametros_manuales!$H$23="Todos",datos_base!$G$11,0))*parametros_manuales!$I$107+parametros_manuales!$G$23*(datos_base!$G$5+IF(parametros_manuales!$H$23="Todos",datos_base!$G$12,0))*parametros_manuales!$I$112)*parametros_manuales!$I$23*parametros_manuales!$J$23</f>
        <v>10854.36</v>
      </c>
      <c r="J146" s="8">
        <f>(parametros_manuales!$D$23*(datos_base!$G$2+IF(parametros_manuales!$H$23="Todos",datos_base!$G$9,0))*parametros_manuales!$J$97+parametros_manuales!$E$23*(datos_base!$G$3+IF(parametros_manuales!$H$23="Todos",datos_base!$G$10,0))*parametros_manuales!$J$102+parametros_manuales!$F$23*(datos_base!$G$4+IF(parametros_manuales!$H$23="Todos",datos_base!$G$11,0))*parametros_manuales!$J$107+parametros_manuales!$G$23*(datos_base!$G$5+IF(parametros_manuales!$H$23="Todos",datos_base!$G$12,0))*parametros_manuales!$J$112)*parametros_manuales!$I$23*parametros_manuales!$J$23</f>
        <v>10854.36</v>
      </c>
      <c r="K146" s="8">
        <f>(parametros_manuales!$D$23*(datos_base!$G$2+IF(parametros_manuales!$H$23="Todos",datos_base!$G$9,0))*parametros_manuales!$K$97+parametros_manuales!$E$23*(datos_base!$G$3+IF(parametros_manuales!$H$23="Todos",datos_base!$G$10,0))*parametros_manuales!$K$102+parametros_manuales!$F$23*(datos_base!$G$4+IF(parametros_manuales!$H$23="Todos",datos_base!$G$11,0))*parametros_manuales!$K$107+parametros_manuales!$G$23*(datos_base!$G$5+IF(parametros_manuales!$H$23="Todos",datos_base!$G$12,0))*parametros_manuales!$K$112)*parametros_manuales!$I$23*parametros_manuales!$J$23</f>
        <v>11041.695</v>
      </c>
      <c r="L146" s="8">
        <f>(parametros_manuales!$D$23*(datos_base!$G$2+IF(parametros_manuales!$H$23="Todos",datos_base!$G$9,0))*parametros_manuales!$L$97+parametros_manuales!$E$23*(datos_base!$G$3+IF(parametros_manuales!$H$23="Todos",datos_base!$G$10,0))*parametros_manuales!$L$102+parametros_manuales!$F$23*(datos_base!$G$4+IF(parametros_manuales!$H$23="Todos",datos_base!$G$11,0))*parametros_manuales!$L$107+parametros_manuales!$G$23*(datos_base!$G$5+IF(parametros_manuales!$H$23="Todos",datos_base!$G$12,0))*parametros_manuales!$L$112)*parametros_manuales!$I$23*parametros_manuales!$J$23</f>
        <v>11229.03</v>
      </c>
      <c r="M146" s="8">
        <f>(parametros_manuales!$D$23*(datos_base!$G$2+IF(parametros_manuales!$H$23="Todos",datos_base!$G$9,0))*parametros_manuales!$M$97+parametros_manuales!$E$23*(datos_base!$G$3+IF(parametros_manuales!$H$23="Todos",datos_base!$G$10,0))*parametros_manuales!$M$102+parametros_manuales!$F$23*(datos_base!$G$4+IF(parametros_manuales!$H$23="Todos",datos_base!$G$11,0))*parametros_manuales!$M$107+parametros_manuales!$G$23*(datos_base!$G$5+IF(parametros_manuales!$H$23="Todos",datos_base!$G$12,0))*parametros_manuales!$M$112)*parametros_manuales!$I$23*parametros_manuales!$J$23</f>
        <v>11229.03</v>
      </c>
      <c r="N146" s="8">
        <f t="shared" si="16"/>
        <v>124767</v>
      </c>
      <c r="O146" s="8">
        <f t="shared" si="17"/>
        <v>11229.03</v>
      </c>
      <c r="P146" s="27">
        <f>O146/(parametros_manuales!$B$7)</f>
        <v>74.8602</v>
      </c>
      <c r="Q146" s="4" t="str">
        <f t="shared" si="18"/>
        <v>Ene</v>
      </c>
      <c r="R146" s="16"/>
      <c r="S146" s="16"/>
    </row>
    <row r="147" ht="14.25" customHeight="1">
      <c r="A147" s="4" t="str">
        <f>parametros_manuales!$B$24</f>
        <v>Numerado de cúpula</v>
      </c>
      <c r="B147" s="8">
        <f>(parametros_manuales!$D$24*(datos_base!$G$2+IF(parametros_manuales!$H$24="Todos",datos_base!$G$9,0))*parametros_manuales!$B$97+parametros_manuales!$E$24*(datos_base!$G$3+IF(parametros_manuales!$H$24="Todos",datos_base!$G$10,0))*parametros_manuales!$B$102+parametros_manuales!$F$24*(datos_base!$G$4+IF(parametros_manuales!$H$24="Todos",datos_base!$G$11,0))*parametros_manuales!$B$107+parametros_manuales!$G$24*(datos_base!$G$5+IF(parametros_manuales!$H$24="Todos",datos_base!$G$12,0))*parametros_manuales!$B$112)*parametros_manuales!$I$24*parametros_manuales!$J$24</f>
        <v>11229.03</v>
      </c>
      <c r="C147" s="8">
        <f>(parametros_manuales!$D$24*(datos_base!$G$2+IF(parametros_manuales!$H$24="Todos",datos_base!$G$9,0))*parametros_manuales!$C$97+parametros_manuales!$E$24*(datos_base!$G$3+IF(parametros_manuales!$H$24="Todos",datos_base!$G$10,0))*parametros_manuales!$C$102+parametros_manuales!$F$24*(datos_base!$G$4+IF(parametros_manuales!$H$24="Todos",datos_base!$G$11,0))*parametros_manuales!$C$107+parametros_manuales!$G$24*(datos_base!$G$5+IF(parametros_manuales!$H$24="Todos",datos_base!$G$12,0))*parametros_manuales!$C$112)*parametros_manuales!$I$24*parametros_manuales!$J$24</f>
        <v>10854.36</v>
      </c>
      <c r="D147" s="8">
        <f>(parametros_manuales!$D$24*(datos_base!$G$2+IF(parametros_manuales!$H$24="Todos",datos_base!$G$9,0))*parametros_manuales!$D$97+parametros_manuales!$E$24*(datos_base!$G$3+IF(parametros_manuales!$H$24="Todos",datos_base!$G$10,0))*parametros_manuales!$D$102+parametros_manuales!$F$24*(datos_base!$G$4+IF(parametros_manuales!$H$24="Todos",datos_base!$G$11,0))*parametros_manuales!$D$107+parametros_manuales!$G$24*(datos_base!$G$5+IF(parametros_manuales!$H$24="Todos",datos_base!$G$12,0))*parametros_manuales!$D$112)*parametros_manuales!$I$24*parametros_manuales!$J$24</f>
        <v>10168.695</v>
      </c>
      <c r="E147" s="8">
        <f>(parametros_manuales!$D$24*(datos_base!$G$2+IF(parametros_manuales!$H$24="Todos",datos_base!$G$9,0))*parametros_manuales!$E$97+parametros_manuales!$E$24*(datos_base!$G$3+IF(parametros_manuales!$H$24="Todos",datos_base!$G$10,0))*parametros_manuales!$E$102+parametros_manuales!$F$24*(datos_base!$G$4+IF(parametros_manuales!$H$24="Todos",datos_base!$G$11,0))*parametros_manuales!$E$107+parametros_manuales!$G$24*(datos_base!$G$5+IF(parametros_manuales!$H$24="Todos",datos_base!$G$12,0))*parametros_manuales!$E$112)*parametros_manuales!$I$24*parametros_manuales!$J$24</f>
        <v>9732.195</v>
      </c>
      <c r="F147" s="8">
        <f>(parametros_manuales!$D$24*(datos_base!$G$2+IF(parametros_manuales!$H$24="Todos",datos_base!$G$9,0))*parametros_manuales!$F$97+parametros_manuales!$E$24*(datos_base!$G$3+IF(parametros_manuales!$H$24="Todos",datos_base!$G$10,0))*parametros_manuales!$F$102+parametros_manuales!$F$24*(datos_base!$G$4+IF(parametros_manuales!$H$24="Todos",datos_base!$G$11,0))*parametros_manuales!$F$107+parametros_manuales!$G$24*(datos_base!$G$5+IF(parametros_manuales!$H$24="Todos",datos_base!$G$12,0))*parametros_manuales!$F$112)*parametros_manuales!$I$24*parametros_manuales!$J$24</f>
        <v>9108.36</v>
      </c>
      <c r="G147" s="8">
        <f>(parametros_manuales!$D$24*(datos_base!$G$2+IF(parametros_manuales!$H$24="Todos",datos_base!$G$9,0))*parametros_manuales!$G$97+parametros_manuales!$E$24*(datos_base!$G$3+IF(parametros_manuales!$H$24="Todos",datos_base!$G$10,0))*parametros_manuales!$G$102+parametros_manuales!$F$24*(datos_base!$G$4+IF(parametros_manuales!$H$24="Todos",datos_base!$G$11,0))*parametros_manuales!$G$107+parametros_manuales!$G$24*(datos_base!$G$5+IF(parametros_manuales!$H$24="Todos",datos_base!$G$12,0))*parametros_manuales!$G$112)*parametros_manuales!$I$24*parametros_manuales!$J$24</f>
        <v>8921.025</v>
      </c>
      <c r="H147" s="8">
        <f>(parametros_manuales!$D$24*(datos_base!$G$2+IF(parametros_manuales!$H$24="Todos",datos_base!$G$9,0))*parametros_manuales!$H$97+parametros_manuales!$E$24*(datos_base!$G$3+IF(parametros_manuales!$H$24="Todos",datos_base!$G$10,0))*parametros_manuales!$H$102+parametros_manuales!$F$24*(datos_base!$G$4+IF(parametros_manuales!$H$24="Todos",datos_base!$G$11,0))*parametros_manuales!$H$107+parametros_manuales!$G$24*(datos_base!$G$5+IF(parametros_manuales!$H$24="Todos",datos_base!$G$12,0))*parametros_manuales!$H$112)*parametros_manuales!$I$24*parametros_manuales!$J$24</f>
        <v>9544.86</v>
      </c>
      <c r="I147" s="8">
        <f>(parametros_manuales!$D$24*(datos_base!$G$2+IF(parametros_manuales!$H$24="Todos",datos_base!$G$9,0))*parametros_manuales!$I$97+parametros_manuales!$E$24*(datos_base!$G$3+IF(parametros_manuales!$H$24="Todos",datos_base!$G$10,0))*parametros_manuales!$I$102+parametros_manuales!$F$24*(datos_base!$G$4+IF(parametros_manuales!$H$24="Todos",datos_base!$G$11,0))*parametros_manuales!$I$107+parametros_manuales!$G$24*(datos_base!$G$5+IF(parametros_manuales!$H$24="Todos",datos_base!$G$12,0))*parametros_manuales!$I$112)*parametros_manuales!$I$24*parametros_manuales!$J$24</f>
        <v>10854.36</v>
      </c>
      <c r="J147" s="8">
        <f>(parametros_manuales!$D$24*(datos_base!$G$2+IF(parametros_manuales!$H$24="Todos",datos_base!$G$9,0))*parametros_manuales!$J$97+parametros_manuales!$E$24*(datos_base!$G$3+IF(parametros_manuales!$H$24="Todos",datos_base!$G$10,0))*parametros_manuales!$J$102+parametros_manuales!$F$24*(datos_base!$G$4+IF(parametros_manuales!$H$24="Todos",datos_base!$G$11,0))*parametros_manuales!$J$107+parametros_manuales!$G$24*(datos_base!$G$5+IF(parametros_manuales!$H$24="Todos",datos_base!$G$12,0))*parametros_manuales!$J$112)*parametros_manuales!$I$24*parametros_manuales!$J$24</f>
        <v>10854.36</v>
      </c>
      <c r="K147" s="8">
        <f>(parametros_manuales!$D$24*(datos_base!$G$2+IF(parametros_manuales!$H$24="Todos",datos_base!$G$9,0))*parametros_manuales!$K$97+parametros_manuales!$E$24*(datos_base!$G$3+IF(parametros_manuales!$H$24="Todos",datos_base!$G$10,0))*parametros_manuales!$K$102+parametros_manuales!$F$24*(datos_base!$G$4+IF(parametros_manuales!$H$24="Todos",datos_base!$G$11,0))*parametros_manuales!$K$107+parametros_manuales!$G$24*(datos_base!$G$5+IF(parametros_manuales!$H$24="Todos",datos_base!$G$12,0))*parametros_manuales!$K$112)*parametros_manuales!$I$24*parametros_manuales!$J$24</f>
        <v>11041.695</v>
      </c>
      <c r="L147" s="8">
        <f>(parametros_manuales!$D$24*(datos_base!$G$2+IF(parametros_manuales!$H$24="Todos",datos_base!$G$9,0))*parametros_manuales!$L$97+parametros_manuales!$E$24*(datos_base!$G$3+IF(parametros_manuales!$H$24="Todos",datos_base!$G$10,0))*parametros_manuales!$L$102+parametros_manuales!$F$24*(datos_base!$G$4+IF(parametros_manuales!$H$24="Todos",datos_base!$G$11,0))*parametros_manuales!$L$107+parametros_manuales!$G$24*(datos_base!$G$5+IF(parametros_manuales!$H$24="Todos",datos_base!$G$12,0))*parametros_manuales!$L$112)*parametros_manuales!$I$24*parametros_manuales!$J$24</f>
        <v>11229.03</v>
      </c>
      <c r="M147" s="8">
        <f>(parametros_manuales!$D$24*(datos_base!$G$2+IF(parametros_manuales!$H$24="Todos",datos_base!$G$9,0))*parametros_manuales!$M$97+parametros_manuales!$E$24*(datos_base!$G$3+IF(parametros_manuales!$H$24="Todos",datos_base!$G$10,0))*parametros_manuales!$M$102+parametros_manuales!$F$24*(datos_base!$G$4+IF(parametros_manuales!$H$24="Todos",datos_base!$G$11,0))*parametros_manuales!$M$107+parametros_manuales!$G$24*(datos_base!$G$5+IF(parametros_manuales!$H$24="Todos",datos_base!$G$12,0))*parametros_manuales!$M$112)*parametros_manuales!$I$24*parametros_manuales!$J$24</f>
        <v>11229.03</v>
      </c>
      <c r="N147" s="8">
        <f t="shared" si="16"/>
        <v>124767</v>
      </c>
      <c r="O147" s="8">
        <f t="shared" si="17"/>
        <v>11229.03</v>
      </c>
      <c r="P147" s="27">
        <f>O147/(parametros_manuales!$B$7)</f>
        <v>74.8602</v>
      </c>
      <c r="Q147" s="4" t="str">
        <f t="shared" si="18"/>
        <v>Ene</v>
      </c>
      <c r="R147" s="16"/>
      <c r="S147" s="16"/>
    </row>
    <row r="148" ht="14.25" customHeight="1">
      <c r="A148" s="4" t="str">
        <f>parametros_manuales!$B$25</f>
        <v>Soldadura del cuello a la cúpula</v>
      </c>
      <c r="B148" s="8">
        <f>(parametros_manuales!$D$25*(datos_base!$G$2+IF(parametros_manuales!$H$25="Todos",datos_base!$G$9,0))*parametros_manuales!$B$97+parametros_manuales!$E$25*(datos_base!$G$3+IF(parametros_manuales!$H$25="Todos",datos_base!$G$10,0))*parametros_manuales!$B$102+parametros_manuales!$F$25*(datos_base!$G$4+IF(parametros_manuales!$H$25="Todos",datos_base!$G$11,0))*parametros_manuales!$B$107+parametros_manuales!$G$25*(datos_base!$G$5+IF(parametros_manuales!$H$25="Todos",datos_base!$G$12,0))*parametros_manuales!$B$112)*parametros_manuales!$I$25*parametros_manuales!$J$25</f>
        <v>11229.03</v>
      </c>
      <c r="C148" s="8">
        <f>(parametros_manuales!$D$25*(datos_base!$G$2+IF(parametros_manuales!$H$25="Todos",datos_base!$G$9,0))*parametros_manuales!$C$97+parametros_manuales!$E$25*(datos_base!$G$3+IF(parametros_manuales!$H$25="Todos",datos_base!$G$10,0))*parametros_manuales!$C$102+parametros_manuales!$F$25*(datos_base!$G$4+IF(parametros_manuales!$H$25="Todos",datos_base!$G$11,0))*parametros_manuales!$C$107+parametros_manuales!$G$25*(datos_base!$G$5+IF(parametros_manuales!$H$25="Todos",datos_base!$G$12,0))*parametros_manuales!$C$112)*parametros_manuales!$I$25*parametros_manuales!$J$25</f>
        <v>10854.36</v>
      </c>
      <c r="D148" s="8">
        <f>(parametros_manuales!$D$25*(datos_base!$G$2+IF(parametros_manuales!$H$25="Todos",datos_base!$G$9,0))*parametros_manuales!$D$97+parametros_manuales!$E$25*(datos_base!$G$3+IF(parametros_manuales!$H$25="Todos",datos_base!$G$10,0))*parametros_manuales!$D$102+parametros_manuales!$F$25*(datos_base!$G$4+IF(parametros_manuales!$H$25="Todos",datos_base!$G$11,0))*parametros_manuales!$D$107+parametros_manuales!$G$25*(datos_base!$G$5+IF(parametros_manuales!$H$25="Todos",datos_base!$G$12,0))*parametros_manuales!$D$112)*parametros_manuales!$I$25*parametros_manuales!$J$25</f>
        <v>10168.695</v>
      </c>
      <c r="E148" s="8">
        <f>(parametros_manuales!$D$25*(datos_base!$G$2+IF(parametros_manuales!$H$25="Todos",datos_base!$G$9,0))*parametros_manuales!$E$97+parametros_manuales!$E$25*(datos_base!$G$3+IF(parametros_manuales!$H$25="Todos",datos_base!$G$10,0))*parametros_manuales!$E$102+parametros_manuales!$F$25*(datos_base!$G$4+IF(parametros_manuales!$H$25="Todos",datos_base!$G$11,0))*parametros_manuales!$E$107+parametros_manuales!$G$25*(datos_base!$G$5+IF(parametros_manuales!$H$25="Todos",datos_base!$G$12,0))*parametros_manuales!$E$112)*parametros_manuales!$I$25*parametros_manuales!$J$25</f>
        <v>9732.195</v>
      </c>
      <c r="F148" s="8">
        <f>(parametros_manuales!$D$25*(datos_base!$G$2+IF(parametros_manuales!$H$25="Todos",datos_base!$G$9,0))*parametros_manuales!$F$97+parametros_manuales!$E$25*(datos_base!$G$3+IF(parametros_manuales!$H$25="Todos",datos_base!$G$10,0))*parametros_manuales!$F$102+parametros_manuales!$F$25*(datos_base!$G$4+IF(parametros_manuales!$H$25="Todos",datos_base!$G$11,0))*parametros_manuales!$F$107+parametros_manuales!$G$25*(datos_base!$G$5+IF(parametros_manuales!$H$25="Todos",datos_base!$G$12,0))*parametros_manuales!$F$112)*parametros_manuales!$I$25*parametros_manuales!$J$25</f>
        <v>9108.36</v>
      </c>
      <c r="G148" s="8">
        <f>(parametros_manuales!$D$25*(datos_base!$G$2+IF(parametros_manuales!$H$25="Todos",datos_base!$G$9,0))*parametros_manuales!$G$97+parametros_manuales!$E$25*(datos_base!$G$3+IF(parametros_manuales!$H$25="Todos",datos_base!$G$10,0))*parametros_manuales!$G$102+parametros_manuales!$F$25*(datos_base!$G$4+IF(parametros_manuales!$H$25="Todos",datos_base!$G$11,0))*parametros_manuales!$G$107+parametros_manuales!$G$25*(datos_base!$G$5+IF(parametros_manuales!$H$25="Todos",datos_base!$G$12,0))*parametros_manuales!$G$112)*parametros_manuales!$I$25*parametros_manuales!$J$25</f>
        <v>8921.025</v>
      </c>
      <c r="H148" s="8">
        <f>(parametros_manuales!$D$25*(datos_base!$G$2+IF(parametros_manuales!$H$25="Todos",datos_base!$G$9,0))*parametros_manuales!$H$97+parametros_manuales!$E$25*(datos_base!$G$3+IF(parametros_manuales!$H$25="Todos",datos_base!$G$10,0))*parametros_manuales!$H$102+parametros_manuales!$F$25*(datos_base!$G$4+IF(parametros_manuales!$H$25="Todos",datos_base!$G$11,0))*parametros_manuales!$H$107+parametros_manuales!$G$25*(datos_base!$G$5+IF(parametros_manuales!$H$25="Todos",datos_base!$G$12,0))*parametros_manuales!$H$112)*parametros_manuales!$I$25*parametros_manuales!$J$25</f>
        <v>9544.86</v>
      </c>
      <c r="I148" s="8">
        <f>(parametros_manuales!$D$25*(datos_base!$G$2+IF(parametros_manuales!$H$25="Todos",datos_base!$G$9,0))*parametros_manuales!$I$97+parametros_manuales!$E$25*(datos_base!$G$3+IF(parametros_manuales!$H$25="Todos",datos_base!$G$10,0))*parametros_manuales!$I$102+parametros_manuales!$F$25*(datos_base!$G$4+IF(parametros_manuales!$H$25="Todos",datos_base!$G$11,0))*parametros_manuales!$I$107+parametros_manuales!$G$25*(datos_base!$G$5+IF(parametros_manuales!$H$25="Todos",datos_base!$G$12,0))*parametros_manuales!$I$112)*parametros_manuales!$I$25*parametros_manuales!$J$25</f>
        <v>10854.36</v>
      </c>
      <c r="J148" s="8">
        <f>(parametros_manuales!$D$25*(datos_base!$G$2+IF(parametros_manuales!$H$25="Todos",datos_base!$G$9,0))*parametros_manuales!$J$97+parametros_manuales!$E$25*(datos_base!$G$3+IF(parametros_manuales!$H$25="Todos",datos_base!$G$10,0))*parametros_manuales!$J$102+parametros_manuales!$F$25*(datos_base!$G$4+IF(parametros_manuales!$H$25="Todos",datos_base!$G$11,0))*parametros_manuales!$J$107+parametros_manuales!$G$25*(datos_base!$G$5+IF(parametros_manuales!$H$25="Todos",datos_base!$G$12,0))*parametros_manuales!$J$112)*parametros_manuales!$I$25*parametros_manuales!$J$25</f>
        <v>10854.36</v>
      </c>
      <c r="K148" s="8">
        <f>(parametros_manuales!$D$25*(datos_base!$G$2+IF(parametros_manuales!$H$25="Todos",datos_base!$G$9,0))*parametros_manuales!$K$97+parametros_manuales!$E$25*(datos_base!$G$3+IF(parametros_manuales!$H$25="Todos",datos_base!$G$10,0))*parametros_manuales!$K$102+parametros_manuales!$F$25*(datos_base!$G$4+IF(parametros_manuales!$H$25="Todos",datos_base!$G$11,0))*parametros_manuales!$K$107+parametros_manuales!$G$25*(datos_base!$G$5+IF(parametros_manuales!$H$25="Todos",datos_base!$G$12,0))*parametros_manuales!$K$112)*parametros_manuales!$I$25*parametros_manuales!$J$25</f>
        <v>11041.695</v>
      </c>
      <c r="L148" s="8">
        <f>(parametros_manuales!$D$25*(datos_base!$G$2+IF(parametros_manuales!$H$25="Todos",datos_base!$G$9,0))*parametros_manuales!$L$97+parametros_manuales!$E$25*(datos_base!$G$3+IF(parametros_manuales!$H$25="Todos",datos_base!$G$10,0))*parametros_manuales!$L$102+parametros_manuales!$F$25*(datos_base!$G$4+IF(parametros_manuales!$H$25="Todos",datos_base!$G$11,0))*parametros_manuales!$L$107+parametros_manuales!$G$25*(datos_base!$G$5+IF(parametros_manuales!$H$25="Todos",datos_base!$G$12,0))*parametros_manuales!$L$112)*parametros_manuales!$I$25*parametros_manuales!$J$25</f>
        <v>11229.03</v>
      </c>
      <c r="M148" s="8">
        <f>(parametros_manuales!$D$25*(datos_base!$G$2+IF(parametros_manuales!$H$25="Todos",datos_base!$G$9,0))*parametros_manuales!$M$97+parametros_manuales!$E$25*(datos_base!$G$3+IF(parametros_manuales!$H$25="Todos",datos_base!$G$10,0))*parametros_manuales!$M$102+parametros_manuales!$F$25*(datos_base!$G$4+IF(parametros_manuales!$H$25="Todos",datos_base!$G$11,0))*parametros_manuales!$M$107+parametros_manuales!$G$25*(datos_base!$G$5+IF(parametros_manuales!$H$25="Todos",datos_base!$G$12,0))*parametros_manuales!$M$112)*parametros_manuales!$I$25*parametros_manuales!$J$25</f>
        <v>11229.03</v>
      </c>
      <c r="N148" s="8">
        <f t="shared" si="16"/>
        <v>124767</v>
      </c>
      <c r="O148" s="8">
        <f t="shared" si="17"/>
        <v>11229.03</v>
      </c>
      <c r="P148" s="27">
        <f>O148/(parametros_manuales!$B$7)</f>
        <v>74.8602</v>
      </c>
      <c r="Q148" s="4" t="str">
        <f t="shared" si="18"/>
        <v>Ene</v>
      </c>
      <c r="R148" s="16"/>
      <c r="S148" s="16"/>
    </row>
    <row r="149" ht="14.25" customHeight="1">
      <c r="A149" s="4" t="str">
        <f>parametros_manuales!$B$26</f>
        <v>Cilindrado</v>
      </c>
      <c r="B149" s="8">
        <f>(parametros_manuales!$D$26*(datos_base!$G$2+IF(parametros_manuales!$H$26="Todos",datos_base!$G$9,0))*parametros_manuales!$B$97+parametros_manuales!$E$26*(datos_base!$G$3+IF(parametros_manuales!$H$26="Todos",datos_base!$G$10,0))*parametros_manuales!$B$102+parametros_manuales!$F$26*(datos_base!$G$4+IF(parametros_manuales!$H$26="Todos",datos_base!$G$11,0))*parametros_manuales!$B$107+parametros_manuales!$G$26*(datos_base!$G$5+IF(parametros_manuales!$H$26="Todos",datos_base!$G$12,0))*parametros_manuales!$B$112)*parametros_manuales!$I$26*parametros_manuales!$J$26</f>
        <v>11229.03</v>
      </c>
      <c r="C149" s="8">
        <f>(parametros_manuales!$D$26*(datos_base!$G$2+IF(parametros_manuales!$H$26="Todos",datos_base!$G$9,0))*parametros_manuales!$C$97+parametros_manuales!$E$26*(datos_base!$G$3+IF(parametros_manuales!$H$26="Todos",datos_base!$G$10,0))*parametros_manuales!$C$102+parametros_manuales!$F$26*(datos_base!$G$4+IF(parametros_manuales!$H$26="Todos",datos_base!$G$11,0))*parametros_manuales!$C$107+parametros_manuales!$G$26*(datos_base!$G$5+IF(parametros_manuales!$H$26="Todos",datos_base!$G$12,0))*parametros_manuales!$C$112)*parametros_manuales!$I$26*parametros_manuales!$J$26</f>
        <v>10854.36</v>
      </c>
      <c r="D149" s="8">
        <f>(parametros_manuales!$D$26*(datos_base!$G$2+IF(parametros_manuales!$H$26="Todos",datos_base!$G$9,0))*parametros_manuales!$D$97+parametros_manuales!$E$26*(datos_base!$G$3+IF(parametros_manuales!$H$26="Todos",datos_base!$G$10,0))*parametros_manuales!$D$102+parametros_manuales!$F$26*(datos_base!$G$4+IF(parametros_manuales!$H$26="Todos",datos_base!$G$11,0))*parametros_manuales!$D$107+parametros_manuales!$G$26*(datos_base!$G$5+IF(parametros_manuales!$H$26="Todos",datos_base!$G$12,0))*parametros_manuales!$D$112)*parametros_manuales!$I$26*parametros_manuales!$J$26</f>
        <v>10168.695</v>
      </c>
      <c r="E149" s="8">
        <f>(parametros_manuales!$D$26*(datos_base!$G$2+IF(parametros_manuales!$H$26="Todos",datos_base!$G$9,0))*parametros_manuales!$E$97+parametros_manuales!$E$26*(datos_base!$G$3+IF(parametros_manuales!$H$26="Todos",datos_base!$G$10,0))*parametros_manuales!$E$102+parametros_manuales!$F$26*(datos_base!$G$4+IF(parametros_manuales!$H$26="Todos",datos_base!$G$11,0))*parametros_manuales!$E$107+parametros_manuales!$G$26*(datos_base!$G$5+IF(parametros_manuales!$H$26="Todos",datos_base!$G$12,0))*parametros_manuales!$E$112)*parametros_manuales!$I$26*parametros_manuales!$J$26</f>
        <v>9732.195</v>
      </c>
      <c r="F149" s="8">
        <f>(parametros_manuales!$D$26*(datos_base!$G$2+IF(parametros_manuales!$H$26="Todos",datos_base!$G$9,0))*parametros_manuales!$F$97+parametros_manuales!$E$26*(datos_base!$G$3+IF(parametros_manuales!$H$26="Todos",datos_base!$G$10,0))*parametros_manuales!$F$102+parametros_manuales!$F$26*(datos_base!$G$4+IF(parametros_manuales!$H$26="Todos",datos_base!$G$11,0))*parametros_manuales!$F$107+parametros_manuales!$G$26*(datos_base!$G$5+IF(parametros_manuales!$H$26="Todos",datos_base!$G$12,0))*parametros_manuales!$F$112)*parametros_manuales!$I$26*parametros_manuales!$J$26</f>
        <v>9108.36</v>
      </c>
      <c r="G149" s="8">
        <f>(parametros_manuales!$D$26*(datos_base!$G$2+IF(parametros_manuales!$H$26="Todos",datos_base!$G$9,0))*parametros_manuales!$G$97+parametros_manuales!$E$26*(datos_base!$G$3+IF(parametros_manuales!$H$26="Todos",datos_base!$G$10,0))*parametros_manuales!$G$102+parametros_manuales!$F$26*(datos_base!$G$4+IF(parametros_manuales!$H$26="Todos",datos_base!$G$11,0))*parametros_manuales!$G$107+parametros_manuales!$G$26*(datos_base!$G$5+IF(parametros_manuales!$H$26="Todos",datos_base!$G$12,0))*parametros_manuales!$G$112)*parametros_manuales!$I$26*parametros_manuales!$J$26</f>
        <v>8921.025</v>
      </c>
      <c r="H149" s="8">
        <f>(parametros_manuales!$D$26*(datos_base!$G$2+IF(parametros_manuales!$H$26="Todos",datos_base!$G$9,0))*parametros_manuales!$H$97+parametros_manuales!$E$26*(datos_base!$G$3+IF(parametros_manuales!$H$26="Todos",datos_base!$G$10,0))*parametros_manuales!$H$102+parametros_manuales!$F$26*(datos_base!$G$4+IF(parametros_manuales!$H$26="Todos",datos_base!$G$11,0))*parametros_manuales!$H$107+parametros_manuales!$G$26*(datos_base!$G$5+IF(parametros_manuales!$H$26="Todos",datos_base!$G$12,0))*parametros_manuales!$H$112)*parametros_manuales!$I$26*parametros_manuales!$J$26</f>
        <v>9544.86</v>
      </c>
      <c r="I149" s="8">
        <f>(parametros_manuales!$D$26*(datos_base!$G$2+IF(parametros_manuales!$H$26="Todos",datos_base!$G$9,0))*parametros_manuales!$I$97+parametros_manuales!$E$26*(datos_base!$G$3+IF(parametros_manuales!$H$26="Todos",datos_base!$G$10,0))*parametros_manuales!$I$102+parametros_manuales!$F$26*(datos_base!$G$4+IF(parametros_manuales!$H$26="Todos",datos_base!$G$11,0))*parametros_manuales!$I$107+parametros_manuales!$G$26*(datos_base!$G$5+IF(parametros_manuales!$H$26="Todos",datos_base!$G$12,0))*parametros_manuales!$I$112)*parametros_manuales!$I$26*parametros_manuales!$J$26</f>
        <v>10854.36</v>
      </c>
      <c r="J149" s="8">
        <f>(parametros_manuales!$D$26*(datos_base!$G$2+IF(parametros_manuales!$H$26="Todos",datos_base!$G$9,0))*parametros_manuales!$J$97+parametros_manuales!$E$26*(datos_base!$G$3+IF(parametros_manuales!$H$26="Todos",datos_base!$G$10,0))*parametros_manuales!$J$102+parametros_manuales!$F$26*(datos_base!$G$4+IF(parametros_manuales!$H$26="Todos",datos_base!$G$11,0))*parametros_manuales!$J$107+parametros_manuales!$G$26*(datos_base!$G$5+IF(parametros_manuales!$H$26="Todos",datos_base!$G$12,0))*parametros_manuales!$J$112)*parametros_manuales!$I$26*parametros_manuales!$J$26</f>
        <v>10854.36</v>
      </c>
      <c r="K149" s="8">
        <f>(parametros_manuales!$D$26*(datos_base!$G$2+IF(parametros_manuales!$H$26="Todos",datos_base!$G$9,0))*parametros_manuales!$K$97+parametros_manuales!$E$26*(datos_base!$G$3+IF(parametros_manuales!$H$26="Todos",datos_base!$G$10,0))*parametros_manuales!$K$102+parametros_manuales!$F$26*(datos_base!$G$4+IF(parametros_manuales!$H$26="Todos",datos_base!$G$11,0))*parametros_manuales!$K$107+parametros_manuales!$G$26*(datos_base!$G$5+IF(parametros_manuales!$H$26="Todos",datos_base!$G$12,0))*parametros_manuales!$K$112)*parametros_manuales!$I$26*parametros_manuales!$J$26</f>
        <v>11041.695</v>
      </c>
      <c r="L149" s="8">
        <f>(parametros_manuales!$D$26*(datos_base!$G$2+IF(parametros_manuales!$H$26="Todos",datos_base!$G$9,0))*parametros_manuales!$L$97+parametros_manuales!$E$26*(datos_base!$G$3+IF(parametros_manuales!$H$26="Todos",datos_base!$G$10,0))*parametros_manuales!$L$102+parametros_manuales!$F$26*(datos_base!$G$4+IF(parametros_manuales!$H$26="Todos",datos_base!$G$11,0))*parametros_manuales!$L$107+parametros_manuales!$G$26*(datos_base!$G$5+IF(parametros_manuales!$H$26="Todos",datos_base!$G$12,0))*parametros_manuales!$L$112)*parametros_manuales!$I$26*parametros_manuales!$J$26</f>
        <v>11229.03</v>
      </c>
      <c r="M149" s="8">
        <f>(parametros_manuales!$D$26*(datos_base!$G$2+IF(parametros_manuales!$H$26="Todos",datos_base!$G$9,0))*parametros_manuales!$M$97+parametros_manuales!$E$26*(datos_base!$G$3+IF(parametros_manuales!$H$26="Todos",datos_base!$G$10,0))*parametros_manuales!$M$102+parametros_manuales!$F$26*(datos_base!$G$4+IF(parametros_manuales!$H$26="Todos",datos_base!$G$11,0))*parametros_manuales!$M$107+parametros_manuales!$G$26*(datos_base!$G$5+IF(parametros_manuales!$H$26="Todos",datos_base!$G$12,0))*parametros_manuales!$M$112)*parametros_manuales!$I$26*parametros_manuales!$J$26</f>
        <v>11229.03</v>
      </c>
      <c r="N149" s="8">
        <f t="shared" si="16"/>
        <v>124767</v>
      </c>
      <c r="O149" s="8">
        <f t="shared" si="17"/>
        <v>11229.03</v>
      </c>
      <c r="P149" s="27">
        <f>O149/(parametros_manuales!$B$7)</f>
        <v>74.8602</v>
      </c>
      <c r="Q149" s="4" t="str">
        <f t="shared" si="18"/>
        <v>Ene</v>
      </c>
      <c r="R149" s="16"/>
      <c r="S149" s="16"/>
    </row>
    <row r="150" ht="14.25" customHeight="1">
      <c r="A150" s="4" t="str">
        <f>parametros_manuales!$B$27</f>
        <v>Soldadura longitudinal — 2,5 a 10 kg</v>
      </c>
      <c r="B150" s="8">
        <f>(parametros_manuales!$D$27*(datos_base!$G$2+IF(parametros_manuales!$H$27="Todos",datos_base!$G$9,0))*parametros_manuales!$B$97+parametros_manuales!$E$27*(datos_base!$G$3+IF(parametros_manuales!$H$27="Todos",datos_base!$G$10,0))*parametros_manuales!$B$102+parametros_manuales!$F$27*(datos_base!$G$4+IF(parametros_manuales!$H$27="Todos",datos_base!$G$11,0))*parametros_manuales!$B$107+parametros_manuales!$G$27*(datos_base!$G$5+IF(parametros_manuales!$H$27="Todos",datos_base!$G$12,0))*parametros_manuales!$B$112)*parametros_manuales!$I$27*parametros_manuales!$J$27</f>
        <v>3372.03</v>
      </c>
      <c r="C150" s="8">
        <f>(parametros_manuales!$D$27*(datos_base!$G$2+IF(parametros_manuales!$H$27="Todos",datos_base!$G$9,0))*parametros_manuales!$C$97+parametros_manuales!$E$27*(datos_base!$G$3+IF(parametros_manuales!$H$27="Todos",datos_base!$G$10,0))*parametros_manuales!$C$102+parametros_manuales!$F$27*(datos_base!$G$4+IF(parametros_manuales!$H$27="Todos",datos_base!$G$11,0))*parametros_manuales!$C$107+parametros_manuales!$G$27*(datos_base!$G$5+IF(parametros_manuales!$H$27="Todos",datos_base!$G$12,0))*parametros_manuales!$C$112)*parametros_manuales!$I$27*parametros_manuales!$J$27</f>
        <v>2997.36</v>
      </c>
      <c r="D150" s="8">
        <f>(parametros_manuales!$D$27*(datos_base!$G$2+IF(parametros_manuales!$H$27="Todos",datos_base!$G$9,0))*parametros_manuales!$D$97+parametros_manuales!$E$27*(datos_base!$G$3+IF(parametros_manuales!$H$27="Todos",datos_base!$G$10,0))*parametros_manuales!$D$102+parametros_manuales!$F$27*(datos_base!$G$4+IF(parametros_manuales!$H$27="Todos",datos_base!$G$11,0))*parametros_manuales!$D$107+parametros_manuales!$G$27*(datos_base!$G$5+IF(parametros_manuales!$H$27="Todos",datos_base!$G$12,0))*parametros_manuales!$D$112)*parametros_manuales!$I$27*parametros_manuales!$J$27</f>
        <v>3184.695</v>
      </c>
      <c r="E150" s="8">
        <f>(parametros_manuales!$D$27*(datos_base!$G$2+IF(parametros_manuales!$H$27="Todos",datos_base!$G$9,0))*parametros_manuales!$E$97+parametros_manuales!$E$27*(datos_base!$G$3+IF(parametros_manuales!$H$27="Todos",datos_base!$G$10,0))*parametros_manuales!$E$102+parametros_manuales!$F$27*(datos_base!$G$4+IF(parametros_manuales!$H$27="Todos",datos_base!$G$11,0))*parametros_manuales!$E$107+parametros_manuales!$G$27*(datos_base!$G$5+IF(parametros_manuales!$H$27="Todos",datos_base!$G$12,0))*parametros_manuales!$E$112)*parametros_manuales!$I$27*parametros_manuales!$J$27</f>
        <v>3184.695</v>
      </c>
      <c r="F150" s="8">
        <f>(parametros_manuales!$D$27*(datos_base!$G$2+IF(parametros_manuales!$H$27="Todos",datos_base!$G$9,0))*parametros_manuales!$F$97+parametros_manuales!$E$27*(datos_base!$G$3+IF(parametros_manuales!$H$27="Todos",datos_base!$G$10,0))*parametros_manuales!$F$102+parametros_manuales!$F$27*(datos_base!$G$4+IF(parametros_manuales!$H$27="Todos",datos_base!$G$11,0))*parametros_manuales!$F$107+parametros_manuales!$G$27*(datos_base!$G$5+IF(parametros_manuales!$H$27="Todos",datos_base!$G$12,0))*parametros_manuales!$F$112)*parametros_manuales!$I$27*parametros_manuales!$J$27</f>
        <v>2997.36</v>
      </c>
      <c r="G150" s="8">
        <f>(parametros_manuales!$D$27*(datos_base!$G$2+IF(parametros_manuales!$H$27="Todos",datos_base!$G$9,0))*parametros_manuales!$G$97+parametros_manuales!$E$27*(datos_base!$G$3+IF(parametros_manuales!$H$27="Todos",datos_base!$G$10,0))*parametros_manuales!$G$102+parametros_manuales!$F$27*(datos_base!$G$4+IF(parametros_manuales!$H$27="Todos",datos_base!$G$11,0))*parametros_manuales!$G$107+parametros_manuales!$G$27*(datos_base!$G$5+IF(parametros_manuales!$H$27="Todos",datos_base!$G$12,0))*parametros_manuales!$G$112)*parametros_manuales!$I$27*parametros_manuales!$J$27</f>
        <v>2810.025</v>
      </c>
      <c r="H150" s="8">
        <f>(parametros_manuales!$D$27*(datos_base!$G$2+IF(parametros_manuales!$H$27="Todos",datos_base!$G$9,0))*parametros_manuales!$H$97+parametros_manuales!$E$27*(datos_base!$G$3+IF(parametros_manuales!$H$27="Todos",datos_base!$G$10,0))*parametros_manuales!$H$102+parametros_manuales!$F$27*(datos_base!$G$4+IF(parametros_manuales!$H$27="Todos",datos_base!$G$11,0))*parametros_manuales!$H$107+parametros_manuales!$G$27*(datos_base!$G$5+IF(parametros_manuales!$H$27="Todos",datos_base!$G$12,0))*parametros_manuales!$H$112)*parametros_manuales!$I$27*parametros_manuales!$J$27</f>
        <v>2997.36</v>
      </c>
      <c r="I150" s="8">
        <f>(parametros_manuales!$D$27*(datos_base!$G$2+IF(parametros_manuales!$H$27="Todos",datos_base!$G$9,0))*parametros_manuales!$I$97+parametros_manuales!$E$27*(datos_base!$G$3+IF(parametros_manuales!$H$27="Todos",datos_base!$G$10,0))*parametros_manuales!$I$102+parametros_manuales!$F$27*(datos_base!$G$4+IF(parametros_manuales!$H$27="Todos",datos_base!$G$11,0))*parametros_manuales!$I$107+parametros_manuales!$G$27*(datos_base!$G$5+IF(parametros_manuales!$H$27="Todos",datos_base!$G$12,0))*parametros_manuales!$I$112)*parametros_manuales!$I$27*parametros_manuales!$J$27</f>
        <v>2997.36</v>
      </c>
      <c r="J150" s="8">
        <f>(parametros_manuales!$D$27*(datos_base!$G$2+IF(parametros_manuales!$H$27="Todos",datos_base!$G$9,0))*parametros_manuales!$J$97+parametros_manuales!$E$27*(datos_base!$G$3+IF(parametros_manuales!$H$27="Todos",datos_base!$G$10,0))*parametros_manuales!$J$102+parametros_manuales!$F$27*(datos_base!$G$4+IF(parametros_manuales!$H$27="Todos",datos_base!$G$11,0))*parametros_manuales!$J$107+parametros_manuales!$G$27*(datos_base!$G$5+IF(parametros_manuales!$H$27="Todos",datos_base!$G$12,0))*parametros_manuales!$J$112)*parametros_manuales!$I$27*parametros_manuales!$J$27</f>
        <v>2997.36</v>
      </c>
      <c r="K150" s="8">
        <f>(parametros_manuales!$D$27*(datos_base!$G$2+IF(parametros_manuales!$H$27="Todos",datos_base!$G$9,0))*parametros_manuales!$K$97+parametros_manuales!$E$27*(datos_base!$G$3+IF(parametros_manuales!$H$27="Todos",datos_base!$G$10,0))*parametros_manuales!$K$102+parametros_manuales!$F$27*(datos_base!$G$4+IF(parametros_manuales!$H$27="Todos",datos_base!$G$11,0))*parametros_manuales!$K$107+parametros_manuales!$G$27*(datos_base!$G$5+IF(parametros_manuales!$H$27="Todos",datos_base!$G$12,0))*parametros_manuales!$K$112)*parametros_manuales!$I$27*parametros_manuales!$J$27</f>
        <v>3184.695</v>
      </c>
      <c r="L150" s="8">
        <f>(parametros_manuales!$D$27*(datos_base!$G$2+IF(parametros_manuales!$H$27="Todos",datos_base!$G$9,0))*parametros_manuales!$L$97+parametros_manuales!$E$27*(datos_base!$G$3+IF(parametros_manuales!$H$27="Todos",datos_base!$G$10,0))*parametros_manuales!$L$102+parametros_manuales!$F$27*(datos_base!$G$4+IF(parametros_manuales!$H$27="Todos",datos_base!$G$11,0))*parametros_manuales!$L$107+parametros_manuales!$G$27*(datos_base!$G$5+IF(parametros_manuales!$H$27="Todos",datos_base!$G$12,0))*parametros_manuales!$L$112)*parametros_manuales!$I$27*parametros_manuales!$J$27</f>
        <v>3372.03</v>
      </c>
      <c r="M150" s="8">
        <f>(parametros_manuales!$D$27*(datos_base!$G$2+IF(parametros_manuales!$H$27="Todos",datos_base!$G$9,0))*parametros_manuales!$M$97+parametros_manuales!$E$27*(datos_base!$G$3+IF(parametros_manuales!$H$27="Todos",datos_base!$G$10,0))*parametros_manuales!$M$102+parametros_manuales!$F$27*(datos_base!$G$4+IF(parametros_manuales!$H$27="Todos",datos_base!$G$11,0))*parametros_manuales!$M$107+parametros_manuales!$G$27*(datos_base!$G$5+IF(parametros_manuales!$H$27="Todos",datos_base!$G$12,0))*parametros_manuales!$M$112)*parametros_manuales!$I$27*parametros_manuales!$J$27</f>
        <v>3372.03</v>
      </c>
      <c r="N150" s="8">
        <f t="shared" si="16"/>
        <v>37467</v>
      </c>
      <c r="O150" s="8">
        <f t="shared" si="17"/>
        <v>3372.03</v>
      </c>
      <c r="P150" s="27">
        <f>O150/(parametros_manuales!$B$7)</f>
        <v>22.4802</v>
      </c>
      <c r="Q150" s="4" t="str">
        <f t="shared" si="18"/>
        <v>Ene</v>
      </c>
      <c r="R150" s="16"/>
      <c r="S150" s="16"/>
    </row>
    <row r="151" ht="14.25" customHeight="1">
      <c r="A151" s="4" t="str">
        <f>parametros_manuales!$B$28</f>
        <v>Soldadura longitudinal TIG — 1 kg</v>
      </c>
      <c r="B151" s="8">
        <f>(parametros_manuales!$D$28*(datos_base!$G$2+IF(parametros_manuales!$H$28="Todos",datos_base!$G$9,0))*parametros_manuales!$B$97+parametros_manuales!$E$28*(datos_base!$G$3+IF(parametros_manuales!$H$28="Todos",datos_base!$G$10,0))*parametros_manuales!$B$102+parametros_manuales!$F$28*(datos_base!$G$4+IF(parametros_manuales!$H$28="Todos",datos_base!$G$11,0))*parametros_manuales!$B$107+parametros_manuales!$G$28*(datos_base!$G$5+IF(parametros_manuales!$H$28="Todos",datos_base!$G$12,0))*parametros_manuales!$B$112)*parametros_manuales!$I$28*parametros_manuales!$J$28</f>
        <v>7857</v>
      </c>
      <c r="C151" s="8">
        <f>(parametros_manuales!$D$28*(datos_base!$G$2+IF(parametros_manuales!$H$28="Todos",datos_base!$G$9,0))*parametros_manuales!$C$97+parametros_manuales!$E$28*(datos_base!$G$3+IF(parametros_manuales!$H$28="Todos",datos_base!$G$10,0))*parametros_manuales!$C$102+parametros_manuales!$F$28*(datos_base!$G$4+IF(parametros_manuales!$H$28="Todos",datos_base!$G$11,0))*parametros_manuales!$C$107+parametros_manuales!$G$28*(datos_base!$G$5+IF(parametros_manuales!$H$28="Todos",datos_base!$G$12,0))*parametros_manuales!$C$112)*parametros_manuales!$I$28*parametros_manuales!$J$28</f>
        <v>7857</v>
      </c>
      <c r="D151" s="8">
        <f>(parametros_manuales!$D$28*(datos_base!$G$2+IF(parametros_manuales!$H$28="Todos",datos_base!$G$9,0))*parametros_manuales!$D$97+parametros_manuales!$E$28*(datos_base!$G$3+IF(parametros_manuales!$H$28="Todos",datos_base!$G$10,0))*parametros_manuales!$D$102+parametros_manuales!$F$28*(datos_base!$G$4+IF(parametros_manuales!$H$28="Todos",datos_base!$G$11,0))*parametros_manuales!$D$107+parametros_manuales!$G$28*(datos_base!$G$5+IF(parametros_manuales!$H$28="Todos",datos_base!$G$12,0))*parametros_manuales!$D$112)*parametros_manuales!$I$28*parametros_manuales!$J$28</f>
        <v>6984</v>
      </c>
      <c r="E151" s="8">
        <f>(parametros_manuales!$D$28*(datos_base!$G$2+IF(parametros_manuales!$H$28="Todos",datos_base!$G$9,0))*parametros_manuales!$E$97+parametros_manuales!$E$28*(datos_base!$G$3+IF(parametros_manuales!$H$28="Todos",datos_base!$G$10,0))*parametros_manuales!$E$102+parametros_manuales!$F$28*(datos_base!$G$4+IF(parametros_manuales!$H$28="Todos",datos_base!$G$11,0))*parametros_manuales!$E$107+parametros_manuales!$G$28*(datos_base!$G$5+IF(parametros_manuales!$H$28="Todos",datos_base!$G$12,0))*parametros_manuales!$E$112)*parametros_manuales!$I$28*parametros_manuales!$J$28</f>
        <v>6547.5</v>
      </c>
      <c r="F151" s="8">
        <f>(parametros_manuales!$D$28*(datos_base!$G$2+IF(parametros_manuales!$H$28="Todos",datos_base!$G$9,0))*parametros_manuales!$F$97+parametros_manuales!$E$28*(datos_base!$G$3+IF(parametros_manuales!$H$28="Todos",datos_base!$G$10,0))*parametros_manuales!$F$102+parametros_manuales!$F$28*(datos_base!$G$4+IF(parametros_manuales!$H$28="Todos",datos_base!$G$11,0))*parametros_manuales!$F$107+parametros_manuales!$G$28*(datos_base!$G$5+IF(parametros_manuales!$H$28="Todos",datos_base!$G$12,0))*parametros_manuales!$F$112)*parametros_manuales!$I$28*parametros_manuales!$J$28</f>
        <v>6111</v>
      </c>
      <c r="G151" s="8">
        <f>(parametros_manuales!$D$28*(datos_base!$G$2+IF(parametros_manuales!$H$28="Todos",datos_base!$G$9,0))*parametros_manuales!$G$97+parametros_manuales!$E$28*(datos_base!$G$3+IF(parametros_manuales!$H$28="Todos",datos_base!$G$10,0))*parametros_manuales!$G$102+parametros_manuales!$F$28*(datos_base!$G$4+IF(parametros_manuales!$H$28="Todos",datos_base!$G$11,0))*parametros_manuales!$G$107+parametros_manuales!$G$28*(datos_base!$G$5+IF(parametros_manuales!$H$28="Todos",datos_base!$G$12,0))*parametros_manuales!$G$112)*parametros_manuales!$I$28*parametros_manuales!$J$28</f>
        <v>6111</v>
      </c>
      <c r="H151" s="8">
        <f>(parametros_manuales!$D$28*(datos_base!$G$2+IF(parametros_manuales!$H$28="Todos",datos_base!$G$9,0))*parametros_manuales!$H$97+parametros_manuales!$E$28*(datos_base!$G$3+IF(parametros_manuales!$H$28="Todos",datos_base!$G$10,0))*parametros_manuales!$H$102+parametros_manuales!$F$28*(datos_base!$G$4+IF(parametros_manuales!$H$28="Todos",datos_base!$G$11,0))*parametros_manuales!$H$107+parametros_manuales!$G$28*(datos_base!$G$5+IF(parametros_manuales!$H$28="Todos",datos_base!$G$12,0))*parametros_manuales!$H$112)*parametros_manuales!$I$28*parametros_manuales!$J$28</f>
        <v>6547.5</v>
      </c>
      <c r="I151" s="8">
        <f>(parametros_manuales!$D$28*(datos_base!$G$2+IF(parametros_manuales!$H$28="Todos",datos_base!$G$9,0))*parametros_manuales!$I$97+parametros_manuales!$E$28*(datos_base!$G$3+IF(parametros_manuales!$H$28="Todos",datos_base!$G$10,0))*parametros_manuales!$I$102+parametros_manuales!$F$28*(datos_base!$G$4+IF(parametros_manuales!$H$28="Todos",datos_base!$G$11,0))*parametros_manuales!$I$107+parametros_manuales!$G$28*(datos_base!$G$5+IF(parametros_manuales!$H$28="Todos",datos_base!$G$12,0))*parametros_manuales!$I$112)*parametros_manuales!$I$28*parametros_manuales!$J$28</f>
        <v>7857</v>
      </c>
      <c r="J151" s="8">
        <f>(parametros_manuales!$D$28*(datos_base!$G$2+IF(parametros_manuales!$H$28="Todos",datos_base!$G$9,0))*parametros_manuales!$J$97+parametros_manuales!$E$28*(datos_base!$G$3+IF(parametros_manuales!$H$28="Todos",datos_base!$G$10,0))*parametros_manuales!$J$102+parametros_manuales!$F$28*(datos_base!$G$4+IF(parametros_manuales!$H$28="Todos",datos_base!$G$11,0))*parametros_manuales!$J$107+parametros_manuales!$G$28*(datos_base!$G$5+IF(parametros_manuales!$H$28="Todos",datos_base!$G$12,0))*parametros_manuales!$J$112)*parametros_manuales!$I$28*parametros_manuales!$J$28</f>
        <v>7857</v>
      </c>
      <c r="K151" s="8">
        <f>(parametros_manuales!$D$28*(datos_base!$G$2+IF(parametros_manuales!$H$28="Todos",datos_base!$G$9,0))*parametros_manuales!$K$97+parametros_manuales!$E$28*(datos_base!$G$3+IF(parametros_manuales!$H$28="Todos",datos_base!$G$10,0))*parametros_manuales!$K$102+parametros_manuales!$F$28*(datos_base!$G$4+IF(parametros_manuales!$H$28="Todos",datos_base!$G$11,0))*parametros_manuales!$K$107+parametros_manuales!$G$28*(datos_base!$G$5+IF(parametros_manuales!$H$28="Todos",datos_base!$G$12,0))*parametros_manuales!$K$112)*parametros_manuales!$I$28*parametros_manuales!$J$28</f>
        <v>7857</v>
      </c>
      <c r="L151" s="8">
        <f>(parametros_manuales!$D$28*(datos_base!$G$2+IF(parametros_manuales!$H$28="Todos",datos_base!$G$9,0))*parametros_manuales!$L$97+parametros_manuales!$E$28*(datos_base!$G$3+IF(parametros_manuales!$H$28="Todos",datos_base!$G$10,0))*parametros_manuales!$L$102+parametros_manuales!$F$28*(datos_base!$G$4+IF(parametros_manuales!$H$28="Todos",datos_base!$G$11,0))*parametros_manuales!$L$107+parametros_manuales!$G$28*(datos_base!$G$5+IF(parametros_manuales!$H$28="Todos",datos_base!$G$12,0))*parametros_manuales!$L$112)*parametros_manuales!$I$28*parametros_manuales!$J$28</f>
        <v>7857</v>
      </c>
      <c r="M151" s="8">
        <f>(parametros_manuales!$D$28*(datos_base!$G$2+IF(parametros_manuales!$H$28="Todos",datos_base!$G$9,0))*parametros_manuales!$M$97+parametros_manuales!$E$28*(datos_base!$G$3+IF(parametros_manuales!$H$28="Todos",datos_base!$G$10,0))*parametros_manuales!$M$102+parametros_manuales!$F$28*(datos_base!$G$4+IF(parametros_manuales!$H$28="Todos",datos_base!$G$11,0))*parametros_manuales!$M$107+parametros_manuales!$G$28*(datos_base!$G$5+IF(parametros_manuales!$H$28="Todos",datos_base!$G$12,0))*parametros_manuales!$M$112)*parametros_manuales!$I$28*parametros_manuales!$J$28</f>
        <v>7857</v>
      </c>
      <c r="N151" s="8">
        <f t="shared" si="16"/>
        <v>87300</v>
      </c>
      <c r="O151" s="8">
        <f t="shared" si="17"/>
        <v>7857</v>
      </c>
      <c r="P151" s="27">
        <f>O151/(parametros_manuales!$B$7)</f>
        <v>52.38</v>
      </c>
      <c r="Q151" s="4" t="str">
        <f t="shared" si="18"/>
        <v>Ene</v>
      </c>
      <c r="R151" s="16"/>
      <c r="S151" s="16"/>
    </row>
    <row r="152" ht="14.25" customHeight="1">
      <c r="A152" s="4" t="str">
        <f>parametros_manuales!$B$29</f>
        <v>Encastre de fondo</v>
      </c>
      <c r="B152" s="8">
        <f>(parametros_manuales!$D$29*(datos_base!$G$2+IF(parametros_manuales!$H$29="Todos",datos_base!$G$9,0))*parametros_manuales!$B$97+parametros_manuales!$E$29*(datos_base!$G$3+IF(parametros_manuales!$H$29="Todos",datos_base!$G$10,0))*parametros_manuales!$B$102+parametros_manuales!$F$29*(datos_base!$G$4+IF(parametros_manuales!$H$29="Todos",datos_base!$G$11,0))*parametros_manuales!$B$107+parametros_manuales!$G$29*(datos_base!$G$5+IF(parametros_manuales!$H$29="Todos",datos_base!$G$12,0))*parametros_manuales!$B$112)*parametros_manuales!$I$29*parametros_manuales!$J$29</f>
        <v>11229.03</v>
      </c>
      <c r="C152" s="8">
        <f>(parametros_manuales!$D$29*(datos_base!$G$2+IF(parametros_manuales!$H$29="Todos",datos_base!$G$9,0))*parametros_manuales!$C$97+parametros_manuales!$E$29*(datos_base!$G$3+IF(parametros_manuales!$H$29="Todos",datos_base!$G$10,0))*parametros_manuales!$C$102+parametros_manuales!$F$29*(datos_base!$G$4+IF(parametros_manuales!$H$29="Todos",datos_base!$G$11,0))*parametros_manuales!$C$107+parametros_manuales!$G$29*(datos_base!$G$5+IF(parametros_manuales!$H$29="Todos",datos_base!$G$12,0))*parametros_manuales!$C$112)*parametros_manuales!$I$29*parametros_manuales!$J$29</f>
        <v>10854.36</v>
      </c>
      <c r="D152" s="8">
        <f>(parametros_manuales!$D$29*(datos_base!$G$2+IF(parametros_manuales!$H$29="Todos",datos_base!$G$9,0))*parametros_manuales!$D$97+parametros_manuales!$E$29*(datos_base!$G$3+IF(parametros_manuales!$H$29="Todos",datos_base!$G$10,0))*parametros_manuales!$D$102+parametros_manuales!$F$29*(datos_base!$G$4+IF(parametros_manuales!$H$29="Todos",datos_base!$G$11,0))*parametros_manuales!$D$107+parametros_manuales!$G$29*(datos_base!$G$5+IF(parametros_manuales!$H$29="Todos",datos_base!$G$12,0))*parametros_manuales!$D$112)*parametros_manuales!$I$29*parametros_manuales!$J$29</f>
        <v>10168.695</v>
      </c>
      <c r="E152" s="8">
        <f>(parametros_manuales!$D$29*(datos_base!$G$2+IF(parametros_manuales!$H$29="Todos",datos_base!$G$9,0))*parametros_manuales!$E$97+parametros_manuales!$E$29*(datos_base!$G$3+IF(parametros_manuales!$H$29="Todos",datos_base!$G$10,0))*parametros_manuales!$E$102+parametros_manuales!$F$29*(datos_base!$G$4+IF(parametros_manuales!$H$29="Todos",datos_base!$G$11,0))*parametros_manuales!$E$107+parametros_manuales!$G$29*(datos_base!$G$5+IF(parametros_manuales!$H$29="Todos",datos_base!$G$12,0))*parametros_manuales!$E$112)*parametros_manuales!$I$29*parametros_manuales!$J$29</f>
        <v>9732.195</v>
      </c>
      <c r="F152" s="8">
        <f>(parametros_manuales!$D$29*(datos_base!$G$2+IF(parametros_manuales!$H$29="Todos",datos_base!$G$9,0))*parametros_manuales!$F$97+parametros_manuales!$E$29*(datos_base!$G$3+IF(parametros_manuales!$H$29="Todos",datos_base!$G$10,0))*parametros_manuales!$F$102+parametros_manuales!$F$29*(datos_base!$G$4+IF(parametros_manuales!$H$29="Todos",datos_base!$G$11,0))*parametros_manuales!$F$107+parametros_manuales!$G$29*(datos_base!$G$5+IF(parametros_manuales!$H$29="Todos",datos_base!$G$12,0))*parametros_manuales!$F$112)*parametros_manuales!$I$29*parametros_manuales!$J$29</f>
        <v>9108.36</v>
      </c>
      <c r="G152" s="8">
        <f>(parametros_manuales!$D$29*(datos_base!$G$2+IF(parametros_manuales!$H$29="Todos",datos_base!$G$9,0))*parametros_manuales!$G$97+parametros_manuales!$E$29*(datos_base!$G$3+IF(parametros_manuales!$H$29="Todos",datos_base!$G$10,0))*parametros_manuales!$G$102+parametros_manuales!$F$29*(datos_base!$G$4+IF(parametros_manuales!$H$29="Todos",datos_base!$G$11,0))*parametros_manuales!$G$107+parametros_manuales!$G$29*(datos_base!$G$5+IF(parametros_manuales!$H$29="Todos",datos_base!$G$12,0))*parametros_manuales!$G$112)*parametros_manuales!$I$29*parametros_manuales!$J$29</f>
        <v>8921.025</v>
      </c>
      <c r="H152" s="8">
        <f>(parametros_manuales!$D$29*(datos_base!$G$2+IF(parametros_manuales!$H$29="Todos",datos_base!$G$9,0))*parametros_manuales!$H$97+parametros_manuales!$E$29*(datos_base!$G$3+IF(parametros_manuales!$H$29="Todos",datos_base!$G$10,0))*parametros_manuales!$H$102+parametros_manuales!$F$29*(datos_base!$G$4+IF(parametros_manuales!$H$29="Todos",datos_base!$G$11,0))*parametros_manuales!$H$107+parametros_manuales!$G$29*(datos_base!$G$5+IF(parametros_manuales!$H$29="Todos",datos_base!$G$12,0))*parametros_manuales!$H$112)*parametros_manuales!$I$29*parametros_manuales!$J$29</f>
        <v>9544.86</v>
      </c>
      <c r="I152" s="8">
        <f>(parametros_manuales!$D$29*(datos_base!$G$2+IF(parametros_manuales!$H$29="Todos",datos_base!$G$9,0))*parametros_manuales!$I$97+parametros_manuales!$E$29*(datos_base!$G$3+IF(parametros_manuales!$H$29="Todos",datos_base!$G$10,0))*parametros_manuales!$I$102+parametros_manuales!$F$29*(datos_base!$G$4+IF(parametros_manuales!$H$29="Todos",datos_base!$G$11,0))*parametros_manuales!$I$107+parametros_manuales!$G$29*(datos_base!$G$5+IF(parametros_manuales!$H$29="Todos",datos_base!$G$12,0))*parametros_manuales!$I$112)*parametros_manuales!$I$29*parametros_manuales!$J$29</f>
        <v>10854.36</v>
      </c>
      <c r="J152" s="8">
        <f>(parametros_manuales!$D$29*(datos_base!$G$2+IF(parametros_manuales!$H$29="Todos",datos_base!$G$9,0))*parametros_manuales!$J$97+parametros_manuales!$E$29*(datos_base!$G$3+IF(parametros_manuales!$H$29="Todos",datos_base!$G$10,0))*parametros_manuales!$J$102+parametros_manuales!$F$29*(datos_base!$G$4+IF(parametros_manuales!$H$29="Todos",datos_base!$G$11,0))*parametros_manuales!$J$107+parametros_manuales!$G$29*(datos_base!$G$5+IF(parametros_manuales!$H$29="Todos",datos_base!$G$12,0))*parametros_manuales!$J$112)*parametros_manuales!$I$29*parametros_manuales!$J$29</f>
        <v>10854.36</v>
      </c>
      <c r="K152" s="8">
        <f>(parametros_manuales!$D$29*(datos_base!$G$2+IF(parametros_manuales!$H$29="Todos",datos_base!$G$9,0))*parametros_manuales!$K$97+parametros_manuales!$E$29*(datos_base!$G$3+IF(parametros_manuales!$H$29="Todos",datos_base!$G$10,0))*parametros_manuales!$K$102+parametros_manuales!$F$29*(datos_base!$G$4+IF(parametros_manuales!$H$29="Todos",datos_base!$G$11,0))*parametros_manuales!$K$107+parametros_manuales!$G$29*(datos_base!$G$5+IF(parametros_manuales!$H$29="Todos",datos_base!$G$12,0))*parametros_manuales!$K$112)*parametros_manuales!$I$29*parametros_manuales!$J$29</f>
        <v>11041.695</v>
      </c>
      <c r="L152" s="8">
        <f>(parametros_manuales!$D$29*(datos_base!$G$2+IF(parametros_manuales!$H$29="Todos",datos_base!$G$9,0))*parametros_manuales!$L$97+parametros_manuales!$E$29*(datos_base!$G$3+IF(parametros_manuales!$H$29="Todos",datos_base!$G$10,0))*parametros_manuales!$L$102+parametros_manuales!$F$29*(datos_base!$G$4+IF(parametros_manuales!$H$29="Todos",datos_base!$G$11,0))*parametros_manuales!$L$107+parametros_manuales!$G$29*(datos_base!$G$5+IF(parametros_manuales!$H$29="Todos",datos_base!$G$12,0))*parametros_manuales!$L$112)*parametros_manuales!$I$29*parametros_manuales!$J$29</f>
        <v>11229.03</v>
      </c>
      <c r="M152" s="8">
        <f>(parametros_manuales!$D$29*(datos_base!$G$2+IF(parametros_manuales!$H$29="Todos",datos_base!$G$9,0))*parametros_manuales!$M$97+parametros_manuales!$E$29*(datos_base!$G$3+IF(parametros_manuales!$H$29="Todos",datos_base!$G$10,0))*parametros_manuales!$M$102+parametros_manuales!$F$29*(datos_base!$G$4+IF(parametros_manuales!$H$29="Todos",datos_base!$G$11,0))*parametros_manuales!$M$107+parametros_manuales!$G$29*(datos_base!$G$5+IF(parametros_manuales!$H$29="Todos",datos_base!$G$12,0))*parametros_manuales!$M$112)*parametros_manuales!$I$29*parametros_manuales!$J$29</f>
        <v>11229.03</v>
      </c>
      <c r="N152" s="8">
        <f t="shared" si="16"/>
        <v>124767</v>
      </c>
      <c r="O152" s="8">
        <f t="shared" si="17"/>
        <v>11229.03</v>
      </c>
      <c r="P152" s="27">
        <f>O152/(parametros_manuales!$B$7)</f>
        <v>74.8602</v>
      </c>
      <c r="Q152" s="4" t="str">
        <f t="shared" si="18"/>
        <v>Ene</v>
      </c>
      <c r="R152" s="16"/>
      <c r="S152" s="16"/>
    </row>
    <row r="153" ht="14.25" customHeight="1">
      <c r="A153" s="4" t="str">
        <f>parametros_manuales!$B$30</f>
        <v>Bordoneado</v>
      </c>
      <c r="B153" s="8">
        <f>(parametros_manuales!$D$30*(datos_base!$G$2+IF(parametros_manuales!$H$30="Todos",datos_base!$G$9,0))*parametros_manuales!$B$97+parametros_manuales!$E$30*(datos_base!$G$3+IF(parametros_manuales!$H$30="Todos",datos_base!$G$10,0))*parametros_manuales!$B$102+parametros_manuales!$F$30*(datos_base!$G$4+IF(parametros_manuales!$H$30="Todos",datos_base!$G$11,0))*parametros_manuales!$B$107+parametros_manuales!$G$30*(datos_base!$G$5+IF(parametros_manuales!$H$30="Todos",datos_base!$G$12,0))*parametros_manuales!$B$112)*parametros_manuales!$I$30*parametros_manuales!$J$30</f>
        <v>11229.03</v>
      </c>
      <c r="C153" s="8">
        <f>(parametros_manuales!$D$30*(datos_base!$G$2+IF(parametros_manuales!$H$30="Todos",datos_base!$G$9,0))*parametros_manuales!$C$97+parametros_manuales!$E$30*(datos_base!$G$3+IF(parametros_manuales!$H$30="Todos",datos_base!$G$10,0))*parametros_manuales!$C$102+parametros_manuales!$F$30*(datos_base!$G$4+IF(parametros_manuales!$H$30="Todos",datos_base!$G$11,0))*parametros_manuales!$C$107+parametros_manuales!$G$30*(datos_base!$G$5+IF(parametros_manuales!$H$30="Todos",datos_base!$G$12,0))*parametros_manuales!$C$112)*parametros_manuales!$I$30*parametros_manuales!$J$30</f>
        <v>10854.36</v>
      </c>
      <c r="D153" s="8">
        <f>(parametros_manuales!$D$30*(datos_base!$G$2+IF(parametros_manuales!$H$30="Todos",datos_base!$G$9,0))*parametros_manuales!$D$97+parametros_manuales!$E$30*(datos_base!$G$3+IF(parametros_manuales!$H$30="Todos",datos_base!$G$10,0))*parametros_manuales!$D$102+parametros_manuales!$F$30*(datos_base!$G$4+IF(parametros_manuales!$H$30="Todos",datos_base!$G$11,0))*parametros_manuales!$D$107+parametros_manuales!$G$30*(datos_base!$G$5+IF(parametros_manuales!$H$30="Todos",datos_base!$G$12,0))*parametros_manuales!$D$112)*parametros_manuales!$I$30*parametros_manuales!$J$30</f>
        <v>10168.695</v>
      </c>
      <c r="E153" s="8">
        <f>(parametros_manuales!$D$30*(datos_base!$G$2+IF(parametros_manuales!$H$30="Todos",datos_base!$G$9,0))*parametros_manuales!$E$97+parametros_manuales!$E$30*(datos_base!$G$3+IF(parametros_manuales!$H$30="Todos",datos_base!$G$10,0))*parametros_manuales!$E$102+parametros_manuales!$F$30*(datos_base!$G$4+IF(parametros_manuales!$H$30="Todos",datos_base!$G$11,0))*parametros_manuales!$E$107+parametros_manuales!$G$30*(datos_base!$G$5+IF(parametros_manuales!$H$30="Todos",datos_base!$G$12,0))*parametros_manuales!$E$112)*parametros_manuales!$I$30*parametros_manuales!$J$30</f>
        <v>9732.195</v>
      </c>
      <c r="F153" s="8">
        <f>(parametros_manuales!$D$30*(datos_base!$G$2+IF(parametros_manuales!$H$30="Todos",datos_base!$G$9,0))*parametros_manuales!$F$97+parametros_manuales!$E$30*(datos_base!$G$3+IF(parametros_manuales!$H$30="Todos",datos_base!$G$10,0))*parametros_manuales!$F$102+parametros_manuales!$F$30*(datos_base!$G$4+IF(parametros_manuales!$H$30="Todos",datos_base!$G$11,0))*parametros_manuales!$F$107+parametros_manuales!$G$30*(datos_base!$G$5+IF(parametros_manuales!$H$30="Todos",datos_base!$G$12,0))*parametros_manuales!$F$112)*parametros_manuales!$I$30*parametros_manuales!$J$30</f>
        <v>9108.36</v>
      </c>
      <c r="G153" s="8">
        <f>(parametros_manuales!$D$30*(datos_base!$G$2+IF(parametros_manuales!$H$30="Todos",datos_base!$G$9,0))*parametros_manuales!$G$97+parametros_manuales!$E$30*(datos_base!$G$3+IF(parametros_manuales!$H$30="Todos",datos_base!$G$10,0))*parametros_manuales!$G$102+parametros_manuales!$F$30*(datos_base!$G$4+IF(parametros_manuales!$H$30="Todos",datos_base!$G$11,0))*parametros_manuales!$G$107+parametros_manuales!$G$30*(datos_base!$G$5+IF(parametros_manuales!$H$30="Todos",datos_base!$G$12,0))*parametros_manuales!$G$112)*parametros_manuales!$I$30*parametros_manuales!$J$30</f>
        <v>8921.025</v>
      </c>
      <c r="H153" s="8">
        <f>(parametros_manuales!$D$30*(datos_base!$G$2+IF(parametros_manuales!$H$30="Todos",datos_base!$G$9,0))*parametros_manuales!$H$97+parametros_manuales!$E$30*(datos_base!$G$3+IF(parametros_manuales!$H$30="Todos",datos_base!$G$10,0))*parametros_manuales!$H$102+parametros_manuales!$F$30*(datos_base!$G$4+IF(parametros_manuales!$H$30="Todos",datos_base!$G$11,0))*parametros_manuales!$H$107+parametros_manuales!$G$30*(datos_base!$G$5+IF(parametros_manuales!$H$30="Todos",datos_base!$G$12,0))*parametros_manuales!$H$112)*parametros_manuales!$I$30*parametros_manuales!$J$30</f>
        <v>9544.86</v>
      </c>
      <c r="I153" s="8">
        <f>(parametros_manuales!$D$30*(datos_base!$G$2+IF(parametros_manuales!$H$30="Todos",datos_base!$G$9,0))*parametros_manuales!$I$97+parametros_manuales!$E$30*(datos_base!$G$3+IF(parametros_manuales!$H$30="Todos",datos_base!$G$10,0))*parametros_manuales!$I$102+parametros_manuales!$F$30*(datos_base!$G$4+IF(parametros_manuales!$H$30="Todos",datos_base!$G$11,0))*parametros_manuales!$I$107+parametros_manuales!$G$30*(datos_base!$G$5+IF(parametros_manuales!$H$30="Todos",datos_base!$G$12,0))*parametros_manuales!$I$112)*parametros_manuales!$I$30*parametros_manuales!$J$30</f>
        <v>10854.36</v>
      </c>
      <c r="J153" s="8">
        <f>(parametros_manuales!$D$30*(datos_base!$G$2+IF(parametros_manuales!$H$30="Todos",datos_base!$G$9,0))*parametros_manuales!$J$97+parametros_manuales!$E$30*(datos_base!$G$3+IF(parametros_manuales!$H$30="Todos",datos_base!$G$10,0))*parametros_manuales!$J$102+parametros_manuales!$F$30*(datos_base!$G$4+IF(parametros_manuales!$H$30="Todos",datos_base!$G$11,0))*parametros_manuales!$J$107+parametros_manuales!$G$30*(datos_base!$G$5+IF(parametros_manuales!$H$30="Todos",datos_base!$G$12,0))*parametros_manuales!$J$112)*parametros_manuales!$I$30*parametros_manuales!$J$30</f>
        <v>10854.36</v>
      </c>
      <c r="K153" s="8">
        <f>(parametros_manuales!$D$30*(datos_base!$G$2+IF(parametros_manuales!$H$30="Todos",datos_base!$G$9,0))*parametros_manuales!$K$97+parametros_manuales!$E$30*(datos_base!$G$3+IF(parametros_manuales!$H$30="Todos",datos_base!$G$10,0))*parametros_manuales!$K$102+parametros_manuales!$F$30*(datos_base!$G$4+IF(parametros_manuales!$H$30="Todos",datos_base!$G$11,0))*parametros_manuales!$K$107+parametros_manuales!$G$30*(datos_base!$G$5+IF(parametros_manuales!$H$30="Todos",datos_base!$G$12,0))*parametros_manuales!$K$112)*parametros_manuales!$I$30*parametros_manuales!$J$30</f>
        <v>11041.695</v>
      </c>
      <c r="L153" s="8">
        <f>(parametros_manuales!$D$30*(datos_base!$G$2+IF(parametros_manuales!$H$30="Todos",datos_base!$G$9,0))*parametros_manuales!$L$97+parametros_manuales!$E$30*(datos_base!$G$3+IF(parametros_manuales!$H$30="Todos",datos_base!$G$10,0))*parametros_manuales!$L$102+parametros_manuales!$F$30*(datos_base!$G$4+IF(parametros_manuales!$H$30="Todos",datos_base!$G$11,0))*parametros_manuales!$L$107+parametros_manuales!$G$30*(datos_base!$G$5+IF(parametros_manuales!$H$30="Todos",datos_base!$G$12,0))*parametros_manuales!$L$112)*parametros_manuales!$I$30*parametros_manuales!$J$30</f>
        <v>11229.03</v>
      </c>
      <c r="M153" s="8">
        <f>(parametros_manuales!$D$30*(datos_base!$G$2+IF(parametros_manuales!$H$30="Todos",datos_base!$G$9,0))*parametros_manuales!$M$97+parametros_manuales!$E$30*(datos_base!$G$3+IF(parametros_manuales!$H$30="Todos",datos_base!$G$10,0))*parametros_manuales!$M$102+parametros_manuales!$F$30*(datos_base!$G$4+IF(parametros_manuales!$H$30="Todos",datos_base!$G$11,0))*parametros_manuales!$M$107+parametros_manuales!$G$30*(datos_base!$G$5+IF(parametros_manuales!$H$30="Todos",datos_base!$G$12,0))*parametros_manuales!$M$112)*parametros_manuales!$I$30*parametros_manuales!$J$30</f>
        <v>11229.03</v>
      </c>
      <c r="N153" s="8">
        <f t="shared" si="16"/>
        <v>124767</v>
      </c>
      <c r="O153" s="8">
        <f t="shared" si="17"/>
        <v>11229.03</v>
      </c>
      <c r="P153" s="27">
        <f>O153/(parametros_manuales!$B$7)</f>
        <v>74.8602</v>
      </c>
      <c r="Q153" s="4" t="str">
        <f t="shared" si="18"/>
        <v>Ene</v>
      </c>
      <c r="R153" s="16"/>
      <c r="S153" s="16"/>
    </row>
    <row r="154" ht="14.25" customHeight="1">
      <c r="A154" s="4" t="str">
        <f>parametros_manuales!$B$31</f>
        <v>Soldadura circunferencial de cúpula y fondo</v>
      </c>
      <c r="B154" s="8">
        <f>(parametros_manuales!$D$31*(datos_base!$G$2+IF(parametros_manuales!$H$31="Todos",datos_base!$G$9,0))*parametros_manuales!$B$97+parametros_manuales!$E$31*(datos_base!$G$3+IF(parametros_manuales!$H$31="Todos",datos_base!$G$10,0))*parametros_manuales!$B$102+parametros_manuales!$F$31*(datos_base!$G$4+IF(parametros_manuales!$H$31="Todos",datos_base!$G$11,0))*parametros_manuales!$B$107+parametros_manuales!$G$31*(datos_base!$G$5+IF(parametros_manuales!$H$31="Todos",datos_base!$G$12,0))*parametros_manuales!$B$112)*parametros_manuales!$I$31*parametros_manuales!$J$31</f>
        <v>11229.03</v>
      </c>
      <c r="C154" s="8">
        <f>(parametros_manuales!$D$31*(datos_base!$G$2+IF(parametros_manuales!$H$31="Todos",datos_base!$G$9,0))*parametros_manuales!$C$97+parametros_manuales!$E$31*(datos_base!$G$3+IF(parametros_manuales!$H$31="Todos",datos_base!$G$10,0))*parametros_manuales!$C$102+parametros_manuales!$F$31*(datos_base!$G$4+IF(parametros_manuales!$H$31="Todos",datos_base!$G$11,0))*parametros_manuales!$C$107+parametros_manuales!$G$31*(datos_base!$G$5+IF(parametros_manuales!$H$31="Todos",datos_base!$G$12,0))*parametros_manuales!$C$112)*parametros_manuales!$I$31*parametros_manuales!$J$31</f>
        <v>10854.36</v>
      </c>
      <c r="D154" s="8">
        <f>(parametros_manuales!$D$31*(datos_base!$G$2+IF(parametros_manuales!$H$31="Todos",datos_base!$G$9,0))*parametros_manuales!$D$97+parametros_manuales!$E$31*(datos_base!$G$3+IF(parametros_manuales!$H$31="Todos",datos_base!$G$10,0))*parametros_manuales!$D$102+parametros_manuales!$F$31*(datos_base!$G$4+IF(parametros_manuales!$H$31="Todos",datos_base!$G$11,0))*parametros_manuales!$D$107+parametros_manuales!$G$31*(datos_base!$G$5+IF(parametros_manuales!$H$31="Todos",datos_base!$G$12,0))*parametros_manuales!$D$112)*parametros_manuales!$I$31*parametros_manuales!$J$31</f>
        <v>10168.695</v>
      </c>
      <c r="E154" s="8">
        <f>(parametros_manuales!$D$31*(datos_base!$G$2+IF(parametros_manuales!$H$31="Todos",datos_base!$G$9,0))*parametros_manuales!$E$97+parametros_manuales!$E$31*(datos_base!$G$3+IF(parametros_manuales!$H$31="Todos",datos_base!$G$10,0))*parametros_manuales!$E$102+parametros_manuales!$F$31*(datos_base!$G$4+IF(parametros_manuales!$H$31="Todos",datos_base!$G$11,0))*parametros_manuales!$E$107+parametros_manuales!$G$31*(datos_base!$G$5+IF(parametros_manuales!$H$31="Todos",datos_base!$G$12,0))*parametros_manuales!$E$112)*parametros_manuales!$I$31*parametros_manuales!$J$31</f>
        <v>9732.195</v>
      </c>
      <c r="F154" s="8">
        <f>(parametros_manuales!$D$31*(datos_base!$G$2+IF(parametros_manuales!$H$31="Todos",datos_base!$G$9,0))*parametros_manuales!$F$97+parametros_manuales!$E$31*(datos_base!$G$3+IF(parametros_manuales!$H$31="Todos",datos_base!$G$10,0))*parametros_manuales!$F$102+parametros_manuales!$F$31*(datos_base!$G$4+IF(parametros_manuales!$H$31="Todos",datos_base!$G$11,0))*parametros_manuales!$F$107+parametros_manuales!$G$31*(datos_base!$G$5+IF(parametros_manuales!$H$31="Todos",datos_base!$G$12,0))*parametros_manuales!$F$112)*parametros_manuales!$I$31*parametros_manuales!$J$31</f>
        <v>9108.36</v>
      </c>
      <c r="G154" s="8">
        <f>(parametros_manuales!$D$31*(datos_base!$G$2+IF(parametros_manuales!$H$31="Todos",datos_base!$G$9,0))*parametros_manuales!$G$97+parametros_manuales!$E$31*(datos_base!$G$3+IF(parametros_manuales!$H$31="Todos",datos_base!$G$10,0))*parametros_manuales!$G$102+parametros_manuales!$F$31*(datos_base!$G$4+IF(parametros_manuales!$H$31="Todos",datos_base!$G$11,0))*parametros_manuales!$G$107+parametros_manuales!$G$31*(datos_base!$G$5+IF(parametros_manuales!$H$31="Todos",datos_base!$G$12,0))*parametros_manuales!$G$112)*parametros_manuales!$I$31*parametros_manuales!$J$31</f>
        <v>8921.025</v>
      </c>
      <c r="H154" s="8">
        <f>(parametros_manuales!$D$31*(datos_base!$G$2+IF(parametros_manuales!$H$31="Todos",datos_base!$G$9,0))*parametros_manuales!$H$97+parametros_manuales!$E$31*(datos_base!$G$3+IF(parametros_manuales!$H$31="Todos",datos_base!$G$10,0))*parametros_manuales!$H$102+parametros_manuales!$F$31*(datos_base!$G$4+IF(parametros_manuales!$H$31="Todos",datos_base!$G$11,0))*parametros_manuales!$H$107+parametros_manuales!$G$31*(datos_base!$G$5+IF(parametros_manuales!$H$31="Todos",datos_base!$G$12,0))*parametros_manuales!$H$112)*parametros_manuales!$I$31*parametros_manuales!$J$31</f>
        <v>9544.86</v>
      </c>
      <c r="I154" s="8">
        <f>(parametros_manuales!$D$31*(datos_base!$G$2+IF(parametros_manuales!$H$31="Todos",datos_base!$G$9,0))*parametros_manuales!$I$97+parametros_manuales!$E$31*(datos_base!$G$3+IF(parametros_manuales!$H$31="Todos",datos_base!$G$10,0))*parametros_manuales!$I$102+parametros_manuales!$F$31*(datos_base!$G$4+IF(parametros_manuales!$H$31="Todos",datos_base!$G$11,0))*parametros_manuales!$I$107+parametros_manuales!$G$31*(datos_base!$G$5+IF(parametros_manuales!$H$31="Todos",datos_base!$G$12,0))*parametros_manuales!$I$112)*parametros_manuales!$I$31*parametros_manuales!$J$31</f>
        <v>10854.36</v>
      </c>
      <c r="J154" s="8">
        <f>(parametros_manuales!$D$31*(datos_base!$G$2+IF(parametros_manuales!$H$31="Todos",datos_base!$G$9,0))*parametros_manuales!$J$97+parametros_manuales!$E$31*(datos_base!$G$3+IF(parametros_manuales!$H$31="Todos",datos_base!$G$10,0))*parametros_manuales!$J$102+parametros_manuales!$F$31*(datos_base!$G$4+IF(parametros_manuales!$H$31="Todos",datos_base!$G$11,0))*parametros_manuales!$J$107+parametros_manuales!$G$31*(datos_base!$G$5+IF(parametros_manuales!$H$31="Todos",datos_base!$G$12,0))*parametros_manuales!$J$112)*parametros_manuales!$I$31*parametros_manuales!$J$31</f>
        <v>10854.36</v>
      </c>
      <c r="K154" s="8">
        <f>(parametros_manuales!$D$31*(datos_base!$G$2+IF(parametros_manuales!$H$31="Todos",datos_base!$G$9,0))*parametros_manuales!$K$97+parametros_manuales!$E$31*(datos_base!$G$3+IF(parametros_manuales!$H$31="Todos",datos_base!$G$10,0))*parametros_manuales!$K$102+parametros_manuales!$F$31*(datos_base!$G$4+IF(parametros_manuales!$H$31="Todos",datos_base!$G$11,0))*parametros_manuales!$K$107+parametros_manuales!$G$31*(datos_base!$G$5+IF(parametros_manuales!$H$31="Todos",datos_base!$G$12,0))*parametros_manuales!$K$112)*parametros_manuales!$I$31*parametros_manuales!$J$31</f>
        <v>11041.695</v>
      </c>
      <c r="L154" s="8">
        <f>(parametros_manuales!$D$31*(datos_base!$G$2+IF(parametros_manuales!$H$31="Todos",datos_base!$G$9,0))*parametros_manuales!$L$97+parametros_manuales!$E$31*(datos_base!$G$3+IF(parametros_manuales!$H$31="Todos",datos_base!$G$10,0))*parametros_manuales!$L$102+parametros_manuales!$F$31*(datos_base!$G$4+IF(parametros_manuales!$H$31="Todos",datos_base!$G$11,0))*parametros_manuales!$L$107+parametros_manuales!$G$31*(datos_base!$G$5+IF(parametros_manuales!$H$31="Todos",datos_base!$G$12,0))*parametros_manuales!$L$112)*parametros_manuales!$I$31*parametros_manuales!$J$31</f>
        <v>11229.03</v>
      </c>
      <c r="M154" s="8">
        <f>(parametros_manuales!$D$31*(datos_base!$G$2+IF(parametros_manuales!$H$31="Todos",datos_base!$G$9,0))*parametros_manuales!$M$97+parametros_manuales!$E$31*(datos_base!$G$3+IF(parametros_manuales!$H$31="Todos",datos_base!$G$10,0))*parametros_manuales!$M$102+parametros_manuales!$F$31*(datos_base!$G$4+IF(parametros_manuales!$H$31="Todos",datos_base!$G$11,0))*parametros_manuales!$M$107+parametros_manuales!$G$31*(datos_base!$G$5+IF(parametros_manuales!$H$31="Todos",datos_base!$G$12,0))*parametros_manuales!$M$112)*parametros_manuales!$I$31*parametros_manuales!$J$31</f>
        <v>11229.03</v>
      </c>
      <c r="N154" s="8">
        <f t="shared" si="16"/>
        <v>124767</v>
      </c>
      <c r="O154" s="8">
        <f t="shared" si="17"/>
        <v>11229.03</v>
      </c>
      <c r="P154" s="27">
        <f>O154/(parametros_manuales!$B$7)</f>
        <v>74.8602</v>
      </c>
      <c r="Q154" s="4" t="str">
        <f t="shared" si="18"/>
        <v>Ene</v>
      </c>
      <c r="R154" s="16"/>
      <c r="S154" s="16"/>
    </row>
    <row r="155" ht="14.25" customHeight="1">
      <c r="A155" s="4" t="str">
        <f>parametros_manuales!$B$32</f>
        <v>Control de calidad — Espesor</v>
      </c>
      <c r="B155" s="8">
        <f>(parametros_manuales!$D$32*(datos_base!$G$2+IF(parametros_manuales!$H$32="Todos",datos_base!$G$9,0))*parametros_manuales!$B$97+parametros_manuales!$E$32*(datos_base!$G$3+IF(parametros_manuales!$H$32="Todos",datos_base!$G$10,0))*parametros_manuales!$B$102+parametros_manuales!$F$32*(datos_base!$G$4+IF(parametros_manuales!$H$32="Todos",datos_base!$G$11,0))*parametros_manuales!$B$107+parametros_manuales!$G$32*(datos_base!$G$5+IF(parametros_manuales!$H$32="Todos",datos_base!$G$12,0))*parametros_manuales!$B$112)*parametros_manuales!$I$32*parametros_manuales!$J$32</f>
        <v>224.5806</v>
      </c>
      <c r="C155" s="8">
        <f>(parametros_manuales!$D$32*(datos_base!$G$2+IF(parametros_manuales!$H$32="Todos",datos_base!$G$9,0))*parametros_manuales!$C$97+parametros_manuales!$E$32*(datos_base!$G$3+IF(parametros_manuales!$H$32="Todos",datos_base!$G$10,0))*parametros_manuales!$C$102+parametros_manuales!$F$32*(datos_base!$G$4+IF(parametros_manuales!$H$32="Todos",datos_base!$G$11,0))*parametros_manuales!$C$107+parametros_manuales!$G$32*(datos_base!$G$5+IF(parametros_manuales!$H$32="Todos",datos_base!$G$12,0))*parametros_manuales!$C$112)*parametros_manuales!$I$32*parametros_manuales!$J$32</f>
        <v>217.0872</v>
      </c>
      <c r="D155" s="8">
        <f>(parametros_manuales!$D$32*(datos_base!$G$2+IF(parametros_manuales!$H$32="Todos",datos_base!$G$9,0))*parametros_manuales!$D$97+parametros_manuales!$E$32*(datos_base!$G$3+IF(parametros_manuales!$H$32="Todos",datos_base!$G$10,0))*parametros_manuales!$D$102+parametros_manuales!$F$32*(datos_base!$G$4+IF(parametros_manuales!$H$32="Todos",datos_base!$G$11,0))*parametros_manuales!$D$107+parametros_manuales!$G$32*(datos_base!$G$5+IF(parametros_manuales!$H$32="Todos",datos_base!$G$12,0))*parametros_manuales!$D$112)*parametros_manuales!$I$32*parametros_manuales!$J$32</f>
        <v>203.3739</v>
      </c>
      <c r="E155" s="8">
        <f>(parametros_manuales!$D$32*(datos_base!$G$2+IF(parametros_manuales!$H$32="Todos",datos_base!$G$9,0))*parametros_manuales!$E$97+parametros_manuales!$E$32*(datos_base!$G$3+IF(parametros_manuales!$H$32="Todos",datos_base!$G$10,0))*parametros_manuales!$E$102+parametros_manuales!$F$32*(datos_base!$G$4+IF(parametros_manuales!$H$32="Todos",datos_base!$G$11,0))*parametros_manuales!$E$107+parametros_manuales!$G$32*(datos_base!$G$5+IF(parametros_manuales!$H$32="Todos",datos_base!$G$12,0))*parametros_manuales!$E$112)*parametros_manuales!$I$32*parametros_manuales!$J$32</f>
        <v>194.6439</v>
      </c>
      <c r="F155" s="8">
        <f>(parametros_manuales!$D$32*(datos_base!$G$2+IF(parametros_manuales!$H$32="Todos",datos_base!$G$9,0))*parametros_manuales!$F$97+parametros_manuales!$E$32*(datos_base!$G$3+IF(parametros_manuales!$H$32="Todos",datos_base!$G$10,0))*parametros_manuales!$F$102+parametros_manuales!$F$32*(datos_base!$G$4+IF(parametros_manuales!$H$32="Todos",datos_base!$G$11,0))*parametros_manuales!$F$107+parametros_manuales!$G$32*(datos_base!$G$5+IF(parametros_manuales!$H$32="Todos",datos_base!$G$12,0))*parametros_manuales!$F$112)*parametros_manuales!$I$32*parametros_manuales!$J$32</f>
        <v>182.1672</v>
      </c>
      <c r="G155" s="8">
        <f>(parametros_manuales!$D$32*(datos_base!$G$2+IF(parametros_manuales!$H$32="Todos",datos_base!$G$9,0))*parametros_manuales!$G$97+parametros_manuales!$E$32*(datos_base!$G$3+IF(parametros_manuales!$H$32="Todos",datos_base!$G$10,0))*parametros_manuales!$G$102+parametros_manuales!$F$32*(datos_base!$G$4+IF(parametros_manuales!$H$32="Todos",datos_base!$G$11,0))*parametros_manuales!$G$107+parametros_manuales!$G$32*(datos_base!$G$5+IF(parametros_manuales!$H$32="Todos",datos_base!$G$12,0))*parametros_manuales!$G$112)*parametros_manuales!$I$32*parametros_manuales!$J$32</f>
        <v>178.4205</v>
      </c>
      <c r="H155" s="8">
        <f>(parametros_manuales!$D$32*(datos_base!$G$2+IF(parametros_manuales!$H$32="Todos",datos_base!$G$9,0))*parametros_manuales!$H$97+parametros_manuales!$E$32*(datos_base!$G$3+IF(parametros_manuales!$H$32="Todos",datos_base!$G$10,0))*parametros_manuales!$H$102+parametros_manuales!$F$32*(datos_base!$G$4+IF(parametros_manuales!$H$32="Todos",datos_base!$G$11,0))*parametros_manuales!$H$107+parametros_manuales!$G$32*(datos_base!$G$5+IF(parametros_manuales!$H$32="Todos",datos_base!$G$12,0))*parametros_manuales!$H$112)*parametros_manuales!$I$32*parametros_manuales!$J$32</f>
        <v>190.8972</v>
      </c>
      <c r="I155" s="8">
        <f>(parametros_manuales!$D$32*(datos_base!$G$2+IF(parametros_manuales!$H$32="Todos",datos_base!$G$9,0))*parametros_manuales!$I$97+parametros_manuales!$E$32*(datos_base!$G$3+IF(parametros_manuales!$H$32="Todos",datos_base!$G$10,0))*parametros_manuales!$I$102+parametros_manuales!$F$32*(datos_base!$G$4+IF(parametros_manuales!$H$32="Todos",datos_base!$G$11,0))*parametros_manuales!$I$107+parametros_manuales!$G$32*(datos_base!$G$5+IF(parametros_manuales!$H$32="Todos",datos_base!$G$12,0))*parametros_manuales!$I$112)*parametros_manuales!$I$32*parametros_manuales!$J$32</f>
        <v>217.0872</v>
      </c>
      <c r="J155" s="8">
        <f>(parametros_manuales!$D$32*(datos_base!$G$2+IF(parametros_manuales!$H$32="Todos",datos_base!$G$9,0))*parametros_manuales!$J$97+parametros_manuales!$E$32*(datos_base!$G$3+IF(parametros_manuales!$H$32="Todos",datos_base!$G$10,0))*parametros_manuales!$J$102+parametros_manuales!$F$32*(datos_base!$G$4+IF(parametros_manuales!$H$32="Todos",datos_base!$G$11,0))*parametros_manuales!$J$107+parametros_manuales!$G$32*(datos_base!$G$5+IF(parametros_manuales!$H$32="Todos",datos_base!$G$12,0))*parametros_manuales!$J$112)*parametros_manuales!$I$32*parametros_manuales!$J$32</f>
        <v>217.0872</v>
      </c>
      <c r="K155" s="8">
        <f>(parametros_manuales!$D$32*(datos_base!$G$2+IF(parametros_manuales!$H$32="Todos",datos_base!$G$9,0))*parametros_manuales!$K$97+parametros_manuales!$E$32*(datos_base!$G$3+IF(parametros_manuales!$H$32="Todos",datos_base!$G$10,0))*parametros_manuales!$K$102+parametros_manuales!$F$32*(datos_base!$G$4+IF(parametros_manuales!$H$32="Todos",datos_base!$G$11,0))*parametros_manuales!$K$107+parametros_manuales!$G$32*(datos_base!$G$5+IF(parametros_manuales!$H$32="Todos",datos_base!$G$12,0))*parametros_manuales!$K$112)*parametros_manuales!$I$32*parametros_manuales!$J$32</f>
        <v>220.8339</v>
      </c>
      <c r="L155" s="8">
        <f>(parametros_manuales!$D$32*(datos_base!$G$2+IF(parametros_manuales!$H$32="Todos",datos_base!$G$9,0))*parametros_manuales!$L$97+parametros_manuales!$E$32*(datos_base!$G$3+IF(parametros_manuales!$H$32="Todos",datos_base!$G$10,0))*parametros_manuales!$L$102+parametros_manuales!$F$32*(datos_base!$G$4+IF(parametros_manuales!$H$32="Todos",datos_base!$G$11,0))*parametros_manuales!$L$107+parametros_manuales!$G$32*(datos_base!$G$5+IF(parametros_manuales!$H$32="Todos",datos_base!$G$12,0))*parametros_manuales!$L$112)*parametros_manuales!$I$32*parametros_manuales!$J$32</f>
        <v>224.5806</v>
      </c>
      <c r="M155" s="8">
        <f>(parametros_manuales!$D$32*(datos_base!$G$2+IF(parametros_manuales!$H$32="Todos",datos_base!$G$9,0))*parametros_manuales!$M$97+parametros_manuales!$E$32*(datos_base!$G$3+IF(parametros_manuales!$H$32="Todos",datos_base!$G$10,0))*parametros_manuales!$M$102+parametros_manuales!$F$32*(datos_base!$G$4+IF(parametros_manuales!$H$32="Todos",datos_base!$G$11,0))*parametros_manuales!$M$107+parametros_manuales!$G$32*(datos_base!$G$5+IF(parametros_manuales!$H$32="Todos",datos_base!$G$12,0))*parametros_manuales!$M$112)*parametros_manuales!$I$32*parametros_manuales!$J$32</f>
        <v>224.5806</v>
      </c>
      <c r="N155" s="8">
        <f t="shared" si="16"/>
        <v>2495.34</v>
      </c>
      <c r="O155" s="8">
        <f t="shared" si="17"/>
        <v>224.5806</v>
      </c>
      <c r="P155" s="27">
        <f>O155/(parametros_manuales!$B$7)</f>
        <v>1.497204</v>
      </c>
      <c r="Q155" s="4" t="str">
        <f t="shared" si="18"/>
        <v>Ene</v>
      </c>
      <c r="R155" s="16"/>
      <c r="S155" s="16"/>
    </row>
    <row r="156" ht="14.25" customHeight="1">
      <c r="A156" s="4" t="str">
        <f>parametros_manuales!$B$33</f>
        <v>Prueba hidráulica</v>
      </c>
      <c r="B156" s="8">
        <f>(parametros_manuales!$D$33*(datos_base!$G$2+IF(parametros_manuales!$H$33="Todos",datos_base!$G$9,0))*parametros_manuales!$B$97+parametros_manuales!$E$33*(datos_base!$G$3+IF(parametros_manuales!$H$33="Todos",datos_base!$G$10,0))*parametros_manuales!$B$102+parametros_manuales!$F$33*(datos_base!$G$4+IF(parametros_manuales!$H$33="Todos",datos_base!$G$11,0))*parametros_manuales!$B$107+parametros_manuales!$G$33*(datos_base!$G$5+IF(parametros_manuales!$H$33="Todos",datos_base!$G$12,0))*parametros_manuales!$B$112)*parametros_manuales!$I$33*parametros_manuales!$J$33</f>
        <v>11229.03</v>
      </c>
      <c r="C156" s="8">
        <f>(parametros_manuales!$D$33*(datos_base!$G$2+IF(parametros_manuales!$H$33="Todos",datos_base!$G$9,0))*parametros_manuales!$C$97+parametros_manuales!$E$33*(datos_base!$G$3+IF(parametros_manuales!$H$33="Todos",datos_base!$G$10,0))*parametros_manuales!$C$102+parametros_manuales!$F$33*(datos_base!$G$4+IF(parametros_manuales!$H$33="Todos",datos_base!$G$11,0))*parametros_manuales!$C$107+parametros_manuales!$G$33*(datos_base!$G$5+IF(parametros_manuales!$H$33="Todos",datos_base!$G$12,0))*parametros_manuales!$C$112)*parametros_manuales!$I$33*parametros_manuales!$J$33</f>
        <v>10854.36</v>
      </c>
      <c r="D156" s="8">
        <f>(parametros_manuales!$D$33*(datos_base!$G$2+IF(parametros_manuales!$H$33="Todos",datos_base!$G$9,0))*parametros_manuales!$D$97+parametros_manuales!$E$33*(datos_base!$G$3+IF(parametros_manuales!$H$33="Todos",datos_base!$G$10,0))*parametros_manuales!$D$102+parametros_manuales!$F$33*(datos_base!$G$4+IF(parametros_manuales!$H$33="Todos",datos_base!$G$11,0))*parametros_manuales!$D$107+parametros_manuales!$G$33*(datos_base!$G$5+IF(parametros_manuales!$H$33="Todos",datos_base!$G$12,0))*parametros_manuales!$D$112)*parametros_manuales!$I$33*parametros_manuales!$J$33</f>
        <v>10168.695</v>
      </c>
      <c r="E156" s="8">
        <f>(parametros_manuales!$D$33*(datos_base!$G$2+IF(parametros_manuales!$H$33="Todos",datos_base!$G$9,0))*parametros_manuales!$E$97+parametros_manuales!$E$33*(datos_base!$G$3+IF(parametros_manuales!$H$33="Todos",datos_base!$G$10,0))*parametros_manuales!$E$102+parametros_manuales!$F$33*(datos_base!$G$4+IF(parametros_manuales!$H$33="Todos",datos_base!$G$11,0))*parametros_manuales!$E$107+parametros_manuales!$G$33*(datos_base!$G$5+IF(parametros_manuales!$H$33="Todos",datos_base!$G$12,0))*parametros_manuales!$E$112)*parametros_manuales!$I$33*parametros_manuales!$J$33</f>
        <v>9732.195</v>
      </c>
      <c r="F156" s="8">
        <f>(parametros_manuales!$D$33*(datos_base!$G$2+IF(parametros_manuales!$H$33="Todos",datos_base!$G$9,0))*parametros_manuales!$F$97+parametros_manuales!$E$33*(datos_base!$G$3+IF(parametros_manuales!$H$33="Todos",datos_base!$G$10,0))*parametros_manuales!$F$102+parametros_manuales!$F$33*(datos_base!$G$4+IF(parametros_manuales!$H$33="Todos",datos_base!$G$11,0))*parametros_manuales!$F$107+parametros_manuales!$G$33*(datos_base!$G$5+IF(parametros_manuales!$H$33="Todos",datos_base!$G$12,0))*parametros_manuales!$F$112)*parametros_manuales!$I$33*parametros_manuales!$J$33</f>
        <v>9108.36</v>
      </c>
      <c r="G156" s="8">
        <f>(parametros_manuales!$D$33*(datos_base!$G$2+IF(parametros_manuales!$H$33="Todos",datos_base!$G$9,0))*parametros_manuales!$G$97+parametros_manuales!$E$33*(datos_base!$G$3+IF(parametros_manuales!$H$33="Todos",datos_base!$G$10,0))*parametros_manuales!$G$102+parametros_manuales!$F$33*(datos_base!$G$4+IF(parametros_manuales!$H$33="Todos",datos_base!$G$11,0))*parametros_manuales!$G$107+parametros_manuales!$G$33*(datos_base!$G$5+IF(parametros_manuales!$H$33="Todos",datos_base!$G$12,0))*parametros_manuales!$G$112)*parametros_manuales!$I$33*parametros_manuales!$J$33</f>
        <v>8921.025</v>
      </c>
      <c r="H156" s="8">
        <f>(parametros_manuales!$D$33*(datos_base!$G$2+IF(parametros_manuales!$H$33="Todos",datos_base!$G$9,0))*parametros_manuales!$H$97+parametros_manuales!$E$33*(datos_base!$G$3+IF(parametros_manuales!$H$33="Todos",datos_base!$G$10,0))*parametros_manuales!$H$102+parametros_manuales!$F$33*(datos_base!$G$4+IF(parametros_manuales!$H$33="Todos",datos_base!$G$11,0))*parametros_manuales!$H$107+parametros_manuales!$G$33*(datos_base!$G$5+IF(parametros_manuales!$H$33="Todos",datos_base!$G$12,0))*parametros_manuales!$H$112)*parametros_manuales!$I$33*parametros_manuales!$J$33</f>
        <v>9544.86</v>
      </c>
      <c r="I156" s="8">
        <f>(parametros_manuales!$D$33*(datos_base!$G$2+IF(parametros_manuales!$H$33="Todos",datos_base!$G$9,0))*parametros_manuales!$I$97+parametros_manuales!$E$33*(datos_base!$G$3+IF(parametros_manuales!$H$33="Todos",datos_base!$G$10,0))*parametros_manuales!$I$102+parametros_manuales!$F$33*(datos_base!$G$4+IF(parametros_manuales!$H$33="Todos",datos_base!$G$11,0))*parametros_manuales!$I$107+parametros_manuales!$G$33*(datos_base!$G$5+IF(parametros_manuales!$H$33="Todos",datos_base!$G$12,0))*parametros_manuales!$I$112)*parametros_manuales!$I$33*parametros_manuales!$J$33</f>
        <v>10854.36</v>
      </c>
      <c r="J156" s="8">
        <f>(parametros_manuales!$D$33*(datos_base!$G$2+IF(parametros_manuales!$H$33="Todos",datos_base!$G$9,0))*parametros_manuales!$J$97+parametros_manuales!$E$33*(datos_base!$G$3+IF(parametros_manuales!$H$33="Todos",datos_base!$G$10,0))*parametros_manuales!$J$102+parametros_manuales!$F$33*(datos_base!$G$4+IF(parametros_manuales!$H$33="Todos",datos_base!$G$11,0))*parametros_manuales!$J$107+parametros_manuales!$G$33*(datos_base!$G$5+IF(parametros_manuales!$H$33="Todos",datos_base!$G$12,0))*parametros_manuales!$J$112)*parametros_manuales!$I$33*parametros_manuales!$J$33</f>
        <v>10854.36</v>
      </c>
      <c r="K156" s="8">
        <f>(parametros_manuales!$D$33*(datos_base!$G$2+IF(parametros_manuales!$H$33="Todos",datos_base!$G$9,0))*parametros_manuales!$K$97+parametros_manuales!$E$33*(datos_base!$G$3+IF(parametros_manuales!$H$33="Todos",datos_base!$G$10,0))*parametros_manuales!$K$102+parametros_manuales!$F$33*(datos_base!$G$4+IF(parametros_manuales!$H$33="Todos",datos_base!$G$11,0))*parametros_manuales!$K$107+parametros_manuales!$G$33*(datos_base!$G$5+IF(parametros_manuales!$H$33="Todos",datos_base!$G$12,0))*parametros_manuales!$K$112)*parametros_manuales!$I$33*parametros_manuales!$J$33</f>
        <v>11041.695</v>
      </c>
      <c r="L156" s="8">
        <f>(parametros_manuales!$D$33*(datos_base!$G$2+IF(parametros_manuales!$H$33="Todos",datos_base!$G$9,0))*parametros_manuales!$L$97+parametros_manuales!$E$33*(datos_base!$G$3+IF(parametros_manuales!$H$33="Todos",datos_base!$G$10,0))*parametros_manuales!$L$102+parametros_manuales!$F$33*(datos_base!$G$4+IF(parametros_manuales!$H$33="Todos",datos_base!$G$11,0))*parametros_manuales!$L$107+parametros_manuales!$G$33*(datos_base!$G$5+IF(parametros_manuales!$H$33="Todos",datos_base!$G$12,0))*parametros_manuales!$L$112)*parametros_manuales!$I$33*parametros_manuales!$J$33</f>
        <v>11229.03</v>
      </c>
      <c r="M156" s="8">
        <f>(parametros_manuales!$D$33*(datos_base!$G$2+IF(parametros_manuales!$H$33="Todos",datos_base!$G$9,0))*parametros_manuales!$M$97+parametros_manuales!$E$33*(datos_base!$G$3+IF(parametros_manuales!$H$33="Todos",datos_base!$G$10,0))*parametros_manuales!$M$102+parametros_manuales!$F$33*(datos_base!$G$4+IF(parametros_manuales!$H$33="Todos",datos_base!$G$11,0))*parametros_manuales!$M$107+parametros_manuales!$G$33*(datos_base!$G$5+IF(parametros_manuales!$H$33="Todos",datos_base!$G$12,0))*parametros_manuales!$M$112)*parametros_manuales!$I$33*parametros_manuales!$J$33</f>
        <v>11229.03</v>
      </c>
      <c r="N156" s="8">
        <f t="shared" si="16"/>
        <v>124767</v>
      </c>
      <c r="O156" s="8">
        <f t="shared" si="17"/>
        <v>11229.03</v>
      </c>
      <c r="P156" s="27">
        <f>O156/(parametros_manuales!$B$7)</f>
        <v>74.8602</v>
      </c>
      <c r="Q156" s="4" t="str">
        <f t="shared" si="18"/>
        <v>Ene</v>
      </c>
      <c r="R156" s="16"/>
      <c r="S156" s="16"/>
    </row>
    <row r="157" ht="14.25" customHeight="1">
      <c r="A157" s="4" t="str">
        <f>parametros_manuales!$B$34</f>
        <v>Secado</v>
      </c>
      <c r="B157" s="8">
        <f>(parametros_manuales!$D$34*(datos_base!$G$2+IF(parametros_manuales!$H$34="Todos",datos_base!$G$9,0))*parametros_manuales!$B$97+parametros_manuales!$E$34*(datos_base!$G$3+IF(parametros_manuales!$H$34="Todos",datos_base!$G$10,0))*parametros_manuales!$B$102+parametros_manuales!$F$34*(datos_base!$G$4+IF(parametros_manuales!$H$34="Todos",datos_base!$G$11,0))*parametros_manuales!$B$107+parametros_manuales!$G$34*(datos_base!$G$5+IF(parametros_manuales!$H$34="Todos",datos_base!$G$12,0))*parametros_manuales!$B$112)*parametros_manuales!$I$34*parametros_manuales!$J$34</f>
        <v>11229.03</v>
      </c>
      <c r="C157" s="8">
        <f>(parametros_manuales!$D$34*(datos_base!$G$2+IF(parametros_manuales!$H$34="Todos",datos_base!$G$9,0))*parametros_manuales!$C$97+parametros_manuales!$E$34*(datos_base!$G$3+IF(parametros_manuales!$H$34="Todos",datos_base!$G$10,0))*parametros_manuales!$C$102+parametros_manuales!$F$34*(datos_base!$G$4+IF(parametros_manuales!$H$34="Todos",datos_base!$G$11,0))*parametros_manuales!$C$107+parametros_manuales!$G$34*(datos_base!$G$5+IF(parametros_manuales!$H$34="Todos",datos_base!$G$12,0))*parametros_manuales!$C$112)*parametros_manuales!$I$34*parametros_manuales!$J$34</f>
        <v>10854.36</v>
      </c>
      <c r="D157" s="8">
        <f>(parametros_manuales!$D$34*(datos_base!$G$2+IF(parametros_manuales!$H$34="Todos",datos_base!$G$9,0))*parametros_manuales!$D$97+parametros_manuales!$E$34*(datos_base!$G$3+IF(parametros_manuales!$H$34="Todos",datos_base!$G$10,0))*parametros_manuales!$D$102+parametros_manuales!$F$34*(datos_base!$G$4+IF(parametros_manuales!$H$34="Todos",datos_base!$G$11,0))*parametros_manuales!$D$107+parametros_manuales!$G$34*(datos_base!$G$5+IF(parametros_manuales!$H$34="Todos",datos_base!$G$12,0))*parametros_manuales!$D$112)*parametros_manuales!$I$34*parametros_manuales!$J$34</f>
        <v>10168.695</v>
      </c>
      <c r="E157" s="8">
        <f>(parametros_manuales!$D$34*(datos_base!$G$2+IF(parametros_manuales!$H$34="Todos",datos_base!$G$9,0))*parametros_manuales!$E$97+parametros_manuales!$E$34*(datos_base!$G$3+IF(parametros_manuales!$H$34="Todos",datos_base!$G$10,0))*parametros_manuales!$E$102+parametros_manuales!$F$34*(datos_base!$G$4+IF(parametros_manuales!$H$34="Todos",datos_base!$G$11,0))*parametros_manuales!$E$107+parametros_manuales!$G$34*(datos_base!$G$5+IF(parametros_manuales!$H$34="Todos",datos_base!$G$12,0))*parametros_manuales!$E$112)*parametros_manuales!$I$34*parametros_manuales!$J$34</f>
        <v>9732.195</v>
      </c>
      <c r="F157" s="8">
        <f>(parametros_manuales!$D$34*(datos_base!$G$2+IF(parametros_manuales!$H$34="Todos",datos_base!$G$9,0))*parametros_manuales!$F$97+parametros_manuales!$E$34*(datos_base!$G$3+IF(parametros_manuales!$H$34="Todos",datos_base!$G$10,0))*parametros_manuales!$F$102+parametros_manuales!$F$34*(datos_base!$G$4+IF(parametros_manuales!$H$34="Todos",datos_base!$G$11,0))*parametros_manuales!$F$107+parametros_manuales!$G$34*(datos_base!$G$5+IF(parametros_manuales!$H$34="Todos",datos_base!$G$12,0))*parametros_manuales!$F$112)*parametros_manuales!$I$34*parametros_manuales!$J$34</f>
        <v>9108.36</v>
      </c>
      <c r="G157" s="8">
        <f>(parametros_manuales!$D$34*(datos_base!$G$2+IF(parametros_manuales!$H$34="Todos",datos_base!$G$9,0))*parametros_manuales!$G$97+parametros_manuales!$E$34*(datos_base!$G$3+IF(parametros_manuales!$H$34="Todos",datos_base!$G$10,0))*parametros_manuales!$G$102+parametros_manuales!$F$34*(datos_base!$G$4+IF(parametros_manuales!$H$34="Todos",datos_base!$G$11,0))*parametros_manuales!$G$107+parametros_manuales!$G$34*(datos_base!$G$5+IF(parametros_manuales!$H$34="Todos",datos_base!$G$12,0))*parametros_manuales!$G$112)*parametros_manuales!$I$34*parametros_manuales!$J$34</f>
        <v>8921.025</v>
      </c>
      <c r="H157" s="8">
        <f>(parametros_manuales!$D$34*(datos_base!$G$2+IF(parametros_manuales!$H$34="Todos",datos_base!$G$9,0))*parametros_manuales!$H$97+parametros_manuales!$E$34*(datos_base!$G$3+IF(parametros_manuales!$H$34="Todos",datos_base!$G$10,0))*parametros_manuales!$H$102+parametros_manuales!$F$34*(datos_base!$G$4+IF(parametros_manuales!$H$34="Todos",datos_base!$G$11,0))*parametros_manuales!$H$107+parametros_manuales!$G$34*(datos_base!$G$5+IF(parametros_manuales!$H$34="Todos",datos_base!$G$12,0))*parametros_manuales!$H$112)*parametros_manuales!$I$34*parametros_manuales!$J$34</f>
        <v>9544.86</v>
      </c>
      <c r="I157" s="8">
        <f>(parametros_manuales!$D$34*(datos_base!$G$2+IF(parametros_manuales!$H$34="Todos",datos_base!$G$9,0))*parametros_manuales!$I$97+parametros_manuales!$E$34*(datos_base!$G$3+IF(parametros_manuales!$H$34="Todos",datos_base!$G$10,0))*parametros_manuales!$I$102+parametros_manuales!$F$34*(datos_base!$G$4+IF(parametros_manuales!$H$34="Todos",datos_base!$G$11,0))*parametros_manuales!$I$107+parametros_manuales!$G$34*(datos_base!$G$5+IF(parametros_manuales!$H$34="Todos",datos_base!$G$12,0))*parametros_manuales!$I$112)*parametros_manuales!$I$34*parametros_manuales!$J$34</f>
        <v>10854.36</v>
      </c>
      <c r="J157" s="8">
        <f>(parametros_manuales!$D$34*(datos_base!$G$2+IF(parametros_manuales!$H$34="Todos",datos_base!$G$9,0))*parametros_manuales!$J$97+parametros_manuales!$E$34*(datos_base!$G$3+IF(parametros_manuales!$H$34="Todos",datos_base!$G$10,0))*parametros_manuales!$J$102+parametros_manuales!$F$34*(datos_base!$G$4+IF(parametros_manuales!$H$34="Todos",datos_base!$G$11,0))*parametros_manuales!$J$107+parametros_manuales!$G$34*(datos_base!$G$5+IF(parametros_manuales!$H$34="Todos",datos_base!$G$12,0))*parametros_manuales!$J$112)*parametros_manuales!$I$34*parametros_manuales!$J$34</f>
        <v>10854.36</v>
      </c>
      <c r="K157" s="8">
        <f>(parametros_manuales!$D$34*(datos_base!$G$2+IF(parametros_manuales!$H$34="Todos",datos_base!$G$9,0))*parametros_manuales!$K$97+parametros_manuales!$E$34*(datos_base!$G$3+IF(parametros_manuales!$H$34="Todos",datos_base!$G$10,0))*parametros_manuales!$K$102+parametros_manuales!$F$34*(datos_base!$G$4+IF(parametros_manuales!$H$34="Todos",datos_base!$G$11,0))*parametros_manuales!$K$107+parametros_manuales!$G$34*(datos_base!$G$5+IF(parametros_manuales!$H$34="Todos",datos_base!$G$12,0))*parametros_manuales!$K$112)*parametros_manuales!$I$34*parametros_manuales!$J$34</f>
        <v>11041.695</v>
      </c>
      <c r="L157" s="8">
        <f>(parametros_manuales!$D$34*(datos_base!$G$2+IF(parametros_manuales!$H$34="Todos",datos_base!$G$9,0))*parametros_manuales!$L$97+parametros_manuales!$E$34*(datos_base!$G$3+IF(parametros_manuales!$H$34="Todos",datos_base!$G$10,0))*parametros_manuales!$L$102+parametros_manuales!$F$34*(datos_base!$G$4+IF(parametros_manuales!$H$34="Todos",datos_base!$G$11,0))*parametros_manuales!$L$107+parametros_manuales!$G$34*(datos_base!$G$5+IF(parametros_manuales!$H$34="Todos",datos_base!$G$12,0))*parametros_manuales!$L$112)*parametros_manuales!$I$34*parametros_manuales!$J$34</f>
        <v>11229.03</v>
      </c>
      <c r="M157" s="8">
        <f>(parametros_manuales!$D$34*(datos_base!$G$2+IF(parametros_manuales!$H$34="Todos",datos_base!$G$9,0))*parametros_manuales!$M$97+parametros_manuales!$E$34*(datos_base!$G$3+IF(parametros_manuales!$H$34="Todos",datos_base!$G$10,0))*parametros_manuales!$M$102+parametros_manuales!$F$34*(datos_base!$G$4+IF(parametros_manuales!$H$34="Todos",datos_base!$G$11,0))*parametros_manuales!$M$107+parametros_manuales!$G$34*(datos_base!$G$5+IF(parametros_manuales!$H$34="Todos",datos_base!$G$12,0))*parametros_manuales!$M$112)*parametros_manuales!$I$34*parametros_manuales!$J$34</f>
        <v>11229.03</v>
      </c>
      <c r="N157" s="8">
        <f t="shared" si="16"/>
        <v>124767</v>
      </c>
      <c r="O157" s="8">
        <f t="shared" si="17"/>
        <v>11229.03</v>
      </c>
      <c r="P157" s="27">
        <f>O157/(parametros_manuales!$B$7)</f>
        <v>74.8602</v>
      </c>
      <c r="Q157" s="4" t="str">
        <f t="shared" si="18"/>
        <v>Ene</v>
      </c>
      <c r="R157" s="16"/>
      <c r="S157" s="16"/>
    </row>
    <row r="158" ht="14.25" customHeight="1">
      <c r="A158" s="4" t="str">
        <f>parametros_manuales!$B$35</f>
        <v>Granallado</v>
      </c>
      <c r="B158" s="8">
        <f>(parametros_manuales!$D$35*(datos_base!$G$2+IF(parametros_manuales!$H$35="Todos",datos_base!$G$9,0))*parametros_manuales!$B$97+parametros_manuales!$E$35*(datos_base!$G$3+IF(parametros_manuales!$H$35="Todos",datos_base!$G$10,0))*parametros_manuales!$B$102+parametros_manuales!$F$35*(datos_base!$G$4+IF(parametros_manuales!$H$35="Todos",datos_base!$G$11,0))*parametros_manuales!$B$107+parametros_manuales!$G$35*(datos_base!$G$5+IF(parametros_manuales!$H$35="Todos",datos_base!$G$12,0))*parametros_manuales!$B$112)*parametros_manuales!$I$35*parametros_manuales!$J$35</f>
        <v>11229.03</v>
      </c>
      <c r="C158" s="8">
        <f>(parametros_manuales!$D$35*(datos_base!$G$2+IF(parametros_manuales!$H$35="Todos",datos_base!$G$9,0))*parametros_manuales!$C$97+parametros_manuales!$E$35*(datos_base!$G$3+IF(parametros_manuales!$H$35="Todos",datos_base!$G$10,0))*parametros_manuales!$C$102+parametros_manuales!$F$35*(datos_base!$G$4+IF(parametros_manuales!$H$35="Todos",datos_base!$G$11,0))*parametros_manuales!$C$107+parametros_manuales!$G$35*(datos_base!$G$5+IF(parametros_manuales!$H$35="Todos",datos_base!$G$12,0))*parametros_manuales!$C$112)*parametros_manuales!$I$35*parametros_manuales!$J$35</f>
        <v>10854.36</v>
      </c>
      <c r="D158" s="8">
        <f>(parametros_manuales!$D$35*(datos_base!$G$2+IF(parametros_manuales!$H$35="Todos",datos_base!$G$9,0))*parametros_manuales!$D$97+parametros_manuales!$E$35*(datos_base!$G$3+IF(parametros_manuales!$H$35="Todos",datos_base!$G$10,0))*parametros_manuales!$D$102+parametros_manuales!$F$35*(datos_base!$G$4+IF(parametros_manuales!$H$35="Todos",datos_base!$G$11,0))*parametros_manuales!$D$107+parametros_manuales!$G$35*(datos_base!$G$5+IF(parametros_manuales!$H$35="Todos",datos_base!$G$12,0))*parametros_manuales!$D$112)*parametros_manuales!$I$35*parametros_manuales!$J$35</f>
        <v>10168.695</v>
      </c>
      <c r="E158" s="8">
        <f>(parametros_manuales!$D$35*(datos_base!$G$2+IF(parametros_manuales!$H$35="Todos",datos_base!$G$9,0))*parametros_manuales!$E$97+parametros_manuales!$E$35*(datos_base!$G$3+IF(parametros_manuales!$H$35="Todos",datos_base!$G$10,0))*parametros_manuales!$E$102+parametros_manuales!$F$35*(datos_base!$G$4+IF(parametros_manuales!$H$35="Todos",datos_base!$G$11,0))*parametros_manuales!$E$107+parametros_manuales!$G$35*(datos_base!$G$5+IF(parametros_manuales!$H$35="Todos",datos_base!$G$12,0))*parametros_manuales!$E$112)*parametros_manuales!$I$35*parametros_manuales!$J$35</f>
        <v>9732.195</v>
      </c>
      <c r="F158" s="8">
        <f>(parametros_manuales!$D$35*(datos_base!$G$2+IF(parametros_manuales!$H$35="Todos",datos_base!$G$9,0))*parametros_manuales!$F$97+parametros_manuales!$E$35*(datos_base!$G$3+IF(parametros_manuales!$H$35="Todos",datos_base!$G$10,0))*parametros_manuales!$F$102+parametros_manuales!$F$35*(datos_base!$G$4+IF(parametros_manuales!$H$35="Todos",datos_base!$G$11,0))*parametros_manuales!$F$107+parametros_manuales!$G$35*(datos_base!$G$5+IF(parametros_manuales!$H$35="Todos",datos_base!$G$12,0))*parametros_manuales!$F$112)*parametros_manuales!$I$35*parametros_manuales!$J$35</f>
        <v>9108.36</v>
      </c>
      <c r="G158" s="8">
        <f>(parametros_manuales!$D$35*(datos_base!$G$2+IF(parametros_manuales!$H$35="Todos",datos_base!$G$9,0))*parametros_manuales!$G$97+parametros_manuales!$E$35*(datos_base!$G$3+IF(parametros_manuales!$H$35="Todos",datos_base!$G$10,0))*parametros_manuales!$G$102+parametros_manuales!$F$35*(datos_base!$G$4+IF(parametros_manuales!$H$35="Todos",datos_base!$G$11,0))*parametros_manuales!$G$107+parametros_manuales!$G$35*(datos_base!$G$5+IF(parametros_manuales!$H$35="Todos",datos_base!$G$12,0))*parametros_manuales!$G$112)*parametros_manuales!$I$35*parametros_manuales!$J$35</f>
        <v>8921.025</v>
      </c>
      <c r="H158" s="8">
        <f>(parametros_manuales!$D$35*(datos_base!$G$2+IF(parametros_manuales!$H$35="Todos",datos_base!$G$9,0))*parametros_manuales!$H$97+parametros_manuales!$E$35*(datos_base!$G$3+IF(parametros_manuales!$H$35="Todos",datos_base!$G$10,0))*parametros_manuales!$H$102+parametros_manuales!$F$35*(datos_base!$G$4+IF(parametros_manuales!$H$35="Todos",datos_base!$G$11,0))*parametros_manuales!$H$107+parametros_manuales!$G$35*(datos_base!$G$5+IF(parametros_manuales!$H$35="Todos",datos_base!$G$12,0))*parametros_manuales!$H$112)*parametros_manuales!$I$35*parametros_manuales!$J$35</f>
        <v>9544.86</v>
      </c>
      <c r="I158" s="8">
        <f>(parametros_manuales!$D$35*(datos_base!$G$2+IF(parametros_manuales!$H$35="Todos",datos_base!$G$9,0))*parametros_manuales!$I$97+parametros_manuales!$E$35*(datos_base!$G$3+IF(parametros_manuales!$H$35="Todos",datos_base!$G$10,0))*parametros_manuales!$I$102+parametros_manuales!$F$35*(datos_base!$G$4+IF(parametros_manuales!$H$35="Todos",datos_base!$G$11,0))*parametros_manuales!$I$107+parametros_manuales!$G$35*(datos_base!$G$5+IF(parametros_manuales!$H$35="Todos",datos_base!$G$12,0))*parametros_manuales!$I$112)*parametros_manuales!$I$35*parametros_manuales!$J$35</f>
        <v>10854.36</v>
      </c>
      <c r="J158" s="8">
        <f>(parametros_manuales!$D$35*(datos_base!$G$2+IF(parametros_manuales!$H$35="Todos",datos_base!$G$9,0))*parametros_manuales!$J$97+parametros_manuales!$E$35*(datos_base!$G$3+IF(parametros_manuales!$H$35="Todos",datos_base!$G$10,0))*parametros_manuales!$J$102+parametros_manuales!$F$35*(datos_base!$G$4+IF(parametros_manuales!$H$35="Todos",datos_base!$G$11,0))*parametros_manuales!$J$107+parametros_manuales!$G$35*(datos_base!$G$5+IF(parametros_manuales!$H$35="Todos",datos_base!$G$12,0))*parametros_manuales!$J$112)*parametros_manuales!$I$35*parametros_manuales!$J$35</f>
        <v>10854.36</v>
      </c>
      <c r="K158" s="8">
        <f>(parametros_manuales!$D$35*(datos_base!$G$2+IF(parametros_manuales!$H$35="Todos",datos_base!$G$9,0))*parametros_manuales!$K$97+parametros_manuales!$E$35*(datos_base!$G$3+IF(parametros_manuales!$H$35="Todos",datos_base!$G$10,0))*parametros_manuales!$K$102+parametros_manuales!$F$35*(datos_base!$G$4+IF(parametros_manuales!$H$35="Todos",datos_base!$G$11,0))*parametros_manuales!$K$107+parametros_manuales!$G$35*(datos_base!$G$5+IF(parametros_manuales!$H$35="Todos",datos_base!$G$12,0))*parametros_manuales!$K$112)*parametros_manuales!$I$35*parametros_manuales!$J$35</f>
        <v>11041.695</v>
      </c>
      <c r="L158" s="8">
        <f>(parametros_manuales!$D$35*(datos_base!$G$2+IF(parametros_manuales!$H$35="Todos",datos_base!$G$9,0))*parametros_manuales!$L$97+parametros_manuales!$E$35*(datos_base!$G$3+IF(parametros_manuales!$H$35="Todos",datos_base!$G$10,0))*parametros_manuales!$L$102+parametros_manuales!$F$35*(datos_base!$G$4+IF(parametros_manuales!$H$35="Todos",datos_base!$G$11,0))*parametros_manuales!$L$107+parametros_manuales!$G$35*(datos_base!$G$5+IF(parametros_manuales!$H$35="Todos",datos_base!$G$12,0))*parametros_manuales!$L$112)*parametros_manuales!$I$35*parametros_manuales!$J$35</f>
        <v>11229.03</v>
      </c>
      <c r="M158" s="8">
        <f>(parametros_manuales!$D$35*(datos_base!$G$2+IF(parametros_manuales!$H$35="Todos",datos_base!$G$9,0))*parametros_manuales!$M$97+parametros_manuales!$E$35*(datos_base!$G$3+IF(parametros_manuales!$H$35="Todos",datos_base!$G$10,0))*parametros_manuales!$M$102+parametros_manuales!$F$35*(datos_base!$G$4+IF(parametros_manuales!$H$35="Todos",datos_base!$G$11,0))*parametros_manuales!$M$107+parametros_manuales!$G$35*(datos_base!$G$5+IF(parametros_manuales!$H$35="Todos",datos_base!$G$12,0))*parametros_manuales!$M$112)*parametros_manuales!$I$35*parametros_manuales!$J$35</f>
        <v>11229.03</v>
      </c>
      <c r="N158" s="8">
        <f t="shared" si="16"/>
        <v>124767</v>
      </c>
      <c r="O158" s="8">
        <f t="shared" si="17"/>
        <v>11229.03</v>
      </c>
      <c r="P158" s="27">
        <f>O158/(parametros_manuales!$B$7)</f>
        <v>74.8602</v>
      </c>
      <c r="Q158" s="4" t="str">
        <f t="shared" si="18"/>
        <v>Ene</v>
      </c>
      <c r="R158" s="16"/>
      <c r="S158" s="16"/>
    </row>
    <row r="159" ht="14.25" customHeight="1">
      <c r="A159" s="4" t="str">
        <f>parametros_manuales!$B$36</f>
        <v>Detección de defectos</v>
      </c>
      <c r="B159" s="8">
        <f>(parametros_manuales!$D$36*(datos_base!$G$2+IF(parametros_manuales!$H$36="Todos",datos_base!$G$9,0))*parametros_manuales!$B$97+parametros_manuales!$E$36*(datos_base!$G$3+IF(parametros_manuales!$H$36="Todos",datos_base!$G$10,0))*parametros_manuales!$B$102+parametros_manuales!$F$36*(datos_base!$G$4+IF(parametros_manuales!$H$36="Todos",datos_base!$G$11,0))*parametros_manuales!$B$107+parametros_manuales!$G$36*(datos_base!$G$5+IF(parametros_manuales!$H$36="Todos",datos_base!$G$12,0))*parametros_manuales!$B$112)*parametros_manuales!$I$36*parametros_manuales!$J$36</f>
        <v>11229.03</v>
      </c>
      <c r="C159" s="8">
        <f>(parametros_manuales!$D$36*(datos_base!$G$2+IF(parametros_manuales!$H$36="Todos",datos_base!$G$9,0))*parametros_manuales!$C$97+parametros_manuales!$E$36*(datos_base!$G$3+IF(parametros_manuales!$H$36="Todos",datos_base!$G$10,0))*parametros_manuales!$C$102+parametros_manuales!$F$36*(datos_base!$G$4+IF(parametros_manuales!$H$36="Todos",datos_base!$G$11,0))*parametros_manuales!$C$107+parametros_manuales!$G$36*(datos_base!$G$5+IF(parametros_manuales!$H$36="Todos",datos_base!$G$12,0))*parametros_manuales!$C$112)*parametros_manuales!$I$36*parametros_manuales!$J$36</f>
        <v>10854.36</v>
      </c>
      <c r="D159" s="8">
        <f>(parametros_manuales!$D$36*(datos_base!$G$2+IF(parametros_manuales!$H$36="Todos",datos_base!$G$9,0))*parametros_manuales!$D$97+parametros_manuales!$E$36*(datos_base!$G$3+IF(parametros_manuales!$H$36="Todos",datos_base!$G$10,0))*parametros_manuales!$D$102+parametros_manuales!$F$36*(datos_base!$G$4+IF(parametros_manuales!$H$36="Todos",datos_base!$G$11,0))*parametros_manuales!$D$107+parametros_manuales!$G$36*(datos_base!$G$5+IF(parametros_manuales!$H$36="Todos",datos_base!$G$12,0))*parametros_manuales!$D$112)*parametros_manuales!$I$36*parametros_manuales!$J$36</f>
        <v>10168.695</v>
      </c>
      <c r="E159" s="8">
        <f>(parametros_manuales!$D$36*(datos_base!$G$2+IF(parametros_manuales!$H$36="Todos",datos_base!$G$9,0))*parametros_manuales!$E$97+parametros_manuales!$E$36*(datos_base!$G$3+IF(parametros_manuales!$H$36="Todos",datos_base!$G$10,0))*parametros_manuales!$E$102+parametros_manuales!$F$36*(datos_base!$G$4+IF(parametros_manuales!$H$36="Todos",datos_base!$G$11,0))*parametros_manuales!$E$107+parametros_manuales!$G$36*(datos_base!$G$5+IF(parametros_manuales!$H$36="Todos",datos_base!$G$12,0))*parametros_manuales!$E$112)*parametros_manuales!$I$36*parametros_manuales!$J$36</f>
        <v>9732.195</v>
      </c>
      <c r="F159" s="8">
        <f>(parametros_manuales!$D$36*(datos_base!$G$2+IF(parametros_manuales!$H$36="Todos",datos_base!$G$9,0))*parametros_manuales!$F$97+parametros_manuales!$E$36*(datos_base!$G$3+IF(parametros_manuales!$H$36="Todos",datos_base!$G$10,0))*parametros_manuales!$F$102+parametros_manuales!$F$36*(datos_base!$G$4+IF(parametros_manuales!$H$36="Todos",datos_base!$G$11,0))*parametros_manuales!$F$107+parametros_manuales!$G$36*(datos_base!$G$5+IF(parametros_manuales!$H$36="Todos",datos_base!$G$12,0))*parametros_manuales!$F$112)*parametros_manuales!$I$36*parametros_manuales!$J$36</f>
        <v>9108.36</v>
      </c>
      <c r="G159" s="8">
        <f>(parametros_manuales!$D$36*(datos_base!$G$2+IF(parametros_manuales!$H$36="Todos",datos_base!$G$9,0))*parametros_manuales!$G$97+parametros_manuales!$E$36*(datos_base!$G$3+IF(parametros_manuales!$H$36="Todos",datos_base!$G$10,0))*parametros_manuales!$G$102+parametros_manuales!$F$36*(datos_base!$G$4+IF(parametros_manuales!$H$36="Todos",datos_base!$G$11,0))*parametros_manuales!$G$107+parametros_manuales!$G$36*(datos_base!$G$5+IF(parametros_manuales!$H$36="Todos",datos_base!$G$12,0))*parametros_manuales!$G$112)*parametros_manuales!$I$36*parametros_manuales!$J$36</f>
        <v>8921.025</v>
      </c>
      <c r="H159" s="8">
        <f>(parametros_manuales!$D$36*(datos_base!$G$2+IF(parametros_manuales!$H$36="Todos",datos_base!$G$9,0))*parametros_manuales!$H$97+parametros_manuales!$E$36*(datos_base!$G$3+IF(parametros_manuales!$H$36="Todos",datos_base!$G$10,0))*parametros_manuales!$H$102+parametros_manuales!$F$36*(datos_base!$G$4+IF(parametros_manuales!$H$36="Todos",datos_base!$G$11,0))*parametros_manuales!$H$107+parametros_manuales!$G$36*(datos_base!$G$5+IF(parametros_manuales!$H$36="Todos",datos_base!$G$12,0))*parametros_manuales!$H$112)*parametros_manuales!$I$36*parametros_manuales!$J$36</f>
        <v>9544.86</v>
      </c>
      <c r="I159" s="8">
        <f>(parametros_manuales!$D$36*(datos_base!$G$2+IF(parametros_manuales!$H$36="Todos",datos_base!$G$9,0))*parametros_manuales!$I$97+parametros_manuales!$E$36*(datos_base!$G$3+IF(parametros_manuales!$H$36="Todos",datos_base!$G$10,0))*parametros_manuales!$I$102+parametros_manuales!$F$36*(datos_base!$G$4+IF(parametros_manuales!$H$36="Todos",datos_base!$G$11,0))*parametros_manuales!$I$107+parametros_manuales!$G$36*(datos_base!$G$5+IF(parametros_manuales!$H$36="Todos",datos_base!$G$12,0))*parametros_manuales!$I$112)*parametros_manuales!$I$36*parametros_manuales!$J$36</f>
        <v>10854.36</v>
      </c>
      <c r="J159" s="8">
        <f>(parametros_manuales!$D$36*(datos_base!$G$2+IF(parametros_manuales!$H$36="Todos",datos_base!$G$9,0))*parametros_manuales!$J$97+parametros_manuales!$E$36*(datos_base!$G$3+IF(parametros_manuales!$H$36="Todos",datos_base!$G$10,0))*parametros_manuales!$J$102+parametros_manuales!$F$36*(datos_base!$G$4+IF(parametros_manuales!$H$36="Todos",datos_base!$G$11,0))*parametros_manuales!$J$107+parametros_manuales!$G$36*(datos_base!$G$5+IF(parametros_manuales!$H$36="Todos",datos_base!$G$12,0))*parametros_manuales!$J$112)*parametros_manuales!$I$36*parametros_manuales!$J$36</f>
        <v>10854.36</v>
      </c>
      <c r="K159" s="8">
        <f>(parametros_manuales!$D$36*(datos_base!$G$2+IF(parametros_manuales!$H$36="Todos",datos_base!$G$9,0))*parametros_manuales!$K$97+parametros_manuales!$E$36*(datos_base!$G$3+IF(parametros_manuales!$H$36="Todos",datos_base!$G$10,0))*parametros_manuales!$K$102+parametros_manuales!$F$36*(datos_base!$G$4+IF(parametros_manuales!$H$36="Todos",datos_base!$G$11,0))*parametros_manuales!$K$107+parametros_manuales!$G$36*(datos_base!$G$5+IF(parametros_manuales!$H$36="Todos",datos_base!$G$12,0))*parametros_manuales!$K$112)*parametros_manuales!$I$36*parametros_manuales!$J$36</f>
        <v>11041.695</v>
      </c>
      <c r="L159" s="8">
        <f>(parametros_manuales!$D$36*(datos_base!$G$2+IF(parametros_manuales!$H$36="Todos",datos_base!$G$9,0))*parametros_manuales!$L$97+parametros_manuales!$E$36*(datos_base!$G$3+IF(parametros_manuales!$H$36="Todos",datos_base!$G$10,0))*parametros_manuales!$L$102+parametros_manuales!$F$36*(datos_base!$G$4+IF(parametros_manuales!$H$36="Todos",datos_base!$G$11,0))*parametros_manuales!$L$107+parametros_manuales!$G$36*(datos_base!$G$5+IF(parametros_manuales!$H$36="Todos",datos_base!$G$12,0))*parametros_manuales!$L$112)*parametros_manuales!$I$36*parametros_manuales!$J$36</f>
        <v>11229.03</v>
      </c>
      <c r="M159" s="8">
        <f>(parametros_manuales!$D$36*(datos_base!$G$2+IF(parametros_manuales!$H$36="Todos",datos_base!$G$9,0))*parametros_manuales!$M$97+parametros_manuales!$E$36*(datos_base!$G$3+IF(parametros_manuales!$H$36="Todos",datos_base!$G$10,0))*parametros_manuales!$M$102+parametros_manuales!$F$36*(datos_base!$G$4+IF(parametros_manuales!$H$36="Todos",datos_base!$G$11,0))*parametros_manuales!$M$107+parametros_manuales!$G$36*(datos_base!$G$5+IF(parametros_manuales!$H$36="Todos",datos_base!$G$12,0))*parametros_manuales!$M$112)*parametros_manuales!$I$36*parametros_manuales!$J$36</f>
        <v>11229.03</v>
      </c>
      <c r="N159" s="8">
        <f t="shared" si="16"/>
        <v>124767</v>
      </c>
      <c r="O159" s="8">
        <f t="shared" si="17"/>
        <v>11229.03</v>
      </c>
      <c r="P159" s="27">
        <f>O159/(parametros_manuales!$B$7)</f>
        <v>74.8602</v>
      </c>
      <c r="Q159" s="4" t="str">
        <f t="shared" si="18"/>
        <v>Ene</v>
      </c>
      <c r="R159" s="16"/>
      <c r="S159" s="16"/>
    </row>
    <row r="160" ht="14.25" customHeight="1">
      <c r="A160" s="4" t="str">
        <f>parametros_manuales!$B$37</f>
        <v>Corrección de defectos</v>
      </c>
      <c r="B160" s="8">
        <f>(parametros_manuales!$D$37*(datos_base!$G$2+IF(parametros_manuales!$H$37="Todos",datos_base!$G$9,0))*parametros_manuales!$B$97+parametros_manuales!$E$37*(datos_base!$G$3+IF(parametros_manuales!$H$37="Todos",datos_base!$G$10,0))*parametros_manuales!$B$102+parametros_manuales!$F$37*(datos_base!$G$4+IF(parametros_manuales!$H$37="Todos",datos_base!$G$11,0))*parametros_manuales!$B$107+parametros_manuales!$G$37*(datos_base!$G$5+IF(parametros_manuales!$H$37="Todos",datos_base!$G$12,0))*parametros_manuales!$B$112)*parametros_manuales!$I$37*parametros_manuales!$J$37</f>
        <v>561.4515</v>
      </c>
      <c r="C160" s="8">
        <f>(parametros_manuales!$D$37*(datos_base!$G$2+IF(parametros_manuales!$H$37="Todos",datos_base!$G$9,0))*parametros_manuales!$C$97+parametros_manuales!$E$37*(datos_base!$G$3+IF(parametros_manuales!$H$37="Todos",datos_base!$G$10,0))*parametros_manuales!$C$102+parametros_manuales!$F$37*(datos_base!$G$4+IF(parametros_manuales!$H$37="Todos",datos_base!$G$11,0))*parametros_manuales!$C$107+parametros_manuales!$G$37*(datos_base!$G$5+IF(parametros_manuales!$H$37="Todos",datos_base!$G$12,0))*parametros_manuales!$C$112)*parametros_manuales!$I$37*parametros_manuales!$J$37</f>
        <v>542.718</v>
      </c>
      <c r="D160" s="8">
        <f>(parametros_manuales!$D$37*(datos_base!$G$2+IF(parametros_manuales!$H$37="Todos",datos_base!$G$9,0))*parametros_manuales!$D$97+parametros_manuales!$E$37*(datos_base!$G$3+IF(parametros_manuales!$H$37="Todos",datos_base!$G$10,0))*parametros_manuales!$D$102+parametros_manuales!$F$37*(datos_base!$G$4+IF(parametros_manuales!$H$37="Todos",datos_base!$G$11,0))*parametros_manuales!$D$107+parametros_manuales!$G$37*(datos_base!$G$5+IF(parametros_manuales!$H$37="Todos",datos_base!$G$12,0))*parametros_manuales!$D$112)*parametros_manuales!$I$37*parametros_manuales!$J$37</f>
        <v>508.43475</v>
      </c>
      <c r="E160" s="8">
        <f>(parametros_manuales!$D$37*(datos_base!$G$2+IF(parametros_manuales!$H$37="Todos",datos_base!$G$9,0))*parametros_manuales!$E$97+parametros_manuales!$E$37*(datos_base!$G$3+IF(parametros_manuales!$H$37="Todos",datos_base!$G$10,0))*parametros_manuales!$E$102+parametros_manuales!$F$37*(datos_base!$G$4+IF(parametros_manuales!$H$37="Todos",datos_base!$G$11,0))*parametros_manuales!$E$107+parametros_manuales!$G$37*(datos_base!$G$5+IF(parametros_manuales!$H$37="Todos",datos_base!$G$12,0))*parametros_manuales!$E$112)*parametros_manuales!$I$37*parametros_manuales!$J$37</f>
        <v>486.60975</v>
      </c>
      <c r="F160" s="8">
        <f>(parametros_manuales!$D$37*(datos_base!$G$2+IF(parametros_manuales!$H$37="Todos",datos_base!$G$9,0))*parametros_manuales!$F$97+parametros_manuales!$E$37*(datos_base!$G$3+IF(parametros_manuales!$H$37="Todos",datos_base!$G$10,0))*parametros_manuales!$F$102+parametros_manuales!$F$37*(datos_base!$G$4+IF(parametros_manuales!$H$37="Todos",datos_base!$G$11,0))*parametros_manuales!$F$107+parametros_manuales!$G$37*(datos_base!$G$5+IF(parametros_manuales!$H$37="Todos",datos_base!$G$12,0))*parametros_manuales!$F$112)*parametros_manuales!$I$37*parametros_manuales!$J$37</f>
        <v>455.418</v>
      </c>
      <c r="G160" s="8">
        <f>(parametros_manuales!$D$37*(datos_base!$G$2+IF(parametros_manuales!$H$37="Todos",datos_base!$G$9,0))*parametros_manuales!$G$97+parametros_manuales!$E$37*(datos_base!$G$3+IF(parametros_manuales!$H$37="Todos",datos_base!$G$10,0))*parametros_manuales!$G$102+parametros_manuales!$F$37*(datos_base!$G$4+IF(parametros_manuales!$H$37="Todos",datos_base!$G$11,0))*parametros_manuales!$G$107+parametros_manuales!$G$37*(datos_base!$G$5+IF(parametros_manuales!$H$37="Todos",datos_base!$G$12,0))*parametros_manuales!$G$112)*parametros_manuales!$I$37*parametros_manuales!$J$37</f>
        <v>446.05125</v>
      </c>
      <c r="H160" s="8">
        <f>(parametros_manuales!$D$37*(datos_base!$G$2+IF(parametros_manuales!$H$37="Todos",datos_base!$G$9,0))*parametros_manuales!$H$97+parametros_manuales!$E$37*(datos_base!$G$3+IF(parametros_manuales!$H$37="Todos",datos_base!$G$10,0))*parametros_manuales!$H$102+parametros_manuales!$F$37*(datos_base!$G$4+IF(parametros_manuales!$H$37="Todos",datos_base!$G$11,0))*parametros_manuales!$H$107+parametros_manuales!$G$37*(datos_base!$G$5+IF(parametros_manuales!$H$37="Todos",datos_base!$G$12,0))*parametros_manuales!$H$112)*parametros_manuales!$I$37*parametros_manuales!$J$37</f>
        <v>477.243</v>
      </c>
      <c r="I160" s="8">
        <f>(parametros_manuales!$D$37*(datos_base!$G$2+IF(parametros_manuales!$H$37="Todos",datos_base!$G$9,0))*parametros_manuales!$I$97+parametros_manuales!$E$37*(datos_base!$G$3+IF(parametros_manuales!$H$37="Todos",datos_base!$G$10,0))*parametros_manuales!$I$102+parametros_manuales!$F$37*(datos_base!$G$4+IF(parametros_manuales!$H$37="Todos",datos_base!$G$11,0))*parametros_manuales!$I$107+parametros_manuales!$G$37*(datos_base!$G$5+IF(parametros_manuales!$H$37="Todos",datos_base!$G$12,0))*parametros_manuales!$I$112)*parametros_manuales!$I$37*parametros_manuales!$J$37</f>
        <v>542.718</v>
      </c>
      <c r="J160" s="8">
        <f>(parametros_manuales!$D$37*(datos_base!$G$2+IF(parametros_manuales!$H$37="Todos",datos_base!$G$9,0))*parametros_manuales!$J$97+parametros_manuales!$E$37*(datos_base!$G$3+IF(parametros_manuales!$H$37="Todos",datos_base!$G$10,0))*parametros_manuales!$J$102+parametros_manuales!$F$37*(datos_base!$G$4+IF(parametros_manuales!$H$37="Todos",datos_base!$G$11,0))*parametros_manuales!$J$107+parametros_manuales!$G$37*(datos_base!$G$5+IF(parametros_manuales!$H$37="Todos",datos_base!$G$12,0))*parametros_manuales!$J$112)*parametros_manuales!$I$37*parametros_manuales!$J$37</f>
        <v>542.718</v>
      </c>
      <c r="K160" s="8">
        <f>(parametros_manuales!$D$37*(datos_base!$G$2+IF(parametros_manuales!$H$37="Todos",datos_base!$G$9,0))*parametros_manuales!$K$97+parametros_manuales!$E$37*(datos_base!$G$3+IF(parametros_manuales!$H$37="Todos",datos_base!$G$10,0))*parametros_manuales!$K$102+parametros_manuales!$F$37*(datos_base!$G$4+IF(parametros_manuales!$H$37="Todos",datos_base!$G$11,0))*parametros_manuales!$K$107+parametros_manuales!$G$37*(datos_base!$G$5+IF(parametros_manuales!$H$37="Todos",datos_base!$G$12,0))*parametros_manuales!$K$112)*parametros_manuales!$I$37*parametros_manuales!$J$37</f>
        <v>552.08475</v>
      </c>
      <c r="L160" s="8">
        <f>(parametros_manuales!$D$37*(datos_base!$G$2+IF(parametros_manuales!$H$37="Todos",datos_base!$G$9,0))*parametros_manuales!$L$97+parametros_manuales!$E$37*(datos_base!$G$3+IF(parametros_manuales!$H$37="Todos",datos_base!$G$10,0))*parametros_manuales!$L$102+parametros_manuales!$F$37*(datos_base!$G$4+IF(parametros_manuales!$H$37="Todos",datos_base!$G$11,0))*parametros_manuales!$L$107+parametros_manuales!$G$37*(datos_base!$G$5+IF(parametros_manuales!$H$37="Todos",datos_base!$G$12,0))*parametros_manuales!$L$112)*parametros_manuales!$I$37*parametros_manuales!$J$37</f>
        <v>561.4515</v>
      </c>
      <c r="M160" s="8">
        <f>(parametros_manuales!$D$37*(datos_base!$G$2+IF(parametros_manuales!$H$37="Todos",datos_base!$G$9,0))*parametros_manuales!$M$97+parametros_manuales!$E$37*(datos_base!$G$3+IF(parametros_manuales!$H$37="Todos",datos_base!$G$10,0))*parametros_manuales!$M$102+parametros_manuales!$F$37*(datos_base!$G$4+IF(parametros_manuales!$H$37="Todos",datos_base!$G$11,0))*parametros_manuales!$M$107+parametros_manuales!$G$37*(datos_base!$G$5+IF(parametros_manuales!$H$37="Todos",datos_base!$G$12,0))*parametros_manuales!$M$112)*parametros_manuales!$I$37*parametros_manuales!$J$37</f>
        <v>561.4515</v>
      </c>
      <c r="N160" s="8">
        <f t="shared" si="16"/>
        <v>6238.35</v>
      </c>
      <c r="O160" s="8">
        <f t="shared" si="17"/>
        <v>561.4515</v>
      </c>
      <c r="P160" s="27">
        <f>O160/(parametros_manuales!$B$7)</f>
        <v>3.74301</v>
      </c>
      <c r="Q160" s="4" t="str">
        <f t="shared" si="18"/>
        <v>Ene</v>
      </c>
      <c r="R160" s="16"/>
      <c r="S160" s="16"/>
    </row>
    <row r="161" ht="14.25" customHeight="1">
      <c r="A161" s="4" t="str">
        <f>parametros_manuales!$B$38</f>
        <v>Pintura en polvo + horno</v>
      </c>
      <c r="B161" s="8">
        <f>(parametros_manuales!$D$38*(datos_base!$G$2+IF(parametros_manuales!$H$38="Todos",datos_base!$G$9,0))*parametros_manuales!$B$97+parametros_manuales!$E$38*(datos_base!$G$3+IF(parametros_manuales!$H$38="Todos",datos_base!$G$10,0))*parametros_manuales!$B$102+parametros_manuales!$F$38*(datos_base!$G$4+IF(parametros_manuales!$H$38="Todos",datos_base!$G$11,0))*parametros_manuales!$B$107+parametros_manuales!$G$38*(datos_base!$G$5+IF(parametros_manuales!$H$38="Todos",datos_base!$G$12,0))*parametros_manuales!$B$112)*parametros_manuales!$I$38*parametros_manuales!$J$38</f>
        <v>11229.03</v>
      </c>
      <c r="C161" s="8">
        <f>(parametros_manuales!$D$38*(datos_base!$G$2+IF(parametros_manuales!$H$38="Todos",datos_base!$G$9,0))*parametros_manuales!$C$97+parametros_manuales!$E$38*(datos_base!$G$3+IF(parametros_manuales!$H$38="Todos",datos_base!$G$10,0))*parametros_manuales!$C$102+parametros_manuales!$F$38*(datos_base!$G$4+IF(parametros_manuales!$H$38="Todos",datos_base!$G$11,0))*parametros_manuales!$C$107+parametros_manuales!$G$38*(datos_base!$G$5+IF(parametros_manuales!$H$38="Todos",datos_base!$G$12,0))*parametros_manuales!$C$112)*parametros_manuales!$I$38*parametros_manuales!$J$38</f>
        <v>10854.36</v>
      </c>
      <c r="D161" s="8">
        <f>(parametros_manuales!$D$38*(datos_base!$G$2+IF(parametros_manuales!$H$38="Todos",datos_base!$G$9,0))*parametros_manuales!$D$97+parametros_manuales!$E$38*(datos_base!$G$3+IF(parametros_manuales!$H$38="Todos",datos_base!$G$10,0))*parametros_manuales!$D$102+parametros_manuales!$F$38*(datos_base!$G$4+IF(parametros_manuales!$H$38="Todos",datos_base!$G$11,0))*parametros_manuales!$D$107+parametros_manuales!$G$38*(datos_base!$G$5+IF(parametros_manuales!$H$38="Todos",datos_base!$G$12,0))*parametros_manuales!$D$112)*parametros_manuales!$I$38*parametros_manuales!$J$38</f>
        <v>10168.695</v>
      </c>
      <c r="E161" s="8">
        <f>(parametros_manuales!$D$38*(datos_base!$G$2+IF(parametros_manuales!$H$38="Todos",datos_base!$G$9,0))*parametros_manuales!$E$97+parametros_manuales!$E$38*(datos_base!$G$3+IF(parametros_manuales!$H$38="Todos",datos_base!$G$10,0))*parametros_manuales!$E$102+parametros_manuales!$F$38*(datos_base!$G$4+IF(parametros_manuales!$H$38="Todos",datos_base!$G$11,0))*parametros_manuales!$E$107+parametros_manuales!$G$38*(datos_base!$G$5+IF(parametros_manuales!$H$38="Todos",datos_base!$G$12,0))*parametros_manuales!$E$112)*parametros_manuales!$I$38*parametros_manuales!$J$38</f>
        <v>9732.195</v>
      </c>
      <c r="F161" s="8">
        <f>(parametros_manuales!$D$38*(datos_base!$G$2+IF(parametros_manuales!$H$38="Todos",datos_base!$G$9,0))*parametros_manuales!$F$97+parametros_manuales!$E$38*(datos_base!$G$3+IF(parametros_manuales!$H$38="Todos",datos_base!$G$10,0))*parametros_manuales!$F$102+parametros_manuales!$F$38*(datos_base!$G$4+IF(parametros_manuales!$H$38="Todos",datos_base!$G$11,0))*parametros_manuales!$F$107+parametros_manuales!$G$38*(datos_base!$G$5+IF(parametros_manuales!$H$38="Todos",datos_base!$G$12,0))*parametros_manuales!$F$112)*parametros_manuales!$I$38*parametros_manuales!$J$38</f>
        <v>9108.36</v>
      </c>
      <c r="G161" s="8">
        <f>(parametros_manuales!$D$38*(datos_base!$G$2+IF(parametros_manuales!$H$38="Todos",datos_base!$G$9,0))*parametros_manuales!$G$97+parametros_manuales!$E$38*(datos_base!$G$3+IF(parametros_manuales!$H$38="Todos",datos_base!$G$10,0))*parametros_manuales!$G$102+parametros_manuales!$F$38*(datos_base!$G$4+IF(parametros_manuales!$H$38="Todos",datos_base!$G$11,0))*parametros_manuales!$G$107+parametros_manuales!$G$38*(datos_base!$G$5+IF(parametros_manuales!$H$38="Todos",datos_base!$G$12,0))*parametros_manuales!$G$112)*parametros_manuales!$I$38*parametros_manuales!$J$38</f>
        <v>8921.025</v>
      </c>
      <c r="H161" s="8">
        <f>(parametros_manuales!$D$38*(datos_base!$G$2+IF(parametros_manuales!$H$38="Todos",datos_base!$G$9,0))*parametros_manuales!$H$97+parametros_manuales!$E$38*(datos_base!$G$3+IF(parametros_manuales!$H$38="Todos",datos_base!$G$10,0))*parametros_manuales!$H$102+parametros_manuales!$F$38*(datos_base!$G$4+IF(parametros_manuales!$H$38="Todos",datos_base!$G$11,0))*parametros_manuales!$H$107+parametros_manuales!$G$38*(datos_base!$G$5+IF(parametros_manuales!$H$38="Todos",datos_base!$G$12,0))*parametros_manuales!$H$112)*parametros_manuales!$I$38*parametros_manuales!$J$38</f>
        <v>9544.86</v>
      </c>
      <c r="I161" s="8">
        <f>(parametros_manuales!$D$38*(datos_base!$G$2+IF(parametros_manuales!$H$38="Todos",datos_base!$G$9,0))*parametros_manuales!$I$97+parametros_manuales!$E$38*(datos_base!$G$3+IF(parametros_manuales!$H$38="Todos",datos_base!$G$10,0))*parametros_manuales!$I$102+parametros_manuales!$F$38*(datos_base!$G$4+IF(parametros_manuales!$H$38="Todos",datos_base!$G$11,0))*parametros_manuales!$I$107+parametros_manuales!$G$38*(datos_base!$G$5+IF(parametros_manuales!$H$38="Todos",datos_base!$G$12,0))*parametros_manuales!$I$112)*parametros_manuales!$I$38*parametros_manuales!$J$38</f>
        <v>10854.36</v>
      </c>
      <c r="J161" s="8">
        <f>(parametros_manuales!$D$38*(datos_base!$G$2+IF(parametros_manuales!$H$38="Todos",datos_base!$G$9,0))*parametros_manuales!$J$97+parametros_manuales!$E$38*(datos_base!$G$3+IF(parametros_manuales!$H$38="Todos",datos_base!$G$10,0))*parametros_manuales!$J$102+parametros_manuales!$F$38*(datos_base!$G$4+IF(parametros_manuales!$H$38="Todos",datos_base!$G$11,0))*parametros_manuales!$J$107+parametros_manuales!$G$38*(datos_base!$G$5+IF(parametros_manuales!$H$38="Todos",datos_base!$G$12,0))*parametros_manuales!$J$112)*parametros_manuales!$I$38*parametros_manuales!$J$38</f>
        <v>10854.36</v>
      </c>
      <c r="K161" s="8">
        <f>(parametros_manuales!$D$38*(datos_base!$G$2+IF(parametros_manuales!$H$38="Todos",datos_base!$G$9,0))*parametros_manuales!$K$97+parametros_manuales!$E$38*(datos_base!$G$3+IF(parametros_manuales!$H$38="Todos",datos_base!$G$10,0))*parametros_manuales!$K$102+parametros_manuales!$F$38*(datos_base!$G$4+IF(parametros_manuales!$H$38="Todos",datos_base!$G$11,0))*parametros_manuales!$K$107+parametros_manuales!$G$38*(datos_base!$G$5+IF(parametros_manuales!$H$38="Todos",datos_base!$G$12,0))*parametros_manuales!$K$112)*parametros_manuales!$I$38*parametros_manuales!$J$38</f>
        <v>11041.695</v>
      </c>
      <c r="L161" s="8">
        <f>(parametros_manuales!$D$38*(datos_base!$G$2+IF(parametros_manuales!$H$38="Todos",datos_base!$G$9,0))*parametros_manuales!$L$97+parametros_manuales!$E$38*(datos_base!$G$3+IF(parametros_manuales!$H$38="Todos",datos_base!$G$10,0))*parametros_manuales!$L$102+parametros_manuales!$F$38*(datos_base!$G$4+IF(parametros_manuales!$H$38="Todos",datos_base!$G$11,0))*parametros_manuales!$L$107+parametros_manuales!$G$38*(datos_base!$G$5+IF(parametros_manuales!$H$38="Todos",datos_base!$G$12,0))*parametros_manuales!$L$112)*parametros_manuales!$I$38*parametros_manuales!$J$38</f>
        <v>11229.03</v>
      </c>
      <c r="M161" s="8">
        <f>(parametros_manuales!$D$38*(datos_base!$G$2+IF(parametros_manuales!$H$38="Todos",datos_base!$G$9,0))*parametros_manuales!$M$97+parametros_manuales!$E$38*(datos_base!$G$3+IF(parametros_manuales!$H$38="Todos",datos_base!$G$10,0))*parametros_manuales!$M$102+parametros_manuales!$F$38*(datos_base!$G$4+IF(parametros_manuales!$H$38="Todos",datos_base!$G$11,0))*parametros_manuales!$M$107+parametros_manuales!$G$38*(datos_base!$G$5+IF(parametros_manuales!$H$38="Todos",datos_base!$G$12,0))*parametros_manuales!$M$112)*parametros_manuales!$I$38*parametros_manuales!$J$38</f>
        <v>11229.03</v>
      </c>
      <c r="N161" s="8">
        <f t="shared" si="16"/>
        <v>124767</v>
      </c>
      <c r="O161" s="8">
        <f t="shared" si="17"/>
        <v>11229.03</v>
      </c>
      <c r="P161" s="27">
        <f>O161/(parametros_manuales!$B$7)</f>
        <v>74.8602</v>
      </c>
      <c r="Q161" s="4" t="str">
        <f t="shared" si="18"/>
        <v>Ene</v>
      </c>
      <c r="R161" s="16"/>
      <c r="S161" s="16"/>
    </row>
    <row r="162" ht="14.25" customHeight="1">
      <c r="A162" s="4" t="str">
        <f>parametros_manuales!$B$39</f>
        <v>Carga de polvo</v>
      </c>
      <c r="B162" s="8">
        <f>(parametros_manuales!$D$39*(datos_base!$G$2+IF(parametros_manuales!$H$39="Todos",datos_base!$G$9,0))*parametros_manuales!$B$97+parametros_manuales!$E$39*(datos_base!$G$3+IF(parametros_manuales!$H$39="Todos",datos_base!$G$10,0))*parametros_manuales!$B$102+parametros_manuales!$F$39*(datos_base!$G$4+IF(parametros_manuales!$H$39="Todos",datos_base!$G$11,0))*parametros_manuales!$B$107+parametros_manuales!$G$39*(datos_base!$G$5+IF(parametros_manuales!$H$39="Todos",datos_base!$G$12,0))*parametros_manuales!$B$112)*parametros_manuales!$I$39*parametros_manuales!$J$39</f>
        <v>3132.09</v>
      </c>
      <c r="C162" s="8">
        <f>(parametros_manuales!$D$39*(datos_base!$G$2+IF(parametros_manuales!$H$39="Todos",datos_base!$G$9,0))*parametros_manuales!$C$97+parametros_manuales!$E$39*(datos_base!$G$3+IF(parametros_manuales!$H$39="Todos",datos_base!$G$10,0))*parametros_manuales!$C$102+parametros_manuales!$F$39*(datos_base!$G$4+IF(parametros_manuales!$H$39="Todos",datos_base!$G$11,0))*parametros_manuales!$C$107+parametros_manuales!$G$39*(datos_base!$G$5+IF(parametros_manuales!$H$39="Todos",datos_base!$G$12,0))*parametros_manuales!$C$112)*parametros_manuales!$I$39*parametros_manuales!$J$39</f>
        <v>2940.28</v>
      </c>
      <c r="D162" s="8">
        <f>(parametros_manuales!$D$39*(datos_base!$G$2+IF(parametros_manuales!$H$39="Todos",datos_base!$G$9,0))*parametros_manuales!$D$97+parametros_manuales!$E$39*(datos_base!$G$3+IF(parametros_manuales!$H$39="Todos",datos_base!$G$10,0))*parametros_manuales!$D$102+parametros_manuales!$F$39*(datos_base!$G$4+IF(parametros_manuales!$H$39="Todos",datos_base!$G$11,0))*parametros_manuales!$D$107+parametros_manuales!$G$39*(datos_base!$G$5+IF(parametros_manuales!$H$39="Todos",datos_base!$G$12,0))*parametros_manuales!$D$112)*parametros_manuales!$I$39*parametros_manuales!$J$39</f>
        <v>2879.985</v>
      </c>
      <c r="E162" s="8">
        <f>(parametros_manuales!$D$39*(datos_base!$G$2+IF(parametros_manuales!$H$39="Todos",datos_base!$G$9,0))*parametros_manuales!$E$97+parametros_manuales!$E$39*(datos_base!$G$3+IF(parametros_manuales!$H$39="Todos",datos_base!$G$10,0))*parametros_manuales!$E$102+parametros_manuales!$F$39*(datos_base!$G$4+IF(parametros_manuales!$H$39="Todos",datos_base!$G$11,0))*parametros_manuales!$E$107+parametros_manuales!$G$39*(datos_base!$G$5+IF(parametros_manuales!$H$39="Todos",datos_base!$G$12,0))*parametros_manuales!$E$112)*parametros_manuales!$I$39*parametros_manuales!$J$39</f>
        <v>2801.885</v>
      </c>
      <c r="F162" s="8">
        <f>(parametros_manuales!$D$39*(datos_base!$G$2+IF(parametros_manuales!$H$39="Todos",datos_base!$G$9,0))*parametros_manuales!$F$97+parametros_manuales!$E$39*(datos_base!$G$3+IF(parametros_manuales!$H$39="Todos",datos_base!$G$10,0))*parametros_manuales!$F$102+parametros_manuales!$F$39*(datos_base!$G$4+IF(parametros_manuales!$H$39="Todos",datos_base!$G$11,0))*parametros_manuales!$F$107+parametros_manuales!$G$39*(datos_base!$G$5+IF(parametros_manuales!$H$39="Todos",datos_base!$G$12,0))*parametros_manuales!$F$112)*parametros_manuales!$I$39*parametros_manuales!$J$39</f>
        <v>2627.88</v>
      </c>
      <c r="G162" s="8">
        <f>(parametros_manuales!$D$39*(datos_base!$G$2+IF(parametros_manuales!$H$39="Todos",datos_base!$G$9,0))*parametros_manuales!$G$97+parametros_manuales!$E$39*(datos_base!$G$3+IF(parametros_manuales!$H$39="Todos",datos_base!$G$10,0))*parametros_manuales!$G$102+parametros_manuales!$F$39*(datos_base!$G$4+IF(parametros_manuales!$H$39="Todos",datos_base!$G$11,0))*parametros_manuales!$G$107+parametros_manuales!$G$39*(datos_base!$G$5+IF(parametros_manuales!$H$39="Todos",datos_base!$G$12,0))*parametros_manuales!$G$112)*parametros_manuales!$I$39*parametros_manuales!$J$39</f>
        <v>2531.975</v>
      </c>
      <c r="H162" s="8">
        <f>(parametros_manuales!$D$39*(datos_base!$G$2+IF(parametros_manuales!$H$39="Todos",datos_base!$G$9,0))*parametros_manuales!$H$97+parametros_manuales!$E$39*(datos_base!$G$3+IF(parametros_manuales!$H$39="Todos",datos_base!$G$10,0))*parametros_manuales!$H$102+parametros_manuales!$F$39*(datos_base!$G$4+IF(parametros_manuales!$H$39="Todos",datos_base!$G$11,0))*parametros_manuales!$H$107+parametros_manuales!$G$39*(datos_base!$G$5+IF(parametros_manuales!$H$39="Todos",datos_base!$G$12,0))*parametros_manuales!$H$112)*parametros_manuales!$I$39*parametros_manuales!$J$39</f>
        <v>2705.98</v>
      </c>
      <c r="I162" s="8">
        <f>(parametros_manuales!$D$39*(datos_base!$G$2+IF(parametros_manuales!$H$39="Todos",datos_base!$G$9,0))*parametros_manuales!$I$97+parametros_manuales!$E$39*(datos_base!$G$3+IF(parametros_manuales!$H$39="Todos",datos_base!$G$10,0))*parametros_manuales!$I$102+parametros_manuales!$F$39*(datos_base!$G$4+IF(parametros_manuales!$H$39="Todos",datos_base!$G$11,0))*parametros_manuales!$I$107+parametros_manuales!$G$39*(datos_base!$G$5+IF(parametros_manuales!$H$39="Todos",datos_base!$G$12,0))*parametros_manuales!$I$112)*parametros_manuales!$I$39*parametros_manuales!$J$39</f>
        <v>2940.28</v>
      </c>
      <c r="J162" s="8">
        <f>(parametros_manuales!$D$39*(datos_base!$G$2+IF(parametros_manuales!$H$39="Todos",datos_base!$G$9,0))*parametros_manuales!$J$97+parametros_manuales!$E$39*(datos_base!$G$3+IF(parametros_manuales!$H$39="Todos",datos_base!$G$10,0))*parametros_manuales!$J$102+parametros_manuales!$F$39*(datos_base!$G$4+IF(parametros_manuales!$H$39="Todos",datos_base!$G$11,0))*parametros_manuales!$J$107+parametros_manuales!$G$39*(datos_base!$G$5+IF(parametros_manuales!$H$39="Todos",datos_base!$G$12,0))*parametros_manuales!$J$112)*parametros_manuales!$I$39*parametros_manuales!$J$39</f>
        <v>2940.28</v>
      </c>
      <c r="K162" s="8">
        <f>(parametros_manuales!$D$39*(datos_base!$G$2+IF(parametros_manuales!$H$39="Todos",datos_base!$G$9,0))*parametros_manuales!$K$97+parametros_manuales!$E$39*(datos_base!$G$3+IF(parametros_manuales!$H$39="Todos",datos_base!$G$10,0))*parametros_manuales!$K$102+parametros_manuales!$F$39*(datos_base!$G$4+IF(parametros_manuales!$H$39="Todos",datos_base!$G$11,0))*parametros_manuales!$K$107+parametros_manuales!$G$39*(datos_base!$G$5+IF(parametros_manuales!$H$39="Todos",datos_base!$G$12,0))*parametros_manuales!$K$112)*parametros_manuales!$I$39*parametros_manuales!$J$39</f>
        <v>3036.185</v>
      </c>
      <c r="L162" s="8">
        <f>(parametros_manuales!$D$39*(datos_base!$G$2+IF(parametros_manuales!$H$39="Todos",datos_base!$G$9,0))*parametros_manuales!$L$97+parametros_manuales!$E$39*(datos_base!$G$3+IF(parametros_manuales!$H$39="Todos",datos_base!$G$10,0))*parametros_manuales!$L$102+parametros_manuales!$F$39*(datos_base!$G$4+IF(parametros_manuales!$H$39="Todos",datos_base!$G$11,0))*parametros_manuales!$L$107+parametros_manuales!$G$39*(datos_base!$G$5+IF(parametros_manuales!$H$39="Todos",datos_base!$G$12,0))*parametros_manuales!$L$112)*parametros_manuales!$I$39*parametros_manuales!$J$39</f>
        <v>3132.09</v>
      </c>
      <c r="M162" s="8">
        <f>(parametros_manuales!$D$39*(datos_base!$G$2+IF(parametros_manuales!$H$39="Todos",datos_base!$G$9,0))*parametros_manuales!$M$97+parametros_manuales!$E$39*(datos_base!$G$3+IF(parametros_manuales!$H$39="Todos",datos_base!$G$10,0))*parametros_manuales!$M$102+parametros_manuales!$F$39*(datos_base!$G$4+IF(parametros_manuales!$H$39="Todos",datos_base!$G$11,0))*parametros_manuales!$M$107+parametros_manuales!$G$39*(datos_base!$G$5+IF(parametros_manuales!$H$39="Todos",datos_base!$G$12,0))*parametros_manuales!$M$112)*parametros_manuales!$I$39*parametros_manuales!$J$39</f>
        <v>3132.09</v>
      </c>
      <c r="N162" s="8">
        <f t="shared" si="16"/>
        <v>34801</v>
      </c>
      <c r="O162" s="8">
        <f t="shared" si="17"/>
        <v>3132.09</v>
      </c>
      <c r="P162" s="27">
        <f>O162/(parametros_manuales!$B$7)</f>
        <v>20.8806</v>
      </c>
      <c r="Q162" s="4" t="str">
        <f t="shared" si="18"/>
        <v>Ene</v>
      </c>
      <c r="R162" s="16"/>
      <c r="S162" s="16"/>
    </row>
    <row r="163" ht="14.25" customHeight="1">
      <c r="A163" s="4" t="str">
        <f>parametros_manuales!$B$40</f>
        <v>Ensamblaje</v>
      </c>
      <c r="B163" s="8">
        <f>(parametros_manuales!$D$40*(datos_base!$G$2+IF(parametros_manuales!$H$40="Todos",datos_base!$G$9,0))*parametros_manuales!$B$97+parametros_manuales!$E$40*(datos_base!$G$3+IF(parametros_manuales!$H$40="Todos",datos_base!$G$10,0))*parametros_manuales!$B$102+parametros_manuales!$F$40*(datos_base!$G$4+IF(parametros_manuales!$H$40="Todos",datos_base!$G$11,0))*parametros_manuales!$B$107+parametros_manuales!$G$40*(datos_base!$G$5+IF(parametros_manuales!$H$40="Todos",datos_base!$G$12,0))*parametros_manuales!$B$112)*parametros_manuales!$I$40*parametros_manuales!$J$40</f>
        <v>3132.09</v>
      </c>
      <c r="C163" s="8">
        <f>(parametros_manuales!$D$40*(datos_base!$G$2+IF(parametros_manuales!$H$40="Todos",datos_base!$G$9,0))*parametros_manuales!$C$97+parametros_manuales!$E$40*(datos_base!$G$3+IF(parametros_manuales!$H$40="Todos",datos_base!$G$10,0))*parametros_manuales!$C$102+parametros_manuales!$F$40*(datos_base!$G$4+IF(parametros_manuales!$H$40="Todos",datos_base!$G$11,0))*parametros_manuales!$C$107+parametros_manuales!$G$40*(datos_base!$G$5+IF(parametros_manuales!$H$40="Todos",datos_base!$G$12,0))*parametros_manuales!$C$112)*parametros_manuales!$I$40*parametros_manuales!$J$40</f>
        <v>2940.28</v>
      </c>
      <c r="D163" s="8">
        <f>(parametros_manuales!$D$40*(datos_base!$G$2+IF(parametros_manuales!$H$40="Todos",datos_base!$G$9,0))*parametros_manuales!$D$97+parametros_manuales!$E$40*(datos_base!$G$3+IF(parametros_manuales!$H$40="Todos",datos_base!$G$10,0))*parametros_manuales!$D$102+parametros_manuales!$F$40*(datos_base!$G$4+IF(parametros_manuales!$H$40="Todos",datos_base!$G$11,0))*parametros_manuales!$D$107+parametros_manuales!$G$40*(datos_base!$G$5+IF(parametros_manuales!$H$40="Todos",datos_base!$G$12,0))*parametros_manuales!$D$112)*parametros_manuales!$I$40*parametros_manuales!$J$40</f>
        <v>2879.985</v>
      </c>
      <c r="E163" s="8">
        <f>(parametros_manuales!$D$40*(datos_base!$G$2+IF(parametros_manuales!$H$40="Todos",datos_base!$G$9,0))*parametros_manuales!$E$97+parametros_manuales!$E$40*(datos_base!$G$3+IF(parametros_manuales!$H$40="Todos",datos_base!$G$10,0))*parametros_manuales!$E$102+parametros_manuales!$F$40*(datos_base!$G$4+IF(parametros_manuales!$H$40="Todos",datos_base!$G$11,0))*parametros_manuales!$E$107+parametros_manuales!$G$40*(datos_base!$G$5+IF(parametros_manuales!$H$40="Todos",datos_base!$G$12,0))*parametros_manuales!$E$112)*parametros_manuales!$I$40*parametros_manuales!$J$40</f>
        <v>2801.885</v>
      </c>
      <c r="F163" s="8">
        <f>(parametros_manuales!$D$40*(datos_base!$G$2+IF(parametros_manuales!$H$40="Todos",datos_base!$G$9,0))*parametros_manuales!$F$97+parametros_manuales!$E$40*(datos_base!$G$3+IF(parametros_manuales!$H$40="Todos",datos_base!$G$10,0))*parametros_manuales!$F$102+parametros_manuales!$F$40*(datos_base!$G$4+IF(parametros_manuales!$H$40="Todos",datos_base!$G$11,0))*parametros_manuales!$F$107+parametros_manuales!$G$40*(datos_base!$G$5+IF(parametros_manuales!$H$40="Todos",datos_base!$G$12,0))*parametros_manuales!$F$112)*parametros_manuales!$I$40*parametros_manuales!$J$40</f>
        <v>2627.88</v>
      </c>
      <c r="G163" s="8">
        <f>(parametros_manuales!$D$40*(datos_base!$G$2+IF(parametros_manuales!$H$40="Todos",datos_base!$G$9,0))*parametros_manuales!$G$97+parametros_manuales!$E$40*(datos_base!$G$3+IF(parametros_manuales!$H$40="Todos",datos_base!$G$10,0))*parametros_manuales!$G$102+parametros_manuales!$F$40*(datos_base!$G$4+IF(parametros_manuales!$H$40="Todos",datos_base!$G$11,0))*parametros_manuales!$G$107+parametros_manuales!$G$40*(datos_base!$G$5+IF(parametros_manuales!$H$40="Todos",datos_base!$G$12,0))*parametros_manuales!$G$112)*parametros_manuales!$I$40*parametros_manuales!$J$40</f>
        <v>2531.975</v>
      </c>
      <c r="H163" s="8">
        <f>(parametros_manuales!$D$40*(datos_base!$G$2+IF(parametros_manuales!$H$40="Todos",datos_base!$G$9,0))*parametros_manuales!$H$97+parametros_manuales!$E$40*(datos_base!$G$3+IF(parametros_manuales!$H$40="Todos",datos_base!$G$10,0))*parametros_manuales!$H$102+parametros_manuales!$F$40*(datos_base!$G$4+IF(parametros_manuales!$H$40="Todos",datos_base!$G$11,0))*parametros_manuales!$H$107+parametros_manuales!$G$40*(datos_base!$G$5+IF(parametros_manuales!$H$40="Todos",datos_base!$G$12,0))*parametros_manuales!$H$112)*parametros_manuales!$I$40*parametros_manuales!$J$40</f>
        <v>2705.98</v>
      </c>
      <c r="I163" s="8">
        <f>(parametros_manuales!$D$40*(datos_base!$G$2+IF(parametros_manuales!$H$40="Todos",datos_base!$G$9,0))*parametros_manuales!$I$97+parametros_manuales!$E$40*(datos_base!$G$3+IF(parametros_manuales!$H$40="Todos",datos_base!$G$10,0))*parametros_manuales!$I$102+parametros_manuales!$F$40*(datos_base!$G$4+IF(parametros_manuales!$H$40="Todos",datos_base!$G$11,0))*parametros_manuales!$I$107+parametros_manuales!$G$40*(datos_base!$G$5+IF(parametros_manuales!$H$40="Todos",datos_base!$G$12,0))*parametros_manuales!$I$112)*parametros_manuales!$I$40*parametros_manuales!$J$40</f>
        <v>2940.28</v>
      </c>
      <c r="J163" s="8">
        <f>(parametros_manuales!$D$40*(datos_base!$G$2+IF(parametros_manuales!$H$40="Todos",datos_base!$G$9,0))*parametros_manuales!$J$97+parametros_manuales!$E$40*(datos_base!$G$3+IF(parametros_manuales!$H$40="Todos",datos_base!$G$10,0))*parametros_manuales!$J$102+parametros_manuales!$F$40*(datos_base!$G$4+IF(parametros_manuales!$H$40="Todos",datos_base!$G$11,0))*parametros_manuales!$J$107+parametros_manuales!$G$40*(datos_base!$G$5+IF(parametros_manuales!$H$40="Todos",datos_base!$G$12,0))*parametros_manuales!$J$112)*parametros_manuales!$I$40*parametros_manuales!$J$40</f>
        <v>2940.28</v>
      </c>
      <c r="K163" s="8">
        <f>(parametros_manuales!$D$40*(datos_base!$G$2+IF(parametros_manuales!$H$40="Todos",datos_base!$G$9,0))*parametros_manuales!$K$97+parametros_manuales!$E$40*(datos_base!$G$3+IF(parametros_manuales!$H$40="Todos",datos_base!$G$10,0))*parametros_manuales!$K$102+parametros_manuales!$F$40*(datos_base!$G$4+IF(parametros_manuales!$H$40="Todos",datos_base!$G$11,0))*parametros_manuales!$K$107+parametros_manuales!$G$40*(datos_base!$G$5+IF(parametros_manuales!$H$40="Todos",datos_base!$G$12,0))*parametros_manuales!$K$112)*parametros_manuales!$I$40*parametros_manuales!$J$40</f>
        <v>3036.185</v>
      </c>
      <c r="L163" s="8">
        <f>(parametros_manuales!$D$40*(datos_base!$G$2+IF(parametros_manuales!$H$40="Todos",datos_base!$G$9,0))*parametros_manuales!$L$97+parametros_manuales!$E$40*(datos_base!$G$3+IF(parametros_manuales!$H$40="Todos",datos_base!$G$10,0))*parametros_manuales!$L$102+parametros_manuales!$F$40*(datos_base!$G$4+IF(parametros_manuales!$H$40="Todos",datos_base!$G$11,0))*parametros_manuales!$L$107+parametros_manuales!$G$40*(datos_base!$G$5+IF(parametros_manuales!$H$40="Todos",datos_base!$G$12,0))*parametros_manuales!$L$112)*parametros_manuales!$I$40*parametros_manuales!$J$40</f>
        <v>3132.09</v>
      </c>
      <c r="M163" s="8">
        <f>(parametros_manuales!$D$40*(datos_base!$G$2+IF(parametros_manuales!$H$40="Todos",datos_base!$G$9,0))*parametros_manuales!$M$97+parametros_manuales!$E$40*(datos_base!$G$3+IF(parametros_manuales!$H$40="Todos",datos_base!$G$10,0))*parametros_manuales!$M$102+parametros_manuales!$F$40*(datos_base!$G$4+IF(parametros_manuales!$H$40="Todos",datos_base!$G$11,0))*parametros_manuales!$M$107+parametros_manuales!$G$40*(datos_base!$G$5+IF(parametros_manuales!$H$40="Todos",datos_base!$G$12,0))*parametros_manuales!$M$112)*parametros_manuales!$I$40*parametros_manuales!$J$40</f>
        <v>3132.09</v>
      </c>
      <c r="N163" s="8">
        <f t="shared" si="16"/>
        <v>34801</v>
      </c>
      <c r="O163" s="8">
        <f t="shared" si="17"/>
        <v>3132.09</v>
      </c>
      <c r="P163" s="27">
        <f>O163/(parametros_manuales!$B$7)</f>
        <v>20.8806</v>
      </c>
      <c r="Q163" s="4" t="str">
        <f t="shared" si="18"/>
        <v>Ene</v>
      </c>
      <c r="R163" s="16"/>
      <c r="S163" s="16"/>
    </row>
    <row r="164" ht="14.25" customHeight="1">
      <c r="A164" s="4" t="str">
        <f>parametros_manuales!$B$41</f>
        <v>Presurización</v>
      </c>
      <c r="B164" s="8">
        <f>(parametros_manuales!$D$41*(datos_base!$G$2+IF(parametros_manuales!$H$41="Todos",datos_base!$G$9,0))*parametros_manuales!$B$97+parametros_manuales!$E$41*(datos_base!$G$3+IF(parametros_manuales!$H$41="Todos",datos_base!$G$10,0))*parametros_manuales!$B$102+parametros_manuales!$F$41*(datos_base!$G$4+IF(parametros_manuales!$H$41="Todos",datos_base!$G$11,0))*parametros_manuales!$B$107+parametros_manuales!$G$41*(datos_base!$G$5+IF(parametros_manuales!$H$41="Todos",datos_base!$G$12,0))*parametros_manuales!$B$112)*parametros_manuales!$I$41*parametros_manuales!$J$41</f>
        <v>3132.09</v>
      </c>
      <c r="C164" s="8">
        <f>(parametros_manuales!$D$41*(datos_base!$G$2+IF(parametros_manuales!$H$41="Todos",datos_base!$G$9,0))*parametros_manuales!$C$97+parametros_manuales!$E$41*(datos_base!$G$3+IF(parametros_manuales!$H$41="Todos",datos_base!$G$10,0))*parametros_manuales!$C$102+parametros_manuales!$F$41*(datos_base!$G$4+IF(parametros_manuales!$H$41="Todos",datos_base!$G$11,0))*parametros_manuales!$C$107+parametros_manuales!$G$41*(datos_base!$G$5+IF(parametros_manuales!$H$41="Todos",datos_base!$G$12,0))*parametros_manuales!$C$112)*parametros_manuales!$I$41*parametros_manuales!$J$41</f>
        <v>2940.28</v>
      </c>
      <c r="D164" s="8">
        <f>(parametros_manuales!$D$41*(datos_base!$G$2+IF(parametros_manuales!$H$41="Todos",datos_base!$G$9,0))*parametros_manuales!$D$97+parametros_manuales!$E$41*(datos_base!$G$3+IF(parametros_manuales!$H$41="Todos",datos_base!$G$10,0))*parametros_manuales!$D$102+parametros_manuales!$F$41*(datos_base!$G$4+IF(parametros_manuales!$H$41="Todos",datos_base!$G$11,0))*parametros_manuales!$D$107+parametros_manuales!$G$41*(datos_base!$G$5+IF(parametros_manuales!$H$41="Todos",datos_base!$G$12,0))*parametros_manuales!$D$112)*parametros_manuales!$I$41*parametros_manuales!$J$41</f>
        <v>2879.985</v>
      </c>
      <c r="E164" s="8">
        <f>(parametros_manuales!$D$41*(datos_base!$G$2+IF(parametros_manuales!$H$41="Todos",datos_base!$G$9,0))*parametros_manuales!$E$97+parametros_manuales!$E$41*(datos_base!$G$3+IF(parametros_manuales!$H$41="Todos",datos_base!$G$10,0))*parametros_manuales!$E$102+parametros_manuales!$F$41*(datos_base!$G$4+IF(parametros_manuales!$H$41="Todos",datos_base!$G$11,0))*parametros_manuales!$E$107+parametros_manuales!$G$41*(datos_base!$G$5+IF(parametros_manuales!$H$41="Todos",datos_base!$G$12,0))*parametros_manuales!$E$112)*parametros_manuales!$I$41*parametros_manuales!$J$41</f>
        <v>2801.885</v>
      </c>
      <c r="F164" s="8">
        <f>(parametros_manuales!$D$41*(datos_base!$G$2+IF(parametros_manuales!$H$41="Todos",datos_base!$G$9,0))*parametros_manuales!$F$97+parametros_manuales!$E$41*(datos_base!$G$3+IF(parametros_manuales!$H$41="Todos",datos_base!$G$10,0))*parametros_manuales!$F$102+parametros_manuales!$F$41*(datos_base!$G$4+IF(parametros_manuales!$H$41="Todos",datos_base!$G$11,0))*parametros_manuales!$F$107+parametros_manuales!$G$41*(datos_base!$G$5+IF(parametros_manuales!$H$41="Todos",datos_base!$G$12,0))*parametros_manuales!$F$112)*parametros_manuales!$I$41*parametros_manuales!$J$41</f>
        <v>2627.88</v>
      </c>
      <c r="G164" s="8">
        <f>(parametros_manuales!$D$41*(datos_base!$G$2+IF(parametros_manuales!$H$41="Todos",datos_base!$G$9,0))*parametros_manuales!$G$97+parametros_manuales!$E$41*(datos_base!$G$3+IF(parametros_manuales!$H$41="Todos",datos_base!$G$10,0))*parametros_manuales!$G$102+parametros_manuales!$F$41*(datos_base!$G$4+IF(parametros_manuales!$H$41="Todos",datos_base!$G$11,0))*parametros_manuales!$G$107+parametros_manuales!$G$41*(datos_base!$G$5+IF(parametros_manuales!$H$41="Todos",datos_base!$G$12,0))*parametros_manuales!$G$112)*parametros_manuales!$I$41*parametros_manuales!$J$41</f>
        <v>2531.975</v>
      </c>
      <c r="H164" s="8">
        <f>(parametros_manuales!$D$41*(datos_base!$G$2+IF(parametros_manuales!$H$41="Todos",datos_base!$G$9,0))*parametros_manuales!$H$97+parametros_manuales!$E$41*(datos_base!$G$3+IF(parametros_manuales!$H$41="Todos",datos_base!$G$10,0))*parametros_manuales!$H$102+parametros_manuales!$F$41*(datos_base!$G$4+IF(parametros_manuales!$H$41="Todos",datos_base!$G$11,0))*parametros_manuales!$H$107+parametros_manuales!$G$41*(datos_base!$G$5+IF(parametros_manuales!$H$41="Todos",datos_base!$G$12,0))*parametros_manuales!$H$112)*parametros_manuales!$I$41*parametros_manuales!$J$41</f>
        <v>2705.98</v>
      </c>
      <c r="I164" s="8">
        <f>(parametros_manuales!$D$41*(datos_base!$G$2+IF(parametros_manuales!$H$41="Todos",datos_base!$G$9,0))*parametros_manuales!$I$97+parametros_manuales!$E$41*(datos_base!$G$3+IF(parametros_manuales!$H$41="Todos",datos_base!$G$10,0))*parametros_manuales!$I$102+parametros_manuales!$F$41*(datos_base!$G$4+IF(parametros_manuales!$H$41="Todos",datos_base!$G$11,0))*parametros_manuales!$I$107+parametros_manuales!$G$41*(datos_base!$G$5+IF(parametros_manuales!$H$41="Todos",datos_base!$G$12,0))*parametros_manuales!$I$112)*parametros_manuales!$I$41*parametros_manuales!$J$41</f>
        <v>2940.28</v>
      </c>
      <c r="J164" s="8">
        <f>(parametros_manuales!$D$41*(datos_base!$G$2+IF(parametros_manuales!$H$41="Todos",datos_base!$G$9,0))*parametros_manuales!$J$97+parametros_manuales!$E$41*(datos_base!$G$3+IF(parametros_manuales!$H$41="Todos",datos_base!$G$10,0))*parametros_manuales!$J$102+parametros_manuales!$F$41*(datos_base!$G$4+IF(parametros_manuales!$H$41="Todos",datos_base!$G$11,0))*parametros_manuales!$J$107+parametros_manuales!$G$41*(datos_base!$G$5+IF(parametros_manuales!$H$41="Todos",datos_base!$G$12,0))*parametros_manuales!$J$112)*parametros_manuales!$I$41*parametros_manuales!$J$41</f>
        <v>2940.28</v>
      </c>
      <c r="K164" s="8">
        <f>(parametros_manuales!$D$41*(datos_base!$G$2+IF(parametros_manuales!$H$41="Todos",datos_base!$G$9,0))*parametros_manuales!$K$97+parametros_manuales!$E$41*(datos_base!$G$3+IF(parametros_manuales!$H$41="Todos",datos_base!$G$10,0))*parametros_manuales!$K$102+parametros_manuales!$F$41*(datos_base!$G$4+IF(parametros_manuales!$H$41="Todos",datos_base!$G$11,0))*parametros_manuales!$K$107+parametros_manuales!$G$41*(datos_base!$G$5+IF(parametros_manuales!$H$41="Todos",datos_base!$G$12,0))*parametros_manuales!$K$112)*parametros_manuales!$I$41*parametros_manuales!$J$41</f>
        <v>3036.185</v>
      </c>
      <c r="L164" s="8">
        <f>(parametros_manuales!$D$41*(datos_base!$G$2+IF(parametros_manuales!$H$41="Todos",datos_base!$G$9,0))*parametros_manuales!$L$97+parametros_manuales!$E$41*(datos_base!$G$3+IF(parametros_manuales!$H$41="Todos",datos_base!$G$10,0))*parametros_manuales!$L$102+parametros_manuales!$F$41*(datos_base!$G$4+IF(parametros_manuales!$H$41="Todos",datos_base!$G$11,0))*parametros_manuales!$L$107+parametros_manuales!$G$41*(datos_base!$G$5+IF(parametros_manuales!$H$41="Todos",datos_base!$G$12,0))*parametros_manuales!$L$112)*parametros_manuales!$I$41*parametros_manuales!$J$41</f>
        <v>3132.09</v>
      </c>
      <c r="M164" s="8">
        <f>(parametros_manuales!$D$41*(datos_base!$G$2+IF(parametros_manuales!$H$41="Todos",datos_base!$G$9,0))*parametros_manuales!$M$97+parametros_manuales!$E$41*(datos_base!$G$3+IF(parametros_manuales!$H$41="Todos",datos_base!$G$10,0))*parametros_manuales!$M$102+parametros_manuales!$F$41*(datos_base!$G$4+IF(parametros_manuales!$H$41="Todos",datos_base!$G$11,0))*parametros_manuales!$M$107+parametros_manuales!$G$41*(datos_base!$G$5+IF(parametros_manuales!$H$41="Todos",datos_base!$G$12,0))*parametros_manuales!$M$112)*parametros_manuales!$I$41*parametros_manuales!$J$41</f>
        <v>3132.09</v>
      </c>
      <c r="N164" s="8">
        <f t="shared" si="16"/>
        <v>34801</v>
      </c>
      <c r="O164" s="8">
        <f t="shared" si="17"/>
        <v>3132.09</v>
      </c>
      <c r="P164" s="27">
        <f>O164/(parametros_manuales!$B$7)</f>
        <v>20.8806</v>
      </c>
      <c r="Q164" s="4" t="str">
        <f t="shared" si="18"/>
        <v>Ene</v>
      </c>
      <c r="R164" s="16"/>
      <c r="S164" s="16"/>
    </row>
    <row r="165" ht="14.25" customHeight="1">
      <c r="A165" s="4" t="str">
        <f>parametros_manuales!$B$42</f>
        <v>Control de calidad — Ensayo de pérdidas</v>
      </c>
      <c r="B165" s="8">
        <f>(parametros_manuales!$D$42*(datos_base!$G$2+IF(parametros_manuales!$H$42="Todos",datos_base!$G$9,0))*parametros_manuales!$B$97+parametros_manuales!$E$42*(datos_base!$G$3+IF(parametros_manuales!$H$42="Todos",datos_base!$G$10,0))*parametros_manuales!$B$102+parametros_manuales!$F$42*(datos_base!$G$4+IF(parametros_manuales!$H$42="Todos",datos_base!$G$11,0))*parametros_manuales!$B$107+parametros_manuales!$G$42*(datos_base!$G$5+IF(parametros_manuales!$H$42="Todos",datos_base!$G$12,0))*parametros_manuales!$B$112)*parametros_manuales!$I$42*parametros_manuales!$J$42</f>
        <v>3132.09</v>
      </c>
      <c r="C165" s="8">
        <f>(parametros_manuales!$D$42*(datos_base!$G$2+IF(parametros_manuales!$H$42="Todos",datos_base!$G$9,0))*parametros_manuales!$C$97+parametros_manuales!$E$42*(datos_base!$G$3+IF(parametros_manuales!$H$42="Todos",datos_base!$G$10,0))*parametros_manuales!$C$102+parametros_manuales!$F$42*(datos_base!$G$4+IF(parametros_manuales!$H$42="Todos",datos_base!$G$11,0))*parametros_manuales!$C$107+parametros_manuales!$G$42*(datos_base!$G$5+IF(parametros_manuales!$H$42="Todos",datos_base!$G$12,0))*parametros_manuales!$C$112)*parametros_manuales!$I$42*parametros_manuales!$J$42</f>
        <v>2940.28</v>
      </c>
      <c r="D165" s="8">
        <f>(parametros_manuales!$D$42*(datos_base!$G$2+IF(parametros_manuales!$H$42="Todos",datos_base!$G$9,0))*parametros_manuales!$D$97+parametros_manuales!$E$42*(datos_base!$G$3+IF(parametros_manuales!$H$42="Todos",datos_base!$G$10,0))*parametros_manuales!$D$102+parametros_manuales!$F$42*(datos_base!$G$4+IF(parametros_manuales!$H$42="Todos",datos_base!$G$11,0))*parametros_manuales!$D$107+parametros_manuales!$G$42*(datos_base!$G$5+IF(parametros_manuales!$H$42="Todos",datos_base!$G$12,0))*parametros_manuales!$D$112)*parametros_manuales!$I$42*parametros_manuales!$J$42</f>
        <v>2879.985</v>
      </c>
      <c r="E165" s="8">
        <f>(parametros_manuales!$D$42*(datos_base!$G$2+IF(parametros_manuales!$H$42="Todos",datos_base!$G$9,0))*parametros_manuales!$E$97+parametros_manuales!$E$42*(datos_base!$G$3+IF(parametros_manuales!$H$42="Todos",datos_base!$G$10,0))*parametros_manuales!$E$102+parametros_manuales!$F$42*(datos_base!$G$4+IF(parametros_manuales!$H$42="Todos",datos_base!$G$11,0))*parametros_manuales!$E$107+parametros_manuales!$G$42*(datos_base!$G$5+IF(parametros_manuales!$H$42="Todos",datos_base!$G$12,0))*parametros_manuales!$E$112)*parametros_manuales!$I$42*parametros_manuales!$J$42</f>
        <v>2801.885</v>
      </c>
      <c r="F165" s="8">
        <f>(parametros_manuales!$D$42*(datos_base!$G$2+IF(parametros_manuales!$H$42="Todos",datos_base!$G$9,0))*parametros_manuales!$F$97+parametros_manuales!$E$42*(datos_base!$G$3+IF(parametros_manuales!$H$42="Todos",datos_base!$G$10,0))*parametros_manuales!$F$102+parametros_manuales!$F$42*(datos_base!$G$4+IF(parametros_manuales!$H$42="Todos",datos_base!$G$11,0))*parametros_manuales!$F$107+parametros_manuales!$G$42*(datos_base!$G$5+IF(parametros_manuales!$H$42="Todos",datos_base!$G$12,0))*parametros_manuales!$F$112)*parametros_manuales!$I$42*parametros_manuales!$J$42</f>
        <v>2627.88</v>
      </c>
      <c r="G165" s="8">
        <f>(parametros_manuales!$D$42*(datos_base!$G$2+IF(parametros_manuales!$H$42="Todos",datos_base!$G$9,0))*parametros_manuales!$G$97+parametros_manuales!$E$42*(datos_base!$G$3+IF(parametros_manuales!$H$42="Todos",datos_base!$G$10,0))*parametros_manuales!$G$102+parametros_manuales!$F$42*(datos_base!$G$4+IF(parametros_manuales!$H$42="Todos",datos_base!$G$11,0))*parametros_manuales!$G$107+parametros_manuales!$G$42*(datos_base!$G$5+IF(parametros_manuales!$H$42="Todos",datos_base!$G$12,0))*parametros_manuales!$G$112)*parametros_manuales!$I$42*parametros_manuales!$J$42</f>
        <v>2531.975</v>
      </c>
      <c r="H165" s="8">
        <f>(parametros_manuales!$D$42*(datos_base!$G$2+IF(parametros_manuales!$H$42="Todos",datos_base!$G$9,0))*parametros_manuales!$H$97+parametros_manuales!$E$42*(datos_base!$G$3+IF(parametros_manuales!$H$42="Todos",datos_base!$G$10,0))*parametros_manuales!$H$102+parametros_manuales!$F$42*(datos_base!$G$4+IF(parametros_manuales!$H$42="Todos",datos_base!$G$11,0))*parametros_manuales!$H$107+parametros_manuales!$G$42*(datos_base!$G$5+IF(parametros_manuales!$H$42="Todos",datos_base!$G$12,0))*parametros_manuales!$H$112)*parametros_manuales!$I$42*parametros_manuales!$J$42</f>
        <v>2705.98</v>
      </c>
      <c r="I165" s="8">
        <f>(parametros_manuales!$D$42*(datos_base!$G$2+IF(parametros_manuales!$H$42="Todos",datos_base!$G$9,0))*parametros_manuales!$I$97+parametros_manuales!$E$42*(datos_base!$G$3+IF(parametros_manuales!$H$42="Todos",datos_base!$G$10,0))*parametros_manuales!$I$102+parametros_manuales!$F$42*(datos_base!$G$4+IF(parametros_manuales!$H$42="Todos",datos_base!$G$11,0))*parametros_manuales!$I$107+parametros_manuales!$G$42*(datos_base!$G$5+IF(parametros_manuales!$H$42="Todos",datos_base!$G$12,0))*parametros_manuales!$I$112)*parametros_manuales!$I$42*parametros_manuales!$J$42</f>
        <v>2940.28</v>
      </c>
      <c r="J165" s="8">
        <f>(parametros_manuales!$D$42*(datos_base!$G$2+IF(parametros_manuales!$H$42="Todos",datos_base!$G$9,0))*parametros_manuales!$J$97+parametros_manuales!$E$42*(datos_base!$G$3+IF(parametros_manuales!$H$42="Todos",datos_base!$G$10,0))*parametros_manuales!$J$102+parametros_manuales!$F$42*(datos_base!$G$4+IF(parametros_manuales!$H$42="Todos",datos_base!$G$11,0))*parametros_manuales!$J$107+parametros_manuales!$G$42*(datos_base!$G$5+IF(parametros_manuales!$H$42="Todos",datos_base!$G$12,0))*parametros_manuales!$J$112)*parametros_manuales!$I$42*parametros_manuales!$J$42</f>
        <v>2940.28</v>
      </c>
      <c r="K165" s="8">
        <f>(parametros_manuales!$D$42*(datos_base!$G$2+IF(parametros_manuales!$H$42="Todos",datos_base!$G$9,0))*parametros_manuales!$K$97+parametros_manuales!$E$42*(datos_base!$G$3+IF(parametros_manuales!$H$42="Todos",datos_base!$G$10,0))*parametros_manuales!$K$102+parametros_manuales!$F$42*(datos_base!$G$4+IF(parametros_manuales!$H$42="Todos",datos_base!$G$11,0))*parametros_manuales!$K$107+parametros_manuales!$G$42*(datos_base!$G$5+IF(parametros_manuales!$H$42="Todos",datos_base!$G$12,0))*parametros_manuales!$K$112)*parametros_manuales!$I$42*parametros_manuales!$J$42</f>
        <v>3036.185</v>
      </c>
      <c r="L165" s="8">
        <f>(parametros_manuales!$D$42*(datos_base!$G$2+IF(parametros_manuales!$H$42="Todos",datos_base!$G$9,0))*parametros_manuales!$L$97+parametros_manuales!$E$42*(datos_base!$G$3+IF(parametros_manuales!$H$42="Todos",datos_base!$G$10,0))*parametros_manuales!$L$102+parametros_manuales!$F$42*(datos_base!$G$4+IF(parametros_manuales!$H$42="Todos",datos_base!$G$11,0))*parametros_manuales!$L$107+parametros_manuales!$G$42*(datos_base!$G$5+IF(parametros_manuales!$H$42="Todos",datos_base!$G$12,0))*parametros_manuales!$L$112)*parametros_manuales!$I$42*parametros_manuales!$J$42</f>
        <v>3132.09</v>
      </c>
      <c r="M165" s="8">
        <f>(parametros_manuales!$D$42*(datos_base!$G$2+IF(parametros_manuales!$H$42="Todos",datos_base!$G$9,0))*parametros_manuales!$M$97+parametros_manuales!$E$42*(datos_base!$G$3+IF(parametros_manuales!$H$42="Todos",datos_base!$G$10,0))*parametros_manuales!$M$102+parametros_manuales!$F$42*(datos_base!$G$4+IF(parametros_manuales!$H$42="Todos",datos_base!$G$11,0))*parametros_manuales!$M$107+parametros_manuales!$G$42*(datos_base!$G$5+IF(parametros_manuales!$H$42="Todos",datos_base!$G$12,0))*parametros_manuales!$M$112)*parametros_manuales!$I$42*parametros_manuales!$J$42</f>
        <v>3132.09</v>
      </c>
      <c r="N165" s="8">
        <f t="shared" si="16"/>
        <v>34801</v>
      </c>
      <c r="O165" s="8">
        <f t="shared" si="17"/>
        <v>3132.09</v>
      </c>
      <c r="P165" s="27">
        <f>O165/(parametros_manuales!$B$7)</f>
        <v>20.8806</v>
      </c>
      <c r="Q165" s="4" t="str">
        <f t="shared" si="18"/>
        <v>Ene</v>
      </c>
      <c r="R165" s="16"/>
      <c r="S165" s="16"/>
    </row>
    <row r="166" ht="14.25" customHeight="1">
      <c r="A166" s="4" t="str">
        <f>parametros_manuales!$B$43</f>
        <v>Etiquetado</v>
      </c>
      <c r="B166" s="8">
        <f>(parametros_manuales!$D$43*(datos_base!$G$2+IF(parametros_manuales!$H$43="Todos",datos_base!$G$9,0))*parametros_manuales!$B$97+parametros_manuales!$E$43*(datos_base!$G$3+IF(parametros_manuales!$H$43="Todos",datos_base!$G$10,0))*parametros_manuales!$B$102+parametros_manuales!$F$43*(datos_base!$G$4+IF(parametros_manuales!$H$43="Todos",datos_base!$G$11,0))*parametros_manuales!$B$107+parametros_manuales!$G$43*(datos_base!$G$5+IF(parametros_manuales!$H$43="Todos",datos_base!$G$12,0))*parametros_manuales!$B$112)*parametros_manuales!$I$43*parametros_manuales!$J$43</f>
        <v>3132.09</v>
      </c>
      <c r="C166" s="8">
        <f>(parametros_manuales!$D$43*(datos_base!$G$2+IF(parametros_manuales!$H$43="Todos",datos_base!$G$9,0))*parametros_manuales!$C$97+parametros_manuales!$E$43*(datos_base!$G$3+IF(parametros_manuales!$H$43="Todos",datos_base!$G$10,0))*parametros_manuales!$C$102+parametros_manuales!$F$43*(datos_base!$G$4+IF(parametros_manuales!$H$43="Todos",datos_base!$G$11,0))*parametros_manuales!$C$107+parametros_manuales!$G$43*(datos_base!$G$5+IF(parametros_manuales!$H$43="Todos",datos_base!$G$12,0))*parametros_manuales!$C$112)*parametros_manuales!$I$43*parametros_manuales!$J$43</f>
        <v>2940.28</v>
      </c>
      <c r="D166" s="8">
        <f>(parametros_manuales!$D$43*(datos_base!$G$2+IF(parametros_manuales!$H$43="Todos",datos_base!$G$9,0))*parametros_manuales!$D$97+parametros_manuales!$E$43*(datos_base!$G$3+IF(parametros_manuales!$H$43="Todos",datos_base!$G$10,0))*parametros_manuales!$D$102+parametros_manuales!$F$43*(datos_base!$G$4+IF(parametros_manuales!$H$43="Todos",datos_base!$G$11,0))*parametros_manuales!$D$107+parametros_manuales!$G$43*(datos_base!$G$5+IF(parametros_manuales!$H$43="Todos",datos_base!$G$12,0))*parametros_manuales!$D$112)*parametros_manuales!$I$43*parametros_manuales!$J$43</f>
        <v>2879.985</v>
      </c>
      <c r="E166" s="8">
        <f>(parametros_manuales!$D$43*(datos_base!$G$2+IF(parametros_manuales!$H$43="Todos",datos_base!$G$9,0))*parametros_manuales!$E$97+parametros_manuales!$E$43*(datos_base!$G$3+IF(parametros_manuales!$H$43="Todos",datos_base!$G$10,0))*parametros_manuales!$E$102+parametros_manuales!$F$43*(datos_base!$G$4+IF(parametros_manuales!$H$43="Todos",datos_base!$G$11,0))*parametros_manuales!$E$107+parametros_manuales!$G$43*(datos_base!$G$5+IF(parametros_manuales!$H$43="Todos",datos_base!$G$12,0))*parametros_manuales!$E$112)*parametros_manuales!$I$43*parametros_manuales!$J$43</f>
        <v>2801.885</v>
      </c>
      <c r="F166" s="8">
        <f>(parametros_manuales!$D$43*(datos_base!$G$2+IF(parametros_manuales!$H$43="Todos",datos_base!$G$9,0))*parametros_manuales!$F$97+parametros_manuales!$E$43*(datos_base!$G$3+IF(parametros_manuales!$H$43="Todos",datos_base!$G$10,0))*parametros_manuales!$F$102+parametros_manuales!$F$43*(datos_base!$G$4+IF(parametros_manuales!$H$43="Todos",datos_base!$G$11,0))*parametros_manuales!$F$107+parametros_manuales!$G$43*(datos_base!$G$5+IF(parametros_manuales!$H$43="Todos",datos_base!$G$12,0))*parametros_manuales!$F$112)*parametros_manuales!$I$43*parametros_manuales!$J$43</f>
        <v>2627.88</v>
      </c>
      <c r="G166" s="8">
        <f>(parametros_manuales!$D$43*(datos_base!$G$2+IF(parametros_manuales!$H$43="Todos",datos_base!$G$9,0))*parametros_manuales!$G$97+parametros_manuales!$E$43*(datos_base!$G$3+IF(parametros_manuales!$H$43="Todos",datos_base!$G$10,0))*parametros_manuales!$G$102+parametros_manuales!$F$43*(datos_base!$G$4+IF(parametros_manuales!$H$43="Todos",datos_base!$G$11,0))*parametros_manuales!$G$107+parametros_manuales!$G$43*(datos_base!$G$5+IF(parametros_manuales!$H$43="Todos",datos_base!$G$12,0))*parametros_manuales!$G$112)*parametros_manuales!$I$43*parametros_manuales!$J$43</f>
        <v>2531.975</v>
      </c>
      <c r="H166" s="8">
        <f>(parametros_manuales!$D$43*(datos_base!$G$2+IF(parametros_manuales!$H$43="Todos",datos_base!$G$9,0))*parametros_manuales!$H$97+parametros_manuales!$E$43*(datos_base!$G$3+IF(parametros_manuales!$H$43="Todos",datos_base!$G$10,0))*parametros_manuales!$H$102+parametros_manuales!$F$43*(datos_base!$G$4+IF(parametros_manuales!$H$43="Todos",datos_base!$G$11,0))*parametros_manuales!$H$107+parametros_manuales!$G$43*(datos_base!$G$5+IF(parametros_manuales!$H$43="Todos",datos_base!$G$12,0))*parametros_manuales!$H$112)*parametros_manuales!$I$43*parametros_manuales!$J$43</f>
        <v>2705.98</v>
      </c>
      <c r="I166" s="8">
        <f>(parametros_manuales!$D$43*(datos_base!$G$2+IF(parametros_manuales!$H$43="Todos",datos_base!$G$9,0))*parametros_manuales!$I$97+parametros_manuales!$E$43*(datos_base!$G$3+IF(parametros_manuales!$H$43="Todos",datos_base!$G$10,0))*parametros_manuales!$I$102+parametros_manuales!$F$43*(datos_base!$G$4+IF(parametros_manuales!$H$43="Todos",datos_base!$G$11,0))*parametros_manuales!$I$107+parametros_manuales!$G$43*(datos_base!$G$5+IF(parametros_manuales!$H$43="Todos",datos_base!$G$12,0))*parametros_manuales!$I$112)*parametros_manuales!$I$43*parametros_manuales!$J$43</f>
        <v>2940.28</v>
      </c>
      <c r="J166" s="8">
        <f>(parametros_manuales!$D$43*(datos_base!$G$2+IF(parametros_manuales!$H$43="Todos",datos_base!$G$9,0))*parametros_manuales!$J$97+parametros_manuales!$E$43*(datos_base!$G$3+IF(parametros_manuales!$H$43="Todos",datos_base!$G$10,0))*parametros_manuales!$J$102+parametros_manuales!$F$43*(datos_base!$G$4+IF(parametros_manuales!$H$43="Todos",datos_base!$G$11,0))*parametros_manuales!$J$107+parametros_manuales!$G$43*(datos_base!$G$5+IF(parametros_manuales!$H$43="Todos",datos_base!$G$12,0))*parametros_manuales!$J$112)*parametros_manuales!$I$43*parametros_manuales!$J$43</f>
        <v>2940.28</v>
      </c>
      <c r="K166" s="8">
        <f>(parametros_manuales!$D$43*(datos_base!$G$2+IF(parametros_manuales!$H$43="Todos",datos_base!$G$9,0))*parametros_manuales!$K$97+parametros_manuales!$E$43*(datos_base!$G$3+IF(parametros_manuales!$H$43="Todos",datos_base!$G$10,0))*parametros_manuales!$K$102+parametros_manuales!$F$43*(datos_base!$G$4+IF(parametros_manuales!$H$43="Todos",datos_base!$G$11,0))*parametros_manuales!$K$107+parametros_manuales!$G$43*(datos_base!$G$5+IF(parametros_manuales!$H$43="Todos",datos_base!$G$12,0))*parametros_manuales!$K$112)*parametros_manuales!$I$43*parametros_manuales!$J$43</f>
        <v>3036.185</v>
      </c>
      <c r="L166" s="8">
        <f>(parametros_manuales!$D$43*(datos_base!$G$2+IF(parametros_manuales!$H$43="Todos",datos_base!$G$9,0))*parametros_manuales!$L$97+parametros_manuales!$E$43*(datos_base!$G$3+IF(parametros_manuales!$H$43="Todos",datos_base!$G$10,0))*parametros_manuales!$L$102+parametros_manuales!$F$43*(datos_base!$G$4+IF(parametros_manuales!$H$43="Todos",datos_base!$G$11,0))*parametros_manuales!$L$107+parametros_manuales!$G$43*(datos_base!$G$5+IF(parametros_manuales!$H$43="Todos",datos_base!$G$12,0))*parametros_manuales!$L$112)*parametros_manuales!$I$43*parametros_manuales!$J$43</f>
        <v>3132.09</v>
      </c>
      <c r="M166" s="8">
        <f>(parametros_manuales!$D$43*(datos_base!$G$2+IF(parametros_manuales!$H$43="Todos",datos_base!$G$9,0))*parametros_manuales!$M$97+parametros_manuales!$E$43*(datos_base!$G$3+IF(parametros_manuales!$H$43="Todos",datos_base!$G$10,0))*parametros_manuales!$M$102+parametros_manuales!$F$43*(datos_base!$G$4+IF(parametros_manuales!$H$43="Todos",datos_base!$G$11,0))*parametros_manuales!$M$107+parametros_manuales!$G$43*(datos_base!$G$5+IF(parametros_manuales!$H$43="Todos",datos_base!$G$12,0))*parametros_manuales!$M$112)*parametros_manuales!$I$43*parametros_manuales!$J$43</f>
        <v>3132.09</v>
      </c>
      <c r="N166" s="8">
        <f t="shared" si="16"/>
        <v>34801</v>
      </c>
      <c r="O166" s="8">
        <f t="shared" si="17"/>
        <v>3132.09</v>
      </c>
      <c r="P166" s="27">
        <f>O166/(parametros_manuales!$B$7)</f>
        <v>20.8806</v>
      </c>
      <c r="Q166" s="4" t="str">
        <f t="shared" si="18"/>
        <v>Ene</v>
      </c>
      <c r="R166" s="16"/>
      <c r="S166" s="16"/>
    </row>
    <row r="167" ht="14.25" customHeight="1">
      <c r="A167" s="4" t="str">
        <f>parametros_manuales!$B$44</f>
        <v>Embalaje y paletizado</v>
      </c>
      <c r="B167" s="8">
        <f>(parametros_manuales!$D$44*(datos_base!$G$2+IF(parametros_manuales!$H$44="Todos",datos_base!$G$9,0))*parametros_manuales!$B$97+parametros_manuales!$E$44*(datos_base!$G$3+IF(parametros_manuales!$H$44="Todos",datos_base!$G$10,0))*parametros_manuales!$B$102+parametros_manuales!$F$44*(datos_base!$G$4+IF(parametros_manuales!$H$44="Todos",datos_base!$G$11,0))*parametros_manuales!$B$107+parametros_manuales!$G$44*(datos_base!$G$5+IF(parametros_manuales!$H$44="Todos",datos_base!$G$12,0))*parametros_manuales!$B$112)*parametros_manuales!$I$44*parametros_manuales!$J$44</f>
        <v>11229.03</v>
      </c>
      <c r="C167" s="8">
        <f>(parametros_manuales!$D$44*(datos_base!$G$2+IF(parametros_manuales!$H$44="Todos",datos_base!$G$9,0))*parametros_manuales!$C$97+parametros_manuales!$E$44*(datos_base!$G$3+IF(parametros_manuales!$H$44="Todos",datos_base!$G$10,0))*parametros_manuales!$C$102+parametros_manuales!$F$44*(datos_base!$G$4+IF(parametros_manuales!$H$44="Todos",datos_base!$G$11,0))*parametros_manuales!$C$107+parametros_manuales!$G$44*(datos_base!$G$5+IF(parametros_manuales!$H$44="Todos",datos_base!$G$12,0))*parametros_manuales!$C$112)*parametros_manuales!$I$44*parametros_manuales!$J$44</f>
        <v>10854.36</v>
      </c>
      <c r="D167" s="8">
        <f>(parametros_manuales!$D$44*(datos_base!$G$2+IF(parametros_manuales!$H$44="Todos",datos_base!$G$9,0))*parametros_manuales!$D$97+parametros_manuales!$E$44*(datos_base!$G$3+IF(parametros_manuales!$H$44="Todos",datos_base!$G$10,0))*parametros_manuales!$D$102+parametros_manuales!$F$44*(datos_base!$G$4+IF(parametros_manuales!$H$44="Todos",datos_base!$G$11,0))*parametros_manuales!$D$107+parametros_manuales!$G$44*(datos_base!$G$5+IF(parametros_manuales!$H$44="Todos",datos_base!$G$12,0))*parametros_manuales!$D$112)*parametros_manuales!$I$44*parametros_manuales!$J$44</f>
        <v>10168.695</v>
      </c>
      <c r="E167" s="8">
        <f>(parametros_manuales!$D$44*(datos_base!$G$2+IF(parametros_manuales!$H$44="Todos",datos_base!$G$9,0))*parametros_manuales!$E$97+parametros_manuales!$E$44*(datos_base!$G$3+IF(parametros_manuales!$H$44="Todos",datos_base!$G$10,0))*parametros_manuales!$E$102+parametros_manuales!$F$44*(datos_base!$G$4+IF(parametros_manuales!$H$44="Todos",datos_base!$G$11,0))*parametros_manuales!$E$107+parametros_manuales!$G$44*(datos_base!$G$5+IF(parametros_manuales!$H$44="Todos",datos_base!$G$12,0))*parametros_manuales!$E$112)*parametros_manuales!$I$44*parametros_manuales!$J$44</f>
        <v>9732.195</v>
      </c>
      <c r="F167" s="8">
        <f>(parametros_manuales!$D$44*(datos_base!$G$2+IF(parametros_manuales!$H$44="Todos",datos_base!$G$9,0))*parametros_manuales!$F$97+parametros_manuales!$E$44*(datos_base!$G$3+IF(parametros_manuales!$H$44="Todos",datos_base!$G$10,0))*parametros_manuales!$F$102+parametros_manuales!$F$44*(datos_base!$G$4+IF(parametros_manuales!$H$44="Todos",datos_base!$G$11,0))*parametros_manuales!$F$107+parametros_manuales!$G$44*(datos_base!$G$5+IF(parametros_manuales!$H$44="Todos",datos_base!$G$12,0))*parametros_manuales!$F$112)*parametros_manuales!$I$44*parametros_manuales!$J$44</f>
        <v>9108.36</v>
      </c>
      <c r="G167" s="8">
        <f>(parametros_manuales!$D$44*(datos_base!$G$2+IF(parametros_manuales!$H$44="Todos",datos_base!$G$9,0))*parametros_manuales!$G$97+parametros_manuales!$E$44*(datos_base!$G$3+IF(parametros_manuales!$H$44="Todos",datos_base!$G$10,0))*parametros_manuales!$G$102+parametros_manuales!$F$44*(datos_base!$G$4+IF(parametros_manuales!$H$44="Todos",datos_base!$G$11,0))*parametros_manuales!$G$107+parametros_manuales!$G$44*(datos_base!$G$5+IF(parametros_manuales!$H$44="Todos",datos_base!$G$12,0))*parametros_manuales!$G$112)*parametros_manuales!$I$44*parametros_manuales!$J$44</f>
        <v>8921.025</v>
      </c>
      <c r="H167" s="8">
        <f>(parametros_manuales!$D$44*(datos_base!$G$2+IF(parametros_manuales!$H$44="Todos",datos_base!$G$9,0))*parametros_manuales!$H$97+parametros_manuales!$E$44*(datos_base!$G$3+IF(parametros_manuales!$H$44="Todos",datos_base!$G$10,0))*parametros_manuales!$H$102+parametros_manuales!$F$44*(datos_base!$G$4+IF(parametros_manuales!$H$44="Todos",datos_base!$G$11,0))*parametros_manuales!$H$107+parametros_manuales!$G$44*(datos_base!$G$5+IF(parametros_manuales!$H$44="Todos",datos_base!$G$12,0))*parametros_manuales!$H$112)*parametros_manuales!$I$44*parametros_manuales!$J$44</f>
        <v>9544.86</v>
      </c>
      <c r="I167" s="8">
        <f>(parametros_manuales!$D$44*(datos_base!$G$2+IF(parametros_manuales!$H$44="Todos",datos_base!$G$9,0))*parametros_manuales!$I$97+parametros_manuales!$E$44*(datos_base!$G$3+IF(parametros_manuales!$H$44="Todos",datos_base!$G$10,0))*parametros_manuales!$I$102+parametros_manuales!$F$44*(datos_base!$G$4+IF(parametros_manuales!$H$44="Todos",datos_base!$G$11,0))*parametros_manuales!$I$107+parametros_manuales!$G$44*(datos_base!$G$5+IF(parametros_manuales!$H$44="Todos",datos_base!$G$12,0))*parametros_manuales!$I$112)*parametros_manuales!$I$44*parametros_manuales!$J$44</f>
        <v>10854.36</v>
      </c>
      <c r="J167" s="8">
        <f>(parametros_manuales!$D$44*(datos_base!$G$2+IF(parametros_manuales!$H$44="Todos",datos_base!$G$9,0))*parametros_manuales!$J$97+parametros_manuales!$E$44*(datos_base!$G$3+IF(parametros_manuales!$H$44="Todos",datos_base!$G$10,0))*parametros_manuales!$J$102+parametros_manuales!$F$44*(datos_base!$G$4+IF(parametros_manuales!$H$44="Todos",datos_base!$G$11,0))*parametros_manuales!$J$107+parametros_manuales!$G$44*(datos_base!$G$5+IF(parametros_manuales!$H$44="Todos",datos_base!$G$12,0))*parametros_manuales!$J$112)*parametros_manuales!$I$44*parametros_manuales!$J$44</f>
        <v>10854.36</v>
      </c>
      <c r="K167" s="8">
        <f>(parametros_manuales!$D$44*(datos_base!$G$2+IF(parametros_manuales!$H$44="Todos",datos_base!$G$9,0))*parametros_manuales!$K$97+parametros_manuales!$E$44*(datos_base!$G$3+IF(parametros_manuales!$H$44="Todos",datos_base!$G$10,0))*parametros_manuales!$K$102+parametros_manuales!$F$44*(datos_base!$G$4+IF(parametros_manuales!$H$44="Todos",datos_base!$G$11,0))*parametros_manuales!$K$107+parametros_manuales!$G$44*(datos_base!$G$5+IF(parametros_manuales!$H$44="Todos",datos_base!$G$12,0))*parametros_manuales!$K$112)*parametros_manuales!$I$44*parametros_manuales!$J$44</f>
        <v>11041.695</v>
      </c>
      <c r="L167" s="8">
        <f>(parametros_manuales!$D$44*(datos_base!$G$2+IF(parametros_manuales!$H$44="Todos",datos_base!$G$9,0))*parametros_manuales!$L$97+parametros_manuales!$E$44*(datos_base!$G$3+IF(parametros_manuales!$H$44="Todos",datos_base!$G$10,0))*parametros_manuales!$L$102+parametros_manuales!$F$44*(datos_base!$G$4+IF(parametros_manuales!$H$44="Todos",datos_base!$G$11,0))*parametros_manuales!$L$107+parametros_manuales!$G$44*(datos_base!$G$5+IF(parametros_manuales!$H$44="Todos",datos_base!$G$12,0))*parametros_manuales!$L$112)*parametros_manuales!$I$44*parametros_manuales!$J$44</f>
        <v>11229.03</v>
      </c>
      <c r="M167" s="8">
        <f>(parametros_manuales!$D$44*(datos_base!$G$2+IF(parametros_manuales!$H$44="Todos",datos_base!$G$9,0))*parametros_manuales!$M$97+parametros_manuales!$E$44*(datos_base!$G$3+IF(parametros_manuales!$H$44="Todos",datos_base!$G$10,0))*parametros_manuales!$M$102+parametros_manuales!$F$44*(datos_base!$G$4+IF(parametros_manuales!$H$44="Todos",datos_base!$G$11,0))*parametros_manuales!$M$107+parametros_manuales!$G$44*(datos_base!$G$5+IF(parametros_manuales!$H$44="Todos",datos_base!$G$12,0))*parametros_manuales!$M$112)*parametros_manuales!$I$44*parametros_manuales!$J$44</f>
        <v>11229.03</v>
      </c>
      <c r="N167" s="8">
        <f t="shared" si="16"/>
        <v>124767</v>
      </c>
      <c r="O167" s="8">
        <f t="shared" si="17"/>
        <v>11229.03</v>
      </c>
      <c r="P167" s="27">
        <f>O167/(parametros_manuales!$B$7)</f>
        <v>74.8602</v>
      </c>
      <c r="Q167" s="4" t="str">
        <f t="shared" si="18"/>
        <v>Ene</v>
      </c>
      <c r="R167" s="16"/>
      <c r="S167" s="16"/>
    </row>
    <row r="168" ht="14.2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</row>
    <row r="169" ht="14.25" customHeight="1">
      <c r="A169" s="1" t="s">
        <v>233</v>
      </c>
      <c r="B169" s="1" t="s">
        <v>5</v>
      </c>
      <c r="C169" s="1" t="s">
        <v>6</v>
      </c>
      <c r="D169" s="1" t="s">
        <v>7</v>
      </c>
      <c r="E169" s="1" t="s">
        <v>8</v>
      </c>
      <c r="F169" s="1" t="s">
        <v>9</v>
      </c>
      <c r="G169" s="1" t="s">
        <v>10</v>
      </c>
      <c r="H169" s="1" t="s">
        <v>12</v>
      </c>
      <c r="I169" s="1" t="s">
        <v>13</v>
      </c>
      <c r="J169" s="1" t="s">
        <v>15</v>
      </c>
      <c r="K169" s="1" t="s">
        <v>16</v>
      </c>
      <c r="L169" s="1" t="s">
        <v>17</v>
      </c>
      <c r="M169" s="1" t="s">
        <v>18</v>
      </c>
      <c r="N169" s="1" t="s">
        <v>19</v>
      </c>
      <c r="O169" s="1" t="s">
        <v>20</v>
      </c>
      <c r="P169" s="1" t="s">
        <v>21</v>
      </c>
      <c r="Q169" s="1" t="s">
        <v>22</v>
      </c>
      <c r="R169" s="16"/>
      <c r="S169" s="16"/>
    </row>
    <row r="170" ht="14.25" customHeight="1">
      <c r="A170" s="4" t="str">
        <f>parametros_manuales!$B$19</f>
        <v>Recepción de materia prima</v>
      </c>
      <c r="B170" s="8">
        <f>(parametros_manuales!$D$19*(datos_base!$H$2+IF(parametros_manuales!$H$19="Todos",datos_base!$H$9,0))*parametros_manuales!$B$97+parametros_manuales!$E$19*(datos_base!$H$3+IF(parametros_manuales!$H$19="Todos",datos_base!$H$10,0))*parametros_manuales!$B$102+parametros_manuales!$F$19*(datos_base!$H$4+IF(parametros_manuales!$H$19="Todos",datos_base!$H$11,0))*parametros_manuales!$B$107+parametros_manuales!$G$19*(datos_base!$H$5+IF(parametros_manuales!$H$19="Todos",datos_base!$H$12,0))*parametros_manuales!$B$112)*parametros_manuales!$I$19*parametros_manuales!$J$19</f>
        <v>15478.65</v>
      </c>
      <c r="C170" s="8">
        <f>(parametros_manuales!$D$19*(datos_base!$H$2+IF(parametros_manuales!$H$19="Todos",datos_base!$H$9,0))*parametros_manuales!$C$97+parametros_manuales!$E$19*(datos_base!$H$3+IF(parametros_manuales!$H$19="Todos",datos_base!$H$10,0))*parametros_manuales!$C$102+parametros_manuales!$F$19*(datos_base!$H$4+IF(parametros_manuales!$H$19="Todos",datos_base!$H$11,0))*parametros_manuales!$C$107+parametros_manuales!$G$19*(datos_base!$H$5+IF(parametros_manuales!$H$19="Todos",datos_base!$H$12,0))*parametros_manuales!$C$112)*parametros_manuales!$I$19*parametros_manuales!$J$19</f>
        <v>14975.54</v>
      </c>
      <c r="D170" s="8">
        <f>(parametros_manuales!$D$19*(datos_base!$H$2+IF(parametros_manuales!$H$19="Todos",datos_base!$H$9,0))*parametros_manuales!$D$97+parametros_manuales!$E$19*(datos_base!$H$3+IF(parametros_manuales!$H$19="Todos",datos_base!$H$10,0))*parametros_manuales!$D$102+parametros_manuales!$F$19*(datos_base!$H$4+IF(parametros_manuales!$H$19="Todos",datos_base!$H$11,0))*parametros_manuales!$D$107+parametros_manuales!$G$19*(datos_base!$H$5+IF(parametros_manuales!$H$19="Todos",datos_base!$H$12,0))*parametros_manuales!$D$112)*parametros_manuales!$I$19*parametros_manuales!$J$19</f>
        <v>14010.355</v>
      </c>
      <c r="E170" s="8">
        <f>(parametros_manuales!$D$19*(datos_base!$H$2+IF(parametros_manuales!$H$19="Todos",datos_base!$H$9,0))*parametros_manuales!$E$97+parametros_manuales!$E$19*(datos_base!$H$3+IF(parametros_manuales!$H$19="Todos",datos_base!$H$10,0))*parametros_manuales!$E$102+parametros_manuales!$F$19*(datos_base!$H$4+IF(parametros_manuales!$H$19="Todos",datos_base!$H$11,0))*parametros_manuales!$E$107+parametros_manuales!$G$19*(datos_base!$H$5+IF(parametros_manuales!$H$19="Todos",datos_base!$H$12,0))*parametros_manuales!$E$112)*parametros_manuales!$I$19*parametros_manuales!$J$19</f>
        <v>13401.985</v>
      </c>
      <c r="F170" s="8">
        <f>(parametros_manuales!$D$19*(datos_base!$H$2+IF(parametros_manuales!$H$19="Todos",datos_base!$H$9,0))*parametros_manuales!$F$97+parametros_manuales!$E$19*(datos_base!$H$3+IF(parametros_manuales!$H$19="Todos",datos_base!$H$10,0))*parametros_manuales!$F$102+parametros_manuales!$F$19*(datos_base!$H$4+IF(parametros_manuales!$H$19="Todos",datos_base!$H$11,0))*parametros_manuales!$F$107+parametros_manuales!$G$19*(datos_base!$H$5+IF(parametros_manuales!$H$19="Todos",datos_base!$H$12,0))*parametros_manuales!$F$112)*parametros_manuales!$I$19*parametros_manuales!$J$19</f>
        <v>12542.06</v>
      </c>
      <c r="G170" s="8">
        <f>(parametros_manuales!$D$19*(datos_base!$H$2+IF(parametros_manuales!$H$19="Todos",datos_base!$H$9,0))*parametros_manuales!$G$97+parametros_manuales!$E$19*(datos_base!$H$3+IF(parametros_manuales!$H$19="Todos",datos_base!$H$10,0))*parametros_manuales!$G$102+parametros_manuales!$F$19*(datos_base!$H$4+IF(parametros_manuales!$H$19="Todos",datos_base!$H$11,0))*parametros_manuales!$G$107+parametros_manuales!$G$19*(datos_base!$H$5+IF(parametros_manuales!$H$19="Todos",datos_base!$H$12,0))*parametros_manuales!$G$112)*parametros_manuales!$I$19*parametros_manuales!$J$19</f>
        <v>12290.505</v>
      </c>
      <c r="H170" s="8">
        <f>(parametros_manuales!$D$19*(datos_base!$H$2+IF(parametros_manuales!$H$19="Todos",datos_base!$H$9,0))*parametros_manuales!$H$97+parametros_manuales!$E$19*(datos_base!$H$3+IF(parametros_manuales!$H$19="Todos",datos_base!$H$10,0))*parametros_manuales!$H$102+parametros_manuales!$F$19*(datos_base!$H$4+IF(parametros_manuales!$H$19="Todos",datos_base!$H$11,0))*parametros_manuales!$H$107+parametros_manuales!$G$19*(datos_base!$H$5+IF(parametros_manuales!$H$19="Todos",datos_base!$H$12,0))*parametros_manuales!$H$112)*parametros_manuales!$I$19*parametros_manuales!$J$19</f>
        <v>13150.43</v>
      </c>
      <c r="I170" s="8">
        <f>(parametros_manuales!$D$19*(datos_base!$H$2+IF(parametros_manuales!$H$19="Todos",datos_base!$H$9,0))*parametros_manuales!$I$97+parametros_manuales!$E$19*(datos_base!$H$3+IF(parametros_manuales!$H$19="Todos",datos_base!$H$10,0))*parametros_manuales!$I$102+parametros_manuales!$F$19*(datos_base!$H$4+IF(parametros_manuales!$H$19="Todos",datos_base!$H$11,0))*parametros_manuales!$I$107+parametros_manuales!$G$19*(datos_base!$H$5+IF(parametros_manuales!$H$19="Todos",datos_base!$H$12,0))*parametros_manuales!$I$112)*parametros_manuales!$I$19*parametros_manuales!$J$19</f>
        <v>14975.54</v>
      </c>
      <c r="J170" s="8">
        <f>(parametros_manuales!$D$19*(datos_base!$H$2+IF(parametros_manuales!$H$19="Todos",datos_base!$H$9,0))*parametros_manuales!$J$97+parametros_manuales!$E$19*(datos_base!$H$3+IF(parametros_manuales!$H$19="Todos",datos_base!$H$10,0))*parametros_manuales!$J$102+parametros_manuales!$F$19*(datos_base!$H$4+IF(parametros_manuales!$H$19="Todos",datos_base!$H$11,0))*parametros_manuales!$J$107+parametros_manuales!$G$19*(datos_base!$H$5+IF(parametros_manuales!$H$19="Todos",datos_base!$H$12,0))*parametros_manuales!$J$112)*parametros_manuales!$I$19*parametros_manuales!$J$19</f>
        <v>14975.54</v>
      </c>
      <c r="K170" s="8">
        <f>(parametros_manuales!$D$19*(datos_base!$H$2+IF(parametros_manuales!$H$19="Todos",datos_base!$H$9,0))*parametros_manuales!$K$97+parametros_manuales!$E$19*(datos_base!$H$3+IF(parametros_manuales!$H$19="Todos",datos_base!$H$10,0))*parametros_manuales!$K$102+parametros_manuales!$F$19*(datos_base!$H$4+IF(parametros_manuales!$H$19="Todos",datos_base!$H$11,0))*parametros_manuales!$K$107+parametros_manuales!$G$19*(datos_base!$H$5+IF(parametros_manuales!$H$19="Todos",datos_base!$H$12,0))*parametros_manuales!$K$112)*parametros_manuales!$I$19*parametros_manuales!$J$19</f>
        <v>15227.095</v>
      </c>
      <c r="L170" s="8">
        <f>(parametros_manuales!$D$19*(datos_base!$H$2+IF(parametros_manuales!$H$19="Todos",datos_base!$H$9,0))*parametros_manuales!$L$97+parametros_manuales!$E$19*(datos_base!$H$3+IF(parametros_manuales!$H$19="Todos",datos_base!$H$10,0))*parametros_manuales!$L$102+parametros_manuales!$F$19*(datos_base!$H$4+IF(parametros_manuales!$H$19="Todos",datos_base!$H$11,0))*parametros_manuales!$L$107+parametros_manuales!$G$19*(datos_base!$H$5+IF(parametros_manuales!$H$19="Todos",datos_base!$H$12,0))*parametros_manuales!$L$112)*parametros_manuales!$I$19*parametros_manuales!$J$19</f>
        <v>15478.65</v>
      </c>
      <c r="M170" s="8">
        <f>(parametros_manuales!$D$19*(datos_base!$H$2+IF(parametros_manuales!$H$19="Todos",datos_base!$H$9,0))*parametros_manuales!$M$97+parametros_manuales!$E$19*(datos_base!$H$3+IF(parametros_manuales!$H$19="Todos",datos_base!$H$10,0))*parametros_manuales!$M$102+parametros_manuales!$F$19*(datos_base!$H$4+IF(parametros_manuales!$H$19="Todos",datos_base!$H$11,0))*parametros_manuales!$M$107+parametros_manuales!$G$19*(datos_base!$H$5+IF(parametros_manuales!$H$19="Todos",datos_base!$H$12,0))*parametros_manuales!$M$112)*parametros_manuales!$I$19*parametros_manuales!$J$19</f>
        <v>15478.65</v>
      </c>
      <c r="N170" s="8">
        <f t="shared" ref="N170:N195" si="19">SUM(B170:M170)</f>
        <v>171985</v>
      </c>
      <c r="O170" s="8">
        <f t="shared" ref="O170:O195" si="20">MAX(B170:M170)</f>
        <v>15478.65</v>
      </c>
      <c r="P170" s="27">
        <f>O170/(parametros_manuales!$B$7)</f>
        <v>103.191</v>
      </c>
      <c r="Q170" s="4" t="str">
        <f t="shared" ref="Q170:Q195" si="21">IF(O170=0,"-",INDEX($B$169:$M$169,MATCH(O170,B170:M170,0)))</f>
        <v>Ene</v>
      </c>
      <c r="R170" s="16"/>
      <c r="S170" s="16"/>
    </row>
    <row r="171" ht="14.25" customHeight="1">
      <c r="A171" s="4" t="str">
        <f>parametros_manuales!$B$20</f>
        <v>Corte de chapa — 1.er corte en franjas (guillotina 1)</v>
      </c>
      <c r="B171" s="8">
        <f>(parametros_manuales!$D$20*(datos_base!$H$2+IF(parametros_manuales!$H$20="Todos",datos_base!$H$9,0))*parametros_manuales!$B$97+parametros_manuales!$E$20*(datos_base!$H$3+IF(parametros_manuales!$H$20="Todos",datos_base!$H$10,0))*parametros_manuales!$B$102+parametros_manuales!$F$20*(datos_base!$H$4+IF(parametros_manuales!$H$20="Todos",datos_base!$H$11,0))*parametros_manuales!$B$107+parametros_manuales!$G$20*(datos_base!$H$5+IF(parametros_manuales!$H$20="Todos",datos_base!$H$12,0))*parametros_manuales!$B$112)*parametros_manuales!$I$20*parametros_manuales!$J$20</f>
        <v>15478.65</v>
      </c>
      <c r="C171" s="8">
        <f>(parametros_manuales!$D$20*(datos_base!$H$2+IF(parametros_manuales!$H$20="Todos",datos_base!$H$9,0))*parametros_manuales!$C$97+parametros_manuales!$E$20*(datos_base!$H$3+IF(parametros_manuales!$H$20="Todos",datos_base!$H$10,0))*parametros_manuales!$C$102+parametros_manuales!$F$20*(datos_base!$H$4+IF(parametros_manuales!$H$20="Todos",datos_base!$H$11,0))*parametros_manuales!$C$107+parametros_manuales!$G$20*(datos_base!$H$5+IF(parametros_manuales!$H$20="Todos",datos_base!$H$12,0))*parametros_manuales!$C$112)*parametros_manuales!$I$20*parametros_manuales!$J$20</f>
        <v>14975.54</v>
      </c>
      <c r="D171" s="8">
        <f>(parametros_manuales!$D$20*(datos_base!$H$2+IF(parametros_manuales!$H$20="Todos",datos_base!$H$9,0))*parametros_manuales!$D$97+parametros_manuales!$E$20*(datos_base!$H$3+IF(parametros_manuales!$H$20="Todos",datos_base!$H$10,0))*parametros_manuales!$D$102+parametros_manuales!$F$20*(datos_base!$H$4+IF(parametros_manuales!$H$20="Todos",datos_base!$H$11,0))*parametros_manuales!$D$107+parametros_manuales!$G$20*(datos_base!$H$5+IF(parametros_manuales!$H$20="Todos",datos_base!$H$12,0))*parametros_manuales!$D$112)*parametros_manuales!$I$20*parametros_manuales!$J$20</f>
        <v>14010.355</v>
      </c>
      <c r="E171" s="8">
        <f>(parametros_manuales!$D$20*(datos_base!$H$2+IF(parametros_manuales!$H$20="Todos",datos_base!$H$9,0))*parametros_manuales!$E$97+parametros_manuales!$E$20*(datos_base!$H$3+IF(parametros_manuales!$H$20="Todos",datos_base!$H$10,0))*parametros_manuales!$E$102+parametros_manuales!$F$20*(datos_base!$H$4+IF(parametros_manuales!$H$20="Todos",datos_base!$H$11,0))*parametros_manuales!$E$107+parametros_manuales!$G$20*(datos_base!$H$5+IF(parametros_manuales!$H$20="Todos",datos_base!$H$12,0))*parametros_manuales!$E$112)*parametros_manuales!$I$20*parametros_manuales!$J$20</f>
        <v>13401.985</v>
      </c>
      <c r="F171" s="8">
        <f>(parametros_manuales!$D$20*(datos_base!$H$2+IF(parametros_manuales!$H$20="Todos",datos_base!$H$9,0))*parametros_manuales!$F$97+parametros_manuales!$E$20*(datos_base!$H$3+IF(parametros_manuales!$H$20="Todos",datos_base!$H$10,0))*parametros_manuales!$F$102+parametros_manuales!$F$20*(datos_base!$H$4+IF(parametros_manuales!$H$20="Todos",datos_base!$H$11,0))*parametros_manuales!$F$107+parametros_manuales!$G$20*(datos_base!$H$5+IF(parametros_manuales!$H$20="Todos",datos_base!$H$12,0))*parametros_manuales!$F$112)*parametros_manuales!$I$20*parametros_manuales!$J$20</f>
        <v>12542.06</v>
      </c>
      <c r="G171" s="8">
        <f>(parametros_manuales!$D$20*(datos_base!$H$2+IF(parametros_manuales!$H$20="Todos",datos_base!$H$9,0))*parametros_manuales!$G$97+parametros_manuales!$E$20*(datos_base!$H$3+IF(parametros_manuales!$H$20="Todos",datos_base!$H$10,0))*parametros_manuales!$G$102+parametros_manuales!$F$20*(datos_base!$H$4+IF(parametros_manuales!$H$20="Todos",datos_base!$H$11,0))*parametros_manuales!$G$107+parametros_manuales!$G$20*(datos_base!$H$5+IF(parametros_manuales!$H$20="Todos",datos_base!$H$12,0))*parametros_manuales!$G$112)*parametros_manuales!$I$20*parametros_manuales!$J$20</f>
        <v>12290.505</v>
      </c>
      <c r="H171" s="8">
        <f>(parametros_manuales!$D$20*(datos_base!$H$2+IF(parametros_manuales!$H$20="Todos",datos_base!$H$9,0))*parametros_manuales!$H$97+parametros_manuales!$E$20*(datos_base!$H$3+IF(parametros_manuales!$H$20="Todos",datos_base!$H$10,0))*parametros_manuales!$H$102+parametros_manuales!$F$20*(datos_base!$H$4+IF(parametros_manuales!$H$20="Todos",datos_base!$H$11,0))*parametros_manuales!$H$107+parametros_manuales!$G$20*(datos_base!$H$5+IF(parametros_manuales!$H$20="Todos",datos_base!$H$12,0))*parametros_manuales!$H$112)*parametros_manuales!$I$20*parametros_manuales!$J$20</f>
        <v>13150.43</v>
      </c>
      <c r="I171" s="8">
        <f>(parametros_manuales!$D$20*(datos_base!$H$2+IF(parametros_manuales!$H$20="Todos",datos_base!$H$9,0))*parametros_manuales!$I$97+parametros_manuales!$E$20*(datos_base!$H$3+IF(parametros_manuales!$H$20="Todos",datos_base!$H$10,0))*parametros_manuales!$I$102+parametros_manuales!$F$20*(datos_base!$H$4+IF(parametros_manuales!$H$20="Todos",datos_base!$H$11,0))*parametros_manuales!$I$107+parametros_manuales!$G$20*(datos_base!$H$5+IF(parametros_manuales!$H$20="Todos",datos_base!$H$12,0))*parametros_manuales!$I$112)*parametros_manuales!$I$20*parametros_manuales!$J$20</f>
        <v>14975.54</v>
      </c>
      <c r="J171" s="8">
        <f>(parametros_manuales!$D$20*(datos_base!$H$2+IF(parametros_manuales!$H$20="Todos",datos_base!$H$9,0))*parametros_manuales!$J$97+parametros_manuales!$E$20*(datos_base!$H$3+IF(parametros_manuales!$H$20="Todos",datos_base!$H$10,0))*parametros_manuales!$J$102+parametros_manuales!$F$20*(datos_base!$H$4+IF(parametros_manuales!$H$20="Todos",datos_base!$H$11,0))*parametros_manuales!$J$107+parametros_manuales!$G$20*(datos_base!$H$5+IF(parametros_manuales!$H$20="Todos",datos_base!$H$12,0))*parametros_manuales!$J$112)*parametros_manuales!$I$20*parametros_manuales!$J$20</f>
        <v>14975.54</v>
      </c>
      <c r="K171" s="8">
        <f>(parametros_manuales!$D$20*(datos_base!$H$2+IF(parametros_manuales!$H$20="Todos",datos_base!$H$9,0))*parametros_manuales!$K$97+parametros_manuales!$E$20*(datos_base!$H$3+IF(parametros_manuales!$H$20="Todos",datos_base!$H$10,0))*parametros_manuales!$K$102+parametros_manuales!$F$20*(datos_base!$H$4+IF(parametros_manuales!$H$20="Todos",datos_base!$H$11,0))*parametros_manuales!$K$107+parametros_manuales!$G$20*(datos_base!$H$5+IF(parametros_manuales!$H$20="Todos",datos_base!$H$12,0))*parametros_manuales!$K$112)*parametros_manuales!$I$20*parametros_manuales!$J$20</f>
        <v>15227.095</v>
      </c>
      <c r="L171" s="8">
        <f>(parametros_manuales!$D$20*(datos_base!$H$2+IF(parametros_manuales!$H$20="Todos",datos_base!$H$9,0))*parametros_manuales!$L$97+parametros_manuales!$E$20*(datos_base!$H$3+IF(parametros_manuales!$H$20="Todos",datos_base!$H$10,0))*parametros_manuales!$L$102+parametros_manuales!$F$20*(datos_base!$H$4+IF(parametros_manuales!$H$20="Todos",datos_base!$H$11,0))*parametros_manuales!$L$107+parametros_manuales!$G$20*(datos_base!$H$5+IF(parametros_manuales!$H$20="Todos",datos_base!$H$12,0))*parametros_manuales!$L$112)*parametros_manuales!$I$20*parametros_manuales!$J$20</f>
        <v>15478.65</v>
      </c>
      <c r="M171" s="8">
        <f>(parametros_manuales!$D$20*(datos_base!$H$2+IF(parametros_manuales!$H$20="Todos",datos_base!$H$9,0))*parametros_manuales!$M$97+parametros_manuales!$E$20*(datos_base!$H$3+IF(parametros_manuales!$H$20="Todos",datos_base!$H$10,0))*parametros_manuales!$M$102+parametros_manuales!$F$20*(datos_base!$H$4+IF(parametros_manuales!$H$20="Todos",datos_base!$H$11,0))*parametros_manuales!$M$107+parametros_manuales!$G$20*(datos_base!$H$5+IF(parametros_manuales!$H$20="Todos",datos_base!$H$12,0))*parametros_manuales!$M$112)*parametros_manuales!$I$20*parametros_manuales!$J$20</f>
        <v>15478.65</v>
      </c>
      <c r="N171" s="8">
        <f t="shared" si="19"/>
        <v>171985</v>
      </c>
      <c r="O171" s="8">
        <f t="shared" si="20"/>
        <v>15478.65</v>
      </c>
      <c r="P171" s="27">
        <f>O171/(parametros_manuales!$B$7)</f>
        <v>103.191</v>
      </c>
      <c r="Q171" s="4" t="str">
        <f t="shared" si="21"/>
        <v>Ene</v>
      </c>
      <c r="R171" s="16"/>
      <c r="S171" s="16"/>
    </row>
    <row r="172" ht="14.25" customHeight="1">
      <c r="A172" s="4" t="str">
        <f>parametros_manuales!$B$21</f>
        <v>Corte de chapa — 2.º corte en piezas (guillotina 2)</v>
      </c>
      <c r="B172" s="8">
        <f>(parametros_manuales!$D$21*(datos_base!$H$2+IF(parametros_manuales!$H$21="Todos",datos_base!$H$9,0))*parametros_manuales!$B$97+parametros_manuales!$E$21*(datos_base!$H$3+IF(parametros_manuales!$H$21="Todos",datos_base!$H$10,0))*parametros_manuales!$B$102+parametros_manuales!$F$21*(datos_base!$H$4+IF(parametros_manuales!$H$21="Todos",datos_base!$H$11,0))*parametros_manuales!$B$107+parametros_manuales!$G$21*(datos_base!$H$5+IF(parametros_manuales!$H$21="Todos",datos_base!$H$12,0))*parametros_manuales!$B$112)*parametros_manuales!$I$21*parametros_manuales!$J$21</f>
        <v>15478.65</v>
      </c>
      <c r="C172" s="8">
        <f>(parametros_manuales!$D$21*(datos_base!$H$2+IF(parametros_manuales!$H$21="Todos",datos_base!$H$9,0))*parametros_manuales!$C$97+parametros_manuales!$E$21*(datos_base!$H$3+IF(parametros_manuales!$H$21="Todos",datos_base!$H$10,0))*parametros_manuales!$C$102+parametros_manuales!$F$21*(datos_base!$H$4+IF(parametros_manuales!$H$21="Todos",datos_base!$H$11,0))*parametros_manuales!$C$107+parametros_manuales!$G$21*(datos_base!$H$5+IF(parametros_manuales!$H$21="Todos",datos_base!$H$12,0))*parametros_manuales!$C$112)*parametros_manuales!$I$21*parametros_manuales!$J$21</f>
        <v>14975.54</v>
      </c>
      <c r="D172" s="8">
        <f>(parametros_manuales!$D$21*(datos_base!$H$2+IF(parametros_manuales!$H$21="Todos",datos_base!$H$9,0))*parametros_manuales!$D$97+parametros_manuales!$E$21*(datos_base!$H$3+IF(parametros_manuales!$H$21="Todos",datos_base!$H$10,0))*parametros_manuales!$D$102+parametros_manuales!$F$21*(datos_base!$H$4+IF(parametros_manuales!$H$21="Todos",datos_base!$H$11,0))*parametros_manuales!$D$107+parametros_manuales!$G$21*(datos_base!$H$5+IF(parametros_manuales!$H$21="Todos",datos_base!$H$12,0))*parametros_manuales!$D$112)*parametros_manuales!$I$21*parametros_manuales!$J$21</f>
        <v>14010.355</v>
      </c>
      <c r="E172" s="8">
        <f>(parametros_manuales!$D$21*(datos_base!$H$2+IF(parametros_manuales!$H$21="Todos",datos_base!$H$9,0))*parametros_manuales!$E$97+parametros_manuales!$E$21*(datos_base!$H$3+IF(parametros_manuales!$H$21="Todos",datos_base!$H$10,0))*parametros_manuales!$E$102+parametros_manuales!$F$21*(datos_base!$H$4+IF(parametros_manuales!$H$21="Todos",datos_base!$H$11,0))*parametros_manuales!$E$107+parametros_manuales!$G$21*(datos_base!$H$5+IF(parametros_manuales!$H$21="Todos",datos_base!$H$12,0))*parametros_manuales!$E$112)*parametros_manuales!$I$21*parametros_manuales!$J$21</f>
        <v>13401.985</v>
      </c>
      <c r="F172" s="8">
        <f>(parametros_manuales!$D$21*(datos_base!$H$2+IF(parametros_manuales!$H$21="Todos",datos_base!$H$9,0))*parametros_manuales!$F$97+parametros_manuales!$E$21*(datos_base!$H$3+IF(parametros_manuales!$H$21="Todos",datos_base!$H$10,0))*parametros_manuales!$F$102+parametros_manuales!$F$21*(datos_base!$H$4+IF(parametros_manuales!$H$21="Todos",datos_base!$H$11,0))*parametros_manuales!$F$107+parametros_manuales!$G$21*(datos_base!$H$5+IF(parametros_manuales!$H$21="Todos",datos_base!$H$12,0))*parametros_manuales!$F$112)*parametros_manuales!$I$21*parametros_manuales!$J$21</f>
        <v>12542.06</v>
      </c>
      <c r="G172" s="8">
        <f>(parametros_manuales!$D$21*(datos_base!$H$2+IF(parametros_manuales!$H$21="Todos",datos_base!$H$9,0))*parametros_manuales!$G$97+parametros_manuales!$E$21*(datos_base!$H$3+IF(parametros_manuales!$H$21="Todos",datos_base!$H$10,0))*parametros_manuales!$G$102+parametros_manuales!$F$21*(datos_base!$H$4+IF(parametros_manuales!$H$21="Todos",datos_base!$H$11,0))*parametros_manuales!$G$107+parametros_manuales!$G$21*(datos_base!$H$5+IF(parametros_manuales!$H$21="Todos",datos_base!$H$12,0))*parametros_manuales!$G$112)*parametros_manuales!$I$21*parametros_manuales!$J$21</f>
        <v>12290.505</v>
      </c>
      <c r="H172" s="8">
        <f>(parametros_manuales!$D$21*(datos_base!$H$2+IF(parametros_manuales!$H$21="Todos",datos_base!$H$9,0))*parametros_manuales!$H$97+parametros_manuales!$E$21*(datos_base!$H$3+IF(parametros_manuales!$H$21="Todos",datos_base!$H$10,0))*parametros_manuales!$H$102+parametros_manuales!$F$21*(datos_base!$H$4+IF(parametros_manuales!$H$21="Todos",datos_base!$H$11,0))*parametros_manuales!$H$107+parametros_manuales!$G$21*(datos_base!$H$5+IF(parametros_manuales!$H$21="Todos",datos_base!$H$12,0))*parametros_manuales!$H$112)*parametros_manuales!$I$21*parametros_manuales!$J$21</f>
        <v>13150.43</v>
      </c>
      <c r="I172" s="8">
        <f>(parametros_manuales!$D$21*(datos_base!$H$2+IF(parametros_manuales!$H$21="Todos",datos_base!$H$9,0))*parametros_manuales!$I$97+parametros_manuales!$E$21*(datos_base!$H$3+IF(parametros_manuales!$H$21="Todos",datos_base!$H$10,0))*parametros_manuales!$I$102+parametros_manuales!$F$21*(datos_base!$H$4+IF(parametros_manuales!$H$21="Todos",datos_base!$H$11,0))*parametros_manuales!$I$107+parametros_manuales!$G$21*(datos_base!$H$5+IF(parametros_manuales!$H$21="Todos",datos_base!$H$12,0))*parametros_manuales!$I$112)*parametros_manuales!$I$21*parametros_manuales!$J$21</f>
        <v>14975.54</v>
      </c>
      <c r="J172" s="8">
        <f>(parametros_manuales!$D$21*(datos_base!$H$2+IF(parametros_manuales!$H$21="Todos",datos_base!$H$9,0))*parametros_manuales!$J$97+parametros_manuales!$E$21*(datos_base!$H$3+IF(parametros_manuales!$H$21="Todos",datos_base!$H$10,0))*parametros_manuales!$J$102+parametros_manuales!$F$21*(datos_base!$H$4+IF(parametros_manuales!$H$21="Todos",datos_base!$H$11,0))*parametros_manuales!$J$107+parametros_manuales!$G$21*(datos_base!$H$5+IF(parametros_manuales!$H$21="Todos",datos_base!$H$12,0))*parametros_manuales!$J$112)*parametros_manuales!$I$21*parametros_manuales!$J$21</f>
        <v>14975.54</v>
      </c>
      <c r="K172" s="8">
        <f>(parametros_manuales!$D$21*(datos_base!$H$2+IF(parametros_manuales!$H$21="Todos",datos_base!$H$9,0))*parametros_manuales!$K$97+parametros_manuales!$E$21*(datos_base!$H$3+IF(parametros_manuales!$H$21="Todos",datos_base!$H$10,0))*parametros_manuales!$K$102+parametros_manuales!$F$21*(datos_base!$H$4+IF(parametros_manuales!$H$21="Todos",datos_base!$H$11,0))*parametros_manuales!$K$107+parametros_manuales!$G$21*(datos_base!$H$5+IF(parametros_manuales!$H$21="Todos",datos_base!$H$12,0))*parametros_manuales!$K$112)*parametros_manuales!$I$21*parametros_manuales!$J$21</f>
        <v>15227.095</v>
      </c>
      <c r="L172" s="8">
        <f>(parametros_manuales!$D$21*(datos_base!$H$2+IF(parametros_manuales!$H$21="Todos",datos_base!$H$9,0))*parametros_manuales!$L$97+parametros_manuales!$E$21*(datos_base!$H$3+IF(parametros_manuales!$H$21="Todos",datos_base!$H$10,0))*parametros_manuales!$L$102+parametros_manuales!$F$21*(datos_base!$H$4+IF(parametros_manuales!$H$21="Todos",datos_base!$H$11,0))*parametros_manuales!$L$107+parametros_manuales!$G$21*(datos_base!$H$5+IF(parametros_manuales!$H$21="Todos",datos_base!$H$12,0))*parametros_manuales!$L$112)*parametros_manuales!$I$21*parametros_manuales!$J$21</f>
        <v>15478.65</v>
      </c>
      <c r="M172" s="8">
        <f>(parametros_manuales!$D$21*(datos_base!$H$2+IF(parametros_manuales!$H$21="Todos",datos_base!$H$9,0))*parametros_manuales!$M$97+parametros_manuales!$E$21*(datos_base!$H$3+IF(parametros_manuales!$H$21="Todos",datos_base!$H$10,0))*parametros_manuales!$M$102+parametros_manuales!$F$21*(datos_base!$H$4+IF(parametros_manuales!$H$21="Todos",datos_base!$H$11,0))*parametros_manuales!$M$107+parametros_manuales!$G$21*(datos_base!$H$5+IF(parametros_manuales!$H$21="Todos",datos_base!$H$12,0))*parametros_manuales!$M$112)*parametros_manuales!$I$21*parametros_manuales!$J$21</f>
        <v>15478.65</v>
      </c>
      <c r="N172" s="8">
        <f t="shared" si="19"/>
        <v>171985</v>
      </c>
      <c r="O172" s="8">
        <f t="shared" si="20"/>
        <v>15478.65</v>
      </c>
      <c r="P172" s="27">
        <f>O172/(parametros_manuales!$B$7)</f>
        <v>103.191</v>
      </c>
      <c r="Q172" s="4" t="str">
        <f t="shared" si="21"/>
        <v>Ene</v>
      </c>
      <c r="R172" s="16"/>
      <c r="S172" s="16"/>
    </row>
    <row r="173" ht="14.25" customHeight="1">
      <c r="A173" s="4" t="str">
        <f>parametros_manuales!$B$22</f>
        <v>Corte de disco y embutido (cúpula y fondo)</v>
      </c>
      <c r="B173" s="8">
        <f>(parametros_manuales!$D$22*(datos_base!$H$2+IF(parametros_manuales!$H$22="Todos",datos_base!$H$9,0))*parametros_manuales!$B$97+parametros_manuales!$E$22*(datos_base!$H$3+IF(parametros_manuales!$H$22="Todos",datos_base!$H$10,0))*parametros_manuales!$B$102+parametros_manuales!$F$22*(datos_base!$H$4+IF(parametros_manuales!$H$22="Todos",datos_base!$H$11,0))*parametros_manuales!$B$107+parametros_manuales!$G$22*(datos_base!$H$5+IF(parametros_manuales!$H$22="Todos",datos_base!$H$12,0))*parametros_manuales!$B$112)*parametros_manuales!$I$22*parametros_manuales!$J$22</f>
        <v>30957.3</v>
      </c>
      <c r="C173" s="8">
        <f>(parametros_manuales!$D$22*(datos_base!$H$2+IF(parametros_manuales!$H$22="Todos",datos_base!$H$9,0))*parametros_manuales!$C$97+parametros_manuales!$E$22*(datos_base!$H$3+IF(parametros_manuales!$H$22="Todos",datos_base!$H$10,0))*parametros_manuales!$C$102+parametros_manuales!$F$22*(datos_base!$H$4+IF(parametros_manuales!$H$22="Todos",datos_base!$H$11,0))*parametros_manuales!$C$107+parametros_manuales!$G$22*(datos_base!$H$5+IF(parametros_manuales!$H$22="Todos",datos_base!$H$12,0))*parametros_manuales!$C$112)*parametros_manuales!$I$22*parametros_manuales!$J$22</f>
        <v>29951.08</v>
      </c>
      <c r="D173" s="8">
        <f>(parametros_manuales!$D$22*(datos_base!$H$2+IF(parametros_manuales!$H$22="Todos",datos_base!$H$9,0))*parametros_manuales!$D$97+parametros_manuales!$E$22*(datos_base!$H$3+IF(parametros_manuales!$H$22="Todos",datos_base!$H$10,0))*parametros_manuales!$D$102+parametros_manuales!$F$22*(datos_base!$H$4+IF(parametros_manuales!$H$22="Todos",datos_base!$H$11,0))*parametros_manuales!$D$107+parametros_manuales!$G$22*(datos_base!$H$5+IF(parametros_manuales!$H$22="Todos",datos_base!$H$12,0))*parametros_manuales!$D$112)*parametros_manuales!$I$22*parametros_manuales!$J$22</f>
        <v>28020.71</v>
      </c>
      <c r="E173" s="8">
        <f>(parametros_manuales!$D$22*(datos_base!$H$2+IF(parametros_manuales!$H$22="Todos",datos_base!$H$9,0))*parametros_manuales!$E$97+parametros_manuales!$E$22*(datos_base!$H$3+IF(parametros_manuales!$H$22="Todos",datos_base!$H$10,0))*parametros_manuales!$E$102+parametros_manuales!$F$22*(datos_base!$H$4+IF(parametros_manuales!$H$22="Todos",datos_base!$H$11,0))*parametros_manuales!$E$107+parametros_manuales!$G$22*(datos_base!$H$5+IF(parametros_manuales!$H$22="Todos",datos_base!$H$12,0))*parametros_manuales!$E$112)*parametros_manuales!$I$22*parametros_manuales!$J$22</f>
        <v>26803.97</v>
      </c>
      <c r="F173" s="8">
        <f>(parametros_manuales!$D$22*(datos_base!$H$2+IF(parametros_manuales!$H$22="Todos",datos_base!$H$9,0))*parametros_manuales!$F$97+parametros_manuales!$E$22*(datos_base!$H$3+IF(parametros_manuales!$H$22="Todos",datos_base!$H$10,0))*parametros_manuales!$F$102+parametros_manuales!$F$22*(datos_base!$H$4+IF(parametros_manuales!$H$22="Todos",datos_base!$H$11,0))*parametros_manuales!$F$107+parametros_manuales!$G$22*(datos_base!$H$5+IF(parametros_manuales!$H$22="Todos",datos_base!$H$12,0))*parametros_manuales!$F$112)*parametros_manuales!$I$22*parametros_manuales!$J$22</f>
        <v>25084.12</v>
      </c>
      <c r="G173" s="8">
        <f>(parametros_manuales!$D$22*(datos_base!$H$2+IF(parametros_manuales!$H$22="Todos",datos_base!$H$9,0))*parametros_manuales!$G$97+parametros_manuales!$E$22*(datos_base!$H$3+IF(parametros_manuales!$H$22="Todos",datos_base!$H$10,0))*parametros_manuales!$G$102+parametros_manuales!$F$22*(datos_base!$H$4+IF(parametros_manuales!$H$22="Todos",datos_base!$H$11,0))*parametros_manuales!$G$107+parametros_manuales!$G$22*(datos_base!$H$5+IF(parametros_manuales!$H$22="Todos",datos_base!$H$12,0))*parametros_manuales!$G$112)*parametros_manuales!$I$22*parametros_manuales!$J$22</f>
        <v>24581.01</v>
      </c>
      <c r="H173" s="8">
        <f>(parametros_manuales!$D$22*(datos_base!$H$2+IF(parametros_manuales!$H$22="Todos",datos_base!$H$9,0))*parametros_manuales!$H$97+parametros_manuales!$E$22*(datos_base!$H$3+IF(parametros_manuales!$H$22="Todos",datos_base!$H$10,0))*parametros_manuales!$H$102+parametros_manuales!$F$22*(datos_base!$H$4+IF(parametros_manuales!$H$22="Todos",datos_base!$H$11,0))*parametros_manuales!$H$107+parametros_manuales!$G$22*(datos_base!$H$5+IF(parametros_manuales!$H$22="Todos",datos_base!$H$12,0))*parametros_manuales!$H$112)*parametros_manuales!$I$22*parametros_manuales!$J$22</f>
        <v>26300.86</v>
      </c>
      <c r="I173" s="8">
        <f>(parametros_manuales!$D$22*(datos_base!$H$2+IF(parametros_manuales!$H$22="Todos",datos_base!$H$9,0))*parametros_manuales!$I$97+parametros_manuales!$E$22*(datos_base!$H$3+IF(parametros_manuales!$H$22="Todos",datos_base!$H$10,0))*parametros_manuales!$I$102+parametros_manuales!$F$22*(datos_base!$H$4+IF(parametros_manuales!$H$22="Todos",datos_base!$H$11,0))*parametros_manuales!$I$107+parametros_manuales!$G$22*(datos_base!$H$5+IF(parametros_manuales!$H$22="Todos",datos_base!$H$12,0))*parametros_manuales!$I$112)*parametros_manuales!$I$22*parametros_manuales!$J$22</f>
        <v>29951.08</v>
      </c>
      <c r="J173" s="8">
        <f>(parametros_manuales!$D$22*(datos_base!$H$2+IF(parametros_manuales!$H$22="Todos",datos_base!$H$9,0))*parametros_manuales!$J$97+parametros_manuales!$E$22*(datos_base!$H$3+IF(parametros_manuales!$H$22="Todos",datos_base!$H$10,0))*parametros_manuales!$J$102+parametros_manuales!$F$22*(datos_base!$H$4+IF(parametros_manuales!$H$22="Todos",datos_base!$H$11,0))*parametros_manuales!$J$107+parametros_manuales!$G$22*(datos_base!$H$5+IF(parametros_manuales!$H$22="Todos",datos_base!$H$12,0))*parametros_manuales!$J$112)*parametros_manuales!$I$22*parametros_manuales!$J$22</f>
        <v>29951.08</v>
      </c>
      <c r="K173" s="8">
        <f>(parametros_manuales!$D$22*(datos_base!$H$2+IF(parametros_manuales!$H$22="Todos",datos_base!$H$9,0))*parametros_manuales!$K$97+parametros_manuales!$E$22*(datos_base!$H$3+IF(parametros_manuales!$H$22="Todos",datos_base!$H$10,0))*parametros_manuales!$K$102+parametros_manuales!$F$22*(datos_base!$H$4+IF(parametros_manuales!$H$22="Todos",datos_base!$H$11,0))*parametros_manuales!$K$107+parametros_manuales!$G$22*(datos_base!$H$5+IF(parametros_manuales!$H$22="Todos",datos_base!$H$12,0))*parametros_manuales!$K$112)*parametros_manuales!$I$22*parametros_manuales!$J$22</f>
        <v>30454.19</v>
      </c>
      <c r="L173" s="8">
        <f>(parametros_manuales!$D$22*(datos_base!$H$2+IF(parametros_manuales!$H$22="Todos",datos_base!$H$9,0))*parametros_manuales!$L$97+parametros_manuales!$E$22*(datos_base!$H$3+IF(parametros_manuales!$H$22="Todos",datos_base!$H$10,0))*parametros_manuales!$L$102+parametros_manuales!$F$22*(datos_base!$H$4+IF(parametros_manuales!$H$22="Todos",datos_base!$H$11,0))*parametros_manuales!$L$107+parametros_manuales!$G$22*(datos_base!$H$5+IF(parametros_manuales!$H$22="Todos",datos_base!$H$12,0))*parametros_manuales!$L$112)*parametros_manuales!$I$22*parametros_manuales!$J$22</f>
        <v>30957.3</v>
      </c>
      <c r="M173" s="8">
        <f>(parametros_manuales!$D$22*(datos_base!$H$2+IF(parametros_manuales!$H$22="Todos",datos_base!$H$9,0))*parametros_manuales!$M$97+parametros_manuales!$E$22*(datos_base!$H$3+IF(parametros_manuales!$H$22="Todos",datos_base!$H$10,0))*parametros_manuales!$M$102+parametros_manuales!$F$22*(datos_base!$H$4+IF(parametros_manuales!$H$22="Todos",datos_base!$H$11,0))*parametros_manuales!$M$107+parametros_manuales!$G$22*(datos_base!$H$5+IF(parametros_manuales!$H$22="Todos",datos_base!$H$12,0))*parametros_manuales!$M$112)*parametros_manuales!$I$22*parametros_manuales!$J$22</f>
        <v>30957.3</v>
      </c>
      <c r="N173" s="8">
        <f t="shared" si="19"/>
        <v>343970</v>
      </c>
      <c r="O173" s="8">
        <f t="shared" si="20"/>
        <v>30957.3</v>
      </c>
      <c r="P173" s="27">
        <f>O173/(parametros_manuales!$B$7)</f>
        <v>206.382</v>
      </c>
      <c r="Q173" s="4" t="str">
        <f t="shared" si="21"/>
        <v>Ene</v>
      </c>
      <c r="R173" s="16"/>
      <c r="S173" s="16"/>
    </row>
    <row r="174" ht="14.25" customHeight="1">
      <c r="A174" s="4" t="str">
        <f>parametros_manuales!$B$23</f>
        <v>Preparación de cuello</v>
      </c>
      <c r="B174" s="8">
        <f>(parametros_manuales!$D$23*(datos_base!$H$2+IF(parametros_manuales!$H$23="Todos",datos_base!$H$9,0))*parametros_manuales!$B$97+parametros_manuales!$E$23*(datos_base!$H$3+IF(parametros_manuales!$H$23="Todos",datos_base!$H$10,0))*parametros_manuales!$B$102+parametros_manuales!$F$23*(datos_base!$H$4+IF(parametros_manuales!$H$23="Todos",datos_base!$H$11,0))*parametros_manuales!$B$107+parametros_manuales!$G$23*(datos_base!$H$5+IF(parametros_manuales!$H$23="Todos",datos_base!$H$12,0))*parametros_manuales!$B$112)*parametros_manuales!$I$23*parametros_manuales!$J$23</f>
        <v>15478.65</v>
      </c>
      <c r="C174" s="8">
        <f>(parametros_manuales!$D$23*(datos_base!$H$2+IF(parametros_manuales!$H$23="Todos",datos_base!$H$9,0))*parametros_manuales!$C$97+parametros_manuales!$E$23*(datos_base!$H$3+IF(parametros_manuales!$H$23="Todos",datos_base!$H$10,0))*parametros_manuales!$C$102+parametros_manuales!$F$23*(datos_base!$H$4+IF(parametros_manuales!$H$23="Todos",datos_base!$H$11,0))*parametros_manuales!$C$107+parametros_manuales!$G$23*(datos_base!$H$5+IF(parametros_manuales!$H$23="Todos",datos_base!$H$12,0))*parametros_manuales!$C$112)*parametros_manuales!$I$23*parametros_manuales!$J$23</f>
        <v>14975.54</v>
      </c>
      <c r="D174" s="8">
        <f>(parametros_manuales!$D$23*(datos_base!$H$2+IF(parametros_manuales!$H$23="Todos",datos_base!$H$9,0))*parametros_manuales!$D$97+parametros_manuales!$E$23*(datos_base!$H$3+IF(parametros_manuales!$H$23="Todos",datos_base!$H$10,0))*parametros_manuales!$D$102+parametros_manuales!$F$23*(datos_base!$H$4+IF(parametros_manuales!$H$23="Todos",datos_base!$H$11,0))*parametros_manuales!$D$107+parametros_manuales!$G$23*(datos_base!$H$5+IF(parametros_manuales!$H$23="Todos",datos_base!$H$12,0))*parametros_manuales!$D$112)*parametros_manuales!$I$23*parametros_manuales!$J$23</f>
        <v>14010.355</v>
      </c>
      <c r="E174" s="8">
        <f>(parametros_manuales!$D$23*(datos_base!$H$2+IF(parametros_manuales!$H$23="Todos",datos_base!$H$9,0))*parametros_manuales!$E$97+parametros_manuales!$E$23*(datos_base!$H$3+IF(parametros_manuales!$H$23="Todos",datos_base!$H$10,0))*parametros_manuales!$E$102+parametros_manuales!$F$23*(datos_base!$H$4+IF(parametros_manuales!$H$23="Todos",datos_base!$H$11,0))*parametros_manuales!$E$107+parametros_manuales!$G$23*(datos_base!$H$5+IF(parametros_manuales!$H$23="Todos",datos_base!$H$12,0))*parametros_manuales!$E$112)*parametros_manuales!$I$23*parametros_manuales!$J$23</f>
        <v>13401.985</v>
      </c>
      <c r="F174" s="8">
        <f>(parametros_manuales!$D$23*(datos_base!$H$2+IF(parametros_manuales!$H$23="Todos",datos_base!$H$9,0))*parametros_manuales!$F$97+parametros_manuales!$E$23*(datos_base!$H$3+IF(parametros_manuales!$H$23="Todos",datos_base!$H$10,0))*parametros_manuales!$F$102+parametros_manuales!$F$23*(datos_base!$H$4+IF(parametros_manuales!$H$23="Todos",datos_base!$H$11,0))*parametros_manuales!$F$107+parametros_manuales!$G$23*(datos_base!$H$5+IF(parametros_manuales!$H$23="Todos",datos_base!$H$12,0))*parametros_manuales!$F$112)*parametros_manuales!$I$23*parametros_manuales!$J$23</f>
        <v>12542.06</v>
      </c>
      <c r="G174" s="8">
        <f>(parametros_manuales!$D$23*(datos_base!$H$2+IF(parametros_manuales!$H$23="Todos",datos_base!$H$9,0))*parametros_manuales!$G$97+parametros_manuales!$E$23*(datos_base!$H$3+IF(parametros_manuales!$H$23="Todos",datos_base!$H$10,0))*parametros_manuales!$G$102+parametros_manuales!$F$23*(datos_base!$H$4+IF(parametros_manuales!$H$23="Todos",datos_base!$H$11,0))*parametros_manuales!$G$107+parametros_manuales!$G$23*(datos_base!$H$5+IF(parametros_manuales!$H$23="Todos",datos_base!$H$12,0))*parametros_manuales!$G$112)*parametros_manuales!$I$23*parametros_manuales!$J$23</f>
        <v>12290.505</v>
      </c>
      <c r="H174" s="8">
        <f>(parametros_manuales!$D$23*(datos_base!$H$2+IF(parametros_manuales!$H$23="Todos",datos_base!$H$9,0))*parametros_manuales!$H$97+parametros_manuales!$E$23*(datos_base!$H$3+IF(parametros_manuales!$H$23="Todos",datos_base!$H$10,0))*parametros_manuales!$H$102+parametros_manuales!$F$23*(datos_base!$H$4+IF(parametros_manuales!$H$23="Todos",datos_base!$H$11,0))*parametros_manuales!$H$107+parametros_manuales!$G$23*(datos_base!$H$5+IF(parametros_manuales!$H$23="Todos",datos_base!$H$12,0))*parametros_manuales!$H$112)*parametros_manuales!$I$23*parametros_manuales!$J$23</f>
        <v>13150.43</v>
      </c>
      <c r="I174" s="8">
        <f>(parametros_manuales!$D$23*(datos_base!$H$2+IF(parametros_manuales!$H$23="Todos",datos_base!$H$9,0))*parametros_manuales!$I$97+parametros_manuales!$E$23*(datos_base!$H$3+IF(parametros_manuales!$H$23="Todos",datos_base!$H$10,0))*parametros_manuales!$I$102+parametros_manuales!$F$23*(datos_base!$H$4+IF(parametros_manuales!$H$23="Todos",datos_base!$H$11,0))*parametros_manuales!$I$107+parametros_manuales!$G$23*(datos_base!$H$5+IF(parametros_manuales!$H$23="Todos",datos_base!$H$12,0))*parametros_manuales!$I$112)*parametros_manuales!$I$23*parametros_manuales!$J$23</f>
        <v>14975.54</v>
      </c>
      <c r="J174" s="8">
        <f>(parametros_manuales!$D$23*(datos_base!$H$2+IF(parametros_manuales!$H$23="Todos",datos_base!$H$9,0))*parametros_manuales!$J$97+parametros_manuales!$E$23*(datos_base!$H$3+IF(parametros_manuales!$H$23="Todos",datos_base!$H$10,0))*parametros_manuales!$J$102+parametros_manuales!$F$23*(datos_base!$H$4+IF(parametros_manuales!$H$23="Todos",datos_base!$H$11,0))*parametros_manuales!$J$107+parametros_manuales!$G$23*(datos_base!$H$5+IF(parametros_manuales!$H$23="Todos",datos_base!$H$12,0))*parametros_manuales!$J$112)*parametros_manuales!$I$23*parametros_manuales!$J$23</f>
        <v>14975.54</v>
      </c>
      <c r="K174" s="8">
        <f>(parametros_manuales!$D$23*(datos_base!$H$2+IF(parametros_manuales!$H$23="Todos",datos_base!$H$9,0))*parametros_manuales!$K$97+parametros_manuales!$E$23*(datos_base!$H$3+IF(parametros_manuales!$H$23="Todos",datos_base!$H$10,0))*parametros_manuales!$K$102+parametros_manuales!$F$23*(datos_base!$H$4+IF(parametros_manuales!$H$23="Todos",datos_base!$H$11,0))*parametros_manuales!$K$107+parametros_manuales!$G$23*(datos_base!$H$5+IF(parametros_manuales!$H$23="Todos",datos_base!$H$12,0))*parametros_manuales!$K$112)*parametros_manuales!$I$23*parametros_manuales!$J$23</f>
        <v>15227.095</v>
      </c>
      <c r="L174" s="8">
        <f>(parametros_manuales!$D$23*(datos_base!$H$2+IF(parametros_manuales!$H$23="Todos",datos_base!$H$9,0))*parametros_manuales!$L$97+parametros_manuales!$E$23*(datos_base!$H$3+IF(parametros_manuales!$H$23="Todos",datos_base!$H$10,0))*parametros_manuales!$L$102+parametros_manuales!$F$23*(datos_base!$H$4+IF(parametros_manuales!$H$23="Todos",datos_base!$H$11,0))*parametros_manuales!$L$107+parametros_manuales!$G$23*(datos_base!$H$5+IF(parametros_manuales!$H$23="Todos",datos_base!$H$12,0))*parametros_manuales!$L$112)*parametros_manuales!$I$23*parametros_manuales!$J$23</f>
        <v>15478.65</v>
      </c>
      <c r="M174" s="8">
        <f>(parametros_manuales!$D$23*(datos_base!$H$2+IF(parametros_manuales!$H$23="Todos",datos_base!$H$9,0))*parametros_manuales!$M$97+parametros_manuales!$E$23*(datos_base!$H$3+IF(parametros_manuales!$H$23="Todos",datos_base!$H$10,0))*parametros_manuales!$M$102+parametros_manuales!$F$23*(datos_base!$H$4+IF(parametros_manuales!$H$23="Todos",datos_base!$H$11,0))*parametros_manuales!$M$107+parametros_manuales!$G$23*(datos_base!$H$5+IF(parametros_manuales!$H$23="Todos",datos_base!$H$12,0))*parametros_manuales!$M$112)*parametros_manuales!$I$23*parametros_manuales!$J$23</f>
        <v>15478.65</v>
      </c>
      <c r="N174" s="8">
        <f t="shared" si="19"/>
        <v>171985</v>
      </c>
      <c r="O174" s="8">
        <f t="shared" si="20"/>
        <v>15478.65</v>
      </c>
      <c r="P174" s="27">
        <f>O174/(parametros_manuales!$B$7)</f>
        <v>103.191</v>
      </c>
      <c r="Q174" s="4" t="str">
        <f t="shared" si="21"/>
        <v>Ene</v>
      </c>
      <c r="R174" s="16"/>
      <c r="S174" s="16"/>
    </row>
    <row r="175" ht="14.25" customHeight="1">
      <c r="A175" s="4" t="str">
        <f>parametros_manuales!$B$24</f>
        <v>Numerado de cúpula</v>
      </c>
      <c r="B175" s="8">
        <f>(parametros_manuales!$D$24*(datos_base!$H$2+IF(parametros_manuales!$H$24="Todos",datos_base!$H$9,0))*parametros_manuales!$B$97+parametros_manuales!$E$24*(datos_base!$H$3+IF(parametros_manuales!$H$24="Todos",datos_base!$H$10,0))*parametros_manuales!$B$102+parametros_manuales!$F$24*(datos_base!$H$4+IF(parametros_manuales!$H$24="Todos",datos_base!$H$11,0))*parametros_manuales!$B$107+parametros_manuales!$G$24*(datos_base!$H$5+IF(parametros_manuales!$H$24="Todos",datos_base!$H$12,0))*parametros_manuales!$B$112)*parametros_manuales!$I$24*parametros_manuales!$J$24</f>
        <v>15478.65</v>
      </c>
      <c r="C175" s="8">
        <f>(parametros_manuales!$D$24*(datos_base!$H$2+IF(parametros_manuales!$H$24="Todos",datos_base!$H$9,0))*parametros_manuales!$C$97+parametros_manuales!$E$24*(datos_base!$H$3+IF(parametros_manuales!$H$24="Todos",datos_base!$H$10,0))*parametros_manuales!$C$102+parametros_manuales!$F$24*(datos_base!$H$4+IF(parametros_manuales!$H$24="Todos",datos_base!$H$11,0))*parametros_manuales!$C$107+parametros_manuales!$G$24*(datos_base!$H$5+IF(parametros_manuales!$H$24="Todos",datos_base!$H$12,0))*parametros_manuales!$C$112)*parametros_manuales!$I$24*parametros_manuales!$J$24</f>
        <v>14975.54</v>
      </c>
      <c r="D175" s="8">
        <f>(parametros_manuales!$D$24*(datos_base!$H$2+IF(parametros_manuales!$H$24="Todos",datos_base!$H$9,0))*parametros_manuales!$D$97+parametros_manuales!$E$24*(datos_base!$H$3+IF(parametros_manuales!$H$24="Todos",datos_base!$H$10,0))*parametros_manuales!$D$102+parametros_manuales!$F$24*(datos_base!$H$4+IF(parametros_manuales!$H$24="Todos",datos_base!$H$11,0))*parametros_manuales!$D$107+parametros_manuales!$G$24*(datos_base!$H$5+IF(parametros_manuales!$H$24="Todos",datos_base!$H$12,0))*parametros_manuales!$D$112)*parametros_manuales!$I$24*parametros_manuales!$J$24</f>
        <v>14010.355</v>
      </c>
      <c r="E175" s="8">
        <f>(parametros_manuales!$D$24*(datos_base!$H$2+IF(parametros_manuales!$H$24="Todos",datos_base!$H$9,0))*parametros_manuales!$E$97+parametros_manuales!$E$24*(datos_base!$H$3+IF(parametros_manuales!$H$24="Todos",datos_base!$H$10,0))*parametros_manuales!$E$102+parametros_manuales!$F$24*(datos_base!$H$4+IF(parametros_manuales!$H$24="Todos",datos_base!$H$11,0))*parametros_manuales!$E$107+parametros_manuales!$G$24*(datos_base!$H$5+IF(parametros_manuales!$H$24="Todos",datos_base!$H$12,0))*parametros_manuales!$E$112)*parametros_manuales!$I$24*parametros_manuales!$J$24</f>
        <v>13401.985</v>
      </c>
      <c r="F175" s="8">
        <f>(parametros_manuales!$D$24*(datos_base!$H$2+IF(parametros_manuales!$H$24="Todos",datos_base!$H$9,0))*parametros_manuales!$F$97+parametros_manuales!$E$24*(datos_base!$H$3+IF(parametros_manuales!$H$24="Todos",datos_base!$H$10,0))*parametros_manuales!$F$102+parametros_manuales!$F$24*(datos_base!$H$4+IF(parametros_manuales!$H$24="Todos",datos_base!$H$11,0))*parametros_manuales!$F$107+parametros_manuales!$G$24*(datos_base!$H$5+IF(parametros_manuales!$H$24="Todos",datos_base!$H$12,0))*parametros_manuales!$F$112)*parametros_manuales!$I$24*parametros_manuales!$J$24</f>
        <v>12542.06</v>
      </c>
      <c r="G175" s="8">
        <f>(parametros_manuales!$D$24*(datos_base!$H$2+IF(parametros_manuales!$H$24="Todos",datos_base!$H$9,0))*parametros_manuales!$G$97+parametros_manuales!$E$24*(datos_base!$H$3+IF(parametros_manuales!$H$24="Todos",datos_base!$H$10,0))*parametros_manuales!$G$102+parametros_manuales!$F$24*(datos_base!$H$4+IF(parametros_manuales!$H$24="Todos",datos_base!$H$11,0))*parametros_manuales!$G$107+parametros_manuales!$G$24*(datos_base!$H$5+IF(parametros_manuales!$H$24="Todos",datos_base!$H$12,0))*parametros_manuales!$G$112)*parametros_manuales!$I$24*parametros_manuales!$J$24</f>
        <v>12290.505</v>
      </c>
      <c r="H175" s="8">
        <f>(parametros_manuales!$D$24*(datos_base!$H$2+IF(parametros_manuales!$H$24="Todos",datos_base!$H$9,0))*parametros_manuales!$H$97+parametros_manuales!$E$24*(datos_base!$H$3+IF(parametros_manuales!$H$24="Todos",datos_base!$H$10,0))*parametros_manuales!$H$102+parametros_manuales!$F$24*(datos_base!$H$4+IF(parametros_manuales!$H$24="Todos",datos_base!$H$11,0))*parametros_manuales!$H$107+parametros_manuales!$G$24*(datos_base!$H$5+IF(parametros_manuales!$H$24="Todos",datos_base!$H$12,0))*parametros_manuales!$H$112)*parametros_manuales!$I$24*parametros_manuales!$J$24</f>
        <v>13150.43</v>
      </c>
      <c r="I175" s="8">
        <f>(parametros_manuales!$D$24*(datos_base!$H$2+IF(parametros_manuales!$H$24="Todos",datos_base!$H$9,0))*parametros_manuales!$I$97+parametros_manuales!$E$24*(datos_base!$H$3+IF(parametros_manuales!$H$24="Todos",datos_base!$H$10,0))*parametros_manuales!$I$102+parametros_manuales!$F$24*(datos_base!$H$4+IF(parametros_manuales!$H$24="Todos",datos_base!$H$11,0))*parametros_manuales!$I$107+parametros_manuales!$G$24*(datos_base!$H$5+IF(parametros_manuales!$H$24="Todos",datos_base!$H$12,0))*parametros_manuales!$I$112)*parametros_manuales!$I$24*parametros_manuales!$J$24</f>
        <v>14975.54</v>
      </c>
      <c r="J175" s="8">
        <f>(parametros_manuales!$D$24*(datos_base!$H$2+IF(parametros_manuales!$H$24="Todos",datos_base!$H$9,0))*parametros_manuales!$J$97+parametros_manuales!$E$24*(datos_base!$H$3+IF(parametros_manuales!$H$24="Todos",datos_base!$H$10,0))*parametros_manuales!$J$102+parametros_manuales!$F$24*(datos_base!$H$4+IF(parametros_manuales!$H$24="Todos",datos_base!$H$11,0))*parametros_manuales!$J$107+parametros_manuales!$G$24*(datos_base!$H$5+IF(parametros_manuales!$H$24="Todos",datos_base!$H$12,0))*parametros_manuales!$J$112)*parametros_manuales!$I$24*parametros_manuales!$J$24</f>
        <v>14975.54</v>
      </c>
      <c r="K175" s="8">
        <f>(parametros_manuales!$D$24*(datos_base!$H$2+IF(parametros_manuales!$H$24="Todos",datos_base!$H$9,0))*parametros_manuales!$K$97+parametros_manuales!$E$24*(datos_base!$H$3+IF(parametros_manuales!$H$24="Todos",datos_base!$H$10,0))*parametros_manuales!$K$102+parametros_manuales!$F$24*(datos_base!$H$4+IF(parametros_manuales!$H$24="Todos",datos_base!$H$11,0))*parametros_manuales!$K$107+parametros_manuales!$G$24*(datos_base!$H$5+IF(parametros_manuales!$H$24="Todos",datos_base!$H$12,0))*parametros_manuales!$K$112)*parametros_manuales!$I$24*parametros_manuales!$J$24</f>
        <v>15227.095</v>
      </c>
      <c r="L175" s="8">
        <f>(parametros_manuales!$D$24*(datos_base!$H$2+IF(parametros_manuales!$H$24="Todos",datos_base!$H$9,0))*parametros_manuales!$L$97+parametros_manuales!$E$24*(datos_base!$H$3+IF(parametros_manuales!$H$24="Todos",datos_base!$H$10,0))*parametros_manuales!$L$102+parametros_manuales!$F$24*(datos_base!$H$4+IF(parametros_manuales!$H$24="Todos",datos_base!$H$11,0))*parametros_manuales!$L$107+parametros_manuales!$G$24*(datos_base!$H$5+IF(parametros_manuales!$H$24="Todos",datos_base!$H$12,0))*parametros_manuales!$L$112)*parametros_manuales!$I$24*parametros_manuales!$J$24</f>
        <v>15478.65</v>
      </c>
      <c r="M175" s="8">
        <f>(parametros_manuales!$D$24*(datos_base!$H$2+IF(parametros_manuales!$H$24="Todos",datos_base!$H$9,0))*parametros_manuales!$M$97+parametros_manuales!$E$24*(datos_base!$H$3+IF(parametros_manuales!$H$24="Todos",datos_base!$H$10,0))*parametros_manuales!$M$102+parametros_manuales!$F$24*(datos_base!$H$4+IF(parametros_manuales!$H$24="Todos",datos_base!$H$11,0))*parametros_manuales!$M$107+parametros_manuales!$G$24*(datos_base!$H$5+IF(parametros_manuales!$H$24="Todos",datos_base!$H$12,0))*parametros_manuales!$M$112)*parametros_manuales!$I$24*parametros_manuales!$J$24</f>
        <v>15478.65</v>
      </c>
      <c r="N175" s="8">
        <f t="shared" si="19"/>
        <v>171985</v>
      </c>
      <c r="O175" s="8">
        <f t="shared" si="20"/>
        <v>15478.65</v>
      </c>
      <c r="P175" s="27">
        <f>O175/(parametros_manuales!$B$7)</f>
        <v>103.191</v>
      </c>
      <c r="Q175" s="4" t="str">
        <f t="shared" si="21"/>
        <v>Ene</v>
      </c>
      <c r="R175" s="16"/>
      <c r="S175" s="16"/>
    </row>
    <row r="176" ht="14.25" customHeight="1">
      <c r="A176" s="4" t="str">
        <f>parametros_manuales!$B$25</f>
        <v>Soldadura del cuello a la cúpula</v>
      </c>
      <c r="B176" s="8">
        <f>(parametros_manuales!$D$25*(datos_base!$H$2+IF(parametros_manuales!$H$25="Todos",datos_base!$H$9,0))*parametros_manuales!$B$97+parametros_manuales!$E$25*(datos_base!$H$3+IF(parametros_manuales!$H$25="Todos",datos_base!$H$10,0))*parametros_manuales!$B$102+parametros_manuales!$F$25*(datos_base!$H$4+IF(parametros_manuales!$H$25="Todos",datos_base!$H$11,0))*parametros_manuales!$B$107+parametros_manuales!$G$25*(datos_base!$H$5+IF(parametros_manuales!$H$25="Todos",datos_base!$H$12,0))*parametros_manuales!$B$112)*parametros_manuales!$I$25*parametros_manuales!$J$25</f>
        <v>15478.65</v>
      </c>
      <c r="C176" s="8">
        <f>(parametros_manuales!$D$25*(datos_base!$H$2+IF(parametros_manuales!$H$25="Todos",datos_base!$H$9,0))*parametros_manuales!$C$97+parametros_manuales!$E$25*(datos_base!$H$3+IF(parametros_manuales!$H$25="Todos",datos_base!$H$10,0))*parametros_manuales!$C$102+parametros_manuales!$F$25*(datos_base!$H$4+IF(parametros_manuales!$H$25="Todos",datos_base!$H$11,0))*parametros_manuales!$C$107+parametros_manuales!$G$25*(datos_base!$H$5+IF(parametros_manuales!$H$25="Todos",datos_base!$H$12,0))*parametros_manuales!$C$112)*parametros_manuales!$I$25*parametros_manuales!$J$25</f>
        <v>14975.54</v>
      </c>
      <c r="D176" s="8">
        <f>(parametros_manuales!$D$25*(datos_base!$H$2+IF(parametros_manuales!$H$25="Todos",datos_base!$H$9,0))*parametros_manuales!$D$97+parametros_manuales!$E$25*(datos_base!$H$3+IF(parametros_manuales!$H$25="Todos",datos_base!$H$10,0))*parametros_manuales!$D$102+parametros_manuales!$F$25*(datos_base!$H$4+IF(parametros_manuales!$H$25="Todos",datos_base!$H$11,0))*parametros_manuales!$D$107+parametros_manuales!$G$25*(datos_base!$H$5+IF(parametros_manuales!$H$25="Todos",datos_base!$H$12,0))*parametros_manuales!$D$112)*parametros_manuales!$I$25*parametros_manuales!$J$25</f>
        <v>14010.355</v>
      </c>
      <c r="E176" s="8">
        <f>(parametros_manuales!$D$25*(datos_base!$H$2+IF(parametros_manuales!$H$25="Todos",datos_base!$H$9,0))*parametros_manuales!$E$97+parametros_manuales!$E$25*(datos_base!$H$3+IF(parametros_manuales!$H$25="Todos",datos_base!$H$10,0))*parametros_manuales!$E$102+parametros_manuales!$F$25*(datos_base!$H$4+IF(parametros_manuales!$H$25="Todos",datos_base!$H$11,0))*parametros_manuales!$E$107+parametros_manuales!$G$25*(datos_base!$H$5+IF(parametros_manuales!$H$25="Todos",datos_base!$H$12,0))*parametros_manuales!$E$112)*parametros_manuales!$I$25*parametros_manuales!$J$25</f>
        <v>13401.985</v>
      </c>
      <c r="F176" s="8">
        <f>(parametros_manuales!$D$25*(datos_base!$H$2+IF(parametros_manuales!$H$25="Todos",datos_base!$H$9,0))*parametros_manuales!$F$97+parametros_manuales!$E$25*(datos_base!$H$3+IF(parametros_manuales!$H$25="Todos",datos_base!$H$10,0))*parametros_manuales!$F$102+parametros_manuales!$F$25*(datos_base!$H$4+IF(parametros_manuales!$H$25="Todos",datos_base!$H$11,0))*parametros_manuales!$F$107+parametros_manuales!$G$25*(datos_base!$H$5+IF(parametros_manuales!$H$25="Todos",datos_base!$H$12,0))*parametros_manuales!$F$112)*parametros_manuales!$I$25*parametros_manuales!$J$25</f>
        <v>12542.06</v>
      </c>
      <c r="G176" s="8">
        <f>(parametros_manuales!$D$25*(datos_base!$H$2+IF(parametros_manuales!$H$25="Todos",datos_base!$H$9,0))*parametros_manuales!$G$97+parametros_manuales!$E$25*(datos_base!$H$3+IF(parametros_manuales!$H$25="Todos",datos_base!$H$10,0))*parametros_manuales!$G$102+parametros_manuales!$F$25*(datos_base!$H$4+IF(parametros_manuales!$H$25="Todos",datos_base!$H$11,0))*parametros_manuales!$G$107+parametros_manuales!$G$25*(datos_base!$H$5+IF(parametros_manuales!$H$25="Todos",datos_base!$H$12,0))*parametros_manuales!$G$112)*parametros_manuales!$I$25*parametros_manuales!$J$25</f>
        <v>12290.505</v>
      </c>
      <c r="H176" s="8">
        <f>(parametros_manuales!$D$25*(datos_base!$H$2+IF(parametros_manuales!$H$25="Todos",datos_base!$H$9,0))*parametros_manuales!$H$97+parametros_manuales!$E$25*(datos_base!$H$3+IF(parametros_manuales!$H$25="Todos",datos_base!$H$10,0))*parametros_manuales!$H$102+parametros_manuales!$F$25*(datos_base!$H$4+IF(parametros_manuales!$H$25="Todos",datos_base!$H$11,0))*parametros_manuales!$H$107+parametros_manuales!$G$25*(datos_base!$H$5+IF(parametros_manuales!$H$25="Todos",datos_base!$H$12,0))*parametros_manuales!$H$112)*parametros_manuales!$I$25*parametros_manuales!$J$25</f>
        <v>13150.43</v>
      </c>
      <c r="I176" s="8">
        <f>(parametros_manuales!$D$25*(datos_base!$H$2+IF(parametros_manuales!$H$25="Todos",datos_base!$H$9,0))*parametros_manuales!$I$97+parametros_manuales!$E$25*(datos_base!$H$3+IF(parametros_manuales!$H$25="Todos",datos_base!$H$10,0))*parametros_manuales!$I$102+parametros_manuales!$F$25*(datos_base!$H$4+IF(parametros_manuales!$H$25="Todos",datos_base!$H$11,0))*parametros_manuales!$I$107+parametros_manuales!$G$25*(datos_base!$H$5+IF(parametros_manuales!$H$25="Todos",datos_base!$H$12,0))*parametros_manuales!$I$112)*parametros_manuales!$I$25*parametros_manuales!$J$25</f>
        <v>14975.54</v>
      </c>
      <c r="J176" s="8">
        <f>(parametros_manuales!$D$25*(datos_base!$H$2+IF(parametros_manuales!$H$25="Todos",datos_base!$H$9,0))*parametros_manuales!$J$97+parametros_manuales!$E$25*(datos_base!$H$3+IF(parametros_manuales!$H$25="Todos",datos_base!$H$10,0))*parametros_manuales!$J$102+parametros_manuales!$F$25*(datos_base!$H$4+IF(parametros_manuales!$H$25="Todos",datos_base!$H$11,0))*parametros_manuales!$J$107+parametros_manuales!$G$25*(datos_base!$H$5+IF(parametros_manuales!$H$25="Todos",datos_base!$H$12,0))*parametros_manuales!$J$112)*parametros_manuales!$I$25*parametros_manuales!$J$25</f>
        <v>14975.54</v>
      </c>
      <c r="K176" s="8">
        <f>(parametros_manuales!$D$25*(datos_base!$H$2+IF(parametros_manuales!$H$25="Todos",datos_base!$H$9,0))*parametros_manuales!$K$97+parametros_manuales!$E$25*(datos_base!$H$3+IF(parametros_manuales!$H$25="Todos",datos_base!$H$10,0))*parametros_manuales!$K$102+parametros_manuales!$F$25*(datos_base!$H$4+IF(parametros_manuales!$H$25="Todos",datos_base!$H$11,0))*parametros_manuales!$K$107+parametros_manuales!$G$25*(datos_base!$H$5+IF(parametros_manuales!$H$25="Todos",datos_base!$H$12,0))*parametros_manuales!$K$112)*parametros_manuales!$I$25*parametros_manuales!$J$25</f>
        <v>15227.095</v>
      </c>
      <c r="L176" s="8">
        <f>(parametros_manuales!$D$25*(datos_base!$H$2+IF(parametros_manuales!$H$25="Todos",datos_base!$H$9,0))*parametros_manuales!$L$97+parametros_manuales!$E$25*(datos_base!$H$3+IF(parametros_manuales!$H$25="Todos",datos_base!$H$10,0))*parametros_manuales!$L$102+parametros_manuales!$F$25*(datos_base!$H$4+IF(parametros_manuales!$H$25="Todos",datos_base!$H$11,0))*parametros_manuales!$L$107+parametros_manuales!$G$25*(datos_base!$H$5+IF(parametros_manuales!$H$25="Todos",datos_base!$H$12,0))*parametros_manuales!$L$112)*parametros_manuales!$I$25*parametros_manuales!$J$25</f>
        <v>15478.65</v>
      </c>
      <c r="M176" s="8">
        <f>(parametros_manuales!$D$25*(datos_base!$H$2+IF(parametros_manuales!$H$25="Todos",datos_base!$H$9,0))*parametros_manuales!$M$97+parametros_manuales!$E$25*(datos_base!$H$3+IF(parametros_manuales!$H$25="Todos",datos_base!$H$10,0))*parametros_manuales!$M$102+parametros_manuales!$F$25*(datos_base!$H$4+IF(parametros_manuales!$H$25="Todos",datos_base!$H$11,0))*parametros_manuales!$M$107+parametros_manuales!$G$25*(datos_base!$H$5+IF(parametros_manuales!$H$25="Todos",datos_base!$H$12,0))*parametros_manuales!$M$112)*parametros_manuales!$I$25*parametros_manuales!$J$25</f>
        <v>15478.65</v>
      </c>
      <c r="N176" s="8">
        <f t="shared" si="19"/>
        <v>171985</v>
      </c>
      <c r="O176" s="8">
        <f t="shared" si="20"/>
        <v>15478.65</v>
      </c>
      <c r="P176" s="27">
        <f>O176/(parametros_manuales!$B$7)</f>
        <v>103.191</v>
      </c>
      <c r="Q176" s="4" t="str">
        <f t="shared" si="21"/>
        <v>Ene</v>
      </c>
      <c r="R176" s="16"/>
      <c r="S176" s="16"/>
    </row>
    <row r="177" ht="14.25" customHeight="1">
      <c r="A177" s="4" t="str">
        <f>parametros_manuales!$B$26</f>
        <v>Cilindrado</v>
      </c>
      <c r="B177" s="8">
        <f>(parametros_manuales!$D$26*(datos_base!$H$2+IF(parametros_manuales!$H$26="Todos",datos_base!$H$9,0))*parametros_manuales!$B$97+parametros_manuales!$E$26*(datos_base!$H$3+IF(parametros_manuales!$H$26="Todos",datos_base!$H$10,0))*parametros_manuales!$B$102+parametros_manuales!$F$26*(datos_base!$H$4+IF(parametros_manuales!$H$26="Todos",datos_base!$H$11,0))*parametros_manuales!$B$107+parametros_manuales!$G$26*(datos_base!$H$5+IF(parametros_manuales!$H$26="Todos",datos_base!$H$12,0))*parametros_manuales!$B$112)*parametros_manuales!$I$26*parametros_manuales!$J$26</f>
        <v>15478.65</v>
      </c>
      <c r="C177" s="8">
        <f>(parametros_manuales!$D$26*(datos_base!$H$2+IF(parametros_manuales!$H$26="Todos",datos_base!$H$9,0))*parametros_manuales!$C$97+parametros_manuales!$E$26*(datos_base!$H$3+IF(parametros_manuales!$H$26="Todos",datos_base!$H$10,0))*parametros_manuales!$C$102+parametros_manuales!$F$26*(datos_base!$H$4+IF(parametros_manuales!$H$26="Todos",datos_base!$H$11,0))*parametros_manuales!$C$107+parametros_manuales!$G$26*(datos_base!$H$5+IF(parametros_manuales!$H$26="Todos",datos_base!$H$12,0))*parametros_manuales!$C$112)*parametros_manuales!$I$26*parametros_manuales!$J$26</f>
        <v>14975.54</v>
      </c>
      <c r="D177" s="8">
        <f>(parametros_manuales!$D$26*(datos_base!$H$2+IF(parametros_manuales!$H$26="Todos",datos_base!$H$9,0))*parametros_manuales!$D$97+parametros_manuales!$E$26*(datos_base!$H$3+IF(parametros_manuales!$H$26="Todos",datos_base!$H$10,0))*parametros_manuales!$D$102+parametros_manuales!$F$26*(datos_base!$H$4+IF(parametros_manuales!$H$26="Todos",datos_base!$H$11,0))*parametros_manuales!$D$107+parametros_manuales!$G$26*(datos_base!$H$5+IF(parametros_manuales!$H$26="Todos",datos_base!$H$12,0))*parametros_manuales!$D$112)*parametros_manuales!$I$26*parametros_manuales!$J$26</f>
        <v>14010.355</v>
      </c>
      <c r="E177" s="8">
        <f>(parametros_manuales!$D$26*(datos_base!$H$2+IF(parametros_manuales!$H$26="Todos",datos_base!$H$9,0))*parametros_manuales!$E$97+parametros_manuales!$E$26*(datos_base!$H$3+IF(parametros_manuales!$H$26="Todos",datos_base!$H$10,0))*parametros_manuales!$E$102+parametros_manuales!$F$26*(datos_base!$H$4+IF(parametros_manuales!$H$26="Todos",datos_base!$H$11,0))*parametros_manuales!$E$107+parametros_manuales!$G$26*(datos_base!$H$5+IF(parametros_manuales!$H$26="Todos",datos_base!$H$12,0))*parametros_manuales!$E$112)*parametros_manuales!$I$26*parametros_manuales!$J$26</f>
        <v>13401.985</v>
      </c>
      <c r="F177" s="8">
        <f>(parametros_manuales!$D$26*(datos_base!$H$2+IF(parametros_manuales!$H$26="Todos",datos_base!$H$9,0))*parametros_manuales!$F$97+parametros_manuales!$E$26*(datos_base!$H$3+IF(parametros_manuales!$H$26="Todos",datos_base!$H$10,0))*parametros_manuales!$F$102+parametros_manuales!$F$26*(datos_base!$H$4+IF(parametros_manuales!$H$26="Todos",datos_base!$H$11,0))*parametros_manuales!$F$107+parametros_manuales!$G$26*(datos_base!$H$5+IF(parametros_manuales!$H$26="Todos",datos_base!$H$12,0))*parametros_manuales!$F$112)*parametros_manuales!$I$26*parametros_manuales!$J$26</f>
        <v>12542.06</v>
      </c>
      <c r="G177" s="8">
        <f>(parametros_manuales!$D$26*(datos_base!$H$2+IF(parametros_manuales!$H$26="Todos",datos_base!$H$9,0))*parametros_manuales!$G$97+parametros_manuales!$E$26*(datos_base!$H$3+IF(parametros_manuales!$H$26="Todos",datos_base!$H$10,0))*parametros_manuales!$G$102+parametros_manuales!$F$26*(datos_base!$H$4+IF(parametros_manuales!$H$26="Todos",datos_base!$H$11,0))*parametros_manuales!$G$107+parametros_manuales!$G$26*(datos_base!$H$5+IF(parametros_manuales!$H$26="Todos",datos_base!$H$12,0))*parametros_manuales!$G$112)*parametros_manuales!$I$26*parametros_manuales!$J$26</f>
        <v>12290.505</v>
      </c>
      <c r="H177" s="8">
        <f>(parametros_manuales!$D$26*(datos_base!$H$2+IF(parametros_manuales!$H$26="Todos",datos_base!$H$9,0))*parametros_manuales!$H$97+parametros_manuales!$E$26*(datos_base!$H$3+IF(parametros_manuales!$H$26="Todos",datos_base!$H$10,0))*parametros_manuales!$H$102+parametros_manuales!$F$26*(datos_base!$H$4+IF(parametros_manuales!$H$26="Todos",datos_base!$H$11,0))*parametros_manuales!$H$107+parametros_manuales!$G$26*(datos_base!$H$5+IF(parametros_manuales!$H$26="Todos",datos_base!$H$12,0))*parametros_manuales!$H$112)*parametros_manuales!$I$26*parametros_manuales!$J$26</f>
        <v>13150.43</v>
      </c>
      <c r="I177" s="8">
        <f>(parametros_manuales!$D$26*(datos_base!$H$2+IF(parametros_manuales!$H$26="Todos",datos_base!$H$9,0))*parametros_manuales!$I$97+parametros_manuales!$E$26*(datos_base!$H$3+IF(parametros_manuales!$H$26="Todos",datos_base!$H$10,0))*parametros_manuales!$I$102+parametros_manuales!$F$26*(datos_base!$H$4+IF(parametros_manuales!$H$26="Todos",datos_base!$H$11,0))*parametros_manuales!$I$107+parametros_manuales!$G$26*(datos_base!$H$5+IF(parametros_manuales!$H$26="Todos",datos_base!$H$12,0))*parametros_manuales!$I$112)*parametros_manuales!$I$26*parametros_manuales!$J$26</f>
        <v>14975.54</v>
      </c>
      <c r="J177" s="8">
        <f>(parametros_manuales!$D$26*(datos_base!$H$2+IF(parametros_manuales!$H$26="Todos",datos_base!$H$9,0))*parametros_manuales!$J$97+parametros_manuales!$E$26*(datos_base!$H$3+IF(parametros_manuales!$H$26="Todos",datos_base!$H$10,0))*parametros_manuales!$J$102+parametros_manuales!$F$26*(datos_base!$H$4+IF(parametros_manuales!$H$26="Todos",datos_base!$H$11,0))*parametros_manuales!$J$107+parametros_manuales!$G$26*(datos_base!$H$5+IF(parametros_manuales!$H$26="Todos",datos_base!$H$12,0))*parametros_manuales!$J$112)*parametros_manuales!$I$26*parametros_manuales!$J$26</f>
        <v>14975.54</v>
      </c>
      <c r="K177" s="8">
        <f>(parametros_manuales!$D$26*(datos_base!$H$2+IF(parametros_manuales!$H$26="Todos",datos_base!$H$9,0))*parametros_manuales!$K$97+parametros_manuales!$E$26*(datos_base!$H$3+IF(parametros_manuales!$H$26="Todos",datos_base!$H$10,0))*parametros_manuales!$K$102+parametros_manuales!$F$26*(datos_base!$H$4+IF(parametros_manuales!$H$26="Todos",datos_base!$H$11,0))*parametros_manuales!$K$107+parametros_manuales!$G$26*(datos_base!$H$5+IF(parametros_manuales!$H$26="Todos",datos_base!$H$12,0))*parametros_manuales!$K$112)*parametros_manuales!$I$26*parametros_manuales!$J$26</f>
        <v>15227.095</v>
      </c>
      <c r="L177" s="8">
        <f>(parametros_manuales!$D$26*(datos_base!$H$2+IF(parametros_manuales!$H$26="Todos",datos_base!$H$9,0))*parametros_manuales!$L$97+parametros_manuales!$E$26*(datos_base!$H$3+IF(parametros_manuales!$H$26="Todos",datos_base!$H$10,0))*parametros_manuales!$L$102+parametros_manuales!$F$26*(datos_base!$H$4+IF(parametros_manuales!$H$26="Todos",datos_base!$H$11,0))*parametros_manuales!$L$107+parametros_manuales!$G$26*(datos_base!$H$5+IF(parametros_manuales!$H$26="Todos",datos_base!$H$12,0))*parametros_manuales!$L$112)*parametros_manuales!$I$26*parametros_manuales!$J$26</f>
        <v>15478.65</v>
      </c>
      <c r="M177" s="8">
        <f>(parametros_manuales!$D$26*(datos_base!$H$2+IF(parametros_manuales!$H$26="Todos",datos_base!$H$9,0))*parametros_manuales!$M$97+parametros_manuales!$E$26*(datos_base!$H$3+IF(parametros_manuales!$H$26="Todos",datos_base!$H$10,0))*parametros_manuales!$M$102+parametros_manuales!$F$26*(datos_base!$H$4+IF(parametros_manuales!$H$26="Todos",datos_base!$H$11,0))*parametros_manuales!$M$107+parametros_manuales!$G$26*(datos_base!$H$5+IF(parametros_manuales!$H$26="Todos",datos_base!$H$12,0))*parametros_manuales!$M$112)*parametros_manuales!$I$26*parametros_manuales!$J$26</f>
        <v>15478.65</v>
      </c>
      <c r="N177" s="8">
        <f t="shared" si="19"/>
        <v>171985</v>
      </c>
      <c r="O177" s="8">
        <f t="shared" si="20"/>
        <v>15478.65</v>
      </c>
      <c r="P177" s="27">
        <f>O177/(parametros_manuales!$B$7)</f>
        <v>103.191</v>
      </c>
      <c r="Q177" s="4" t="str">
        <f t="shared" si="21"/>
        <v>Ene</v>
      </c>
      <c r="R177" s="16"/>
      <c r="S177" s="16"/>
    </row>
    <row r="178" ht="14.25" customHeight="1">
      <c r="A178" s="4" t="str">
        <f>parametros_manuales!$B$27</f>
        <v>Soldadura longitudinal — 2,5 a 10 kg</v>
      </c>
      <c r="B178" s="8">
        <f>(parametros_manuales!$D$27*(datos_base!$H$2+IF(parametros_manuales!$H$27="Todos",datos_base!$H$9,0))*parametros_manuales!$B$97+parametros_manuales!$E$27*(datos_base!$H$3+IF(parametros_manuales!$H$27="Todos",datos_base!$H$10,0))*parametros_manuales!$B$102+parametros_manuales!$F$27*(datos_base!$H$4+IF(parametros_manuales!$H$27="Todos",datos_base!$H$11,0))*parametros_manuales!$B$107+parametros_manuales!$G$27*(datos_base!$H$5+IF(parametros_manuales!$H$27="Todos",datos_base!$H$12,0))*parametros_manuales!$B$112)*parametros_manuales!$I$27*parametros_manuales!$J$27</f>
        <v>4527.99</v>
      </c>
      <c r="C178" s="8">
        <f>(parametros_manuales!$D$27*(datos_base!$H$2+IF(parametros_manuales!$H$27="Todos",datos_base!$H$9,0))*parametros_manuales!$C$97+parametros_manuales!$E$27*(datos_base!$H$3+IF(parametros_manuales!$H$27="Todos",datos_base!$H$10,0))*parametros_manuales!$C$102+parametros_manuales!$F$27*(datos_base!$H$4+IF(parametros_manuales!$H$27="Todos",datos_base!$H$11,0))*parametros_manuales!$C$107+parametros_manuales!$G$27*(datos_base!$H$5+IF(parametros_manuales!$H$27="Todos",datos_base!$H$12,0))*parametros_manuales!$C$112)*parametros_manuales!$I$27*parametros_manuales!$J$27</f>
        <v>4024.88</v>
      </c>
      <c r="D178" s="8">
        <f>(parametros_manuales!$D$27*(datos_base!$H$2+IF(parametros_manuales!$H$27="Todos",datos_base!$H$9,0))*parametros_manuales!$D$97+parametros_manuales!$E$27*(datos_base!$H$3+IF(parametros_manuales!$H$27="Todos",datos_base!$H$10,0))*parametros_manuales!$D$102+parametros_manuales!$F$27*(datos_base!$H$4+IF(parametros_manuales!$H$27="Todos",datos_base!$H$11,0))*parametros_manuales!$D$107+parametros_manuales!$G$27*(datos_base!$H$5+IF(parametros_manuales!$H$27="Todos",datos_base!$H$12,0))*parametros_manuales!$D$112)*parametros_manuales!$I$27*parametros_manuales!$J$27</f>
        <v>4276.435</v>
      </c>
      <c r="E178" s="8">
        <f>(parametros_manuales!$D$27*(datos_base!$H$2+IF(parametros_manuales!$H$27="Todos",datos_base!$H$9,0))*parametros_manuales!$E$97+parametros_manuales!$E$27*(datos_base!$H$3+IF(parametros_manuales!$H$27="Todos",datos_base!$H$10,0))*parametros_manuales!$E$102+parametros_manuales!$F$27*(datos_base!$H$4+IF(parametros_manuales!$H$27="Todos",datos_base!$H$11,0))*parametros_manuales!$E$107+parametros_manuales!$G$27*(datos_base!$H$5+IF(parametros_manuales!$H$27="Todos",datos_base!$H$12,0))*parametros_manuales!$E$112)*parametros_manuales!$I$27*parametros_manuales!$J$27</f>
        <v>4276.435</v>
      </c>
      <c r="F178" s="8">
        <f>(parametros_manuales!$D$27*(datos_base!$H$2+IF(parametros_manuales!$H$27="Todos",datos_base!$H$9,0))*parametros_manuales!$F$97+parametros_manuales!$E$27*(datos_base!$H$3+IF(parametros_manuales!$H$27="Todos",datos_base!$H$10,0))*parametros_manuales!$F$102+parametros_manuales!$F$27*(datos_base!$H$4+IF(parametros_manuales!$H$27="Todos",datos_base!$H$11,0))*parametros_manuales!$F$107+parametros_manuales!$G$27*(datos_base!$H$5+IF(parametros_manuales!$H$27="Todos",datos_base!$H$12,0))*parametros_manuales!$F$112)*parametros_manuales!$I$27*parametros_manuales!$J$27</f>
        <v>4024.88</v>
      </c>
      <c r="G178" s="8">
        <f>(parametros_manuales!$D$27*(datos_base!$H$2+IF(parametros_manuales!$H$27="Todos",datos_base!$H$9,0))*parametros_manuales!$G$97+parametros_manuales!$E$27*(datos_base!$H$3+IF(parametros_manuales!$H$27="Todos",datos_base!$H$10,0))*parametros_manuales!$G$102+parametros_manuales!$F$27*(datos_base!$H$4+IF(parametros_manuales!$H$27="Todos",datos_base!$H$11,0))*parametros_manuales!$G$107+parametros_manuales!$G$27*(datos_base!$H$5+IF(parametros_manuales!$H$27="Todos",datos_base!$H$12,0))*parametros_manuales!$G$112)*parametros_manuales!$I$27*parametros_manuales!$J$27</f>
        <v>3773.325</v>
      </c>
      <c r="H178" s="8">
        <f>(parametros_manuales!$D$27*(datos_base!$H$2+IF(parametros_manuales!$H$27="Todos",datos_base!$H$9,0))*parametros_manuales!$H$97+parametros_manuales!$E$27*(datos_base!$H$3+IF(parametros_manuales!$H$27="Todos",datos_base!$H$10,0))*parametros_manuales!$H$102+parametros_manuales!$F$27*(datos_base!$H$4+IF(parametros_manuales!$H$27="Todos",datos_base!$H$11,0))*parametros_manuales!$H$107+parametros_manuales!$G$27*(datos_base!$H$5+IF(parametros_manuales!$H$27="Todos",datos_base!$H$12,0))*parametros_manuales!$H$112)*parametros_manuales!$I$27*parametros_manuales!$J$27</f>
        <v>4024.88</v>
      </c>
      <c r="I178" s="8">
        <f>(parametros_manuales!$D$27*(datos_base!$H$2+IF(parametros_manuales!$H$27="Todos",datos_base!$H$9,0))*parametros_manuales!$I$97+parametros_manuales!$E$27*(datos_base!$H$3+IF(parametros_manuales!$H$27="Todos",datos_base!$H$10,0))*parametros_manuales!$I$102+parametros_manuales!$F$27*(datos_base!$H$4+IF(parametros_manuales!$H$27="Todos",datos_base!$H$11,0))*parametros_manuales!$I$107+parametros_manuales!$G$27*(datos_base!$H$5+IF(parametros_manuales!$H$27="Todos",datos_base!$H$12,0))*parametros_manuales!$I$112)*parametros_manuales!$I$27*parametros_manuales!$J$27</f>
        <v>4024.88</v>
      </c>
      <c r="J178" s="8">
        <f>(parametros_manuales!$D$27*(datos_base!$H$2+IF(parametros_manuales!$H$27="Todos",datos_base!$H$9,0))*parametros_manuales!$J$97+parametros_manuales!$E$27*(datos_base!$H$3+IF(parametros_manuales!$H$27="Todos",datos_base!$H$10,0))*parametros_manuales!$J$102+parametros_manuales!$F$27*(datos_base!$H$4+IF(parametros_manuales!$H$27="Todos",datos_base!$H$11,0))*parametros_manuales!$J$107+parametros_manuales!$G$27*(datos_base!$H$5+IF(parametros_manuales!$H$27="Todos",datos_base!$H$12,0))*parametros_manuales!$J$112)*parametros_manuales!$I$27*parametros_manuales!$J$27</f>
        <v>4024.88</v>
      </c>
      <c r="K178" s="8">
        <f>(parametros_manuales!$D$27*(datos_base!$H$2+IF(parametros_manuales!$H$27="Todos",datos_base!$H$9,0))*parametros_manuales!$K$97+parametros_manuales!$E$27*(datos_base!$H$3+IF(parametros_manuales!$H$27="Todos",datos_base!$H$10,0))*parametros_manuales!$K$102+parametros_manuales!$F$27*(datos_base!$H$4+IF(parametros_manuales!$H$27="Todos",datos_base!$H$11,0))*parametros_manuales!$K$107+parametros_manuales!$G$27*(datos_base!$H$5+IF(parametros_manuales!$H$27="Todos",datos_base!$H$12,0))*parametros_manuales!$K$112)*parametros_manuales!$I$27*parametros_manuales!$J$27</f>
        <v>4276.435</v>
      </c>
      <c r="L178" s="8">
        <f>(parametros_manuales!$D$27*(datos_base!$H$2+IF(parametros_manuales!$H$27="Todos",datos_base!$H$9,0))*parametros_manuales!$L$97+parametros_manuales!$E$27*(datos_base!$H$3+IF(parametros_manuales!$H$27="Todos",datos_base!$H$10,0))*parametros_manuales!$L$102+parametros_manuales!$F$27*(datos_base!$H$4+IF(parametros_manuales!$H$27="Todos",datos_base!$H$11,0))*parametros_manuales!$L$107+parametros_manuales!$G$27*(datos_base!$H$5+IF(parametros_manuales!$H$27="Todos",datos_base!$H$12,0))*parametros_manuales!$L$112)*parametros_manuales!$I$27*parametros_manuales!$J$27</f>
        <v>4527.99</v>
      </c>
      <c r="M178" s="8">
        <f>(parametros_manuales!$D$27*(datos_base!$H$2+IF(parametros_manuales!$H$27="Todos",datos_base!$H$9,0))*parametros_manuales!$M$97+parametros_manuales!$E$27*(datos_base!$H$3+IF(parametros_manuales!$H$27="Todos",datos_base!$H$10,0))*parametros_manuales!$M$102+parametros_manuales!$F$27*(datos_base!$H$4+IF(parametros_manuales!$H$27="Todos",datos_base!$H$11,0))*parametros_manuales!$M$107+parametros_manuales!$G$27*(datos_base!$H$5+IF(parametros_manuales!$H$27="Todos",datos_base!$H$12,0))*parametros_manuales!$M$112)*parametros_manuales!$I$27*parametros_manuales!$J$27</f>
        <v>4527.99</v>
      </c>
      <c r="N178" s="8">
        <f t="shared" si="19"/>
        <v>50311</v>
      </c>
      <c r="O178" s="8">
        <f t="shared" si="20"/>
        <v>4527.99</v>
      </c>
      <c r="P178" s="27">
        <f>O178/(parametros_manuales!$B$7)</f>
        <v>30.1866</v>
      </c>
      <c r="Q178" s="4" t="str">
        <f t="shared" si="21"/>
        <v>Ene</v>
      </c>
      <c r="R178" s="16"/>
      <c r="S178" s="16"/>
    </row>
    <row r="179" ht="14.25" customHeight="1">
      <c r="A179" s="4" t="str">
        <f>parametros_manuales!$B$28</f>
        <v>Soldadura longitudinal TIG — 1 kg</v>
      </c>
      <c r="B179" s="8">
        <f>(parametros_manuales!$D$28*(datos_base!$H$2+IF(parametros_manuales!$H$28="Todos",datos_base!$H$9,0))*parametros_manuales!$B$97+parametros_manuales!$E$28*(datos_base!$H$3+IF(parametros_manuales!$H$28="Todos",datos_base!$H$10,0))*parametros_manuales!$B$102+parametros_manuales!$F$28*(datos_base!$H$4+IF(parametros_manuales!$H$28="Todos",datos_base!$H$11,0))*parametros_manuales!$B$107+parametros_manuales!$G$28*(datos_base!$H$5+IF(parametros_manuales!$H$28="Todos",datos_base!$H$12,0))*parametros_manuales!$B$112)*parametros_manuales!$I$28*parametros_manuales!$J$28</f>
        <v>10950.66</v>
      </c>
      <c r="C179" s="8">
        <f>(parametros_manuales!$D$28*(datos_base!$H$2+IF(parametros_manuales!$H$28="Todos",datos_base!$H$9,0))*parametros_manuales!$C$97+parametros_manuales!$E$28*(datos_base!$H$3+IF(parametros_manuales!$H$28="Todos",datos_base!$H$10,0))*parametros_manuales!$C$102+parametros_manuales!$F$28*(datos_base!$H$4+IF(parametros_manuales!$H$28="Todos",datos_base!$H$11,0))*parametros_manuales!$C$107+parametros_manuales!$G$28*(datos_base!$H$5+IF(parametros_manuales!$H$28="Todos",datos_base!$H$12,0))*parametros_manuales!$C$112)*parametros_manuales!$I$28*parametros_manuales!$J$28</f>
        <v>10950.66</v>
      </c>
      <c r="D179" s="8">
        <f>(parametros_manuales!$D$28*(datos_base!$H$2+IF(parametros_manuales!$H$28="Todos",datos_base!$H$9,0))*parametros_manuales!$D$97+parametros_manuales!$E$28*(datos_base!$H$3+IF(parametros_manuales!$H$28="Todos",datos_base!$H$10,0))*parametros_manuales!$D$102+parametros_manuales!$F$28*(datos_base!$H$4+IF(parametros_manuales!$H$28="Todos",datos_base!$H$11,0))*parametros_manuales!$D$107+parametros_manuales!$G$28*(datos_base!$H$5+IF(parametros_manuales!$H$28="Todos",datos_base!$H$12,0))*parametros_manuales!$D$112)*parametros_manuales!$I$28*parametros_manuales!$J$28</f>
        <v>9733.92</v>
      </c>
      <c r="E179" s="8">
        <f>(parametros_manuales!$D$28*(datos_base!$H$2+IF(parametros_manuales!$H$28="Todos",datos_base!$H$9,0))*parametros_manuales!$E$97+parametros_manuales!$E$28*(datos_base!$H$3+IF(parametros_manuales!$H$28="Todos",datos_base!$H$10,0))*parametros_manuales!$E$102+parametros_manuales!$F$28*(datos_base!$H$4+IF(parametros_manuales!$H$28="Todos",datos_base!$H$11,0))*parametros_manuales!$E$107+parametros_manuales!$G$28*(datos_base!$H$5+IF(parametros_manuales!$H$28="Todos",datos_base!$H$12,0))*parametros_manuales!$E$112)*parametros_manuales!$I$28*parametros_manuales!$J$28</f>
        <v>9125.55</v>
      </c>
      <c r="F179" s="8">
        <f>(parametros_manuales!$D$28*(datos_base!$H$2+IF(parametros_manuales!$H$28="Todos",datos_base!$H$9,0))*parametros_manuales!$F$97+parametros_manuales!$E$28*(datos_base!$H$3+IF(parametros_manuales!$H$28="Todos",datos_base!$H$10,0))*parametros_manuales!$F$102+parametros_manuales!$F$28*(datos_base!$H$4+IF(parametros_manuales!$H$28="Todos",datos_base!$H$11,0))*parametros_manuales!$F$107+parametros_manuales!$G$28*(datos_base!$H$5+IF(parametros_manuales!$H$28="Todos",datos_base!$H$12,0))*parametros_manuales!$F$112)*parametros_manuales!$I$28*parametros_manuales!$J$28</f>
        <v>8517.18</v>
      </c>
      <c r="G179" s="8">
        <f>(parametros_manuales!$D$28*(datos_base!$H$2+IF(parametros_manuales!$H$28="Todos",datos_base!$H$9,0))*parametros_manuales!$G$97+parametros_manuales!$E$28*(datos_base!$H$3+IF(parametros_manuales!$H$28="Todos",datos_base!$H$10,0))*parametros_manuales!$G$102+parametros_manuales!$F$28*(datos_base!$H$4+IF(parametros_manuales!$H$28="Todos",datos_base!$H$11,0))*parametros_manuales!$G$107+parametros_manuales!$G$28*(datos_base!$H$5+IF(parametros_manuales!$H$28="Todos",datos_base!$H$12,0))*parametros_manuales!$G$112)*parametros_manuales!$I$28*parametros_manuales!$J$28</f>
        <v>8517.18</v>
      </c>
      <c r="H179" s="8">
        <f>(parametros_manuales!$D$28*(datos_base!$H$2+IF(parametros_manuales!$H$28="Todos",datos_base!$H$9,0))*parametros_manuales!$H$97+parametros_manuales!$E$28*(datos_base!$H$3+IF(parametros_manuales!$H$28="Todos",datos_base!$H$10,0))*parametros_manuales!$H$102+parametros_manuales!$F$28*(datos_base!$H$4+IF(parametros_manuales!$H$28="Todos",datos_base!$H$11,0))*parametros_manuales!$H$107+parametros_manuales!$G$28*(datos_base!$H$5+IF(parametros_manuales!$H$28="Todos",datos_base!$H$12,0))*parametros_manuales!$H$112)*parametros_manuales!$I$28*parametros_manuales!$J$28</f>
        <v>9125.55</v>
      </c>
      <c r="I179" s="8">
        <f>(parametros_manuales!$D$28*(datos_base!$H$2+IF(parametros_manuales!$H$28="Todos",datos_base!$H$9,0))*parametros_manuales!$I$97+parametros_manuales!$E$28*(datos_base!$H$3+IF(parametros_manuales!$H$28="Todos",datos_base!$H$10,0))*parametros_manuales!$I$102+parametros_manuales!$F$28*(datos_base!$H$4+IF(parametros_manuales!$H$28="Todos",datos_base!$H$11,0))*parametros_manuales!$I$107+parametros_manuales!$G$28*(datos_base!$H$5+IF(parametros_manuales!$H$28="Todos",datos_base!$H$12,0))*parametros_manuales!$I$112)*parametros_manuales!$I$28*parametros_manuales!$J$28</f>
        <v>10950.66</v>
      </c>
      <c r="J179" s="8">
        <f>(parametros_manuales!$D$28*(datos_base!$H$2+IF(parametros_manuales!$H$28="Todos",datos_base!$H$9,0))*parametros_manuales!$J$97+parametros_manuales!$E$28*(datos_base!$H$3+IF(parametros_manuales!$H$28="Todos",datos_base!$H$10,0))*parametros_manuales!$J$102+parametros_manuales!$F$28*(datos_base!$H$4+IF(parametros_manuales!$H$28="Todos",datos_base!$H$11,0))*parametros_manuales!$J$107+parametros_manuales!$G$28*(datos_base!$H$5+IF(parametros_manuales!$H$28="Todos",datos_base!$H$12,0))*parametros_manuales!$J$112)*parametros_manuales!$I$28*parametros_manuales!$J$28</f>
        <v>10950.66</v>
      </c>
      <c r="K179" s="8">
        <f>(parametros_manuales!$D$28*(datos_base!$H$2+IF(parametros_manuales!$H$28="Todos",datos_base!$H$9,0))*parametros_manuales!$K$97+parametros_manuales!$E$28*(datos_base!$H$3+IF(parametros_manuales!$H$28="Todos",datos_base!$H$10,0))*parametros_manuales!$K$102+parametros_manuales!$F$28*(datos_base!$H$4+IF(parametros_manuales!$H$28="Todos",datos_base!$H$11,0))*parametros_manuales!$K$107+parametros_manuales!$G$28*(datos_base!$H$5+IF(parametros_manuales!$H$28="Todos",datos_base!$H$12,0))*parametros_manuales!$K$112)*parametros_manuales!$I$28*parametros_manuales!$J$28</f>
        <v>10950.66</v>
      </c>
      <c r="L179" s="8">
        <f>(parametros_manuales!$D$28*(datos_base!$H$2+IF(parametros_manuales!$H$28="Todos",datos_base!$H$9,0))*parametros_manuales!$L$97+parametros_manuales!$E$28*(datos_base!$H$3+IF(parametros_manuales!$H$28="Todos",datos_base!$H$10,0))*parametros_manuales!$L$102+parametros_manuales!$F$28*(datos_base!$H$4+IF(parametros_manuales!$H$28="Todos",datos_base!$H$11,0))*parametros_manuales!$L$107+parametros_manuales!$G$28*(datos_base!$H$5+IF(parametros_manuales!$H$28="Todos",datos_base!$H$12,0))*parametros_manuales!$L$112)*parametros_manuales!$I$28*parametros_manuales!$J$28</f>
        <v>10950.66</v>
      </c>
      <c r="M179" s="8">
        <f>(parametros_manuales!$D$28*(datos_base!$H$2+IF(parametros_manuales!$H$28="Todos",datos_base!$H$9,0))*parametros_manuales!$M$97+parametros_manuales!$E$28*(datos_base!$H$3+IF(parametros_manuales!$H$28="Todos",datos_base!$H$10,0))*parametros_manuales!$M$102+parametros_manuales!$F$28*(datos_base!$H$4+IF(parametros_manuales!$H$28="Todos",datos_base!$H$11,0))*parametros_manuales!$M$107+parametros_manuales!$G$28*(datos_base!$H$5+IF(parametros_manuales!$H$28="Todos",datos_base!$H$12,0))*parametros_manuales!$M$112)*parametros_manuales!$I$28*parametros_manuales!$J$28</f>
        <v>10950.66</v>
      </c>
      <c r="N179" s="8">
        <f t="shared" si="19"/>
        <v>121674</v>
      </c>
      <c r="O179" s="8">
        <f t="shared" si="20"/>
        <v>10950.66</v>
      </c>
      <c r="P179" s="27">
        <f>O179/(parametros_manuales!$B$7)</f>
        <v>73.0044</v>
      </c>
      <c r="Q179" s="4" t="str">
        <f t="shared" si="21"/>
        <v>Ene</v>
      </c>
      <c r="R179" s="16"/>
      <c r="S179" s="16"/>
    </row>
    <row r="180" ht="14.25" customHeight="1">
      <c r="A180" s="4" t="str">
        <f>parametros_manuales!$B$29</f>
        <v>Encastre de fondo</v>
      </c>
      <c r="B180" s="8">
        <f>(parametros_manuales!$D$29*(datos_base!$H$2+IF(parametros_manuales!$H$29="Todos",datos_base!$H$9,0))*parametros_manuales!$B$97+parametros_manuales!$E$29*(datos_base!$H$3+IF(parametros_manuales!$H$29="Todos",datos_base!$H$10,0))*parametros_manuales!$B$102+parametros_manuales!$F$29*(datos_base!$H$4+IF(parametros_manuales!$H$29="Todos",datos_base!$H$11,0))*parametros_manuales!$B$107+parametros_manuales!$G$29*(datos_base!$H$5+IF(parametros_manuales!$H$29="Todos",datos_base!$H$12,0))*parametros_manuales!$B$112)*parametros_manuales!$I$29*parametros_manuales!$J$29</f>
        <v>15478.65</v>
      </c>
      <c r="C180" s="8">
        <f>(parametros_manuales!$D$29*(datos_base!$H$2+IF(parametros_manuales!$H$29="Todos",datos_base!$H$9,0))*parametros_manuales!$C$97+parametros_manuales!$E$29*(datos_base!$H$3+IF(parametros_manuales!$H$29="Todos",datos_base!$H$10,0))*parametros_manuales!$C$102+parametros_manuales!$F$29*(datos_base!$H$4+IF(parametros_manuales!$H$29="Todos",datos_base!$H$11,0))*parametros_manuales!$C$107+parametros_manuales!$G$29*(datos_base!$H$5+IF(parametros_manuales!$H$29="Todos",datos_base!$H$12,0))*parametros_manuales!$C$112)*parametros_manuales!$I$29*parametros_manuales!$J$29</f>
        <v>14975.54</v>
      </c>
      <c r="D180" s="8">
        <f>(parametros_manuales!$D$29*(datos_base!$H$2+IF(parametros_manuales!$H$29="Todos",datos_base!$H$9,0))*parametros_manuales!$D$97+parametros_manuales!$E$29*(datos_base!$H$3+IF(parametros_manuales!$H$29="Todos",datos_base!$H$10,0))*parametros_manuales!$D$102+parametros_manuales!$F$29*(datos_base!$H$4+IF(parametros_manuales!$H$29="Todos",datos_base!$H$11,0))*parametros_manuales!$D$107+parametros_manuales!$G$29*(datos_base!$H$5+IF(parametros_manuales!$H$29="Todos",datos_base!$H$12,0))*parametros_manuales!$D$112)*parametros_manuales!$I$29*parametros_manuales!$J$29</f>
        <v>14010.355</v>
      </c>
      <c r="E180" s="8">
        <f>(parametros_manuales!$D$29*(datos_base!$H$2+IF(parametros_manuales!$H$29="Todos",datos_base!$H$9,0))*parametros_manuales!$E$97+parametros_manuales!$E$29*(datos_base!$H$3+IF(parametros_manuales!$H$29="Todos",datos_base!$H$10,0))*parametros_manuales!$E$102+parametros_manuales!$F$29*(datos_base!$H$4+IF(parametros_manuales!$H$29="Todos",datos_base!$H$11,0))*parametros_manuales!$E$107+parametros_manuales!$G$29*(datos_base!$H$5+IF(parametros_manuales!$H$29="Todos",datos_base!$H$12,0))*parametros_manuales!$E$112)*parametros_manuales!$I$29*parametros_manuales!$J$29</f>
        <v>13401.985</v>
      </c>
      <c r="F180" s="8">
        <f>(parametros_manuales!$D$29*(datos_base!$H$2+IF(parametros_manuales!$H$29="Todos",datos_base!$H$9,0))*parametros_manuales!$F$97+parametros_manuales!$E$29*(datos_base!$H$3+IF(parametros_manuales!$H$29="Todos",datos_base!$H$10,0))*parametros_manuales!$F$102+parametros_manuales!$F$29*(datos_base!$H$4+IF(parametros_manuales!$H$29="Todos",datos_base!$H$11,0))*parametros_manuales!$F$107+parametros_manuales!$G$29*(datos_base!$H$5+IF(parametros_manuales!$H$29="Todos",datos_base!$H$12,0))*parametros_manuales!$F$112)*parametros_manuales!$I$29*parametros_manuales!$J$29</f>
        <v>12542.06</v>
      </c>
      <c r="G180" s="8">
        <f>(parametros_manuales!$D$29*(datos_base!$H$2+IF(parametros_manuales!$H$29="Todos",datos_base!$H$9,0))*parametros_manuales!$G$97+parametros_manuales!$E$29*(datos_base!$H$3+IF(parametros_manuales!$H$29="Todos",datos_base!$H$10,0))*parametros_manuales!$G$102+parametros_manuales!$F$29*(datos_base!$H$4+IF(parametros_manuales!$H$29="Todos",datos_base!$H$11,0))*parametros_manuales!$G$107+parametros_manuales!$G$29*(datos_base!$H$5+IF(parametros_manuales!$H$29="Todos",datos_base!$H$12,0))*parametros_manuales!$G$112)*parametros_manuales!$I$29*parametros_manuales!$J$29</f>
        <v>12290.505</v>
      </c>
      <c r="H180" s="8">
        <f>(parametros_manuales!$D$29*(datos_base!$H$2+IF(parametros_manuales!$H$29="Todos",datos_base!$H$9,0))*parametros_manuales!$H$97+parametros_manuales!$E$29*(datos_base!$H$3+IF(parametros_manuales!$H$29="Todos",datos_base!$H$10,0))*parametros_manuales!$H$102+parametros_manuales!$F$29*(datos_base!$H$4+IF(parametros_manuales!$H$29="Todos",datos_base!$H$11,0))*parametros_manuales!$H$107+parametros_manuales!$G$29*(datos_base!$H$5+IF(parametros_manuales!$H$29="Todos",datos_base!$H$12,0))*parametros_manuales!$H$112)*parametros_manuales!$I$29*parametros_manuales!$J$29</f>
        <v>13150.43</v>
      </c>
      <c r="I180" s="8">
        <f>(parametros_manuales!$D$29*(datos_base!$H$2+IF(parametros_manuales!$H$29="Todos",datos_base!$H$9,0))*parametros_manuales!$I$97+parametros_manuales!$E$29*(datos_base!$H$3+IF(parametros_manuales!$H$29="Todos",datos_base!$H$10,0))*parametros_manuales!$I$102+parametros_manuales!$F$29*(datos_base!$H$4+IF(parametros_manuales!$H$29="Todos",datos_base!$H$11,0))*parametros_manuales!$I$107+parametros_manuales!$G$29*(datos_base!$H$5+IF(parametros_manuales!$H$29="Todos",datos_base!$H$12,0))*parametros_manuales!$I$112)*parametros_manuales!$I$29*parametros_manuales!$J$29</f>
        <v>14975.54</v>
      </c>
      <c r="J180" s="8">
        <f>(parametros_manuales!$D$29*(datos_base!$H$2+IF(parametros_manuales!$H$29="Todos",datos_base!$H$9,0))*parametros_manuales!$J$97+parametros_manuales!$E$29*(datos_base!$H$3+IF(parametros_manuales!$H$29="Todos",datos_base!$H$10,0))*parametros_manuales!$J$102+parametros_manuales!$F$29*(datos_base!$H$4+IF(parametros_manuales!$H$29="Todos",datos_base!$H$11,0))*parametros_manuales!$J$107+parametros_manuales!$G$29*(datos_base!$H$5+IF(parametros_manuales!$H$29="Todos",datos_base!$H$12,0))*parametros_manuales!$J$112)*parametros_manuales!$I$29*parametros_manuales!$J$29</f>
        <v>14975.54</v>
      </c>
      <c r="K180" s="8">
        <f>(parametros_manuales!$D$29*(datos_base!$H$2+IF(parametros_manuales!$H$29="Todos",datos_base!$H$9,0))*parametros_manuales!$K$97+parametros_manuales!$E$29*(datos_base!$H$3+IF(parametros_manuales!$H$29="Todos",datos_base!$H$10,0))*parametros_manuales!$K$102+parametros_manuales!$F$29*(datos_base!$H$4+IF(parametros_manuales!$H$29="Todos",datos_base!$H$11,0))*parametros_manuales!$K$107+parametros_manuales!$G$29*(datos_base!$H$5+IF(parametros_manuales!$H$29="Todos",datos_base!$H$12,0))*parametros_manuales!$K$112)*parametros_manuales!$I$29*parametros_manuales!$J$29</f>
        <v>15227.095</v>
      </c>
      <c r="L180" s="8">
        <f>(parametros_manuales!$D$29*(datos_base!$H$2+IF(parametros_manuales!$H$29="Todos",datos_base!$H$9,0))*parametros_manuales!$L$97+parametros_manuales!$E$29*(datos_base!$H$3+IF(parametros_manuales!$H$29="Todos",datos_base!$H$10,0))*parametros_manuales!$L$102+parametros_manuales!$F$29*(datos_base!$H$4+IF(parametros_manuales!$H$29="Todos",datos_base!$H$11,0))*parametros_manuales!$L$107+parametros_manuales!$G$29*(datos_base!$H$5+IF(parametros_manuales!$H$29="Todos",datos_base!$H$12,0))*parametros_manuales!$L$112)*parametros_manuales!$I$29*parametros_manuales!$J$29</f>
        <v>15478.65</v>
      </c>
      <c r="M180" s="8">
        <f>(parametros_manuales!$D$29*(datos_base!$H$2+IF(parametros_manuales!$H$29="Todos",datos_base!$H$9,0))*parametros_manuales!$M$97+parametros_manuales!$E$29*(datos_base!$H$3+IF(parametros_manuales!$H$29="Todos",datos_base!$H$10,0))*parametros_manuales!$M$102+parametros_manuales!$F$29*(datos_base!$H$4+IF(parametros_manuales!$H$29="Todos",datos_base!$H$11,0))*parametros_manuales!$M$107+parametros_manuales!$G$29*(datos_base!$H$5+IF(parametros_manuales!$H$29="Todos",datos_base!$H$12,0))*parametros_manuales!$M$112)*parametros_manuales!$I$29*parametros_manuales!$J$29</f>
        <v>15478.65</v>
      </c>
      <c r="N180" s="8">
        <f t="shared" si="19"/>
        <v>171985</v>
      </c>
      <c r="O180" s="8">
        <f t="shared" si="20"/>
        <v>15478.65</v>
      </c>
      <c r="P180" s="27">
        <f>O180/(parametros_manuales!$B$7)</f>
        <v>103.191</v>
      </c>
      <c r="Q180" s="4" t="str">
        <f t="shared" si="21"/>
        <v>Ene</v>
      </c>
      <c r="R180" s="16"/>
      <c r="S180" s="16"/>
    </row>
    <row r="181" ht="14.25" customHeight="1">
      <c r="A181" s="4" t="str">
        <f>parametros_manuales!$B$30</f>
        <v>Bordoneado</v>
      </c>
      <c r="B181" s="8">
        <f>(parametros_manuales!$D$30*(datos_base!$H$2+IF(parametros_manuales!$H$30="Todos",datos_base!$H$9,0))*parametros_manuales!$B$97+parametros_manuales!$E$30*(datos_base!$H$3+IF(parametros_manuales!$H$30="Todos",datos_base!$H$10,0))*parametros_manuales!$B$102+parametros_manuales!$F$30*(datos_base!$H$4+IF(parametros_manuales!$H$30="Todos",datos_base!$H$11,0))*parametros_manuales!$B$107+parametros_manuales!$G$30*(datos_base!$H$5+IF(parametros_manuales!$H$30="Todos",datos_base!$H$12,0))*parametros_manuales!$B$112)*parametros_manuales!$I$30*parametros_manuales!$J$30</f>
        <v>15478.65</v>
      </c>
      <c r="C181" s="8">
        <f>(parametros_manuales!$D$30*(datos_base!$H$2+IF(parametros_manuales!$H$30="Todos",datos_base!$H$9,0))*parametros_manuales!$C$97+parametros_manuales!$E$30*(datos_base!$H$3+IF(parametros_manuales!$H$30="Todos",datos_base!$H$10,0))*parametros_manuales!$C$102+parametros_manuales!$F$30*(datos_base!$H$4+IF(parametros_manuales!$H$30="Todos",datos_base!$H$11,0))*parametros_manuales!$C$107+parametros_manuales!$G$30*(datos_base!$H$5+IF(parametros_manuales!$H$30="Todos",datos_base!$H$12,0))*parametros_manuales!$C$112)*parametros_manuales!$I$30*parametros_manuales!$J$30</f>
        <v>14975.54</v>
      </c>
      <c r="D181" s="8">
        <f>(parametros_manuales!$D$30*(datos_base!$H$2+IF(parametros_manuales!$H$30="Todos",datos_base!$H$9,0))*parametros_manuales!$D$97+parametros_manuales!$E$30*(datos_base!$H$3+IF(parametros_manuales!$H$30="Todos",datos_base!$H$10,0))*parametros_manuales!$D$102+parametros_manuales!$F$30*(datos_base!$H$4+IF(parametros_manuales!$H$30="Todos",datos_base!$H$11,0))*parametros_manuales!$D$107+parametros_manuales!$G$30*(datos_base!$H$5+IF(parametros_manuales!$H$30="Todos",datos_base!$H$12,0))*parametros_manuales!$D$112)*parametros_manuales!$I$30*parametros_manuales!$J$30</f>
        <v>14010.355</v>
      </c>
      <c r="E181" s="8">
        <f>(parametros_manuales!$D$30*(datos_base!$H$2+IF(parametros_manuales!$H$30="Todos",datos_base!$H$9,0))*parametros_manuales!$E$97+parametros_manuales!$E$30*(datos_base!$H$3+IF(parametros_manuales!$H$30="Todos",datos_base!$H$10,0))*parametros_manuales!$E$102+parametros_manuales!$F$30*(datos_base!$H$4+IF(parametros_manuales!$H$30="Todos",datos_base!$H$11,0))*parametros_manuales!$E$107+parametros_manuales!$G$30*(datos_base!$H$5+IF(parametros_manuales!$H$30="Todos",datos_base!$H$12,0))*parametros_manuales!$E$112)*parametros_manuales!$I$30*parametros_manuales!$J$30</f>
        <v>13401.985</v>
      </c>
      <c r="F181" s="8">
        <f>(parametros_manuales!$D$30*(datos_base!$H$2+IF(parametros_manuales!$H$30="Todos",datos_base!$H$9,0))*parametros_manuales!$F$97+parametros_manuales!$E$30*(datos_base!$H$3+IF(parametros_manuales!$H$30="Todos",datos_base!$H$10,0))*parametros_manuales!$F$102+parametros_manuales!$F$30*(datos_base!$H$4+IF(parametros_manuales!$H$30="Todos",datos_base!$H$11,0))*parametros_manuales!$F$107+parametros_manuales!$G$30*(datos_base!$H$5+IF(parametros_manuales!$H$30="Todos",datos_base!$H$12,0))*parametros_manuales!$F$112)*parametros_manuales!$I$30*parametros_manuales!$J$30</f>
        <v>12542.06</v>
      </c>
      <c r="G181" s="8">
        <f>(parametros_manuales!$D$30*(datos_base!$H$2+IF(parametros_manuales!$H$30="Todos",datos_base!$H$9,0))*parametros_manuales!$G$97+parametros_manuales!$E$30*(datos_base!$H$3+IF(parametros_manuales!$H$30="Todos",datos_base!$H$10,0))*parametros_manuales!$G$102+parametros_manuales!$F$30*(datos_base!$H$4+IF(parametros_manuales!$H$30="Todos",datos_base!$H$11,0))*parametros_manuales!$G$107+parametros_manuales!$G$30*(datos_base!$H$5+IF(parametros_manuales!$H$30="Todos",datos_base!$H$12,0))*parametros_manuales!$G$112)*parametros_manuales!$I$30*parametros_manuales!$J$30</f>
        <v>12290.505</v>
      </c>
      <c r="H181" s="8">
        <f>(parametros_manuales!$D$30*(datos_base!$H$2+IF(parametros_manuales!$H$30="Todos",datos_base!$H$9,0))*parametros_manuales!$H$97+parametros_manuales!$E$30*(datos_base!$H$3+IF(parametros_manuales!$H$30="Todos",datos_base!$H$10,0))*parametros_manuales!$H$102+parametros_manuales!$F$30*(datos_base!$H$4+IF(parametros_manuales!$H$30="Todos",datos_base!$H$11,0))*parametros_manuales!$H$107+parametros_manuales!$G$30*(datos_base!$H$5+IF(parametros_manuales!$H$30="Todos",datos_base!$H$12,0))*parametros_manuales!$H$112)*parametros_manuales!$I$30*parametros_manuales!$J$30</f>
        <v>13150.43</v>
      </c>
      <c r="I181" s="8">
        <f>(parametros_manuales!$D$30*(datos_base!$H$2+IF(parametros_manuales!$H$30="Todos",datos_base!$H$9,0))*parametros_manuales!$I$97+parametros_manuales!$E$30*(datos_base!$H$3+IF(parametros_manuales!$H$30="Todos",datos_base!$H$10,0))*parametros_manuales!$I$102+parametros_manuales!$F$30*(datos_base!$H$4+IF(parametros_manuales!$H$30="Todos",datos_base!$H$11,0))*parametros_manuales!$I$107+parametros_manuales!$G$30*(datos_base!$H$5+IF(parametros_manuales!$H$30="Todos",datos_base!$H$12,0))*parametros_manuales!$I$112)*parametros_manuales!$I$30*parametros_manuales!$J$30</f>
        <v>14975.54</v>
      </c>
      <c r="J181" s="8">
        <f>(parametros_manuales!$D$30*(datos_base!$H$2+IF(parametros_manuales!$H$30="Todos",datos_base!$H$9,0))*parametros_manuales!$J$97+parametros_manuales!$E$30*(datos_base!$H$3+IF(parametros_manuales!$H$30="Todos",datos_base!$H$10,0))*parametros_manuales!$J$102+parametros_manuales!$F$30*(datos_base!$H$4+IF(parametros_manuales!$H$30="Todos",datos_base!$H$11,0))*parametros_manuales!$J$107+parametros_manuales!$G$30*(datos_base!$H$5+IF(parametros_manuales!$H$30="Todos",datos_base!$H$12,0))*parametros_manuales!$J$112)*parametros_manuales!$I$30*parametros_manuales!$J$30</f>
        <v>14975.54</v>
      </c>
      <c r="K181" s="8">
        <f>(parametros_manuales!$D$30*(datos_base!$H$2+IF(parametros_manuales!$H$30="Todos",datos_base!$H$9,0))*parametros_manuales!$K$97+parametros_manuales!$E$30*(datos_base!$H$3+IF(parametros_manuales!$H$30="Todos",datos_base!$H$10,0))*parametros_manuales!$K$102+parametros_manuales!$F$30*(datos_base!$H$4+IF(parametros_manuales!$H$30="Todos",datos_base!$H$11,0))*parametros_manuales!$K$107+parametros_manuales!$G$30*(datos_base!$H$5+IF(parametros_manuales!$H$30="Todos",datos_base!$H$12,0))*parametros_manuales!$K$112)*parametros_manuales!$I$30*parametros_manuales!$J$30</f>
        <v>15227.095</v>
      </c>
      <c r="L181" s="8">
        <f>(parametros_manuales!$D$30*(datos_base!$H$2+IF(parametros_manuales!$H$30="Todos",datos_base!$H$9,0))*parametros_manuales!$L$97+parametros_manuales!$E$30*(datos_base!$H$3+IF(parametros_manuales!$H$30="Todos",datos_base!$H$10,0))*parametros_manuales!$L$102+parametros_manuales!$F$30*(datos_base!$H$4+IF(parametros_manuales!$H$30="Todos",datos_base!$H$11,0))*parametros_manuales!$L$107+parametros_manuales!$G$30*(datos_base!$H$5+IF(parametros_manuales!$H$30="Todos",datos_base!$H$12,0))*parametros_manuales!$L$112)*parametros_manuales!$I$30*parametros_manuales!$J$30</f>
        <v>15478.65</v>
      </c>
      <c r="M181" s="8">
        <f>(parametros_manuales!$D$30*(datos_base!$H$2+IF(parametros_manuales!$H$30="Todos",datos_base!$H$9,0))*parametros_manuales!$M$97+parametros_manuales!$E$30*(datos_base!$H$3+IF(parametros_manuales!$H$30="Todos",datos_base!$H$10,0))*parametros_manuales!$M$102+parametros_manuales!$F$30*(datos_base!$H$4+IF(parametros_manuales!$H$30="Todos",datos_base!$H$11,0))*parametros_manuales!$M$107+parametros_manuales!$G$30*(datos_base!$H$5+IF(parametros_manuales!$H$30="Todos",datos_base!$H$12,0))*parametros_manuales!$M$112)*parametros_manuales!$I$30*parametros_manuales!$J$30</f>
        <v>15478.65</v>
      </c>
      <c r="N181" s="8">
        <f t="shared" si="19"/>
        <v>171985</v>
      </c>
      <c r="O181" s="8">
        <f t="shared" si="20"/>
        <v>15478.65</v>
      </c>
      <c r="P181" s="27">
        <f>O181/(parametros_manuales!$B$7)</f>
        <v>103.191</v>
      </c>
      <c r="Q181" s="4" t="str">
        <f t="shared" si="21"/>
        <v>Ene</v>
      </c>
      <c r="R181" s="16"/>
      <c r="S181" s="16"/>
    </row>
    <row r="182" ht="14.25" customHeight="1">
      <c r="A182" s="4" t="str">
        <f>parametros_manuales!$B$31</f>
        <v>Soldadura circunferencial de cúpula y fondo</v>
      </c>
      <c r="B182" s="8">
        <f>(parametros_manuales!$D$31*(datos_base!$H$2+IF(parametros_manuales!$H$31="Todos",datos_base!$H$9,0))*parametros_manuales!$B$97+parametros_manuales!$E$31*(datos_base!$H$3+IF(parametros_manuales!$H$31="Todos",datos_base!$H$10,0))*parametros_manuales!$B$102+parametros_manuales!$F$31*(datos_base!$H$4+IF(parametros_manuales!$H$31="Todos",datos_base!$H$11,0))*parametros_manuales!$B$107+parametros_manuales!$G$31*(datos_base!$H$5+IF(parametros_manuales!$H$31="Todos",datos_base!$H$12,0))*parametros_manuales!$B$112)*parametros_manuales!$I$31*parametros_manuales!$J$31</f>
        <v>15478.65</v>
      </c>
      <c r="C182" s="8">
        <f>(parametros_manuales!$D$31*(datos_base!$H$2+IF(parametros_manuales!$H$31="Todos",datos_base!$H$9,0))*parametros_manuales!$C$97+parametros_manuales!$E$31*(datos_base!$H$3+IF(parametros_manuales!$H$31="Todos",datos_base!$H$10,0))*parametros_manuales!$C$102+parametros_manuales!$F$31*(datos_base!$H$4+IF(parametros_manuales!$H$31="Todos",datos_base!$H$11,0))*parametros_manuales!$C$107+parametros_manuales!$G$31*(datos_base!$H$5+IF(parametros_manuales!$H$31="Todos",datos_base!$H$12,0))*parametros_manuales!$C$112)*parametros_manuales!$I$31*parametros_manuales!$J$31</f>
        <v>14975.54</v>
      </c>
      <c r="D182" s="8">
        <f>(parametros_manuales!$D$31*(datos_base!$H$2+IF(parametros_manuales!$H$31="Todos",datos_base!$H$9,0))*parametros_manuales!$D$97+parametros_manuales!$E$31*(datos_base!$H$3+IF(parametros_manuales!$H$31="Todos",datos_base!$H$10,0))*parametros_manuales!$D$102+parametros_manuales!$F$31*(datos_base!$H$4+IF(parametros_manuales!$H$31="Todos",datos_base!$H$11,0))*parametros_manuales!$D$107+parametros_manuales!$G$31*(datos_base!$H$5+IF(parametros_manuales!$H$31="Todos",datos_base!$H$12,0))*parametros_manuales!$D$112)*parametros_manuales!$I$31*parametros_manuales!$J$31</f>
        <v>14010.355</v>
      </c>
      <c r="E182" s="8">
        <f>(parametros_manuales!$D$31*(datos_base!$H$2+IF(parametros_manuales!$H$31="Todos",datos_base!$H$9,0))*parametros_manuales!$E$97+parametros_manuales!$E$31*(datos_base!$H$3+IF(parametros_manuales!$H$31="Todos",datos_base!$H$10,0))*parametros_manuales!$E$102+parametros_manuales!$F$31*(datos_base!$H$4+IF(parametros_manuales!$H$31="Todos",datos_base!$H$11,0))*parametros_manuales!$E$107+parametros_manuales!$G$31*(datos_base!$H$5+IF(parametros_manuales!$H$31="Todos",datos_base!$H$12,0))*parametros_manuales!$E$112)*parametros_manuales!$I$31*parametros_manuales!$J$31</f>
        <v>13401.985</v>
      </c>
      <c r="F182" s="8">
        <f>(parametros_manuales!$D$31*(datos_base!$H$2+IF(parametros_manuales!$H$31="Todos",datos_base!$H$9,0))*parametros_manuales!$F$97+parametros_manuales!$E$31*(datos_base!$H$3+IF(parametros_manuales!$H$31="Todos",datos_base!$H$10,0))*parametros_manuales!$F$102+parametros_manuales!$F$31*(datos_base!$H$4+IF(parametros_manuales!$H$31="Todos",datos_base!$H$11,0))*parametros_manuales!$F$107+parametros_manuales!$G$31*(datos_base!$H$5+IF(parametros_manuales!$H$31="Todos",datos_base!$H$12,0))*parametros_manuales!$F$112)*parametros_manuales!$I$31*parametros_manuales!$J$31</f>
        <v>12542.06</v>
      </c>
      <c r="G182" s="8">
        <f>(parametros_manuales!$D$31*(datos_base!$H$2+IF(parametros_manuales!$H$31="Todos",datos_base!$H$9,0))*parametros_manuales!$G$97+parametros_manuales!$E$31*(datos_base!$H$3+IF(parametros_manuales!$H$31="Todos",datos_base!$H$10,0))*parametros_manuales!$G$102+parametros_manuales!$F$31*(datos_base!$H$4+IF(parametros_manuales!$H$31="Todos",datos_base!$H$11,0))*parametros_manuales!$G$107+parametros_manuales!$G$31*(datos_base!$H$5+IF(parametros_manuales!$H$31="Todos",datos_base!$H$12,0))*parametros_manuales!$G$112)*parametros_manuales!$I$31*parametros_manuales!$J$31</f>
        <v>12290.505</v>
      </c>
      <c r="H182" s="8">
        <f>(parametros_manuales!$D$31*(datos_base!$H$2+IF(parametros_manuales!$H$31="Todos",datos_base!$H$9,0))*parametros_manuales!$H$97+parametros_manuales!$E$31*(datos_base!$H$3+IF(parametros_manuales!$H$31="Todos",datos_base!$H$10,0))*parametros_manuales!$H$102+parametros_manuales!$F$31*(datos_base!$H$4+IF(parametros_manuales!$H$31="Todos",datos_base!$H$11,0))*parametros_manuales!$H$107+parametros_manuales!$G$31*(datos_base!$H$5+IF(parametros_manuales!$H$31="Todos",datos_base!$H$12,0))*parametros_manuales!$H$112)*parametros_manuales!$I$31*parametros_manuales!$J$31</f>
        <v>13150.43</v>
      </c>
      <c r="I182" s="8">
        <f>(parametros_manuales!$D$31*(datos_base!$H$2+IF(parametros_manuales!$H$31="Todos",datos_base!$H$9,0))*parametros_manuales!$I$97+parametros_manuales!$E$31*(datos_base!$H$3+IF(parametros_manuales!$H$31="Todos",datos_base!$H$10,0))*parametros_manuales!$I$102+parametros_manuales!$F$31*(datos_base!$H$4+IF(parametros_manuales!$H$31="Todos",datos_base!$H$11,0))*parametros_manuales!$I$107+parametros_manuales!$G$31*(datos_base!$H$5+IF(parametros_manuales!$H$31="Todos",datos_base!$H$12,0))*parametros_manuales!$I$112)*parametros_manuales!$I$31*parametros_manuales!$J$31</f>
        <v>14975.54</v>
      </c>
      <c r="J182" s="8">
        <f>(parametros_manuales!$D$31*(datos_base!$H$2+IF(parametros_manuales!$H$31="Todos",datos_base!$H$9,0))*parametros_manuales!$J$97+parametros_manuales!$E$31*(datos_base!$H$3+IF(parametros_manuales!$H$31="Todos",datos_base!$H$10,0))*parametros_manuales!$J$102+parametros_manuales!$F$31*(datos_base!$H$4+IF(parametros_manuales!$H$31="Todos",datos_base!$H$11,0))*parametros_manuales!$J$107+parametros_manuales!$G$31*(datos_base!$H$5+IF(parametros_manuales!$H$31="Todos",datos_base!$H$12,0))*parametros_manuales!$J$112)*parametros_manuales!$I$31*parametros_manuales!$J$31</f>
        <v>14975.54</v>
      </c>
      <c r="K182" s="8">
        <f>(parametros_manuales!$D$31*(datos_base!$H$2+IF(parametros_manuales!$H$31="Todos",datos_base!$H$9,0))*parametros_manuales!$K$97+parametros_manuales!$E$31*(datos_base!$H$3+IF(parametros_manuales!$H$31="Todos",datos_base!$H$10,0))*parametros_manuales!$K$102+parametros_manuales!$F$31*(datos_base!$H$4+IF(parametros_manuales!$H$31="Todos",datos_base!$H$11,0))*parametros_manuales!$K$107+parametros_manuales!$G$31*(datos_base!$H$5+IF(parametros_manuales!$H$31="Todos",datos_base!$H$12,0))*parametros_manuales!$K$112)*parametros_manuales!$I$31*parametros_manuales!$J$31</f>
        <v>15227.095</v>
      </c>
      <c r="L182" s="8">
        <f>(parametros_manuales!$D$31*(datos_base!$H$2+IF(parametros_manuales!$H$31="Todos",datos_base!$H$9,0))*parametros_manuales!$L$97+parametros_manuales!$E$31*(datos_base!$H$3+IF(parametros_manuales!$H$31="Todos",datos_base!$H$10,0))*parametros_manuales!$L$102+parametros_manuales!$F$31*(datos_base!$H$4+IF(parametros_manuales!$H$31="Todos",datos_base!$H$11,0))*parametros_manuales!$L$107+parametros_manuales!$G$31*(datos_base!$H$5+IF(parametros_manuales!$H$31="Todos",datos_base!$H$12,0))*parametros_manuales!$L$112)*parametros_manuales!$I$31*parametros_manuales!$J$31</f>
        <v>15478.65</v>
      </c>
      <c r="M182" s="8">
        <f>(parametros_manuales!$D$31*(datos_base!$H$2+IF(parametros_manuales!$H$31="Todos",datos_base!$H$9,0))*parametros_manuales!$M$97+parametros_manuales!$E$31*(datos_base!$H$3+IF(parametros_manuales!$H$31="Todos",datos_base!$H$10,0))*parametros_manuales!$M$102+parametros_manuales!$F$31*(datos_base!$H$4+IF(parametros_manuales!$H$31="Todos",datos_base!$H$11,0))*parametros_manuales!$M$107+parametros_manuales!$G$31*(datos_base!$H$5+IF(parametros_manuales!$H$31="Todos",datos_base!$H$12,0))*parametros_manuales!$M$112)*parametros_manuales!$I$31*parametros_manuales!$J$31</f>
        <v>15478.65</v>
      </c>
      <c r="N182" s="8">
        <f t="shared" si="19"/>
        <v>171985</v>
      </c>
      <c r="O182" s="8">
        <f t="shared" si="20"/>
        <v>15478.65</v>
      </c>
      <c r="P182" s="27">
        <f>O182/(parametros_manuales!$B$7)</f>
        <v>103.191</v>
      </c>
      <c r="Q182" s="4" t="str">
        <f t="shared" si="21"/>
        <v>Ene</v>
      </c>
      <c r="R182" s="16"/>
      <c r="S182" s="16"/>
    </row>
    <row r="183" ht="14.25" customHeight="1">
      <c r="A183" s="4" t="str">
        <f>parametros_manuales!$B$32</f>
        <v>Control de calidad — Espesor</v>
      </c>
      <c r="B183" s="8">
        <f>(parametros_manuales!$D$32*(datos_base!$H$2+IF(parametros_manuales!$H$32="Todos",datos_base!$H$9,0))*parametros_manuales!$B$97+parametros_manuales!$E$32*(datos_base!$H$3+IF(parametros_manuales!$H$32="Todos",datos_base!$H$10,0))*parametros_manuales!$B$102+parametros_manuales!$F$32*(datos_base!$H$4+IF(parametros_manuales!$H$32="Todos",datos_base!$H$11,0))*parametros_manuales!$B$107+parametros_manuales!$G$32*(datos_base!$H$5+IF(parametros_manuales!$H$32="Todos",datos_base!$H$12,0))*parametros_manuales!$B$112)*parametros_manuales!$I$32*parametros_manuales!$J$32</f>
        <v>309.573</v>
      </c>
      <c r="C183" s="8">
        <f>(parametros_manuales!$D$32*(datos_base!$H$2+IF(parametros_manuales!$H$32="Todos",datos_base!$H$9,0))*parametros_manuales!$C$97+parametros_manuales!$E$32*(datos_base!$H$3+IF(parametros_manuales!$H$32="Todos",datos_base!$H$10,0))*parametros_manuales!$C$102+parametros_manuales!$F$32*(datos_base!$H$4+IF(parametros_manuales!$H$32="Todos",datos_base!$H$11,0))*parametros_manuales!$C$107+parametros_manuales!$G$32*(datos_base!$H$5+IF(parametros_manuales!$H$32="Todos",datos_base!$H$12,0))*parametros_manuales!$C$112)*parametros_manuales!$I$32*parametros_manuales!$J$32</f>
        <v>299.5108</v>
      </c>
      <c r="D183" s="8">
        <f>(parametros_manuales!$D$32*(datos_base!$H$2+IF(parametros_manuales!$H$32="Todos",datos_base!$H$9,0))*parametros_manuales!$D$97+parametros_manuales!$E$32*(datos_base!$H$3+IF(parametros_manuales!$H$32="Todos",datos_base!$H$10,0))*parametros_manuales!$D$102+parametros_manuales!$F$32*(datos_base!$H$4+IF(parametros_manuales!$H$32="Todos",datos_base!$H$11,0))*parametros_manuales!$D$107+parametros_manuales!$G$32*(datos_base!$H$5+IF(parametros_manuales!$H$32="Todos",datos_base!$H$12,0))*parametros_manuales!$D$112)*parametros_manuales!$I$32*parametros_manuales!$J$32</f>
        <v>280.2071</v>
      </c>
      <c r="E183" s="8">
        <f>(parametros_manuales!$D$32*(datos_base!$H$2+IF(parametros_manuales!$H$32="Todos",datos_base!$H$9,0))*parametros_manuales!$E$97+parametros_manuales!$E$32*(datos_base!$H$3+IF(parametros_manuales!$H$32="Todos",datos_base!$H$10,0))*parametros_manuales!$E$102+parametros_manuales!$F$32*(datos_base!$H$4+IF(parametros_manuales!$H$32="Todos",datos_base!$H$11,0))*parametros_manuales!$E$107+parametros_manuales!$G$32*(datos_base!$H$5+IF(parametros_manuales!$H$32="Todos",datos_base!$H$12,0))*parametros_manuales!$E$112)*parametros_manuales!$I$32*parametros_manuales!$J$32</f>
        <v>268.0397</v>
      </c>
      <c r="F183" s="8">
        <f>(parametros_manuales!$D$32*(datos_base!$H$2+IF(parametros_manuales!$H$32="Todos",datos_base!$H$9,0))*parametros_manuales!$F$97+parametros_manuales!$E$32*(datos_base!$H$3+IF(parametros_manuales!$H$32="Todos",datos_base!$H$10,0))*parametros_manuales!$F$102+parametros_manuales!$F$32*(datos_base!$H$4+IF(parametros_manuales!$H$32="Todos",datos_base!$H$11,0))*parametros_manuales!$F$107+parametros_manuales!$G$32*(datos_base!$H$5+IF(parametros_manuales!$H$32="Todos",datos_base!$H$12,0))*parametros_manuales!$F$112)*parametros_manuales!$I$32*parametros_manuales!$J$32</f>
        <v>250.8412</v>
      </c>
      <c r="G183" s="8">
        <f>(parametros_manuales!$D$32*(datos_base!$H$2+IF(parametros_manuales!$H$32="Todos",datos_base!$H$9,0))*parametros_manuales!$G$97+parametros_manuales!$E$32*(datos_base!$H$3+IF(parametros_manuales!$H$32="Todos",datos_base!$H$10,0))*parametros_manuales!$G$102+parametros_manuales!$F$32*(datos_base!$H$4+IF(parametros_manuales!$H$32="Todos",datos_base!$H$11,0))*parametros_manuales!$G$107+parametros_manuales!$G$32*(datos_base!$H$5+IF(parametros_manuales!$H$32="Todos",datos_base!$H$12,0))*parametros_manuales!$G$112)*parametros_manuales!$I$32*parametros_manuales!$J$32</f>
        <v>245.8101</v>
      </c>
      <c r="H183" s="8">
        <f>(parametros_manuales!$D$32*(datos_base!$H$2+IF(parametros_manuales!$H$32="Todos",datos_base!$H$9,0))*parametros_manuales!$H$97+parametros_manuales!$E$32*(datos_base!$H$3+IF(parametros_manuales!$H$32="Todos",datos_base!$H$10,0))*parametros_manuales!$H$102+parametros_manuales!$F$32*(datos_base!$H$4+IF(parametros_manuales!$H$32="Todos",datos_base!$H$11,0))*parametros_manuales!$H$107+parametros_manuales!$G$32*(datos_base!$H$5+IF(parametros_manuales!$H$32="Todos",datos_base!$H$12,0))*parametros_manuales!$H$112)*parametros_manuales!$I$32*parametros_manuales!$J$32</f>
        <v>263.0086</v>
      </c>
      <c r="I183" s="8">
        <f>(parametros_manuales!$D$32*(datos_base!$H$2+IF(parametros_manuales!$H$32="Todos",datos_base!$H$9,0))*parametros_manuales!$I$97+parametros_manuales!$E$32*(datos_base!$H$3+IF(parametros_manuales!$H$32="Todos",datos_base!$H$10,0))*parametros_manuales!$I$102+parametros_manuales!$F$32*(datos_base!$H$4+IF(parametros_manuales!$H$32="Todos",datos_base!$H$11,0))*parametros_manuales!$I$107+parametros_manuales!$G$32*(datos_base!$H$5+IF(parametros_manuales!$H$32="Todos",datos_base!$H$12,0))*parametros_manuales!$I$112)*parametros_manuales!$I$32*parametros_manuales!$J$32</f>
        <v>299.5108</v>
      </c>
      <c r="J183" s="8">
        <f>(parametros_manuales!$D$32*(datos_base!$H$2+IF(parametros_manuales!$H$32="Todos",datos_base!$H$9,0))*parametros_manuales!$J$97+parametros_manuales!$E$32*(datos_base!$H$3+IF(parametros_manuales!$H$32="Todos",datos_base!$H$10,0))*parametros_manuales!$J$102+parametros_manuales!$F$32*(datos_base!$H$4+IF(parametros_manuales!$H$32="Todos",datos_base!$H$11,0))*parametros_manuales!$J$107+parametros_manuales!$G$32*(datos_base!$H$5+IF(parametros_manuales!$H$32="Todos",datos_base!$H$12,0))*parametros_manuales!$J$112)*parametros_manuales!$I$32*parametros_manuales!$J$32</f>
        <v>299.5108</v>
      </c>
      <c r="K183" s="8">
        <f>(parametros_manuales!$D$32*(datos_base!$H$2+IF(parametros_manuales!$H$32="Todos",datos_base!$H$9,0))*parametros_manuales!$K$97+parametros_manuales!$E$32*(datos_base!$H$3+IF(parametros_manuales!$H$32="Todos",datos_base!$H$10,0))*parametros_manuales!$K$102+parametros_manuales!$F$32*(datos_base!$H$4+IF(parametros_manuales!$H$32="Todos",datos_base!$H$11,0))*parametros_manuales!$K$107+parametros_manuales!$G$32*(datos_base!$H$5+IF(parametros_manuales!$H$32="Todos",datos_base!$H$12,0))*parametros_manuales!$K$112)*parametros_manuales!$I$32*parametros_manuales!$J$32</f>
        <v>304.5419</v>
      </c>
      <c r="L183" s="8">
        <f>(parametros_manuales!$D$32*(datos_base!$H$2+IF(parametros_manuales!$H$32="Todos",datos_base!$H$9,0))*parametros_manuales!$L$97+parametros_manuales!$E$32*(datos_base!$H$3+IF(parametros_manuales!$H$32="Todos",datos_base!$H$10,0))*parametros_manuales!$L$102+parametros_manuales!$F$32*(datos_base!$H$4+IF(parametros_manuales!$H$32="Todos",datos_base!$H$11,0))*parametros_manuales!$L$107+parametros_manuales!$G$32*(datos_base!$H$5+IF(parametros_manuales!$H$32="Todos",datos_base!$H$12,0))*parametros_manuales!$L$112)*parametros_manuales!$I$32*parametros_manuales!$J$32</f>
        <v>309.573</v>
      </c>
      <c r="M183" s="8">
        <f>(parametros_manuales!$D$32*(datos_base!$H$2+IF(parametros_manuales!$H$32="Todos",datos_base!$H$9,0))*parametros_manuales!$M$97+parametros_manuales!$E$32*(datos_base!$H$3+IF(parametros_manuales!$H$32="Todos",datos_base!$H$10,0))*parametros_manuales!$M$102+parametros_manuales!$F$32*(datos_base!$H$4+IF(parametros_manuales!$H$32="Todos",datos_base!$H$11,0))*parametros_manuales!$M$107+parametros_manuales!$G$32*(datos_base!$H$5+IF(parametros_manuales!$H$32="Todos",datos_base!$H$12,0))*parametros_manuales!$M$112)*parametros_manuales!$I$32*parametros_manuales!$J$32</f>
        <v>309.573</v>
      </c>
      <c r="N183" s="8">
        <f t="shared" si="19"/>
        <v>3439.7</v>
      </c>
      <c r="O183" s="8">
        <f t="shared" si="20"/>
        <v>309.573</v>
      </c>
      <c r="P183" s="27">
        <f>O183/(parametros_manuales!$B$7)</f>
        <v>2.06382</v>
      </c>
      <c r="Q183" s="4" t="str">
        <f t="shared" si="21"/>
        <v>Ene</v>
      </c>
      <c r="R183" s="16"/>
      <c r="S183" s="16"/>
    </row>
    <row r="184" ht="14.25" customHeight="1">
      <c r="A184" s="4" t="str">
        <f>parametros_manuales!$B$33</f>
        <v>Prueba hidráulica</v>
      </c>
      <c r="B184" s="8">
        <f>(parametros_manuales!$D$33*(datos_base!$H$2+IF(parametros_manuales!$H$33="Todos",datos_base!$H$9,0))*parametros_manuales!$B$97+parametros_manuales!$E$33*(datos_base!$H$3+IF(parametros_manuales!$H$33="Todos",datos_base!$H$10,0))*parametros_manuales!$B$102+parametros_manuales!$F$33*(datos_base!$H$4+IF(parametros_manuales!$H$33="Todos",datos_base!$H$11,0))*parametros_manuales!$B$107+parametros_manuales!$G$33*(datos_base!$H$5+IF(parametros_manuales!$H$33="Todos",datos_base!$H$12,0))*parametros_manuales!$B$112)*parametros_manuales!$I$33*parametros_manuales!$J$33</f>
        <v>15478.65</v>
      </c>
      <c r="C184" s="8">
        <f>(parametros_manuales!$D$33*(datos_base!$H$2+IF(parametros_manuales!$H$33="Todos",datos_base!$H$9,0))*parametros_manuales!$C$97+parametros_manuales!$E$33*(datos_base!$H$3+IF(parametros_manuales!$H$33="Todos",datos_base!$H$10,0))*parametros_manuales!$C$102+parametros_manuales!$F$33*(datos_base!$H$4+IF(parametros_manuales!$H$33="Todos",datos_base!$H$11,0))*parametros_manuales!$C$107+parametros_manuales!$G$33*(datos_base!$H$5+IF(parametros_manuales!$H$33="Todos",datos_base!$H$12,0))*parametros_manuales!$C$112)*parametros_manuales!$I$33*parametros_manuales!$J$33</f>
        <v>14975.54</v>
      </c>
      <c r="D184" s="8">
        <f>(parametros_manuales!$D$33*(datos_base!$H$2+IF(parametros_manuales!$H$33="Todos",datos_base!$H$9,0))*parametros_manuales!$D$97+parametros_manuales!$E$33*(datos_base!$H$3+IF(parametros_manuales!$H$33="Todos",datos_base!$H$10,0))*parametros_manuales!$D$102+parametros_manuales!$F$33*(datos_base!$H$4+IF(parametros_manuales!$H$33="Todos",datos_base!$H$11,0))*parametros_manuales!$D$107+parametros_manuales!$G$33*(datos_base!$H$5+IF(parametros_manuales!$H$33="Todos",datos_base!$H$12,0))*parametros_manuales!$D$112)*parametros_manuales!$I$33*parametros_manuales!$J$33</f>
        <v>14010.355</v>
      </c>
      <c r="E184" s="8">
        <f>(parametros_manuales!$D$33*(datos_base!$H$2+IF(parametros_manuales!$H$33="Todos",datos_base!$H$9,0))*parametros_manuales!$E$97+parametros_manuales!$E$33*(datos_base!$H$3+IF(parametros_manuales!$H$33="Todos",datos_base!$H$10,0))*parametros_manuales!$E$102+parametros_manuales!$F$33*(datos_base!$H$4+IF(parametros_manuales!$H$33="Todos",datos_base!$H$11,0))*parametros_manuales!$E$107+parametros_manuales!$G$33*(datos_base!$H$5+IF(parametros_manuales!$H$33="Todos",datos_base!$H$12,0))*parametros_manuales!$E$112)*parametros_manuales!$I$33*parametros_manuales!$J$33</f>
        <v>13401.985</v>
      </c>
      <c r="F184" s="8">
        <f>(parametros_manuales!$D$33*(datos_base!$H$2+IF(parametros_manuales!$H$33="Todos",datos_base!$H$9,0))*parametros_manuales!$F$97+parametros_manuales!$E$33*(datos_base!$H$3+IF(parametros_manuales!$H$33="Todos",datos_base!$H$10,0))*parametros_manuales!$F$102+parametros_manuales!$F$33*(datos_base!$H$4+IF(parametros_manuales!$H$33="Todos",datos_base!$H$11,0))*parametros_manuales!$F$107+parametros_manuales!$G$33*(datos_base!$H$5+IF(parametros_manuales!$H$33="Todos",datos_base!$H$12,0))*parametros_manuales!$F$112)*parametros_manuales!$I$33*parametros_manuales!$J$33</f>
        <v>12542.06</v>
      </c>
      <c r="G184" s="8">
        <f>(parametros_manuales!$D$33*(datos_base!$H$2+IF(parametros_manuales!$H$33="Todos",datos_base!$H$9,0))*parametros_manuales!$G$97+parametros_manuales!$E$33*(datos_base!$H$3+IF(parametros_manuales!$H$33="Todos",datos_base!$H$10,0))*parametros_manuales!$G$102+parametros_manuales!$F$33*(datos_base!$H$4+IF(parametros_manuales!$H$33="Todos",datos_base!$H$11,0))*parametros_manuales!$G$107+parametros_manuales!$G$33*(datos_base!$H$5+IF(parametros_manuales!$H$33="Todos",datos_base!$H$12,0))*parametros_manuales!$G$112)*parametros_manuales!$I$33*parametros_manuales!$J$33</f>
        <v>12290.505</v>
      </c>
      <c r="H184" s="8">
        <f>(parametros_manuales!$D$33*(datos_base!$H$2+IF(parametros_manuales!$H$33="Todos",datos_base!$H$9,0))*parametros_manuales!$H$97+parametros_manuales!$E$33*(datos_base!$H$3+IF(parametros_manuales!$H$33="Todos",datos_base!$H$10,0))*parametros_manuales!$H$102+parametros_manuales!$F$33*(datos_base!$H$4+IF(parametros_manuales!$H$33="Todos",datos_base!$H$11,0))*parametros_manuales!$H$107+parametros_manuales!$G$33*(datos_base!$H$5+IF(parametros_manuales!$H$33="Todos",datos_base!$H$12,0))*parametros_manuales!$H$112)*parametros_manuales!$I$33*parametros_manuales!$J$33</f>
        <v>13150.43</v>
      </c>
      <c r="I184" s="8">
        <f>(parametros_manuales!$D$33*(datos_base!$H$2+IF(parametros_manuales!$H$33="Todos",datos_base!$H$9,0))*parametros_manuales!$I$97+parametros_manuales!$E$33*(datos_base!$H$3+IF(parametros_manuales!$H$33="Todos",datos_base!$H$10,0))*parametros_manuales!$I$102+parametros_manuales!$F$33*(datos_base!$H$4+IF(parametros_manuales!$H$33="Todos",datos_base!$H$11,0))*parametros_manuales!$I$107+parametros_manuales!$G$33*(datos_base!$H$5+IF(parametros_manuales!$H$33="Todos",datos_base!$H$12,0))*parametros_manuales!$I$112)*parametros_manuales!$I$33*parametros_manuales!$J$33</f>
        <v>14975.54</v>
      </c>
      <c r="J184" s="8">
        <f>(parametros_manuales!$D$33*(datos_base!$H$2+IF(parametros_manuales!$H$33="Todos",datos_base!$H$9,0))*parametros_manuales!$J$97+parametros_manuales!$E$33*(datos_base!$H$3+IF(parametros_manuales!$H$33="Todos",datos_base!$H$10,0))*parametros_manuales!$J$102+parametros_manuales!$F$33*(datos_base!$H$4+IF(parametros_manuales!$H$33="Todos",datos_base!$H$11,0))*parametros_manuales!$J$107+parametros_manuales!$G$33*(datos_base!$H$5+IF(parametros_manuales!$H$33="Todos",datos_base!$H$12,0))*parametros_manuales!$J$112)*parametros_manuales!$I$33*parametros_manuales!$J$33</f>
        <v>14975.54</v>
      </c>
      <c r="K184" s="8">
        <f>(parametros_manuales!$D$33*(datos_base!$H$2+IF(parametros_manuales!$H$33="Todos",datos_base!$H$9,0))*parametros_manuales!$K$97+parametros_manuales!$E$33*(datos_base!$H$3+IF(parametros_manuales!$H$33="Todos",datos_base!$H$10,0))*parametros_manuales!$K$102+parametros_manuales!$F$33*(datos_base!$H$4+IF(parametros_manuales!$H$33="Todos",datos_base!$H$11,0))*parametros_manuales!$K$107+parametros_manuales!$G$33*(datos_base!$H$5+IF(parametros_manuales!$H$33="Todos",datos_base!$H$12,0))*parametros_manuales!$K$112)*parametros_manuales!$I$33*parametros_manuales!$J$33</f>
        <v>15227.095</v>
      </c>
      <c r="L184" s="8">
        <f>(parametros_manuales!$D$33*(datos_base!$H$2+IF(parametros_manuales!$H$33="Todos",datos_base!$H$9,0))*parametros_manuales!$L$97+parametros_manuales!$E$33*(datos_base!$H$3+IF(parametros_manuales!$H$33="Todos",datos_base!$H$10,0))*parametros_manuales!$L$102+parametros_manuales!$F$33*(datos_base!$H$4+IF(parametros_manuales!$H$33="Todos",datos_base!$H$11,0))*parametros_manuales!$L$107+parametros_manuales!$G$33*(datos_base!$H$5+IF(parametros_manuales!$H$33="Todos",datos_base!$H$12,0))*parametros_manuales!$L$112)*parametros_manuales!$I$33*parametros_manuales!$J$33</f>
        <v>15478.65</v>
      </c>
      <c r="M184" s="8">
        <f>(parametros_manuales!$D$33*(datos_base!$H$2+IF(parametros_manuales!$H$33="Todos",datos_base!$H$9,0))*parametros_manuales!$M$97+parametros_manuales!$E$33*(datos_base!$H$3+IF(parametros_manuales!$H$33="Todos",datos_base!$H$10,0))*parametros_manuales!$M$102+parametros_manuales!$F$33*(datos_base!$H$4+IF(parametros_manuales!$H$33="Todos",datos_base!$H$11,0))*parametros_manuales!$M$107+parametros_manuales!$G$33*(datos_base!$H$5+IF(parametros_manuales!$H$33="Todos",datos_base!$H$12,0))*parametros_manuales!$M$112)*parametros_manuales!$I$33*parametros_manuales!$J$33</f>
        <v>15478.65</v>
      </c>
      <c r="N184" s="8">
        <f t="shared" si="19"/>
        <v>171985</v>
      </c>
      <c r="O184" s="8">
        <f t="shared" si="20"/>
        <v>15478.65</v>
      </c>
      <c r="P184" s="27">
        <f>O184/(parametros_manuales!$B$7)</f>
        <v>103.191</v>
      </c>
      <c r="Q184" s="4" t="str">
        <f t="shared" si="21"/>
        <v>Ene</v>
      </c>
      <c r="R184" s="16"/>
      <c r="S184" s="16"/>
    </row>
    <row r="185" ht="14.25" customHeight="1">
      <c r="A185" s="4" t="str">
        <f>parametros_manuales!$B$34</f>
        <v>Secado</v>
      </c>
      <c r="B185" s="8">
        <f>(parametros_manuales!$D$34*(datos_base!$H$2+IF(parametros_manuales!$H$34="Todos",datos_base!$H$9,0))*parametros_manuales!$B$97+parametros_manuales!$E$34*(datos_base!$H$3+IF(parametros_manuales!$H$34="Todos",datos_base!$H$10,0))*parametros_manuales!$B$102+parametros_manuales!$F$34*(datos_base!$H$4+IF(parametros_manuales!$H$34="Todos",datos_base!$H$11,0))*parametros_manuales!$B$107+parametros_manuales!$G$34*(datos_base!$H$5+IF(parametros_manuales!$H$34="Todos",datos_base!$H$12,0))*parametros_manuales!$B$112)*parametros_manuales!$I$34*parametros_manuales!$J$34</f>
        <v>15478.65</v>
      </c>
      <c r="C185" s="8">
        <f>(parametros_manuales!$D$34*(datos_base!$H$2+IF(parametros_manuales!$H$34="Todos",datos_base!$H$9,0))*parametros_manuales!$C$97+parametros_manuales!$E$34*(datos_base!$H$3+IF(parametros_manuales!$H$34="Todos",datos_base!$H$10,0))*parametros_manuales!$C$102+parametros_manuales!$F$34*(datos_base!$H$4+IF(parametros_manuales!$H$34="Todos",datos_base!$H$11,0))*parametros_manuales!$C$107+parametros_manuales!$G$34*(datos_base!$H$5+IF(parametros_manuales!$H$34="Todos",datos_base!$H$12,0))*parametros_manuales!$C$112)*parametros_manuales!$I$34*parametros_manuales!$J$34</f>
        <v>14975.54</v>
      </c>
      <c r="D185" s="8">
        <f>(parametros_manuales!$D$34*(datos_base!$H$2+IF(parametros_manuales!$H$34="Todos",datos_base!$H$9,0))*parametros_manuales!$D$97+parametros_manuales!$E$34*(datos_base!$H$3+IF(parametros_manuales!$H$34="Todos",datos_base!$H$10,0))*parametros_manuales!$D$102+parametros_manuales!$F$34*(datos_base!$H$4+IF(parametros_manuales!$H$34="Todos",datos_base!$H$11,0))*parametros_manuales!$D$107+parametros_manuales!$G$34*(datos_base!$H$5+IF(parametros_manuales!$H$34="Todos",datos_base!$H$12,0))*parametros_manuales!$D$112)*parametros_manuales!$I$34*parametros_manuales!$J$34</f>
        <v>14010.355</v>
      </c>
      <c r="E185" s="8">
        <f>(parametros_manuales!$D$34*(datos_base!$H$2+IF(parametros_manuales!$H$34="Todos",datos_base!$H$9,0))*parametros_manuales!$E$97+parametros_manuales!$E$34*(datos_base!$H$3+IF(parametros_manuales!$H$34="Todos",datos_base!$H$10,0))*parametros_manuales!$E$102+parametros_manuales!$F$34*(datos_base!$H$4+IF(parametros_manuales!$H$34="Todos",datos_base!$H$11,0))*parametros_manuales!$E$107+parametros_manuales!$G$34*(datos_base!$H$5+IF(parametros_manuales!$H$34="Todos",datos_base!$H$12,0))*parametros_manuales!$E$112)*parametros_manuales!$I$34*parametros_manuales!$J$34</f>
        <v>13401.985</v>
      </c>
      <c r="F185" s="8">
        <f>(parametros_manuales!$D$34*(datos_base!$H$2+IF(parametros_manuales!$H$34="Todos",datos_base!$H$9,0))*parametros_manuales!$F$97+parametros_manuales!$E$34*(datos_base!$H$3+IF(parametros_manuales!$H$34="Todos",datos_base!$H$10,0))*parametros_manuales!$F$102+parametros_manuales!$F$34*(datos_base!$H$4+IF(parametros_manuales!$H$34="Todos",datos_base!$H$11,0))*parametros_manuales!$F$107+parametros_manuales!$G$34*(datos_base!$H$5+IF(parametros_manuales!$H$34="Todos",datos_base!$H$12,0))*parametros_manuales!$F$112)*parametros_manuales!$I$34*parametros_manuales!$J$34</f>
        <v>12542.06</v>
      </c>
      <c r="G185" s="8">
        <f>(parametros_manuales!$D$34*(datos_base!$H$2+IF(parametros_manuales!$H$34="Todos",datos_base!$H$9,0))*parametros_manuales!$G$97+parametros_manuales!$E$34*(datos_base!$H$3+IF(parametros_manuales!$H$34="Todos",datos_base!$H$10,0))*parametros_manuales!$G$102+parametros_manuales!$F$34*(datos_base!$H$4+IF(parametros_manuales!$H$34="Todos",datos_base!$H$11,0))*parametros_manuales!$G$107+parametros_manuales!$G$34*(datos_base!$H$5+IF(parametros_manuales!$H$34="Todos",datos_base!$H$12,0))*parametros_manuales!$G$112)*parametros_manuales!$I$34*parametros_manuales!$J$34</f>
        <v>12290.505</v>
      </c>
      <c r="H185" s="8">
        <f>(parametros_manuales!$D$34*(datos_base!$H$2+IF(parametros_manuales!$H$34="Todos",datos_base!$H$9,0))*parametros_manuales!$H$97+parametros_manuales!$E$34*(datos_base!$H$3+IF(parametros_manuales!$H$34="Todos",datos_base!$H$10,0))*parametros_manuales!$H$102+parametros_manuales!$F$34*(datos_base!$H$4+IF(parametros_manuales!$H$34="Todos",datos_base!$H$11,0))*parametros_manuales!$H$107+parametros_manuales!$G$34*(datos_base!$H$5+IF(parametros_manuales!$H$34="Todos",datos_base!$H$12,0))*parametros_manuales!$H$112)*parametros_manuales!$I$34*parametros_manuales!$J$34</f>
        <v>13150.43</v>
      </c>
      <c r="I185" s="8">
        <f>(parametros_manuales!$D$34*(datos_base!$H$2+IF(parametros_manuales!$H$34="Todos",datos_base!$H$9,0))*parametros_manuales!$I$97+parametros_manuales!$E$34*(datos_base!$H$3+IF(parametros_manuales!$H$34="Todos",datos_base!$H$10,0))*parametros_manuales!$I$102+parametros_manuales!$F$34*(datos_base!$H$4+IF(parametros_manuales!$H$34="Todos",datos_base!$H$11,0))*parametros_manuales!$I$107+parametros_manuales!$G$34*(datos_base!$H$5+IF(parametros_manuales!$H$34="Todos",datos_base!$H$12,0))*parametros_manuales!$I$112)*parametros_manuales!$I$34*parametros_manuales!$J$34</f>
        <v>14975.54</v>
      </c>
      <c r="J185" s="8">
        <f>(parametros_manuales!$D$34*(datos_base!$H$2+IF(parametros_manuales!$H$34="Todos",datos_base!$H$9,0))*parametros_manuales!$J$97+parametros_manuales!$E$34*(datos_base!$H$3+IF(parametros_manuales!$H$34="Todos",datos_base!$H$10,0))*parametros_manuales!$J$102+parametros_manuales!$F$34*(datos_base!$H$4+IF(parametros_manuales!$H$34="Todos",datos_base!$H$11,0))*parametros_manuales!$J$107+parametros_manuales!$G$34*(datos_base!$H$5+IF(parametros_manuales!$H$34="Todos",datos_base!$H$12,0))*parametros_manuales!$J$112)*parametros_manuales!$I$34*parametros_manuales!$J$34</f>
        <v>14975.54</v>
      </c>
      <c r="K185" s="8">
        <f>(parametros_manuales!$D$34*(datos_base!$H$2+IF(parametros_manuales!$H$34="Todos",datos_base!$H$9,0))*parametros_manuales!$K$97+parametros_manuales!$E$34*(datos_base!$H$3+IF(parametros_manuales!$H$34="Todos",datos_base!$H$10,0))*parametros_manuales!$K$102+parametros_manuales!$F$34*(datos_base!$H$4+IF(parametros_manuales!$H$34="Todos",datos_base!$H$11,0))*parametros_manuales!$K$107+parametros_manuales!$G$34*(datos_base!$H$5+IF(parametros_manuales!$H$34="Todos",datos_base!$H$12,0))*parametros_manuales!$K$112)*parametros_manuales!$I$34*parametros_manuales!$J$34</f>
        <v>15227.095</v>
      </c>
      <c r="L185" s="8">
        <f>(parametros_manuales!$D$34*(datos_base!$H$2+IF(parametros_manuales!$H$34="Todos",datos_base!$H$9,0))*parametros_manuales!$L$97+parametros_manuales!$E$34*(datos_base!$H$3+IF(parametros_manuales!$H$34="Todos",datos_base!$H$10,0))*parametros_manuales!$L$102+parametros_manuales!$F$34*(datos_base!$H$4+IF(parametros_manuales!$H$34="Todos",datos_base!$H$11,0))*parametros_manuales!$L$107+parametros_manuales!$G$34*(datos_base!$H$5+IF(parametros_manuales!$H$34="Todos",datos_base!$H$12,0))*parametros_manuales!$L$112)*parametros_manuales!$I$34*parametros_manuales!$J$34</f>
        <v>15478.65</v>
      </c>
      <c r="M185" s="8">
        <f>(parametros_manuales!$D$34*(datos_base!$H$2+IF(parametros_manuales!$H$34="Todos",datos_base!$H$9,0))*parametros_manuales!$M$97+parametros_manuales!$E$34*(datos_base!$H$3+IF(parametros_manuales!$H$34="Todos",datos_base!$H$10,0))*parametros_manuales!$M$102+parametros_manuales!$F$34*(datos_base!$H$4+IF(parametros_manuales!$H$34="Todos",datos_base!$H$11,0))*parametros_manuales!$M$107+parametros_manuales!$G$34*(datos_base!$H$5+IF(parametros_manuales!$H$34="Todos",datos_base!$H$12,0))*parametros_manuales!$M$112)*parametros_manuales!$I$34*parametros_manuales!$J$34</f>
        <v>15478.65</v>
      </c>
      <c r="N185" s="8">
        <f t="shared" si="19"/>
        <v>171985</v>
      </c>
      <c r="O185" s="8">
        <f t="shared" si="20"/>
        <v>15478.65</v>
      </c>
      <c r="P185" s="27">
        <f>O185/(parametros_manuales!$B$7)</f>
        <v>103.191</v>
      </c>
      <c r="Q185" s="4" t="str">
        <f t="shared" si="21"/>
        <v>Ene</v>
      </c>
      <c r="R185" s="16"/>
      <c r="S185" s="16"/>
    </row>
    <row r="186" ht="14.25" customHeight="1">
      <c r="A186" s="4" t="str">
        <f>parametros_manuales!$B$35</f>
        <v>Granallado</v>
      </c>
      <c r="B186" s="8">
        <f>(parametros_manuales!$D$35*(datos_base!$H$2+IF(parametros_manuales!$H$35="Todos",datos_base!$H$9,0))*parametros_manuales!$B$97+parametros_manuales!$E$35*(datos_base!$H$3+IF(parametros_manuales!$H$35="Todos",datos_base!$H$10,0))*parametros_manuales!$B$102+parametros_manuales!$F$35*(datos_base!$H$4+IF(parametros_manuales!$H$35="Todos",datos_base!$H$11,0))*parametros_manuales!$B$107+parametros_manuales!$G$35*(datos_base!$H$5+IF(parametros_manuales!$H$35="Todos",datos_base!$H$12,0))*parametros_manuales!$B$112)*parametros_manuales!$I$35*parametros_manuales!$J$35</f>
        <v>15478.65</v>
      </c>
      <c r="C186" s="8">
        <f>(parametros_manuales!$D$35*(datos_base!$H$2+IF(parametros_manuales!$H$35="Todos",datos_base!$H$9,0))*parametros_manuales!$C$97+parametros_manuales!$E$35*(datos_base!$H$3+IF(parametros_manuales!$H$35="Todos",datos_base!$H$10,0))*parametros_manuales!$C$102+parametros_manuales!$F$35*(datos_base!$H$4+IF(parametros_manuales!$H$35="Todos",datos_base!$H$11,0))*parametros_manuales!$C$107+parametros_manuales!$G$35*(datos_base!$H$5+IF(parametros_manuales!$H$35="Todos",datos_base!$H$12,0))*parametros_manuales!$C$112)*parametros_manuales!$I$35*parametros_manuales!$J$35</f>
        <v>14975.54</v>
      </c>
      <c r="D186" s="8">
        <f>(parametros_manuales!$D$35*(datos_base!$H$2+IF(parametros_manuales!$H$35="Todos",datos_base!$H$9,0))*parametros_manuales!$D$97+parametros_manuales!$E$35*(datos_base!$H$3+IF(parametros_manuales!$H$35="Todos",datos_base!$H$10,0))*parametros_manuales!$D$102+parametros_manuales!$F$35*(datos_base!$H$4+IF(parametros_manuales!$H$35="Todos",datos_base!$H$11,0))*parametros_manuales!$D$107+parametros_manuales!$G$35*(datos_base!$H$5+IF(parametros_manuales!$H$35="Todos",datos_base!$H$12,0))*parametros_manuales!$D$112)*parametros_manuales!$I$35*parametros_manuales!$J$35</f>
        <v>14010.355</v>
      </c>
      <c r="E186" s="8">
        <f>(parametros_manuales!$D$35*(datos_base!$H$2+IF(parametros_manuales!$H$35="Todos",datos_base!$H$9,0))*parametros_manuales!$E$97+parametros_manuales!$E$35*(datos_base!$H$3+IF(parametros_manuales!$H$35="Todos",datos_base!$H$10,0))*parametros_manuales!$E$102+parametros_manuales!$F$35*(datos_base!$H$4+IF(parametros_manuales!$H$35="Todos",datos_base!$H$11,0))*parametros_manuales!$E$107+parametros_manuales!$G$35*(datos_base!$H$5+IF(parametros_manuales!$H$35="Todos",datos_base!$H$12,0))*parametros_manuales!$E$112)*parametros_manuales!$I$35*parametros_manuales!$J$35</f>
        <v>13401.985</v>
      </c>
      <c r="F186" s="8">
        <f>(parametros_manuales!$D$35*(datos_base!$H$2+IF(parametros_manuales!$H$35="Todos",datos_base!$H$9,0))*parametros_manuales!$F$97+parametros_manuales!$E$35*(datos_base!$H$3+IF(parametros_manuales!$H$35="Todos",datos_base!$H$10,0))*parametros_manuales!$F$102+parametros_manuales!$F$35*(datos_base!$H$4+IF(parametros_manuales!$H$35="Todos",datos_base!$H$11,0))*parametros_manuales!$F$107+parametros_manuales!$G$35*(datos_base!$H$5+IF(parametros_manuales!$H$35="Todos",datos_base!$H$12,0))*parametros_manuales!$F$112)*parametros_manuales!$I$35*parametros_manuales!$J$35</f>
        <v>12542.06</v>
      </c>
      <c r="G186" s="8">
        <f>(parametros_manuales!$D$35*(datos_base!$H$2+IF(parametros_manuales!$H$35="Todos",datos_base!$H$9,0))*parametros_manuales!$G$97+parametros_manuales!$E$35*(datos_base!$H$3+IF(parametros_manuales!$H$35="Todos",datos_base!$H$10,0))*parametros_manuales!$G$102+parametros_manuales!$F$35*(datos_base!$H$4+IF(parametros_manuales!$H$35="Todos",datos_base!$H$11,0))*parametros_manuales!$G$107+parametros_manuales!$G$35*(datos_base!$H$5+IF(parametros_manuales!$H$35="Todos",datos_base!$H$12,0))*parametros_manuales!$G$112)*parametros_manuales!$I$35*parametros_manuales!$J$35</f>
        <v>12290.505</v>
      </c>
      <c r="H186" s="8">
        <f>(parametros_manuales!$D$35*(datos_base!$H$2+IF(parametros_manuales!$H$35="Todos",datos_base!$H$9,0))*parametros_manuales!$H$97+parametros_manuales!$E$35*(datos_base!$H$3+IF(parametros_manuales!$H$35="Todos",datos_base!$H$10,0))*parametros_manuales!$H$102+parametros_manuales!$F$35*(datos_base!$H$4+IF(parametros_manuales!$H$35="Todos",datos_base!$H$11,0))*parametros_manuales!$H$107+parametros_manuales!$G$35*(datos_base!$H$5+IF(parametros_manuales!$H$35="Todos",datos_base!$H$12,0))*parametros_manuales!$H$112)*parametros_manuales!$I$35*parametros_manuales!$J$35</f>
        <v>13150.43</v>
      </c>
      <c r="I186" s="8">
        <f>(parametros_manuales!$D$35*(datos_base!$H$2+IF(parametros_manuales!$H$35="Todos",datos_base!$H$9,0))*parametros_manuales!$I$97+parametros_manuales!$E$35*(datos_base!$H$3+IF(parametros_manuales!$H$35="Todos",datos_base!$H$10,0))*parametros_manuales!$I$102+parametros_manuales!$F$35*(datos_base!$H$4+IF(parametros_manuales!$H$35="Todos",datos_base!$H$11,0))*parametros_manuales!$I$107+parametros_manuales!$G$35*(datos_base!$H$5+IF(parametros_manuales!$H$35="Todos",datos_base!$H$12,0))*parametros_manuales!$I$112)*parametros_manuales!$I$35*parametros_manuales!$J$35</f>
        <v>14975.54</v>
      </c>
      <c r="J186" s="8">
        <f>(parametros_manuales!$D$35*(datos_base!$H$2+IF(parametros_manuales!$H$35="Todos",datos_base!$H$9,0))*parametros_manuales!$J$97+parametros_manuales!$E$35*(datos_base!$H$3+IF(parametros_manuales!$H$35="Todos",datos_base!$H$10,0))*parametros_manuales!$J$102+parametros_manuales!$F$35*(datos_base!$H$4+IF(parametros_manuales!$H$35="Todos",datos_base!$H$11,0))*parametros_manuales!$J$107+parametros_manuales!$G$35*(datos_base!$H$5+IF(parametros_manuales!$H$35="Todos",datos_base!$H$12,0))*parametros_manuales!$J$112)*parametros_manuales!$I$35*parametros_manuales!$J$35</f>
        <v>14975.54</v>
      </c>
      <c r="K186" s="8">
        <f>(parametros_manuales!$D$35*(datos_base!$H$2+IF(parametros_manuales!$H$35="Todos",datos_base!$H$9,0))*parametros_manuales!$K$97+parametros_manuales!$E$35*(datos_base!$H$3+IF(parametros_manuales!$H$35="Todos",datos_base!$H$10,0))*parametros_manuales!$K$102+parametros_manuales!$F$35*(datos_base!$H$4+IF(parametros_manuales!$H$35="Todos",datos_base!$H$11,0))*parametros_manuales!$K$107+parametros_manuales!$G$35*(datos_base!$H$5+IF(parametros_manuales!$H$35="Todos",datos_base!$H$12,0))*parametros_manuales!$K$112)*parametros_manuales!$I$35*parametros_manuales!$J$35</f>
        <v>15227.095</v>
      </c>
      <c r="L186" s="8">
        <f>(parametros_manuales!$D$35*(datos_base!$H$2+IF(parametros_manuales!$H$35="Todos",datos_base!$H$9,0))*parametros_manuales!$L$97+parametros_manuales!$E$35*(datos_base!$H$3+IF(parametros_manuales!$H$35="Todos",datos_base!$H$10,0))*parametros_manuales!$L$102+parametros_manuales!$F$35*(datos_base!$H$4+IF(parametros_manuales!$H$35="Todos",datos_base!$H$11,0))*parametros_manuales!$L$107+parametros_manuales!$G$35*(datos_base!$H$5+IF(parametros_manuales!$H$35="Todos",datos_base!$H$12,0))*parametros_manuales!$L$112)*parametros_manuales!$I$35*parametros_manuales!$J$35</f>
        <v>15478.65</v>
      </c>
      <c r="M186" s="8">
        <f>(parametros_manuales!$D$35*(datos_base!$H$2+IF(parametros_manuales!$H$35="Todos",datos_base!$H$9,0))*parametros_manuales!$M$97+parametros_manuales!$E$35*(datos_base!$H$3+IF(parametros_manuales!$H$35="Todos",datos_base!$H$10,0))*parametros_manuales!$M$102+parametros_manuales!$F$35*(datos_base!$H$4+IF(parametros_manuales!$H$35="Todos",datos_base!$H$11,0))*parametros_manuales!$M$107+parametros_manuales!$G$35*(datos_base!$H$5+IF(parametros_manuales!$H$35="Todos",datos_base!$H$12,0))*parametros_manuales!$M$112)*parametros_manuales!$I$35*parametros_manuales!$J$35</f>
        <v>15478.65</v>
      </c>
      <c r="N186" s="8">
        <f t="shared" si="19"/>
        <v>171985</v>
      </c>
      <c r="O186" s="8">
        <f t="shared" si="20"/>
        <v>15478.65</v>
      </c>
      <c r="P186" s="27">
        <f>O186/(parametros_manuales!$B$7)</f>
        <v>103.191</v>
      </c>
      <c r="Q186" s="4" t="str">
        <f t="shared" si="21"/>
        <v>Ene</v>
      </c>
      <c r="R186" s="16"/>
      <c r="S186" s="16"/>
    </row>
    <row r="187" ht="14.25" customHeight="1">
      <c r="A187" s="4" t="str">
        <f>parametros_manuales!$B$36</f>
        <v>Detección de defectos</v>
      </c>
      <c r="B187" s="8">
        <f>(parametros_manuales!$D$36*(datos_base!$H$2+IF(parametros_manuales!$H$36="Todos",datos_base!$H$9,0))*parametros_manuales!$B$97+parametros_manuales!$E$36*(datos_base!$H$3+IF(parametros_manuales!$H$36="Todos",datos_base!$H$10,0))*parametros_manuales!$B$102+parametros_manuales!$F$36*(datos_base!$H$4+IF(parametros_manuales!$H$36="Todos",datos_base!$H$11,0))*parametros_manuales!$B$107+parametros_manuales!$G$36*(datos_base!$H$5+IF(parametros_manuales!$H$36="Todos",datos_base!$H$12,0))*parametros_manuales!$B$112)*parametros_manuales!$I$36*parametros_manuales!$J$36</f>
        <v>15478.65</v>
      </c>
      <c r="C187" s="8">
        <f>(parametros_manuales!$D$36*(datos_base!$H$2+IF(parametros_manuales!$H$36="Todos",datos_base!$H$9,0))*parametros_manuales!$C$97+parametros_manuales!$E$36*(datos_base!$H$3+IF(parametros_manuales!$H$36="Todos",datos_base!$H$10,0))*parametros_manuales!$C$102+parametros_manuales!$F$36*(datos_base!$H$4+IF(parametros_manuales!$H$36="Todos",datos_base!$H$11,0))*parametros_manuales!$C$107+parametros_manuales!$G$36*(datos_base!$H$5+IF(parametros_manuales!$H$36="Todos",datos_base!$H$12,0))*parametros_manuales!$C$112)*parametros_manuales!$I$36*parametros_manuales!$J$36</f>
        <v>14975.54</v>
      </c>
      <c r="D187" s="8">
        <f>(parametros_manuales!$D$36*(datos_base!$H$2+IF(parametros_manuales!$H$36="Todos",datos_base!$H$9,0))*parametros_manuales!$D$97+parametros_manuales!$E$36*(datos_base!$H$3+IF(parametros_manuales!$H$36="Todos",datos_base!$H$10,0))*parametros_manuales!$D$102+parametros_manuales!$F$36*(datos_base!$H$4+IF(parametros_manuales!$H$36="Todos",datos_base!$H$11,0))*parametros_manuales!$D$107+parametros_manuales!$G$36*(datos_base!$H$5+IF(parametros_manuales!$H$36="Todos",datos_base!$H$12,0))*parametros_manuales!$D$112)*parametros_manuales!$I$36*parametros_manuales!$J$36</f>
        <v>14010.355</v>
      </c>
      <c r="E187" s="8">
        <f>(parametros_manuales!$D$36*(datos_base!$H$2+IF(parametros_manuales!$H$36="Todos",datos_base!$H$9,0))*parametros_manuales!$E$97+parametros_manuales!$E$36*(datos_base!$H$3+IF(parametros_manuales!$H$36="Todos",datos_base!$H$10,0))*parametros_manuales!$E$102+parametros_manuales!$F$36*(datos_base!$H$4+IF(parametros_manuales!$H$36="Todos",datos_base!$H$11,0))*parametros_manuales!$E$107+parametros_manuales!$G$36*(datos_base!$H$5+IF(parametros_manuales!$H$36="Todos",datos_base!$H$12,0))*parametros_manuales!$E$112)*parametros_manuales!$I$36*parametros_manuales!$J$36</f>
        <v>13401.985</v>
      </c>
      <c r="F187" s="8">
        <f>(parametros_manuales!$D$36*(datos_base!$H$2+IF(parametros_manuales!$H$36="Todos",datos_base!$H$9,0))*parametros_manuales!$F$97+parametros_manuales!$E$36*(datos_base!$H$3+IF(parametros_manuales!$H$36="Todos",datos_base!$H$10,0))*parametros_manuales!$F$102+parametros_manuales!$F$36*(datos_base!$H$4+IF(parametros_manuales!$H$36="Todos",datos_base!$H$11,0))*parametros_manuales!$F$107+parametros_manuales!$G$36*(datos_base!$H$5+IF(parametros_manuales!$H$36="Todos",datos_base!$H$12,0))*parametros_manuales!$F$112)*parametros_manuales!$I$36*parametros_manuales!$J$36</f>
        <v>12542.06</v>
      </c>
      <c r="G187" s="8">
        <f>(parametros_manuales!$D$36*(datos_base!$H$2+IF(parametros_manuales!$H$36="Todos",datos_base!$H$9,0))*parametros_manuales!$G$97+parametros_manuales!$E$36*(datos_base!$H$3+IF(parametros_manuales!$H$36="Todos",datos_base!$H$10,0))*parametros_manuales!$G$102+parametros_manuales!$F$36*(datos_base!$H$4+IF(parametros_manuales!$H$36="Todos",datos_base!$H$11,0))*parametros_manuales!$G$107+parametros_manuales!$G$36*(datos_base!$H$5+IF(parametros_manuales!$H$36="Todos",datos_base!$H$12,0))*parametros_manuales!$G$112)*parametros_manuales!$I$36*parametros_manuales!$J$36</f>
        <v>12290.505</v>
      </c>
      <c r="H187" s="8">
        <f>(parametros_manuales!$D$36*(datos_base!$H$2+IF(parametros_manuales!$H$36="Todos",datos_base!$H$9,0))*parametros_manuales!$H$97+parametros_manuales!$E$36*(datos_base!$H$3+IF(parametros_manuales!$H$36="Todos",datos_base!$H$10,0))*parametros_manuales!$H$102+parametros_manuales!$F$36*(datos_base!$H$4+IF(parametros_manuales!$H$36="Todos",datos_base!$H$11,0))*parametros_manuales!$H$107+parametros_manuales!$G$36*(datos_base!$H$5+IF(parametros_manuales!$H$36="Todos",datos_base!$H$12,0))*parametros_manuales!$H$112)*parametros_manuales!$I$36*parametros_manuales!$J$36</f>
        <v>13150.43</v>
      </c>
      <c r="I187" s="8">
        <f>(parametros_manuales!$D$36*(datos_base!$H$2+IF(parametros_manuales!$H$36="Todos",datos_base!$H$9,0))*parametros_manuales!$I$97+parametros_manuales!$E$36*(datos_base!$H$3+IF(parametros_manuales!$H$36="Todos",datos_base!$H$10,0))*parametros_manuales!$I$102+parametros_manuales!$F$36*(datos_base!$H$4+IF(parametros_manuales!$H$36="Todos",datos_base!$H$11,0))*parametros_manuales!$I$107+parametros_manuales!$G$36*(datos_base!$H$5+IF(parametros_manuales!$H$36="Todos",datos_base!$H$12,0))*parametros_manuales!$I$112)*parametros_manuales!$I$36*parametros_manuales!$J$36</f>
        <v>14975.54</v>
      </c>
      <c r="J187" s="8">
        <f>(parametros_manuales!$D$36*(datos_base!$H$2+IF(parametros_manuales!$H$36="Todos",datos_base!$H$9,0))*parametros_manuales!$J$97+parametros_manuales!$E$36*(datos_base!$H$3+IF(parametros_manuales!$H$36="Todos",datos_base!$H$10,0))*parametros_manuales!$J$102+parametros_manuales!$F$36*(datos_base!$H$4+IF(parametros_manuales!$H$36="Todos",datos_base!$H$11,0))*parametros_manuales!$J$107+parametros_manuales!$G$36*(datos_base!$H$5+IF(parametros_manuales!$H$36="Todos",datos_base!$H$12,0))*parametros_manuales!$J$112)*parametros_manuales!$I$36*parametros_manuales!$J$36</f>
        <v>14975.54</v>
      </c>
      <c r="K187" s="8">
        <f>(parametros_manuales!$D$36*(datos_base!$H$2+IF(parametros_manuales!$H$36="Todos",datos_base!$H$9,0))*parametros_manuales!$K$97+parametros_manuales!$E$36*(datos_base!$H$3+IF(parametros_manuales!$H$36="Todos",datos_base!$H$10,0))*parametros_manuales!$K$102+parametros_manuales!$F$36*(datos_base!$H$4+IF(parametros_manuales!$H$36="Todos",datos_base!$H$11,0))*parametros_manuales!$K$107+parametros_manuales!$G$36*(datos_base!$H$5+IF(parametros_manuales!$H$36="Todos",datos_base!$H$12,0))*parametros_manuales!$K$112)*parametros_manuales!$I$36*parametros_manuales!$J$36</f>
        <v>15227.095</v>
      </c>
      <c r="L187" s="8">
        <f>(parametros_manuales!$D$36*(datos_base!$H$2+IF(parametros_manuales!$H$36="Todos",datos_base!$H$9,0))*parametros_manuales!$L$97+parametros_manuales!$E$36*(datos_base!$H$3+IF(parametros_manuales!$H$36="Todos",datos_base!$H$10,0))*parametros_manuales!$L$102+parametros_manuales!$F$36*(datos_base!$H$4+IF(parametros_manuales!$H$36="Todos",datos_base!$H$11,0))*parametros_manuales!$L$107+parametros_manuales!$G$36*(datos_base!$H$5+IF(parametros_manuales!$H$36="Todos",datos_base!$H$12,0))*parametros_manuales!$L$112)*parametros_manuales!$I$36*parametros_manuales!$J$36</f>
        <v>15478.65</v>
      </c>
      <c r="M187" s="8">
        <f>(parametros_manuales!$D$36*(datos_base!$H$2+IF(parametros_manuales!$H$36="Todos",datos_base!$H$9,0))*parametros_manuales!$M$97+parametros_manuales!$E$36*(datos_base!$H$3+IF(parametros_manuales!$H$36="Todos",datos_base!$H$10,0))*parametros_manuales!$M$102+parametros_manuales!$F$36*(datos_base!$H$4+IF(parametros_manuales!$H$36="Todos",datos_base!$H$11,0))*parametros_manuales!$M$107+parametros_manuales!$G$36*(datos_base!$H$5+IF(parametros_manuales!$H$36="Todos",datos_base!$H$12,0))*parametros_manuales!$M$112)*parametros_manuales!$I$36*parametros_manuales!$J$36</f>
        <v>15478.65</v>
      </c>
      <c r="N187" s="8">
        <f t="shared" si="19"/>
        <v>171985</v>
      </c>
      <c r="O187" s="8">
        <f t="shared" si="20"/>
        <v>15478.65</v>
      </c>
      <c r="P187" s="27">
        <f>O187/(parametros_manuales!$B$7)</f>
        <v>103.191</v>
      </c>
      <c r="Q187" s="4" t="str">
        <f t="shared" si="21"/>
        <v>Ene</v>
      </c>
      <c r="R187" s="16"/>
      <c r="S187" s="16"/>
    </row>
    <row r="188" ht="14.25" customHeight="1">
      <c r="A188" s="4" t="str">
        <f>parametros_manuales!$B$37</f>
        <v>Corrección de defectos</v>
      </c>
      <c r="B188" s="8">
        <f>(parametros_manuales!$D$37*(datos_base!$H$2+IF(parametros_manuales!$H$37="Todos",datos_base!$H$9,0))*parametros_manuales!$B$97+parametros_manuales!$E$37*(datos_base!$H$3+IF(parametros_manuales!$H$37="Todos",datos_base!$H$10,0))*parametros_manuales!$B$102+parametros_manuales!$F$37*(datos_base!$H$4+IF(parametros_manuales!$H$37="Todos",datos_base!$H$11,0))*parametros_manuales!$B$107+parametros_manuales!$G$37*(datos_base!$H$5+IF(parametros_manuales!$H$37="Todos",datos_base!$H$12,0))*parametros_manuales!$B$112)*parametros_manuales!$I$37*parametros_manuales!$J$37</f>
        <v>773.9325</v>
      </c>
      <c r="C188" s="8">
        <f>(parametros_manuales!$D$37*(datos_base!$H$2+IF(parametros_manuales!$H$37="Todos",datos_base!$H$9,0))*parametros_manuales!$C$97+parametros_manuales!$E$37*(datos_base!$H$3+IF(parametros_manuales!$H$37="Todos",datos_base!$H$10,0))*parametros_manuales!$C$102+parametros_manuales!$F$37*(datos_base!$H$4+IF(parametros_manuales!$H$37="Todos",datos_base!$H$11,0))*parametros_manuales!$C$107+parametros_manuales!$G$37*(datos_base!$H$5+IF(parametros_manuales!$H$37="Todos",datos_base!$H$12,0))*parametros_manuales!$C$112)*parametros_manuales!$I$37*parametros_manuales!$J$37</f>
        <v>748.777</v>
      </c>
      <c r="D188" s="8">
        <f>(parametros_manuales!$D$37*(datos_base!$H$2+IF(parametros_manuales!$H$37="Todos",datos_base!$H$9,0))*parametros_manuales!$D$97+parametros_manuales!$E$37*(datos_base!$H$3+IF(parametros_manuales!$H$37="Todos",datos_base!$H$10,0))*parametros_manuales!$D$102+parametros_manuales!$F$37*(datos_base!$H$4+IF(parametros_manuales!$H$37="Todos",datos_base!$H$11,0))*parametros_manuales!$D$107+parametros_manuales!$G$37*(datos_base!$H$5+IF(parametros_manuales!$H$37="Todos",datos_base!$H$12,0))*parametros_manuales!$D$112)*parametros_manuales!$I$37*parametros_manuales!$J$37</f>
        <v>700.51775</v>
      </c>
      <c r="E188" s="8">
        <f>(parametros_manuales!$D$37*(datos_base!$H$2+IF(parametros_manuales!$H$37="Todos",datos_base!$H$9,0))*parametros_manuales!$E$97+parametros_manuales!$E$37*(datos_base!$H$3+IF(parametros_manuales!$H$37="Todos",datos_base!$H$10,0))*parametros_manuales!$E$102+parametros_manuales!$F$37*(datos_base!$H$4+IF(parametros_manuales!$H$37="Todos",datos_base!$H$11,0))*parametros_manuales!$E$107+parametros_manuales!$G$37*(datos_base!$H$5+IF(parametros_manuales!$H$37="Todos",datos_base!$H$12,0))*parametros_manuales!$E$112)*parametros_manuales!$I$37*parametros_manuales!$J$37</f>
        <v>670.09925</v>
      </c>
      <c r="F188" s="8">
        <f>(parametros_manuales!$D$37*(datos_base!$H$2+IF(parametros_manuales!$H$37="Todos",datos_base!$H$9,0))*parametros_manuales!$F$97+parametros_manuales!$E$37*(datos_base!$H$3+IF(parametros_manuales!$H$37="Todos",datos_base!$H$10,0))*parametros_manuales!$F$102+parametros_manuales!$F$37*(datos_base!$H$4+IF(parametros_manuales!$H$37="Todos",datos_base!$H$11,0))*parametros_manuales!$F$107+parametros_manuales!$G$37*(datos_base!$H$5+IF(parametros_manuales!$H$37="Todos",datos_base!$H$12,0))*parametros_manuales!$F$112)*parametros_manuales!$I$37*parametros_manuales!$J$37</f>
        <v>627.103</v>
      </c>
      <c r="G188" s="8">
        <f>(parametros_manuales!$D$37*(datos_base!$H$2+IF(parametros_manuales!$H$37="Todos",datos_base!$H$9,0))*parametros_manuales!$G$97+parametros_manuales!$E$37*(datos_base!$H$3+IF(parametros_manuales!$H$37="Todos",datos_base!$H$10,0))*parametros_manuales!$G$102+parametros_manuales!$F$37*(datos_base!$H$4+IF(parametros_manuales!$H$37="Todos",datos_base!$H$11,0))*parametros_manuales!$G$107+parametros_manuales!$G$37*(datos_base!$H$5+IF(parametros_manuales!$H$37="Todos",datos_base!$H$12,0))*parametros_manuales!$G$112)*parametros_manuales!$I$37*parametros_manuales!$J$37</f>
        <v>614.52525</v>
      </c>
      <c r="H188" s="8">
        <f>(parametros_manuales!$D$37*(datos_base!$H$2+IF(parametros_manuales!$H$37="Todos",datos_base!$H$9,0))*parametros_manuales!$H$97+parametros_manuales!$E$37*(datos_base!$H$3+IF(parametros_manuales!$H$37="Todos",datos_base!$H$10,0))*parametros_manuales!$H$102+parametros_manuales!$F$37*(datos_base!$H$4+IF(parametros_manuales!$H$37="Todos",datos_base!$H$11,0))*parametros_manuales!$H$107+parametros_manuales!$G$37*(datos_base!$H$5+IF(parametros_manuales!$H$37="Todos",datos_base!$H$12,0))*parametros_manuales!$H$112)*parametros_manuales!$I$37*parametros_manuales!$J$37</f>
        <v>657.5215</v>
      </c>
      <c r="I188" s="8">
        <f>(parametros_manuales!$D$37*(datos_base!$H$2+IF(parametros_manuales!$H$37="Todos",datos_base!$H$9,0))*parametros_manuales!$I$97+parametros_manuales!$E$37*(datos_base!$H$3+IF(parametros_manuales!$H$37="Todos",datos_base!$H$10,0))*parametros_manuales!$I$102+parametros_manuales!$F$37*(datos_base!$H$4+IF(parametros_manuales!$H$37="Todos",datos_base!$H$11,0))*parametros_manuales!$I$107+parametros_manuales!$G$37*(datos_base!$H$5+IF(parametros_manuales!$H$37="Todos",datos_base!$H$12,0))*parametros_manuales!$I$112)*parametros_manuales!$I$37*parametros_manuales!$J$37</f>
        <v>748.777</v>
      </c>
      <c r="J188" s="8">
        <f>(parametros_manuales!$D$37*(datos_base!$H$2+IF(parametros_manuales!$H$37="Todos",datos_base!$H$9,0))*parametros_manuales!$J$97+parametros_manuales!$E$37*(datos_base!$H$3+IF(parametros_manuales!$H$37="Todos",datos_base!$H$10,0))*parametros_manuales!$J$102+parametros_manuales!$F$37*(datos_base!$H$4+IF(parametros_manuales!$H$37="Todos",datos_base!$H$11,0))*parametros_manuales!$J$107+parametros_manuales!$G$37*(datos_base!$H$5+IF(parametros_manuales!$H$37="Todos",datos_base!$H$12,0))*parametros_manuales!$J$112)*parametros_manuales!$I$37*parametros_manuales!$J$37</f>
        <v>748.777</v>
      </c>
      <c r="K188" s="8">
        <f>(parametros_manuales!$D$37*(datos_base!$H$2+IF(parametros_manuales!$H$37="Todos",datos_base!$H$9,0))*parametros_manuales!$K$97+parametros_manuales!$E$37*(datos_base!$H$3+IF(parametros_manuales!$H$37="Todos",datos_base!$H$10,0))*parametros_manuales!$K$102+parametros_manuales!$F$37*(datos_base!$H$4+IF(parametros_manuales!$H$37="Todos",datos_base!$H$11,0))*parametros_manuales!$K$107+parametros_manuales!$G$37*(datos_base!$H$5+IF(parametros_manuales!$H$37="Todos",datos_base!$H$12,0))*parametros_manuales!$K$112)*parametros_manuales!$I$37*parametros_manuales!$J$37</f>
        <v>761.35475</v>
      </c>
      <c r="L188" s="8">
        <f>(parametros_manuales!$D$37*(datos_base!$H$2+IF(parametros_manuales!$H$37="Todos",datos_base!$H$9,0))*parametros_manuales!$L$97+parametros_manuales!$E$37*(datos_base!$H$3+IF(parametros_manuales!$H$37="Todos",datos_base!$H$10,0))*parametros_manuales!$L$102+parametros_manuales!$F$37*(datos_base!$H$4+IF(parametros_manuales!$H$37="Todos",datos_base!$H$11,0))*parametros_manuales!$L$107+parametros_manuales!$G$37*(datos_base!$H$5+IF(parametros_manuales!$H$37="Todos",datos_base!$H$12,0))*parametros_manuales!$L$112)*parametros_manuales!$I$37*parametros_manuales!$J$37</f>
        <v>773.9325</v>
      </c>
      <c r="M188" s="8">
        <f>(parametros_manuales!$D$37*(datos_base!$H$2+IF(parametros_manuales!$H$37="Todos",datos_base!$H$9,0))*parametros_manuales!$M$97+parametros_manuales!$E$37*(datos_base!$H$3+IF(parametros_manuales!$H$37="Todos",datos_base!$H$10,0))*parametros_manuales!$M$102+parametros_manuales!$F$37*(datos_base!$H$4+IF(parametros_manuales!$H$37="Todos",datos_base!$H$11,0))*parametros_manuales!$M$107+parametros_manuales!$G$37*(datos_base!$H$5+IF(parametros_manuales!$H$37="Todos",datos_base!$H$12,0))*parametros_manuales!$M$112)*parametros_manuales!$I$37*parametros_manuales!$J$37</f>
        <v>773.9325</v>
      </c>
      <c r="N188" s="8">
        <f t="shared" si="19"/>
        <v>8599.25</v>
      </c>
      <c r="O188" s="8">
        <f t="shared" si="20"/>
        <v>773.9325</v>
      </c>
      <c r="P188" s="27">
        <f>O188/(parametros_manuales!$B$7)</f>
        <v>5.15955</v>
      </c>
      <c r="Q188" s="4" t="str">
        <f t="shared" si="21"/>
        <v>Ene</v>
      </c>
      <c r="R188" s="16"/>
      <c r="S188" s="16"/>
    </row>
    <row r="189" ht="14.25" customHeight="1">
      <c r="A189" s="4" t="str">
        <f>parametros_manuales!$B$38</f>
        <v>Pintura en polvo + horno</v>
      </c>
      <c r="B189" s="8">
        <f>(parametros_manuales!$D$38*(datos_base!$H$2+IF(parametros_manuales!$H$38="Todos",datos_base!$H$9,0))*parametros_manuales!$B$97+parametros_manuales!$E$38*(datos_base!$H$3+IF(parametros_manuales!$H$38="Todos",datos_base!$H$10,0))*parametros_manuales!$B$102+parametros_manuales!$F$38*(datos_base!$H$4+IF(parametros_manuales!$H$38="Todos",datos_base!$H$11,0))*parametros_manuales!$B$107+parametros_manuales!$G$38*(datos_base!$H$5+IF(parametros_manuales!$H$38="Todos",datos_base!$H$12,0))*parametros_manuales!$B$112)*parametros_manuales!$I$38*parametros_manuales!$J$38</f>
        <v>15478.65</v>
      </c>
      <c r="C189" s="8">
        <f>(parametros_manuales!$D$38*(datos_base!$H$2+IF(parametros_manuales!$H$38="Todos",datos_base!$H$9,0))*parametros_manuales!$C$97+parametros_manuales!$E$38*(datos_base!$H$3+IF(parametros_manuales!$H$38="Todos",datos_base!$H$10,0))*parametros_manuales!$C$102+parametros_manuales!$F$38*(datos_base!$H$4+IF(parametros_manuales!$H$38="Todos",datos_base!$H$11,0))*parametros_manuales!$C$107+parametros_manuales!$G$38*(datos_base!$H$5+IF(parametros_manuales!$H$38="Todos",datos_base!$H$12,0))*parametros_manuales!$C$112)*parametros_manuales!$I$38*parametros_manuales!$J$38</f>
        <v>14975.54</v>
      </c>
      <c r="D189" s="8">
        <f>(parametros_manuales!$D$38*(datos_base!$H$2+IF(parametros_manuales!$H$38="Todos",datos_base!$H$9,0))*parametros_manuales!$D$97+parametros_manuales!$E$38*(datos_base!$H$3+IF(parametros_manuales!$H$38="Todos",datos_base!$H$10,0))*parametros_manuales!$D$102+parametros_manuales!$F$38*(datos_base!$H$4+IF(parametros_manuales!$H$38="Todos",datos_base!$H$11,0))*parametros_manuales!$D$107+parametros_manuales!$G$38*(datos_base!$H$5+IF(parametros_manuales!$H$38="Todos",datos_base!$H$12,0))*parametros_manuales!$D$112)*parametros_manuales!$I$38*parametros_manuales!$J$38</f>
        <v>14010.355</v>
      </c>
      <c r="E189" s="8">
        <f>(parametros_manuales!$D$38*(datos_base!$H$2+IF(parametros_manuales!$H$38="Todos",datos_base!$H$9,0))*parametros_manuales!$E$97+parametros_manuales!$E$38*(datos_base!$H$3+IF(parametros_manuales!$H$38="Todos",datos_base!$H$10,0))*parametros_manuales!$E$102+parametros_manuales!$F$38*(datos_base!$H$4+IF(parametros_manuales!$H$38="Todos",datos_base!$H$11,0))*parametros_manuales!$E$107+parametros_manuales!$G$38*(datos_base!$H$5+IF(parametros_manuales!$H$38="Todos",datos_base!$H$12,0))*parametros_manuales!$E$112)*parametros_manuales!$I$38*parametros_manuales!$J$38</f>
        <v>13401.985</v>
      </c>
      <c r="F189" s="8">
        <f>(parametros_manuales!$D$38*(datos_base!$H$2+IF(parametros_manuales!$H$38="Todos",datos_base!$H$9,0))*parametros_manuales!$F$97+parametros_manuales!$E$38*(datos_base!$H$3+IF(parametros_manuales!$H$38="Todos",datos_base!$H$10,0))*parametros_manuales!$F$102+parametros_manuales!$F$38*(datos_base!$H$4+IF(parametros_manuales!$H$38="Todos",datos_base!$H$11,0))*parametros_manuales!$F$107+parametros_manuales!$G$38*(datos_base!$H$5+IF(parametros_manuales!$H$38="Todos",datos_base!$H$12,0))*parametros_manuales!$F$112)*parametros_manuales!$I$38*parametros_manuales!$J$38</f>
        <v>12542.06</v>
      </c>
      <c r="G189" s="8">
        <f>(parametros_manuales!$D$38*(datos_base!$H$2+IF(parametros_manuales!$H$38="Todos",datos_base!$H$9,0))*parametros_manuales!$G$97+parametros_manuales!$E$38*(datos_base!$H$3+IF(parametros_manuales!$H$38="Todos",datos_base!$H$10,0))*parametros_manuales!$G$102+parametros_manuales!$F$38*(datos_base!$H$4+IF(parametros_manuales!$H$38="Todos",datos_base!$H$11,0))*parametros_manuales!$G$107+parametros_manuales!$G$38*(datos_base!$H$5+IF(parametros_manuales!$H$38="Todos",datos_base!$H$12,0))*parametros_manuales!$G$112)*parametros_manuales!$I$38*parametros_manuales!$J$38</f>
        <v>12290.505</v>
      </c>
      <c r="H189" s="8">
        <f>(parametros_manuales!$D$38*(datos_base!$H$2+IF(parametros_manuales!$H$38="Todos",datos_base!$H$9,0))*parametros_manuales!$H$97+parametros_manuales!$E$38*(datos_base!$H$3+IF(parametros_manuales!$H$38="Todos",datos_base!$H$10,0))*parametros_manuales!$H$102+parametros_manuales!$F$38*(datos_base!$H$4+IF(parametros_manuales!$H$38="Todos",datos_base!$H$11,0))*parametros_manuales!$H$107+parametros_manuales!$G$38*(datos_base!$H$5+IF(parametros_manuales!$H$38="Todos",datos_base!$H$12,0))*parametros_manuales!$H$112)*parametros_manuales!$I$38*parametros_manuales!$J$38</f>
        <v>13150.43</v>
      </c>
      <c r="I189" s="8">
        <f>(parametros_manuales!$D$38*(datos_base!$H$2+IF(parametros_manuales!$H$38="Todos",datos_base!$H$9,0))*parametros_manuales!$I$97+parametros_manuales!$E$38*(datos_base!$H$3+IF(parametros_manuales!$H$38="Todos",datos_base!$H$10,0))*parametros_manuales!$I$102+parametros_manuales!$F$38*(datos_base!$H$4+IF(parametros_manuales!$H$38="Todos",datos_base!$H$11,0))*parametros_manuales!$I$107+parametros_manuales!$G$38*(datos_base!$H$5+IF(parametros_manuales!$H$38="Todos",datos_base!$H$12,0))*parametros_manuales!$I$112)*parametros_manuales!$I$38*parametros_manuales!$J$38</f>
        <v>14975.54</v>
      </c>
      <c r="J189" s="8">
        <f>(parametros_manuales!$D$38*(datos_base!$H$2+IF(parametros_manuales!$H$38="Todos",datos_base!$H$9,0))*parametros_manuales!$J$97+parametros_manuales!$E$38*(datos_base!$H$3+IF(parametros_manuales!$H$38="Todos",datos_base!$H$10,0))*parametros_manuales!$J$102+parametros_manuales!$F$38*(datos_base!$H$4+IF(parametros_manuales!$H$38="Todos",datos_base!$H$11,0))*parametros_manuales!$J$107+parametros_manuales!$G$38*(datos_base!$H$5+IF(parametros_manuales!$H$38="Todos",datos_base!$H$12,0))*parametros_manuales!$J$112)*parametros_manuales!$I$38*parametros_manuales!$J$38</f>
        <v>14975.54</v>
      </c>
      <c r="K189" s="8">
        <f>(parametros_manuales!$D$38*(datos_base!$H$2+IF(parametros_manuales!$H$38="Todos",datos_base!$H$9,0))*parametros_manuales!$K$97+parametros_manuales!$E$38*(datos_base!$H$3+IF(parametros_manuales!$H$38="Todos",datos_base!$H$10,0))*parametros_manuales!$K$102+parametros_manuales!$F$38*(datos_base!$H$4+IF(parametros_manuales!$H$38="Todos",datos_base!$H$11,0))*parametros_manuales!$K$107+parametros_manuales!$G$38*(datos_base!$H$5+IF(parametros_manuales!$H$38="Todos",datos_base!$H$12,0))*parametros_manuales!$K$112)*parametros_manuales!$I$38*parametros_manuales!$J$38</f>
        <v>15227.095</v>
      </c>
      <c r="L189" s="8">
        <f>(parametros_manuales!$D$38*(datos_base!$H$2+IF(parametros_manuales!$H$38="Todos",datos_base!$H$9,0))*parametros_manuales!$L$97+parametros_manuales!$E$38*(datos_base!$H$3+IF(parametros_manuales!$H$38="Todos",datos_base!$H$10,0))*parametros_manuales!$L$102+parametros_manuales!$F$38*(datos_base!$H$4+IF(parametros_manuales!$H$38="Todos",datos_base!$H$11,0))*parametros_manuales!$L$107+parametros_manuales!$G$38*(datos_base!$H$5+IF(parametros_manuales!$H$38="Todos",datos_base!$H$12,0))*parametros_manuales!$L$112)*parametros_manuales!$I$38*parametros_manuales!$J$38</f>
        <v>15478.65</v>
      </c>
      <c r="M189" s="8">
        <f>(parametros_manuales!$D$38*(datos_base!$H$2+IF(parametros_manuales!$H$38="Todos",datos_base!$H$9,0))*parametros_manuales!$M$97+parametros_manuales!$E$38*(datos_base!$H$3+IF(parametros_manuales!$H$38="Todos",datos_base!$H$10,0))*parametros_manuales!$M$102+parametros_manuales!$F$38*(datos_base!$H$4+IF(parametros_manuales!$H$38="Todos",datos_base!$H$11,0))*parametros_manuales!$M$107+parametros_manuales!$G$38*(datos_base!$H$5+IF(parametros_manuales!$H$38="Todos",datos_base!$H$12,0))*parametros_manuales!$M$112)*parametros_manuales!$I$38*parametros_manuales!$J$38</f>
        <v>15478.65</v>
      </c>
      <c r="N189" s="8">
        <f t="shared" si="19"/>
        <v>171985</v>
      </c>
      <c r="O189" s="8">
        <f t="shared" si="20"/>
        <v>15478.65</v>
      </c>
      <c r="P189" s="27">
        <f>O189/(parametros_manuales!$B$7)</f>
        <v>103.191</v>
      </c>
      <c r="Q189" s="4" t="str">
        <f t="shared" si="21"/>
        <v>Ene</v>
      </c>
      <c r="R189" s="16"/>
      <c r="S189" s="16"/>
    </row>
    <row r="190" ht="14.25" customHeight="1">
      <c r="A190" s="4" t="str">
        <f>parametros_manuales!$B$39</f>
        <v>Carga de polvo</v>
      </c>
      <c r="B190" s="8">
        <f>(parametros_manuales!$D$39*(datos_base!$H$2+IF(parametros_manuales!$H$39="Todos",datos_base!$H$9,0))*parametros_manuales!$B$97+parametros_manuales!$E$39*(datos_base!$H$3+IF(parametros_manuales!$H$39="Todos",datos_base!$H$10,0))*parametros_manuales!$B$102+parametros_manuales!$F$39*(datos_base!$H$4+IF(parametros_manuales!$H$39="Todos",datos_base!$H$11,0))*parametros_manuales!$B$107+parametros_manuales!$G$39*(datos_base!$H$5+IF(parametros_manuales!$H$39="Todos",datos_base!$H$12,0))*parametros_manuales!$B$112)*parametros_manuales!$I$39*parametros_manuales!$J$39</f>
        <v>4047.66</v>
      </c>
      <c r="C190" s="8">
        <f>(parametros_manuales!$D$39*(datos_base!$H$2+IF(parametros_manuales!$H$39="Todos",datos_base!$H$9,0))*parametros_manuales!$C$97+parametros_manuales!$E$39*(datos_base!$H$3+IF(parametros_manuales!$H$39="Todos",datos_base!$H$10,0))*parametros_manuales!$C$102+parametros_manuales!$F$39*(datos_base!$H$4+IF(parametros_manuales!$H$39="Todos",datos_base!$H$11,0))*parametros_manuales!$C$107+parametros_manuales!$G$39*(datos_base!$H$5+IF(parametros_manuales!$H$39="Todos",datos_base!$H$12,0))*parametros_manuales!$C$112)*parametros_manuales!$I$39*parametros_manuales!$J$39</f>
        <v>3801.25</v>
      </c>
      <c r="D190" s="8">
        <f>(parametros_manuales!$D$39*(datos_base!$H$2+IF(parametros_manuales!$H$39="Todos",datos_base!$H$9,0))*parametros_manuales!$D$97+parametros_manuales!$E$39*(datos_base!$H$3+IF(parametros_manuales!$H$39="Todos",datos_base!$H$10,0))*parametros_manuales!$D$102+parametros_manuales!$F$39*(datos_base!$H$4+IF(parametros_manuales!$H$39="Todos",datos_base!$H$11,0))*parametros_manuales!$D$107+parametros_manuales!$G$39*(datos_base!$H$5+IF(parametros_manuales!$H$39="Todos",datos_base!$H$12,0))*parametros_manuales!$D$112)*parametros_manuales!$I$39*parametros_manuales!$J$39</f>
        <v>3721.125</v>
      </c>
      <c r="E190" s="8">
        <f>(parametros_manuales!$D$39*(datos_base!$H$2+IF(parametros_manuales!$H$39="Todos",datos_base!$H$9,0))*parametros_manuales!$E$97+parametros_manuales!$E$39*(datos_base!$H$3+IF(parametros_manuales!$H$39="Todos",datos_base!$H$10,0))*parametros_manuales!$E$102+parametros_manuales!$F$39*(datos_base!$H$4+IF(parametros_manuales!$H$39="Todos",datos_base!$H$11,0))*parametros_manuales!$E$107+parametros_manuales!$G$39*(datos_base!$H$5+IF(parametros_manuales!$H$39="Todos",datos_base!$H$12,0))*parametros_manuales!$E$112)*parametros_manuales!$I$39*parametros_manuales!$J$39</f>
        <v>3619.46</v>
      </c>
      <c r="F190" s="8">
        <f>(parametros_manuales!$D$39*(datos_base!$H$2+IF(parametros_manuales!$H$39="Todos",datos_base!$H$9,0))*parametros_manuales!$F$97+parametros_manuales!$E$39*(datos_base!$H$3+IF(parametros_manuales!$H$39="Todos",datos_base!$H$10,0))*parametros_manuales!$F$102+parametros_manuales!$F$39*(datos_base!$H$4+IF(parametros_manuales!$H$39="Todos",datos_base!$H$11,0))*parametros_manuales!$F$107+parametros_manuales!$G$39*(datos_base!$H$5+IF(parametros_manuales!$H$39="Todos",datos_base!$H$12,0))*parametros_manuales!$F$112)*parametros_manuales!$I$39*parametros_manuales!$J$39</f>
        <v>3394.59</v>
      </c>
      <c r="G190" s="8">
        <f>(parametros_manuales!$D$39*(datos_base!$H$2+IF(parametros_manuales!$H$39="Todos",datos_base!$H$9,0))*parametros_manuales!$G$97+parametros_manuales!$E$39*(datos_base!$H$3+IF(parametros_manuales!$H$39="Todos",datos_base!$H$10,0))*parametros_manuales!$G$102+parametros_manuales!$F$39*(datos_base!$H$4+IF(parametros_manuales!$H$39="Todos",datos_base!$H$11,0))*parametros_manuales!$G$107+parametros_manuales!$G$39*(datos_base!$H$5+IF(parametros_manuales!$H$39="Todos",datos_base!$H$12,0))*parametros_manuales!$G$112)*parametros_manuales!$I$39*parametros_manuales!$J$39</f>
        <v>3271.385</v>
      </c>
      <c r="H190" s="8">
        <f>(parametros_manuales!$D$39*(datos_base!$H$2+IF(parametros_manuales!$H$39="Todos",datos_base!$H$9,0))*parametros_manuales!$H$97+parametros_manuales!$E$39*(datos_base!$H$3+IF(parametros_manuales!$H$39="Todos",datos_base!$H$10,0))*parametros_manuales!$H$102+parametros_manuales!$F$39*(datos_base!$H$4+IF(parametros_manuales!$H$39="Todos",datos_base!$H$11,0))*parametros_manuales!$H$107+parametros_manuales!$G$39*(datos_base!$H$5+IF(parametros_manuales!$H$39="Todos",datos_base!$H$12,0))*parametros_manuales!$H$112)*parametros_manuales!$I$39*parametros_manuales!$J$39</f>
        <v>3496.255</v>
      </c>
      <c r="I190" s="8">
        <f>(parametros_manuales!$D$39*(datos_base!$H$2+IF(parametros_manuales!$H$39="Todos",datos_base!$H$9,0))*parametros_manuales!$I$97+parametros_manuales!$E$39*(datos_base!$H$3+IF(parametros_manuales!$H$39="Todos",datos_base!$H$10,0))*parametros_manuales!$I$102+parametros_manuales!$F$39*(datos_base!$H$4+IF(parametros_manuales!$H$39="Todos",datos_base!$H$11,0))*parametros_manuales!$I$107+parametros_manuales!$G$39*(datos_base!$H$5+IF(parametros_manuales!$H$39="Todos",datos_base!$H$12,0))*parametros_manuales!$I$112)*parametros_manuales!$I$39*parametros_manuales!$J$39</f>
        <v>3801.25</v>
      </c>
      <c r="J190" s="8">
        <f>(parametros_manuales!$D$39*(datos_base!$H$2+IF(parametros_manuales!$H$39="Todos",datos_base!$H$9,0))*parametros_manuales!$J$97+parametros_manuales!$E$39*(datos_base!$H$3+IF(parametros_manuales!$H$39="Todos",datos_base!$H$10,0))*parametros_manuales!$J$102+parametros_manuales!$F$39*(datos_base!$H$4+IF(parametros_manuales!$H$39="Todos",datos_base!$H$11,0))*parametros_manuales!$J$107+parametros_manuales!$G$39*(datos_base!$H$5+IF(parametros_manuales!$H$39="Todos",datos_base!$H$12,0))*parametros_manuales!$J$112)*parametros_manuales!$I$39*parametros_manuales!$J$39</f>
        <v>3801.25</v>
      </c>
      <c r="K190" s="8">
        <f>(parametros_manuales!$D$39*(datos_base!$H$2+IF(parametros_manuales!$H$39="Todos",datos_base!$H$9,0))*parametros_manuales!$K$97+parametros_manuales!$E$39*(datos_base!$H$3+IF(parametros_manuales!$H$39="Todos",datos_base!$H$10,0))*parametros_manuales!$K$102+parametros_manuales!$F$39*(datos_base!$H$4+IF(parametros_manuales!$H$39="Todos",datos_base!$H$11,0))*parametros_manuales!$K$107+parametros_manuales!$G$39*(datos_base!$H$5+IF(parametros_manuales!$H$39="Todos",datos_base!$H$12,0))*parametros_manuales!$K$112)*parametros_manuales!$I$39*parametros_manuales!$J$39</f>
        <v>3924.455</v>
      </c>
      <c r="L190" s="8">
        <f>(parametros_manuales!$D$39*(datos_base!$H$2+IF(parametros_manuales!$H$39="Todos",datos_base!$H$9,0))*parametros_manuales!$L$97+parametros_manuales!$E$39*(datos_base!$H$3+IF(parametros_manuales!$H$39="Todos",datos_base!$H$10,0))*parametros_manuales!$L$102+parametros_manuales!$F$39*(datos_base!$H$4+IF(parametros_manuales!$H$39="Todos",datos_base!$H$11,0))*parametros_manuales!$L$107+parametros_manuales!$G$39*(datos_base!$H$5+IF(parametros_manuales!$H$39="Todos",datos_base!$H$12,0))*parametros_manuales!$L$112)*parametros_manuales!$I$39*parametros_manuales!$J$39</f>
        <v>4047.66</v>
      </c>
      <c r="M190" s="8">
        <f>(parametros_manuales!$D$39*(datos_base!$H$2+IF(parametros_manuales!$H$39="Todos",datos_base!$H$9,0))*parametros_manuales!$M$97+parametros_manuales!$E$39*(datos_base!$H$3+IF(parametros_manuales!$H$39="Todos",datos_base!$H$10,0))*parametros_manuales!$M$102+parametros_manuales!$F$39*(datos_base!$H$4+IF(parametros_manuales!$H$39="Todos",datos_base!$H$11,0))*parametros_manuales!$M$107+parametros_manuales!$G$39*(datos_base!$H$5+IF(parametros_manuales!$H$39="Todos",datos_base!$H$12,0))*parametros_manuales!$M$112)*parametros_manuales!$I$39*parametros_manuales!$J$39</f>
        <v>4047.66</v>
      </c>
      <c r="N190" s="8">
        <f t="shared" si="19"/>
        <v>44974</v>
      </c>
      <c r="O190" s="8">
        <f t="shared" si="20"/>
        <v>4047.66</v>
      </c>
      <c r="P190" s="27">
        <f>O190/(parametros_manuales!$B$7)</f>
        <v>26.9844</v>
      </c>
      <c r="Q190" s="4" t="str">
        <f t="shared" si="21"/>
        <v>Ene</v>
      </c>
      <c r="R190" s="16"/>
      <c r="S190" s="16"/>
    </row>
    <row r="191" ht="14.25" customHeight="1">
      <c r="A191" s="4" t="str">
        <f>parametros_manuales!$B$40</f>
        <v>Ensamblaje</v>
      </c>
      <c r="B191" s="8">
        <f>(parametros_manuales!$D$40*(datos_base!$H$2+IF(parametros_manuales!$H$40="Todos",datos_base!$H$9,0))*parametros_manuales!$B$97+parametros_manuales!$E$40*(datos_base!$H$3+IF(parametros_manuales!$H$40="Todos",datos_base!$H$10,0))*parametros_manuales!$B$102+parametros_manuales!$F$40*(datos_base!$H$4+IF(parametros_manuales!$H$40="Todos",datos_base!$H$11,0))*parametros_manuales!$B$107+parametros_manuales!$G$40*(datos_base!$H$5+IF(parametros_manuales!$H$40="Todos",datos_base!$H$12,0))*parametros_manuales!$B$112)*parametros_manuales!$I$40*parametros_manuales!$J$40</f>
        <v>4047.66</v>
      </c>
      <c r="C191" s="8">
        <f>(parametros_manuales!$D$40*(datos_base!$H$2+IF(parametros_manuales!$H$40="Todos",datos_base!$H$9,0))*parametros_manuales!$C$97+parametros_manuales!$E$40*(datos_base!$H$3+IF(parametros_manuales!$H$40="Todos",datos_base!$H$10,0))*parametros_manuales!$C$102+parametros_manuales!$F$40*(datos_base!$H$4+IF(parametros_manuales!$H$40="Todos",datos_base!$H$11,0))*parametros_manuales!$C$107+parametros_manuales!$G$40*(datos_base!$H$5+IF(parametros_manuales!$H$40="Todos",datos_base!$H$12,0))*parametros_manuales!$C$112)*parametros_manuales!$I$40*parametros_manuales!$J$40</f>
        <v>3801.25</v>
      </c>
      <c r="D191" s="8">
        <f>(parametros_manuales!$D$40*(datos_base!$H$2+IF(parametros_manuales!$H$40="Todos",datos_base!$H$9,0))*parametros_manuales!$D$97+parametros_manuales!$E$40*(datos_base!$H$3+IF(parametros_manuales!$H$40="Todos",datos_base!$H$10,0))*parametros_manuales!$D$102+parametros_manuales!$F$40*(datos_base!$H$4+IF(parametros_manuales!$H$40="Todos",datos_base!$H$11,0))*parametros_manuales!$D$107+parametros_manuales!$G$40*(datos_base!$H$5+IF(parametros_manuales!$H$40="Todos",datos_base!$H$12,0))*parametros_manuales!$D$112)*parametros_manuales!$I$40*parametros_manuales!$J$40</f>
        <v>3721.125</v>
      </c>
      <c r="E191" s="8">
        <f>(parametros_manuales!$D$40*(datos_base!$H$2+IF(parametros_manuales!$H$40="Todos",datos_base!$H$9,0))*parametros_manuales!$E$97+parametros_manuales!$E$40*(datos_base!$H$3+IF(parametros_manuales!$H$40="Todos",datos_base!$H$10,0))*parametros_manuales!$E$102+parametros_manuales!$F$40*(datos_base!$H$4+IF(parametros_manuales!$H$40="Todos",datos_base!$H$11,0))*parametros_manuales!$E$107+parametros_manuales!$G$40*(datos_base!$H$5+IF(parametros_manuales!$H$40="Todos",datos_base!$H$12,0))*parametros_manuales!$E$112)*parametros_manuales!$I$40*parametros_manuales!$J$40</f>
        <v>3619.46</v>
      </c>
      <c r="F191" s="8">
        <f>(parametros_manuales!$D$40*(datos_base!$H$2+IF(parametros_manuales!$H$40="Todos",datos_base!$H$9,0))*parametros_manuales!$F$97+parametros_manuales!$E$40*(datos_base!$H$3+IF(parametros_manuales!$H$40="Todos",datos_base!$H$10,0))*parametros_manuales!$F$102+parametros_manuales!$F$40*(datos_base!$H$4+IF(parametros_manuales!$H$40="Todos",datos_base!$H$11,0))*parametros_manuales!$F$107+parametros_manuales!$G$40*(datos_base!$H$5+IF(parametros_manuales!$H$40="Todos",datos_base!$H$12,0))*parametros_manuales!$F$112)*parametros_manuales!$I$40*parametros_manuales!$J$40</f>
        <v>3394.59</v>
      </c>
      <c r="G191" s="8">
        <f>(parametros_manuales!$D$40*(datos_base!$H$2+IF(parametros_manuales!$H$40="Todos",datos_base!$H$9,0))*parametros_manuales!$G$97+parametros_manuales!$E$40*(datos_base!$H$3+IF(parametros_manuales!$H$40="Todos",datos_base!$H$10,0))*parametros_manuales!$G$102+parametros_manuales!$F$40*(datos_base!$H$4+IF(parametros_manuales!$H$40="Todos",datos_base!$H$11,0))*parametros_manuales!$G$107+parametros_manuales!$G$40*(datos_base!$H$5+IF(parametros_manuales!$H$40="Todos",datos_base!$H$12,0))*parametros_manuales!$G$112)*parametros_manuales!$I$40*parametros_manuales!$J$40</f>
        <v>3271.385</v>
      </c>
      <c r="H191" s="8">
        <f>(parametros_manuales!$D$40*(datos_base!$H$2+IF(parametros_manuales!$H$40="Todos",datos_base!$H$9,0))*parametros_manuales!$H$97+parametros_manuales!$E$40*(datos_base!$H$3+IF(parametros_manuales!$H$40="Todos",datos_base!$H$10,0))*parametros_manuales!$H$102+parametros_manuales!$F$40*(datos_base!$H$4+IF(parametros_manuales!$H$40="Todos",datos_base!$H$11,0))*parametros_manuales!$H$107+parametros_manuales!$G$40*(datos_base!$H$5+IF(parametros_manuales!$H$40="Todos",datos_base!$H$12,0))*parametros_manuales!$H$112)*parametros_manuales!$I$40*parametros_manuales!$J$40</f>
        <v>3496.255</v>
      </c>
      <c r="I191" s="8">
        <f>(parametros_manuales!$D$40*(datos_base!$H$2+IF(parametros_manuales!$H$40="Todos",datos_base!$H$9,0))*parametros_manuales!$I$97+parametros_manuales!$E$40*(datos_base!$H$3+IF(parametros_manuales!$H$40="Todos",datos_base!$H$10,0))*parametros_manuales!$I$102+parametros_manuales!$F$40*(datos_base!$H$4+IF(parametros_manuales!$H$40="Todos",datos_base!$H$11,0))*parametros_manuales!$I$107+parametros_manuales!$G$40*(datos_base!$H$5+IF(parametros_manuales!$H$40="Todos",datos_base!$H$12,0))*parametros_manuales!$I$112)*parametros_manuales!$I$40*parametros_manuales!$J$40</f>
        <v>3801.25</v>
      </c>
      <c r="J191" s="8">
        <f>(parametros_manuales!$D$40*(datos_base!$H$2+IF(parametros_manuales!$H$40="Todos",datos_base!$H$9,0))*parametros_manuales!$J$97+parametros_manuales!$E$40*(datos_base!$H$3+IF(parametros_manuales!$H$40="Todos",datos_base!$H$10,0))*parametros_manuales!$J$102+parametros_manuales!$F$40*(datos_base!$H$4+IF(parametros_manuales!$H$40="Todos",datos_base!$H$11,0))*parametros_manuales!$J$107+parametros_manuales!$G$40*(datos_base!$H$5+IF(parametros_manuales!$H$40="Todos",datos_base!$H$12,0))*parametros_manuales!$J$112)*parametros_manuales!$I$40*parametros_manuales!$J$40</f>
        <v>3801.25</v>
      </c>
      <c r="K191" s="8">
        <f>(parametros_manuales!$D$40*(datos_base!$H$2+IF(parametros_manuales!$H$40="Todos",datos_base!$H$9,0))*parametros_manuales!$K$97+parametros_manuales!$E$40*(datos_base!$H$3+IF(parametros_manuales!$H$40="Todos",datos_base!$H$10,0))*parametros_manuales!$K$102+parametros_manuales!$F$40*(datos_base!$H$4+IF(parametros_manuales!$H$40="Todos",datos_base!$H$11,0))*parametros_manuales!$K$107+parametros_manuales!$G$40*(datos_base!$H$5+IF(parametros_manuales!$H$40="Todos",datos_base!$H$12,0))*parametros_manuales!$K$112)*parametros_manuales!$I$40*parametros_manuales!$J$40</f>
        <v>3924.455</v>
      </c>
      <c r="L191" s="8">
        <f>(parametros_manuales!$D$40*(datos_base!$H$2+IF(parametros_manuales!$H$40="Todos",datos_base!$H$9,0))*parametros_manuales!$L$97+parametros_manuales!$E$40*(datos_base!$H$3+IF(parametros_manuales!$H$40="Todos",datos_base!$H$10,0))*parametros_manuales!$L$102+parametros_manuales!$F$40*(datos_base!$H$4+IF(parametros_manuales!$H$40="Todos",datos_base!$H$11,0))*parametros_manuales!$L$107+parametros_manuales!$G$40*(datos_base!$H$5+IF(parametros_manuales!$H$40="Todos",datos_base!$H$12,0))*parametros_manuales!$L$112)*parametros_manuales!$I$40*parametros_manuales!$J$40</f>
        <v>4047.66</v>
      </c>
      <c r="M191" s="8">
        <f>(parametros_manuales!$D$40*(datos_base!$H$2+IF(parametros_manuales!$H$40="Todos",datos_base!$H$9,0))*parametros_manuales!$M$97+parametros_manuales!$E$40*(datos_base!$H$3+IF(parametros_manuales!$H$40="Todos",datos_base!$H$10,0))*parametros_manuales!$M$102+parametros_manuales!$F$40*(datos_base!$H$4+IF(parametros_manuales!$H$40="Todos",datos_base!$H$11,0))*parametros_manuales!$M$107+parametros_manuales!$G$40*(datos_base!$H$5+IF(parametros_manuales!$H$40="Todos",datos_base!$H$12,0))*parametros_manuales!$M$112)*parametros_manuales!$I$40*parametros_manuales!$J$40</f>
        <v>4047.66</v>
      </c>
      <c r="N191" s="8">
        <f t="shared" si="19"/>
        <v>44974</v>
      </c>
      <c r="O191" s="8">
        <f t="shared" si="20"/>
        <v>4047.66</v>
      </c>
      <c r="P191" s="27">
        <f>O191/(parametros_manuales!$B$7)</f>
        <v>26.9844</v>
      </c>
      <c r="Q191" s="4" t="str">
        <f t="shared" si="21"/>
        <v>Ene</v>
      </c>
      <c r="R191" s="16"/>
      <c r="S191" s="16"/>
    </row>
    <row r="192" ht="14.25" customHeight="1">
      <c r="A192" s="4" t="str">
        <f>parametros_manuales!$B$41</f>
        <v>Presurización</v>
      </c>
      <c r="B192" s="8">
        <f>(parametros_manuales!$D$41*(datos_base!$H$2+IF(parametros_manuales!$H$41="Todos",datos_base!$H$9,0))*parametros_manuales!$B$97+parametros_manuales!$E$41*(datos_base!$H$3+IF(parametros_manuales!$H$41="Todos",datos_base!$H$10,0))*parametros_manuales!$B$102+parametros_manuales!$F$41*(datos_base!$H$4+IF(parametros_manuales!$H$41="Todos",datos_base!$H$11,0))*parametros_manuales!$B$107+parametros_manuales!$G$41*(datos_base!$H$5+IF(parametros_manuales!$H$41="Todos",datos_base!$H$12,0))*parametros_manuales!$B$112)*parametros_manuales!$I$41*parametros_manuales!$J$41</f>
        <v>4047.66</v>
      </c>
      <c r="C192" s="8">
        <f>(parametros_manuales!$D$41*(datos_base!$H$2+IF(parametros_manuales!$H$41="Todos",datos_base!$H$9,0))*parametros_manuales!$C$97+parametros_manuales!$E$41*(datos_base!$H$3+IF(parametros_manuales!$H$41="Todos",datos_base!$H$10,0))*parametros_manuales!$C$102+parametros_manuales!$F$41*(datos_base!$H$4+IF(parametros_manuales!$H$41="Todos",datos_base!$H$11,0))*parametros_manuales!$C$107+parametros_manuales!$G$41*(datos_base!$H$5+IF(parametros_manuales!$H$41="Todos",datos_base!$H$12,0))*parametros_manuales!$C$112)*parametros_manuales!$I$41*parametros_manuales!$J$41</f>
        <v>3801.25</v>
      </c>
      <c r="D192" s="8">
        <f>(parametros_manuales!$D$41*(datos_base!$H$2+IF(parametros_manuales!$H$41="Todos",datos_base!$H$9,0))*parametros_manuales!$D$97+parametros_manuales!$E$41*(datos_base!$H$3+IF(parametros_manuales!$H$41="Todos",datos_base!$H$10,0))*parametros_manuales!$D$102+parametros_manuales!$F$41*(datos_base!$H$4+IF(parametros_manuales!$H$41="Todos",datos_base!$H$11,0))*parametros_manuales!$D$107+parametros_manuales!$G$41*(datos_base!$H$5+IF(parametros_manuales!$H$41="Todos",datos_base!$H$12,0))*parametros_manuales!$D$112)*parametros_manuales!$I$41*parametros_manuales!$J$41</f>
        <v>3721.125</v>
      </c>
      <c r="E192" s="8">
        <f>(parametros_manuales!$D$41*(datos_base!$H$2+IF(parametros_manuales!$H$41="Todos",datos_base!$H$9,0))*parametros_manuales!$E$97+parametros_manuales!$E$41*(datos_base!$H$3+IF(parametros_manuales!$H$41="Todos",datos_base!$H$10,0))*parametros_manuales!$E$102+parametros_manuales!$F$41*(datos_base!$H$4+IF(parametros_manuales!$H$41="Todos",datos_base!$H$11,0))*parametros_manuales!$E$107+parametros_manuales!$G$41*(datos_base!$H$5+IF(parametros_manuales!$H$41="Todos",datos_base!$H$12,0))*parametros_manuales!$E$112)*parametros_manuales!$I$41*parametros_manuales!$J$41</f>
        <v>3619.46</v>
      </c>
      <c r="F192" s="8">
        <f>(parametros_manuales!$D$41*(datos_base!$H$2+IF(parametros_manuales!$H$41="Todos",datos_base!$H$9,0))*parametros_manuales!$F$97+parametros_manuales!$E$41*(datos_base!$H$3+IF(parametros_manuales!$H$41="Todos",datos_base!$H$10,0))*parametros_manuales!$F$102+parametros_manuales!$F$41*(datos_base!$H$4+IF(parametros_manuales!$H$41="Todos",datos_base!$H$11,0))*parametros_manuales!$F$107+parametros_manuales!$G$41*(datos_base!$H$5+IF(parametros_manuales!$H$41="Todos",datos_base!$H$12,0))*parametros_manuales!$F$112)*parametros_manuales!$I$41*parametros_manuales!$J$41</f>
        <v>3394.59</v>
      </c>
      <c r="G192" s="8">
        <f>(parametros_manuales!$D$41*(datos_base!$H$2+IF(parametros_manuales!$H$41="Todos",datos_base!$H$9,0))*parametros_manuales!$G$97+parametros_manuales!$E$41*(datos_base!$H$3+IF(parametros_manuales!$H$41="Todos",datos_base!$H$10,0))*parametros_manuales!$G$102+parametros_manuales!$F$41*(datos_base!$H$4+IF(parametros_manuales!$H$41="Todos",datos_base!$H$11,0))*parametros_manuales!$G$107+parametros_manuales!$G$41*(datos_base!$H$5+IF(parametros_manuales!$H$41="Todos",datos_base!$H$12,0))*parametros_manuales!$G$112)*parametros_manuales!$I$41*parametros_manuales!$J$41</f>
        <v>3271.385</v>
      </c>
      <c r="H192" s="8">
        <f>(parametros_manuales!$D$41*(datos_base!$H$2+IF(parametros_manuales!$H$41="Todos",datos_base!$H$9,0))*parametros_manuales!$H$97+parametros_manuales!$E$41*(datos_base!$H$3+IF(parametros_manuales!$H$41="Todos",datos_base!$H$10,0))*parametros_manuales!$H$102+parametros_manuales!$F$41*(datos_base!$H$4+IF(parametros_manuales!$H$41="Todos",datos_base!$H$11,0))*parametros_manuales!$H$107+parametros_manuales!$G$41*(datos_base!$H$5+IF(parametros_manuales!$H$41="Todos",datos_base!$H$12,0))*parametros_manuales!$H$112)*parametros_manuales!$I$41*parametros_manuales!$J$41</f>
        <v>3496.255</v>
      </c>
      <c r="I192" s="8">
        <f>(parametros_manuales!$D$41*(datos_base!$H$2+IF(parametros_manuales!$H$41="Todos",datos_base!$H$9,0))*parametros_manuales!$I$97+parametros_manuales!$E$41*(datos_base!$H$3+IF(parametros_manuales!$H$41="Todos",datos_base!$H$10,0))*parametros_manuales!$I$102+parametros_manuales!$F$41*(datos_base!$H$4+IF(parametros_manuales!$H$41="Todos",datos_base!$H$11,0))*parametros_manuales!$I$107+parametros_manuales!$G$41*(datos_base!$H$5+IF(parametros_manuales!$H$41="Todos",datos_base!$H$12,0))*parametros_manuales!$I$112)*parametros_manuales!$I$41*parametros_manuales!$J$41</f>
        <v>3801.25</v>
      </c>
      <c r="J192" s="8">
        <f>(parametros_manuales!$D$41*(datos_base!$H$2+IF(parametros_manuales!$H$41="Todos",datos_base!$H$9,0))*parametros_manuales!$J$97+parametros_manuales!$E$41*(datos_base!$H$3+IF(parametros_manuales!$H$41="Todos",datos_base!$H$10,0))*parametros_manuales!$J$102+parametros_manuales!$F$41*(datos_base!$H$4+IF(parametros_manuales!$H$41="Todos",datos_base!$H$11,0))*parametros_manuales!$J$107+parametros_manuales!$G$41*(datos_base!$H$5+IF(parametros_manuales!$H$41="Todos",datos_base!$H$12,0))*parametros_manuales!$J$112)*parametros_manuales!$I$41*parametros_manuales!$J$41</f>
        <v>3801.25</v>
      </c>
      <c r="K192" s="8">
        <f>(parametros_manuales!$D$41*(datos_base!$H$2+IF(parametros_manuales!$H$41="Todos",datos_base!$H$9,0))*parametros_manuales!$K$97+parametros_manuales!$E$41*(datos_base!$H$3+IF(parametros_manuales!$H$41="Todos",datos_base!$H$10,0))*parametros_manuales!$K$102+parametros_manuales!$F$41*(datos_base!$H$4+IF(parametros_manuales!$H$41="Todos",datos_base!$H$11,0))*parametros_manuales!$K$107+parametros_manuales!$G$41*(datos_base!$H$5+IF(parametros_manuales!$H$41="Todos",datos_base!$H$12,0))*parametros_manuales!$K$112)*parametros_manuales!$I$41*parametros_manuales!$J$41</f>
        <v>3924.455</v>
      </c>
      <c r="L192" s="8">
        <f>(parametros_manuales!$D$41*(datos_base!$H$2+IF(parametros_manuales!$H$41="Todos",datos_base!$H$9,0))*parametros_manuales!$L$97+parametros_manuales!$E$41*(datos_base!$H$3+IF(parametros_manuales!$H$41="Todos",datos_base!$H$10,0))*parametros_manuales!$L$102+parametros_manuales!$F$41*(datos_base!$H$4+IF(parametros_manuales!$H$41="Todos",datos_base!$H$11,0))*parametros_manuales!$L$107+parametros_manuales!$G$41*(datos_base!$H$5+IF(parametros_manuales!$H$41="Todos",datos_base!$H$12,0))*parametros_manuales!$L$112)*parametros_manuales!$I$41*parametros_manuales!$J$41</f>
        <v>4047.66</v>
      </c>
      <c r="M192" s="8">
        <f>(parametros_manuales!$D$41*(datos_base!$H$2+IF(parametros_manuales!$H$41="Todos",datos_base!$H$9,0))*parametros_manuales!$M$97+parametros_manuales!$E$41*(datos_base!$H$3+IF(parametros_manuales!$H$41="Todos",datos_base!$H$10,0))*parametros_manuales!$M$102+parametros_manuales!$F$41*(datos_base!$H$4+IF(parametros_manuales!$H$41="Todos",datos_base!$H$11,0))*parametros_manuales!$M$107+parametros_manuales!$G$41*(datos_base!$H$5+IF(parametros_manuales!$H$41="Todos",datos_base!$H$12,0))*parametros_manuales!$M$112)*parametros_manuales!$I$41*parametros_manuales!$J$41</f>
        <v>4047.66</v>
      </c>
      <c r="N192" s="8">
        <f t="shared" si="19"/>
        <v>44974</v>
      </c>
      <c r="O192" s="8">
        <f t="shared" si="20"/>
        <v>4047.66</v>
      </c>
      <c r="P192" s="27">
        <f>O192/(parametros_manuales!$B$7)</f>
        <v>26.9844</v>
      </c>
      <c r="Q192" s="4" t="str">
        <f t="shared" si="21"/>
        <v>Ene</v>
      </c>
      <c r="R192" s="16"/>
      <c r="S192" s="16"/>
    </row>
    <row r="193" ht="14.25" customHeight="1">
      <c r="A193" s="4" t="str">
        <f>parametros_manuales!$B$42</f>
        <v>Control de calidad — Ensayo de pérdidas</v>
      </c>
      <c r="B193" s="8">
        <f>(parametros_manuales!$D$42*(datos_base!$H$2+IF(parametros_manuales!$H$42="Todos",datos_base!$H$9,0))*parametros_manuales!$B$97+parametros_manuales!$E$42*(datos_base!$H$3+IF(parametros_manuales!$H$42="Todos",datos_base!$H$10,0))*parametros_manuales!$B$102+parametros_manuales!$F$42*(datos_base!$H$4+IF(parametros_manuales!$H$42="Todos",datos_base!$H$11,0))*parametros_manuales!$B$107+parametros_manuales!$G$42*(datos_base!$H$5+IF(parametros_manuales!$H$42="Todos",datos_base!$H$12,0))*parametros_manuales!$B$112)*parametros_manuales!$I$42*parametros_manuales!$J$42</f>
        <v>4047.66</v>
      </c>
      <c r="C193" s="8">
        <f>(parametros_manuales!$D$42*(datos_base!$H$2+IF(parametros_manuales!$H$42="Todos",datos_base!$H$9,0))*parametros_manuales!$C$97+parametros_manuales!$E$42*(datos_base!$H$3+IF(parametros_manuales!$H$42="Todos",datos_base!$H$10,0))*parametros_manuales!$C$102+parametros_manuales!$F$42*(datos_base!$H$4+IF(parametros_manuales!$H$42="Todos",datos_base!$H$11,0))*parametros_manuales!$C$107+parametros_manuales!$G$42*(datos_base!$H$5+IF(parametros_manuales!$H$42="Todos",datos_base!$H$12,0))*parametros_manuales!$C$112)*parametros_manuales!$I$42*parametros_manuales!$J$42</f>
        <v>3801.25</v>
      </c>
      <c r="D193" s="8">
        <f>(parametros_manuales!$D$42*(datos_base!$H$2+IF(parametros_manuales!$H$42="Todos",datos_base!$H$9,0))*parametros_manuales!$D$97+parametros_manuales!$E$42*(datos_base!$H$3+IF(parametros_manuales!$H$42="Todos",datos_base!$H$10,0))*parametros_manuales!$D$102+parametros_manuales!$F$42*(datos_base!$H$4+IF(parametros_manuales!$H$42="Todos",datos_base!$H$11,0))*parametros_manuales!$D$107+parametros_manuales!$G$42*(datos_base!$H$5+IF(parametros_manuales!$H$42="Todos",datos_base!$H$12,0))*parametros_manuales!$D$112)*parametros_manuales!$I$42*parametros_manuales!$J$42</f>
        <v>3721.125</v>
      </c>
      <c r="E193" s="8">
        <f>(parametros_manuales!$D$42*(datos_base!$H$2+IF(parametros_manuales!$H$42="Todos",datos_base!$H$9,0))*parametros_manuales!$E$97+parametros_manuales!$E$42*(datos_base!$H$3+IF(parametros_manuales!$H$42="Todos",datos_base!$H$10,0))*parametros_manuales!$E$102+parametros_manuales!$F$42*(datos_base!$H$4+IF(parametros_manuales!$H$42="Todos",datos_base!$H$11,0))*parametros_manuales!$E$107+parametros_manuales!$G$42*(datos_base!$H$5+IF(parametros_manuales!$H$42="Todos",datos_base!$H$12,0))*parametros_manuales!$E$112)*parametros_manuales!$I$42*parametros_manuales!$J$42</f>
        <v>3619.46</v>
      </c>
      <c r="F193" s="8">
        <f>(parametros_manuales!$D$42*(datos_base!$H$2+IF(parametros_manuales!$H$42="Todos",datos_base!$H$9,0))*parametros_manuales!$F$97+parametros_manuales!$E$42*(datos_base!$H$3+IF(parametros_manuales!$H$42="Todos",datos_base!$H$10,0))*parametros_manuales!$F$102+parametros_manuales!$F$42*(datos_base!$H$4+IF(parametros_manuales!$H$42="Todos",datos_base!$H$11,0))*parametros_manuales!$F$107+parametros_manuales!$G$42*(datos_base!$H$5+IF(parametros_manuales!$H$42="Todos",datos_base!$H$12,0))*parametros_manuales!$F$112)*parametros_manuales!$I$42*parametros_manuales!$J$42</f>
        <v>3394.59</v>
      </c>
      <c r="G193" s="8">
        <f>(parametros_manuales!$D$42*(datos_base!$H$2+IF(parametros_manuales!$H$42="Todos",datos_base!$H$9,0))*parametros_manuales!$G$97+parametros_manuales!$E$42*(datos_base!$H$3+IF(parametros_manuales!$H$42="Todos",datos_base!$H$10,0))*parametros_manuales!$G$102+parametros_manuales!$F$42*(datos_base!$H$4+IF(parametros_manuales!$H$42="Todos",datos_base!$H$11,0))*parametros_manuales!$G$107+parametros_manuales!$G$42*(datos_base!$H$5+IF(parametros_manuales!$H$42="Todos",datos_base!$H$12,0))*parametros_manuales!$G$112)*parametros_manuales!$I$42*parametros_manuales!$J$42</f>
        <v>3271.385</v>
      </c>
      <c r="H193" s="8">
        <f>(parametros_manuales!$D$42*(datos_base!$H$2+IF(parametros_manuales!$H$42="Todos",datos_base!$H$9,0))*parametros_manuales!$H$97+parametros_manuales!$E$42*(datos_base!$H$3+IF(parametros_manuales!$H$42="Todos",datos_base!$H$10,0))*parametros_manuales!$H$102+parametros_manuales!$F$42*(datos_base!$H$4+IF(parametros_manuales!$H$42="Todos",datos_base!$H$11,0))*parametros_manuales!$H$107+parametros_manuales!$G$42*(datos_base!$H$5+IF(parametros_manuales!$H$42="Todos",datos_base!$H$12,0))*parametros_manuales!$H$112)*parametros_manuales!$I$42*parametros_manuales!$J$42</f>
        <v>3496.255</v>
      </c>
      <c r="I193" s="8">
        <f>(parametros_manuales!$D$42*(datos_base!$H$2+IF(parametros_manuales!$H$42="Todos",datos_base!$H$9,0))*parametros_manuales!$I$97+parametros_manuales!$E$42*(datos_base!$H$3+IF(parametros_manuales!$H$42="Todos",datos_base!$H$10,0))*parametros_manuales!$I$102+parametros_manuales!$F$42*(datos_base!$H$4+IF(parametros_manuales!$H$42="Todos",datos_base!$H$11,0))*parametros_manuales!$I$107+parametros_manuales!$G$42*(datos_base!$H$5+IF(parametros_manuales!$H$42="Todos",datos_base!$H$12,0))*parametros_manuales!$I$112)*parametros_manuales!$I$42*parametros_manuales!$J$42</f>
        <v>3801.25</v>
      </c>
      <c r="J193" s="8">
        <f>(parametros_manuales!$D$42*(datos_base!$H$2+IF(parametros_manuales!$H$42="Todos",datos_base!$H$9,0))*parametros_manuales!$J$97+parametros_manuales!$E$42*(datos_base!$H$3+IF(parametros_manuales!$H$42="Todos",datos_base!$H$10,0))*parametros_manuales!$J$102+parametros_manuales!$F$42*(datos_base!$H$4+IF(parametros_manuales!$H$42="Todos",datos_base!$H$11,0))*parametros_manuales!$J$107+parametros_manuales!$G$42*(datos_base!$H$5+IF(parametros_manuales!$H$42="Todos",datos_base!$H$12,0))*parametros_manuales!$J$112)*parametros_manuales!$I$42*parametros_manuales!$J$42</f>
        <v>3801.25</v>
      </c>
      <c r="K193" s="8">
        <f>(parametros_manuales!$D$42*(datos_base!$H$2+IF(parametros_manuales!$H$42="Todos",datos_base!$H$9,0))*parametros_manuales!$K$97+parametros_manuales!$E$42*(datos_base!$H$3+IF(parametros_manuales!$H$42="Todos",datos_base!$H$10,0))*parametros_manuales!$K$102+parametros_manuales!$F$42*(datos_base!$H$4+IF(parametros_manuales!$H$42="Todos",datos_base!$H$11,0))*parametros_manuales!$K$107+parametros_manuales!$G$42*(datos_base!$H$5+IF(parametros_manuales!$H$42="Todos",datos_base!$H$12,0))*parametros_manuales!$K$112)*parametros_manuales!$I$42*parametros_manuales!$J$42</f>
        <v>3924.455</v>
      </c>
      <c r="L193" s="8">
        <f>(parametros_manuales!$D$42*(datos_base!$H$2+IF(parametros_manuales!$H$42="Todos",datos_base!$H$9,0))*parametros_manuales!$L$97+parametros_manuales!$E$42*(datos_base!$H$3+IF(parametros_manuales!$H$42="Todos",datos_base!$H$10,0))*parametros_manuales!$L$102+parametros_manuales!$F$42*(datos_base!$H$4+IF(parametros_manuales!$H$42="Todos",datos_base!$H$11,0))*parametros_manuales!$L$107+parametros_manuales!$G$42*(datos_base!$H$5+IF(parametros_manuales!$H$42="Todos",datos_base!$H$12,0))*parametros_manuales!$L$112)*parametros_manuales!$I$42*parametros_manuales!$J$42</f>
        <v>4047.66</v>
      </c>
      <c r="M193" s="8">
        <f>(parametros_manuales!$D$42*(datos_base!$H$2+IF(parametros_manuales!$H$42="Todos",datos_base!$H$9,0))*parametros_manuales!$M$97+parametros_manuales!$E$42*(datos_base!$H$3+IF(parametros_manuales!$H$42="Todos",datos_base!$H$10,0))*parametros_manuales!$M$102+parametros_manuales!$F$42*(datos_base!$H$4+IF(parametros_manuales!$H$42="Todos",datos_base!$H$11,0))*parametros_manuales!$M$107+parametros_manuales!$G$42*(datos_base!$H$5+IF(parametros_manuales!$H$42="Todos",datos_base!$H$12,0))*parametros_manuales!$M$112)*parametros_manuales!$I$42*parametros_manuales!$J$42</f>
        <v>4047.66</v>
      </c>
      <c r="N193" s="8">
        <f t="shared" si="19"/>
        <v>44974</v>
      </c>
      <c r="O193" s="8">
        <f t="shared" si="20"/>
        <v>4047.66</v>
      </c>
      <c r="P193" s="27">
        <f>O193/(parametros_manuales!$B$7)</f>
        <v>26.9844</v>
      </c>
      <c r="Q193" s="4" t="str">
        <f t="shared" si="21"/>
        <v>Ene</v>
      </c>
      <c r="R193" s="16"/>
      <c r="S193" s="16"/>
    </row>
    <row r="194" ht="14.25" customHeight="1">
      <c r="A194" s="4" t="str">
        <f>parametros_manuales!$B$43</f>
        <v>Etiquetado</v>
      </c>
      <c r="B194" s="8">
        <f>(parametros_manuales!$D$43*(datos_base!$H$2+IF(parametros_manuales!$H$43="Todos",datos_base!$H$9,0))*parametros_manuales!$B$97+parametros_manuales!$E$43*(datos_base!$H$3+IF(parametros_manuales!$H$43="Todos",datos_base!$H$10,0))*parametros_manuales!$B$102+parametros_manuales!$F$43*(datos_base!$H$4+IF(parametros_manuales!$H$43="Todos",datos_base!$H$11,0))*parametros_manuales!$B$107+parametros_manuales!$G$43*(datos_base!$H$5+IF(parametros_manuales!$H$43="Todos",datos_base!$H$12,0))*parametros_manuales!$B$112)*parametros_manuales!$I$43*parametros_manuales!$J$43</f>
        <v>4047.66</v>
      </c>
      <c r="C194" s="8">
        <f>(parametros_manuales!$D$43*(datos_base!$H$2+IF(parametros_manuales!$H$43="Todos",datos_base!$H$9,0))*parametros_manuales!$C$97+parametros_manuales!$E$43*(datos_base!$H$3+IF(parametros_manuales!$H$43="Todos",datos_base!$H$10,0))*parametros_manuales!$C$102+parametros_manuales!$F$43*(datos_base!$H$4+IF(parametros_manuales!$H$43="Todos",datos_base!$H$11,0))*parametros_manuales!$C$107+parametros_manuales!$G$43*(datos_base!$H$5+IF(parametros_manuales!$H$43="Todos",datos_base!$H$12,0))*parametros_manuales!$C$112)*parametros_manuales!$I$43*parametros_manuales!$J$43</f>
        <v>3801.25</v>
      </c>
      <c r="D194" s="8">
        <f>(parametros_manuales!$D$43*(datos_base!$H$2+IF(parametros_manuales!$H$43="Todos",datos_base!$H$9,0))*parametros_manuales!$D$97+parametros_manuales!$E$43*(datos_base!$H$3+IF(parametros_manuales!$H$43="Todos",datos_base!$H$10,0))*parametros_manuales!$D$102+parametros_manuales!$F$43*(datos_base!$H$4+IF(parametros_manuales!$H$43="Todos",datos_base!$H$11,0))*parametros_manuales!$D$107+parametros_manuales!$G$43*(datos_base!$H$5+IF(parametros_manuales!$H$43="Todos",datos_base!$H$12,0))*parametros_manuales!$D$112)*parametros_manuales!$I$43*parametros_manuales!$J$43</f>
        <v>3721.125</v>
      </c>
      <c r="E194" s="8">
        <f>(parametros_manuales!$D$43*(datos_base!$H$2+IF(parametros_manuales!$H$43="Todos",datos_base!$H$9,0))*parametros_manuales!$E$97+parametros_manuales!$E$43*(datos_base!$H$3+IF(parametros_manuales!$H$43="Todos",datos_base!$H$10,0))*parametros_manuales!$E$102+parametros_manuales!$F$43*(datos_base!$H$4+IF(parametros_manuales!$H$43="Todos",datos_base!$H$11,0))*parametros_manuales!$E$107+parametros_manuales!$G$43*(datos_base!$H$5+IF(parametros_manuales!$H$43="Todos",datos_base!$H$12,0))*parametros_manuales!$E$112)*parametros_manuales!$I$43*parametros_manuales!$J$43</f>
        <v>3619.46</v>
      </c>
      <c r="F194" s="8">
        <f>(parametros_manuales!$D$43*(datos_base!$H$2+IF(parametros_manuales!$H$43="Todos",datos_base!$H$9,0))*parametros_manuales!$F$97+parametros_manuales!$E$43*(datos_base!$H$3+IF(parametros_manuales!$H$43="Todos",datos_base!$H$10,0))*parametros_manuales!$F$102+parametros_manuales!$F$43*(datos_base!$H$4+IF(parametros_manuales!$H$43="Todos",datos_base!$H$11,0))*parametros_manuales!$F$107+parametros_manuales!$G$43*(datos_base!$H$5+IF(parametros_manuales!$H$43="Todos",datos_base!$H$12,0))*parametros_manuales!$F$112)*parametros_manuales!$I$43*parametros_manuales!$J$43</f>
        <v>3394.59</v>
      </c>
      <c r="G194" s="8">
        <f>(parametros_manuales!$D$43*(datos_base!$H$2+IF(parametros_manuales!$H$43="Todos",datos_base!$H$9,0))*parametros_manuales!$G$97+parametros_manuales!$E$43*(datos_base!$H$3+IF(parametros_manuales!$H$43="Todos",datos_base!$H$10,0))*parametros_manuales!$G$102+parametros_manuales!$F$43*(datos_base!$H$4+IF(parametros_manuales!$H$43="Todos",datos_base!$H$11,0))*parametros_manuales!$G$107+parametros_manuales!$G$43*(datos_base!$H$5+IF(parametros_manuales!$H$43="Todos",datos_base!$H$12,0))*parametros_manuales!$G$112)*parametros_manuales!$I$43*parametros_manuales!$J$43</f>
        <v>3271.385</v>
      </c>
      <c r="H194" s="8">
        <f>(parametros_manuales!$D$43*(datos_base!$H$2+IF(parametros_manuales!$H$43="Todos",datos_base!$H$9,0))*parametros_manuales!$H$97+parametros_manuales!$E$43*(datos_base!$H$3+IF(parametros_manuales!$H$43="Todos",datos_base!$H$10,0))*parametros_manuales!$H$102+parametros_manuales!$F$43*(datos_base!$H$4+IF(parametros_manuales!$H$43="Todos",datos_base!$H$11,0))*parametros_manuales!$H$107+parametros_manuales!$G$43*(datos_base!$H$5+IF(parametros_manuales!$H$43="Todos",datos_base!$H$12,0))*parametros_manuales!$H$112)*parametros_manuales!$I$43*parametros_manuales!$J$43</f>
        <v>3496.255</v>
      </c>
      <c r="I194" s="8">
        <f>(parametros_manuales!$D$43*(datos_base!$H$2+IF(parametros_manuales!$H$43="Todos",datos_base!$H$9,0))*parametros_manuales!$I$97+parametros_manuales!$E$43*(datos_base!$H$3+IF(parametros_manuales!$H$43="Todos",datos_base!$H$10,0))*parametros_manuales!$I$102+parametros_manuales!$F$43*(datos_base!$H$4+IF(parametros_manuales!$H$43="Todos",datos_base!$H$11,0))*parametros_manuales!$I$107+parametros_manuales!$G$43*(datos_base!$H$5+IF(parametros_manuales!$H$43="Todos",datos_base!$H$12,0))*parametros_manuales!$I$112)*parametros_manuales!$I$43*parametros_manuales!$J$43</f>
        <v>3801.25</v>
      </c>
      <c r="J194" s="8">
        <f>(parametros_manuales!$D$43*(datos_base!$H$2+IF(parametros_manuales!$H$43="Todos",datos_base!$H$9,0))*parametros_manuales!$J$97+parametros_manuales!$E$43*(datos_base!$H$3+IF(parametros_manuales!$H$43="Todos",datos_base!$H$10,0))*parametros_manuales!$J$102+parametros_manuales!$F$43*(datos_base!$H$4+IF(parametros_manuales!$H$43="Todos",datos_base!$H$11,0))*parametros_manuales!$J$107+parametros_manuales!$G$43*(datos_base!$H$5+IF(parametros_manuales!$H$43="Todos",datos_base!$H$12,0))*parametros_manuales!$J$112)*parametros_manuales!$I$43*parametros_manuales!$J$43</f>
        <v>3801.25</v>
      </c>
      <c r="K194" s="8">
        <f>(parametros_manuales!$D$43*(datos_base!$H$2+IF(parametros_manuales!$H$43="Todos",datos_base!$H$9,0))*parametros_manuales!$K$97+parametros_manuales!$E$43*(datos_base!$H$3+IF(parametros_manuales!$H$43="Todos",datos_base!$H$10,0))*parametros_manuales!$K$102+parametros_manuales!$F$43*(datos_base!$H$4+IF(parametros_manuales!$H$43="Todos",datos_base!$H$11,0))*parametros_manuales!$K$107+parametros_manuales!$G$43*(datos_base!$H$5+IF(parametros_manuales!$H$43="Todos",datos_base!$H$12,0))*parametros_manuales!$K$112)*parametros_manuales!$I$43*parametros_manuales!$J$43</f>
        <v>3924.455</v>
      </c>
      <c r="L194" s="8">
        <f>(parametros_manuales!$D$43*(datos_base!$H$2+IF(parametros_manuales!$H$43="Todos",datos_base!$H$9,0))*parametros_manuales!$L$97+parametros_manuales!$E$43*(datos_base!$H$3+IF(parametros_manuales!$H$43="Todos",datos_base!$H$10,0))*parametros_manuales!$L$102+parametros_manuales!$F$43*(datos_base!$H$4+IF(parametros_manuales!$H$43="Todos",datos_base!$H$11,0))*parametros_manuales!$L$107+parametros_manuales!$G$43*(datos_base!$H$5+IF(parametros_manuales!$H$43="Todos",datos_base!$H$12,0))*parametros_manuales!$L$112)*parametros_manuales!$I$43*parametros_manuales!$J$43</f>
        <v>4047.66</v>
      </c>
      <c r="M194" s="8">
        <f>(parametros_manuales!$D$43*(datos_base!$H$2+IF(parametros_manuales!$H$43="Todos",datos_base!$H$9,0))*parametros_manuales!$M$97+parametros_manuales!$E$43*(datos_base!$H$3+IF(parametros_manuales!$H$43="Todos",datos_base!$H$10,0))*parametros_manuales!$M$102+parametros_manuales!$F$43*(datos_base!$H$4+IF(parametros_manuales!$H$43="Todos",datos_base!$H$11,0))*parametros_manuales!$M$107+parametros_manuales!$G$43*(datos_base!$H$5+IF(parametros_manuales!$H$43="Todos",datos_base!$H$12,0))*parametros_manuales!$M$112)*parametros_manuales!$I$43*parametros_manuales!$J$43</f>
        <v>4047.66</v>
      </c>
      <c r="N194" s="8">
        <f t="shared" si="19"/>
        <v>44974</v>
      </c>
      <c r="O194" s="8">
        <f t="shared" si="20"/>
        <v>4047.66</v>
      </c>
      <c r="P194" s="27">
        <f>O194/(parametros_manuales!$B$7)</f>
        <v>26.9844</v>
      </c>
      <c r="Q194" s="4" t="str">
        <f t="shared" si="21"/>
        <v>Ene</v>
      </c>
      <c r="R194" s="16"/>
      <c r="S194" s="16"/>
    </row>
    <row r="195" ht="14.25" customHeight="1">
      <c r="A195" s="4" t="str">
        <f>parametros_manuales!$B$44</f>
        <v>Embalaje y paletizado</v>
      </c>
      <c r="B195" s="8">
        <f>(parametros_manuales!$D$44*(datos_base!$H$2+IF(parametros_manuales!$H$44="Todos",datos_base!$H$9,0))*parametros_manuales!$B$97+parametros_manuales!$E$44*(datos_base!$H$3+IF(parametros_manuales!$H$44="Todos",datos_base!$H$10,0))*parametros_manuales!$B$102+parametros_manuales!$F$44*(datos_base!$H$4+IF(parametros_manuales!$H$44="Todos",datos_base!$H$11,0))*parametros_manuales!$B$107+parametros_manuales!$G$44*(datos_base!$H$5+IF(parametros_manuales!$H$44="Todos",datos_base!$H$12,0))*parametros_manuales!$B$112)*parametros_manuales!$I$44*parametros_manuales!$J$44</f>
        <v>15478.65</v>
      </c>
      <c r="C195" s="8">
        <f>(parametros_manuales!$D$44*(datos_base!$H$2+IF(parametros_manuales!$H$44="Todos",datos_base!$H$9,0))*parametros_manuales!$C$97+parametros_manuales!$E$44*(datos_base!$H$3+IF(parametros_manuales!$H$44="Todos",datos_base!$H$10,0))*parametros_manuales!$C$102+parametros_manuales!$F$44*(datos_base!$H$4+IF(parametros_manuales!$H$44="Todos",datos_base!$H$11,0))*parametros_manuales!$C$107+parametros_manuales!$G$44*(datos_base!$H$5+IF(parametros_manuales!$H$44="Todos",datos_base!$H$12,0))*parametros_manuales!$C$112)*parametros_manuales!$I$44*parametros_manuales!$J$44</f>
        <v>14975.54</v>
      </c>
      <c r="D195" s="8">
        <f>(parametros_manuales!$D$44*(datos_base!$H$2+IF(parametros_manuales!$H$44="Todos",datos_base!$H$9,0))*parametros_manuales!$D$97+parametros_manuales!$E$44*(datos_base!$H$3+IF(parametros_manuales!$H$44="Todos",datos_base!$H$10,0))*parametros_manuales!$D$102+parametros_manuales!$F$44*(datos_base!$H$4+IF(parametros_manuales!$H$44="Todos",datos_base!$H$11,0))*parametros_manuales!$D$107+parametros_manuales!$G$44*(datos_base!$H$5+IF(parametros_manuales!$H$44="Todos",datos_base!$H$12,0))*parametros_manuales!$D$112)*parametros_manuales!$I$44*parametros_manuales!$J$44</f>
        <v>14010.355</v>
      </c>
      <c r="E195" s="8">
        <f>(parametros_manuales!$D$44*(datos_base!$H$2+IF(parametros_manuales!$H$44="Todos",datos_base!$H$9,0))*parametros_manuales!$E$97+parametros_manuales!$E$44*(datos_base!$H$3+IF(parametros_manuales!$H$44="Todos",datos_base!$H$10,0))*parametros_manuales!$E$102+parametros_manuales!$F$44*(datos_base!$H$4+IF(parametros_manuales!$H$44="Todos",datos_base!$H$11,0))*parametros_manuales!$E$107+parametros_manuales!$G$44*(datos_base!$H$5+IF(parametros_manuales!$H$44="Todos",datos_base!$H$12,0))*parametros_manuales!$E$112)*parametros_manuales!$I$44*parametros_manuales!$J$44</f>
        <v>13401.985</v>
      </c>
      <c r="F195" s="8">
        <f>(parametros_manuales!$D$44*(datos_base!$H$2+IF(parametros_manuales!$H$44="Todos",datos_base!$H$9,0))*parametros_manuales!$F$97+parametros_manuales!$E$44*(datos_base!$H$3+IF(parametros_manuales!$H$44="Todos",datos_base!$H$10,0))*parametros_manuales!$F$102+parametros_manuales!$F$44*(datos_base!$H$4+IF(parametros_manuales!$H$44="Todos",datos_base!$H$11,0))*parametros_manuales!$F$107+parametros_manuales!$G$44*(datos_base!$H$5+IF(parametros_manuales!$H$44="Todos",datos_base!$H$12,0))*parametros_manuales!$F$112)*parametros_manuales!$I$44*parametros_manuales!$J$44</f>
        <v>12542.06</v>
      </c>
      <c r="G195" s="8">
        <f>(parametros_manuales!$D$44*(datos_base!$H$2+IF(parametros_manuales!$H$44="Todos",datos_base!$H$9,0))*parametros_manuales!$G$97+parametros_manuales!$E$44*(datos_base!$H$3+IF(parametros_manuales!$H$44="Todos",datos_base!$H$10,0))*parametros_manuales!$G$102+parametros_manuales!$F$44*(datos_base!$H$4+IF(parametros_manuales!$H$44="Todos",datos_base!$H$11,0))*parametros_manuales!$G$107+parametros_manuales!$G$44*(datos_base!$H$5+IF(parametros_manuales!$H$44="Todos",datos_base!$H$12,0))*parametros_manuales!$G$112)*parametros_manuales!$I$44*parametros_manuales!$J$44</f>
        <v>12290.505</v>
      </c>
      <c r="H195" s="8">
        <f>(parametros_manuales!$D$44*(datos_base!$H$2+IF(parametros_manuales!$H$44="Todos",datos_base!$H$9,0))*parametros_manuales!$H$97+parametros_manuales!$E$44*(datos_base!$H$3+IF(parametros_manuales!$H$44="Todos",datos_base!$H$10,0))*parametros_manuales!$H$102+parametros_manuales!$F$44*(datos_base!$H$4+IF(parametros_manuales!$H$44="Todos",datos_base!$H$11,0))*parametros_manuales!$H$107+parametros_manuales!$G$44*(datos_base!$H$5+IF(parametros_manuales!$H$44="Todos",datos_base!$H$12,0))*parametros_manuales!$H$112)*parametros_manuales!$I$44*parametros_manuales!$J$44</f>
        <v>13150.43</v>
      </c>
      <c r="I195" s="8">
        <f>(parametros_manuales!$D$44*(datos_base!$H$2+IF(parametros_manuales!$H$44="Todos",datos_base!$H$9,0))*parametros_manuales!$I$97+parametros_manuales!$E$44*(datos_base!$H$3+IF(parametros_manuales!$H$44="Todos",datos_base!$H$10,0))*parametros_manuales!$I$102+parametros_manuales!$F$44*(datos_base!$H$4+IF(parametros_manuales!$H$44="Todos",datos_base!$H$11,0))*parametros_manuales!$I$107+parametros_manuales!$G$44*(datos_base!$H$5+IF(parametros_manuales!$H$44="Todos",datos_base!$H$12,0))*parametros_manuales!$I$112)*parametros_manuales!$I$44*parametros_manuales!$J$44</f>
        <v>14975.54</v>
      </c>
      <c r="J195" s="8">
        <f>(parametros_manuales!$D$44*(datos_base!$H$2+IF(parametros_manuales!$H$44="Todos",datos_base!$H$9,0))*parametros_manuales!$J$97+parametros_manuales!$E$44*(datos_base!$H$3+IF(parametros_manuales!$H$44="Todos",datos_base!$H$10,0))*parametros_manuales!$J$102+parametros_manuales!$F$44*(datos_base!$H$4+IF(parametros_manuales!$H$44="Todos",datos_base!$H$11,0))*parametros_manuales!$J$107+parametros_manuales!$G$44*(datos_base!$H$5+IF(parametros_manuales!$H$44="Todos",datos_base!$H$12,0))*parametros_manuales!$J$112)*parametros_manuales!$I$44*parametros_manuales!$J$44</f>
        <v>14975.54</v>
      </c>
      <c r="K195" s="8">
        <f>(parametros_manuales!$D$44*(datos_base!$H$2+IF(parametros_manuales!$H$44="Todos",datos_base!$H$9,0))*parametros_manuales!$K$97+parametros_manuales!$E$44*(datos_base!$H$3+IF(parametros_manuales!$H$44="Todos",datos_base!$H$10,0))*parametros_manuales!$K$102+parametros_manuales!$F$44*(datos_base!$H$4+IF(parametros_manuales!$H$44="Todos",datos_base!$H$11,0))*parametros_manuales!$K$107+parametros_manuales!$G$44*(datos_base!$H$5+IF(parametros_manuales!$H$44="Todos",datos_base!$H$12,0))*parametros_manuales!$K$112)*parametros_manuales!$I$44*parametros_manuales!$J$44</f>
        <v>15227.095</v>
      </c>
      <c r="L195" s="8">
        <f>(parametros_manuales!$D$44*(datos_base!$H$2+IF(parametros_manuales!$H$44="Todos",datos_base!$H$9,0))*parametros_manuales!$L$97+parametros_manuales!$E$44*(datos_base!$H$3+IF(parametros_manuales!$H$44="Todos",datos_base!$H$10,0))*parametros_manuales!$L$102+parametros_manuales!$F$44*(datos_base!$H$4+IF(parametros_manuales!$H$44="Todos",datos_base!$H$11,0))*parametros_manuales!$L$107+parametros_manuales!$G$44*(datos_base!$H$5+IF(parametros_manuales!$H$44="Todos",datos_base!$H$12,0))*parametros_manuales!$L$112)*parametros_manuales!$I$44*parametros_manuales!$J$44</f>
        <v>15478.65</v>
      </c>
      <c r="M195" s="8">
        <f>(parametros_manuales!$D$44*(datos_base!$H$2+IF(parametros_manuales!$H$44="Todos",datos_base!$H$9,0))*parametros_manuales!$M$97+parametros_manuales!$E$44*(datos_base!$H$3+IF(parametros_manuales!$H$44="Todos",datos_base!$H$10,0))*parametros_manuales!$M$102+parametros_manuales!$F$44*(datos_base!$H$4+IF(parametros_manuales!$H$44="Todos",datos_base!$H$11,0))*parametros_manuales!$M$107+parametros_manuales!$G$44*(datos_base!$H$5+IF(parametros_manuales!$H$44="Todos",datos_base!$H$12,0))*parametros_manuales!$M$112)*parametros_manuales!$I$44*parametros_manuales!$J$44</f>
        <v>15478.65</v>
      </c>
      <c r="N195" s="8">
        <f t="shared" si="19"/>
        <v>171985</v>
      </c>
      <c r="O195" s="8">
        <f t="shared" si="20"/>
        <v>15478.65</v>
      </c>
      <c r="P195" s="27">
        <f>O195/(parametros_manuales!$B$7)</f>
        <v>103.191</v>
      </c>
      <c r="Q195" s="4" t="str">
        <f t="shared" si="21"/>
        <v>Ene</v>
      </c>
      <c r="R195" s="16"/>
      <c r="S195" s="16"/>
    </row>
    <row r="196" ht="14.2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</row>
    <row r="197" ht="14.25" customHeight="1">
      <c r="A197" s="1" t="s">
        <v>234</v>
      </c>
      <c r="B197" s="1" t="s">
        <v>5</v>
      </c>
      <c r="C197" s="1" t="s">
        <v>6</v>
      </c>
      <c r="D197" s="1" t="s">
        <v>7</v>
      </c>
      <c r="E197" s="1" t="s">
        <v>8</v>
      </c>
      <c r="F197" s="1" t="s">
        <v>9</v>
      </c>
      <c r="G197" s="1" t="s">
        <v>10</v>
      </c>
      <c r="H197" s="1" t="s">
        <v>12</v>
      </c>
      <c r="I197" s="1" t="s">
        <v>13</v>
      </c>
      <c r="J197" s="1" t="s">
        <v>15</v>
      </c>
      <c r="K197" s="1" t="s">
        <v>16</v>
      </c>
      <c r="L197" s="1" t="s">
        <v>17</v>
      </c>
      <c r="M197" s="1" t="s">
        <v>18</v>
      </c>
      <c r="N197" s="1" t="s">
        <v>19</v>
      </c>
      <c r="O197" s="1" t="s">
        <v>20</v>
      </c>
      <c r="P197" s="1" t="s">
        <v>21</v>
      </c>
      <c r="Q197" s="1" t="s">
        <v>22</v>
      </c>
      <c r="R197" s="16"/>
      <c r="S197" s="16"/>
    </row>
    <row r="198" ht="14.25" customHeight="1">
      <c r="A198" s="4" t="str">
        <f>parametros_manuales!$B$19</f>
        <v>Recepción de materia prima</v>
      </c>
      <c r="B198" s="8">
        <f>(parametros_manuales!$D$19*(datos_base!$I$2+IF(parametros_manuales!$H$19="Todos",datos_base!$I$9,0))*parametros_manuales!$B$97+parametros_manuales!$E$19*(datos_base!$I$3+IF(parametros_manuales!$H$19="Todos",datos_base!$I$10,0))*parametros_manuales!$B$102+parametros_manuales!$F$19*(datos_base!$I$4+IF(parametros_manuales!$H$19="Todos",datos_base!$I$11,0))*parametros_manuales!$B$107+parametros_manuales!$G$19*(datos_base!$I$5+IF(parametros_manuales!$H$19="Todos",datos_base!$I$12,0))*parametros_manuales!$B$112)*parametros_manuales!$I$19*parametros_manuales!$J$19</f>
        <v>19764</v>
      </c>
      <c r="C198" s="8">
        <f>(parametros_manuales!$D$19*(datos_base!$I$2+IF(parametros_manuales!$H$19="Todos",datos_base!$I$9,0))*parametros_manuales!$C$97+parametros_manuales!$E$19*(datos_base!$I$3+IF(parametros_manuales!$H$19="Todos",datos_base!$I$10,0))*parametros_manuales!$C$102+parametros_manuales!$F$19*(datos_base!$I$4+IF(parametros_manuales!$H$19="Todos",datos_base!$I$11,0))*parametros_manuales!$C$107+parametros_manuales!$G$19*(datos_base!$I$5+IF(parametros_manuales!$H$19="Todos",datos_base!$I$12,0))*parametros_manuales!$C$112)*parametros_manuales!$I$19*parametros_manuales!$J$19</f>
        <v>19129.33</v>
      </c>
      <c r="D198" s="8">
        <f>(parametros_manuales!$D$19*(datos_base!$I$2+IF(parametros_manuales!$H$19="Todos",datos_base!$I$9,0))*parametros_manuales!$D$97+parametros_manuales!$E$19*(datos_base!$I$3+IF(parametros_manuales!$H$19="Todos",datos_base!$I$10,0))*parametros_manuales!$D$102+parametros_manuales!$F$19*(datos_base!$I$4+IF(parametros_manuales!$H$19="Todos",datos_base!$I$11,0))*parametros_manuales!$D$107+parametros_manuales!$G$19*(datos_base!$I$5+IF(parametros_manuales!$H$19="Todos",datos_base!$I$12,0))*parametros_manuales!$D$112)*parametros_manuales!$I$19*parametros_manuales!$J$19</f>
        <v>17885.335</v>
      </c>
      <c r="E198" s="8">
        <f>(parametros_manuales!$D$19*(datos_base!$I$2+IF(parametros_manuales!$H$19="Todos",datos_base!$I$9,0))*parametros_manuales!$E$97+parametros_manuales!$E$19*(datos_base!$I$3+IF(parametros_manuales!$H$19="Todos",datos_base!$I$10,0))*parametros_manuales!$E$102+parametros_manuales!$F$19*(datos_base!$I$4+IF(parametros_manuales!$H$19="Todos",datos_base!$I$11,0))*parametros_manuales!$E$107+parametros_manuales!$G$19*(datos_base!$I$5+IF(parametros_manuales!$H$19="Todos",datos_base!$I$12,0))*parametros_manuales!$E$112)*parametros_manuales!$I$19*parametros_manuales!$J$19</f>
        <v>17104.67</v>
      </c>
      <c r="F198" s="8">
        <f>(parametros_manuales!$D$19*(datos_base!$I$2+IF(parametros_manuales!$H$19="Todos",datos_base!$I$9,0))*parametros_manuales!$F$97+parametros_manuales!$E$19*(datos_base!$I$3+IF(parametros_manuales!$H$19="Todos",datos_base!$I$10,0))*parametros_manuales!$F$102+parametros_manuales!$F$19*(datos_base!$I$4+IF(parametros_manuales!$H$19="Todos",datos_base!$I$11,0))*parametros_manuales!$F$107+parametros_manuales!$G$19*(datos_base!$I$5+IF(parametros_manuales!$H$19="Todos",datos_base!$I$12,0))*parametros_manuales!$F$112)*parametros_manuales!$I$19*parametros_manuales!$J$19</f>
        <v>16006.67</v>
      </c>
      <c r="G198" s="8">
        <f>(parametros_manuales!$D$19*(datos_base!$I$2+IF(parametros_manuales!$H$19="Todos",datos_base!$I$9,0))*parametros_manuales!$G$97+parametros_manuales!$E$19*(datos_base!$I$3+IF(parametros_manuales!$H$19="Todos",datos_base!$I$10,0))*parametros_manuales!$G$102+parametros_manuales!$F$19*(datos_base!$I$4+IF(parametros_manuales!$H$19="Todos",datos_base!$I$11,0))*parametros_manuales!$G$107+parametros_manuales!$G$19*(datos_base!$I$5+IF(parametros_manuales!$H$19="Todos",datos_base!$I$12,0))*parametros_manuales!$G$112)*parametros_manuales!$I$19*parametros_manuales!$J$19</f>
        <v>15689.335</v>
      </c>
      <c r="H198" s="8">
        <f>(parametros_manuales!$D$19*(datos_base!$I$2+IF(parametros_manuales!$H$19="Todos",datos_base!$I$9,0))*parametros_manuales!$H$97+parametros_manuales!$E$19*(datos_base!$I$3+IF(parametros_manuales!$H$19="Todos",datos_base!$I$10,0))*parametros_manuales!$H$102+parametros_manuales!$F$19*(datos_base!$I$4+IF(parametros_manuales!$H$19="Todos",datos_base!$I$11,0))*parametros_manuales!$H$107+parametros_manuales!$G$19*(datos_base!$I$5+IF(parametros_manuales!$H$19="Todos",datos_base!$I$12,0))*parametros_manuales!$H$112)*parametros_manuales!$I$19*parametros_manuales!$J$19</f>
        <v>16787.335</v>
      </c>
      <c r="I198" s="8">
        <f>(parametros_manuales!$D$19*(datos_base!$I$2+IF(parametros_manuales!$H$19="Todos",datos_base!$I$9,0))*parametros_manuales!$I$97+parametros_manuales!$E$19*(datos_base!$I$3+IF(parametros_manuales!$H$19="Todos",datos_base!$I$10,0))*parametros_manuales!$I$102+parametros_manuales!$F$19*(datos_base!$I$4+IF(parametros_manuales!$H$19="Todos",datos_base!$I$11,0))*parametros_manuales!$I$107+parametros_manuales!$G$19*(datos_base!$I$5+IF(parametros_manuales!$H$19="Todos",datos_base!$I$12,0))*parametros_manuales!$I$112)*parametros_manuales!$I$19*parametros_manuales!$J$19</f>
        <v>19129.33</v>
      </c>
      <c r="J198" s="8">
        <f>(parametros_manuales!$D$19*(datos_base!$I$2+IF(parametros_manuales!$H$19="Todos",datos_base!$I$9,0))*parametros_manuales!$J$97+parametros_manuales!$E$19*(datos_base!$I$3+IF(parametros_manuales!$H$19="Todos",datos_base!$I$10,0))*parametros_manuales!$J$102+parametros_manuales!$F$19*(datos_base!$I$4+IF(parametros_manuales!$H$19="Todos",datos_base!$I$11,0))*parametros_manuales!$J$107+parametros_manuales!$G$19*(datos_base!$I$5+IF(parametros_manuales!$H$19="Todos",datos_base!$I$12,0))*parametros_manuales!$J$112)*parametros_manuales!$I$19*parametros_manuales!$J$19</f>
        <v>19129.33</v>
      </c>
      <c r="K198" s="8">
        <f>(parametros_manuales!$D$19*(datos_base!$I$2+IF(parametros_manuales!$H$19="Todos",datos_base!$I$9,0))*parametros_manuales!$K$97+parametros_manuales!$E$19*(datos_base!$I$3+IF(parametros_manuales!$H$19="Todos",datos_base!$I$10,0))*parametros_manuales!$K$102+parametros_manuales!$F$19*(datos_base!$I$4+IF(parametros_manuales!$H$19="Todos",datos_base!$I$11,0))*parametros_manuales!$K$107+parametros_manuales!$G$19*(datos_base!$I$5+IF(parametros_manuales!$H$19="Todos",datos_base!$I$12,0))*parametros_manuales!$K$112)*parametros_manuales!$I$19*parametros_manuales!$J$19</f>
        <v>19446.665</v>
      </c>
      <c r="L198" s="8">
        <f>(parametros_manuales!$D$19*(datos_base!$I$2+IF(parametros_manuales!$H$19="Todos",datos_base!$I$9,0))*parametros_manuales!$L$97+parametros_manuales!$E$19*(datos_base!$I$3+IF(parametros_manuales!$H$19="Todos",datos_base!$I$10,0))*parametros_manuales!$L$102+parametros_manuales!$F$19*(datos_base!$I$4+IF(parametros_manuales!$H$19="Todos",datos_base!$I$11,0))*parametros_manuales!$L$107+parametros_manuales!$G$19*(datos_base!$I$5+IF(parametros_manuales!$H$19="Todos",datos_base!$I$12,0))*parametros_manuales!$L$112)*parametros_manuales!$I$19*parametros_manuales!$J$19</f>
        <v>19764</v>
      </c>
      <c r="M198" s="8">
        <f>(parametros_manuales!$D$19*(datos_base!$I$2+IF(parametros_manuales!$H$19="Todos",datos_base!$I$9,0))*parametros_manuales!$M$97+parametros_manuales!$E$19*(datos_base!$I$3+IF(parametros_manuales!$H$19="Todos",datos_base!$I$10,0))*parametros_manuales!$M$102+parametros_manuales!$F$19*(datos_base!$I$4+IF(parametros_manuales!$H$19="Todos",datos_base!$I$11,0))*parametros_manuales!$M$107+parametros_manuales!$G$19*(datos_base!$I$5+IF(parametros_manuales!$H$19="Todos",datos_base!$I$12,0))*parametros_manuales!$M$112)*parametros_manuales!$I$19*parametros_manuales!$J$19</f>
        <v>19764</v>
      </c>
      <c r="N198" s="8">
        <f t="shared" ref="N198:N223" si="22">SUM(B198:M198)</f>
        <v>219600</v>
      </c>
      <c r="O198" s="8">
        <f t="shared" ref="O198:O223" si="23">MAX(B198:M198)</f>
        <v>19764</v>
      </c>
      <c r="P198" s="27">
        <f>O198/(parametros_manuales!$B$7)</f>
        <v>131.76</v>
      </c>
      <c r="Q198" s="4" t="str">
        <f t="shared" ref="Q198:Q223" si="24">IF(O198=0,"-",INDEX($B$197:$M$197,MATCH(O198,B198:M198,0)))</f>
        <v>Ene</v>
      </c>
      <c r="R198" s="16"/>
      <c r="S198" s="16"/>
    </row>
    <row r="199" ht="14.25" customHeight="1">
      <c r="A199" s="4" t="str">
        <f>parametros_manuales!$B$20</f>
        <v>Corte de chapa — 1.er corte en franjas (guillotina 1)</v>
      </c>
      <c r="B199" s="8">
        <f>(parametros_manuales!$D$20*(datos_base!$I$2+IF(parametros_manuales!$H$20="Todos",datos_base!$I$9,0))*parametros_manuales!$B$97+parametros_manuales!$E$20*(datos_base!$I$3+IF(parametros_manuales!$H$20="Todos",datos_base!$I$10,0))*parametros_manuales!$B$102+parametros_manuales!$F$20*(datos_base!$I$4+IF(parametros_manuales!$H$20="Todos",datos_base!$I$11,0))*parametros_manuales!$B$107+parametros_manuales!$G$20*(datos_base!$I$5+IF(parametros_manuales!$H$20="Todos",datos_base!$I$12,0))*parametros_manuales!$B$112)*parametros_manuales!$I$20*parametros_manuales!$J$20</f>
        <v>19764</v>
      </c>
      <c r="C199" s="8">
        <f>(parametros_manuales!$D$20*(datos_base!$I$2+IF(parametros_manuales!$H$20="Todos",datos_base!$I$9,0))*parametros_manuales!$C$97+parametros_manuales!$E$20*(datos_base!$I$3+IF(parametros_manuales!$H$20="Todos",datos_base!$I$10,0))*parametros_manuales!$C$102+parametros_manuales!$F$20*(datos_base!$I$4+IF(parametros_manuales!$H$20="Todos",datos_base!$I$11,0))*parametros_manuales!$C$107+parametros_manuales!$G$20*(datos_base!$I$5+IF(parametros_manuales!$H$20="Todos",datos_base!$I$12,0))*parametros_manuales!$C$112)*parametros_manuales!$I$20*parametros_manuales!$J$20</f>
        <v>19129.33</v>
      </c>
      <c r="D199" s="8">
        <f>(parametros_manuales!$D$20*(datos_base!$I$2+IF(parametros_manuales!$H$20="Todos",datos_base!$I$9,0))*parametros_manuales!$D$97+parametros_manuales!$E$20*(datos_base!$I$3+IF(parametros_manuales!$H$20="Todos",datos_base!$I$10,0))*parametros_manuales!$D$102+parametros_manuales!$F$20*(datos_base!$I$4+IF(parametros_manuales!$H$20="Todos",datos_base!$I$11,0))*parametros_manuales!$D$107+parametros_manuales!$G$20*(datos_base!$I$5+IF(parametros_manuales!$H$20="Todos",datos_base!$I$12,0))*parametros_manuales!$D$112)*parametros_manuales!$I$20*parametros_manuales!$J$20</f>
        <v>17885.335</v>
      </c>
      <c r="E199" s="8">
        <f>(parametros_manuales!$D$20*(datos_base!$I$2+IF(parametros_manuales!$H$20="Todos",datos_base!$I$9,0))*parametros_manuales!$E$97+parametros_manuales!$E$20*(datos_base!$I$3+IF(parametros_manuales!$H$20="Todos",datos_base!$I$10,0))*parametros_manuales!$E$102+parametros_manuales!$F$20*(datos_base!$I$4+IF(parametros_manuales!$H$20="Todos",datos_base!$I$11,0))*parametros_manuales!$E$107+parametros_manuales!$G$20*(datos_base!$I$5+IF(parametros_manuales!$H$20="Todos",datos_base!$I$12,0))*parametros_manuales!$E$112)*parametros_manuales!$I$20*parametros_manuales!$J$20</f>
        <v>17104.67</v>
      </c>
      <c r="F199" s="8">
        <f>(parametros_manuales!$D$20*(datos_base!$I$2+IF(parametros_manuales!$H$20="Todos",datos_base!$I$9,0))*parametros_manuales!$F$97+parametros_manuales!$E$20*(datos_base!$I$3+IF(parametros_manuales!$H$20="Todos",datos_base!$I$10,0))*parametros_manuales!$F$102+parametros_manuales!$F$20*(datos_base!$I$4+IF(parametros_manuales!$H$20="Todos",datos_base!$I$11,0))*parametros_manuales!$F$107+parametros_manuales!$G$20*(datos_base!$I$5+IF(parametros_manuales!$H$20="Todos",datos_base!$I$12,0))*parametros_manuales!$F$112)*parametros_manuales!$I$20*parametros_manuales!$J$20</f>
        <v>16006.67</v>
      </c>
      <c r="G199" s="8">
        <f>(parametros_manuales!$D$20*(datos_base!$I$2+IF(parametros_manuales!$H$20="Todos",datos_base!$I$9,0))*parametros_manuales!$G$97+parametros_manuales!$E$20*(datos_base!$I$3+IF(parametros_manuales!$H$20="Todos",datos_base!$I$10,0))*parametros_manuales!$G$102+parametros_manuales!$F$20*(datos_base!$I$4+IF(parametros_manuales!$H$20="Todos",datos_base!$I$11,0))*parametros_manuales!$G$107+parametros_manuales!$G$20*(datos_base!$I$5+IF(parametros_manuales!$H$20="Todos",datos_base!$I$12,0))*parametros_manuales!$G$112)*parametros_manuales!$I$20*parametros_manuales!$J$20</f>
        <v>15689.335</v>
      </c>
      <c r="H199" s="8">
        <f>(parametros_manuales!$D$20*(datos_base!$I$2+IF(parametros_manuales!$H$20="Todos",datos_base!$I$9,0))*parametros_manuales!$H$97+parametros_manuales!$E$20*(datos_base!$I$3+IF(parametros_manuales!$H$20="Todos",datos_base!$I$10,0))*parametros_manuales!$H$102+parametros_manuales!$F$20*(datos_base!$I$4+IF(parametros_manuales!$H$20="Todos",datos_base!$I$11,0))*parametros_manuales!$H$107+parametros_manuales!$G$20*(datos_base!$I$5+IF(parametros_manuales!$H$20="Todos",datos_base!$I$12,0))*parametros_manuales!$H$112)*parametros_manuales!$I$20*parametros_manuales!$J$20</f>
        <v>16787.335</v>
      </c>
      <c r="I199" s="8">
        <f>(parametros_manuales!$D$20*(datos_base!$I$2+IF(parametros_manuales!$H$20="Todos",datos_base!$I$9,0))*parametros_manuales!$I$97+parametros_manuales!$E$20*(datos_base!$I$3+IF(parametros_manuales!$H$20="Todos",datos_base!$I$10,0))*parametros_manuales!$I$102+parametros_manuales!$F$20*(datos_base!$I$4+IF(parametros_manuales!$H$20="Todos",datos_base!$I$11,0))*parametros_manuales!$I$107+parametros_manuales!$G$20*(datos_base!$I$5+IF(parametros_manuales!$H$20="Todos",datos_base!$I$12,0))*parametros_manuales!$I$112)*parametros_manuales!$I$20*parametros_manuales!$J$20</f>
        <v>19129.33</v>
      </c>
      <c r="J199" s="8">
        <f>(parametros_manuales!$D$20*(datos_base!$I$2+IF(parametros_manuales!$H$20="Todos",datos_base!$I$9,0))*parametros_manuales!$J$97+parametros_manuales!$E$20*(datos_base!$I$3+IF(parametros_manuales!$H$20="Todos",datos_base!$I$10,0))*parametros_manuales!$J$102+parametros_manuales!$F$20*(datos_base!$I$4+IF(parametros_manuales!$H$20="Todos",datos_base!$I$11,0))*parametros_manuales!$J$107+parametros_manuales!$G$20*(datos_base!$I$5+IF(parametros_manuales!$H$20="Todos",datos_base!$I$12,0))*parametros_manuales!$J$112)*parametros_manuales!$I$20*parametros_manuales!$J$20</f>
        <v>19129.33</v>
      </c>
      <c r="K199" s="8">
        <f>(parametros_manuales!$D$20*(datos_base!$I$2+IF(parametros_manuales!$H$20="Todos",datos_base!$I$9,0))*parametros_manuales!$K$97+parametros_manuales!$E$20*(datos_base!$I$3+IF(parametros_manuales!$H$20="Todos",datos_base!$I$10,0))*parametros_manuales!$K$102+parametros_manuales!$F$20*(datos_base!$I$4+IF(parametros_manuales!$H$20="Todos",datos_base!$I$11,0))*parametros_manuales!$K$107+parametros_manuales!$G$20*(datos_base!$I$5+IF(parametros_manuales!$H$20="Todos",datos_base!$I$12,0))*parametros_manuales!$K$112)*parametros_manuales!$I$20*parametros_manuales!$J$20</f>
        <v>19446.665</v>
      </c>
      <c r="L199" s="8">
        <f>(parametros_manuales!$D$20*(datos_base!$I$2+IF(parametros_manuales!$H$20="Todos",datos_base!$I$9,0))*parametros_manuales!$L$97+parametros_manuales!$E$20*(datos_base!$I$3+IF(parametros_manuales!$H$20="Todos",datos_base!$I$10,0))*parametros_manuales!$L$102+parametros_manuales!$F$20*(datos_base!$I$4+IF(parametros_manuales!$H$20="Todos",datos_base!$I$11,0))*parametros_manuales!$L$107+parametros_manuales!$G$20*(datos_base!$I$5+IF(parametros_manuales!$H$20="Todos",datos_base!$I$12,0))*parametros_manuales!$L$112)*parametros_manuales!$I$20*parametros_manuales!$J$20</f>
        <v>19764</v>
      </c>
      <c r="M199" s="8">
        <f>(parametros_manuales!$D$20*(datos_base!$I$2+IF(parametros_manuales!$H$20="Todos",datos_base!$I$9,0))*parametros_manuales!$M$97+parametros_manuales!$E$20*(datos_base!$I$3+IF(parametros_manuales!$H$20="Todos",datos_base!$I$10,0))*parametros_manuales!$M$102+parametros_manuales!$F$20*(datos_base!$I$4+IF(parametros_manuales!$H$20="Todos",datos_base!$I$11,0))*parametros_manuales!$M$107+parametros_manuales!$G$20*(datos_base!$I$5+IF(parametros_manuales!$H$20="Todos",datos_base!$I$12,0))*parametros_manuales!$M$112)*parametros_manuales!$I$20*parametros_manuales!$J$20</f>
        <v>19764</v>
      </c>
      <c r="N199" s="8">
        <f t="shared" si="22"/>
        <v>219600</v>
      </c>
      <c r="O199" s="8">
        <f t="shared" si="23"/>
        <v>19764</v>
      </c>
      <c r="P199" s="27">
        <f>O199/(parametros_manuales!$B$7)</f>
        <v>131.76</v>
      </c>
      <c r="Q199" s="4" t="str">
        <f t="shared" si="24"/>
        <v>Ene</v>
      </c>
      <c r="R199" s="16"/>
      <c r="S199" s="16"/>
    </row>
    <row r="200" ht="14.25" customHeight="1">
      <c r="A200" s="4" t="str">
        <f>parametros_manuales!$B$21</f>
        <v>Corte de chapa — 2.º corte en piezas (guillotina 2)</v>
      </c>
      <c r="B200" s="8">
        <f>(parametros_manuales!$D$21*(datos_base!$I$2+IF(parametros_manuales!$H$21="Todos",datos_base!$I$9,0))*parametros_manuales!$B$97+parametros_manuales!$E$21*(datos_base!$I$3+IF(parametros_manuales!$H$21="Todos",datos_base!$I$10,0))*parametros_manuales!$B$102+parametros_manuales!$F$21*(datos_base!$I$4+IF(parametros_manuales!$H$21="Todos",datos_base!$I$11,0))*parametros_manuales!$B$107+parametros_manuales!$G$21*(datos_base!$I$5+IF(parametros_manuales!$H$21="Todos",datos_base!$I$12,0))*parametros_manuales!$B$112)*parametros_manuales!$I$21*parametros_manuales!$J$21</f>
        <v>19764</v>
      </c>
      <c r="C200" s="8">
        <f>(parametros_manuales!$D$21*(datos_base!$I$2+IF(parametros_manuales!$H$21="Todos",datos_base!$I$9,0))*parametros_manuales!$C$97+parametros_manuales!$E$21*(datos_base!$I$3+IF(parametros_manuales!$H$21="Todos",datos_base!$I$10,0))*parametros_manuales!$C$102+parametros_manuales!$F$21*(datos_base!$I$4+IF(parametros_manuales!$H$21="Todos",datos_base!$I$11,0))*parametros_manuales!$C$107+parametros_manuales!$G$21*(datos_base!$I$5+IF(parametros_manuales!$H$21="Todos",datos_base!$I$12,0))*parametros_manuales!$C$112)*parametros_manuales!$I$21*parametros_manuales!$J$21</f>
        <v>19129.33</v>
      </c>
      <c r="D200" s="8">
        <f>(parametros_manuales!$D$21*(datos_base!$I$2+IF(parametros_manuales!$H$21="Todos",datos_base!$I$9,0))*parametros_manuales!$D$97+parametros_manuales!$E$21*(datos_base!$I$3+IF(parametros_manuales!$H$21="Todos",datos_base!$I$10,0))*parametros_manuales!$D$102+parametros_manuales!$F$21*(datos_base!$I$4+IF(parametros_manuales!$H$21="Todos",datos_base!$I$11,0))*parametros_manuales!$D$107+parametros_manuales!$G$21*(datos_base!$I$5+IF(parametros_manuales!$H$21="Todos",datos_base!$I$12,0))*parametros_manuales!$D$112)*parametros_manuales!$I$21*parametros_manuales!$J$21</f>
        <v>17885.335</v>
      </c>
      <c r="E200" s="8">
        <f>(parametros_manuales!$D$21*(datos_base!$I$2+IF(parametros_manuales!$H$21="Todos",datos_base!$I$9,0))*parametros_manuales!$E$97+parametros_manuales!$E$21*(datos_base!$I$3+IF(parametros_manuales!$H$21="Todos",datos_base!$I$10,0))*parametros_manuales!$E$102+parametros_manuales!$F$21*(datos_base!$I$4+IF(parametros_manuales!$H$21="Todos",datos_base!$I$11,0))*parametros_manuales!$E$107+parametros_manuales!$G$21*(datos_base!$I$5+IF(parametros_manuales!$H$21="Todos",datos_base!$I$12,0))*parametros_manuales!$E$112)*parametros_manuales!$I$21*parametros_manuales!$J$21</f>
        <v>17104.67</v>
      </c>
      <c r="F200" s="8">
        <f>(parametros_manuales!$D$21*(datos_base!$I$2+IF(parametros_manuales!$H$21="Todos",datos_base!$I$9,0))*parametros_manuales!$F$97+parametros_manuales!$E$21*(datos_base!$I$3+IF(parametros_manuales!$H$21="Todos",datos_base!$I$10,0))*parametros_manuales!$F$102+parametros_manuales!$F$21*(datos_base!$I$4+IF(parametros_manuales!$H$21="Todos",datos_base!$I$11,0))*parametros_manuales!$F$107+parametros_manuales!$G$21*(datos_base!$I$5+IF(parametros_manuales!$H$21="Todos",datos_base!$I$12,0))*parametros_manuales!$F$112)*parametros_manuales!$I$21*parametros_manuales!$J$21</f>
        <v>16006.67</v>
      </c>
      <c r="G200" s="8">
        <f>(parametros_manuales!$D$21*(datos_base!$I$2+IF(parametros_manuales!$H$21="Todos",datos_base!$I$9,0))*parametros_manuales!$G$97+parametros_manuales!$E$21*(datos_base!$I$3+IF(parametros_manuales!$H$21="Todos",datos_base!$I$10,0))*parametros_manuales!$G$102+parametros_manuales!$F$21*(datos_base!$I$4+IF(parametros_manuales!$H$21="Todos",datos_base!$I$11,0))*parametros_manuales!$G$107+parametros_manuales!$G$21*(datos_base!$I$5+IF(parametros_manuales!$H$21="Todos",datos_base!$I$12,0))*parametros_manuales!$G$112)*parametros_manuales!$I$21*parametros_manuales!$J$21</f>
        <v>15689.335</v>
      </c>
      <c r="H200" s="8">
        <f>(parametros_manuales!$D$21*(datos_base!$I$2+IF(parametros_manuales!$H$21="Todos",datos_base!$I$9,0))*parametros_manuales!$H$97+parametros_manuales!$E$21*(datos_base!$I$3+IF(parametros_manuales!$H$21="Todos",datos_base!$I$10,0))*parametros_manuales!$H$102+parametros_manuales!$F$21*(datos_base!$I$4+IF(parametros_manuales!$H$21="Todos",datos_base!$I$11,0))*parametros_manuales!$H$107+parametros_manuales!$G$21*(datos_base!$I$5+IF(parametros_manuales!$H$21="Todos",datos_base!$I$12,0))*parametros_manuales!$H$112)*parametros_manuales!$I$21*parametros_manuales!$J$21</f>
        <v>16787.335</v>
      </c>
      <c r="I200" s="8">
        <f>(parametros_manuales!$D$21*(datos_base!$I$2+IF(parametros_manuales!$H$21="Todos",datos_base!$I$9,0))*parametros_manuales!$I$97+parametros_manuales!$E$21*(datos_base!$I$3+IF(parametros_manuales!$H$21="Todos",datos_base!$I$10,0))*parametros_manuales!$I$102+parametros_manuales!$F$21*(datos_base!$I$4+IF(parametros_manuales!$H$21="Todos",datos_base!$I$11,0))*parametros_manuales!$I$107+parametros_manuales!$G$21*(datos_base!$I$5+IF(parametros_manuales!$H$21="Todos",datos_base!$I$12,0))*parametros_manuales!$I$112)*parametros_manuales!$I$21*parametros_manuales!$J$21</f>
        <v>19129.33</v>
      </c>
      <c r="J200" s="8">
        <f>(parametros_manuales!$D$21*(datos_base!$I$2+IF(parametros_manuales!$H$21="Todos",datos_base!$I$9,0))*parametros_manuales!$J$97+parametros_manuales!$E$21*(datos_base!$I$3+IF(parametros_manuales!$H$21="Todos",datos_base!$I$10,0))*parametros_manuales!$J$102+parametros_manuales!$F$21*(datos_base!$I$4+IF(parametros_manuales!$H$21="Todos",datos_base!$I$11,0))*parametros_manuales!$J$107+parametros_manuales!$G$21*(datos_base!$I$5+IF(parametros_manuales!$H$21="Todos",datos_base!$I$12,0))*parametros_manuales!$J$112)*parametros_manuales!$I$21*parametros_manuales!$J$21</f>
        <v>19129.33</v>
      </c>
      <c r="K200" s="8">
        <f>(parametros_manuales!$D$21*(datos_base!$I$2+IF(parametros_manuales!$H$21="Todos",datos_base!$I$9,0))*parametros_manuales!$K$97+parametros_manuales!$E$21*(datos_base!$I$3+IF(parametros_manuales!$H$21="Todos",datos_base!$I$10,0))*parametros_manuales!$K$102+parametros_manuales!$F$21*(datos_base!$I$4+IF(parametros_manuales!$H$21="Todos",datos_base!$I$11,0))*parametros_manuales!$K$107+parametros_manuales!$G$21*(datos_base!$I$5+IF(parametros_manuales!$H$21="Todos",datos_base!$I$12,0))*parametros_manuales!$K$112)*parametros_manuales!$I$21*parametros_manuales!$J$21</f>
        <v>19446.665</v>
      </c>
      <c r="L200" s="8">
        <f>(parametros_manuales!$D$21*(datos_base!$I$2+IF(parametros_manuales!$H$21="Todos",datos_base!$I$9,0))*parametros_manuales!$L$97+parametros_manuales!$E$21*(datos_base!$I$3+IF(parametros_manuales!$H$21="Todos",datos_base!$I$10,0))*parametros_manuales!$L$102+parametros_manuales!$F$21*(datos_base!$I$4+IF(parametros_manuales!$H$21="Todos",datos_base!$I$11,0))*parametros_manuales!$L$107+parametros_manuales!$G$21*(datos_base!$I$5+IF(parametros_manuales!$H$21="Todos",datos_base!$I$12,0))*parametros_manuales!$L$112)*parametros_manuales!$I$21*parametros_manuales!$J$21</f>
        <v>19764</v>
      </c>
      <c r="M200" s="8">
        <f>(parametros_manuales!$D$21*(datos_base!$I$2+IF(parametros_manuales!$H$21="Todos",datos_base!$I$9,0))*parametros_manuales!$M$97+parametros_manuales!$E$21*(datos_base!$I$3+IF(parametros_manuales!$H$21="Todos",datos_base!$I$10,0))*parametros_manuales!$M$102+parametros_manuales!$F$21*(datos_base!$I$4+IF(parametros_manuales!$H$21="Todos",datos_base!$I$11,0))*parametros_manuales!$M$107+parametros_manuales!$G$21*(datos_base!$I$5+IF(parametros_manuales!$H$21="Todos",datos_base!$I$12,0))*parametros_manuales!$M$112)*parametros_manuales!$I$21*parametros_manuales!$J$21</f>
        <v>19764</v>
      </c>
      <c r="N200" s="8">
        <f t="shared" si="22"/>
        <v>219600</v>
      </c>
      <c r="O200" s="8">
        <f t="shared" si="23"/>
        <v>19764</v>
      </c>
      <c r="P200" s="27">
        <f>O200/(parametros_manuales!$B$7)</f>
        <v>131.76</v>
      </c>
      <c r="Q200" s="4" t="str">
        <f t="shared" si="24"/>
        <v>Ene</v>
      </c>
      <c r="R200" s="16"/>
      <c r="S200" s="16"/>
    </row>
    <row r="201" ht="14.25" customHeight="1">
      <c r="A201" s="4" t="str">
        <f>parametros_manuales!$B$22</f>
        <v>Corte de disco y embutido (cúpula y fondo)</v>
      </c>
      <c r="B201" s="8">
        <f>(parametros_manuales!$D$22*(datos_base!$I$2+IF(parametros_manuales!$H$22="Todos",datos_base!$I$9,0))*parametros_manuales!$B$97+parametros_manuales!$E$22*(datos_base!$I$3+IF(parametros_manuales!$H$22="Todos",datos_base!$I$10,0))*parametros_manuales!$B$102+parametros_manuales!$F$22*(datos_base!$I$4+IF(parametros_manuales!$H$22="Todos",datos_base!$I$11,0))*parametros_manuales!$B$107+parametros_manuales!$G$22*(datos_base!$I$5+IF(parametros_manuales!$H$22="Todos",datos_base!$I$12,0))*parametros_manuales!$B$112)*parametros_manuales!$I$22*parametros_manuales!$J$22</f>
        <v>39528</v>
      </c>
      <c r="C201" s="8">
        <f>(parametros_manuales!$D$22*(datos_base!$I$2+IF(parametros_manuales!$H$22="Todos",datos_base!$I$9,0))*parametros_manuales!$C$97+parametros_manuales!$E$22*(datos_base!$I$3+IF(parametros_manuales!$H$22="Todos",datos_base!$I$10,0))*parametros_manuales!$C$102+parametros_manuales!$F$22*(datos_base!$I$4+IF(parametros_manuales!$H$22="Todos",datos_base!$I$11,0))*parametros_manuales!$C$107+parametros_manuales!$G$22*(datos_base!$I$5+IF(parametros_manuales!$H$22="Todos",datos_base!$I$12,0))*parametros_manuales!$C$112)*parametros_manuales!$I$22*parametros_manuales!$J$22</f>
        <v>38258.66</v>
      </c>
      <c r="D201" s="8">
        <f>(parametros_manuales!$D$22*(datos_base!$I$2+IF(parametros_manuales!$H$22="Todos",datos_base!$I$9,0))*parametros_manuales!$D$97+parametros_manuales!$E$22*(datos_base!$I$3+IF(parametros_manuales!$H$22="Todos",datos_base!$I$10,0))*parametros_manuales!$D$102+parametros_manuales!$F$22*(datos_base!$I$4+IF(parametros_manuales!$H$22="Todos",datos_base!$I$11,0))*parametros_manuales!$D$107+parametros_manuales!$G$22*(datos_base!$I$5+IF(parametros_manuales!$H$22="Todos",datos_base!$I$12,0))*parametros_manuales!$D$112)*parametros_manuales!$I$22*parametros_manuales!$J$22</f>
        <v>35770.67</v>
      </c>
      <c r="E201" s="8">
        <f>(parametros_manuales!$D$22*(datos_base!$I$2+IF(parametros_manuales!$H$22="Todos",datos_base!$I$9,0))*parametros_manuales!$E$97+parametros_manuales!$E$22*(datos_base!$I$3+IF(parametros_manuales!$H$22="Todos",datos_base!$I$10,0))*parametros_manuales!$E$102+parametros_manuales!$F$22*(datos_base!$I$4+IF(parametros_manuales!$H$22="Todos",datos_base!$I$11,0))*parametros_manuales!$E$107+parametros_manuales!$G$22*(datos_base!$I$5+IF(parametros_manuales!$H$22="Todos",datos_base!$I$12,0))*parametros_manuales!$E$112)*parametros_manuales!$I$22*parametros_manuales!$J$22</f>
        <v>34209.34</v>
      </c>
      <c r="F201" s="8">
        <f>(parametros_manuales!$D$22*(datos_base!$I$2+IF(parametros_manuales!$H$22="Todos",datos_base!$I$9,0))*parametros_manuales!$F$97+parametros_manuales!$E$22*(datos_base!$I$3+IF(parametros_manuales!$H$22="Todos",datos_base!$I$10,0))*parametros_manuales!$F$102+parametros_manuales!$F$22*(datos_base!$I$4+IF(parametros_manuales!$H$22="Todos",datos_base!$I$11,0))*parametros_manuales!$F$107+parametros_manuales!$G$22*(datos_base!$I$5+IF(parametros_manuales!$H$22="Todos",datos_base!$I$12,0))*parametros_manuales!$F$112)*parametros_manuales!$I$22*parametros_manuales!$J$22</f>
        <v>32013.34</v>
      </c>
      <c r="G201" s="8">
        <f>(parametros_manuales!$D$22*(datos_base!$I$2+IF(parametros_manuales!$H$22="Todos",datos_base!$I$9,0))*parametros_manuales!$G$97+parametros_manuales!$E$22*(datos_base!$I$3+IF(parametros_manuales!$H$22="Todos",datos_base!$I$10,0))*parametros_manuales!$G$102+parametros_manuales!$F$22*(datos_base!$I$4+IF(parametros_manuales!$H$22="Todos",datos_base!$I$11,0))*parametros_manuales!$G$107+parametros_manuales!$G$22*(datos_base!$I$5+IF(parametros_manuales!$H$22="Todos",datos_base!$I$12,0))*parametros_manuales!$G$112)*parametros_manuales!$I$22*parametros_manuales!$J$22</f>
        <v>31378.67</v>
      </c>
      <c r="H201" s="8">
        <f>(parametros_manuales!$D$22*(datos_base!$I$2+IF(parametros_manuales!$H$22="Todos",datos_base!$I$9,0))*parametros_manuales!$H$97+parametros_manuales!$E$22*(datos_base!$I$3+IF(parametros_manuales!$H$22="Todos",datos_base!$I$10,0))*parametros_manuales!$H$102+parametros_manuales!$F$22*(datos_base!$I$4+IF(parametros_manuales!$H$22="Todos",datos_base!$I$11,0))*parametros_manuales!$H$107+parametros_manuales!$G$22*(datos_base!$I$5+IF(parametros_manuales!$H$22="Todos",datos_base!$I$12,0))*parametros_manuales!$H$112)*parametros_manuales!$I$22*parametros_manuales!$J$22</f>
        <v>33574.67</v>
      </c>
      <c r="I201" s="8">
        <f>(parametros_manuales!$D$22*(datos_base!$I$2+IF(parametros_manuales!$H$22="Todos",datos_base!$I$9,0))*parametros_manuales!$I$97+parametros_manuales!$E$22*(datos_base!$I$3+IF(parametros_manuales!$H$22="Todos",datos_base!$I$10,0))*parametros_manuales!$I$102+parametros_manuales!$F$22*(datos_base!$I$4+IF(parametros_manuales!$H$22="Todos",datos_base!$I$11,0))*parametros_manuales!$I$107+parametros_manuales!$G$22*(datos_base!$I$5+IF(parametros_manuales!$H$22="Todos",datos_base!$I$12,0))*parametros_manuales!$I$112)*parametros_manuales!$I$22*parametros_manuales!$J$22</f>
        <v>38258.66</v>
      </c>
      <c r="J201" s="8">
        <f>(parametros_manuales!$D$22*(datos_base!$I$2+IF(parametros_manuales!$H$22="Todos",datos_base!$I$9,0))*parametros_manuales!$J$97+parametros_manuales!$E$22*(datos_base!$I$3+IF(parametros_manuales!$H$22="Todos",datos_base!$I$10,0))*parametros_manuales!$J$102+parametros_manuales!$F$22*(datos_base!$I$4+IF(parametros_manuales!$H$22="Todos",datos_base!$I$11,0))*parametros_manuales!$J$107+parametros_manuales!$G$22*(datos_base!$I$5+IF(parametros_manuales!$H$22="Todos",datos_base!$I$12,0))*parametros_manuales!$J$112)*parametros_manuales!$I$22*parametros_manuales!$J$22</f>
        <v>38258.66</v>
      </c>
      <c r="K201" s="8">
        <f>(parametros_manuales!$D$22*(datos_base!$I$2+IF(parametros_manuales!$H$22="Todos",datos_base!$I$9,0))*parametros_manuales!$K$97+parametros_manuales!$E$22*(datos_base!$I$3+IF(parametros_manuales!$H$22="Todos",datos_base!$I$10,0))*parametros_manuales!$K$102+parametros_manuales!$F$22*(datos_base!$I$4+IF(parametros_manuales!$H$22="Todos",datos_base!$I$11,0))*parametros_manuales!$K$107+parametros_manuales!$G$22*(datos_base!$I$5+IF(parametros_manuales!$H$22="Todos",datos_base!$I$12,0))*parametros_manuales!$K$112)*parametros_manuales!$I$22*parametros_manuales!$J$22</f>
        <v>38893.33</v>
      </c>
      <c r="L201" s="8">
        <f>(parametros_manuales!$D$22*(datos_base!$I$2+IF(parametros_manuales!$H$22="Todos",datos_base!$I$9,0))*parametros_manuales!$L$97+parametros_manuales!$E$22*(datos_base!$I$3+IF(parametros_manuales!$H$22="Todos",datos_base!$I$10,0))*parametros_manuales!$L$102+parametros_manuales!$F$22*(datos_base!$I$4+IF(parametros_manuales!$H$22="Todos",datos_base!$I$11,0))*parametros_manuales!$L$107+parametros_manuales!$G$22*(datos_base!$I$5+IF(parametros_manuales!$H$22="Todos",datos_base!$I$12,0))*parametros_manuales!$L$112)*parametros_manuales!$I$22*parametros_manuales!$J$22</f>
        <v>39528</v>
      </c>
      <c r="M201" s="8">
        <f>(parametros_manuales!$D$22*(datos_base!$I$2+IF(parametros_manuales!$H$22="Todos",datos_base!$I$9,0))*parametros_manuales!$M$97+parametros_manuales!$E$22*(datos_base!$I$3+IF(parametros_manuales!$H$22="Todos",datos_base!$I$10,0))*parametros_manuales!$M$102+parametros_manuales!$F$22*(datos_base!$I$4+IF(parametros_manuales!$H$22="Todos",datos_base!$I$11,0))*parametros_manuales!$M$107+parametros_manuales!$G$22*(datos_base!$I$5+IF(parametros_manuales!$H$22="Todos",datos_base!$I$12,0))*parametros_manuales!$M$112)*parametros_manuales!$I$22*parametros_manuales!$J$22</f>
        <v>39528</v>
      </c>
      <c r="N201" s="8">
        <f t="shared" si="22"/>
        <v>439200</v>
      </c>
      <c r="O201" s="8">
        <f t="shared" si="23"/>
        <v>39528</v>
      </c>
      <c r="P201" s="27">
        <f>O201/(parametros_manuales!$B$7)</f>
        <v>263.52</v>
      </c>
      <c r="Q201" s="4" t="str">
        <f t="shared" si="24"/>
        <v>Ene</v>
      </c>
      <c r="R201" s="16"/>
      <c r="S201" s="16"/>
    </row>
    <row r="202" ht="14.25" customHeight="1">
      <c r="A202" s="4" t="str">
        <f>parametros_manuales!$B$23</f>
        <v>Preparación de cuello</v>
      </c>
      <c r="B202" s="8">
        <f>(parametros_manuales!$D$23*(datos_base!$I$2+IF(parametros_manuales!$H$23="Todos",datos_base!$I$9,0))*parametros_manuales!$B$97+parametros_manuales!$E$23*(datos_base!$I$3+IF(parametros_manuales!$H$23="Todos",datos_base!$I$10,0))*parametros_manuales!$B$102+parametros_manuales!$F$23*(datos_base!$I$4+IF(parametros_manuales!$H$23="Todos",datos_base!$I$11,0))*parametros_manuales!$B$107+parametros_manuales!$G$23*(datos_base!$I$5+IF(parametros_manuales!$H$23="Todos",datos_base!$I$12,0))*parametros_manuales!$B$112)*parametros_manuales!$I$23*parametros_manuales!$J$23</f>
        <v>19764</v>
      </c>
      <c r="C202" s="8">
        <f>(parametros_manuales!$D$23*(datos_base!$I$2+IF(parametros_manuales!$H$23="Todos",datos_base!$I$9,0))*parametros_manuales!$C$97+parametros_manuales!$E$23*(datos_base!$I$3+IF(parametros_manuales!$H$23="Todos",datos_base!$I$10,0))*parametros_manuales!$C$102+parametros_manuales!$F$23*(datos_base!$I$4+IF(parametros_manuales!$H$23="Todos",datos_base!$I$11,0))*parametros_manuales!$C$107+parametros_manuales!$G$23*(datos_base!$I$5+IF(parametros_manuales!$H$23="Todos",datos_base!$I$12,0))*parametros_manuales!$C$112)*parametros_manuales!$I$23*parametros_manuales!$J$23</f>
        <v>19129.33</v>
      </c>
      <c r="D202" s="8">
        <f>(parametros_manuales!$D$23*(datos_base!$I$2+IF(parametros_manuales!$H$23="Todos",datos_base!$I$9,0))*parametros_manuales!$D$97+parametros_manuales!$E$23*(datos_base!$I$3+IF(parametros_manuales!$H$23="Todos",datos_base!$I$10,0))*parametros_manuales!$D$102+parametros_manuales!$F$23*(datos_base!$I$4+IF(parametros_manuales!$H$23="Todos",datos_base!$I$11,0))*parametros_manuales!$D$107+parametros_manuales!$G$23*(datos_base!$I$5+IF(parametros_manuales!$H$23="Todos",datos_base!$I$12,0))*parametros_manuales!$D$112)*parametros_manuales!$I$23*parametros_manuales!$J$23</f>
        <v>17885.335</v>
      </c>
      <c r="E202" s="8">
        <f>(parametros_manuales!$D$23*(datos_base!$I$2+IF(parametros_manuales!$H$23="Todos",datos_base!$I$9,0))*parametros_manuales!$E$97+parametros_manuales!$E$23*(datos_base!$I$3+IF(parametros_manuales!$H$23="Todos",datos_base!$I$10,0))*parametros_manuales!$E$102+parametros_manuales!$F$23*(datos_base!$I$4+IF(parametros_manuales!$H$23="Todos",datos_base!$I$11,0))*parametros_manuales!$E$107+parametros_manuales!$G$23*(datos_base!$I$5+IF(parametros_manuales!$H$23="Todos",datos_base!$I$12,0))*parametros_manuales!$E$112)*parametros_manuales!$I$23*parametros_manuales!$J$23</f>
        <v>17104.67</v>
      </c>
      <c r="F202" s="8">
        <f>(parametros_manuales!$D$23*(datos_base!$I$2+IF(parametros_manuales!$H$23="Todos",datos_base!$I$9,0))*parametros_manuales!$F$97+parametros_manuales!$E$23*(datos_base!$I$3+IF(parametros_manuales!$H$23="Todos",datos_base!$I$10,0))*parametros_manuales!$F$102+parametros_manuales!$F$23*(datos_base!$I$4+IF(parametros_manuales!$H$23="Todos",datos_base!$I$11,0))*parametros_manuales!$F$107+parametros_manuales!$G$23*(datos_base!$I$5+IF(parametros_manuales!$H$23="Todos",datos_base!$I$12,0))*parametros_manuales!$F$112)*parametros_manuales!$I$23*parametros_manuales!$J$23</f>
        <v>16006.67</v>
      </c>
      <c r="G202" s="8">
        <f>(parametros_manuales!$D$23*(datos_base!$I$2+IF(parametros_manuales!$H$23="Todos",datos_base!$I$9,0))*parametros_manuales!$G$97+parametros_manuales!$E$23*(datos_base!$I$3+IF(parametros_manuales!$H$23="Todos",datos_base!$I$10,0))*parametros_manuales!$G$102+parametros_manuales!$F$23*(datos_base!$I$4+IF(parametros_manuales!$H$23="Todos",datos_base!$I$11,0))*parametros_manuales!$G$107+parametros_manuales!$G$23*(datos_base!$I$5+IF(parametros_manuales!$H$23="Todos",datos_base!$I$12,0))*parametros_manuales!$G$112)*parametros_manuales!$I$23*parametros_manuales!$J$23</f>
        <v>15689.335</v>
      </c>
      <c r="H202" s="8">
        <f>(parametros_manuales!$D$23*(datos_base!$I$2+IF(parametros_manuales!$H$23="Todos",datos_base!$I$9,0))*parametros_manuales!$H$97+parametros_manuales!$E$23*(datos_base!$I$3+IF(parametros_manuales!$H$23="Todos",datos_base!$I$10,0))*parametros_manuales!$H$102+parametros_manuales!$F$23*(datos_base!$I$4+IF(parametros_manuales!$H$23="Todos",datos_base!$I$11,0))*parametros_manuales!$H$107+parametros_manuales!$G$23*(datos_base!$I$5+IF(parametros_manuales!$H$23="Todos",datos_base!$I$12,0))*parametros_manuales!$H$112)*parametros_manuales!$I$23*parametros_manuales!$J$23</f>
        <v>16787.335</v>
      </c>
      <c r="I202" s="8">
        <f>(parametros_manuales!$D$23*(datos_base!$I$2+IF(parametros_manuales!$H$23="Todos",datos_base!$I$9,0))*parametros_manuales!$I$97+parametros_manuales!$E$23*(datos_base!$I$3+IF(parametros_manuales!$H$23="Todos",datos_base!$I$10,0))*parametros_manuales!$I$102+parametros_manuales!$F$23*(datos_base!$I$4+IF(parametros_manuales!$H$23="Todos",datos_base!$I$11,0))*parametros_manuales!$I$107+parametros_manuales!$G$23*(datos_base!$I$5+IF(parametros_manuales!$H$23="Todos",datos_base!$I$12,0))*parametros_manuales!$I$112)*parametros_manuales!$I$23*parametros_manuales!$J$23</f>
        <v>19129.33</v>
      </c>
      <c r="J202" s="8">
        <f>(parametros_manuales!$D$23*(datos_base!$I$2+IF(parametros_manuales!$H$23="Todos",datos_base!$I$9,0))*parametros_manuales!$J$97+parametros_manuales!$E$23*(datos_base!$I$3+IF(parametros_manuales!$H$23="Todos",datos_base!$I$10,0))*parametros_manuales!$J$102+parametros_manuales!$F$23*(datos_base!$I$4+IF(parametros_manuales!$H$23="Todos",datos_base!$I$11,0))*parametros_manuales!$J$107+parametros_manuales!$G$23*(datos_base!$I$5+IF(parametros_manuales!$H$23="Todos",datos_base!$I$12,0))*parametros_manuales!$J$112)*parametros_manuales!$I$23*parametros_manuales!$J$23</f>
        <v>19129.33</v>
      </c>
      <c r="K202" s="8">
        <f>(parametros_manuales!$D$23*(datos_base!$I$2+IF(parametros_manuales!$H$23="Todos",datos_base!$I$9,0))*parametros_manuales!$K$97+parametros_manuales!$E$23*(datos_base!$I$3+IF(parametros_manuales!$H$23="Todos",datos_base!$I$10,0))*parametros_manuales!$K$102+parametros_manuales!$F$23*(datos_base!$I$4+IF(parametros_manuales!$H$23="Todos",datos_base!$I$11,0))*parametros_manuales!$K$107+parametros_manuales!$G$23*(datos_base!$I$5+IF(parametros_manuales!$H$23="Todos",datos_base!$I$12,0))*parametros_manuales!$K$112)*parametros_manuales!$I$23*parametros_manuales!$J$23</f>
        <v>19446.665</v>
      </c>
      <c r="L202" s="8">
        <f>(parametros_manuales!$D$23*(datos_base!$I$2+IF(parametros_manuales!$H$23="Todos",datos_base!$I$9,0))*parametros_manuales!$L$97+parametros_manuales!$E$23*(datos_base!$I$3+IF(parametros_manuales!$H$23="Todos",datos_base!$I$10,0))*parametros_manuales!$L$102+parametros_manuales!$F$23*(datos_base!$I$4+IF(parametros_manuales!$H$23="Todos",datos_base!$I$11,0))*parametros_manuales!$L$107+parametros_manuales!$G$23*(datos_base!$I$5+IF(parametros_manuales!$H$23="Todos",datos_base!$I$12,0))*parametros_manuales!$L$112)*parametros_manuales!$I$23*parametros_manuales!$J$23</f>
        <v>19764</v>
      </c>
      <c r="M202" s="8">
        <f>(parametros_manuales!$D$23*(datos_base!$I$2+IF(parametros_manuales!$H$23="Todos",datos_base!$I$9,0))*parametros_manuales!$M$97+parametros_manuales!$E$23*(datos_base!$I$3+IF(parametros_manuales!$H$23="Todos",datos_base!$I$10,0))*parametros_manuales!$M$102+parametros_manuales!$F$23*(datos_base!$I$4+IF(parametros_manuales!$H$23="Todos",datos_base!$I$11,0))*parametros_manuales!$M$107+parametros_manuales!$G$23*(datos_base!$I$5+IF(parametros_manuales!$H$23="Todos",datos_base!$I$12,0))*parametros_manuales!$M$112)*parametros_manuales!$I$23*parametros_manuales!$J$23</f>
        <v>19764</v>
      </c>
      <c r="N202" s="8">
        <f t="shared" si="22"/>
        <v>219600</v>
      </c>
      <c r="O202" s="8">
        <f t="shared" si="23"/>
        <v>19764</v>
      </c>
      <c r="P202" s="27">
        <f>O202/(parametros_manuales!$B$7)</f>
        <v>131.76</v>
      </c>
      <c r="Q202" s="4" t="str">
        <f t="shared" si="24"/>
        <v>Ene</v>
      </c>
      <c r="R202" s="16"/>
      <c r="S202" s="16"/>
    </row>
    <row r="203" ht="14.25" customHeight="1">
      <c r="A203" s="4" t="str">
        <f>parametros_manuales!$B$24</f>
        <v>Numerado de cúpula</v>
      </c>
      <c r="B203" s="8">
        <f>(parametros_manuales!$D$24*(datos_base!$I$2+IF(parametros_manuales!$H$24="Todos",datos_base!$I$9,0))*parametros_manuales!$B$97+parametros_manuales!$E$24*(datos_base!$I$3+IF(parametros_manuales!$H$24="Todos",datos_base!$I$10,0))*parametros_manuales!$B$102+parametros_manuales!$F$24*(datos_base!$I$4+IF(parametros_manuales!$H$24="Todos",datos_base!$I$11,0))*parametros_manuales!$B$107+parametros_manuales!$G$24*(datos_base!$I$5+IF(parametros_manuales!$H$24="Todos",datos_base!$I$12,0))*parametros_manuales!$B$112)*parametros_manuales!$I$24*parametros_manuales!$J$24</f>
        <v>19764</v>
      </c>
      <c r="C203" s="8">
        <f>(parametros_manuales!$D$24*(datos_base!$I$2+IF(parametros_manuales!$H$24="Todos",datos_base!$I$9,0))*parametros_manuales!$C$97+parametros_manuales!$E$24*(datos_base!$I$3+IF(parametros_manuales!$H$24="Todos",datos_base!$I$10,0))*parametros_manuales!$C$102+parametros_manuales!$F$24*(datos_base!$I$4+IF(parametros_manuales!$H$24="Todos",datos_base!$I$11,0))*parametros_manuales!$C$107+parametros_manuales!$G$24*(datos_base!$I$5+IF(parametros_manuales!$H$24="Todos",datos_base!$I$12,0))*parametros_manuales!$C$112)*parametros_manuales!$I$24*parametros_manuales!$J$24</f>
        <v>19129.33</v>
      </c>
      <c r="D203" s="8">
        <f>(parametros_manuales!$D$24*(datos_base!$I$2+IF(parametros_manuales!$H$24="Todos",datos_base!$I$9,0))*parametros_manuales!$D$97+parametros_manuales!$E$24*(datos_base!$I$3+IF(parametros_manuales!$H$24="Todos",datos_base!$I$10,0))*parametros_manuales!$D$102+parametros_manuales!$F$24*(datos_base!$I$4+IF(parametros_manuales!$H$24="Todos",datos_base!$I$11,0))*parametros_manuales!$D$107+parametros_manuales!$G$24*(datos_base!$I$5+IF(parametros_manuales!$H$24="Todos",datos_base!$I$12,0))*parametros_manuales!$D$112)*parametros_manuales!$I$24*parametros_manuales!$J$24</f>
        <v>17885.335</v>
      </c>
      <c r="E203" s="8">
        <f>(parametros_manuales!$D$24*(datos_base!$I$2+IF(parametros_manuales!$H$24="Todos",datos_base!$I$9,0))*parametros_manuales!$E$97+parametros_manuales!$E$24*(datos_base!$I$3+IF(parametros_manuales!$H$24="Todos",datos_base!$I$10,0))*parametros_manuales!$E$102+parametros_manuales!$F$24*(datos_base!$I$4+IF(parametros_manuales!$H$24="Todos",datos_base!$I$11,0))*parametros_manuales!$E$107+parametros_manuales!$G$24*(datos_base!$I$5+IF(parametros_manuales!$H$24="Todos",datos_base!$I$12,0))*parametros_manuales!$E$112)*parametros_manuales!$I$24*parametros_manuales!$J$24</f>
        <v>17104.67</v>
      </c>
      <c r="F203" s="8">
        <f>(parametros_manuales!$D$24*(datos_base!$I$2+IF(parametros_manuales!$H$24="Todos",datos_base!$I$9,0))*parametros_manuales!$F$97+parametros_manuales!$E$24*(datos_base!$I$3+IF(parametros_manuales!$H$24="Todos",datos_base!$I$10,0))*parametros_manuales!$F$102+parametros_manuales!$F$24*(datos_base!$I$4+IF(parametros_manuales!$H$24="Todos",datos_base!$I$11,0))*parametros_manuales!$F$107+parametros_manuales!$G$24*(datos_base!$I$5+IF(parametros_manuales!$H$24="Todos",datos_base!$I$12,0))*parametros_manuales!$F$112)*parametros_manuales!$I$24*parametros_manuales!$J$24</f>
        <v>16006.67</v>
      </c>
      <c r="G203" s="8">
        <f>(parametros_manuales!$D$24*(datos_base!$I$2+IF(parametros_manuales!$H$24="Todos",datos_base!$I$9,0))*parametros_manuales!$G$97+parametros_manuales!$E$24*(datos_base!$I$3+IF(parametros_manuales!$H$24="Todos",datos_base!$I$10,0))*parametros_manuales!$G$102+parametros_manuales!$F$24*(datos_base!$I$4+IF(parametros_manuales!$H$24="Todos",datos_base!$I$11,0))*parametros_manuales!$G$107+parametros_manuales!$G$24*(datos_base!$I$5+IF(parametros_manuales!$H$24="Todos",datos_base!$I$12,0))*parametros_manuales!$G$112)*parametros_manuales!$I$24*parametros_manuales!$J$24</f>
        <v>15689.335</v>
      </c>
      <c r="H203" s="8">
        <f>(parametros_manuales!$D$24*(datos_base!$I$2+IF(parametros_manuales!$H$24="Todos",datos_base!$I$9,0))*parametros_manuales!$H$97+parametros_manuales!$E$24*(datos_base!$I$3+IF(parametros_manuales!$H$24="Todos",datos_base!$I$10,0))*parametros_manuales!$H$102+parametros_manuales!$F$24*(datos_base!$I$4+IF(parametros_manuales!$H$24="Todos",datos_base!$I$11,0))*parametros_manuales!$H$107+parametros_manuales!$G$24*(datos_base!$I$5+IF(parametros_manuales!$H$24="Todos",datos_base!$I$12,0))*parametros_manuales!$H$112)*parametros_manuales!$I$24*parametros_manuales!$J$24</f>
        <v>16787.335</v>
      </c>
      <c r="I203" s="8">
        <f>(parametros_manuales!$D$24*(datos_base!$I$2+IF(parametros_manuales!$H$24="Todos",datos_base!$I$9,0))*parametros_manuales!$I$97+parametros_manuales!$E$24*(datos_base!$I$3+IF(parametros_manuales!$H$24="Todos",datos_base!$I$10,0))*parametros_manuales!$I$102+parametros_manuales!$F$24*(datos_base!$I$4+IF(parametros_manuales!$H$24="Todos",datos_base!$I$11,0))*parametros_manuales!$I$107+parametros_manuales!$G$24*(datos_base!$I$5+IF(parametros_manuales!$H$24="Todos",datos_base!$I$12,0))*parametros_manuales!$I$112)*parametros_manuales!$I$24*parametros_manuales!$J$24</f>
        <v>19129.33</v>
      </c>
      <c r="J203" s="8">
        <f>(parametros_manuales!$D$24*(datos_base!$I$2+IF(parametros_manuales!$H$24="Todos",datos_base!$I$9,0))*parametros_manuales!$J$97+parametros_manuales!$E$24*(datos_base!$I$3+IF(parametros_manuales!$H$24="Todos",datos_base!$I$10,0))*parametros_manuales!$J$102+parametros_manuales!$F$24*(datos_base!$I$4+IF(parametros_manuales!$H$24="Todos",datos_base!$I$11,0))*parametros_manuales!$J$107+parametros_manuales!$G$24*(datos_base!$I$5+IF(parametros_manuales!$H$24="Todos",datos_base!$I$12,0))*parametros_manuales!$J$112)*parametros_manuales!$I$24*parametros_manuales!$J$24</f>
        <v>19129.33</v>
      </c>
      <c r="K203" s="8">
        <f>(parametros_manuales!$D$24*(datos_base!$I$2+IF(parametros_manuales!$H$24="Todos",datos_base!$I$9,0))*parametros_manuales!$K$97+parametros_manuales!$E$24*(datos_base!$I$3+IF(parametros_manuales!$H$24="Todos",datos_base!$I$10,0))*parametros_manuales!$K$102+parametros_manuales!$F$24*(datos_base!$I$4+IF(parametros_manuales!$H$24="Todos",datos_base!$I$11,0))*parametros_manuales!$K$107+parametros_manuales!$G$24*(datos_base!$I$5+IF(parametros_manuales!$H$24="Todos",datos_base!$I$12,0))*parametros_manuales!$K$112)*parametros_manuales!$I$24*parametros_manuales!$J$24</f>
        <v>19446.665</v>
      </c>
      <c r="L203" s="8">
        <f>(parametros_manuales!$D$24*(datos_base!$I$2+IF(parametros_manuales!$H$24="Todos",datos_base!$I$9,0))*parametros_manuales!$L$97+parametros_manuales!$E$24*(datos_base!$I$3+IF(parametros_manuales!$H$24="Todos",datos_base!$I$10,0))*parametros_manuales!$L$102+parametros_manuales!$F$24*(datos_base!$I$4+IF(parametros_manuales!$H$24="Todos",datos_base!$I$11,0))*parametros_manuales!$L$107+parametros_manuales!$G$24*(datos_base!$I$5+IF(parametros_manuales!$H$24="Todos",datos_base!$I$12,0))*parametros_manuales!$L$112)*parametros_manuales!$I$24*parametros_manuales!$J$24</f>
        <v>19764</v>
      </c>
      <c r="M203" s="8">
        <f>(parametros_manuales!$D$24*(datos_base!$I$2+IF(parametros_manuales!$H$24="Todos",datos_base!$I$9,0))*parametros_manuales!$M$97+parametros_manuales!$E$24*(datos_base!$I$3+IF(parametros_manuales!$H$24="Todos",datos_base!$I$10,0))*parametros_manuales!$M$102+parametros_manuales!$F$24*(datos_base!$I$4+IF(parametros_manuales!$H$24="Todos",datos_base!$I$11,0))*parametros_manuales!$M$107+parametros_manuales!$G$24*(datos_base!$I$5+IF(parametros_manuales!$H$24="Todos",datos_base!$I$12,0))*parametros_manuales!$M$112)*parametros_manuales!$I$24*parametros_manuales!$J$24</f>
        <v>19764</v>
      </c>
      <c r="N203" s="8">
        <f t="shared" si="22"/>
        <v>219600</v>
      </c>
      <c r="O203" s="8">
        <f t="shared" si="23"/>
        <v>19764</v>
      </c>
      <c r="P203" s="27">
        <f>O203/(parametros_manuales!$B$7)</f>
        <v>131.76</v>
      </c>
      <c r="Q203" s="4" t="str">
        <f t="shared" si="24"/>
        <v>Ene</v>
      </c>
      <c r="R203" s="16"/>
      <c r="S203" s="16"/>
    </row>
    <row r="204" ht="14.25" customHeight="1">
      <c r="A204" s="4" t="str">
        <f>parametros_manuales!$B$25</f>
        <v>Soldadura del cuello a la cúpula</v>
      </c>
      <c r="B204" s="8">
        <f>(parametros_manuales!$D$25*(datos_base!$I$2+IF(parametros_manuales!$H$25="Todos",datos_base!$I$9,0))*parametros_manuales!$B$97+parametros_manuales!$E$25*(datos_base!$I$3+IF(parametros_manuales!$H$25="Todos",datos_base!$I$10,0))*parametros_manuales!$B$102+parametros_manuales!$F$25*(datos_base!$I$4+IF(parametros_manuales!$H$25="Todos",datos_base!$I$11,0))*parametros_manuales!$B$107+parametros_manuales!$G$25*(datos_base!$I$5+IF(parametros_manuales!$H$25="Todos",datos_base!$I$12,0))*parametros_manuales!$B$112)*parametros_manuales!$I$25*parametros_manuales!$J$25</f>
        <v>19764</v>
      </c>
      <c r="C204" s="8">
        <f>(parametros_manuales!$D$25*(datos_base!$I$2+IF(parametros_manuales!$H$25="Todos",datos_base!$I$9,0))*parametros_manuales!$C$97+parametros_manuales!$E$25*(datos_base!$I$3+IF(parametros_manuales!$H$25="Todos",datos_base!$I$10,0))*parametros_manuales!$C$102+parametros_manuales!$F$25*(datos_base!$I$4+IF(parametros_manuales!$H$25="Todos",datos_base!$I$11,0))*parametros_manuales!$C$107+parametros_manuales!$G$25*(datos_base!$I$5+IF(parametros_manuales!$H$25="Todos",datos_base!$I$12,0))*parametros_manuales!$C$112)*parametros_manuales!$I$25*parametros_manuales!$J$25</f>
        <v>19129.33</v>
      </c>
      <c r="D204" s="8">
        <f>(parametros_manuales!$D$25*(datos_base!$I$2+IF(parametros_manuales!$H$25="Todos",datos_base!$I$9,0))*parametros_manuales!$D$97+parametros_manuales!$E$25*(datos_base!$I$3+IF(parametros_manuales!$H$25="Todos",datos_base!$I$10,0))*parametros_manuales!$D$102+parametros_manuales!$F$25*(datos_base!$I$4+IF(parametros_manuales!$H$25="Todos",datos_base!$I$11,0))*parametros_manuales!$D$107+parametros_manuales!$G$25*(datos_base!$I$5+IF(parametros_manuales!$H$25="Todos",datos_base!$I$12,0))*parametros_manuales!$D$112)*parametros_manuales!$I$25*parametros_manuales!$J$25</f>
        <v>17885.335</v>
      </c>
      <c r="E204" s="8">
        <f>(parametros_manuales!$D$25*(datos_base!$I$2+IF(parametros_manuales!$H$25="Todos",datos_base!$I$9,0))*parametros_manuales!$E$97+parametros_manuales!$E$25*(datos_base!$I$3+IF(parametros_manuales!$H$25="Todos",datos_base!$I$10,0))*parametros_manuales!$E$102+parametros_manuales!$F$25*(datos_base!$I$4+IF(parametros_manuales!$H$25="Todos",datos_base!$I$11,0))*parametros_manuales!$E$107+parametros_manuales!$G$25*(datos_base!$I$5+IF(parametros_manuales!$H$25="Todos",datos_base!$I$12,0))*parametros_manuales!$E$112)*parametros_manuales!$I$25*parametros_manuales!$J$25</f>
        <v>17104.67</v>
      </c>
      <c r="F204" s="8">
        <f>(parametros_manuales!$D$25*(datos_base!$I$2+IF(parametros_manuales!$H$25="Todos",datos_base!$I$9,0))*parametros_manuales!$F$97+parametros_manuales!$E$25*(datos_base!$I$3+IF(parametros_manuales!$H$25="Todos",datos_base!$I$10,0))*parametros_manuales!$F$102+parametros_manuales!$F$25*(datos_base!$I$4+IF(parametros_manuales!$H$25="Todos",datos_base!$I$11,0))*parametros_manuales!$F$107+parametros_manuales!$G$25*(datos_base!$I$5+IF(parametros_manuales!$H$25="Todos",datos_base!$I$12,0))*parametros_manuales!$F$112)*parametros_manuales!$I$25*parametros_manuales!$J$25</f>
        <v>16006.67</v>
      </c>
      <c r="G204" s="8">
        <f>(parametros_manuales!$D$25*(datos_base!$I$2+IF(parametros_manuales!$H$25="Todos",datos_base!$I$9,0))*parametros_manuales!$G$97+parametros_manuales!$E$25*(datos_base!$I$3+IF(parametros_manuales!$H$25="Todos",datos_base!$I$10,0))*parametros_manuales!$G$102+parametros_manuales!$F$25*(datos_base!$I$4+IF(parametros_manuales!$H$25="Todos",datos_base!$I$11,0))*parametros_manuales!$G$107+parametros_manuales!$G$25*(datos_base!$I$5+IF(parametros_manuales!$H$25="Todos",datos_base!$I$12,0))*parametros_manuales!$G$112)*parametros_manuales!$I$25*parametros_manuales!$J$25</f>
        <v>15689.335</v>
      </c>
      <c r="H204" s="8">
        <f>(parametros_manuales!$D$25*(datos_base!$I$2+IF(parametros_manuales!$H$25="Todos",datos_base!$I$9,0))*parametros_manuales!$H$97+parametros_manuales!$E$25*(datos_base!$I$3+IF(parametros_manuales!$H$25="Todos",datos_base!$I$10,0))*parametros_manuales!$H$102+parametros_manuales!$F$25*(datos_base!$I$4+IF(parametros_manuales!$H$25="Todos",datos_base!$I$11,0))*parametros_manuales!$H$107+parametros_manuales!$G$25*(datos_base!$I$5+IF(parametros_manuales!$H$25="Todos",datos_base!$I$12,0))*parametros_manuales!$H$112)*parametros_manuales!$I$25*parametros_manuales!$J$25</f>
        <v>16787.335</v>
      </c>
      <c r="I204" s="8">
        <f>(parametros_manuales!$D$25*(datos_base!$I$2+IF(parametros_manuales!$H$25="Todos",datos_base!$I$9,0))*parametros_manuales!$I$97+parametros_manuales!$E$25*(datos_base!$I$3+IF(parametros_manuales!$H$25="Todos",datos_base!$I$10,0))*parametros_manuales!$I$102+parametros_manuales!$F$25*(datos_base!$I$4+IF(parametros_manuales!$H$25="Todos",datos_base!$I$11,0))*parametros_manuales!$I$107+parametros_manuales!$G$25*(datos_base!$I$5+IF(parametros_manuales!$H$25="Todos",datos_base!$I$12,0))*parametros_manuales!$I$112)*parametros_manuales!$I$25*parametros_manuales!$J$25</f>
        <v>19129.33</v>
      </c>
      <c r="J204" s="8">
        <f>(parametros_manuales!$D$25*(datos_base!$I$2+IF(parametros_manuales!$H$25="Todos",datos_base!$I$9,0))*parametros_manuales!$J$97+parametros_manuales!$E$25*(datos_base!$I$3+IF(parametros_manuales!$H$25="Todos",datos_base!$I$10,0))*parametros_manuales!$J$102+parametros_manuales!$F$25*(datos_base!$I$4+IF(parametros_manuales!$H$25="Todos",datos_base!$I$11,0))*parametros_manuales!$J$107+parametros_manuales!$G$25*(datos_base!$I$5+IF(parametros_manuales!$H$25="Todos",datos_base!$I$12,0))*parametros_manuales!$J$112)*parametros_manuales!$I$25*parametros_manuales!$J$25</f>
        <v>19129.33</v>
      </c>
      <c r="K204" s="8">
        <f>(parametros_manuales!$D$25*(datos_base!$I$2+IF(parametros_manuales!$H$25="Todos",datos_base!$I$9,0))*parametros_manuales!$K$97+parametros_manuales!$E$25*(datos_base!$I$3+IF(parametros_manuales!$H$25="Todos",datos_base!$I$10,0))*parametros_manuales!$K$102+parametros_manuales!$F$25*(datos_base!$I$4+IF(parametros_manuales!$H$25="Todos",datos_base!$I$11,0))*parametros_manuales!$K$107+parametros_manuales!$G$25*(datos_base!$I$5+IF(parametros_manuales!$H$25="Todos",datos_base!$I$12,0))*parametros_manuales!$K$112)*parametros_manuales!$I$25*parametros_manuales!$J$25</f>
        <v>19446.665</v>
      </c>
      <c r="L204" s="8">
        <f>(parametros_manuales!$D$25*(datos_base!$I$2+IF(parametros_manuales!$H$25="Todos",datos_base!$I$9,0))*parametros_manuales!$L$97+parametros_manuales!$E$25*(datos_base!$I$3+IF(parametros_manuales!$H$25="Todos",datos_base!$I$10,0))*parametros_manuales!$L$102+parametros_manuales!$F$25*(datos_base!$I$4+IF(parametros_manuales!$H$25="Todos",datos_base!$I$11,0))*parametros_manuales!$L$107+parametros_manuales!$G$25*(datos_base!$I$5+IF(parametros_manuales!$H$25="Todos",datos_base!$I$12,0))*parametros_manuales!$L$112)*parametros_manuales!$I$25*parametros_manuales!$J$25</f>
        <v>19764</v>
      </c>
      <c r="M204" s="8">
        <f>(parametros_manuales!$D$25*(datos_base!$I$2+IF(parametros_manuales!$H$25="Todos",datos_base!$I$9,0))*parametros_manuales!$M$97+parametros_manuales!$E$25*(datos_base!$I$3+IF(parametros_manuales!$H$25="Todos",datos_base!$I$10,0))*parametros_manuales!$M$102+parametros_manuales!$F$25*(datos_base!$I$4+IF(parametros_manuales!$H$25="Todos",datos_base!$I$11,0))*parametros_manuales!$M$107+parametros_manuales!$G$25*(datos_base!$I$5+IF(parametros_manuales!$H$25="Todos",datos_base!$I$12,0))*parametros_manuales!$M$112)*parametros_manuales!$I$25*parametros_manuales!$J$25</f>
        <v>19764</v>
      </c>
      <c r="N204" s="8">
        <f t="shared" si="22"/>
        <v>219600</v>
      </c>
      <c r="O204" s="8">
        <f t="shared" si="23"/>
        <v>19764</v>
      </c>
      <c r="P204" s="27">
        <f>O204/(parametros_manuales!$B$7)</f>
        <v>131.76</v>
      </c>
      <c r="Q204" s="4" t="str">
        <f t="shared" si="24"/>
        <v>Ene</v>
      </c>
      <c r="R204" s="16"/>
      <c r="S204" s="16"/>
    </row>
    <row r="205" ht="14.25" customHeight="1">
      <c r="A205" s="4" t="str">
        <f>parametros_manuales!$B$26</f>
        <v>Cilindrado</v>
      </c>
      <c r="B205" s="8">
        <f>(parametros_manuales!$D$26*(datos_base!$I$2+IF(parametros_manuales!$H$26="Todos",datos_base!$I$9,0))*parametros_manuales!$B$97+parametros_manuales!$E$26*(datos_base!$I$3+IF(parametros_manuales!$H$26="Todos",datos_base!$I$10,0))*parametros_manuales!$B$102+parametros_manuales!$F$26*(datos_base!$I$4+IF(parametros_manuales!$H$26="Todos",datos_base!$I$11,0))*parametros_manuales!$B$107+parametros_manuales!$G$26*(datos_base!$I$5+IF(parametros_manuales!$H$26="Todos",datos_base!$I$12,0))*parametros_manuales!$B$112)*parametros_manuales!$I$26*parametros_manuales!$J$26</f>
        <v>19764</v>
      </c>
      <c r="C205" s="8">
        <f>(parametros_manuales!$D$26*(datos_base!$I$2+IF(parametros_manuales!$H$26="Todos",datos_base!$I$9,0))*parametros_manuales!$C$97+parametros_manuales!$E$26*(datos_base!$I$3+IF(parametros_manuales!$H$26="Todos",datos_base!$I$10,0))*parametros_manuales!$C$102+parametros_manuales!$F$26*(datos_base!$I$4+IF(parametros_manuales!$H$26="Todos",datos_base!$I$11,0))*parametros_manuales!$C$107+parametros_manuales!$G$26*(datos_base!$I$5+IF(parametros_manuales!$H$26="Todos",datos_base!$I$12,0))*parametros_manuales!$C$112)*parametros_manuales!$I$26*parametros_manuales!$J$26</f>
        <v>19129.33</v>
      </c>
      <c r="D205" s="8">
        <f>(parametros_manuales!$D$26*(datos_base!$I$2+IF(parametros_manuales!$H$26="Todos",datos_base!$I$9,0))*parametros_manuales!$D$97+parametros_manuales!$E$26*(datos_base!$I$3+IF(parametros_manuales!$H$26="Todos",datos_base!$I$10,0))*parametros_manuales!$D$102+parametros_manuales!$F$26*(datos_base!$I$4+IF(parametros_manuales!$H$26="Todos",datos_base!$I$11,0))*parametros_manuales!$D$107+parametros_manuales!$G$26*(datos_base!$I$5+IF(parametros_manuales!$H$26="Todos",datos_base!$I$12,0))*parametros_manuales!$D$112)*parametros_manuales!$I$26*parametros_manuales!$J$26</f>
        <v>17885.335</v>
      </c>
      <c r="E205" s="8">
        <f>(parametros_manuales!$D$26*(datos_base!$I$2+IF(parametros_manuales!$H$26="Todos",datos_base!$I$9,0))*parametros_manuales!$E$97+parametros_manuales!$E$26*(datos_base!$I$3+IF(parametros_manuales!$H$26="Todos",datos_base!$I$10,0))*parametros_manuales!$E$102+parametros_manuales!$F$26*(datos_base!$I$4+IF(parametros_manuales!$H$26="Todos",datos_base!$I$11,0))*parametros_manuales!$E$107+parametros_manuales!$G$26*(datos_base!$I$5+IF(parametros_manuales!$H$26="Todos",datos_base!$I$12,0))*parametros_manuales!$E$112)*parametros_manuales!$I$26*parametros_manuales!$J$26</f>
        <v>17104.67</v>
      </c>
      <c r="F205" s="8">
        <f>(parametros_manuales!$D$26*(datos_base!$I$2+IF(parametros_manuales!$H$26="Todos",datos_base!$I$9,0))*parametros_manuales!$F$97+parametros_manuales!$E$26*(datos_base!$I$3+IF(parametros_manuales!$H$26="Todos",datos_base!$I$10,0))*parametros_manuales!$F$102+parametros_manuales!$F$26*(datos_base!$I$4+IF(parametros_manuales!$H$26="Todos",datos_base!$I$11,0))*parametros_manuales!$F$107+parametros_manuales!$G$26*(datos_base!$I$5+IF(parametros_manuales!$H$26="Todos",datos_base!$I$12,0))*parametros_manuales!$F$112)*parametros_manuales!$I$26*parametros_manuales!$J$26</f>
        <v>16006.67</v>
      </c>
      <c r="G205" s="8">
        <f>(parametros_manuales!$D$26*(datos_base!$I$2+IF(parametros_manuales!$H$26="Todos",datos_base!$I$9,0))*parametros_manuales!$G$97+parametros_manuales!$E$26*(datos_base!$I$3+IF(parametros_manuales!$H$26="Todos",datos_base!$I$10,0))*parametros_manuales!$G$102+parametros_manuales!$F$26*(datos_base!$I$4+IF(parametros_manuales!$H$26="Todos",datos_base!$I$11,0))*parametros_manuales!$G$107+parametros_manuales!$G$26*(datos_base!$I$5+IF(parametros_manuales!$H$26="Todos",datos_base!$I$12,0))*parametros_manuales!$G$112)*parametros_manuales!$I$26*parametros_manuales!$J$26</f>
        <v>15689.335</v>
      </c>
      <c r="H205" s="8">
        <f>(parametros_manuales!$D$26*(datos_base!$I$2+IF(parametros_manuales!$H$26="Todos",datos_base!$I$9,0))*parametros_manuales!$H$97+parametros_manuales!$E$26*(datos_base!$I$3+IF(parametros_manuales!$H$26="Todos",datos_base!$I$10,0))*parametros_manuales!$H$102+parametros_manuales!$F$26*(datos_base!$I$4+IF(parametros_manuales!$H$26="Todos",datos_base!$I$11,0))*parametros_manuales!$H$107+parametros_manuales!$G$26*(datos_base!$I$5+IF(parametros_manuales!$H$26="Todos",datos_base!$I$12,0))*parametros_manuales!$H$112)*parametros_manuales!$I$26*parametros_manuales!$J$26</f>
        <v>16787.335</v>
      </c>
      <c r="I205" s="8">
        <f>(parametros_manuales!$D$26*(datos_base!$I$2+IF(parametros_manuales!$H$26="Todos",datos_base!$I$9,0))*parametros_manuales!$I$97+parametros_manuales!$E$26*(datos_base!$I$3+IF(parametros_manuales!$H$26="Todos",datos_base!$I$10,0))*parametros_manuales!$I$102+parametros_manuales!$F$26*(datos_base!$I$4+IF(parametros_manuales!$H$26="Todos",datos_base!$I$11,0))*parametros_manuales!$I$107+parametros_manuales!$G$26*(datos_base!$I$5+IF(parametros_manuales!$H$26="Todos",datos_base!$I$12,0))*parametros_manuales!$I$112)*parametros_manuales!$I$26*parametros_manuales!$J$26</f>
        <v>19129.33</v>
      </c>
      <c r="J205" s="8">
        <f>(parametros_manuales!$D$26*(datos_base!$I$2+IF(parametros_manuales!$H$26="Todos",datos_base!$I$9,0))*parametros_manuales!$J$97+parametros_manuales!$E$26*(datos_base!$I$3+IF(parametros_manuales!$H$26="Todos",datos_base!$I$10,0))*parametros_manuales!$J$102+parametros_manuales!$F$26*(datos_base!$I$4+IF(parametros_manuales!$H$26="Todos",datos_base!$I$11,0))*parametros_manuales!$J$107+parametros_manuales!$G$26*(datos_base!$I$5+IF(parametros_manuales!$H$26="Todos",datos_base!$I$12,0))*parametros_manuales!$J$112)*parametros_manuales!$I$26*parametros_manuales!$J$26</f>
        <v>19129.33</v>
      </c>
      <c r="K205" s="8">
        <f>(parametros_manuales!$D$26*(datos_base!$I$2+IF(parametros_manuales!$H$26="Todos",datos_base!$I$9,0))*parametros_manuales!$K$97+parametros_manuales!$E$26*(datos_base!$I$3+IF(parametros_manuales!$H$26="Todos",datos_base!$I$10,0))*parametros_manuales!$K$102+parametros_manuales!$F$26*(datos_base!$I$4+IF(parametros_manuales!$H$26="Todos",datos_base!$I$11,0))*parametros_manuales!$K$107+parametros_manuales!$G$26*(datos_base!$I$5+IF(parametros_manuales!$H$26="Todos",datos_base!$I$12,0))*parametros_manuales!$K$112)*parametros_manuales!$I$26*parametros_manuales!$J$26</f>
        <v>19446.665</v>
      </c>
      <c r="L205" s="8">
        <f>(parametros_manuales!$D$26*(datos_base!$I$2+IF(parametros_manuales!$H$26="Todos",datos_base!$I$9,0))*parametros_manuales!$L$97+parametros_manuales!$E$26*(datos_base!$I$3+IF(parametros_manuales!$H$26="Todos",datos_base!$I$10,0))*parametros_manuales!$L$102+parametros_manuales!$F$26*(datos_base!$I$4+IF(parametros_manuales!$H$26="Todos",datos_base!$I$11,0))*parametros_manuales!$L$107+parametros_manuales!$G$26*(datos_base!$I$5+IF(parametros_manuales!$H$26="Todos",datos_base!$I$12,0))*parametros_manuales!$L$112)*parametros_manuales!$I$26*parametros_manuales!$J$26</f>
        <v>19764</v>
      </c>
      <c r="M205" s="8">
        <f>(parametros_manuales!$D$26*(datos_base!$I$2+IF(parametros_manuales!$H$26="Todos",datos_base!$I$9,0))*parametros_manuales!$M$97+parametros_manuales!$E$26*(datos_base!$I$3+IF(parametros_manuales!$H$26="Todos",datos_base!$I$10,0))*parametros_manuales!$M$102+parametros_manuales!$F$26*(datos_base!$I$4+IF(parametros_manuales!$H$26="Todos",datos_base!$I$11,0))*parametros_manuales!$M$107+parametros_manuales!$G$26*(datos_base!$I$5+IF(parametros_manuales!$H$26="Todos",datos_base!$I$12,0))*parametros_manuales!$M$112)*parametros_manuales!$I$26*parametros_manuales!$J$26</f>
        <v>19764</v>
      </c>
      <c r="N205" s="8">
        <f t="shared" si="22"/>
        <v>219600</v>
      </c>
      <c r="O205" s="8">
        <f t="shared" si="23"/>
        <v>19764</v>
      </c>
      <c r="P205" s="27">
        <f>O205/(parametros_manuales!$B$7)</f>
        <v>131.76</v>
      </c>
      <c r="Q205" s="4" t="str">
        <f t="shared" si="24"/>
        <v>Ene</v>
      </c>
      <c r="R205" s="16"/>
      <c r="S205" s="16"/>
    </row>
    <row r="206" ht="14.25" customHeight="1">
      <c r="A206" s="4" t="str">
        <f>parametros_manuales!$B$27</f>
        <v>Soldadura longitudinal — 2,5 a 10 kg</v>
      </c>
      <c r="B206" s="8">
        <f>(parametros_manuales!$D$27*(datos_base!$I$2+IF(parametros_manuales!$H$27="Todos",datos_base!$I$9,0))*parametros_manuales!$B$97+parametros_manuales!$E$27*(datos_base!$I$3+IF(parametros_manuales!$H$27="Todos",datos_base!$I$10,0))*parametros_manuales!$B$102+parametros_manuales!$F$27*(datos_base!$I$4+IF(parametros_manuales!$H$27="Todos",datos_base!$I$11,0))*parametros_manuales!$B$107+parametros_manuales!$G$27*(datos_base!$I$5+IF(parametros_manuales!$H$27="Todos",datos_base!$I$12,0))*parametros_manuales!$B$112)*parametros_manuales!$I$27*parametros_manuales!$J$27</f>
        <v>5712.03</v>
      </c>
      <c r="C206" s="8">
        <f>(parametros_manuales!$D$27*(datos_base!$I$2+IF(parametros_manuales!$H$27="Todos",datos_base!$I$9,0))*parametros_manuales!$C$97+parametros_manuales!$E$27*(datos_base!$I$3+IF(parametros_manuales!$H$27="Todos",datos_base!$I$10,0))*parametros_manuales!$C$102+parametros_manuales!$F$27*(datos_base!$I$4+IF(parametros_manuales!$H$27="Todos",datos_base!$I$11,0))*parametros_manuales!$C$107+parametros_manuales!$G$27*(datos_base!$I$5+IF(parametros_manuales!$H$27="Todos",datos_base!$I$12,0))*parametros_manuales!$C$112)*parametros_manuales!$I$27*parametros_manuales!$J$27</f>
        <v>5077.36</v>
      </c>
      <c r="D206" s="8">
        <f>(parametros_manuales!$D$27*(datos_base!$I$2+IF(parametros_manuales!$H$27="Todos",datos_base!$I$9,0))*parametros_manuales!$D$97+parametros_manuales!$E$27*(datos_base!$I$3+IF(parametros_manuales!$H$27="Todos",datos_base!$I$10,0))*parametros_manuales!$D$102+parametros_manuales!$F$27*(datos_base!$I$4+IF(parametros_manuales!$H$27="Todos",datos_base!$I$11,0))*parametros_manuales!$D$107+parametros_manuales!$G$27*(datos_base!$I$5+IF(parametros_manuales!$H$27="Todos",datos_base!$I$12,0))*parametros_manuales!$D$112)*parametros_manuales!$I$27*parametros_manuales!$J$27</f>
        <v>5394.695</v>
      </c>
      <c r="E206" s="8">
        <f>(parametros_manuales!$D$27*(datos_base!$I$2+IF(parametros_manuales!$H$27="Todos",datos_base!$I$9,0))*parametros_manuales!$E$97+parametros_manuales!$E$27*(datos_base!$I$3+IF(parametros_manuales!$H$27="Todos",datos_base!$I$10,0))*parametros_manuales!$E$102+parametros_manuales!$F$27*(datos_base!$I$4+IF(parametros_manuales!$H$27="Todos",datos_base!$I$11,0))*parametros_manuales!$E$107+parametros_manuales!$G$27*(datos_base!$I$5+IF(parametros_manuales!$H$27="Todos",datos_base!$I$12,0))*parametros_manuales!$E$112)*parametros_manuales!$I$27*parametros_manuales!$J$27</f>
        <v>5394.695</v>
      </c>
      <c r="F206" s="8">
        <f>(parametros_manuales!$D$27*(datos_base!$I$2+IF(parametros_manuales!$H$27="Todos",datos_base!$I$9,0))*parametros_manuales!$F$97+parametros_manuales!$E$27*(datos_base!$I$3+IF(parametros_manuales!$H$27="Todos",datos_base!$I$10,0))*parametros_manuales!$F$102+parametros_manuales!$F$27*(datos_base!$I$4+IF(parametros_manuales!$H$27="Todos",datos_base!$I$11,0))*parametros_manuales!$F$107+parametros_manuales!$G$27*(datos_base!$I$5+IF(parametros_manuales!$H$27="Todos",datos_base!$I$12,0))*parametros_manuales!$F$112)*parametros_manuales!$I$27*parametros_manuales!$J$27</f>
        <v>5077.36</v>
      </c>
      <c r="G206" s="8">
        <f>(parametros_manuales!$D$27*(datos_base!$I$2+IF(parametros_manuales!$H$27="Todos",datos_base!$I$9,0))*parametros_manuales!$G$97+parametros_manuales!$E$27*(datos_base!$I$3+IF(parametros_manuales!$H$27="Todos",datos_base!$I$10,0))*parametros_manuales!$G$102+parametros_manuales!$F$27*(datos_base!$I$4+IF(parametros_manuales!$H$27="Todos",datos_base!$I$11,0))*parametros_manuales!$G$107+parametros_manuales!$G$27*(datos_base!$I$5+IF(parametros_manuales!$H$27="Todos",datos_base!$I$12,0))*parametros_manuales!$G$112)*parametros_manuales!$I$27*parametros_manuales!$J$27</f>
        <v>4760.025</v>
      </c>
      <c r="H206" s="8">
        <f>(parametros_manuales!$D$27*(datos_base!$I$2+IF(parametros_manuales!$H$27="Todos",datos_base!$I$9,0))*parametros_manuales!$H$97+parametros_manuales!$E$27*(datos_base!$I$3+IF(parametros_manuales!$H$27="Todos",datos_base!$I$10,0))*parametros_manuales!$H$102+parametros_manuales!$F$27*(datos_base!$I$4+IF(parametros_manuales!$H$27="Todos",datos_base!$I$11,0))*parametros_manuales!$H$107+parametros_manuales!$G$27*(datos_base!$I$5+IF(parametros_manuales!$H$27="Todos",datos_base!$I$12,0))*parametros_manuales!$H$112)*parametros_manuales!$I$27*parametros_manuales!$J$27</f>
        <v>5077.36</v>
      </c>
      <c r="I206" s="8">
        <f>(parametros_manuales!$D$27*(datos_base!$I$2+IF(parametros_manuales!$H$27="Todos",datos_base!$I$9,0))*parametros_manuales!$I$97+parametros_manuales!$E$27*(datos_base!$I$3+IF(parametros_manuales!$H$27="Todos",datos_base!$I$10,0))*parametros_manuales!$I$102+parametros_manuales!$F$27*(datos_base!$I$4+IF(parametros_manuales!$H$27="Todos",datos_base!$I$11,0))*parametros_manuales!$I$107+parametros_manuales!$G$27*(datos_base!$I$5+IF(parametros_manuales!$H$27="Todos",datos_base!$I$12,0))*parametros_manuales!$I$112)*parametros_manuales!$I$27*parametros_manuales!$J$27</f>
        <v>5077.36</v>
      </c>
      <c r="J206" s="8">
        <f>(parametros_manuales!$D$27*(datos_base!$I$2+IF(parametros_manuales!$H$27="Todos",datos_base!$I$9,0))*parametros_manuales!$J$97+parametros_manuales!$E$27*(datos_base!$I$3+IF(parametros_manuales!$H$27="Todos",datos_base!$I$10,0))*parametros_manuales!$J$102+parametros_manuales!$F$27*(datos_base!$I$4+IF(parametros_manuales!$H$27="Todos",datos_base!$I$11,0))*parametros_manuales!$J$107+parametros_manuales!$G$27*(datos_base!$I$5+IF(parametros_manuales!$H$27="Todos",datos_base!$I$12,0))*parametros_manuales!$J$112)*parametros_manuales!$I$27*parametros_manuales!$J$27</f>
        <v>5077.36</v>
      </c>
      <c r="K206" s="8">
        <f>(parametros_manuales!$D$27*(datos_base!$I$2+IF(parametros_manuales!$H$27="Todos",datos_base!$I$9,0))*parametros_manuales!$K$97+parametros_manuales!$E$27*(datos_base!$I$3+IF(parametros_manuales!$H$27="Todos",datos_base!$I$10,0))*parametros_manuales!$K$102+parametros_manuales!$F$27*(datos_base!$I$4+IF(parametros_manuales!$H$27="Todos",datos_base!$I$11,0))*parametros_manuales!$K$107+parametros_manuales!$G$27*(datos_base!$I$5+IF(parametros_manuales!$H$27="Todos",datos_base!$I$12,0))*parametros_manuales!$K$112)*parametros_manuales!$I$27*parametros_manuales!$J$27</f>
        <v>5394.695</v>
      </c>
      <c r="L206" s="8">
        <f>(parametros_manuales!$D$27*(datos_base!$I$2+IF(parametros_manuales!$H$27="Todos",datos_base!$I$9,0))*parametros_manuales!$L$97+parametros_manuales!$E$27*(datos_base!$I$3+IF(parametros_manuales!$H$27="Todos",datos_base!$I$10,0))*parametros_manuales!$L$102+parametros_manuales!$F$27*(datos_base!$I$4+IF(parametros_manuales!$H$27="Todos",datos_base!$I$11,0))*parametros_manuales!$L$107+parametros_manuales!$G$27*(datos_base!$I$5+IF(parametros_manuales!$H$27="Todos",datos_base!$I$12,0))*parametros_manuales!$L$112)*parametros_manuales!$I$27*parametros_manuales!$J$27</f>
        <v>5712.03</v>
      </c>
      <c r="M206" s="8">
        <f>(parametros_manuales!$D$27*(datos_base!$I$2+IF(parametros_manuales!$H$27="Todos",datos_base!$I$9,0))*parametros_manuales!$M$97+parametros_manuales!$E$27*(datos_base!$I$3+IF(parametros_manuales!$H$27="Todos",datos_base!$I$10,0))*parametros_manuales!$M$102+parametros_manuales!$F$27*(datos_base!$I$4+IF(parametros_manuales!$H$27="Todos",datos_base!$I$11,0))*parametros_manuales!$M$107+parametros_manuales!$G$27*(datos_base!$I$5+IF(parametros_manuales!$H$27="Todos",datos_base!$I$12,0))*parametros_manuales!$M$112)*parametros_manuales!$I$27*parametros_manuales!$J$27</f>
        <v>5712.03</v>
      </c>
      <c r="N206" s="8">
        <f t="shared" si="22"/>
        <v>63467</v>
      </c>
      <c r="O206" s="8">
        <f t="shared" si="23"/>
        <v>5712.03</v>
      </c>
      <c r="P206" s="27">
        <f>O206/(parametros_manuales!$B$7)</f>
        <v>38.0802</v>
      </c>
      <c r="Q206" s="4" t="str">
        <f t="shared" si="24"/>
        <v>Ene</v>
      </c>
      <c r="R206" s="16"/>
      <c r="S206" s="16"/>
    </row>
    <row r="207" ht="14.25" customHeight="1">
      <c r="A207" s="4" t="str">
        <f>parametros_manuales!$B$28</f>
        <v>Soldadura longitudinal TIG — 1 kg</v>
      </c>
      <c r="B207" s="8">
        <f>(parametros_manuales!$D$28*(datos_base!$I$2+IF(parametros_manuales!$H$28="Todos",datos_base!$I$9,0))*parametros_manuales!$B$97+parametros_manuales!$E$28*(datos_base!$I$3+IF(parametros_manuales!$H$28="Todos",datos_base!$I$10,0))*parametros_manuales!$B$102+parametros_manuales!$F$28*(datos_base!$I$4+IF(parametros_manuales!$H$28="Todos",datos_base!$I$11,0))*parametros_manuales!$B$107+parametros_manuales!$G$28*(datos_base!$I$5+IF(parametros_manuales!$H$28="Todos",datos_base!$I$12,0))*parametros_manuales!$B$112)*parametros_manuales!$I$28*parametros_manuales!$J$28</f>
        <v>14051.97</v>
      </c>
      <c r="C207" s="8">
        <f>(parametros_manuales!$D$28*(datos_base!$I$2+IF(parametros_manuales!$H$28="Todos",datos_base!$I$9,0))*parametros_manuales!$C$97+parametros_manuales!$E$28*(datos_base!$I$3+IF(parametros_manuales!$H$28="Todos",datos_base!$I$10,0))*parametros_manuales!$C$102+parametros_manuales!$F$28*(datos_base!$I$4+IF(parametros_manuales!$H$28="Todos",datos_base!$I$11,0))*parametros_manuales!$C$107+parametros_manuales!$G$28*(datos_base!$I$5+IF(parametros_manuales!$H$28="Todos",datos_base!$I$12,0))*parametros_manuales!$C$112)*parametros_manuales!$I$28*parametros_manuales!$J$28</f>
        <v>14051.97</v>
      </c>
      <c r="D207" s="8">
        <f>(parametros_manuales!$D$28*(datos_base!$I$2+IF(parametros_manuales!$H$28="Todos",datos_base!$I$9,0))*parametros_manuales!$D$97+parametros_manuales!$E$28*(datos_base!$I$3+IF(parametros_manuales!$H$28="Todos",datos_base!$I$10,0))*parametros_manuales!$D$102+parametros_manuales!$F$28*(datos_base!$I$4+IF(parametros_manuales!$H$28="Todos",datos_base!$I$11,0))*parametros_manuales!$D$107+parametros_manuales!$G$28*(datos_base!$I$5+IF(parametros_manuales!$H$28="Todos",datos_base!$I$12,0))*parametros_manuales!$D$112)*parametros_manuales!$I$28*parametros_manuales!$J$28</f>
        <v>12490.64</v>
      </c>
      <c r="E207" s="8">
        <f>(parametros_manuales!$D$28*(datos_base!$I$2+IF(parametros_manuales!$H$28="Todos",datos_base!$I$9,0))*parametros_manuales!$E$97+parametros_manuales!$E$28*(datos_base!$I$3+IF(parametros_manuales!$H$28="Todos",datos_base!$I$10,0))*parametros_manuales!$E$102+parametros_manuales!$F$28*(datos_base!$I$4+IF(parametros_manuales!$H$28="Todos",datos_base!$I$11,0))*parametros_manuales!$E$107+parametros_manuales!$G$28*(datos_base!$I$5+IF(parametros_manuales!$H$28="Todos",datos_base!$I$12,0))*parametros_manuales!$E$112)*parametros_manuales!$I$28*parametros_manuales!$J$28</f>
        <v>11709.975</v>
      </c>
      <c r="F207" s="8">
        <f>(parametros_manuales!$D$28*(datos_base!$I$2+IF(parametros_manuales!$H$28="Todos",datos_base!$I$9,0))*parametros_manuales!$F$97+parametros_manuales!$E$28*(datos_base!$I$3+IF(parametros_manuales!$H$28="Todos",datos_base!$I$10,0))*parametros_manuales!$F$102+parametros_manuales!$F$28*(datos_base!$I$4+IF(parametros_manuales!$H$28="Todos",datos_base!$I$11,0))*parametros_manuales!$F$107+parametros_manuales!$G$28*(datos_base!$I$5+IF(parametros_manuales!$H$28="Todos",datos_base!$I$12,0))*parametros_manuales!$F$112)*parametros_manuales!$I$28*parametros_manuales!$J$28</f>
        <v>10929.31</v>
      </c>
      <c r="G207" s="8">
        <f>(parametros_manuales!$D$28*(datos_base!$I$2+IF(parametros_manuales!$H$28="Todos",datos_base!$I$9,0))*parametros_manuales!$G$97+parametros_manuales!$E$28*(datos_base!$I$3+IF(parametros_manuales!$H$28="Todos",datos_base!$I$10,0))*parametros_manuales!$G$102+parametros_manuales!$F$28*(datos_base!$I$4+IF(parametros_manuales!$H$28="Todos",datos_base!$I$11,0))*parametros_manuales!$G$107+parametros_manuales!$G$28*(datos_base!$I$5+IF(parametros_manuales!$H$28="Todos",datos_base!$I$12,0))*parametros_manuales!$G$112)*parametros_manuales!$I$28*parametros_manuales!$J$28</f>
        <v>10929.31</v>
      </c>
      <c r="H207" s="8">
        <f>(parametros_manuales!$D$28*(datos_base!$I$2+IF(parametros_manuales!$H$28="Todos",datos_base!$I$9,0))*parametros_manuales!$H$97+parametros_manuales!$E$28*(datos_base!$I$3+IF(parametros_manuales!$H$28="Todos",datos_base!$I$10,0))*parametros_manuales!$H$102+parametros_manuales!$F$28*(datos_base!$I$4+IF(parametros_manuales!$H$28="Todos",datos_base!$I$11,0))*parametros_manuales!$H$107+parametros_manuales!$G$28*(datos_base!$I$5+IF(parametros_manuales!$H$28="Todos",datos_base!$I$12,0))*parametros_manuales!$H$112)*parametros_manuales!$I$28*parametros_manuales!$J$28</f>
        <v>11709.975</v>
      </c>
      <c r="I207" s="8">
        <f>(parametros_manuales!$D$28*(datos_base!$I$2+IF(parametros_manuales!$H$28="Todos",datos_base!$I$9,0))*parametros_manuales!$I$97+parametros_manuales!$E$28*(datos_base!$I$3+IF(parametros_manuales!$H$28="Todos",datos_base!$I$10,0))*parametros_manuales!$I$102+parametros_manuales!$F$28*(datos_base!$I$4+IF(parametros_manuales!$H$28="Todos",datos_base!$I$11,0))*parametros_manuales!$I$107+parametros_manuales!$G$28*(datos_base!$I$5+IF(parametros_manuales!$H$28="Todos",datos_base!$I$12,0))*parametros_manuales!$I$112)*parametros_manuales!$I$28*parametros_manuales!$J$28</f>
        <v>14051.97</v>
      </c>
      <c r="J207" s="8">
        <f>(parametros_manuales!$D$28*(datos_base!$I$2+IF(parametros_manuales!$H$28="Todos",datos_base!$I$9,0))*parametros_manuales!$J$97+parametros_manuales!$E$28*(datos_base!$I$3+IF(parametros_manuales!$H$28="Todos",datos_base!$I$10,0))*parametros_manuales!$J$102+parametros_manuales!$F$28*(datos_base!$I$4+IF(parametros_manuales!$H$28="Todos",datos_base!$I$11,0))*parametros_manuales!$J$107+parametros_manuales!$G$28*(datos_base!$I$5+IF(parametros_manuales!$H$28="Todos",datos_base!$I$12,0))*parametros_manuales!$J$112)*parametros_manuales!$I$28*parametros_manuales!$J$28</f>
        <v>14051.97</v>
      </c>
      <c r="K207" s="8">
        <f>(parametros_manuales!$D$28*(datos_base!$I$2+IF(parametros_manuales!$H$28="Todos",datos_base!$I$9,0))*parametros_manuales!$K$97+parametros_manuales!$E$28*(datos_base!$I$3+IF(parametros_manuales!$H$28="Todos",datos_base!$I$10,0))*parametros_manuales!$K$102+parametros_manuales!$F$28*(datos_base!$I$4+IF(parametros_manuales!$H$28="Todos",datos_base!$I$11,0))*parametros_manuales!$K$107+parametros_manuales!$G$28*(datos_base!$I$5+IF(parametros_manuales!$H$28="Todos",datos_base!$I$12,0))*parametros_manuales!$K$112)*parametros_manuales!$I$28*parametros_manuales!$J$28</f>
        <v>14051.97</v>
      </c>
      <c r="L207" s="8">
        <f>(parametros_manuales!$D$28*(datos_base!$I$2+IF(parametros_manuales!$H$28="Todos",datos_base!$I$9,0))*parametros_manuales!$L$97+parametros_manuales!$E$28*(datos_base!$I$3+IF(parametros_manuales!$H$28="Todos",datos_base!$I$10,0))*parametros_manuales!$L$102+parametros_manuales!$F$28*(datos_base!$I$4+IF(parametros_manuales!$H$28="Todos",datos_base!$I$11,0))*parametros_manuales!$L$107+parametros_manuales!$G$28*(datos_base!$I$5+IF(parametros_manuales!$H$28="Todos",datos_base!$I$12,0))*parametros_manuales!$L$112)*parametros_manuales!$I$28*parametros_manuales!$J$28</f>
        <v>14051.97</v>
      </c>
      <c r="M207" s="8">
        <f>(parametros_manuales!$D$28*(datos_base!$I$2+IF(parametros_manuales!$H$28="Todos",datos_base!$I$9,0))*parametros_manuales!$M$97+parametros_manuales!$E$28*(datos_base!$I$3+IF(parametros_manuales!$H$28="Todos",datos_base!$I$10,0))*parametros_manuales!$M$102+parametros_manuales!$F$28*(datos_base!$I$4+IF(parametros_manuales!$H$28="Todos",datos_base!$I$11,0))*parametros_manuales!$M$107+parametros_manuales!$G$28*(datos_base!$I$5+IF(parametros_manuales!$H$28="Todos",datos_base!$I$12,0))*parametros_manuales!$M$112)*parametros_manuales!$I$28*parametros_manuales!$J$28</f>
        <v>14051.97</v>
      </c>
      <c r="N207" s="8">
        <f t="shared" si="22"/>
        <v>156133</v>
      </c>
      <c r="O207" s="8">
        <f t="shared" si="23"/>
        <v>14051.97</v>
      </c>
      <c r="P207" s="27">
        <f>O207/(parametros_manuales!$B$7)</f>
        <v>93.6798</v>
      </c>
      <c r="Q207" s="4" t="str">
        <f t="shared" si="24"/>
        <v>Ene</v>
      </c>
      <c r="R207" s="16"/>
      <c r="S207" s="16"/>
    </row>
    <row r="208" ht="14.25" customHeight="1">
      <c r="A208" s="4" t="str">
        <f>parametros_manuales!$B$29</f>
        <v>Encastre de fondo</v>
      </c>
      <c r="B208" s="8">
        <f>(parametros_manuales!$D$29*(datos_base!$I$2+IF(parametros_manuales!$H$29="Todos",datos_base!$I$9,0))*parametros_manuales!$B$97+parametros_manuales!$E$29*(datos_base!$I$3+IF(parametros_manuales!$H$29="Todos",datos_base!$I$10,0))*parametros_manuales!$B$102+parametros_manuales!$F$29*(datos_base!$I$4+IF(parametros_manuales!$H$29="Todos",datos_base!$I$11,0))*parametros_manuales!$B$107+parametros_manuales!$G$29*(datos_base!$I$5+IF(parametros_manuales!$H$29="Todos",datos_base!$I$12,0))*parametros_manuales!$B$112)*parametros_manuales!$I$29*parametros_manuales!$J$29</f>
        <v>19764</v>
      </c>
      <c r="C208" s="8">
        <f>(parametros_manuales!$D$29*(datos_base!$I$2+IF(parametros_manuales!$H$29="Todos",datos_base!$I$9,0))*parametros_manuales!$C$97+parametros_manuales!$E$29*(datos_base!$I$3+IF(parametros_manuales!$H$29="Todos",datos_base!$I$10,0))*parametros_manuales!$C$102+parametros_manuales!$F$29*(datos_base!$I$4+IF(parametros_manuales!$H$29="Todos",datos_base!$I$11,0))*parametros_manuales!$C$107+parametros_manuales!$G$29*(datos_base!$I$5+IF(parametros_manuales!$H$29="Todos",datos_base!$I$12,0))*parametros_manuales!$C$112)*parametros_manuales!$I$29*parametros_manuales!$J$29</f>
        <v>19129.33</v>
      </c>
      <c r="D208" s="8">
        <f>(parametros_manuales!$D$29*(datos_base!$I$2+IF(parametros_manuales!$H$29="Todos",datos_base!$I$9,0))*parametros_manuales!$D$97+parametros_manuales!$E$29*(datos_base!$I$3+IF(parametros_manuales!$H$29="Todos",datos_base!$I$10,0))*parametros_manuales!$D$102+parametros_manuales!$F$29*(datos_base!$I$4+IF(parametros_manuales!$H$29="Todos",datos_base!$I$11,0))*parametros_manuales!$D$107+parametros_manuales!$G$29*(datos_base!$I$5+IF(parametros_manuales!$H$29="Todos",datos_base!$I$12,0))*parametros_manuales!$D$112)*parametros_manuales!$I$29*parametros_manuales!$J$29</f>
        <v>17885.335</v>
      </c>
      <c r="E208" s="8">
        <f>(parametros_manuales!$D$29*(datos_base!$I$2+IF(parametros_manuales!$H$29="Todos",datos_base!$I$9,0))*parametros_manuales!$E$97+parametros_manuales!$E$29*(datos_base!$I$3+IF(parametros_manuales!$H$29="Todos",datos_base!$I$10,0))*parametros_manuales!$E$102+parametros_manuales!$F$29*(datos_base!$I$4+IF(parametros_manuales!$H$29="Todos",datos_base!$I$11,0))*parametros_manuales!$E$107+parametros_manuales!$G$29*(datos_base!$I$5+IF(parametros_manuales!$H$29="Todos",datos_base!$I$12,0))*parametros_manuales!$E$112)*parametros_manuales!$I$29*parametros_manuales!$J$29</f>
        <v>17104.67</v>
      </c>
      <c r="F208" s="8">
        <f>(parametros_manuales!$D$29*(datos_base!$I$2+IF(parametros_manuales!$H$29="Todos",datos_base!$I$9,0))*parametros_manuales!$F$97+parametros_manuales!$E$29*(datos_base!$I$3+IF(parametros_manuales!$H$29="Todos",datos_base!$I$10,0))*parametros_manuales!$F$102+parametros_manuales!$F$29*(datos_base!$I$4+IF(parametros_manuales!$H$29="Todos",datos_base!$I$11,0))*parametros_manuales!$F$107+parametros_manuales!$G$29*(datos_base!$I$5+IF(parametros_manuales!$H$29="Todos",datos_base!$I$12,0))*parametros_manuales!$F$112)*parametros_manuales!$I$29*parametros_manuales!$J$29</f>
        <v>16006.67</v>
      </c>
      <c r="G208" s="8">
        <f>(parametros_manuales!$D$29*(datos_base!$I$2+IF(parametros_manuales!$H$29="Todos",datos_base!$I$9,0))*parametros_manuales!$G$97+parametros_manuales!$E$29*(datos_base!$I$3+IF(parametros_manuales!$H$29="Todos",datos_base!$I$10,0))*parametros_manuales!$G$102+parametros_manuales!$F$29*(datos_base!$I$4+IF(parametros_manuales!$H$29="Todos",datos_base!$I$11,0))*parametros_manuales!$G$107+parametros_manuales!$G$29*(datos_base!$I$5+IF(parametros_manuales!$H$29="Todos",datos_base!$I$12,0))*parametros_manuales!$G$112)*parametros_manuales!$I$29*parametros_manuales!$J$29</f>
        <v>15689.335</v>
      </c>
      <c r="H208" s="8">
        <f>(parametros_manuales!$D$29*(datos_base!$I$2+IF(parametros_manuales!$H$29="Todos",datos_base!$I$9,0))*parametros_manuales!$H$97+parametros_manuales!$E$29*(datos_base!$I$3+IF(parametros_manuales!$H$29="Todos",datos_base!$I$10,0))*parametros_manuales!$H$102+parametros_manuales!$F$29*(datos_base!$I$4+IF(parametros_manuales!$H$29="Todos",datos_base!$I$11,0))*parametros_manuales!$H$107+parametros_manuales!$G$29*(datos_base!$I$5+IF(parametros_manuales!$H$29="Todos",datos_base!$I$12,0))*parametros_manuales!$H$112)*parametros_manuales!$I$29*parametros_manuales!$J$29</f>
        <v>16787.335</v>
      </c>
      <c r="I208" s="8">
        <f>(parametros_manuales!$D$29*(datos_base!$I$2+IF(parametros_manuales!$H$29="Todos",datos_base!$I$9,0))*parametros_manuales!$I$97+parametros_manuales!$E$29*(datos_base!$I$3+IF(parametros_manuales!$H$29="Todos",datos_base!$I$10,0))*parametros_manuales!$I$102+parametros_manuales!$F$29*(datos_base!$I$4+IF(parametros_manuales!$H$29="Todos",datos_base!$I$11,0))*parametros_manuales!$I$107+parametros_manuales!$G$29*(datos_base!$I$5+IF(parametros_manuales!$H$29="Todos",datos_base!$I$12,0))*parametros_manuales!$I$112)*parametros_manuales!$I$29*parametros_manuales!$J$29</f>
        <v>19129.33</v>
      </c>
      <c r="J208" s="8">
        <f>(parametros_manuales!$D$29*(datos_base!$I$2+IF(parametros_manuales!$H$29="Todos",datos_base!$I$9,0))*parametros_manuales!$J$97+parametros_manuales!$E$29*(datos_base!$I$3+IF(parametros_manuales!$H$29="Todos",datos_base!$I$10,0))*parametros_manuales!$J$102+parametros_manuales!$F$29*(datos_base!$I$4+IF(parametros_manuales!$H$29="Todos",datos_base!$I$11,0))*parametros_manuales!$J$107+parametros_manuales!$G$29*(datos_base!$I$5+IF(parametros_manuales!$H$29="Todos",datos_base!$I$12,0))*parametros_manuales!$J$112)*parametros_manuales!$I$29*parametros_manuales!$J$29</f>
        <v>19129.33</v>
      </c>
      <c r="K208" s="8">
        <f>(parametros_manuales!$D$29*(datos_base!$I$2+IF(parametros_manuales!$H$29="Todos",datos_base!$I$9,0))*parametros_manuales!$K$97+parametros_manuales!$E$29*(datos_base!$I$3+IF(parametros_manuales!$H$29="Todos",datos_base!$I$10,0))*parametros_manuales!$K$102+parametros_manuales!$F$29*(datos_base!$I$4+IF(parametros_manuales!$H$29="Todos",datos_base!$I$11,0))*parametros_manuales!$K$107+parametros_manuales!$G$29*(datos_base!$I$5+IF(parametros_manuales!$H$29="Todos",datos_base!$I$12,0))*parametros_manuales!$K$112)*parametros_manuales!$I$29*parametros_manuales!$J$29</f>
        <v>19446.665</v>
      </c>
      <c r="L208" s="8">
        <f>(parametros_manuales!$D$29*(datos_base!$I$2+IF(parametros_manuales!$H$29="Todos",datos_base!$I$9,0))*parametros_manuales!$L$97+parametros_manuales!$E$29*(datos_base!$I$3+IF(parametros_manuales!$H$29="Todos",datos_base!$I$10,0))*parametros_manuales!$L$102+parametros_manuales!$F$29*(datos_base!$I$4+IF(parametros_manuales!$H$29="Todos",datos_base!$I$11,0))*parametros_manuales!$L$107+parametros_manuales!$G$29*(datos_base!$I$5+IF(parametros_manuales!$H$29="Todos",datos_base!$I$12,0))*parametros_manuales!$L$112)*parametros_manuales!$I$29*parametros_manuales!$J$29</f>
        <v>19764</v>
      </c>
      <c r="M208" s="8">
        <f>(parametros_manuales!$D$29*(datos_base!$I$2+IF(parametros_manuales!$H$29="Todos",datos_base!$I$9,0))*parametros_manuales!$M$97+parametros_manuales!$E$29*(datos_base!$I$3+IF(parametros_manuales!$H$29="Todos",datos_base!$I$10,0))*parametros_manuales!$M$102+parametros_manuales!$F$29*(datos_base!$I$4+IF(parametros_manuales!$H$29="Todos",datos_base!$I$11,0))*parametros_manuales!$M$107+parametros_manuales!$G$29*(datos_base!$I$5+IF(parametros_manuales!$H$29="Todos",datos_base!$I$12,0))*parametros_manuales!$M$112)*parametros_manuales!$I$29*parametros_manuales!$J$29</f>
        <v>19764</v>
      </c>
      <c r="N208" s="8">
        <f t="shared" si="22"/>
        <v>219600</v>
      </c>
      <c r="O208" s="8">
        <f t="shared" si="23"/>
        <v>19764</v>
      </c>
      <c r="P208" s="27">
        <f>O208/(parametros_manuales!$B$7)</f>
        <v>131.76</v>
      </c>
      <c r="Q208" s="4" t="str">
        <f t="shared" si="24"/>
        <v>Ene</v>
      </c>
      <c r="R208" s="16"/>
      <c r="S208" s="16"/>
    </row>
    <row r="209" ht="14.25" customHeight="1">
      <c r="A209" s="4" t="str">
        <f>parametros_manuales!$B$30</f>
        <v>Bordoneado</v>
      </c>
      <c r="B209" s="8">
        <f>(parametros_manuales!$D$30*(datos_base!$I$2+IF(parametros_manuales!$H$30="Todos",datos_base!$I$9,0))*parametros_manuales!$B$97+parametros_manuales!$E$30*(datos_base!$I$3+IF(parametros_manuales!$H$30="Todos",datos_base!$I$10,0))*parametros_manuales!$B$102+parametros_manuales!$F$30*(datos_base!$I$4+IF(parametros_manuales!$H$30="Todos",datos_base!$I$11,0))*parametros_manuales!$B$107+parametros_manuales!$G$30*(datos_base!$I$5+IF(parametros_manuales!$H$30="Todos",datos_base!$I$12,0))*parametros_manuales!$B$112)*parametros_manuales!$I$30*parametros_manuales!$J$30</f>
        <v>19764</v>
      </c>
      <c r="C209" s="8">
        <f>(parametros_manuales!$D$30*(datos_base!$I$2+IF(parametros_manuales!$H$30="Todos",datos_base!$I$9,0))*parametros_manuales!$C$97+parametros_manuales!$E$30*(datos_base!$I$3+IF(parametros_manuales!$H$30="Todos",datos_base!$I$10,0))*parametros_manuales!$C$102+parametros_manuales!$F$30*(datos_base!$I$4+IF(parametros_manuales!$H$30="Todos",datos_base!$I$11,0))*parametros_manuales!$C$107+parametros_manuales!$G$30*(datos_base!$I$5+IF(parametros_manuales!$H$30="Todos",datos_base!$I$12,0))*parametros_manuales!$C$112)*parametros_manuales!$I$30*parametros_manuales!$J$30</f>
        <v>19129.33</v>
      </c>
      <c r="D209" s="8">
        <f>(parametros_manuales!$D$30*(datos_base!$I$2+IF(parametros_manuales!$H$30="Todos",datos_base!$I$9,0))*parametros_manuales!$D$97+parametros_manuales!$E$30*(datos_base!$I$3+IF(parametros_manuales!$H$30="Todos",datos_base!$I$10,0))*parametros_manuales!$D$102+parametros_manuales!$F$30*(datos_base!$I$4+IF(parametros_manuales!$H$30="Todos",datos_base!$I$11,0))*parametros_manuales!$D$107+parametros_manuales!$G$30*(datos_base!$I$5+IF(parametros_manuales!$H$30="Todos",datos_base!$I$12,0))*parametros_manuales!$D$112)*parametros_manuales!$I$30*parametros_manuales!$J$30</f>
        <v>17885.335</v>
      </c>
      <c r="E209" s="8">
        <f>(parametros_manuales!$D$30*(datos_base!$I$2+IF(parametros_manuales!$H$30="Todos",datos_base!$I$9,0))*parametros_manuales!$E$97+parametros_manuales!$E$30*(datos_base!$I$3+IF(parametros_manuales!$H$30="Todos",datos_base!$I$10,0))*parametros_manuales!$E$102+parametros_manuales!$F$30*(datos_base!$I$4+IF(parametros_manuales!$H$30="Todos",datos_base!$I$11,0))*parametros_manuales!$E$107+parametros_manuales!$G$30*(datos_base!$I$5+IF(parametros_manuales!$H$30="Todos",datos_base!$I$12,0))*parametros_manuales!$E$112)*parametros_manuales!$I$30*parametros_manuales!$J$30</f>
        <v>17104.67</v>
      </c>
      <c r="F209" s="8">
        <f>(parametros_manuales!$D$30*(datos_base!$I$2+IF(parametros_manuales!$H$30="Todos",datos_base!$I$9,0))*parametros_manuales!$F$97+parametros_manuales!$E$30*(datos_base!$I$3+IF(parametros_manuales!$H$30="Todos",datos_base!$I$10,0))*parametros_manuales!$F$102+parametros_manuales!$F$30*(datos_base!$I$4+IF(parametros_manuales!$H$30="Todos",datos_base!$I$11,0))*parametros_manuales!$F$107+parametros_manuales!$G$30*(datos_base!$I$5+IF(parametros_manuales!$H$30="Todos",datos_base!$I$12,0))*parametros_manuales!$F$112)*parametros_manuales!$I$30*parametros_manuales!$J$30</f>
        <v>16006.67</v>
      </c>
      <c r="G209" s="8">
        <f>(parametros_manuales!$D$30*(datos_base!$I$2+IF(parametros_manuales!$H$30="Todos",datos_base!$I$9,0))*parametros_manuales!$G$97+parametros_manuales!$E$30*(datos_base!$I$3+IF(parametros_manuales!$H$30="Todos",datos_base!$I$10,0))*parametros_manuales!$G$102+parametros_manuales!$F$30*(datos_base!$I$4+IF(parametros_manuales!$H$30="Todos",datos_base!$I$11,0))*parametros_manuales!$G$107+parametros_manuales!$G$30*(datos_base!$I$5+IF(parametros_manuales!$H$30="Todos",datos_base!$I$12,0))*parametros_manuales!$G$112)*parametros_manuales!$I$30*parametros_manuales!$J$30</f>
        <v>15689.335</v>
      </c>
      <c r="H209" s="8">
        <f>(parametros_manuales!$D$30*(datos_base!$I$2+IF(parametros_manuales!$H$30="Todos",datos_base!$I$9,0))*parametros_manuales!$H$97+parametros_manuales!$E$30*(datos_base!$I$3+IF(parametros_manuales!$H$30="Todos",datos_base!$I$10,0))*parametros_manuales!$H$102+parametros_manuales!$F$30*(datos_base!$I$4+IF(parametros_manuales!$H$30="Todos",datos_base!$I$11,0))*parametros_manuales!$H$107+parametros_manuales!$G$30*(datos_base!$I$5+IF(parametros_manuales!$H$30="Todos",datos_base!$I$12,0))*parametros_manuales!$H$112)*parametros_manuales!$I$30*parametros_manuales!$J$30</f>
        <v>16787.335</v>
      </c>
      <c r="I209" s="8">
        <f>(parametros_manuales!$D$30*(datos_base!$I$2+IF(parametros_manuales!$H$30="Todos",datos_base!$I$9,0))*parametros_manuales!$I$97+parametros_manuales!$E$30*(datos_base!$I$3+IF(parametros_manuales!$H$30="Todos",datos_base!$I$10,0))*parametros_manuales!$I$102+parametros_manuales!$F$30*(datos_base!$I$4+IF(parametros_manuales!$H$30="Todos",datos_base!$I$11,0))*parametros_manuales!$I$107+parametros_manuales!$G$30*(datos_base!$I$5+IF(parametros_manuales!$H$30="Todos",datos_base!$I$12,0))*parametros_manuales!$I$112)*parametros_manuales!$I$30*parametros_manuales!$J$30</f>
        <v>19129.33</v>
      </c>
      <c r="J209" s="8">
        <f>(parametros_manuales!$D$30*(datos_base!$I$2+IF(parametros_manuales!$H$30="Todos",datos_base!$I$9,0))*parametros_manuales!$J$97+parametros_manuales!$E$30*(datos_base!$I$3+IF(parametros_manuales!$H$30="Todos",datos_base!$I$10,0))*parametros_manuales!$J$102+parametros_manuales!$F$30*(datos_base!$I$4+IF(parametros_manuales!$H$30="Todos",datos_base!$I$11,0))*parametros_manuales!$J$107+parametros_manuales!$G$30*(datos_base!$I$5+IF(parametros_manuales!$H$30="Todos",datos_base!$I$12,0))*parametros_manuales!$J$112)*parametros_manuales!$I$30*parametros_manuales!$J$30</f>
        <v>19129.33</v>
      </c>
      <c r="K209" s="8">
        <f>(parametros_manuales!$D$30*(datos_base!$I$2+IF(parametros_manuales!$H$30="Todos",datos_base!$I$9,0))*parametros_manuales!$K$97+parametros_manuales!$E$30*(datos_base!$I$3+IF(parametros_manuales!$H$30="Todos",datos_base!$I$10,0))*parametros_manuales!$K$102+parametros_manuales!$F$30*(datos_base!$I$4+IF(parametros_manuales!$H$30="Todos",datos_base!$I$11,0))*parametros_manuales!$K$107+parametros_manuales!$G$30*(datos_base!$I$5+IF(parametros_manuales!$H$30="Todos",datos_base!$I$12,0))*parametros_manuales!$K$112)*parametros_manuales!$I$30*parametros_manuales!$J$30</f>
        <v>19446.665</v>
      </c>
      <c r="L209" s="8">
        <f>(parametros_manuales!$D$30*(datos_base!$I$2+IF(parametros_manuales!$H$30="Todos",datos_base!$I$9,0))*parametros_manuales!$L$97+parametros_manuales!$E$30*(datos_base!$I$3+IF(parametros_manuales!$H$30="Todos",datos_base!$I$10,0))*parametros_manuales!$L$102+parametros_manuales!$F$30*(datos_base!$I$4+IF(parametros_manuales!$H$30="Todos",datos_base!$I$11,0))*parametros_manuales!$L$107+parametros_manuales!$G$30*(datos_base!$I$5+IF(parametros_manuales!$H$30="Todos",datos_base!$I$12,0))*parametros_manuales!$L$112)*parametros_manuales!$I$30*parametros_manuales!$J$30</f>
        <v>19764</v>
      </c>
      <c r="M209" s="8">
        <f>(parametros_manuales!$D$30*(datos_base!$I$2+IF(parametros_manuales!$H$30="Todos",datos_base!$I$9,0))*parametros_manuales!$M$97+parametros_manuales!$E$30*(datos_base!$I$3+IF(parametros_manuales!$H$30="Todos",datos_base!$I$10,0))*parametros_manuales!$M$102+parametros_manuales!$F$30*(datos_base!$I$4+IF(parametros_manuales!$H$30="Todos",datos_base!$I$11,0))*parametros_manuales!$M$107+parametros_manuales!$G$30*(datos_base!$I$5+IF(parametros_manuales!$H$30="Todos",datos_base!$I$12,0))*parametros_manuales!$M$112)*parametros_manuales!$I$30*parametros_manuales!$J$30</f>
        <v>19764</v>
      </c>
      <c r="N209" s="8">
        <f t="shared" si="22"/>
        <v>219600</v>
      </c>
      <c r="O209" s="8">
        <f t="shared" si="23"/>
        <v>19764</v>
      </c>
      <c r="P209" s="27">
        <f>O209/(parametros_manuales!$B$7)</f>
        <v>131.76</v>
      </c>
      <c r="Q209" s="4" t="str">
        <f t="shared" si="24"/>
        <v>Ene</v>
      </c>
      <c r="R209" s="16"/>
      <c r="S209" s="16"/>
    </row>
    <row r="210" ht="14.25" customHeight="1">
      <c r="A210" s="4" t="str">
        <f>parametros_manuales!$B$31</f>
        <v>Soldadura circunferencial de cúpula y fondo</v>
      </c>
      <c r="B210" s="8">
        <f>(parametros_manuales!$D$31*(datos_base!$I$2+IF(parametros_manuales!$H$31="Todos",datos_base!$I$9,0))*parametros_manuales!$B$97+parametros_manuales!$E$31*(datos_base!$I$3+IF(parametros_manuales!$H$31="Todos",datos_base!$I$10,0))*parametros_manuales!$B$102+parametros_manuales!$F$31*(datos_base!$I$4+IF(parametros_manuales!$H$31="Todos",datos_base!$I$11,0))*parametros_manuales!$B$107+parametros_manuales!$G$31*(datos_base!$I$5+IF(parametros_manuales!$H$31="Todos",datos_base!$I$12,0))*parametros_manuales!$B$112)*parametros_manuales!$I$31*parametros_manuales!$J$31</f>
        <v>19764</v>
      </c>
      <c r="C210" s="8">
        <f>(parametros_manuales!$D$31*(datos_base!$I$2+IF(parametros_manuales!$H$31="Todos",datos_base!$I$9,0))*parametros_manuales!$C$97+parametros_manuales!$E$31*(datos_base!$I$3+IF(parametros_manuales!$H$31="Todos",datos_base!$I$10,0))*parametros_manuales!$C$102+parametros_manuales!$F$31*(datos_base!$I$4+IF(parametros_manuales!$H$31="Todos",datos_base!$I$11,0))*parametros_manuales!$C$107+parametros_manuales!$G$31*(datos_base!$I$5+IF(parametros_manuales!$H$31="Todos",datos_base!$I$12,0))*parametros_manuales!$C$112)*parametros_manuales!$I$31*parametros_manuales!$J$31</f>
        <v>19129.33</v>
      </c>
      <c r="D210" s="8">
        <f>(parametros_manuales!$D$31*(datos_base!$I$2+IF(parametros_manuales!$H$31="Todos",datos_base!$I$9,0))*parametros_manuales!$D$97+parametros_manuales!$E$31*(datos_base!$I$3+IF(parametros_manuales!$H$31="Todos",datos_base!$I$10,0))*parametros_manuales!$D$102+parametros_manuales!$F$31*(datos_base!$I$4+IF(parametros_manuales!$H$31="Todos",datos_base!$I$11,0))*parametros_manuales!$D$107+parametros_manuales!$G$31*(datos_base!$I$5+IF(parametros_manuales!$H$31="Todos",datos_base!$I$12,0))*parametros_manuales!$D$112)*parametros_manuales!$I$31*parametros_manuales!$J$31</f>
        <v>17885.335</v>
      </c>
      <c r="E210" s="8">
        <f>(parametros_manuales!$D$31*(datos_base!$I$2+IF(parametros_manuales!$H$31="Todos",datos_base!$I$9,0))*parametros_manuales!$E$97+parametros_manuales!$E$31*(datos_base!$I$3+IF(parametros_manuales!$H$31="Todos",datos_base!$I$10,0))*parametros_manuales!$E$102+parametros_manuales!$F$31*(datos_base!$I$4+IF(parametros_manuales!$H$31="Todos",datos_base!$I$11,0))*parametros_manuales!$E$107+parametros_manuales!$G$31*(datos_base!$I$5+IF(parametros_manuales!$H$31="Todos",datos_base!$I$12,0))*parametros_manuales!$E$112)*parametros_manuales!$I$31*parametros_manuales!$J$31</f>
        <v>17104.67</v>
      </c>
      <c r="F210" s="8">
        <f>(parametros_manuales!$D$31*(datos_base!$I$2+IF(parametros_manuales!$H$31="Todos",datos_base!$I$9,0))*parametros_manuales!$F$97+parametros_manuales!$E$31*(datos_base!$I$3+IF(parametros_manuales!$H$31="Todos",datos_base!$I$10,0))*parametros_manuales!$F$102+parametros_manuales!$F$31*(datos_base!$I$4+IF(parametros_manuales!$H$31="Todos",datos_base!$I$11,0))*parametros_manuales!$F$107+parametros_manuales!$G$31*(datos_base!$I$5+IF(parametros_manuales!$H$31="Todos",datos_base!$I$12,0))*parametros_manuales!$F$112)*parametros_manuales!$I$31*parametros_manuales!$J$31</f>
        <v>16006.67</v>
      </c>
      <c r="G210" s="8">
        <f>(parametros_manuales!$D$31*(datos_base!$I$2+IF(parametros_manuales!$H$31="Todos",datos_base!$I$9,0))*parametros_manuales!$G$97+parametros_manuales!$E$31*(datos_base!$I$3+IF(parametros_manuales!$H$31="Todos",datos_base!$I$10,0))*parametros_manuales!$G$102+parametros_manuales!$F$31*(datos_base!$I$4+IF(parametros_manuales!$H$31="Todos",datos_base!$I$11,0))*parametros_manuales!$G$107+parametros_manuales!$G$31*(datos_base!$I$5+IF(parametros_manuales!$H$31="Todos",datos_base!$I$12,0))*parametros_manuales!$G$112)*parametros_manuales!$I$31*parametros_manuales!$J$31</f>
        <v>15689.335</v>
      </c>
      <c r="H210" s="8">
        <f>(parametros_manuales!$D$31*(datos_base!$I$2+IF(parametros_manuales!$H$31="Todos",datos_base!$I$9,0))*parametros_manuales!$H$97+parametros_manuales!$E$31*(datos_base!$I$3+IF(parametros_manuales!$H$31="Todos",datos_base!$I$10,0))*parametros_manuales!$H$102+parametros_manuales!$F$31*(datos_base!$I$4+IF(parametros_manuales!$H$31="Todos",datos_base!$I$11,0))*parametros_manuales!$H$107+parametros_manuales!$G$31*(datos_base!$I$5+IF(parametros_manuales!$H$31="Todos",datos_base!$I$12,0))*parametros_manuales!$H$112)*parametros_manuales!$I$31*parametros_manuales!$J$31</f>
        <v>16787.335</v>
      </c>
      <c r="I210" s="8">
        <f>(parametros_manuales!$D$31*(datos_base!$I$2+IF(parametros_manuales!$H$31="Todos",datos_base!$I$9,0))*parametros_manuales!$I$97+parametros_manuales!$E$31*(datos_base!$I$3+IF(parametros_manuales!$H$31="Todos",datos_base!$I$10,0))*parametros_manuales!$I$102+parametros_manuales!$F$31*(datos_base!$I$4+IF(parametros_manuales!$H$31="Todos",datos_base!$I$11,0))*parametros_manuales!$I$107+parametros_manuales!$G$31*(datos_base!$I$5+IF(parametros_manuales!$H$31="Todos",datos_base!$I$12,0))*parametros_manuales!$I$112)*parametros_manuales!$I$31*parametros_manuales!$J$31</f>
        <v>19129.33</v>
      </c>
      <c r="J210" s="8">
        <f>(parametros_manuales!$D$31*(datos_base!$I$2+IF(parametros_manuales!$H$31="Todos",datos_base!$I$9,0))*parametros_manuales!$J$97+parametros_manuales!$E$31*(datos_base!$I$3+IF(parametros_manuales!$H$31="Todos",datos_base!$I$10,0))*parametros_manuales!$J$102+parametros_manuales!$F$31*(datos_base!$I$4+IF(parametros_manuales!$H$31="Todos",datos_base!$I$11,0))*parametros_manuales!$J$107+parametros_manuales!$G$31*(datos_base!$I$5+IF(parametros_manuales!$H$31="Todos",datos_base!$I$12,0))*parametros_manuales!$J$112)*parametros_manuales!$I$31*parametros_manuales!$J$31</f>
        <v>19129.33</v>
      </c>
      <c r="K210" s="8">
        <f>(parametros_manuales!$D$31*(datos_base!$I$2+IF(parametros_manuales!$H$31="Todos",datos_base!$I$9,0))*parametros_manuales!$K$97+parametros_manuales!$E$31*(datos_base!$I$3+IF(parametros_manuales!$H$31="Todos",datos_base!$I$10,0))*parametros_manuales!$K$102+parametros_manuales!$F$31*(datos_base!$I$4+IF(parametros_manuales!$H$31="Todos",datos_base!$I$11,0))*parametros_manuales!$K$107+parametros_manuales!$G$31*(datos_base!$I$5+IF(parametros_manuales!$H$31="Todos",datos_base!$I$12,0))*parametros_manuales!$K$112)*parametros_manuales!$I$31*parametros_manuales!$J$31</f>
        <v>19446.665</v>
      </c>
      <c r="L210" s="8">
        <f>(parametros_manuales!$D$31*(datos_base!$I$2+IF(parametros_manuales!$H$31="Todos",datos_base!$I$9,0))*parametros_manuales!$L$97+parametros_manuales!$E$31*(datos_base!$I$3+IF(parametros_manuales!$H$31="Todos",datos_base!$I$10,0))*parametros_manuales!$L$102+parametros_manuales!$F$31*(datos_base!$I$4+IF(parametros_manuales!$H$31="Todos",datos_base!$I$11,0))*parametros_manuales!$L$107+parametros_manuales!$G$31*(datos_base!$I$5+IF(parametros_manuales!$H$31="Todos",datos_base!$I$12,0))*parametros_manuales!$L$112)*parametros_manuales!$I$31*parametros_manuales!$J$31</f>
        <v>19764</v>
      </c>
      <c r="M210" s="8">
        <f>(parametros_manuales!$D$31*(datos_base!$I$2+IF(parametros_manuales!$H$31="Todos",datos_base!$I$9,0))*parametros_manuales!$M$97+parametros_manuales!$E$31*(datos_base!$I$3+IF(parametros_manuales!$H$31="Todos",datos_base!$I$10,0))*parametros_manuales!$M$102+parametros_manuales!$F$31*(datos_base!$I$4+IF(parametros_manuales!$H$31="Todos",datos_base!$I$11,0))*parametros_manuales!$M$107+parametros_manuales!$G$31*(datos_base!$I$5+IF(parametros_manuales!$H$31="Todos",datos_base!$I$12,0))*parametros_manuales!$M$112)*parametros_manuales!$I$31*parametros_manuales!$J$31</f>
        <v>19764</v>
      </c>
      <c r="N210" s="8">
        <f t="shared" si="22"/>
        <v>219600</v>
      </c>
      <c r="O210" s="8">
        <f t="shared" si="23"/>
        <v>19764</v>
      </c>
      <c r="P210" s="27">
        <f>O210/(parametros_manuales!$B$7)</f>
        <v>131.76</v>
      </c>
      <c r="Q210" s="4" t="str">
        <f t="shared" si="24"/>
        <v>Ene</v>
      </c>
      <c r="R210" s="16"/>
      <c r="S210" s="16"/>
    </row>
    <row r="211" ht="14.25" customHeight="1">
      <c r="A211" s="4" t="str">
        <f>parametros_manuales!$B$32</f>
        <v>Control de calidad — Espesor</v>
      </c>
      <c r="B211" s="8">
        <f>(parametros_manuales!$D$32*(datos_base!$I$2+IF(parametros_manuales!$H$32="Todos",datos_base!$I$9,0))*parametros_manuales!$B$97+parametros_manuales!$E$32*(datos_base!$I$3+IF(parametros_manuales!$H$32="Todos",datos_base!$I$10,0))*parametros_manuales!$B$102+parametros_manuales!$F$32*(datos_base!$I$4+IF(parametros_manuales!$H$32="Todos",datos_base!$I$11,0))*parametros_manuales!$B$107+parametros_manuales!$G$32*(datos_base!$I$5+IF(parametros_manuales!$H$32="Todos",datos_base!$I$12,0))*parametros_manuales!$B$112)*parametros_manuales!$I$32*parametros_manuales!$J$32</f>
        <v>395.28</v>
      </c>
      <c r="C211" s="8">
        <f>(parametros_manuales!$D$32*(datos_base!$I$2+IF(parametros_manuales!$H$32="Todos",datos_base!$I$9,0))*parametros_manuales!$C$97+parametros_manuales!$E$32*(datos_base!$I$3+IF(parametros_manuales!$H$32="Todos",datos_base!$I$10,0))*parametros_manuales!$C$102+parametros_manuales!$F$32*(datos_base!$I$4+IF(parametros_manuales!$H$32="Todos",datos_base!$I$11,0))*parametros_manuales!$C$107+parametros_manuales!$G$32*(datos_base!$I$5+IF(parametros_manuales!$H$32="Todos",datos_base!$I$12,0))*parametros_manuales!$C$112)*parametros_manuales!$I$32*parametros_manuales!$J$32</f>
        <v>382.5866</v>
      </c>
      <c r="D211" s="8">
        <f>(parametros_manuales!$D$32*(datos_base!$I$2+IF(parametros_manuales!$H$32="Todos",datos_base!$I$9,0))*parametros_manuales!$D$97+parametros_manuales!$E$32*(datos_base!$I$3+IF(parametros_manuales!$H$32="Todos",datos_base!$I$10,0))*parametros_manuales!$D$102+parametros_manuales!$F$32*(datos_base!$I$4+IF(parametros_manuales!$H$32="Todos",datos_base!$I$11,0))*parametros_manuales!$D$107+parametros_manuales!$G$32*(datos_base!$I$5+IF(parametros_manuales!$H$32="Todos",datos_base!$I$12,0))*parametros_manuales!$D$112)*parametros_manuales!$I$32*parametros_manuales!$J$32</f>
        <v>357.7067</v>
      </c>
      <c r="E211" s="8">
        <f>(parametros_manuales!$D$32*(datos_base!$I$2+IF(parametros_manuales!$H$32="Todos",datos_base!$I$9,0))*parametros_manuales!$E$97+parametros_manuales!$E$32*(datos_base!$I$3+IF(parametros_manuales!$H$32="Todos",datos_base!$I$10,0))*parametros_manuales!$E$102+parametros_manuales!$F$32*(datos_base!$I$4+IF(parametros_manuales!$H$32="Todos",datos_base!$I$11,0))*parametros_manuales!$E$107+parametros_manuales!$G$32*(datos_base!$I$5+IF(parametros_manuales!$H$32="Todos",datos_base!$I$12,0))*parametros_manuales!$E$112)*parametros_manuales!$I$32*parametros_manuales!$J$32</f>
        <v>342.0934</v>
      </c>
      <c r="F211" s="8">
        <f>(parametros_manuales!$D$32*(datos_base!$I$2+IF(parametros_manuales!$H$32="Todos",datos_base!$I$9,0))*parametros_manuales!$F$97+parametros_manuales!$E$32*(datos_base!$I$3+IF(parametros_manuales!$H$32="Todos",datos_base!$I$10,0))*parametros_manuales!$F$102+parametros_manuales!$F$32*(datos_base!$I$4+IF(parametros_manuales!$H$32="Todos",datos_base!$I$11,0))*parametros_manuales!$F$107+parametros_manuales!$G$32*(datos_base!$I$5+IF(parametros_manuales!$H$32="Todos",datos_base!$I$12,0))*parametros_manuales!$F$112)*parametros_manuales!$I$32*parametros_manuales!$J$32</f>
        <v>320.1334</v>
      </c>
      <c r="G211" s="8">
        <f>(parametros_manuales!$D$32*(datos_base!$I$2+IF(parametros_manuales!$H$32="Todos",datos_base!$I$9,0))*parametros_manuales!$G$97+parametros_manuales!$E$32*(datos_base!$I$3+IF(parametros_manuales!$H$32="Todos",datos_base!$I$10,0))*parametros_manuales!$G$102+parametros_manuales!$F$32*(datos_base!$I$4+IF(parametros_manuales!$H$32="Todos",datos_base!$I$11,0))*parametros_manuales!$G$107+parametros_manuales!$G$32*(datos_base!$I$5+IF(parametros_manuales!$H$32="Todos",datos_base!$I$12,0))*parametros_manuales!$G$112)*parametros_manuales!$I$32*parametros_manuales!$J$32</f>
        <v>313.7867</v>
      </c>
      <c r="H211" s="8">
        <f>(parametros_manuales!$D$32*(datos_base!$I$2+IF(parametros_manuales!$H$32="Todos",datos_base!$I$9,0))*parametros_manuales!$H$97+parametros_manuales!$E$32*(datos_base!$I$3+IF(parametros_manuales!$H$32="Todos",datos_base!$I$10,0))*parametros_manuales!$H$102+parametros_manuales!$F$32*(datos_base!$I$4+IF(parametros_manuales!$H$32="Todos",datos_base!$I$11,0))*parametros_manuales!$H$107+parametros_manuales!$G$32*(datos_base!$I$5+IF(parametros_manuales!$H$32="Todos",datos_base!$I$12,0))*parametros_manuales!$H$112)*parametros_manuales!$I$32*parametros_manuales!$J$32</f>
        <v>335.7467</v>
      </c>
      <c r="I211" s="8">
        <f>(parametros_manuales!$D$32*(datos_base!$I$2+IF(parametros_manuales!$H$32="Todos",datos_base!$I$9,0))*parametros_manuales!$I$97+parametros_manuales!$E$32*(datos_base!$I$3+IF(parametros_manuales!$H$32="Todos",datos_base!$I$10,0))*parametros_manuales!$I$102+parametros_manuales!$F$32*(datos_base!$I$4+IF(parametros_manuales!$H$32="Todos",datos_base!$I$11,0))*parametros_manuales!$I$107+parametros_manuales!$G$32*(datos_base!$I$5+IF(parametros_manuales!$H$32="Todos",datos_base!$I$12,0))*parametros_manuales!$I$112)*parametros_manuales!$I$32*parametros_manuales!$J$32</f>
        <v>382.5866</v>
      </c>
      <c r="J211" s="8">
        <f>(parametros_manuales!$D$32*(datos_base!$I$2+IF(parametros_manuales!$H$32="Todos",datos_base!$I$9,0))*parametros_manuales!$J$97+parametros_manuales!$E$32*(datos_base!$I$3+IF(parametros_manuales!$H$32="Todos",datos_base!$I$10,0))*parametros_manuales!$J$102+parametros_manuales!$F$32*(datos_base!$I$4+IF(parametros_manuales!$H$32="Todos",datos_base!$I$11,0))*parametros_manuales!$J$107+parametros_manuales!$G$32*(datos_base!$I$5+IF(parametros_manuales!$H$32="Todos",datos_base!$I$12,0))*parametros_manuales!$J$112)*parametros_manuales!$I$32*parametros_manuales!$J$32</f>
        <v>382.5866</v>
      </c>
      <c r="K211" s="8">
        <f>(parametros_manuales!$D$32*(datos_base!$I$2+IF(parametros_manuales!$H$32="Todos",datos_base!$I$9,0))*parametros_manuales!$K$97+parametros_manuales!$E$32*(datos_base!$I$3+IF(parametros_manuales!$H$32="Todos",datos_base!$I$10,0))*parametros_manuales!$K$102+parametros_manuales!$F$32*(datos_base!$I$4+IF(parametros_manuales!$H$32="Todos",datos_base!$I$11,0))*parametros_manuales!$K$107+parametros_manuales!$G$32*(datos_base!$I$5+IF(parametros_manuales!$H$32="Todos",datos_base!$I$12,0))*parametros_manuales!$K$112)*parametros_manuales!$I$32*parametros_manuales!$J$32</f>
        <v>388.9333</v>
      </c>
      <c r="L211" s="8">
        <f>(parametros_manuales!$D$32*(datos_base!$I$2+IF(parametros_manuales!$H$32="Todos",datos_base!$I$9,0))*parametros_manuales!$L$97+parametros_manuales!$E$32*(datos_base!$I$3+IF(parametros_manuales!$H$32="Todos",datos_base!$I$10,0))*parametros_manuales!$L$102+parametros_manuales!$F$32*(datos_base!$I$4+IF(parametros_manuales!$H$32="Todos",datos_base!$I$11,0))*parametros_manuales!$L$107+parametros_manuales!$G$32*(datos_base!$I$5+IF(parametros_manuales!$H$32="Todos",datos_base!$I$12,0))*parametros_manuales!$L$112)*parametros_manuales!$I$32*parametros_manuales!$J$32</f>
        <v>395.28</v>
      </c>
      <c r="M211" s="8">
        <f>(parametros_manuales!$D$32*(datos_base!$I$2+IF(parametros_manuales!$H$32="Todos",datos_base!$I$9,0))*parametros_manuales!$M$97+parametros_manuales!$E$32*(datos_base!$I$3+IF(parametros_manuales!$H$32="Todos",datos_base!$I$10,0))*parametros_manuales!$M$102+parametros_manuales!$F$32*(datos_base!$I$4+IF(parametros_manuales!$H$32="Todos",datos_base!$I$11,0))*parametros_manuales!$M$107+parametros_manuales!$G$32*(datos_base!$I$5+IF(parametros_manuales!$H$32="Todos",datos_base!$I$12,0))*parametros_manuales!$M$112)*parametros_manuales!$I$32*parametros_manuales!$J$32</f>
        <v>395.28</v>
      </c>
      <c r="N211" s="8">
        <f t="shared" si="22"/>
        <v>4392</v>
      </c>
      <c r="O211" s="8">
        <f t="shared" si="23"/>
        <v>395.28</v>
      </c>
      <c r="P211" s="27">
        <f>O211/(parametros_manuales!$B$7)</f>
        <v>2.6352</v>
      </c>
      <c r="Q211" s="4" t="str">
        <f t="shared" si="24"/>
        <v>Ene</v>
      </c>
      <c r="R211" s="16"/>
      <c r="S211" s="16"/>
    </row>
    <row r="212" ht="14.25" customHeight="1">
      <c r="A212" s="4" t="str">
        <f>parametros_manuales!$B$33</f>
        <v>Prueba hidráulica</v>
      </c>
      <c r="B212" s="8">
        <f>(parametros_manuales!$D$33*(datos_base!$I$2+IF(parametros_manuales!$H$33="Todos",datos_base!$I$9,0))*parametros_manuales!$B$97+parametros_manuales!$E$33*(datos_base!$I$3+IF(parametros_manuales!$H$33="Todos",datos_base!$I$10,0))*parametros_manuales!$B$102+parametros_manuales!$F$33*(datos_base!$I$4+IF(parametros_manuales!$H$33="Todos",datos_base!$I$11,0))*parametros_manuales!$B$107+parametros_manuales!$G$33*(datos_base!$I$5+IF(parametros_manuales!$H$33="Todos",datos_base!$I$12,0))*parametros_manuales!$B$112)*parametros_manuales!$I$33*parametros_manuales!$J$33</f>
        <v>19764</v>
      </c>
      <c r="C212" s="8">
        <f>(parametros_manuales!$D$33*(datos_base!$I$2+IF(parametros_manuales!$H$33="Todos",datos_base!$I$9,0))*parametros_manuales!$C$97+parametros_manuales!$E$33*(datos_base!$I$3+IF(parametros_manuales!$H$33="Todos",datos_base!$I$10,0))*parametros_manuales!$C$102+parametros_manuales!$F$33*(datos_base!$I$4+IF(parametros_manuales!$H$33="Todos",datos_base!$I$11,0))*parametros_manuales!$C$107+parametros_manuales!$G$33*(datos_base!$I$5+IF(parametros_manuales!$H$33="Todos",datos_base!$I$12,0))*parametros_manuales!$C$112)*parametros_manuales!$I$33*parametros_manuales!$J$33</f>
        <v>19129.33</v>
      </c>
      <c r="D212" s="8">
        <f>(parametros_manuales!$D$33*(datos_base!$I$2+IF(parametros_manuales!$H$33="Todos",datos_base!$I$9,0))*parametros_manuales!$D$97+parametros_manuales!$E$33*(datos_base!$I$3+IF(parametros_manuales!$H$33="Todos",datos_base!$I$10,0))*parametros_manuales!$D$102+parametros_manuales!$F$33*(datos_base!$I$4+IF(parametros_manuales!$H$33="Todos",datos_base!$I$11,0))*parametros_manuales!$D$107+parametros_manuales!$G$33*(datos_base!$I$5+IF(parametros_manuales!$H$33="Todos",datos_base!$I$12,0))*parametros_manuales!$D$112)*parametros_manuales!$I$33*parametros_manuales!$J$33</f>
        <v>17885.335</v>
      </c>
      <c r="E212" s="8">
        <f>(parametros_manuales!$D$33*(datos_base!$I$2+IF(parametros_manuales!$H$33="Todos",datos_base!$I$9,0))*parametros_manuales!$E$97+parametros_manuales!$E$33*(datos_base!$I$3+IF(parametros_manuales!$H$33="Todos",datos_base!$I$10,0))*parametros_manuales!$E$102+parametros_manuales!$F$33*(datos_base!$I$4+IF(parametros_manuales!$H$33="Todos",datos_base!$I$11,0))*parametros_manuales!$E$107+parametros_manuales!$G$33*(datos_base!$I$5+IF(parametros_manuales!$H$33="Todos",datos_base!$I$12,0))*parametros_manuales!$E$112)*parametros_manuales!$I$33*parametros_manuales!$J$33</f>
        <v>17104.67</v>
      </c>
      <c r="F212" s="8">
        <f>(parametros_manuales!$D$33*(datos_base!$I$2+IF(parametros_manuales!$H$33="Todos",datos_base!$I$9,0))*parametros_manuales!$F$97+parametros_manuales!$E$33*(datos_base!$I$3+IF(parametros_manuales!$H$33="Todos",datos_base!$I$10,0))*parametros_manuales!$F$102+parametros_manuales!$F$33*(datos_base!$I$4+IF(parametros_manuales!$H$33="Todos",datos_base!$I$11,0))*parametros_manuales!$F$107+parametros_manuales!$G$33*(datos_base!$I$5+IF(parametros_manuales!$H$33="Todos",datos_base!$I$12,0))*parametros_manuales!$F$112)*parametros_manuales!$I$33*parametros_manuales!$J$33</f>
        <v>16006.67</v>
      </c>
      <c r="G212" s="8">
        <f>(parametros_manuales!$D$33*(datos_base!$I$2+IF(parametros_manuales!$H$33="Todos",datos_base!$I$9,0))*parametros_manuales!$G$97+parametros_manuales!$E$33*(datos_base!$I$3+IF(parametros_manuales!$H$33="Todos",datos_base!$I$10,0))*parametros_manuales!$G$102+parametros_manuales!$F$33*(datos_base!$I$4+IF(parametros_manuales!$H$33="Todos",datos_base!$I$11,0))*parametros_manuales!$G$107+parametros_manuales!$G$33*(datos_base!$I$5+IF(parametros_manuales!$H$33="Todos",datos_base!$I$12,0))*parametros_manuales!$G$112)*parametros_manuales!$I$33*parametros_manuales!$J$33</f>
        <v>15689.335</v>
      </c>
      <c r="H212" s="8">
        <f>(parametros_manuales!$D$33*(datos_base!$I$2+IF(parametros_manuales!$H$33="Todos",datos_base!$I$9,0))*parametros_manuales!$H$97+parametros_manuales!$E$33*(datos_base!$I$3+IF(parametros_manuales!$H$33="Todos",datos_base!$I$10,0))*parametros_manuales!$H$102+parametros_manuales!$F$33*(datos_base!$I$4+IF(parametros_manuales!$H$33="Todos",datos_base!$I$11,0))*parametros_manuales!$H$107+parametros_manuales!$G$33*(datos_base!$I$5+IF(parametros_manuales!$H$33="Todos",datos_base!$I$12,0))*parametros_manuales!$H$112)*parametros_manuales!$I$33*parametros_manuales!$J$33</f>
        <v>16787.335</v>
      </c>
      <c r="I212" s="8">
        <f>(parametros_manuales!$D$33*(datos_base!$I$2+IF(parametros_manuales!$H$33="Todos",datos_base!$I$9,0))*parametros_manuales!$I$97+parametros_manuales!$E$33*(datos_base!$I$3+IF(parametros_manuales!$H$33="Todos",datos_base!$I$10,0))*parametros_manuales!$I$102+parametros_manuales!$F$33*(datos_base!$I$4+IF(parametros_manuales!$H$33="Todos",datos_base!$I$11,0))*parametros_manuales!$I$107+parametros_manuales!$G$33*(datos_base!$I$5+IF(parametros_manuales!$H$33="Todos",datos_base!$I$12,0))*parametros_manuales!$I$112)*parametros_manuales!$I$33*parametros_manuales!$J$33</f>
        <v>19129.33</v>
      </c>
      <c r="J212" s="8">
        <f>(parametros_manuales!$D$33*(datos_base!$I$2+IF(parametros_manuales!$H$33="Todos",datos_base!$I$9,0))*parametros_manuales!$J$97+parametros_manuales!$E$33*(datos_base!$I$3+IF(parametros_manuales!$H$33="Todos",datos_base!$I$10,0))*parametros_manuales!$J$102+parametros_manuales!$F$33*(datos_base!$I$4+IF(parametros_manuales!$H$33="Todos",datos_base!$I$11,0))*parametros_manuales!$J$107+parametros_manuales!$G$33*(datos_base!$I$5+IF(parametros_manuales!$H$33="Todos",datos_base!$I$12,0))*parametros_manuales!$J$112)*parametros_manuales!$I$33*parametros_manuales!$J$33</f>
        <v>19129.33</v>
      </c>
      <c r="K212" s="8">
        <f>(parametros_manuales!$D$33*(datos_base!$I$2+IF(parametros_manuales!$H$33="Todos",datos_base!$I$9,0))*parametros_manuales!$K$97+parametros_manuales!$E$33*(datos_base!$I$3+IF(parametros_manuales!$H$33="Todos",datos_base!$I$10,0))*parametros_manuales!$K$102+parametros_manuales!$F$33*(datos_base!$I$4+IF(parametros_manuales!$H$33="Todos",datos_base!$I$11,0))*parametros_manuales!$K$107+parametros_manuales!$G$33*(datos_base!$I$5+IF(parametros_manuales!$H$33="Todos",datos_base!$I$12,0))*parametros_manuales!$K$112)*parametros_manuales!$I$33*parametros_manuales!$J$33</f>
        <v>19446.665</v>
      </c>
      <c r="L212" s="8">
        <f>(parametros_manuales!$D$33*(datos_base!$I$2+IF(parametros_manuales!$H$33="Todos",datos_base!$I$9,0))*parametros_manuales!$L$97+parametros_manuales!$E$33*(datos_base!$I$3+IF(parametros_manuales!$H$33="Todos",datos_base!$I$10,0))*parametros_manuales!$L$102+parametros_manuales!$F$33*(datos_base!$I$4+IF(parametros_manuales!$H$33="Todos",datos_base!$I$11,0))*parametros_manuales!$L$107+parametros_manuales!$G$33*(datos_base!$I$5+IF(parametros_manuales!$H$33="Todos",datos_base!$I$12,0))*parametros_manuales!$L$112)*parametros_manuales!$I$33*parametros_manuales!$J$33</f>
        <v>19764</v>
      </c>
      <c r="M212" s="8">
        <f>(parametros_manuales!$D$33*(datos_base!$I$2+IF(parametros_manuales!$H$33="Todos",datos_base!$I$9,0))*parametros_manuales!$M$97+parametros_manuales!$E$33*(datos_base!$I$3+IF(parametros_manuales!$H$33="Todos",datos_base!$I$10,0))*parametros_manuales!$M$102+parametros_manuales!$F$33*(datos_base!$I$4+IF(parametros_manuales!$H$33="Todos",datos_base!$I$11,0))*parametros_manuales!$M$107+parametros_manuales!$G$33*(datos_base!$I$5+IF(parametros_manuales!$H$33="Todos",datos_base!$I$12,0))*parametros_manuales!$M$112)*parametros_manuales!$I$33*parametros_manuales!$J$33</f>
        <v>19764</v>
      </c>
      <c r="N212" s="8">
        <f t="shared" si="22"/>
        <v>219600</v>
      </c>
      <c r="O212" s="8">
        <f t="shared" si="23"/>
        <v>19764</v>
      </c>
      <c r="P212" s="27">
        <f>O212/(parametros_manuales!$B$7)</f>
        <v>131.76</v>
      </c>
      <c r="Q212" s="4" t="str">
        <f t="shared" si="24"/>
        <v>Ene</v>
      </c>
      <c r="R212" s="16"/>
      <c r="S212" s="16"/>
    </row>
    <row r="213" ht="14.25" customHeight="1">
      <c r="A213" s="4" t="str">
        <f>parametros_manuales!$B$34</f>
        <v>Secado</v>
      </c>
      <c r="B213" s="8">
        <f>(parametros_manuales!$D$34*(datos_base!$I$2+IF(parametros_manuales!$H$34="Todos",datos_base!$I$9,0))*parametros_manuales!$B$97+parametros_manuales!$E$34*(datos_base!$I$3+IF(parametros_manuales!$H$34="Todos",datos_base!$I$10,0))*parametros_manuales!$B$102+parametros_manuales!$F$34*(datos_base!$I$4+IF(parametros_manuales!$H$34="Todos",datos_base!$I$11,0))*parametros_manuales!$B$107+parametros_manuales!$G$34*(datos_base!$I$5+IF(parametros_manuales!$H$34="Todos",datos_base!$I$12,0))*parametros_manuales!$B$112)*parametros_manuales!$I$34*parametros_manuales!$J$34</f>
        <v>19764</v>
      </c>
      <c r="C213" s="8">
        <f>(parametros_manuales!$D$34*(datos_base!$I$2+IF(parametros_manuales!$H$34="Todos",datos_base!$I$9,0))*parametros_manuales!$C$97+parametros_manuales!$E$34*(datos_base!$I$3+IF(parametros_manuales!$H$34="Todos",datos_base!$I$10,0))*parametros_manuales!$C$102+parametros_manuales!$F$34*(datos_base!$I$4+IF(parametros_manuales!$H$34="Todos",datos_base!$I$11,0))*parametros_manuales!$C$107+parametros_manuales!$G$34*(datos_base!$I$5+IF(parametros_manuales!$H$34="Todos",datos_base!$I$12,0))*parametros_manuales!$C$112)*parametros_manuales!$I$34*parametros_manuales!$J$34</f>
        <v>19129.33</v>
      </c>
      <c r="D213" s="8">
        <f>(parametros_manuales!$D$34*(datos_base!$I$2+IF(parametros_manuales!$H$34="Todos",datos_base!$I$9,0))*parametros_manuales!$D$97+parametros_manuales!$E$34*(datos_base!$I$3+IF(parametros_manuales!$H$34="Todos",datos_base!$I$10,0))*parametros_manuales!$D$102+parametros_manuales!$F$34*(datos_base!$I$4+IF(parametros_manuales!$H$34="Todos",datos_base!$I$11,0))*parametros_manuales!$D$107+parametros_manuales!$G$34*(datos_base!$I$5+IF(parametros_manuales!$H$34="Todos",datos_base!$I$12,0))*parametros_manuales!$D$112)*parametros_manuales!$I$34*parametros_manuales!$J$34</f>
        <v>17885.335</v>
      </c>
      <c r="E213" s="8">
        <f>(parametros_manuales!$D$34*(datos_base!$I$2+IF(parametros_manuales!$H$34="Todos",datos_base!$I$9,0))*parametros_manuales!$E$97+parametros_manuales!$E$34*(datos_base!$I$3+IF(parametros_manuales!$H$34="Todos",datos_base!$I$10,0))*parametros_manuales!$E$102+parametros_manuales!$F$34*(datos_base!$I$4+IF(parametros_manuales!$H$34="Todos",datos_base!$I$11,0))*parametros_manuales!$E$107+parametros_manuales!$G$34*(datos_base!$I$5+IF(parametros_manuales!$H$34="Todos",datos_base!$I$12,0))*parametros_manuales!$E$112)*parametros_manuales!$I$34*parametros_manuales!$J$34</f>
        <v>17104.67</v>
      </c>
      <c r="F213" s="8">
        <f>(parametros_manuales!$D$34*(datos_base!$I$2+IF(parametros_manuales!$H$34="Todos",datos_base!$I$9,0))*parametros_manuales!$F$97+parametros_manuales!$E$34*(datos_base!$I$3+IF(parametros_manuales!$H$34="Todos",datos_base!$I$10,0))*parametros_manuales!$F$102+parametros_manuales!$F$34*(datos_base!$I$4+IF(parametros_manuales!$H$34="Todos",datos_base!$I$11,0))*parametros_manuales!$F$107+parametros_manuales!$G$34*(datos_base!$I$5+IF(parametros_manuales!$H$34="Todos",datos_base!$I$12,0))*parametros_manuales!$F$112)*parametros_manuales!$I$34*parametros_manuales!$J$34</f>
        <v>16006.67</v>
      </c>
      <c r="G213" s="8">
        <f>(parametros_manuales!$D$34*(datos_base!$I$2+IF(parametros_manuales!$H$34="Todos",datos_base!$I$9,0))*parametros_manuales!$G$97+parametros_manuales!$E$34*(datos_base!$I$3+IF(parametros_manuales!$H$34="Todos",datos_base!$I$10,0))*parametros_manuales!$G$102+parametros_manuales!$F$34*(datos_base!$I$4+IF(parametros_manuales!$H$34="Todos",datos_base!$I$11,0))*parametros_manuales!$G$107+parametros_manuales!$G$34*(datos_base!$I$5+IF(parametros_manuales!$H$34="Todos",datos_base!$I$12,0))*parametros_manuales!$G$112)*parametros_manuales!$I$34*parametros_manuales!$J$34</f>
        <v>15689.335</v>
      </c>
      <c r="H213" s="8">
        <f>(parametros_manuales!$D$34*(datos_base!$I$2+IF(parametros_manuales!$H$34="Todos",datos_base!$I$9,0))*parametros_manuales!$H$97+parametros_manuales!$E$34*(datos_base!$I$3+IF(parametros_manuales!$H$34="Todos",datos_base!$I$10,0))*parametros_manuales!$H$102+parametros_manuales!$F$34*(datos_base!$I$4+IF(parametros_manuales!$H$34="Todos",datos_base!$I$11,0))*parametros_manuales!$H$107+parametros_manuales!$G$34*(datos_base!$I$5+IF(parametros_manuales!$H$34="Todos",datos_base!$I$12,0))*parametros_manuales!$H$112)*parametros_manuales!$I$34*parametros_manuales!$J$34</f>
        <v>16787.335</v>
      </c>
      <c r="I213" s="8">
        <f>(parametros_manuales!$D$34*(datos_base!$I$2+IF(parametros_manuales!$H$34="Todos",datos_base!$I$9,0))*parametros_manuales!$I$97+parametros_manuales!$E$34*(datos_base!$I$3+IF(parametros_manuales!$H$34="Todos",datos_base!$I$10,0))*parametros_manuales!$I$102+parametros_manuales!$F$34*(datos_base!$I$4+IF(parametros_manuales!$H$34="Todos",datos_base!$I$11,0))*parametros_manuales!$I$107+parametros_manuales!$G$34*(datos_base!$I$5+IF(parametros_manuales!$H$34="Todos",datos_base!$I$12,0))*parametros_manuales!$I$112)*parametros_manuales!$I$34*parametros_manuales!$J$34</f>
        <v>19129.33</v>
      </c>
      <c r="J213" s="8">
        <f>(parametros_manuales!$D$34*(datos_base!$I$2+IF(parametros_manuales!$H$34="Todos",datos_base!$I$9,0))*parametros_manuales!$J$97+parametros_manuales!$E$34*(datos_base!$I$3+IF(parametros_manuales!$H$34="Todos",datos_base!$I$10,0))*parametros_manuales!$J$102+parametros_manuales!$F$34*(datos_base!$I$4+IF(parametros_manuales!$H$34="Todos",datos_base!$I$11,0))*parametros_manuales!$J$107+parametros_manuales!$G$34*(datos_base!$I$5+IF(parametros_manuales!$H$34="Todos",datos_base!$I$12,0))*parametros_manuales!$J$112)*parametros_manuales!$I$34*parametros_manuales!$J$34</f>
        <v>19129.33</v>
      </c>
      <c r="K213" s="8">
        <f>(parametros_manuales!$D$34*(datos_base!$I$2+IF(parametros_manuales!$H$34="Todos",datos_base!$I$9,0))*parametros_manuales!$K$97+parametros_manuales!$E$34*(datos_base!$I$3+IF(parametros_manuales!$H$34="Todos",datos_base!$I$10,0))*parametros_manuales!$K$102+parametros_manuales!$F$34*(datos_base!$I$4+IF(parametros_manuales!$H$34="Todos",datos_base!$I$11,0))*parametros_manuales!$K$107+parametros_manuales!$G$34*(datos_base!$I$5+IF(parametros_manuales!$H$34="Todos",datos_base!$I$12,0))*parametros_manuales!$K$112)*parametros_manuales!$I$34*parametros_manuales!$J$34</f>
        <v>19446.665</v>
      </c>
      <c r="L213" s="8">
        <f>(parametros_manuales!$D$34*(datos_base!$I$2+IF(parametros_manuales!$H$34="Todos",datos_base!$I$9,0))*parametros_manuales!$L$97+parametros_manuales!$E$34*(datos_base!$I$3+IF(parametros_manuales!$H$34="Todos",datos_base!$I$10,0))*parametros_manuales!$L$102+parametros_manuales!$F$34*(datos_base!$I$4+IF(parametros_manuales!$H$34="Todos",datos_base!$I$11,0))*parametros_manuales!$L$107+parametros_manuales!$G$34*(datos_base!$I$5+IF(parametros_manuales!$H$34="Todos",datos_base!$I$12,0))*parametros_manuales!$L$112)*parametros_manuales!$I$34*parametros_manuales!$J$34</f>
        <v>19764</v>
      </c>
      <c r="M213" s="8">
        <f>(parametros_manuales!$D$34*(datos_base!$I$2+IF(parametros_manuales!$H$34="Todos",datos_base!$I$9,0))*parametros_manuales!$M$97+parametros_manuales!$E$34*(datos_base!$I$3+IF(parametros_manuales!$H$34="Todos",datos_base!$I$10,0))*parametros_manuales!$M$102+parametros_manuales!$F$34*(datos_base!$I$4+IF(parametros_manuales!$H$34="Todos",datos_base!$I$11,0))*parametros_manuales!$M$107+parametros_manuales!$G$34*(datos_base!$I$5+IF(parametros_manuales!$H$34="Todos",datos_base!$I$12,0))*parametros_manuales!$M$112)*parametros_manuales!$I$34*parametros_manuales!$J$34</f>
        <v>19764</v>
      </c>
      <c r="N213" s="8">
        <f t="shared" si="22"/>
        <v>219600</v>
      </c>
      <c r="O213" s="8">
        <f t="shared" si="23"/>
        <v>19764</v>
      </c>
      <c r="P213" s="27">
        <f>O213/(parametros_manuales!$B$7)</f>
        <v>131.76</v>
      </c>
      <c r="Q213" s="4" t="str">
        <f t="shared" si="24"/>
        <v>Ene</v>
      </c>
      <c r="R213" s="16"/>
      <c r="S213" s="16"/>
    </row>
    <row r="214" ht="14.25" customHeight="1">
      <c r="A214" s="4" t="str">
        <f>parametros_manuales!$B$35</f>
        <v>Granallado</v>
      </c>
      <c r="B214" s="8">
        <f>(parametros_manuales!$D$35*(datos_base!$I$2+IF(parametros_manuales!$H$35="Todos",datos_base!$I$9,0))*parametros_manuales!$B$97+parametros_manuales!$E$35*(datos_base!$I$3+IF(parametros_manuales!$H$35="Todos",datos_base!$I$10,0))*parametros_manuales!$B$102+parametros_manuales!$F$35*(datos_base!$I$4+IF(parametros_manuales!$H$35="Todos",datos_base!$I$11,0))*parametros_manuales!$B$107+parametros_manuales!$G$35*(datos_base!$I$5+IF(parametros_manuales!$H$35="Todos",datos_base!$I$12,0))*parametros_manuales!$B$112)*parametros_manuales!$I$35*parametros_manuales!$J$35</f>
        <v>19764</v>
      </c>
      <c r="C214" s="8">
        <f>(parametros_manuales!$D$35*(datos_base!$I$2+IF(parametros_manuales!$H$35="Todos",datos_base!$I$9,0))*parametros_manuales!$C$97+parametros_manuales!$E$35*(datos_base!$I$3+IF(parametros_manuales!$H$35="Todos",datos_base!$I$10,0))*parametros_manuales!$C$102+parametros_manuales!$F$35*(datos_base!$I$4+IF(parametros_manuales!$H$35="Todos",datos_base!$I$11,0))*parametros_manuales!$C$107+parametros_manuales!$G$35*(datos_base!$I$5+IF(parametros_manuales!$H$35="Todos",datos_base!$I$12,0))*parametros_manuales!$C$112)*parametros_manuales!$I$35*parametros_manuales!$J$35</f>
        <v>19129.33</v>
      </c>
      <c r="D214" s="8">
        <f>(parametros_manuales!$D$35*(datos_base!$I$2+IF(parametros_manuales!$H$35="Todos",datos_base!$I$9,0))*parametros_manuales!$D$97+parametros_manuales!$E$35*(datos_base!$I$3+IF(parametros_manuales!$H$35="Todos",datos_base!$I$10,0))*parametros_manuales!$D$102+parametros_manuales!$F$35*(datos_base!$I$4+IF(parametros_manuales!$H$35="Todos",datos_base!$I$11,0))*parametros_manuales!$D$107+parametros_manuales!$G$35*(datos_base!$I$5+IF(parametros_manuales!$H$35="Todos",datos_base!$I$12,0))*parametros_manuales!$D$112)*parametros_manuales!$I$35*parametros_manuales!$J$35</f>
        <v>17885.335</v>
      </c>
      <c r="E214" s="8">
        <f>(parametros_manuales!$D$35*(datos_base!$I$2+IF(parametros_manuales!$H$35="Todos",datos_base!$I$9,0))*parametros_manuales!$E$97+parametros_manuales!$E$35*(datos_base!$I$3+IF(parametros_manuales!$H$35="Todos",datos_base!$I$10,0))*parametros_manuales!$E$102+parametros_manuales!$F$35*(datos_base!$I$4+IF(parametros_manuales!$H$35="Todos",datos_base!$I$11,0))*parametros_manuales!$E$107+parametros_manuales!$G$35*(datos_base!$I$5+IF(parametros_manuales!$H$35="Todos",datos_base!$I$12,0))*parametros_manuales!$E$112)*parametros_manuales!$I$35*parametros_manuales!$J$35</f>
        <v>17104.67</v>
      </c>
      <c r="F214" s="8">
        <f>(parametros_manuales!$D$35*(datos_base!$I$2+IF(parametros_manuales!$H$35="Todos",datos_base!$I$9,0))*parametros_manuales!$F$97+parametros_manuales!$E$35*(datos_base!$I$3+IF(parametros_manuales!$H$35="Todos",datos_base!$I$10,0))*parametros_manuales!$F$102+parametros_manuales!$F$35*(datos_base!$I$4+IF(parametros_manuales!$H$35="Todos",datos_base!$I$11,0))*parametros_manuales!$F$107+parametros_manuales!$G$35*(datos_base!$I$5+IF(parametros_manuales!$H$35="Todos",datos_base!$I$12,0))*parametros_manuales!$F$112)*parametros_manuales!$I$35*parametros_manuales!$J$35</f>
        <v>16006.67</v>
      </c>
      <c r="G214" s="8">
        <f>(parametros_manuales!$D$35*(datos_base!$I$2+IF(parametros_manuales!$H$35="Todos",datos_base!$I$9,0))*parametros_manuales!$G$97+parametros_manuales!$E$35*(datos_base!$I$3+IF(parametros_manuales!$H$35="Todos",datos_base!$I$10,0))*parametros_manuales!$G$102+parametros_manuales!$F$35*(datos_base!$I$4+IF(parametros_manuales!$H$35="Todos",datos_base!$I$11,0))*parametros_manuales!$G$107+parametros_manuales!$G$35*(datos_base!$I$5+IF(parametros_manuales!$H$35="Todos",datos_base!$I$12,0))*parametros_manuales!$G$112)*parametros_manuales!$I$35*parametros_manuales!$J$35</f>
        <v>15689.335</v>
      </c>
      <c r="H214" s="8">
        <f>(parametros_manuales!$D$35*(datos_base!$I$2+IF(parametros_manuales!$H$35="Todos",datos_base!$I$9,0))*parametros_manuales!$H$97+parametros_manuales!$E$35*(datos_base!$I$3+IF(parametros_manuales!$H$35="Todos",datos_base!$I$10,0))*parametros_manuales!$H$102+parametros_manuales!$F$35*(datos_base!$I$4+IF(parametros_manuales!$H$35="Todos",datos_base!$I$11,0))*parametros_manuales!$H$107+parametros_manuales!$G$35*(datos_base!$I$5+IF(parametros_manuales!$H$35="Todos",datos_base!$I$12,0))*parametros_manuales!$H$112)*parametros_manuales!$I$35*parametros_manuales!$J$35</f>
        <v>16787.335</v>
      </c>
      <c r="I214" s="8">
        <f>(parametros_manuales!$D$35*(datos_base!$I$2+IF(parametros_manuales!$H$35="Todos",datos_base!$I$9,0))*parametros_manuales!$I$97+parametros_manuales!$E$35*(datos_base!$I$3+IF(parametros_manuales!$H$35="Todos",datos_base!$I$10,0))*parametros_manuales!$I$102+parametros_manuales!$F$35*(datos_base!$I$4+IF(parametros_manuales!$H$35="Todos",datos_base!$I$11,0))*parametros_manuales!$I$107+parametros_manuales!$G$35*(datos_base!$I$5+IF(parametros_manuales!$H$35="Todos",datos_base!$I$12,0))*parametros_manuales!$I$112)*parametros_manuales!$I$35*parametros_manuales!$J$35</f>
        <v>19129.33</v>
      </c>
      <c r="J214" s="8">
        <f>(parametros_manuales!$D$35*(datos_base!$I$2+IF(parametros_manuales!$H$35="Todos",datos_base!$I$9,0))*parametros_manuales!$J$97+parametros_manuales!$E$35*(datos_base!$I$3+IF(parametros_manuales!$H$35="Todos",datos_base!$I$10,0))*parametros_manuales!$J$102+parametros_manuales!$F$35*(datos_base!$I$4+IF(parametros_manuales!$H$35="Todos",datos_base!$I$11,0))*parametros_manuales!$J$107+parametros_manuales!$G$35*(datos_base!$I$5+IF(parametros_manuales!$H$35="Todos",datos_base!$I$12,0))*parametros_manuales!$J$112)*parametros_manuales!$I$35*parametros_manuales!$J$35</f>
        <v>19129.33</v>
      </c>
      <c r="K214" s="8">
        <f>(parametros_manuales!$D$35*(datos_base!$I$2+IF(parametros_manuales!$H$35="Todos",datos_base!$I$9,0))*parametros_manuales!$K$97+parametros_manuales!$E$35*(datos_base!$I$3+IF(parametros_manuales!$H$35="Todos",datos_base!$I$10,0))*parametros_manuales!$K$102+parametros_manuales!$F$35*(datos_base!$I$4+IF(parametros_manuales!$H$35="Todos",datos_base!$I$11,0))*parametros_manuales!$K$107+parametros_manuales!$G$35*(datos_base!$I$5+IF(parametros_manuales!$H$35="Todos",datos_base!$I$12,0))*parametros_manuales!$K$112)*parametros_manuales!$I$35*parametros_manuales!$J$35</f>
        <v>19446.665</v>
      </c>
      <c r="L214" s="8">
        <f>(parametros_manuales!$D$35*(datos_base!$I$2+IF(parametros_manuales!$H$35="Todos",datos_base!$I$9,0))*parametros_manuales!$L$97+parametros_manuales!$E$35*(datos_base!$I$3+IF(parametros_manuales!$H$35="Todos",datos_base!$I$10,0))*parametros_manuales!$L$102+parametros_manuales!$F$35*(datos_base!$I$4+IF(parametros_manuales!$H$35="Todos",datos_base!$I$11,0))*parametros_manuales!$L$107+parametros_manuales!$G$35*(datos_base!$I$5+IF(parametros_manuales!$H$35="Todos",datos_base!$I$12,0))*parametros_manuales!$L$112)*parametros_manuales!$I$35*parametros_manuales!$J$35</f>
        <v>19764</v>
      </c>
      <c r="M214" s="8">
        <f>(parametros_manuales!$D$35*(datos_base!$I$2+IF(parametros_manuales!$H$35="Todos",datos_base!$I$9,0))*parametros_manuales!$M$97+parametros_manuales!$E$35*(datos_base!$I$3+IF(parametros_manuales!$H$35="Todos",datos_base!$I$10,0))*parametros_manuales!$M$102+parametros_manuales!$F$35*(datos_base!$I$4+IF(parametros_manuales!$H$35="Todos",datos_base!$I$11,0))*parametros_manuales!$M$107+parametros_manuales!$G$35*(datos_base!$I$5+IF(parametros_manuales!$H$35="Todos",datos_base!$I$12,0))*parametros_manuales!$M$112)*parametros_manuales!$I$35*parametros_manuales!$J$35</f>
        <v>19764</v>
      </c>
      <c r="N214" s="8">
        <f t="shared" si="22"/>
        <v>219600</v>
      </c>
      <c r="O214" s="8">
        <f t="shared" si="23"/>
        <v>19764</v>
      </c>
      <c r="P214" s="27">
        <f>O214/(parametros_manuales!$B$7)</f>
        <v>131.76</v>
      </c>
      <c r="Q214" s="4" t="str">
        <f t="shared" si="24"/>
        <v>Ene</v>
      </c>
      <c r="R214" s="16"/>
      <c r="S214" s="16"/>
    </row>
    <row r="215" ht="14.25" customHeight="1">
      <c r="A215" s="4" t="str">
        <f>parametros_manuales!$B$36</f>
        <v>Detección de defectos</v>
      </c>
      <c r="B215" s="8">
        <f>(parametros_manuales!$D$36*(datos_base!$I$2+IF(parametros_manuales!$H$36="Todos",datos_base!$I$9,0))*parametros_manuales!$B$97+parametros_manuales!$E$36*(datos_base!$I$3+IF(parametros_manuales!$H$36="Todos",datos_base!$I$10,0))*parametros_manuales!$B$102+parametros_manuales!$F$36*(datos_base!$I$4+IF(parametros_manuales!$H$36="Todos",datos_base!$I$11,0))*parametros_manuales!$B$107+parametros_manuales!$G$36*(datos_base!$I$5+IF(parametros_manuales!$H$36="Todos",datos_base!$I$12,0))*parametros_manuales!$B$112)*parametros_manuales!$I$36*parametros_manuales!$J$36</f>
        <v>19764</v>
      </c>
      <c r="C215" s="8">
        <f>(parametros_manuales!$D$36*(datos_base!$I$2+IF(parametros_manuales!$H$36="Todos",datos_base!$I$9,0))*parametros_manuales!$C$97+parametros_manuales!$E$36*(datos_base!$I$3+IF(parametros_manuales!$H$36="Todos",datos_base!$I$10,0))*parametros_manuales!$C$102+parametros_manuales!$F$36*(datos_base!$I$4+IF(parametros_manuales!$H$36="Todos",datos_base!$I$11,0))*parametros_manuales!$C$107+parametros_manuales!$G$36*(datos_base!$I$5+IF(parametros_manuales!$H$36="Todos",datos_base!$I$12,0))*parametros_manuales!$C$112)*parametros_manuales!$I$36*parametros_manuales!$J$36</f>
        <v>19129.33</v>
      </c>
      <c r="D215" s="8">
        <f>(parametros_manuales!$D$36*(datos_base!$I$2+IF(parametros_manuales!$H$36="Todos",datos_base!$I$9,0))*parametros_manuales!$D$97+parametros_manuales!$E$36*(datos_base!$I$3+IF(parametros_manuales!$H$36="Todos",datos_base!$I$10,0))*parametros_manuales!$D$102+parametros_manuales!$F$36*(datos_base!$I$4+IF(parametros_manuales!$H$36="Todos",datos_base!$I$11,0))*parametros_manuales!$D$107+parametros_manuales!$G$36*(datos_base!$I$5+IF(parametros_manuales!$H$36="Todos",datos_base!$I$12,0))*parametros_manuales!$D$112)*parametros_manuales!$I$36*parametros_manuales!$J$36</f>
        <v>17885.335</v>
      </c>
      <c r="E215" s="8">
        <f>(parametros_manuales!$D$36*(datos_base!$I$2+IF(parametros_manuales!$H$36="Todos",datos_base!$I$9,0))*parametros_manuales!$E$97+parametros_manuales!$E$36*(datos_base!$I$3+IF(parametros_manuales!$H$36="Todos",datos_base!$I$10,0))*parametros_manuales!$E$102+parametros_manuales!$F$36*(datos_base!$I$4+IF(parametros_manuales!$H$36="Todos",datos_base!$I$11,0))*parametros_manuales!$E$107+parametros_manuales!$G$36*(datos_base!$I$5+IF(parametros_manuales!$H$36="Todos",datos_base!$I$12,0))*parametros_manuales!$E$112)*parametros_manuales!$I$36*parametros_manuales!$J$36</f>
        <v>17104.67</v>
      </c>
      <c r="F215" s="8">
        <f>(parametros_manuales!$D$36*(datos_base!$I$2+IF(parametros_manuales!$H$36="Todos",datos_base!$I$9,0))*parametros_manuales!$F$97+parametros_manuales!$E$36*(datos_base!$I$3+IF(parametros_manuales!$H$36="Todos",datos_base!$I$10,0))*parametros_manuales!$F$102+parametros_manuales!$F$36*(datos_base!$I$4+IF(parametros_manuales!$H$36="Todos",datos_base!$I$11,0))*parametros_manuales!$F$107+parametros_manuales!$G$36*(datos_base!$I$5+IF(parametros_manuales!$H$36="Todos",datos_base!$I$12,0))*parametros_manuales!$F$112)*parametros_manuales!$I$36*parametros_manuales!$J$36</f>
        <v>16006.67</v>
      </c>
      <c r="G215" s="8">
        <f>(parametros_manuales!$D$36*(datos_base!$I$2+IF(parametros_manuales!$H$36="Todos",datos_base!$I$9,0))*parametros_manuales!$G$97+parametros_manuales!$E$36*(datos_base!$I$3+IF(parametros_manuales!$H$36="Todos",datos_base!$I$10,0))*parametros_manuales!$G$102+parametros_manuales!$F$36*(datos_base!$I$4+IF(parametros_manuales!$H$36="Todos",datos_base!$I$11,0))*parametros_manuales!$G$107+parametros_manuales!$G$36*(datos_base!$I$5+IF(parametros_manuales!$H$36="Todos",datos_base!$I$12,0))*parametros_manuales!$G$112)*parametros_manuales!$I$36*parametros_manuales!$J$36</f>
        <v>15689.335</v>
      </c>
      <c r="H215" s="8">
        <f>(parametros_manuales!$D$36*(datos_base!$I$2+IF(parametros_manuales!$H$36="Todos",datos_base!$I$9,0))*parametros_manuales!$H$97+parametros_manuales!$E$36*(datos_base!$I$3+IF(parametros_manuales!$H$36="Todos",datos_base!$I$10,0))*parametros_manuales!$H$102+parametros_manuales!$F$36*(datos_base!$I$4+IF(parametros_manuales!$H$36="Todos",datos_base!$I$11,0))*parametros_manuales!$H$107+parametros_manuales!$G$36*(datos_base!$I$5+IF(parametros_manuales!$H$36="Todos",datos_base!$I$12,0))*parametros_manuales!$H$112)*parametros_manuales!$I$36*parametros_manuales!$J$36</f>
        <v>16787.335</v>
      </c>
      <c r="I215" s="8">
        <f>(parametros_manuales!$D$36*(datos_base!$I$2+IF(parametros_manuales!$H$36="Todos",datos_base!$I$9,0))*parametros_manuales!$I$97+parametros_manuales!$E$36*(datos_base!$I$3+IF(parametros_manuales!$H$36="Todos",datos_base!$I$10,0))*parametros_manuales!$I$102+parametros_manuales!$F$36*(datos_base!$I$4+IF(parametros_manuales!$H$36="Todos",datos_base!$I$11,0))*parametros_manuales!$I$107+parametros_manuales!$G$36*(datos_base!$I$5+IF(parametros_manuales!$H$36="Todos",datos_base!$I$12,0))*parametros_manuales!$I$112)*parametros_manuales!$I$36*parametros_manuales!$J$36</f>
        <v>19129.33</v>
      </c>
      <c r="J215" s="8">
        <f>(parametros_manuales!$D$36*(datos_base!$I$2+IF(parametros_manuales!$H$36="Todos",datos_base!$I$9,0))*parametros_manuales!$J$97+parametros_manuales!$E$36*(datos_base!$I$3+IF(parametros_manuales!$H$36="Todos",datos_base!$I$10,0))*parametros_manuales!$J$102+parametros_manuales!$F$36*(datos_base!$I$4+IF(parametros_manuales!$H$36="Todos",datos_base!$I$11,0))*parametros_manuales!$J$107+parametros_manuales!$G$36*(datos_base!$I$5+IF(parametros_manuales!$H$36="Todos",datos_base!$I$12,0))*parametros_manuales!$J$112)*parametros_manuales!$I$36*parametros_manuales!$J$36</f>
        <v>19129.33</v>
      </c>
      <c r="K215" s="8">
        <f>(parametros_manuales!$D$36*(datos_base!$I$2+IF(parametros_manuales!$H$36="Todos",datos_base!$I$9,0))*parametros_manuales!$K$97+parametros_manuales!$E$36*(datos_base!$I$3+IF(parametros_manuales!$H$36="Todos",datos_base!$I$10,0))*parametros_manuales!$K$102+parametros_manuales!$F$36*(datos_base!$I$4+IF(parametros_manuales!$H$36="Todos",datos_base!$I$11,0))*parametros_manuales!$K$107+parametros_manuales!$G$36*(datos_base!$I$5+IF(parametros_manuales!$H$36="Todos",datos_base!$I$12,0))*parametros_manuales!$K$112)*parametros_manuales!$I$36*parametros_manuales!$J$36</f>
        <v>19446.665</v>
      </c>
      <c r="L215" s="8">
        <f>(parametros_manuales!$D$36*(datos_base!$I$2+IF(parametros_manuales!$H$36="Todos",datos_base!$I$9,0))*parametros_manuales!$L$97+parametros_manuales!$E$36*(datos_base!$I$3+IF(parametros_manuales!$H$36="Todos",datos_base!$I$10,0))*parametros_manuales!$L$102+parametros_manuales!$F$36*(datos_base!$I$4+IF(parametros_manuales!$H$36="Todos",datos_base!$I$11,0))*parametros_manuales!$L$107+parametros_manuales!$G$36*(datos_base!$I$5+IF(parametros_manuales!$H$36="Todos",datos_base!$I$12,0))*parametros_manuales!$L$112)*parametros_manuales!$I$36*parametros_manuales!$J$36</f>
        <v>19764</v>
      </c>
      <c r="M215" s="8">
        <f>(parametros_manuales!$D$36*(datos_base!$I$2+IF(parametros_manuales!$H$36="Todos",datos_base!$I$9,0))*parametros_manuales!$M$97+parametros_manuales!$E$36*(datos_base!$I$3+IF(parametros_manuales!$H$36="Todos",datos_base!$I$10,0))*parametros_manuales!$M$102+parametros_manuales!$F$36*(datos_base!$I$4+IF(parametros_manuales!$H$36="Todos",datos_base!$I$11,0))*parametros_manuales!$M$107+parametros_manuales!$G$36*(datos_base!$I$5+IF(parametros_manuales!$H$36="Todos",datos_base!$I$12,0))*parametros_manuales!$M$112)*parametros_manuales!$I$36*parametros_manuales!$J$36</f>
        <v>19764</v>
      </c>
      <c r="N215" s="8">
        <f t="shared" si="22"/>
        <v>219600</v>
      </c>
      <c r="O215" s="8">
        <f t="shared" si="23"/>
        <v>19764</v>
      </c>
      <c r="P215" s="27">
        <f>O215/(parametros_manuales!$B$7)</f>
        <v>131.76</v>
      </c>
      <c r="Q215" s="4" t="str">
        <f t="shared" si="24"/>
        <v>Ene</v>
      </c>
      <c r="R215" s="16"/>
      <c r="S215" s="16"/>
    </row>
    <row r="216" ht="14.25" customHeight="1">
      <c r="A216" s="4" t="str">
        <f>parametros_manuales!$B$37</f>
        <v>Corrección de defectos</v>
      </c>
      <c r="B216" s="8">
        <f>(parametros_manuales!$D$37*(datos_base!$I$2+IF(parametros_manuales!$H$37="Todos",datos_base!$I$9,0))*parametros_manuales!$B$97+parametros_manuales!$E$37*(datos_base!$I$3+IF(parametros_manuales!$H$37="Todos",datos_base!$I$10,0))*parametros_manuales!$B$102+parametros_manuales!$F$37*(datos_base!$I$4+IF(parametros_manuales!$H$37="Todos",datos_base!$I$11,0))*parametros_manuales!$B$107+parametros_manuales!$G$37*(datos_base!$I$5+IF(parametros_manuales!$H$37="Todos",datos_base!$I$12,0))*parametros_manuales!$B$112)*parametros_manuales!$I$37*parametros_manuales!$J$37</f>
        <v>988.2</v>
      </c>
      <c r="C216" s="8">
        <f>(parametros_manuales!$D$37*(datos_base!$I$2+IF(parametros_manuales!$H$37="Todos",datos_base!$I$9,0))*parametros_manuales!$C$97+parametros_manuales!$E$37*(datos_base!$I$3+IF(parametros_manuales!$H$37="Todos",datos_base!$I$10,0))*parametros_manuales!$C$102+parametros_manuales!$F$37*(datos_base!$I$4+IF(parametros_manuales!$H$37="Todos",datos_base!$I$11,0))*parametros_manuales!$C$107+parametros_manuales!$G$37*(datos_base!$I$5+IF(parametros_manuales!$H$37="Todos",datos_base!$I$12,0))*parametros_manuales!$C$112)*parametros_manuales!$I$37*parametros_manuales!$J$37</f>
        <v>956.4665</v>
      </c>
      <c r="D216" s="8">
        <f>(parametros_manuales!$D$37*(datos_base!$I$2+IF(parametros_manuales!$H$37="Todos",datos_base!$I$9,0))*parametros_manuales!$D$97+parametros_manuales!$E$37*(datos_base!$I$3+IF(parametros_manuales!$H$37="Todos",datos_base!$I$10,0))*parametros_manuales!$D$102+parametros_manuales!$F$37*(datos_base!$I$4+IF(parametros_manuales!$H$37="Todos",datos_base!$I$11,0))*parametros_manuales!$D$107+parametros_manuales!$G$37*(datos_base!$I$5+IF(parametros_manuales!$H$37="Todos",datos_base!$I$12,0))*parametros_manuales!$D$112)*parametros_manuales!$I$37*parametros_manuales!$J$37</f>
        <v>894.26675</v>
      </c>
      <c r="E216" s="8">
        <f>(parametros_manuales!$D$37*(datos_base!$I$2+IF(parametros_manuales!$H$37="Todos",datos_base!$I$9,0))*parametros_manuales!$E$97+parametros_manuales!$E$37*(datos_base!$I$3+IF(parametros_manuales!$H$37="Todos",datos_base!$I$10,0))*parametros_manuales!$E$102+parametros_manuales!$F$37*(datos_base!$I$4+IF(parametros_manuales!$H$37="Todos",datos_base!$I$11,0))*parametros_manuales!$E$107+parametros_manuales!$G$37*(datos_base!$I$5+IF(parametros_manuales!$H$37="Todos",datos_base!$I$12,0))*parametros_manuales!$E$112)*parametros_manuales!$I$37*parametros_manuales!$J$37</f>
        <v>855.2335</v>
      </c>
      <c r="F216" s="8">
        <f>(parametros_manuales!$D$37*(datos_base!$I$2+IF(parametros_manuales!$H$37="Todos",datos_base!$I$9,0))*parametros_manuales!$F$97+parametros_manuales!$E$37*(datos_base!$I$3+IF(parametros_manuales!$H$37="Todos",datos_base!$I$10,0))*parametros_manuales!$F$102+parametros_manuales!$F$37*(datos_base!$I$4+IF(parametros_manuales!$H$37="Todos",datos_base!$I$11,0))*parametros_manuales!$F$107+parametros_manuales!$G$37*(datos_base!$I$5+IF(parametros_manuales!$H$37="Todos",datos_base!$I$12,0))*parametros_manuales!$F$112)*parametros_manuales!$I$37*parametros_manuales!$J$37</f>
        <v>800.3335</v>
      </c>
      <c r="G216" s="8">
        <f>(parametros_manuales!$D$37*(datos_base!$I$2+IF(parametros_manuales!$H$37="Todos",datos_base!$I$9,0))*parametros_manuales!$G$97+parametros_manuales!$E$37*(datos_base!$I$3+IF(parametros_manuales!$H$37="Todos",datos_base!$I$10,0))*parametros_manuales!$G$102+parametros_manuales!$F$37*(datos_base!$I$4+IF(parametros_manuales!$H$37="Todos",datos_base!$I$11,0))*parametros_manuales!$G$107+parametros_manuales!$G$37*(datos_base!$I$5+IF(parametros_manuales!$H$37="Todos",datos_base!$I$12,0))*parametros_manuales!$G$112)*parametros_manuales!$I$37*parametros_manuales!$J$37</f>
        <v>784.46675</v>
      </c>
      <c r="H216" s="8">
        <f>(parametros_manuales!$D$37*(datos_base!$I$2+IF(parametros_manuales!$H$37="Todos",datos_base!$I$9,0))*parametros_manuales!$H$97+parametros_manuales!$E$37*(datos_base!$I$3+IF(parametros_manuales!$H$37="Todos",datos_base!$I$10,0))*parametros_manuales!$H$102+parametros_manuales!$F$37*(datos_base!$I$4+IF(parametros_manuales!$H$37="Todos",datos_base!$I$11,0))*parametros_manuales!$H$107+parametros_manuales!$G$37*(datos_base!$I$5+IF(parametros_manuales!$H$37="Todos",datos_base!$I$12,0))*parametros_manuales!$H$112)*parametros_manuales!$I$37*parametros_manuales!$J$37</f>
        <v>839.36675</v>
      </c>
      <c r="I216" s="8">
        <f>(parametros_manuales!$D$37*(datos_base!$I$2+IF(parametros_manuales!$H$37="Todos",datos_base!$I$9,0))*parametros_manuales!$I$97+parametros_manuales!$E$37*(datos_base!$I$3+IF(parametros_manuales!$H$37="Todos",datos_base!$I$10,0))*parametros_manuales!$I$102+parametros_manuales!$F$37*(datos_base!$I$4+IF(parametros_manuales!$H$37="Todos",datos_base!$I$11,0))*parametros_manuales!$I$107+parametros_manuales!$G$37*(datos_base!$I$5+IF(parametros_manuales!$H$37="Todos",datos_base!$I$12,0))*parametros_manuales!$I$112)*parametros_manuales!$I$37*parametros_manuales!$J$37</f>
        <v>956.4665</v>
      </c>
      <c r="J216" s="8">
        <f>(parametros_manuales!$D$37*(datos_base!$I$2+IF(parametros_manuales!$H$37="Todos",datos_base!$I$9,0))*parametros_manuales!$J$97+parametros_manuales!$E$37*(datos_base!$I$3+IF(parametros_manuales!$H$37="Todos",datos_base!$I$10,0))*parametros_manuales!$J$102+parametros_manuales!$F$37*(datos_base!$I$4+IF(parametros_manuales!$H$37="Todos",datos_base!$I$11,0))*parametros_manuales!$J$107+parametros_manuales!$G$37*(datos_base!$I$5+IF(parametros_manuales!$H$37="Todos",datos_base!$I$12,0))*parametros_manuales!$J$112)*parametros_manuales!$I$37*parametros_manuales!$J$37</f>
        <v>956.4665</v>
      </c>
      <c r="K216" s="8">
        <f>(parametros_manuales!$D$37*(datos_base!$I$2+IF(parametros_manuales!$H$37="Todos",datos_base!$I$9,0))*parametros_manuales!$K$97+parametros_manuales!$E$37*(datos_base!$I$3+IF(parametros_manuales!$H$37="Todos",datos_base!$I$10,0))*parametros_manuales!$K$102+parametros_manuales!$F$37*(datos_base!$I$4+IF(parametros_manuales!$H$37="Todos",datos_base!$I$11,0))*parametros_manuales!$K$107+parametros_manuales!$G$37*(datos_base!$I$5+IF(parametros_manuales!$H$37="Todos",datos_base!$I$12,0))*parametros_manuales!$K$112)*parametros_manuales!$I$37*parametros_manuales!$J$37</f>
        <v>972.33325</v>
      </c>
      <c r="L216" s="8">
        <f>(parametros_manuales!$D$37*(datos_base!$I$2+IF(parametros_manuales!$H$37="Todos",datos_base!$I$9,0))*parametros_manuales!$L$97+parametros_manuales!$E$37*(datos_base!$I$3+IF(parametros_manuales!$H$37="Todos",datos_base!$I$10,0))*parametros_manuales!$L$102+parametros_manuales!$F$37*(datos_base!$I$4+IF(parametros_manuales!$H$37="Todos",datos_base!$I$11,0))*parametros_manuales!$L$107+parametros_manuales!$G$37*(datos_base!$I$5+IF(parametros_manuales!$H$37="Todos",datos_base!$I$12,0))*parametros_manuales!$L$112)*parametros_manuales!$I$37*parametros_manuales!$J$37</f>
        <v>988.2</v>
      </c>
      <c r="M216" s="8">
        <f>(parametros_manuales!$D$37*(datos_base!$I$2+IF(parametros_manuales!$H$37="Todos",datos_base!$I$9,0))*parametros_manuales!$M$97+parametros_manuales!$E$37*(datos_base!$I$3+IF(parametros_manuales!$H$37="Todos",datos_base!$I$10,0))*parametros_manuales!$M$102+parametros_manuales!$F$37*(datos_base!$I$4+IF(parametros_manuales!$H$37="Todos",datos_base!$I$11,0))*parametros_manuales!$M$107+parametros_manuales!$G$37*(datos_base!$I$5+IF(parametros_manuales!$H$37="Todos",datos_base!$I$12,0))*parametros_manuales!$M$112)*parametros_manuales!$I$37*parametros_manuales!$J$37</f>
        <v>988.2</v>
      </c>
      <c r="N216" s="8">
        <f t="shared" si="22"/>
        <v>10980</v>
      </c>
      <c r="O216" s="8">
        <f t="shared" si="23"/>
        <v>988.2</v>
      </c>
      <c r="P216" s="27">
        <f>O216/(parametros_manuales!$B$7)</f>
        <v>6.588</v>
      </c>
      <c r="Q216" s="4" t="str">
        <f t="shared" si="24"/>
        <v>Ene</v>
      </c>
      <c r="R216" s="16"/>
      <c r="S216" s="16"/>
    </row>
    <row r="217" ht="14.25" customHeight="1">
      <c r="A217" s="4" t="str">
        <f>parametros_manuales!$B$38</f>
        <v>Pintura en polvo + horno</v>
      </c>
      <c r="B217" s="8">
        <f>(parametros_manuales!$D$38*(datos_base!$I$2+IF(parametros_manuales!$H$38="Todos",datos_base!$I$9,0))*parametros_manuales!$B$97+parametros_manuales!$E$38*(datos_base!$I$3+IF(parametros_manuales!$H$38="Todos",datos_base!$I$10,0))*parametros_manuales!$B$102+parametros_manuales!$F$38*(datos_base!$I$4+IF(parametros_manuales!$H$38="Todos",datos_base!$I$11,0))*parametros_manuales!$B$107+parametros_manuales!$G$38*(datos_base!$I$5+IF(parametros_manuales!$H$38="Todos",datos_base!$I$12,0))*parametros_manuales!$B$112)*parametros_manuales!$I$38*parametros_manuales!$J$38</f>
        <v>19764</v>
      </c>
      <c r="C217" s="8">
        <f>(parametros_manuales!$D$38*(datos_base!$I$2+IF(parametros_manuales!$H$38="Todos",datos_base!$I$9,0))*parametros_manuales!$C$97+parametros_manuales!$E$38*(datos_base!$I$3+IF(parametros_manuales!$H$38="Todos",datos_base!$I$10,0))*parametros_manuales!$C$102+parametros_manuales!$F$38*(datos_base!$I$4+IF(parametros_manuales!$H$38="Todos",datos_base!$I$11,0))*parametros_manuales!$C$107+parametros_manuales!$G$38*(datos_base!$I$5+IF(parametros_manuales!$H$38="Todos",datos_base!$I$12,0))*parametros_manuales!$C$112)*parametros_manuales!$I$38*parametros_manuales!$J$38</f>
        <v>19129.33</v>
      </c>
      <c r="D217" s="8">
        <f>(parametros_manuales!$D$38*(datos_base!$I$2+IF(parametros_manuales!$H$38="Todos",datos_base!$I$9,0))*parametros_manuales!$D$97+parametros_manuales!$E$38*(datos_base!$I$3+IF(parametros_manuales!$H$38="Todos",datos_base!$I$10,0))*parametros_manuales!$D$102+parametros_manuales!$F$38*(datos_base!$I$4+IF(parametros_manuales!$H$38="Todos",datos_base!$I$11,0))*parametros_manuales!$D$107+parametros_manuales!$G$38*(datos_base!$I$5+IF(parametros_manuales!$H$38="Todos",datos_base!$I$12,0))*parametros_manuales!$D$112)*parametros_manuales!$I$38*parametros_manuales!$J$38</f>
        <v>17885.335</v>
      </c>
      <c r="E217" s="8">
        <f>(parametros_manuales!$D$38*(datos_base!$I$2+IF(parametros_manuales!$H$38="Todos",datos_base!$I$9,0))*parametros_manuales!$E$97+parametros_manuales!$E$38*(datos_base!$I$3+IF(parametros_manuales!$H$38="Todos",datos_base!$I$10,0))*parametros_manuales!$E$102+parametros_manuales!$F$38*(datos_base!$I$4+IF(parametros_manuales!$H$38="Todos",datos_base!$I$11,0))*parametros_manuales!$E$107+parametros_manuales!$G$38*(datos_base!$I$5+IF(parametros_manuales!$H$38="Todos",datos_base!$I$12,0))*parametros_manuales!$E$112)*parametros_manuales!$I$38*parametros_manuales!$J$38</f>
        <v>17104.67</v>
      </c>
      <c r="F217" s="8">
        <f>(parametros_manuales!$D$38*(datos_base!$I$2+IF(parametros_manuales!$H$38="Todos",datos_base!$I$9,0))*parametros_manuales!$F$97+parametros_manuales!$E$38*(datos_base!$I$3+IF(parametros_manuales!$H$38="Todos",datos_base!$I$10,0))*parametros_manuales!$F$102+parametros_manuales!$F$38*(datos_base!$I$4+IF(parametros_manuales!$H$38="Todos",datos_base!$I$11,0))*parametros_manuales!$F$107+parametros_manuales!$G$38*(datos_base!$I$5+IF(parametros_manuales!$H$38="Todos",datos_base!$I$12,0))*parametros_manuales!$F$112)*parametros_manuales!$I$38*parametros_manuales!$J$38</f>
        <v>16006.67</v>
      </c>
      <c r="G217" s="8">
        <f>(parametros_manuales!$D$38*(datos_base!$I$2+IF(parametros_manuales!$H$38="Todos",datos_base!$I$9,0))*parametros_manuales!$G$97+parametros_manuales!$E$38*(datos_base!$I$3+IF(parametros_manuales!$H$38="Todos",datos_base!$I$10,0))*parametros_manuales!$G$102+parametros_manuales!$F$38*(datos_base!$I$4+IF(parametros_manuales!$H$38="Todos",datos_base!$I$11,0))*parametros_manuales!$G$107+parametros_manuales!$G$38*(datos_base!$I$5+IF(parametros_manuales!$H$38="Todos",datos_base!$I$12,0))*parametros_manuales!$G$112)*parametros_manuales!$I$38*parametros_manuales!$J$38</f>
        <v>15689.335</v>
      </c>
      <c r="H217" s="8">
        <f>(parametros_manuales!$D$38*(datos_base!$I$2+IF(parametros_manuales!$H$38="Todos",datos_base!$I$9,0))*parametros_manuales!$H$97+parametros_manuales!$E$38*(datos_base!$I$3+IF(parametros_manuales!$H$38="Todos",datos_base!$I$10,0))*parametros_manuales!$H$102+parametros_manuales!$F$38*(datos_base!$I$4+IF(parametros_manuales!$H$38="Todos",datos_base!$I$11,0))*parametros_manuales!$H$107+parametros_manuales!$G$38*(datos_base!$I$5+IF(parametros_manuales!$H$38="Todos",datos_base!$I$12,0))*parametros_manuales!$H$112)*parametros_manuales!$I$38*parametros_manuales!$J$38</f>
        <v>16787.335</v>
      </c>
      <c r="I217" s="8">
        <f>(parametros_manuales!$D$38*(datos_base!$I$2+IF(parametros_manuales!$H$38="Todos",datos_base!$I$9,0))*parametros_manuales!$I$97+parametros_manuales!$E$38*(datos_base!$I$3+IF(parametros_manuales!$H$38="Todos",datos_base!$I$10,0))*parametros_manuales!$I$102+parametros_manuales!$F$38*(datos_base!$I$4+IF(parametros_manuales!$H$38="Todos",datos_base!$I$11,0))*parametros_manuales!$I$107+parametros_manuales!$G$38*(datos_base!$I$5+IF(parametros_manuales!$H$38="Todos",datos_base!$I$12,0))*parametros_manuales!$I$112)*parametros_manuales!$I$38*parametros_manuales!$J$38</f>
        <v>19129.33</v>
      </c>
      <c r="J217" s="8">
        <f>(parametros_manuales!$D$38*(datos_base!$I$2+IF(parametros_manuales!$H$38="Todos",datos_base!$I$9,0))*parametros_manuales!$J$97+parametros_manuales!$E$38*(datos_base!$I$3+IF(parametros_manuales!$H$38="Todos",datos_base!$I$10,0))*parametros_manuales!$J$102+parametros_manuales!$F$38*(datos_base!$I$4+IF(parametros_manuales!$H$38="Todos",datos_base!$I$11,0))*parametros_manuales!$J$107+parametros_manuales!$G$38*(datos_base!$I$5+IF(parametros_manuales!$H$38="Todos",datos_base!$I$12,0))*parametros_manuales!$J$112)*parametros_manuales!$I$38*parametros_manuales!$J$38</f>
        <v>19129.33</v>
      </c>
      <c r="K217" s="8">
        <f>(parametros_manuales!$D$38*(datos_base!$I$2+IF(parametros_manuales!$H$38="Todos",datos_base!$I$9,0))*parametros_manuales!$K$97+parametros_manuales!$E$38*(datos_base!$I$3+IF(parametros_manuales!$H$38="Todos",datos_base!$I$10,0))*parametros_manuales!$K$102+parametros_manuales!$F$38*(datos_base!$I$4+IF(parametros_manuales!$H$38="Todos",datos_base!$I$11,0))*parametros_manuales!$K$107+parametros_manuales!$G$38*(datos_base!$I$5+IF(parametros_manuales!$H$38="Todos",datos_base!$I$12,0))*parametros_manuales!$K$112)*parametros_manuales!$I$38*parametros_manuales!$J$38</f>
        <v>19446.665</v>
      </c>
      <c r="L217" s="8">
        <f>(parametros_manuales!$D$38*(datos_base!$I$2+IF(parametros_manuales!$H$38="Todos",datos_base!$I$9,0))*parametros_manuales!$L$97+parametros_manuales!$E$38*(datos_base!$I$3+IF(parametros_manuales!$H$38="Todos",datos_base!$I$10,0))*parametros_manuales!$L$102+parametros_manuales!$F$38*(datos_base!$I$4+IF(parametros_manuales!$H$38="Todos",datos_base!$I$11,0))*parametros_manuales!$L$107+parametros_manuales!$G$38*(datos_base!$I$5+IF(parametros_manuales!$H$38="Todos",datos_base!$I$12,0))*parametros_manuales!$L$112)*parametros_manuales!$I$38*parametros_manuales!$J$38</f>
        <v>19764</v>
      </c>
      <c r="M217" s="8">
        <f>(parametros_manuales!$D$38*(datos_base!$I$2+IF(parametros_manuales!$H$38="Todos",datos_base!$I$9,0))*parametros_manuales!$M$97+parametros_manuales!$E$38*(datos_base!$I$3+IF(parametros_manuales!$H$38="Todos",datos_base!$I$10,0))*parametros_manuales!$M$102+parametros_manuales!$F$38*(datos_base!$I$4+IF(parametros_manuales!$H$38="Todos",datos_base!$I$11,0))*parametros_manuales!$M$107+parametros_manuales!$G$38*(datos_base!$I$5+IF(parametros_manuales!$H$38="Todos",datos_base!$I$12,0))*parametros_manuales!$M$112)*parametros_manuales!$I$38*parametros_manuales!$J$38</f>
        <v>19764</v>
      </c>
      <c r="N217" s="8">
        <f t="shared" si="22"/>
        <v>219600</v>
      </c>
      <c r="O217" s="8">
        <f t="shared" si="23"/>
        <v>19764</v>
      </c>
      <c r="P217" s="27">
        <f>O217/(parametros_manuales!$B$7)</f>
        <v>131.76</v>
      </c>
      <c r="Q217" s="4" t="str">
        <f t="shared" si="24"/>
        <v>Ene</v>
      </c>
      <c r="R217" s="16"/>
      <c r="S217" s="16"/>
    </row>
    <row r="218" ht="14.25" customHeight="1">
      <c r="A218" s="4" t="str">
        <f>parametros_manuales!$B$39</f>
        <v>Carga de polvo</v>
      </c>
      <c r="B218" s="8">
        <f>(parametros_manuales!$D$39*(datos_base!$I$2+IF(parametros_manuales!$H$39="Todos",datos_base!$I$9,0))*parametros_manuales!$B$97+parametros_manuales!$E$39*(datos_base!$I$3+IF(parametros_manuales!$H$39="Todos",datos_base!$I$10,0))*parametros_manuales!$B$102+parametros_manuales!$F$39*(datos_base!$I$4+IF(parametros_manuales!$H$39="Todos",datos_base!$I$11,0))*parametros_manuales!$B$107+parametros_manuales!$G$39*(datos_base!$I$5+IF(parametros_manuales!$H$39="Todos",datos_base!$I$12,0))*parametros_manuales!$B$112)*parametros_manuales!$I$39*parametros_manuales!$J$39</f>
        <v>5003.28</v>
      </c>
      <c r="C218" s="8">
        <f>(parametros_manuales!$D$39*(datos_base!$I$2+IF(parametros_manuales!$H$39="Todos",datos_base!$I$9,0))*parametros_manuales!$C$97+parametros_manuales!$E$39*(datos_base!$I$3+IF(parametros_manuales!$H$39="Todos",datos_base!$I$10,0))*parametros_manuales!$C$102+parametros_manuales!$F$39*(datos_base!$I$4+IF(parametros_manuales!$H$39="Todos",datos_base!$I$11,0))*parametros_manuales!$C$107+parametros_manuales!$G$39*(datos_base!$I$5+IF(parametros_manuales!$H$39="Todos",datos_base!$I$12,0))*parametros_manuales!$C$112)*parametros_manuales!$I$39*parametros_manuales!$J$39</f>
        <v>4698.68</v>
      </c>
      <c r="D218" s="8">
        <f>(parametros_manuales!$D$39*(datos_base!$I$2+IF(parametros_manuales!$H$39="Todos",datos_base!$I$9,0))*parametros_manuales!$D$97+parametros_manuales!$E$39*(datos_base!$I$3+IF(parametros_manuales!$H$39="Todos",datos_base!$I$10,0))*parametros_manuales!$D$102+parametros_manuales!$F$39*(datos_base!$I$4+IF(parametros_manuales!$H$39="Todos",datos_base!$I$11,0))*parametros_manuales!$D$107+parametros_manuales!$G$39*(datos_base!$I$5+IF(parametros_manuales!$H$39="Todos",datos_base!$I$12,0))*parametros_manuales!$D$112)*parametros_manuales!$I$39*parametros_manuales!$J$39</f>
        <v>4599.66</v>
      </c>
      <c r="E218" s="8">
        <f>(parametros_manuales!$D$39*(datos_base!$I$2+IF(parametros_manuales!$H$39="Todos",datos_base!$I$9,0))*parametros_manuales!$E$97+parametros_manuales!$E$39*(datos_base!$I$3+IF(parametros_manuales!$H$39="Todos",datos_base!$I$10,0))*parametros_manuales!$E$102+parametros_manuales!$F$39*(datos_base!$I$4+IF(parametros_manuales!$H$39="Todos",datos_base!$I$11,0))*parametros_manuales!$E$107+parametros_manuales!$G$39*(datos_base!$I$5+IF(parametros_manuales!$H$39="Todos",datos_base!$I$12,0))*parametros_manuales!$E$112)*parametros_manuales!$I$39*parametros_manuales!$J$39</f>
        <v>4474</v>
      </c>
      <c r="F218" s="8">
        <f>(parametros_manuales!$D$39*(datos_base!$I$2+IF(parametros_manuales!$H$39="Todos",datos_base!$I$9,0))*parametros_manuales!$F$97+parametros_manuales!$E$39*(datos_base!$I$3+IF(parametros_manuales!$H$39="Todos",datos_base!$I$10,0))*parametros_manuales!$F$102+parametros_manuales!$F$39*(datos_base!$I$4+IF(parametros_manuales!$H$39="Todos",datos_base!$I$11,0))*parametros_manuales!$F$107+parametros_manuales!$G$39*(datos_base!$I$5+IF(parametros_manuales!$H$39="Todos",datos_base!$I$12,0))*parametros_manuales!$F$112)*parametros_manuales!$I$39*parametros_manuales!$J$39</f>
        <v>4196.04</v>
      </c>
      <c r="G218" s="8">
        <f>(parametros_manuales!$D$39*(datos_base!$I$2+IF(parametros_manuales!$H$39="Todos",datos_base!$I$9,0))*parametros_manuales!$G$97+parametros_manuales!$E$39*(datos_base!$I$3+IF(parametros_manuales!$H$39="Todos",datos_base!$I$10,0))*parametros_manuales!$G$102+parametros_manuales!$F$39*(datos_base!$I$4+IF(parametros_manuales!$H$39="Todos",datos_base!$I$11,0))*parametros_manuales!$G$107+parametros_manuales!$G$39*(datos_base!$I$5+IF(parametros_manuales!$H$39="Todos",datos_base!$I$12,0))*parametros_manuales!$G$112)*parametros_manuales!$I$39*parametros_manuales!$J$39</f>
        <v>4043.74</v>
      </c>
      <c r="H218" s="8">
        <f>(parametros_manuales!$D$39*(datos_base!$I$2+IF(parametros_manuales!$H$39="Todos",datos_base!$I$9,0))*parametros_manuales!$H$97+parametros_manuales!$E$39*(datos_base!$I$3+IF(parametros_manuales!$H$39="Todos",datos_base!$I$10,0))*parametros_manuales!$H$102+parametros_manuales!$F$39*(datos_base!$I$4+IF(parametros_manuales!$H$39="Todos",datos_base!$I$11,0))*parametros_manuales!$H$107+parametros_manuales!$G$39*(datos_base!$I$5+IF(parametros_manuales!$H$39="Todos",datos_base!$I$12,0))*parametros_manuales!$H$112)*parametros_manuales!$I$39*parametros_manuales!$J$39</f>
        <v>4321.7</v>
      </c>
      <c r="I218" s="8">
        <f>(parametros_manuales!$D$39*(datos_base!$I$2+IF(parametros_manuales!$H$39="Todos",datos_base!$I$9,0))*parametros_manuales!$I$97+parametros_manuales!$E$39*(datos_base!$I$3+IF(parametros_manuales!$H$39="Todos",datos_base!$I$10,0))*parametros_manuales!$I$102+parametros_manuales!$F$39*(datos_base!$I$4+IF(parametros_manuales!$H$39="Todos",datos_base!$I$11,0))*parametros_manuales!$I$107+parametros_manuales!$G$39*(datos_base!$I$5+IF(parametros_manuales!$H$39="Todos",datos_base!$I$12,0))*parametros_manuales!$I$112)*parametros_manuales!$I$39*parametros_manuales!$J$39</f>
        <v>4698.68</v>
      </c>
      <c r="J218" s="8">
        <f>(parametros_manuales!$D$39*(datos_base!$I$2+IF(parametros_manuales!$H$39="Todos",datos_base!$I$9,0))*parametros_manuales!$J$97+parametros_manuales!$E$39*(datos_base!$I$3+IF(parametros_manuales!$H$39="Todos",datos_base!$I$10,0))*parametros_manuales!$J$102+parametros_manuales!$F$39*(datos_base!$I$4+IF(parametros_manuales!$H$39="Todos",datos_base!$I$11,0))*parametros_manuales!$J$107+parametros_manuales!$G$39*(datos_base!$I$5+IF(parametros_manuales!$H$39="Todos",datos_base!$I$12,0))*parametros_manuales!$J$112)*parametros_manuales!$I$39*parametros_manuales!$J$39</f>
        <v>4698.68</v>
      </c>
      <c r="K218" s="8">
        <f>(parametros_manuales!$D$39*(datos_base!$I$2+IF(parametros_manuales!$H$39="Todos",datos_base!$I$9,0))*parametros_manuales!$K$97+parametros_manuales!$E$39*(datos_base!$I$3+IF(parametros_manuales!$H$39="Todos",datos_base!$I$10,0))*parametros_manuales!$K$102+parametros_manuales!$F$39*(datos_base!$I$4+IF(parametros_manuales!$H$39="Todos",datos_base!$I$11,0))*parametros_manuales!$K$107+parametros_manuales!$G$39*(datos_base!$I$5+IF(parametros_manuales!$H$39="Todos",datos_base!$I$12,0))*parametros_manuales!$K$112)*parametros_manuales!$I$39*parametros_manuales!$J$39</f>
        <v>4850.98</v>
      </c>
      <c r="L218" s="8">
        <f>(parametros_manuales!$D$39*(datos_base!$I$2+IF(parametros_manuales!$H$39="Todos",datos_base!$I$9,0))*parametros_manuales!$L$97+parametros_manuales!$E$39*(datos_base!$I$3+IF(parametros_manuales!$H$39="Todos",datos_base!$I$10,0))*parametros_manuales!$L$102+parametros_manuales!$F$39*(datos_base!$I$4+IF(parametros_manuales!$H$39="Todos",datos_base!$I$11,0))*parametros_manuales!$L$107+parametros_manuales!$G$39*(datos_base!$I$5+IF(parametros_manuales!$H$39="Todos",datos_base!$I$12,0))*parametros_manuales!$L$112)*parametros_manuales!$I$39*parametros_manuales!$J$39</f>
        <v>5003.28</v>
      </c>
      <c r="M218" s="8">
        <f>(parametros_manuales!$D$39*(datos_base!$I$2+IF(parametros_manuales!$H$39="Todos",datos_base!$I$9,0))*parametros_manuales!$M$97+parametros_manuales!$E$39*(datos_base!$I$3+IF(parametros_manuales!$H$39="Todos",datos_base!$I$10,0))*parametros_manuales!$M$102+parametros_manuales!$F$39*(datos_base!$I$4+IF(parametros_manuales!$H$39="Todos",datos_base!$I$11,0))*parametros_manuales!$M$107+parametros_manuales!$G$39*(datos_base!$I$5+IF(parametros_manuales!$H$39="Todos",datos_base!$I$12,0))*parametros_manuales!$M$112)*parametros_manuales!$I$39*parametros_manuales!$J$39</f>
        <v>5003.28</v>
      </c>
      <c r="N218" s="8">
        <f t="shared" si="22"/>
        <v>55592</v>
      </c>
      <c r="O218" s="8">
        <f t="shared" si="23"/>
        <v>5003.28</v>
      </c>
      <c r="P218" s="27">
        <f>O218/(parametros_manuales!$B$7)</f>
        <v>33.3552</v>
      </c>
      <c r="Q218" s="4" t="str">
        <f t="shared" si="24"/>
        <v>Ene</v>
      </c>
      <c r="R218" s="16"/>
      <c r="S218" s="16"/>
    </row>
    <row r="219" ht="14.25" customHeight="1">
      <c r="A219" s="4" t="str">
        <f>parametros_manuales!$B$40</f>
        <v>Ensamblaje</v>
      </c>
      <c r="B219" s="8">
        <f>(parametros_manuales!$D$40*(datos_base!$I$2+IF(parametros_manuales!$H$40="Todos",datos_base!$I$9,0))*parametros_manuales!$B$97+parametros_manuales!$E$40*(datos_base!$I$3+IF(parametros_manuales!$H$40="Todos",datos_base!$I$10,0))*parametros_manuales!$B$102+parametros_manuales!$F$40*(datos_base!$I$4+IF(parametros_manuales!$H$40="Todos",datos_base!$I$11,0))*parametros_manuales!$B$107+parametros_manuales!$G$40*(datos_base!$I$5+IF(parametros_manuales!$H$40="Todos",datos_base!$I$12,0))*parametros_manuales!$B$112)*parametros_manuales!$I$40*parametros_manuales!$J$40</f>
        <v>5003.28</v>
      </c>
      <c r="C219" s="8">
        <f>(parametros_manuales!$D$40*(datos_base!$I$2+IF(parametros_manuales!$H$40="Todos",datos_base!$I$9,0))*parametros_manuales!$C$97+parametros_manuales!$E$40*(datos_base!$I$3+IF(parametros_manuales!$H$40="Todos",datos_base!$I$10,0))*parametros_manuales!$C$102+parametros_manuales!$F$40*(datos_base!$I$4+IF(parametros_manuales!$H$40="Todos",datos_base!$I$11,0))*parametros_manuales!$C$107+parametros_manuales!$G$40*(datos_base!$I$5+IF(parametros_manuales!$H$40="Todos",datos_base!$I$12,0))*parametros_manuales!$C$112)*parametros_manuales!$I$40*parametros_manuales!$J$40</f>
        <v>4698.68</v>
      </c>
      <c r="D219" s="8">
        <f>(parametros_manuales!$D$40*(datos_base!$I$2+IF(parametros_manuales!$H$40="Todos",datos_base!$I$9,0))*parametros_manuales!$D$97+parametros_manuales!$E$40*(datos_base!$I$3+IF(parametros_manuales!$H$40="Todos",datos_base!$I$10,0))*parametros_manuales!$D$102+parametros_manuales!$F$40*(datos_base!$I$4+IF(parametros_manuales!$H$40="Todos",datos_base!$I$11,0))*parametros_manuales!$D$107+parametros_manuales!$G$40*(datos_base!$I$5+IF(parametros_manuales!$H$40="Todos",datos_base!$I$12,0))*parametros_manuales!$D$112)*parametros_manuales!$I$40*parametros_manuales!$J$40</f>
        <v>4599.66</v>
      </c>
      <c r="E219" s="8">
        <f>(parametros_manuales!$D$40*(datos_base!$I$2+IF(parametros_manuales!$H$40="Todos",datos_base!$I$9,0))*parametros_manuales!$E$97+parametros_manuales!$E$40*(datos_base!$I$3+IF(parametros_manuales!$H$40="Todos",datos_base!$I$10,0))*parametros_manuales!$E$102+parametros_manuales!$F$40*(datos_base!$I$4+IF(parametros_manuales!$H$40="Todos",datos_base!$I$11,0))*parametros_manuales!$E$107+parametros_manuales!$G$40*(datos_base!$I$5+IF(parametros_manuales!$H$40="Todos",datos_base!$I$12,0))*parametros_manuales!$E$112)*parametros_manuales!$I$40*parametros_manuales!$J$40</f>
        <v>4474</v>
      </c>
      <c r="F219" s="8">
        <f>(parametros_manuales!$D$40*(datos_base!$I$2+IF(parametros_manuales!$H$40="Todos",datos_base!$I$9,0))*parametros_manuales!$F$97+parametros_manuales!$E$40*(datos_base!$I$3+IF(parametros_manuales!$H$40="Todos",datos_base!$I$10,0))*parametros_manuales!$F$102+parametros_manuales!$F$40*(datos_base!$I$4+IF(parametros_manuales!$H$40="Todos",datos_base!$I$11,0))*parametros_manuales!$F$107+parametros_manuales!$G$40*(datos_base!$I$5+IF(parametros_manuales!$H$40="Todos",datos_base!$I$12,0))*parametros_manuales!$F$112)*parametros_manuales!$I$40*parametros_manuales!$J$40</f>
        <v>4196.04</v>
      </c>
      <c r="G219" s="8">
        <f>(parametros_manuales!$D$40*(datos_base!$I$2+IF(parametros_manuales!$H$40="Todos",datos_base!$I$9,0))*parametros_manuales!$G$97+parametros_manuales!$E$40*(datos_base!$I$3+IF(parametros_manuales!$H$40="Todos",datos_base!$I$10,0))*parametros_manuales!$G$102+parametros_manuales!$F$40*(datos_base!$I$4+IF(parametros_manuales!$H$40="Todos",datos_base!$I$11,0))*parametros_manuales!$G$107+parametros_manuales!$G$40*(datos_base!$I$5+IF(parametros_manuales!$H$40="Todos",datos_base!$I$12,0))*parametros_manuales!$G$112)*parametros_manuales!$I$40*parametros_manuales!$J$40</f>
        <v>4043.74</v>
      </c>
      <c r="H219" s="8">
        <f>(parametros_manuales!$D$40*(datos_base!$I$2+IF(parametros_manuales!$H$40="Todos",datos_base!$I$9,0))*parametros_manuales!$H$97+parametros_manuales!$E$40*(datos_base!$I$3+IF(parametros_manuales!$H$40="Todos",datos_base!$I$10,0))*parametros_manuales!$H$102+parametros_manuales!$F$40*(datos_base!$I$4+IF(parametros_manuales!$H$40="Todos",datos_base!$I$11,0))*parametros_manuales!$H$107+parametros_manuales!$G$40*(datos_base!$I$5+IF(parametros_manuales!$H$40="Todos",datos_base!$I$12,0))*parametros_manuales!$H$112)*parametros_manuales!$I$40*parametros_manuales!$J$40</f>
        <v>4321.7</v>
      </c>
      <c r="I219" s="8">
        <f>(parametros_manuales!$D$40*(datos_base!$I$2+IF(parametros_manuales!$H$40="Todos",datos_base!$I$9,0))*parametros_manuales!$I$97+parametros_manuales!$E$40*(datos_base!$I$3+IF(parametros_manuales!$H$40="Todos",datos_base!$I$10,0))*parametros_manuales!$I$102+parametros_manuales!$F$40*(datos_base!$I$4+IF(parametros_manuales!$H$40="Todos",datos_base!$I$11,0))*parametros_manuales!$I$107+parametros_manuales!$G$40*(datos_base!$I$5+IF(parametros_manuales!$H$40="Todos",datos_base!$I$12,0))*parametros_manuales!$I$112)*parametros_manuales!$I$40*parametros_manuales!$J$40</f>
        <v>4698.68</v>
      </c>
      <c r="J219" s="8">
        <f>(parametros_manuales!$D$40*(datos_base!$I$2+IF(parametros_manuales!$H$40="Todos",datos_base!$I$9,0))*parametros_manuales!$J$97+parametros_manuales!$E$40*(datos_base!$I$3+IF(parametros_manuales!$H$40="Todos",datos_base!$I$10,0))*parametros_manuales!$J$102+parametros_manuales!$F$40*(datos_base!$I$4+IF(parametros_manuales!$H$40="Todos",datos_base!$I$11,0))*parametros_manuales!$J$107+parametros_manuales!$G$40*(datos_base!$I$5+IF(parametros_manuales!$H$40="Todos",datos_base!$I$12,0))*parametros_manuales!$J$112)*parametros_manuales!$I$40*parametros_manuales!$J$40</f>
        <v>4698.68</v>
      </c>
      <c r="K219" s="8">
        <f>(parametros_manuales!$D$40*(datos_base!$I$2+IF(parametros_manuales!$H$40="Todos",datos_base!$I$9,0))*parametros_manuales!$K$97+parametros_manuales!$E$40*(datos_base!$I$3+IF(parametros_manuales!$H$40="Todos",datos_base!$I$10,0))*parametros_manuales!$K$102+parametros_manuales!$F$40*(datos_base!$I$4+IF(parametros_manuales!$H$40="Todos",datos_base!$I$11,0))*parametros_manuales!$K$107+parametros_manuales!$G$40*(datos_base!$I$5+IF(parametros_manuales!$H$40="Todos",datos_base!$I$12,0))*parametros_manuales!$K$112)*parametros_manuales!$I$40*parametros_manuales!$J$40</f>
        <v>4850.98</v>
      </c>
      <c r="L219" s="8">
        <f>(parametros_manuales!$D$40*(datos_base!$I$2+IF(parametros_manuales!$H$40="Todos",datos_base!$I$9,0))*parametros_manuales!$L$97+parametros_manuales!$E$40*(datos_base!$I$3+IF(parametros_manuales!$H$40="Todos",datos_base!$I$10,0))*parametros_manuales!$L$102+parametros_manuales!$F$40*(datos_base!$I$4+IF(parametros_manuales!$H$40="Todos",datos_base!$I$11,0))*parametros_manuales!$L$107+parametros_manuales!$G$40*(datos_base!$I$5+IF(parametros_manuales!$H$40="Todos",datos_base!$I$12,0))*parametros_manuales!$L$112)*parametros_manuales!$I$40*parametros_manuales!$J$40</f>
        <v>5003.28</v>
      </c>
      <c r="M219" s="8">
        <f>(parametros_manuales!$D$40*(datos_base!$I$2+IF(parametros_manuales!$H$40="Todos",datos_base!$I$9,0))*parametros_manuales!$M$97+parametros_manuales!$E$40*(datos_base!$I$3+IF(parametros_manuales!$H$40="Todos",datos_base!$I$10,0))*parametros_manuales!$M$102+parametros_manuales!$F$40*(datos_base!$I$4+IF(parametros_manuales!$H$40="Todos",datos_base!$I$11,0))*parametros_manuales!$M$107+parametros_manuales!$G$40*(datos_base!$I$5+IF(parametros_manuales!$H$40="Todos",datos_base!$I$12,0))*parametros_manuales!$M$112)*parametros_manuales!$I$40*parametros_manuales!$J$40</f>
        <v>5003.28</v>
      </c>
      <c r="N219" s="8">
        <f t="shared" si="22"/>
        <v>55592</v>
      </c>
      <c r="O219" s="8">
        <f t="shared" si="23"/>
        <v>5003.28</v>
      </c>
      <c r="P219" s="27">
        <f>O219/(parametros_manuales!$B$7)</f>
        <v>33.3552</v>
      </c>
      <c r="Q219" s="4" t="str">
        <f t="shared" si="24"/>
        <v>Ene</v>
      </c>
      <c r="R219" s="16"/>
      <c r="S219" s="16"/>
    </row>
    <row r="220" ht="14.25" customHeight="1">
      <c r="A220" s="4" t="str">
        <f>parametros_manuales!$B$41</f>
        <v>Presurización</v>
      </c>
      <c r="B220" s="8">
        <f>(parametros_manuales!$D$41*(datos_base!$I$2+IF(parametros_manuales!$H$41="Todos",datos_base!$I$9,0))*parametros_manuales!$B$97+parametros_manuales!$E$41*(datos_base!$I$3+IF(parametros_manuales!$H$41="Todos",datos_base!$I$10,0))*parametros_manuales!$B$102+parametros_manuales!$F$41*(datos_base!$I$4+IF(parametros_manuales!$H$41="Todos",datos_base!$I$11,0))*parametros_manuales!$B$107+parametros_manuales!$G$41*(datos_base!$I$5+IF(parametros_manuales!$H$41="Todos",datos_base!$I$12,0))*parametros_manuales!$B$112)*parametros_manuales!$I$41*parametros_manuales!$J$41</f>
        <v>5003.28</v>
      </c>
      <c r="C220" s="8">
        <f>(parametros_manuales!$D$41*(datos_base!$I$2+IF(parametros_manuales!$H$41="Todos",datos_base!$I$9,0))*parametros_manuales!$C$97+parametros_manuales!$E$41*(datos_base!$I$3+IF(parametros_manuales!$H$41="Todos",datos_base!$I$10,0))*parametros_manuales!$C$102+parametros_manuales!$F$41*(datos_base!$I$4+IF(parametros_manuales!$H$41="Todos",datos_base!$I$11,0))*parametros_manuales!$C$107+parametros_manuales!$G$41*(datos_base!$I$5+IF(parametros_manuales!$H$41="Todos",datos_base!$I$12,0))*parametros_manuales!$C$112)*parametros_manuales!$I$41*parametros_manuales!$J$41</f>
        <v>4698.68</v>
      </c>
      <c r="D220" s="8">
        <f>(parametros_manuales!$D$41*(datos_base!$I$2+IF(parametros_manuales!$H$41="Todos",datos_base!$I$9,0))*parametros_manuales!$D$97+parametros_manuales!$E$41*(datos_base!$I$3+IF(parametros_manuales!$H$41="Todos",datos_base!$I$10,0))*parametros_manuales!$D$102+parametros_manuales!$F$41*(datos_base!$I$4+IF(parametros_manuales!$H$41="Todos",datos_base!$I$11,0))*parametros_manuales!$D$107+parametros_manuales!$G$41*(datos_base!$I$5+IF(parametros_manuales!$H$41="Todos",datos_base!$I$12,0))*parametros_manuales!$D$112)*parametros_manuales!$I$41*parametros_manuales!$J$41</f>
        <v>4599.66</v>
      </c>
      <c r="E220" s="8">
        <f>(parametros_manuales!$D$41*(datos_base!$I$2+IF(parametros_manuales!$H$41="Todos",datos_base!$I$9,0))*parametros_manuales!$E$97+parametros_manuales!$E$41*(datos_base!$I$3+IF(parametros_manuales!$H$41="Todos",datos_base!$I$10,0))*parametros_manuales!$E$102+parametros_manuales!$F$41*(datos_base!$I$4+IF(parametros_manuales!$H$41="Todos",datos_base!$I$11,0))*parametros_manuales!$E$107+parametros_manuales!$G$41*(datos_base!$I$5+IF(parametros_manuales!$H$41="Todos",datos_base!$I$12,0))*parametros_manuales!$E$112)*parametros_manuales!$I$41*parametros_manuales!$J$41</f>
        <v>4474</v>
      </c>
      <c r="F220" s="8">
        <f>(parametros_manuales!$D$41*(datos_base!$I$2+IF(parametros_manuales!$H$41="Todos",datos_base!$I$9,0))*parametros_manuales!$F$97+parametros_manuales!$E$41*(datos_base!$I$3+IF(parametros_manuales!$H$41="Todos",datos_base!$I$10,0))*parametros_manuales!$F$102+parametros_manuales!$F$41*(datos_base!$I$4+IF(parametros_manuales!$H$41="Todos",datos_base!$I$11,0))*parametros_manuales!$F$107+parametros_manuales!$G$41*(datos_base!$I$5+IF(parametros_manuales!$H$41="Todos",datos_base!$I$12,0))*parametros_manuales!$F$112)*parametros_manuales!$I$41*parametros_manuales!$J$41</f>
        <v>4196.04</v>
      </c>
      <c r="G220" s="8">
        <f>(parametros_manuales!$D$41*(datos_base!$I$2+IF(parametros_manuales!$H$41="Todos",datos_base!$I$9,0))*parametros_manuales!$G$97+parametros_manuales!$E$41*(datos_base!$I$3+IF(parametros_manuales!$H$41="Todos",datos_base!$I$10,0))*parametros_manuales!$G$102+parametros_manuales!$F$41*(datos_base!$I$4+IF(parametros_manuales!$H$41="Todos",datos_base!$I$11,0))*parametros_manuales!$G$107+parametros_manuales!$G$41*(datos_base!$I$5+IF(parametros_manuales!$H$41="Todos",datos_base!$I$12,0))*parametros_manuales!$G$112)*parametros_manuales!$I$41*parametros_manuales!$J$41</f>
        <v>4043.74</v>
      </c>
      <c r="H220" s="8">
        <f>(parametros_manuales!$D$41*(datos_base!$I$2+IF(parametros_manuales!$H$41="Todos",datos_base!$I$9,0))*parametros_manuales!$H$97+parametros_manuales!$E$41*(datos_base!$I$3+IF(parametros_manuales!$H$41="Todos",datos_base!$I$10,0))*parametros_manuales!$H$102+parametros_manuales!$F$41*(datos_base!$I$4+IF(parametros_manuales!$H$41="Todos",datos_base!$I$11,0))*parametros_manuales!$H$107+parametros_manuales!$G$41*(datos_base!$I$5+IF(parametros_manuales!$H$41="Todos",datos_base!$I$12,0))*parametros_manuales!$H$112)*parametros_manuales!$I$41*parametros_manuales!$J$41</f>
        <v>4321.7</v>
      </c>
      <c r="I220" s="8">
        <f>(parametros_manuales!$D$41*(datos_base!$I$2+IF(parametros_manuales!$H$41="Todos",datos_base!$I$9,0))*parametros_manuales!$I$97+parametros_manuales!$E$41*(datos_base!$I$3+IF(parametros_manuales!$H$41="Todos",datos_base!$I$10,0))*parametros_manuales!$I$102+parametros_manuales!$F$41*(datos_base!$I$4+IF(parametros_manuales!$H$41="Todos",datos_base!$I$11,0))*parametros_manuales!$I$107+parametros_manuales!$G$41*(datos_base!$I$5+IF(parametros_manuales!$H$41="Todos",datos_base!$I$12,0))*parametros_manuales!$I$112)*parametros_manuales!$I$41*parametros_manuales!$J$41</f>
        <v>4698.68</v>
      </c>
      <c r="J220" s="8">
        <f>(parametros_manuales!$D$41*(datos_base!$I$2+IF(parametros_manuales!$H$41="Todos",datos_base!$I$9,0))*parametros_manuales!$J$97+parametros_manuales!$E$41*(datos_base!$I$3+IF(parametros_manuales!$H$41="Todos",datos_base!$I$10,0))*parametros_manuales!$J$102+parametros_manuales!$F$41*(datos_base!$I$4+IF(parametros_manuales!$H$41="Todos",datos_base!$I$11,0))*parametros_manuales!$J$107+parametros_manuales!$G$41*(datos_base!$I$5+IF(parametros_manuales!$H$41="Todos",datos_base!$I$12,0))*parametros_manuales!$J$112)*parametros_manuales!$I$41*parametros_manuales!$J$41</f>
        <v>4698.68</v>
      </c>
      <c r="K220" s="8">
        <f>(parametros_manuales!$D$41*(datos_base!$I$2+IF(parametros_manuales!$H$41="Todos",datos_base!$I$9,0))*parametros_manuales!$K$97+parametros_manuales!$E$41*(datos_base!$I$3+IF(parametros_manuales!$H$41="Todos",datos_base!$I$10,0))*parametros_manuales!$K$102+parametros_manuales!$F$41*(datos_base!$I$4+IF(parametros_manuales!$H$41="Todos",datos_base!$I$11,0))*parametros_manuales!$K$107+parametros_manuales!$G$41*(datos_base!$I$5+IF(parametros_manuales!$H$41="Todos",datos_base!$I$12,0))*parametros_manuales!$K$112)*parametros_manuales!$I$41*parametros_manuales!$J$41</f>
        <v>4850.98</v>
      </c>
      <c r="L220" s="8">
        <f>(parametros_manuales!$D$41*(datos_base!$I$2+IF(parametros_manuales!$H$41="Todos",datos_base!$I$9,0))*parametros_manuales!$L$97+parametros_manuales!$E$41*(datos_base!$I$3+IF(parametros_manuales!$H$41="Todos",datos_base!$I$10,0))*parametros_manuales!$L$102+parametros_manuales!$F$41*(datos_base!$I$4+IF(parametros_manuales!$H$41="Todos",datos_base!$I$11,0))*parametros_manuales!$L$107+parametros_manuales!$G$41*(datos_base!$I$5+IF(parametros_manuales!$H$41="Todos",datos_base!$I$12,0))*parametros_manuales!$L$112)*parametros_manuales!$I$41*parametros_manuales!$J$41</f>
        <v>5003.28</v>
      </c>
      <c r="M220" s="8">
        <f>(parametros_manuales!$D$41*(datos_base!$I$2+IF(parametros_manuales!$H$41="Todos",datos_base!$I$9,0))*parametros_manuales!$M$97+parametros_manuales!$E$41*(datos_base!$I$3+IF(parametros_manuales!$H$41="Todos",datos_base!$I$10,0))*parametros_manuales!$M$102+parametros_manuales!$F$41*(datos_base!$I$4+IF(parametros_manuales!$H$41="Todos",datos_base!$I$11,0))*parametros_manuales!$M$107+parametros_manuales!$G$41*(datos_base!$I$5+IF(parametros_manuales!$H$41="Todos",datos_base!$I$12,0))*parametros_manuales!$M$112)*parametros_manuales!$I$41*parametros_manuales!$J$41</f>
        <v>5003.28</v>
      </c>
      <c r="N220" s="8">
        <f t="shared" si="22"/>
        <v>55592</v>
      </c>
      <c r="O220" s="8">
        <f t="shared" si="23"/>
        <v>5003.28</v>
      </c>
      <c r="P220" s="27">
        <f>O220/(parametros_manuales!$B$7)</f>
        <v>33.3552</v>
      </c>
      <c r="Q220" s="4" t="str">
        <f t="shared" si="24"/>
        <v>Ene</v>
      </c>
      <c r="R220" s="16"/>
      <c r="S220" s="16"/>
    </row>
    <row r="221" ht="14.25" customHeight="1">
      <c r="A221" s="4" t="str">
        <f>parametros_manuales!$B$42</f>
        <v>Control de calidad — Ensayo de pérdidas</v>
      </c>
      <c r="B221" s="8">
        <f>(parametros_manuales!$D$42*(datos_base!$I$2+IF(parametros_manuales!$H$42="Todos",datos_base!$I$9,0))*parametros_manuales!$B$97+parametros_manuales!$E$42*(datos_base!$I$3+IF(parametros_manuales!$H$42="Todos",datos_base!$I$10,0))*parametros_manuales!$B$102+parametros_manuales!$F$42*(datos_base!$I$4+IF(parametros_manuales!$H$42="Todos",datos_base!$I$11,0))*parametros_manuales!$B$107+parametros_manuales!$G$42*(datos_base!$I$5+IF(parametros_manuales!$H$42="Todos",datos_base!$I$12,0))*parametros_manuales!$B$112)*parametros_manuales!$I$42*parametros_manuales!$J$42</f>
        <v>5003.28</v>
      </c>
      <c r="C221" s="8">
        <f>(parametros_manuales!$D$42*(datos_base!$I$2+IF(parametros_manuales!$H$42="Todos",datos_base!$I$9,0))*parametros_manuales!$C$97+parametros_manuales!$E$42*(datos_base!$I$3+IF(parametros_manuales!$H$42="Todos",datos_base!$I$10,0))*parametros_manuales!$C$102+parametros_manuales!$F$42*(datos_base!$I$4+IF(parametros_manuales!$H$42="Todos",datos_base!$I$11,0))*parametros_manuales!$C$107+parametros_manuales!$G$42*(datos_base!$I$5+IF(parametros_manuales!$H$42="Todos",datos_base!$I$12,0))*parametros_manuales!$C$112)*parametros_manuales!$I$42*parametros_manuales!$J$42</f>
        <v>4698.68</v>
      </c>
      <c r="D221" s="8">
        <f>(parametros_manuales!$D$42*(datos_base!$I$2+IF(parametros_manuales!$H$42="Todos",datos_base!$I$9,0))*parametros_manuales!$D$97+parametros_manuales!$E$42*(datos_base!$I$3+IF(parametros_manuales!$H$42="Todos",datos_base!$I$10,0))*parametros_manuales!$D$102+parametros_manuales!$F$42*(datos_base!$I$4+IF(parametros_manuales!$H$42="Todos",datos_base!$I$11,0))*parametros_manuales!$D$107+parametros_manuales!$G$42*(datos_base!$I$5+IF(parametros_manuales!$H$42="Todos",datos_base!$I$12,0))*parametros_manuales!$D$112)*parametros_manuales!$I$42*parametros_manuales!$J$42</f>
        <v>4599.66</v>
      </c>
      <c r="E221" s="8">
        <f>(parametros_manuales!$D$42*(datos_base!$I$2+IF(parametros_manuales!$H$42="Todos",datos_base!$I$9,0))*parametros_manuales!$E$97+parametros_manuales!$E$42*(datos_base!$I$3+IF(parametros_manuales!$H$42="Todos",datos_base!$I$10,0))*parametros_manuales!$E$102+parametros_manuales!$F$42*(datos_base!$I$4+IF(parametros_manuales!$H$42="Todos",datos_base!$I$11,0))*parametros_manuales!$E$107+parametros_manuales!$G$42*(datos_base!$I$5+IF(parametros_manuales!$H$42="Todos",datos_base!$I$12,0))*parametros_manuales!$E$112)*parametros_manuales!$I$42*parametros_manuales!$J$42</f>
        <v>4474</v>
      </c>
      <c r="F221" s="8">
        <f>(parametros_manuales!$D$42*(datos_base!$I$2+IF(parametros_manuales!$H$42="Todos",datos_base!$I$9,0))*parametros_manuales!$F$97+parametros_manuales!$E$42*(datos_base!$I$3+IF(parametros_manuales!$H$42="Todos",datos_base!$I$10,0))*parametros_manuales!$F$102+parametros_manuales!$F$42*(datos_base!$I$4+IF(parametros_manuales!$H$42="Todos",datos_base!$I$11,0))*parametros_manuales!$F$107+parametros_manuales!$G$42*(datos_base!$I$5+IF(parametros_manuales!$H$42="Todos",datos_base!$I$12,0))*parametros_manuales!$F$112)*parametros_manuales!$I$42*parametros_manuales!$J$42</f>
        <v>4196.04</v>
      </c>
      <c r="G221" s="8">
        <f>(parametros_manuales!$D$42*(datos_base!$I$2+IF(parametros_manuales!$H$42="Todos",datos_base!$I$9,0))*parametros_manuales!$G$97+parametros_manuales!$E$42*(datos_base!$I$3+IF(parametros_manuales!$H$42="Todos",datos_base!$I$10,0))*parametros_manuales!$G$102+parametros_manuales!$F$42*(datos_base!$I$4+IF(parametros_manuales!$H$42="Todos",datos_base!$I$11,0))*parametros_manuales!$G$107+parametros_manuales!$G$42*(datos_base!$I$5+IF(parametros_manuales!$H$42="Todos",datos_base!$I$12,0))*parametros_manuales!$G$112)*parametros_manuales!$I$42*parametros_manuales!$J$42</f>
        <v>4043.74</v>
      </c>
      <c r="H221" s="8">
        <f>(parametros_manuales!$D$42*(datos_base!$I$2+IF(parametros_manuales!$H$42="Todos",datos_base!$I$9,0))*parametros_manuales!$H$97+parametros_manuales!$E$42*(datos_base!$I$3+IF(parametros_manuales!$H$42="Todos",datos_base!$I$10,0))*parametros_manuales!$H$102+parametros_manuales!$F$42*(datos_base!$I$4+IF(parametros_manuales!$H$42="Todos",datos_base!$I$11,0))*parametros_manuales!$H$107+parametros_manuales!$G$42*(datos_base!$I$5+IF(parametros_manuales!$H$42="Todos",datos_base!$I$12,0))*parametros_manuales!$H$112)*parametros_manuales!$I$42*parametros_manuales!$J$42</f>
        <v>4321.7</v>
      </c>
      <c r="I221" s="8">
        <f>(parametros_manuales!$D$42*(datos_base!$I$2+IF(parametros_manuales!$H$42="Todos",datos_base!$I$9,0))*parametros_manuales!$I$97+parametros_manuales!$E$42*(datos_base!$I$3+IF(parametros_manuales!$H$42="Todos",datos_base!$I$10,0))*parametros_manuales!$I$102+parametros_manuales!$F$42*(datos_base!$I$4+IF(parametros_manuales!$H$42="Todos",datos_base!$I$11,0))*parametros_manuales!$I$107+parametros_manuales!$G$42*(datos_base!$I$5+IF(parametros_manuales!$H$42="Todos",datos_base!$I$12,0))*parametros_manuales!$I$112)*parametros_manuales!$I$42*parametros_manuales!$J$42</f>
        <v>4698.68</v>
      </c>
      <c r="J221" s="8">
        <f>(parametros_manuales!$D$42*(datos_base!$I$2+IF(parametros_manuales!$H$42="Todos",datos_base!$I$9,0))*parametros_manuales!$J$97+parametros_manuales!$E$42*(datos_base!$I$3+IF(parametros_manuales!$H$42="Todos",datos_base!$I$10,0))*parametros_manuales!$J$102+parametros_manuales!$F$42*(datos_base!$I$4+IF(parametros_manuales!$H$42="Todos",datos_base!$I$11,0))*parametros_manuales!$J$107+parametros_manuales!$G$42*(datos_base!$I$5+IF(parametros_manuales!$H$42="Todos",datos_base!$I$12,0))*parametros_manuales!$J$112)*parametros_manuales!$I$42*parametros_manuales!$J$42</f>
        <v>4698.68</v>
      </c>
      <c r="K221" s="8">
        <f>(parametros_manuales!$D$42*(datos_base!$I$2+IF(parametros_manuales!$H$42="Todos",datos_base!$I$9,0))*parametros_manuales!$K$97+parametros_manuales!$E$42*(datos_base!$I$3+IF(parametros_manuales!$H$42="Todos",datos_base!$I$10,0))*parametros_manuales!$K$102+parametros_manuales!$F$42*(datos_base!$I$4+IF(parametros_manuales!$H$42="Todos",datos_base!$I$11,0))*parametros_manuales!$K$107+parametros_manuales!$G$42*(datos_base!$I$5+IF(parametros_manuales!$H$42="Todos",datos_base!$I$12,0))*parametros_manuales!$K$112)*parametros_manuales!$I$42*parametros_manuales!$J$42</f>
        <v>4850.98</v>
      </c>
      <c r="L221" s="8">
        <f>(parametros_manuales!$D$42*(datos_base!$I$2+IF(parametros_manuales!$H$42="Todos",datos_base!$I$9,0))*parametros_manuales!$L$97+parametros_manuales!$E$42*(datos_base!$I$3+IF(parametros_manuales!$H$42="Todos",datos_base!$I$10,0))*parametros_manuales!$L$102+parametros_manuales!$F$42*(datos_base!$I$4+IF(parametros_manuales!$H$42="Todos",datos_base!$I$11,0))*parametros_manuales!$L$107+parametros_manuales!$G$42*(datos_base!$I$5+IF(parametros_manuales!$H$42="Todos",datos_base!$I$12,0))*parametros_manuales!$L$112)*parametros_manuales!$I$42*parametros_manuales!$J$42</f>
        <v>5003.28</v>
      </c>
      <c r="M221" s="8">
        <f>(parametros_manuales!$D$42*(datos_base!$I$2+IF(parametros_manuales!$H$42="Todos",datos_base!$I$9,0))*parametros_manuales!$M$97+parametros_manuales!$E$42*(datos_base!$I$3+IF(parametros_manuales!$H$42="Todos",datos_base!$I$10,0))*parametros_manuales!$M$102+parametros_manuales!$F$42*(datos_base!$I$4+IF(parametros_manuales!$H$42="Todos",datos_base!$I$11,0))*parametros_manuales!$M$107+parametros_manuales!$G$42*(datos_base!$I$5+IF(parametros_manuales!$H$42="Todos",datos_base!$I$12,0))*parametros_manuales!$M$112)*parametros_manuales!$I$42*parametros_manuales!$J$42</f>
        <v>5003.28</v>
      </c>
      <c r="N221" s="8">
        <f t="shared" si="22"/>
        <v>55592</v>
      </c>
      <c r="O221" s="8">
        <f t="shared" si="23"/>
        <v>5003.28</v>
      </c>
      <c r="P221" s="27">
        <f>O221/(parametros_manuales!$B$7)</f>
        <v>33.3552</v>
      </c>
      <c r="Q221" s="4" t="str">
        <f t="shared" si="24"/>
        <v>Ene</v>
      </c>
      <c r="R221" s="16"/>
      <c r="S221" s="16"/>
    </row>
    <row r="222" ht="14.25" customHeight="1">
      <c r="A222" s="4" t="str">
        <f>parametros_manuales!$B$43</f>
        <v>Etiquetado</v>
      </c>
      <c r="B222" s="8">
        <f>(parametros_manuales!$D$43*(datos_base!$I$2+IF(parametros_manuales!$H$43="Todos",datos_base!$I$9,0))*parametros_manuales!$B$97+parametros_manuales!$E$43*(datos_base!$I$3+IF(parametros_manuales!$H$43="Todos",datos_base!$I$10,0))*parametros_manuales!$B$102+parametros_manuales!$F$43*(datos_base!$I$4+IF(parametros_manuales!$H$43="Todos",datos_base!$I$11,0))*parametros_manuales!$B$107+parametros_manuales!$G$43*(datos_base!$I$5+IF(parametros_manuales!$H$43="Todos",datos_base!$I$12,0))*parametros_manuales!$B$112)*parametros_manuales!$I$43*parametros_manuales!$J$43</f>
        <v>5003.28</v>
      </c>
      <c r="C222" s="8">
        <f>(parametros_manuales!$D$43*(datos_base!$I$2+IF(parametros_manuales!$H$43="Todos",datos_base!$I$9,0))*parametros_manuales!$C$97+parametros_manuales!$E$43*(datos_base!$I$3+IF(parametros_manuales!$H$43="Todos",datos_base!$I$10,0))*parametros_manuales!$C$102+parametros_manuales!$F$43*(datos_base!$I$4+IF(parametros_manuales!$H$43="Todos",datos_base!$I$11,0))*parametros_manuales!$C$107+parametros_manuales!$G$43*(datos_base!$I$5+IF(parametros_manuales!$H$43="Todos",datos_base!$I$12,0))*parametros_manuales!$C$112)*parametros_manuales!$I$43*parametros_manuales!$J$43</f>
        <v>4698.68</v>
      </c>
      <c r="D222" s="8">
        <f>(parametros_manuales!$D$43*(datos_base!$I$2+IF(parametros_manuales!$H$43="Todos",datos_base!$I$9,0))*parametros_manuales!$D$97+parametros_manuales!$E$43*(datos_base!$I$3+IF(parametros_manuales!$H$43="Todos",datos_base!$I$10,0))*parametros_manuales!$D$102+parametros_manuales!$F$43*(datos_base!$I$4+IF(parametros_manuales!$H$43="Todos",datos_base!$I$11,0))*parametros_manuales!$D$107+parametros_manuales!$G$43*(datos_base!$I$5+IF(parametros_manuales!$H$43="Todos",datos_base!$I$12,0))*parametros_manuales!$D$112)*parametros_manuales!$I$43*parametros_manuales!$J$43</f>
        <v>4599.66</v>
      </c>
      <c r="E222" s="8">
        <f>(parametros_manuales!$D$43*(datos_base!$I$2+IF(parametros_manuales!$H$43="Todos",datos_base!$I$9,0))*parametros_manuales!$E$97+parametros_manuales!$E$43*(datos_base!$I$3+IF(parametros_manuales!$H$43="Todos",datos_base!$I$10,0))*parametros_manuales!$E$102+parametros_manuales!$F$43*(datos_base!$I$4+IF(parametros_manuales!$H$43="Todos",datos_base!$I$11,0))*parametros_manuales!$E$107+parametros_manuales!$G$43*(datos_base!$I$5+IF(parametros_manuales!$H$43="Todos",datos_base!$I$12,0))*parametros_manuales!$E$112)*parametros_manuales!$I$43*parametros_manuales!$J$43</f>
        <v>4474</v>
      </c>
      <c r="F222" s="8">
        <f>(parametros_manuales!$D$43*(datos_base!$I$2+IF(parametros_manuales!$H$43="Todos",datos_base!$I$9,0))*parametros_manuales!$F$97+parametros_manuales!$E$43*(datos_base!$I$3+IF(parametros_manuales!$H$43="Todos",datos_base!$I$10,0))*parametros_manuales!$F$102+parametros_manuales!$F$43*(datos_base!$I$4+IF(parametros_manuales!$H$43="Todos",datos_base!$I$11,0))*parametros_manuales!$F$107+parametros_manuales!$G$43*(datos_base!$I$5+IF(parametros_manuales!$H$43="Todos",datos_base!$I$12,0))*parametros_manuales!$F$112)*parametros_manuales!$I$43*parametros_manuales!$J$43</f>
        <v>4196.04</v>
      </c>
      <c r="G222" s="8">
        <f>(parametros_manuales!$D$43*(datos_base!$I$2+IF(parametros_manuales!$H$43="Todos",datos_base!$I$9,0))*parametros_manuales!$G$97+parametros_manuales!$E$43*(datos_base!$I$3+IF(parametros_manuales!$H$43="Todos",datos_base!$I$10,0))*parametros_manuales!$G$102+parametros_manuales!$F$43*(datos_base!$I$4+IF(parametros_manuales!$H$43="Todos",datos_base!$I$11,0))*parametros_manuales!$G$107+parametros_manuales!$G$43*(datos_base!$I$5+IF(parametros_manuales!$H$43="Todos",datos_base!$I$12,0))*parametros_manuales!$G$112)*parametros_manuales!$I$43*parametros_manuales!$J$43</f>
        <v>4043.74</v>
      </c>
      <c r="H222" s="8">
        <f>(parametros_manuales!$D$43*(datos_base!$I$2+IF(parametros_manuales!$H$43="Todos",datos_base!$I$9,0))*parametros_manuales!$H$97+parametros_manuales!$E$43*(datos_base!$I$3+IF(parametros_manuales!$H$43="Todos",datos_base!$I$10,0))*parametros_manuales!$H$102+parametros_manuales!$F$43*(datos_base!$I$4+IF(parametros_manuales!$H$43="Todos",datos_base!$I$11,0))*parametros_manuales!$H$107+parametros_manuales!$G$43*(datos_base!$I$5+IF(parametros_manuales!$H$43="Todos",datos_base!$I$12,0))*parametros_manuales!$H$112)*parametros_manuales!$I$43*parametros_manuales!$J$43</f>
        <v>4321.7</v>
      </c>
      <c r="I222" s="8">
        <f>(parametros_manuales!$D$43*(datos_base!$I$2+IF(parametros_manuales!$H$43="Todos",datos_base!$I$9,0))*parametros_manuales!$I$97+parametros_manuales!$E$43*(datos_base!$I$3+IF(parametros_manuales!$H$43="Todos",datos_base!$I$10,0))*parametros_manuales!$I$102+parametros_manuales!$F$43*(datos_base!$I$4+IF(parametros_manuales!$H$43="Todos",datos_base!$I$11,0))*parametros_manuales!$I$107+parametros_manuales!$G$43*(datos_base!$I$5+IF(parametros_manuales!$H$43="Todos",datos_base!$I$12,0))*parametros_manuales!$I$112)*parametros_manuales!$I$43*parametros_manuales!$J$43</f>
        <v>4698.68</v>
      </c>
      <c r="J222" s="8">
        <f>(parametros_manuales!$D$43*(datos_base!$I$2+IF(parametros_manuales!$H$43="Todos",datos_base!$I$9,0))*parametros_manuales!$J$97+parametros_manuales!$E$43*(datos_base!$I$3+IF(parametros_manuales!$H$43="Todos",datos_base!$I$10,0))*parametros_manuales!$J$102+parametros_manuales!$F$43*(datos_base!$I$4+IF(parametros_manuales!$H$43="Todos",datos_base!$I$11,0))*parametros_manuales!$J$107+parametros_manuales!$G$43*(datos_base!$I$5+IF(parametros_manuales!$H$43="Todos",datos_base!$I$12,0))*parametros_manuales!$J$112)*parametros_manuales!$I$43*parametros_manuales!$J$43</f>
        <v>4698.68</v>
      </c>
      <c r="K222" s="8">
        <f>(parametros_manuales!$D$43*(datos_base!$I$2+IF(parametros_manuales!$H$43="Todos",datos_base!$I$9,0))*parametros_manuales!$K$97+parametros_manuales!$E$43*(datos_base!$I$3+IF(parametros_manuales!$H$43="Todos",datos_base!$I$10,0))*parametros_manuales!$K$102+parametros_manuales!$F$43*(datos_base!$I$4+IF(parametros_manuales!$H$43="Todos",datos_base!$I$11,0))*parametros_manuales!$K$107+parametros_manuales!$G$43*(datos_base!$I$5+IF(parametros_manuales!$H$43="Todos",datos_base!$I$12,0))*parametros_manuales!$K$112)*parametros_manuales!$I$43*parametros_manuales!$J$43</f>
        <v>4850.98</v>
      </c>
      <c r="L222" s="8">
        <f>(parametros_manuales!$D$43*(datos_base!$I$2+IF(parametros_manuales!$H$43="Todos",datos_base!$I$9,0))*parametros_manuales!$L$97+parametros_manuales!$E$43*(datos_base!$I$3+IF(parametros_manuales!$H$43="Todos",datos_base!$I$10,0))*parametros_manuales!$L$102+parametros_manuales!$F$43*(datos_base!$I$4+IF(parametros_manuales!$H$43="Todos",datos_base!$I$11,0))*parametros_manuales!$L$107+parametros_manuales!$G$43*(datos_base!$I$5+IF(parametros_manuales!$H$43="Todos",datos_base!$I$12,0))*parametros_manuales!$L$112)*parametros_manuales!$I$43*parametros_manuales!$J$43</f>
        <v>5003.28</v>
      </c>
      <c r="M222" s="8">
        <f>(parametros_manuales!$D$43*(datos_base!$I$2+IF(parametros_manuales!$H$43="Todos",datos_base!$I$9,0))*parametros_manuales!$M$97+parametros_manuales!$E$43*(datos_base!$I$3+IF(parametros_manuales!$H$43="Todos",datos_base!$I$10,0))*parametros_manuales!$M$102+parametros_manuales!$F$43*(datos_base!$I$4+IF(parametros_manuales!$H$43="Todos",datos_base!$I$11,0))*parametros_manuales!$M$107+parametros_manuales!$G$43*(datos_base!$I$5+IF(parametros_manuales!$H$43="Todos",datos_base!$I$12,0))*parametros_manuales!$M$112)*parametros_manuales!$I$43*parametros_manuales!$J$43</f>
        <v>5003.28</v>
      </c>
      <c r="N222" s="8">
        <f t="shared" si="22"/>
        <v>55592</v>
      </c>
      <c r="O222" s="8">
        <f t="shared" si="23"/>
        <v>5003.28</v>
      </c>
      <c r="P222" s="27">
        <f>O222/(parametros_manuales!$B$7)</f>
        <v>33.3552</v>
      </c>
      <c r="Q222" s="4" t="str">
        <f t="shared" si="24"/>
        <v>Ene</v>
      </c>
      <c r="R222" s="16"/>
      <c r="S222" s="16"/>
    </row>
    <row r="223" ht="14.25" customHeight="1">
      <c r="A223" s="4" t="str">
        <f>parametros_manuales!$B$44</f>
        <v>Embalaje y paletizado</v>
      </c>
      <c r="B223" s="8">
        <f>(parametros_manuales!$D$44*(datos_base!$I$2+IF(parametros_manuales!$H$44="Todos",datos_base!$I$9,0))*parametros_manuales!$B$97+parametros_manuales!$E$44*(datos_base!$I$3+IF(parametros_manuales!$H$44="Todos",datos_base!$I$10,0))*parametros_manuales!$B$102+parametros_manuales!$F$44*(datos_base!$I$4+IF(parametros_manuales!$H$44="Todos",datos_base!$I$11,0))*parametros_manuales!$B$107+parametros_manuales!$G$44*(datos_base!$I$5+IF(parametros_manuales!$H$44="Todos",datos_base!$I$12,0))*parametros_manuales!$B$112)*parametros_manuales!$I$44*parametros_manuales!$J$44</f>
        <v>19764</v>
      </c>
      <c r="C223" s="8">
        <f>(parametros_manuales!$D$44*(datos_base!$I$2+IF(parametros_manuales!$H$44="Todos",datos_base!$I$9,0))*parametros_manuales!$C$97+parametros_manuales!$E$44*(datos_base!$I$3+IF(parametros_manuales!$H$44="Todos",datos_base!$I$10,0))*parametros_manuales!$C$102+parametros_manuales!$F$44*(datos_base!$I$4+IF(parametros_manuales!$H$44="Todos",datos_base!$I$11,0))*parametros_manuales!$C$107+parametros_manuales!$G$44*(datos_base!$I$5+IF(parametros_manuales!$H$44="Todos",datos_base!$I$12,0))*parametros_manuales!$C$112)*parametros_manuales!$I$44*parametros_manuales!$J$44</f>
        <v>19129.33</v>
      </c>
      <c r="D223" s="8">
        <f>(parametros_manuales!$D$44*(datos_base!$I$2+IF(parametros_manuales!$H$44="Todos",datos_base!$I$9,0))*parametros_manuales!$D$97+parametros_manuales!$E$44*(datos_base!$I$3+IF(parametros_manuales!$H$44="Todos",datos_base!$I$10,0))*parametros_manuales!$D$102+parametros_manuales!$F$44*(datos_base!$I$4+IF(parametros_manuales!$H$44="Todos",datos_base!$I$11,0))*parametros_manuales!$D$107+parametros_manuales!$G$44*(datos_base!$I$5+IF(parametros_manuales!$H$44="Todos",datos_base!$I$12,0))*parametros_manuales!$D$112)*parametros_manuales!$I$44*parametros_manuales!$J$44</f>
        <v>17885.335</v>
      </c>
      <c r="E223" s="8">
        <f>(parametros_manuales!$D$44*(datos_base!$I$2+IF(parametros_manuales!$H$44="Todos",datos_base!$I$9,0))*parametros_manuales!$E$97+parametros_manuales!$E$44*(datos_base!$I$3+IF(parametros_manuales!$H$44="Todos",datos_base!$I$10,0))*parametros_manuales!$E$102+parametros_manuales!$F$44*(datos_base!$I$4+IF(parametros_manuales!$H$44="Todos",datos_base!$I$11,0))*parametros_manuales!$E$107+parametros_manuales!$G$44*(datos_base!$I$5+IF(parametros_manuales!$H$44="Todos",datos_base!$I$12,0))*parametros_manuales!$E$112)*parametros_manuales!$I$44*parametros_manuales!$J$44</f>
        <v>17104.67</v>
      </c>
      <c r="F223" s="8">
        <f>(parametros_manuales!$D$44*(datos_base!$I$2+IF(parametros_manuales!$H$44="Todos",datos_base!$I$9,0))*parametros_manuales!$F$97+parametros_manuales!$E$44*(datos_base!$I$3+IF(parametros_manuales!$H$44="Todos",datos_base!$I$10,0))*parametros_manuales!$F$102+parametros_manuales!$F$44*(datos_base!$I$4+IF(parametros_manuales!$H$44="Todos",datos_base!$I$11,0))*parametros_manuales!$F$107+parametros_manuales!$G$44*(datos_base!$I$5+IF(parametros_manuales!$H$44="Todos",datos_base!$I$12,0))*parametros_manuales!$F$112)*parametros_manuales!$I$44*parametros_manuales!$J$44</f>
        <v>16006.67</v>
      </c>
      <c r="G223" s="8">
        <f>(parametros_manuales!$D$44*(datos_base!$I$2+IF(parametros_manuales!$H$44="Todos",datos_base!$I$9,0))*parametros_manuales!$G$97+parametros_manuales!$E$44*(datos_base!$I$3+IF(parametros_manuales!$H$44="Todos",datos_base!$I$10,0))*parametros_manuales!$G$102+parametros_manuales!$F$44*(datos_base!$I$4+IF(parametros_manuales!$H$44="Todos",datos_base!$I$11,0))*parametros_manuales!$G$107+parametros_manuales!$G$44*(datos_base!$I$5+IF(parametros_manuales!$H$44="Todos",datos_base!$I$12,0))*parametros_manuales!$G$112)*parametros_manuales!$I$44*parametros_manuales!$J$44</f>
        <v>15689.335</v>
      </c>
      <c r="H223" s="8">
        <f>(parametros_manuales!$D$44*(datos_base!$I$2+IF(parametros_manuales!$H$44="Todos",datos_base!$I$9,0))*parametros_manuales!$H$97+parametros_manuales!$E$44*(datos_base!$I$3+IF(parametros_manuales!$H$44="Todos",datos_base!$I$10,0))*parametros_manuales!$H$102+parametros_manuales!$F$44*(datos_base!$I$4+IF(parametros_manuales!$H$44="Todos",datos_base!$I$11,0))*parametros_manuales!$H$107+parametros_manuales!$G$44*(datos_base!$I$5+IF(parametros_manuales!$H$44="Todos",datos_base!$I$12,0))*parametros_manuales!$H$112)*parametros_manuales!$I$44*parametros_manuales!$J$44</f>
        <v>16787.335</v>
      </c>
      <c r="I223" s="8">
        <f>(parametros_manuales!$D$44*(datos_base!$I$2+IF(parametros_manuales!$H$44="Todos",datos_base!$I$9,0))*parametros_manuales!$I$97+parametros_manuales!$E$44*(datos_base!$I$3+IF(parametros_manuales!$H$44="Todos",datos_base!$I$10,0))*parametros_manuales!$I$102+parametros_manuales!$F$44*(datos_base!$I$4+IF(parametros_manuales!$H$44="Todos",datos_base!$I$11,0))*parametros_manuales!$I$107+parametros_manuales!$G$44*(datos_base!$I$5+IF(parametros_manuales!$H$44="Todos",datos_base!$I$12,0))*parametros_manuales!$I$112)*parametros_manuales!$I$44*parametros_manuales!$J$44</f>
        <v>19129.33</v>
      </c>
      <c r="J223" s="8">
        <f>(parametros_manuales!$D$44*(datos_base!$I$2+IF(parametros_manuales!$H$44="Todos",datos_base!$I$9,0))*parametros_manuales!$J$97+parametros_manuales!$E$44*(datos_base!$I$3+IF(parametros_manuales!$H$44="Todos",datos_base!$I$10,0))*parametros_manuales!$J$102+parametros_manuales!$F$44*(datos_base!$I$4+IF(parametros_manuales!$H$44="Todos",datos_base!$I$11,0))*parametros_manuales!$J$107+parametros_manuales!$G$44*(datos_base!$I$5+IF(parametros_manuales!$H$44="Todos",datos_base!$I$12,0))*parametros_manuales!$J$112)*parametros_manuales!$I$44*parametros_manuales!$J$44</f>
        <v>19129.33</v>
      </c>
      <c r="K223" s="8">
        <f>(parametros_manuales!$D$44*(datos_base!$I$2+IF(parametros_manuales!$H$44="Todos",datos_base!$I$9,0))*parametros_manuales!$K$97+parametros_manuales!$E$44*(datos_base!$I$3+IF(parametros_manuales!$H$44="Todos",datos_base!$I$10,0))*parametros_manuales!$K$102+parametros_manuales!$F$44*(datos_base!$I$4+IF(parametros_manuales!$H$44="Todos",datos_base!$I$11,0))*parametros_manuales!$K$107+parametros_manuales!$G$44*(datos_base!$I$5+IF(parametros_manuales!$H$44="Todos",datos_base!$I$12,0))*parametros_manuales!$K$112)*parametros_manuales!$I$44*parametros_manuales!$J$44</f>
        <v>19446.665</v>
      </c>
      <c r="L223" s="8">
        <f>(parametros_manuales!$D$44*(datos_base!$I$2+IF(parametros_manuales!$H$44="Todos",datos_base!$I$9,0))*parametros_manuales!$L$97+parametros_manuales!$E$44*(datos_base!$I$3+IF(parametros_manuales!$H$44="Todos",datos_base!$I$10,0))*parametros_manuales!$L$102+parametros_manuales!$F$44*(datos_base!$I$4+IF(parametros_manuales!$H$44="Todos",datos_base!$I$11,0))*parametros_manuales!$L$107+parametros_manuales!$G$44*(datos_base!$I$5+IF(parametros_manuales!$H$44="Todos",datos_base!$I$12,0))*parametros_manuales!$L$112)*parametros_manuales!$I$44*parametros_manuales!$J$44</f>
        <v>19764</v>
      </c>
      <c r="M223" s="8">
        <f>(parametros_manuales!$D$44*(datos_base!$I$2+IF(parametros_manuales!$H$44="Todos",datos_base!$I$9,0))*parametros_manuales!$M$97+parametros_manuales!$E$44*(datos_base!$I$3+IF(parametros_manuales!$H$44="Todos",datos_base!$I$10,0))*parametros_manuales!$M$102+parametros_manuales!$F$44*(datos_base!$I$4+IF(parametros_manuales!$H$44="Todos",datos_base!$I$11,0))*parametros_manuales!$M$107+parametros_manuales!$G$44*(datos_base!$I$5+IF(parametros_manuales!$H$44="Todos",datos_base!$I$12,0))*parametros_manuales!$M$112)*parametros_manuales!$I$44*parametros_manuales!$J$44</f>
        <v>19764</v>
      </c>
      <c r="N223" s="8">
        <f t="shared" si="22"/>
        <v>219600</v>
      </c>
      <c r="O223" s="8">
        <f t="shared" si="23"/>
        <v>19764</v>
      </c>
      <c r="P223" s="27">
        <f>O223/(parametros_manuales!$B$7)</f>
        <v>131.76</v>
      </c>
      <c r="Q223" s="4" t="str">
        <f t="shared" si="24"/>
        <v>Ene</v>
      </c>
      <c r="R223" s="16"/>
      <c r="S223" s="16"/>
    </row>
    <row r="224" ht="14.2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</row>
    <row r="225" ht="14.25" customHeight="1">
      <c r="A225" s="1" t="s">
        <v>235</v>
      </c>
      <c r="B225" s="1" t="s">
        <v>5</v>
      </c>
      <c r="C225" s="1" t="s">
        <v>6</v>
      </c>
      <c r="D225" s="1" t="s">
        <v>7</v>
      </c>
      <c r="E225" s="1" t="s">
        <v>8</v>
      </c>
      <c r="F225" s="1" t="s">
        <v>9</v>
      </c>
      <c r="G225" s="1" t="s">
        <v>10</v>
      </c>
      <c r="H225" s="1" t="s">
        <v>12</v>
      </c>
      <c r="I225" s="1" t="s">
        <v>13</v>
      </c>
      <c r="J225" s="1" t="s">
        <v>15</v>
      </c>
      <c r="K225" s="1" t="s">
        <v>16</v>
      </c>
      <c r="L225" s="1" t="s">
        <v>17</v>
      </c>
      <c r="M225" s="1" t="s">
        <v>18</v>
      </c>
      <c r="N225" s="1" t="s">
        <v>19</v>
      </c>
      <c r="O225" s="1" t="s">
        <v>20</v>
      </c>
      <c r="P225" s="1" t="s">
        <v>21</v>
      </c>
      <c r="Q225" s="1" t="s">
        <v>22</v>
      </c>
      <c r="R225" s="16"/>
      <c r="S225" s="16"/>
    </row>
    <row r="226" ht="14.25" customHeight="1">
      <c r="A226" s="4" t="str">
        <f>parametros_manuales!$B$19</f>
        <v>Recepción de materia prima</v>
      </c>
      <c r="B226" s="8">
        <f>(parametros_manuales!$D$19*(datos_base!$J$2+IF(parametros_manuales!$H$19="Todos",datos_base!$J$9,0))*parametros_manuales!$B$97+parametros_manuales!$E$19*(datos_base!$J$3+IF(parametros_manuales!$H$19="Todos",datos_base!$J$10,0))*parametros_manuales!$B$102+parametros_manuales!$F$19*(datos_base!$J$4+IF(parametros_manuales!$H$19="Todos",datos_base!$J$11,0))*parametros_manuales!$B$107+parametros_manuales!$G$19*(datos_base!$J$5+IF(parametros_manuales!$H$19="Todos",datos_base!$J$12,0))*parametros_manuales!$B$112)*parametros_manuales!$I$19*parametros_manuales!$J$19</f>
        <v>22297.77</v>
      </c>
      <c r="C226" s="8">
        <f>(parametros_manuales!$D$19*(datos_base!$J$2+IF(parametros_manuales!$H$19="Todos",datos_base!$J$9,0))*parametros_manuales!$C$97+parametros_manuales!$E$19*(datos_base!$J$3+IF(parametros_manuales!$H$19="Todos",datos_base!$J$10,0))*parametros_manuales!$C$102+parametros_manuales!$F$19*(datos_base!$J$4+IF(parametros_manuales!$H$19="Todos",datos_base!$J$11,0))*parametros_manuales!$C$107+parametros_manuales!$G$19*(datos_base!$J$5+IF(parametros_manuales!$H$19="Todos",datos_base!$J$12,0))*parametros_manuales!$C$112)*parametros_manuales!$I$19*parametros_manuales!$J$19</f>
        <v>21574.17</v>
      </c>
      <c r="D226" s="8">
        <f>(parametros_manuales!$D$19*(datos_base!$J$2+IF(parametros_manuales!$H$19="Todos",datos_base!$J$9,0))*parametros_manuales!$D$97+parametros_manuales!$E$19*(datos_base!$J$3+IF(parametros_manuales!$H$19="Todos",datos_base!$J$10,0))*parametros_manuales!$D$102+parametros_manuales!$F$19*(datos_base!$J$4+IF(parametros_manuales!$H$19="Todos",datos_base!$J$11,0))*parametros_manuales!$D$107+parametros_manuales!$G$19*(datos_base!$J$5+IF(parametros_manuales!$H$19="Todos",datos_base!$J$12,0))*parametros_manuales!$D$112)*parametros_manuales!$I$19*parametros_manuales!$J$19</f>
        <v>20182.04</v>
      </c>
      <c r="E226" s="8">
        <f>(parametros_manuales!$D$19*(datos_base!$J$2+IF(parametros_manuales!$H$19="Todos",datos_base!$J$9,0))*parametros_manuales!$E$97+parametros_manuales!$E$19*(datos_base!$J$3+IF(parametros_manuales!$H$19="Todos",datos_base!$J$10,0))*parametros_manuales!$E$102+parametros_manuales!$F$19*(datos_base!$J$4+IF(parametros_manuales!$H$19="Todos",datos_base!$J$11,0))*parametros_manuales!$E$107+parametros_manuales!$G$19*(datos_base!$J$5+IF(parametros_manuales!$H$19="Todos",datos_base!$J$12,0))*parametros_manuales!$E$112)*parametros_manuales!$I$19*parametros_manuales!$J$19</f>
        <v>19305.075</v>
      </c>
      <c r="F226" s="8">
        <f>(parametros_manuales!$D$19*(datos_base!$J$2+IF(parametros_manuales!$H$19="Todos",datos_base!$J$9,0))*parametros_manuales!$F$97+parametros_manuales!$E$19*(datos_base!$J$3+IF(parametros_manuales!$H$19="Todos",datos_base!$J$10,0))*parametros_manuales!$F$102+parametros_manuales!$F$19*(datos_base!$J$4+IF(parametros_manuales!$H$19="Todos",datos_base!$J$11,0))*parametros_manuales!$F$107+parametros_manuales!$G$19*(datos_base!$J$5+IF(parametros_manuales!$H$19="Todos",datos_base!$J$12,0))*parametros_manuales!$F$112)*parametros_manuales!$I$19*parametros_manuales!$J$19</f>
        <v>18066.31</v>
      </c>
      <c r="G226" s="8">
        <f>(parametros_manuales!$D$19*(datos_base!$J$2+IF(parametros_manuales!$H$19="Todos",datos_base!$J$9,0))*parametros_manuales!$G$97+parametros_manuales!$E$19*(datos_base!$J$3+IF(parametros_manuales!$H$19="Todos",datos_base!$J$10,0))*parametros_manuales!$G$102+parametros_manuales!$F$19*(datos_base!$J$4+IF(parametros_manuales!$H$19="Todos",datos_base!$J$11,0))*parametros_manuales!$G$107+parametros_manuales!$G$19*(datos_base!$J$5+IF(parametros_manuales!$H$19="Todos",datos_base!$J$12,0))*parametros_manuales!$G$112)*parametros_manuales!$I$19*parametros_manuales!$J$19</f>
        <v>17704.51</v>
      </c>
      <c r="H226" s="8">
        <f>(parametros_manuales!$D$19*(datos_base!$J$2+IF(parametros_manuales!$H$19="Todos",datos_base!$J$9,0))*parametros_manuales!$H$97+parametros_manuales!$E$19*(datos_base!$J$3+IF(parametros_manuales!$H$19="Todos",datos_base!$J$10,0))*parametros_manuales!$H$102+parametros_manuales!$F$19*(datos_base!$J$4+IF(parametros_manuales!$H$19="Todos",datos_base!$J$11,0))*parametros_manuales!$H$107+parametros_manuales!$G$19*(datos_base!$J$5+IF(parametros_manuales!$H$19="Todos",datos_base!$J$12,0))*parametros_manuales!$H$112)*parametros_manuales!$I$19*parametros_manuales!$J$19</f>
        <v>18943.275</v>
      </c>
      <c r="I226" s="8">
        <f>(parametros_manuales!$D$19*(datos_base!$J$2+IF(parametros_manuales!$H$19="Todos",datos_base!$J$9,0))*parametros_manuales!$I$97+parametros_manuales!$E$19*(datos_base!$J$3+IF(parametros_manuales!$H$19="Todos",datos_base!$J$10,0))*parametros_manuales!$I$102+parametros_manuales!$F$19*(datos_base!$J$4+IF(parametros_manuales!$H$19="Todos",datos_base!$J$11,0))*parametros_manuales!$I$107+parametros_manuales!$G$19*(datos_base!$J$5+IF(parametros_manuales!$H$19="Todos",datos_base!$J$12,0))*parametros_manuales!$I$112)*parametros_manuales!$I$19*parametros_manuales!$J$19</f>
        <v>21574.17</v>
      </c>
      <c r="J226" s="8">
        <f>(parametros_manuales!$D$19*(datos_base!$J$2+IF(parametros_manuales!$H$19="Todos",datos_base!$J$9,0))*parametros_manuales!$J$97+parametros_manuales!$E$19*(datos_base!$J$3+IF(parametros_manuales!$H$19="Todos",datos_base!$J$10,0))*parametros_manuales!$J$102+parametros_manuales!$F$19*(datos_base!$J$4+IF(parametros_manuales!$H$19="Todos",datos_base!$J$11,0))*parametros_manuales!$J$107+parametros_manuales!$G$19*(datos_base!$J$5+IF(parametros_manuales!$H$19="Todos",datos_base!$J$12,0))*parametros_manuales!$J$112)*parametros_manuales!$I$19*parametros_manuales!$J$19</f>
        <v>21574.17</v>
      </c>
      <c r="K226" s="8">
        <f>(parametros_manuales!$D$19*(datos_base!$J$2+IF(parametros_manuales!$H$19="Todos",datos_base!$J$9,0))*parametros_manuales!$K$97+parametros_manuales!$E$19*(datos_base!$J$3+IF(parametros_manuales!$H$19="Todos",datos_base!$J$10,0))*parametros_manuales!$K$102+parametros_manuales!$F$19*(datos_base!$J$4+IF(parametros_manuales!$H$19="Todos",datos_base!$J$11,0))*parametros_manuales!$K$107+parametros_manuales!$G$19*(datos_base!$J$5+IF(parametros_manuales!$H$19="Todos",datos_base!$J$12,0))*parametros_manuales!$K$112)*parametros_manuales!$I$19*parametros_manuales!$J$19</f>
        <v>21935.97</v>
      </c>
      <c r="L226" s="8">
        <f>(parametros_manuales!$D$19*(datos_base!$J$2+IF(parametros_manuales!$H$19="Todos",datos_base!$J$9,0))*parametros_manuales!$L$97+parametros_manuales!$E$19*(datos_base!$J$3+IF(parametros_manuales!$H$19="Todos",datos_base!$J$10,0))*parametros_manuales!$L$102+parametros_manuales!$F$19*(datos_base!$J$4+IF(parametros_manuales!$H$19="Todos",datos_base!$J$11,0))*parametros_manuales!$L$107+parametros_manuales!$G$19*(datos_base!$J$5+IF(parametros_manuales!$H$19="Todos",datos_base!$J$12,0))*parametros_manuales!$L$112)*parametros_manuales!$I$19*parametros_manuales!$J$19</f>
        <v>22297.77</v>
      </c>
      <c r="M226" s="8">
        <f>(parametros_manuales!$D$19*(datos_base!$J$2+IF(parametros_manuales!$H$19="Todos",datos_base!$J$9,0))*parametros_manuales!$M$97+parametros_manuales!$E$19*(datos_base!$J$3+IF(parametros_manuales!$H$19="Todos",datos_base!$J$10,0))*parametros_manuales!$M$102+parametros_manuales!$F$19*(datos_base!$J$4+IF(parametros_manuales!$H$19="Todos",datos_base!$J$11,0))*parametros_manuales!$M$107+parametros_manuales!$G$19*(datos_base!$J$5+IF(parametros_manuales!$H$19="Todos",datos_base!$J$12,0))*parametros_manuales!$M$112)*parametros_manuales!$I$19*parametros_manuales!$J$19</f>
        <v>22297.77</v>
      </c>
      <c r="N226" s="8">
        <f t="shared" ref="N226:N251" si="25">SUM(B226:M226)</f>
        <v>247753</v>
      </c>
      <c r="O226" s="8">
        <f t="shared" ref="O226:O251" si="26">MAX(B226:M226)</f>
        <v>22297.77</v>
      </c>
      <c r="P226" s="27">
        <f>O226/(parametros_manuales!$B$7)</f>
        <v>148.6518</v>
      </c>
      <c r="Q226" s="4" t="str">
        <f t="shared" ref="Q226:Q251" si="27">IF(O226=0,"-",INDEX($B$225:$M$225,MATCH(O226,B226:M226,0)))</f>
        <v>Ene</v>
      </c>
      <c r="R226" s="16"/>
      <c r="S226" s="16"/>
    </row>
    <row r="227" ht="14.25" customHeight="1">
      <c r="A227" s="4" t="str">
        <f>parametros_manuales!$B$20</f>
        <v>Corte de chapa — 1.er corte en franjas (guillotina 1)</v>
      </c>
      <c r="B227" s="8">
        <f>(parametros_manuales!$D$20*(datos_base!$J$2+IF(parametros_manuales!$H$20="Todos",datos_base!$J$9,0))*parametros_manuales!$B$97+parametros_manuales!$E$20*(datos_base!$J$3+IF(parametros_manuales!$H$20="Todos",datos_base!$J$10,0))*parametros_manuales!$B$102+parametros_manuales!$F$20*(datos_base!$J$4+IF(parametros_manuales!$H$20="Todos",datos_base!$J$11,0))*parametros_manuales!$B$107+parametros_manuales!$G$20*(datos_base!$J$5+IF(parametros_manuales!$H$20="Todos",datos_base!$J$12,0))*parametros_manuales!$B$112)*parametros_manuales!$I$20*parametros_manuales!$J$20</f>
        <v>22297.77</v>
      </c>
      <c r="C227" s="8">
        <f>(parametros_manuales!$D$20*(datos_base!$J$2+IF(parametros_manuales!$H$20="Todos",datos_base!$J$9,0))*parametros_manuales!$C$97+parametros_manuales!$E$20*(datos_base!$J$3+IF(parametros_manuales!$H$20="Todos",datos_base!$J$10,0))*parametros_manuales!$C$102+parametros_manuales!$F$20*(datos_base!$J$4+IF(parametros_manuales!$H$20="Todos",datos_base!$J$11,0))*parametros_manuales!$C$107+parametros_manuales!$G$20*(datos_base!$J$5+IF(parametros_manuales!$H$20="Todos",datos_base!$J$12,0))*parametros_manuales!$C$112)*parametros_manuales!$I$20*parametros_manuales!$J$20</f>
        <v>21574.17</v>
      </c>
      <c r="D227" s="8">
        <f>(parametros_manuales!$D$20*(datos_base!$J$2+IF(parametros_manuales!$H$20="Todos",datos_base!$J$9,0))*parametros_manuales!$D$97+parametros_manuales!$E$20*(datos_base!$J$3+IF(parametros_manuales!$H$20="Todos",datos_base!$J$10,0))*parametros_manuales!$D$102+parametros_manuales!$F$20*(datos_base!$J$4+IF(parametros_manuales!$H$20="Todos",datos_base!$J$11,0))*parametros_manuales!$D$107+parametros_manuales!$G$20*(datos_base!$J$5+IF(parametros_manuales!$H$20="Todos",datos_base!$J$12,0))*parametros_manuales!$D$112)*parametros_manuales!$I$20*parametros_manuales!$J$20</f>
        <v>20182.04</v>
      </c>
      <c r="E227" s="8">
        <f>(parametros_manuales!$D$20*(datos_base!$J$2+IF(parametros_manuales!$H$20="Todos",datos_base!$J$9,0))*parametros_manuales!$E$97+parametros_manuales!$E$20*(datos_base!$J$3+IF(parametros_manuales!$H$20="Todos",datos_base!$J$10,0))*parametros_manuales!$E$102+parametros_manuales!$F$20*(datos_base!$J$4+IF(parametros_manuales!$H$20="Todos",datos_base!$J$11,0))*parametros_manuales!$E$107+parametros_manuales!$G$20*(datos_base!$J$5+IF(parametros_manuales!$H$20="Todos",datos_base!$J$12,0))*parametros_manuales!$E$112)*parametros_manuales!$I$20*parametros_manuales!$J$20</f>
        <v>19305.075</v>
      </c>
      <c r="F227" s="8">
        <f>(parametros_manuales!$D$20*(datos_base!$J$2+IF(parametros_manuales!$H$20="Todos",datos_base!$J$9,0))*parametros_manuales!$F$97+parametros_manuales!$E$20*(datos_base!$J$3+IF(parametros_manuales!$H$20="Todos",datos_base!$J$10,0))*parametros_manuales!$F$102+parametros_manuales!$F$20*(datos_base!$J$4+IF(parametros_manuales!$H$20="Todos",datos_base!$J$11,0))*parametros_manuales!$F$107+parametros_manuales!$G$20*(datos_base!$J$5+IF(parametros_manuales!$H$20="Todos",datos_base!$J$12,0))*parametros_manuales!$F$112)*parametros_manuales!$I$20*parametros_manuales!$J$20</f>
        <v>18066.31</v>
      </c>
      <c r="G227" s="8">
        <f>(parametros_manuales!$D$20*(datos_base!$J$2+IF(parametros_manuales!$H$20="Todos",datos_base!$J$9,0))*parametros_manuales!$G$97+parametros_manuales!$E$20*(datos_base!$J$3+IF(parametros_manuales!$H$20="Todos",datos_base!$J$10,0))*parametros_manuales!$G$102+parametros_manuales!$F$20*(datos_base!$J$4+IF(parametros_manuales!$H$20="Todos",datos_base!$J$11,0))*parametros_manuales!$G$107+parametros_manuales!$G$20*(datos_base!$J$5+IF(parametros_manuales!$H$20="Todos",datos_base!$J$12,0))*parametros_manuales!$G$112)*parametros_manuales!$I$20*parametros_manuales!$J$20</f>
        <v>17704.51</v>
      </c>
      <c r="H227" s="8">
        <f>(parametros_manuales!$D$20*(datos_base!$J$2+IF(parametros_manuales!$H$20="Todos",datos_base!$J$9,0))*parametros_manuales!$H$97+parametros_manuales!$E$20*(datos_base!$J$3+IF(parametros_manuales!$H$20="Todos",datos_base!$J$10,0))*parametros_manuales!$H$102+parametros_manuales!$F$20*(datos_base!$J$4+IF(parametros_manuales!$H$20="Todos",datos_base!$J$11,0))*parametros_manuales!$H$107+parametros_manuales!$G$20*(datos_base!$J$5+IF(parametros_manuales!$H$20="Todos",datos_base!$J$12,0))*parametros_manuales!$H$112)*parametros_manuales!$I$20*parametros_manuales!$J$20</f>
        <v>18943.275</v>
      </c>
      <c r="I227" s="8">
        <f>(parametros_manuales!$D$20*(datos_base!$J$2+IF(parametros_manuales!$H$20="Todos",datos_base!$J$9,0))*parametros_manuales!$I$97+parametros_manuales!$E$20*(datos_base!$J$3+IF(parametros_manuales!$H$20="Todos",datos_base!$J$10,0))*parametros_manuales!$I$102+parametros_manuales!$F$20*(datos_base!$J$4+IF(parametros_manuales!$H$20="Todos",datos_base!$J$11,0))*parametros_manuales!$I$107+parametros_manuales!$G$20*(datos_base!$J$5+IF(parametros_manuales!$H$20="Todos",datos_base!$J$12,0))*parametros_manuales!$I$112)*parametros_manuales!$I$20*parametros_manuales!$J$20</f>
        <v>21574.17</v>
      </c>
      <c r="J227" s="8">
        <f>(parametros_manuales!$D$20*(datos_base!$J$2+IF(parametros_manuales!$H$20="Todos",datos_base!$J$9,0))*parametros_manuales!$J$97+parametros_manuales!$E$20*(datos_base!$J$3+IF(parametros_manuales!$H$20="Todos",datos_base!$J$10,0))*parametros_manuales!$J$102+parametros_manuales!$F$20*(datos_base!$J$4+IF(parametros_manuales!$H$20="Todos",datos_base!$J$11,0))*parametros_manuales!$J$107+parametros_manuales!$G$20*(datos_base!$J$5+IF(parametros_manuales!$H$20="Todos",datos_base!$J$12,0))*parametros_manuales!$J$112)*parametros_manuales!$I$20*parametros_manuales!$J$20</f>
        <v>21574.17</v>
      </c>
      <c r="K227" s="8">
        <f>(parametros_manuales!$D$20*(datos_base!$J$2+IF(parametros_manuales!$H$20="Todos",datos_base!$J$9,0))*parametros_manuales!$K$97+parametros_manuales!$E$20*(datos_base!$J$3+IF(parametros_manuales!$H$20="Todos",datos_base!$J$10,0))*parametros_manuales!$K$102+parametros_manuales!$F$20*(datos_base!$J$4+IF(parametros_manuales!$H$20="Todos",datos_base!$J$11,0))*parametros_manuales!$K$107+parametros_manuales!$G$20*(datos_base!$J$5+IF(parametros_manuales!$H$20="Todos",datos_base!$J$12,0))*parametros_manuales!$K$112)*parametros_manuales!$I$20*parametros_manuales!$J$20</f>
        <v>21935.97</v>
      </c>
      <c r="L227" s="8">
        <f>(parametros_manuales!$D$20*(datos_base!$J$2+IF(parametros_manuales!$H$20="Todos",datos_base!$J$9,0))*parametros_manuales!$L$97+parametros_manuales!$E$20*(datos_base!$J$3+IF(parametros_manuales!$H$20="Todos",datos_base!$J$10,0))*parametros_manuales!$L$102+parametros_manuales!$F$20*(datos_base!$J$4+IF(parametros_manuales!$H$20="Todos",datos_base!$J$11,0))*parametros_manuales!$L$107+parametros_manuales!$G$20*(datos_base!$J$5+IF(parametros_manuales!$H$20="Todos",datos_base!$J$12,0))*parametros_manuales!$L$112)*parametros_manuales!$I$20*parametros_manuales!$J$20</f>
        <v>22297.77</v>
      </c>
      <c r="M227" s="8">
        <f>(parametros_manuales!$D$20*(datos_base!$J$2+IF(parametros_manuales!$H$20="Todos",datos_base!$J$9,0))*parametros_manuales!$M$97+parametros_manuales!$E$20*(datos_base!$J$3+IF(parametros_manuales!$H$20="Todos",datos_base!$J$10,0))*parametros_manuales!$M$102+parametros_manuales!$F$20*(datos_base!$J$4+IF(parametros_manuales!$H$20="Todos",datos_base!$J$11,0))*parametros_manuales!$M$107+parametros_manuales!$G$20*(datos_base!$J$5+IF(parametros_manuales!$H$20="Todos",datos_base!$J$12,0))*parametros_manuales!$M$112)*parametros_manuales!$I$20*parametros_manuales!$J$20</f>
        <v>22297.77</v>
      </c>
      <c r="N227" s="8">
        <f t="shared" si="25"/>
        <v>247753</v>
      </c>
      <c r="O227" s="8">
        <f t="shared" si="26"/>
        <v>22297.77</v>
      </c>
      <c r="P227" s="27">
        <f>O227/(parametros_manuales!$B$7)</f>
        <v>148.6518</v>
      </c>
      <c r="Q227" s="4" t="str">
        <f t="shared" si="27"/>
        <v>Ene</v>
      </c>
      <c r="R227" s="16"/>
      <c r="S227" s="16"/>
    </row>
    <row r="228" ht="14.25" customHeight="1">
      <c r="A228" s="4" t="str">
        <f>parametros_manuales!$B$21</f>
        <v>Corte de chapa — 2.º corte en piezas (guillotina 2)</v>
      </c>
      <c r="B228" s="8">
        <f>(parametros_manuales!$D$21*(datos_base!$J$2+IF(parametros_manuales!$H$21="Todos",datos_base!$J$9,0))*parametros_manuales!$B$97+parametros_manuales!$E$21*(datos_base!$J$3+IF(parametros_manuales!$H$21="Todos",datos_base!$J$10,0))*parametros_manuales!$B$102+parametros_manuales!$F$21*(datos_base!$J$4+IF(parametros_manuales!$H$21="Todos",datos_base!$J$11,0))*parametros_manuales!$B$107+parametros_manuales!$G$21*(datos_base!$J$5+IF(parametros_manuales!$H$21="Todos",datos_base!$J$12,0))*parametros_manuales!$B$112)*parametros_manuales!$I$21*parametros_manuales!$J$21</f>
        <v>22297.77</v>
      </c>
      <c r="C228" s="8">
        <f>(parametros_manuales!$D$21*(datos_base!$J$2+IF(parametros_manuales!$H$21="Todos",datos_base!$J$9,0))*parametros_manuales!$C$97+parametros_manuales!$E$21*(datos_base!$J$3+IF(parametros_manuales!$H$21="Todos",datos_base!$J$10,0))*parametros_manuales!$C$102+parametros_manuales!$F$21*(datos_base!$J$4+IF(parametros_manuales!$H$21="Todos",datos_base!$J$11,0))*parametros_manuales!$C$107+parametros_manuales!$G$21*(datos_base!$J$5+IF(parametros_manuales!$H$21="Todos",datos_base!$J$12,0))*parametros_manuales!$C$112)*parametros_manuales!$I$21*parametros_manuales!$J$21</f>
        <v>21574.17</v>
      </c>
      <c r="D228" s="8">
        <f>(parametros_manuales!$D$21*(datos_base!$J$2+IF(parametros_manuales!$H$21="Todos",datos_base!$J$9,0))*parametros_manuales!$D$97+parametros_manuales!$E$21*(datos_base!$J$3+IF(parametros_manuales!$H$21="Todos",datos_base!$J$10,0))*parametros_manuales!$D$102+parametros_manuales!$F$21*(datos_base!$J$4+IF(parametros_manuales!$H$21="Todos",datos_base!$J$11,0))*parametros_manuales!$D$107+parametros_manuales!$G$21*(datos_base!$J$5+IF(parametros_manuales!$H$21="Todos",datos_base!$J$12,0))*parametros_manuales!$D$112)*parametros_manuales!$I$21*parametros_manuales!$J$21</f>
        <v>20182.04</v>
      </c>
      <c r="E228" s="8">
        <f>(parametros_manuales!$D$21*(datos_base!$J$2+IF(parametros_manuales!$H$21="Todos",datos_base!$J$9,0))*parametros_manuales!$E$97+parametros_manuales!$E$21*(datos_base!$J$3+IF(parametros_manuales!$H$21="Todos",datos_base!$J$10,0))*parametros_manuales!$E$102+parametros_manuales!$F$21*(datos_base!$J$4+IF(parametros_manuales!$H$21="Todos",datos_base!$J$11,0))*parametros_manuales!$E$107+parametros_manuales!$G$21*(datos_base!$J$5+IF(parametros_manuales!$H$21="Todos",datos_base!$J$12,0))*parametros_manuales!$E$112)*parametros_manuales!$I$21*parametros_manuales!$J$21</f>
        <v>19305.075</v>
      </c>
      <c r="F228" s="8">
        <f>(parametros_manuales!$D$21*(datos_base!$J$2+IF(parametros_manuales!$H$21="Todos",datos_base!$J$9,0))*parametros_manuales!$F$97+parametros_manuales!$E$21*(datos_base!$J$3+IF(parametros_manuales!$H$21="Todos",datos_base!$J$10,0))*parametros_manuales!$F$102+parametros_manuales!$F$21*(datos_base!$J$4+IF(parametros_manuales!$H$21="Todos",datos_base!$J$11,0))*parametros_manuales!$F$107+parametros_manuales!$G$21*(datos_base!$J$5+IF(parametros_manuales!$H$21="Todos",datos_base!$J$12,0))*parametros_manuales!$F$112)*parametros_manuales!$I$21*parametros_manuales!$J$21</f>
        <v>18066.31</v>
      </c>
      <c r="G228" s="8">
        <f>(parametros_manuales!$D$21*(datos_base!$J$2+IF(parametros_manuales!$H$21="Todos",datos_base!$J$9,0))*parametros_manuales!$G$97+parametros_manuales!$E$21*(datos_base!$J$3+IF(parametros_manuales!$H$21="Todos",datos_base!$J$10,0))*parametros_manuales!$G$102+parametros_manuales!$F$21*(datos_base!$J$4+IF(parametros_manuales!$H$21="Todos",datos_base!$J$11,0))*parametros_manuales!$G$107+parametros_manuales!$G$21*(datos_base!$J$5+IF(parametros_manuales!$H$21="Todos",datos_base!$J$12,0))*parametros_manuales!$G$112)*parametros_manuales!$I$21*parametros_manuales!$J$21</f>
        <v>17704.51</v>
      </c>
      <c r="H228" s="8">
        <f>(parametros_manuales!$D$21*(datos_base!$J$2+IF(parametros_manuales!$H$21="Todos",datos_base!$J$9,0))*parametros_manuales!$H$97+parametros_manuales!$E$21*(datos_base!$J$3+IF(parametros_manuales!$H$21="Todos",datos_base!$J$10,0))*parametros_manuales!$H$102+parametros_manuales!$F$21*(datos_base!$J$4+IF(parametros_manuales!$H$21="Todos",datos_base!$J$11,0))*parametros_manuales!$H$107+parametros_manuales!$G$21*(datos_base!$J$5+IF(parametros_manuales!$H$21="Todos",datos_base!$J$12,0))*parametros_manuales!$H$112)*parametros_manuales!$I$21*parametros_manuales!$J$21</f>
        <v>18943.275</v>
      </c>
      <c r="I228" s="8">
        <f>(parametros_manuales!$D$21*(datos_base!$J$2+IF(parametros_manuales!$H$21="Todos",datos_base!$J$9,0))*parametros_manuales!$I$97+parametros_manuales!$E$21*(datos_base!$J$3+IF(parametros_manuales!$H$21="Todos",datos_base!$J$10,0))*parametros_manuales!$I$102+parametros_manuales!$F$21*(datos_base!$J$4+IF(parametros_manuales!$H$21="Todos",datos_base!$J$11,0))*parametros_manuales!$I$107+parametros_manuales!$G$21*(datos_base!$J$5+IF(parametros_manuales!$H$21="Todos",datos_base!$J$12,0))*parametros_manuales!$I$112)*parametros_manuales!$I$21*parametros_manuales!$J$21</f>
        <v>21574.17</v>
      </c>
      <c r="J228" s="8">
        <f>(parametros_manuales!$D$21*(datos_base!$J$2+IF(parametros_manuales!$H$21="Todos",datos_base!$J$9,0))*parametros_manuales!$J$97+parametros_manuales!$E$21*(datos_base!$J$3+IF(parametros_manuales!$H$21="Todos",datos_base!$J$10,0))*parametros_manuales!$J$102+parametros_manuales!$F$21*(datos_base!$J$4+IF(parametros_manuales!$H$21="Todos",datos_base!$J$11,0))*parametros_manuales!$J$107+parametros_manuales!$G$21*(datos_base!$J$5+IF(parametros_manuales!$H$21="Todos",datos_base!$J$12,0))*parametros_manuales!$J$112)*parametros_manuales!$I$21*parametros_manuales!$J$21</f>
        <v>21574.17</v>
      </c>
      <c r="K228" s="8">
        <f>(parametros_manuales!$D$21*(datos_base!$J$2+IF(parametros_manuales!$H$21="Todos",datos_base!$J$9,0))*parametros_manuales!$K$97+parametros_manuales!$E$21*(datos_base!$J$3+IF(parametros_manuales!$H$21="Todos",datos_base!$J$10,0))*parametros_manuales!$K$102+parametros_manuales!$F$21*(datos_base!$J$4+IF(parametros_manuales!$H$21="Todos",datos_base!$J$11,0))*parametros_manuales!$K$107+parametros_manuales!$G$21*(datos_base!$J$5+IF(parametros_manuales!$H$21="Todos",datos_base!$J$12,0))*parametros_manuales!$K$112)*parametros_manuales!$I$21*parametros_manuales!$J$21</f>
        <v>21935.97</v>
      </c>
      <c r="L228" s="8">
        <f>(parametros_manuales!$D$21*(datos_base!$J$2+IF(parametros_manuales!$H$21="Todos",datos_base!$J$9,0))*parametros_manuales!$L$97+parametros_manuales!$E$21*(datos_base!$J$3+IF(parametros_manuales!$H$21="Todos",datos_base!$J$10,0))*parametros_manuales!$L$102+parametros_manuales!$F$21*(datos_base!$J$4+IF(parametros_manuales!$H$21="Todos",datos_base!$J$11,0))*parametros_manuales!$L$107+parametros_manuales!$G$21*(datos_base!$J$5+IF(parametros_manuales!$H$21="Todos",datos_base!$J$12,0))*parametros_manuales!$L$112)*parametros_manuales!$I$21*parametros_manuales!$J$21</f>
        <v>22297.77</v>
      </c>
      <c r="M228" s="8">
        <f>(parametros_manuales!$D$21*(datos_base!$J$2+IF(parametros_manuales!$H$21="Todos",datos_base!$J$9,0))*parametros_manuales!$M$97+parametros_manuales!$E$21*(datos_base!$J$3+IF(parametros_manuales!$H$21="Todos",datos_base!$J$10,0))*parametros_manuales!$M$102+parametros_manuales!$F$21*(datos_base!$J$4+IF(parametros_manuales!$H$21="Todos",datos_base!$J$11,0))*parametros_manuales!$M$107+parametros_manuales!$G$21*(datos_base!$J$5+IF(parametros_manuales!$H$21="Todos",datos_base!$J$12,0))*parametros_manuales!$M$112)*parametros_manuales!$I$21*parametros_manuales!$J$21</f>
        <v>22297.77</v>
      </c>
      <c r="N228" s="8">
        <f t="shared" si="25"/>
        <v>247753</v>
      </c>
      <c r="O228" s="8">
        <f t="shared" si="26"/>
        <v>22297.77</v>
      </c>
      <c r="P228" s="27">
        <f>O228/(parametros_manuales!$B$7)</f>
        <v>148.6518</v>
      </c>
      <c r="Q228" s="4" t="str">
        <f t="shared" si="27"/>
        <v>Ene</v>
      </c>
      <c r="R228" s="16"/>
      <c r="S228" s="16"/>
    </row>
    <row r="229" ht="14.25" customHeight="1">
      <c r="A229" s="4" t="str">
        <f>parametros_manuales!$B$22</f>
        <v>Corte de disco y embutido (cúpula y fondo)</v>
      </c>
      <c r="B229" s="8">
        <f>(parametros_manuales!$D$22*(datos_base!$J$2+IF(parametros_manuales!$H$22="Todos",datos_base!$J$9,0))*parametros_manuales!$B$97+parametros_manuales!$E$22*(datos_base!$J$3+IF(parametros_manuales!$H$22="Todos",datos_base!$J$10,0))*parametros_manuales!$B$102+parametros_manuales!$F$22*(datos_base!$J$4+IF(parametros_manuales!$H$22="Todos",datos_base!$J$11,0))*parametros_manuales!$B$107+parametros_manuales!$G$22*(datos_base!$J$5+IF(parametros_manuales!$H$22="Todos",datos_base!$J$12,0))*parametros_manuales!$B$112)*parametros_manuales!$I$22*parametros_manuales!$J$22</f>
        <v>44595.54</v>
      </c>
      <c r="C229" s="8">
        <f>(parametros_manuales!$D$22*(datos_base!$J$2+IF(parametros_manuales!$H$22="Todos",datos_base!$J$9,0))*parametros_manuales!$C$97+parametros_manuales!$E$22*(datos_base!$J$3+IF(parametros_manuales!$H$22="Todos",datos_base!$J$10,0))*parametros_manuales!$C$102+parametros_manuales!$F$22*(datos_base!$J$4+IF(parametros_manuales!$H$22="Todos",datos_base!$J$11,0))*parametros_manuales!$C$107+parametros_manuales!$G$22*(datos_base!$J$5+IF(parametros_manuales!$H$22="Todos",datos_base!$J$12,0))*parametros_manuales!$C$112)*parametros_manuales!$I$22*parametros_manuales!$J$22</f>
        <v>43148.34</v>
      </c>
      <c r="D229" s="8">
        <f>(parametros_manuales!$D$22*(datos_base!$J$2+IF(parametros_manuales!$H$22="Todos",datos_base!$J$9,0))*parametros_manuales!$D$97+parametros_manuales!$E$22*(datos_base!$J$3+IF(parametros_manuales!$H$22="Todos",datos_base!$J$10,0))*parametros_manuales!$D$102+parametros_manuales!$F$22*(datos_base!$J$4+IF(parametros_manuales!$H$22="Todos",datos_base!$J$11,0))*parametros_manuales!$D$107+parametros_manuales!$G$22*(datos_base!$J$5+IF(parametros_manuales!$H$22="Todos",datos_base!$J$12,0))*parametros_manuales!$D$112)*parametros_manuales!$I$22*parametros_manuales!$J$22</f>
        <v>40364.08</v>
      </c>
      <c r="E229" s="8">
        <f>(parametros_manuales!$D$22*(datos_base!$J$2+IF(parametros_manuales!$H$22="Todos",datos_base!$J$9,0))*parametros_manuales!$E$97+parametros_manuales!$E$22*(datos_base!$J$3+IF(parametros_manuales!$H$22="Todos",datos_base!$J$10,0))*parametros_manuales!$E$102+parametros_manuales!$F$22*(datos_base!$J$4+IF(parametros_manuales!$H$22="Todos",datos_base!$J$11,0))*parametros_manuales!$E$107+parametros_manuales!$G$22*(datos_base!$J$5+IF(parametros_manuales!$H$22="Todos",datos_base!$J$12,0))*parametros_manuales!$E$112)*parametros_manuales!$I$22*parametros_manuales!$J$22</f>
        <v>38610.15</v>
      </c>
      <c r="F229" s="8">
        <f>(parametros_manuales!$D$22*(datos_base!$J$2+IF(parametros_manuales!$H$22="Todos",datos_base!$J$9,0))*parametros_manuales!$F$97+parametros_manuales!$E$22*(datos_base!$J$3+IF(parametros_manuales!$H$22="Todos",datos_base!$J$10,0))*parametros_manuales!$F$102+parametros_manuales!$F$22*(datos_base!$J$4+IF(parametros_manuales!$H$22="Todos",datos_base!$J$11,0))*parametros_manuales!$F$107+parametros_manuales!$G$22*(datos_base!$J$5+IF(parametros_manuales!$H$22="Todos",datos_base!$J$12,0))*parametros_manuales!$F$112)*parametros_manuales!$I$22*parametros_manuales!$J$22</f>
        <v>36132.62</v>
      </c>
      <c r="G229" s="8">
        <f>(parametros_manuales!$D$22*(datos_base!$J$2+IF(parametros_manuales!$H$22="Todos",datos_base!$J$9,0))*parametros_manuales!$G$97+parametros_manuales!$E$22*(datos_base!$J$3+IF(parametros_manuales!$H$22="Todos",datos_base!$J$10,0))*parametros_manuales!$G$102+parametros_manuales!$F$22*(datos_base!$J$4+IF(parametros_manuales!$H$22="Todos",datos_base!$J$11,0))*parametros_manuales!$G$107+parametros_manuales!$G$22*(datos_base!$J$5+IF(parametros_manuales!$H$22="Todos",datos_base!$J$12,0))*parametros_manuales!$G$112)*parametros_manuales!$I$22*parametros_manuales!$J$22</f>
        <v>35409.02</v>
      </c>
      <c r="H229" s="8">
        <f>(parametros_manuales!$D$22*(datos_base!$J$2+IF(parametros_manuales!$H$22="Todos",datos_base!$J$9,0))*parametros_manuales!$H$97+parametros_manuales!$E$22*(datos_base!$J$3+IF(parametros_manuales!$H$22="Todos",datos_base!$J$10,0))*parametros_manuales!$H$102+parametros_manuales!$F$22*(datos_base!$J$4+IF(parametros_manuales!$H$22="Todos",datos_base!$J$11,0))*parametros_manuales!$H$107+parametros_manuales!$G$22*(datos_base!$J$5+IF(parametros_manuales!$H$22="Todos",datos_base!$J$12,0))*parametros_manuales!$H$112)*parametros_manuales!$I$22*parametros_manuales!$J$22</f>
        <v>37886.55</v>
      </c>
      <c r="I229" s="8">
        <f>(parametros_manuales!$D$22*(datos_base!$J$2+IF(parametros_manuales!$H$22="Todos",datos_base!$J$9,0))*parametros_manuales!$I$97+parametros_manuales!$E$22*(datos_base!$J$3+IF(parametros_manuales!$H$22="Todos",datos_base!$J$10,0))*parametros_manuales!$I$102+parametros_manuales!$F$22*(datos_base!$J$4+IF(parametros_manuales!$H$22="Todos",datos_base!$J$11,0))*parametros_manuales!$I$107+parametros_manuales!$G$22*(datos_base!$J$5+IF(parametros_manuales!$H$22="Todos",datos_base!$J$12,0))*parametros_manuales!$I$112)*parametros_manuales!$I$22*parametros_manuales!$J$22</f>
        <v>43148.34</v>
      </c>
      <c r="J229" s="8">
        <f>(parametros_manuales!$D$22*(datos_base!$J$2+IF(parametros_manuales!$H$22="Todos",datos_base!$J$9,0))*parametros_manuales!$J$97+parametros_manuales!$E$22*(datos_base!$J$3+IF(parametros_manuales!$H$22="Todos",datos_base!$J$10,0))*parametros_manuales!$J$102+parametros_manuales!$F$22*(datos_base!$J$4+IF(parametros_manuales!$H$22="Todos",datos_base!$J$11,0))*parametros_manuales!$J$107+parametros_manuales!$G$22*(datos_base!$J$5+IF(parametros_manuales!$H$22="Todos",datos_base!$J$12,0))*parametros_manuales!$J$112)*parametros_manuales!$I$22*parametros_manuales!$J$22</f>
        <v>43148.34</v>
      </c>
      <c r="K229" s="8">
        <f>(parametros_manuales!$D$22*(datos_base!$J$2+IF(parametros_manuales!$H$22="Todos",datos_base!$J$9,0))*parametros_manuales!$K$97+parametros_manuales!$E$22*(datos_base!$J$3+IF(parametros_manuales!$H$22="Todos",datos_base!$J$10,0))*parametros_manuales!$K$102+parametros_manuales!$F$22*(datos_base!$J$4+IF(parametros_manuales!$H$22="Todos",datos_base!$J$11,0))*parametros_manuales!$K$107+parametros_manuales!$G$22*(datos_base!$J$5+IF(parametros_manuales!$H$22="Todos",datos_base!$J$12,0))*parametros_manuales!$K$112)*parametros_manuales!$I$22*parametros_manuales!$J$22</f>
        <v>43871.94</v>
      </c>
      <c r="L229" s="8">
        <f>(parametros_manuales!$D$22*(datos_base!$J$2+IF(parametros_manuales!$H$22="Todos",datos_base!$J$9,0))*parametros_manuales!$L$97+parametros_manuales!$E$22*(datos_base!$J$3+IF(parametros_manuales!$H$22="Todos",datos_base!$J$10,0))*parametros_manuales!$L$102+parametros_manuales!$F$22*(datos_base!$J$4+IF(parametros_manuales!$H$22="Todos",datos_base!$J$11,0))*parametros_manuales!$L$107+parametros_manuales!$G$22*(datos_base!$J$5+IF(parametros_manuales!$H$22="Todos",datos_base!$J$12,0))*parametros_manuales!$L$112)*parametros_manuales!$I$22*parametros_manuales!$J$22</f>
        <v>44595.54</v>
      </c>
      <c r="M229" s="8">
        <f>(parametros_manuales!$D$22*(datos_base!$J$2+IF(parametros_manuales!$H$22="Todos",datos_base!$J$9,0))*parametros_manuales!$M$97+parametros_manuales!$E$22*(datos_base!$J$3+IF(parametros_manuales!$H$22="Todos",datos_base!$J$10,0))*parametros_manuales!$M$102+parametros_manuales!$F$22*(datos_base!$J$4+IF(parametros_manuales!$H$22="Todos",datos_base!$J$11,0))*parametros_manuales!$M$107+parametros_manuales!$G$22*(datos_base!$J$5+IF(parametros_manuales!$H$22="Todos",datos_base!$J$12,0))*parametros_manuales!$M$112)*parametros_manuales!$I$22*parametros_manuales!$J$22</f>
        <v>44595.54</v>
      </c>
      <c r="N229" s="8">
        <f t="shared" si="25"/>
        <v>495506</v>
      </c>
      <c r="O229" s="8">
        <f t="shared" si="26"/>
        <v>44595.54</v>
      </c>
      <c r="P229" s="27">
        <f>O229/(parametros_manuales!$B$7)</f>
        <v>297.3036</v>
      </c>
      <c r="Q229" s="4" t="str">
        <f t="shared" si="27"/>
        <v>Ene</v>
      </c>
      <c r="R229" s="16"/>
      <c r="S229" s="16"/>
    </row>
    <row r="230" ht="14.25" customHeight="1">
      <c r="A230" s="4" t="str">
        <f>parametros_manuales!$B$23</f>
        <v>Preparación de cuello</v>
      </c>
      <c r="B230" s="8">
        <f>(parametros_manuales!$D$23*(datos_base!$J$2+IF(parametros_manuales!$H$23="Todos",datos_base!$J$9,0))*parametros_manuales!$B$97+parametros_manuales!$E$23*(datos_base!$J$3+IF(parametros_manuales!$H$23="Todos",datos_base!$J$10,0))*parametros_manuales!$B$102+parametros_manuales!$F$23*(datos_base!$J$4+IF(parametros_manuales!$H$23="Todos",datos_base!$J$11,0))*parametros_manuales!$B$107+parametros_manuales!$G$23*(datos_base!$J$5+IF(parametros_manuales!$H$23="Todos",datos_base!$J$12,0))*parametros_manuales!$B$112)*parametros_manuales!$I$23*parametros_manuales!$J$23</f>
        <v>22297.77</v>
      </c>
      <c r="C230" s="8">
        <f>(parametros_manuales!$D$23*(datos_base!$J$2+IF(parametros_manuales!$H$23="Todos",datos_base!$J$9,0))*parametros_manuales!$C$97+parametros_manuales!$E$23*(datos_base!$J$3+IF(parametros_manuales!$H$23="Todos",datos_base!$J$10,0))*parametros_manuales!$C$102+parametros_manuales!$F$23*(datos_base!$J$4+IF(parametros_manuales!$H$23="Todos",datos_base!$J$11,0))*parametros_manuales!$C$107+parametros_manuales!$G$23*(datos_base!$J$5+IF(parametros_manuales!$H$23="Todos",datos_base!$J$12,0))*parametros_manuales!$C$112)*parametros_manuales!$I$23*parametros_manuales!$J$23</f>
        <v>21574.17</v>
      </c>
      <c r="D230" s="8">
        <f>(parametros_manuales!$D$23*(datos_base!$J$2+IF(parametros_manuales!$H$23="Todos",datos_base!$J$9,0))*parametros_manuales!$D$97+parametros_manuales!$E$23*(datos_base!$J$3+IF(parametros_manuales!$H$23="Todos",datos_base!$J$10,0))*parametros_manuales!$D$102+parametros_manuales!$F$23*(datos_base!$J$4+IF(parametros_manuales!$H$23="Todos",datos_base!$J$11,0))*parametros_manuales!$D$107+parametros_manuales!$G$23*(datos_base!$J$5+IF(parametros_manuales!$H$23="Todos",datos_base!$J$12,0))*parametros_manuales!$D$112)*parametros_manuales!$I$23*parametros_manuales!$J$23</f>
        <v>20182.04</v>
      </c>
      <c r="E230" s="8">
        <f>(parametros_manuales!$D$23*(datos_base!$J$2+IF(parametros_manuales!$H$23="Todos",datos_base!$J$9,0))*parametros_manuales!$E$97+parametros_manuales!$E$23*(datos_base!$J$3+IF(parametros_manuales!$H$23="Todos",datos_base!$J$10,0))*parametros_manuales!$E$102+parametros_manuales!$F$23*(datos_base!$J$4+IF(parametros_manuales!$H$23="Todos",datos_base!$J$11,0))*parametros_manuales!$E$107+parametros_manuales!$G$23*(datos_base!$J$5+IF(parametros_manuales!$H$23="Todos",datos_base!$J$12,0))*parametros_manuales!$E$112)*parametros_manuales!$I$23*parametros_manuales!$J$23</f>
        <v>19305.075</v>
      </c>
      <c r="F230" s="8">
        <f>(parametros_manuales!$D$23*(datos_base!$J$2+IF(parametros_manuales!$H$23="Todos",datos_base!$J$9,0))*parametros_manuales!$F$97+parametros_manuales!$E$23*(datos_base!$J$3+IF(parametros_manuales!$H$23="Todos",datos_base!$J$10,0))*parametros_manuales!$F$102+parametros_manuales!$F$23*(datos_base!$J$4+IF(parametros_manuales!$H$23="Todos",datos_base!$J$11,0))*parametros_manuales!$F$107+parametros_manuales!$G$23*(datos_base!$J$5+IF(parametros_manuales!$H$23="Todos",datos_base!$J$12,0))*parametros_manuales!$F$112)*parametros_manuales!$I$23*parametros_manuales!$J$23</f>
        <v>18066.31</v>
      </c>
      <c r="G230" s="8">
        <f>(parametros_manuales!$D$23*(datos_base!$J$2+IF(parametros_manuales!$H$23="Todos",datos_base!$J$9,0))*parametros_manuales!$G$97+parametros_manuales!$E$23*(datos_base!$J$3+IF(parametros_manuales!$H$23="Todos",datos_base!$J$10,0))*parametros_manuales!$G$102+parametros_manuales!$F$23*(datos_base!$J$4+IF(parametros_manuales!$H$23="Todos",datos_base!$J$11,0))*parametros_manuales!$G$107+parametros_manuales!$G$23*(datos_base!$J$5+IF(parametros_manuales!$H$23="Todos",datos_base!$J$12,0))*parametros_manuales!$G$112)*parametros_manuales!$I$23*parametros_manuales!$J$23</f>
        <v>17704.51</v>
      </c>
      <c r="H230" s="8">
        <f>(parametros_manuales!$D$23*(datos_base!$J$2+IF(parametros_manuales!$H$23="Todos",datos_base!$J$9,0))*parametros_manuales!$H$97+parametros_manuales!$E$23*(datos_base!$J$3+IF(parametros_manuales!$H$23="Todos",datos_base!$J$10,0))*parametros_manuales!$H$102+parametros_manuales!$F$23*(datos_base!$J$4+IF(parametros_manuales!$H$23="Todos",datos_base!$J$11,0))*parametros_manuales!$H$107+parametros_manuales!$G$23*(datos_base!$J$5+IF(parametros_manuales!$H$23="Todos",datos_base!$J$12,0))*parametros_manuales!$H$112)*parametros_manuales!$I$23*parametros_manuales!$J$23</f>
        <v>18943.275</v>
      </c>
      <c r="I230" s="8">
        <f>(parametros_manuales!$D$23*(datos_base!$J$2+IF(parametros_manuales!$H$23="Todos",datos_base!$J$9,0))*parametros_manuales!$I$97+parametros_manuales!$E$23*(datos_base!$J$3+IF(parametros_manuales!$H$23="Todos",datos_base!$J$10,0))*parametros_manuales!$I$102+parametros_manuales!$F$23*(datos_base!$J$4+IF(parametros_manuales!$H$23="Todos",datos_base!$J$11,0))*parametros_manuales!$I$107+parametros_manuales!$G$23*(datos_base!$J$5+IF(parametros_manuales!$H$23="Todos",datos_base!$J$12,0))*parametros_manuales!$I$112)*parametros_manuales!$I$23*parametros_manuales!$J$23</f>
        <v>21574.17</v>
      </c>
      <c r="J230" s="8">
        <f>(parametros_manuales!$D$23*(datos_base!$J$2+IF(parametros_manuales!$H$23="Todos",datos_base!$J$9,0))*parametros_manuales!$J$97+parametros_manuales!$E$23*(datos_base!$J$3+IF(parametros_manuales!$H$23="Todos",datos_base!$J$10,0))*parametros_manuales!$J$102+parametros_manuales!$F$23*(datos_base!$J$4+IF(parametros_manuales!$H$23="Todos",datos_base!$J$11,0))*parametros_manuales!$J$107+parametros_manuales!$G$23*(datos_base!$J$5+IF(parametros_manuales!$H$23="Todos",datos_base!$J$12,0))*parametros_manuales!$J$112)*parametros_manuales!$I$23*parametros_manuales!$J$23</f>
        <v>21574.17</v>
      </c>
      <c r="K230" s="8">
        <f>(parametros_manuales!$D$23*(datos_base!$J$2+IF(parametros_manuales!$H$23="Todos",datos_base!$J$9,0))*parametros_manuales!$K$97+parametros_manuales!$E$23*(datos_base!$J$3+IF(parametros_manuales!$H$23="Todos",datos_base!$J$10,0))*parametros_manuales!$K$102+parametros_manuales!$F$23*(datos_base!$J$4+IF(parametros_manuales!$H$23="Todos",datos_base!$J$11,0))*parametros_manuales!$K$107+parametros_manuales!$G$23*(datos_base!$J$5+IF(parametros_manuales!$H$23="Todos",datos_base!$J$12,0))*parametros_manuales!$K$112)*parametros_manuales!$I$23*parametros_manuales!$J$23</f>
        <v>21935.97</v>
      </c>
      <c r="L230" s="8">
        <f>(parametros_manuales!$D$23*(datos_base!$J$2+IF(parametros_manuales!$H$23="Todos",datos_base!$J$9,0))*parametros_manuales!$L$97+parametros_manuales!$E$23*(datos_base!$J$3+IF(parametros_manuales!$H$23="Todos",datos_base!$J$10,0))*parametros_manuales!$L$102+parametros_manuales!$F$23*(datos_base!$J$4+IF(parametros_manuales!$H$23="Todos",datos_base!$J$11,0))*parametros_manuales!$L$107+parametros_manuales!$G$23*(datos_base!$J$5+IF(parametros_manuales!$H$23="Todos",datos_base!$J$12,0))*parametros_manuales!$L$112)*parametros_manuales!$I$23*parametros_manuales!$J$23</f>
        <v>22297.77</v>
      </c>
      <c r="M230" s="8">
        <f>(parametros_manuales!$D$23*(datos_base!$J$2+IF(parametros_manuales!$H$23="Todos",datos_base!$J$9,0))*parametros_manuales!$M$97+parametros_manuales!$E$23*(datos_base!$J$3+IF(parametros_manuales!$H$23="Todos",datos_base!$J$10,0))*parametros_manuales!$M$102+parametros_manuales!$F$23*(datos_base!$J$4+IF(parametros_manuales!$H$23="Todos",datos_base!$J$11,0))*parametros_manuales!$M$107+parametros_manuales!$G$23*(datos_base!$J$5+IF(parametros_manuales!$H$23="Todos",datos_base!$J$12,0))*parametros_manuales!$M$112)*parametros_manuales!$I$23*parametros_manuales!$J$23</f>
        <v>22297.77</v>
      </c>
      <c r="N230" s="8">
        <f t="shared" si="25"/>
        <v>247753</v>
      </c>
      <c r="O230" s="8">
        <f t="shared" si="26"/>
        <v>22297.77</v>
      </c>
      <c r="P230" s="27">
        <f>O230/(parametros_manuales!$B$7)</f>
        <v>148.6518</v>
      </c>
      <c r="Q230" s="4" t="str">
        <f t="shared" si="27"/>
        <v>Ene</v>
      </c>
      <c r="R230" s="16"/>
      <c r="S230" s="16"/>
    </row>
    <row r="231" ht="14.25" customHeight="1">
      <c r="A231" s="4" t="str">
        <f>parametros_manuales!$B$24</f>
        <v>Numerado de cúpula</v>
      </c>
      <c r="B231" s="8">
        <f>(parametros_manuales!$D$24*(datos_base!$J$2+IF(parametros_manuales!$H$24="Todos",datos_base!$J$9,0))*parametros_manuales!$B$97+parametros_manuales!$E$24*(datos_base!$J$3+IF(parametros_manuales!$H$24="Todos",datos_base!$J$10,0))*parametros_manuales!$B$102+parametros_manuales!$F$24*(datos_base!$J$4+IF(parametros_manuales!$H$24="Todos",datos_base!$J$11,0))*parametros_manuales!$B$107+parametros_manuales!$G$24*(datos_base!$J$5+IF(parametros_manuales!$H$24="Todos",datos_base!$J$12,0))*parametros_manuales!$B$112)*parametros_manuales!$I$24*parametros_manuales!$J$24</f>
        <v>22297.77</v>
      </c>
      <c r="C231" s="8">
        <f>(parametros_manuales!$D$24*(datos_base!$J$2+IF(parametros_manuales!$H$24="Todos",datos_base!$J$9,0))*parametros_manuales!$C$97+parametros_manuales!$E$24*(datos_base!$J$3+IF(parametros_manuales!$H$24="Todos",datos_base!$J$10,0))*parametros_manuales!$C$102+parametros_manuales!$F$24*(datos_base!$J$4+IF(parametros_manuales!$H$24="Todos",datos_base!$J$11,0))*parametros_manuales!$C$107+parametros_manuales!$G$24*(datos_base!$J$5+IF(parametros_manuales!$H$24="Todos",datos_base!$J$12,0))*parametros_manuales!$C$112)*parametros_manuales!$I$24*parametros_manuales!$J$24</f>
        <v>21574.17</v>
      </c>
      <c r="D231" s="8">
        <f>(parametros_manuales!$D$24*(datos_base!$J$2+IF(parametros_manuales!$H$24="Todos",datos_base!$J$9,0))*parametros_manuales!$D$97+parametros_manuales!$E$24*(datos_base!$J$3+IF(parametros_manuales!$H$24="Todos",datos_base!$J$10,0))*parametros_manuales!$D$102+parametros_manuales!$F$24*(datos_base!$J$4+IF(parametros_manuales!$H$24="Todos",datos_base!$J$11,0))*parametros_manuales!$D$107+parametros_manuales!$G$24*(datos_base!$J$5+IF(parametros_manuales!$H$24="Todos",datos_base!$J$12,0))*parametros_manuales!$D$112)*parametros_manuales!$I$24*parametros_manuales!$J$24</f>
        <v>20182.04</v>
      </c>
      <c r="E231" s="8">
        <f>(parametros_manuales!$D$24*(datos_base!$J$2+IF(parametros_manuales!$H$24="Todos",datos_base!$J$9,0))*parametros_manuales!$E$97+parametros_manuales!$E$24*(datos_base!$J$3+IF(parametros_manuales!$H$24="Todos",datos_base!$J$10,0))*parametros_manuales!$E$102+parametros_manuales!$F$24*(datos_base!$J$4+IF(parametros_manuales!$H$24="Todos",datos_base!$J$11,0))*parametros_manuales!$E$107+parametros_manuales!$G$24*(datos_base!$J$5+IF(parametros_manuales!$H$24="Todos",datos_base!$J$12,0))*parametros_manuales!$E$112)*parametros_manuales!$I$24*parametros_manuales!$J$24</f>
        <v>19305.075</v>
      </c>
      <c r="F231" s="8">
        <f>(parametros_manuales!$D$24*(datos_base!$J$2+IF(parametros_manuales!$H$24="Todos",datos_base!$J$9,0))*parametros_manuales!$F$97+parametros_manuales!$E$24*(datos_base!$J$3+IF(parametros_manuales!$H$24="Todos",datos_base!$J$10,0))*parametros_manuales!$F$102+parametros_manuales!$F$24*(datos_base!$J$4+IF(parametros_manuales!$H$24="Todos",datos_base!$J$11,0))*parametros_manuales!$F$107+parametros_manuales!$G$24*(datos_base!$J$5+IF(parametros_manuales!$H$24="Todos",datos_base!$J$12,0))*parametros_manuales!$F$112)*parametros_manuales!$I$24*parametros_manuales!$J$24</f>
        <v>18066.31</v>
      </c>
      <c r="G231" s="8">
        <f>(parametros_manuales!$D$24*(datos_base!$J$2+IF(parametros_manuales!$H$24="Todos",datos_base!$J$9,0))*parametros_manuales!$G$97+parametros_manuales!$E$24*(datos_base!$J$3+IF(parametros_manuales!$H$24="Todos",datos_base!$J$10,0))*parametros_manuales!$G$102+parametros_manuales!$F$24*(datos_base!$J$4+IF(parametros_manuales!$H$24="Todos",datos_base!$J$11,0))*parametros_manuales!$G$107+parametros_manuales!$G$24*(datos_base!$J$5+IF(parametros_manuales!$H$24="Todos",datos_base!$J$12,0))*parametros_manuales!$G$112)*parametros_manuales!$I$24*parametros_manuales!$J$24</f>
        <v>17704.51</v>
      </c>
      <c r="H231" s="8">
        <f>(parametros_manuales!$D$24*(datos_base!$J$2+IF(parametros_manuales!$H$24="Todos",datos_base!$J$9,0))*parametros_manuales!$H$97+parametros_manuales!$E$24*(datos_base!$J$3+IF(parametros_manuales!$H$24="Todos",datos_base!$J$10,0))*parametros_manuales!$H$102+parametros_manuales!$F$24*(datos_base!$J$4+IF(parametros_manuales!$H$24="Todos",datos_base!$J$11,0))*parametros_manuales!$H$107+parametros_manuales!$G$24*(datos_base!$J$5+IF(parametros_manuales!$H$24="Todos",datos_base!$J$12,0))*parametros_manuales!$H$112)*parametros_manuales!$I$24*parametros_manuales!$J$24</f>
        <v>18943.275</v>
      </c>
      <c r="I231" s="8">
        <f>(parametros_manuales!$D$24*(datos_base!$J$2+IF(parametros_manuales!$H$24="Todos",datos_base!$J$9,0))*parametros_manuales!$I$97+parametros_manuales!$E$24*(datos_base!$J$3+IF(parametros_manuales!$H$24="Todos",datos_base!$J$10,0))*parametros_manuales!$I$102+parametros_manuales!$F$24*(datos_base!$J$4+IF(parametros_manuales!$H$24="Todos",datos_base!$J$11,0))*parametros_manuales!$I$107+parametros_manuales!$G$24*(datos_base!$J$5+IF(parametros_manuales!$H$24="Todos",datos_base!$J$12,0))*parametros_manuales!$I$112)*parametros_manuales!$I$24*parametros_manuales!$J$24</f>
        <v>21574.17</v>
      </c>
      <c r="J231" s="8">
        <f>(parametros_manuales!$D$24*(datos_base!$J$2+IF(parametros_manuales!$H$24="Todos",datos_base!$J$9,0))*parametros_manuales!$J$97+parametros_manuales!$E$24*(datos_base!$J$3+IF(parametros_manuales!$H$24="Todos",datos_base!$J$10,0))*parametros_manuales!$J$102+parametros_manuales!$F$24*(datos_base!$J$4+IF(parametros_manuales!$H$24="Todos",datos_base!$J$11,0))*parametros_manuales!$J$107+parametros_manuales!$G$24*(datos_base!$J$5+IF(parametros_manuales!$H$24="Todos",datos_base!$J$12,0))*parametros_manuales!$J$112)*parametros_manuales!$I$24*parametros_manuales!$J$24</f>
        <v>21574.17</v>
      </c>
      <c r="K231" s="8">
        <f>(parametros_manuales!$D$24*(datos_base!$J$2+IF(parametros_manuales!$H$24="Todos",datos_base!$J$9,0))*parametros_manuales!$K$97+parametros_manuales!$E$24*(datos_base!$J$3+IF(parametros_manuales!$H$24="Todos",datos_base!$J$10,0))*parametros_manuales!$K$102+parametros_manuales!$F$24*(datos_base!$J$4+IF(parametros_manuales!$H$24="Todos",datos_base!$J$11,0))*parametros_manuales!$K$107+parametros_manuales!$G$24*(datos_base!$J$5+IF(parametros_manuales!$H$24="Todos",datos_base!$J$12,0))*parametros_manuales!$K$112)*parametros_manuales!$I$24*parametros_manuales!$J$24</f>
        <v>21935.97</v>
      </c>
      <c r="L231" s="8">
        <f>(parametros_manuales!$D$24*(datos_base!$J$2+IF(parametros_manuales!$H$24="Todos",datos_base!$J$9,0))*parametros_manuales!$L$97+parametros_manuales!$E$24*(datos_base!$J$3+IF(parametros_manuales!$H$24="Todos",datos_base!$J$10,0))*parametros_manuales!$L$102+parametros_manuales!$F$24*(datos_base!$J$4+IF(parametros_manuales!$H$24="Todos",datos_base!$J$11,0))*parametros_manuales!$L$107+parametros_manuales!$G$24*(datos_base!$J$5+IF(parametros_manuales!$H$24="Todos",datos_base!$J$12,0))*parametros_manuales!$L$112)*parametros_manuales!$I$24*parametros_manuales!$J$24</f>
        <v>22297.77</v>
      </c>
      <c r="M231" s="8">
        <f>(parametros_manuales!$D$24*(datos_base!$J$2+IF(parametros_manuales!$H$24="Todos",datos_base!$J$9,0))*parametros_manuales!$M$97+parametros_manuales!$E$24*(datos_base!$J$3+IF(parametros_manuales!$H$24="Todos",datos_base!$J$10,0))*parametros_manuales!$M$102+parametros_manuales!$F$24*(datos_base!$J$4+IF(parametros_manuales!$H$24="Todos",datos_base!$J$11,0))*parametros_manuales!$M$107+parametros_manuales!$G$24*(datos_base!$J$5+IF(parametros_manuales!$H$24="Todos",datos_base!$J$12,0))*parametros_manuales!$M$112)*parametros_manuales!$I$24*parametros_manuales!$J$24</f>
        <v>22297.77</v>
      </c>
      <c r="N231" s="8">
        <f t="shared" si="25"/>
        <v>247753</v>
      </c>
      <c r="O231" s="8">
        <f t="shared" si="26"/>
        <v>22297.77</v>
      </c>
      <c r="P231" s="27">
        <f>O231/(parametros_manuales!$B$7)</f>
        <v>148.6518</v>
      </c>
      <c r="Q231" s="4" t="str">
        <f t="shared" si="27"/>
        <v>Ene</v>
      </c>
      <c r="R231" s="16"/>
      <c r="S231" s="16"/>
    </row>
    <row r="232" ht="14.25" customHeight="1">
      <c r="A232" s="4" t="str">
        <f>parametros_manuales!$B$25</f>
        <v>Soldadura del cuello a la cúpula</v>
      </c>
      <c r="B232" s="8">
        <f>(parametros_manuales!$D$25*(datos_base!$J$2+IF(parametros_manuales!$H$25="Todos",datos_base!$J$9,0))*parametros_manuales!$B$97+parametros_manuales!$E$25*(datos_base!$J$3+IF(parametros_manuales!$H$25="Todos",datos_base!$J$10,0))*parametros_manuales!$B$102+parametros_manuales!$F$25*(datos_base!$J$4+IF(parametros_manuales!$H$25="Todos",datos_base!$J$11,0))*parametros_manuales!$B$107+parametros_manuales!$G$25*(datos_base!$J$5+IF(parametros_manuales!$H$25="Todos",datos_base!$J$12,0))*parametros_manuales!$B$112)*parametros_manuales!$I$25*parametros_manuales!$J$25</f>
        <v>22297.77</v>
      </c>
      <c r="C232" s="8">
        <f>(parametros_manuales!$D$25*(datos_base!$J$2+IF(parametros_manuales!$H$25="Todos",datos_base!$J$9,0))*parametros_manuales!$C$97+parametros_manuales!$E$25*(datos_base!$J$3+IF(parametros_manuales!$H$25="Todos",datos_base!$J$10,0))*parametros_manuales!$C$102+parametros_manuales!$F$25*(datos_base!$J$4+IF(parametros_manuales!$H$25="Todos",datos_base!$J$11,0))*parametros_manuales!$C$107+parametros_manuales!$G$25*(datos_base!$J$5+IF(parametros_manuales!$H$25="Todos",datos_base!$J$12,0))*parametros_manuales!$C$112)*parametros_manuales!$I$25*parametros_manuales!$J$25</f>
        <v>21574.17</v>
      </c>
      <c r="D232" s="8">
        <f>(parametros_manuales!$D$25*(datos_base!$J$2+IF(parametros_manuales!$H$25="Todos",datos_base!$J$9,0))*parametros_manuales!$D$97+parametros_manuales!$E$25*(datos_base!$J$3+IF(parametros_manuales!$H$25="Todos",datos_base!$J$10,0))*parametros_manuales!$D$102+parametros_manuales!$F$25*(datos_base!$J$4+IF(parametros_manuales!$H$25="Todos",datos_base!$J$11,0))*parametros_manuales!$D$107+parametros_manuales!$G$25*(datos_base!$J$5+IF(parametros_manuales!$H$25="Todos",datos_base!$J$12,0))*parametros_manuales!$D$112)*parametros_manuales!$I$25*parametros_manuales!$J$25</f>
        <v>20182.04</v>
      </c>
      <c r="E232" s="8">
        <f>(parametros_manuales!$D$25*(datos_base!$J$2+IF(parametros_manuales!$H$25="Todos",datos_base!$J$9,0))*parametros_manuales!$E$97+parametros_manuales!$E$25*(datos_base!$J$3+IF(parametros_manuales!$H$25="Todos",datos_base!$J$10,0))*parametros_manuales!$E$102+parametros_manuales!$F$25*(datos_base!$J$4+IF(parametros_manuales!$H$25="Todos",datos_base!$J$11,0))*parametros_manuales!$E$107+parametros_manuales!$G$25*(datos_base!$J$5+IF(parametros_manuales!$H$25="Todos",datos_base!$J$12,0))*parametros_manuales!$E$112)*parametros_manuales!$I$25*parametros_manuales!$J$25</f>
        <v>19305.075</v>
      </c>
      <c r="F232" s="8">
        <f>(parametros_manuales!$D$25*(datos_base!$J$2+IF(parametros_manuales!$H$25="Todos",datos_base!$J$9,0))*parametros_manuales!$F$97+parametros_manuales!$E$25*(datos_base!$J$3+IF(parametros_manuales!$H$25="Todos",datos_base!$J$10,0))*parametros_manuales!$F$102+parametros_manuales!$F$25*(datos_base!$J$4+IF(parametros_manuales!$H$25="Todos",datos_base!$J$11,0))*parametros_manuales!$F$107+parametros_manuales!$G$25*(datos_base!$J$5+IF(parametros_manuales!$H$25="Todos",datos_base!$J$12,0))*parametros_manuales!$F$112)*parametros_manuales!$I$25*parametros_manuales!$J$25</f>
        <v>18066.31</v>
      </c>
      <c r="G232" s="8">
        <f>(parametros_manuales!$D$25*(datos_base!$J$2+IF(parametros_manuales!$H$25="Todos",datos_base!$J$9,0))*parametros_manuales!$G$97+parametros_manuales!$E$25*(datos_base!$J$3+IF(parametros_manuales!$H$25="Todos",datos_base!$J$10,0))*parametros_manuales!$G$102+parametros_manuales!$F$25*(datos_base!$J$4+IF(parametros_manuales!$H$25="Todos",datos_base!$J$11,0))*parametros_manuales!$G$107+parametros_manuales!$G$25*(datos_base!$J$5+IF(parametros_manuales!$H$25="Todos",datos_base!$J$12,0))*parametros_manuales!$G$112)*parametros_manuales!$I$25*parametros_manuales!$J$25</f>
        <v>17704.51</v>
      </c>
      <c r="H232" s="8">
        <f>(parametros_manuales!$D$25*(datos_base!$J$2+IF(parametros_manuales!$H$25="Todos",datos_base!$J$9,0))*parametros_manuales!$H$97+parametros_manuales!$E$25*(datos_base!$J$3+IF(parametros_manuales!$H$25="Todos",datos_base!$J$10,0))*parametros_manuales!$H$102+parametros_manuales!$F$25*(datos_base!$J$4+IF(parametros_manuales!$H$25="Todos",datos_base!$J$11,0))*parametros_manuales!$H$107+parametros_manuales!$G$25*(datos_base!$J$5+IF(parametros_manuales!$H$25="Todos",datos_base!$J$12,0))*parametros_manuales!$H$112)*parametros_manuales!$I$25*parametros_manuales!$J$25</f>
        <v>18943.275</v>
      </c>
      <c r="I232" s="8">
        <f>(parametros_manuales!$D$25*(datos_base!$J$2+IF(parametros_manuales!$H$25="Todos",datos_base!$J$9,0))*parametros_manuales!$I$97+parametros_manuales!$E$25*(datos_base!$J$3+IF(parametros_manuales!$H$25="Todos",datos_base!$J$10,0))*parametros_manuales!$I$102+parametros_manuales!$F$25*(datos_base!$J$4+IF(parametros_manuales!$H$25="Todos",datos_base!$J$11,0))*parametros_manuales!$I$107+parametros_manuales!$G$25*(datos_base!$J$5+IF(parametros_manuales!$H$25="Todos",datos_base!$J$12,0))*parametros_manuales!$I$112)*parametros_manuales!$I$25*parametros_manuales!$J$25</f>
        <v>21574.17</v>
      </c>
      <c r="J232" s="8">
        <f>(parametros_manuales!$D$25*(datos_base!$J$2+IF(parametros_manuales!$H$25="Todos",datos_base!$J$9,0))*parametros_manuales!$J$97+parametros_manuales!$E$25*(datos_base!$J$3+IF(parametros_manuales!$H$25="Todos",datos_base!$J$10,0))*parametros_manuales!$J$102+parametros_manuales!$F$25*(datos_base!$J$4+IF(parametros_manuales!$H$25="Todos",datos_base!$J$11,0))*parametros_manuales!$J$107+parametros_manuales!$G$25*(datos_base!$J$5+IF(parametros_manuales!$H$25="Todos",datos_base!$J$12,0))*parametros_manuales!$J$112)*parametros_manuales!$I$25*parametros_manuales!$J$25</f>
        <v>21574.17</v>
      </c>
      <c r="K232" s="8">
        <f>(parametros_manuales!$D$25*(datos_base!$J$2+IF(parametros_manuales!$H$25="Todos",datos_base!$J$9,0))*parametros_manuales!$K$97+parametros_manuales!$E$25*(datos_base!$J$3+IF(parametros_manuales!$H$25="Todos",datos_base!$J$10,0))*parametros_manuales!$K$102+parametros_manuales!$F$25*(datos_base!$J$4+IF(parametros_manuales!$H$25="Todos",datos_base!$J$11,0))*parametros_manuales!$K$107+parametros_manuales!$G$25*(datos_base!$J$5+IF(parametros_manuales!$H$25="Todos",datos_base!$J$12,0))*parametros_manuales!$K$112)*parametros_manuales!$I$25*parametros_manuales!$J$25</f>
        <v>21935.97</v>
      </c>
      <c r="L232" s="8">
        <f>(parametros_manuales!$D$25*(datos_base!$J$2+IF(parametros_manuales!$H$25="Todos",datos_base!$J$9,0))*parametros_manuales!$L$97+parametros_manuales!$E$25*(datos_base!$J$3+IF(parametros_manuales!$H$25="Todos",datos_base!$J$10,0))*parametros_manuales!$L$102+parametros_manuales!$F$25*(datos_base!$J$4+IF(parametros_manuales!$H$25="Todos",datos_base!$J$11,0))*parametros_manuales!$L$107+parametros_manuales!$G$25*(datos_base!$J$5+IF(parametros_manuales!$H$25="Todos",datos_base!$J$12,0))*parametros_manuales!$L$112)*parametros_manuales!$I$25*parametros_manuales!$J$25</f>
        <v>22297.77</v>
      </c>
      <c r="M232" s="8">
        <f>(parametros_manuales!$D$25*(datos_base!$J$2+IF(parametros_manuales!$H$25="Todos",datos_base!$J$9,0))*parametros_manuales!$M$97+parametros_manuales!$E$25*(datos_base!$J$3+IF(parametros_manuales!$H$25="Todos",datos_base!$J$10,0))*parametros_manuales!$M$102+parametros_manuales!$F$25*(datos_base!$J$4+IF(parametros_manuales!$H$25="Todos",datos_base!$J$11,0))*parametros_manuales!$M$107+parametros_manuales!$G$25*(datos_base!$J$5+IF(parametros_manuales!$H$25="Todos",datos_base!$J$12,0))*parametros_manuales!$M$112)*parametros_manuales!$I$25*parametros_manuales!$J$25</f>
        <v>22297.77</v>
      </c>
      <c r="N232" s="8">
        <f t="shared" si="25"/>
        <v>247753</v>
      </c>
      <c r="O232" s="8">
        <f t="shared" si="26"/>
        <v>22297.77</v>
      </c>
      <c r="P232" s="27">
        <f>O232/(parametros_manuales!$B$7)</f>
        <v>148.6518</v>
      </c>
      <c r="Q232" s="4" t="str">
        <f t="shared" si="27"/>
        <v>Ene</v>
      </c>
      <c r="R232" s="16"/>
      <c r="S232" s="16"/>
    </row>
    <row r="233" ht="14.25" customHeight="1">
      <c r="A233" s="4" t="str">
        <f>parametros_manuales!$B$26</f>
        <v>Cilindrado</v>
      </c>
      <c r="B233" s="8">
        <f>(parametros_manuales!$D$26*(datos_base!$J$2+IF(parametros_manuales!$H$26="Todos",datos_base!$J$9,0))*parametros_manuales!$B$97+parametros_manuales!$E$26*(datos_base!$J$3+IF(parametros_manuales!$H$26="Todos",datos_base!$J$10,0))*parametros_manuales!$B$102+parametros_manuales!$F$26*(datos_base!$J$4+IF(parametros_manuales!$H$26="Todos",datos_base!$J$11,0))*parametros_manuales!$B$107+parametros_manuales!$G$26*(datos_base!$J$5+IF(parametros_manuales!$H$26="Todos",datos_base!$J$12,0))*parametros_manuales!$B$112)*parametros_manuales!$I$26*parametros_manuales!$J$26</f>
        <v>22297.77</v>
      </c>
      <c r="C233" s="8">
        <f>(parametros_manuales!$D$26*(datos_base!$J$2+IF(parametros_manuales!$H$26="Todos",datos_base!$J$9,0))*parametros_manuales!$C$97+parametros_manuales!$E$26*(datos_base!$J$3+IF(parametros_manuales!$H$26="Todos",datos_base!$J$10,0))*parametros_manuales!$C$102+parametros_manuales!$F$26*(datos_base!$J$4+IF(parametros_manuales!$H$26="Todos",datos_base!$J$11,0))*parametros_manuales!$C$107+parametros_manuales!$G$26*(datos_base!$J$5+IF(parametros_manuales!$H$26="Todos",datos_base!$J$12,0))*parametros_manuales!$C$112)*parametros_manuales!$I$26*parametros_manuales!$J$26</f>
        <v>21574.17</v>
      </c>
      <c r="D233" s="8">
        <f>(parametros_manuales!$D$26*(datos_base!$J$2+IF(parametros_manuales!$H$26="Todos",datos_base!$J$9,0))*parametros_manuales!$D$97+parametros_manuales!$E$26*(datos_base!$J$3+IF(parametros_manuales!$H$26="Todos",datos_base!$J$10,0))*parametros_manuales!$D$102+parametros_manuales!$F$26*(datos_base!$J$4+IF(parametros_manuales!$H$26="Todos",datos_base!$J$11,0))*parametros_manuales!$D$107+parametros_manuales!$G$26*(datos_base!$J$5+IF(parametros_manuales!$H$26="Todos",datos_base!$J$12,0))*parametros_manuales!$D$112)*parametros_manuales!$I$26*parametros_manuales!$J$26</f>
        <v>20182.04</v>
      </c>
      <c r="E233" s="8">
        <f>(parametros_manuales!$D$26*(datos_base!$J$2+IF(parametros_manuales!$H$26="Todos",datos_base!$J$9,0))*parametros_manuales!$E$97+parametros_manuales!$E$26*(datos_base!$J$3+IF(parametros_manuales!$H$26="Todos",datos_base!$J$10,0))*parametros_manuales!$E$102+parametros_manuales!$F$26*(datos_base!$J$4+IF(parametros_manuales!$H$26="Todos",datos_base!$J$11,0))*parametros_manuales!$E$107+parametros_manuales!$G$26*(datos_base!$J$5+IF(parametros_manuales!$H$26="Todos",datos_base!$J$12,0))*parametros_manuales!$E$112)*parametros_manuales!$I$26*parametros_manuales!$J$26</f>
        <v>19305.075</v>
      </c>
      <c r="F233" s="8">
        <f>(parametros_manuales!$D$26*(datos_base!$J$2+IF(parametros_manuales!$H$26="Todos",datos_base!$J$9,0))*parametros_manuales!$F$97+parametros_manuales!$E$26*(datos_base!$J$3+IF(parametros_manuales!$H$26="Todos",datos_base!$J$10,0))*parametros_manuales!$F$102+parametros_manuales!$F$26*(datos_base!$J$4+IF(parametros_manuales!$H$26="Todos",datos_base!$J$11,0))*parametros_manuales!$F$107+parametros_manuales!$G$26*(datos_base!$J$5+IF(parametros_manuales!$H$26="Todos",datos_base!$J$12,0))*parametros_manuales!$F$112)*parametros_manuales!$I$26*parametros_manuales!$J$26</f>
        <v>18066.31</v>
      </c>
      <c r="G233" s="8">
        <f>(parametros_manuales!$D$26*(datos_base!$J$2+IF(parametros_manuales!$H$26="Todos",datos_base!$J$9,0))*parametros_manuales!$G$97+parametros_manuales!$E$26*(datos_base!$J$3+IF(parametros_manuales!$H$26="Todos",datos_base!$J$10,0))*parametros_manuales!$G$102+parametros_manuales!$F$26*(datos_base!$J$4+IF(parametros_manuales!$H$26="Todos",datos_base!$J$11,0))*parametros_manuales!$G$107+parametros_manuales!$G$26*(datos_base!$J$5+IF(parametros_manuales!$H$26="Todos",datos_base!$J$12,0))*parametros_manuales!$G$112)*parametros_manuales!$I$26*parametros_manuales!$J$26</f>
        <v>17704.51</v>
      </c>
      <c r="H233" s="8">
        <f>(parametros_manuales!$D$26*(datos_base!$J$2+IF(parametros_manuales!$H$26="Todos",datos_base!$J$9,0))*parametros_manuales!$H$97+parametros_manuales!$E$26*(datos_base!$J$3+IF(parametros_manuales!$H$26="Todos",datos_base!$J$10,0))*parametros_manuales!$H$102+parametros_manuales!$F$26*(datos_base!$J$4+IF(parametros_manuales!$H$26="Todos",datos_base!$J$11,0))*parametros_manuales!$H$107+parametros_manuales!$G$26*(datos_base!$J$5+IF(parametros_manuales!$H$26="Todos",datos_base!$J$12,0))*parametros_manuales!$H$112)*parametros_manuales!$I$26*parametros_manuales!$J$26</f>
        <v>18943.275</v>
      </c>
      <c r="I233" s="8">
        <f>(parametros_manuales!$D$26*(datos_base!$J$2+IF(parametros_manuales!$H$26="Todos",datos_base!$J$9,0))*parametros_manuales!$I$97+parametros_manuales!$E$26*(datos_base!$J$3+IF(parametros_manuales!$H$26="Todos",datos_base!$J$10,0))*parametros_manuales!$I$102+parametros_manuales!$F$26*(datos_base!$J$4+IF(parametros_manuales!$H$26="Todos",datos_base!$J$11,0))*parametros_manuales!$I$107+parametros_manuales!$G$26*(datos_base!$J$5+IF(parametros_manuales!$H$26="Todos",datos_base!$J$12,0))*parametros_manuales!$I$112)*parametros_manuales!$I$26*parametros_manuales!$J$26</f>
        <v>21574.17</v>
      </c>
      <c r="J233" s="8">
        <f>(parametros_manuales!$D$26*(datos_base!$J$2+IF(parametros_manuales!$H$26="Todos",datos_base!$J$9,0))*parametros_manuales!$J$97+parametros_manuales!$E$26*(datos_base!$J$3+IF(parametros_manuales!$H$26="Todos",datos_base!$J$10,0))*parametros_manuales!$J$102+parametros_manuales!$F$26*(datos_base!$J$4+IF(parametros_manuales!$H$26="Todos",datos_base!$J$11,0))*parametros_manuales!$J$107+parametros_manuales!$G$26*(datos_base!$J$5+IF(parametros_manuales!$H$26="Todos",datos_base!$J$12,0))*parametros_manuales!$J$112)*parametros_manuales!$I$26*parametros_manuales!$J$26</f>
        <v>21574.17</v>
      </c>
      <c r="K233" s="8">
        <f>(parametros_manuales!$D$26*(datos_base!$J$2+IF(parametros_manuales!$H$26="Todos",datos_base!$J$9,0))*parametros_manuales!$K$97+parametros_manuales!$E$26*(datos_base!$J$3+IF(parametros_manuales!$H$26="Todos",datos_base!$J$10,0))*parametros_manuales!$K$102+parametros_manuales!$F$26*(datos_base!$J$4+IF(parametros_manuales!$H$26="Todos",datos_base!$J$11,0))*parametros_manuales!$K$107+parametros_manuales!$G$26*(datos_base!$J$5+IF(parametros_manuales!$H$26="Todos",datos_base!$J$12,0))*parametros_manuales!$K$112)*parametros_manuales!$I$26*parametros_manuales!$J$26</f>
        <v>21935.97</v>
      </c>
      <c r="L233" s="8">
        <f>(parametros_manuales!$D$26*(datos_base!$J$2+IF(parametros_manuales!$H$26="Todos",datos_base!$J$9,0))*parametros_manuales!$L$97+parametros_manuales!$E$26*(datos_base!$J$3+IF(parametros_manuales!$H$26="Todos",datos_base!$J$10,0))*parametros_manuales!$L$102+parametros_manuales!$F$26*(datos_base!$J$4+IF(parametros_manuales!$H$26="Todos",datos_base!$J$11,0))*parametros_manuales!$L$107+parametros_manuales!$G$26*(datos_base!$J$5+IF(parametros_manuales!$H$26="Todos",datos_base!$J$12,0))*parametros_manuales!$L$112)*parametros_manuales!$I$26*parametros_manuales!$J$26</f>
        <v>22297.77</v>
      </c>
      <c r="M233" s="8">
        <f>(parametros_manuales!$D$26*(datos_base!$J$2+IF(parametros_manuales!$H$26="Todos",datos_base!$J$9,0))*parametros_manuales!$M$97+parametros_manuales!$E$26*(datos_base!$J$3+IF(parametros_manuales!$H$26="Todos",datos_base!$J$10,0))*parametros_manuales!$M$102+parametros_manuales!$F$26*(datos_base!$J$4+IF(parametros_manuales!$H$26="Todos",datos_base!$J$11,0))*parametros_manuales!$M$107+parametros_manuales!$G$26*(datos_base!$J$5+IF(parametros_manuales!$H$26="Todos",datos_base!$J$12,0))*parametros_manuales!$M$112)*parametros_manuales!$I$26*parametros_manuales!$J$26</f>
        <v>22297.77</v>
      </c>
      <c r="N233" s="8">
        <f t="shared" si="25"/>
        <v>247753</v>
      </c>
      <c r="O233" s="8">
        <f t="shared" si="26"/>
        <v>22297.77</v>
      </c>
      <c r="P233" s="27">
        <f>O233/(parametros_manuales!$B$7)</f>
        <v>148.6518</v>
      </c>
      <c r="Q233" s="4" t="str">
        <f t="shared" si="27"/>
        <v>Ene</v>
      </c>
      <c r="R233" s="16"/>
      <c r="S233" s="16"/>
    </row>
    <row r="234" ht="14.25" customHeight="1">
      <c r="A234" s="4" t="str">
        <f>parametros_manuales!$B$27</f>
        <v>Soldadura longitudinal — 2,5 a 10 kg</v>
      </c>
      <c r="B234" s="8">
        <f>(parametros_manuales!$D$27*(datos_base!$J$2+IF(parametros_manuales!$H$27="Todos",datos_base!$J$9,0))*parametros_manuales!$B$97+parametros_manuales!$E$27*(datos_base!$J$3+IF(parametros_manuales!$H$27="Todos",datos_base!$J$10,0))*parametros_manuales!$B$102+parametros_manuales!$F$27*(datos_base!$J$4+IF(parametros_manuales!$H$27="Todos",datos_base!$J$11,0))*parametros_manuales!$B$107+parametros_manuales!$G$27*(datos_base!$J$5+IF(parametros_manuales!$H$27="Todos",datos_base!$J$12,0))*parametros_manuales!$B$112)*parametros_manuales!$I$27*parametros_manuales!$J$27</f>
        <v>6512.4</v>
      </c>
      <c r="C234" s="8">
        <f>(parametros_manuales!$D$27*(datos_base!$J$2+IF(parametros_manuales!$H$27="Todos",datos_base!$J$9,0))*parametros_manuales!$C$97+parametros_manuales!$E$27*(datos_base!$J$3+IF(parametros_manuales!$H$27="Todos",datos_base!$J$10,0))*parametros_manuales!$C$102+parametros_manuales!$F$27*(datos_base!$J$4+IF(parametros_manuales!$H$27="Todos",datos_base!$J$11,0))*parametros_manuales!$C$107+parametros_manuales!$G$27*(datos_base!$J$5+IF(parametros_manuales!$H$27="Todos",datos_base!$J$12,0))*parametros_manuales!$C$112)*parametros_manuales!$I$27*parametros_manuales!$J$27</f>
        <v>5788.8</v>
      </c>
      <c r="D234" s="8">
        <f>(parametros_manuales!$D$27*(datos_base!$J$2+IF(parametros_manuales!$H$27="Todos",datos_base!$J$9,0))*parametros_manuales!$D$97+parametros_manuales!$E$27*(datos_base!$J$3+IF(parametros_manuales!$H$27="Todos",datos_base!$J$10,0))*parametros_manuales!$D$102+parametros_manuales!$F$27*(datos_base!$J$4+IF(parametros_manuales!$H$27="Todos",datos_base!$J$11,0))*parametros_manuales!$D$107+parametros_manuales!$G$27*(datos_base!$J$5+IF(parametros_manuales!$H$27="Todos",datos_base!$J$12,0))*parametros_manuales!$D$112)*parametros_manuales!$I$27*parametros_manuales!$J$27</f>
        <v>6150.6</v>
      </c>
      <c r="E234" s="8">
        <f>(parametros_manuales!$D$27*(datos_base!$J$2+IF(parametros_manuales!$H$27="Todos",datos_base!$J$9,0))*parametros_manuales!$E$97+parametros_manuales!$E$27*(datos_base!$J$3+IF(parametros_manuales!$H$27="Todos",datos_base!$J$10,0))*parametros_manuales!$E$102+parametros_manuales!$F$27*(datos_base!$J$4+IF(parametros_manuales!$H$27="Todos",datos_base!$J$11,0))*parametros_manuales!$E$107+parametros_manuales!$G$27*(datos_base!$J$5+IF(parametros_manuales!$H$27="Todos",datos_base!$J$12,0))*parametros_manuales!$E$112)*parametros_manuales!$I$27*parametros_manuales!$J$27</f>
        <v>6150.6</v>
      </c>
      <c r="F234" s="8">
        <f>(parametros_manuales!$D$27*(datos_base!$J$2+IF(parametros_manuales!$H$27="Todos",datos_base!$J$9,0))*parametros_manuales!$F$97+parametros_manuales!$E$27*(datos_base!$J$3+IF(parametros_manuales!$H$27="Todos",datos_base!$J$10,0))*parametros_manuales!$F$102+parametros_manuales!$F$27*(datos_base!$J$4+IF(parametros_manuales!$H$27="Todos",datos_base!$J$11,0))*parametros_manuales!$F$107+parametros_manuales!$G$27*(datos_base!$J$5+IF(parametros_manuales!$H$27="Todos",datos_base!$J$12,0))*parametros_manuales!$F$112)*parametros_manuales!$I$27*parametros_manuales!$J$27</f>
        <v>5788.8</v>
      </c>
      <c r="G234" s="8">
        <f>(parametros_manuales!$D$27*(datos_base!$J$2+IF(parametros_manuales!$H$27="Todos",datos_base!$J$9,0))*parametros_manuales!$G$97+parametros_manuales!$E$27*(datos_base!$J$3+IF(parametros_manuales!$H$27="Todos",datos_base!$J$10,0))*parametros_manuales!$G$102+parametros_manuales!$F$27*(datos_base!$J$4+IF(parametros_manuales!$H$27="Todos",datos_base!$J$11,0))*parametros_manuales!$G$107+parametros_manuales!$G$27*(datos_base!$J$5+IF(parametros_manuales!$H$27="Todos",datos_base!$J$12,0))*parametros_manuales!$G$112)*parametros_manuales!$I$27*parametros_manuales!$J$27</f>
        <v>5427</v>
      </c>
      <c r="H234" s="8">
        <f>(parametros_manuales!$D$27*(datos_base!$J$2+IF(parametros_manuales!$H$27="Todos",datos_base!$J$9,0))*parametros_manuales!$H$97+parametros_manuales!$E$27*(datos_base!$J$3+IF(parametros_manuales!$H$27="Todos",datos_base!$J$10,0))*parametros_manuales!$H$102+parametros_manuales!$F$27*(datos_base!$J$4+IF(parametros_manuales!$H$27="Todos",datos_base!$J$11,0))*parametros_manuales!$H$107+parametros_manuales!$G$27*(datos_base!$J$5+IF(parametros_manuales!$H$27="Todos",datos_base!$J$12,0))*parametros_manuales!$H$112)*parametros_manuales!$I$27*parametros_manuales!$J$27</f>
        <v>5788.8</v>
      </c>
      <c r="I234" s="8">
        <f>(parametros_manuales!$D$27*(datos_base!$J$2+IF(parametros_manuales!$H$27="Todos",datos_base!$J$9,0))*parametros_manuales!$I$97+parametros_manuales!$E$27*(datos_base!$J$3+IF(parametros_manuales!$H$27="Todos",datos_base!$J$10,0))*parametros_manuales!$I$102+parametros_manuales!$F$27*(datos_base!$J$4+IF(parametros_manuales!$H$27="Todos",datos_base!$J$11,0))*parametros_manuales!$I$107+parametros_manuales!$G$27*(datos_base!$J$5+IF(parametros_manuales!$H$27="Todos",datos_base!$J$12,0))*parametros_manuales!$I$112)*parametros_manuales!$I$27*parametros_manuales!$J$27</f>
        <v>5788.8</v>
      </c>
      <c r="J234" s="8">
        <f>(parametros_manuales!$D$27*(datos_base!$J$2+IF(parametros_manuales!$H$27="Todos",datos_base!$J$9,0))*parametros_manuales!$J$97+parametros_manuales!$E$27*(datos_base!$J$3+IF(parametros_manuales!$H$27="Todos",datos_base!$J$10,0))*parametros_manuales!$J$102+parametros_manuales!$F$27*(datos_base!$J$4+IF(parametros_manuales!$H$27="Todos",datos_base!$J$11,0))*parametros_manuales!$J$107+parametros_manuales!$G$27*(datos_base!$J$5+IF(parametros_manuales!$H$27="Todos",datos_base!$J$12,0))*parametros_manuales!$J$112)*parametros_manuales!$I$27*parametros_manuales!$J$27</f>
        <v>5788.8</v>
      </c>
      <c r="K234" s="8">
        <f>(parametros_manuales!$D$27*(datos_base!$J$2+IF(parametros_manuales!$H$27="Todos",datos_base!$J$9,0))*parametros_manuales!$K$97+parametros_manuales!$E$27*(datos_base!$J$3+IF(parametros_manuales!$H$27="Todos",datos_base!$J$10,0))*parametros_manuales!$K$102+parametros_manuales!$F$27*(datos_base!$J$4+IF(parametros_manuales!$H$27="Todos",datos_base!$J$11,0))*parametros_manuales!$K$107+parametros_manuales!$G$27*(datos_base!$J$5+IF(parametros_manuales!$H$27="Todos",datos_base!$J$12,0))*parametros_manuales!$K$112)*parametros_manuales!$I$27*parametros_manuales!$J$27</f>
        <v>6150.6</v>
      </c>
      <c r="L234" s="8">
        <f>(parametros_manuales!$D$27*(datos_base!$J$2+IF(parametros_manuales!$H$27="Todos",datos_base!$J$9,0))*parametros_manuales!$L$97+parametros_manuales!$E$27*(datos_base!$J$3+IF(parametros_manuales!$H$27="Todos",datos_base!$J$10,0))*parametros_manuales!$L$102+parametros_manuales!$F$27*(datos_base!$J$4+IF(parametros_manuales!$H$27="Todos",datos_base!$J$11,0))*parametros_manuales!$L$107+parametros_manuales!$G$27*(datos_base!$J$5+IF(parametros_manuales!$H$27="Todos",datos_base!$J$12,0))*parametros_manuales!$L$112)*parametros_manuales!$I$27*parametros_manuales!$J$27</f>
        <v>6512.4</v>
      </c>
      <c r="M234" s="8">
        <f>(parametros_manuales!$D$27*(datos_base!$J$2+IF(parametros_manuales!$H$27="Todos",datos_base!$J$9,0))*parametros_manuales!$M$97+parametros_manuales!$E$27*(datos_base!$J$3+IF(parametros_manuales!$H$27="Todos",datos_base!$J$10,0))*parametros_manuales!$M$102+parametros_manuales!$F$27*(datos_base!$J$4+IF(parametros_manuales!$H$27="Todos",datos_base!$J$11,0))*parametros_manuales!$M$107+parametros_manuales!$G$27*(datos_base!$J$5+IF(parametros_manuales!$H$27="Todos",datos_base!$J$12,0))*parametros_manuales!$M$112)*parametros_manuales!$I$27*parametros_manuales!$J$27</f>
        <v>6512.4</v>
      </c>
      <c r="N234" s="8">
        <f t="shared" si="25"/>
        <v>72360</v>
      </c>
      <c r="O234" s="8">
        <f t="shared" si="26"/>
        <v>6512.4</v>
      </c>
      <c r="P234" s="27">
        <f>O234/(parametros_manuales!$B$7)</f>
        <v>43.416</v>
      </c>
      <c r="Q234" s="4" t="str">
        <f t="shared" si="27"/>
        <v>Ene</v>
      </c>
      <c r="R234" s="16"/>
      <c r="S234" s="16"/>
    </row>
    <row r="235" ht="14.25" customHeight="1">
      <c r="A235" s="4" t="str">
        <f>parametros_manuales!$B$28</f>
        <v>Soldadura longitudinal TIG — 1 kg</v>
      </c>
      <c r="B235" s="8">
        <f>(parametros_manuales!$D$28*(datos_base!$J$2+IF(parametros_manuales!$H$28="Todos",datos_base!$J$9,0))*parametros_manuales!$B$97+parametros_manuales!$E$28*(datos_base!$J$3+IF(parametros_manuales!$H$28="Todos",datos_base!$J$10,0))*parametros_manuales!$B$102+parametros_manuales!$F$28*(datos_base!$J$4+IF(parametros_manuales!$H$28="Todos",datos_base!$J$11,0))*parametros_manuales!$B$107+parametros_manuales!$G$28*(datos_base!$J$5+IF(parametros_manuales!$H$28="Todos",datos_base!$J$12,0))*parametros_manuales!$B$112)*parametros_manuales!$I$28*parametros_manuales!$J$28</f>
        <v>15785.37</v>
      </c>
      <c r="C235" s="8">
        <f>(parametros_manuales!$D$28*(datos_base!$J$2+IF(parametros_manuales!$H$28="Todos",datos_base!$J$9,0))*parametros_manuales!$C$97+parametros_manuales!$E$28*(datos_base!$J$3+IF(parametros_manuales!$H$28="Todos",datos_base!$J$10,0))*parametros_manuales!$C$102+parametros_manuales!$F$28*(datos_base!$J$4+IF(parametros_manuales!$H$28="Todos",datos_base!$J$11,0))*parametros_manuales!$C$107+parametros_manuales!$G$28*(datos_base!$J$5+IF(parametros_manuales!$H$28="Todos",datos_base!$J$12,0))*parametros_manuales!$C$112)*parametros_manuales!$I$28*parametros_manuales!$J$28</f>
        <v>15785.37</v>
      </c>
      <c r="D235" s="8">
        <f>(parametros_manuales!$D$28*(datos_base!$J$2+IF(parametros_manuales!$H$28="Todos",datos_base!$J$9,0))*parametros_manuales!$D$97+parametros_manuales!$E$28*(datos_base!$J$3+IF(parametros_manuales!$H$28="Todos",datos_base!$J$10,0))*parametros_manuales!$D$102+parametros_manuales!$F$28*(datos_base!$J$4+IF(parametros_manuales!$H$28="Todos",datos_base!$J$11,0))*parametros_manuales!$D$107+parametros_manuales!$G$28*(datos_base!$J$5+IF(parametros_manuales!$H$28="Todos",datos_base!$J$12,0))*parametros_manuales!$D$112)*parametros_manuales!$I$28*parametros_manuales!$J$28</f>
        <v>14031.44</v>
      </c>
      <c r="E235" s="8">
        <f>(parametros_manuales!$D$28*(datos_base!$J$2+IF(parametros_manuales!$H$28="Todos",datos_base!$J$9,0))*parametros_manuales!$E$97+parametros_manuales!$E$28*(datos_base!$J$3+IF(parametros_manuales!$H$28="Todos",datos_base!$J$10,0))*parametros_manuales!$E$102+parametros_manuales!$F$28*(datos_base!$J$4+IF(parametros_manuales!$H$28="Todos",datos_base!$J$11,0))*parametros_manuales!$E$107+parametros_manuales!$G$28*(datos_base!$J$5+IF(parametros_manuales!$H$28="Todos",datos_base!$J$12,0))*parametros_manuales!$E$112)*parametros_manuales!$I$28*parametros_manuales!$J$28</f>
        <v>13154.475</v>
      </c>
      <c r="F235" s="8">
        <f>(parametros_manuales!$D$28*(datos_base!$J$2+IF(parametros_manuales!$H$28="Todos",datos_base!$J$9,0))*parametros_manuales!$F$97+parametros_manuales!$E$28*(datos_base!$J$3+IF(parametros_manuales!$H$28="Todos",datos_base!$J$10,0))*parametros_manuales!$F$102+parametros_manuales!$F$28*(datos_base!$J$4+IF(parametros_manuales!$H$28="Todos",datos_base!$J$11,0))*parametros_manuales!$F$107+parametros_manuales!$G$28*(datos_base!$J$5+IF(parametros_manuales!$H$28="Todos",datos_base!$J$12,0))*parametros_manuales!$F$112)*parametros_manuales!$I$28*parametros_manuales!$J$28</f>
        <v>12277.51</v>
      </c>
      <c r="G235" s="8">
        <f>(parametros_manuales!$D$28*(datos_base!$J$2+IF(parametros_manuales!$H$28="Todos",datos_base!$J$9,0))*parametros_manuales!$G$97+parametros_manuales!$E$28*(datos_base!$J$3+IF(parametros_manuales!$H$28="Todos",datos_base!$J$10,0))*parametros_manuales!$G$102+parametros_manuales!$F$28*(datos_base!$J$4+IF(parametros_manuales!$H$28="Todos",datos_base!$J$11,0))*parametros_manuales!$G$107+parametros_manuales!$G$28*(datos_base!$J$5+IF(parametros_manuales!$H$28="Todos",datos_base!$J$12,0))*parametros_manuales!$G$112)*parametros_manuales!$I$28*parametros_manuales!$J$28</f>
        <v>12277.51</v>
      </c>
      <c r="H235" s="8">
        <f>(parametros_manuales!$D$28*(datos_base!$J$2+IF(parametros_manuales!$H$28="Todos",datos_base!$J$9,0))*parametros_manuales!$H$97+parametros_manuales!$E$28*(datos_base!$J$3+IF(parametros_manuales!$H$28="Todos",datos_base!$J$10,0))*parametros_manuales!$H$102+parametros_manuales!$F$28*(datos_base!$J$4+IF(parametros_manuales!$H$28="Todos",datos_base!$J$11,0))*parametros_manuales!$H$107+parametros_manuales!$G$28*(datos_base!$J$5+IF(parametros_manuales!$H$28="Todos",datos_base!$J$12,0))*parametros_manuales!$H$112)*parametros_manuales!$I$28*parametros_manuales!$J$28</f>
        <v>13154.475</v>
      </c>
      <c r="I235" s="8">
        <f>(parametros_manuales!$D$28*(datos_base!$J$2+IF(parametros_manuales!$H$28="Todos",datos_base!$J$9,0))*parametros_manuales!$I$97+parametros_manuales!$E$28*(datos_base!$J$3+IF(parametros_manuales!$H$28="Todos",datos_base!$J$10,0))*parametros_manuales!$I$102+parametros_manuales!$F$28*(datos_base!$J$4+IF(parametros_manuales!$H$28="Todos",datos_base!$J$11,0))*parametros_manuales!$I$107+parametros_manuales!$G$28*(datos_base!$J$5+IF(parametros_manuales!$H$28="Todos",datos_base!$J$12,0))*parametros_manuales!$I$112)*parametros_manuales!$I$28*parametros_manuales!$J$28</f>
        <v>15785.37</v>
      </c>
      <c r="J235" s="8">
        <f>(parametros_manuales!$D$28*(datos_base!$J$2+IF(parametros_manuales!$H$28="Todos",datos_base!$J$9,0))*parametros_manuales!$J$97+parametros_manuales!$E$28*(datos_base!$J$3+IF(parametros_manuales!$H$28="Todos",datos_base!$J$10,0))*parametros_manuales!$J$102+parametros_manuales!$F$28*(datos_base!$J$4+IF(parametros_manuales!$H$28="Todos",datos_base!$J$11,0))*parametros_manuales!$J$107+parametros_manuales!$G$28*(datos_base!$J$5+IF(parametros_manuales!$H$28="Todos",datos_base!$J$12,0))*parametros_manuales!$J$112)*parametros_manuales!$I$28*parametros_manuales!$J$28</f>
        <v>15785.37</v>
      </c>
      <c r="K235" s="8">
        <f>(parametros_manuales!$D$28*(datos_base!$J$2+IF(parametros_manuales!$H$28="Todos",datos_base!$J$9,0))*parametros_manuales!$K$97+parametros_manuales!$E$28*(datos_base!$J$3+IF(parametros_manuales!$H$28="Todos",datos_base!$J$10,0))*parametros_manuales!$K$102+parametros_manuales!$F$28*(datos_base!$J$4+IF(parametros_manuales!$H$28="Todos",datos_base!$J$11,0))*parametros_manuales!$K$107+parametros_manuales!$G$28*(datos_base!$J$5+IF(parametros_manuales!$H$28="Todos",datos_base!$J$12,0))*parametros_manuales!$K$112)*parametros_manuales!$I$28*parametros_manuales!$J$28</f>
        <v>15785.37</v>
      </c>
      <c r="L235" s="8">
        <f>(parametros_manuales!$D$28*(datos_base!$J$2+IF(parametros_manuales!$H$28="Todos",datos_base!$J$9,0))*parametros_manuales!$L$97+parametros_manuales!$E$28*(datos_base!$J$3+IF(parametros_manuales!$H$28="Todos",datos_base!$J$10,0))*parametros_manuales!$L$102+parametros_manuales!$F$28*(datos_base!$J$4+IF(parametros_manuales!$H$28="Todos",datos_base!$J$11,0))*parametros_manuales!$L$107+parametros_manuales!$G$28*(datos_base!$J$5+IF(parametros_manuales!$H$28="Todos",datos_base!$J$12,0))*parametros_manuales!$L$112)*parametros_manuales!$I$28*parametros_manuales!$J$28</f>
        <v>15785.37</v>
      </c>
      <c r="M235" s="8">
        <f>(parametros_manuales!$D$28*(datos_base!$J$2+IF(parametros_manuales!$H$28="Todos",datos_base!$J$9,0))*parametros_manuales!$M$97+parametros_manuales!$E$28*(datos_base!$J$3+IF(parametros_manuales!$H$28="Todos",datos_base!$J$10,0))*parametros_manuales!$M$102+parametros_manuales!$F$28*(datos_base!$J$4+IF(parametros_manuales!$H$28="Todos",datos_base!$J$11,0))*parametros_manuales!$M$107+parametros_manuales!$G$28*(datos_base!$J$5+IF(parametros_manuales!$H$28="Todos",datos_base!$J$12,0))*parametros_manuales!$M$112)*parametros_manuales!$I$28*parametros_manuales!$J$28</f>
        <v>15785.37</v>
      </c>
      <c r="N235" s="8">
        <f t="shared" si="25"/>
        <v>175393</v>
      </c>
      <c r="O235" s="8">
        <f t="shared" si="26"/>
        <v>15785.37</v>
      </c>
      <c r="P235" s="27">
        <f>O235/(parametros_manuales!$B$7)</f>
        <v>105.2358</v>
      </c>
      <c r="Q235" s="4" t="str">
        <f t="shared" si="27"/>
        <v>Ene</v>
      </c>
      <c r="R235" s="16"/>
      <c r="S235" s="16"/>
    </row>
    <row r="236" ht="14.25" customHeight="1">
      <c r="A236" s="4" t="str">
        <f>parametros_manuales!$B$29</f>
        <v>Encastre de fondo</v>
      </c>
      <c r="B236" s="8">
        <f>(parametros_manuales!$D$29*(datos_base!$J$2+IF(parametros_manuales!$H$29="Todos",datos_base!$J$9,0))*parametros_manuales!$B$97+parametros_manuales!$E$29*(datos_base!$J$3+IF(parametros_manuales!$H$29="Todos",datos_base!$J$10,0))*parametros_manuales!$B$102+parametros_manuales!$F$29*(datos_base!$J$4+IF(parametros_manuales!$H$29="Todos",datos_base!$J$11,0))*parametros_manuales!$B$107+parametros_manuales!$G$29*(datos_base!$J$5+IF(parametros_manuales!$H$29="Todos",datos_base!$J$12,0))*parametros_manuales!$B$112)*parametros_manuales!$I$29*parametros_manuales!$J$29</f>
        <v>22297.77</v>
      </c>
      <c r="C236" s="8">
        <f>(parametros_manuales!$D$29*(datos_base!$J$2+IF(parametros_manuales!$H$29="Todos",datos_base!$J$9,0))*parametros_manuales!$C$97+parametros_manuales!$E$29*(datos_base!$J$3+IF(parametros_manuales!$H$29="Todos",datos_base!$J$10,0))*parametros_manuales!$C$102+parametros_manuales!$F$29*(datos_base!$J$4+IF(parametros_manuales!$H$29="Todos",datos_base!$J$11,0))*parametros_manuales!$C$107+parametros_manuales!$G$29*(datos_base!$J$5+IF(parametros_manuales!$H$29="Todos",datos_base!$J$12,0))*parametros_manuales!$C$112)*parametros_manuales!$I$29*parametros_manuales!$J$29</f>
        <v>21574.17</v>
      </c>
      <c r="D236" s="8">
        <f>(parametros_manuales!$D$29*(datos_base!$J$2+IF(parametros_manuales!$H$29="Todos",datos_base!$J$9,0))*parametros_manuales!$D$97+parametros_manuales!$E$29*(datos_base!$J$3+IF(parametros_manuales!$H$29="Todos",datos_base!$J$10,0))*parametros_manuales!$D$102+parametros_manuales!$F$29*(datos_base!$J$4+IF(parametros_manuales!$H$29="Todos",datos_base!$J$11,0))*parametros_manuales!$D$107+parametros_manuales!$G$29*(datos_base!$J$5+IF(parametros_manuales!$H$29="Todos",datos_base!$J$12,0))*parametros_manuales!$D$112)*parametros_manuales!$I$29*parametros_manuales!$J$29</f>
        <v>20182.04</v>
      </c>
      <c r="E236" s="8">
        <f>(parametros_manuales!$D$29*(datos_base!$J$2+IF(parametros_manuales!$H$29="Todos",datos_base!$J$9,0))*parametros_manuales!$E$97+parametros_manuales!$E$29*(datos_base!$J$3+IF(parametros_manuales!$H$29="Todos",datos_base!$J$10,0))*parametros_manuales!$E$102+parametros_manuales!$F$29*(datos_base!$J$4+IF(parametros_manuales!$H$29="Todos",datos_base!$J$11,0))*parametros_manuales!$E$107+parametros_manuales!$G$29*(datos_base!$J$5+IF(parametros_manuales!$H$29="Todos",datos_base!$J$12,0))*parametros_manuales!$E$112)*parametros_manuales!$I$29*parametros_manuales!$J$29</f>
        <v>19305.075</v>
      </c>
      <c r="F236" s="8">
        <f>(parametros_manuales!$D$29*(datos_base!$J$2+IF(parametros_manuales!$H$29="Todos",datos_base!$J$9,0))*parametros_manuales!$F$97+parametros_manuales!$E$29*(datos_base!$J$3+IF(parametros_manuales!$H$29="Todos",datos_base!$J$10,0))*parametros_manuales!$F$102+parametros_manuales!$F$29*(datos_base!$J$4+IF(parametros_manuales!$H$29="Todos",datos_base!$J$11,0))*parametros_manuales!$F$107+parametros_manuales!$G$29*(datos_base!$J$5+IF(parametros_manuales!$H$29="Todos",datos_base!$J$12,0))*parametros_manuales!$F$112)*parametros_manuales!$I$29*parametros_manuales!$J$29</f>
        <v>18066.31</v>
      </c>
      <c r="G236" s="8">
        <f>(parametros_manuales!$D$29*(datos_base!$J$2+IF(parametros_manuales!$H$29="Todos",datos_base!$J$9,0))*parametros_manuales!$G$97+parametros_manuales!$E$29*(datos_base!$J$3+IF(parametros_manuales!$H$29="Todos",datos_base!$J$10,0))*parametros_manuales!$G$102+parametros_manuales!$F$29*(datos_base!$J$4+IF(parametros_manuales!$H$29="Todos",datos_base!$J$11,0))*parametros_manuales!$G$107+parametros_manuales!$G$29*(datos_base!$J$5+IF(parametros_manuales!$H$29="Todos",datos_base!$J$12,0))*parametros_manuales!$G$112)*parametros_manuales!$I$29*parametros_manuales!$J$29</f>
        <v>17704.51</v>
      </c>
      <c r="H236" s="8">
        <f>(parametros_manuales!$D$29*(datos_base!$J$2+IF(parametros_manuales!$H$29="Todos",datos_base!$J$9,0))*parametros_manuales!$H$97+parametros_manuales!$E$29*(datos_base!$J$3+IF(parametros_manuales!$H$29="Todos",datos_base!$J$10,0))*parametros_manuales!$H$102+parametros_manuales!$F$29*(datos_base!$J$4+IF(parametros_manuales!$H$29="Todos",datos_base!$J$11,0))*parametros_manuales!$H$107+parametros_manuales!$G$29*(datos_base!$J$5+IF(parametros_manuales!$H$29="Todos",datos_base!$J$12,0))*parametros_manuales!$H$112)*parametros_manuales!$I$29*parametros_manuales!$J$29</f>
        <v>18943.275</v>
      </c>
      <c r="I236" s="8">
        <f>(parametros_manuales!$D$29*(datos_base!$J$2+IF(parametros_manuales!$H$29="Todos",datos_base!$J$9,0))*parametros_manuales!$I$97+parametros_manuales!$E$29*(datos_base!$J$3+IF(parametros_manuales!$H$29="Todos",datos_base!$J$10,0))*parametros_manuales!$I$102+parametros_manuales!$F$29*(datos_base!$J$4+IF(parametros_manuales!$H$29="Todos",datos_base!$J$11,0))*parametros_manuales!$I$107+parametros_manuales!$G$29*(datos_base!$J$5+IF(parametros_manuales!$H$29="Todos",datos_base!$J$12,0))*parametros_manuales!$I$112)*parametros_manuales!$I$29*parametros_manuales!$J$29</f>
        <v>21574.17</v>
      </c>
      <c r="J236" s="8">
        <f>(parametros_manuales!$D$29*(datos_base!$J$2+IF(parametros_manuales!$H$29="Todos",datos_base!$J$9,0))*parametros_manuales!$J$97+parametros_manuales!$E$29*(datos_base!$J$3+IF(parametros_manuales!$H$29="Todos",datos_base!$J$10,0))*parametros_manuales!$J$102+parametros_manuales!$F$29*(datos_base!$J$4+IF(parametros_manuales!$H$29="Todos",datos_base!$J$11,0))*parametros_manuales!$J$107+parametros_manuales!$G$29*(datos_base!$J$5+IF(parametros_manuales!$H$29="Todos",datos_base!$J$12,0))*parametros_manuales!$J$112)*parametros_manuales!$I$29*parametros_manuales!$J$29</f>
        <v>21574.17</v>
      </c>
      <c r="K236" s="8">
        <f>(parametros_manuales!$D$29*(datos_base!$J$2+IF(parametros_manuales!$H$29="Todos",datos_base!$J$9,0))*parametros_manuales!$K$97+parametros_manuales!$E$29*(datos_base!$J$3+IF(parametros_manuales!$H$29="Todos",datos_base!$J$10,0))*parametros_manuales!$K$102+parametros_manuales!$F$29*(datos_base!$J$4+IF(parametros_manuales!$H$29="Todos",datos_base!$J$11,0))*parametros_manuales!$K$107+parametros_manuales!$G$29*(datos_base!$J$5+IF(parametros_manuales!$H$29="Todos",datos_base!$J$12,0))*parametros_manuales!$K$112)*parametros_manuales!$I$29*parametros_manuales!$J$29</f>
        <v>21935.97</v>
      </c>
      <c r="L236" s="8">
        <f>(parametros_manuales!$D$29*(datos_base!$J$2+IF(parametros_manuales!$H$29="Todos",datos_base!$J$9,0))*parametros_manuales!$L$97+parametros_manuales!$E$29*(datos_base!$J$3+IF(parametros_manuales!$H$29="Todos",datos_base!$J$10,0))*parametros_manuales!$L$102+parametros_manuales!$F$29*(datos_base!$J$4+IF(parametros_manuales!$H$29="Todos",datos_base!$J$11,0))*parametros_manuales!$L$107+parametros_manuales!$G$29*(datos_base!$J$5+IF(parametros_manuales!$H$29="Todos",datos_base!$J$12,0))*parametros_manuales!$L$112)*parametros_manuales!$I$29*parametros_manuales!$J$29</f>
        <v>22297.77</v>
      </c>
      <c r="M236" s="8">
        <f>(parametros_manuales!$D$29*(datos_base!$J$2+IF(parametros_manuales!$H$29="Todos",datos_base!$J$9,0))*parametros_manuales!$M$97+parametros_manuales!$E$29*(datos_base!$J$3+IF(parametros_manuales!$H$29="Todos",datos_base!$J$10,0))*parametros_manuales!$M$102+parametros_manuales!$F$29*(datos_base!$J$4+IF(parametros_manuales!$H$29="Todos",datos_base!$J$11,0))*parametros_manuales!$M$107+parametros_manuales!$G$29*(datos_base!$J$5+IF(parametros_manuales!$H$29="Todos",datos_base!$J$12,0))*parametros_manuales!$M$112)*parametros_manuales!$I$29*parametros_manuales!$J$29</f>
        <v>22297.77</v>
      </c>
      <c r="N236" s="8">
        <f t="shared" si="25"/>
        <v>247753</v>
      </c>
      <c r="O236" s="8">
        <f t="shared" si="26"/>
        <v>22297.77</v>
      </c>
      <c r="P236" s="27">
        <f>O236/(parametros_manuales!$B$7)</f>
        <v>148.6518</v>
      </c>
      <c r="Q236" s="4" t="str">
        <f t="shared" si="27"/>
        <v>Ene</v>
      </c>
      <c r="R236" s="16"/>
      <c r="S236" s="16"/>
    </row>
    <row r="237" ht="14.25" customHeight="1">
      <c r="A237" s="4" t="str">
        <f>parametros_manuales!$B$30</f>
        <v>Bordoneado</v>
      </c>
      <c r="B237" s="8">
        <f>(parametros_manuales!$D$30*(datos_base!$J$2+IF(parametros_manuales!$H$30="Todos",datos_base!$J$9,0))*parametros_manuales!$B$97+parametros_manuales!$E$30*(datos_base!$J$3+IF(parametros_manuales!$H$30="Todos",datos_base!$J$10,0))*parametros_manuales!$B$102+parametros_manuales!$F$30*(datos_base!$J$4+IF(parametros_manuales!$H$30="Todos",datos_base!$J$11,0))*parametros_manuales!$B$107+parametros_manuales!$G$30*(datos_base!$J$5+IF(parametros_manuales!$H$30="Todos",datos_base!$J$12,0))*parametros_manuales!$B$112)*parametros_manuales!$I$30*parametros_manuales!$J$30</f>
        <v>22297.77</v>
      </c>
      <c r="C237" s="8">
        <f>(parametros_manuales!$D$30*(datos_base!$J$2+IF(parametros_manuales!$H$30="Todos",datos_base!$J$9,0))*parametros_manuales!$C$97+parametros_manuales!$E$30*(datos_base!$J$3+IF(parametros_manuales!$H$30="Todos",datos_base!$J$10,0))*parametros_manuales!$C$102+parametros_manuales!$F$30*(datos_base!$J$4+IF(parametros_manuales!$H$30="Todos",datos_base!$J$11,0))*parametros_manuales!$C$107+parametros_manuales!$G$30*(datos_base!$J$5+IF(parametros_manuales!$H$30="Todos",datos_base!$J$12,0))*parametros_manuales!$C$112)*parametros_manuales!$I$30*parametros_manuales!$J$30</f>
        <v>21574.17</v>
      </c>
      <c r="D237" s="8">
        <f>(parametros_manuales!$D$30*(datos_base!$J$2+IF(parametros_manuales!$H$30="Todos",datos_base!$J$9,0))*parametros_manuales!$D$97+parametros_manuales!$E$30*(datos_base!$J$3+IF(parametros_manuales!$H$30="Todos",datos_base!$J$10,0))*parametros_manuales!$D$102+parametros_manuales!$F$30*(datos_base!$J$4+IF(parametros_manuales!$H$30="Todos",datos_base!$J$11,0))*parametros_manuales!$D$107+parametros_manuales!$G$30*(datos_base!$J$5+IF(parametros_manuales!$H$30="Todos",datos_base!$J$12,0))*parametros_manuales!$D$112)*parametros_manuales!$I$30*parametros_manuales!$J$30</f>
        <v>20182.04</v>
      </c>
      <c r="E237" s="8">
        <f>(parametros_manuales!$D$30*(datos_base!$J$2+IF(parametros_manuales!$H$30="Todos",datos_base!$J$9,0))*parametros_manuales!$E$97+parametros_manuales!$E$30*(datos_base!$J$3+IF(parametros_manuales!$H$30="Todos",datos_base!$J$10,0))*parametros_manuales!$E$102+parametros_manuales!$F$30*(datos_base!$J$4+IF(parametros_manuales!$H$30="Todos",datos_base!$J$11,0))*parametros_manuales!$E$107+parametros_manuales!$G$30*(datos_base!$J$5+IF(parametros_manuales!$H$30="Todos",datos_base!$J$12,0))*parametros_manuales!$E$112)*parametros_manuales!$I$30*parametros_manuales!$J$30</f>
        <v>19305.075</v>
      </c>
      <c r="F237" s="8">
        <f>(parametros_manuales!$D$30*(datos_base!$J$2+IF(parametros_manuales!$H$30="Todos",datos_base!$J$9,0))*parametros_manuales!$F$97+parametros_manuales!$E$30*(datos_base!$J$3+IF(parametros_manuales!$H$30="Todos",datos_base!$J$10,0))*parametros_manuales!$F$102+parametros_manuales!$F$30*(datos_base!$J$4+IF(parametros_manuales!$H$30="Todos",datos_base!$J$11,0))*parametros_manuales!$F$107+parametros_manuales!$G$30*(datos_base!$J$5+IF(parametros_manuales!$H$30="Todos",datos_base!$J$12,0))*parametros_manuales!$F$112)*parametros_manuales!$I$30*parametros_manuales!$J$30</f>
        <v>18066.31</v>
      </c>
      <c r="G237" s="8">
        <f>(parametros_manuales!$D$30*(datos_base!$J$2+IF(parametros_manuales!$H$30="Todos",datos_base!$J$9,0))*parametros_manuales!$G$97+parametros_manuales!$E$30*(datos_base!$J$3+IF(parametros_manuales!$H$30="Todos",datos_base!$J$10,0))*parametros_manuales!$G$102+parametros_manuales!$F$30*(datos_base!$J$4+IF(parametros_manuales!$H$30="Todos",datos_base!$J$11,0))*parametros_manuales!$G$107+parametros_manuales!$G$30*(datos_base!$J$5+IF(parametros_manuales!$H$30="Todos",datos_base!$J$12,0))*parametros_manuales!$G$112)*parametros_manuales!$I$30*parametros_manuales!$J$30</f>
        <v>17704.51</v>
      </c>
      <c r="H237" s="8">
        <f>(parametros_manuales!$D$30*(datos_base!$J$2+IF(parametros_manuales!$H$30="Todos",datos_base!$J$9,0))*parametros_manuales!$H$97+parametros_manuales!$E$30*(datos_base!$J$3+IF(parametros_manuales!$H$30="Todos",datos_base!$J$10,0))*parametros_manuales!$H$102+parametros_manuales!$F$30*(datos_base!$J$4+IF(parametros_manuales!$H$30="Todos",datos_base!$J$11,0))*parametros_manuales!$H$107+parametros_manuales!$G$30*(datos_base!$J$5+IF(parametros_manuales!$H$30="Todos",datos_base!$J$12,0))*parametros_manuales!$H$112)*parametros_manuales!$I$30*parametros_manuales!$J$30</f>
        <v>18943.275</v>
      </c>
      <c r="I237" s="8">
        <f>(parametros_manuales!$D$30*(datos_base!$J$2+IF(parametros_manuales!$H$30="Todos",datos_base!$J$9,0))*parametros_manuales!$I$97+parametros_manuales!$E$30*(datos_base!$J$3+IF(parametros_manuales!$H$30="Todos",datos_base!$J$10,0))*parametros_manuales!$I$102+parametros_manuales!$F$30*(datos_base!$J$4+IF(parametros_manuales!$H$30="Todos",datos_base!$J$11,0))*parametros_manuales!$I$107+parametros_manuales!$G$30*(datos_base!$J$5+IF(parametros_manuales!$H$30="Todos",datos_base!$J$12,0))*parametros_manuales!$I$112)*parametros_manuales!$I$30*parametros_manuales!$J$30</f>
        <v>21574.17</v>
      </c>
      <c r="J237" s="8">
        <f>(parametros_manuales!$D$30*(datos_base!$J$2+IF(parametros_manuales!$H$30="Todos",datos_base!$J$9,0))*parametros_manuales!$J$97+parametros_manuales!$E$30*(datos_base!$J$3+IF(parametros_manuales!$H$30="Todos",datos_base!$J$10,0))*parametros_manuales!$J$102+parametros_manuales!$F$30*(datos_base!$J$4+IF(parametros_manuales!$H$30="Todos",datos_base!$J$11,0))*parametros_manuales!$J$107+parametros_manuales!$G$30*(datos_base!$J$5+IF(parametros_manuales!$H$30="Todos",datos_base!$J$12,0))*parametros_manuales!$J$112)*parametros_manuales!$I$30*parametros_manuales!$J$30</f>
        <v>21574.17</v>
      </c>
      <c r="K237" s="8">
        <f>(parametros_manuales!$D$30*(datos_base!$J$2+IF(parametros_manuales!$H$30="Todos",datos_base!$J$9,0))*parametros_manuales!$K$97+parametros_manuales!$E$30*(datos_base!$J$3+IF(parametros_manuales!$H$30="Todos",datos_base!$J$10,0))*parametros_manuales!$K$102+parametros_manuales!$F$30*(datos_base!$J$4+IF(parametros_manuales!$H$30="Todos",datos_base!$J$11,0))*parametros_manuales!$K$107+parametros_manuales!$G$30*(datos_base!$J$5+IF(parametros_manuales!$H$30="Todos",datos_base!$J$12,0))*parametros_manuales!$K$112)*parametros_manuales!$I$30*parametros_manuales!$J$30</f>
        <v>21935.97</v>
      </c>
      <c r="L237" s="8">
        <f>(parametros_manuales!$D$30*(datos_base!$J$2+IF(parametros_manuales!$H$30="Todos",datos_base!$J$9,0))*parametros_manuales!$L$97+parametros_manuales!$E$30*(datos_base!$J$3+IF(parametros_manuales!$H$30="Todos",datos_base!$J$10,0))*parametros_manuales!$L$102+parametros_manuales!$F$30*(datos_base!$J$4+IF(parametros_manuales!$H$30="Todos",datos_base!$J$11,0))*parametros_manuales!$L$107+parametros_manuales!$G$30*(datos_base!$J$5+IF(parametros_manuales!$H$30="Todos",datos_base!$J$12,0))*parametros_manuales!$L$112)*parametros_manuales!$I$30*parametros_manuales!$J$30</f>
        <v>22297.77</v>
      </c>
      <c r="M237" s="8">
        <f>(parametros_manuales!$D$30*(datos_base!$J$2+IF(parametros_manuales!$H$30="Todos",datos_base!$J$9,0))*parametros_manuales!$M$97+parametros_manuales!$E$30*(datos_base!$J$3+IF(parametros_manuales!$H$30="Todos",datos_base!$J$10,0))*parametros_manuales!$M$102+parametros_manuales!$F$30*(datos_base!$J$4+IF(parametros_manuales!$H$30="Todos",datos_base!$J$11,0))*parametros_manuales!$M$107+parametros_manuales!$G$30*(datos_base!$J$5+IF(parametros_manuales!$H$30="Todos",datos_base!$J$12,0))*parametros_manuales!$M$112)*parametros_manuales!$I$30*parametros_manuales!$J$30</f>
        <v>22297.77</v>
      </c>
      <c r="N237" s="8">
        <f t="shared" si="25"/>
        <v>247753</v>
      </c>
      <c r="O237" s="8">
        <f t="shared" si="26"/>
        <v>22297.77</v>
      </c>
      <c r="P237" s="27">
        <f>O237/(parametros_manuales!$B$7)</f>
        <v>148.6518</v>
      </c>
      <c r="Q237" s="4" t="str">
        <f t="shared" si="27"/>
        <v>Ene</v>
      </c>
      <c r="R237" s="16"/>
      <c r="S237" s="16"/>
    </row>
    <row r="238" ht="14.25" customHeight="1">
      <c r="A238" s="4" t="str">
        <f>parametros_manuales!$B$31</f>
        <v>Soldadura circunferencial de cúpula y fondo</v>
      </c>
      <c r="B238" s="8">
        <f>(parametros_manuales!$D$31*(datos_base!$J$2+IF(parametros_manuales!$H$31="Todos",datos_base!$J$9,0))*parametros_manuales!$B$97+parametros_manuales!$E$31*(datos_base!$J$3+IF(parametros_manuales!$H$31="Todos",datos_base!$J$10,0))*parametros_manuales!$B$102+parametros_manuales!$F$31*(datos_base!$J$4+IF(parametros_manuales!$H$31="Todos",datos_base!$J$11,0))*parametros_manuales!$B$107+parametros_manuales!$G$31*(datos_base!$J$5+IF(parametros_manuales!$H$31="Todos",datos_base!$J$12,0))*parametros_manuales!$B$112)*parametros_manuales!$I$31*parametros_manuales!$J$31</f>
        <v>22297.77</v>
      </c>
      <c r="C238" s="8">
        <f>(parametros_manuales!$D$31*(datos_base!$J$2+IF(parametros_manuales!$H$31="Todos",datos_base!$J$9,0))*parametros_manuales!$C$97+parametros_manuales!$E$31*(datos_base!$J$3+IF(parametros_manuales!$H$31="Todos",datos_base!$J$10,0))*parametros_manuales!$C$102+parametros_manuales!$F$31*(datos_base!$J$4+IF(parametros_manuales!$H$31="Todos",datos_base!$J$11,0))*parametros_manuales!$C$107+parametros_manuales!$G$31*(datos_base!$J$5+IF(parametros_manuales!$H$31="Todos",datos_base!$J$12,0))*parametros_manuales!$C$112)*parametros_manuales!$I$31*parametros_manuales!$J$31</f>
        <v>21574.17</v>
      </c>
      <c r="D238" s="8">
        <f>(parametros_manuales!$D$31*(datos_base!$J$2+IF(parametros_manuales!$H$31="Todos",datos_base!$J$9,0))*parametros_manuales!$D$97+parametros_manuales!$E$31*(datos_base!$J$3+IF(parametros_manuales!$H$31="Todos",datos_base!$J$10,0))*parametros_manuales!$D$102+parametros_manuales!$F$31*(datos_base!$J$4+IF(parametros_manuales!$H$31="Todos",datos_base!$J$11,0))*parametros_manuales!$D$107+parametros_manuales!$G$31*(datos_base!$J$5+IF(parametros_manuales!$H$31="Todos",datos_base!$J$12,0))*parametros_manuales!$D$112)*parametros_manuales!$I$31*parametros_manuales!$J$31</f>
        <v>20182.04</v>
      </c>
      <c r="E238" s="8">
        <f>(parametros_manuales!$D$31*(datos_base!$J$2+IF(parametros_manuales!$H$31="Todos",datos_base!$J$9,0))*parametros_manuales!$E$97+parametros_manuales!$E$31*(datos_base!$J$3+IF(parametros_manuales!$H$31="Todos",datos_base!$J$10,0))*parametros_manuales!$E$102+parametros_manuales!$F$31*(datos_base!$J$4+IF(parametros_manuales!$H$31="Todos",datos_base!$J$11,0))*parametros_manuales!$E$107+parametros_manuales!$G$31*(datos_base!$J$5+IF(parametros_manuales!$H$31="Todos",datos_base!$J$12,0))*parametros_manuales!$E$112)*parametros_manuales!$I$31*parametros_manuales!$J$31</f>
        <v>19305.075</v>
      </c>
      <c r="F238" s="8">
        <f>(parametros_manuales!$D$31*(datos_base!$J$2+IF(parametros_manuales!$H$31="Todos",datos_base!$J$9,0))*parametros_manuales!$F$97+parametros_manuales!$E$31*(datos_base!$J$3+IF(parametros_manuales!$H$31="Todos",datos_base!$J$10,0))*parametros_manuales!$F$102+parametros_manuales!$F$31*(datos_base!$J$4+IF(parametros_manuales!$H$31="Todos",datos_base!$J$11,0))*parametros_manuales!$F$107+parametros_manuales!$G$31*(datos_base!$J$5+IF(parametros_manuales!$H$31="Todos",datos_base!$J$12,0))*parametros_manuales!$F$112)*parametros_manuales!$I$31*parametros_manuales!$J$31</f>
        <v>18066.31</v>
      </c>
      <c r="G238" s="8">
        <f>(parametros_manuales!$D$31*(datos_base!$J$2+IF(parametros_manuales!$H$31="Todos",datos_base!$J$9,0))*parametros_manuales!$G$97+parametros_manuales!$E$31*(datos_base!$J$3+IF(parametros_manuales!$H$31="Todos",datos_base!$J$10,0))*parametros_manuales!$G$102+parametros_manuales!$F$31*(datos_base!$J$4+IF(parametros_manuales!$H$31="Todos",datos_base!$J$11,0))*parametros_manuales!$G$107+parametros_manuales!$G$31*(datos_base!$J$5+IF(parametros_manuales!$H$31="Todos",datos_base!$J$12,0))*parametros_manuales!$G$112)*parametros_manuales!$I$31*parametros_manuales!$J$31</f>
        <v>17704.51</v>
      </c>
      <c r="H238" s="8">
        <f>(parametros_manuales!$D$31*(datos_base!$J$2+IF(parametros_manuales!$H$31="Todos",datos_base!$J$9,0))*parametros_manuales!$H$97+parametros_manuales!$E$31*(datos_base!$J$3+IF(parametros_manuales!$H$31="Todos",datos_base!$J$10,0))*parametros_manuales!$H$102+parametros_manuales!$F$31*(datos_base!$J$4+IF(parametros_manuales!$H$31="Todos",datos_base!$J$11,0))*parametros_manuales!$H$107+parametros_manuales!$G$31*(datos_base!$J$5+IF(parametros_manuales!$H$31="Todos",datos_base!$J$12,0))*parametros_manuales!$H$112)*parametros_manuales!$I$31*parametros_manuales!$J$31</f>
        <v>18943.275</v>
      </c>
      <c r="I238" s="8">
        <f>(parametros_manuales!$D$31*(datos_base!$J$2+IF(parametros_manuales!$H$31="Todos",datos_base!$J$9,0))*parametros_manuales!$I$97+parametros_manuales!$E$31*(datos_base!$J$3+IF(parametros_manuales!$H$31="Todos",datos_base!$J$10,0))*parametros_manuales!$I$102+parametros_manuales!$F$31*(datos_base!$J$4+IF(parametros_manuales!$H$31="Todos",datos_base!$J$11,0))*parametros_manuales!$I$107+parametros_manuales!$G$31*(datos_base!$J$5+IF(parametros_manuales!$H$31="Todos",datos_base!$J$12,0))*parametros_manuales!$I$112)*parametros_manuales!$I$31*parametros_manuales!$J$31</f>
        <v>21574.17</v>
      </c>
      <c r="J238" s="8">
        <f>(parametros_manuales!$D$31*(datos_base!$J$2+IF(parametros_manuales!$H$31="Todos",datos_base!$J$9,0))*parametros_manuales!$J$97+parametros_manuales!$E$31*(datos_base!$J$3+IF(parametros_manuales!$H$31="Todos",datos_base!$J$10,0))*parametros_manuales!$J$102+parametros_manuales!$F$31*(datos_base!$J$4+IF(parametros_manuales!$H$31="Todos",datos_base!$J$11,0))*parametros_manuales!$J$107+parametros_manuales!$G$31*(datos_base!$J$5+IF(parametros_manuales!$H$31="Todos",datos_base!$J$12,0))*parametros_manuales!$J$112)*parametros_manuales!$I$31*parametros_manuales!$J$31</f>
        <v>21574.17</v>
      </c>
      <c r="K238" s="8">
        <f>(parametros_manuales!$D$31*(datos_base!$J$2+IF(parametros_manuales!$H$31="Todos",datos_base!$J$9,0))*parametros_manuales!$K$97+parametros_manuales!$E$31*(datos_base!$J$3+IF(parametros_manuales!$H$31="Todos",datos_base!$J$10,0))*parametros_manuales!$K$102+parametros_manuales!$F$31*(datos_base!$J$4+IF(parametros_manuales!$H$31="Todos",datos_base!$J$11,0))*parametros_manuales!$K$107+parametros_manuales!$G$31*(datos_base!$J$5+IF(parametros_manuales!$H$31="Todos",datos_base!$J$12,0))*parametros_manuales!$K$112)*parametros_manuales!$I$31*parametros_manuales!$J$31</f>
        <v>21935.97</v>
      </c>
      <c r="L238" s="8">
        <f>(parametros_manuales!$D$31*(datos_base!$J$2+IF(parametros_manuales!$H$31="Todos",datos_base!$J$9,0))*parametros_manuales!$L$97+parametros_manuales!$E$31*(datos_base!$J$3+IF(parametros_manuales!$H$31="Todos",datos_base!$J$10,0))*parametros_manuales!$L$102+parametros_manuales!$F$31*(datos_base!$J$4+IF(parametros_manuales!$H$31="Todos",datos_base!$J$11,0))*parametros_manuales!$L$107+parametros_manuales!$G$31*(datos_base!$J$5+IF(parametros_manuales!$H$31="Todos",datos_base!$J$12,0))*parametros_manuales!$L$112)*parametros_manuales!$I$31*parametros_manuales!$J$31</f>
        <v>22297.77</v>
      </c>
      <c r="M238" s="8">
        <f>(parametros_manuales!$D$31*(datos_base!$J$2+IF(parametros_manuales!$H$31="Todos",datos_base!$J$9,0))*parametros_manuales!$M$97+parametros_manuales!$E$31*(datos_base!$J$3+IF(parametros_manuales!$H$31="Todos",datos_base!$J$10,0))*parametros_manuales!$M$102+parametros_manuales!$F$31*(datos_base!$J$4+IF(parametros_manuales!$H$31="Todos",datos_base!$J$11,0))*parametros_manuales!$M$107+parametros_manuales!$G$31*(datos_base!$J$5+IF(parametros_manuales!$H$31="Todos",datos_base!$J$12,0))*parametros_manuales!$M$112)*parametros_manuales!$I$31*parametros_manuales!$J$31</f>
        <v>22297.77</v>
      </c>
      <c r="N238" s="8">
        <f t="shared" si="25"/>
        <v>247753</v>
      </c>
      <c r="O238" s="8">
        <f t="shared" si="26"/>
        <v>22297.77</v>
      </c>
      <c r="P238" s="27">
        <f>O238/(parametros_manuales!$B$7)</f>
        <v>148.6518</v>
      </c>
      <c r="Q238" s="4" t="str">
        <f t="shared" si="27"/>
        <v>Ene</v>
      </c>
      <c r="R238" s="16"/>
      <c r="S238" s="16"/>
    </row>
    <row r="239" ht="14.25" customHeight="1">
      <c r="A239" s="4" t="str">
        <f>parametros_manuales!$B$32</f>
        <v>Control de calidad — Espesor</v>
      </c>
      <c r="B239" s="8">
        <f>(parametros_manuales!$D$32*(datos_base!$J$2+IF(parametros_manuales!$H$32="Todos",datos_base!$J$9,0))*parametros_manuales!$B$97+parametros_manuales!$E$32*(datos_base!$J$3+IF(parametros_manuales!$H$32="Todos",datos_base!$J$10,0))*parametros_manuales!$B$102+parametros_manuales!$F$32*(datos_base!$J$4+IF(parametros_manuales!$H$32="Todos",datos_base!$J$11,0))*parametros_manuales!$B$107+parametros_manuales!$G$32*(datos_base!$J$5+IF(parametros_manuales!$H$32="Todos",datos_base!$J$12,0))*parametros_manuales!$B$112)*parametros_manuales!$I$32*parametros_manuales!$J$32</f>
        <v>445.9554</v>
      </c>
      <c r="C239" s="8">
        <f>(parametros_manuales!$D$32*(datos_base!$J$2+IF(parametros_manuales!$H$32="Todos",datos_base!$J$9,0))*parametros_manuales!$C$97+parametros_manuales!$E$32*(datos_base!$J$3+IF(parametros_manuales!$H$32="Todos",datos_base!$J$10,0))*parametros_manuales!$C$102+parametros_manuales!$F$32*(datos_base!$J$4+IF(parametros_manuales!$H$32="Todos",datos_base!$J$11,0))*parametros_manuales!$C$107+parametros_manuales!$G$32*(datos_base!$J$5+IF(parametros_manuales!$H$32="Todos",datos_base!$J$12,0))*parametros_manuales!$C$112)*parametros_manuales!$I$32*parametros_manuales!$J$32</f>
        <v>431.4834</v>
      </c>
      <c r="D239" s="8">
        <f>(parametros_manuales!$D$32*(datos_base!$J$2+IF(parametros_manuales!$H$32="Todos",datos_base!$J$9,0))*parametros_manuales!$D$97+parametros_manuales!$E$32*(datos_base!$J$3+IF(parametros_manuales!$H$32="Todos",datos_base!$J$10,0))*parametros_manuales!$D$102+parametros_manuales!$F$32*(datos_base!$J$4+IF(parametros_manuales!$H$32="Todos",datos_base!$J$11,0))*parametros_manuales!$D$107+parametros_manuales!$G$32*(datos_base!$J$5+IF(parametros_manuales!$H$32="Todos",datos_base!$J$12,0))*parametros_manuales!$D$112)*parametros_manuales!$I$32*parametros_manuales!$J$32</f>
        <v>403.6408</v>
      </c>
      <c r="E239" s="8">
        <f>(parametros_manuales!$D$32*(datos_base!$J$2+IF(parametros_manuales!$H$32="Todos",datos_base!$J$9,0))*parametros_manuales!$E$97+parametros_manuales!$E$32*(datos_base!$J$3+IF(parametros_manuales!$H$32="Todos",datos_base!$J$10,0))*parametros_manuales!$E$102+parametros_manuales!$F$32*(datos_base!$J$4+IF(parametros_manuales!$H$32="Todos",datos_base!$J$11,0))*parametros_manuales!$E$107+parametros_manuales!$G$32*(datos_base!$J$5+IF(parametros_manuales!$H$32="Todos",datos_base!$J$12,0))*parametros_manuales!$E$112)*parametros_manuales!$I$32*parametros_manuales!$J$32</f>
        <v>386.1015</v>
      </c>
      <c r="F239" s="8">
        <f>(parametros_manuales!$D$32*(datos_base!$J$2+IF(parametros_manuales!$H$32="Todos",datos_base!$J$9,0))*parametros_manuales!$F$97+parametros_manuales!$E$32*(datos_base!$J$3+IF(parametros_manuales!$H$32="Todos",datos_base!$J$10,0))*parametros_manuales!$F$102+parametros_manuales!$F$32*(datos_base!$J$4+IF(parametros_manuales!$H$32="Todos",datos_base!$J$11,0))*parametros_manuales!$F$107+parametros_manuales!$G$32*(datos_base!$J$5+IF(parametros_manuales!$H$32="Todos",datos_base!$J$12,0))*parametros_manuales!$F$112)*parametros_manuales!$I$32*parametros_manuales!$J$32</f>
        <v>361.3262</v>
      </c>
      <c r="G239" s="8">
        <f>(parametros_manuales!$D$32*(datos_base!$J$2+IF(parametros_manuales!$H$32="Todos",datos_base!$J$9,0))*parametros_manuales!$G$97+parametros_manuales!$E$32*(datos_base!$J$3+IF(parametros_manuales!$H$32="Todos",datos_base!$J$10,0))*parametros_manuales!$G$102+parametros_manuales!$F$32*(datos_base!$J$4+IF(parametros_manuales!$H$32="Todos",datos_base!$J$11,0))*parametros_manuales!$G$107+parametros_manuales!$G$32*(datos_base!$J$5+IF(parametros_manuales!$H$32="Todos",datos_base!$J$12,0))*parametros_manuales!$G$112)*parametros_manuales!$I$32*parametros_manuales!$J$32</f>
        <v>354.0902</v>
      </c>
      <c r="H239" s="8">
        <f>(parametros_manuales!$D$32*(datos_base!$J$2+IF(parametros_manuales!$H$32="Todos",datos_base!$J$9,0))*parametros_manuales!$H$97+parametros_manuales!$E$32*(datos_base!$J$3+IF(parametros_manuales!$H$32="Todos",datos_base!$J$10,0))*parametros_manuales!$H$102+parametros_manuales!$F$32*(datos_base!$J$4+IF(parametros_manuales!$H$32="Todos",datos_base!$J$11,0))*parametros_manuales!$H$107+parametros_manuales!$G$32*(datos_base!$J$5+IF(parametros_manuales!$H$32="Todos",datos_base!$J$12,0))*parametros_manuales!$H$112)*parametros_manuales!$I$32*parametros_manuales!$J$32</f>
        <v>378.8655</v>
      </c>
      <c r="I239" s="8">
        <f>(parametros_manuales!$D$32*(datos_base!$J$2+IF(parametros_manuales!$H$32="Todos",datos_base!$J$9,0))*parametros_manuales!$I$97+parametros_manuales!$E$32*(datos_base!$J$3+IF(parametros_manuales!$H$32="Todos",datos_base!$J$10,0))*parametros_manuales!$I$102+parametros_manuales!$F$32*(datos_base!$J$4+IF(parametros_manuales!$H$32="Todos",datos_base!$J$11,0))*parametros_manuales!$I$107+parametros_manuales!$G$32*(datos_base!$J$5+IF(parametros_manuales!$H$32="Todos",datos_base!$J$12,0))*parametros_manuales!$I$112)*parametros_manuales!$I$32*parametros_manuales!$J$32</f>
        <v>431.4834</v>
      </c>
      <c r="J239" s="8">
        <f>(parametros_manuales!$D$32*(datos_base!$J$2+IF(parametros_manuales!$H$32="Todos",datos_base!$J$9,0))*parametros_manuales!$J$97+parametros_manuales!$E$32*(datos_base!$J$3+IF(parametros_manuales!$H$32="Todos",datos_base!$J$10,0))*parametros_manuales!$J$102+parametros_manuales!$F$32*(datos_base!$J$4+IF(parametros_manuales!$H$32="Todos",datos_base!$J$11,0))*parametros_manuales!$J$107+parametros_manuales!$G$32*(datos_base!$J$5+IF(parametros_manuales!$H$32="Todos",datos_base!$J$12,0))*parametros_manuales!$J$112)*parametros_manuales!$I$32*parametros_manuales!$J$32</f>
        <v>431.4834</v>
      </c>
      <c r="K239" s="8">
        <f>(parametros_manuales!$D$32*(datos_base!$J$2+IF(parametros_manuales!$H$32="Todos",datos_base!$J$9,0))*parametros_manuales!$K$97+parametros_manuales!$E$32*(datos_base!$J$3+IF(parametros_manuales!$H$32="Todos",datos_base!$J$10,0))*parametros_manuales!$K$102+parametros_manuales!$F$32*(datos_base!$J$4+IF(parametros_manuales!$H$32="Todos",datos_base!$J$11,0))*parametros_manuales!$K$107+parametros_manuales!$G$32*(datos_base!$J$5+IF(parametros_manuales!$H$32="Todos",datos_base!$J$12,0))*parametros_manuales!$K$112)*parametros_manuales!$I$32*parametros_manuales!$J$32</f>
        <v>438.7194</v>
      </c>
      <c r="L239" s="8">
        <f>(parametros_manuales!$D$32*(datos_base!$J$2+IF(parametros_manuales!$H$32="Todos",datos_base!$J$9,0))*parametros_manuales!$L$97+parametros_manuales!$E$32*(datos_base!$J$3+IF(parametros_manuales!$H$32="Todos",datos_base!$J$10,0))*parametros_manuales!$L$102+parametros_manuales!$F$32*(datos_base!$J$4+IF(parametros_manuales!$H$32="Todos",datos_base!$J$11,0))*parametros_manuales!$L$107+parametros_manuales!$G$32*(datos_base!$J$5+IF(parametros_manuales!$H$32="Todos",datos_base!$J$12,0))*parametros_manuales!$L$112)*parametros_manuales!$I$32*parametros_manuales!$J$32</f>
        <v>445.9554</v>
      </c>
      <c r="M239" s="8">
        <f>(parametros_manuales!$D$32*(datos_base!$J$2+IF(parametros_manuales!$H$32="Todos",datos_base!$J$9,0))*parametros_manuales!$M$97+parametros_manuales!$E$32*(datos_base!$J$3+IF(parametros_manuales!$H$32="Todos",datos_base!$J$10,0))*parametros_manuales!$M$102+parametros_manuales!$F$32*(datos_base!$J$4+IF(parametros_manuales!$H$32="Todos",datos_base!$J$11,0))*parametros_manuales!$M$107+parametros_manuales!$G$32*(datos_base!$J$5+IF(parametros_manuales!$H$32="Todos",datos_base!$J$12,0))*parametros_manuales!$M$112)*parametros_manuales!$I$32*parametros_manuales!$J$32</f>
        <v>445.9554</v>
      </c>
      <c r="N239" s="8">
        <f t="shared" si="25"/>
        <v>4955.06</v>
      </c>
      <c r="O239" s="8">
        <f t="shared" si="26"/>
        <v>445.9554</v>
      </c>
      <c r="P239" s="27">
        <f>O239/(parametros_manuales!$B$7)</f>
        <v>2.973036</v>
      </c>
      <c r="Q239" s="4" t="str">
        <f t="shared" si="27"/>
        <v>Ene</v>
      </c>
      <c r="R239" s="16"/>
      <c r="S239" s="16"/>
    </row>
    <row r="240" ht="14.25" customHeight="1">
      <c r="A240" s="4" t="str">
        <f>parametros_manuales!$B$33</f>
        <v>Prueba hidráulica</v>
      </c>
      <c r="B240" s="8">
        <f>(parametros_manuales!$D$33*(datos_base!$J$2+IF(parametros_manuales!$H$33="Todos",datos_base!$J$9,0))*parametros_manuales!$B$97+parametros_manuales!$E$33*(datos_base!$J$3+IF(parametros_manuales!$H$33="Todos",datos_base!$J$10,0))*parametros_manuales!$B$102+parametros_manuales!$F$33*(datos_base!$J$4+IF(parametros_manuales!$H$33="Todos",datos_base!$J$11,0))*parametros_manuales!$B$107+parametros_manuales!$G$33*(datos_base!$J$5+IF(parametros_manuales!$H$33="Todos",datos_base!$J$12,0))*parametros_manuales!$B$112)*parametros_manuales!$I$33*parametros_manuales!$J$33</f>
        <v>22297.77</v>
      </c>
      <c r="C240" s="8">
        <f>(parametros_manuales!$D$33*(datos_base!$J$2+IF(parametros_manuales!$H$33="Todos",datos_base!$J$9,0))*parametros_manuales!$C$97+parametros_manuales!$E$33*(datos_base!$J$3+IF(parametros_manuales!$H$33="Todos",datos_base!$J$10,0))*parametros_manuales!$C$102+parametros_manuales!$F$33*(datos_base!$J$4+IF(parametros_manuales!$H$33="Todos",datos_base!$J$11,0))*parametros_manuales!$C$107+parametros_manuales!$G$33*(datos_base!$J$5+IF(parametros_manuales!$H$33="Todos",datos_base!$J$12,0))*parametros_manuales!$C$112)*parametros_manuales!$I$33*parametros_manuales!$J$33</f>
        <v>21574.17</v>
      </c>
      <c r="D240" s="8">
        <f>(parametros_manuales!$D$33*(datos_base!$J$2+IF(parametros_manuales!$H$33="Todos",datos_base!$J$9,0))*parametros_manuales!$D$97+parametros_manuales!$E$33*(datos_base!$J$3+IF(parametros_manuales!$H$33="Todos",datos_base!$J$10,0))*parametros_manuales!$D$102+parametros_manuales!$F$33*(datos_base!$J$4+IF(parametros_manuales!$H$33="Todos",datos_base!$J$11,0))*parametros_manuales!$D$107+parametros_manuales!$G$33*(datos_base!$J$5+IF(parametros_manuales!$H$33="Todos",datos_base!$J$12,0))*parametros_manuales!$D$112)*parametros_manuales!$I$33*parametros_manuales!$J$33</f>
        <v>20182.04</v>
      </c>
      <c r="E240" s="8">
        <f>(parametros_manuales!$D$33*(datos_base!$J$2+IF(parametros_manuales!$H$33="Todos",datos_base!$J$9,0))*parametros_manuales!$E$97+parametros_manuales!$E$33*(datos_base!$J$3+IF(parametros_manuales!$H$33="Todos",datos_base!$J$10,0))*parametros_manuales!$E$102+parametros_manuales!$F$33*(datos_base!$J$4+IF(parametros_manuales!$H$33="Todos",datos_base!$J$11,0))*parametros_manuales!$E$107+parametros_manuales!$G$33*(datos_base!$J$5+IF(parametros_manuales!$H$33="Todos",datos_base!$J$12,0))*parametros_manuales!$E$112)*parametros_manuales!$I$33*parametros_manuales!$J$33</f>
        <v>19305.075</v>
      </c>
      <c r="F240" s="8">
        <f>(parametros_manuales!$D$33*(datos_base!$J$2+IF(parametros_manuales!$H$33="Todos",datos_base!$J$9,0))*parametros_manuales!$F$97+parametros_manuales!$E$33*(datos_base!$J$3+IF(parametros_manuales!$H$33="Todos",datos_base!$J$10,0))*parametros_manuales!$F$102+parametros_manuales!$F$33*(datos_base!$J$4+IF(parametros_manuales!$H$33="Todos",datos_base!$J$11,0))*parametros_manuales!$F$107+parametros_manuales!$G$33*(datos_base!$J$5+IF(parametros_manuales!$H$33="Todos",datos_base!$J$12,0))*parametros_manuales!$F$112)*parametros_manuales!$I$33*parametros_manuales!$J$33</f>
        <v>18066.31</v>
      </c>
      <c r="G240" s="8">
        <f>(parametros_manuales!$D$33*(datos_base!$J$2+IF(parametros_manuales!$H$33="Todos",datos_base!$J$9,0))*parametros_manuales!$G$97+parametros_manuales!$E$33*(datos_base!$J$3+IF(parametros_manuales!$H$33="Todos",datos_base!$J$10,0))*parametros_manuales!$G$102+parametros_manuales!$F$33*(datos_base!$J$4+IF(parametros_manuales!$H$33="Todos",datos_base!$J$11,0))*parametros_manuales!$G$107+parametros_manuales!$G$33*(datos_base!$J$5+IF(parametros_manuales!$H$33="Todos",datos_base!$J$12,0))*parametros_manuales!$G$112)*parametros_manuales!$I$33*parametros_manuales!$J$33</f>
        <v>17704.51</v>
      </c>
      <c r="H240" s="8">
        <f>(parametros_manuales!$D$33*(datos_base!$J$2+IF(parametros_manuales!$H$33="Todos",datos_base!$J$9,0))*parametros_manuales!$H$97+parametros_manuales!$E$33*(datos_base!$J$3+IF(parametros_manuales!$H$33="Todos",datos_base!$J$10,0))*parametros_manuales!$H$102+parametros_manuales!$F$33*(datos_base!$J$4+IF(parametros_manuales!$H$33="Todos",datos_base!$J$11,0))*parametros_manuales!$H$107+parametros_manuales!$G$33*(datos_base!$J$5+IF(parametros_manuales!$H$33="Todos",datos_base!$J$12,0))*parametros_manuales!$H$112)*parametros_manuales!$I$33*parametros_manuales!$J$33</f>
        <v>18943.275</v>
      </c>
      <c r="I240" s="8">
        <f>(parametros_manuales!$D$33*(datos_base!$J$2+IF(parametros_manuales!$H$33="Todos",datos_base!$J$9,0))*parametros_manuales!$I$97+parametros_manuales!$E$33*(datos_base!$J$3+IF(parametros_manuales!$H$33="Todos",datos_base!$J$10,0))*parametros_manuales!$I$102+parametros_manuales!$F$33*(datos_base!$J$4+IF(parametros_manuales!$H$33="Todos",datos_base!$J$11,0))*parametros_manuales!$I$107+parametros_manuales!$G$33*(datos_base!$J$5+IF(parametros_manuales!$H$33="Todos",datos_base!$J$12,0))*parametros_manuales!$I$112)*parametros_manuales!$I$33*parametros_manuales!$J$33</f>
        <v>21574.17</v>
      </c>
      <c r="J240" s="8">
        <f>(parametros_manuales!$D$33*(datos_base!$J$2+IF(parametros_manuales!$H$33="Todos",datos_base!$J$9,0))*parametros_manuales!$J$97+parametros_manuales!$E$33*(datos_base!$J$3+IF(parametros_manuales!$H$33="Todos",datos_base!$J$10,0))*parametros_manuales!$J$102+parametros_manuales!$F$33*(datos_base!$J$4+IF(parametros_manuales!$H$33="Todos",datos_base!$J$11,0))*parametros_manuales!$J$107+parametros_manuales!$G$33*(datos_base!$J$5+IF(parametros_manuales!$H$33="Todos",datos_base!$J$12,0))*parametros_manuales!$J$112)*parametros_manuales!$I$33*parametros_manuales!$J$33</f>
        <v>21574.17</v>
      </c>
      <c r="K240" s="8">
        <f>(parametros_manuales!$D$33*(datos_base!$J$2+IF(parametros_manuales!$H$33="Todos",datos_base!$J$9,0))*parametros_manuales!$K$97+parametros_manuales!$E$33*(datos_base!$J$3+IF(parametros_manuales!$H$33="Todos",datos_base!$J$10,0))*parametros_manuales!$K$102+parametros_manuales!$F$33*(datos_base!$J$4+IF(parametros_manuales!$H$33="Todos",datos_base!$J$11,0))*parametros_manuales!$K$107+parametros_manuales!$G$33*(datos_base!$J$5+IF(parametros_manuales!$H$33="Todos",datos_base!$J$12,0))*parametros_manuales!$K$112)*parametros_manuales!$I$33*parametros_manuales!$J$33</f>
        <v>21935.97</v>
      </c>
      <c r="L240" s="8">
        <f>(parametros_manuales!$D$33*(datos_base!$J$2+IF(parametros_manuales!$H$33="Todos",datos_base!$J$9,0))*parametros_manuales!$L$97+parametros_manuales!$E$33*(datos_base!$J$3+IF(parametros_manuales!$H$33="Todos",datos_base!$J$10,0))*parametros_manuales!$L$102+parametros_manuales!$F$33*(datos_base!$J$4+IF(parametros_manuales!$H$33="Todos",datos_base!$J$11,0))*parametros_manuales!$L$107+parametros_manuales!$G$33*(datos_base!$J$5+IF(parametros_manuales!$H$33="Todos",datos_base!$J$12,0))*parametros_manuales!$L$112)*parametros_manuales!$I$33*parametros_manuales!$J$33</f>
        <v>22297.77</v>
      </c>
      <c r="M240" s="8">
        <f>(parametros_manuales!$D$33*(datos_base!$J$2+IF(parametros_manuales!$H$33="Todos",datos_base!$J$9,0))*parametros_manuales!$M$97+parametros_manuales!$E$33*(datos_base!$J$3+IF(parametros_manuales!$H$33="Todos",datos_base!$J$10,0))*parametros_manuales!$M$102+parametros_manuales!$F$33*(datos_base!$J$4+IF(parametros_manuales!$H$33="Todos",datos_base!$J$11,0))*parametros_manuales!$M$107+parametros_manuales!$G$33*(datos_base!$J$5+IF(parametros_manuales!$H$33="Todos",datos_base!$J$12,0))*parametros_manuales!$M$112)*parametros_manuales!$I$33*parametros_manuales!$J$33</f>
        <v>22297.77</v>
      </c>
      <c r="N240" s="8">
        <f t="shared" si="25"/>
        <v>247753</v>
      </c>
      <c r="O240" s="8">
        <f t="shared" si="26"/>
        <v>22297.77</v>
      </c>
      <c r="P240" s="27">
        <f>O240/(parametros_manuales!$B$7)</f>
        <v>148.6518</v>
      </c>
      <c r="Q240" s="4" t="str">
        <f t="shared" si="27"/>
        <v>Ene</v>
      </c>
      <c r="R240" s="16"/>
      <c r="S240" s="16"/>
    </row>
    <row r="241" ht="14.25" customHeight="1">
      <c r="A241" s="4" t="str">
        <f>parametros_manuales!$B$34</f>
        <v>Secado</v>
      </c>
      <c r="B241" s="8">
        <f>(parametros_manuales!$D$34*(datos_base!$J$2+IF(parametros_manuales!$H$34="Todos",datos_base!$J$9,0))*parametros_manuales!$B$97+parametros_manuales!$E$34*(datos_base!$J$3+IF(parametros_manuales!$H$34="Todos",datos_base!$J$10,0))*parametros_manuales!$B$102+parametros_manuales!$F$34*(datos_base!$J$4+IF(parametros_manuales!$H$34="Todos",datos_base!$J$11,0))*parametros_manuales!$B$107+parametros_manuales!$G$34*(datos_base!$J$5+IF(parametros_manuales!$H$34="Todos",datos_base!$J$12,0))*parametros_manuales!$B$112)*parametros_manuales!$I$34*parametros_manuales!$J$34</f>
        <v>22297.77</v>
      </c>
      <c r="C241" s="8">
        <f>(parametros_manuales!$D$34*(datos_base!$J$2+IF(parametros_manuales!$H$34="Todos",datos_base!$J$9,0))*parametros_manuales!$C$97+parametros_manuales!$E$34*(datos_base!$J$3+IF(parametros_manuales!$H$34="Todos",datos_base!$J$10,0))*parametros_manuales!$C$102+parametros_manuales!$F$34*(datos_base!$J$4+IF(parametros_manuales!$H$34="Todos",datos_base!$J$11,0))*parametros_manuales!$C$107+parametros_manuales!$G$34*(datos_base!$J$5+IF(parametros_manuales!$H$34="Todos",datos_base!$J$12,0))*parametros_manuales!$C$112)*parametros_manuales!$I$34*parametros_manuales!$J$34</f>
        <v>21574.17</v>
      </c>
      <c r="D241" s="8">
        <f>(parametros_manuales!$D$34*(datos_base!$J$2+IF(parametros_manuales!$H$34="Todos",datos_base!$J$9,0))*parametros_manuales!$D$97+parametros_manuales!$E$34*(datos_base!$J$3+IF(parametros_manuales!$H$34="Todos",datos_base!$J$10,0))*parametros_manuales!$D$102+parametros_manuales!$F$34*(datos_base!$J$4+IF(parametros_manuales!$H$34="Todos",datos_base!$J$11,0))*parametros_manuales!$D$107+parametros_manuales!$G$34*(datos_base!$J$5+IF(parametros_manuales!$H$34="Todos",datos_base!$J$12,0))*parametros_manuales!$D$112)*parametros_manuales!$I$34*parametros_manuales!$J$34</f>
        <v>20182.04</v>
      </c>
      <c r="E241" s="8">
        <f>(parametros_manuales!$D$34*(datos_base!$J$2+IF(parametros_manuales!$H$34="Todos",datos_base!$J$9,0))*parametros_manuales!$E$97+parametros_manuales!$E$34*(datos_base!$J$3+IF(parametros_manuales!$H$34="Todos",datos_base!$J$10,0))*parametros_manuales!$E$102+parametros_manuales!$F$34*(datos_base!$J$4+IF(parametros_manuales!$H$34="Todos",datos_base!$J$11,0))*parametros_manuales!$E$107+parametros_manuales!$G$34*(datos_base!$J$5+IF(parametros_manuales!$H$34="Todos",datos_base!$J$12,0))*parametros_manuales!$E$112)*parametros_manuales!$I$34*parametros_manuales!$J$34</f>
        <v>19305.075</v>
      </c>
      <c r="F241" s="8">
        <f>(parametros_manuales!$D$34*(datos_base!$J$2+IF(parametros_manuales!$H$34="Todos",datos_base!$J$9,0))*parametros_manuales!$F$97+parametros_manuales!$E$34*(datos_base!$J$3+IF(parametros_manuales!$H$34="Todos",datos_base!$J$10,0))*parametros_manuales!$F$102+parametros_manuales!$F$34*(datos_base!$J$4+IF(parametros_manuales!$H$34="Todos",datos_base!$J$11,0))*parametros_manuales!$F$107+parametros_manuales!$G$34*(datos_base!$J$5+IF(parametros_manuales!$H$34="Todos",datos_base!$J$12,0))*parametros_manuales!$F$112)*parametros_manuales!$I$34*parametros_manuales!$J$34</f>
        <v>18066.31</v>
      </c>
      <c r="G241" s="8">
        <f>(parametros_manuales!$D$34*(datos_base!$J$2+IF(parametros_manuales!$H$34="Todos",datos_base!$J$9,0))*parametros_manuales!$G$97+parametros_manuales!$E$34*(datos_base!$J$3+IF(parametros_manuales!$H$34="Todos",datos_base!$J$10,0))*parametros_manuales!$G$102+parametros_manuales!$F$34*(datos_base!$J$4+IF(parametros_manuales!$H$34="Todos",datos_base!$J$11,0))*parametros_manuales!$G$107+parametros_manuales!$G$34*(datos_base!$J$5+IF(parametros_manuales!$H$34="Todos",datos_base!$J$12,0))*parametros_manuales!$G$112)*parametros_manuales!$I$34*parametros_manuales!$J$34</f>
        <v>17704.51</v>
      </c>
      <c r="H241" s="8">
        <f>(parametros_manuales!$D$34*(datos_base!$J$2+IF(parametros_manuales!$H$34="Todos",datos_base!$J$9,0))*parametros_manuales!$H$97+parametros_manuales!$E$34*(datos_base!$J$3+IF(parametros_manuales!$H$34="Todos",datos_base!$J$10,0))*parametros_manuales!$H$102+parametros_manuales!$F$34*(datos_base!$J$4+IF(parametros_manuales!$H$34="Todos",datos_base!$J$11,0))*parametros_manuales!$H$107+parametros_manuales!$G$34*(datos_base!$J$5+IF(parametros_manuales!$H$34="Todos",datos_base!$J$12,0))*parametros_manuales!$H$112)*parametros_manuales!$I$34*parametros_manuales!$J$34</f>
        <v>18943.275</v>
      </c>
      <c r="I241" s="8">
        <f>(parametros_manuales!$D$34*(datos_base!$J$2+IF(parametros_manuales!$H$34="Todos",datos_base!$J$9,0))*parametros_manuales!$I$97+parametros_manuales!$E$34*(datos_base!$J$3+IF(parametros_manuales!$H$34="Todos",datos_base!$J$10,0))*parametros_manuales!$I$102+parametros_manuales!$F$34*(datos_base!$J$4+IF(parametros_manuales!$H$34="Todos",datos_base!$J$11,0))*parametros_manuales!$I$107+parametros_manuales!$G$34*(datos_base!$J$5+IF(parametros_manuales!$H$34="Todos",datos_base!$J$12,0))*parametros_manuales!$I$112)*parametros_manuales!$I$34*parametros_manuales!$J$34</f>
        <v>21574.17</v>
      </c>
      <c r="J241" s="8">
        <f>(parametros_manuales!$D$34*(datos_base!$J$2+IF(parametros_manuales!$H$34="Todos",datos_base!$J$9,0))*parametros_manuales!$J$97+parametros_manuales!$E$34*(datos_base!$J$3+IF(parametros_manuales!$H$34="Todos",datos_base!$J$10,0))*parametros_manuales!$J$102+parametros_manuales!$F$34*(datos_base!$J$4+IF(parametros_manuales!$H$34="Todos",datos_base!$J$11,0))*parametros_manuales!$J$107+parametros_manuales!$G$34*(datos_base!$J$5+IF(parametros_manuales!$H$34="Todos",datos_base!$J$12,0))*parametros_manuales!$J$112)*parametros_manuales!$I$34*parametros_manuales!$J$34</f>
        <v>21574.17</v>
      </c>
      <c r="K241" s="8">
        <f>(parametros_manuales!$D$34*(datos_base!$J$2+IF(parametros_manuales!$H$34="Todos",datos_base!$J$9,0))*parametros_manuales!$K$97+parametros_manuales!$E$34*(datos_base!$J$3+IF(parametros_manuales!$H$34="Todos",datos_base!$J$10,0))*parametros_manuales!$K$102+parametros_manuales!$F$34*(datos_base!$J$4+IF(parametros_manuales!$H$34="Todos",datos_base!$J$11,0))*parametros_manuales!$K$107+parametros_manuales!$G$34*(datos_base!$J$5+IF(parametros_manuales!$H$34="Todos",datos_base!$J$12,0))*parametros_manuales!$K$112)*parametros_manuales!$I$34*parametros_manuales!$J$34</f>
        <v>21935.97</v>
      </c>
      <c r="L241" s="8">
        <f>(parametros_manuales!$D$34*(datos_base!$J$2+IF(parametros_manuales!$H$34="Todos",datos_base!$J$9,0))*parametros_manuales!$L$97+parametros_manuales!$E$34*(datos_base!$J$3+IF(parametros_manuales!$H$34="Todos",datos_base!$J$10,0))*parametros_manuales!$L$102+parametros_manuales!$F$34*(datos_base!$J$4+IF(parametros_manuales!$H$34="Todos",datos_base!$J$11,0))*parametros_manuales!$L$107+parametros_manuales!$G$34*(datos_base!$J$5+IF(parametros_manuales!$H$34="Todos",datos_base!$J$12,0))*parametros_manuales!$L$112)*parametros_manuales!$I$34*parametros_manuales!$J$34</f>
        <v>22297.77</v>
      </c>
      <c r="M241" s="8">
        <f>(parametros_manuales!$D$34*(datos_base!$J$2+IF(parametros_manuales!$H$34="Todos",datos_base!$J$9,0))*parametros_manuales!$M$97+parametros_manuales!$E$34*(datos_base!$J$3+IF(parametros_manuales!$H$34="Todos",datos_base!$J$10,0))*parametros_manuales!$M$102+parametros_manuales!$F$34*(datos_base!$J$4+IF(parametros_manuales!$H$34="Todos",datos_base!$J$11,0))*parametros_manuales!$M$107+parametros_manuales!$G$34*(datos_base!$J$5+IF(parametros_manuales!$H$34="Todos",datos_base!$J$12,0))*parametros_manuales!$M$112)*parametros_manuales!$I$34*parametros_manuales!$J$34</f>
        <v>22297.77</v>
      </c>
      <c r="N241" s="8">
        <f t="shared" si="25"/>
        <v>247753</v>
      </c>
      <c r="O241" s="8">
        <f t="shared" si="26"/>
        <v>22297.77</v>
      </c>
      <c r="P241" s="27">
        <f>O241/(parametros_manuales!$B$7)</f>
        <v>148.6518</v>
      </c>
      <c r="Q241" s="4" t="str">
        <f t="shared" si="27"/>
        <v>Ene</v>
      </c>
      <c r="R241" s="16"/>
      <c r="S241" s="16"/>
    </row>
    <row r="242" ht="14.25" customHeight="1">
      <c r="A242" s="4" t="str">
        <f>parametros_manuales!$B$35</f>
        <v>Granallado</v>
      </c>
      <c r="B242" s="8">
        <f>(parametros_manuales!$D$35*(datos_base!$J$2+IF(parametros_manuales!$H$35="Todos",datos_base!$J$9,0))*parametros_manuales!$B$97+parametros_manuales!$E$35*(datos_base!$J$3+IF(parametros_manuales!$H$35="Todos",datos_base!$J$10,0))*parametros_manuales!$B$102+parametros_manuales!$F$35*(datos_base!$J$4+IF(parametros_manuales!$H$35="Todos",datos_base!$J$11,0))*parametros_manuales!$B$107+parametros_manuales!$G$35*(datos_base!$J$5+IF(parametros_manuales!$H$35="Todos",datos_base!$J$12,0))*parametros_manuales!$B$112)*parametros_manuales!$I$35*parametros_manuales!$J$35</f>
        <v>22297.77</v>
      </c>
      <c r="C242" s="8">
        <f>(parametros_manuales!$D$35*(datos_base!$J$2+IF(parametros_manuales!$H$35="Todos",datos_base!$J$9,0))*parametros_manuales!$C$97+parametros_manuales!$E$35*(datos_base!$J$3+IF(parametros_manuales!$H$35="Todos",datos_base!$J$10,0))*parametros_manuales!$C$102+parametros_manuales!$F$35*(datos_base!$J$4+IF(parametros_manuales!$H$35="Todos",datos_base!$J$11,0))*parametros_manuales!$C$107+parametros_manuales!$G$35*(datos_base!$J$5+IF(parametros_manuales!$H$35="Todos",datos_base!$J$12,0))*parametros_manuales!$C$112)*parametros_manuales!$I$35*parametros_manuales!$J$35</f>
        <v>21574.17</v>
      </c>
      <c r="D242" s="8">
        <f>(parametros_manuales!$D$35*(datos_base!$J$2+IF(parametros_manuales!$H$35="Todos",datos_base!$J$9,0))*parametros_manuales!$D$97+parametros_manuales!$E$35*(datos_base!$J$3+IF(parametros_manuales!$H$35="Todos",datos_base!$J$10,0))*parametros_manuales!$D$102+parametros_manuales!$F$35*(datos_base!$J$4+IF(parametros_manuales!$H$35="Todos",datos_base!$J$11,0))*parametros_manuales!$D$107+parametros_manuales!$G$35*(datos_base!$J$5+IF(parametros_manuales!$H$35="Todos",datos_base!$J$12,0))*parametros_manuales!$D$112)*parametros_manuales!$I$35*parametros_manuales!$J$35</f>
        <v>20182.04</v>
      </c>
      <c r="E242" s="8">
        <f>(parametros_manuales!$D$35*(datos_base!$J$2+IF(parametros_manuales!$H$35="Todos",datos_base!$J$9,0))*parametros_manuales!$E$97+parametros_manuales!$E$35*(datos_base!$J$3+IF(parametros_manuales!$H$35="Todos",datos_base!$J$10,0))*parametros_manuales!$E$102+parametros_manuales!$F$35*(datos_base!$J$4+IF(parametros_manuales!$H$35="Todos",datos_base!$J$11,0))*parametros_manuales!$E$107+parametros_manuales!$G$35*(datos_base!$J$5+IF(parametros_manuales!$H$35="Todos",datos_base!$J$12,0))*parametros_manuales!$E$112)*parametros_manuales!$I$35*parametros_manuales!$J$35</f>
        <v>19305.075</v>
      </c>
      <c r="F242" s="8">
        <f>(parametros_manuales!$D$35*(datos_base!$J$2+IF(parametros_manuales!$H$35="Todos",datos_base!$J$9,0))*parametros_manuales!$F$97+parametros_manuales!$E$35*(datos_base!$J$3+IF(parametros_manuales!$H$35="Todos",datos_base!$J$10,0))*parametros_manuales!$F$102+parametros_manuales!$F$35*(datos_base!$J$4+IF(parametros_manuales!$H$35="Todos",datos_base!$J$11,0))*parametros_manuales!$F$107+parametros_manuales!$G$35*(datos_base!$J$5+IF(parametros_manuales!$H$35="Todos",datos_base!$J$12,0))*parametros_manuales!$F$112)*parametros_manuales!$I$35*parametros_manuales!$J$35</f>
        <v>18066.31</v>
      </c>
      <c r="G242" s="8">
        <f>(parametros_manuales!$D$35*(datos_base!$J$2+IF(parametros_manuales!$H$35="Todos",datos_base!$J$9,0))*parametros_manuales!$G$97+parametros_manuales!$E$35*(datos_base!$J$3+IF(parametros_manuales!$H$35="Todos",datos_base!$J$10,0))*parametros_manuales!$G$102+parametros_manuales!$F$35*(datos_base!$J$4+IF(parametros_manuales!$H$35="Todos",datos_base!$J$11,0))*parametros_manuales!$G$107+parametros_manuales!$G$35*(datos_base!$J$5+IF(parametros_manuales!$H$35="Todos",datos_base!$J$12,0))*parametros_manuales!$G$112)*parametros_manuales!$I$35*parametros_manuales!$J$35</f>
        <v>17704.51</v>
      </c>
      <c r="H242" s="8">
        <f>(parametros_manuales!$D$35*(datos_base!$J$2+IF(parametros_manuales!$H$35="Todos",datos_base!$J$9,0))*parametros_manuales!$H$97+parametros_manuales!$E$35*(datos_base!$J$3+IF(parametros_manuales!$H$35="Todos",datos_base!$J$10,0))*parametros_manuales!$H$102+parametros_manuales!$F$35*(datos_base!$J$4+IF(parametros_manuales!$H$35="Todos",datos_base!$J$11,0))*parametros_manuales!$H$107+parametros_manuales!$G$35*(datos_base!$J$5+IF(parametros_manuales!$H$35="Todos",datos_base!$J$12,0))*parametros_manuales!$H$112)*parametros_manuales!$I$35*parametros_manuales!$J$35</f>
        <v>18943.275</v>
      </c>
      <c r="I242" s="8">
        <f>(parametros_manuales!$D$35*(datos_base!$J$2+IF(parametros_manuales!$H$35="Todos",datos_base!$J$9,0))*parametros_manuales!$I$97+parametros_manuales!$E$35*(datos_base!$J$3+IF(parametros_manuales!$H$35="Todos",datos_base!$J$10,0))*parametros_manuales!$I$102+parametros_manuales!$F$35*(datos_base!$J$4+IF(parametros_manuales!$H$35="Todos",datos_base!$J$11,0))*parametros_manuales!$I$107+parametros_manuales!$G$35*(datos_base!$J$5+IF(parametros_manuales!$H$35="Todos",datos_base!$J$12,0))*parametros_manuales!$I$112)*parametros_manuales!$I$35*parametros_manuales!$J$35</f>
        <v>21574.17</v>
      </c>
      <c r="J242" s="8">
        <f>(parametros_manuales!$D$35*(datos_base!$J$2+IF(parametros_manuales!$H$35="Todos",datos_base!$J$9,0))*parametros_manuales!$J$97+parametros_manuales!$E$35*(datos_base!$J$3+IF(parametros_manuales!$H$35="Todos",datos_base!$J$10,0))*parametros_manuales!$J$102+parametros_manuales!$F$35*(datos_base!$J$4+IF(parametros_manuales!$H$35="Todos",datos_base!$J$11,0))*parametros_manuales!$J$107+parametros_manuales!$G$35*(datos_base!$J$5+IF(parametros_manuales!$H$35="Todos",datos_base!$J$12,0))*parametros_manuales!$J$112)*parametros_manuales!$I$35*parametros_manuales!$J$35</f>
        <v>21574.17</v>
      </c>
      <c r="K242" s="8">
        <f>(parametros_manuales!$D$35*(datos_base!$J$2+IF(parametros_manuales!$H$35="Todos",datos_base!$J$9,0))*parametros_manuales!$K$97+parametros_manuales!$E$35*(datos_base!$J$3+IF(parametros_manuales!$H$35="Todos",datos_base!$J$10,0))*parametros_manuales!$K$102+parametros_manuales!$F$35*(datos_base!$J$4+IF(parametros_manuales!$H$35="Todos",datos_base!$J$11,0))*parametros_manuales!$K$107+parametros_manuales!$G$35*(datos_base!$J$5+IF(parametros_manuales!$H$35="Todos",datos_base!$J$12,0))*parametros_manuales!$K$112)*parametros_manuales!$I$35*parametros_manuales!$J$35</f>
        <v>21935.97</v>
      </c>
      <c r="L242" s="8">
        <f>(parametros_manuales!$D$35*(datos_base!$J$2+IF(parametros_manuales!$H$35="Todos",datos_base!$J$9,0))*parametros_manuales!$L$97+parametros_manuales!$E$35*(datos_base!$J$3+IF(parametros_manuales!$H$35="Todos",datos_base!$J$10,0))*parametros_manuales!$L$102+parametros_manuales!$F$35*(datos_base!$J$4+IF(parametros_manuales!$H$35="Todos",datos_base!$J$11,0))*parametros_manuales!$L$107+parametros_manuales!$G$35*(datos_base!$J$5+IF(parametros_manuales!$H$35="Todos",datos_base!$J$12,0))*parametros_manuales!$L$112)*parametros_manuales!$I$35*parametros_manuales!$J$35</f>
        <v>22297.77</v>
      </c>
      <c r="M242" s="8">
        <f>(parametros_manuales!$D$35*(datos_base!$J$2+IF(parametros_manuales!$H$35="Todos",datos_base!$J$9,0))*parametros_manuales!$M$97+parametros_manuales!$E$35*(datos_base!$J$3+IF(parametros_manuales!$H$35="Todos",datos_base!$J$10,0))*parametros_manuales!$M$102+parametros_manuales!$F$35*(datos_base!$J$4+IF(parametros_manuales!$H$35="Todos",datos_base!$J$11,0))*parametros_manuales!$M$107+parametros_manuales!$G$35*(datos_base!$J$5+IF(parametros_manuales!$H$35="Todos",datos_base!$J$12,0))*parametros_manuales!$M$112)*parametros_manuales!$I$35*parametros_manuales!$J$35</f>
        <v>22297.77</v>
      </c>
      <c r="N242" s="8">
        <f t="shared" si="25"/>
        <v>247753</v>
      </c>
      <c r="O242" s="8">
        <f t="shared" si="26"/>
        <v>22297.77</v>
      </c>
      <c r="P242" s="27">
        <f>O242/(parametros_manuales!$B$7)</f>
        <v>148.6518</v>
      </c>
      <c r="Q242" s="4" t="str">
        <f t="shared" si="27"/>
        <v>Ene</v>
      </c>
      <c r="R242" s="16"/>
      <c r="S242" s="16"/>
    </row>
    <row r="243" ht="14.25" customHeight="1">
      <c r="A243" s="4" t="str">
        <f>parametros_manuales!$B$36</f>
        <v>Detección de defectos</v>
      </c>
      <c r="B243" s="8">
        <f>(parametros_manuales!$D$36*(datos_base!$J$2+IF(parametros_manuales!$H$36="Todos",datos_base!$J$9,0))*parametros_manuales!$B$97+parametros_manuales!$E$36*(datos_base!$J$3+IF(parametros_manuales!$H$36="Todos",datos_base!$J$10,0))*parametros_manuales!$B$102+parametros_manuales!$F$36*(datos_base!$J$4+IF(parametros_manuales!$H$36="Todos",datos_base!$J$11,0))*parametros_manuales!$B$107+parametros_manuales!$G$36*(datos_base!$J$5+IF(parametros_manuales!$H$36="Todos",datos_base!$J$12,0))*parametros_manuales!$B$112)*parametros_manuales!$I$36*parametros_manuales!$J$36</f>
        <v>22297.77</v>
      </c>
      <c r="C243" s="8">
        <f>(parametros_manuales!$D$36*(datos_base!$J$2+IF(parametros_manuales!$H$36="Todos",datos_base!$J$9,0))*parametros_manuales!$C$97+parametros_manuales!$E$36*(datos_base!$J$3+IF(parametros_manuales!$H$36="Todos",datos_base!$J$10,0))*parametros_manuales!$C$102+parametros_manuales!$F$36*(datos_base!$J$4+IF(parametros_manuales!$H$36="Todos",datos_base!$J$11,0))*parametros_manuales!$C$107+parametros_manuales!$G$36*(datos_base!$J$5+IF(parametros_manuales!$H$36="Todos",datos_base!$J$12,0))*parametros_manuales!$C$112)*parametros_manuales!$I$36*parametros_manuales!$J$36</f>
        <v>21574.17</v>
      </c>
      <c r="D243" s="8">
        <f>(parametros_manuales!$D$36*(datos_base!$J$2+IF(parametros_manuales!$H$36="Todos",datos_base!$J$9,0))*parametros_manuales!$D$97+parametros_manuales!$E$36*(datos_base!$J$3+IF(parametros_manuales!$H$36="Todos",datos_base!$J$10,0))*parametros_manuales!$D$102+parametros_manuales!$F$36*(datos_base!$J$4+IF(parametros_manuales!$H$36="Todos",datos_base!$J$11,0))*parametros_manuales!$D$107+parametros_manuales!$G$36*(datos_base!$J$5+IF(parametros_manuales!$H$36="Todos",datos_base!$J$12,0))*parametros_manuales!$D$112)*parametros_manuales!$I$36*parametros_manuales!$J$36</f>
        <v>20182.04</v>
      </c>
      <c r="E243" s="8">
        <f>(parametros_manuales!$D$36*(datos_base!$J$2+IF(parametros_manuales!$H$36="Todos",datos_base!$J$9,0))*parametros_manuales!$E$97+parametros_manuales!$E$36*(datos_base!$J$3+IF(parametros_manuales!$H$36="Todos",datos_base!$J$10,0))*parametros_manuales!$E$102+parametros_manuales!$F$36*(datos_base!$J$4+IF(parametros_manuales!$H$36="Todos",datos_base!$J$11,0))*parametros_manuales!$E$107+parametros_manuales!$G$36*(datos_base!$J$5+IF(parametros_manuales!$H$36="Todos",datos_base!$J$12,0))*parametros_manuales!$E$112)*parametros_manuales!$I$36*parametros_manuales!$J$36</f>
        <v>19305.075</v>
      </c>
      <c r="F243" s="8">
        <f>(parametros_manuales!$D$36*(datos_base!$J$2+IF(parametros_manuales!$H$36="Todos",datos_base!$J$9,0))*parametros_manuales!$F$97+parametros_manuales!$E$36*(datos_base!$J$3+IF(parametros_manuales!$H$36="Todos",datos_base!$J$10,0))*parametros_manuales!$F$102+parametros_manuales!$F$36*(datos_base!$J$4+IF(parametros_manuales!$H$36="Todos",datos_base!$J$11,0))*parametros_manuales!$F$107+parametros_manuales!$G$36*(datos_base!$J$5+IF(parametros_manuales!$H$36="Todos",datos_base!$J$12,0))*parametros_manuales!$F$112)*parametros_manuales!$I$36*parametros_manuales!$J$36</f>
        <v>18066.31</v>
      </c>
      <c r="G243" s="8">
        <f>(parametros_manuales!$D$36*(datos_base!$J$2+IF(parametros_manuales!$H$36="Todos",datos_base!$J$9,0))*parametros_manuales!$G$97+parametros_manuales!$E$36*(datos_base!$J$3+IF(parametros_manuales!$H$36="Todos",datos_base!$J$10,0))*parametros_manuales!$G$102+parametros_manuales!$F$36*(datos_base!$J$4+IF(parametros_manuales!$H$36="Todos",datos_base!$J$11,0))*parametros_manuales!$G$107+parametros_manuales!$G$36*(datos_base!$J$5+IF(parametros_manuales!$H$36="Todos",datos_base!$J$12,0))*parametros_manuales!$G$112)*parametros_manuales!$I$36*parametros_manuales!$J$36</f>
        <v>17704.51</v>
      </c>
      <c r="H243" s="8">
        <f>(parametros_manuales!$D$36*(datos_base!$J$2+IF(parametros_manuales!$H$36="Todos",datos_base!$J$9,0))*parametros_manuales!$H$97+parametros_manuales!$E$36*(datos_base!$J$3+IF(parametros_manuales!$H$36="Todos",datos_base!$J$10,0))*parametros_manuales!$H$102+parametros_manuales!$F$36*(datos_base!$J$4+IF(parametros_manuales!$H$36="Todos",datos_base!$J$11,0))*parametros_manuales!$H$107+parametros_manuales!$G$36*(datos_base!$J$5+IF(parametros_manuales!$H$36="Todos",datos_base!$J$12,0))*parametros_manuales!$H$112)*parametros_manuales!$I$36*parametros_manuales!$J$36</f>
        <v>18943.275</v>
      </c>
      <c r="I243" s="8">
        <f>(parametros_manuales!$D$36*(datos_base!$J$2+IF(parametros_manuales!$H$36="Todos",datos_base!$J$9,0))*parametros_manuales!$I$97+parametros_manuales!$E$36*(datos_base!$J$3+IF(parametros_manuales!$H$36="Todos",datos_base!$J$10,0))*parametros_manuales!$I$102+parametros_manuales!$F$36*(datos_base!$J$4+IF(parametros_manuales!$H$36="Todos",datos_base!$J$11,0))*parametros_manuales!$I$107+parametros_manuales!$G$36*(datos_base!$J$5+IF(parametros_manuales!$H$36="Todos",datos_base!$J$12,0))*parametros_manuales!$I$112)*parametros_manuales!$I$36*parametros_manuales!$J$36</f>
        <v>21574.17</v>
      </c>
      <c r="J243" s="8">
        <f>(parametros_manuales!$D$36*(datos_base!$J$2+IF(parametros_manuales!$H$36="Todos",datos_base!$J$9,0))*parametros_manuales!$J$97+parametros_manuales!$E$36*(datos_base!$J$3+IF(parametros_manuales!$H$36="Todos",datos_base!$J$10,0))*parametros_manuales!$J$102+parametros_manuales!$F$36*(datos_base!$J$4+IF(parametros_manuales!$H$36="Todos",datos_base!$J$11,0))*parametros_manuales!$J$107+parametros_manuales!$G$36*(datos_base!$J$5+IF(parametros_manuales!$H$36="Todos",datos_base!$J$12,0))*parametros_manuales!$J$112)*parametros_manuales!$I$36*parametros_manuales!$J$36</f>
        <v>21574.17</v>
      </c>
      <c r="K243" s="8">
        <f>(parametros_manuales!$D$36*(datos_base!$J$2+IF(parametros_manuales!$H$36="Todos",datos_base!$J$9,0))*parametros_manuales!$K$97+parametros_manuales!$E$36*(datos_base!$J$3+IF(parametros_manuales!$H$36="Todos",datos_base!$J$10,0))*parametros_manuales!$K$102+parametros_manuales!$F$36*(datos_base!$J$4+IF(parametros_manuales!$H$36="Todos",datos_base!$J$11,0))*parametros_manuales!$K$107+parametros_manuales!$G$36*(datos_base!$J$5+IF(parametros_manuales!$H$36="Todos",datos_base!$J$12,0))*parametros_manuales!$K$112)*parametros_manuales!$I$36*parametros_manuales!$J$36</f>
        <v>21935.97</v>
      </c>
      <c r="L243" s="8">
        <f>(parametros_manuales!$D$36*(datos_base!$J$2+IF(parametros_manuales!$H$36="Todos",datos_base!$J$9,0))*parametros_manuales!$L$97+parametros_manuales!$E$36*(datos_base!$J$3+IF(parametros_manuales!$H$36="Todos",datos_base!$J$10,0))*parametros_manuales!$L$102+parametros_manuales!$F$36*(datos_base!$J$4+IF(parametros_manuales!$H$36="Todos",datos_base!$J$11,0))*parametros_manuales!$L$107+parametros_manuales!$G$36*(datos_base!$J$5+IF(parametros_manuales!$H$36="Todos",datos_base!$J$12,0))*parametros_manuales!$L$112)*parametros_manuales!$I$36*parametros_manuales!$J$36</f>
        <v>22297.77</v>
      </c>
      <c r="M243" s="8">
        <f>(parametros_manuales!$D$36*(datos_base!$J$2+IF(parametros_manuales!$H$36="Todos",datos_base!$J$9,0))*parametros_manuales!$M$97+parametros_manuales!$E$36*(datos_base!$J$3+IF(parametros_manuales!$H$36="Todos",datos_base!$J$10,0))*parametros_manuales!$M$102+parametros_manuales!$F$36*(datos_base!$J$4+IF(parametros_manuales!$H$36="Todos",datos_base!$J$11,0))*parametros_manuales!$M$107+parametros_manuales!$G$36*(datos_base!$J$5+IF(parametros_manuales!$H$36="Todos",datos_base!$J$12,0))*parametros_manuales!$M$112)*parametros_manuales!$I$36*parametros_manuales!$J$36</f>
        <v>22297.77</v>
      </c>
      <c r="N243" s="8">
        <f t="shared" si="25"/>
        <v>247753</v>
      </c>
      <c r="O243" s="8">
        <f t="shared" si="26"/>
        <v>22297.77</v>
      </c>
      <c r="P243" s="27">
        <f>O243/(parametros_manuales!$B$7)</f>
        <v>148.6518</v>
      </c>
      <c r="Q243" s="4" t="str">
        <f t="shared" si="27"/>
        <v>Ene</v>
      </c>
      <c r="R243" s="16"/>
      <c r="S243" s="16"/>
    </row>
    <row r="244" ht="14.25" customHeight="1">
      <c r="A244" s="4" t="str">
        <f>parametros_manuales!$B$37</f>
        <v>Corrección de defectos</v>
      </c>
      <c r="B244" s="8">
        <f>(parametros_manuales!$D$37*(datos_base!$J$2+IF(parametros_manuales!$H$37="Todos",datos_base!$J$9,0))*parametros_manuales!$B$97+parametros_manuales!$E$37*(datos_base!$J$3+IF(parametros_manuales!$H$37="Todos",datos_base!$J$10,0))*parametros_manuales!$B$102+parametros_manuales!$F$37*(datos_base!$J$4+IF(parametros_manuales!$H$37="Todos",datos_base!$J$11,0))*parametros_manuales!$B$107+parametros_manuales!$G$37*(datos_base!$J$5+IF(parametros_manuales!$H$37="Todos",datos_base!$J$12,0))*parametros_manuales!$B$112)*parametros_manuales!$I$37*parametros_manuales!$J$37</f>
        <v>1114.8885</v>
      </c>
      <c r="C244" s="8">
        <f>(parametros_manuales!$D$37*(datos_base!$J$2+IF(parametros_manuales!$H$37="Todos",datos_base!$J$9,0))*parametros_manuales!$C$97+parametros_manuales!$E$37*(datos_base!$J$3+IF(parametros_manuales!$H$37="Todos",datos_base!$J$10,0))*parametros_manuales!$C$102+parametros_manuales!$F$37*(datos_base!$J$4+IF(parametros_manuales!$H$37="Todos",datos_base!$J$11,0))*parametros_manuales!$C$107+parametros_manuales!$G$37*(datos_base!$J$5+IF(parametros_manuales!$H$37="Todos",datos_base!$J$12,0))*parametros_manuales!$C$112)*parametros_manuales!$I$37*parametros_manuales!$J$37</f>
        <v>1078.7085</v>
      </c>
      <c r="D244" s="8">
        <f>(parametros_manuales!$D$37*(datos_base!$J$2+IF(parametros_manuales!$H$37="Todos",datos_base!$J$9,0))*parametros_manuales!$D$97+parametros_manuales!$E$37*(datos_base!$J$3+IF(parametros_manuales!$H$37="Todos",datos_base!$J$10,0))*parametros_manuales!$D$102+parametros_manuales!$F$37*(datos_base!$J$4+IF(parametros_manuales!$H$37="Todos",datos_base!$J$11,0))*parametros_manuales!$D$107+parametros_manuales!$G$37*(datos_base!$J$5+IF(parametros_manuales!$H$37="Todos",datos_base!$J$12,0))*parametros_manuales!$D$112)*parametros_manuales!$I$37*parametros_manuales!$J$37</f>
        <v>1009.102</v>
      </c>
      <c r="E244" s="8">
        <f>(parametros_manuales!$D$37*(datos_base!$J$2+IF(parametros_manuales!$H$37="Todos",datos_base!$J$9,0))*parametros_manuales!$E$97+parametros_manuales!$E$37*(datos_base!$J$3+IF(parametros_manuales!$H$37="Todos",datos_base!$J$10,0))*parametros_manuales!$E$102+parametros_manuales!$F$37*(datos_base!$J$4+IF(parametros_manuales!$H$37="Todos",datos_base!$J$11,0))*parametros_manuales!$E$107+parametros_manuales!$G$37*(datos_base!$J$5+IF(parametros_manuales!$H$37="Todos",datos_base!$J$12,0))*parametros_manuales!$E$112)*parametros_manuales!$I$37*parametros_manuales!$J$37</f>
        <v>965.25375</v>
      </c>
      <c r="F244" s="8">
        <f>(parametros_manuales!$D$37*(datos_base!$J$2+IF(parametros_manuales!$H$37="Todos",datos_base!$J$9,0))*parametros_manuales!$F$97+parametros_manuales!$E$37*(datos_base!$J$3+IF(parametros_manuales!$H$37="Todos",datos_base!$J$10,0))*parametros_manuales!$F$102+parametros_manuales!$F$37*(datos_base!$J$4+IF(parametros_manuales!$H$37="Todos",datos_base!$J$11,0))*parametros_manuales!$F$107+parametros_manuales!$G$37*(datos_base!$J$5+IF(parametros_manuales!$H$37="Todos",datos_base!$J$12,0))*parametros_manuales!$F$112)*parametros_manuales!$I$37*parametros_manuales!$J$37</f>
        <v>903.3155</v>
      </c>
      <c r="G244" s="8">
        <f>(parametros_manuales!$D$37*(datos_base!$J$2+IF(parametros_manuales!$H$37="Todos",datos_base!$J$9,0))*parametros_manuales!$G$97+parametros_manuales!$E$37*(datos_base!$J$3+IF(parametros_manuales!$H$37="Todos",datos_base!$J$10,0))*parametros_manuales!$G$102+parametros_manuales!$F$37*(datos_base!$J$4+IF(parametros_manuales!$H$37="Todos",datos_base!$J$11,0))*parametros_manuales!$G$107+parametros_manuales!$G$37*(datos_base!$J$5+IF(parametros_manuales!$H$37="Todos",datos_base!$J$12,0))*parametros_manuales!$G$112)*parametros_manuales!$I$37*parametros_manuales!$J$37</f>
        <v>885.2255</v>
      </c>
      <c r="H244" s="8">
        <f>(parametros_manuales!$D$37*(datos_base!$J$2+IF(parametros_manuales!$H$37="Todos",datos_base!$J$9,0))*parametros_manuales!$H$97+parametros_manuales!$E$37*(datos_base!$J$3+IF(parametros_manuales!$H$37="Todos",datos_base!$J$10,0))*parametros_manuales!$H$102+parametros_manuales!$F$37*(datos_base!$J$4+IF(parametros_manuales!$H$37="Todos",datos_base!$J$11,0))*parametros_manuales!$H$107+parametros_manuales!$G$37*(datos_base!$J$5+IF(parametros_manuales!$H$37="Todos",datos_base!$J$12,0))*parametros_manuales!$H$112)*parametros_manuales!$I$37*parametros_manuales!$J$37</f>
        <v>947.16375</v>
      </c>
      <c r="I244" s="8">
        <f>(parametros_manuales!$D$37*(datos_base!$J$2+IF(parametros_manuales!$H$37="Todos",datos_base!$J$9,0))*parametros_manuales!$I$97+parametros_manuales!$E$37*(datos_base!$J$3+IF(parametros_manuales!$H$37="Todos",datos_base!$J$10,0))*parametros_manuales!$I$102+parametros_manuales!$F$37*(datos_base!$J$4+IF(parametros_manuales!$H$37="Todos",datos_base!$J$11,0))*parametros_manuales!$I$107+parametros_manuales!$G$37*(datos_base!$J$5+IF(parametros_manuales!$H$37="Todos",datos_base!$J$12,0))*parametros_manuales!$I$112)*parametros_manuales!$I$37*parametros_manuales!$J$37</f>
        <v>1078.7085</v>
      </c>
      <c r="J244" s="8">
        <f>(parametros_manuales!$D$37*(datos_base!$J$2+IF(parametros_manuales!$H$37="Todos",datos_base!$J$9,0))*parametros_manuales!$J$97+parametros_manuales!$E$37*(datos_base!$J$3+IF(parametros_manuales!$H$37="Todos",datos_base!$J$10,0))*parametros_manuales!$J$102+parametros_manuales!$F$37*(datos_base!$J$4+IF(parametros_manuales!$H$37="Todos",datos_base!$J$11,0))*parametros_manuales!$J$107+parametros_manuales!$G$37*(datos_base!$J$5+IF(parametros_manuales!$H$37="Todos",datos_base!$J$12,0))*parametros_manuales!$J$112)*parametros_manuales!$I$37*parametros_manuales!$J$37</f>
        <v>1078.7085</v>
      </c>
      <c r="K244" s="8">
        <f>(parametros_manuales!$D$37*(datos_base!$J$2+IF(parametros_manuales!$H$37="Todos",datos_base!$J$9,0))*parametros_manuales!$K$97+parametros_manuales!$E$37*(datos_base!$J$3+IF(parametros_manuales!$H$37="Todos",datos_base!$J$10,0))*parametros_manuales!$K$102+parametros_manuales!$F$37*(datos_base!$J$4+IF(parametros_manuales!$H$37="Todos",datos_base!$J$11,0))*parametros_manuales!$K$107+parametros_manuales!$G$37*(datos_base!$J$5+IF(parametros_manuales!$H$37="Todos",datos_base!$J$12,0))*parametros_manuales!$K$112)*parametros_manuales!$I$37*parametros_manuales!$J$37</f>
        <v>1096.7985</v>
      </c>
      <c r="L244" s="8">
        <f>(parametros_manuales!$D$37*(datos_base!$J$2+IF(parametros_manuales!$H$37="Todos",datos_base!$J$9,0))*parametros_manuales!$L$97+parametros_manuales!$E$37*(datos_base!$J$3+IF(parametros_manuales!$H$37="Todos",datos_base!$J$10,0))*parametros_manuales!$L$102+parametros_manuales!$F$37*(datos_base!$J$4+IF(parametros_manuales!$H$37="Todos",datos_base!$J$11,0))*parametros_manuales!$L$107+parametros_manuales!$G$37*(datos_base!$J$5+IF(parametros_manuales!$H$37="Todos",datos_base!$J$12,0))*parametros_manuales!$L$112)*parametros_manuales!$I$37*parametros_manuales!$J$37</f>
        <v>1114.8885</v>
      </c>
      <c r="M244" s="8">
        <f>(parametros_manuales!$D$37*(datos_base!$J$2+IF(parametros_manuales!$H$37="Todos",datos_base!$J$9,0))*parametros_manuales!$M$97+parametros_manuales!$E$37*(datos_base!$J$3+IF(parametros_manuales!$H$37="Todos",datos_base!$J$10,0))*parametros_manuales!$M$102+parametros_manuales!$F$37*(datos_base!$J$4+IF(parametros_manuales!$H$37="Todos",datos_base!$J$11,0))*parametros_manuales!$M$107+parametros_manuales!$G$37*(datos_base!$J$5+IF(parametros_manuales!$H$37="Todos",datos_base!$J$12,0))*parametros_manuales!$M$112)*parametros_manuales!$I$37*parametros_manuales!$J$37</f>
        <v>1114.8885</v>
      </c>
      <c r="N244" s="8">
        <f t="shared" si="25"/>
        <v>12387.65</v>
      </c>
      <c r="O244" s="8">
        <f t="shared" si="26"/>
        <v>1114.8885</v>
      </c>
      <c r="P244" s="27">
        <f>O244/(parametros_manuales!$B$7)</f>
        <v>7.43259</v>
      </c>
      <c r="Q244" s="4" t="str">
        <f t="shared" si="27"/>
        <v>Ene</v>
      </c>
      <c r="R244" s="16"/>
      <c r="S244" s="16"/>
    </row>
    <row r="245" ht="14.25" customHeight="1">
      <c r="A245" s="4" t="str">
        <f>parametros_manuales!$B$38</f>
        <v>Pintura en polvo + horno</v>
      </c>
      <c r="B245" s="8">
        <f>(parametros_manuales!$D$38*(datos_base!$J$2+IF(parametros_manuales!$H$38="Todos",datos_base!$J$9,0))*parametros_manuales!$B$97+parametros_manuales!$E$38*(datos_base!$J$3+IF(parametros_manuales!$H$38="Todos",datos_base!$J$10,0))*parametros_manuales!$B$102+parametros_manuales!$F$38*(datos_base!$J$4+IF(parametros_manuales!$H$38="Todos",datos_base!$J$11,0))*parametros_manuales!$B$107+parametros_manuales!$G$38*(datos_base!$J$5+IF(parametros_manuales!$H$38="Todos",datos_base!$J$12,0))*parametros_manuales!$B$112)*parametros_manuales!$I$38*parametros_manuales!$J$38</f>
        <v>22297.77</v>
      </c>
      <c r="C245" s="8">
        <f>(parametros_manuales!$D$38*(datos_base!$J$2+IF(parametros_manuales!$H$38="Todos",datos_base!$J$9,0))*parametros_manuales!$C$97+parametros_manuales!$E$38*(datos_base!$J$3+IF(parametros_manuales!$H$38="Todos",datos_base!$J$10,0))*parametros_manuales!$C$102+parametros_manuales!$F$38*(datos_base!$J$4+IF(parametros_manuales!$H$38="Todos",datos_base!$J$11,0))*parametros_manuales!$C$107+parametros_manuales!$G$38*(datos_base!$J$5+IF(parametros_manuales!$H$38="Todos",datos_base!$J$12,0))*parametros_manuales!$C$112)*parametros_manuales!$I$38*parametros_manuales!$J$38</f>
        <v>21574.17</v>
      </c>
      <c r="D245" s="8">
        <f>(parametros_manuales!$D$38*(datos_base!$J$2+IF(parametros_manuales!$H$38="Todos",datos_base!$J$9,0))*parametros_manuales!$D$97+parametros_manuales!$E$38*(datos_base!$J$3+IF(parametros_manuales!$H$38="Todos",datos_base!$J$10,0))*parametros_manuales!$D$102+parametros_manuales!$F$38*(datos_base!$J$4+IF(parametros_manuales!$H$38="Todos",datos_base!$J$11,0))*parametros_manuales!$D$107+parametros_manuales!$G$38*(datos_base!$J$5+IF(parametros_manuales!$H$38="Todos",datos_base!$J$12,0))*parametros_manuales!$D$112)*parametros_manuales!$I$38*parametros_manuales!$J$38</f>
        <v>20182.04</v>
      </c>
      <c r="E245" s="8">
        <f>(parametros_manuales!$D$38*(datos_base!$J$2+IF(parametros_manuales!$H$38="Todos",datos_base!$J$9,0))*parametros_manuales!$E$97+parametros_manuales!$E$38*(datos_base!$J$3+IF(parametros_manuales!$H$38="Todos",datos_base!$J$10,0))*parametros_manuales!$E$102+parametros_manuales!$F$38*(datos_base!$J$4+IF(parametros_manuales!$H$38="Todos",datos_base!$J$11,0))*parametros_manuales!$E$107+parametros_manuales!$G$38*(datos_base!$J$5+IF(parametros_manuales!$H$38="Todos",datos_base!$J$12,0))*parametros_manuales!$E$112)*parametros_manuales!$I$38*parametros_manuales!$J$38</f>
        <v>19305.075</v>
      </c>
      <c r="F245" s="8">
        <f>(parametros_manuales!$D$38*(datos_base!$J$2+IF(parametros_manuales!$H$38="Todos",datos_base!$J$9,0))*parametros_manuales!$F$97+parametros_manuales!$E$38*(datos_base!$J$3+IF(parametros_manuales!$H$38="Todos",datos_base!$J$10,0))*parametros_manuales!$F$102+parametros_manuales!$F$38*(datos_base!$J$4+IF(parametros_manuales!$H$38="Todos",datos_base!$J$11,0))*parametros_manuales!$F$107+parametros_manuales!$G$38*(datos_base!$J$5+IF(parametros_manuales!$H$38="Todos",datos_base!$J$12,0))*parametros_manuales!$F$112)*parametros_manuales!$I$38*parametros_manuales!$J$38</f>
        <v>18066.31</v>
      </c>
      <c r="G245" s="8">
        <f>(parametros_manuales!$D$38*(datos_base!$J$2+IF(parametros_manuales!$H$38="Todos",datos_base!$J$9,0))*parametros_manuales!$G$97+parametros_manuales!$E$38*(datos_base!$J$3+IF(parametros_manuales!$H$38="Todos",datos_base!$J$10,0))*parametros_manuales!$G$102+parametros_manuales!$F$38*(datos_base!$J$4+IF(parametros_manuales!$H$38="Todos",datos_base!$J$11,0))*parametros_manuales!$G$107+parametros_manuales!$G$38*(datos_base!$J$5+IF(parametros_manuales!$H$38="Todos",datos_base!$J$12,0))*parametros_manuales!$G$112)*parametros_manuales!$I$38*parametros_manuales!$J$38</f>
        <v>17704.51</v>
      </c>
      <c r="H245" s="8">
        <f>(parametros_manuales!$D$38*(datos_base!$J$2+IF(parametros_manuales!$H$38="Todos",datos_base!$J$9,0))*parametros_manuales!$H$97+parametros_manuales!$E$38*(datos_base!$J$3+IF(parametros_manuales!$H$38="Todos",datos_base!$J$10,0))*parametros_manuales!$H$102+parametros_manuales!$F$38*(datos_base!$J$4+IF(parametros_manuales!$H$38="Todos",datos_base!$J$11,0))*parametros_manuales!$H$107+parametros_manuales!$G$38*(datos_base!$J$5+IF(parametros_manuales!$H$38="Todos",datos_base!$J$12,0))*parametros_manuales!$H$112)*parametros_manuales!$I$38*parametros_manuales!$J$38</f>
        <v>18943.275</v>
      </c>
      <c r="I245" s="8">
        <f>(parametros_manuales!$D$38*(datos_base!$J$2+IF(parametros_manuales!$H$38="Todos",datos_base!$J$9,0))*parametros_manuales!$I$97+parametros_manuales!$E$38*(datos_base!$J$3+IF(parametros_manuales!$H$38="Todos",datos_base!$J$10,0))*parametros_manuales!$I$102+parametros_manuales!$F$38*(datos_base!$J$4+IF(parametros_manuales!$H$38="Todos",datos_base!$J$11,0))*parametros_manuales!$I$107+parametros_manuales!$G$38*(datos_base!$J$5+IF(parametros_manuales!$H$38="Todos",datos_base!$J$12,0))*parametros_manuales!$I$112)*parametros_manuales!$I$38*parametros_manuales!$J$38</f>
        <v>21574.17</v>
      </c>
      <c r="J245" s="8">
        <f>(parametros_manuales!$D$38*(datos_base!$J$2+IF(parametros_manuales!$H$38="Todos",datos_base!$J$9,0))*parametros_manuales!$J$97+parametros_manuales!$E$38*(datos_base!$J$3+IF(parametros_manuales!$H$38="Todos",datos_base!$J$10,0))*parametros_manuales!$J$102+parametros_manuales!$F$38*(datos_base!$J$4+IF(parametros_manuales!$H$38="Todos",datos_base!$J$11,0))*parametros_manuales!$J$107+parametros_manuales!$G$38*(datos_base!$J$5+IF(parametros_manuales!$H$38="Todos",datos_base!$J$12,0))*parametros_manuales!$J$112)*parametros_manuales!$I$38*parametros_manuales!$J$38</f>
        <v>21574.17</v>
      </c>
      <c r="K245" s="8">
        <f>(parametros_manuales!$D$38*(datos_base!$J$2+IF(parametros_manuales!$H$38="Todos",datos_base!$J$9,0))*parametros_manuales!$K$97+parametros_manuales!$E$38*(datos_base!$J$3+IF(parametros_manuales!$H$38="Todos",datos_base!$J$10,0))*parametros_manuales!$K$102+parametros_manuales!$F$38*(datos_base!$J$4+IF(parametros_manuales!$H$38="Todos",datos_base!$J$11,0))*parametros_manuales!$K$107+parametros_manuales!$G$38*(datos_base!$J$5+IF(parametros_manuales!$H$38="Todos",datos_base!$J$12,0))*parametros_manuales!$K$112)*parametros_manuales!$I$38*parametros_manuales!$J$38</f>
        <v>21935.97</v>
      </c>
      <c r="L245" s="8">
        <f>(parametros_manuales!$D$38*(datos_base!$J$2+IF(parametros_manuales!$H$38="Todos",datos_base!$J$9,0))*parametros_manuales!$L$97+parametros_manuales!$E$38*(datos_base!$J$3+IF(parametros_manuales!$H$38="Todos",datos_base!$J$10,0))*parametros_manuales!$L$102+parametros_manuales!$F$38*(datos_base!$J$4+IF(parametros_manuales!$H$38="Todos",datos_base!$J$11,0))*parametros_manuales!$L$107+parametros_manuales!$G$38*(datos_base!$J$5+IF(parametros_manuales!$H$38="Todos",datos_base!$J$12,0))*parametros_manuales!$L$112)*parametros_manuales!$I$38*parametros_manuales!$J$38</f>
        <v>22297.77</v>
      </c>
      <c r="M245" s="8">
        <f>(parametros_manuales!$D$38*(datos_base!$J$2+IF(parametros_manuales!$H$38="Todos",datos_base!$J$9,0))*parametros_manuales!$M$97+parametros_manuales!$E$38*(datos_base!$J$3+IF(parametros_manuales!$H$38="Todos",datos_base!$J$10,0))*parametros_manuales!$M$102+parametros_manuales!$F$38*(datos_base!$J$4+IF(parametros_manuales!$H$38="Todos",datos_base!$J$11,0))*parametros_manuales!$M$107+parametros_manuales!$G$38*(datos_base!$J$5+IF(parametros_manuales!$H$38="Todos",datos_base!$J$12,0))*parametros_manuales!$M$112)*parametros_manuales!$I$38*parametros_manuales!$J$38</f>
        <v>22297.77</v>
      </c>
      <c r="N245" s="8">
        <f t="shared" si="25"/>
        <v>247753</v>
      </c>
      <c r="O245" s="8">
        <f t="shared" si="26"/>
        <v>22297.77</v>
      </c>
      <c r="P245" s="27">
        <f>O245/(parametros_manuales!$B$7)</f>
        <v>148.6518</v>
      </c>
      <c r="Q245" s="4" t="str">
        <f t="shared" si="27"/>
        <v>Ene</v>
      </c>
      <c r="R245" s="16"/>
      <c r="S245" s="16"/>
    </row>
    <row r="246" ht="14.25" customHeight="1">
      <c r="A246" s="4" t="str">
        <f>parametros_manuales!$B$39</f>
        <v>Carga de polvo</v>
      </c>
      <c r="B246" s="8">
        <f>(parametros_manuales!$D$39*(datos_base!$J$2+IF(parametros_manuales!$H$39="Todos",datos_base!$J$9,0))*parametros_manuales!$B$97+parametros_manuales!$E$39*(datos_base!$J$3+IF(parametros_manuales!$H$39="Todos",datos_base!$J$10,0))*parametros_manuales!$B$102+parametros_manuales!$F$39*(datos_base!$J$4+IF(parametros_manuales!$H$39="Todos",datos_base!$J$11,0))*parametros_manuales!$B$107+parametros_manuales!$G$39*(datos_base!$J$5+IF(parametros_manuales!$H$39="Todos",datos_base!$J$12,0))*parametros_manuales!$B$112)*parametros_manuales!$I$39*parametros_manuales!$J$39</f>
        <v>5758.65</v>
      </c>
      <c r="C246" s="8">
        <f>(parametros_manuales!$D$39*(datos_base!$J$2+IF(parametros_manuales!$H$39="Todos",datos_base!$J$9,0))*parametros_manuales!$C$97+parametros_manuales!$E$39*(datos_base!$J$3+IF(parametros_manuales!$H$39="Todos",datos_base!$J$10,0))*parametros_manuales!$C$102+parametros_manuales!$F$39*(datos_base!$J$4+IF(parametros_manuales!$H$39="Todos",datos_base!$J$11,0))*parametros_manuales!$C$107+parametros_manuales!$G$39*(datos_base!$J$5+IF(parametros_manuales!$H$39="Todos",datos_base!$J$12,0))*parametros_manuales!$C$112)*parametros_manuales!$I$39*parametros_manuales!$J$39</f>
        <v>5404.53</v>
      </c>
      <c r="D246" s="8">
        <f>(parametros_manuales!$D$39*(datos_base!$J$2+IF(parametros_manuales!$H$39="Todos",datos_base!$J$9,0))*parametros_manuales!$D$97+parametros_manuales!$E$39*(datos_base!$J$3+IF(parametros_manuales!$H$39="Todos",datos_base!$J$10,0))*parametros_manuales!$D$102+parametros_manuales!$F$39*(datos_base!$J$4+IF(parametros_manuales!$H$39="Todos",datos_base!$J$11,0))*parametros_manuales!$D$107+parametros_manuales!$G$39*(datos_base!$J$5+IF(parametros_manuales!$H$39="Todos",datos_base!$J$12,0))*parametros_manuales!$D$112)*parametros_manuales!$I$39*parametros_manuales!$J$39</f>
        <v>5295.86</v>
      </c>
      <c r="E246" s="8">
        <f>(parametros_manuales!$D$39*(datos_base!$J$2+IF(parametros_manuales!$H$39="Todos",datos_base!$J$9,0))*parametros_manuales!$E$97+parametros_manuales!$E$39*(datos_base!$J$3+IF(parametros_manuales!$H$39="Todos",datos_base!$J$10,0))*parametros_manuales!$E$102+parametros_manuales!$F$39*(datos_base!$J$4+IF(parametros_manuales!$H$39="Todos",datos_base!$J$11,0))*parametros_manuales!$E$107+parametros_manuales!$G$39*(datos_base!$J$5+IF(parametros_manuales!$H$39="Todos",datos_base!$J$12,0))*parametros_manuales!$E$112)*parametros_manuales!$I$39*parametros_manuales!$J$39</f>
        <v>5152.995</v>
      </c>
      <c r="F246" s="8">
        <f>(parametros_manuales!$D$39*(datos_base!$J$2+IF(parametros_manuales!$H$39="Todos",datos_base!$J$9,0))*parametros_manuales!$F$97+parametros_manuales!$E$39*(datos_base!$J$3+IF(parametros_manuales!$H$39="Todos",datos_base!$J$10,0))*parametros_manuales!$F$102+parametros_manuales!$F$39*(datos_base!$J$4+IF(parametros_manuales!$H$39="Todos",datos_base!$J$11,0))*parametros_manuales!$F$107+parametros_manuales!$G$39*(datos_base!$J$5+IF(parametros_manuales!$H$39="Todos",datos_base!$J$12,0))*parametros_manuales!$F$112)*parametros_manuales!$I$39*parametros_manuales!$J$39</f>
        <v>4833.07</v>
      </c>
      <c r="G246" s="8">
        <f>(parametros_manuales!$D$39*(datos_base!$J$2+IF(parametros_manuales!$H$39="Todos",datos_base!$J$9,0))*parametros_manuales!$G$97+parametros_manuales!$E$39*(datos_base!$J$3+IF(parametros_manuales!$H$39="Todos",datos_base!$J$10,0))*parametros_manuales!$G$102+parametros_manuales!$F$39*(datos_base!$J$4+IF(parametros_manuales!$H$39="Todos",datos_base!$J$11,0))*parametros_manuales!$G$107+parametros_manuales!$G$39*(datos_base!$J$5+IF(parametros_manuales!$H$39="Todos",datos_base!$J$12,0))*parametros_manuales!$G$112)*parametros_manuales!$I$39*parametros_manuales!$J$39</f>
        <v>4656.01</v>
      </c>
      <c r="H246" s="8">
        <f>(parametros_manuales!$D$39*(datos_base!$J$2+IF(parametros_manuales!$H$39="Todos",datos_base!$J$9,0))*parametros_manuales!$H$97+parametros_manuales!$E$39*(datos_base!$J$3+IF(parametros_manuales!$H$39="Todos",datos_base!$J$10,0))*parametros_manuales!$H$102+parametros_manuales!$F$39*(datos_base!$J$4+IF(parametros_manuales!$H$39="Todos",datos_base!$J$11,0))*parametros_manuales!$H$107+parametros_manuales!$G$39*(datos_base!$J$5+IF(parametros_manuales!$H$39="Todos",datos_base!$J$12,0))*parametros_manuales!$H$112)*parametros_manuales!$I$39*parametros_manuales!$J$39</f>
        <v>4975.935</v>
      </c>
      <c r="I246" s="8">
        <f>(parametros_manuales!$D$39*(datos_base!$J$2+IF(parametros_manuales!$H$39="Todos",datos_base!$J$9,0))*parametros_manuales!$I$97+parametros_manuales!$E$39*(datos_base!$J$3+IF(parametros_manuales!$H$39="Todos",datos_base!$J$10,0))*parametros_manuales!$I$102+parametros_manuales!$F$39*(datos_base!$J$4+IF(parametros_manuales!$H$39="Todos",datos_base!$J$11,0))*parametros_manuales!$I$107+parametros_manuales!$G$39*(datos_base!$J$5+IF(parametros_manuales!$H$39="Todos",datos_base!$J$12,0))*parametros_manuales!$I$112)*parametros_manuales!$I$39*parametros_manuales!$J$39</f>
        <v>5404.53</v>
      </c>
      <c r="J246" s="8">
        <f>(parametros_manuales!$D$39*(datos_base!$J$2+IF(parametros_manuales!$H$39="Todos",datos_base!$J$9,0))*parametros_manuales!$J$97+parametros_manuales!$E$39*(datos_base!$J$3+IF(parametros_manuales!$H$39="Todos",datos_base!$J$10,0))*parametros_manuales!$J$102+parametros_manuales!$F$39*(datos_base!$J$4+IF(parametros_manuales!$H$39="Todos",datos_base!$J$11,0))*parametros_manuales!$J$107+parametros_manuales!$G$39*(datos_base!$J$5+IF(parametros_manuales!$H$39="Todos",datos_base!$J$12,0))*parametros_manuales!$J$112)*parametros_manuales!$I$39*parametros_manuales!$J$39</f>
        <v>5404.53</v>
      </c>
      <c r="K246" s="8">
        <f>(parametros_manuales!$D$39*(datos_base!$J$2+IF(parametros_manuales!$H$39="Todos",datos_base!$J$9,0))*parametros_manuales!$K$97+parametros_manuales!$E$39*(datos_base!$J$3+IF(parametros_manuales!$H$39="Todos",datos_base!$J$10,0))*parametros_manuales!$K$102+parametros_manuales!$F$39*(datos_base!$J$4+IF(parametros_manuales!$H$39="Todos",datos_base!$J$11,0))*parametros_manuales!$K$107+parametros_manuales!$G$39*(datos_base!$J$5+IF(parametros_manuales!$H$39="Todos",datos_base!$J$12,0))*parametros_manuales!$K$112)*parametros_manuales!$I$39*parametros_manuales!$J$39</f>
        <v>5581.59</v>
      </c>
      <c r="L246" s="8">
        <f>(parametros_manuales!$D$39*(datos_base!$J$2+IF(parametros_manuales!$H$39="Todos",datos_base!$J$9,0))*parametros_manuales!$L$97+parametros_manuales!$E$39*(datos_base!$J$3+IF(parametros_manuales!$H$39="Todos",datos_base!$J$10,0))*parametros_manuales!$L$102+parametros_manuales!$F$39*(datos_base!$J$4+IF(parametros_manuales!$H$39="Todos",datos_base!$J$11,0))*parametros_manuales!$L$107+parametros_manuales!$G$39*(datos_base!$J$5+IF(parametros_manuales!$H$39="Todos",datos_base!$J$12,0))*parametros_manuales!$L$112)*parametros_manuales!$I$39*parametros_manuales!$J$39</f>
        <v>5758.65</v>
      </c>
      <c r="M246" s="8">
        <f>(parametros_manuales!$D$39*(datos_base!$J$2+IF(parametros_manuales!$H$39="Todos",datos_base!$J$9,0))*parametros_manuales!$M$97+parametros_manuales!$E$39*(datos_base!$J$3+IF(parametros_manuales!$H$39="Todos",datos_base!$J$10,0))*parametros_manuales!$M$102+parametros_manuales!$F$39*(datos_base!$J$4+IF(parametros_manuales!$H$39="Todos",datos_base!$J$11,0))*parametros_manuales!$M$107+parametros_manuales!$G$39*(datos_base!$J$5+IF(parametros_manuales!$H$39="Todos",datos_base!$J$12,0))*parametros_manuales!$M$112)*parametros_manuales!$I$39*parametros_manuales!$J$39</f>
        <v>5758.65</v>
      </c>
      <c r="N246" s="8">
        <f t="shared" si="25"/>
        <v>63985</v>
      </c>
      <c r="O246" s="8">
        <f t="shared" si="26"/>
        <v>5758.65</v>
      </c>
      <c r="P246" s="27">
        <f>O246/(parametros_manuales!$B$7)</f>
        <v>38.391</v>
      </c>
      <c r="Q246" s="4" t="str">
        <f t="shared" si="27"/>
        <v>Ene</v>
      </c>
      <c r="R246" s="16"/>
      <c r="S246" s="16"/>
    </row>
    <row r="247" ht="14.25" customHeight="1">
      <c r="A247" s="4" t="str">
        <f>parametros_manuales!$B$40</f>
        <v>Ensamblaje</v>
      </c>
      <c r="B247" s="8">
        <f>(parametros_manuales!$D$40*(datos_base!$J$2+IF(parametros_manuales!$H$40="Todos",datos_base!$J$9,0))*parametros_manuales!$B$97+parametros_manuales!$E$40*(datos_base!$J$3+IF(parametros_manuales!$H$40="Todos",datos_base!$J$10,0))*parametros_manuales!$B$102+parametros_manuales!$F$40*(datos_base!$J$4+IF(parametros_manuales!$H$40="Todos",datos_base!$J$11,0))*parametros_manuales!$B$107+parametros_manuales!$G$40*(datos_base!$J$5+IF(parametros_manuales!$H$40="Todos",datos_base!$J$12,0))*parametros_manuales!$B$112)*parametros_manuales!$I$40*parametros_manuales!$J$40</f>
        <v>5758.65</v>
      </c>
      <c r="C247" s="8">
        <f>(parametros_manuales!$D$40*(datos_base!$J$2+IF(parametros_manuales!$H$40="Todos",datos_base!$J$9,0))*parametros_manuales!$C$97+parametros_manuales!$E$40*(datos_base!$J$3+IF(parametros_manuales!$H$40="Todos",datos_base!$J$10,0))*parametros_manuales!$C$102+parametros_manuales!$F$40*(datos_base!$J$4+IF(parametros_manuales!$H$40="Todos",datos_base!$J$11,0))*parametros_manuales!$C$107+parametros_manuales!$G$40*(datos_base!$J$5+IF(parametros_manuales!$H$40="Todos",datos_base!$J$12,0))*parametros_manuales!$C$112)*parametros_manuales!$I$40*parametros_manuales!$J$40</f>
        <v>5404.53</v>
      </c>
      <c r="D247" s="8">
        <f>(parametros_manuales!$D$40*(datos_base!$J$2+IF(parametros_manuales!$H$40="Todos",datos_base!$J$9,0))*parametros_manuales!$D$97+parametros_manuales!$E$40*(datos_base!$J$3+IF(parametros_manuales!$H$40="Todos",datos_base!$J$10,0))*parametros_manuales!$D$102+parametros_manuales!$F$40*(datos_base!$J$4+IF(parametros_manuales!$H$40="Todos",datos_base!$J$11,0))*parametros_manuales!$D$107+parametros_manuales!$G$40*(datos_base!$J$5+IF(parametros_manuales!$H$40="Todos",datos_base!$J$12,0))*parametros_manuales!$D$112)*parametros_manuales!$I$40*parametros_manuales!$J$40</f>
        <v>5295.86</v>
      </c>
      <c r="E247" s="8">
        <f>(parametros_manuales!$D$40*(datos_base!$J$2+IF(parametros_manuales!$H$40="Todos",datos_base!$J$9,0))*parametros_manuales!$E$97+parametros_manuales!$E$40*(datos_base!$J$3+IF(parametros_manuales!$H$40="Todos",datos_base!$J$10,0))*parametros_manuales!$E$102+parametros_manuales!$F$40*(datos_base!$J$4+IF(parametros_manuales!$H$40="Todos",datos_base!$J$11,0))*parametros_manuales!$E$107+parametros_manuales!$G$40*(datos_base!$J$5+IF(parametros_manuales!$H$40="Todos",datos_base!$J$12,0))*parametros_manuales!$E$112)*parametros_manuales!$I$40*parametros_manuales!$J$40</f>
        <v>5152.995</v>
      </c>
      <c r="F247" s="8">
        <f>(parametros_manuales!$D$40*(datos_base!$J$2+IF(parametros_manuales!$H$40="Todos",datos_base!$J$9,0))*parametros_manuales!$F$97+parametros_manuales!$E$40*(datos_base!$J$3+IF(parametros_manuales!$H$40="Todos",datos_base!$J$10,0))*parametros_manuales!$F$102+parametros_manuales!$F$40*(datos_base!$J$4+IF(parametros_manuales!$H$40="Todos",datos_base!$J$11,0))*parametros_manuales!$F$107+parametros_manuales!$G$40*(datos_base!$J$5+IF(parametros_manuales!$H$40="Todos",datos_base!$J$12,0))*parametros_manuales!$F$112)*parametros_manuales!$I$40*parametros_manuales!$J$40</f>
        <v>4833.07</v>
      </c>
      <c r="G247" s="8">
        <f>(parametros_manuales!$D$40*(datos_base!$J$2+IF(parametros_manuales!$H$40="Todos",datos_base!$J$9,0))*parametros_manuales!$G$97+parametros_manuales!$E$40*(datos_base!$J$3+IF(parametros_manuales!$H$40="Todos",datos_base!$J$10,0))*parametros_manuales!$G$102+parametros_manuales!$F$40*(datos_base!$J$4+IF(parametros_manuales!$H$40="Todos",datos_base!$J$11,0))*parametros_manuales!$G$107+parametros_manuales!$G$40*(datos_base!$J$5+IF(parametros_manuales!$H$40="Todos",datos_base!$J$12,0))*parametros_manuales!$G$112)*parametros_manuales!$I$40*parametros_manuales!$J$40</f>
        <v>4656.01</v>
      </c>
      <c r="H247" s="8">
        <f>(parametros_manuales!$D$40*(datos_base!$J$2+IF(parametros_manuales!$H$40="Todos",datos_base!$J$9,0))*parametros_manuales!$H$97+parametros_manuales!$E$40*(datos_base!$J$3+IF(parametros_manuales!$H$40="Todos",datos_base!$J$10,0))*parametros_manuales!$H$102+parametros_manuales!$F$40*(datos_base!$J$4+IF(parametros_manuales!$H$40="Todos",datos_base!$J$11,0))*parametros_manuales!$H$107+parametros_manuales!$G$40*(datos_base!$J$5+IF(parametros_manuales!$H$40="Todos",datos_base!$J$12,0))*parametros_manuales!$H$112)*parametros_manuales!$I$40*parametros_manuales!$J$40</f>
        <v>4975.935</v>
      </c>
      <c r="I247" s="8">
        <f>(parametros_manuales!$D$40*(datos_base!$J$2+IF(parametros_manuales!$H$40="Todos",datos_base!$J$9,0))*parametros_manuales!$I$97+parametros_manuales!$E$40*(datos_base!$J$3+IF(parametros_manuales!$H$40="Todos",datos_base!$J$10,0))*parametros_manuales!$I$102+parametros_manuales!$F$40*(datos_base!$J$4+IF(parametros_manuales!$H$40="Todos",datos_base!$J$11,0))*parametros_manuales!$I$107+parametros_manuales!$G$40*(datos_base!$J$5+IF(parametros_manuales!$H$40="Todos",datos_base!$J$12,0))*parametros_manuales!$I$112)*parametros_manuales!$I$40*parametros_manuales!$J$40</f>
        <v>5404.53</v>
      </c>
      <c r="J247" s="8">
        <f>(parametros_manuales!$D$40*(datos_base!$J$2+IF(parametros_manuales!$H$40="Todos",datos_base!$J$9,0))*parametros_manuales!$J$97+parametros_manuales!$E$40*(datos_base!$J$3+IF(parametros_manuales!$H$40="Todos",datos_base!$J$10,0))*parametros_manuales!$J$102+parametros_manuales!$F$40*(datos_base!$J$4+IF(parametros_manuales!$H$40="Todos",datos_base!$J$11,0))*parametros_manuales!$J$107+parametros_manuales!$G$40*(datos_base!$J$5+IF(parametros_manuales!$H$40="Todos",datos_base!$J$12,0))*parametros_manuales!$J$112)*parametros_manuales!$I$40*parametros_manuales!$J$40</f>
        <v>5404.53</v>
      </c>
      <c r="K247" s="8">
        <f>(parametros_manuales!$D$40*(datos_base!$J$2+IF(parametros_manuales!$H$40="Todos",datos_base!$J$9,0))*parametros_manuales!$K$97+parametros_manuales!$E$40*(datos_base!$J$3+IF(parametros_manuales!$H$40="Todos",datos_base!$J$10,0))*parametros_manuales!$K$102+parametros_manuales!$F$40*(datos_base!$J$4+IF(parametros_manuales!$H$40="Todos",datos_base!$J$11,0))*parametros_manuales!$K$107+parametros_manuales!$G$40*(datos_base!$J$5+IF(parametros_manuales!$H$40="Todos",datos_base!$J$12,0))*parametros_manuales!$K$112)*parametros_manuales!$I$40*parametros_manuales!$J$40</f>
        <v>5581.59</v>
      </c>
      <c r="L247" s="8">
        <f>(parametros_manuales!$D$40*(datos_base!$J$2+IF(parametros_manuales!$H$40="Todos",datos_base!$J$9,0))*parametros_manuales!$L$97+parametros_manuales!$E$40*(datos_base!$J$3+IF(parametros_manuales!$H$40="Todos",datos_base!$J$10,0))*parametros_manuales!$L$102+parametros_manuales!$F$40*(datos_base!$J$4+IF(parametros_manuales!$H$40="Todos",datos_base!$J$11,0))*parametros_manuales!$L$107+parametros_manuales!$G$40*(datos_base!$J$5+IF(parametros_manuales!$H$40="Todos",datos_base!$J$12,0))*parametros_manuales!$L$112)*parametros_manuales!$I$40*parametros_manuales!$J$40</f>
        <v>5758.65</v>
      </c>
      <c r="M247" s="8">
        <f>(parametros_manuales!$D$40*(datos_base!$J$2+IF(parametros_manuales!$H$40="Todos",datos_base!$J$9,0))*parametros_manuales!$M$97+parametros_manuales!$E$40*(datos_base!$J$3+IF(parametros_manuales!$H$40="Todos",datos_base!$J$10,0))*parametros_manuales!$M$102+parametros_manuales!$F$40*(datos_base!$J$4+IF(parametros_manuales!$H$40="Todos",datos_base!$J$11,0))*parametros_manuales!$M$107+parametros_manuales!$G$40*(datos_base!$J$5+IF(parametros_manuales!$H$40="Todos",datos_base!$J$12,0))*parametros_manuales!$M$112)*parametros_manuales!$I$40*parametros_manuales!$J$40</f>
        <v>5758.65</v>
      </c>
      <c r="N247" s="8">
        <f t="shared" si="25"/>
        <v>63985</v>
      </c>
      <c r="O247" s="8">
        <f t="shared" si="26"/>
        <v>5758.65</v>
      </c>
      <c r="P247" s="27">
        <f>O247/(parametros_manuales!$B$7)</f>
        <v>38.391</v>
      </c>
      <c r="Q247" s="4" t="str">
        <f t="shared" si="27"/>
        <v>Ene</v>
      </c>
      <c r="R247" s="16"/>
      <c r="S247" s="16"/>
    </row>
    <row r="248" ht="14.25" customHeight="1">
      <c r="A248" s="4" t="str">
        <f>parametros_manuales!$B$41</f>
        <v>Presurización</v>
      </c>
      <c r="B248" s="8">
        <f>(parametros_manuales!$D$41*(datos_base!$J$2+IF(parametros_manuales!$H$41="Todos",datos_base!$J$9,0))*parametros_manuales!$B$97+parametros_manuales!$E$41*(datos_base!$J$3+IF(parametros_manuales!$H$41="Todos",datos_base!$J$10,0))*parametros_manuales!$B$102+parametros_manuales!$F$41*(datos_base!$J$4+IF(parametros_manuales!$H$41="Todos",datos_base!$J$11,0))*parametros_manuales!$B$107+parametros_manuales!$G$41*(datos_base!$J$5+IF(parametros_manuales!$H$41="Todos",datos_base!$J$12,0))*parametros_manuales!$B$112)*parametros_manuales!$I$41*parametros_manuales!$J$41</f>
        <v>5758.65</v>
      </c>
      <c r="C248" s="8">
        <f>(parametros_manuales!$D$41*(datos_base!$J$2+IF(parametros_manuales!$H$41="Todos",datos_base!$J$9,0))*parametros_manuales!$C$97+parametros_manuales!$E$41*(datos_base!$J$3+IF(parametros_manuales!$H$41="Todos",datos_base!$J$10,0))*parametros_manuales!$C$102+parametros_manuales!$F$41*(datos_base!$J$4+IF(parametros_manuales!$H$41="Todos",datos_base!$J$11,0))*parametros_manuales!$C$107+parametros_manuales!$G$41*(datos_base!$J$5+IF(parametros_manuales!$H$41="Todos",datos_base!$J$12,0))*parametros_manuales!$C$112)*parametros_manuales!$I$41*parametros_manuales!$J$41</f>
        <v>5404.53</v>
      </c>
      <c r="D248" s="8">
        <f>(parametros_manuales!$D$41*(datos_base!$J$2+IF(parametros_manuales!$H$41="Todos",datos_base!$J$9,0))*parametros_manuales!$D$97+parametros_manuales!$E$41*(datos_base!$J$3+IF(parametros_manuales!$H$41="Todos",datos_base!$J$10,0))*parametros_manuales!$D$102+parametros_manuales!$F$41*(datos_base!$J$4+IF(parametros_manuales!$H$41="Todos",datos_base!$J$11,0))*parametros_manuales!$D$107+parametros_manuales!$G$41*(datos_base!$J$5+IF(parametros_manuales!$H$41="Todos",datos_base!$J$12,0))*parametros_manuales!$D$112)*parametros_manuales!$I$41*parametros_manuales!$J$41</f>
        <v>5295.86</v>
      </c>
      <c r="E248" s="8">
        <f>(parametros_manuales!$D$41*(datos_base!$J$2+IF(parametros_manuales!$H$41="Todos",datos_base!$J$9,0))*parametros_manuales!$E$97+parametros_manuales!$E$41*(datos_base!$J$3+IF(parametros_manuales!$H$41="Todos",datos_base!$J$10,0))*parametros_manuales!$E$102+parametros_manuales!$F$41*(datos_base!$J$4+IF(parametros_manuales!$H$41="Todos",datos_base!$J$11,0))*parametros_manuales!$E$107+parametros_manuales!$G$41*(datos_base!$J$5+IF(parametros_manuales!$H$41="Todos",datos_base!$J$12,0))*parametros_manuales!$E$112)*parametros_manuales!$I$41*parametros_manuales!$J$41</f>
        <v>5152.995</v>
      </c>
      <c r="F248" s="8">
        <f>(parametros_manuales!$D$41*(datos_base!$J$2+IF(parametros_manuales!$H$41="Todos",datos_base!$J$9,0))*parametros_manuales!$F$97+parametros_manuales!$E$41*(datos_base!$J$3+IF(parametros_manuales!$H$41="Todos",datos_base!$J$10,0))*parametros_manuales!$F$102+parametros_manuales!$F$41*(datos_base!$J$4+IF(parametros_manuales!$H$41="Todos",datos_base!$J$11,0))*parametros_manuales!$F$107+parametros_manuales!$G$41*(datos_base!$J$5+IF(parametros_manuales!$H$41="Todos",datos_base!$J$12,0))*parametros_manuales!$F$112)*parametros_manuales!$I$41*parametros_manuales!$J$41</f>
        <v>4833.07</v>
      </c>
      <c r="G248" s="8">
        <f>(parametros_manuales!$D$41*(datos_base!$J$2+IF(parametros_manuales!$H$41="Todos",datos_base!$J$9,0))*parametros_manuales!$G$97+parametros_manuales!$E$41*(datos_base!$J$3+IF(parametros_manuales!$H$41="Todos",datos_base!$J$10,0))*parametros_manuales!$G$102+parametros_manuales!$F$41*(datos_base!$J$4+IF(parametros_manuales!$H$41="Todos",datos_base!$J$11,0))*parametros_manuales!$G$107+parametros_manuales!$G$41*(datos_base!$J$5+IF(parametros_manuales!$H$41="Todos",datos_base!$J$12,0))*parametros_manuales!$G$112)*parametros_manuales!$I$41*parametros_manuales!$J$41</f>
        <v>4656.01</v>
      </c>
      <c r="H248" s="8">
        <f>(parametros_manuales!$D$41*(datos_base!$J$2+IF(parametros_manuales!$H$41="Todos",datos_base!$J$9,0))*parametros_manuales!$H$97+parametros_manuales!$E$41*(datos_base!$J$3+IF(parametros_manuales!$H$41="Todos",datos_base!$J$10,0))*parametros_manuales!$H$102+parametros_manuales!$F$41*(datos_base!$J$4+IF(parametros_manuales!$H$41="Todos",datos_base!$J$11,0))*parametros_manuales!$H$107+parametros_manuales!$G$41*(datos_base!$J$5+IF(parametros_manuales!$H$41="Todos",datos_base!$J$12,0))*parametros_manuales!$H$112)*parametros_manuales!$I$41*parametros_manuales!$J$41</f>
        <v>4975.935</v>
      </c>
      <c r="I248" s="8">
        <f>(parametros_manuales!$D$41*(datos_base!$J$2+IF(parametros_manuales!$H$41="Todos",datos_base!$J$9,0))*parametros_manuales!$I$97+parametros_manuales!$E$41*(datos_base!$J$3+IF(parametros_manuales!$H$41="Todos",datos_base!$J$10,0))*parametros_manuales!$I$102+parametros_manuales!$F$41*(datos_base!$J$4+IF(parametros_manuales!$H$41="Todos",datos_base!$J$11,0))*parametros_manuales!$I$107+parametros_manuales!$G$41*(datos_base!$J$5+IF(parametros_manuales!$H$41="Todos",datos_base!$J$12,0))*parametros_manuales!$I$112)*parametros_manuales!$I$41*parametros_manuales!$J$41</f>
        <v>5404.53</v>
      </c>
      <c r="J248" s="8">
        <f>(parametros_manuales!$D$41*(datos_base!$J$2+IF(parametros_manuales!$H$41="Todos",datos_base!$J$9,0))*parametros_manuales!$J$97+parametros_manuales!$E$41*(datos_base!$J$3+IF(parametros_manuales!$H$41="Todos",datos_base!$J$10,0))*parametros_manuales!$J$102+parametros_manuales!$F$41*(datos_base!$J$4+IF(parametros_manuales!$H$41="Todos",datos_base!$J$11,0))*parametros_manuales!$J$107+parametros_manuales!$G$41*(datos_base!$J$5+IF(parametros_manuales!$H$41="Todos",datos_base!$J$12,0))*parametros_manuales!$J$112)*parametros_manuales!$I$41*parametros_manuales!$J$41</f>
        <v>5404.53</v>
      </c>
      <c r="K248" s="8">
        <f>(parametros_manuales!$D$41*(datos_base!$J$2+IF(parametros_manuales!$H$41="Todos",datos_base!$J$9,0))*parametros_manuales!$K$97+parametros_manuales!$E$41*(datos_base!$J$3+IF(parametros_manuales!$H$41="Todos",datos_base!$J$10,0))*parametros_manuales!$K$102+parametros_manuales!$F$41*(datos_base!$J$4+IF(parametros_manuales!$H$41="Todos",datos_base!$J$11,0))*parametros_manuales!$K$107+parametros_manuales!$G$41*(datos_base!$J$5+IF(parametros_manuales!$H$41="Todos",datos_base!$J$12,0))*parametros_manuales!$K$112)*parametros_manuales!$I$41*parametros_manuales!$J$41</f>
        <v>5581.59</v>
      </c>
      <c r="L248" s="8">
        <f>(parametros_manuales!$D$41*(datos_base!$J$2+IF(parametros_manuales!$H$41="Todos",datos_base!$J$9,0))*parametros_manuales!$L$97+parametros_manuales!$E$41*(datos_base!$J$3+IF(parametros_manuales!$H$41="Todos",datos_base!$J$10,0))*parametros_manuales!$L$102+parametros_manuales!$F$41*(datos_base!$J$4+IF(parametros_manuales!$H$41="Todos",datos_base!$J$11,0))*parametros_manuales!$L$107+parametros_manuales!$G$41*(datos_base!$J$5+IF(parametros_manuales!$H$41="Todos",datos_base!$J$12,0))*parametros_manuales!$L$112)*parametros_manuales!$I$41*parametros_manuales!$J$41</f>
        <v>5758.65</v>
      </c>
      <c r="M248" s="8">
        <f>(parametros_manuales!$D$41*(datos_base!$J$2+IF(parametros_manuales!$H$41="Todos",datos_base!$J$9,0))*parametros_manuales!$M$97+parametros_manuales!$E$41*(datos_base!$J$3+IF(parametros_manuales!$H$41="Todos",datos_base!$J$10,0))*parametros_manuales!$M$102+parametros_manuales!$F$41*(datos_base!$J$4+IF(parametros_manuales!$H$41="Todos",datos_base!$J$11,0))*parametros_manuales!$M$107+parametros_manuales!$G$41*(datos_base!$J$5+IF(parametros_manuales!$H$41="Todos",datos_base!$J$12,0))*parametros_manuales!$M$112)*parametros_manuales!$I$41*parametros_manuales!$J$41</f>
        <v>5758.65</v>
      </c>
      <c r="N248" s="8">
        <f t="shared" si="25"/>
        <v>63985</v>
      </c>
      <c r="O248" s="8">
        <f t="shared" si="26"/>
        <v>5758.65</v>
      </c>
      <c r="P248" s="27">
        <f>O248/(parametros_manuales!$B$7)</f>
        <v>38.391</v>
      </c>
      <c r="Q248" s="4" t="str">
        <f t="shared" si="27"/>
        <v>Ene</v>
      </c>
      <c r="R248" s="16"/>
      <c r="S248" s="16"/>
    </row>
    <row r="249" ht="14.25" customHeight="1">
      <c r="A249" s="4" t="str">
        <f>parametros_manuales!$B$42</f>
        <v>Control de calidad — Ensayo de pérdidas</v>
      </c>
      <c r="B249" s="8">
        <f>(parametros_manuales!$D$42*(datos_base!$J$2+IF(parametros_manuales!$H$42="Todos",datos_base!$J$9,0))*parametros_manuales!$B$97+parametros_manuales!$E$42*(datos_base!$J$3+IF(parametros_manuales!$H$42="Todos",datos_base!$J$10,0))*parametros_manuales!$B$102+parametros_manuales!$F$42*(datos_base!$J$4+IF(parametros_manuales!$H$42="Todos",datos_base!$J$11,0))*parametros_manuales!$B$107+parametros_manuales!$G$42*(datos_base!$J$5+IF(parametros_manuales!$H$42="Todos",datos_base!$J$12,0))*parametros_manuales!$B$112)*parametros_manuales!$I$42*parametros_manuales!$J$42</f>
        <v>5758.65</v>
      </c>
      <c r="C249" s="8">
        <f>(parametros_manuales!$D$42*(datos_base!$J$2+IF(parametros_manuales!$H$42="Todos",datos_base!$J$9,0))*parametros_manuales!$C$97+parametros_manuales!$E$42*(datos_base!$J$3+IF(parametros_manuales!$H$42="Todos",datos_base!$J$10,0))*parametros_manuales!$C$102+parametros_manuales!$F$42*(datos_base!$J$4+IF(parametros_manuales!$H$42="Todos",datos_base!$J$11,0))*parametros_manuales!$C$107+parametros_manuales!$G$42*(datos_base!$J$5+IF(parametros_manuales!$H$42="Todos",datos_base!$J$12,0))*parametros_manuales!$C$112)*parametros_manuales!$I$42*parametros_manuales!$J$42</f>
        <v>5404.53</v>
      </c>
      <c r="D249" s="8">
        <f>(parametros_manuales!$D$42*(datos_base!$J$2+IF(parametros_manuales!$H$42="Todos",datos_base!$J$9,0))*parametros_manuales!$D$97+parametros_manuales!$E$42*(datos_base!$J$3+IF(parametros_manuales!$H$42="Todos",datos_base!$J$10,0))*parametros_manuales!$D$102+parametros_manuales!$F$42*(datos_base!$J$4+IF(parametros_manuales!$H$42="Todos",datos_base!$J$11,0))*parametros_manuales!$D$107+parametros_manuales!$G$42*(datos_base!$J$5+IF(parametros_manuales!$H$42="Todos",datos_base!$J$12,0))*parametros_manuales!$D$112)*parametros_manuales!$I$42*parametros_manuales!$J$42</f>
        <v>5295.86</v>
      </c>
      <c r="E249" s="8">
        <f>(parametros_manuales!$D$42*(datos_base!$J$2+IF(parametros_manuales!$H$42="Todos",datos_base!$J$9,0))*parametros_manuales!$E$97+parametros_manuales!$E$42*(datos_base!$J$3+IF(parametros_manuales!$H$42="Todos",datos_base!$J$10,0))*parametros_manuales!$E$102+parametros_manuales!$F$42*(datos_base!$J$4+IF(parametros_manuales!$H$42="Todos",datos_base!$J$11,0))*parametros_manuales!$E$107+parametros_manuales!$G$42*(datos_base!$J$5+IF(parametros_manuales!$H$42="Todos",datos_base!$J$12,0))*parametros_manuales!$E$112)*parametros_manuales!$I$42*parametros_manuales!$J$42</f>
        <v>5152.995</v>
      </c>
      <c r="F249" s="8">
        <f>(parametros_manuales!$D$42*(datos_base!$J$2+IF(parametros_manuales!$H$42="Todos",datos_base!$J$9,0))*parametros_manuales!$F$97+parametros_manuales!$E$42*(datos_base!$J$3+IF(parametros_manuales!$H$42="Todos",datos_base!$J$10,0))*parametros_manuales!$F$102+parametros_manuales!$F$42*(datos_base!$J$4+IF(parametros_manuales!$H$42="Todos",datos_base!$J$11,0))*parametros_manuales!$F$107+parametros_manuales!$G$42*(datos_base!$J$5+IF(parametros_manuales!$H$42="Todos",datos_base!$J$12,0))*parametros_manuales!$F$112)*parametros_manuales!$I$42*parametros_manuales!$J$42</f>
        <v>4833.07</v>
      </c>
      <c r="G249" s="8">
        <f>(parametros_manuales!$D$42*(datos_base!$J$2+IF(parametros_manuales!$H$42="Todos",datos_base!$J$9,0))*parametros_manuales!$G$97+parametros_manuales!$E$42*(datos_base!$J$3+IF(parametros_manuales!$H$42="Todos",datos_base!$J$10,0))*parametros_manuales!$G$102+parametros_manuales!$F$42*(datos_base!$J$4+IF(parametros_manuales!$H$42="Todos",datos_base!$J$11,0))*parametros_manuales!$G$107+parametros_manuales!$G$42*(datos_base!$J$5+IF(parametros_manuales!$H$42="Todos",datos_base!$J$12,0))*parametros_manuales!$G$112)*parametros_manuales!$I$42*parametros_manuales!$J$42</f>
        <v>4656.01</v>
      </c>
      <c r="H249" s="8">
        <f>(parametros_manuales!$D$42*(datos_base!$J$2+IF(parametros_manuales!$H$42="Todos",datos_base!$J$9,0))*parametros_manuales!$H$97+parametros_manuales!$E$42*(datos_base!$J$3+IF(parametros_manuales!$H$42="Todos",datos_base!$J$10,0))*parametros_manuales!$H$102+parametros_manuales!$F$42*(datos_base!$J$4+IF(parametros_manuales!$H$42="Todos",datos_base!$J$11,0))*parametros_manuales!$H$107+parametros_manuales!$G$42*(datos_base!$J$5+IF(parametros_manuales!$H$42="Todos",datos_base!$J$12,0))*parametros_manuales!$H$112)*parametros_manuales!$I$42*parametros_manuales!$J$42</f>
        <v>4975.935</v>
      </c>
      <c r="I249" s="8">
        <f>(parametros_manuales!$D$42*(datos_base!$J$2+IF(parametros_manuales!$H$42="Todos",datos_base!$J$9,0))*parametros_manuales!$I$97+parametros_manuales!$E$42*(datos_base!$J$3+IF(parametros_manuales!$H$42="Todos",datos_base!$J$10,0))*parametros_manuales!$I$102+parametros_manuales!$F$42*(datos_base!$J$4+IF(parametros_manuales!$H$42="Todos",datos_base!$J$11,0))*parametros_manuales!$I$107+parametros_manuales!$G$42*(datos_base!$J$5+IF(parametros_manuales!$H$42="Todos",datos_base!$J$12,0))*parametros_manuales!$I$112)*parametros_manuales!$I$42*parametros_manuales!$J$42</f>
        <v>5404.53</v>
      </c>
      <c r="J249" s="8">
        <f>(parametros_manuales!$D$42*(datos_base!$J$2+IF(parametros_manuales!$H$42="Todos",datos_base!$J$9,0))*parametros_manuales!$J$97+parametros_manuales!$E$42*(datos_base!$J$3+IF(parametros_manuales!$H$42="Todos",datos_base!$J$10,0))*parametros_manuales!$J$102+parametros_manuales!$F$42*(datos_base!$J$4+IF(parametros_manuales!$H$42="Todos",datos_base!$J$11,0))*parametros_manuales!$J$107+parametros_manuales!$G$42*(datos_base!$J$5+IF(parametros_manuales!$H$42="Todos",datos_base!$J$12,0))*parametros_manuales!$J$112)*parametros_manuales!$I$42*parametros_manuales!$J$42</f>
        <v>5404.53</v>
      </c>
      <c r="K249" s="8">
        <f>(parametros_manuales!$D$42*(datos_base!$J$2+IF(parametros_manuales!$H$42="Todos",datos_base!$J$9,0))*parametros_manuales!$K$97+parametros_manuales!$E$42*(datos_base!$J$3+IF(parametros_manuales!$H$42="Todos",datos_base!$J$10,0))*parametros_manuales!$K$102+parametros_manuales!$F$42*(datos_base!$J$4+IF(parametros_manuales!$H$42="Todos",datos_base!$J$11,0))*parametros_manuales!$K$107+parametros_manuales!$G$42*(datos_base!$J$5+IF(parametros_manuales!$H$42="Todos",datos_base!$J$12,0))*parametros_manuales!$K$112)*parametros_manuales!$I$42*parametros_manuales!$J$42</f>
        <v>5581.59</v>
      </c>
      <c r="L249" s="8">
        <f>(parametros_manuales!$D$42*(datos_base!$J$2+IF(parametros_manuales!$H$42="Todos",datos_base!$J$9,0))*parametros_manuales!$L$97+parametros_manuales!$E$42*(datos_base!$J$3+IF(parametros_manuales!$H$42="Todos",datos_base!$J$10,0))*parametros_manuales!$L$102+parametros_manuales!$F$42*(datos_base!$J$4+IF(parametros_manuales!$H$42="Todos",datos_base!$J$11,0))*parametros_manuales!$L$107+parametros_manuales!$G$42*(datos_base!$J$5+IF(parametros_manuales!$H$42="Todos",datos_base!$J$12,0))*parametros_manuales!$L$112)*parametros_manuales!$I$42*parametros_manuales!$J$42</f>
        <v>5758.65</v>
      </c>
      <c r="M249" s="8">
        <f>(parametros_manuales!$D$42*(datos_base!$J$2+IF(parametros_manuales!$H$42="Todos",datos_base!$J$9,0))*parametros_manuales!$M$97+parametros_manuales!$E$42*(datos_base!$J$3+IF(parametros_manuales!$H$42="Todos",datos_base!$J$10,0))*parametros_manuales!$M$102+parametros_manuales!$F$42*(datos_base!$J$4+IF(parametros_manuales!$H$42="Todos",datos_base!$J$11,0))*parametros_manuales!$M$107+parametros_manuales!$G$42*(datos_base!$J$5+IF(parametros_manuales!$H$42="Todos",datos_base!$J$12,0))*parametros_manuales!$M$112)*parametros_manuales!$I$42*parametros_manuales!$J$42</f>
        <v>5758.65</v>
      </c>
      <c r="N249" s="8">
        <f t="shared" si="25"/>
        <v>63985</v>
      </c>
      <c r="O249" s="8">
        <f t="shared" si="26"/>
        <v>5758.65</v>
      </c>
      <c r="P249" s="27">
        <f>O249/(parametros_manuales!$B$7)</f>
        <v>38.391</v>
      </c>
      <c r="Q249" s="4" t="str">
        <f t="shared" si="27"/>
        <v>Ene</v>
      </c>
      <c r="R249" s="16"/>
      <c r="S249" s="16"/>
    </row>
    <row r="250" ht="14.25" customHeight="1">
      <c r="A250" s="4" t="str">
        <f>parametros_manuales!$B$43</f>
        <v>Etiquetado</v>
      </c>
      <c r="B250" s="8">
        <f>(parametros_manuales!$D$43*(datos_base!$J$2+IF(parametros_manuales!$H$43="Todos",datos_base!$J$9,0))*parametros_manuales!$B$97+parametros_manuales!$E$43*(datos_base!$J$3+IF(parametros_manuales!$H$43="Todos",datos_base!$J$10,0))*parametros_manuales!$B$102+parametros_manuales!$F$43*(datos_base!$J$4+IF(parametros_manuales!$H$43="Todos",datos_base!$J$11,0))*parametros_manuales!$B$107+parametros_manuales!$G$43*(datos_base!$J$5+IF(parametros_manuales!$H$43="Todos",datos_base!$J$12,0))*parametros_manuales!$B$112)*parametros_manuales!$I$43*parametros_manuales!$J$43</f>
        <v>5758.65</v>
      </c>
      <c r="C250" s="8">
        <f>(parametros_manuales!$D$43*(datos_base!$J$2+IF(parametros_manuales!$H$43="Todos",datos_base!$J$9,0))*parametros_manuales!$C$97+parametros_manuales!$E$43*(datos_base!$J$3+IF(parametros_manuales!$H$43="Todos",datos_base!$J$10,0))*parametros_manuales!$C$102+parametros_manuales!$F$43*(datos_base!$J$4+IF(parametros_manuales!$H$43="Todos",datos_base!$J$11,0))*parametros_manuales!$C$107+parametros_manuales!$G$43*(datos_base!$J$5+IF(parametros_manuales!$H$43="Todos",datos_base!$J$12,0))*parametros_manuales!$C$112)*parametros_manuales!$I$43*parametros_manuales!$J$43</f>
        <v>5404.53</v>
      </c>
      <c r="D250" s="8">
        <f>(parametros_manuales!$D$43*(datos_base!$J$2+IF(parametros_manuales!$H$43="Todos",datos_base!$J$9,0))*parametros_manuales!$D$97+parametros_manuales!$E$43*(datos_base!$J$3+IF(parametros_manuales!$H$43="Todos",datos_base!$J$10,0))*parametros_manuales!$D$102+parametros_manuales!$F$43*(datos_base!$J$4+IF(parametros_manuales!$H$43="Todos",datos_base!$J$11,0))*parametros_manuales!$D$107+parametros_manuales!$G$43*(datos_base!$J$5+IF(parametros_manuales!$H$43="Todos",datos_base!$J$12,0))*parametros_manuales!$D$112)*parametros_manuales!$I$43*parametros_manuales!$J$43</f>
        <v>5295.86</v>
      </c>
      <c r="E250" s="8">
        <f>(parametros_manuales!$D$43*(datos_base!$J$2+IF(parametros_manuales!$H$43="Todos",datos_base!$J$9,0))*parametros_manuales!$E$97+parametros_manuales!$E$43*(datos_base!$J$3+IF(parametros_manuales!$H$43="Todos",datos_base!$J$10,0))*parametros_manuales!$E$102+parametros_manuales!$F$43*(datos_base!$J$4+IF(parametros_manuales!$H$43="Todos",datos_base!$J$11,0))*parametros_manuales!$E$107+parametros_manuales!$G$43*(datos_base!$J$5+IF(parametros_manuales!$H$43="Todos",datos_base!$J$12,0))*parametros_manuales!$E$112)*parametros_manuales!$I$43*parametros_manuales!$J$43</f>
        <v>5152.995</v>
      </c>
      <c r="F250" s="8">
        <f>(parametros_manuales!$D$43*(datos_base!$J$2+IF(parametros_manuales!$H$43="Todos",datos_base!$J$9,0))*parametros_manuales!$F$97+parametros_manuales!$E$43*(datos_base!$J$3+IF(parametros_manuales!$H$43="Todos",datos_base!$J$10,0))*parametros_manuales!$F$102+parametros_manuales!$F$43*(datos_base!$J$4+IF(parametros_manuales!$H$43="Todos",datos_base!$J$11,0))*parametros_manuales!$F$107+parametros_manuales!$G$43*(datos_base!$J$5+IF(parametros_manuales!$H$43="Todos",datos_base!$J$12,0))*parametros_manuales!$F$112)*parametros_manuales!$I$43*parametros_manuales!$J$43</f>
        <v>4833.07</v>
      </c>
      <c r="G250" s="8">
        <f>(parametros_manuales!$D$43*(datos_base!$J$2+IF(parametros_manuales!$H$43="Todos",datos_base!$J$9,0))*parametros_manuales!$G$97+parametros_manuales!$E$43*(datos_base!$J$3+IF(parametros_manuales!$H$43="Todos",datos_base!$J$10,0))*parametros_manuales!$G$102+parametros_manuales!$F$43*(datos_base!$J$4+IF(parametros_manuales!$H$43="Todos",datos_base!$J$11,0))*parametros_manuales!$G$107+parametros_manuales!$G$43*(datos_base!$J$5+IF(parametros_manuales!$H$43="Todos",datos_base!$J$12,0))*parametros_manuales!$G$112)*parametros_manuales!$I$43*parametros_manuales!$J$43</f>
        <v>4656.01</v>
      </c>
      <c r="H250" s="8">
        <f>(parametros_manuales!$D$43*(datos_base!$J$2+IF(parametros_manuales!$H$43="Todos",datos_base!$J$9,0))*parametros_manuales!$H$97+parametros_manuales!$E$43*(datos_base!$J$3+IF(parametros_manuales!$H$43="Todos",datos_base!$J$10,0))*parametros_manuales!$H$102+parametros_manuales!$F$43*(datos_base!$J$4+IF(parametros_manuales!$H$43="Todos",datos_base!$J$11,0))*parametros_manuales!$H$107+parametros_manuales!$G$43*(datos_base!$J$5+IF(parametros_manuales!$H$43="Todos",datos_base!$J$12,0))*parametros_manuales!$H$112)*parametros_manuales!$I$43*parametros_manuales!$J$43</f>
        <v>4975.935</v>
      </c>
      <c r="I250" s="8">
        <f>(parametros_manuales!$D$43*(datos_base!$J$2+IF(parametros_manuales!$H$43="Todos",datos_base!$J$9,0))*parametros_manuales!$I$97+parametros_manuales!$E$43*(datos_base!$J$3+IF(parametros_manuales!$H$43="Todos",datos_base!$J$10,0))*parametros_manuales!$I$102+parametros_manuales!$F$43*(datos_base!$J$4+IF(parametros_manuales!$H$43="Todos",datos_base!$J$11,0))*parametros_manuales!$I$107+parametros_manuales!$G$43*(datos_base!$J$5+IF(parametros_manuales!$H$43="Todos",datos_base!$J$12,0))*parametros_manuales!$I$112)*parametros_manuales!$I$43*parametros_manuales!$J$43</f>
        <v>5404.53</v>
      </c>
      <c r="J250" s="8">
        <f>(parametros_manuales!$D$43*(datos_base!$J$2+IF(parametros_manuales!$H$43="Todos",datos_base!$J$9,0))*parametros_manuales!$J$97+parametros_manuales!$E$43*(datos_base!$J$3+IF(parametros_manuales!$H$43="Todos",datos_base!$J$10,0))*parametros_manuales!$J$102+parametros_manuales!$F$43*(datos_base!$J$4+IF(parametros_manuales!$H$43="Todos",datos_base!$J$11,0))*parametros_manuales!$J$107+parametros_manuales!$G$43*(datos_base!$J$5+IF(parametros_manuales!$H$43="Todos",datos_base!$J$12,0))*parametros_manuales!$J$112)*parametros_manuales!$I$43*parametros_manuales!$J$43</f>
        <v>5404.53</v>
      </c>
      <c r="K250" s="8">
        <f>(parametros_manuales!$D$43*(datos_base!$J$2+IF(parametros_manuales!$H$43="Todos",datos_base!$J$9,0))*parametros_manuales!$K$97+parametros_manuales!$E$43*(datos_base!$J$3+IF(parametros_manuales!$H$43="Todos",datos_base!$J$10,0))*parametros_manuales!$K$102+parametros_manuales!$F$43*(datos_base!$J$4+IF(parametros_manuales!$H$43="Todos",datos_base!$J$11,0))*parametros_manuales!$K$107+parametros_manuales!$G$43*(datos_base!$J$5+IF(parametros_manuales!$H$43="Todos",datos_base!$J$12,0))*parametros_manuales!$K$112)*parametros_manuales!$I$43*parametros_manuales!$J$43</f>
        <v>5581.59</v>
      </c>
      <c r="L250" s="8">
        <f>(parametros_manuales!$D$43*(datos_base!$J$2+IF(parametros_manuales!$H$43="Todos",datos_base!$J$9,0))*parametros_manuales!$L$97+parametros_manuales!$E$43*(datos_base!$J$3+IF(parametros_manuales!$H$43="Todos",datos_base!$J$10,0))*parametros_manuales!$L$102+parametros_manuales!$F$43*(datos_base!$J$4+IF(parametros_manuales!$H$43="Todos",datos_base!$J$11,0))*parametros_manuales!$L$107+parametros_manuales!$G$43*(datos_base!$J$5+IF(parametros_manuales!$H$43="Todos",datos_base!$J$12,0))*parametros_manuales!$L$112)*parametros_manuales!$I$43*parametros_manuales!$J$43</f>
        <v>5758.65</v>
      </c>
      <c r="M250" s="8">
        <f>(parametros_manuales!$D$43*(datos_base!$J$2+IF(parametros_manuales!$H$43="Todos",datos_base!$J$9,0))*parametros_manuales!$M$97+parametros_manuales!$E$43*(datos_base!$J$3+IF(parametros_manuales!$H$43="Todos",datos_base!$J$10,0))*parametros_manuales!$M$102+parametros_manuales!$F$43*(datos_base!$J$4+IF(parametros_manuales!$H$43="Todos",datos_base!$J$11,0))*parametros_manuales!$M$107+parametros_manuales!$G$43*(datos_base!$J$5+IF(parametros_manuales!$H$43="Todos",datos_base!$J$12,0))*parametros_manuales!$M$112)*parametros_manuales!$I$43*parametros_manuales!$J$43</f>
        <v>5758.65</v>
      </c>
      <c r="N250" s="8">
        <f t="shared" si="25"/>
        <v>63985</v>
      </c>
      <c r="O250" s="8">
        <f t="shared" si="26"/>
        <v>5758.65</v>
      </c>
      <c r="P250" s="27">
        <f>O250/(parametros_manuales!$B$7)</f>
        <v>38.391</v>
      </c>
      <c r="Q250" s="4" t="str">
        <f t="shared" si="27"/>
        <v>Ene</v>
      </c>
      <c r="R250" s="16"/>
      <c r="S250" s="16"/>
    </row>
    <row r="251" ht="14.25" customHeight="1">
      <c r="A251" s="4" t="str">
        <f>parametros_manuales!$B$44</f>
        <v>Embalaje y paletizado</v>
      </c>
      <c r="B251" s="8">
        <f>(parametros_manuales!$D$44*(datos_base!$J$2+IF(parametros_manuales!$H$44="Todos",datos_base!$J$9,0))*parametros_manuales!$B$97+parametros_manuales!$E$44*(datos_base!$J$3+IF(parametros_manuales!$H$44="Todos",datos_base!$J$10,0))*parametros_manuales!$B$102+parametros_manuales!$F$44*(datos_base!$J$4+IF(parametros_manuales!$H$44="Todos",datos_base!$J$11,0))*parametros_manuales!$B$107+parametros_manuales!$G$44*(datos_base!$J$5+IF(parametros_manuales!$H$44="Todos",datos_base!$J$12,0))*parametros_manuales!$B$112)*parametros_manuales!$I$44*parametros_manuales!$J$44</f>
        <v>22297.77</v>
      </c>
      <c r="C251" s="8">
        <f>(parametros_manuales!$D$44*(datos_base!$J$2+IF(parametros_manuales!$H$44="Todos",datos_base!$J$9,0))*parametros_manuales!$C$97+parametros_manuales!$E$44*(datos_base!$J$3+IF(parametros_manuales!$H$44="Todos",datos_base!$J$10,0))*parametros_manuales!$C$102+parametros_manuales!$F$44*(datos_base!$J$4+IF(parametros_manuales!$H$44="Todos",datos_base!$J$11,0))*parametros_manuales!$C$107+parametros_manuales!$G$44*(datos_base!$J$5+IF(parametros_manuales!$H$44="Todos",datos_base!$J$12,0))*parametros_manuales!$C$112)*parametros_manuales!$I$44*parametros_manuales!$J$44</f>
        <v>21574.17</v>
      </c>
      <c r="D251" s="8">
        <f>(parametros_manuales!$D$44*(datos_base!$J$2+IF(parametros_manuales!$H$44="Todos",datos_base!$J$9,0))*parametros_manuales!$D$97+parametros_manuales!$E$44*(datos_base!$J$3+IF(parametros_manuales!$H$44="Todos",datos_base!$J$10,0))*parametros_manuales!$D$102+parametros_manuales!$F$44*(datos_base!$J$4+IF(parametros_manuales!$H$44="Todos",datos_base!$J$11,0))*parametros_manuales!$D$107+parametros_manuales!$G$44*(datos_base!$J$5+IF(parametros_manuales!$H$44="Todos",datos_base!$J$12,0))*parametros_manuales!$D$112)*parametros_manuales!$I$44*parametros_manuales!$J$44</f>
        <v>20182.04</v>
      </c>
      <c r="E251" s="8">
        <f>(parametros_manuales!$D$44*(datos_base!$J$2+IF(parametros_manuales!$H$44="Todos",datos_base!$J$9,0))*parametros_manuales!$E$97+parametros_manuales!$E$44*(datos_base!$J$3+IF(parametros_manuales!$H$44="Todos",datos_base!$J$10,0))*parametros_manuales!$E$102+parametros_manuales!$F$44*(datos_base!$J$4+IF(parametros_manuales!$H$44="Todos",datos_base!$J$11,0))*parametros_manuales!$E$107+parametros_manuales!$G$44*(datos_base!$J$5+IF(parametros_manuales!$H$44="Todos",datos_base!$J$12,0))*parametros_manuales!$E$112)*parametros_manuales!$I$44*parametros_manuales!$J$44</f>
        <v>19305.075</v>
      </c>
      <c r="F251" s="8">
        <f>(parametros_manuales!$D$44*(datos_base!$J$2+IF(parametros_manuales!$H$44="Todos",datos_base!$J$9,0))*parametros_manuales!$F$97+parametros_manuales!$E$44*(datos_base!$J$3+IF(parametros_manuales!$H$44="Todos",datos_base!$J$10,0))*parametros_manuales!$F$102+parametros_manuales!$F$44*(datos_base!$J$4+IF(parametros_manuales!$H$44="Todos",datos_base!$J$11,0))*parametros_manuales!$F$107+parametros_manuales!$G$44*(datos_base!$J$5+IF(parametros_manuales!$H$44="Todos",datos_base!$J$12,0))*parametros_manuales!$F$112)*parametros_manuales!$I$44*parametros_manuales!$J$44</f>
        <v>18066.31</v>
      </c>
      <c r="G251" s="8">
        <f>(parametros_manuales!$D$44*(datos_base!$J$2+IF(parametros_manuales!$H$44="Todos",datos_base!$J$9,0))*parametros_manuales!$G$97+parametros_manuales!$E$44*(datos_base!$J$3+IF(parametros_manuales!$H$44="Todos",datos_base!$J$10,0))*parametros_manuales!$G$102+parametros_manuales!$F$44*(datos_base!$J$4+IF(parametros_manuales!$H$44="Todos",datos_base!$J$11,0))*parametros_manuales!$G$107+parametros_manuales!$G$44*(datos_base!$J$5+IF(parametros_manuales!$H$44="Todos",datos_base!$J$12,0))*parametros_manuales!$G$112)*parametros_manuales!$I$44*parametros_manuales!$J$44</f>
        <v>17704.51</v>
      </c>
      <c r="H251" s="8">
        <f>(parametros_manuales!$D$44*(datos_base!$J$2+IF(parametros_manuales!$H$44="Todos",datos_base!$J$9,0))*parametros_manuales!$H$97+parametros_manuales!$E$44*(datos_base!$J$3+IF(parametros_manuales!$H$44="Todos",datos_base!$J$10,0))*parametros_manuales!$H$102+parametros_manuales!$F$44*(datos_base!$J$4+IF(parametros_manuales!$H$44="Todos",datos_base!$J$11,0))*parametros_manuales!$H$107+parametros_manuales!$G$44*(datos_base!$J$5+IF(parametros_manuales!$H$44="Todos",datos_base!$J$12,0))*parametros_manuales!$H$112)*parametros_manuales!$I$44*parametros_manuales!$J$44</f>
        <v>18943.275</v>
      </c>
      <c r="I251" s="8">
        <f>(parametros_manuales!$D$44*(datos_base!$J$2+IF(parametros_manuales!$H$44="Todos",datos_base!$J$9,0))*parametros_manuales!$I$97+parametros_manuales!$E$44*(datos_base!$J$3+IF(parametros_manuales!$H$44="Todos",datos_base!$J$10,0))*parametros_manuales!$I$102+parametros_manuales!$F$44*(datos_base!$J$4+IF(parametros_manuales!$H$44="Todos",datos_base!$J$11,0))*parametros_manuales!$I$107+parametros_manuales!$G$44*(datos_base!$J$5+IF(parametros_manuales!$H$44="Todos",datos_base!$J$12,0))*parametros_manuales!$I$112)*parametros_manuales!$I$44*parametros_manuales!$J$44</f>
        <v>21574.17</v>
      </c>
      <c r="J251" s="8">
        <f>(parametros_manuales!$D$44*(datos_base!$J$2+IF(parametros_manuales!$H$44="Todos",datos_base!$J$9,0))*parametros_manuales!$J$97+parametros_manuales!$E$44*(datos_base!$J$3+IF(parametros_manuales!$H$44="Todos",datos_base!$J$10,0))*parametros_manuales!$J$102+parametros_manuales!$F$44*(datos_base!$J$4+IF(parametros_manuales!$H$44="Todos",datos_base!$J$11,0))*parametros_manuales!$J$107+parametros_manuales!$G$44*(datos_base!$J$5+IF(parametros_manuales!$H$44="Todos",datos_base!$J$12,0))*parametros_manuales!$J$112)*parametros_manuales!$I$44*parametros_manuales!$J$44</f>
        <v>21574.17</v>
      </c>
      <c r="K251" s="8">
        <f>(parametros_manuales!$D$44*(datos_base!$J$2+IF(parametros_manuales!$H$44="Todos",datos_base!$J$9,0))*parametros_manuales!$K$97+parametros_manuales!$E$44*(datos_base!$J$3+IF(parametros_manuales!$H$44="Todos",datos_base!$J$10,0))*parametros_manuales!$K$102+parametros_manuales!$F$44*(datos_base!$J$4+IF(parametros_manuales!$H$44="Todos",datos_base!$J$11,0))*parametros_manuales!$K$107+parametros_manuales!$G$44*(datos_base!$J$5+IF(parametros_manuales!$H$44="Todos",datos_base!$J$12,0))*parametros_manuales!$K$112)*parametros_manuales!$I$44*parametros_manuales!$J$44</f>
        <v>21935.97</v>
      </c>
      <c r="L251" s="8">
        <f>(parametros_manuales!$D$44*(datos_base!$J$2+IF(parametros_manuales!$H$44="Todos",datos_base!$J$9,0))*parametros_manuales!$L$97+parametros_manuales!$E$44*(datos_base!$J$3+IF(parametros_manuales!$H$44="Todos",datos_base!$J$10,0))*parametros_manuales!$L$102+parametros_manuales!$F$44*(datos_base!$J$4+IF(parametros_manuales!$H$44="Todos",datos_base!$J$11,0))*parametros_manuales!$L$107+parametros_manuales!$G$44*(datos_base!$J$5+IF(parametros_manuales!$H$44="Todos",datos_base!$J$12,0))*parametros_manuales!$L$112)*parametros_manuales!$I$44*parametros_manuales!$J$44</f>
        <v>22297.77</v>
      </c>
      <c r="M251" s="8">
        <f>(parametros_manuales!$D$44*(datos_base!$J$2+IF(parametros_manuales!$H$44="Todos",datos_base!$J$9,0))*parametros_manuales!$M$97+parametros_manuales!$E$44*(datos_base!$J$3+IF(parametros_manuales!$H$44="Todos",datos_base!$J$10,0))*parametros_manuales!$M$102+parametros_manuales!$F$44*(datos_base!$J$4+IF(parametros_manuales!$H$44="Todos",datos_base!$J$11,0))*parametros_manuales!$M$107+parametros_manuales!$G$44*(datos_base!$J$5+IF(parametros_manuales!$H$44="Todos",datos_base!$J$12,0))*parametros_manuales!$M$112)*parametros_manuales!$I$44*parametros_manuales!$J$44</f>
        <v>22297.77</v>
      </c>
      <c r="N251" s="8">
        <f t="shared" si="25"/>
        <v>247753</v>
      </c>
      <c r="O251" s="8">
        <f t="shared" si="26"/>
        <v>22297.77</v>
      </c>
      <c r="P251" s="27">
        <f>O251/(parametros_manuales!$B$7)</f>
        <v>148.6518</v>
      </c>
      <c r="Q251" s="4" t="str">
        <f t="shared" si="27"/>
        <v>Ene</v>
      </c>
      <c r="R251" s="16"/>
      <c r="S251" s="16"/>
    </row>
    <row r="252" ht="14.25" customHeight="1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</row>
    <row r="253" ht="14.25" customHeight="1">
      <c r="A253" s="1" t="s">
        <v>236</v>
      </c>
      <c r="B253" s="1" t="s">
        <v>5</v>
      </c>
      <c r="C253" s="1" t="s">
        <v>6</v>
      </c>
      <c r="D253" s="1" t="s">
        <v>7</v>
      </c>
      <c r="E253" s="1" t="s">
        <v>8</v>
      </c>
      <c r="F253" s="1" t="s">
        <v>9</v>
      </c>
      <c r="G253" s="1" t="s">
        <v>10</v>
      </c>
      <c r="H253" s="1" t="s">
        <v>12</v>
      </c>
      <c r="I253" s="1" t="s">
        <v>13</v>
      </c>
      <c r="J253" s="1" t="s">
        <v>15</v>
      </c>
      <c r="K253" s="1" t="s">
        <v>16</v>
      </c>
      <c r="L253" s="1" t="s">
        <v>17</v>
      </c>
      <c r="M253" s="1" t="s">
        <v>18</v>
      </c>
      <c r="N253" s="1" t="s">
        <v>19</v>
      </c>
      <c r="O253" s="1" t="s">
        <v>20</v>
      </c>
      <c r="P253" s="1" t="s">
        <v>21</v>
      </c>
      <c r="Q253" s="1" t="s">
        <v>22</v>
      </c>
      <c r="R253" s="16"/>
      <c r="S253" s="16"/>
    </row>
    <row r="254" ht="14.25" customHeight="1">
      <c r="A254" s="4" t="str">
        <f>parametros_manuales!$B$19</f>
        <v>Recepción de materia prima</v>
      </c>
      <c r="B254" s="8">
        <f>(parametros_manuales!$D$19*(datos_base!$K$2+IF(parametros_manuales!$H$19="Todos",datos_base!$K$9,0))*parametros_manuales!$B$97+parametros_manuales!$E$19*(datos_base!$K$3+IF(parametros_manuales!$H$19="Todos",datos_base!$K$10,0))*parametros_manuales!$B$102+parametros_manuales!$F$19*(datos_base!$K$4+IF(parametros_manuales!$H$19="Todos",datos_base!$K$11,0))*parametros_manuales!$B$107+parametros_manuales!$G$19*(datos_base!$K$5+IF(parametros_manuales!$H$19="Todos",datos_base!$K$12,0))*parametros_manuales!$B$112)*parametros_manuales!$I$19*parametros_manuales!$J$19</f>
        <v>25752.87</v>
      </c>
      <c r="C254" s="8">
        <f>(parametros_manuales!$D$19*(datos_base!$K$2+IF(parametros_manuales!$H$19="Todos",datos_base!$K$9,0))*parametros_manuales!$C$97+parametros_manuales!$E$19*(datos_base!$K$3+IF(parametros_manuales!$H$19="Todos",datos_base!$K$10,0))*parametros_manuales!$C$102+parametros_manuales!$F$19*(datos_base!$K$4+IF(parametros_manuales!$H$19="Todos",datos_base!$K$11,0))*parametros_manuales!$C$107+parametros_manuales!$G$19*(datos_base!$K$5+IF(parametros_manuales!$H$19="Todos",datos_base!$K$12,0))*parametros_manuales!$C$112)*parametros_manuales!$I$19*parametros_manuales!$J$19</f>
        <v>24917.65</v>
      </c>
      <c r="D254" s="8">
        <f>(parametros_manuales!$D$19*(datos_base!$K$2+IF(parametros_manuales!$H$19="Todos",datos_base!$K$9,0))*parametros_manuales!$D$97+parametros_manuales!$E$19*(datos_base!$K$3+IF(parametros_manuales!$H$19="Todos",datos_base!$K$10,0))*parametros_manuales!$D$102+parametros_manuales!$F$19*(datos_base!$K$4+IF(parametros_manuales!$H$19="Todos",datos_base!$K$11,0))*parametros_manuales!$D$107+parametros_manuales!$G$19*(datos_base!$K$5+IF(parametros_manuales!$H$19="Todos",datos_base!$K$12,0))*parametros_manuales!$D$112)*parametros_manuales!$I$19*parametros_manuales!$J$19</f>
        <v>23309.05</v>
      </c>
      <c r="E254" s="8">
        <f>(parametros_manuales!$D$19*(datos_base!$K$2+IF(parametros_manuales!$H$19="Todos",datos_base!$K$9,0))*parametros_manuales!$E$97+parametros_manuales!$E$19*(datos_base!$K$3+IF(parametros_manuales!$H$19="Todos",datos_base!$K$10,0))*parametros_manuales!$E$102+parametros_manuales!$F$19*(datos_base!$K$4+IF(parametros_manuales!$H$19="Todos",datos_base!$K$11,0))*parametros_manuales!$E$107+parametros_manuales!$G$19*(datos_base!$K$5+IF(parametros_manuales!$H$19="Todos",datos_base!$K$12,0))*parametros_manuales!$E$112)*parametros_manuales!$I$19*parametros_manuales!$J$19</f>
        <v>22295.945</v>
      </c>
      <c r="F254" s="8">
        <f>(parametros_manuales!$D$19*(datos_base!$K$2+IF(parametros_manuales!$H$19="Todos",datos_base!$K$9,0))*parametros_manuales!$F$97+parametros_manuales!$E$19*(datos_base!$K$3+IF(parametros_manuales!$H$19="Todos",datos_base!$K$10,0))*parametros_manuales!$F$102+parametros_manuales!$F$19*(datos_base!$K$4+IF(parametros_manuales!$H$19="Todos",datos_base!$K$11,0))*parametros_manuales!$F$107+parametros_manuales!$G$19*(datos_base!$K$5+IF(parametros_manuales!$H$19="Todos",datos_base!$K$12,0))*parametros_manuales!$F$112)*parametros_manuales!$I$19*parametros_manuales!$J$19</f>
        <v>20865.23</v>
      </c>
      <c r="G254" s="8">
        <f>(parametros_manuales!$D$19*(datos_base!$K$2+IF(parametros_manuales!$H$19="Todos",datos_base!$K$9,0))*parametros_manuales!$G$97+parametros_manuales!$E$19*(datos_base!$K$3+IF(parametros_manuales!$H$19="Todos",datos_base!$K$10,0))*parametros_manuales!$G$102+parametros_manuales!$F$19*(datos_base!$K$4+IF(parametros_manuales!$H$19="Todos",datos_base!$K$11,0))*parametros_manuales!$G$107+parametros_manuales!$G$19*(datos_base!$K$5+IF(parametros_manuales!$H$19="Todos",datos_base!$K$12,0))*parametros_manuales!$G$112)*parametros_manuales!$I$19*parametros_manuales!$J$19</f>
        <v>20447.62</v>
      </c>
      <c r="H254" s="8">
        <f>(parametros_manuales!$D$19*(datos_base!$K$2+IF(parametros_manuales!$H$19="Todos",datos_base!$K$9,0))*parametros_manuales!$H$97+parametros_manuales!$E$19*(datos_base!$K$3+IF(parametros_manuales!$H$19="Todos",datos_base!$K$10,0))*parametros_manuales!$H$102+parametros_manuales!$F$19*(datos_base!$K$4+IF(parametros_manuales!$H$19="Todos",datos_base!$K$11,0))*parametros_manuales!$H$107+parametros_manuales!$G$19*(datos_base!$K$5+IF(parametros_manuales!$H$19="Todos",datos_base!$K$12,0))*parametros_manuales!$H$112)*parametros_manuales!$I$19*parametros_manuales!$J$19</f>
        <v>21878.335</v>
      </c>
      <c r="I254" s="8">
        <f>(parametros_manuales!$D$19*(datos_base!$K$2+IF(parametros_manuales!$H$19="Todos",datos_base!$K$9,0))*parametros_manuales!$I$97+parametros_manuales!$E$19*(datos_base!$K$3+IF(parametros_manuales!$H$19="Todos",datos_base!$K$10,0))*parametros_manuales!$I$102+parametros_manuales!$F$19*(datos_base!$K$4+IF(parametros_manuales!$H$19="Todos",datos_base!$K$11,0))*parametros_manuales!$I$107+parametros_manuales!$G$19*(datos_base!$K$5+IF(parametros_manuales!$H$19="Todos",datos_base!$K$12,0))*parametros_manuales!$I$112)*parametros_manuales!$I$19*parametros_manuales!$J$19</f>
        <v>24917.65</v>
      </c>
      <c r="J254" s="8">
        <f>(parametros_manuales!$D$19*(datos_base!$K$2+IF(parametros_manuales!$H$19="Todos",datos_base!$K$9,0))*parametros_manuales!$J$97+parametros_manuales!$E$19*(datos_base!$K$3+IF(parametros_manuales!$H$19="Todos",datos_base!$K$10,0))*parametros_manuales!$J$102+parametros_manuales!$F$19*(datos_base!$K$4+IF(parametros_manuales!$H$19="Todos",datos_base!$K$11,0))*parametros_manuales!$J$107+parametros_manuales!$G$19*(datos_base!$K$5+IF(parametros_manuales!$H$19="Todos",datos_base!$K$12,0))*parametros_manuales!$J$112)*parametros_manuales!$I$19*parametros_manuales!$J$19</f>
        <v>24917.65</v>
      </c>
      <c r="K254" s="8">
        <f>(parametros_manuales!$D$19*(datos_base!$K$2+IF(parametros_manuales!$H$19="Todos",datos_base!$K$9,0))*parametros_manuales!$K$97+parametros_manuales!$E$19*(datos_base!$K$3+IF(parametros_manuales!$H$19="Todos",datos_base!$K$10,0))*parametros_manuales!$K$102+parametros_manuales!$F$19*(datos_base!$K$4+IF(parametros_manuales!$H$19="Todos",datos_base!$K$11,0))*parametros_manuales!$K$107+parametros_manuales!$G$19*(datos_base!$K$5+IF(parametros_manuales!$H$19="Todos",datos_base!$K$12,0))*parametros_manuales!$K$112)*parametros_manuales!$I$19*parametros_manuales!$J$19</f>
        <v>25335.26</v>
      </c>
      <c r="L254" s="8">
        <f>(parametros_manuales!$D$19*(datos_base!$K$2+IF(parametros_manuales!$H$19="Todos",datos_base!$K$9,0))*parametros_manuales!$L$97+parametros_manuales!$E$19*(datos_base!$K$3+IF(parametros_manuales!$H$19="Todos",datos_base!$K$10,0))*parametros_manuales!$L$102+parametros_manuales!$F$19*(datos_base!$K$4+IF(parametros_manuales!$H$19="Todos",datos_base!$K$11,0))*parametros_manuales!$L$107+parametros_manuales!$G$19*(datos_base!$K$5+IF(parametros_manuales!$H$19="Todos",datos_base!$K$12,0))*parametros_manuales!$L$112)*parametros_manuales!$I$19*parametros_manuales!$J$19</f>
        <v>25752.87</v>
      </c>
      <c r="M254" s="8">
        <f>(parametros_manuales!$D$19*(datos_base!$K$2+IF(parametros_manuales!$H$19="Todos",datos_base!$K$9,0))*parametros_manuales!$M$97+parametros_manuales!$E$19*(datos_base!$K$3+IF(parametros_manuales!$H$19="Todos",datos_base!$K$10,0))*parametros_manuales!$M$102+parametros_manuales!$F$19*(datos_base!$K$4+IF(parametros_manuales!$H$19="Todos",datos_base!$K$11,0))*parametros_manuales!$M$107+parametros_manuales!$G$19*(datos_base!$K$5+IF(parametros_manuales!$H$19="Todos",datos_base!$K$12,0))*parametros_manuales!$M$112)*parametros_manuales!$I$19*parametros_manuales!$J$19</f>
        <v>25752.87</v>
      </c>
      <c r="N254" s="8">
        <f t="shared" ref="N254:N279" si="28">SUM(B254:M254)</f>
        <v>286143</v>
      </c>
      <c r="O254" s="8">
        <f t="shared" ref="O254:O279" si="29">MAX(B254:M254)</f>
        <v>25752.87</v>
      </c>
      <c r="P254" s="27">
        <f>O254/(parametros_manuales!$B$7)</f>
        <v>171.6858</v>
      </c>
      <c r="Q254" s="4" t="str">
        <f t="shared" ref="Q254:Q279" si="30">IF(O254=0,"-",INDEX($B$253:$M$253,MATCH(O254,B254:M254,0)))</f>
        <v>Ene</v>
      </c>
      <c r="R254" s="16"/>
      <c r="S254" s="16"/>
    </row>
    <row r="255" ht="14.25" customHeight="1">
      <c r="A255" s="4" t="str">
        <f>parametros_manuales!$B$20</f>
        <v>Corte de chapa — 1.er corte en franjas (guillotina 1)</v>
      </c>
      <c r="B255" s="8">
        <f>(parametros_manuales!$D$20*(datos_base!$K$2+IF(parametros_manuales!$H$20="Todos",datos_base!$K$9,0))*parametros_manuales!$B$97+parametros_manuales!$E$20*(datos_base!$K$3+IF(parametros_manuales!$H$20="Todos",datos_base!$K$10,0))*parametros_manuales!$B$102+parametros_manuales!$F$20*(datos_base!$K$4+IF(parametros_manuales!$H$20="Todos",datos_base!$K$11,0))*parametros_manuales!$B$107+parametros_manuales!$G$20*(datos_base!$K$5+IF(parametros_manuales!$H$20="Todos",datos_base!$K$12,0))*parametros_manuales!$B$112)*parametros_manuales!$I$20*parametros_manuales!$J$20</f>
        <v>25752.87</v>
      </c>
      <c r="C255" s="8">
        <f>(parametros_manuales!$D$20*(datos_base!$K$2+IF(parametros_manuales!$H$20="Todos",datos_base!$K$9,0))*parametros_manuales!$C$97+parametros_manuales!$E$20*(datos_base!$K$3+IF(parametros_manuales!$H$20="Todos",datos_base!$K$10,0))*parametros_manuales!$C$102+parametros_manuales!$F$20*(datos_base!$K$4+IF(parametros_manuales!$H$20="Todos",datos_base!$K$11,0))*parametros_manuales!$C$107+parametros_manuales!$G$20*(datos_base!$K$5+IF(parametros_manuales!$H$20="Todos",datos_base!$K$12,0))*parametros_manuales!$C$112)*parametros_manuales!$I$20*parametros_manuales!$J$20</f>
        <v>24917.65</v>
      </c>
      <c r="D255" s="8">
        <f>(parametros_manuales!$D$20*(datos_base!$K$2+IF(parametros_manuales!$H$20="Todos",datos_base!$K$9,0))*parametros_manuales!$D$97+parametros_manuales!$E$20*(datos_base!$K$3+IF(parametros_manuales!$H$20="Todos",datos_base!$K$10,0))*parametros_manuales!$D$102+parametros_manuales!$F$20*(datos_base!$K$4+IF(parametros_manuales!$H$20="Todos",datos_base!$K$11,0))*parametros_manuales!$D$107+parametros_manuales!$G$20*(datos_base!$K$5+IF(parametros_manuales!$H$20="Todos",datos_base!$K$12,0))*parametros_manuales!$D$112)*parametros_manuales!$I$20*parametros_manuales!$J$20</f>
        <v>23309.05</v>
      </c>
      <c r="E255" s="8">
        <f>(parametros_manuales!$D$20*(datos_base!$K$2+IF(parametros_manuales!$H$20="Todos",datos_base!$K$9,0))*parametros_manuales!$E$97+parametros_manuales!$E$20*(datos_base!$K$3+IF(parametros_manuales!$H$20="Todos",datos_base!$K$10,0))*parametros_manuales!$E$102+parametros_manuales!$F$20*(datos_base!$K$4+IF(parametros_manuales!$H$20="Todos",datos_base!$K$11,0))*parametros_manuales!$E$107+parametros_manuales!$G$20*(datos_base!$K$5+IF(parametros_manuales!$H$20="Todos",datos_base!$K$12,0))*parametros_manuales!$E$112)*parametros_manuales!$I$20*parametros_manuales!$J$20</f>
        <v>22295.945</v>
      </c>
      <c r="F255" s="8">
        <f>(parametros_manuales!$D$20*(datos_base!$K$2+IF(parametros_manuales!$H$20="Todos",datos_base!$K$9,0))*parametros_manuales!$F$97+parametros_manuales!$E$20*(datos_base!$K$3+IF(parametros_manuales!$H$20="Todos",datos_base!$K$10,0))*parametros_manuales!$F$102+parametros_manuales!$F$20*(datos_base!$K$4+IF(parametros_manuales!$H$20="Todos",datos_base!$K$11,0))*parametros_manuales!$F$107+parametros_manuales!$G$20*(datos_base!$K$5+IF(parametros_manuales!$H$20="Todos",datos_base!$K$12,0))*parametros_manuales!$F$112)*parametros_manuales!$I$20*parametros_manuales!$J$20</f>
        <v>20865.23</v>
      </c>
      <c r="G255" s="8">
        <f>(parametros_manuales!$D$20*(datos_base!$K$2+IF(parametros_manuales!$H$20="Todos",datos_base!$K$9,0))*parametros_manuales!$G$97+parametros_manuales!$E$20*(datos_base!$K$3+IF(parametros_manuales!$H$20="Todos",datos_base!$K$10,0))*parametros_manuales!$G$102+parametros_manuales!$F$20*(datos_base!$K$4+IF(parametros_manuales!$H$20="Todos",datos_base!$K$11,0))*parametros_manuales!$G$107+parametros_manuales!$G$20*(datos_base!$K$5+IF(parametros_manuales!$H$20="Todos",datos_base!$K$12,0))*parametros_manuales!$G$112)*parametros_manuales!$I$20*parametros_manuales!$J$20</f>
        <v>20447.62</v>
      </c>
      <c r="H255" s="8">
        <f>(parametros_manuales!$D$20*(datos_base!$K$2+IF(parametros_manuales!$H$20="Todos",datos_base!$K$9,0))*parametros_manuales!$H$97+parametros_manuales!$E$20*(datos_base!$K$3+IF(parametros_manuales!$H$20="Todos",datos_base!$K$10,0))*parametros_manuales!$H$102+parametros_manuales!$F$20*(datos_base!$K$4+IF(parametros_manuales!$H$20="Todos",datos_base!$K$11,0))*parametros_manuales!$H$107+parametros_manuales!$G$20*(datos_base!$K$5+IF(parametros_manuales!$H$20="Todos",datos_base!$K$12,0))*parametros_manuales!$H$112)*parametros_manuales!$I$20*parametros_manuales!$J$20</f>
        <v>21878.335</v>
      </c>
      <c r="I255" s="8">
        <f>(parametros_manuales!$D$20*(datos_base!$K$2+IF(parametros_manuales!$H$20="Todos",datos_base!$K$9,0))*parametros_manuales!$I$97+parametros_manuales!$E$20*(datos_base!$K$3+IF(parametros_manuales!$H$20="Todos",datos_base!$K$10,0))*parametros_manuales!$I$102+parametros_manuales!$F$20*(datos_base!$K$4+IF(parametros_manuales!$H$20="Todos",datos_base!$K$11,0))*parametros_manuales!$I$107+parametros_manuales!$G$20*(datos_base!$K$5+IF(parametros_manuales!$H$20="Todos",datos_base!$K$12,0))*parametros_manuales!$I$112)*parametros_manuales!$I$20*parametros_manuales!$J$20</f>
        <v>24917.65</v>
      </c>
      <c r="J255" s="8">
        <f>(parametros_manuales!$D$20*(datos_base!$K$2+IF(parametros_manuales!$H$20="Todos",datos_base!$K$9,0))*parametros_manuales!$J$97+parametros_manuales!$E$20*(datos_base!$K$3+IF(parametros_manuales!$H$20="Todos",datos_base!$K$10,0))*parametros_manuales!$J$102+parametros_manuales!$F$20*(datos_base!$K$4+IF(parametros_manuales!$H$20="Todos",datos_base!$K$11,0))*parametros_manuales!$J$107+parametros_manuales!$G$20*(datos_base!$K$5+IF(parametros_manuales!$H$20="Todos",datos_base!$K$12,0))*parametros_manuales!$J$112)*parametros_manuales!$I$20*parametros_manuales!$J$20</f>
        <v>24917.65</v>
      </c>
      <c r="K255" s="8">
        <f>(parametros_manuales!$D$20*(datos_base!$K$2+IF(parametros_manuales!$H$20="Todos",datos_base!$K$9,0))*parametros_manuales!$K$97+parametros_manuales!$E$20*(datos_base!$K$3+IF(parametros_manuales!$H$20="Todos",datos_base!$K$10,0))*parametros_manuales!$K$102+parametros_manuales!$F$20*(datos_base!$K$4+IF(parametros_manuales!$H$20="Todos",datos_base!$K$11,0))*parametros_manuales!$K$107+parametros_manuales!$G$20*(datos_base!$K$5+IF(parametros_manuales!$H$20="Todos",datos_base!$K$12,0))*parametros_manuales!$K$112)*parametros_manuales!$I$20*parametros_manuales!$J$20</f>
        <v>25335.26</v>
      </c>
      <c r="L255" s="8">
        <f>(parametros_manuales!$D$20*(datos_base!$K$2+IF(parametros_manuales!$H$20="Todos",datos_base!$K$9,0))*parametros_manuales!$L$97+parametros_manuales!$E$20*(datos_base!$K$3+IF(parametros_manuales!$H$20="Todos",datos_base!$K$10,0))*parametros_manuales!$L$102+parametros_manuales!$F$20*(datos_base!$K$4+IF(parametros_manuales!$H$20="Todos",datos_base!$K$11,0))*parametros_manuales!$L$107+parametros_manuales!$G$20*(datos_base!$K$5+IF(parametros_manuales!$H$20="Todos",datos_base!$K$12,0))*parametros_manuales!$L$112)*parametros_manuales!$I$20*parametros_manuales!$J$20</f>
        <v>25752.87</v>
      </c>
      <c r="M255" s="8">
        <f>(parametros_manuales!$D$20*(datos_base!$K$2+IF(parametros_manuales!$H$20="Todos",datos_base!$K$9,0))*parametros_manuales!$M$97+parametros_manuales!$E$20*(datos_base!$K$3+IF(parametros_manuales!$H$20="Todos",datos_base!$K$10,0))*parametros_manuales!$M$102+parametros_manuales!$F$20*(datos_base!$K$4+IF(parametros_manuales!$H$20="Todos",datos_base!$K$11,0))*parametros_manuales!$M$107+parametros_manuales!$G$20*(datos_base!$K$5+IF(parametros_manuales!$H$20="Todos",datos_base!$K$12,0))*parametros_manuales!$M$112)*parametros_manuales!$I$20*parametros_manuales!$J$20</f>
        <v>25752.87</v>
      </c>
      <c r="N255" s="8">
        <f t="shared" si="28"/>
        <v>286143</v>
      </c>
      <c r="O255" s="8">
        <f t="shared" si="29"/>
        <v>25752.87</v>
      </c>
      <c r="P255" s="27">
        <f>O255/(parametros_manuales!$B$7)</f>
        <v>171.6858</v>
      </c>
      <c r="Q255" s="4" t="str">
        <f t="shared" si="30"/>
        <v>Ene</v>
      </c>
      <c r="R255" s="16"/>
      <c r="S255" s="16"/>
    </row>
    <row r="256" ht="14.25" customHeight="1">
      <c r="A256" s="4" t="str">
        <f>parametros_manuales!$B$21</f>
        <v>Corte de chapa — 2.º corte en piezas (guillotina 2)</v>
      </c>
      <c r="B256" s="8">
        <f>(parametros_manuales!$D$21*(datos_base!$K$2+IF(parametros_manuales!$H$21="Todos",datos_base!$K$9,0))*parametros_manuales!$B$97+parametros_manuales!$E$21*(datos_base!$K$3+IF(parametros_manuales!$H$21="Todos",datos_base!$K$10,0))*parametros_manuales!$B$102+parametros_manuales!$F$21*(datos_base!$K$4+IF(parametros_manuales!$H$21="Todos",datos_base!$K$11,0))*parametros_manuales!$B$107+parametros_manuales!$G$21*(datos_base!$K$5+IF(parametros_manuales!$H$21="Todos",datos_base!$K$12,0))*parametros_manuales!$B$112)*parametros_manuales!$I$21*parametros_manuales!$J$21</f>
        <v>25752.87</v>
      </c>
      <c r="C256" s="8">
        <f>(parametros_manuales!$D$21*(datos_base!$K$2+IF(parametros_manuales!$H$21="Todos",datos_base!$K$9,0))*parametros_manuales!$C$97+parametros_manuales!$E$21*(datos_base!$K$3+IF(parametros_manuales!$H$21="Todos",datos_base!$K$10,0))*parametros_manuales!$C$102+parametros_manuales!$F$21*(datos_base!$K$4+IF(parametros_manuales!$H$21="Todos",datos_base!$K$11,0))*parametros_manuales!$C$107+parametros_manuales!$G$21*(datos_base!$K$5+IF(parametros_manuales!$H$21="Todos",datos_base!$K$12,0))*parametros_manuales!$C$112)*parametros_manuales!$I$21*parametros_manuales!$J$21</f>
        <v>24917.65</v>
      </c>
      <c r="D256" s="8">
        <f>(parametros_manuales!$D$21*(datos_base!$K$2+IF(parametros_manuales!$H$21="Todos",datos_base!$K$9,0))*parametros_manuales!$D$97+parametros_manuales!$E$21*(datos_base!$K$3+IF(parametros_manuales!$H$21="Todos",datos_base!$K$10,0))*parametros_manuales!$D$102+parametros_manuales!$F$21*(datos_base!$K$4+IF(parametros_manuales!$H$21="Todos",datos_base!$K$11,0))*parametros_manuales!$D$107+parametros_manuales!$G$21*(datos_base!$K$5+IF(parametros_manuales!$H$21="Todos",datos_base!$K$12,0))*parametros_manuales!$D$112)*parametros_manuales!$I$21*parametros_manuales!$J$21</f>
        <v>23309.05</v>
      </c>
      <c r="E256" s="8">
        <f>(parametros_manuales!$D$21*(datos_base!$K$2+IF(parametros_manuales!$H$21="Todos",datos_base!$K$9,0))*parametros_manuales!$E$97+parametros_manuales!$E$21*(datos_base!$K$3+IF(parametros_manuales!$H$21="Todos",datos_base!$K$10,0))*parametros_manuales!$E$102+parametros_manuales!$F$21*(datos_base!$K$4+IF(parametros_manuales!$H$21="Todos",datos_base!$K$11,0))*parametros_manuales!$E$107+parametros_manuales!$G$21*(datos_base!$K$5+IF(parametros_manuales!$H$21="Todos",datos_base!$K$12,0))*parametros_manuales!$E$112)*parametros_manuales!$I$21*parametros_manuales!$J$21</f>
        <v>22295.945</v>
      </c>
      <c r="F256" s="8">
        <f>(parametros_manuales!$D$21*(datos_base!$K$2+IF(parametros_manuales!$H$21="Todos",datos_base!$K$9,0))*parametros_manuales!$F$97+parametros_manuales!$E$21*(datos_base!$K$3+IF(parametros_manuales!$H$21="Todos",datos_base!$K$10,0))*parametros_manuales!$F$102+parametros_manuales!$F$21*(datos_base!$K$4+IF(parametros_manuales!$H$21="Todos",datos_base!$K$11,0))*parametros_manuales!$F$107+parametros_manuales!$G$21*(datos_base!$K$5+IF(parametros_manuales!$H$21="Todos",datos_base!$K$12,0))*parametros_manuales!$F$112)*parametros_manuales!$I$21*parametros_manuales!$J$21</f>
        <v>20865.23</v>
      </c>
      <c r="G256" s="8">
        <f>(parametros_manuales!$D$21*(datos_base!$K$2+IF(parametros_manuales!$H$21="Todos",datos_base!$K$9,0))*parametros_manuales!$G$97+parametros_manuales!$E$21*(datos_base!$K$3+IF(parametros_manuales!$H$21="Todos",datos_base!$K$10,0))*parametros_manuales!$G$102+parametros_manuales!$F$21*(datos_base!$K$4+IF(parametros_manuales!$H$21="Todos",datos_base!$K$11,0))*parametros_manuales!$G$107+parametros_manuales!$G$21*(datos_base!$K$5+IF(parametros_manuales!$H$21="Todos",datos_base!$K$12,0))*parametros_manuales!$G$112)*parametros_manuales!$I$21*parametros_manuales!$J$21</f>
        <v>20447.62</v>
      </c>
      <c r="H256" s="8">
        <f>(parametros_manuales!$D$21*(datos_base!$K$2+IF(parametros_manuales!$H$21="Todos",datos_base!$K$9,0))*parametros_manuales!$H$97+parametros_manuales!$E$21*(datos_base!$K$3+IF(parametros_manuales!$H$21="Todos",datos_base!$K$10,0))*parametros_manuales!$H$102+parametros_manuales!$F$21*(datos_base!$K$4+IF(parametros_manuales!$H$21="Todos",datos_base!$K$11,0))*parametros_manuales!$H$107+parametros_manuales!$G$21*(datos_base!$K$5+IF(parametros_manuales!$H$21="Todos",datos_base!$K$12,0))*parametros_manuales!$H$112)*parametros_manuales!$I$21*parametros_manuales!$J$21</f>
        <v>21878.335</v>
      </c>
      <c r="I256" s="8">
        <f>(parametros_manuales!$D$21*(datos_base!$K$2+IF(parametros_manuales!$H$21="Todos",datos_base!$K$9,0))*parametros_manuales!$I$97+parametros_manuales!$E$21*(datos_base!$K$3+IF(parametros_manuales!$H$21="Todos",datos_base!$K$10,0))*parametros_manuales!$I$102+parametros_manuales!$F$21*(datos_base!$K$4+IF(parametros_manuales!$H$21="Todos",datos_base!$K$11,0))*parametros_manuales!$I$107+parametros_manuales!$G$21*(datos_base!$K$5+IF(parametros_manuales!$H$21="Todos",datos_base!$K$12,0))*parametros_manuales!$I$112)*parametros_manuales!$I$21*parametros_manuales!$J$21</f>
        <v>24917.65</v>
      </c>
      <c r="J256" s="8">
        <f>(parametros_manuales!$D$21*(datos_base!$K$2+IF(parametros_manuales!$H$21="Todos",datos_base!$K$9,0))*parametros_manuales!$J$97+parametros_manuales!$E$21*(datos_base!$K$3+IF(parametros_manuales!$H$21="Todos",datos_base!$K$10,0))*parametros_manuales!$J$102+parametros_manuales!$F$21*(datos_base!$K$4+IF(parametros_manuales!$H$21="Todos",datos_base!$K$11,0))*parametros_manuales!$J$107+parametros_manuales!$G$21*(datos_base!$K$5+IF(parametros_manuales!$H$21="Todos",datos_base!$K$12,0))*parametros_manuales!$J$112)*parametros_manuales!$I$21*parametros_manuales!$J$21</f>
        <v>24917.65</v>
      </c>
      <c r="K256" s="8">
        <f>(parametros_manuales!$D$21*(datos_base!$K$2+IF(parametros_manuales!$H$21="Todos",datos_base!$K$9,0))*parametros_manuales!$K$97+parametros_manuales!$E$21*(datos_base!$K$3+IF(parametros_manuales!$H$21="Todos",datos_base!$K$10,0))*parametros_manuales!$K$102+parametros_manuales!$F$21*(datos_base!$K$4+IF(parametros_manuales!$H$21="Todos",datos_base!$K$11,0))*parametros_manuales!$K$107+parametros_manuales!$G$21*(datos_base!$K$5+IF(parametros_manuales!$H$21="Todos",datos_base!$K$12,0))*parametros_manuales!$K$112)*parametros_manuales!$I$21*parametros_manuales!$J$21</f>
        <v>25335.26</v>
      </c>
      <c r="L256" s="8">
        <f>(parametros_manuales!$D$21*(datos_base!$K$2+IF(parametros_manuales!$H$21="Todos",datos_base!$K$9,0))*parametros_manuales!$L$97+parametros_manuales!$E$21*(datos_base!$K$3+IF(parametros_manuales!$H$21="Todos",datos_base!$K$10,0))*parametros_manuales!$L$102+parametros_manuales!$F$21*(datos_base!$K$4+IF(parametros_manuales!$H$21="Todos",datos_base!$K$11,0))*parametros_manuales!$L$107+parametros_manuales!$G$21*(datos_base!$K$5+IF(parametros_manuales!$H$21="Todos",datos_base!$K$12,0))*parametros_manuales!$L$112)*parametros_manuales!$I$21*parametros_manuales!$J$21</f>
        <v>25752.87</v>
      </c>
      <c r="M256" s="8">
        <f>(parametros_manuales!$D$21*(datos_base!$K$2+IF(parametros_manuales!$H$21="Todos",datos_base!$K$9,0))*parametros_manuales!$M$97+parametros_manuales!$E$21*(datos_base!$K$3+IF(parametros_manuales!$H$21="Todos",datos_base!$K$10,0))*parametros_manuales!$M$102+parametros_manuales!$F$21*(datos_base!$K$4+IF(parametros_manuales!$H$21="Todos",datos_base!$K$11,0))*parametros_manuales!$M$107+parametros_manuales!$G$21*(datos_base!$K$5+IF(parametros_manuales!$H$21="Todos",datos_base!$K$12,0))*parametros_manuales!$M$112)*parametros_manuales!$I$21*parametros_manuales!$J$21</f>
        <v>25752.87</v>
      </c>
      <c r="N256" s="8">
        <f t="shared" si="28"/>
        <v>286143</v>
      </c>
      <c r="O256" s="8">
        <f t="shared" si="29"/>
        <v>25752.87</v>
      </c>
      <c r="P256" s="27">
        <f>O256/(parametros_manuales!$B$7)</f>
        <v>171.6858</v>
      </c>
      <c r="Q256" s="4" t="str">
        <f t="shared" si="30"/>
        <v>Ene</v>
      </c>
      <c r="R256" s="16"/>
      <c r="S256" s="16"/>
    </row>
    <row r="257" ht="14.25" customHeight="1">
      <c r="A257" s="4" t="str">
        <f>parametros_manuales!$B$22</f>
        <v>Corte de disco y embutido (cúpula y fondo)</v>
      </c>
      <c r="B257" s="8">
        <f>(parametros_manuales!$D$22*(datos_base!$K$2+IF(parametros_manuales!$H$22="Todos",datos_base!$K$9,0))*parametros_manuales!$B$97+parametros_manuales!$E$22*(datos_base!$K$3+IF(parametros_manuales!$H$22="Todos",datos_base!$K$10,0))*parametros_manuales!$B$102+parametros_manuales!$F$22*(datos_base!$K$4+IF(parametros_manuales!$H$22="Todos",datos_base!$K$11,0))*parametros_manuales!$B$107+parametros_manuales!$G$22*(datos_base!$K$5+IF(parametros_manuales!$H$22="Todos",datos_base!$K$12,0))*parametros_manuales!$B$112)*parametros_manuales!$I$22*parametros_manuales!$J$22</f>
        <v>51505.74</v>
      </c>
      <c r="C257" s="8">
        <f>(parametros_manuales!$D$22*(datos_base!$K$2+IF(parametros_manuales!$H$22="Todos",datos_base!$K$9,0))*parametros_manuales!$C$97+parametros_manuales!$E$22*(datos_base!$K$3+IF(parametros_manuales!$H$22="Todos",datos_base!$K$10,0))*parametros_manuales!$C$102+parametros_manuales!$F$22*(datos_base!$K$4+IF(parametros_manuales!$H$22="Todos",datos_base!$K$11,0))*parametros_manuales!$C$107+parametros_manuales!$G$22*(datos_base!$K$5+IF(parametros_manuales!$H$22="Todos",datos_base!$K$12,0))*parametros_manuales!$C$112)*parametros_manuales!$I$22*parametros_manuales!$J$22</f>
        <v>49835.3</v>
      </c>
      <c r="D257" s="8">
        <f>(parametros_manuales!$D$22*(datos_base!$K$2+IF(parametros_manuales!$H$22="Todos",datos_base!$K$9,0))*parametros_manuales!$D$97+parametros_manuales!$E$22*(datos_base!$K$3+IF(parametros_manuales!$H$22="Todos",datos_base!$K$10,0))*parametros_manuales!$D$102+parametros_manuales!$F$22*(datos_base!$K$4+IF(parametros_manuales!$H$22="Todos",datos_base!$K$11,0))*parametros_manuales!$D$107+parametros_manuales!$G$22*(datos_base!$K$5+IF(parametros_manuales!$H$22="Todos",datos_base!$K$12,0))*parametros_manuales!$D$112)*parametros_manuales!$I$22*parametros_manuales!$J$22</f>
        <v>46618.1</v>
      </c>
      <c r="E257" s="8">
        <f>(parametros_manuales!$D$22*(datos_base!$K$2+IF(parametros_manuales!$H$22="Todos",datos_base!$K$9,0))*parametros_manuales!$E$97+parametros_manuales!$E$22*(datos_base!$K$3+IF(parametros_manuales!$H$22="Todos",datos_base!$K$10,0))*parametros_manuales!$E$102+parametros_manuales!$F$22*(datos_base!$K$4+IF(parametros_manuales!$H$22="Todos",datos_base!$K$11,0))*parametros_manuales!$E$107+parametros_manuales!$G$22*(datos_base!$K$5+IF(parametros_manuales!$H$22="Todos",datos_base!$K$12,0))*parametros_manuales!$E$112)*parametros_manuales!$I$22*parametros_manuales!$J$22</f>
        <v>44591.89</v>
      </c>
      <c r="F257" s="8">
        <f>(parametros_manuales!$D$22*(datos_base!$K$2+IF(parametros_manuales!$H$22="Todos",datos_base!$K$9,0))*parametros_manuales!$F$97+parametros_manuales!$E$22*(datos_base!$K$3+IF(parametros_manuales!$H$22="Todos",datos_base!$K$10,0))*parametros_manuales!$F$102+parametros_manuales!$F$22*(datos_base!$K$4+IF(parametros_manuales!$H$22="Todos",datos_base!$K$11,0))*parametros_manuales!$F$107+parametros_manuales!$G$22*(datos_base!$K$5+IF(parametros_manuales!$H$22="Todos",datos_base!$K$12,0))*parametros_manuales!$F$112)*parametros_manuales!$I$22*parametros_manuales!$J$22</f>
        <v>41730.46</v>
      </c>
      <c r="G257" s="8">
        <f>(parametros_manuales!$D$22*(datos_base!$K$2+IF(parametros_manuales!$H$22="Todos",datos_base!$K$9,0))*parametros_manuales!$G$97+parametros_manuales!$E$22*(datos_base!$K$3+IF(parametros_manuales!$H$22="Todos",datos_base!$K$10,0))*parametros_manuales!$G$102+parametros_manuales!$F$22*(datos_base!$K$4+IF(parametros_manuales!$H$22="Todos",datos_base!$K$11,0))*parametros_manuales!$G$107+parametros_manuales!$G$22*(datos_base!$K$5+IF(parametros_manuales!$H$22="Todos",datos_base!$K$12,0))*parametros_manuales!$G$112)*parametros_manuales!$I$22*parametros_manuales!$J$22</f>
        <v>40895.24</v>
      </c>
      <c r="H257" s="8">
        <f>(parametros_manuales!$D$22*(datos_base!$K$2+IF(parametros_manuales!$H$22="Todos",datos_base!$K$9,0))*parametros_manuales!$H$97+parametros_manuales!$E$22*(datos_base!$K$3+IF(parametros_manuales!$H$22="Todos",datos_base!$K$10,0))*parametros_manuales!$H$102+parametros_manuales!$F$22*(datos_base!$K$4+IF(parametros_manuales!$H$22="Todos",datos_base!$K$11,0))*parametros_manuales!$H$107+parametros_manuales!$G$22*(datos_base!$K$5+IF(parametros_manuales!$H$22="Todos",datos_base!$K$12,0))*parametros_manuales!$H$112)*parametros_manuales!$I$22*parametros_manuales!$J$22</f>
        <v>43756.67</v>
      </c>
      <c r="I257" s="8">
        <f>(parametros_manuales!$D$22*(datos_base!$K$2+IF(parametros_manuales!$H$22="Todos",datos_base!$K$9,0))*parametros_manuales!$I$97+parametros_manuales!$E$22*(datos_base!$K$3+IF(parametros_manuales!$H$22="Todos",datos_base!$K$10,0))*parametros_manuales!$I$102+parametros_manuales!$F$22*(datos_base!$K$4+IF(parametros_manuales!$H$22="Todos",datos_base!$K$11,0))*parametros_manuales!$I$107+parametros_manuales!$G$22*(datos_base!$K$5+IF(parametros_manuales!$H$22="Todos",datos_base!$K$12,0))*parametros_manuales!$I$112)*parametros_manuales!$I$22*parametros_manuales!$J$22</f>
        <v>49835.3</v>
      </c>
      <c r="J257" s="8">
        <f>(parametros_manuales!$D$22*(datos_base!$K$2+IF(parametros_manuales!$H$22="Todos",datos_base!$K$9,0))*parametros_manuales!$J$97+parametros_manuales!$E$22*(datos_base!$K$3+IF(parametros_manuales!$H$22="Todos",datos_base!$K$10,0))*parametros_manuales!$J$102+parametros_manuales!$F$22*(datos_base!$K$4+IF(parametros_manuales!$H$22="Todos",datos_base!$K$11,0))*parametros_manuales!$J$107+parametros_manuales!$G$22*(datos_base!$K$5+IF(parametros_manuales!$H$22="Todos",datos_base!$K$12,0))*parametros_manuales!$J$112)*parametros_manuales!$I$22*parametros_manuales!$J$22</f>
        <v>49835.3</v>
      </c>
      <c r="K257" s="8">
        <f>(parametros_manuales!$D$22*(datos_base!$K$2+IF(parametros_manuales!$H$22="Todos",datos_base!$K$9,0))*parametros_manuales!$K$97+parametros_manuales!$E$22*(datos_base!$K$3+IF(parametros_manuales!$H$22="Todos",datos_base!$K$10,0))*parametros_manuales!$K$102+parametros_manuales!$F$22*(datos_base!$K$4+IF(parametros_manuales!$H$22="Todos",datos_base!$K$11,0))*parametros_manuales!$K$107+parametros_manuales!$G$22*(datos_base!$K$5+IF(parametros_manuales!$H$22="Todos",datos_base!$K$12,0))*parametros_manuales!$K$112)*parametros_manuales!$I$22*parametros_manuales!$J$22</f>
        <v>50670.52</v>
      </c>
      <c r="L257" s="8">
        <f>(parametros_manuales!$D$22*(datos_base!$K$2+IF(parametros_manuales!$H$22="Todos",datos_base!$K$9,0))*parametros_manuales!$L$97+parametros_manuales!$E$22*(datos_base!$K$3+IF(parametros_manuales!$H$22="Todos",datos_base!$K$10,0))*parametros_manuales!$L$102+parametros_manuales!$F$22*(datos_base!$K$4+IF(parametros_manuales!$H$22="Todos",datos_base!$K$11,0))*parametros_manuales!$L$107+parametros_manuales!$G$22*(datos_base!$K$5+IF(parametros_manuales!$H$22="Todos",datos_base!$K$12,0))*parametros_manuales!$L$112)*parametros_manuales!$I$22*parametros_manuales!$J$22</f>
        <v>51505.74</v>
      </c>
      <c r="M257" s="8">
        <f>(parametros_manuales!$D$22*(datos_base!$K$2+IF(parametros_manuales!$H$22="Todos",datos_base!$K$9,0))*parametros_manuales!$M$97+parametros_manuales!$E$22*(datos_base!$K$3+IF(parametros_manuales!$H$22="Todos",datos_base!$K$10,0))*parametros_manuales!$M$102+parametros_manuales!$F$22*(datos_base!$K$4+IF(parametros_manuales!$H$22="Todos",datos_base!$K$11,0))*parametros_manuales!$M$107+parametros_manuales!$G$22*(datos_base!$K$5+IF(parametros_manuales!$H$22="Todos",datos_base!$K$12,0))*parametros_manuales!$M$112)*parametros_manuales!$I$22*parametros_manuales!$J$22</f>
        <v>51505.74</v>
      </c>
      <c r="N257" s="8">
        <f t="shared" si="28"/>
        <v>572286</v>
      </c>
      <c r="O257" s="8">
        <f t="shared" si="29"/>
        <v>51505.74</v>
      </c>
      <c r="P257" s="27">
        <f>O257/(parametros_manuales!$B$7)</f>
        <v>343.3716</v>
      </c>
      <c r="Q257" s="4" t="str">
        <f t="shared" si="30"/>
        <v>Ene</v>
      </c>
      <c r="R257" s="16"/>
      <c r="S257" s="16"/>
    </row>
    <row r="258" ht="14.25" customHeight="1">
      <c r="A258" s="4" t="str">
        <f>parametros_manuales!$B$23</f>
        <v>Preparación de cuello</v>
      </c>
      <c r="B258" s="8">
        <f>(parametros_manuales!$D$23*(datos_base!$K$2+IF(parametros_manuales!$H$23="Todos",datos_base!$K$9,0))*parametros_manuales!$B$97+parametros_manuales!$E$23*(datos_base!$K$3+IF(parametros_manuales!$H$23="Todos",datos_base!$K$10,0))*parametros_manuales!$B$102+parametros_manuales!$F$23*(datos_base!$K$4+IF(parametros_manuales!$H$23="Todos",datos_base!$K$11,0))*parametros_manuales!$B$107+parametros_manuales!$G$23*(datos_base!$K$5+IF(parametros_manuales!$H$23="Todos",datos_base!$K$12,0))*parametros_manuales!$B$112)*parametros_manuales!$I$23*parametros_manuales!$J$23</f>
        <v>25752.87</v>
      </c>
      <c r="C258" s="8">
        <f>(parametros_manuales!$D$23*(datos_base!$K$2+IF(parametros_manuales!$H$23="Todos",datos_base!$K$9,0))*parametros_manuales!$C$97+parametros_manuales!$E$23*(datos_base!$K$3+IF(parametros_manuales!$H$23="Todos",datos_base!$K$10,0))*parametros_manuales!$C$102+parametros_manuales!$F$23*(datos_base!$K$4+IF(parametros_manuales!$H$23="Todos",datos_base!$K$11,0))*parametros_manuales!$C$107+parametros_manuales!$G$23*(datos_base!$K$5+IF(parametros_manuales!$H$23="Todos",datos_base!$K$12,0))*parametros_manuales!$C$112)*parametros_manuales!$I$23*parametros_manuales!$J$23</f>
        <v>24917.65</v>
      </c>
      <c r="D258" s="8">
        <f>(parametros_manuales!$D$23*(datos_base!$K$2+IF(parametros_manuales!$H$23="Todos",datos_base!$K$9,0))*parametros_manuales!$D$97+parametros_manuales!$E$23*(datos_base!$K$3+IF(parametros_manuales!$H$23="Todos",datos_base!$K$10,0))*parametros_manuales!$D$102+parametros_manuales!$F$23*(datos_base!$K$4+IF(parametros_manuales!$H$23="Todos",datos_base!$K$11,0))*parametros_manuales!$D$107+parametros_manuales!$G$23*(datos_base!$K$5+IF(parametros_manuales!$H$23="Todos",datos_base!$K$12,0))*parametros_manuales!$D$112)*parametros_manuales!$I$23*parametros_manuales!$J$23</f>
        <v>23309.05</v>
      </c>
      <c r="E258" s="8">
        <f>(parametros_manuales!$D$23*(datos_base!$K$2+IF(parametros_manuales!$H$23="Todos",datos_base!$K$9,0))*parametros_manuales!$E$97+parametros_manuales!$E$23*(datos_base!$K$3+IF(parametros_manuales!$H$23="Todos",datos_base!$K$10,0))*parametros_manuales!$E$102+parametros_manuales!$F$23*(datos_base!$K$4+IF(parametros_manuales!$H$23="Todos",datos_base!$K$11,0))*parametros_manuales!$E$107+parametros_manuales!$G$23*(datos_base!$K$5+IF(parametros_manuales!$H$23="Todos",datos_base!$K$12,0))*parametros_manuales!$E$112)*parametros_manuales!$I$23*parametros_manuales!$J$23</f>
        <v>22295.945</v>
      </c>
      <c r="F258" s="8">
        <f>(parametros_manuales!$D$23*(datos_base!$K$2+IF(parametros_manuales!$H$23="Todos",datos_base!$K$9,0))*parametros_manuales!$F$97+parametros_manuales!$E$23*(datos_base!$K$3+IF(parametros_manuales!$H$23="Todos",datos_base!$K$10,0))*parametros_manuales!$F$102+parametros_manuales!$F$23*(datos_base!$K$4+IF(parametros_manuales!$H$23="Todos",datos_base!$K$11,0))*parametros_manuales!$F$107+parametros_manuales!$G$23*(datos_base!$K$5+IF(parametros_manuales!$H$23="Todos",datos_base!$K$12,0))*parametros_manuales!$F$112)*parametros_manuales!$I$23*parametros_manuales!$J$23</f>
        <v>20865.23</v>
      </c>
      <c r="G258" s="8">
        <f>(parametros_manuales!$D$23*(datos_base!$K$2+IF(parametros_manuales!$H$23="Todos",datos_base!$K$9,0))*parametros_manuales!$G$97+parametros_manuales!$E$23*(datos_base!$K$3+IF(parametros_manuales!$H$23="Todos",datos_base!$K$10,0))*parametros_manuales!$G$102+parametros_manuales!$F$23*(datos_base!$K$4+IF(parametros_manuales!$H$23="Todos",datos_base!$K$11,0))*parametros_manuales!$G$107+parametros_manuales!$G$23*(datos_base!$K$5+IF(parametros_manuales!$H$23="Todos",datos_base!$K$12,0))*parametros_manuales!$G$112)*parametros_manuales!$I$23*parametros_manuales!$J$23</f>
        <v>20447.62</v>
      </c>
      <c r="H258" s="8">
        <f>(parametros_manuales!$D$23*(datos_base!$K$2+IF(parametros_manuales!$H$23="Todos",datos_base!$K$9,0))*parametros_manuales!$H$97+parametros_manuales!$E$23*(datos_base!$K$3+IF(parametros_manuales!$H$23="Todos",datos_base!$K$10,0))*parametros_manuales!$H$102+parametros_manuales!$F$23*(datos_base!$K$4+IF(parametros_manuales!$H$23="Todos",datos_base!$K$11,0))*parametros_manuales!$H$107+parametros_manuales!$G$23*(datos_base!$K$5+IF(parametros_manuales!$H$23="Todos",datos_base!$K$12,0))*parametros_manuales!$H$112)*parametros_manuales!$I$23*parametros_manuales!$J$23</f>
        <v>21878.335</v>
      </c>
      <c r="I258" s="8">
        <f>(parametros_manuales!$D$23*(datos_base!$K$2+IF(parametros_manuales!$H$23="Todos",datos_base!$K$9,0))*parametros_manuales!$I$97+parametros_manuales!$E$23*(datos_base!$K$3+IF(parametros_manuales!$H$23="Todos",datos_base!$K$10,0))*parametros_manuales!$I$102+parametros_manuales!$F$23*(datos_base!$K$4+IF(parametros_manuales!$H$23="Todos",datos_base!$K$11,0))*parametros_manuales!$I$107+parametros_manuales!$G$23*(datos_base!$K$5+IF(parametros_manuales!$H$23="Todos",datos_base!$K$12,0))*parametros_manuales!$I$112)*parametros_manuales!$I$23*parametros_manuales!$J$23</f>
        <v>24917.65</v>
      </c>
      <c r="J258" s="8">
        <f>(parametros_manuales!$D$23*(datos_base!$K$2+IF(parametros_manuales!$H$23="Todos",datos_base!$K$9,0))*parametros_manuales!$J$97+parametros_manuales!$E$23*(datos_base!$K$3+IF(parametros_manuales!$H$23="Todos",datos_base!$K$10,0))*parametros_manuales!$J$102+parametros_manuales!$F$23*(datos_base!$K$4+IF(parametros_manuales!$H$23="Todos",datos_base!$K$11,0))*parametros_manuales!$J$107+parametros_manuales!$G$23*(datos_base!$K$5+IF(parametros_manuales!$H$23="Todos",datos_base!$K$12,0))*parametros_manuales!$J$112)*parametros_manuales!$I$23*parametros_manuales!$J$23</f>
        <v>24917.65</v>
      </c>
      <c r="K258" s="8">
        <f>(parametros_manuales!$D$23*(datos_base!$K$2+IF(parametros_manuales!$H$23="Todos",datos_base!$K$9,0))*parametros_manuales!$K$97+parametros_manuales!$E$23*(datos_base!$K$3+IF(parametros_manuales!$H$23="Todos",datos_base!$K$10,0))*parametros_manuales!$K$102+parametros_manuales!$F$23*(datos_base!$K$4+IF(parametros_manuales!$H$23="Todos",datos_base!$K$11,0))*parametros_manuales!$K$107+parametros_manuales!$G$23*(datos_base!$K$5+IF(parametros_manuales!$H$23="Todos",datos_base!$K$12,0))*parametros_manuales!$K$112)*parametros_manuales!$I$23*parametros_manuales!$J$23</f>
        <v>25335.26</v>
      </c>
      <c r="L258" s="8">
        <f>(parametros_manuales!$D$23*(datos_base!$K$2+IF(parametros_manuales!$H$23="Todos",datos_base!$K$9,0))*parametros_manuales!$L$97+parametros_manuales!$E$23*(datos_base!$K$3+IF(parametros_manuales!$H$23="Todos",datos_base!$K$10,0))*parametros_manuales!$L$102+parametros_manuales!$F$23*(datos_base!$K$4+IF(parametros_manuales!$H$23="Todos",datos_base!$K$11,0))*parametros_manuales!$L$107+parametros_manuales!$G$23*(datos_base!$K$5+IF(parametros_manuales!$H$23="Todos",datos_base!$K$12,0))*parametros_manuales!$L$112)*parametros_manuales!$I$23*parametros_manuales!$J$23</f>
        <v>25752.87</v>
      </c>
      <c r="M258" s="8">
        <f>(parametros_manuales!$D$23*(datos_base!$K$2+IF(parametros_manuales!$H$23="Todos",datos_base!$K$9,0))*parametros_manuales!$M$97+parametros_manuales!$E$23*(datos_base!$K$3+IF(parametros_manuales!$H$23="Todos",datos_base!$K$10,0))*parametros_manuales!$M$102+parametros_manuales!$F$23*(datos_base!$K$4+IF(parametros_manuales!$H$23="Todos",datos_base!$K$11,0))*parametros_manuales!$M$107+parametros_manuales!$G$23*(datos_base!$K$5+IF(parametros_manuales!$H$23="Todos",datos_base!$K$12,0))*parametros_manuales!$M$112)*parametros_manuales!$I$23*parametros_manuales!$J$23</f>
        <v>25752.87</v>
      </c>
      <c r="N258" s="8">
        <f t="shared" si="28"/>
        <v>286143</v>
      </c>
      <c r="O258" s="8">
        <f t="shared" si="29"/>
        <v>25752.87</v>
      </c>
      <c r="P258" s="27">
        <f>O258/(parametros_manuales!$B$7)</f>
        <v>171.6858</v>
      </c>
      <c r="Q258" s="4" t="str">
        <f t="shared" si="30"/>
        <v>Ene</v>
      </c>
      <c r="R258" s="16"/>
      <c r="S258" s="16"/>
    </row>
    <row r="259" ht="14.25" customHeight="1">
      <c r="A259" s="4" t="str">
        <f>parametros_manuales!$B$24</f>
        <v>Numerado de cúpula</v>
      </c>
      <c r="B259" s="8">
        <f>(parametros_manuales!$D$24*(datos_base!$K$2+IF(parametros_manuales!$H$24="Todos",datos_base!$K$9,0))*parametros_manuales!$B$97+parametros_manuales!$E$24*(datos_base!$K$3+IF(parametros_manuales!$H$24="Todos",datos_base!$K$10,0))*parametros_manuales!$B$102+parametros_manuales!$F$24*(datos_base!$K$4+IF(parametros_manuales!$H$24="Todos",datos_base!$K$11,0))*parametros_manuales!$B$107+parametros_manuales!$G$24*(datos_base!$K$5+IF(parametros_manuales!$H$24="Todos",datos_base!$K$12,0))*parametros_manuales!$B$112)*parametros_manuales!$I$24*parametros_manuales!$J$24</f>
        <v>25752.87</v>
      </c>
      <c r="C259" s="8">
        <f>(parametros_manuales!$D$24*(datos_base!$K$2+IF(parametros_manuales!$H$24="Todos",datos_base!$K$9,0))*parametros_manuales!$C$97+parametros_manuales!$E$24*(datos_base!$K$3+IF(parametros_manuales!$H$24="Todos",datos_base!$K$10,0))*parametros_manuales!$C$102+parametros_manuales!$F$24*(datos_base!$K$4+IF(parametros_manuales!$H$24="Todos",datos_base!$K$11,0))*parametros_manuales!$C$107+parametros_manuales!$G$24*(datos_base!$K$5+IF(parametros_manuales!$H$24="Todos",datos_base!$K$12,0))*parametros_manuales!$C$112)*parametros_manuales!$I$24*parametros_manuales!$J$24</f>
        <v>24917.65</v>
      </c>
      <c r="D259" s="8">
        <f>(parametros_manuales!$D$24*(datos_base!$K$2+IF(parametros_manuales!$H$24="Todos",datos_base!$K$9,0))*parametros_manuales!$D$97+parametros_manuales!$E$24*(datos_base!$K$3+IF(parametros_manuales!$H$24="Todos",datos_base!$K$10,0))*parametros_manuales!$D$102+parametros_manuales!$F$24*(datos_base!$K$4+IF(parametros_manuales!$H$24="Todos",datos_base!$K$11,0))*parametros_manuales!$D$107+parametros_manuales!$G$24*(datos_base!$K$5+IF(parametros_manuales!$H$24="Todos",datos_base!$K$12,0))*parametros_manuales!$D$112)*parametros_manuales!$I$24*parametros_manuales!$J$24</f>
        <v>23309.05</v>
      </c>
      <c r="E259" s="8">
        <f>(parametros_manuales!$D$24*(datos_base!$K$2+IF(parametros_manuales!$H$24="Todos",datos_base!$K$9,0))*parametros_manuales!$E$97+parametros_manuales!$E$24*(datos_base!$K$3+IF(parametros_manuales!$H$24="Todos",datos_base!$K$10,0))*parametros_manuales!$E$102+parametros_manuales!$F$24*(datos_base!$K$4+IF(parametros_manuales!$H$24="Todos",datos_base!$K$11,0))*parametros_manuales!$E$107+parametros_manuales!$G$24*(datos_base!$K$5+IF(parametros_manuales!$H$24="Todos",datos_base!$K$12,0))*parametros_manuales!$E$112)*parametros_manuales!$I$24*parametros_manuales!$J$24</f>
        <v>22295.945</v>
      </c>
      <c r="F259" s="8">
        <f>(parametros_manuales!$D$24*(datos_base!$K$2+IF(parametros_manuales!$H$24="Todos",datos_base!$K$9,0))*parametros_manuales!$F$97+parametros_manuales!$E$24*(datos_base!$K$3+IF(parametros_manuales!$H$24="Todos",datos_base!$K$10,0))*parametros_manuales!$F$102+parametros_manuales!$F$24*(datos_base!$K$4+IF(parametros_manuales!$H$24="Todos",datos_base!$K$11,0))*parametros_manuales!$F$107+parametros_manuales!$G$24*(datos_base!$K$5+IF(parametros_manuales!$H$24="Todos",datos_base!$K$12,0))*parametros_manuales!$F$112)*parametros_manuales!$I$24*parametros_manuales!$J$24</f>
        <v>20865.23</v>
      </c>
      <c r="G259" s="8">
        <f>(parametros_manuales!$D$24*(datos_base!$K$2+IF(parametros_manuales!$H$24="Todos",datos_base!$K$9,0))*parametros_manuales!$G$97+parametros_manuales!$E$24*(datos_base!$K$3+IF(parametros_manuales!$H$24="Todos",datos_base!$K$10,0))*parametros_manuales!$G$102+parametros_manuales!$F$24*(datos_base!$K$4+IF(parametros_manuales!$H$24="Todos",datos_base!$K$11,0))*parametros_manuales!$G$107+parametros_manuales!$G$24*(datos_base!$K$5+IF(parametros_manuales!$H$24="Todos",datos_base!$K$12,0))*parametros_manuales!$G$112)*parametros_manuales!$I$24*parametros_manuales!$J$24</f>
        <v>20447.62</v>
      </c>
      <c r="H259" s="8">
        <f>(parametros_manuales!$D$24*(datos_base!$K$2+IF(parametros_manuales!$H$24="Todos",datos_base!$K$9,0))*parametros_manuales!$H$97+parametros_manuales!$E$24*(datos_base!$K$3+IF(parametros_manuales!$H$24="Todos",datos_base!$K$10,0))*parametros_manuales!$H$102+parametros_manuales!$F$24*(datos_base!$K$4+IF(parametros_manuales!$H$24="Todos",datos_base!$K$11,0))*parametros_manuales!$H$107+parametros_manuales!$G$24*(datos_base!$K$5+IF(parametros_manuales!$H$24="Todos",datos_base!$K$12,0))*parametros_manuales!$H$112)*parametros_manuales!$I$24*parametros_manuales!$J$24</f>
        <v>21878.335</v>
      </c>
      <c r="I259" s="8">
        <f>(parametros_manuales!$D$24*(datos_base!$K$2+IF(parametros_manuales!$H$24="Todos",datos_base!$K$9,0))*parametros_manuales!$I$97+parametros_manuales!$E$24*(datos_base!$K$3+IF(parametros_manuales!$H$24="Todos",datos_base!$K$10,0))*parametros_manuales!$I$102+parametros_manuales!$F$24*(datos_base!$K$4+IF(parametros_manuales!$H$24="Todos",datos_base!$K$11,0))*parametros_manuales!$I$107+parametros_manuales!$G$24*(datos_base!$K$5+IF(parametros_manuales!$H$24="Todos",datos_base!$K$12,0))*parametros_manuales!$I$112)*parametros_manuales!$I$24*parametros_manuales!$J$24</f>
        <v>24917.65</v>
      </c>
      <c r="J259" s="8">
        <f>(parametros_manuales!$D$24*(datos_base!$K$2+IF(parametros_manuales!$H$24="Todos",datos_base!$K$9,0))*parametros_manuales!$J$97+parametros_manuales!$E$24*(datos_base!$K$3+IF(parametros_manuales!$H$24="Todos",datos_base!$K$10,0))*parametros_manuales!$J$102+parametros_manuales!$F$24*(datos_base!$K$4+IF(parametros_manuales!$H$24="Todos",datos_base!$K$11,0))*parametros_manuales!$J$107+parametros_manuales!$G$24*(datos_base!$K$5+IF(parametros_manuales!$H$24="Todos",datos_base!$K$12,0))*parametros_manuales!$J$112)*parametros_manuales!$I$24*parametros_manuales!$J$24</f>
        <v>24917.65</v>
      </c>
      <c r="K259" s="8">
        <f>(parametros_manuales!$D$24*(datos_base!$K$2+IF(parametros_manuales!$H$24="Todos",datos_base!$K$9,0))*parametros_manuales!$K$97+parametros_manuales!$E$24*(datos_base!$K$3+IF(parametros_manuales!$H$24="Todos",datos_base!$K$10,0))*parametros_manuales!$K$102+parametros_manuales!$F$24*(datos_base!$K$4+IF(parametros_manuales!$H$24="Todos",datos_base!$K$11,0))*parametros_manuales!$K$107+parametros_manuales!$G$24*(datos_base!$K$5+IF(parametros_manuales!$H$24="Todos",datos_base!$K$12,0))*parametros_manuales!$K$112)*parametros_manuales!$I$24*parametros_manuales!$J$24</f>
        <v>25335.26</v>
      </c>
      <c r="L259" s="8">
        <f>(parametros_manuales!$D$24*(datos_base!$K$2+IF(parametros_manuales!$H$24="Todos",datos_base!$K$9,0))*parametros_manuales!$L$97+parametros_manuales!$E$24*(datos_base!$K$3+IF(parametros_manuales!$H$24="Todos",datos_base!$K$10,0))*parametros_manuales!$L$102+parametros_manuales!$F$24*(datos_base!$K$4+IF(parametros_manuales!$H$24="Todos",datos_base!$K$11,0))*parametros_manuales!$L$107+parametros_manuales!$G$24*(datos_base!$K$5+IF(parametros_manuales!$H$24="Todos",datos_base!$K$12,0))*parametros_manuales!$L$112)*parametros_manuales!$I$24*parametros_manuales!$J$24</f>
        <v>25752.87</v>
      </c>
      <c r="M259" s="8">
        <f>(parametros_manuales!$D$24*(datos_base!$K$2+IF(parametros_manuales!$H$24="Todos",datos_base!$K$9,0))*parametros_manuales!$M$97+parametros_manuales!$E$24*(datos_base!$K$3+IF(parametros_manuales!$H$24="Todos",datos_base!$K$10,0))*parametros_manuales!$M$102+parametros_manuales!$F$24*(datos_base!$K$4+IF(parametros_manuales!$H$24="Todos",datos_base!$K$11,0))*parametros_manuales!$M$107+parametros_manuales!$G$24*(datos_base!$K$5+IF(parametros_manuales!$H$24="Todos",datos_base!$K$12,0))*parametros_manuales!$M$112)*parametros_manuales!$I$24*parametros_manuales!$J$24</f>
        <v>25752.87</v>
      </c>
      <c r="N259" s="8">
        <f t="shared" si="28"/>
        <v>286143</v>
      </c>
      <c r="O259" s="8">
        <f t="shared" si="29"/>
        <v>25752.87</v>
      </c>
      <c r="P259" s="27">
        <f>O259/(parametros_manuales!$B$7)</f>
        <v>171.6858</v>
      </c>
      <c r="Q259" s="4" t="str">
        <f t="shared" si="30"/>
        <v>Ene</v>
      </c>
      <c r="R259" s="16"/>
      <c r="S259" s="16"/>
    </row>
    <row r="260" ht="14.25" customHeight="1">
      <c r="A260" s="4" t="str">
        <f>parametros_manuales!$B$25</f>
        <v>Soldadura del cuello a la cúpula</v>
      </c>
      <c r="B260" s="8">
        <f>(parametros_manuales!$D$25*(datos_base!$K$2+IF(parametros_manuales!$H$25="Todos",datos_base!$K$9,0))*parametros_manuales!$B$97+parametros_manuales!$E$25*(datos_base!$K$3+IF(parametros_manuales!$H$25="Todos",datos_base!$K$10,0))*parametros_manuales!$B$102+parametros_manuales!$F$25*(datos_base!$K$4+IF(parametros_manuales!$H$25="Todos",datos_base!$K$11,0))*parametros_manuales!$B$107+parametros_manuales!$G$25*(datos_base!$K$5+IF(parametros_manuales!$H$25="Todos",datos_base!$K$12,0))*parametros_manuales!$B$112)*parametros_manuales!$I$25*parametros_manuales!$J$25</f>
        <v>25752.87</v>
      </c>
      <c r="C260" s="8">
        <f>(parametros_manuales!$D$25*(datos_base!$K$2+IF(parametros_manuales!$H$25="Todos",datos_base!$K$9,0))*parametros_manuales!$C$97+parametros_manuales!$E$25*(datos_base!$K$3+IF(parametros_manuales!$H$25="Todos",datos_base!$K$10,0))*parametros_manuales!$C$102+parametros_manuales!$F$25*(datos_base!$K$4+IF(parametros_manuales!$H$25="Todos",datos_base!$K$11,0))*parametros_manuales!$C$107+parametros_manuales!$G$25*(datos_base!$K$5+IF(parametros_manuales!$H$25="Todos",datos_base!$K$12,0))*parametros_manuales!$C$112)*parametros_manuales!$I$25*parametros_manuales!$J$25</f>
        <v>24917.65</v>
      </c>
      <c r="D260" s="8">
        <f>(parametros_manuales!$D$25*(datos_base!$K$2+IF(parametros_manuales!$H$25="Todos",datos_base!$K$9,0))*parametros_manuales!$D$97+parametros_manuales!$E$25*(datos_base!$K$3+IF(parametros_manuales!$H$25="Todos",datos_base!$K$10,0))*parametros_manuales!$D$102+parametros_manuales!$F$25*(datos_base!$K$4+IF(parametros_manuales!$H$25="Todos",datos_base!$K$11,0))*parametros_manuales!$D$107+parametros_manuales!$G$25*(datos_base!$K$5+IF(parametros_manuales!$H$25="Todos",datos_base!$K$12,0))*parametros_manuales!$D$112)*parametros_manuales!$I$25*parametros_manuales!$J$25</f>
        <v>23309.05</v>
      </c>
      <c r="E260" s="8">
        <f>(parametros_manuales!$D$25*(datos_base!$K$2+IF(parametros_manuales!$H$25="Todos",datos_base!$K$9,0))*parametros_manuales!$E$97+parametros_manuales!$E$25*(datos_base!$K$3+IF(parametros_manuales!$H$25="Todos",datos_base!$K$10,0))*parametros_manuales!$E$102+parametros_manuales!$F$25*(datos_base!$K$4+IF(parametros_manuales!$H$25="Todos",datos_base!$K$11,0))*parametros_manuales!$E$107+parametros_manuales!$G$25*(datos_base!$K$5+IF(parametros_manuales!$H$25="Todos",datos_base!$K$12,0))*parametros_manuales!$E$112)*parametros_manuales!$I$25*parametros_manuales!$J$25</f>
        <v>22295.945</v>
      </c>
      <c r="F260" s="8">
        <f>(parametros_manuales!$D$25*(datos_base!$K$2+IF(parametros_manuales!$H$25="Todos",datos_base!$K$9,0))*parametros_manuales!$F$97+parametros_manuales!$E$25*(datos_base!$K$3+IF(parametros_manuales!$H$25="Todos",datos_base!$K$10,0))*parametros_manuales!$F$102+parametros_manuales!$F$25*(datos_base!$K$4+IF(parametros_manuales!$H$25="Todos",datos_base!$K$11,0))*parametros_manuales!$F$107+parametros_manuales!$G$25*(datos_base!$K$5+IF(parametros_manuales!$H$25="Todos",datos_base!$K$12,0))*parametros_manuales!$F$112)*parametros_manuales!$I$25*parametros_manuales!$J$25</f>
        <v>20865.23</v>
      </c>
      <c r="G260" s="8">
        <f>(parametros_manuales!$D$25*(datos_base!$K$2+IF(parametros_manuales!$H$25="Todos",datos_base!$K$9,0))*parametros_manuales!$G$97+parametros_manuales!$E$25*(datos_base!$K$3+IF(parametros_manuales!$H$25="Todos",datos_base!$K$10,0))*parametros_manuales!$G$102+parametros_manuales!$F$25*(datos_base!$K$4+IF(parametros_manuales!$H$25="Todos",datos_base!$K$11,0))*parametros_manuales!$G$107+parametros_manuales!$G$25*(datos_base!$K$5+IF(parametros_manuales!$H$25="Todos",datos_base!$K$12,0))*parametros_manuales!$G$112)*parametros_manuales!$I$25*parametros_manuales!$J$25</f>
        <v>20447.62</v>
      </c>
      <c r="H260" s="8">
        <f>(parametros_manuales!$D$25*(datos_base!$K$2+IF(parametros_manuales!$H$25="Todos",datos_base!$K$9,0))*parametros_manuales!$H$97+parametros_manuales!$E$25*(datos_base!$K$3+IF(parametros_manuales!$H$25="Todos",datos_base!$K$10,0))*parametros_manuales!$H$102+parametros_manuales!$F$25*(datos_base!$K$4+IF(parametros_manuales!$H$25="Todos",datos_base!$K$11,0))*parametros_manuales!$H$107+parametros_manuales!$G$25*(datos_base!$K$5+IF(parametros_manuales!$H$25="Todos",datos_base!$K$12,0))*parametros_manuales!$H$112)*parametros_manuales!$I$25*parametros_manuales!$J$25</f>
        <v>21878.335</v>
      </c>
      <c r="I260" s="8">
        <f>(parametros_manuales!$D$25*(datos_base!$K$2+IF(parametros_manuales!$H$25="Todos",datos_base!$K$9,0))*parametros_manuales!$I$97+parametros_manuales!$E$25*(datos_base!$K$3+IF(parametros_manuales!$H$25="Todos",datos_base!$K$10,0))*parametros_manuales!$I$102+parametros_manuales!$F$25*(datos_base!$K$4+IF(parametros_manuales!$H$25="Todos",datos_base!$K$11,0))*parametros_manuales!$I$107+parametros_manuales!$G$25*(datos_base!$K$5+IF(parametros_manuales!$H$25="Todos",datos_base!$K$12,0))*parametros_manuales!$I$112)*parametros_manuales!$I$25*parametros_manuales!$J$25</f>
        <v>24917.65</v>
      </c>
      <c r="J260" s="8">
        <f>(parametros_manuales!$D$25*(datos_base!$K$2+IF(parametros_manuales!$H$25="Todos",datos_base!$K$9,0))*parametros_manuales!$J$97+parametros_manuales!$E$25*(datos_base!$K$3+IF(parametros_manuales!$H$25="Todos",datos_base!$K$10,0))*parametros_manuales!$J$102+parametros_manuales!$F$25*(datos_base!$K$4+IF(parametros_manuales!$H$25="Todos",datos_base!$K$11,0))*parametros_manuales!$J$107+parametros_manuales!$G$25*(datos_base!$K$5+IF(parametros_manuales!$H$25="Todos",datos_base!$K$12,0))*parametros_manuales!$J$112)*parametros_manuales!$I$25*parametros_manuales!$J$25</f>
        <v>24917.65</v>
      </c>
      <c r="K260" s="8">
        <f>(parametros_manuales!$D$25*(datos_base!$K$2+IF(parametros_manuales!$H$25="Todos",datos_base!$K$9,0))*parametros_manuales!$K$97+parametros_manuales!$E$25*(datos_base!$K$3+IF(parametros_manuales!$H$25="Todos",datos_base!$K$10,0))*parametros_manuales!$K$102+parametros_manuales!$F$25*(datos_base!$K$4+IF(parametros_manuales!$H$25="Todos",datos_base!$K$11,0))*parametros_manuales!$K$107+parametros_manuales!$G$25*(datos_base!$K$5+IF(parametros_manuales!$H$25="Todos",datos_base!$K$12,0))*parametros_manuales!$K$112)*parametros_manuales!$I$25*parametros_manuales!$J$25</f>
        <v>25335.26</v>
      </c>
      <c r="L260" s="8">
        <f>(parametros_manuales!$D$25*(datos_base!$K$2+IF(parametros_manuales!$H$25="Todos",datos_base!$K$9,0))*parametros_manuales!$L$97+parametros_manuales!$E$25*(datos_base!$K$3+IF(parametros_manuales!$H$25="Todos",datos_base!$K$10,0))*parametros_manuales!$L$102+parametros_manuales!$F$25*(datos_base!$K$4+IF(parametros_manuales!$H$25="Todos",datos_base!$K$11,0))*parametros_manuales!$L$107+parametros_manuales!$G$25*(datos_base!$K$5+IF(parametros_manuales!$H$25="Todos",datos_base!$K$12,0))*parametros_manuales!$L$112)*parametros_manuales!$I$25*parametros_manuales!$J$25</f>
        <v>25752.87</v>
      </c>
      <c r="M260" s="8">
        <f>(parametros_manuales!$D$25*(datos_base!$K$2+IF(parametros_manuales!$H$25="Todos",datos_base!$K$9,0))*parametros_manuales!$M$97+parametros_manuales!$E$25*(datos_base!$K$3+IF(parametros_manuales!$H$25="Todos",datos_base!$K$10,0))*parametros_manuales!$M$102+parametros_manuales!$F$25*(datos_base!$K$4+IF(parametros_manuales!$H$25="Todos",datos_base!$K$11,0))*parametros_manuales!$M$107+parametros_manuales!$G$25*(datos_base!$K$5+IF(parametros_manuales!$H$25="Todos",datos_base!$K$12,0))*parametros_manuales!$M$112)*parametros_manuales!$I$25*parametros_manuales!$J$25</f>
        <v>25752.87</v>
      </c>
      <c r="N260" s="8">
        <f t="shared" si="28"/>
        <v>286143</v>
      </c>
      <c r="O260" s="8">
        <f t="shared" si="29"/>
        <v>25752.87</v>
      </c>
      <c r="P260" s="27">
        <f>O260/(parametros_manuales!$B$7)</f>
        <v>171.6858</v>
      </c>
      <c r="Q260" s="4" t="str">
        <f t="shared" si="30"/>
        <v>Ene</v>
      </c>
      <c r="R260" s="16"/>
      <c r="S260" s="16"/>
    </row>
    <row r="261" ht="14.25" customHeight="1">
      <c r="A261" s="4" t="str">
        <f>parametros_manuales!$B$26</f>
        <v>Cilindrado</v>
      </c>
      <c r="B261" s="8">
        <f>(parametros_manuales!$D$26*(datos_base!$K$2+IF(parametros_manuales!$H$26="Todos",datos_base!$K$9,0))*parametros_manuales!$B$97+parametros_manuales!$E$26*(datos_base!$K$3+IF(parametros_manuales!$H$26="Todos",datos_base!$K$10,0))*parametros_manuales!$B$102+parametros_manuales!$F$26*(datos_base!$K$4+IF(parametros_manuales!$H$26="Todos",datos_base!$K$11,0))*parametros_manuales!$B$107+parametros_manuales!$G$26*(datos_base!$K$5+IF(parametros_manuales!$H$26="Todos",datos_base!$K$12,0))*parametros_manuales!$B$112)*parametros_manuales!$I$26*parametros_manuales!$J$26</f>
        <v>25752.87</v>
      </c>
      <c r="C261" s="8">
        <f>(parametros_manuales!$D$26*(datos_base!$K$2+IF(parametros_manuales!$H$26="Todos",datos_base!$K$9,0))*parametros_manuales!$C$97+parametros_manuales!$E$26*(datos_base!$K$3+IF(parametros_manuales!$H$26="Todos",datos_base!$K$10,0))*parametros_manuales!$C$102+parametros_manuales!$F$26*(datos_base!$K$4+IF(parametros_manuales!$H$26="Todos",datos_base!$K$11,0))*parametros_manuales!$C$107+parametros_manuales!$G$26*(datos_base!$K$5+IF(parametros_manuales!$H$26="Todos",datos_base!$K$12,0))*parametros_manuales!$C$112)*parametros_manuales!$I$26*parametros_manuales!$J$26</f>
        <v>24917.65</v>
      </c>
      <c r="D261" s="8">
        <f>(parametros_manuales!$D$26*(datos_base!$K$2+IF(parametros_manuales!$H$26="Todos",datos_base!$K$9,0))*parametros_manuales!$D$97+parametros_manuales!$E$26*(datos_base!$K$3+IF(parametros_manuales!$H$26="Todos",datos_base!$K$10,0))*parametros_manuales!$D$102+parametros_manuales!$F$26*(datos_base!$K$4+IF(parametros_manuales!$H$26="Todos",datos_base!$K$11,0))*parametros_manuales!$D$107+parametros_manuales!$G$26*(datos_base!$K$5+IF(parametros_manuales!$H$26="Todos",datos_base!$K$12,0))*parametros_manuales!$D$112)*parametros_manuales!$I$26*parametros_manuales!$J$26</f>
        <v>23309.05</v>
      </c>
      <c r="E261" s="8">
        <f>(parametros_manuales!$D$26*(datos_base!$K$2+IF(parametros_manuales!$H$26="Todos",datos_base!$K$9,0))*parametros_manuales!$E$97+parametros_manuales!$E$26*(datos_base!$K$3+IF(parametros_manuales!$H$26="Todos",datos_base!$K$10,0))*parametros_manuales!$E$102+parametros_manuales!$F$26*(datos_base!$K$4+IF(parametros_manuales!$H$26="Todos",datos_base!$K$11,0))*parametros_manuales!$E$107+parametros_manuales!$G$26*(datos_base!$K$5+IF(parametros_manuales!$H$26="Todos",datos_base!$K$12,0))*parametros_manuales!$E$112)*parametros_manuales!$I$26*parametros_manuales!$J$26</f>
        <v>22295.945</v>
      </c>
      <c r="F261" s="8">
        <f>(parametros_manuales!$D$26*(datos_base!$K$2+IF(parametros_manuales!$H$26="Todos",datos_base!$K$9,0))*parametros_manuales!$F$97+parametros_manuales!$E$26*(datos_base!$K$3+IF(parametros_manuales!$H$26="Todos",datos_base!$K$10,0))*parametros_manuales!$F$102+parametros_manuales!$F$26*(datos_base!$K$4+IF(parametros_manuales!$H$26="Todos",datos_base!$K$11,0))*parametros_manuales!$F$107+parametros_manuales!$G$26*(datos_base!$K$5+IF(parametros_manuales!$H$26="Todos",datos_base!$K$12,0))*parametros_manuales!$F$112)*parametros_manuales!$I$26*parametros_manuales!$J$26</f>
        <v>20865.23</v>
      </c>
      <c r="G261" s="8">
        <f>(parametros_manuales!$D$26*(datos_base!$K$2+IF(parametros_manuales!$H$26="Todos",datos_base!$K$9,0))*parametros_manuales!$G$97+parametros_manuales!$E$26*(datos_base!$K$3+IF(parametros_manuales!$H$26="Todos",datos_base!$K$10,0))*parametros_manuales!$G$102+parametros_manuales!$F$26*(datos_base!$K$4+IF(parametros_manuales!$H$26="Todos",datos_base!$K$11,0))*parametros_manuales!$G$107+parametros_manuales!$G$26*(datos_base!$K$5+IF(parametros_manuales!$H$26="Todos",datos_base!$K$12,0))*parametros_manuales!$G$112)*parametros_manuales!$I$26*parametros_manuales!$J$26</f>
        <v>20447.62</v>
      </c>
      <c r="H261" s="8">
        <f>(parametros_manuales!$D$26*(datos_base!$K$2+IF(parametros_manuales!$H$26="Todos",datos_base!$K$9,0))*parametros_manuales!$H$97+parametros_manuales!$E$26*(datos_base!$K$3+IF(parametros_manuales!$H$26="Todos",datos_base!$K$10,0))*parametros_manuales!$H$102+parametros_manuales!$F$26*(datos_base!$K$4+IF(parametros_manuales!$H$26="Todos",datos_base!$K$11,0))*parametros_manuales!$H$107+parametros_manuales!$G$26*(datos_base!$K$5+IF(parametros_manuales!$H$26="Todos",datos_base!$K$12,0))*parametros_manuales!$H$112)*parametros_manuales!$I$26*parametros_manuales!$J$26</f>
        <v>21878.335</v>
      </c>
      <c r="I261" s="8">
        <f>(parametros_manuales!$D$26*(datos_base!$K$2+IF(parametros_manuales!$H$26="Todos",datos_base!$K$9,0))*parametros_manuales!$I$97+parametros_manuales!$E$26*(datos_base!$K$3+IF(parametros_manuales!$H$26="Todos",datos_base!$K$10,0))*parametros_manuales!$I$102+parametros_manuales!$F$26*(datos_base!$K$4+IF(parametros_manuales!$H$26="Todos",datos_base!$K$11,0))*parametros_manuales!$I$107+parametros_manuales!$G$26*(datos_base!$K$5+IF(parametros_manuales!$H$26="Todos",datos_base!$K$12,0))*parametros_manuales!$I$112)*parametros_manuales!$I$26*parametros_manuales!$J$26</f>
        <v>24917.65</v>
      </c>
      <c r="J261" s="8">
        <f>(parametros_manuales!$D$26*(datos_base!$K$2+IF(parametros_manuales!$H$26="Todos",datos_base!$K$9,0))*parametros_manuales!$J$97+parametros_manuales!$E$26*(datos_base!$K$3+IF(parametros_manuales!$H$26="Todos",datos_base!$K$10,0))*parametros_manuales!$J$102+parametros_manuales!$F$26*(datos_base!$K$4+IF(parametros_manuales!$H$26="Todos",datos_base!$K$11,0))*parametros_manuales!$J$107+parametros_manuales!$G$26*(datos_base!$K$5+IF(parametros_manuales!$H$26="Todos",datos_base!$K$12,0))*parametros_manuales!$J$112)*parametros_manuales!$I$26*parametros_manuales!$J$26</f>
        <v>24917.65</v>
      </c>
      <c r="K261" s="8">
        <f>(parametros_manuales!$D$26*(datos_base!$K$2+IF(parametros_manuales!$H$26="Todos",datos_base!$K$9,0))*parametros_manuales!$K$97+parametros_manuales!$E$26*(datos_base!$K$3+IF(parametros_manuales!$H$26="Todos",datos_base!$K$10,0))*parametros_manuales!$K$102+parametros_manuales!$F$26*(datos_base!$K$4+IF(parametros_manuales!$H$26="Todos",datos_base!$K$11,0))*parametros_manuales!$K$107+parametros_manuales!$G$26*(datos_base!$K$5+IF(parametros_manuales!$H$26="Todos",datos_base!$K$12,0))*parametros_manuales!$K$112)*parametros_manuales!$I$26*parametros_manuales!$J$26</f>
        <v>25335.26</v>
      </c>
      <c r="L261" s="8">
        <f>(parametros_manuales!$D$26*(datos_base!$K$2+IF(parametros_manuales!$H$26="Todos",datos_base!$K$9,0))*parametros_manuales!$L$97+parametros_manuales!$E$26*(datos_base!$K$3+IF(parametros_manuales!$H$26="Todos",datos_base!$K$10,0))*parametros_manuales!$L$102+parametros_manuales!$F$26*(datos_base!$K$4+IF(parametros_manuales!$H$26="Todos",datos_base!$K$11,0))*parametros_manuales!$L$107+parametros_manuales!$G$26*(datos_base!$K$5+IF(parametros_manuales!$H$26="Todos",datos_base!$K$12,0))*parametros_manuales!$L$112)*parametros_manuales!$I$26*parametros_manuales!$J$26</f>
        <v>25752.87</v>
      </c>
      <c r="M261" s="8">
        <f>(parametros_manuales!$D$26*(datos_base!$K$2+IF(parametros_manuales!$H$26="Todos",datos_base!$K$9,0))*parametros_manuales!$M$97+parametros_manuales!$E$26*(datos_base!$K$3+IF(parametros_manuales!$H$26="Todos",datos_base!$K$10,0))*parametros_manuales!$M$102+parametros_manuales!$F$26*(datos_base!$K$4+IF(parametros_manuales!$H$26="Todos",datos_base!$K$11,0))*parametros_manuales!$M$107+parametros_manuales!$G$26*(datos_base!$K$5+IF(parametros_manuales!$H$26="Todos",datos_base!$K$12,0))*parametros_manuales!$M$112)*parametros_manuales!$I$26*parametros_manuales!$J$26</f>
        <v>25752.87</v>
      </c>
      <c r="N261" s="8">
        <f t="shared" si="28"/>
        <v>286143</v>
      </c>
      <c r="O261" s="8">
        <f t="shared" si="29"/>
        <v>25752.87</v>
      </c>
      <c r="P261" s="27">
        <f>O261/(parametros_manuales!$B$7)</f>
        <v>171.6858</v>
      </c>
      <c r="Q261" s="4" t="str">
        <f t="shared" si="30"/>
        <v>Ene</v>
      </c>
      <c r="R261" s="16"/>
      <c r="S261" s="16"/>
    </row>
    <row r="262" ht="14.25" customHeight="1">
      <c r="A262" s="4" t="str">
        <f>parametros_manuales!$B$27</f>
        <v>Soldadura longitudinal — 2,5 a 10 kg</v>
      </c>
      <c r="B262" s="8">
        <f>(parametros_manuales!$D$27*(datos_base!$K$2+IF(parametros_manuales!$H$27="Todos",datos_base!$K$9,0))*parametros_manuales!$B$97+parametros_manuales!$E$27*(datos_base!$K$3+IF(parametros_manuales!$H$27="Todos",datos_base!$K$10,0))*parametros_manuales!$B$102+parametros_manuales!$F$27*(datos_base!$K$4+IF(parametros_manuales!$H$27="Todos",datos_base!$K$11,0))*parametros_manuales!$B$107+parametros_manuales!$G$27*(datos_base!$K$5+IF(parametros_manuales!$H$27="Todos",datos_base!$K$12,0))*parametros_manuales!$B$112)*parametros_manuales!$I$27*parametros_manuales!$J$27</f>
        <v>7516.98</v>
      </c>
      <c r="C262" s="8">
        <f>(parametros_manuales!$D$27*(datos_base!$K$2+IF(parametros_manuales!$H$27="Todos",datos_base!$K$9,0))*parametros_manuales!$C$97+parametros_manuales!$E$27*(datos_base!$K$3+IF(parametros_manuales!$H$27="Todos",datos_base!$K$10,0))*parametros_manuales!$C$102+parametros_manuales!$F$27*(datos_base!$K$4+IF(parametros_manuales!$H$27="Todos",datos_base!$K$11,0))*parametros_manuales!$C$107+parametros_manuales!$G$27*(datos_base!$K$5+IF(parametros_manuales!$H$27="Todos",datos_base!$K$12,0))*parametros_manuales!$C$112)*parametros_manuales!$I$27*parametros_manuales!$J$27</f>
        <v>6681.76</v>
      </c>
      <c r="D262" s="8">
        <f>(parametros_manuales!$D$27*(datos_base!$K$2+IF(parametros_manuales!$H$27="Todos",datos_base!$K$9,0))*parametros_manuales!$D$97+parametros_manuales!$E$27*(datos_base!$K$3+IF(parametros_manuales!$H$27="Todos",datos_base!$K$10,0))*parametros_manuales!$D$102+parametros_manuales!$F$27*(datos_base!$K$4+IF(parametros_manuales!$H$27="Todos",datos_base!$K$11,0))*parametros_manuales!$D$107+parametros_manuales!$G$27*(datos_base!$K$5+IF(parametros_manuales!$H$27="Todos",datos_base!$K$12,0))*parametros_manuales!$D$112)*parametros_manuales!$I$27*parametros_manuales!$J$27</f>
        <v>7099.37</v>
      </c>
      <c r="E262" s="8">
        <f>(parametros_manuales!$D$27*(datos_base!$K$2+IF(parametros_manuales!$H$27="Todos",datos_base!$K$9,0))*parametros_manuales!$E$97+parametros_manuales!$E$27*(datos_base!$K$3+IF(parametros_manuales!$H$27="Todos",datos_base!$K$10,0))*parametros_manuales!$E$102+parametros_manuales!$F$27*(datos_base!$K$4+IF(parametros_manuales!$H$27="Todos",datos_base!$K$11,0))*parametros_manuales!$E$107+parametros_manuales!$G$27*(datos_base!$K$5+IF(parametros_manuales!$H$27="Todos",datos_base!$K$12,0))*parametros_manuales!$E$112)*parametros_manuales!$I$27*parametros_manuales!$J$27</f>
        <v>7099.37</v>
      </c>
      <c r="F262" s="8">
        <f>(parametros_manuales!$D$27*(datos_base!$K$2+IF(parametros_manuales!$H$27="Todos",datos_base!$K$9,0))*parametros_manuales!$F$97+parametros_manuales!$E$27*(datos_base!$K$3+IF(parametros_manuales!$H$27="Todos",datos_base!$K$10,0))*parametros_manuales!$F$102+parametros_manuales!$F$27*(datos_base!$K$4+IF(parametros_manuales!$H$27="Todos",datos_base!$K$11,0))*parametros_manuales!$F$107+parametros_manuales!$G$27*(datos_base!$K$5+IF(parametros_manuales!$H$27="Todos",datos_base!$K$12,0))*parametros_manuales!$F$112)*parametros_manuales!$I$27*parametros_manuales!$J$27</f>
        <v>6681.76</v>
      </c>
      <c r="G262" s="8">
        <f>(parametros_manuales!$D$27*(datos_base!$K$2+IF(parametros_manuales!$H$27="Todos",datos_base!$K$9,0))*parametros_manuales!$G$97+parametros_manuales!$E$27*(datos_base!$K$3+IF(parametros_manuales!$H$27="Todos",datos_base!$K$10,0))*parametros_manuales!$G$102+parametros_manuales!$F$27*(datos_base!$K$4+IF(parametros_manuales!$H$27="Todos",datos_base!$K$11,0))*parametros_manuales!$G$107+parametros_manuales!$G$27*(datos_base!$K$5+IF(parametros_manuales!$H$27="Todos",datos_base!$K$12,0))*parametros_manuales!$G$112)*parametros_manuales!$I$27*parametros_manuales!$J$27</f>
        <v>6264.15</v>
      </c>
      <c r="H262" s="8">
        <f>(parametros_manuales!$D$27*(datos_base!$K$2+IF(parametros_manuales!$H$27="Todos",datos_base!$K$9,0))*parametros_manuales!$H$97+parametros_manuales!$E$27*(datos_base!$K$3+IF(parametros_manuales!$H$27="Todos",datos_base!$K$10,0))*parametros_manuales!$H$102+parametros_manuales!$F$27*(datos_base!$K$4+IF(parametros_manuales!$H$27="Todos",datos_base!$K$11,0))*parametros_manuales!$H$107+parametros_manuales!$G$27*(datos_base!$K$5+IF(parametros_manuales!$H$27="Todos",datos_base!$K$12,0))*parametros_manuales!$H$112)*parametros_manuales!$I$27*parametros_manuales!$J$27</f>
        <v>6681.76</v>
      </c>
      <c r="I262" s="8">
        <f>(parametros_manuales!$D$27*(datos_base!$K$2+IF(parametros_manuales!$H$27="Todos",datos_base!$K$9,0))*parametros_manuales!$I$97+parametros_manuales!$E$27*(datos_base!$K$3+IF(parametros_manuales!$H$27="Todos",datos_base!$K$10,0))*parametros_manuales!$I$102+parametros_manuales!$F$27*(datos_base!$K$4+IF(parametros_manuales!$H$27="Todos",datos_base!$K$11,0))*parametros_manuales!$I$107+parametros_manuales!$G$27*(datos_base!$K$5+IF(parametros_manuales!$H$27="Todos",datos_base!$K$12,0))*parametros_manuales!$I$112)*parametros_manuales!$I$27*parametros_manuales!$J$27</f>
        <v>6681.76</v>
      </c>
      <c r="J262" s="8">
        <f>(parametros_manuales!$D$27*(datos_base!$K$2+IF(parametros_manuales!$H$27="Todos",datos_base!$K$9,0))*parametros_manuales!$J$97+parametros_manuales!$E$27*(datos_base!$K$3+IF(parametros_manuales!$H$27="Todos",datos_base!$K$10,0))*parametros_manuales!$J$102+parametros_manuales!$F$27*(datos_base!$K$4+IF(parametros_manuales!$H$27="Todos",datos_base!$K$11,0))*parametros_manuales!$J$107+parametros_manuales!$G$27*(datos_base!$K$5+IF(parametros_manuales!$H$27="Todos",datos_base!$K$12,0))*parametros_manuales!$J$112)*parametros_manuales!$I$27*parametros_manuales!$J$27</f>
        <v>6681.76</v>
      </c>
      <c r="K262" s="8">
        <f>(parametros_manuales!$D$27*(datos_base!$K$2+IF(parametros_manuales!$H$27="Todos",datos_base!$K$9,0))*parametros_manuales!$K$97+parametros_manuales!$E$27*(datos_base!$K$3+IF(parametros_manuales!$H$27="Todos",datos_base!$K$10,0))*parametros_manuales!$K$102+parametros_manuales!$F$27*(datos_base!$K$4+IF(parametros_manuales!$H$27="Todos",datos_base!$K$11,0))*parametros_manuales!$K$107+parametros_manuales!$G$27*(datos_base!$K$5+IF(parametros_manuales!$H$27="Todos",datos_base!$K$12,0))*parametros_manuales!$K$112)*parametros_manuales!$I$27*parametros_manuales!$J$27</f>
        <v>7099.37</v>
      </c>
      <c r="L262" s="8">
        <f>(parametros_manuales!$D$27*(datos_base!$K$2+IF(parametros_manuales!$H$27="Todos",datos_base!$K$9,0))*parametros_manuales!$L$97+parametros_manuales!$E$27*(datos_base!$K$3+IF(parametros_manuales!$H$27="Todos",datos_base!$K$10,0))*parametros_manuales!$L$102+parametros_manuales!$F$27*(datos_base!$K$4+IF(parametros_manuales!$H$27="Todos",datos_base!$K$11,0))*parametros_manuales!$L$107+parametros_manuales!$G$27*(datos_base!$K$5+IF(parametros_manuales!$H$27="Todos",datos_base!$K$12,0))*parametros_manuales!$L$112)*parametros_manuales!$I$27*parametros_manuales!$J$27</f>
        <v>7516.98</v>
      </c>
      <c r="M262" s="8">
        <f>(parametros_manuales!$D$27*(datos_base!$K$2+IF(parametros_manuales!$H$27="Todos",datos_base!$K$9,0))*parametros_manuales!$M$97+parametros_manuales!$E$27*(datos_base!$K$3+IF(parametros_manuales!$H$27="Todos",datos_base!$K$10,0))*parametros_manuales!$M$102+parametros_manuales!$F$27*(datos_base!$K$4+IF(parametros_manuales!$H$27="Todos",datos_base!$K$11,0))*parametros_manuales!$M$107+parametros_manuales!$G$27*(datos_base!$K$5+IF(parametros_manuales!$H$27="Todos",datos_base!$K$12,0))*parametros_manuales!$M$112)*parametros_manuales!$I$27*parametros_manuales!$J$27</f>
        <v>7516.98</v>
      </c>
      <c r="N262" s="8">
        <f t="shared" si="28"/>
        <v>83522</v>
      </c>
      <c r="O262" s="8">
        <f t="shared" si="29"/>
        <v>7516.98</v>
      </c>
      <c r="P262" s="27">
        <f>O262/(parametros_manuales!$B$7)</f>
        <v>50.1132</v>
      </c>
      <c r="Q262" s="4" t="str">
        <f t="shared" si="30"/>
        <v>Ene</v>
      </c>
      <c r="R262" s="16"/>
      <c r="S262" s="16"/>
    </row>
    <row r="263" ht="14.25" customHeight="1">
      <c r="A263" s="4" t="str">
        <f>parametros_manuales!$B$28</f>
        <v>Soldadura longitudinal TIG — 1 kg</v>
      </c>
      <c r="B263" s="8">
        <f>(parametros_manuales!$D$28*(datos_base!$K$2+IF(parametros_manuales!$H$28="Todos",datos_base!$K$9,0))*parametros_manuales!$B$97+parametros_manuales!$E$28*(datos_base!$K$3+IF(parametros_manuales!$H$28="Todos",datos_base!$K$10,0))*parametros_manuales!$B$102+parametros_manuales!$F$28*(datos_base!$K$4+IF(parametros_manuales!$H$28="Todos",datos_base!$K$11,0))*parametros_manuales!$B$107+parametros_manuales!$G$28*(datos_base!$K$5+IF(parametros_manuales!$H$28="Todos",datos_base!$K$12,0))*parametros_manuales!$B$112)*parametros_manuales!$I$28*parametros_manuales!$J$28</f>
        <v>18235.89</v>
      </c>
      <c r="C263" s="8">
        <f>(parametros_manuales!$D$28*(datos_base!$K$2+IF(parametros_manuales!$H$28="Todos",datos_base!$K$9,0))*parametros_manuales!$C$97+parametros_manuales!$E$28*(datos_base!$K$3+IF(parametros_manuales!$H$28="Todos",datos_base!$K$10,0))*parametros_manuales!$C$102+parametros_manuales!$F$28*(datos_base!$K$4+IF(parametros_manuales!$H$28="Todos",datos_base!$K$11,0))*parametros_manuales!$C$107+parametros_manuales!$G$28*(datos_base!$K$5+IF(parametros_manuales!$H$28="Todos",datos_base!$K$12,0))*parametros_manuales!$C$112)*parametros_manuales!$I$28*parametros_manuales!$J$28</f>
        <v>18235.89</v>
      </c>
      <c r="D263" s="8">
        <f>(parametros_manuales!$D$28*(datos_base!$K$2+IF(parametros_manuales!$H$28="Todos",datos_base!$K$9,0))*parametros_manuales!$D$97+parametros_manuales!$E$28*(datos_base!$K$3+IF(parametros_manuales!$H$28="Todos",datos_base!$K$10,0))*parametros_manuales!$D$102+parametros_manuales!$F$28*(datos_base!$K$4+IF(parametros_manuales!$H$28="Todos",datos_base!$K$11,0))*parametros_manuales!$D$107+parametros_manuales!$G$28*(datos_base!$K$5+IF(parametros_manuales!$H$28="Todos",datos_base!$K$12,0))*parametros_manuales!$D$112)*parametros_manuales!$I$28*parametros_manuales!$J$28</f>
        <v>16209.68</v>
      </c>
      <c r="E263" s="8">
        <f>(parametros_manuales!$D$28*(datos_base!$K$2+IF(parametros_manuales!$H$28="Todos",datos_base!$K$9,0))*parametros_manuales!$E$97+parametros_manuales!$E$28*(datos_base!$K$3+IF(parametros_manuales!$H$28="Todos",datos_base!$K$10,0))*parametros_manuales!$E$102+parametros_manuales!$F$28*(datos_base!$K$4+IF(parametros_manuales!$H$28="Todos",datos_base!$K$11,0))*parametros_manuales!$E$107+parametros_manuales!$G$28*(datos_base!$K$5+IF(parametros_manuales!$H$28="Todos",datos_base!$K$12,0))*parametros_manuales!$E$112)*parametros_manuales!$I$28*parametros_manuales!$J$28</f>
        <v>15196.575</v>
      </c>
      <c r="F263" s="8">
        <f>(parametros_manuales!$D$28*(datos_base!$K$2+IF(parametros_manuales!$H$28="Todos",datos_base!$K$9,0))*parametros_manuales!$F$97+parametros_manuales!$E$28*(datos_base!$K$3+IF(parametros_manuales!$H$28="Todos",datos_base!$K$10,0))*parametros_manuales!$F$102+parametros_manuales!$F$28*(datos_base!$K$4+IF(parametros_manuales!$H$28="Todos",datos_base!$K$11,0))*parametros_manuales!$F$107+parametros_manuales!$G$28*(datos_base!$K$5+IF(parametros_manuales!$H$28="Todos",datos_base!$K$12,0))*parametros_manuales!$F$112)*parametros_manuales!$I$28*parametros_manuales!$J$28</f>
        <v>14183.47</v>
      </c>
      <c r="G263" s="8">
        <f>(parametros_manuales!$D$28*(datos_base!$K$2+IF(parametros_manuales!$H$28="Todos",datos_base!$K$9,0))*parametros_manuales!$G$97+parametros_manuales!$E$28*(datos_base!$K$3+IF(parametros_manuales!$H$28="Todos",datos_base!$K$10,0))*parametros_manuales!$G$102+parametros_manuales!$F$28*(datos_base!$K$4+IF(parametros_manuales!$H$28="Todos",datos_base!$K$11,0))*parametros_manuales!$G$107+parametros_manuales!$G$28*(datos_base!$K$5+IF(parametros_manuales!$H$28="Todos",datos_base!$K$12,0))*parametros_manuales!$G$112)*parametros_manuales!$I$28*parametros_manuales!$J$28</f>
        <v>14183.47</v>
      </c>
      <c r="H263" s="8">
        <f>(parametros_manuales!$D$28*(datos_base!$K$2+IF(parametros_manuales!$H$28="Todos",datos_base!$K$9,0))*parametros_manuales!$H$97+parametros_manuales!$E$28*(datos_base!$K$3+IF(parametros_manuales!$H$28="Todos",datos_base!$K$10,0))*parametros_manuales!$H$102+parametros_manuales!$F$28*(datos_base!$K$4+IF(parametros_manuales!$H$28="Todos",datos_base!$K$11,0))*parametros_manuales!$H$107+parametros_manuales!$G$28*(datos_base!$K$5+IF(parametros_manuales!$H$28="Todos",datos_base!$K$12,0))*parametros_manuales!$H$112)*parametros_manuales!$I$28*parametros_manuales!$J$28</f>
        <v>15196.575</v>
      </c>
      <c r="I263" s="8">
        <f>(parametros_manuales!$D$28*(datos_base!$K$2+IF(parametros_manuales!$H$28="Todos",datos_base!$K$9,0))*parametros_manuales!$I$97+parametros_manuales!$E$28*(datos_base!$K$3+IF(parametros_manuales!$H$28="Todos",datos_base!$K$10,0))*parametros_manuales!$I$102+parametros_manuales!$F$28*(datos_base!$K$4+IF(parametros_manuales!$H$28="Todos",datos_base!$K$11,0))*parametros_manuales!$I$107+parametros_manuales!$G$28*(datos_base!$K$5+IF(parametros_manuales!$H$28="Todos",datos_base!$K$12,0))*parametros_manuales!$I$112)*parametros_manuales!$I$28*parametros_manuales!$J$28</f>
        <v>18235.89</v>
      </c>
      <c r="J263" s="8">
        <f>(parametros_manuales!$D$28*(datos_base!$K$2+IF(parametros_manuales!$H$28="Todos",datos_base!$K$9,0))*parametros_manuales!$J$97+parametros_manuales!$E$28*(datos_base!$K$3+IF(parametros_manuales!$H$28="Todos",datos_base!$K$10,0))*parametros_manuales!$J$102+parametros_manuales!$F$28*(datos_base!$K$4+IF(parametros_manuales!$H$28="Todos",datos_base!$K$11,0))*parametros_manuales!$J$107+parametros_manuales!$G$28*(datos_base!$K$5+IF(parametros_manuales!$H$28="Todos",datos_base!$K$12,0))*parametros_manuales!$J$112)*parametros_manuales!$I$28*parametros_manuales!$J$28</f>
        <v>18235.89</v>
      </c>
      <c r="K263" s="8">
        <f>(parametros_manuales!$D$28*(datos_base!$K$2+IF(parametros_manuales!$H$28="Todos",datos_base!$K$9,0))*parametros_manuales!$K$97+parametros_manuales!$E$28*(datos_base!$K$3+IF(parametros_manuales!$H$28="Todos",datos_base!$K$10,0))*parametros_manuales!$K$102+parametros_manuales!$F$28*(datos_base!$K$4+IF(parametros_manuales!$H$28="Todos",datos_base!$K$11,0))*parametros_manuales!$K$107+parametros_manuales!$G$28*(datos_base!$K$5+IF(parametros_manuales!$H$28="Todos",datos_base!$K$12,0))*parametros_manuales!$K$112)*parametros_manuales!$I$28*parametros_manuales!$J$28</f>
        <v>18235.89</v>
      </c>
      <c r="L263" s="8">
        <f>(parametros_manuales!$D$28*(datos_base!$K$2+IF(parametros_manuales!$H$28="Todos",datos_base!$K$9,0))*parametros_manuales!$L$97+parametros_manuales!$E$28*(datos_base!$K$3+IF(parametros_manuales!$H$28="Todos",datos_base!$K$10,0))*parametros_manuales!$L$102+parametros_manuales!$F$28*(datos_base!$K$4+IF(parametros_manuales!$H$28="Todos",datos_base!$K$11,0))*parametros_manuales!$L$107+parametros_manuales!$G$28*(datos_base!$K$5+IF(parametros_manuales!$H$28="Todos",datos_base!$K$12,0))*parametros_manuales!$L$112)*parametros_manuales!$I$28*parametros_manuales!$J$28</f>
        <v>18235.89</v>
      </c>
      <c r="M263" s="8">
        <f>(parametros_manuales!$D$28*(datos_base!$K$2+IF(parametros_manuales!$H$28="Todos",datos_base!$K$9,0))*parametros_manuales!$M$97+parametros_manuales!$E$28*(datos_base!$K$3+IF(parametros_manuales!$H$28="Todos",datos_base!$K$10,0))*parametros_manuales!$M$102+parametros_manuales!$F$28*(datos_base!$K$4+IF(parametros_manuales!$H$28="Todos",datos_base!$K$11,0))*parametros_manuales!$M$107+parametros_manuales!$G$28*(datos_base!$K$5+IF(parametros_manuales!$H$28="Todos",datos_base!$K$12,0))*parametros_manuales!$M$112)*parametros_manuales!$I$28*parametros_manuales!$J$28</f>
        <v>18235.89</v>
      </c>
      <c r="N263" s="8">
        <f t="shared" si="28"/>
        <v>202621</v>
      </c>
      <c r="O263" s="8">
        <f t="shared" si="29"/>
        <v>18235.89</v>
      </c>
      <c r="P263" s="27">
        <f>O263/(parametros_manuales!$B$7)</f>
        <v>121.5726</v>
      </c>
      <c r="Q263" s="4" t="str">
        <f t="shared" si="30"/>
        <v>Ene</v>
      </c>
      <c r="R263" s="16"/>
      <c r="S263" s="16"/>
    </row>
    <row r="264" ht="14.25" customHeight="1">
      <c r="A264" s="4" t="str">
        <f>parametros_manuales!$B$29</f>
        <v>Encastre de fondo</v>
      </c>
      <c r="B264" s="8">
        <f>(parametros_manuales!$D$29*(datos_base!$K$2+IF(parametros_manuales!$H$29="Todos",datos_base!$K$9,0))*parametros_manuales!$B$97+parametros_manuales!$E$29*(datos_base!$K$3+IF(parametros_manuales!$H$29="Todos",datos_base!$K$10,0))*parametros_manuales!$B$102+parametros_manuales!$F$29*(datos_base!$K$4+IF(parametros_manuales!$H$29="Todos",datos_base!$K$11,0))*parametros_manuales!$B$107+parametros_manuales!$G$29*(datos_base!$K$5+IF(parametros_manuales!$H$29="Todos",datos_base!$K$12,0))*parametros_manuales!$B$112)*parametros_manuales!$I$29*parametros_manuales!$J$29</f>
        <v>25752.87</v>
      </c>
      <c r="C264" s="8">
        <f>(parametros_manuales!$D$29*(datos_base!$K$2+IF(parametros_manuales!$H$29="Todos",datos_base!$K$9,0))*parametros_manuales!$C$97+parametros_manuales!$E$29*(datos_base!$K$3+IF(parametros_manuales!$H$29="Todos",datos_base!$K$10,0))*parametros_manuales!$C$102+parametros_manuales!$F$29*(datos_base!$K$4+IF(parametros_manuales!$H$29="Todos",datos_base!$K$11,0))*parametros_manuales!$C$107+parametros_manuales!$G$29*(datos_base!$K$5+IF(parametros_manuales!$H$29="Todos",datos_base!$K$12,0))*parametros_manuales!$C$112)*parametros_manuales!$I$29*parametros_manuales!$J$29</f>
        <v>24917.65</v>
      </c>
      <c r="D264" s="8">
        <f>(parametros_manuales!$D$29*(datos_base!$K$2+IF(parametros_manuales!$H$29="Todos",datos_base!$K$9,0))*parametros_manuales!$D$97+parametros_manuales!$E$29*(datos_base!$K$3+IF(parametros_manuales!$H$29="Todos",datos_base!$K$10,0))*parametros_manuales!$D$102+parametros_manuales!$F$29*(datos_base!$K$4+IF(parametros_manuales!$H$29="Todos",datos_base!$K$11,0))*parametros_manuales!$D$107+parametros_manuales!$G$29*(datos_base!$K$5+IF(parametros_manuales!$H$29="Todos",datos_base!$K$12,0))*parametros_manuales!$D$112)*parametros_manuales!$I$29*parametros_manuales!$J$29</f>
        <v>23309.05</v>
      </c>
      <c r="E264" s="8">
        <f>(parametros_manuales!$D$29*(datos_base!$K$2+IF(parametros_manuales!$H$29="Todos",datos_base!$K$9,0))*parametros_manuales!$E$97+parametros_manuales!$E$29*(datos_base!$K$3+IF(parametros_manuales!$H$29="Todos",datos_base!$K$10,0))*parametros_manuales!$E$102+parametros_manuales!$F$29*(datos_base!$K$4+IF(parametros_manuales!$H$29="Todos",datos_base!$K$11,0))*parametros_manuales!$E$107+parametros_manuales!$G$29*(datos_base!$K$5+IF(parametros_manuales!$H$29="Todos",datos_base!$K$12,0))*parametros_manuales!$E$112)*parametros_manuales!$I$29*parametros_manuales!$J$29</f>
        <v>22295.945</v>
      </c>
      <c r="F264" s="8">
        <f>(parametros_manuales!$D$29*(datos_base!$K$2+IF(parametros_manuales!$H$29="Todos",datos_base!$K$9,0))*parametros_manuales!$F$97+parametros_manuales!$E$29*(datos_base!$K$3+IF(parametros_manuales!$H$29="Todos",datos_base!$K$10,0))*parametros_manuales!$F$102+parametros_manuales!$F$29*(datos_base!$K$4+IF(parametros_manuales!$H$29="Todos",datos_base!$K$11,0))*parametros_manuales!$F$107+parametros_manuales!$G$29*(datos_base!$K$5+IF(parametros_manuales!$H$29="Todos",datos_base!$K$12,0))*parametros_manuales!$F$112)*parametros_manuales!$I$29*parametros_manuales!$J$29</f>
        <v>20865.23</v>
      </c>
      <c r="G264" s="8">
        <f>(parametros_manuales!$D$29*(datos_base!$K$2+IF(parametros_manuales!$H$29="Todos",datos_base!$K$9,0))*parametros_manuales!$G$97+parametros_manuales!$E$29*(datos_base!$K$3+IF(parametros_manuales!$H$29="Todos",datos_base!$K$10,0))*parametros_manuales!$G$102+parametros_manuales!$F$29*(datos_base!$K$4+IF(parametros_manuales!$H$29="Todos",datos_base!$K$11,0))*parametros_manuales!$G$107+parametros_manuales!$G$29*(datos_base!$K$5+IF(parametros_manuales!$H$29="Todos",datos_base!$K$12,0))*parametros_manuales!$G$112)*parametros_manuales!$I$29*parametros_manuales!$J$29</f>
        <v>20447.62</v>
      </c>
      <c r="H264" s="8">
        <f>(parametros_manuales!$D$29*(datos_base!$K$2+IF(parametros_manuales!$H$29="Todos",datos_base!$K$9,0))*parametros_manuales!$H$97+parametros_manuales!$E$29*(datos_base!$K$3+IF(parametros_manuales!$H$29="Todos",datos_base!$K$10,0))*parametros_manuales!$H$102+parametros_manuales!$F$29*(datos_base!$K$4+IF(parametros_manuales!$H$29="Todos",datos_base!$K$11,0))*parametros_manuales!$H$107+parametros_manuales!$G$29*(datos_base!$K$5+IF(parametros_manuales!$H$29="Todos",datos_base!$K$12,0))*parametros_manuales!$H$112)*parametros_manuales!$I$29*parametros_manuales!$J$29</f>
        <v>21878.335</v>
      </c>
      <c r="I264" s="8">
        <f>(parametros_manuales!$D$29*(datos_base!$K$2+IF(parametros_manuales!$H$29="Todos",datos_base!$K$9,0))*parametros_manuales!$I$97+parametros_manuales!$E$29*(datos_base!$K$3+IF(parametros_manuales!$H$29="Todos",datos_base!$K$10,0))*parametros_manuales!$I$102+parametros_manuales!$F$29*(datos_base!$K$4+IF(parametros_manuales!$H$29="Todos",datos_base!$K$11,0))*parametros_manuales!$I$107+parametros_manuales!$G$29*(datos_base!$K$5+IF(parametros_manuales!$H$29="Todos",datos_base!$K$12,0))*parametros_manuales!$I$112)*parametros_manuales!$I$29*parametros_manuales!$J$29</f>
        <v>24917.65</v>
      </c>
      <c r="J264" s="8">
        <f>(parametros_manuales!$D$29*(datos_base!$K$2+IF(parametros_manuales!$H$29="Todos",datos_base!$K$9,0))*parametros_manuales!$J$97+parametros_manuales!$E$29*(datos_base!$K$3+IF(parametros_manuales!$H$29="Todos",datos_base!$K$10,0))*parametros_manuales!$J$102+parametros_manuales!$F$29*(datos_base!$K$4+IF(parametros_manuales!$H$29="Todos",datos_base!$K$11,0))*parametros_manuales!$J$107+parametros_manuales!$G$29*(datos_base!$K$5+IF(parametros_manuales!$H$29="Todos",datos_base!$K$12,0))*parametros_manuales!$J$112)*parametros_manuales!$I$29*parametros_manuales!$J$29</f>
        <v>24917.65</v>
      </c>
      <c r="K264" s="8">
        <f>(parametros_manuales!$D$29*(datos_base!$K$2+IF(parametros_manuales!$H$29="Todos",datos_base!$K$9,0))*parametros_manuales!$K$97+parametros_manuales!$E$29*(datos_base!$K$3+IF(parametros_manuales!$H$29="Todos",datos_base!$K$10,0))*parametros_manuales!$K$102+parametros_manuales!$F$29*(datos_base!$K$4+IF(parametros_manuales!$H$29="Todos",datos_base!$K$11,0))*parametros_manuales!$K$107+parametros_manuales!$G$29*(datos_base!$K$5+IF(parametros_manuales!$H$29="Todos",datos_base!$K$12,0))*parametros_manuales!$K$112)*parametros_manuales!$I$29*parametros_manuales!$J$29</f>
        <v>25335.26</v>
      </c>
      <c r="L264" s="8">
        <f>(parametros_manuales!$D$29*(datos_base!$K$2+IF(parametros_manuales!$H$29="Todos",datos_base!$K$9,0))*parametros_manuales!$L$97+parametros_manuales!$E$29*(datos_base!$K$3+IF(parametros_manuales!$H$29="Todos",datos_base!$K$10,0))*parametros_manuales!$L$102+parametros_manuales!$F$29*(datos_base!$K$4+IF(parametros_manuales!$H$29="Todos",datos_base!$K$11,0))*parametros_manuales!$L$107+parametros_manuales!$G$29*(datos_base!$K$5+IF(parametros_manuales!$H$29="Todos",datos_base!$K$12,0))*parametros_manuales!$L$112)*parametros_manuales!$I$29*parametros_manuales!$J$29</f>
        <v>25752.87</v>
      </c>
      <c r="M264" s="8">
        <f>(parametros_manuales!$D$29*(datos_base!$K$2+IF(parametros_manuales!$H$29="Todos",datos_base!$K$9,0))*parametros_manuales!$M$97+parametros_manuales!$E$29*(datos_base!$K$3+IF(parametros_manuales!$H$29="Todos",datos_base!$K$10,0))*parametros_manuales!$M$102+parametros_manuales!$F$29*(datos_base!$K$4+IF(parametros_manuales!$H$29="Todos",datos_base!$K$11,0))*parametros_manuales!$M$107+parametros_manuales!$G$29*(datos_base!$K$5+IF(parametros_manuales!$H$29="Todos",datos_base!$K$12,0))*parametros_manuales!$M$112)*parametros_manuales!$I$29*parametros_manuales!$J$29</f>
        <v>25752.87</v>
      </c>
      <c r="N264" s="8">
        <f t="shared" si="28"/>
        <v>286143</v>
      </c>
      <c r="O264" s="8">
        <f t="shared" si="29"/>
        <v>25752.87</v>
      </c>
      <c r="P264" s="27">
        <f>O264/(parametros_manuales!$B$7)</f>
        <v>171.6858</v>
      </c>
      <c r="Q264" s="4" t="str">
        <f t="shared" si="30"/>
        <v>Ene</v>
      </c>
      <c r="R264" s="16"/>
      <c r="S264" s="16"/>
    </row>
    <row r="265" ht="14.25" customHeight="1">
      <c r="A265" s="4" t="str">
        <f>parametros_manuales!$B$30</f>
        <v>Bordoneado</v>
      </c>
      <c r="B265" s="8">
        <f>(parametros_manuales!$D$30*(datos_base!$K$2+IF(parametros_manuales!$H$30="Todos",datos_base!$K$9,0))*parametros_manuales!$B$97+parametros_manuales!$E$30*(datos_base!$K$3+IF(parametros_manuales!$H$30="Todos",datos_base!$K$10,0))*parametros_manuales!$B$102+parametros_manuales!$F$30*(datos_base!$K$4+IF(parametros_manuales!$H$30="Todos",datos_base!$K$11,0))*parametros_manuales!$B$107+parametros_manuales!$G$30*(datos_base!$K$5+IF(parametros_manuales!$H$30="Todos",datos_base!$K$12,0))*parametros_manuales!$B$112)*parametros_manuales!$I$30*parametros_manuales!$J$30</f>
        <v>25752.87</v>
      </c>
      <c r="C265" s="8">
        <f>(parametros_manuales!$D$30*(datos_base!$K$2+IF(parametros_manuales!$H$30="Todos",datos_base!$K$9,0))*parametros_manuales!$C$97+parametros_manuales!$E$30*(datos_base!$K$3+IF(parametros_manuales!$H$30="Todos",datos_base!$K$10,0))*parametros_manuales!$C$102+parametros_manuales!$F$30*(datos_base!$K$4+IF(parametros_manuales!$H$30="Todos",datos_base!$K$11,0))*parametros_manuales!$C$107+parametros_manuales!$G$30*(datos_base!$K$5+IF(parametros_manuales!$H$30="Todos",datos_base!$K$12,0))*parametros_manuales!$C$112)*parametros_manuales!$I$30*parametros_manuales!$J$30</f>
        <v>24917.65</v>
      </c>
      <c r="D265" s="8">
        <f>(parametros_manuales!$D$30*(datos_base!$K$2+IF(parametros_manuales!$H$30="Todos",datos_base!$K$9,0))*parametros_manuales!$D$97+parametros_manuales!$E$30*(datos_base!$K$3+IF(parametros_manuales!$H$30="Todos",datos_base!$K$10,0))*parametros_manuales!$D$102+parametros_manuales!$F$30*(datos_base!$K$4+IF(parametros_manuales!$H$30="Todos",datos_base!$K$11,0))*parametros_manuales!$D$107+parametros_manuales!$G$30*(datos_base!$K$5+IF(parametros_manuales!$H$30="Todos",datos_base!$K$12,0))*parametros_manuales!$D$112)*parametros_manuales!$I$30*parametros_manuales!$J$30</f>
        <v>23309.05</v>
      </c>
      <c r="E265" s="8">
        <f>(parametros_manuales!$D$30*(datos_base!$K$2+IF(parametros_manuales!$H$30="Todos",datos_base!$K$9,0))*parametros_manuales!$E$97+parametros_manuales!$E$30*(datos_base!$K$3+IF(parametros_manuales!$H$30="Todos",datos_base!$K$10,0))*parametros_manuales!$E$102+parametros_manuales!$F$30*(datos_base!$K$4+IF(parametros_manuales!$H$30="Todos",datos_base!$K$11,0))*parametros_manuales!$E$107+parametros_manuales!$G$30*(datos_base!$K$5+IF(parametros_manuales!$H$30="Todos",datos_base!$K$12,0))*parametros_manuales!$E$112)*parametros_manuales!$I$30*parametros_manuales!$J$30</f>
        <v>22295.945</v>
      </c>
      <c r="F265" s="8">
        <f>(parametros_manuales!$D$30*(datos_base!$K$2+IF(parametros_manuales!$H$30="Todos",datos_base!$K$9,0))*parametros_manuales!$F$97+parametros_manuales!$E$30*(datos_base!$K$3+IF(parametros_manuales!$H$30="Todos",datos_base!$K$10,0))*parametros_manuales!$F$102+parametros_manuales!$F$30*(datos_base!$K$4+IF(parametros_manuales!$H$30="Todos",datos_base!$K$11,0))*parametros_manuales!$F$107+parametros_manuales!$G$30*(datos_base!$K$5+IF(parametros_manuales!$H$30="Todos",datos_base!$K$12,0))*parametros_manuales!$F$112)*parametros_manuales!$I$30*parametros_manuales!$J$30</f>
        <v>20865.23</v>
      </c>
      <c r="G265" s="8">
        <f>(parametros_manuales!$D$30*(datos_base!$K$2+IF(parametros_manuales!$H$30="Todos",datos_base!$K$9,0))*parametros_manuales!$G$97+parametros_manuales!$E$30*(datos_base!$K$3+IF(parametros_manuales!$H$30="Todos",datos_base!$K$10,0))*parametros_manuales!$G$102+parametros_manuales!$F$30*(datos_base!$K$4+IF(parametros_manuales!$H$30="Todos",datos_base!$K$11,0))*parametros_manuales!$G$107+parametros_manuales!$G$30*(datos_base!$K$5+IF(parametros_manuales!$H$30="Todos",datos_base!$K$12,0))*parametros_manuales!$G$112)*parametros_manuales!$I$30*parametros_manuales!$J$30</f>
        <v>20447.62</v>
      </c>
      <c r="H265" s="8">
        <f>(parametros_manuales!$D$30*(datos_base!$K$2+IF(parametros_manuales!$H$30="Todos",datos_base!$K$9,0))*parametros_manuales!$H$97+parametros_manuales!$E$30*(datos_base!$K$3+IF(parametros_manuales!$H$30="Todos",datos_base!$K$10,0))*parametros_manuales!$H$102+parametros_manuales!$F$30*(datos_base!$K$4+IF(parametros_manuales!$H$30="Todos",datos_base!$K$11,0))*parametros_manuales!$H$107+parametros_manuales!$G$30*(datos_base!$K$5+IF(parametros_manuales!$H$30="Todos",datos_base!$K$12,0))*parametros_manuales!$H$112)*parametros_manuales!$I$30*parametros_manuales!$J$30</f>
        <v>21878.335</v>
      </c>
      <c r="I265" s="8">
        <f>(parametros_manuales!$D$30*(datos_base!$K$2+IF(parametros_manuales!$H$30="Todos",datos_base!$K$9,0))*parametros_manuales!$I$97+parametros_manuales!$E$30*(datos_base!$K$3+IF(parametros_manuales!$H$30="Todos",datos_base!$K$10,0))*parametros_manuales!$I$102+parametros_manuales!$F$30*(datos_base!$K$4+IF(parametros_manuales!$H$30="Todos",datos_base!$K$11,0))*parametros_manuales!$I$107+parametros_manuales!$G$30*(datos_base!$K$5+IF(parametros_manuales!$H$30="Todos",datos_base!$K$12,0))*parametros_manuales!$I$112)*parametros_manuales!$I$30*parametros_manuales!$J$30</f>
        <v>24917.65</v>
      </c>
      <c r="J265" s="8">
        <f>(parametros_manuales!$D$30*(datos_base!$K$2+IF(parametros_manuales!$H$30="Todos",datos_base!$K$9,0))*parametros_manuales!$J$97+parametros_manuales!$E$30*(datos_base!$K$3+IF(parametros_manuales!$H$30="Todos",datos_base!$K$10,0))*parametros_manuales!$J$102+parametros_manuales!$F$30*(datos_base!$K$4+IF(parametros_manuales!$H$30="Todos",datos_base!$K$11,0))*parametros_manuales!$J$107+parametros_manuales!$G$30*(datos_base!$K$5+IF(parametros_manuales!$H$30="Todos",datos_base!$K$12,0))*parametros_manuales!$J$112)*parametros_manuales!$I$30*parametros_manuales!$J$30</f>
        <v>24917.65</v>
      </c>
      <c r="K265" s="8">
        <f>(parametros_manuales!$D$30*(datos_base!$K$2+IF(parametros_manuales!$H$30="Todos",datos_base!$K$9,0))*parametros_manuales!$K$97+parametros_manuales!$E$30*(datos_base!$K$3+IF(parametros_manuales!$H$30="Todos",datos_base!$K$10,0))*parametros_manuales!$K$102+parametros_manuales!$F$30*(datos_base!$K$4+IF(parametros_manuales!$H$30="Todos",datos_base!$K$11,0))*parametros_manuales!$K$107+parametros_manuales!$G$30*(datos_base!$K$5+IF(parametros_manuales!$H$30="Todos",datos_base!$K$12,0))*parametros_manuales!$K$112)*parametros_manuales!$I$30*parametros_manuales!$J$30</f>
        <v>25335.26</v>
      </c>
      <c r="L265" s="8">
        <f>(parametros_manuales!$D$30*(datos_base!$K$2+IF(parametros_manuales!$H$30="Todos",datos_base!$K$9,0))*parametros_manuales!$L$97+parametros_manuales!$E$30*(datos_base!$K$3+IF(parametros_manuales!$H$30="Todos",datos_base!$K$10,0))*parametros_manuales!$L$102+parametros_manuales!$F$30*(datos_base!$K$4+IF(parametros_manuales!$H$30="Todos",datos_base!$K$11,0))*parametros_manuales!$L$107+parametros_manuales!$G$30*(datos_base!$K$5+IF(parametros_manuales!$H$30="Todos",datos_base!$K$12,0))*parametros_manuales!$L$112)*parametros_manuales!$I$30*parametros_manuales!$J$30</f>
        <v>25752.87</v>
      </c>
      <c r="M265" s="8">
        <f>(parametros_manuales!$D$30*(datos_base!$K$2+IF(parametros_manuales!$H$30="Todos",datos_base!$K$9,0))*parametros_manuales!$M$97+parametros_manuales!$E$30*(datos_base!$K$3+IF(parametros_manuales!$H$30="Todos",datos_base!$K$10,0))*parametros_manuales!$M$102+parametros_manuales!$F$30*(datos_base!$K$4+IF(parametros_manuales!$H$30="Todos",datos_base!$K$11,0))*parametros_manuales!$M$107+parametros_manuales!$G$30*(datos_base!$K$5+IF(parametros_manuales!$H$30="Todos",datos_base!$K$12,0))*parametros_manuales!$M$112)*parametros_manuales!$I$30*parametros_manuales!$J$30</f>
        <v>25752.87</v>
      </c>
      <c r="N265" s="8">
        <f t="shared" si="28"/>
        <v>286143</v>
      </c>
      <c r="O265" s="8">
        <f t="shared" si="29"/>
        <v>25752.87</v>
      </c>
      <c r="P265" s="27">
        <f>O265/(parametros_manuales!$B$7)</f>
        <v>171.6858</v>
      </c>
      <c r="Q265" s="4" t="str">
        <f t="shared" si="30"/>
        <v>Ene</v>
      </c>
      <c r="R265" s="16"/>
      <c r="S265" s="16"/>
    </row>
    <row r="266" ht="14.25" customHeight="1">
      <c r="A266" s="4" t="str">
        <f>parametros_manuales!$B$31</f>
        <v>Soldadura circunferencial de cúpula y fondo</v>
      </c>
      <c r="B266" s="8">
        <f>(parametros_manuales!$D$31*(datos_base!$K$2+IF(parametros_manuales!$H$31="Todos",datos_base!$K$9,0))*parametros_manuales!$B$97+parametros_manuales!$E$31*(datos_base!$K$3+IF(parametros_manuales!$H$31="Todos",datos_base!$K$10,0))*parametros_manuales!$B$102+parametros_manuales!$F$31*(datos_base!$K$4+IF(parametros_manuales!$H$31="Todos",datos_base!$K$11,0))*parametros_manuales!$B$107+parametros_manuales!$G$31*(datos_base!$K$5+IF(parametros_manuales!$H$31="Todos",datos_base!$K$12,0))*parametros_manuales!$B$112)*parametros_manuales!$I$31*parametros_manuales!$J$31</f>
        <v>25752.87</v>
      </c>
      <c r="C266" s="8">
        <f>(parametros_manuales!$D$31*(datos_base!$K$2+IF(parametros_manuales!$H$31="Todos",datos_base!$K$9,0))*parametros_manuales!$C$97+parametros_manuales!$E$31*(datos_base!$K$3+IF(parametros_manuales!$H$31="Todos",datos_base!$K$10,0))*parametros_manuales!$C$102+parametros_manuales!$F$31*(datos_base!$K$4+IF(parametros_manuales!$H$31="Todos",datos_base!$K$11,0))*parametros_manuales!$C$107+parametros_manuales!$G$31*(datos_base!$K$5+IF(parametros_manuales!$H$31="Todos",datos_base!$K$12,0))*parametros_manuales!$C$112)*parametros_manuales!$I$31*parametros_manuales!$J$31</f>
        <v>24917.65</v>
      </c>
      <c r="D266" s="8">
        <f>(parametros_manuales!$D$31*(datos_base!$K$2+IF(parametros_manuales!$H$31="Todos",datos_base!$K$9,0))*parametros_manuales!$D$97+parametros_manuales!$E$31*(datos_base!$K$3+IF(parametros_manuales!$H$31="Todos",datos_base!$K$10,0))*parametros_manuales!$D$102+parametros_manuales!$F$31*(datos_base!$K$4+IF(parametros_manuales!$H$31="Todos",datos_base!$K$11,0))*parametros_manuales!$D$107+parametros_manuales!$G$31*(datos_base!$K$5+IF(parametros_manuales!$H$31="Todos",datos_base!$K$12,0))*parametros_manuales!$D$112)*parametros_manuales!$I$31*parametros_manuales!$J$31</f>
        <v>23309.05</v>
      </c>
      <c r="E266" s="8">
        <f>(parametros_manuales!$D$31*(datos_base!$K$2+IF(parametros_manuales!$H$31="Todos",datos_base!$K$9,0))*parametros_manuales!$E$97+parametros_manuales!$E$31*(datos_base!$K$3+IF(parametros_manuales!$H$31="Todos",datos_base!$K$10,0))*parametros_manuales!$E$102+parametros_manuales!$F$31*(datos_base!$K$4+IF(parametros_manuales!$H$31="Todos",datos_base!$K$11,0))*parametros_manuales!$E$107+parametros_manuales!$G$31*(datos_base!$K$5+IF(parametros_manuales!$H$31="Todos",datos_base!$K$12,0))*parametros_manuales!$E$112)*parametros_manuales!$I$31*parametros_manuales!$J$31</f>
        <v>22295.945</v>
      </c>
      <c r="F266" s="8">
        <f>(parametros_manuales!$D$31*(datos_base!$K$2+IF(parametros_manuales!$H$31="Todos",datos_base!$K$9,0))*parametros_manuales!$F$97+parametros_manuales!$E$31*(datos_base!$K$3+IF(parametros_manuales!$H$31="Todos",datos_base!$K$10,0))*parametros_manuales!$F$102+parametros_manuales!$F$31*(datos_base!$K$4+IF(parametros_manuales!$H$31="Todos",datos_base!$K$11,0))*parametros_manuales!$F$107+parametros_manuales!$G$31*(datos_base!$K$5+IF(parametros_manuales!$H$31="Todos",datos_base!$K$12,0))*parametros_manuales!$F$112)*parametros_manuales!$I$31*parametros_manuales!$J$31</f>
        <v>20865.23</v>
      </c>
      <c r="G266" s="8">
        <f>(parametros_manuales!$D$31*(datos_base!$K$2+IF(parametros_manuales!$H$31="Todos",datos_base!$K$9,0))*parametros_manuales!$G$97+parametros_manuales!$E$31*(datos_base!$K$3+IF(parametros_manuales!$H$31="Todos",datos_base!$K$10,0))*parametros_manuales!$G$102+parametros_manuales!$F$31*(datos_base!$K$4+IF(parametros_manuales!$H$31="Todos",datos_base!$K$11,0))*parametros_manuales!$G$107+parametros_manuales!$G$31*(datos_base!$K$5+IF(parametros_manuales!$H$31="Todos",datos_base!$K$12,0))*parametros_manuales!$G$112)*parametros_manuales!$I$31*parametros_manuales!$J$31</f>
        <v>20447.62</v>
      </c>
      <c r="H266" s="8">
        <f>(parametros_manuales!$D$31*(datos_base!$K$2+IF(parametros_manuales!$H$31="Todos",datos_base!$K$9,0))*parametros_manuales!$H$97+parametros_manuales!$E$31*(datos_base!$K$3+IF(parametros_manuales!$H$31="Todos",datos_base!$K$10,0))*parametros_manuales!$H$102+parametros_manuales!$F$31*(datos_base!$K$4+IF(parametros_manuales!$H$31="Todos",datos_base!$K$11,0))*parametros_manuales!$H$107+parametros_manuales!$G$31*(datos_base!$K$5+IF(parametros_manuales!$H$31="Todos",datos_base!$K$12,0))*parametros_manuales!$H$112)*parametros_manuales!$I$31*parametros_manuales!$J$31</f>
        <v>21878.335</v>
      </c>
      <c r="I266" s="8">
        <f>(parametros_manuales!$D$31*(datos_base!$K$2+IF(parametros_manuales!$H$31="Todos",datos_base!$K$9,0))*parametros_manuales!$I$97+parametros_manuales!$E$31*(datos_base!$K$3+IF(parametros_manuales!$H$31="Todos",datos_base!$K$10,0))*parametros_manuales!$I$102+parametros_manuales!$F$31*(datos_base!$K$4+IF(parametros_manuales!$H$31="Todos",datos_base!$K$11,0))*parametros_manuales!$I$107+parametros_manuales!$G$31*(datos_base!$K$5+IF(parametros_manuales!$H$31="Todos",datos_base!$K$12,0))*parametros_manuales!$I$112)*parametros_manuales!$I$31*parametros_manuales!$J$31</f>
        <v>24917.65</v>
      </c>
      <c r="J266" s="8">
        <f>(parametros_manuales!$D$31*(datos_base!$K$2+IF(parametros_manuales!$H$31="Todos",datos_base!$K$9,0))*parametros_manuales!$J$97+parametros_manuales!$E$31*(datos_base!$K$3+IF(parametros_manuales!$H$31="Todos",datos_base!$K$10,0))*parametros_manuales!$J$102+parametros_manuales!$F$31*(datos_base!$K$4+IF(parametros_manuales!$H$31="Todos",datos_base!$K$11,0))*parametros_manuales!$J$107+parametros_manuales!$G$31*(datos_base!$K$5+IF(parametros_manuales!$H$31="Todos",datos_base!$K$12,0))*parametros_manuales!$J$112)*parametros_manuales!$I$31*parametros_manuales!$J$31</f>
        <v>24917.65</v>
      </c>
      <c r="K266" s="8">
        <f>(parametros_manuales!$D$31*(datos_base!$K$2+IF(parametros_manuales!$H$31="Todos",datos_base!$K$9,0))*parametros_manuales!$K$97+parametros_manuales!$E$31*(datos_base!$K$3+IF(parametros_manuales!$H$31="Todos",datos_base!$K$10,0))*parametros_manuales!$K$102+parametros_manuales!$F$31*(datos_base!$K$4+IF(parametros_manuales!$H$31="Todos",datos_base!$K$11,0))*parametros_manuales!$K$107+parametros_manuales!$G$31*(datos_base!$K$5+IF(parametros_manuales!$H$31="Todos",datos_base!$K$12,0))*parametros_manuales!$K$112)*parametros_manuales!$I$31*parametros_manuales!$J$31</f>
        <v>25335.26</v>
      </c>
      <c r="L266" s="8">
        <f>(parametros_manuales!$D$31*(datos_base!$K$2+IF(parametros_manuales!$H$31="Todos",datos_base!$K$9,0))*parametros_manuales!$L$97+parametros_manuales!$E$31*(datos_base!$K$3+IF(parametros_manuales!$H$31="Todos",datos_base!$K$10,0))*parametros_manuales!$L$102+parametros_manuales!$F$31*(datos_base!$K$4+IF(parametros_manuales!$H$31="Todos",datos_base!$K$11,0))*parametros_manuales!$L$107+parametros_manuales!$G$31*(datos_base!$K$5+IF(parametros_manuales!$H$31="Todos",datos_base!$K$12,0))*parametros_manuales!$L$112)*parametros_manuales!$I$31*parametros_manuales!$J$31</f>
        <v>25752.87</v>
      </c>
      <c r="M266" s="8">
        <f>(parametros_manuales!$D$31*(datos_base!$K$2+IF(parametros_manuales!$H$31="Todos",datos_base!$K$9,0))*parametros_manuales!$M$97+parametros_manuales!$E$31*(datos_base!$K$3+IF(parametros_manuales!$H$31="Todos",datos_base!$K$10,0))*parametros_manuales!$M$102+parametros_manuales!$F$31*(datos_base!$K$4+IF(parametros_manuales!$H$31="Todos",datos_base!$K$11,0))*parametros_manuales!$M$107+parametros_manuales!$G$31*(datos_base!$K$5+IF(parametros_manuales!$H$31="Todos",datos_base!$K$12,0))*parametros_manuales!$M$112)*parametros_manuales!$I$31*parametros_manuales!$J$31</f>
        <v>25752.87</v>
      </c>
      <c r="N266" s="8">
        <f t="shared" si="28"/>
        <v>286143</v>
      </c>
      <c r="O266" s="8">
        <f t="shared" si="29"/>
        <v>25752.87</v>
      </c>
      <c r="P266" s="27">
        <f>O266/(parametros_manuales!$B$7)</f>
        <v>171.6858</v>
      </c>
      <c r="Q266" s="4" t="str">
        <f t="shared" si="30"/>
        <v>Ene</v>
      </c>
      <c r="R266" s="16"/>
      <c r="S266" s="16"/>
    </row>
    <row r="267" ht="14.25" customHeight="1">
      <c r="A267" s="4" t="str">
        <f>parametros_manuales!$B$32</f>
        <v>Control de calidad — Espesor</v>
      </c>
      <c r="B267" s="8">
        <f>(parametros_manuales!$D$32*(datos_base!$K$2+IF(parametros_manuales!$H$32="Todos",datos_base!$K$9,0))*parametros_manuales!$B$97+parametros_manuales!$E$32*(datos_base!$K$3+IF(parametros_manuales!$H$32="Todos",datos_base!$K$10,0))*parametros_manuales!$B$102+parametros_manuales!$F$32*(datos_base!$K$4+IF(parametros_manuales!$H$32="Todos",datos_base!$K$11,0))*parametros_manuales!$B$107+parametros_manuales!$G$32*(datos_base!$K$5+IF(parametros_manuales!$H$32="Todos",datos_base!$K$12,0))*parametros_manuales!$B$112)*parametros_manuales!$I$32*parametros_manuales!$J$32</f>
        <v>515.0574</v>
      </c>
      <c r="C267" s="8">
        <f>(parametros_manuales!$D$32*(datos_base!$K$2+IF(parametros_manuales!$H$32="Todos",datos_base!$K$9,0))*parametros_manuales!$C$97+parametros_manuales!$E$32*(datos_base!$K$3+IF(parametros_manuales!$H$32="Todos",datos_base!$K$10,0))*parametros_manuales!$C$102+parametros_manuales!$F$32*(datos_base!$K$4+IF(parametros_manuales!$H$32="Todos",datos_base!$K$11,0))*parametros_manuales!$C$107+parametros_manuales!$G$32*(datos_base!$K$5+IF(parametros_manuales!$H$32="Todos",datos_base!$K$12,0))*parametros_manuales!$C$112)*parametros_manuales!$I$32*parametros_manuales!$J$32</f>
        <v>498.353</v>
      </c>
      <c r="D267" s="8">
        <f>(parametros_manuales!$D$32*(datos_base!$K$2+IF(parametros_manuales!$H$32="Todos",datos_base!$K$9,0))*parametros_manuales!$D$97+parametros_manuales!$E$32*(datos_base!$K$3+IF(parametros_manuales!$H$32="Todos",datos_base!$K$10,0))*parametros_manuales!$D$102+parametros_manuales!$F$32*(datos_base!$K$4+IF(parametros_manuales!$H$32="Todos",datos_base!$K$11,0))*parametros_manuales!$D$107+parametros_manuales!$G$32*(datos_base!$K$5+IF(parametros_manuales!$H$32="Todos",datos_base!$K$12,0))*parametros_manuales!$D$112)*parametros_manuales!$I$32*parametros_manuales!$J$32</f>
        <v>466.181</v>
      </c>
      <c r="E267" s="8">
        <f>(parametros_manuales!$D$32*(datos_base!$K$2+IF(parametros_manuales!$H$32="Todos",datos_base!$K$9,0))*parametros_manuales!$E$97+parametros_manuales!$E$32*(datos_base!$K$3+IF(parametros_manuales!$H$32="Todos",datos_base!$K$10,0))*parametros_manuales!$E$102+parametros_manuales!$F$32*(datos_base!$K$4+IF(parametros_manuales!$H$32="Todos",datos_base!$K$11,0))*parametros_manuales!$E$107+parametros_manuales!$G$32*(datos_base!$K$5+IF(parametros_manuales!$H$32="Todos",datos_base!$K$12,0))*parametros_manuales!$E$112)*parametros_manuales!$I$32*parametros_manuales!$J$32</f>
        <v>445.9189</v>
      </c>
      <c r="F267" s="8">
        <f>(parametros_manuales!$D$32*(datos_base!$K$2+IF(parametros_manuales!$H$32="Todos",datos_base!$K$9,0))*parametros_manuales!$F$97+parametros_manuales!$E$32*(datos_base!$K$3+IF(parametros_manuales!$H$32="Todos",datos_base!$K$10,0))*parametros_manuales!$F$102+parametros_manuales!$F$32*(datos_base!$K$4+IF(parametros_manuales!$H$32="Todos",datos_base!$K$11,0))*parametros_manuales!$F$107+parametros_manuales!$G$32*(datos_base!$K$5+IF(parametros_manuales!$H$32="Todos",datos_base!$K$12,0))*parametros_manuales!$F$112)*parametros_manuales!$I$32*parametros_manuales!$J$32</f>
        <v>417.3046</v>
      </c>
      <c r="G267" s="8">
        <f>(parametros_manuales!$D$32*(datos_base!$K$2+IF(parametros_manuales!$H$32="Todos",datos_base!$K$9,0))*parametros_manuales!$G$97+parametros_manuales!$E$32*(datos_base!$K$3+IF(parametros_manuales!$H$32="Todos",datos_base!$K$10,0))*parametros_manuales!$G$102+parametros_manuales!$F$32*(datos_base!$K$4+IF(parametros_manuales!$H$32="Todos",datos_base!$K$11,0))*parametros_manuales!$G$107+parametros_manuales!$G$32*(datos_base!$K$5+IF(parametros_manuales!$H$32="Todos",datos_base!$K$12,0))*parametros_manuales!$G$112)*parametros_manuales!$I$32*parametros_manuales!$J$32</f>
        <v>408.9524</v>
      </c>
      <c r="H267" s="8">
        <f>(parametros_manuales!$D$32*(datos_base!$K$2+IF(parametros_manuales!$H$32="Todos",datos_base!$K$9,0))*parametros_manuales!$H$97+parametros_manuales!$E$32*(datos_base!$K$3+IF(parametros_manuales!$H$32="Todos",datos_base!$K$10,0))*parametros_manuales!$H$102+parametros_manuales!$F$32*(datos_base!$K$4+IF(parametros_manuales!$H$32="Todos",datos_base!$K$11,0))*parametros_manuales!$H$107+parametros_manuales!$G$32*(datos_base!$K$5+IF(parametros_manuales!$H$32="Todos",datos_base!$K$12,0))*parametros_manuales!$H$112)*parametros_manuales!$I$32*parametros_manuales!$J$32</f>
        <v>437.5667</v>
      </c>
      <c r="I267" s="8">
        <f>(parametros_manuales!$D$32*(datos_base!$K$2+IF(parametros_manuales!$H$32="Todos",datos_base!$K$9,0))*parametros_manuales!$I$97+parametros_manuales!$E$32*(datos_base!$K$3+IF(parametros_manuales!$H$32="Todos",datos_base!$K$10,0))*parametros_manuales!$I$102+parametros_manuales!$F$32*(datos_base!$K$4+IF(parametros_manuales!$H$32="Todos",datos_base!$K$11,0))*parametros_manuales!$I$107+parametros_manuales!$G$32*(datos_base!$K$5+IF(parametros_manuales!$H$32="Todos",datos_base!$K$12,0))*parametros_manuales!$I$112)*parametros_manuales!$I$32*parametros_manuales!$J$32</f>
        <v>498.353</v>
      </c>
      <c r="J267" s="8">
        <f>(parametros_manuales!$D$32*(datos_base!$K$2+IF(parametros_manuales!$H$32="Todos",datos_base!$K$9,0))*parametros_manuales!$J$97+parametros_manuales!$E$32*(datos_base!$K$3+IF(parametros_manuales!$H$32="Todos",datos_base!$K$10,0))*parametros_manuales!$J$102+parametros_manuales!$F$32*(datos_base!$K$4+IF(parametros_manuales!$H$32="Todos",datos_base!$K$11,0))*parametros_manuales!$J$107+parametros_manuales!$G$32*(datos_base!$K$5+IF(parametros_manuales!$H$32="Todos",datos_base!$K$12,0))*parametros_manuales!$J$112)*parametros_manuales!$I$32*parametros_manuales!$J$32</f>
        <v>498.353</v>
      </c>
      <c r="K267" s="8">
        <f>(parametros_manuales!$D$32*(datos_base!$K$2+IF(parametros_manuales!$H$32="Todos",datos_base!$K$9,0))*parametros_manuales!$K$97+parametros_manuales!$E$32*(datos_base!$K$3+IF(parametros_manuales!$H$32="Todos",datos_base!$K$10,0))*parametros_manuales!$K$102+parametros_manuales!$F$32*(datos_base!$K$4+IF(parametros_manuales!$H$32="Todos",datos_base!$K$11,0))*parametros_manuales!$K$107+parametros_manuales!$G$32*(datos_base!$K$5+IF(parametros_manuales!$H$32="Todos",datos_base!$K$12,0))*parametros_manuales!$K$112)*parametros_manuales!$I$32*parametros_manuales!$J$32</f>
        <v>506.7052</v>
      </c>
      <c r="L267" s="8">
        <f>(parametros_manuales!$D$32*(datos_base!$K$2+IF(parametros_manuales!$H$32="Todos",datos_base!$K$9,0))*parametros_manuales!$L$97+parametros_manuales!$E$32*(datos_base!$K$3+IF(parametros_manuales!$H$32="Todos",datos_base!$K$10,0))*parametros_manuales!$L$102+parametros_manuales!$F$32*(datos_base!$K$4+IF(parametros_manuales!$H$32="Todos",datos_base!$K$11,0))*parametros_manuales!$L$107+parametros_manuales!$G$32*(datos_base!$K$5+IF(parametros_manuales!$H$32="Todos",datos_base!$K$12,0))*parametros_manuales!$L$112)*parametros_manuales!$I$32*parametros_manuales!$J$32</f>
        <v>515.0574</v>
      </c>
      <c r="M267" s="8">
        <f>(parametros_manuales!$D$32*(datos_base!$K$2+IF(parametros_manuales!$H$32="Todos",datos_base!$K$9,0))*parametros_manuales!$M$97+parametros_manuales!$E$32*(datos_base!$K$3+IF(parametros_manuales!$H$32="Todos",datos_base!$K$10,0))*parametros_manuales!$M$102+parametros_manuales!$F$32*(datos_base!$K$4+IF(parametros_manuales!$H$32="Todos",datos_base!$K$11,0))*parametros_manuales!$M$107+parametros_manuales!$G$32*(datos_base!$K$5+IF(parametros_manuales!$H$32="Todos",datos_base!$K$12,0))*parametros_manuales!$M$112)*parametros_manuales!$I$32*parametros_manuales!$J$32</f>
        <v>515.0574</v>
      </c>
      <c r="N267" s="8">
        <f t="shared" si="28"/>
        <v>5722.86</v>
      </c>
      <c r="O267" s="8">
        <f t="shared" si="29"/>
        <v>515.0574</v>
      </c>
      <c r="P267" s="27">
        <f>O267/(parametros_manuales!$B$7)</f>
        <v>3.433716</v>
      </c>
      <c r="Q267" s="4" t="str">
        <f t="shared" si="30"/>
        <v>Ene</v>
      </c>
      <c r="R267" s="16"/>
      <c r="S267" s="16"/>
    </row>
    <row r="268" ht="14.25" customHeight="1">
      <c r="A268" s="4" t="str">
        <f>parametros_manuales!$B$33</f>
        <v>Prueba hidráulica</v>
      </c>
      <c r="B268" s="8">
        <f>(parametros_manuales!$D$33*(datos_base!$K$2+IF(parametros_manuales!$H$33="Todos",datos_base!$K$9,0))*parametros_manuales!$B$97+parametros_manuales!$E$33*(datos_base!$K$3+IF(parametros_manuales!$H$33="Todos",datos_base!$K$10,0))*parametros_manuales!$B$102+parametros_manuales!$F$33*(datos_base!$K$4+IF(parametros_manuales!$H$33="Todos",datos_base!$K$11,0))*parametros_manuales!$B$107+parametros_manuales!$G$33*(datos_base!$K$5+IF(parametros_manuales!$H$33="Todos",datos_base!$K$12,0))*parametros_manuales!$B$112)*parametros_manuales!$I$33*parametros_manuales!$J$33</f>
        <v>25752.87</v>
      </c>
      <c r="C268" s="8">
        <f>(parametros_manuales!$D$33*(datos_base!$K$2+IF(parametros_manuales!$H$33="Todos",datos_base!$K$9,0))*parametros_manuales!$C$97+parametros_manuales!$E$33*(datos_base!$K$3+IF(parametros_manuales!$H$33="Todos",datos_base!$K$10,0))*parametros_manuales!$C$102+parametros_manuales!$F$33*(datos_base!$K$4+IF(parametros_manuales!$H$33="Todos",datos_base!$K$11,0))*parametros_manuales!$C$107+parametros_manuales!$G$33*(datos_base!$K$5+IF(parametros_manuales!$H$33="Todos",datos_base!$K$12,0))*parametros_manuales!$C$112)*parametros_manuales!$I$33*parametros_manuales!$J$33</f>
        <v>24917.65</v>
      </c>
      <c r="D268" s="8">
        <f>(parametros_manuales!$D$33*(datos_base!$K$2+IF(parametros_manuales!$H$33="Todos",datos_base!$K$9,0))*parametros_manuales!$D$97+parametros_manuales!$E$33*(datos_base!$K$3+IF(parametros_manuales!$H$33="Todos",datos_base!$K$10,0))*parametros_manuales!$D$102+parametros_manuales!$F$33*(datos_base!$K$4+IF(parametros_manuales!$H$33="Todos",datos_base!$K$11,0))*parametros_manuales!$D$107+parametros_manuales!$G$33*(datos_base!$K$5+IF(parametros_manuales!$H$33="Todos",datos_base!$K$12,0))*parametros_manuales!$D$112)*parametros_manuales!$I$33*parametros_manuales!$J$33</f>
        <v>23309.05</v>
      </c>
      <c r="E268" s="8">
        <f>(parametros_manuales!$D$33*(datos_base!$K$2+IF(parametros_manuales!$H$33="Todos",datos_base!$K$9,0))*parametros_manuales!$E$97+parametros_manuales!$E$33*(datos_base!$K$3+IF(parametros_manuales!$H$33="Todos",datos_base!$K$10,0))*parametros_manuales!$E$102+parametros_manuales!$F$33*(datos_base!$K$4+IF(parametros_manuales!$H$33="Todos",datos_base!$K$11,0))*parametros_manuales!$E$107+parametros_manuales!$G$33*(datos_base!$K$5+IF(parametros_manuales!$H$33="Todos",datos_base!$K$12,0))*parametros_manuales!$E$112)*parametros_manuales!$I$33*parametros_manuales!$J$33</f>
        <v>22295.945</v>
      </c>
      <c r="F268" s="8">
        <f>(parametros_manuales!$D$33*(datos_base!$K$2+IF(parametros_manuales!$H$33="Todos",datos_base!$K$9,0))*parametros_manuales!$F$97+parametros_manuales!$E$33*(datos_base!$K$3+IF(parametros_manuales!$H$33="Todos",datos_base!$K$10,0))*parametros_manuales!$F$102+parametros_manuales!$F$33*(datos_base!$K$4+IF(parametros_manuales!$H$33="Todos",datos_base!$K$11,0))*parametros_manuales!$F$107+parametros_manuales!$G$33*(datos_base!$K$5+IF(parametros_manuales!$H$33="Todos",datos_base!$K$12,0))*parametros_manuales!$F$112)*parametros_manuales!$I$33*parametros_manuales!$J$33</f>
        <v>20865.23</v>
      </c>
      <c r="G268" s="8">
        <f>(parametros_manuales!$D$33*(datos_base!$K$2+IF(parametros_manuales!$H$33="Todos",datos_base!$K$9,0))*parametros_manuales!$G$97+parametros_manuales!$E$33*(datos_base!$K$3+IF(parametros_manuales!$H$33="Todos",datos_base!$K$10,0))*parametros_manuales!$G$102+parametros_manuales!$F$33*(datos_base!$K$4+IF(parametros_manuales!$H$33="Todos",datos_base!$K$11,0))*parametros_manuales!$G$107+parametros_manuales!$G$33*(datos_base!$K$5+IF(parametros_manuales!$H$33="Todos",datos_base!$K$12,0))*parametros_manuales!$G$112)*parametros_manuales!$I$33*parametros_manuales!$J$33</f>
        <v>20447.62</v>
      </c>
      <c r="H268" s="8">
        <f>(parametros_manuales!$D$33*(datos_base!$K$2+IF(parametros_manuales!$H$33="Todos",datos_base!$K$9,0))*parametros_manuales!$H$97+parametros_manuales!$E$33*(datos_base!$K$3+IF(parametros_manuales!$H$33="Todos",datos_base!$K$10,0))*parametros_manuales!$H$102+parametros_manuales!$F$33*(datos_base!$K$4+IF(parametros_manuales!$H$33="Todos",datos_base!$K$11,0))*parametros_manuales!$H$107+parametros_manuales!$G$33*(datos_base!$K$5+IF(parametros_manuales!$H$33="Todos",datos_base!$K$12,0))*parametros_manuales!$H$112)*parametros_manuales!$I$33*parametros_manuales!$J$33</f>
        <v>21878.335</v>
      </c>
      <c r="I268" s="8">
        <f>(parametros_manuales!$D$33*(datos_base!$K$2+IF(parametros_manuales!$H$33="Todos",datos_base!$K$9,0))*parametros_manuales!$I$97+parametros_manuales!$E$33*(datos_base!$K$3+IF(parametros_manuales!$H$33="Todos",datos_base!$K$10,0))*parametros_manuales!$I$102+parametros_manuales!$F$33*(datos_base!$K$4+IF(parametros_manuales!$H$33="Todos",datos_base!$K$11,0))*parametros_manuales!$I$107+parametros_manuales!$G$33*(datos_base!$K$5+IF(parametros_manuales!$H$33="Todos",datos_base!$K$12,0))*parametros_manuales!$I$112)*parametros_manuales!$I$33*parametros_manuales!$J$33</f>
        <v>24917.65</v>
      </c>
      <c r="J268" s="8">
        <f>(parametros_manuales!$D$33*(datos_base!$K$2+IF(parametros_manuales!$H$33="Todos",datos_base!$K$9,0))*parametros_manuales!$J$97+parametros_manuales!$E$33*(datos_base!$K$3+IF(parametros_manuales!$H$33="Todos",datos_base!$K$10,0))*parametros_manuales!$J$102+parametros_manuales!$F$33*(datos_base!$K$4+IF(parametros_manuales!$H$33="Todos",datos_base!$K$11,0))*parametros_manuales!$J$107+parametros_manuales!$G$33*(datos_base!$K$5+IF(parametros_manuales!$H$33="Todos",datos_base!$K$12,0))*parametros_manuales!$J$112)*parametros_manuales!$I$33*parametros_manuales!$J$33</f>
        <v>24917.65</v>
      </c>
      <c r="K268" s="8">
        <f>(parametros_manuales!$D$33*(datos_base!$K$2+IF(parametros_manuales!$H$33="Todos",datos_base!$K$9,0))*parametros_manuales!$K$97+parametros_manuales!$E$33*(datos_base!$K$3+IF(parametros_manuales!$H$33="Todos",datos_base!$K$10,0))*parametros_manuales!$K$102+parametros_manuales!$F$33*(datos_base!$K$4+IF(parametros_manuales!$H$33="Todos",datos_base!$K$11,0))*parametros_manuales!$K$107+parametros_manuales!$G$33*(datos_base!$K$5+IF(parametros_manuales!$H$33="Todos",datos_base!$K$12,0))*parametros_manuales!$K$112)*parametros_manuales!$I$33*parametros_manuales!$J$33</f>
        <v>25335.26</v>
      </c>
      <c r="L268" s="8">
        <f>(parametros_manuales!$D$33*(datos_base!$K$2+IF(parametros_manuales!$H$33="Todos",datos_base!$K$9,0))*parametros_manuales!$L$97+parametros_manuales!$E$33*(datos_base!$K$3+IF(parametros_manuales!$H$33="Todos",datos_base!$K$10,0))*parametros_manuales!$L$102+parametros_manuales!$F$33*(datos_base!$K$4+IF(parametros_manuales!$H$33="Todos",datos_base!$K$11,0))*parametros_manuales!$L$107+parametros_manuales!$G$33*(datos_base!$K$5+IF(parametros_manuales!$H$33="Todos",datos_base!$K$12,0))*parametros_manuales!$L$112)*parametros_manuales!$I$33*parametros_manuales!$J$33</f>
        <v>25752.87</v>
      </c>
      <c r="M268" s="8">
        <f>(parametros_manuales!$D$33*(datos_base!$K$2+IF(parametros_manuales!$H$33="Todos",datos_base!$K$9,0))*parametros_manuales!$M$97+parametros_manuales!$E$33*(datos_base!$K$3+IF(parametros_manuales!$H$33="Todos",datos_base!$K$10,0))*parametros_manuales!$M$102+parametros_manuales!$F$33*(datos_base!$K$4+IF(parametros_manuales!$H$33="Todos",datos_base!$K$11,0))*parametros_manuales!$M$107+parametros_manuales!$G$33*(datos_base!$K$5+IF(parametros_manuales!$H$33="Todos",datos_base!$K$12,0))*parametros_manuales!$M$112)*parametros_manuales!$I$33*parametros_manuales!$J$33</f>
        <v>25752.87</v>
      </c>
      <c r="N268" s="8">
        <f t="shared" si="28"/>
        <v>286143</v>
      </c>
      <c r="O268" s="8">
        <f t="shared" si="29"/>
        <v>25752.87</v>
      </c>
      <c r="P268" s="27">
        <f>O268/(parametros_manuales!$B$7)</f>
        <v>171.6858</v>
      </c>
      <c r="Q268" s="4" t="str">
        <f t="shared" si="30"/>
        <v>Ene</v>
      </c>
      <c r="R268" s="16"/>
      <c r="S268" s="16"/>
    </row>
    <row r="269" ht="14.25" customHeight="1">
      <c r="A269" s="4" t="str">
        <f>parametros_manuales!$B$34</f>
        <v>Secado</v>
      </c>
      <c r="B269" s="8">
        <f>(parametros_manuales!$D$34*(datos_base!$K$2+IF(parametros_manuales!$H$34="Todos",datos_base!$K$9,0))*parametros_manuales!$B$97+parametros_manuales!$E$34*(datos_base!$K$3+IF(parametros_manuales!$H$34="Todos",datos_base!$K$10,0))*parametros_manuales!$B$102+parametros_manuales!$F$34*(datos_base!$K$4+IF(parametros_manuales!$H$34="Todos",datos_base!$K$11,0))*parametros_manuales!$B$107+parametros_manuales!$G$34*(datos_base!$K$5+IF(parametros_manuales!$H$34="Todos",datos_base!$K$12,0))*parametros_manuales!$B$112)*parametros_manuales!$I$34*parametros_manuales!$J$34</f>
        <v>25752.87</v>
      </c>
      <c r="C269" s="8">
        <f>(parametros_manuales!$D$34*(datos_base!$K$2+IF(parametros_manuales!$H$34="Todos",datos_base!$K$9,0))*parametros_manuales!$C$97+parametros_manuales!$E$34*(datos_base!$K$3+IF(parametros_manuales!$H$34="Todos",datos_base!$K$10,0))*parametros_manuales!$C$102+parametros_manuales!$F$34*(datos_base!$K$4+IF(parametros_manuales!$H$34="Todos",datos_base!$K$11,0))*parametros_manuales!$C$107+parametros_manuales!$G$34*(datos_base!$K$5+IF(parametros_manuales!$H$34="Todos",datos_base!$K$12,0))*parametros_manuales!$C$112)*parametros_manuales!$I$34*parametros_manuales!$J$34</f>
        <v>24917.65</v>
      </c>
      <c r="D269" s="8">
        <f>(parametros_manuales!$D$34*(datos_base!$K$2+IF(parametros_manuales!$H$34="Todos",datos_base!$K$9,0))*parametros_manuales!$D$97+parametros_manuales!$E$34*(datos_base!$K$3+IF(parametros_manuales!$H$34="Todos",datos_base!$K$10,0))*parametros_manuales!$D$102+parametros_manuales!$F$34*(datos_base!$K$4+IF(parametros_manuales!$H$34="Todos",datos_base!$K$11,0))*parametros_manuales!$D$107+parametros_manuales!$G$34*(datos_base!$K$5+IF(parametros_manuales!$H$34="Todos",datos_base!$K$12,0))*parametros_manuales!$D$112)*parametros_manuales!$I$34*parametros_manuales!$J$34</f>
        <v>23309.05</v>
      </c>
      <c r="E269" s="8">
        <f>(parametros_manuales!$D$34*(datos_base!$K$2+IF(parametros_manuales!$H$34="Todos",datos_base!$K$9,0))*parametros_manuales!$E$97+parametros_manuales!$E$34*(datos_base!$K$3+IF(parametros_manuales!$H$34="Todos",datos_base!$K$10,0))*parametros_manuales!$E$102+parametros_manuales!$F$34*(datos_base!$K$4+IF(parametros_manuales!$H$34="Todos",datos_base!$K$11,0))*parametros_manuales!$E$107+parametros_manuales!$G$34*(datos_base!$K$5+IF(parametros_manuales!$H$34="Todos",datos_base!$K$12,0))*parametros_manuales!$E$112)*parametros_manuales!$I$34*parametros_manuales!$J$34</f>
        <v>22295.945</v>
      </c>
      <c r="F269" s="8">
        <f>(parametros_manuales!$D$34*(datos_base!$K$2+IF(parametros_manuales!$H$34="Todos",datos_base!$K$9,0))*parametros_manuales!$F$97+parametros_manuales!$E$34*(datos_base!$K$3+IF(parametros_manuales!$H$34="Todos",datos_base!$K$10,0))*parametros_manuales!$F$102+parametros_manuales!$F$34*(datos_base!$K$4+IF(parametros_manuales!$H$34="Todos",datos_base!$K$11,0))*parametros_manuales!$F$107+parametros_manuales!$G$34*(datos_base!$K$5+IF(parametros_manuales!$H$34="Todos",datos_base!$K$12,0))*parametros_manuales!$F$112)*parametros_manuales!$I$34*parametros_manuales!$J$34</f>
        <v>20865.23</v>
      </c>
      <c r="G269" s="8">
        <f>(parametros_manuales!$D$34*(datos_base!$K$2+IF(parametros_manuales!$H$34="Todos",datos_base!$K$9,0))*parametros_manuales!$G$97+parametros_manuales!$E$34*(datos_base!$K$3+IF(parametros_manuales!$H$34="Todos",datos_base!$K$10,0))*parametros_manuales!$G$102+parametros_manuales!$F$34*(datos_base!$K$4+IF(parametros_manuales!$H$34="Todos",datos_base!$K$11,0))*parametros_manuales!$G$107+parametros_manuales!$G$34*(datos_base!$K$5+IF(parametros_manuales!$H$34="Todos",datos_base!$K$12,0))*parametros_manuales!$G$112)*parametros_manuales!$I$34*parametros_manuales!$J$34</f>
        <v>20447.62</v>
      </c>
      <c r="H269" s="8">
        <f>(parametros_manuales!$D$34*(datos_base!$K$2+IF(parametros_manuales!$H$34="Todos",datos_base!$K$9,0))*parametros_manuales!$H$97+parametros_manuales!$E$34*(datos_base!$K$3+IF(parametros_manuales!$H$34="Todos",datos_base!$K$10,0))*parametros_manuales!$H$102+parametros_manuales!$F$34*(datos_base!$K$4+IF(parametros_manuales!$H$34="Todos",datos_base!$K$11,0))*parametros_manuales!$H$107+parametros_manuales!$G$34*(datos_base!$K$5+IF(parametros_manuales!$H$34="Todos",datos_base!$K$12,0))*parametros_manuales!$H$112)*parametros_manuales!$I$34*parametros_manuales!$J$34</f>
        <v>21878.335</v>
      </c>
      <c r="I269" s="8">
        <f>(parametros_manuales!$D$34*(datos_base!$K$2+IF(parametros_manuales!$H$34="Todos",datos_base!$K$9,0))*parametros_manuales!$I$97+parametros_manuales!$E$34*(datos_base!$K$3+IF(parametros_manuales!$H$34="Todos",datos_base!$K$10,0))*parametros_manuales!$I$102+parametros_manuales!$F$34*(datos_base!$K$4+IF(parametros_manuales!$H$34="Todos",datos_base!$K$11,0))*parametros_manuales!$I$107+parametros_manuales!$G$34*(datos_base!$K$5+IF(parametros_manuales!$H$34="Todos",datos_base!$K$12,0))*parametros_manuales!$I$112)*parametros_manuales!$I$34*parametros_manuales!$J$34</f>
        <v>24917.65</v>
      </c>
      <c r="J269" s="8">
        <f>(parametros_manuales!$D$34*(datos_base!$K$2+IF(parametros_manuales!$H$34="Todos",datos_base!$K$9,0))*parametros_manuales!$J$97+parametros_manuales!$E$34*(datos_base!$K$3+IF(parametros_manuales!$H$34="Todos",datos_base!$K$10,0))*parametros_manuales!$J$102+parametros_manuales!$F$34*(datos_base!$K$4+IF(parametros_manuales!$H$34="Todos",datos_base!$K$11,0))*parametros_manuales!$J$107+parametros_manuales!$G$34*(datos_base!$K$5+IF(parametros_manuales!$H$34="Todos",datos_base!$K$12,0))*parametros_manuales!$J$112)*parametros_manuales!$I$34*parametros_manuales!$J$34</f>
        <v>24917.65</v>
      </c>
      <c r="K269" s="8">
        <f>(parametros_manuales!$D$34*(datos_base!$K$2+IF(parametros_manuales!$H$34="Todos",datos_base!$K$9,0))*parametros_manuales!$K$97+parametros_manuales!$E$34*(datos_base!$K$3+IF(parametros_manuales!$H$34="Todos",datos_base!$K$10,0))*parametros_manuales!$K$102+parametros_manuales!$F$34*(datos_base!$K$4+IF(parametros_manuales!$H$34="Todos",datos_base!$K$11,0))*parametros_manuales!$K$107+parametros_manuales!$G$34*(datos_base!$K$5+IF(parametros_manuales!$H$34="Todos",datos_base!$K$12,0))*parametros_manuales!$K$112)*parametros_manuales!$I$34*parametros_manuales!$J$34</f>
        <v>25335.26</v>
      </c>
      <c r="L269" s="8">
        <f>(parametros_manuales!$D$34*(datos_base!$K$2+IF(parametros_manuales!$H$34="Todos",datos_base!$K$9,0))*parametros_manuales!$L$97+parametros_manuales!$E$34*(datos_base!$K$3+IF(parametros_manuales!$H$34="Todos",datos_base!$K$10,0))*parametros_manuales!$L$102+parametros_manuales!$F$34*(datos_base!$K$4+IF(parametros_manuales!$H$34="Todos",datos_base!$K$11,0))*parametros_manuales!$L$107+parametros_manuales!$G$34*(datos_base!$K$5+IF(parametros_manuales!$H$34="Todos",datos_base!$K$12,0))*parametros_manuales!$L$112)*parametros_manuales!$I$34*parametros_manuales!$J$34</f>
        <v>25752.87</v>
      </c>
      <c r="M269" s="8">
        <f>(parametros_manuales!$D$34*(datos_base!$K$2+IF(parametros_manuales!$H$34="Todos",datos_base!$K$9,0))*parametros_manuales!$M$97+parametros_manuales!$E$34*(datos_base!$K$3+IF(parametros_manuales!$H$34="Todos",datos_base!$K$10,0))*parametros_manuales!$M$102+parametros_manuales!$F$34*(datos_base!$K$4+IF(parametros_manuales!$H$34="Todos",datos_base!$K$11,0))*parametros_manuales!$M$107+parametros_manuales!$G$34*(datos_base!$K$5+IF(parametros_manuales!$H$34="Todos",datos_base!$K$12,0))*parametros_manuales!$M$112)*parametros_manuales!$I$34*parametros_manuales!$J$34</f>
        <v>25752.87</v>
      </c>
      <c r="N269" s="8">
        <f t="shared" si="28"/>
        <v>286143</v>
      </c>
      <c r="O269" s="8">
        <f t="shared" si="29"/>
        <v>25752.87</v>
      </c>
      <c r="P269" s="27">
        <f>O269/(parametros_manuales!$B$7)</f>
        <v>171.6858</v>
      </c>
      <c r="Q269" s="4" t="str">
        <f t="shared" si="30"/>
        <v>Ene</v>
      </c>
      <c r="R269" s="16"/>
      <c r="S269" s="16"/>
    </row>
    <row r="270" ht="14.25" customHeight="1">
      <c r="A270" s="4" t="str">
        <f>parametros_manuales!$B$35</f>
        <v>Granallado</v>
      </c>
      <c r="B270" s="8">
        <f>(parametros_manuales!$D$35*(datos_base!$K$2+IF(parametros_manuales!$H$35="Todos",datos_base!$K$9,0))*parametros_manuales!$B$97+parametros_manuales!$E$35*(datos_base!$K$3+IF(parametros_manuales!$H$35="Todos",datos_base!$K$10,0))*parametros_manuales!$B$102+parametros_manuales!$F$35*(datos_base!$K$4+IF(parametros_manuales!$H$35="Todos",datos_base!$K$11,0))*parametros_manuales!$B$107+parametros_manuales!$G$35*(datos_base!$K$5+IF(parametros_manuales!$H$35="Todos",datos_base!$K$12,0))*parametros_manuales!$B$112)*parametros_manuales!$I$35*parametros_manuales!$J$35</f>
        <v>25752.87</v>
      </c>
      <c r="C270" s="8">
        <f>(parametros_manuales!$D$35*(datos_base!$K$2+IF(parametros_manuales!$H$35="Todos",datos_base!$K$9,0))*parametros_manuales!$C$97+parametros_manuales!$E$35*(datos_base!$K$3+IF(parametros_manuales!$H$35="Todos",datos_base!$K$10,0))*parametros_manuales!$C$102+parametros_manuales!$F$35*(datos_base!$K$4+IF(parametros_manuales!$H$35="Todos",datos_base!$K$11,0))*parametros_manuales!$C$107+parametros_manuales!$G$35*(datos_base!$K$5+IF(parametros_manuales!$H$35="Todos",datos_base!$K$12,0))*parametros_manuales!$C$112)*parametros_manuales!$I$35*parametros_manuales!$J$35</f>
        <v>24917.65</v>
      </c>
      <c r="D270" s="8">
        <f>(parametros_manuales!$D$35*(datos_base!$K$2+IF(parametros_manuales!$H$35="Todos",datos_base!$K$9,0))*parametros_manuales!$D$97+parametros_manuales!$E$35*(datos_base!$K$3+IF(parametros_manuales!$H$35="Todos",datos_base!$K$10,0))*parametros_manuales!$D$102+parametros_manuales!$F$35*(datos_base!$K$4+IF(parametros_manuales!$H$35="Todos",datos_base!$K$11,0))*parametros_manuales!$D$107+parametros_manuales!$G$35*(datos_base!$K$5+IF(parametros_manuales!$H$35="Todos",datos_base!$K$12,0))*parametros_manuales!$D$112)*parametros_manuales!$I$35*parametros_manuales!$J$35</f>
        <v>23309.05</v>
      </c>
      <c r="E270" s="8">
        <f>(parametros_manuales!$D$35*(datos_base!$K$2+IF(parametros_manuales!$H$35="Todos",datos_base!$K$9,0))*parametros_manuales!$E$97+parametros_manuales!$E$35*(datos_base!$K$3+IF(parametros_manuales!$H$35="Todos",datos_base!$K$10,0))*parametros_manuales!$E$102+parametros_manuales!$F$35*(datos_base!$K$4+IF(parametros_manuales!$H$35="Todos",datos_base!$K$11,0))*parametros_manuales!$E$107+parametros_manuales!$G$35*(datos_base!$K$5+IF(parametros_manuales!$H$35="Todos",datos_base!$K$12,0))*parametros_manuales!$E$112)*parametros_manuales!$I$35*parametros_manuales!$J$35</f>
        <v>22295.945</v>
      </c>
      <c r="F270" s="8">
        <f>(parametros_manuales!$D$35*(datos_base!$K$2+IF(parametros_manuales!$H$35="Todos",datos_base!$K$9,0))*parametros_manuales!$F$97+parametros_manuales!$E$35*(datos_base!$K$3+IF(parametros_manuales!$H$35="Todos",datos_base!$K$10,0))*parametros_manuales!$F$102+parametros_manuales!$F$35*(datos_base!$K$4+IF(parametros_manuales!$H$35="Todos",datos_base!$K$11,0))*parametros_manuales!$F$107+parametros_manuales!$G$35*(datos_base!$K$5+IF(parametros_manuales!$H$35="Todos",datos_base!$K$12,0))*parametros_manuales!$F$112)*parametros_manuales!$I$35*parametros_manuales!$J$35</f>
        <v>20865.23</v>
      </c>
      <c r="G270" s="8">
        <f>(parametros_manuales!$D$35*(datos_base!$K$2+IF(parametros_manuales!$H$35="Todos",datos_base!$K$9,0))*parametros_manuales!$G$97+parametros_manuales!$E$35*(datos_base!$K$3+IF(parametros_manuales!$H$35="Todos",datos_base!$K$10,0))*parametros_manuales!$G$102+parametros_manuales!$F$35*(datos_base!$K$4+IF(parametros_manuales!$H$35="Todos",datos_base!$K$11,0))*parametros_manuales!$G$107+parametros_manuales!$G$35*(datos_base!$K$5+IF(parametros_manuales!$H$35="Todos",datos_base!$K$12,0))*parametros_manuales!$G$112)*parametros_manuales!$I$35*parametros_manuales!$J$35</f>
        <v>20447.62</v>
      </c>
      <c r="H270" s="8">
        <f>(parametros_manuales!$D$35*(datos_base!$K$2+IF(parametros_manuales!$H$35="Todos",datos_base!$K$9,0))*parametros_manuales!$H$97+parametros_manuales!$E$35*(datos_base!$K$3+IF(parametros_manuales!$H$35="Todos",datos_base!$K$10,0))*parametros_manuales!$H$102+parametros_manuales!$F$35*(datos_base!$K$4+IF(parametros_manuales!$H$35="Todos",datos_base!$K$11,0))*parametros_manuales!$H$107+parametros_manuales!$G$35*(datos_base!$K$5+IF(parametros_manuales!$H$35="Todos",datos_base!$K$12,0))*parametros_manuales!$H$112)*parametros_manuales!$I$35*parametros_manuales!$J$35</f>
        <v>21878.335</v>
      </c>
      <c r="I270" s="8">
        <f>(parametros_manuales!$D$35*(datos_base!$K$2+IF(parametros_manuales!$H$35="Todos",datos_base!$K$9,0))*parametros_manuales!$I$97+parametros_manuales!$E$35*(datos_base!$K$3+IF(parametros_manuales!$H$35="Todos",datos_base!$K$10,0))*parametros_manuales!$I$102+parametros_manuales!$F$35*(datos_base!$K$4+IF(parametros_manuales!$H$35="Todos",datos_base!$K$11,0))*parametros_manuales!$I$107+parametros_manuales!$G$35*(datos_base!$K$5+IF(parametros_manuales!$H$35="Todos",datos_base!$K$12,0))*parametros_manuales!$I$112)*parametros_manuales!$I$35*parametros_manuales!$J$35</f>
        <v>24917.65</v>
      </c>
      <c r="J270" s="8">
        <f>(parametros_manuales!$D$35*(datos_base!$K$2+IF(parametros_manuales!$H$35="Todos",datos_base!$K$9,0))*parametros_manuales!$J$97+parametros_manuales!$E$35*(datos_base!$K$3+IF(parametros_manuales!$H$35="Todos",datos_base!$K$10,0))*parametros_manuales!$J$102+parametros_manuales!$F$35*(datos_base!$K$4+IF(parametros_manuales!$H$35="Todos",datos_base!$K$11,0))*parametros_manuales!$J$107+parametros_manuales!$G$35*(datos_base!$K$5+IF(parametros_manuales!$H$35="Todos",datos_base!$K$12,0))*parametros_manuales!$J$112)*parametros_manuales!$I$35*parametros_manuales!$J$35</f>
        <v>24917.65</v>
      </c>
      <c r="K270" s="8">
        <f>(parametros_manuales!$D$35*(datos_base!$K$2+IF(parametros_manuales!$H$35="Todos",datos_base!$K$9,0))*parametros_manuales!$K$97+parametros_manuales!$E$35*(datos_base!$K$3+IF(parametros_manuales!$H$35="Todos",datos_base!$K$10,0))*parametros_manuales!$K$102+parametros_manuales!$F$35*(datos_base!$K$4+IF(parametros_manuales!$H$35="Todos",datos_base!$K$11,0))*parametros_manuales!$K$107+parametros_manuales!$G$35*(datos_base!$K$5+IF(parametros_manuales!$H$35="Todos",datos_base!$K$12,0))*parametros_manuales!$K$112)*parametros_manuales!$I$35*parametros_manuales!$J$35</f>
        <v>25335.26</v>
      </c>
      <c r="L270" s="8">
        <f>(parametros_manuales!$D$35*(datos_base!$K$2+IF(parametros_manuales!$H$35="Todos",datos_base!$K$9,0))*parametros_manuales!$L$97+parametros_manuales!$E$35*(datos_base!$K$3+IF(parametros_manuales!$H$35="Todos",datos_base!$K$10,0))*parametros_manuales!$L$102+parametros_manuales!$F$35*(datos_base!$K$4+IF(parametros_manuales!$H$35="Todos",datos_base!$K$11,0))*parametros_manuales!$L$107+parametros_manuales!$G$35*(datos_base!$K$5+IF(parametros_manuales!$H$35="Todos",datos_base!$K$12,0))*parametros_manuales!$L$112)*parametros_manuales!$I$35*parametros_manuales!$J$35</f>
        <v>25752.87</v>
      </c>
      <c r="M270" s="8">
        <f>(parametros_manuales!$D$35*(datos_base!$K$2+IF(parametros_manuales!$H$35="Todos",datos_base!$K$9,0))*parametros_manuales!$M$97+parametros_manuales!$E$35*(datos_base!$K$3+IF(parametros_manuales!$H$35="Todos",datos_base!$K$10,0))*parametros_manuales!$M$102+parametros_manuales!$F$35*(datos_base!$K$4+IF(parametros_manuales!$H$35="Todos",datos_base!$K$11,0))*parametros_manuales!$M$107+parametros_manuales!$G$35*(datos_base!$K$5+IF(parametros_manuales!$H$35="Todos",datos_base!$K$12,0))*parametros_manuales!$M$112)*parametros_manuales!$I$35*parametros_manuales!$J$35</f>
        <v>25752.87</v>
      </c>
      <c r="N270" s="8">
        <f t="shared" si="28"/>
        <v>286143</v>
      </c>
      <c r="O270" s="8">
        <f t="shared" si="29"/>
        <v>25752.87</v>
      </c>
      <c r="P270" s="27">
        <f>O270/(parametros_manuales!$B$7)</f>
        <v>171.6858</v>
      </c>
      <c r="Q270" s="4" t="str">
        <f t="shared" si="30"/>
        <v>Ene</v>
      </c>
      <c r="R270" s="16"/>
      <c r="S270" s="16"/>
    </row>
    <row r="271" ht="14.25" customHeight="1">
      <c r="A271" s="4" t="str">
        <f>parametros_manuales!$B$36</f>
        <v>Detección de defectos</v>
      </c>
      <c r="B271" s="8">
        <f>(parametros_manuales!$D$36*(datos_base!$K$2+IF(parametros_manuales!$H$36="Todos",datos_base!$K$9,0))*parametros_manuales!$B$97+parametros_manuales!$E$36*(datos_base!$K$3+IF(parametros_manuales!$H$36="Todos",datos_base!$K$10,0))*parametros_manuales!$B$102+parametros_manuales!$F$36*(datos_base!$K$4+IF(parametros_manuales!$H$36="Todos",datos_base!$K$11,0))*parametros_manuales!$B$107+parametros_manuales!$G$36*(datos_base!$K$5+IF(parametros_manuales!$H$36="Todos",datos_base!$K$12,0))*parametros_manuales!$B$112)*parametros_manuales!$I$36*parametros_manuales!$J$36</f>
        <v>25752.87</v>
      </c>
      <c r="C271" s="8">
        <f>(parametros_manuales!$D$36*(datos_base!$K$2+IF(parametros_manuales!$H$36="Todos",datos_base!$K$9,0))*parametros_manuales!$C$97+parametros_manuales!$E$36*(datos_base!$K$3+IF(parametros_manuales!$H$36="Todos",datos_base!$K$10,0))*parametros_manuales!$C$102+parametros_manuales!$F$36*(datos_base!$K$4+IF(parametros_manuales!$H$36="Todos",datos_base!$K$11,0))*parametros_manuales!$C$107+parametros_manuales!$G$36*(datos_base!$K$5+IF(parametros_manuales!$H$36="Todos",datos_base!$K$12,0))*parametros_manuales!$C$112)*parametros_manuales!$I$36*parametros_manuales!$J$36</f>
        <v>24917.65</v>
      </c>
      <c r="D271" s="8">
        <f>(parametros_manuales!$D$36*(datos_base!$K$2+IF(parametros_manuales!$H$36="Todos",datos_base!$K$9,0))*parametros_manuales!$D$97+parametros_manuales!$E$36*(datos_base!$K$3+IF(parametros_manuales!$H$36="Todos",datos_base!$K$10,0))*parametros_manuales!$D$102+parametros_manuales!$F$36*(datos_base!$K$4+IF(parametros_manuales!$H$36="Todos",datos_base!$K$11,0))*parametros_manuales!$D$107+parametros_manuales!$G$36*(datos_base!$K$5+IF(parametros_manuales!$H$36="Todos",datos_base!$K$12,0))*parametros_manuales!$D$112)*parametros_manuales!$I$36*parametros_manuales!$J$36</f>
        <v>23309.05</v>
      </c>
      <c r="E271" s="8">
        <f>(parametros_manuales!$D$36*(datos_base!$K$2+IF(parametros_manuales!$H$36="Todos",datos_base!$K$9,0))*parametros_manuales!$E$97+parametros_manuales!$E$36*(datos_base!$K$3+IF(parametros_manuales!$H$36="Todos",datos_base!$K$10,0))*parametros_manuales!$E$102+parametros_manuales!$F$36*(datos_base!$K$4+IF(parametros_manuales!$H$36="Todos",datos_base!$K$11,0))*parametros_manuales!$E$107+parametros_manuales!$G$36*(datos_base!$K$5+IF(parametros_manuales!$H$36="Todos",datos_base!$K$12,0))*parametros_manuales!$E$112)*parametros_manuales!$I$36*parametros_manuales!$J$36</f>
        <v>22295.945</v>
      </c>
      <c r="F271" s="8">
        <f>(parametros_manuales!$D$36*(datos_base!$K$2+IF(parametros_manuales!$H$36="Todos",datos_base!$K$9,0))*parametros_manuales!$F$97+parametros_manuales!$E$36*(datos_base!$K$3+IF(parametros_manuales!$H$36="Todos",datos_base!$K$10,0))*parametros_manuales!$F$102+parametros_manuales!$F$36*(datos_base!$K$4+IF(parametros_manuales!$H$36="Todos",datos_base!$K$11,0))*parametros_manuales!$F$107+parametros_manuales!$G$36*(datos_base!$K$5+IF(parametros_manuales!$H$36="Todos",datos_base!$K$12,0))*parametros_manuales!$F$112)*parametros_manuales!$I$36*parametros_manuales!$J$36</f>
        <v>20865.23</v>
      </c>
      <c r="G271" s="8">
        <f>(parametros_manuales!$D$36*(datos_base!$K$2+IF(parametros_manuales!$H$36="Todos",datos_base!$K$9,0))*parametros_manuales!$G$97+parametros_manuales!$E$36*(datos_base!$K$3+IF(parametros_manuales!$H$36="Todos",datos_base!$K$10,0))*parametros_manuales!$G$102+parametros_manuales!$F$36*(datos_base!$K$4+IF(parametros_manuales!$H$36="Todos",datos_base!$K$11,0))*parametros_manuales!$G$107+parametros_manuales!$G$36*(datos_base!$K$5+IF(parametros_manuales!$H$36="Todos",datos_base!$K$12,0))*parametros_manuales!$G$112)*parametros_manuales!$I$36*parametros_manuales!$J$36</f>
        <v>20447.62</v>
      </c>
      <c r="H271" s="8">
        <f>(parametros_manuales!$D$36*(datos_base!$K$2+IF(parametros_manuales!$H$36="Todos",datos_base!$K$9,0))*parametros_manuales!$H$97+parametros_manuales!$E$36*(datos_base!$K$3+IF(parametros_manuales!$H$36="Todos",datos_base!$K$10,0))*parametros_manuales!$H$102+parametros_manuales!$F$36*(datos_base!$K$4+IF(parametros_manuales!$H$36="Todos",datos_base!$K$11,0))*parametros_manuales!$H$107+parametros_manuales!$G$36*(datos_base!$K$5+IF(parametros_manuales!$H$36="Todos",datos_base!$K$12,0))*parametros_manuales!$H$112)*parametros_manuales!$I$36*parametros_manuales!$J$36</f>
        <v>21878.335</v>
      </c>
      <c r="I271" s="8">
        <f>(parametros_manuales!$D$36*(datos_base!$K$2+IF(parametros_manuales!$H$36="Todos",datos_base!$K$9,0))*parametros_manuales!$I$97+parametros_manuales!$E$36*(datos_base!$K$3+IF(parametros_manuales!$H$36="Todos",datos_base!$K$10,0))*parametros_manuales!$I$102+parametros_manuales!$F$36*(datos_base!$K$4+IF(parametros_manuales!$H$36="Todos",datos_base!$K$11,0))*parametros_manuales!$I$107+parametros_manuales!$G$36*(datos_base!$K$5+IF(parametros_manuales!$H$36="Todos",datos_base!$K$12,0))*parametros_manuales!$I$112)*parametros_manuales!$I$36*parametros_manuales!$J$36</f>
        <v>24917.65</v>
      </c>
      <c r="J271" s="8">
        <f>(parametros_manuales!$D$36*(datos_base!$K$2+IF(parametros_manuales!$H$36="Todos",datos_base!$K$9,0))*parametros_manuales!$J$97+parametros_manuales!$E$36*(datos_base!$K$3+IF(parametros_manuales!$H$36="Todos",datos_base!$K$10,0))*parametros_manuales!$J$102+parametros_manuales!$F$36*(datos_base!$K$4+IF(parametros_manuales!$H$36="Todos",datos_base!$K$11,0))*parametros_manuales!$J$107+parametros_manuales!$G$36*(datos_base!$K$5+IF(parametros_manuales!$H$36="Todos",datos_base!$K$12,0))*parametros_manuales!$J$112)*parametros_manuales!$I$36*parametros_manuales!$J$36</f>
        <v>24917.65</v>
      </c>
      <c r="K271" s="8">
        <f>(parametros_manuales!$D$36*(datos_base!$K$2+IF(parametros_manuales!$H$36="Todos",datos_base!$K$9,0))*parametros_manuales!$K$97+parametros_manuales!$E$36*(datos_base!$K$3+IF(parametros_manuales!$H$36="Todos",datos_base!$K$10,0))*parametros_manuales!$K$102+parametros_manuales!$F$36*(datos_base!$K$4+IF(parametros_manuales!$H$36="Todos",datos_base!$K$11,0))*parametros_manuales!$K$107+parametros_manuales!$G$36*(datos_base!$K$5+IF(parametros_manuales!$H$36="Todos",datos_base!$K$12,0))*parametros_manuales!$K$112)*parametros_manuales!$I$36*parametros_manuales!$J$36</f>
        <v>25335.26</v>
      </c>
      <c r="L271" s="8">
        <f>(parametros_manuales!$D$36*(datos_base!$K$2+IF(parametros_manuales!$H$36="Todos",datos_base!$K$9,0))*parametros_manuales!$L$97+parametros_manuales!$E$36*(datos_base!$K$3+IF(parametros_manuales!$H$36="Todos",datos_base!$K$10,0))*parametros_manuales!$L$102+parametros_manuales!$F$36*(datos_base!$K$4+IF(parametros_manuales!$H$36="Todos",datos_base!$K$11,0))*parametros_manuales!$L$107+parametros_manuales!$G$36*(datos_base!$K$5+IF(parametros_manuales!$H$36="Todos",datos_base!$K$12,0))*parametros_manuales!$L$112)*parametros_manuales!$I$36*parametros_manuales!$J$36</f>
        <v>25752.87</v>
      </c>
      <c r="M271" s="8">
        <f>(parametros_manuales!$D$36*(datos_base!$K$2+IF(parametros_manuales!$H$36="Todos",datos_base!$K$9,0))*parametros_manuales!$M$97+parametros_manuales!$E$36*(datos_base!$K$3+IF(parametros_manuales!$H$36="Todos",datos_base!$K$10,0))*parametros_manuales!$M$102+parametros_manuales!$F$36*(datos_base!$K$4+IF(parametros_manuales!$H$36="Todos",datos_base!$K$11,0))*parametros_manuales!$M$107+parametros_manuales!$G$36*(datos_base!$K$5+IF(parametros_manuales!$H$36="Todos",datos_base!$K$12,0))*parametros_manuales!$M$112)*parametros_manuales!$I$36*parametros_manuales!$J$36</f>
        <v>25752.87</v>
      </c>
      <c r="N271" s="8">
        <f t="shared" si="28"/>
        <v>286143</v>
      </c>
      <c r="O271" s="8">
        <f t="shared" si="29"/>
        <v>25752.87</v>
      </c>
      <c r="P271" s="27">
        <f>O271/(parametros_manuales!$B$7)</f>
        <v>171.6858</v>
      </c>
      <c r="Q271" s="4" t="str">
        <f t="shared" si="30"/>
        <v>Ene</v>
      </c>
      <c r="R271" s="16"/>
      <c r="S271" s="16"/>
    </row>
    <row r="272" ht="14.25" customHeight="1">
      <c r="A272" s="4" t="str">
        <f>parametros_manuales!$B$37</f>
        <v>Corrección de defectos</v>
      </c>
      <c r="B272" s="8">
        <f>(parametros_manuales!$D$37*(datos_base!$K$2+IF(parametros_manuales!$H$37="Todos",datos_base!$K$9,0))*parametros_manuales!$B$97+parametros_manuales!$E$37*(datos_base!$K$3+IF(parametros_manuales!$H$37="Todos",datos_base!$K$10,0))*parametros_manuales!$B$102+parametros_manuales!$F$37*(datos_base!$K$4+IF(parametros_manuales!$H$37="Todos",datos_base!$K$11,0))*parametros_manuales!$B$107+parametros_manuales!$G$37*(datos_base!$K$5+IF(parametros_manuales!$H$37="Todos",datos_base!$K$12,0))*parametros_manuales!$B$112)*parametros_manuales!$I$37*parametros_manuales!$J$37</f>
        <v>1287.6435</v>
      </c>
      <c r="C272" s="8">
        <f>(parametros_manuales!$D$37*(datos_base!$K$2+IF(parametros_manuales!$H$37="Todos",datos_base!$K$9,0))*parametros_manuales!$C$97+parametros_manuales!$E$37*(datos_base!$K$3+IF(parametros_manuales!$H$37="Todos",datos_base!$K$10,0))*parametros_manuales!$C$102+parametros_manuales!$F$37*(datos_base!$K$4+IF(parametros_manuales!$H$37="Todos",datos_base!$K$11,0))*parametros_manuales!$C$107+parametros_manuales!$G$37*(datos_base!$K$5+IF(parametros_manuales!$H$37="Todos",datos_base!$K$12,0))*parametros_manuales!$C$112)*parametros_manuales!$I$37*parametros_manuales!$J$37</f>
        <v>1245.8825</v>
      </c>
      <c r="D272" s="8">
        <f>(parametros_manuales!$D$37*(datos_base!$K$2+IF(parametros_manuales!$H$37="Todos",datos_base!$K$9,0))*parametros_manuales!$D$97+parametros_manuales!$E$37*(datos_base!$K$3+IF(parametros_manuales!$H$37="Todos",datos_base!$K$10,0))*parametros_manuales!$D$102+parametros_manuales!$F$37*(datos_base!$K$4+IF(parametros_manuales!$H$37="Todos",datos_base!$K$11,0))*parametros_manuales!$D$107+parametros_manuales!$G$37*(datos_base!$K$5+IF(parametros_manuales!$H$37="Todos",datos_base!$K$12,0))*parametros_manuales!$D$112)*parametros_manuales!$I$37*parametros_manuales!$J$37</f>
        <v>1165.4525</v>
      </c>
      <c r="E272" s="8">
        <f>(parametros_manuales!$D$37*(datos_base!$K$2+IF(parametros_manuales!$H$37="Todos",datos_base!$K$9,0))*parametros_manuales!$E$97+parametros_manuales!$E$37*(datos_base!$K$3+IF(parametros_manuales!$H$37="Todos",datos_base!$K$10,0))*parametros_manuales!$E$102+parametros_manuales!$F$37*(datos_base!$K$4+IF(parametros_manuales!$H$37="Todos",datos_base!$K$11,0))*parametros_manuales!$E$107+parametros_manuales!$G$37*(datos_base!$K$5+IF(parametros_manuales!$H$37="Todos",datos_base!$K$12,0))*parametros_manuales!$E$112)*parametros_manuales!$I$37*parametros_manuales!$J$37</f>
        <v>1114.79725</v>
      </c>
      <c r="F272" s="8">
        <f>(parametros_manuales!$D$37*(datos_base!$K$2+IF(parametros_manuales!$H$37="Todos",datos_base!$K$9,0))*parametros_manuales!$F$97+parametros_manuales!$E$37*(datos_base!$K$3+IF(parametros_manuales!$H$37="Todos",datos_base!$K$10,0))*parametros_manuales!$F$102+parametros_manuales!$F$37*(datos_base!$K$4+IF(parametros_manuales!$H$37="Todos",datos_base!$K$11,0))*parametros_manuales!$F$107+parametros_manuales!$G$37*(datos_base!$K$5+IF(parametros_manuales!$H$37="Todos",datos_base!$K$12,0))*parametros_manuales!$F$112)*parametros_manuales!$I$37*parametros_manuales!$J$37</f>
        <v>1043.2615</v>
      </c>
      <c r="G272" s="8">
        <f>(parametros_manuales!$D$37*(datos_base!$K$2+IF(parametros_manuales!$H$37="Todos",datos_base!$K$9,0))*parametros_manuales!$G$97+parametros_manuales!$E$37*(datos_base!$K$3+IF(parametros_manuales!$H$37="Todos",datos_base!$K$10,0))*parametros_manuales!$G$102+parametros_manuales!$F$37*(datos_base!$K$4+IF(parametros_manuales!$H$37="Todos",datos_base!$K$11,0))*parametros_manuales!$G$107+parametros_manuales!$G$37*(datos_base!$K$5+IF(parametros_manuales!$H$37="Todos",datos_base!$K$12,0))*parametros_manuales!$G$112)*parametros_manuales!$I$37*parametros_manuales!$J$37</f>
        <v>1022.381</v>
      </c>
      <c r="H272" s="8">
        <f>(parametros_manuales!$D$37*(datos_base!$K$2+IF(parametros_manuales!$H$37="Todos",datos_base!$K$9,0))*parametros_manuales!$H$97+parametros_manuales!$E$37*(datos_base!$K$3+IF(parametros_manuales!$H$37="Todos",datos_base!$K$10,0))*parametros_manuales!$H$102+parametros_manuales!$F$37*(datos_base!$K$4+IF(parametros_manuales!$H$37="Todos",datos_base!$K$11,0))*parametros_manuales!$H$107+parametros_manuales!$G$37*(datos_base!$K$5+IF(parametros_manuales!$H$37="Todos",datos_base!$K$12,0))*parametros_manuales!$H$112)*parametros_manuales!$I$37*parametros_manuales!$J$37</f>
        <v>1093.91675</v>
      </c>
      <c r="I272" s="8">
        <f>(parametros_manuales!$D$37*(datos_base!$K$2+IF(parametros_manuales!$H$37="Todos",datos_base!$K$9,0))*parametros_manuales!$I$97+parametros_manuales!$E$37*(datos_base!$K$3+IF(parametros_manuales!$H$37="Todos",datos_base!$K$10,0))*parametros_manuales!$I$102+parametros_manuales!$F$37*(datos_base!$K$4+IF(parametros_manuales!$H$37="Todos",datos_base!$K$11,0))*parametros_manuales!$I$107+parametros_manuales!$G$37*(datos_base!$K$5+IF(parametros_manuales!$H$37="Todos",datos_base!$K$12,0))*parametros_manuales!$I$112)*parametros_manuales!$I$37*parametros_manuales!$J$37</f>
        <v>1245.8825</v>
      </c>
      <c r="J272" s="8">
        <f>(parametros_manuales!$D$37*(datos_base!$K$2+IF(parametros_manuales!$H$37="Todos",datos_base!$K$9,0))*parametros_manuales!$J$97+parametros_manuales!$E$37*(datos_base!$K$3+IF(parametros_manuales!$H$37="Todos",datos_base!$K$10,0))*parametros_manuales!$J$102+parametros_manuales!$F$37*(datos_base!$K$4+IF(parametros_manuales!$H$37="Todos",datos_base!$K$11,0))*parametros_manuales!$J$107+parametros_manuales!$G$37*(datos_base!$K$5+IF(parametros_manuales!$H$37="Todos",datos_base!$K$12,0))*parametros_manuales!$J$112)*parametros_manuales!$I$37*parametros_manuales!$J$37</f>
        <v>1245.8825</v>
      </c>
      <c r="K272" s="8">
        <f>(parametros_manuales!$D$37*(datos_base!$K$2+IF(parametros_manuales!$H$37="Todos",datos_base!$K$9,0))*parametros_manuales!$K$97+parametros_manuales!$E$37*(datos_base!$K$3+IF(parametros_manuales!$H$37="Todos",datos_base!$K$10,0))*parametros_manuales!$K$102+parametros_manuales!$F$37*(datos_base!$K$4+IF(parametros_manuales!$H$37="Todos",datos_base!$K$11,0))*parametros_manuales!$K$107+parametros_manuales!$G$37*(datos_base!$K$5+IF(parametros_manuales!$H$37="Todos",datos_base!$K$12,0))*parametros_manuales!$K$112)*parametros_manuales!$I$37*parametros_manuales!$J$37</f>
        <v>1266.763</v>
      </c>
      <c r="L272" s="8">
        <f>(parametros_manuales!$D$37*(datos_base!$K$2+IF(parametros_manuales!$H$37="Todos",datos_base!$K$9,0))*parametros_manuales!$L$97+parametros_manuales!$E$37*(datos_base!$K$3+IF(parametros_manuales!$H$37="Todos",datos_base!$K$10,0))*parametros_manuales!$L$102+parametros_manuales!$F$37*(datos_base!$K$4+IF(parametros_manuales!$H$37="Todos",datos_base!$K$11,0))*parametros_manuales!$L$107+parametros_manuales!$G$37*(datos_base!$K$5+IF(parametros_manuales!$H$37="Todos",datos_base!$K$12,0))*parametros_manuales!$L$112)*parametros_manuales!$I$37*parametros_manuales!$J$37</f>
        <v>1287.6435</v>
      </c>
      <c r="M272" s="8">
        <f>(parametros_manuales!$D$37*(datos_base!$K$2+IF(parametros_manuales!$H$37="Todos",datos_base!$K$9,0))*parametros_manuales!$M$97+parametros_manuales!$E$37*(datos_base!$K$3+IF(parametros_manuales!$H$37="Todos",datos_base!$K$10,0))*parametros_manuales!$M$102+parametros_manuales!$F$37*(datos_base!$K$4+IF(parametros_manuales!$H$37="Todos",datos_base!$K$11,0))*parametros_manuales!$M$107+parametros_manuales!$G$37*(datos_base!$K$5+IF(parametros_manuales!$H$37="Todos",datos_base!$K$12,0))*parametros_manuales!$M$112)*parametros_manuales!$I$37*parametros_manuales!$J$37</f>
        <v>1287.6435</v>
      </c>
      <c r="N272" s="8">
        <f t="shared" si="28"/>
        <v>14307.15</v>
      </c>
      <c r="O272" s="8">
        <f t="shared" si="29"/>
        <v>1287.6435</v>
      </c>
      <c r="P272" s="27">
        <f>O272/(parametros_manuales!$B$7)</f>
        <v>8.58429</v>
      </c>
      <c r="Q272" s="4" t="str">
        <f t="shared" si="30"/>
        <v>Ene</v>
      </c>
      <c r="R272" s="16"/>
      <c r="S272" s="16"/>
    </row>
    <row r="273" ht="14.25" customHeight="1">
      <c r="A273" s="4" t="str">
        <f>parametros_manuales!$B$38</f>
        <v>Pintura en polvo + horno</v>
      </c>
      <c r="B273" s="8">
        <f>(parametros_manuales!$D$38*(datos_base!$K$2+IF(parametros_manuales!$H$38="Todos",datos_base!$K$9,0))*parametros_manuales!$B$97+parametros_manuales!$E$38*(datos_base!$K$3+IF(parametros_manuales!$H$38="Todos",datos_base!$K$10,0))*parametros_manuales!$B$102+parametros_manuales!$F$38*(datos_base!$K$4+IF(parametros_manuales!$H$38="Todos",datos_base!$K$11,0))*parametros_manuales!$B$107+parametros_manuales!$G$38*(datos_base!$K$5+IF(parametros_manuales!$H$38="Todos",datos_base!$K$12,0))*parametros_manuales!$B$112)*parametros_manuales!$I$38*parametros_manuales!$J$38</f>
        <v>25752.87</v>
      </c>
      <c r="C273" s="8">
        <f>(parametros_manuales!$D$38*(datos_base!$K$2+IF(parametros_manuales!$H$38="Todos",datos_base!$K$9,0))*parametros_manuales!$C$97+parametros_manuales!$E$38*(datos_base!$K$3+IF(parametros_manuales!$H$38="Todos",datos_base!$K$10,0))*parametros_manuales!$C$102+parametros_manuales!$F$38*(datos_base!$K$4+IF(parametros_manuales!$H$38="Todos",datos_base!$K$11,0))*parametros_manuales!$C$107+parametros_manuales!$G$38*(datos_base!$K$5+IF(parametros_manuales!$H$38="Todos",datos_base!$K$12,0))*parametros_manuales!$C$112)*parametros_manuales!$I$38*parametros_manuales!$J$38</f>
        <v>24917.65</v>
      </c>
      <c r="D273" s="8">
        <f>(parametros_manuales!$D$38*(datos_base!$K$2+IF(parametros_manuales!$H$38="Todos",datos_base!$K$9,0))*parametros_manuales!$D$97+parametros_manuales!$E$38*(datos_base!$K$3+IF(parametros_manuales!$H$38="Todos",datos_base!$K$10,0))*parametros_manuales!$D$102+parametros_manuales!$F$38*(datos_base!$K$4+IF(parametros_manuales!$H$38="Todos",datos_base!$K$11,0))*parametros_manuales!$D$107+parametros_manuales!$G$38*(datos_base!$K$5+IF(parametros_manuales!$H$38="Todos",datos_base!$K$12,0))*parametros_manuales!$D$112)*parametros_manuales!$I$38*parametros_manuales!$J$38</f>
        <v>23309.05</v>
      </c>
      <c r="E273" s="8">
        <f>(parametros_manuales!$D$38*(datos_base!$K$2+IF(parametros_manuales!$H$38="Todos",datos_base!$K$9,0))*parametros_manuales!$E$97+parametros_manuales!$E$38*(datos_base!$K$3+IF(parametros_manuales!$H$38="Todos",datos_base!$K$10,0))*parametros_manuales!$E$102+parametros_manuales!$F$38*(datos_base!$K$4+IF(parametros_manuales!$H$38="Todos",datos_base!$K$11,0))*parametros_manuales!$E$107+parametros_manuales!$G$38*(datos_base!$K$5+IF(parametros_manuales!$H$38="Todos",datos_base!$K$12,0))*parametros_manuales!$E$112)*parametros_manuales!$I$38*parametros_manuales!$J$38</f>
        <v>22295.945</v>
      </c>
      <c r="F273" s="8">
        <f>(parametros_manuales!$D$38*(datos_base!$K$2+IF(parametros_manuales!$H$38="Todos",datos_base!$K$9,0))*parametros_manuales!$F$97+parametros_manuales!$E$38*(datos_base!$K$3+IF(parametros_manuales!$H$38="Todos",datos_base!$K$10,0))*parametros_manuales!$F$102+parametros_manuales!$F$38*(datos_base!$K$4+IF(parametros_manuales!$H$38="Todos",datos_base!$K$11,0))*parametros_manuales!$F$107+parametros_manuales!$G$38*(datos_base!$K$5+IF(parametros_manuales!$H$38="Todos",datos_base!$K$12,0))*parametros_manuales!$F$112)*parametros_manuales!$I$38*parametros_manuales!$J$38</f>
        <v>20865.23</v>
      </c>
      <c r="G273" s="8">
        <f>(parametros_manuales!$D$38*(datos_base!$K$2+IF(parametros_manuales!$H$38="Todos",datos_base!$K$9,0))*parametros_manuales!$G$97+parametros_manuales!$E$38*(datos_base!$K$3+IF(parametros_manuales!$H$38="Todos",datos_base!$K$10,0))*parametros_manuales!$G$102+parametros_manuales!$F$38*(datos_base!$K$4+IF(parametros_manuales!$H$38="Todos",datos_base!$K$11,0))*parametros_manuales!$G$107+parametros_manuales!$G$38*(datos_base!$K$5+IF(parametros_manuales!$H$38="Todos",datos_base!$K$12,0))*parametros_manuales!$G$112)*parametros_manuales!$I$38*parametros_manuales!$J$38</f>
        <v>20447.62</v>
      </c>
      <c r="H273" s="8">
        <f>(parametros_manuales!$D$38*(datos_base!$K$2+IF(parametros_manuales!$H$38="Todos",datos_base!$K$9,0))*parametros_manuales!$H$97+parametros_manuales!$E$38*(datos_base!$K$3+IF(parametros_manuales!$H$38="Todos",datos_base!$K$10,0))*parametros_manuales!$H$102+parametros_manuales!$F$38*(datos_base!$K$4+IF(parametros_manuales!$H$38="Todos",datos_base!$K$11,0))*parametros_manuales!$H$107+parametros_manuales!$G$38*(datos_base!$K$5+IF(parametros_manuales!$H$38="Todos",datos_base!$K$12,0))*parametros_manuales!$H$112)*parametros_manuales!$I$38*parametros_manuales!$J$38</f>
        <v>21878.335</v>
      </c>
      <c r="I273" s="8">
        <f>(parametros_manuales!$D$38*(datos_base!$K$2+IF(parametros_manuales!$H$38="Todos",datos_base!$K$9,0))*parametros_manuales!$I$97+parametros_manuales!$E$38*(datos_base!$K$3+IF(parametros_manuales!$H$38="Todos",datos_base!$K$10,0))*parametros_manuales!$I$102+parametros_manuales!$F$38*(datos_base!$K$4+IF(parametros_manuales!$H$38="Todos",datos_base!$K$11,0))*parametros_manuales!$I$107+parametros_manuales!$G$38*(datos_base!$K$5+IF(parametros_manuales!$H$38="Todos",datos_base!$K$12,0))*parametros_manuales!$I$112)*parametros_manuales!$I$38*parametros_manuales!$J$38</f>
        <v>24917.65</v>
      </c>
      <c r="J273" s="8">
        <f>(parametros_manuales!$D$38*(datos_base!$K$2+IF(parametros_manuales!$H$38="Todos",datos_base!$K$9,0))*parametros_manuales!$J$97+parametros_manuales!$E$38*(datos_base!$K$3+IF(parametros_manuales!$H$38="Todos",datos_base!$K$10,0))*parametros_manuales!$J$102+parametros_manuales!$F$38*(datos_base!$K$4+IF(parametros_manuales!$H$38="Todos",datos_base!$K$11,0))*parametros_manuales!$J$107+parametros_manuales!$G$38*(datos_base!$K$5+IF(parametros_manuales!$H$38="Todos",datos_base!$K$12,0))*parametros_manuales!$J$112)*parametros_manuales!$I$38*parametros_manuales!$J$38</f>
        <v>24917.65</v>
      </c>
      <c r="K273" s="8">
        <f>(parametros_manuales!$D$38*(datos_base!$K$2+IF(parametros_manuales!$H$38="Todos",datos_base!$K$9,0))*parametros_manuales!$K$97+parametros_manuales!$E$38*(datos_base!$K$3+IF(parametros_manuales!$H$38="Todos",datos_base!$K$10,0))*parametros_manuales!$K$102+parametros_manuales!$F$38*(datos_base!$K$4+IF(parametros_manuales!$H$38="Todos",datos_base!$K$11,0))*parametros_manuales!$K$107+parametros_manuales!$G$38*(datos_base!$K$5+IF(parametros_manuales!$H$38="Todos",datos_base!$K$12,0))*parametros_manuales!$K$112)*parametros_manuales!$I$38*parametros_manuales!$J$38</f>
        <v>25335.26</v>
      </c>
      <c r="L273" s="8">
        <f>(parametros_manuales!$D$38*(datos_base!$K$2+IF(parametros_manuales!$H$38="Todos",datos_base!$K$9,0))*parametros_manuales!$L$97+parametros_manuales!$E$38*(datos_base!$K$3+IF(parametros_manuales!$H$38="Todos",datos_base!$K$10,0))*parametros_manuales!$L$102+parametros_manuales!$F$38*(datos_base!$K$4+IF(parametros_manuales!$H$38="Todos",datos_base!$K$11,0))*parametros_manuales!$L$107+parametros_manuales!$G$38*(datos_base!$K$5+IF(parametros_manuales!$H$38="Todos",datos_base!$K$12,0))*parametros_manuales!$L$112)*parametros_manuales!$I$38*parametros_manuales!$J$38</f>
        <v>25752.87</v>
      </c>
      <c r="M273" s="8">
        <f>(parametros_manuales!$D$38*(datos_base!$K$2+IF(parametros_manuales!$H$38="Todos",datos_base!$K$9,0))*parametros_manuales!$M$97+parametros_manuales!$E$38*(datos_base!$K$3+IF(parametros_manuales!$H$38="Todos",datos_base!$K$10,0))*parametros_manuales!$M$102+parametros_manuales!$F$38*(datos_base!$K$4+IF(parametros_manuales!$H$38="Todos",datos_base!$K$11,0))*parametros_manuales!$M$107+parametros_manuales!$G$38*(datos_base!$K$5+IF(parametros_manuales!$H$38="Todos",datos_base!$K$12,0))*parametros_manuales!$M$112)*parametros_manuales!$I$38*parametros_manuales!$J$38</f>
        <v>25752.87</v>
      </c>
      <c r="N273" s="8">
        <f t="shared" si="28"/>
        <v>286143</v>
      </c>
      <c r="O273" s="8">
        <f t="shared" si="29"/>
        <v>25752.87</v>
      </c>
      <c r="P273" s="27">
        <f>O273/(parametros_manuales!$B$7)</f>
        <v>171.6858</v>
      </c>
      <c r="Q273" s="4" t="str">
        <f t="shared" si="30"/>
        <v>Ene</v>
      </c>
      <c r="R273" s="16"/>
      <c r="S273" s="16"/>
    </row>
    <row r="274" ht="14.25" customHeight="1">
      <c r="A274" s="4" t="str">
        <f>parametros_manuales!$B$39</f>
        <v>Carga de polvo</v>
      </c>
      <c r="B274" s="8">
        <f>(parametros_manuales!$D$39*(datos_base!$K$2+IF(parametros_manuales!$H$39="Todos",datos_base!$K$9,0))*parametros_manuales!$B$97+parametros_manuales!$E$39*(datos_base!$K$3+IF(parametros_manuales!$H$39="Todos",datos_base!$K$10,0))*parametros_manuales!$B$102+parametros_manuales!$F$39*(datos_base!$K$4+IF(parametros_manuales!$H$39="Todos",datos_base!$K$11,0))*parametros_manuales!$B$107+parametros_manuales!$G$39*(datos_base!$K$5+IF(parametros_manuales!$H$39="Todos",datos_base!$K$12,0))*parametros_manuales!$B$112)*parametros_manuales!$I$39*parametros_manuales!$J$39</f>
        <v>6549.75</v>
      </c>
      <c r="C274" s="8">
        <f>(parametros_manuales!$D$39*(datos_base!$K$2+IF(parametros_manuales!$H$39="Todos",datos_base!$K$9,0))*parametros_manuales!$C$97+parametros_manuales!$E$39*(datos_base!$K$3+IF(parametros_manuales!$H$39="Todos",datos_base!$K$10,0))*parametros_manuales!$C$102+parametros_manuales!$F$39*(datos_base!$K$4+IF(parametros_manuales!$H$39="Todos",datos_base!$K$11,0))*parametros_manuales!$C$107+parametros_manuales!$G$39*(datos_base!$K$5+IF(parametros_manuales!$H$39="Todos",datos_base!$K$12,0))*parametros_manuales!$C$112)*parametros_manuales!$I$39*parametros_manuales!$J$39</f>
        <v>6142.73</v>
      </c>
      <c r="D274" s="8">
        <f>(parametros_manuales!$D$39*(datos_base!$K$2+IF(parametros_manuales!$H$39="Todos",datos_base!$K$9,0))*parametros_manuales!$D$97+parametros_manuales!$E$39*(datos_base!$K$3+IF(parametros_manuales!$H$39="Todos",datos_base!$K$10,0))*parametros_manuales!$D$102+parametros_manuales!$F$39*(datos_base!$K$4+IF(parametros_manuales!$H$39="Todos",datos_base!$K$11,0))*parametros_manuales!$D$107+parametros_manuales!$G$39*(datos_base!$K$5+IF(parametros_manuales!$H$39="Todos",datos_base!$K$12,0))*parametros_manuales!$D$112)*parametros_manuales!$I$39*parametros_manuales!$J$39</f>
        <v>6025.51</v>
      </c>
      <c r="E274" s="8">
        <f>(parametros_manuales!$D$39*(datos_base!$K$2+IF(parametros_manuales!$H$39="Todos",datos_base!$K$9,0))*parametros_manuales!$E$97+parametros_manuales!$E$39*(datos_base!$K$3+IF(parametros_manuales!$H$39="Todos",datos_base!$K$10,0))*parametros_manuales!$E$102+parametros_manuales!$F$39*(datos_base!$K$4+IF(parametros_manuales!$H$39="Todos",datos_base!$K$11,0))*parametros_manuales!$E$107+parametros_manuales!$G$39*(datos_base!$K$5+IF(parametros_manuales!$H$39="Todos",datos_base!$K$12,0))*parametros_manuales!$E$112)*parametros_manuales!$I$39*parametros_manuales!$J$39</f>
        <v>5865.145</v>
      </c>
      <c r="F274" s="8">
        <f>(parametros_manuales!$D$39*(datos_base!$K$2+IF(parametros_manuales!$H$39="Todos",datos_base!$K$9,0))*parametros_manuales!$F$97+parametros_manuales!$E$39*(datos_base!$K$3+IF(parametros_manuales!$H$39="Todos",datos_base!$K$10,0))*parametros_manuales!$F$102+parametros_manuales!$F$39*(datos_base!$K$4+IF(parametros_manuales!$H$39="Todos",datos_base!$K$11,0))*parametros_manuales!$F$107+parametros_manuales!$G$39*(datos_base!$K$5+IF(parametros_manuales!$H$39="Todos",datos_base!$K$12,0))*parametros_manuales!$F$112)*parametros_manuales!$I$39*parametros_manuales!$J$39</f>
        <v>5501.27</v>
      </c>
      <c r="G274" s="8">
        <f>(parametros_manuales!$D$39*(datos_base!$K$2+IF(parametros_manuales!$H$39="Todos",datos_base!$K$9,0))*parametros_manuales!$G$97+parametros_manuales!$E$39*(datos_base!$K$3+IF(parametros_manuales!$H$39="Todos",datos_base!$K$10,0))*parametros_manuales!$G$102+parametros_manuales!$F$39*(datos_base!$K$4+IF(parametros_manuales!$H$39="Todos",datos_base!$K$11,0))*parametros_manuales!$G$107+parametros_manuales!$G$39*(datos_base!$K$5+IF(parametros_manuales!$H$39="Todos",datos_base!$K$12,0))*parametros_manuales!$G$112)*parametros_manuales!$I$39*parametros_manuales!$J$39</f>
        <v>5297.76</v>
      </c>
      <c r="H274" s="8">
        <f>(parametros_manuales!$D$39*(datos_base!$K$2+IF(parametros_manuales!$H$39="Todos",datos_base!$K$9,0))*parametros_manuales!$H$97+parametros_manuales!$E$39*(datos_base!$K$3+IF(parametros_manuales!$H$39="Todos",datos_base!$K$10,0))*parametros_manuales!$H$102+parametros_manuales!$F$39*(datos_base!$K$4+IF(parametros_manuales!$H$39="Todos",datos_base!$K$11,0))*parametros_manuales!$H$107+parametros_manuales!$G$39*(datos_base!$K$5+IF(parametros_manuales!$H$39="Todos",datos_base!$K$12,0))*parametros_manuales!$H$112)*parametros_manuales!$I$39*parametros_manuales!$J$39</f>
        <v>5661.635</v>
      </c>
      <c r="I274" s="8">
        <f>(parametros_manuales!$D$39*(datos_base!$K$2+IF(parametros_manuales!$H$39="Todos",datos_base!$K$9,0))*parametros_manuales!$I$97+parametros_manuales!$E$39*(datos_base!$K$3+IF(parametros_manuales!$H$39="Todos",datos_base!$K$10,0))*parametros_manuales!$I$102+parametros_manuales!$F$39*(datos_base!$K$4+IF(parametros_manuales!$H$39="Todos",datos_base!$K$11,0))*parametros_manuales!$I$107+parametros_manuales!$G$39*(datos_base!$K$5+IF(parametros_manuales!$H$39="Todos",datos_base!$K$12,0))*parametros_manuales!$I$112)*parametros_manuales!$I$39*parametros_manuales!$J$39</f>
        <v>6142.73</v>
      </c>
      <c r="J274" s="8">
        <f>(parametros_manuales!$D$39*(datos_base!$K$2+IF(parametros_manuales!$H$39="Todos",datos_base!$K$9,0))*parametros_manuales!$J$97+parametros_manuales!$E$39*(datos_base!$K$3+IF(parametros_manuales!$H$39="Todos",datos_base!$K$10,0))*parametros_manuales!$J$102+parametros_manuales!$F$39*(datos_base!$K$4+IF(parametros_manuales!$H$39="Todos",datos_base!$K$11,0))*parametros_manuales!$J$107+parametros_manuales!$G$39*(datos_base!$K$5+IF(parametros_manuales!$H$39="Todos",datos_base!$K$12,0))*parametros_manuales!$J$112)*parametros_manuales!$I$39*parametros_manuales!$J$39</f>
        <v>6142.73</v>
      </c>
      <c r="K274" s="8">
        <f>(parametros_manuales!$D$39*(datos_base!$K$2+IF(parametros_manuales!$H$39="Todos",datos_base!$K$9,0))*parametros_manuales!$K$97+parametros_manuales!$E$39*(datos_base!$K$3+IF(parametros_manuales!$H$39="Todos",datos_base!$K$10,0))*parametros_manuales!$K$102+parametros_manuales!$F$39*(datos_base!$K$4+IF(parametros_manuales!$H$39="Todos",datos_base!$K$11,0))*parametros_manuales!$K$107+parametros_manuales!$G$39*(datos_base!$K$5+IF(parametros_manuales!$H$39="Todos",datos_base!$K$12,0))*parametros_manuales!$K$112)*parametros_manuales!$I$39*parametros_manuales!$J$39</f>
        <v>6346.24</v>
      </c>
      <c r="L274" s="8">
        <f>(parametros_manuales!$D$39*(datos_base!$K$2+IF(parametros_manuales!$H$39="Todos",datos_base!$K$9,0))*parametros_manuales!$L$97+parametros_manuales!$E$39*(datos_base!$K$3+IF(parametros_manuales!$H$39="Todos",datos_base!$K$10,0))*parametros_manuales!$L$102+parametros_manuales!$F$39*(datos_base!$K$4+IF(parametros_manuales!$H$39="Todos",datos_base!$K$11,0))*parametros_manuales!$L$107+parametros_manuales!$G$39*(datos_base!$K$5+IF(parametros_manuales!$H$39="Todos",datos_base!$K$12,0))*parametros_manuales!$L$112)*parametros_manuales!$I$39*parametros_manuales!$J$39</f>
        <v>6549.75</v>
      </c>
      <c r="M274" s="8">
        <f>(parametros_manuales!$D$39*(datos_base!$K$2+IF(parametros_manuales!$H$39="Todos",datos_base!$K$9,0))*parametros_manuales!$M$97+parametros_manuales!$E$39*(datos_base!$K$3+IF(parametros_manuales!$H$39="Todos",datos_base!$K$10,0))*parametros_manuales!$M$102+parametros_manuales!$F$39*(datos_base!$K$4+IF(parametros_manuales!$H$39="Todos",datos_base!$K$11,0))*parametros_manuales!$M$107+parametros_manuales!$G$39*(datos_base!$K$5+IF(parametros_manuales!$H$39="Todos",datos_base!$K$12,0))*parametros_manuales!$M$112)*parametros_manuales!$I$39*parametros_manuales!$J$39</f>
        <v>6549.75</v>
      </c>
      <c r="N274" s="8">
        <f t="shared" si="28"/>
        <v>72775</v>
      </c>
      <c r="O274" s="8">
        <f t="shared" si="29"/>
        <v>6549.75</v>
      </c>
      <c r="P274" s="27">
        <f>O274/(parametros_manuales!$B$7)</f>
        <v>43.665</v>
      </c>
      <c r="Q274" s="4" t="str">
        <f t="shared" si="30"/>
        <v>Ene</v>
      </c>
      <c r="R274" s="16"/>
      <c r="S274" s="16"/>
    </row>
    <row r="275" ht="14.25" customHeight="1">
      <c r="A275" s="4" t="str">
        <f>parametros_manuales!$B$40</f>
        <v>Ensamblaje</v>
      </c>
      <c r="B275" s="8">
        <f>(parametros_manuales!$D$40*(datos_base!$K$2+IF(parametros_manuales!$H$40="Todos",datos_base!$K$9,0))*parametros_manuales!$B$97+parametros_manuales!$E$40*(datos_base!$K$3+IF(parametros_manuales!$H$40="Todos",datos_base!$K$10,0))*parametros_manuales!$B$102+parametros_manuales!$F$40*(datos_base!$K$4+IF(parametros_manuales!$H$40="Todos",datos_base!$K$11,0))*parametros_manuales!$B$107+parametros_manuales!$G$40*(datos_base!$K$5+IF(parametros_manuales!$H$40="Todos",datos_base!$K$12,0))*parametros_manuales!$B$112)*parametros_manuales!$I$40*parametros_manuales!$J$40</f>
        <v>6549.75</v>
      </c>
      <c r="C275" s="8">
        <f>(parametros_manuales!$D$40*(datos_base!$K$2+IF(parametros_manuales!$H$40="Todos",datos_base!$K$9,0))*parametros_manuales!$C$97+parametros_manuales!$E$40*(datos_base!$K$3+IF(parametros_manuales!$H$40="Todos",datos_base!$K$10,0))*parametros_manuales!$C$102+parametros_manuales!$F$40*(datos_base!$K$4+IF(parametros_manuales!$H$40="Todos",datos_base!$K$11,0))*parametros_manuales!$C$107+parametros_manuales!$G$40*(datos_base!$K$5+IF(parametros_manuales!$H$40="Todos",datos_base!$K$12,0))*parametros_manuales!$C$112)*parametros_manuales!$I$40*parametros_manuales!$J$40</f>
        <v>6142.73</v>
      </c>
      <c r="D275" s="8">
        <f>(parametros_manuales!$D$40*(datos_base!$K$2+IF(parametros_manuales!$H$40="Todos",datos_base!$K$9,0))*parametros_manuales!$D$97+parametros_manuales!$E$40*(datos_base!$K$3+IF(parametros_manuales!$H$40="Todos",datos_base!$K$10,0))*parametros_manuales!$D$102+parametros_manuales!$F$40*(datos_base!$K$4+IF(parametros_manuales!$H$40="Todos",datos_base!$K$11,0))*parametros_manuales!$D$107+parametros_manuales!$G$40*(datos_base!$K$5+IF(parametros_manuales!$H$40="Todos",datos_base!$K$12,0))*parametros_manuales!$D$112)*parametros_manuales!$I$40*parametros_manuales!$J$40</f>
        <v>6025.51</v>
      </c>
      <c r="E275" s="8">
        <f>(parametros_manuales!$D$40*(datos_base!$K$2+IF(parametros_manuales!$H$40="Todos",datos_base!$K$9,0))*parametros_manuales!$E$97+parametros_manuales!$E$40*(datos_base!$K$3+IF(parametros_manuales!$H$40="Todos",datos_base!$K$10,0))*parametros_manuales!$E$102+parametros_manuales!$F$40*(datos_base!$K$4+IF(parametros_manuales!$H$40="Todos",datos_base!$K$11,0))*parametros_manuales!$E$107+parametros_manuales!$G$40*(datos_base!$K$5+IF(parametros_manuales!$H$40="Todos",datos_base!$K$12,0))*parametros_manuales!$E$112)*parametros_manuales!$I$40*parametros_manuales!$J$40</f>
        <v>5865.145</v>
      </c>
      <c r="F275" s="8">
        <f>(parametros_manuales!$D$40*(datos_base!$K$2+IF(parametros_manuales!$H$40="Todos",datos_base!$K$9,0))*parametros_manuales!$F$97+parametros_manuales!$E$40*(datos_base!$K$3+IF(parametros_manuales!$H$40="Todos",datos_base!$K$10,0))*parametros_manuales!$F$102+parametros_manuales!$F$40*(datos_base!$K$4+IF(parametros_manuales!$H$40="Todos",datos_base!$K$11,0))*parametros_manuales!$F$107+parametros_manuales!$G$40*(datos_base!$K$5+IF(parametros_manuales!$H$40="Todos",datos_base!$K$12,0))*parametros_manuales!$F$112)*parametros_manuales!$I$40*parametros_manuales!$J$40</f>
        <v>5501.27</v>
      </c>
      <c r="G275" s="8">
        <f>(parametros_manuales!$D$40*(datos_base!$K$2+IF(parametros_manuales!$H$40="Todos",datos_base!$K$9,0))*parametros_manuales!$G$97+parametros_manuales!$E$40*(datos_base!$K$3+IF(parametros_manuales!$H$40="Todos",datos_base!$K$10,0))*parametros_manuales!$G$102+parametros_manuales!$F$40*(datos_base!$K$4+IF(parametros_manuales!$H$40="Todos",datos_base!$K$11,0))*parametros_manuales!$G$107+parametros_manuales!$G$40*(datos_base!$K$5+IF(parametros_manuales!$H$40="Todos",datos_base!$K$12,0))*parametros_manuales!$G$112)*parametros_manuales!$I$40*parametros_manuales!$J$40</f>
        <v>5297.76</v>
      </c>
      <c r="H275" s="8">
        <f>(parametros_manuales!$D$40*(datos_base!$K$2+IF(parametros_manuales!$H$40="Todos",datos_base!$K$9,0))*parametros_manuales!$H$97+parametros_manuales!$E$40*(datos_base!$K$3+IF(parametros_manuales!$H$40="Todos",datos_base!$K$10,0))*parametros_manuales!$H$102+parametros_manuales!$F$40*(datos_base!$K$4+IF(parametros_manuales!$H$40="Todos",datos_base!$K$11,0))*parametros_manuales!$H$107+parametros_manuales!$G$40*(datos_base!$K$5+IF(parametros_manuales!$H$40="Todos",datos_base!$K$12,0))*parametros_manuales!$H$112)*parametros_manuales!$I$40*parametros_manuales!$J$40</f>
        <v>5661.635</v>
      </c>
      <c r="I275" s="8">
        <f>(parametros_manuales!$D$40*(datos_base!$K$2+IF(parametros_manuales!$H$40="Todos",datos_base!$K$9,0))*parametros_manuales!$I$97+parametros_manuales!$E$40*(datos_base!$K$3+IF(parametros_manuales!$H$40="Todos",datos_base!$K$10,0))*parametros_manuales!$I$102+parametros_manuales!$F$40*(datos_base!$K$4+IF(parametros_manuales!$H$40="Todos",datos_base!$K$11,0))*parametros_manuales!$I$107+parametros_manuales!$G$40*(datos_base!$K$5+IF(parametros_manuales!$H$40="Todos",datos_base!$K$12,0))*parametros_manuales!$I$112)*parametros_manuales!$I$40*parametros_manuales!$J$40</f>
        <v>6142.73</v>
      </c>
      <c r="J275" s="8">
        <f>(parametros_manuales!$D$40*(datos_base!$K$2+IF(parametros_manuales!$H$40="Todos",datos_base!$K$9,0))*parametros_manuales!$J$97+parametros_manuales!$E$40*(datos_base!$K$3+IF(parametros_manuales!$H$40="Todos",datos_base!$K$10,0))*parametros_manuales!$J$102+parametros_manuales!$F$40*(datos_base!$K$4+IF(parametros_manuales!$H$40="Todos",datos_base!$K$11,0))*parametros_manuales!$J$107+parametros_manuales!$G$40*(datos_base!$K$5+IF(parametros_manuales!$H$40="Todos",datos_base!$K$12,0))*parametros_manuales!$J$112)*parametros_manuales!$I$40*parametros_manuales!$J$40</f>
        <v>6142.73</v>
      </c>
      <c r="K275" s="8">
        <f>(parametros_manuales!$D$40*(datos_base!$K$2+IF(parametros_manuales!$H$40="Todos",datos_base!$K$9,0))*parametros_manuales!$K$97+parametros_manuales!$E$40*(datos_base!$K$3+IF(parametros_manuales!$H$40="Todos",datos_base!$K$10,0))*parametros_manuales!$K$102+parametros_manuales!$F$40*(datos_base!$K$4+IF(parametros_manuales!$H$40="Todos",datos_base!$K$11,0))*parametros_manuales!$K$107+parametros_manuales!$G$40*(datos_base!$K$5+IF(parametros_manuales!$H$40="Todos",datos_base!$K$12,0))*parametros_manuales!$K$112)*parametros_manuales!$I$40*parametros_manuales!$J$40</f>
        <v>6346.24</v>
      </c>
      <c r="L275" s="8">
        <f>(parametros_manuales!$D$40*(datos_base!$K$2+IF(parametros_manuales!$H$40="Todos",datos_base!$K$9,0))*parametros_manuales!$L$97+parametros_manuales!$E$40*(datos_base!$K$3+IF(parametros_manuales!$H$40="Todos",datos_base!$K$10,0))*parametros_manuales!$L$102+parametros_manuales!$F$40*(datos_base!$K$4+IF(parametros_manuales!$H$40="Todos",datos_base!$K$11,0))*parametros_manuales!$L$107+parametros_manuales!$G$40*(datos_base!$K$5+IF(parametros_manuales!$H$40="Todos",datos_base!$K$12,0))*parametros_manuales!$L$112)*parametros_manuales!$I$40*parametros_manuales!$J$40</f>
        <v>6549.75</v>
      </c>
      <c r="M275" s="8">
        <f>(parametros_manuales!$D$40*(datos_base!$K$2+IF(parametros_manuales!$H$40="Todos",datos_base!$K$9,0))*parametros_manuales!$M$97+parametros_manuales!$E$40*(datos_base!$K$3+IF(parametros_manuales!$H$40="Todos",datos_base!$K$10,0))*parametros_manuales!$M$102+parametros_manuales!$F$40*(datos_base!$K$4+IF(parametros_manuales!$H$40="Todos",datos_base!$K$11,0))*parametros_manuales!$M$107+parametros_manuales!$G$40*(datos_base!$K$5+IF(parametros_manuales!$H$40="Todos",datos_base!$K$12,0))*parametros_manuales!$M$112)*parametros_manuales!$I$40*parametros_manuales!$J$40</f>
        <v>6549.75</v>
      </c>
      <c r="N275" s="8">
        <f t="shared" si="28"/>
        <v>72775</v>
      </c>
      <c r="O275" s="8">
        <f t="shared" si="29"/>
        <v>6549.75</v>
      </c>
      <c r="P275" s="27">
        <f>O275/(parametros_manuales!$B$7)</f>
        <v>43.665</v>
      </c>
      <c r="Q275" s="4" t="str">
        <f t="shared" si="30"/>
        <v>Ene</v>
      </c>
      <c r="R275" s="16"/>
      <c r="S275" s="16"/>
    </row>
    <row r="276" ht="14.25" customHeight="1">
      <c r="A276" s="4" t="str">
        <f>parametros_manuales!$B$41</f>
        <v>Presurización</v>
      </c>
      <c r="B276" s="8">
        <f>(parametros_manuales!$D$41*(datos_base!$K$2+IF(parametros_manuales!$H$41="Todos",datos_base!$K$9,0))*parametros_manuales!$B$97+parametros_manuales!$E$41*(datos_base!$K$3+IF(parametros_manuales!$H$41="Todos",datos_base!$K$10,0))*parametros_manuales!$B$102+parametros_manuales!$F$41*(datos_base!$K$4+IF(parametros_manuales!$H$41="Todos",datos_base!$K$11,0))*parametros_manuales!$B$107+parametros_manuales!$G$41*(datos_base!$K$5+IF(parametros_manuales!$H$41="Todos",datos_base!$K$12,0))*parametros_manuales!$B$112)*parametros_manuales!$I$41*parametros_manuales!$J$41</f>
        <v>6549.75</v>
      </c>
      <c r="C276" s="8">
        <f>(parametros_manuales!$D$41*(datos_base!$K$2+IF(parametros_manuales!$H$41="Todos",datos_base!$K$9,0))*parametros_manuales!$C$97+parametros_manuales!$E$41*(datos_base!$K$3+IF(parametros_manuales!$H$41="Todos",datos_base!$K$10,0))*parametros_manuales!$C$102+parametros_manuales!$F$41*(datos_base!$K$4+IF(parametros_manuales!$H$41="Todos",datos_base!$K$11,0))*parametros_manuales!$C$107+parametros_manuales!$G$41*(datos_base!$K$5+IF(parametros_manuales!$H$41="Todos",datos_base!$K$12,0))*parametros_manuales!$C$112)*parametros_manuales!$I$41*parametros_manuales!$J$41</f>
        <v>6142.73</v>
      </c>
      <c r="D276" s="8">
        <f>(parametros_manuales!$D$41*(datos_base!$K$2+IF(parametros_manuales!$H$41="Todos",datos_base!$K$9,0))*parametros_manuales!$D$97+parametros_manuales!$E$41*(datos_base!$K$3+IF(parametros_manuales!$H$41="Todos",datos_base!$K$10,0))*parametros_manuales!$D$102+parametros_manuales!$F$41*(datos_base!$K$4+IF(parametros_manuales!$H$41="Todos",datos_base!$K$11,0))*parametros_manuales!$D$107+parametros_manuales!$G$41*(datos_base!$K$5+IF(parametros_manuales!$H$41="Todos",datos_base!$K$12,0))*parametros_manuales!$D$112)*parametros_manuales!$I$41*parametros_manuales!$J$41</f>
        <v>6025.51</v>
      </c>
      <c r="E276" s="8">
        <f>(parametros_manuales!$D$41*(datos_base!$K$2+IF(parametros_manuales!$H$41="Todos",datos_base!$K$9,0))*parametros_manuales!$E$97+parametros_manuales!$E$41*(datos_base!$K$3+IF(parametros_manuales!$H$41="Todos",datos_base!$K$10,0))*parametros_manuales!$E$102+parametros_manuales!$F$41*(datos_base!$K$4+IF(parametros_manuales!$H$41="Todos",datos_base!$K$11,0))*parametros_manuales!$E$107+parametros_manuales!$G$41*(datos_base!$K$5+IF(parametros_manuales!$H$41="Todos",datos_base!$K$12,0))*parametros_manuales!$E$112)*parametros_manuales!$I$41*parametros_manuales!$J$41</f>
        <v>5865.145</v>
      </c>
      <c r="F276" s="8">
        <f>(parametros_manuales!$D$41*(datos_base!$K$2+IF(parametros_manuales!$H$41="Todos",datos_base!$K$9,0))*parametros_manuales!$F$97+parametros_manuales!$E$41*(datos_base!$K$3+IF(parametros_manuales!$H$41="Todos",datos_base!$K$10,0))*parametros_manuales!$F$102+parametros_manuales!$F$41*(datos_base!$K$4+IF(parametros_manuales!$H$41="Todos",datos_base!$K$11,0))*parametros_manuales!$F$107+parametros_manuales!$G$41*(datos_base!$K$5+IF(parametros_manuales!$H$41="Todos",datos_base!$K$12,0))*parametros_manuales!$F$112)*parametros_manuales!$I$41*parametros_manuales!$J$41</f>
        <v>5501.27</v>
      </c>
      <c r="G276" s="8">
        <f>(parametros_manuales!$D$41*(datos_base!$K$2+IF(parametros_manuales!$H$41="Todos",datos_base!$K$9,0))*parametros_manuales!$G$97+parametros_manuales!$E$41*(datos_base!$K$3+IF(parametros_manuales!$H$41="Todos",datos_base!$K$10,0))*parametros_manuales!$G$102+parametros_manuales!$F$41*(datos_base!$K$4+IF(parametros_manuales!$H$41="Todos",datos_base!$K$11,0))*parametros_manuales!$G$107+parametros_manuales!$G$41*(datos_base!$K$5+IF(parametros_manuales!$H$41="Todos",datos_base!$K$12,0))*parametros_manuales!$G$112)*parametros_manuales!$I$41*parametros_manuales!$J$41</f>
        <v>5297.76</v>
      </c>
      <c r="H276" s="8">
        <f>(parametros_manuales!$D$41*(datos_base!$K$2+IF(parametros_manuales!$H$41="Todos",datos_base!$K$9,0))*parametros_manuales!$H$97+parametros_manuales!$E$41*(datos_base!$K$3+IF(parametros_manuales!$H$41="Todos",datos_base!$K$10,0))*parametros_manuales!$H$102+parametros_manuales!$F$41*(datos_base!$K$4+IF(parametros_manuales!$H$41="Todos",datos_base!$K$11,0))*parametros_manuales!$H$107+parametros_manuales!$G$41*(datos_base!$K$5+IF(parametros_manuales!$H$41="Todos",datos_base!$K$12,0))*parametros_manuales!$H$112)*parametros_manuales!$I$41*parametros_manuales!$J$41</f>
        <v>5661.635</v>
      </c>
      <c r="I276" s="8">
        <f>(parametros_manuales!$D$41*(datos_base!$K$2+IF(parametros_manuales!$H$41="Todos",datos_base!$K$9,0))*parametros_manuales!$I$97+parametros_manuales!$E$41*(datos_base!$K$3+IF(parametros_manuales!$H$41="Todos",datos_base!$K$10,0))*parametros_manuales!$I$102+parametros_manuales!$F$41*(datos_base!$K$4+IF(parametros_manuales!$H$41="Todos",datos_base!$K$11,0))*parametros_manuales!$I$107+parametros_manuales!$G$41*(datos_base!$K$5+IF(parametros_manuales!$H$41="Todos",datos_base!$K$12,0))*parametros_manuales!$I$112)*parametros_manuales!$I$41*parametros_manuales!$J$41</f>
        <v>6142.73</v>
      </c>
      <c r="J276" s="8">
        <f>(parametros_manuales!$D$41*(datos_base!$K$2+IF(parametros_manuales!$H$41="Todos",datos_base!$K$9,0))*parametros_manuales!$J$97+parametros_manuales!$E$41*(datos_base!$K$3+IF(parametros_manuales!$H$41="Todos",datos_base!$K$10,0))*parametros_manuales!$J$102+parametros_manuales!$F$41*(datos_base!$K$4+IF(parametros_manuales!$H$41="Todos",datos_base!$K$11,0))*parametros_manuales!$J$107+parametros_manuales!$G$41*(datos_base!$K$5+IF(parametros_manuales!$H$41="Todos",datos_base!$K$12,0))*parametros_manuales!$J$112)*parametros_manuales!$I$41*parametros_manuales!$J$41</f>
        <v>6142.73</v>
      </c>
      <c r="K276" s="8">
        <f>(parametros_manuales!$D$41*(datos_base!$K$2+IF(parametros_manuales!$H$41="Todos",datos_base!$K$9,0))*parametros_manuales!$K$97+parametros_manuales!$E$41*(datos_base!$K$3+IF(parametros_manuales!$H$41="Todos",datos_base!$K$10,0))*parametros_manuales!$K$102+parametros_manuales!$F$41*(datos_base!$K$4+IF(parametros_manuales!$H$41="Todos",datos_base!$K$11,0))*parametros_manuales!$K$107+parametros_manuales!$G$41*(datos_base!$K$5+IF(parametros_manuales!$H$41="Todos",datos_base!$K$12,0))*parametros_manuales!$K$112)*parametros_manuales!$I$41*parametros_manuales!$J$41</f>
        <v>6346.24</v>
      </c>
      <c r="L276" s="8">
        <f>(parametros_manuales!$D$41*(datos_base!$K$2+IF(parametros_manuales!$H$41="Todos",datos_base!$K$9,0))*parametros_manuales!$L$97+parametros_manuales!$E$41*(datos_base!$K$3+IF(parametros_manuales!$H$41="Todos",datos_base!$K$10,0))*parametros_manuales!$L$102+parametros_manuales!$F$41*(datos_base!$K$4+IF(parametros_manuales!$H$41="Todos",datos_base!$K$11,0))*parametros_manuales!$L$107+parametros_manuales!$G$41*(datos_base!$K$5+IF(parametros_manuales!$H$41="Todos",datos_base!$K$12,0))*parametros_manuales!$L$112)*parametros_manuales!$I$41*parametros_manuales!$J$41</f>
        <v>6549.75</v>
      </c>
      <c r="M276" s="8">
        <f>(parametros_manuales!$D$41*(datos_base!$K$2+IF(parametros_manuales!$H$41="Todos",datos_base!$K$9,0))*parametros_manuales!$M$97+parametros_manuales!$E$41*(datos_base!$K$3+IF(parametros_manuales!$H$41="Todos",datos_base!$K$10,0))*parametros_manuales!$M$102+parametros_manuales!$F$41*(datos_base!$K$4+IF(parametros_manuales!$H$41="Todos",datos_base!$K$11,0))*parametros_manuales!$M$107+parametros_manuales!$G$41*(datos_base!$K$5+IF(parametros_manuales!$H$41="Todos",datos_base!$K$12,0))*parametros_manuales!$M$112)*parametros_manuales!$I$41*parametros_manuales!$J$41</f>
        <v>6549.75</v>
      </c>
      <c r="N276" s="8">
        <f t="shared" si="28"/>
        <v>72775</v>
      </c>
      <c r="O276" s="8">
        <f t="shared" si="29"/>
        <v>6549.75</v>
      </c>
      <c r="P276" s="27">
        <f>O276/(parametros_manuales!$B$7)</f>
        <v>43.665</v>
      </c>
      <c r="Q276" s="4" t="str">
        <f t="shared" si="30"/>
        <v>Ene</v>
      </c>
      <c r="R276" s="16"/>
      <c r="S276" s="16"/>
    </row>
    <row r="277" ht="14.25" customHeight="1">
      <c r="A277" s="4" t="str">
        <f>parametros_manuales!$B$42</f>
        <v>Control de calidad — Ensayo de pérdidas</v>
      </c>
      <c r="B277" s="8">
        <f>(parametros_manuales!$D$42*(datos_base!$K$2+IF(parametros_manuales!$H$42="Todos",datos_base!$K$9,0))*parametros_manuales!$B$97+parametros_manuales!$E$42*(datos_base!$K$3+IF(parametros_manuales!$H$42="Todos",datos_base!$K$10,0))*parametros_manuales!$B$102+parametros_manuales!$F$42*(datos_base!$K$4+IF(parametros_manuales!$H$42="Todos",datos_base!$K$11,0))*parametros_manuales!$B$107+parametros_manuales!$G$42*(datos_base!$K$5+IF(parametros_manuales!$H$42="Todos",datos_base!$K$12,0))*parametros_manuales!$B$112)*parametros_manuales!$I$42*parametros_manuales!$J$42</f>
        <v>6549.75</v>
      </c>
      <c r="C277" s="8">
        <f>(parametros_manuales!$D$42*(datos_base!$K$2+IF(parametros_manuales!$H$42="Todos",datos_base!$K$9,0))*parametros_manuales!$C$97+parametros_manuales!$E$42*(datos_base!$K$3+IF(parametros_manuales!$H$42="Todos",datos_base!$K$10,0))*parametros_manuales!$C$102+parametros_manuales!$F$42*(datos_base!$K$4+IF(parametros_manuales!$H$42="Todos",datos_base!$K$11,0))*parametros_manuales!$C$107+parametros_manuales!$G$42*(datos_base!$K$5+IF(parametros_manuales!$H$42="Todos",datos_base!$K$12,0))*parametros_manuales!$C$112)*parametros_manuales!$I$42*parametros_manuales!$J$42</f>
        <v>6142.73</v>
      </c>
      <c r="D277" s="8">
        <f>(parametros_manuales!$D$42*(datos_base!$K$2+IF(parametros_manuales!$H$42="Todos",datos_base!$K$9,0))*parametros_manuales!$D$97+parametros_manuales!$E$42*(datos_base!$K$3+IF(parametros_manuales!$H$42="Todos",datos_base!$K$10,0))*parametros_manuales!$D$102+parametros_manuales!$F$42*(datos_base!$K$4+IF(parametros_manuales!$H$42="Todos",datos_base!$K$11,0))*parametros_manuales!$D$107+parametros_manuales!$G$42*(datos_base!$K$5+IF(parametros_manuales!$H$42="Todos",datos_base!$K$12,0))*parametros_manuales!$D$112)*parametros_manuales!$I$42*parametros_manuales!$J$42</f>
        <v>6025.51</v>
      </c>
      <c r="E277" s="8">
        <f>(parametros_manuales!$D$42*(datos_base!$K$2+IF(parametros_manuales!$H$42="Todos",datos_base!$K$9,0))*parametros_manuales!$E$97+parametros_manuales!$E$42*(datos_base!$K$3+IF(parametros_manuales!$H$42="Todos",datos_base!$K$10,0))*parametros_manuales!$E$102+parametros_manuales!$F$42*(datos_base!$K$4+IF(parametros_manuales!$H$42="Todos",datos_base!$K$11,0))*parametros_manuales!$E$107+parametros_manuales!$G$42*(datos_base!$K$5+IF(parametros_manuales!$H$42="Todos",datos_base!$K$12,0))*parametros_manuales!$E$112)*parametros_manuales!$I$42*parametros_manuales!$J$42</f>
        <v>5865.145</v>
      </c>
      <c r="F277" s="8">
        <f>(parametros_manuales!$D$42*(datos_base!$K$2+IF(parametros_manuales!$H$42="Todos",datos_base!$K$9,0))*parametros_manuales!$F$97+parametros_manuales!$E$42*(datos_base!$K$3+IF(parametros_manuales!$H$42="Todos",datos_base!$K$10,0))*parametros_manuales!$F$102+parametros_manuales!$F$42*(datos_base!$K$4+IF(parametros_manuales!$H$42="Todos",datos_base!$K$11,0))*parametros_manuales!$F$107+parametros_manuales!$G$42*(datos_base!$K$5+IF(parametros_manuales!$H$42="Todos",datos_base!$K$12,0))*parametros_manuales!$F$112)*parametros_manuales!$I$42*parametros_manuales!$J$42</f>
        <v>5501.27</v>
      </c>
      <c r="G277" s="8">
        <f>(parametros_manuales!$D$42*(datos_base!$K$2+IF(parametros_manuales!$H$42="Todos",datos_base!$K$9,0))*parametros_manuales!$G$97+parametros_manuales!$E$42*(datos_base!$K$3+IF(parametros_manuales!$H$42="Todos",datos_base!$K$10,0))*parametros_manuales!$G$102+parametros_manuales!$F$42*(datos_base!$K$4+IF(parametros_manuales!$H$42="Todos",datos_base!$K$11,0))*parametros_manuales!$G$107+parametros_manuales!$G$42*(datos_base!$K$5+IF(parametros_manuales!$H$42="Todos",datos_base!$K$12,0))*parametros_manuales!$G$112)*parametros_manuales!$I$42*parametros_manuales!$J$42</f>
        <v>5297.76</v>
      </c>
      <c r="H277" s="8">
        <f>(parametros_manuales!$D$42*(datos_base!$K$2+IF(parametros_manuales!$H$42="Todos",datos_base!$K$9,0))*parametros_manuales!$H$97+parametros_manuales!$E$42*(datos_base!$K$3+IF(parametros_manuales!$H$42="Todos",datos_base!$K$10,0))*parametros_manuales!$H$102+parametros_manuales!$F$42*(datos_base!$K$4+IF(parametros_manuales!$H$42="Todos",datos_base!$K$11,0))*parametros_manuales!$H$107+parametros_manuales!$G$42*(datos_base!$K$5+IF(parametros_manuales!$H$42="Todos",datos_base!$K$12,0))*parametros_manuales!$H$112)*parametros_manuales!$I$42*parametros_manuales!$J$42</f>
        <v>5661.635</v>
      </c>
      <c r="I277" s="8">
        <f>(parametros_manuales!$D$42*(datos_base!$K$2+IF(parametros_manuales!$H$42="Todos",datos_base!$K$9,0))*parametros_manuales!$I$97+parametros_manuales!$E$42*(datos_base!$K$3+IF(parametros_manuales!$H$42="Todos",datos_base!$K$10,0))*parametros_manuales!$I$102+parametros_manuales!$F$42*(datos_base!$K$4+IF(parametros_manuales!$H$42="Todos",datos_base!$K$11,0))*parametros_manuales!$I$107+parametros_manuales!$G$42*(datos_base!$K$5+IF(parametros_manuales!$H$42="Todos",datos_base!$K$12,0))*parametros_manuales!$I$112)*parametros_manuales!$I$42*parametros_manuales!$J$42</f>
        <v>6142.73</v>
      </c>
      <c r="J277" s="8">
        <f>(parametros_manuales!$D$42*(datos_base!$K$2+IF(parametros_manuales!$H$42="Todos",datos_base!$K$9,0))*parametros_manuales!$J$97+parametros_manuales!$E$42*(datos_base!$K$3+IF(parametros_manuales!$H$42="Todos",datos_base!$K$10,0))*parametros_manuales!$J$102+parametros_manuales!$F$42*(datos_base!$K$4+IF(parametros_manuales!$H$42="Todos",datos_base!$K$11,0))*parametros_manuales!$J$107+parametros_manuales!$G$42*(datos_base!$K$5+IF(parametros_manuales!$H$42="Todos",datos_base!$K$12,0))*parametros_manuales!$J$112)*parametros_manuales!$I$42*parametros_manuales!$J$42</f>
        <v>6142.73</v>
      </c>
      <c r="K277" s="8">
        <f>(parametros_manuales!$D$42*(datos_base!$K$2+IF(parametros_manuales!$H$42="Todos",datos_base!$K$9,0))*parametros_manuales!$K$97+parametros_manuales!$E$42*(datos_base!$K$3+IF(parametros_manuales!$H$42="Todos",datos_base!$K$10,0))*parametros_manuales!$K$102+parametros_manuales!$F$42*(datos_base!$K$4+IF(parametros_manuales!$H$42="Todos",datos_base!$K$11,0))*parametros_manuales!$K$107+parametros_manuales!$G$42*(datos_base!$K$5+IF(parametros_manuales!$H$42="Todos",datos_base!$K$12,0))*parametros_manuales!$K$112)*parametros_manuales!$I$42*parametros_manuales!$J$42</f>
        <v>6346.24</v>
      </c>
      <c r="L277" s="8">
        <f>(parametros_manuales!$D$42*(datos_base!$K$2+IF(parametros_manuales!$H$42="Todos",datos_base!$K$9,0))*parametros_manuales!$L$97+parametros_manuales!$E$42*(datos_base!$K$3+IF(parametros_manuales!$H$42="Todos",datos_base!$K$10,0))*parametros_manuales!$L$102+parametros_manuales!$F$42*(datos_base!$K$4+IF(parametros_manuales!$H$42="Todos",datos_base!$K$11,0))*parametros_manuales!$L$107+parametros_manuales!$G$42*(datos_base!$K$5+IF(parametros_manuales!$H$42="Todos",datos_base!$K$12,0))*parametros_manuales!$L$112)*parametros_manuales!$I$42*parametros_manuales!$J$42</f>
        <v>6549.75</v>
      </c>
      <c r="M277" s="8">
        <f>(parametros_manuales!$D$42*(datos_base!$K$2+IF(parametros_manuales!$H$42="Todos",datos_base!$K$9,0))*parametros_manuales!$M$97+parametros_manuales!$E$42*(datos_base!$K$3+IF(parametros_manuales!$H$42="Todos",datos_base!$K$10,0))*parametros_manuales!$M$102+parametros_manuales!$F$42*(datos_base!$K$4+IF(parametros_manuales!$H$42="Todos",datos_base!$K$11,0))*parametros_manuales!$M$107+parametros_manuales!$G$42*(datos_base!$K$5+IF(parametros_manuales!$H$42="Todos",datos_base!$K$12,0))*parametros_manuales!$M$112)*parametros_manuales!$I$42*parametros_manuales!$J$42</f>
        <v>6549.75</v>
      </c>
      <c r="N277" s="8">
        <f t="shared" si="28"/>
        <v>72775</v>
      </c>
      <c r="O277" s="8">
        <f t="shared" si="29"/>
        <v>6549.75</v>
      </c>
      <c r="P277" s="27">
        <f>O277/(parametros_manuales!$B$7)</f>
        <v>43.665</v>
      </c>
      <c r="Q277" s="4" t="str">
        <f t="shared" si="30"/>
        <v>Ene</v>
      </c>
      <c r="R277" s="16"/>
      <c r="S277" s="16"/>
    </row>
    <row r="278" ht="14.25" customHeight="1">
      <c r="A278" s="4" t="str">
        <f>parametros_manuales!$B$43</f>
        <v>Etiquetado</v>
      </c>
      <c r="B278" s="8">
        <f>(parametros_manuales!$D$43*(datos_base!$K$2+IF(parametros_manuales!$H$43="Todos",datos_base!$K$9,0))*parametros_manuales!$B$97+parametros_manuales!$E$43*(datos_base!$K$3+IF(parametros_manuales!$H$43="Todos",datos_base!$K$10,0))*parametros_manuales!$B$102+parametros_manuales!$F$43*(datos_base!$K$4+IF(parametros_manuales!$H$43="Todos",datos_base!$K$11,0))*parametros_manuales!$B$107+parametros_manuales!$G$43*(datos_base!$K$5+IF(parametros_manuales!$H$43="Todos",datos_base!$K$12,0))*parametros_manuales!$B$112)*parametros_manuales!$I$43*parametros_manuales!$J$43</f>
        <v>6549.75</v>
      </c>
      <c r="C278" s="8">
        <f>(parametros_manuales!$D$43*(datos_base!$K$2+IF(parametros_manuales!$H$43="Todos",datos_base!$K$9,0))*parametros_manuales!$C$97+parametros_manuales!$E$43*(datos_base!$K$3+IF(parametros_manuales!$H$43="Todos",datos_base!$K$10,0))*parametros_manuales!$C$102+parametros_manuales!$F$43*(datos_base!$K$4+IF(parametros_manuales!$H$43="Todos",datos_base!$K$11,0))*parametros_manuales!$C$107+parametros_manuales!$G$43*(datos_base!$K$5+IF(parametros_manuales!$H$43="Todos",datos_base!$K$12,0))*parametros_manuales!$C$112)*parametros_manuales!$I$43*parametros_manuales!$J$43</f>
        <v>6142.73</v>
      </c>
      <c r="D278" s="8">
        <f>(parametros_manuales!$D$43*(datos_base!$K$2+IF(parametros_manuales!$H$43="Todos",datos_base!$K$9,0))*parametros_manuales!$D$97+parametros_manuales!$E$43*(datos_base!$K$3+IF(parametros_manuales!$H$43="Todos",datos_base!$K$10,0))*parametros_manuales!$D$102+parametros_manuales!$F$43*(datos_base!$K$4+IF(parametros_manuales!$H$43="Todos",datos_base!$K$11,0))*parametros_manuales!$D$107+parametros_manuales!$G$43*(datos_base!$K$5+IF(parametros_manuales!$H$43="Todos",datos_base!$K$12,0))*parametros_manuales!$D$112)*parametros_manuales!$I$43*parametros_manuales!$J$43</f>
        <v>6025.51</v>
      </c>
      <c r="E278" s="8">
        <f>(parametros_manuales!$D$43*(datos_base!$K$2+IF(parametros_manuales!$H$43="Todos",datos_base!$K$9,0))*parametros_manuales!$E$97+parametros_manuales!$E$43*(datos_base!$K$3+IF(parametros_manuales!$H$43="Todos",datos_base!$K$10,0))*parametros_manuales!$E$102+parametros_manuales!$F$43*(datos_base!$K$4+IF(parametros_manuales!$H$43="Todos",datos_base!$K$11,0))*parametros_manuales!$E$107+parametros_manuales!$G$43*(datos_base!$K$5+IF(parametros_manuales!$H$43="Todos",datos_base!$K$12,0))*parametros_manuales!$E$112)*parametros_manuales!$I$43*parametros_manuales!$J$43</f>
        <v>5865.145</v>
      </c>
      <c r="F278" s="8">
        <f>(parametros_manuales!$D$43*(datos_base!$K$2+IF(parametros_manuales!$H$43="Todos",datos_base!$K$9,0))*parametros_manuales!$F$97+parametros_manuales!$E$43*(datos_base!$K$3+IF(parametros_manuales!$H$43="Todos",datos_base!$K$10,0))*parametros_manuales!$F$102+parametros_manuales!$F$43*(datos_base!$K$4+IF(parametros_manuales!$H$43="Todos",datos_base!$K$11,0))*parametros_manuales!$F$107+parametros_manuales!$G$43*(datos_base!$K$5+IF(parametros_manuales!$H$43="Todos",datos_base!$K$12,0))*parametros_manuales!$F$112)*parametros_manuales!$I$43*parametros_manuales!$J$43</f>
        <v>5501.27</v>
      </c>
      <c r="G278" s="8">
        <f>(parametros_manuales!$D$43*(datos_base!$K$2+IF(parametros_manuales!$H$43="Todos",datos_base!$K$9,0))*parametros_manuales!$G$97+parametros_manuales!$E$43*(datos_base!$K$3+IF(parametros_manuales!$H$43="Todos",datos_base!$K$10,0))*parametros_manuales!$G$102+parametros_manuales!$F$43*(datos_base!$K$4+IF(parametros_manuales!$H$43="Todos",datos_base!$K$11,0))*parametros_manuales!$G$107+parametros_manuales!$G$43*(datos_base!$K$5+IF(parametros_manuales!$H$43="Todos",datos_base!$K$12,0))*parametros_manuales!$G$112)*parametros_manuales!$I$43*parametros_manuales!$J$43</f>
        <v>5297.76</v>
      </c>
      <c r="H278" s="8">
        <f>(parametros_manuales!$D$43*(datos_base!$K$2+IF(parametros_manuales!$H$43="Todos",datos_base!$K$9,0))*parametros_manuales!$H$97+parametros_manuales!$E$43*(datos_base!$K$3+IF(parametros_manuales!$H$43="Todos",datos_base!$K$10,0))*parametros_manuales!$H$102+parametros_manuales!$F$43*(datos_base!$K$4+IF(parametros_manuales!$H$43="Todos",datos_base!$K$11,0))*parametros_manuales!$H$107+parametros_manuales!$G$43*(datos_base!$K$5+IF(parametros_manuales!$H$43="Todos",datos_base!$K$12,0))*parametros_manuales!$H$112)*parametros_manuales!$I$43*parametros_manuales!$J$43</f>
        <v>5661.635</v>
      </c>
      <c r="I278" s="8">
        <f>(parametros_manuales!$D$43*(datos_base!$K$2+IF(parametros_manuales!$H$43="Todos",datos_base!$K$9,0))*parametros_manuales!$I$97+parametros_manuales!$E$43*(datos_base!$K$3+IF(parametros_manuales!$H$43="Todos",datos_base!$K$10,0))*parametros_manuales!$I$102+parametros_manuales!$F$43*(datos_base!$K$4+IF(parametros_manuales!$H$43="Todos",datos_base!$K$11,0))*parametros_manuales!$I$107+parametros_manuales!$G$43*(datos_base!$K$5+IF(parametros_manuales!$H$43="Todos",datos_base!$K$12,0))*parametros_manuales!$I$112)*parametros_manuales!$I$43*parametros_manuales!$J$43</f>
        <v>6142.73</v>
      </c>
      <c r="J278" s="8">
        <f>(parametros_manuales!$D$43*(datos_base!$K$2+IF(parametros_manuales!$H$43="Todos",datos_base!$K$9,0))*parametros_manuales!$J$97+parametros_manuales!$E$43*(datos_base!$K$3+IF(parametros_manuales!$H$43="Todos",datos_base!$K$10,0))*parametros_manuales!$J$102+parametros_manuales!$F$43*(datos_base!$K$4+IF(parametros_manuales!$H$43="Todos",datos_base!$K$11,0))*parametros_manuales!$J$107+parametros_manuales!$G$43*(datos_base!$K$5+IF(parametros_manuales!$H$43="Todos",datos_base!$K$12,0))*parametros_manuales!$J$112)*parametros_manuales!$I$43*parametros_manuales!$J$43</f>
        <v>6142.73</v>
      </c>
      <c r="K278" s="8">
        <f>(parametros_manuales!$D$43*(datos_base!$K$2+IF(parametros_manuales!$H$43="Todos",datos_base!$K$9,0))*parametros_manuales!$K$97+parametros_manuales!$E$43*(datos_base!$K$3+IF(parametros_manuales!$H$43="Todos",datos_base!$K$10,0))*parametros_manuales!$K$102+parametros_manuales!$F$43*(datos_base!$K$4+IF(parametros_manuales!$H$43="Todos",datos_base!$K$11,0))*parametros_manuales!$K$107+parametros_manuales!$G$43*(datos_base!$K$5+IF(parametros_manuales!$H$43="Todos",datos_base!$K$12,0))*parametros_manuales!$K$112)*parametros_manuales!$I$43*parametros_manuales!$J$43</f>
        <v>6346.24</v>
      </c>
      <c r="L278" s="8">
        <f>(parametros_manuales!$D$43*(datos_base!$K$2+IF(parametros_manuales!$H$43="Todos",datos_base!$K$9,0))*parametros_manuales!$L$97+parametros_manuales!$E$43*(datos_base!$K$3+IF(parametros_manuales!$H$43="Todos",datos_base!$K$10,0))*parametros_manuales!$L$102+parametros_manuales!$F$43*(datos_base!$K$4+IF(parametros_manuales!$H$43="Todos",datos_base!$K$11,0))*parametros_manuales!$L$107+parametros_manuales!$G$43*(datos_base!$K$5+IF(parametros_manuales!$H$43="Todos",datos_base!$K$12,0))*parametros_manuales!$L$112)*parametros_manuales!$I$43*parametros_manuales!$J$43</f>
        <v>6549.75</v>
      </c>
      <c r="M278" s="8">
        <f>(parametros_manuales!$D$43*(datos_base!$K$2+IF(parametros_manuales!$H$43="Todos",datos_base!$K$9,0))*parametros_manuales!$M$97+parametros_manuales!$E$43*(datos_base!$K$3+IF(parametros_manuales!$H$43="Todos",datos_base!$K$10,0))*parametros_manuales!$M$102+parametros_manuales!$F$43*(datos_base!$K$4+IF(parametros_manuales!$H$43="Todos",datos_base!$K$11,0))*parametros_manuales!$M$107+parametros_manuales!$G$43*(datos_base!$K$5+IF(parametros_manuales!$H$43="Todos",datos_base!$K$12,0))*parametros_manuales!$M$112)*parametros_manuales!$I$43*parametros_manuales!$J$43</f>
        <v>6549.75</v>
      </c>
      <c r="N278" s="8">
        <f t="shared" si="28"/>
        <v>72775</v>
      </c>
      <c r="O278" s="8">
        <f t="shared" si="29"/>
        <v>6549.75</v>
      </c>
      <c r="P278" s="27">
        <f>O278/(parametros_manuales!$B$7)</f>
        <v>43.665</v>
      </c>
      <c r="Q278" s="4" t="str">
        <f t="shared" si="30"/>
        <v>Ene</v>
      </c>
      <c r="R278" s="16"/>
      <c r="S278" s="16"/>
    </row>
    <row r="279" ht="14.25" customHeight="1">
      <c r="A279" s="4" t="str">
        <f>parametros_manuales!$B$44</f>
        <v>Embalaje y paletizado</v>
      </c>
      <c r="B279" s="8">
        <f>(parametros_manuales!$D$44*(datos_base!$K$2+IF(parametros_manuales!$H$44="Todos",datos_base!$K$9,0))*parametros_manuales!$B$97+parametros_manuales!$E$44*(datos_base!$K$3+IF(parametros_manuales!$H$44="Todos",datos_base!$K$10,0))*parametros_manuales!$B$102+parametros_manuales!$F$44*(datos_base!$K$4+IF(parametros_manuales!$H$44="Todos",datos_base!$K$11,0))*parametros_manuales!$B$107+parametros_manuales!$G$44*(datos_base!$K$5+IF(parametros_manuales!$H$44="Todos",datos_base!$K$12,0))*parametros_manuales!$B$112)*parametros_manuales!$I$44*parametros_manuales!$J$44</f>
        <v>25752.87</v>
      </c>
      <c r="C279" s="8">
        <f>(parametros_manuales!$D$44*(datos_base!$K$2+IF(parametros_manuales!$H$44="Todos",datos_base!$K$9,0))*parametros_manuales!$C$97+parametros_manuales!$E$44*(datos_base!$K$3+IF(parametros_manuales!$H$44="Todos",datos_base!$K$10,0))*parametros_manuales!$C$102+parametros_manuales!$F$44*(datos_base!$K$4+IF(parametros_manuales!$H$44="Todos",datos_base!$K$11,0))*parametros_manuales!$C$107+parametros_manuales!$G$44*(datos_base!$K$5+IF(parametros_manuales!$H$44="Todos",datos_base!$K$12,0))*parametros_manuales!$C$112)*parametros_manuales!$I$44*parametros_manuales!$J$44</f>
        <v>24917.65</v>
      </c>
      <c r="D279" s="8">
        <f>(parametros_manuales!$D$44*(datos_base!$K$2+IF(parametros_manuales!$H$44="Todos",datos_base!$K$9,0))*parametros_manuales!$D$97+parametros_manuales!$E$44*(datos_base!$K$3+IF(parametros_manuales!$H$44="Todos",datos_base!$K$10,0))*parametros_manuales!$D$102+parametros_manuales!$F$44*(datos_base!$K$4+IF(parametros_manuales!$H$44="Todos",datos_base!$K$11,0))*parametros_manuales!$D$107+parametros_manuales!$G$44*(datos_base!$K$5+IF(parametros_manuales!$H$44="Todos",datos_base!$K$12,0))*parametros_manuales!$D$112)*parametros_manuales!$I$44*parametros_manuales!$J$44</f>
        <v>23309.05</v>
      </c>
      <c r="E279" s="8">
        <f>(parametros_manuales!$D$44*(datos_base!$K$2+IF(parametros_manuales!$H$44="Todos",datos_base!$K$9,0))*parametros_manuales!$E$97+parametros_manuales!$E$44*(datos_base!$K$3+IF(parametros_manuales!$H$44="Todos",datos_base!$K$10,0))*parametros_manuales!$E$102+parametros_manuales!$F$44*(datos_base!$K$4+IF(parametros_manuales!$H$44="Todos",datos_base!$K$11,0))*parametros_manuales!$E$107+parametros_manuales!$G$44*(datos_base!$K$5+IF(parametros_manuales!$H$44="Todos",datos_base!$K$12,0))*parametros_manuales!$E$112)*parametros_manuales!$I$44*parametros_manuales!$J$44</f>
        <v>22295.945</v>
      </c>
      <c r="F279" s="8">
        <f>(parametros_manuales!$D$44*(datos_base!$K$2+IF(parametros_manuales!$H$44="Todos",datos_base!$K$9,0))*parametros_manuales!$F$97+parametros_manuales!$E$44*(datos_base!$K$3+IF(parametros_manuales!$H$44="Todos",datos_base!$K$10,0))*parametros_manuales!$F$102+parametros_manuales!$F$44*(datos_base!$K$4+IF(parametros_manuales!$H$44="Todos",datos_base!$K$11,0))*parametros_manuales!$F$107+parametros_manuales!$G$44*(datos_base!$K$5+IF(parametros_manuales!$H$44="Todos",datos_base!$K$12,0))*parametros_manuales!$F$112)*parametros_manuales!$I$44*parametros_manuales!$J$44</f>
        <v>20865.23</v>
      </c>
      <c r="G279" s="8">
        <f>(parametros_manuales!$D$44*(datos_base!$K$2+IF(parametros_manuales!$H$44="Todos",datos_base!$K$9,0))*parametros_manuales!$G$97+parametros_manuales!$E$44*(datos_base!$K$3+IF(parametros_manuales!$H$44="Todos",datos_base!$K$10,0))*parametros_manuales!$G$102+parametros_manuales!$F$44*(datos_base!$K$4+IF(parametros_manuales!$H$44="Todos",datos_base!$K$11,0))*parametros_manuales!$G$107+parametros_manuales!$G$44*(datos_base!$K$5+IF(parametros_manuales!$H$44="Todos",datos_base!$K$12,0))*parametros_manuales!$G$112)*parametros_manuales!$I$44*parametros_manuales!$J$44</f>
        <v>20447.62</v>
      </c>
      <c r="H279" s="8">
        <f>(parametros_manuales!$D$44*(datos_base!$K$2+IF(parametros_manuales!$H$44="Todos",datos_base!$K$9,0))*parametros_manuales!$H$97+parametros_manuales!$E$44*(datos_base!$K$3+IF(parametros_manuales!$H$44="Todos",datos_base!$K$10,0))*parametros_manuales!$H$102+parametros_manuales!$F$44*(datos_base!$K$4+IF(parametros_manuales!$H$44="Todos",datos_base!$K$11,0))*parametros_manuales!$H$107+parametros_manuales!$G$44*(datos_base!$K$5+IF(parametros_manuales!$H$44="Todos",datos_base!$K$12,0))*parametros_manuales!$H$112)*parametros_manuales!$I$44*parametros_manuales!$J$44</f>
        <v>21878.335</v>
      </c>
      <c r="I279" s="8">
        <f>(parametros_manuales!$D$44*(datos_base!$K$2+IF(parametros_manuales!$H$44="Todos",datos_base!$K$9,0))*parametros_manuales!$I$97+parametros_manuales!$E$44*(datos_base!$K$3+IF(parametros_manuales!$H$44="Todos",datos_base!$K$10,0))*parametros_manuales!$I$102+parametros_manuales!$F$44*(datos_base!$K$4+IF(parametros_manuales!$H$44="Todos",datos_base!$K$11,0))*parametros_manuales!$I$107+parametros_manuales!$G$44*(datos_base!$K$5+IF(parametros_manuales!$H$44="Todos",datos_base!$K$12,0))*parametros_manuales!$I$112)*parametros_manuales!$I$44*parametros_manuales!$J$44</f>
        <v>24917.65</v>
      </c>
      <c r="J279" s="8">
        <f>(parametros_manuales!$D$44*(datos_base!$K$2+IF(parametros_manuales!$H$44="Todos",datos_base!$K$9,0))*parametros_manuales!$J$97+parametros_manuales!$E$44*(datos_base!$K$3+IF(parametros_manuales!$H$44="Todos",datos_base!$K$10,0))*parametros_manuales!$J$102+parametros_manuales!$F$44*(datos_base!$K$4+IF(parametros_manuales!$H$44="Todos",datos_base!$K$11,0))*parametros_manuales!$J$107+parametros_manuales!$G$44*(datos_base!$K$5+IF(parametros_manuales!$H$44="Todos",datos_base!$K$12,0))*parametros_manuales!$J$112)*parametros_manuales!$I$44*parametros_manuales!$J$44</f>
        <v>24917.65</v>
      </c>
      <c r="K279" s="8">
        <f>(parametros_manuales!$D$44*(datos_base!$K$2+IF(parametros_manuales!$H$44="Todos",datos_base!$K$9,0))*parametros_manuales!$K$97+parametros_manuales!$E$44*(datos_base!$K$3+IF(parametros_manuales!$H$44="Todos",datos_base!$K$10,0))*parametros_manuales!$K$102+parametros_manuales!$F$44*(datos_base!$K$4+IF(parametros_manuales!$H$44="Todos",datos_base!$K$11,0))*parametros_manuales!$K$107+parametros_manuales!$G$44*(datos_base!$K$5+IF(parametros_manuales!$H$44="Todos",datos_base!$K$12,0))*parametros_manuales!$K$112)*parametros_manuales!$I$44*parametros_manuales!$J$44</f>
        <v>25335.26</v>
      </c>
      <c r="L279" s="8">
        <f>(parametros_manuales!$D$44*(datos_base!$K$2+IF(parametros_manuales!$H$44="Todos",datos_base!$K$9,0))*parametros_manuales!$L$97+parametros_manuales!$E$44*(datos_base!$K$3+IF(parametros_manuales!$H$44="Todos",datos_base!$K$10,0))*parametros_manuales!$L$102+parametros_manuales!$F$44*(datos_base!$K$4+IF(parametros_manuales!$H$44="Todos",datos_base!$K$11,0))*parametros_manuales!$L$107+parametros_manuales!$G$44*(datos_base!$K$5+IF(parametros_manuales!$H$44="Todos",datos_base!$K$12,0))*parametros_manuales!$L$112)*parametros_manuales!$I$44*parametros_manuales!$J$44</f>
        <v>25752.87</v>
      </c>
      <c r="M279" s="8">
        <f>(parametros_manuales!$D$44*(datos_base!$K$2+IF(parametros_manuales!$H$44="Todos",datos_base!$K$9,0))*parametros_manuales!$M$97+parametros_manuales!$E$44*(datos_base!$K$3+IF(parametros_manuales!$H$44="Todos",datos_base!$K$10,0))*parametros_manuales!$M$102+parametros_manuales!$F$44*(datos_base!$K$4+IF(parametros_manuales!$H$44="Todos",datos_base!$K$11,0))*parametros_manuales!$M$107+parametros_manuales!$G$44*(datos_base!$K$5+IF(parametros_manuales!$H$44="Todos",datos_base!$K$12,0))*parametros_manuales!$M$112)*parametros_manuales!$I$44*parametros_manuales!$J$44</f>
        <v>25752.87</v>
      </c>
      <c r="N279" s="8">
        <f t="shared" si="28"/>
        <v>286143</v>
      </c>
      <c r="O279" s="8">
        <f t="shared" si="29"/>
        <v>25752.87</v>
      </c>
      <c r="P279" s="27">
        <f>O279/(parametros_manuales!$B$7)</f>
        <v>171.6858</v>
      </c>
      <c r="Q279" s="4" t="str">
        <f t="shared" si="30"/>
        <v>Ene</v>
      </c>
      <c r="R279" s="16"/>
      <c r="S279" s="16"/>
    </row>
    <row r="280" ht="14.25" customHeight="1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</row>
    <row r="281" ht="14.25" customHeight="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</row>
    <row r="282" ht="14.25" customHeight="1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</row>
    <row r="283" ht="14.25" customHeight="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</row>
    <row r="284" ht="14.25" customHeight="1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</row>
    <row r="285" ht="14.25" customHeight="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</row>
    <row r="286" ht="14.25" customHeight="1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</row>
    <row r="287" ht="14.25" customHeight="1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</row>
    <row r="288" ht="14.25" customHeight="1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</row>
    <row r="289" ht="14.25" customHeight="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</row>
    <row r="290" ht="14.25" customHeight="1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</row>
    <row r="291" ht="14.25" customHeight="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</row>
    <row r="292" ht="14.25" customHeight="1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</row>
    <row r="293" ht="14.25" customHeight="1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</row>
    <row r="294" ht="14.25" customHeight="1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</row>
    <row r="295" ht="14.25" customHeight="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</row>
    <row r="296" ht="14.25" customHeight="1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</row>
    <row r="297" ht="14.25" customHeight="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</row>
    <row r="298" ht="14.25" customHeight="1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</row>
    <row r="299" ht="14.25" customHeight="1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</row>
    <row r="300" ht="14.25" customHeight="1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</row>
    <row r="301" ht="14.25" customHeight="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</row>
    <row r="302" ht="14.25" customHeight="1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</row>
    <row r="303" ht="14.25" customHeight="1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</row>
    <row r="304" ht="14.25" customHeight="1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</row>
    <row r="305" ht="14.25" customHeight="1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</row>
    <row r="306" ht="14.25" customHeight="1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</row>
    <row r="307" ht="14.25" customHeight="1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</row>
    <row r="308" ht="14.25" customHeight="1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</row>
    <row r="309" ht="14.25" customHeight="1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</row>
    <row r="310" ht="14.25" customHeight="1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</row>
    <row r="311" ht="14.25" customHeight="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</row>
    <row r="312" ht="14.25" customHeight="1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</row>
    <row r="313" ht="14.25" customHeight="1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</row>
    <row r="314" ht="14.25" customHeight="1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</row>
    <row r="315" ht="14.25" customHeight="1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</row>
    <row r="316" ht="14.25" customHeight="1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</row>
    <row r="317" ht="14.25" customHeight="1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</row>
    <row r="318" ht="14.25" customHeight="1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</row>
    <row r="319" ht="14.25" customHeight="1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</row>
    <row r="320" ht="14.25" customHeight="1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</row>
    <row r="321" ht="14.25" customHeight="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</row>
    <row r="322" ht="14.25" customHeight="1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</row>
    <row r="323" ht="14.25" customHeight="1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</row>
    <row r="324" ht="14.25" customHeight="1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</row>
    <row r="325" ht="14.25" customHeight="1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</row>
    <row r="326" ht="14.25" customHeight="1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</row>
    <row r="327" ht="14.25" customHeight="1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</row>
    <row r="328" ht="14.25" customHeight="1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</row>
    <row r="329" ht="14.25" customHeight="1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</row>
    <row r="330" ht="14.25" customHeight="1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</row>
    <row r="331" ht="14.25" customHeight="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</row>
    <row r="332" ht="14.25" customHeight="1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</row>
    <row r="333" ht="14.2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</row>
    <row r="334" ht="14.25" customHeight="1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</row>
    <row r="335" ht="14.25" customHeight="1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</row>
    <row r="336" ht="14.25" customHeight="1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</row>
    <row r="337" ht="14.25" customHeight="1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</row>
    <row r="338" ht="14.25" customHeight="1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</row>
    <row r="339" ht="14.2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</row>
    <row r="340" ht="14.25" customHeight="1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</row>
    <row r="341" ht="14.25" customHeight="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</row>
    <row r="342" ht="14.25" customHeight="1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</row>
    <row r="343" ht="14.25" customHeigh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</row>
    <row r="344" ht="14.25" customHeight="1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</row>
    <row r="345" ht="14.2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</row>
    <row r="346" ht="14.25" customHeight="1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</row>
    <row r="347" ht="14.25" customHeight="1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</row>
    <row r="348" ht="14.25" customHeight="1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</row>
    <row r="349" ht="14.25" customHeight="1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</row>
    <row r="350" ht="14.25" customHeight="1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</row>
    <row r="351" ht="14.25" customHeight="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</row>
    <row r="352" ht="14.25" customHeight="1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</row>
    <row r="353" ht="14.25" customHeight="1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</row>
    <row r="354" ht="14.25" customHeight="1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</row>
    <row r="355" ht="14.25" customHeight="1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</row>
    <row r="356" ht="14.25" customHeight="1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</row>
    <row r="357" ht="14.25" customHeight="1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</row>
    <row r="358" ht="14.25" customHeight="1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</row>
    <row r="359" ht="14.25" customHeight="1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</row>
    <row r="360" ht="14.25" customHeight="1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</row>
    <row r="361" ht="14.25" customHeight="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</row>
    <row r="362" ht="14.25" customHeight="1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</row>
    <row r="363" ht="14.25" customHeight="1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</row>
    <row r="364" ht="14.25" customHeight="1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</row>
    <row r="365" ht="14.25" customHeigh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</row>
    <row r="366" ht="14.25" customHeight="1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</row>
    <row r="367" ht="14.25" customHeight="1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</row>
    <row r="368" ht="14.25" customHeight="1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</row>
    <row r="369" ht="14.25" customHeight="1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</row>
    <row r="370" ht="14.25" customHeight="1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</row>
    <row r="371" ht="14.25" customHeight="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</row>
    <row r="372" ht="14.25" customHeight="1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</row>
    <row r="373" ht="14.25" customHeight="1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</row>
    <row r="374" ht="14.25" customHeight="1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</row>
    <row r="375" ht="14.25" customHeight="1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</row>
    <row r="376" ht="14.25" customHeight="1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</row>
    <row r="377" ht="14.25" customHeight="1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</row>
    <row r="378" ht="14.25" customHeight="1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</row>
    <row r="379" ht="14.25" customHeight="1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</row>
    <row r="380" ht="14.25" customHeight="1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</row>
    <row r="381" ht="14.25" customHeight="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</row>
    <row r="382" ht="14.25" customHeight="1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</row>
    <row r="383" ht="14.25" customHeight="1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</row>
    <row r="384" ht="14.25" customHeight="1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</row>
    <row r="385" ht="14.25" customHeight="1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</row>
    <row r="386" ht="14.25" customHeight="1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</row>
    <row r="387" ht="14.25" customHeight="1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</row>
    <row r="388" ht="14.25" customHeight="1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</row>
    <row r="389" ht="14.25" customHeigh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</row>
    <row r="390" ht="14.25" customHeight="1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</row>
    <row r="391" ht="14.25" customHeight="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</row>
    <row r="392" ht="14.25" customHeight="1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</row>
    <row r="393" ht="14.25" customHeight="1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</row>
    <row r="394" ht="14.25" customHeight="1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</row>
    <row r="395" ht="14.25" customHeight="1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</row>
    <row r="396" ht="14.25" customHeight="1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</row>
    <row r="397" ht="14.25" customHeight="1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</row>
    <row r="398" ht="14.25" customHeight="1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</row>
    <row r="399" ht="14.25" customHeight="1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</row>
    <row r="400" ht="14.25" customHeight="1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</row>
    <row r="401" ht="14.25" customHeight="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</row>
    <row r="402" ht="14.25" customHeight="1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</row>
    <row r="403" ht="14.25" customHeight="1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</row>
    <row r="404" ht="14.25" customHeight="1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</row>
    <row r="405" ht="14.25" customHeight="1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</row>
    <row r="406" ht="14.25" customHeight="1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</row>
    <row r="407" ht="14.25" customHeight="1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</row>
    <row r="408" ht="14.25" customHeight="1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</row>
    <row r="409" ht="14.25" customHeight="1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</row>
    <row r="410" ht="14.25" customHeight="1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</row>
    <row r="411" ht="14.25" customHeight="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</row>
    <row r="412" ht="14.25" customHeight="1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</row>
    <row r="413" ht="14.25" customHeight="1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</row>
    <row r="414" ht="14.25" customHeight="1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</row>
    <row r="415" ht="14.25" customHeight="1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</row>
    <row r="416" ht="14.25" customHeight="1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</row>
    <row r="417" ht="14.25" customHeight="1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</row>
    <row r="418" ht="14.25" customHeight="1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</row>
    <row r="419" ht="14.25" customHeight="1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</row>
    <row r="420" ht="14.25" customHeight="1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</row>
    <row r="421" ht="14.25" customHeight="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</row>
    <row r="422" ht="14.25" customHeight="1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</row>
    <row r="423" ht="14.25" customHeight="1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</row>
    <row r="424" ht="14.25" customHeight="1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</row>
    <row r="425" ht="14.25" customHeight="1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</row>
    <row r="426" ht="14.25" customHeight="1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</row>
    <row r="427" ht="14.25" customHeight="1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</row>
    <row r="428" ht="14.25" customHeight="1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</row>
    <row r="429" ht="14.25" customHeight="1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</row>
    <row r="430" ht="14.25" customHeight="1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</row>
    <row r="431" ht="14.25" customHeight="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</row>
    <row r="432" ht="14.25" customHeight="1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</row>
    <row r="433" ht="14.25" customHeight="1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</row>
    <row r="434" ht="14.25" customHeight="1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</row>
    <row r="435" ht="14.25" customHeigh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</row>
    <row r="436" ht="14.25" customHeight="1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</row>
    <row r="437" ht="14.25" customHeight="1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</row>
    <row r="438" ht="14.25" customHeight="1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</row>
    <row r="439" ht="14.25" customHeight="1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</row>
    <row r="440" ht="14.25" customHeight="1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</row>
    <row r="441" ht="14.25" customHeight="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</row>
    <row r="442" ht="14.25" customHeight="1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</row>
    <row r="443" ht="14.25" customHeight="1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</row>
    <row r="444" ht="14.25" customHeight="1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</row>
    <row r="445" ht="14.25" customHeight="1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</row>
    <row r="446" ht="14.25" customHeight="1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</row>
    <row r="447" ht="14.25" customHeight="1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</row>
    <row r="448" ht="14.25" customHeight="1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</row>
    <row r="449" ht="14.25" customHeight="1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</row>
    <row r="450" ht="14.25" customHeight="1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</row>
    <row r="451" ht="14.25" customHeight="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</row>
    <row r="452" ht="14.25" customHeight="1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</row>
    <row r="453" ht="14.25" customHeight="1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</row>
    <row r="454" ht="14.25" customHeight="1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</row>
    <row r="455" ht="14.25" customHeight="1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</row>
    <row r="456" ht="14.25" customHeight="1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</row>
    <row r="457" ht="14.25" customHeight="1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</row>
    <row r="458" ht="14.25" customHeight="1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</row>
    <row r="459" ht="14.25" customHeight="1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</row>
    <row r="460" ht="14.25" customHeight="1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</row>
    <row r="461" ht="14.25" customHeight="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</row>
    <row r="462" ht="14.25" customHeight="1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</row>
    <row r="463" ht="14.25" customHeight="1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</row>
    <row r="464" ht="14.25" customHeight="1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</row>
    <row r="465" ht="14.25" customHeight="1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</row>
    <row r="466" ht="14.25" customHeight="1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</row>
    <row r="467" ht="14.25" customHeight="1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</row>
    <row r="468" ht="14.25" customHeight="1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</row>
    <row r="469" ht="14.25" customHeight="1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</row>
    <row r="470" ht="14.25" customHeight="1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</row>
    <row r="471" ht="14.25" customHeight="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</row>
    <row r="472" ht="14.25" customHeight="1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</row>
    <row r="473" ht="14.25" customHeight="1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</row>
    <row r="474" ht="14.25" customHeight="1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</row>
    <row r="475" ht="14.25" customHeight="1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</row>
    <row r="476" ht="14.25" customHeight="1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</row>
    <row r="477" ht="14.25" customHeight="1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</row>
    <row r="478" ht="14.25" customHeight="1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</row>
    <row r="479" ht="14.25" customHeight="1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</row>
    <row r="480" ht="15.75" customHeight="1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</row>
    <row r="481" ht="15.75" customHeight="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</row>
    <row r="482" ht="15.75" customHeight="1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</row>
    <row r="483" ht="15.75" customHeight="1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</row>
    <row r="484" ht="15.75" customHeight="1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</row>
    <row r="485" ht="15.75" customHeight="1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</row>
    <row r="486" ht="15.75" customHeight="1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</row>
    <row r="487" ht="15.75" customHeight="1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</row>
    <row r="488" ht="15.75" customHeight="1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</row>
    <row r="489" ht="15.75" customHeight="1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</row>
    <row r="490" ht="15.75" customHeight="1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</row>
    <row r="491" ht="15.75" customHeight="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</row>
    <row r="492" ht="15.75" customHeight="1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</row>
    <row r="493" ht="15.75" customHeight="1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</row>
    <row r="494" ht="15.75" customHeight="1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</row>
    <row r="495" ht="15.75" customHeight="1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</row>
    <row r="496" ht="15.75" customHeight="1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</row>
    <row r="497" ht="15.75" customHeight="1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</row>
    <row r="498" ht="15.75" customHeight="1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</row>
    <row r="499" ht="15.75" customHeight="1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</row>
    <row r="500" ht="15.75" customHeight="1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</row>
    <row r="501" ht="15.75" customHeight="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</row>
    <row r="502" ht="15.75" customHeight="1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</row>
    <row r="503" ht="15.75" customHeight="1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</row>
    <row r="504" ht="15.75" customHeight="1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</row>
    <row r="505" ht="15.75" customHeight="1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</row>
    <row r="506" ht="15.75" customHeight="1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</row>
    <row r="507" ht="15.75" customHeight="1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</row>
    <row r="508" ht="15.75" customHeight="1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</row>
    <row r="509" ht="15.75" customHeight="1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</row>
    <row r="510" ht="15.75" customHeight="1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</row>
    <row r="511" ht="15.75" customHeight="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</row>
    <row r="512" ht="15.75" customHeight="1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</row>
    <row r="513" ht="15.75" customHeight="1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</row>
    <row r="514" ht="15.75" customHeight="1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</row>
    <row r="515" ht="15.75" customHeight="1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</row>
    <row r="516" ht="15.75" customHeight="1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</row>
    <row r="517" ht="15.75" customHeight="1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</row>
    <row r="518" ht="15.75" customHeight="1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</row>
    <row r="519" ht="15.75" customHeight="1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</row>
    <row r="520" ht="15.7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</row>
    <row r="521" ht="15.75" customHeight="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</row>
    <row r="522" ht="15.75" customHeight="1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</row>
    <row r="523" ht="15.75" customHeight="1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</row>
    <row r="524" ht="15.75" customHeight="1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</row>
    <row r="525" ht="15.75" customHeight="1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</row>
    <row r="526" ht="15.75" customHeight="1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</row>
    <row r="527" ht="15.75" customHeight="1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</row>
    <row r="528" ht="15.75" customHeight="1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</row>
    <row r="529" ht="15.75" customHeight="1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</row>
    <row r="530" ht="15.75" customHeight="1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</row>
    <row r="531" ht="15.75" customHeight="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</row>
    <row r="532" ht="15.75" customHeight="1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</row>
    <row r="533" ht="15.75" customHeight="1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</row>
    <row r="534" ht="15.75" customHeight="1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</row>
    <row r="535" ht="15.75" customHeight="1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</row>
    <row r="536" ht="15.75" customHeight="1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</row>
    <row r="537" ht="15.75" customHeight="1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</row>
    <row r="538" ht="15.75" customHeight="1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</row>
    <row r="539" ht="15.75" customHeight="1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</row>
    <row r="540" ht="15.75" customHeight="1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</row>
    <row r="541" ht="15.75" customHeight="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</row>
    <row r="542" ht="15.75" customHeight="1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</row>
    <row r="543" ht="15.75" customHeight="1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</row>
    <row r="544" ht="15.75" customHeight="1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</row>
    <row r="545" ht="15.75" customHeight="1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</row>
    <row r="546" ht="15.75" customHeight="1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</row>
    <row r="547" ht="15.75" customHeight="1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</row>
    <row r="548" ht="15.75" customHeight="1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</row>
    <row r="549" ht="15.75" customHeight="1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</row>
    <row r="550" ht="15.75" customHeight="1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</row>
    <row r="551" ht="15.75" customHeight="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</row>
    <row r="552" ht="15.75" customHeight="1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</row>
    <row r="553" ht="15.75" customHeight="1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</row>
    <row r="554" ht="15.75" customHeight="1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</row>
    <row r="555" ht="15.75" customHeight="1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</row>
    <row r="556" ht="15.75" customHeight="1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</row>
    <row r="557" ht="15.75" customHeight="1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</row>
    <row r="558" ht="15.75" customHeight="1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</row>
    <row r="559" ht="15.75" customHeight="1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</row>
    <row r="560" ht="15.75" customHeight="1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</row>
    <row r="561" ht="15.75" customHeight="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</row>
    <row r="562" ht="15.75" customHeight="1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</row>
    <row r="563" ht="15.75" customHeight="1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</row>
    <row r="564" ht="15.75" customHeight="1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</row>
    <row r="565" ht="15.75" customHeight="1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</row>
    <row r="566" ht="15.75" customHeight="1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</row>
    <row r="567" ht="15.75" customHeight="1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</row>
    <row r="568" ht="15.75" customHeight="1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</row>
    <row r="569" ht="15.75" customHeight="1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</row>
    <row r="570" ht="15.75" customHeight="1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</row>
    <row r="571" ht="15.75" customHeight="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</row>
    <row r="572" ht="15.75" customHeight="1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</row>
    <row r="573" ht="15.75" customHeigh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</row>
    <row r="574" ht="15.75" customHeight="1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</row>
    <row r="575" ht="15.75" customHeight="1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</row>
    <row r="576" ht="15.75" customHeight="1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</row>
    <row r="577" ht="15.75" customHeight="1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</row>
    <row r="578" ht="15.75" customHeight="1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</row>
    <row r="579" ht="15.75" customHeight="1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</row>
    <row r="580" ht="15.75" customHeight="1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</row>
    <row r="581" ht="15.75" customHeight="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</row>
    <row r="582" ht="15.75" customHeight="1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</row>
    <row r="583" ht="15.75" customHeight="1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</row>
    <row r="584" ht="15.75" customHeight="1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</row>
    <row r="585" ht="15.75" customHeigh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</row>
    <row r="586" ht="15.75" customHeight="1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</row>
    <row r="587" ht="15.75" customHeight="1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</row>
    <row r="588" ht="15.75" customHeight="1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</row>
    <row r="589" ht="15.75" customHeight="1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</row>
    <row r="590" ht="15.75" customHeight="1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</row>
    <row r="591" ht="15.75" customHeight="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</row>
    <row r="592" ht="15.75" customHeight="1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</row>
    <row r="593" ht="15.75" customHeight="1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</row>
    <row r="594" ht="15.75" customHeight="1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</row>
    <row r="595" ht="15.75" customHeight="1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</row>
    <row r="596" ht="15.75" customHeight="1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</row>
    <row r="597" ht="15.75" customHeight="1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</row>
    <row r="598" ht="15.75" customHeight="1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</row>
    <row r="599" ht="15.75" customHeight="1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</row>
    <row r="600" ht="15.75" customHeight="1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</row>
    <row r="601" ht="15.75" customHeight="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</row>
    <row r="602" ht="15.75" customHeight="1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</row>
    <row r="603" ht="15.75" customHeight="1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</row>
    <row r="604" ht="15.75" customHeight="1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</row>
    <row r="605" ht="15.75" customHeight="1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</row>
    <row r="606" ht="15.75" customHeight="1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</row>
    <row r="607" ht="15.75" customHeight="1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</row>
    <row r="608" ht="15.75" customHeight="1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</row>
    <row r="609" ht="15.75" customHeigh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</row>
    <row r="610" ht="15.75" customHeight="1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</row>
    <row r="611" ht="15.75" customHeight="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</row>
    <row r="612" ht="15.75" customHeight="1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</row>
    <row r="613" ht="15.75" customHeight="1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</row>
    <row r="614" ht="15.75" customHeight="1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</row>
    <row r="615" ht="15.7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</row>
    <row r="616" ht="15.75" customHeight="1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</row>
    <row r="617" ht="15.7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</row>
    <row r="618" ht="15.75" customHeight="1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</row>
    <row r="619" ht="15.7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</row>
    <row r="620" ht="15.75" customHeight="1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</row>
    <row r="621" ht="15.7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</row>
    <row r="622" ht="15.75" customHeight="1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</row>
    <row r="623" ht="15.7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</row>
    <row r="624" ht="15.75" customHeight="1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</row>
    <row r="625" ht="15.7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</row>
    <row r="626" ht="15.75" customHeight="1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</row>
    <row r="627" ht="15.7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</row>
    <row r="628" ht="15.75" customHeight="1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</row>
    <row r="629" ht="15.7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</row>
    <row r="630" ht="15.75" customHeight="1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</row>
    <row r="631" ht="15.7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</row>
    <row r="632" ht="15.75" customHeight="1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</row>
    <row r="633" ht="15.7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</row>
    <row r="634" ht="15.75" customHeight="1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</row>
    <row r="635" ht="15.7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</row>
    <row r="636" ht="15.75" customHeight="1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</row>
    <row r="637" ht="15.7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</row>
    <row r="638" ht="15.75" customHeight="1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</row>
    <row r="639" ht="15.7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</row>
    <row r="640" ht="15.75" customHeight="1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</row>
    <row r="641" ht="15.7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</row>
    <row r="642" ht="15.75" customHeight="1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</row>
    <row r="643" ht="15.7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</row>
    <row r="644" ht="15.75" customHeight="1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</row>
    <row r="645" ht="15.7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</row>
    <row r="646" ht="15.75" customHeight="1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</row>
    <row r="647" ht="15.7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</row>
    <row r="648" ht="15.75" customHeight="1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</row>
    <row r="649" ht="15.7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</row>
    <row r="650" ht="15.75" customHeight="1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</row>
    <row r="651" ht="15.7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</row>
    <row r="652" ht="15.75" customHeight="1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</row>
    <row r="653" ht="15.7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</row>
    <row r="654" ht="15.75" customHeight="1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</row>
    <row r="655" ht="15.7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</row>
    <row r="656" ht="15.75" customHeight="1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</row>
    <row r="657" ht="15.7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</row>
    <row r="658" ht="15.75" customHeight="1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</row>
    <row r="659" ht="15.7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</row>
    <row r="660" ht="15.75" customHeight="1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</row>
    <row r="661" ht="15.7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</row>
    <row r="662" ht="15.75" customHeight="1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</row>
    <row r="663" ht="15.7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</row>
    <row r="664" ht="15.75" customHeight="1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</row>
    <row r="665" ht="15.7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</row>
    <row r="666" ht="15.75" customHeight="1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</row>
    <row r="667" ht="15.7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</row>
    <row r="668" ht="15.75" customHeight="1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</row>
    <row r="669" ht="15.7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</row>
    <row r="670" ht="15.75" customHeight="1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</row>
    <row r="671" ht="15.7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</row>
    <row r="672" ht="15.75" customHeight="1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</row>
    <row r="673" ht="15.7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</row>
    <row r="674" ht="15.75" customHeight="1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</row>
    <row r="675" ht="15.7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</row>
    <row r="676" ht="15.75" customHeight="1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</row>
    <row r="677" ht="15.7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</row>
    <row r="678" ht="15.75" customHeight="1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</row>
    <row r="679" ht="15.7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</row>
    <row r="680" ht="15.75" customHeight="1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</row>
    <row r="681" ht="15.7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</row>
    <row r="682" ht="15.75" customHeight="1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</row>
    <row r="683" ht="15.7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</row>
    <row r="684" ht="15.75" customHeight="1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</row>
    <row r="685" ht="15.7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</row>
    <row r="686" ht="15.75" customHeight="1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</row>
    <row r="687" ht="15.7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</row>
    <row r="688" ht="15.75" customHeight="1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</row>
    <row r="689" ht="15.7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</row>
    <row r="690" ht="15.75" customHeight="1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</row>
    <row r="691" ht="15.7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</row>
    <row r="692" ht="15.75" customHeight="1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</row>
    <row r="693" ht="15.7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</row>
    <row r="694" ht="15.75" customHeight="1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</row>
    <row r="695" ht="15.7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</row>
    <row r="696" ht="15.75" customHeight="1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</row>
    <row r="697" ht="15.7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</row>
    <row r="698" ht="15.75" customHeight="1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</row>
    <row r="699" ht="15.7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</row>
    <row r="700" ht="15.75" customHeight="1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</row>
    <row r="701" ht="15.7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</row>
    <row r="702" ht="15.75" customHeight="1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</row>
    <row r="703" ht="15.7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</row>
    <row r="704" ht="15.75" customHeight="1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</row>
    <row r="705" ht="15.7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</row>
    <row r="706" ht="15.75" customHeight="1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</row>
    <row r="707" ht="15.7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</row>
    <row r="708" ht="15.75" customHeight="1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</row>
    <row r="709" ht="15.7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</row>
    <row r="710" ht="15.75" customHeight="1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</row>
    <row r="711" ht="15.7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</row>
    <row r="712" ht="15.75" customHeight="1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</row>
    <row r="713" ht="15.7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</row>
    <row r="714" ht="15.75" customHeight="1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</row>
    <row r="715" ht="15.7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</row>
    <row r="716" ht="15.75" customHeight="1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</row>
    <row r="717" ht="15.7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</row>
    <row r="718" ht="15.75" customHeight="1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</row>
    <row r="719" ht="15.7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</row>
    <row r="720" ht="15.75" customHeight="1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</row>
    <row r="721" ht="15.7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</row>
    <row r="722" ht="15.75" customHeight="1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</row>
    <row r="723" ht="15.7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</row>
    <row r="724" ht="15.75" customHeight="1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</row>
    <row r="725" ht="15.7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</row>
    <row r="726" ht="15.75" customHeight="1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</row>
    <row r="727" ht="15.7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</row>
    <row r="728" ht="15.75" customHeight="1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</row>
    <row r="729" ht="15.7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</row>
    <row r="730" ht="15.75" customHeight="1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</row>
    <row r="731" ht="15.7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</row>
    <row r="732" ht="15.75" customHeight="1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</row>
    <row r="733" ht="15.7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</row>
    <row r="734" ht="15.75" customHeight="1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</row>
    <row r="735" ht="15.7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</row>
    <row r="736" ht="15.75" customHeight="1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</row>
    <row r="737" ht="15.7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</row>
    <row r="738" ht="15.75" customHeight="1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</row>
    <row r="739" ht="15.7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</row>
    <row r="740" ht="15.75" customHeight="1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</row>
    <row r="741" ht="15.7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</row>
    <row r="742" ht="15.75" customHeight="1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</row>
    <row r="743" ht="15.7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</row>
    <row r="744" ht="15.75" customHeight="1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</row>
    <row r="745" ht="15.7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</row>
    <row r="746" ht="15.75" customHeight="1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</row>
    <row r="747" ht="15.7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</row>
    <row r="748" ht="15.75" customHeight="1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</row>
    <row r="749" ht="15.7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</row>
    <row r="750" ht="15.75" customHeight="1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</row>
    <row r="751" ht="15.7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</row>
    <row r="752" ht="15.75" customHeight="1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</row>
    <row r="753" ht="15.7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</row>
    <row r="754" ht="15.75" customHeight="1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</row>
    <row r="755" ht="15.7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</row>
    <row r="756" ht="15.75" customHeight="1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</row>
    <row r="757" ht="15.7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</row>
    <row r="758" ht="15.75" customHeight="1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</row>
    <row r="759" ht="15.7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</row>
    <row r="760" ht="15.75" customHeight="1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</row>
    <row r="761" ht="15.7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</row>
    <row r="762" ht="15.75" customHeight="1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</row>
    <row r="763" ht="15.7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</row>
    <row r="764" ht="15.75" customHeight="1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</row>
    <row r="765" ht="15.7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</row>
    <row r="766" ht="15.75" customHeight="1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</row>
    <row r="767" ht="15.7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</row>
    <row r="768" ht="15.75" customHeight="1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</row>
    <row r="769" ht="15.7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</row>
    <row r="770" ht="15.75" customHeight="1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</row>
    <row r="771" ht="15.7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</row>
    <row r="772" ht="15.75" customHeight="1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</row>
    <row r="773" ht="15.7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</row>
    <row r="774" ht="15.75" customHeight="1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</row>
    <row r="775" ht="15.7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</row>
    <row r="776" ht="15.75" customHeight="1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</row>
    <row r="777" ht="15.7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</row>
    <row r="778" ht="15.75" customHeight="1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</row>
    <row r="779" ht="15.7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</row>
    <row r="780" ht="15.75" customHeight="1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</row>
    <row r="781" ht="15.7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</row>
    <row r="782" ht="15.75" customHeight="1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</row>
    <row r="783" ht="15.7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</row>
    <row r="784" ht="15.75" customHeight="1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</row>
    <row r="785" ht="15.7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</row>
    <row r="786" ht="15.75" customHeight="1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</row>
    <row r="787" ht="15.7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</row>
    <row r="788" ht="15.75" customHeight="1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</row>
    <row r="789" ht="15.7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</row>
    <row r="790" ht="15.75" customHeight="1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</row>
    <row r="791" ht="15.7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</row>
    <row r="792" ht="15.75" customHeight="1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</row>
    <row r="793" ht="15.7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</row>
    <row r="794" ht="15.75" customHeight="1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</row>
    <row r="795" ht="15.7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</row>
    <row r="796" ht="15.75" customHeight="1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</row>
    <row r="797" ht="15.7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</row>
    <row r="798" ht="15.75" customHeight="1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</row>
    <row r="799" ht="15.7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</row>
    <row r="800" ht="15.7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</row>
    <row r="801" ht="15.7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</row>
    <row r="802" ht="15.7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</row>
    <row r="803" ht="15.7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</row>
    <row r="804" ht="15.75" customHeight="1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</row>
    <row r="805" ht="15.7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</row>
    <row r="806" ht="15.75" customHeight="1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</row>
    <row r="807" ht="15.7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</row>
    <row r="808" ht="15.75" customHeight="1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</row>
    <row r="809" ht="15.7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</row>
    <row r="810" ht="15.75" customHeight="1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</row>
    <row r="811" ht="15.7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</row>
    <row r="812" ht="15.75" customHeight="1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</row>
    <row r="813" ht="15.7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</row>
    <row r="814" ht="15.7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</row>
    <row r="815" ht="15.7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</row>
    <row r="816" ht="15.7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</row>
    <row r="817" ht="15.7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</row>
    <row r="818" ht="15.75" customHeight="1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</row>
    <row r="819" ht="15.7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</row>
    <row r="820" ht="15.75" customHeight="1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</row>
    <row r="821" ht="15.7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</row>
    <row r="822" ht="15.75" customHeight="1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</row>
    <row r="823" ht="15.7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</row>
    <row r="824" ht="15.75" customHeight="1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</row>
    <row r="825" ht="15.7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</row>
    <row r="826" ht="15.75" customHeight="1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</row>
    <row r="827" ht="15.7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</row>
    <row r="828" ht="15.7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</row>
    <row r="829" ht="15.7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</row>
    <row r="830" ht="15.7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</row>
    <row r="831" ht="15.7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</row>
    <row r="832" ht="15.7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</row>
    <row r="833" ht="15.7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</row>
    <row r="834" ht="15.75" customHeight="1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</row>
    <row r="835" ht="15.7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</row>
    <row r="836" ht="15.75" customHeight="1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</row>
    <row r="837" ht="15.7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</row>
    <row r="838" ht="15.75" customHeight="1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</row>
    <row r="839" ht="15.7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</row>
    <row r="840" ht="15.75" customHeight="1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</row>
    <row r="841" ht="15.7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</row>
    <row r="842" ht="15.75" customHeight="1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</row>
    <row r="843" ht="15.7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</row>
    <row r="844" ht="15.7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</row>
    <row r="845" ht="15.7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</row>
    <row r="846" ht="15.7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</row>
    <row r="847" ht="15.7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</row>
    <row r="848" ht="15.75" customHeight="1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</row>
    <row r="849" ht="15.7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</row>
    <row r="850" ht="15.75" customHeight="1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</row>
    <row r="851" ht="15.7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</row>
    <row r="852" ht="15.75" customHeight="1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</row>
    <row r="853" ht="15.7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</row>
    <row r="854" ht="15.75" customHeight="1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</row>
    <row r="855" ht="15.7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</row>
    <row r="856" ht="15.75" customHeight="1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</row>
    <row r="857" ht="15.7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</row>
    <row r="858" ht="15.75" customHeight="1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</row>
    <row r="859" ht="15.7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</row>
    <row r="860" ht="15.7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</row>
    <row r="861" ht="15.7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</row>
    <row r="862" ht="15.7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</row>
    <row r="863" ht="15.7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</row>
    <row r="864" ht="15.75" customHeight="1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</row>
    <row r="865" ht="15.7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</row>
    <row r="866" ht="15.75" customHeight="1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</row>
    <row r="867" ht="15.7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</row>
    <row r="868" ht="15.75" customHeight="1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</row>
    <row r="869" ht="15.7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</row>
    <row r="870" ht="15.75" customHeight="1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</row>
    <row r="871" ht="15.7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</row>
    <row r="872" ht="15.75" customHeight="1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</row>
    <row r="873" ht="15.7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</row>
    <row r="874" ht="15.7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</row>
    <row r="875" ht="15.7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</row>
    <row r="876" ht="15.75" customHeight="1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</row>
    <row r="877" ht="15.7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</row>
    <row r="878" ht="15.75" customHeight="1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</row>
    <row r="879" ht="15.7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</row>
    <row r="880" ht="15.75" customHeight="1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</row>
    <row r="881" ht="15.7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</row>
    <row r="882" ht="15.75" customHeight="1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</row>
    <row r="883" ht="15.7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</row>
    <row r="884" ht="15.75" customHeight="1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</row>
    <row r="885" ht="15.7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</row>
    <row r="886" ht="15.75" customHeight="1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</row>
    <row r="887" ht="15.7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</row>
    <row r="888" ht="15.75" customHeight="1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</row>
    <row r="889" ht="15.7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</row>
    <row r="890" ht="15.7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</row>
    <row r="891" ht="15.7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</row>
    <row r="892" ht="15.7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</row>
    <row r="893" ht="15.7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</row>
    <row r="894" ht="15.7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</row>
    <row r="895" ht="15.7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</row>
    <row r="896" ht="15.7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</row>
    <row r="897" ht="15.7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</row>
    <row r="898" ht="15.75" customHeight="1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</row>
    <row r="899" ht="15.7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</row>
    <row r="900" ht="15.75" customHeight="1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</row>
    <row r="901" ht="15.7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</row>
    <row r="902" ht="15.75" customHeight="1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</row>
    <row r="903" ht="15.7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</row>
    <row r="904" ht="15.75" customHeight="1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</row>
    <row r="905" ht="15.7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</row>
    <row r="906" ht="15.75" customHeight="1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</row>
    <row r="907" ht="15.7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</row>
    <row r="908" ht="15.7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</row>
    <row r="909" ht="15.7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</row>
    <row r="910" ht="15.7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</row>
    <row r="911" ht="15.7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</row>
    <row r="912" ht="15.75" customHeight="1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</row>
    <row r="913" ht="15.7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</row>
    <row r="914" ht="15.75" customHeight="1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</row>
    <row r="915" ht="15.7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</row>
    <row r="916" ht="15.75" customHeight="1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</row>
    <row r="917" ht="15.7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</row>
    <row r="918" ht="15.75" customHeight="1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</row>
    <row r="919" ht="15.7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</row>
    <row r="920" ht="15.75" customHeight="1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</row>
    <row r="921" ht="15.7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</row>
    <row r="922" ht="15.75" customHeight="1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</row>
    <row r="923" ht="15.7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</row>
    <row r="924" ht="15.75" customHeight="1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</row>
    <row r="925" ht="15.7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</row>
    <row r="926" ht="15.75" customHeight="1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</row>
    <row r="927" ht="15.7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</row>
    <row r="928" ht="15.75" customHeight="1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</row>
    <row r="929" ht="15.7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</row>
    <row r="930" ht="15.75" customHeight="1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</row>
    <row r="931" ht="15.7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</row>
    <row r="932" ht="15.75" customHeight="1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</row>
    <row r="933" ht="15.7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</row>
    <row r="934" ht="15.75" customHeight="1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</row>
    <row r="935" ht="15.7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</row>
    <row r="936" ht="15.75" customHeight="1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</row>
    <row r="937" ht="15.7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</row>
    <row r="938" ht="15.75" customHeight="1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</row>
    <row r="939" ht="15.7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</row>
    <row r="940" ht="15.75" customHeight="1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</row>
    <row r="941" ht="15.7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</row>
    <row r="942" ht="15.75" customHeight="1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</row>
    <row r="943" ht="15.7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</row>
    <row r="944" ht="15.75" customHeight="1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</row>
    <row r="945" ht="15.7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</row>
    <row r="946" ht="15.75" customHeight="1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</row>
    <row r="947" ht="15.7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</row>
    <row r="948" ht="15.75" customHeight="1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</row>
    <row r="949" ht="15.7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</row>
    <row r="950" ht="15.75" customHeight="1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</row>
    <row r="951" ht="15.7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</row>
    <row r="952" ht="15.75" customHeight="1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</row>
    <row r="953" ht="15.7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</row>
    <row r="954" ht="15.75" customHeight="1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</row>
    <row r="955" ht="15.7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</row>
    <row r="956" ht="15.75" customHeight="1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</row>
    <row r="957" ht="15.7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</row>
    <row r="958" ht="15.75" customHeight="1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</row>
    <row r="959" ht="15.7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</row>
    <row r="960" ht="15.75" customHeight="1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</row>
    <row r="961" ht="15.7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</row>
    <row r="962" ht="15.75" customHeight="1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</row>
    <row r="963" ht="15.7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</row>
    <row r="964" ht="15.75" customHeight="1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</row>
    <row r="965" ht="15.7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</row>
    <row r="966" ht="15.75" customHeight="1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</row>
    <row r="967" ht="15.7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</row>
    <row r="968" ht="15.75" customHeight="1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</row>
    <row r="969" ht="15.7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</row>
    <row r="970" ht="15.75" customHeight="1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</row>
    <row r="971" ht="15.7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</row>
    <row r="972" ht="15.75" customHeight="1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</row>
    <row r="973" ht="15.7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</row>
    <row r="974" ht="15.75" customHeight="1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</row>
    <row r="975" ht="15.7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</row>
    <row r="976" ht="15.75" customHeight="1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</row>
    <row r="977" ht="15.7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</row>
    <row r="978" ht="15.75" customHeight="1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</row>
    <row r="979" ht="15.7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</row>
    <row r="980" ht="15.75" customHeight="1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</row>
    <row r="981" ht="15.75" customHeight="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</row>
    <row r="982" ht="15.75" customHeight="1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</row>
    <row r="983" ht="15.75" customHeight="1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</row>
    <row r="984" ht="15.75" customHeight="1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</row>
    <row r="985" ht="15.75" customHeight="1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</row>
    <row r="986" ht="15.75" customHeight="1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</row>
    <row r="987" ht="15.75" customHeight="1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</row>
    <row r="988" ht="15.75" customHeight="1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</row>
    <row r="989" ht="15.75" customHeight="1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</row>
    <row r="990" ht="15.75" customHeight="1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</row>
    <row r="991" ht="15.75" customHeight="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</row>
    <row r="992" ht="15.75" customHeight="1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</row>
    <row r="993" ht="15.75" customHeight="1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</row>
    <row r="994" ht="15.75" customHeight="1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</row>
    <row r="995" ht="15.75" customHeight="1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</row>
    <row r="996" ht="15.75" customHeight="1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</row>
    <row r="997" ht="15.75" customHeight="1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</row>
    <row r="998" ht="15.75" customHeight="1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</row>
    <row r="999" ht="15.75" customHeight="1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</row>
    <row r="1000" ht="15.75" customHeight="1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4.0"/>
    <col customWidth="1" min="2" max="11" width="10.0"/>
    <col customWidth="1" min="12" max="12" width="8.57"/>
    <col customWidth="1" min="13" max="13" width="34.71"/>
    <col customWidth="1" min="14" max="15" width="8.57"/>
  </cols>
  <sheetData>
    <row r="1" ht="14.25" customHeight="1">
      <c r="A1" s="61" t="s">
        <v>212</v>
      </c>
      <c r="B1" s="61">
        <v>2026.0</v>
      </c>
      <c r="C1" s="61">
        <v>2027.0</v>
      </c>
      <c r="D1" s="61">
        <v>2028.0</v>
      </c>
      <c r="E1" s="61">
        <v>2029.0</v>
      </c>
      <c r="F1" s="61">
        <v>2030.0</v>
      </c>
      <c r="G1" s="61">
        <v>2031.0</v>
      </c>
      <c r="H1" s="61">
        <v>2032.0</v>
      </c>
      <c r="I1" s="61">
        <v>2033.0</v>
      </c>
      <c r="J1" s="61">
        <v>2034.0</v>
      </c>
      <c r="K1" s="61">
        <v>2035.0</v>
      </c>
      <c r="L1" s="16"/>
      <c r="M1" s="16"/>
      <c r="N1" s="16"/>
      <c r="O1" s="57" t="s">
        <v>224</v>
      </c>
    </row>
    <row r="2" ht="14.25" customHeight="1">
      <c r="A2" s="4" t="str">
        <f>parametros_manuales!$B$19</f>
        <v>Recepción de materia prima</v>
      </c>
      <c r="B2" s="47">
        <f>IF(B31*B60*parametros_manuales!$M$19*parametros_manuales!$B$6=0,0,'Demanda puesto con sobrestock'!$P$2/(parametros_manuales!$M$19*B31*B60*parametros_manuales!$B$6))</f>
        <v>0.06863</v>
      </c>
      <c r="C2" s="47">
        <f>IF(C31*C60*parametros_manuales!$M$19*parametros_manuales!$B$6=0,0,'Demanda puesto con sobrestock'!$P$30/(parametros_manuales!$M$19*C31*C60*parametros_manuales!$B$6))</f>
        <v>0.10886</v>
      </c>
      <c r="D2" s="47">
        <f>IF(D31*D60*parametros_manuales!$M$19*parametros_manuales!$B$6=0,0,'Demanda puesto con sobrestock'!$P$58/(parametros_manuales!$M$19*D31*D60*parametros_manuales!$B$6))</f>
        <v>0.23065</v>
      </c>
      <c r="E2" s="47">
        <f>IF(E31*E60*parametros_manuales!$M$19*parametros_manuales!$B$6=0,0,'Demanda puesto con sobrestock'!$P$86/(parametros_manuales!$M$19*E31*E60*parametros_manuales!$B$6))</f>
        <v>0.5101</v>
      </c>
      <c r="F2" s="48">
        <f>IF(F31*F60*parametros_manuales!$M$19*parametros_manuales!$B$6=0,0,'Demanda puesto con sobrestock'!$P$114/(parametros_manuales!$M$19*F31*F60*parametros_manuales!$B$6))</f>
        <v>0.8885</v>
      </c>
      <c r="G2" s="62">
        <f>IF(G31*G60*parametros_manuales!$M$19*parametros_manuales!$B$6=0,0,'Demanda puesto con sobrestock'!$P$142/(parametros_manuales!$M$19*G31*G60*parametros_manuales!$B$6))</f>
        <v>1.24767</v>
      </c>
      <c r="H2" s="49">
        <f>IF(H31*H60*parametros_manuales!$M$19*parametros_manuales!$B$6=0,0,'Demanda puesto con sobrestock'!$P$170/(parametros_manuales!$M$19*H31*H60*parametros_manuales!$B$6))</f>
        <v>1.71985</v>
      </c>
      <c r="I2" s="62">
        <f>IF(I31*I60*parametros_manuales!$M$19*parametros_manuales!$B$6=0,0,'Demanda puesto con sobrestock'!$P$198/(parametros_manuales!$M$19*I31*I60*parametros_manuales!$B$6))</f>
        <v>2.196</v>
      </c>
      <c r="J2" s="47">
        <f>IF(J31*J60*parametros_manuales!$M$19*parametros_manuales!$B$6=0,0,'Demanda puesto con sobrestock'!$P$226/(parametros_manuales!$M$19*J31*J60*parametros_manuales!$B$6))</f>
        <v>2.47753</v>
      </c>
      <c r="K2" s="47">
        <f>IF(K31*K60*parametros_manuales!$M$19*parametros_manuales!$B$6=0,0,'Demanda puesto con sobrestock'!$P$254/(parametros_manuales!$M$19*K31*K60*parametros_manuales!$B$6))</f>
        <v>2.86143</v>
      </c>
      <c r="L2" s="16"/>
      <c r="M2" s="16"/>
      <c r="N2" s="16"/>
      <c r="O2" s="16"/>
    </row>
    <row r="3" ht="14.25" customHeight="1">
      <c r="A3" s="4" t="str">
        <f>parametros_manuales!$B$20</f>
        <v>Corte de chapa — 1.er corte en franjas (guillotina 1)</v>
      </c>
      <c r="B3" s="47">
        <f>IF(B32*B61*parametros_manuales!$M$20*parametros_manuales!$B$6=0,0,'Demanda puesto con sobrestock'!$P$3/(parametros_manuales!$M$20*B32*B61*parametros_manuales!$B$6))</f>
        <v>0.03450863236</v>
      </c>
      <c r="C3" s="47">
        <f>IF(C32*C61*parametros_manuales!$M$20*parametros_manuales!$B$6=0,0,'Demanda puesto con sobrestock'!$P$31/(parametros_manuales!$M$20*C32*C61*parametros_manuales!$B$6))</f>
        <v>0.05473713709</v>
      </c>
      <c r="D3" s="47">
        <f>IF(D32*D61*parametros_manuales!$M$20*parametros_manuales!$B$6=0,0,'Demanda puesto con sobrestock'!$P$59/(parametros_manuales!$M$20*D32*D61*parametros_manuales!$B$6))</f>
        <v>0.1159757548</v>
      </c>
      <c r="E3" s="47">
        <f>IF(E32*E61*parametros_manuales!$M$20*parametros_manuales!$B$6=0,0,'Demanda puesto con sobrestock'!$P$87/(parametros_manuales!$M$20*E32*E61*parametros_manuales!$B$6))</f>
        <v>0.2564891938</v>
      </c>
      <c r="F3" s="47">
        <f>IF(F32*F61*parametros_manuales!$M$20*parametros_manuales!$B$6=0,0,'Demanda puesto con sobrestock'!$P$115/(parametros_manuales!$M$20*F32*F61*parametros_manuales!$B$6))</f>
        <v>0.4467568097</v>
      </c>
      <c r="G3" s="47">
        <f>IF(G32*G61*parametros_manuales!$M$20*parametros_manuales!$B$6=0,0,'Demanda puesto con sobrestock'!$P$143/(parametros_manuales!$M$20*G32*G61*parametros_manuales!$B$6))</f>
        <v>0.6273551703</v>
      </c>
      <c r="H3" s="47">
        <f>IF(H32*H61*parametros_manuales!$M$20*parametros_manuales!$B$6=0,0,'Demanda puesto con sobrestock'!$P$171/(parametros_manuales!$M$20*H32*H61*parametros_manuales!$B$6))</f>
        <v>0.8647773767</v>
      </c>
      <c r="I3" s="49">
        <f>IF(I32*I61*parametros_manuales!$M$20*parametros_manuales!$B$6=0,0,'Demanda puesto con sobrestock'!$P$199/(parametros_manuales!$M$20*I32*I61*parametros_manuales!$B$6))</f>
        <v>1.104195784</v>
      </c>
      <c r="J3" s="47">
        <f>IF(J32*J61*parametros_manuales!$M$20*parametros_manuales!$B$6=0,0,'Demanda puesto con sobrestock'!$P$227/(parametros_manuales!$M$20*J32*J61*parametros_manuales!$B$6))</f>
        <v>1.245755092</v>
      </c>
      <c r="K3" s="47">
        <f>IF(K32*K61*parametros_manuales!$M$20*parametros_manuales!$B$6=0,0,'Demanda puesto con sobrestock'!$P$255/(parametros_manuales!$M$20*K32*K61*parametros_manuales!$B$6))</f>
        <v>1.438788225</v>
      </c>
      <c r="L3" s="16"/>
      <c r="M3" s="16"/>
      <c r="N3" s="16"/>
      <c r="O3" s="16"/>
    </row>
    <row r="4" ht="14.25" customHeight="1">
      <c r="A4" s="4" t="str">
        <f>parametros_manuales!$B$21</f>
        <v>Corte de chapa — 2.º corte en piezas (guillotina 2)</v>
      </c>
      <c r="B4" s="47">
        <f>IF(B33*B62*parametros_manuales!$M$21*parametros_manuales!$B$6=0,0,'Demanda puesto con sobrestock'!$P$4/(parametros_manuales!$M$21*B33*B62*parametros_manuales!$B$6))</f>
        <v>0.02656958469</v>
      </c>
      <c r="C4" s="47">
        <f>IF(C33*C62*parametros_manuales!$M$21*parametros_manuales!$B$6=0,0,'Demanda puesto con sobrestock'!$P$32/(parametros_manuales!$M$21*C33*C62*parametros_manuales!$B$6))</f>
        <v>0.04214432448</v>
      </c>
      <c r="D4" s="47">
        <f>IF(D33*D62*parametros_manuales!$M$21*parametros_manuales!$B$6=0,0,'Demanda puesto con sobrestock'!$P$60/(parametros_manuales!$M$21*D33*D62*parametros_manuales!$B$6))</f>
        <v>0.08929440053</v>
      </c>
      <c r="E4" s="47">
        <f>IF(E33*E62*parametros_manuales!$M$21*parametros_manuales!$B$6=0,0,'Demanda puesto con sobrestock'!$P$88/(parametros_manuales!$M$21*E33*E62*parametros_manuales!$B$6))</f>
        <v>0.1974813514</v>
      </c>
      <c r="F4" s="47">
        <f>IF(F33*F62*parametros_manuales!$M$21*parametros_manuales!$B$6=0,0,'Demanda puesto con sobrestock'!$P$116/(parametros_manuales!$M$21*F33*F62*parametros_manuales!$B$6))</f>
        <v>0.3439760454</v>
      </c>
      <c r="G4" s="47">
        <f>IF(G33*G62*parametros_manuales!$M$21*parametros_manuales!$B$6=0,0,'Demanda puesto con sobrestock'!$P$144/(parametros_manuales!$M$21*G33*G62*parametros_manuales!$B$6))</f>
        <v>0.4830259905</v>
      </c>
      <c r="H4" s="47">
        <f>IF(H33*H62*parametros_manuales!$M$21*parametros_manuales!$B$6=0,0,'Demanda puesto con sobrestock'!$P$172/(parametros_manuales!$M$21*H33*H62*parametros_manuales!$B$6))</f>
        <v>0.6658269012</v>
      </c>
      <c r="I4" s="49">
        <f>IF(I33*I62*parametros_manuales!$M$21*parametros_manuales!$B$6=0,0,'Demanda puesto con sobrestock'!$P$200/(parametros_manuales!$M$21*I33*I62*parametros_manuales!$B$6))</f>
        <v>0.8501647673</v>
      </c>
      <c r="J4" s="47">
        <f>IF(J33*J62*parametros_manuales!$M$21*parametros_manuales!$B$6=0,0,'Demanda puesto con sobrestock'!$P$228/(parametros_manuales!$M$21*J33*J62*parametros_manuales!$B$6))</f>
        <v>0.9591569744</v>
      </c>
      <c r="K4" s="47">
        <f>IF(K33*K62*parametros_manuales!$M$21*parametros_manuales!$B$6=0,0,'Demanda puesto con sobrestock'!$P$256/(parametros_manuales!$M$21*K33*K62*parametros_manuales!$B$6))</f>
        <v>1.107780952</v>
      </c>
      <c r="L4" s="16"/>
      <c r="M4" s="16"/>
      <c r="N4" s="16"/>
      <c r="O4" s="16"/>
    </row>
    <row r="5" ht="14.25" customHeight="1">
      <c r="A5" s="4" t="str">
        <f>parametros_manuales!$B$22</f>
        <v>Corte de disco y embutido (cúpula y fondo)</v>
      </c>
      <c r="B5" s="47">
        <f>IF(B34*B63*parametros_manuales!$M$22*parametros_manuales!$B$6=0,0,'Demanda puesto con sobrestock'!$P$5/(parametros_manuales!$M$22*B34*B63*parametros_manuales!$B$6))</f>
        <v>0.02691372549</v>
      </c>
      <c r="C5" s="47">
        <f>IF(C34*C63*parametros_manuales!$M$22*parametros_manuales!$B$6=0,0,'Demanda puesto con sobrestock'!$P$33/(parametros_manuales!$M$22*C34*C63*parametros_manuales!$B$6))</f>
        <v>0.04269019608</v>
      </c>
      <c r="D5" s="47">
        <f>IF(D34*D63*parametros_manuales!$M$22*parametros_manuales!$B$6=0,0,'Demanda puesto con sobrestock'!$P$61/(parametros_manuales!$M$22*D34*D63*parametros_manuales!$B$6))</f>
        <v>0.09045098039</v>
      </c>
      <c r="E5" s="47">
        <f>IF(E34*E63*parametros_manuales!$M$22*parametros_manuales!$B$6=0,0,'Demanda puesto con sobrestock'!$P$89/(parametros_manuales!$M$22*E34*E63*parametros_manuales!$B$6))</f>
        <v>0.2000392157</v>
      </c>
      <c r="F5" s="47">
        <f>IF(F34*F63*parametros_manuales!$M$22*parametros_manuales!$B$6=0,0,'Demanda puesto con sobrestock'!$P$117/(parametros_manuales!$M$22*F34*F63*parametros_manuales!$B$6))</f>
        <v>0.3484313725</v>
      </c>
      <c r="G5" s="47">
        <f>IF(G34*G63*parametros_manuales!$M$22*parametros_manuales!$B$6=0,0,'Demanda puesto con sobrestock'!$P$145/(parametros_manuales!$M$22*G34*G63*parametros_manuales!$B$6))</f>
        <v>0.4892823529</v>
      </c>
      <c r="H5" s="47">
        <f>IF(H34*H63*parametros_manuales!$M$22*parametros_manuales!$B$6=0,0,'Demanda puesto con sobrestock'!$P$173/(parametros_manuales!$M$22*H34*H63*parametros_manuales!$B$6))</f>
        <v>0.6744509804</v>
      </c>
      <c r="I5" s="49">
        <f>IF(I34*I63*parametros_manuales!$M$22*parametros_manuales!$B$6=0,0,'Demanda puesto con sobrestock'!$P$201/(parametros_manuales!$M$22*I34*I63*parametros_manuales!$B$6))</f>
        <v>0.8611764706</v>
      </c>
      <c r="J5" s="47">
        <f>IF(J34*J63*parametros_manuales!$M$22*parametros_manuales!$B$6=0,0,'Demanda puesto con sobrestock'!$P$229/(parametros_manuales!$M$22*J34*J63*parametros_manuales!$B$6))</f>
        <v>0.9715803922</v>
      </c>
      <c r="K5" s="47">
        <f>IF(K34*K63*parametros_manuales!$M$22*parametros_manuales!$B$6=0,0,'Demanda puesto con sobrestock'!$P$257/(parametros_manuales!$M$22*K34*K63*parametros_manuales!$B$6))</f>
        <v>1.122129412</v>
      </c>
      <c r="L5" s="16"/>
      <c r="M5" s="16"/>
      <c r="N5" s="16"/>
      <c r="O5" s="16"/>
    </row>
    <row r="6" ht="14.25" customHeight="1">
      <c r="A6" s="4" t="str">
        <f>parametros_manuales!$B$23</f>
        <v>Preparación de cuello</v>
      </c>
      <c r="B6" s="47">
        <f>IF(B35*B64*parametros_manuales!$M$23*parametros_manuales!$B$6=0,0,'Demanda puesto con sobrestock'!$P$6/(parametros_manuales!$M$23*B35*B64*parametros_manuales!$B$6))</f>
        <v>0.06863</v>
      </c>
      <c r="C6" s="47">
        <f>IF(C35*C64*parametros_manuales!$M$23*parametros_manuales!$B$6=0,0,'Demanda puesto con sobrestock'!$P$34/(parametros_manuales!$M$23*C35*C64*parametros_manuales!$B$6))</f>
        <v>0.10886</v>
      </c>
      <c r="D6" s="47">
        <f>IF(D35*D64*parametros_manuales!$M$23*parametros_manuales!$B$6=0,0,'Demanda puesto con sobrestock'!$P$62/(parametros_manuales!$M$23*D35*D64*parametros_manuales!$B$6))</f>
        <v>0.23065</v>
      </c>
      <c r="E6" s="47">
        <f>IF(E35*E64*parametros_manuales!$M$23*parametros_manuales!$B$6=0,0,'Demanda puesto con sobrestock'!$P$90/(parametros_manuales!$M$23*E35*E64*parametros_manuales!$B$6))</f>
        <v>0.5101</v>
      </c>
      <c r="F6" s="62">
        <f>IF(F35*F64*parametros_manuales!$M$23*parametros_manuales!$B$6=0,0,'Demanda puesto con sobrestock'!$P$118/(parametros_manuales!$M$23*F35*F64*parametros_manuales!$B$6))</f>
        <v>0.8885</v>
      </c>
      <c r="G6" s="50">
        <f>IF(G35*G64*parametros_manuales!$M$23*parametros_manuales!$B$6=0,0,'Demanda puesto con sobrestock'!$P$146/(parametros_manuales!$M$23*G35*G64*parametros_manuales!$B$6))</f>
        <v>1.24767</v>
      </c>
      <c r="H6" s="62">
        <f>IF(H35*H64*parametros_manuales!$M$23*parametros_manuales!$B$6=0,0,'Demanda puesto con sobrestock'!$P$174/(parametros_manuales!$M$23*H35*H64*parametros_manuales!$B$6))</f>
        <v>1.71985</v>
      </c>
      <c r="I6" s="49">
        <f>IF(I35*I64*parametros_manuales!$M$23*parametros_manuales!$B$6=0,0,'Demanda puesto con sobrestock'!$P$202/(parametros_manuales!$M$23*I35*I64*parametros_manuales!$B$6))</f>
        <v>2.196</v>
      </c>
      <c r="J6" s="47">
        <f>IF(J35*J64*parametros_manuales!$M$23*parametros_manuales!$B$6=0,0,'Demanda puesto con sobrestock'!$P$230/(parametros_manuales!$M$23*J35*J64*parametros_manuales!$B$6))</f>
        <v>2.47753</v>
      </c>
      <c r="K6" s="47">
        <f>IF(K35*K64*parametros_manuales!$M$23*parametros_manuales!$B$6=0,0,'Demanda puesto con sobrestock'!$P$258/(parametros_manuales!$M$23*K35*K64*parametros_manuales!$B$6))</f>
        <v>2.86143</v>
      </c>
      <c r="L6" s="16"/>
      <c r="M6" s="16"/>
      <c r="N6" s="16"/>
      <c r="O6" s="16"/>
    </row>
    <row r="7" ht="14.25" customHeight="1">
      <c r="A7" s="4" t="str">
        <f>parametros_manuales!$B$24</f>
        <v>Numerado de cúpula</v>
      </c>
      <c r="B7" s="47">
        <f>IF(B36*B65*parametros_manuales!$M$24*parametros_manuales!$B$6=0,0,'Demanda puesto con sobrestock'!$P$7/(parametros_manuales!$M$24*B36*B65*parametros_manuales!$B$6))</f>
        <v>0.02287666667</v>
      </c>
      <c r="C7" s="47">
        <f>IF(C36*C65*parametros_manuales!$M$24*parametros_manuales!$B$6=0,0,'Demanda puesto con sobrestock'!$P$35/(parametros_manuales!$M$24*C36*C65*parametros_manuales!$B$6))</f>
        <v>0.03628666667</v>
      </c>
      <c r="D7" s="47">
        <f>IF(D36*D65*parametros_manuales!$M$24*parametros_manuales!$B$6=0,0,'Demanda puesto con sobrestock'!$P$63/(parametros_manuales!$M$24*D36*D65*parametros_manuales!$B$6))</f>
        <v>0.07688333333</v>
      </c>
      <c r="E7" s="47">
        <f>IF(E36*E65*parametros_manuales!$M$24*parametros_manuales!$B$6=0,0,'Demanda puesto con sobrestock'!$P$91/(parametros_manuales!$M$24*E36*E65*parametros_manuales!$B$6))</f>
        <v>0.1700333333</v>
      </c>
      <c r="F7" s="47">
        <f>IF(F36*F65*parametros_manuales!$M$24*parametros_manuales!$B$6=0,0,'Demanda puesto con sobrestock'!$P$119/(parametros_manuales!$M$24*F36*F65*parametros_manuales!$B$6))</f>
        <v>0.2961666667</v>
      </c>
      <c r="G7" s="47">
        <f>IF(G36*G65*parametros_manuales!$M$24*parametros_manuales!$B$6=0,0,'Demanda puesto con sobrestock'!$P$147/(parametros_manuales!$M$24*G36*G65*parametros_manuales!$B$6))</f>
        <v>0.41589</v>
      </c>
      <c r="H7" s="47">
        <f>IF(H36*H65*parametros_manuales!$M$24*parametros_manuales!$B$6=0,0,'Demanda puesto con sobrestock'!$P$175/(parametros_manuales!$M$24*H36*H65*parametros_manuales!$B$6))</f>
        <v>0.5732833333</v>
      </c>
      <c r="I7" s="63">
        <f>IF(I36*I65*parametros_manuales!$M$24*parametros_manuales!$B$6=0,0,'Demanda puesto con sobrestock'!$P$203/(parametros_manuales!$M$24*I36*I65*parametros_manuales!$B$6))</f>
        <v>0.732</v>
      </c>
      <c r="J7" s="47">
        <f>IF(J36*J65*parametros_manuales!$M$24*parametros_manuales!$B$6=0,0,'Demanda puesto con sobrestock'!$P$231/(parametros_manuales!$M$24*J36*J65*parametros_manuales!$B$6))</f>
        <v>0.8258433333</v>
      </c>
      <c r="K7" s="47">
        <f>IF(K36*K65*parametros_manuales!$M$24*parametros_manuales!$B$6=0,0,'Demanda puesto con sobrestock'!$P$259/(parametros_manuales!$M$24*K36*K65*parametros_manuales!$B$6))</f>
        <v>0.95381</v>
      </c>
      <c r="L7" s="16"/>
      <c r="M7" s="52" t="s">
        <v>213</v>
      </c>
      <c r="N7" s="16"/>
      <c r="O7" s="16"/>
    </row>
    <row r="8" ht="14.25" customHeight="1">
      <c r="A8" s="4" t="str">
        <f>parametros_manuales!$B$25</f>
        <v>Soldadura del cuello a la cúpula</v>
      </c>
      <c r="B8" s="47">
        <f>IF(B37*B66*parametros_manuales!$M$25*parametros_manuales!$B$6=0,0,'Demanda puesto con sobrestock'!$P$8/(parametros_manuales!$M$25*B37*B66*parametros_manuales!$B$6))</f>
        <v>0.02937928082</v>
      </c>
      <c r="C8" s="47">
        <f>IF(C37*C66*parametros_manuales!$M$25*parametros_manuales!$B$6=0,0,'Demanda puesto con sobrestock'!$P$36/(parametros_manuales!$M$25*C37*C66*parametros_manuales!$B$6))</f>
        <v>0.0466010274</v>
      </c>
      <c r="D8" s="47">
        <f>IF(D37*D66*parametros_manuales!$M$25*parametros_manuales!$B$6=0,0,'Demanda puesto con sobrestock'!$P$64/(parametros_manuales!$M$25*D37*D66*parametros_manuales!$B$6))</f>
        <v>0.09873715753</v>
      </c>
      <c r="E8" s="47">
        <f>IF(E37*E66*parametros_manuales!$M$25*parametros_manuales!$B$6=0,0,'Demanda puesto con sobrestock'!$P$92/(parametros_manuales!$M$25*E37*E66*parametros_manuales!$B$6))</f>
        <v>0.218364726</v>
      </c>
      <c r="F8" s="47">
        <f>IF(F37*F66*parametros_manuales!$M$25*parametros_manuales!$B$6=0,0,'Demanda puesto con sobrestock'!$P$120/(parametros_manuales!$M$25*F37*F66*parametros_manuales!$B$6))</f>
        <v>0.3803510274</v>
      </c>
      <c r="G8" s="47">
        <f>IF(G37*G66*parametros_manuales!$M$25*parametros_manuales!$B$6=0,0,'Demanda puesto con sobrestock'!$P$148/(parametros_manuales!$M$25*G37*G66*parametros_manuales!$B$6))</f>
        <v>0.5341053082</v>
      </c>
      <c r="H8" s="62">
        <f>IF(H37*H66*parametros_manuales!$M$25*parametros_manuales!$B$6=0,0,'Demanda puesto con sobrestock'!$P$176/(parametros_manuales!$M$25*H37*H66*parametros_manuales!$B$6))</f>
        <v>0.7362371575</v>
      </c>
      <c r="I8" s="49">
        <f>IF(I37*I66*parametros_manuales!$M$25*parametros_manuales!$B$6=0,0,'Demanda puesto con sobrestock'!$P$204/(parametros_manuales!$M$25*I37*I66*parametros_manuales!$B$6))</f>
        <v>0.9400684932</v>
      </c>
      <c r="J8" s="47">
        <f>IF(J37*J66*parametros_manuales!$M$25*parametros_manuales!$B$6=0,0,'Demanda puesto con sobrestock'!$P$232/(parametros_manuales!$M$25*J37*J66*parametros_manuales!$B$6))</f>
        <v>1.060586473</v>
      </c>
      <c r="K8" s="47">
        <f>IF(K37*K66*parametros_manuales!$M$25*parametros_manuales!$B$6=0,0,'Demanda puesto con sobrestock'!$P$260/(parametros_manuales!$M$25*K37*K66*parametros_manuales!$B$6))</f>
        <v>1.224927226</v>
      </c>
      <c r="L8" s="16"/>
      <c r="M8" s="53" t="s">
        <v>214</v>
      </c>
      <c r="N8" s="16"/>
      <c r="O8" s="16"/>
    </row>
    <row r="9" ht="14.25" customHeight="1">
      <c r="A9" s="4" t="str">
        <f>parametros_manuales!$B$26</f>
        <v>Cilindrado</v>
      </c>
      <c r="B9" s="47">
        <f>IF(B38*B67*parametros_manuales!$M$26*parametros_manuales!$B$6=0,0,'Demanda puesto con sobrestock'!$P$9/(parametros_manuales!$M$26*B38*B67*parametros_manuales!$B$6))</f>
        <v>0.01738935811</v>
      </c>
      <c r="C9" s="47">
        <f>IF(C38*C67*parametros_manuales!$M$26*parametros_manuales!$B$6=0,0,'Demanda puesto con sobrestock'!$P$37/(parametros_manuales!$M$26*C38*C67*parametros_manuales!$B$6))</f>
        <v>0.02758277027</v>
      </c>
      <c r="D9" s="47">
        <f>IF(D38*D67*parametros_manuales!$M$26*parametros_manuales!$B$6=0,0,'Demanda puesto con sobrestock'!$P$65/(parametros_manuales!$M$26*D38*D67*parametros_manuales!$B$6))</f>
        <v>0.05844172297</v>
      </c>
      <c r="E9" s="47">
        <f>IF(E38*E67*parametros_manuales!$M$26*parametros_manuales!$B$6=0,0,'Demanda puesto con sobrestock'!$P$93/(parametros_manuales!$M$26*E38*E67*parametros_manuales!$B$6))</f>
        <v>0.1292483108</v>
      </c>
      <c r="F9" s="47">
        <f>IF(F38*F67*parametros_manuales!$M$26*parametros_manuales!$B$6=0,0,'Demanda puesto con sobrestock'!$P$121/(parametros_manuales!$M$26*F38*F67*parametros_manuales!$B$6))</f>
        <v>0.2251266892</v>
      </c>
      <c r="G9" s="47">
        <f>IF(G38*G67*parametros_manuales!$M$26*parametros_manuales!$B$6=0,0,'Demanda puesto con sobrestock'!$P$149/(parametros_manuales!$M$26*G38*G67*parametros_manuales!$B$6))</f>
        <v>0.3161326014</v>
      </c>
      <c r="H9" s="47">
        <f>IF(H38*H67*parametros_manuales!$M$26*parametros_manuales!$B$6=0,0,'Demanda puesto con sobrestock'!$P$177/(parametros_manuales!$M$26*H38*H67*parametros_manuales!$B$6))</f>
        <v>0.4357728041</v>
      </c>
      <c r="I9" s="49">
        <f>IF(I38*I67*parametros_manuales!$M$26*parametros_manuales!$B$6=0,0,'Demanda puesto con sobrestock'!$P$205/(parametros_manuales!$M$26*I38*I67*parametros_manuales!$B$6))</f>
        <v>0.5564189189</v>
      </c>
      <c r="J9" s="47">
        <f>IF(J38*J67*parametros_manuales!$M$26*parametros_manuales!$B$6=0,0,'Demanda puesto con sobrestock'!$P$233/(parametros_manuales!$M$26*J38*J67*parametros_manuales!$B$6))</f>
        <v>0.6277525338</v>
      </c>
      <c r="K9" s="47">
        <f>IF(K38*K67*parametros_manuales!$M$26*parametros_manuales!$B$6=0,0,'Demanda puesto con sobrestock'!$P$261/(parametros_manuales!$M$26*K38*K67*parametros_manuales!$B$6))</f>
        <v>0.7250244932</v>
      </c>
      <c r="L9" s="16"/>
      <c r="M9" s="54" t="s">
        <v>215</v>
      </c>
      <c r="N9" s="16"/>
      <c r="O9" s="16"/>
    </row>
    <row r="10" ht="14.25" customHeight="1">
      <c r="A10" s="4" t="str">
        <f>parametros_manuales!$B$27</f>
        <v>Soldadura longitudinal — 2,5 a 10 kg</v>
      </c>
      <c r="B10" s="47">
        <f>IF(B39*B68*parametros_manuales!$M$27*parametros_manuales!$B$6=0,0,'Demanda puesto con sobrestock'!$P$10/(parametros_manuales!$M$27*B39*B68*parametros_manuales!$B$6))</f>
        <v>0.05213851351</v>
      </c>
      <c r="C10" s="47">
        <f>IF(C39*C68*parametros_manuales!$M$27*parametros_manuales!$B$6=0,0,'Demanda puesto con sobrestock'!$P$38/(parametros_manuales!$M$27*C39*C68*parametros_manuales!$B$6))</f>
        <v>0.09497212838</v>
      </c>
      <c r="D10" s="47">
        <f>IF(D39*D68*parametros_manuales!$M$27*parametros_manuales!$B$6=0,0,'Demanda puesto con sobrestock'!$P$66/(parametros_manuales!$M$27*D39*D68*parametros_manuales!$B$6))</f>
        <v>0.1661089527</v>
      </c>
      <c r="E10" s="47">
        <f>IF(E39*E68*parametros_manuales!$M$27*parametros_manuales!$B$6=0,0,'Demanda puesto con sobrestock'!$P$94/(parametros_manuales!$M$27*E39*E68*parametros_manuales!$B$6))</f>
        <v>0.3078581081</v>
      </c>
      <c r="F10" s="47">
        <f>IF(F39*F68*parametros_manuales!$M$27*parametros_manuales!$B$6=0,0,'Demanda puesto con sobrestock'!$P$122/(parametros_manuales!$M$27*F39*F68*parametros_manuales!$B$6))</f>
        <v>0.5193260135</v>
      </c>
      <c r="G10" s="47">
        <f>IF(G39*G68*parametros_manuales!$M$27*parametros_manuales!$B$6=0,0,'Demanda puesto con sobrestock'!$P$150/(parametros_manuales!$M$27*G39*G68*parametros_manuales!$B$6))</f>
        <v>0.7278217905</v>
      </c>
      <c r="H10" s="62">
        <f>IF(H39*H68*parametros_manuales!$M$27*parametros_manuales!$B$6=0,0,'Demanda puesto con sobrestock'!$P$178/(parametros_manuales!$M$27*H39*H68*parametros_manuales!$B$6))</f>
        <v>0.9773251689</v>
      </c>
      <c r="I10" s="49">
        <f>IF(I39*I68*parametros_manuales!$M$27*parametros_manuales!$B$6=0,0,'Demanda puesto con sobrestock'!$P$206/(parametros_manuales!$M$27*I39*I68*parametros_manuales!$B$6))</f>
        <v>1.232889358</v>
      </c>
      <c r="J10" s="47">
        <f>IF(J39*J68*parametros_manuales!$M$27*parametros_manuales!$B$6=0,0,'Demanda puesto con sobrestock'!$P$234/(parametros_manuales!$M$27*J39*J68*parametros_manuales!$B$6))</f>
        <v>1.405641892</v>
      </c>
      <c r="K10" s="47">
        <f>IF(K39*K68*parametros_manuales!$M$27*parametros_manuales!$B$6=0,0,'Demanda puesto con sobrestock'!$P$262/(parametros_manuales!$M$27*K39*K68*parametros_manuales!$B$6))</f>
        <v>1.622471284</v>
      </c>
      <c r="L10" s="16"/>
      <c r="M10" s="55" t="s">
        <v>216</v>
      </c>
      <c r="N10" s="16"/>
      <c r="O10" s="16"/>
    </row>
    <row r="11" ht="14.25" customHeight="1">
      <c r="A11" s="4" t="str">
        <f>parametros_manuales!$B$28</f>
        <v>Soldadura longitudinal TIG — 1 kg</v>
      </c>
      <c r="B11" s="47">
        <f>IF(B40*B69*parametros_manuales!$M$28*parametros_manuales!$B$6=0,0,'Demanda puesto con sobrestock'!$P$11/(parametros_manuales!$M$28*B40*B69*parametros_manuales!$B$6))</f>
        <v>0.020895</v>
      </c>
      <c r="C11" s="47">
        <f>IF(C40*C69*parametros_manuales!$M$28*parametros_manuales!$B$6=0,0,'Demanda puesto con sobrestock'!$P$39/(parametros_manuales!$M$28*C40*C69*parametros_manuales!$B$6))</f>
        <v>0.029985</v>
      </c>
      <c r="D11" s="47">
        <f>IF(D40*D69*parametros_manuales!$M$28*parametros_manuales!$B$6=0,0,'Demanda puesto con sobrestock'!$P$67/(parametros_manuales!$M$28*D40*D69*parametros_manuales!$B$6))</f>
        <v>0.07257</v>
      </c>
      <c r="E11" s="47">
        <f>IF(E40*E69*parametros_manuales!$M$28*parametros_manuales!$B$6=0,0,'Demanda puesto con sobrestock'!$P$95/(parametros_manuales!$M$28*E40*E69*parametros_manuales!$B$6))</f>
        <v>0.17581</v>
      </c>
      <c r="F11" s="47">
        <f>IF(F40*F69*parametros_manuales!$M$28*parametros_manuales!$B$6=0,0,'Demanda puesto con sobrestock'!$P$123/(parametros_manuales!$M$28*F40*F69*parametros_manuales!$B$6))</f>
        <v>0.31058</v>
      </c>
      <c r="G11" s="47">
        <f>IF(G40*G69*parametros_manuales!$M$28*parametros_manuales!$B$6=0,0,'Demanda puesto con sobrestock'!$P$151/(parametros_manuales!$M$28*G40*G69*parametros_manuales!$B$6))</f>
        <v>0.4365</v>
      </c>
      <c r="H11" s="62">
        <f>IF(H40*H69*parametros_manuales!$M$28*parametros_manuales!$B$6=0,0,'Demanda puesto con sobrestock'!$P$179/(parametros_manuales!$M$28*H40*H69*parametros_manuales!$B$6))</f>
        <v>0.60837</v>
      </c>
      <c r="I11" s="49">
        <f>IF(I40*I69*parametros_manuales!$M$28*parametros_manuales!$B$6=0,0,'Demanda puesto con sobrestock'!$P$207/(parametros_manuales!$M$28*I40*I69*parametros_manuales!$B$6))</f>
        <v>0.780665</v>
      </c>
      <c r="J11" s="47">
        <f>IF(J40*J69*parametros_manuales!$M$28*parametros_manuales!$B$6=0,0,'Demanda puesto con sobrestock'!$P$235/(parametros_manuales!$M$28*J40*J69*parametros_manuales!$B$6))</f>
        <v>0.876965</v>
      </c>
      <c r="K11" s="47">
        <f>IF(K40*K69*parametros_manuales!$M$28*parametros_manuales!$B$6=0,0,'Demanda puesto con sobrestock'!$P$263/(parametros_manuales!$M$28*K40*K69*parametros_manuales!$B$6))</f>
        <v>1.013105</v>
      </c>
      <c r="L11" s="16"/>
      <c r="M11" s="56" t="s">
        <v>217</v>
      </c>
      <c r="N11" s="16"/>
      <c r="O11" s="16"/>
    </row>
    <row r="12" ht="14.25" customHeight="1">
      <c r="A12" s="4" t="str">
        <f>parametros_manuales!$B$29</f>
        <v>Encastre de fondo</v>
      </c>
      <c r="B12" s="47">
        <f>IF(B41*B70*parametros_manuales!$M$29*parametros_manuales!$B$6=0,0,'Demanda puesto con sobrestock'!$P$12/(parametros_manuales!$M$29*B41*B70*parametros_manuales!$B$6))</f>
        <v>0.03493608597</v>
      </c>
      <c r="C12" s="47">
        <f>IF(C41*C70*parametros_manuales!$M$29*parametros_manuales!$B$6=0,0,'Demanda puesto con sobrestock'!$P$40/(parametros_manuales!$M$29*C41*C70*parametros_manuales!$B$6))</f>
        <v>0.05541515837</v>
      </c>
      <c r="D12" s="47">
        <f>IF(D41*D70*parametros_manuales!$M$29*parametros_manuales!$B$6=0,0,'Demanda puesto con sobrestock'!$P$68/(parametros_manuales!$M$29*D41*D70*parametros_manuales!$B$6))</f>
        <v>0.1174123303</v>
      </c>
      <c r="E12" s="47">
        <f>IF(E41*E70*parametros_manuales!$M$29*parametros_manuales!$B$6=0,0,'Demanda puesto con sobrestock'!$P$96/(parametros_manuales!$M$29*E41*E70*parametros_manuales!$B$6))</f>
        <v>0.2596662896</v>
      </c>
      <c r="F12" s="47">
        <f>IF(F41*F70*parametros_manuales!$M$29*parametros_manuales!$B$6=0,0,'Demanda puesto con sobrestock'!$P$124/(parametros_manuales!$M$29*F41*F70*parametros_manuales!$B$6))</f>
        <v>0.452290724</v>
      </c>
      <c r="G12" s="47">
        <f>IF(G41*G70*parametros_manuales!$M$29*parametros_manuales!$B$6=0,0,'Demanda puesto con sobrestock'!$P$152/(parametros_manuales!$M$29*G41*G70*parametros_manuales!$B$6))</f>
        <v>0.6351261312</v>
      </c>
      <c r="H12" s="62">
        <f>IF(H41*H70*parametros_manuales!$M$29*parametros_manuales!$B$6=0,0,'Demanda puesto con sobrestock'!$P$180/(parametros_manuales!$M$29*H41*H70*parametros_manuales!$B$6))</f>
        <v>0.8754892534</v>
      </c>
      <c r="I12" s="49">
        <f>IF(I41*I70*parametros_manuales!$M$29*parametros_manuales!$B$6=0,0,'Demanda puesto con sobrestock'!$P$208/(parametros_manuales!$M$29*I41*I70*parametros_manuales!$B$6))</f>
        <v>1.117873303</v>
      </c>
      <c r="J12" s="47">
        <f>IF(J41*J70*parametros_manuales!$M$29*parametros_manuales!$B$6=0,0,'Demanda puesto con sobrestock'!$P$236/(parametros_manuales!$M$29*J41*J70*parametros_manuales!$B$6))</f>
        <v>1.261186086</v>
      </c>
      <c r="K12" s="47">
        <f>IF(K41*K70*parametros_manuales!$M$29*parametros_manuales!$B$6=0,0,'Demanda puesto con sobrestock'!$P$264/(parametros_manuales!$M$29*K41*K70*parametros_manuales!$B$6))</f>
        <v>1.456610294</v>
      </c>
      <c r="L12" s="16"/>
      <c r="M12" s="16"/>
      <c r="N12" s="16"/>
      <c r="O12" s="16"/>
    </row>
    <row r="13" ht="14.25" customHeight="1">
      <c r="A13" s="4" t="str">
        <f>parametros_manuales!$B$30</f>
        <v>Bordoneado</v>
      </c>
      <c r="B13" s="47">
        <f>IF(B42*B71*parametros_manuales!$M$30*parametros_manuales!$B$6=0,0,'Demanda puesto con sobrestock'!$P$13/(parametros_manuales!$M$30*B42*B71*parametros_manuales!$B$6))</f>
        <v>0.02329072398</v>
      </c>
      <c r="C13" s="47">
        <f>IF(C42*C71*parametros_manuales!$M$30*parametros_manuales!$B$6=0,0,'Demanda puesto con sobrestock'!$P$41/(parametros_manuales!$M$30*C42*C71*parametros_manuales!$B$6))</f>
        <v>0.03694343891</v>
      </c>
      <c r="D13" s="47">
        <f>IF(D42*D71*parametros_manuales!$M$30*parametros_manuales!$B$6=0,0,'Demanda puesto con sobrestock'!$P$69/(parametros_manuales!$M$30*D42*D71*parametros_manuales!$B$6))</f>
        <v>0.07827488688</v>
      </c>
      <c r="E13" s="47">
        <f>IF(E42*E71*parametros_manuales!$M$30*parametros_manuales!$B$6=0,0,'Demanda puesto con sobrestock'!$P$97/(parametros_manuales!$M$30*E42*E71*parametros_manuales!$B$6))</f>
        <v>0.1731108597</v>
      </c>
      <c r="F13" s="47">
        <f>IF(F42*F71*parametros_manuales!$M$30*parametros_manuales!$B$6=0,0,'Demanda puesto con sobrestock'!$P$125/(parametros_manuales!$M$30*F42*F71*parametros_manuales!$B$6))</f>
        <v>0.3015271493</v>
      </c>
      <c r="G13" s="47">
        <f>IF(G42*G71*parametros_manuales!$M$30*parametros_manuales!$B$6=0,0,'Demanda puesto con sobrestock'!$P$153/(parametros_manuales!$M$30*G42*G71*parametros_manuales!$B$6))</f>
        <v>0.4234174208</v>
      </c>
      <c r="H13" s="47">
        <f>IF(H42*H71*parametros_manuales!$M$30*parametros_manuales!$B$6=0,0,'Demanda puesto con sobrestock'!$P$181/(parametros_manuales!$M$30*H42*H71*parametros_manuales!$B$6))</f>
        <v>0.5836595023</v>
      </c>
      <c r="I13" s="49">
        <f>IF(I42*I71*parametros_manuales!$M$30*parametros_manuales!$B$6=0,0,'Demanda puesto con sobrestock'!$P$209/(parametros_manuales!$M$30*I42*I71*parametros_manuales!$B$6))</f>
        <v>0.7452488688</v>
      </c>
      <c r="J13" s="62">
        <f>IF(J42*J71*parametros_manuales!$M$30*parametros_manuales!$B$6=0,0,'Demanda puesto con sobrestock'!$P$237/(parametros_manuales!$M$30*J42*J71*parametros_manuales!$B$6))</f>
        <v>0.840790724</v>
      </c>
      <c r="K13" s="47">
        <f>IF(K42*K71*parametros_manuales!$M$30*parametros_manuales!$B$6=0,0,'Demanda puesto con sobrestock'!$P$265/(parametros_manuales!$M$30*K42*K71*parametros_manuales!$B$6))</f>
        <v>0.9710735294</v>
      </c>
      <c r="L13" s="16"/>
      <c r="M13" s="16"/>
      <c r="N13" s="16"/>
      <c r="O13" s="16"/>
    </row>
    <row r="14" ht="14.25" customHeight="1">
      <c r="A14" s="4" t="str">
        <f>parametros_manuales!$B$31</f>
        <v>Soldadura circunferencial de cúpula y fondo</v>
      </c>
      <c r="B14" s="47">
        <f>IF(B43*B72*parametros_manuales!$M$31*parametros_manuales!$B$6=0,0,'Demanda puesto con sobrestock'!$P$14/(parametros_manuales!$M$31*B43*B72*parametros_manuales!$B$6))</f>
        <v>0.06987217195</v>
      </c>
      <c r="C14" s="47">
        <f>IF(C43*C72*parametros_manuales!$M$31*parametros_manuales!$B$6=0,0,'Demanda puesto con sobrestock'!$P$42/(parametros_manuales!$M$31*C43*C72*parametros_manuales!$B$6))</f>
        <v>0.1108303167</v>
      </c>
      <c r="D14" s="47">
        <f>IF(D43*D72*parametros_manuales!$M$31*parametros_manuales!$B$6=0,0,'Demanda puesto con sobrestock'!$P$70/(parametros_manuales!$M$31*D43*D72*parametros_manuales!$B$6))</f>
        <v>0.2348246606</v>
      </c>
      <c r="E14" s="47">
        <f>IF(E43*E72*parametros_manuales!$M$31*parametros_manuales!$B$6=0,0,'Demanda puesto con sobrestock'!$P$98/(parametros_manuales!$M$31*E43*E72*parametros_manuales!$B$6))</f>
        <v>0.5193325792</v>
      </c>
      <c r="F14" s="62">
        <f>IF(F43*F72*parametros_manuales!$M$31*parametros_manuales!$B$6=0,0,'Demanda puesto con sobrestock'!$P$126/(parametros_manuales!$M$31*F43*F72*parametros_manuales!$B$6))</f>
        <v>0.904581448</v>
      </c>
      <c r="G14" s="50">
        <f>IF(G43*G72*parametros_manuales!$M$31*parametros_manuales!$B$6=0,0,'Demanda puesto con sobrestock'!$P$154/(parametros_manuales!$M$31*G43*G72*parametros_manuales!$B$6))</f>
        <v>1.270252262</v>
      </c>
      <c r="H14" s="62">
        <f>IF(H43*H72*parametros_manuales!$M$31*parametros_manuales!$B$6=0,0,'Demanda puesto con sobrestock'!$P$182/(parametros_manuales!$M$31*H43*H72*parametros_manuales!$B$6))</f>
        <v>1.750978507</v>
      </c>
      <c r="I14" s="49">
        <f>IF(I43*I72*parametros_manuales!$M$31*parametros_manuales!$B$6=0,0,'Demanda puesto con sobrestock'!$P$210/(parametros_manuales!$M$31*I43*I72*parametros_manuales!$B$6))</f>
        <v>2.235746606</v>
      </c>
      <c r="J14" s="47">
        <f>IF(J43*J72*parametros_manuales!$M$31*parametros_manuales!$B$6=0,0,'Demanda puesto con sobrestock'!$P$238/(parametros_manuales!$M$31*J43*J72*parametros_manuales!$B$6))</f>
        <v>2.522372172</v>
      </c>
      <c r="K14" s="47">
        <f>IF(K43*K72*parametros_manuales!$M$31*parametros_manuales!$B$6=0,0,'Demanda puesto con sobrestock'!$P$266/(parametros_manuales!$M$31*K43*K72*parametros_manuales!$B$6))</f>
        <v>2.913220588</v>
      </c>
      <c r="L14" s="16"/>
      <c r="M14" s="16"/>
      <c r="N14" s="16"/>
      <c r="O14" s="16"/>
    </row>
    <row r="15" ht="14.25" customHeight="1">
      <c r="A15" s="4" t="str">
        <f>parametros_manuales!$B$32</f>
        <v>Control de calidad — Espesor</v>
      </c>
      <c r="B15" s="47">
        <f>IF(B44*B73*parametros_manuales!$M$32*parametros_manuales!$B$6=0,0,'Demanda puesto con sobrestock'!$P$15/(parametros_manuales!$M$32*B44*B73*parametros_manuales!$B$6))</f>
        <v>0.0027452</v>
      </c>
      <c r="C15" s="47">
        <f>IF(C44*C73*parametros_manuales!$M$32*parametros_manuales!$B$6=0,0,'Demanda puesto con sobrestock'!$P$43/(parametros_manuales!$M$32*C44*C73*parametros_manuales!$B$6))</f>
        <v>0.0043544</v>
      </c>
      <c r="D15" s="47">
        <f>IF(D44*D73*parametros_manuales!$M$32*parametros_manuales!$B$6=0,0,'Demanda puesto con sobrestock'!$P$71/(parametros_manuales!$M$32*D44*D73*parametros_manuales!$B$6))</f>
        <v>0.009226</v>
      </c>
      <c r="E15" s="47">
        <f>IF(E44*E73*parametros_manuales!$M$32*parametros_manuales!$B$6=0,0,'Demanda puesto con sobrestock'!$P$99/(parametros_manuales!$M$32*E44*E73*parametros_manuales!$B$6))</f>
        <v>0.020404</v>
      </c>
      <c r="F15" s="47">
        <f>IF(F44*F73*parametros_manuales!$M$32*parametros_manuales!$B$6=0,0,'Demanda puesto con sobrestock'!$P$127/(parametros_manuales!$M$32*F44*F73*parametros_manuales!$B$6))</f>
        <v>0.03554</v>
      </c>
      <c r="G15" s="47">
        <f>IF(G44*G73*parametros_manuales!$M$32*parametros_manuales!$B$6=0,0,'Demanda puesto con sobrestock'!$P$155/(parametros_manuales!$M$32*G44*G73*parametros_manuales!$B$6))</f>
        <v>0.0499068</v>
      </c>
      <c r="H15" s="47">
        <f>IF(H44*H73*parametros_manuales!$M$32*parametros_manuales!$B$6=0,0,'Demanda puesto con sobrestock'!$P$183/(parametros_manuales!$M$32*H44*H73*parametros_manuales!$B$6))</f>
        <v>0.068794</v>
      </c>
      <c r="I15" s="47">
        <f>IF(I44*I73*parametros_manuales!$M$32*parametros_manuales!$B$6=0,0,'Demanda puesto con sobrestock'!$P$211/(parametros_manuales!$M$32*I44*I73*parametros_manuales!$B$6))</f>
        <v>0.08784</v>
      </c>
      <c r="J15" s="47">
        <f>IF(J44*J73*parametros_manuales!$M$32*parametros_manuales!$B$6=0,0,'Demanda puesto con sobrestock'!$P$239/(parametros_manuales!$M$32*J44*J73*parametros_manuales!$B$6))</f>
        <v>0.0991012</v>
      </c>
      <c r="K15" s="47">
        <f>IF(K44*K73*parametros_manuales!$M$32*parametros_manuales!$B$6=0,0,'Demanda puesto con sobrestock'!$P$267/(parametros_manuales!$M$32*K44*K73*parametros_manuales!$B$6))</f>
        <v>0.1144572</v>
      </c>
      <c r="L15" s="16"/>
      <c r="M15" s="16"/>
      <c r="N15" s="16"/>
      <c r="O15" s="16"/>
    </row>
    <row r="16" ht="14.25" customHeight="1">
      <c r="A16" s="4" t="str">
        <f>parametros_manuales!$B$33</f>
        <v>Prueba hidráulica</v>
      </c>
      <c r="B16" s="47">
        <f>IF(B45*B74*parametros_manuales!$M$33*parametros_manuales!$B$6=0,0,'Demanda puesto con sobrestock'!$P$16/(parametros_manuales!$M$33*B45*B74*parametros_manuales!$B$6))</f>
        <v>0.06987217195</v>
      </c>
      <c r="C16" s="47">
        <f>IF(C45*C74*parametros_manuales!$M$33*parametros_manuales!$B$6=0,0,'Demanda puesto con sobrestock'!$P$44/(parametros_manuales!$M$33*C45*C74*parametros_manuales!$B$6))</f>
        <v>0.1108303167</v>
      </c>
      <c r="D16" s="47">
        <f>IF(D45*D74*parametros_manuales!$M$33*parametros_manuales!$B$6=0,0,'Demanda puesto con sobrestock'!$P$72/(parametros_manuales!$M$33*D45*D74*parametros_manuales!$B$6))</f>
        <v>0.2348246606</v>
      </c>
      <c r="E16" s="47">
        <f>IF(E45*E74*parametros_manuales!$M$33*parametros_manuales!$B$6=0,0,'Demanda puesto con sobrestock'!$P$100/(parametros_manuales!$M$33*E45*E74*parametros_manuales!$B$6))</f>
        <v>0.5193325792</v>
      </c>
      <c r="F16" s="62">
        <f>IF(F45*F74*parametros_manuales!$M$33*parametros_manuales!$B$6=0,0,'Demanda puesto con sobrestock'!$P$128/(parametros_manuales!$M$33*F45*F74*parametros_manuales!$B$6))</f>
        <v>0.904581448</v>
      </c>
      <c r="G16" s="50">
        <f>IF(G45*G74*parametros_manuales!$M$33*parametros_manuales!$B$6=0,0,'Demanda puesto con sobrestock'!$P$156/(parametros_manuales!$M$33*G45*G74*parametros_manuales!$B$6))</f>
        <v>1.270252262</v>
      </c>
      <c r="H16" s="62">
        <f>IF(H45*H74*parametros_manuales!$M$33*parametros_manuales!$B$6=0,0,'Demanda puesto con sobrestock'!$P$184/(parametros_manuales!$M$33*H45*H74*parametros_manuales!$B$6))</f>
        <v>1.750978507</v>
      </c>
      <c r="I16" s="49">
        <f>IF(I45*I74*parametros_manuales!$M$33*parametros_manuales!$B$6=0,0,'Demanda puesto con sobrestock'!$P$212/(parametros_manuales!$M$33*I45*I74*parametros_manuales!$B$6))</f>
        <v>2.235746606</v>
      </c>
      <c r="J16" s="47">
        <f>IF(J45*J74*parametros_manuales!$M$33*parametros_manuales!$B$6=0,0,'Demanda puesto con sobrestock'!$P$240/(parametros_manuales!$M$33*J45*J74*parametros_manuales!$B$6))</f>
        <v>2.522372172</v>
      </c>
      <c r="K16" s="47">
        <f>IF(K45*K74*parametros_manuales!$M$33*parametros_manuales!$B$6=0,0,'Demanda puesto con sobrestock'!$P$268/(parametros_manuales!$M$33*K45*K74*parametros_manuales!$B$6))</f>
        <v>2.913220588</v>
      </c>
      <c r="L16" s="16"/>
      <c r="M16" s="16"/>
      <c r="N16" s="16"/>
      <c r="O16" s="16"/>
    </row>
    <row r="17" ht="14.25" customHeight="1">
      <c r="A17" s="4" t="str">
        <f>parametros_manuales!$B$34</f>
        <v>Secado</v>
      </c>
      <c r="B17" s="47">
        <f>IF(B46*B75*parametros_manuales!$M$34*parametros_manuales!$B$6=0,0,'Demanda puesto con sobrestock'!$P$17/(parametros_manuales!$M$34*B46*B75*parametros_manuales!$B$6))</f>
        <v>0.13726</v>
      </c>
      <c r="C17" s="47">
        <f>IF(C46*C75*parametros_manuales!$M$34*parametros_manuales!$B$6=0,0,'Demanda puesto con sobrestock'!$P$45/(parametros_manuales!$M$34*C46*C75*parametros_manuales!$B$6))</f>
        <v>0.21772</v>
      </c>
      <c r="D17" s="47">
        <f>IF(D46*D75*parametros_manuales!$M$34*parametros_manuales!$B$6=0,0,'Demanda puesto con sobrestock'!$P$73/(parametros_manuales!$M$34*D46*D75*parametros_manuales!$B$6))</f>
        <v>0.4613</v>
      </c>
      <c r="E17" s="50">
        <f>IF(E46*E75*parametros_manuales!$M$34*parametros_manuales!$B$6=0,0,'Demanda puesto con sobrestock'!$P$101/(parametros_manuales!$M$34*E46*E75*parametros_manuales!$B$6))</f>
        <v>1.0202</v>
      </c>
      <c r="F17" s="62">
        <f>IF(F46*F75*parametros_manuales!$M$34*parametros_manuales!$B$6=0,0,'Demanda puesto con sobrestock'!$P$129/(parametros_manuales!$M$34*F46*F75*parametros_manuales!$B$6))</f>
        <v>1.777</v>
      </c>
      <c r="G17" s="50">
        <f>IF(G46*G75*parametros_manuales!$M$34*parametros_manuales!$B$6=0,0,'Demanda puesto con sobrestock'!$P$157/(parametros_manuales!$M$34*G46*G75*parametros_manuales!$B$6))</f>
        <v>2.49534</v>
      </c>
      <c r="H17" s="50">
        <f>IF(H46*H75*parametros_manuales!$M$34*parametros_manuales!$B$6=0,0,'Demanda puesto con sobrestock'!$P$185/(parametros_manuales!$M$34*H46*H75*parametros_manuales!$B$6))</f>
        <v>3.4397</v>
      </c>
      <c r="I17" s="49">
        <f>IF(I46*I75*parametros_manuales!$M$34*parametros_manuales!$B$6=0,0,'Demanda puesto con sobrestock'!$P$213/(parametros_manuales!$M$34*I46*I75*parametros_manuales!$B$6))</f>
        <v>4.392</v>
      </c>
      <c r="J17" s="47">
        <f>IF(J46*J75*parametros_manuales!$M$34*parametros_manuales!$B$6=0,0,'Demanda puesto con sobrestock'!$P$241/(parametros_manuales!$M$34*J46*J75*parametros_manuales!$B$6))</f>
        <v>4.95506</v>
      </c>
      <c r="K17" s="47">
        <f>IF(K46*K75*parametros_manuales!$M$34*parametros_manuales!$B$6=0,0,'Demanda puesto con sobrestock'!$P$269/(parametros_manuales!$M$34*K46*K75*parametros_manuales!$B$6))</f>
        <v>5.72286</v>
      </c>
      <c r="L17" s="16"/>
      <c r="M17" s="16"/>
      <c r="N17" s="16"/>
      <c r="O17" s="16"/>
    </row>
    <row r="18" ht="14.25" customHeight="1">
      <c r="A18" s="4" t="str">
        <f>parametros_manuales!$B$35</f>
        <v>Granallado</v>
      </c>
      <c r="B18" s="47">
        <f>IF(B47*B76*parametros_manuales!$M$35*parametros_manuales!$B$6=0,0,'Demanda puesto con sobrestock'!$P$18/(parametros_manuales!$M$35*B47*B76*parametros_manuales!$B$6))</f>
        <v>0.034315</v>
      </c>
      <c r="C18" s="47">
        <f>IF(C47*C76*parametros_manuales!$M$35*parametros_manuales!$B$6=0,0,'Demanda puesto con sobrestock'!$P$46/(parametros_manuales!$M$35*C47*C76*parametros_manuales!$B$6))</f>
        <v>0.05443</v>
      </c>
      <c r="D18" s="47">
        <f>IF(D47*D76*parametros_manuales!$M$35*parametros_manuales!$B$6=0,0,'Demanda puesto con sobrestock'!$P$74/(parametros_manuales!$M$35*D47*D76*parametros_manuales!$B$6))</f>
        <v>0.115325</v>
      </c>
      <c r="E18" s="47">
        <f>IF(E47*E76*parametros_manuales!$M$35*parametros_manuales!$B$6=0,0,'Demanda puesto con sobrestock'!$P$102/(parametros_manuales!$M$35*E47*E76*parametros_manuales!$B$6))</f>
        <v>0.25505</v>
      </c>
      <c r="F18" s="47">
        <f>IF(F47*F76*parametros_manuales!$M$35*parametros_manuales!$B$6=0,0,'Demanda puesto con sobrestock'!$P$130/(parametros_manuales!$M$35*F47*F76*parametros_manuales!$B$6))</f>
        <v>0.44425</v>
      </c>
      <c r="G18" s="47">
        <f>IF(G47*G76*parametros_manuales!$M$35*parametros_manuales!$B$6=0,0,'Demanda puesto con sobrestock'!$P$158/(parametros_manuales!$M$35*G47*G76*parametros_manuales!$B$6))</f>
        <v>0.623835</v>
      </c>
      <c r="H18" s="62">
        <f>IF(H47*H76*parametros_manuales!$M$35*parametros_manuales!$B$6=0,0,'Demanda puesto con sobrestock'!$P$186/(parametros_manuales!$M$35*H47*H76*parametros_manuales!$B$6))</f>
        <v>0.859925</v>
      </c>
      <c r="I18" s="49">
        <f>IF(I47*I76*parametros_manuales!$M$35*parametros_manuales!$B$6=0,0,'Demanda puesto con sobrestock'!$P$214/(parametros_manuales!$M$35*I47*I76*parametros_manuales!$B$6))</f>
        <v>1.098</v>
      </c>
      <c r="J18" s="47">
        <f>IF(J47*J76*parametros_manuales!$M$35*parametros_manuales!$B$6=0,0,'Demanda puesto con sobrestock'!$P$242/(parametros_manuales!$M$35*J47*J76*parametros_manuales!$B$6))</f>
        <v>1.238765</v>
      </c>
      <c r="K18" s="47">
        <f>IF(K47*K76*parametros_manuales!$M$35*parametros_manuales!$B$6=0,0,'Demanda puesto con sobrestock'!$P$270/(parametros_manuales!$M$35*K47*K76*parametros_manuales!$B$6))</f>
        <v>1.430715</v>
      </c>
      <c r="L18" s="16"/>
      <c r="M18" s="16"/>
      <c r="N18" s="16"/>
      <c r="O18" s="16"/>
    </row>
    <row r="19" ht="14.25" customHeight="1">
      <c r="A19" s="4" t="str">
        <f>parametros_manuales!$B$36</f>
        <v>Detección de defectos</v>
      </c>
      <c r="B19" s="47">
        <f>IF(B48*B77*parametros_manuales!$M$36*parametros_manuales!$B$6=0,0,'Demanda puesto con sobrestock'!$P$19/(parametros_manuales!$M$36*B48*B77*parametros_manuales!$B$6))</f>
        <v>0.02287666667</v>
      </c>
      <c r="C19" s="47">
        <f>IF(C48*C77*parametros_manuales!$M$36*parametros_manuales!$B$6=0,0,'Demanda puesto con sobrestock'!$P$47/(parametros_manuales!$M$36*C48*C77*parametros_manuales!$B$6))</f>
        <v>0.03628666667</v>
      </c>
      <c r="D19" s="47">
        <f>IF(D48*D77*parametros_manuales!$M$36*parametros_manuales!$B$6=0,0,'Demanda puesto con sobrestock'!$P$75/(parametros_manuales!$M$36*D48*D77*parametros_manuales!$B$6))</f>
        <v>0.07688333333</v>
      </c>
      <c r="E19" s="47">
        <f>IF(E48*E77*parametros_manuales!$M$36*parametros_manuales!$B$6=0,0,'Demanda puesto con sobrestock'!$P$103/(parametros_manuales!$M$36*E48*E77*parametros_manuales!$B$6))</f>
        <v>0.1700333333</v>
      </c>
      <c r="F19" s="47">
        <f>IF(F48*F77*parametros_manuales!$M$36*parametros_manuales!$B$6=0,0,'Demanda puesto con sobrestock'!$P$131/(parametros_manuales!$M$36*F48*F77*parametros_manuales!$B$6))</f>
        <v>0.2961666667</v>
      </c>
      <c r="G19" s="47">
        <f>IF(G48*G77*parametros_manuales!$M$36*parametros_manuales!$B$6=0,0,'Demanda puesto con sobrestock'!$P$159/(parametros_manuales!$M$36*G48*G77*parametros_manuales!$B$6))</f>
        <v>0.41589</v>
      </c>
      <c r="H19" s="47">
        <f>IF(H48*H77*parametros_manuales!$M$36*parametros_manuales!$B$6=0,0,'Demanda puesto con sobrestock'!$P$187/(parametros_manuales!$M$36*H48*H77*parametros_manuales!$B$6))</f>
        <v>0.5732833333</v>
      </c>
      <c r="I19" s="49">
        <f>IF(I48*I77*parametros_manuales!$M$36*parametros_manuales!$B$6=0,0,'Demanda puesto con sobrestock'!$P$215/(parametros_manuales!$M$36*I48*I77*parametros_manuales!$B$6))</f>
        <v>0.732</v>
      </c>
      <c r="J19" s="47">
        <f>IF(J48*J77*parametros_manuales!$M$36*parametros_manuales!$B$6=0,0,'Demanda puesto con sobrestock'!$P$243/(parametros_manuales!$M$36*J48*J77*parametros_manuales!$B$6))</f>
        <v>0.8258433333</v>
      </c>
      <c r="K19" s="47">
        <f>IF(K48*K77*parametros_manuales!$M$36*parametros_manuales!$B$6=0,0,'Demanda puesto con sobrestock'!$P$271/(parametros_manuales!$M$36*K48*K77*parametros_manuales!$B$6))</f>
        <v>0.95381</v>
      </c>
      <c r="L19" s="16"/>
      <c r="M19" s="16"/>
      <c r="N19" s="16"/>
      <c r="O19" s="16"/>
    </row>
    <row r="20" ht="14.25" customHeight="1">
      <c r="A20" s="4" t="str">
        <f>parametros_manuales!$B$37</f>
        <v>Corrección de defectos</v>
      </c>
      <c r="B20" s="47">
        <f>IF(B49*B78*parametros_manuales!$M$37*parametros_manuales!$B$6=0,0,'Demanda puesto con sobrestock'!$P$20/(parametros_manuales!$M$37*B49*B78*parametros_manuales!$B$6))</f>
        <v>0.0102945</v>
      </c>
      <c r="C20" s="47">
        <f>IF(C49*C78*parametros_manuales!$M$37*parametros_manuales!$B$6=0,0,'Demanda puesto con sobrestock'!$P$48/(parametros_manuales!$M$37*C49*C78*parametros_manuales!$B$6))</f>
        <v>0.016329</v>
      </c>
      <c r="D20" s="47">
        <f>IF(D49*D78*parametros_manuales!$M$37*parametros_manuales!$B$6=0,0,'Demanda puesto con sobrestock'!$P$76/(parametros_manuales!$M$37*D49*D78*parametros_manuales!$B$6))</f>
        <v>0.0345975</v>
      </c>
      <c r="E20" s="47">
        <f>IF(E49*E78*parametros_manuales!$M$37*parametros_manuales!$B$6=0,0,'Demanda puesto con sobrestock'!$P$104/(parametros_manuales!$M$37*E49*E78*parametros_manuales!$B$6))</f>
        <v>0.076515</v>
      </c>
      <c r="F20" s="47">
        <f>IF(F49*F78*parametros_manuales!$M$37*parametros_manuales!$B$6=0,0,'Demanda puesto con sobrestock'!$P$132/(parametros_manuales!$M$37*F49*F78*parametros_manuales!$B$6))</f>
        <v>0.133275</v>
      </c>
      <c r="G20" s="47">
        <f>IF(G49*G78*parametros_manuales!$M$37*parametros_manuales!$B$6=0,0,'Demanda puesto con sobrestock'!$P$160/(parametros_manuales!$M$37*G49*G78*parametros_manuales!$B$6))</f>
        <v>0.1871505</v>
      </c>
      <c r="H20" s="47">
        <f>IF(H49*H78*parametros_manuales!$M$37*parametros_manuales!$B$6=0,0,'Demanda puesto con sobrestock'!$P$188/(parametros_manuales!$M$37*H49*H78*parametros_manuales!$B$6))</f>
        <v>0.2579775</v>
      </c>
      <c r="I20" s="47">
        <f>IF(I49*I78*parametros_manuales!$M$37*parametros_manuales!$B$6=0,0,'Demanda puesto con sobrestock'!$P$216/(parametros_manuales!$M$37*I49*I78*parametros_manuales!$B$6))</f>
        <v>0.3294</v>
      </c>
      <c r="J20" s="47">
        <f>IF(J49*J78*parametros_manuales!$M$37*parametros_manuales!$B$6=0,0,'Demanda puesto con sobrestock'!$P$244/(parametros_manuales!$M$37*J49*J78*parametros_manuales!$B$6))</f>
        <v>0.3716295</v>
      </c>
      <c r="K20" s="47">
        <f>IF(K49*K78*parametros_manuales!$M$37*parametros_manuales!$B$6=0,0,'Demanda puesto con sobrestock'!$P$272/(parametros_manuales!$M$37*K49*K78*parametros_manuales!$B$6))</f>
        <v>0.4292145</v>
      </c>
      <c r="L20" s="16"/>
      <c r="M20" s="16"/>
      <c r="N20" s="16"/>
      <c r="O20" s="16"/>
    </row>
    <row r="21" ht="14.25" customHeight="1">
      <c r="A21" s="4" t="str">
        <f>parametros_manuales!$B$38</f>
        <v>Pintura en polvo + horno</v>
      </c>
      <c r="B21" s="62">
        <f>IF(B50*B79*parametros_manuales!$M$38*parametros_manuales!$B$6=0,0,'Demanda puesto con sobrestock'!$P$21/(parametros_manuales!$M$38*B50*B79*parametros_manuales!$B$6))</f>
        <v>0.0302068662</v>
      </c>
      <c r="C21" s="62">
        <f>IF(C50*C79*parametros_manuales!$M$38*parametros_manuales!$B$6=0,0,'Demanda puesto con sobrestock'!$P$49/(parametros_manuales!$M$38*C50*C79*parametros_manuales!$B$6))</f>
        <v>0.04791373239</v>
      </c>
      <c r="D21" s="62">
        <f>IF(D50*D79*parametros_manuales!$M$38*parametros_manuales!$B$6=0,0,'Demanda puesto con sobrestock'!$P$77/(parametros_manuales!$M$38*D50*D79*parametros_manuales!$B$6))</f>
        <v>0.1015184859</v>
      </c>
      <c r="E21" s="62">
        <f>IF(E50*E79*parametros_manuales!$M$38*parametros_manuales!$B$6=0,0,'Demanda puesto con sobrestock'!$P$105/(parametros_manuales!$M$38*E50*E79*parametros_manuales!$B$6))</f>
        <v>0.2245158451</v>
      </c>
      <c r="F21" s="47">
        <f>IF(F50*F79*parametros_manuales!$M$38*parametros_manuales!$B$6=0,0,'Demanda puesto con sobrestock'!$P$133/(parametros_manuales!$M$38*F50*F79*parametros_manuales!$B$6))</f>
        <v>0.3910651408</v>
      </c>
      <c r="G21" s="47">
        <f>IF(G50*G79*parametros_manuales!$M$38*parametros_manuales!$B$6=0,0,'Demanda puesto con sobrestock'!$P$161/(parametros_manuales!$M$38*G50*G79*parametros_manuales!$B$6))</f>
        <v>0.5491505282</v>
      </c>
      <c r="H21" s="62">
        <f>IF(H50*H79*parametros_manuales!$M$38*parametros_manuales!$B$6=0,0,'Demanda puesto con sobrestock'!$P$189/(parametros_manuales!$M$38*H50*H79*parametros_manuales!$B$6))</f>
        <v>0.7569762324</v>
      </c>
      <c r="I21" s="49">
        <f>IF(I50*I79*parametros_manuales!$M$38*parametros_manuales!$B$6=0,0,'Demanda puesto con sobrestock'!$P$217/(parametros_manuales!$M$38*I50*I79*parametros_manuales!$B$6))</f>
        <v>0.9665492958</v>
      </c>
      <c r="J21" s="47">
        <f>IF(J50*J79*parametros_manuales!$M$38*parametros_manuales!$B$6=0,0,'Demanda puesto con sobrestock'!$P$245/(parametros_manuales!$M$38*J50*J79*parametros_manuales!$B$6))</f>
        <v>1.090462148</v>
      </c>
      <c r="K21" s="47">
        <f>IF(K50*K79*parametros_manuales!$M$38*parametros_manuales!$B$6=0,0,'Demanda puesto con sobrestock'!$P$273/(parametros_manuales!$M$38*K50*K79*parametros_manuales!$B$6))</f>
        <v>1.259432218</v>
      </c>
      <c r="L21" s="16"/>
      <c r="M21" s="16"/>
      <c r="N21" s="16"/>
      <c r="O21" s="16"/>
    </row>
    <row r="22" ht="14.25" customHeight="1">
      <c r="A22" s="4" t="str">
        <f>parametros_manuales!$B$39</f>
        <v>Carga de polvo</v>
      </c>
      <c r="B22" s="47">
        <f>IF(B51*B80*parametros_manuales!$M$39*parametros_manuales!$B$6=0,0,'Demanda puesto con sobrestock'!$P$22/(parametros_manuales!$M$39*B51*B80*parametros_manuales!$B$6))</f>
        <v>0.0512775</v>
      </c>
      <c r="C22" s="47">
        <f>IF(C51*C80*parametros_manuales!$M$39*parametros_manuales!$B$6=0,0,'Demanda puesto con sobrestock'!$P$50/(parametros_manuales!$M$39*C51*C80*parametros_manuales!$B$6))</f>
        <v>0.0809025</v>
      </c>
      <c r="D22" s="47">
        <f>IF(D51*D80*parametros_manuales!$M$39*parametros_manuales!$B$6=0,0,'Demanda puesto con sobrestock'!$P$78/(parametros_manuales!$M$39*D51*D80*parametros_manuales!$B$6))</f>
        <v>0.0998325</v>
      </c>
      <c r="E22" s="47">
        <f>IF(E51*E80*parametros_manuales!$M$39*parametros_manuales!$B$6=0,0,'Demanda puesto con sobrestock'!$P$106/(parametros_manuales!$M$39*E51*E80*parametros_manuales!$B$6))</f>
        <v>0.1303875</v>
      </c>
      <c r="F22" s="47">
        <f>IF(F51*F80*parametros_manuales!$M$39*parametros_manuales!$B$6=0,0,'Demanda puesto con sobrestock'!$P$134/(parametros_manuales!$M$39*F51*F80*parametros_manuales!$B$6))</f>
        <v>0.200655</v>
      </c>
      <c r="G22" s="47">
        <f>IF(G51*G80*parametros_manuales!$M$39*parametros_manuales!$B$6=0,0,'Demanda puesto con sobrestock'!$P$162/(parametros_manuales!$M$39*G51*G80*parametros_manuales!$B$6))</f>
        <v>0.2610075</v>
      </c>
      <c r="H22" s="47">
        <f>IF(H51*H80*parametros_manuales!$M$39*parametros_manuales!$B$6=0,0,'Demanda puesto con sobrestock'!$P$190/(parametros_manuales!$M$39*H51*H80*parametros_manuales!$B$6))</f>
        <v>0.337305</v>
      </c>
      <c r="I22" s="47">
        <f>IF(I51*I80*parametros_manuales!$M$39*parametros_manuales!$B$6=0,0,'Demanda puesto con sobrestock'!$P$218/(parametros_manuales!$M$39*I51*I80*parametros_manuales!$B$6))</f>
        <v>0.41694</v>
      </c>
      <c r="J22" s="47">
        <f>IF(J51*J80*parametros_manuales!$M$39*parametros_manuales!$B$6=0,0,'Demanda puesto con sobrestock'!$P$246/(parametros_manuales!$M$39*J51*J80*parametros_manuales!$B$6))</f>
        <v>0.4798875</v>
      </c>
      <c r="K22" s="47">
        <f>IF(K51*K80*parametros_manuales!$M$39*parametros_manuales!$B$6=0,0,'Demanda puesto con sobrestock'!$P$274/(parametros_manuales!$M$39*K51*K80*parametros_manuales!$B$6))</f>
        <v>0.5458125</v>
      </c>
      <c r="L22" s="16"/>
      <c r="M22" s="16"/>
      <c r="N22" s="16"/>
      <c r="O22" s="16"/>
    </row>
    <row r="23" ht="14.25" customHeight="1">
      <c r="A23" s="4" t="str">
        <f>parametros_manuales!$B$40</f>
        <v>Ensamblaje</v>
      </c>
      <c r="B23" s="47">
        <f>IF(B52*B81*parametros_manuales!$M$40*parametros_manuales!$B$6=0,0,'Demanda puesto con sobrestock'!$P$23/(parametros_manuales!$M$40*B52*B81*parametros_manuales!$B$6))</f>
        <v>0.1160124434</v>
      </c>
      <c r="C23" s="47">
        <f>IF(C52*C81*parametros_manuales!$M$40*parametros_manuales!$B$6=0,0,'Demanda puesto con sobrestock'!$P$51/(parametros_manuales!$M$40*C52*C81*parametros_manuales!$B$6))</f>
        <v>0.1830373303</v>
      </c>
      <c r="D23" s="47">
        <f>IF(D52*D81*parametros_manuales!$M$40*parametros_manuales!$B$6=0,0,'Demanda puesto con sobrestock'!$P$79/(parametros_manuales!$M$40*D52*D81*parametros_manuales!$B$6))</f>
        <v>0.2258653846</v>
      </c>
      <c r="E23" s="47">
        <f>IF(E52*E81*parametros_manuales!$M$40*parametros_manuales!$B$6=0,0,'Demanda puesto con sobrestock'!$P$107/(parametros_manuales!$M$40*E52*E81*parametros_manuales!$B$6))</f>
        <v>0.2949943439</v>
      </c>
      <c r="F23" s="47">
        <f>IF(F52*F81*parametros_manuales!$M$40*parametros_manuales!$B$6=0,0,'Demanda puesto con sobrestock'!$P$135/(parametros_manuales!$M$40*F52*F81*parametros_manuales!$B$6))</f>
        <v>0.4539705882</v>
      </c>
      <c r="G23" s="47">
        <f>IF(G52*G81*parametros_manuales!$M$40*parametros_manuales!$B$6=0,0,'Demanda puesto con sobrestock'!$P$163/(parametros_manuales!$M$40*G52*G81*parametros_manuales!$B$6))</f>
        <v>0.5905147059</v>
      </c>
      <c r="H23" s="62">
        <f>IF(H52*H81*parametros_manuales!$M$40*parametros_manuales!$B$6=0,0,'Demanda puesto con sobrestock'!$P$191/(parametros_manuales!$M$40*H52*H81*parametros_manuales!$B$6))</f>
        <v>0.7631334842</v>
      </c>
      <c r="I23" s="49">
        <f>IF(I52*I81*parametros_manuales!$M$40*parametros_manuales!$B$6=0,0,'Demanda puesto con sobrestock'!$P$219/(parametros_manuales!$M$40*I52*I81*parametros_manuales!$B$6))</f>
        <v>0.9433031674</v>
      </c>
      <c r="J23" s="47">
        <f>IF(J52*J81*parametros_manuales!$M$40*parametros_manuales!$B$6=0,0,'Demanda puesto con sobrestock'!$P$247/(parametros_manuales!$M$40*J52*J81*parametros_manuales!$B$6))</f>
        <v>1.085718326</v>
      </c>
      <c r="K23" s="47">
        <f>IF(K52*K81*parametros_manuales!$M$40*parametros_manuales!$B$6=0,0,'Demanda puesto con sobrestock'!$P$275/(parametros_manuales!$M$40*K52*K81*parametros_manuales!$B$6))</f>
        <v>1.23486991</v>
      </c>
      <c r="L23" s="16"/>
      <c r="M23" s="16"/>
      <c r="N23" s="16"/>
      <c r="O23" s="16"/>
    </row>
    <row r="24" ht="14.25" customHeight="1">
      <c r="A24" s="4" t="str">
        <f>parametros_manuales!$B$41</f>
        <v>Presurización</v>
      </c>
      <c r="B24" s="47">
        <f>IF(B53*B82*parametros_manuales!$M$41*parametros_manuales!$B$6=0,0,'Demanda puesto con sobrestock'!$P$24/(parametros_manuales!$M$41*B53*B82*parametros_manuales!$B$6))</f>
        <v>0.034185</v>
      </c>
      <c r="C24" s="47">
        <f>IF(C53*C82*parametros_manuales!$M$41*parametros_manuales!$B$6=0,0,'Demanda puesto con sobrestock'!$P$52/(parametros_manuales!$M$41*C53*C82*parametros_manuales!$B$6))</f>
        <v>0.053935</v>
      </c>
      <c r="D24" s="47">
        <f>IF(D53*D82*parametros_manuales!$M$41*parametros_manuales!$B$6=0,0,'Demanda puesto con sobrestock'!$P$80/(parametros_manuales!$M$41*D53*D82*parametros_manuales!$B$6))</f>
        <v>0.066555</v>
      </c>
      <c r="E24" s="47">
        <f>IF(E53*E82*parametros_manuales!$M$41*parametros_manuales!$B$6=0,0,'Demanda puesto con sobrestock'!$P$108/(parametros_manuales!$M$41*E53*E82*parametros_manuales!$B$6))</f>
        <v>0.086925</v>
      </c>
      <c r="F24" s="47">
        <f>IF(F53*F82*parametros_manuales!$M$41*parametros_manuales!$B$6=0,0,'Demanda puesto con sobrestock'!$P$136/(parametros_manuales!$M$41*F53*F82*parametros_manuales!$B$6))</f>
        <v>0.13377</v>
      </c>
      <c r="G24" s="47">
        <f>IF(G53*G82*parametros_manuales!$M$41*parametros_manuales!$B$6=0,0,'Demanda puesto con sobrestock'!$P$164/(parametros_manuales!$M$41*G53*G82*parametros_manuales!$B$6))</f>
        <v>0.174005</v>
      </c>
      <c r="H24" s="47">
        <f>IF(H53*H82*parametros_manuales!$M$41*parametros_manuales!$B$6=0,0,'Demanda puesto con sobrestock'!$P$192/(parametros_manuales!$M$41*H53*H82*parametros_manuales!$B$6))</f>
        <v>0.22487</v>
      </c>
      <c r="I24" s="47">
        <f>IF(I53*I82*parametros_manuales!$M$41*parametros_manuales!$B$6=0,0,'Demanda puesto con sobrestock'!$P$220/(parametros_manuales!$M$41*I53*I82*parametros_manuales!$B$6))</f>
        <v>0.27796</v>
      </c>
      <c r="J24" s="47">
        <f>IF(J53*J82*parametros_manuales!$M$41*parametros_manuales!$B$6=0,0,'Demanda puesto con sobrestock'!$P$248/(parametros_manuales!$M$41*J53*J82*parametros_manuales!$B$6))</f>
        <v>0.319925</v>
      </c>
      <c r="K24" s="47">
        <f>IF(K53*K82*parametros_manuales!$M$41*parametros_manuales!$B$6=0,0,'Demanda puesto con sobrestock'!$P$276/(parametros_manuales!$M$41*K53*K82*parametros_manuales!$B$6))</f>
        <v>0.363875</v>
      </c>
      <c r="L24" s="16"/>
      <c r="M24" s="16"/>
      <c r="N24" s="16"/>
      <c r="O24" s="16"/>
    </row>
    <row r="25" ht="14.25" customHeight="1">
      <c r="A25" s="4" t="str">
        <f>parametros_manuales!$B$42</f>
        <v>Control de calidad — Ensayo de pérdidas</v>
      </c>
      <c r="B25" s="47">
        <f>IF(B54*B83*parametros_manuales!$M$42*parametros_manuales!$B$6=0,0,'Demanda puesto con sobrestock'!$P$25/(parametros_manuales!$M$42*B54*B83*parametros_manuales!$B$6))</f>
        <v>0.0626725</v>
      </c>
      <c r="C25" s="47">
        <f>IF(C54*C83*parametros_manuales!$M$42*parametros_manuales!$B$6=0,0,'Demanda puesto con sobrestock'!$P$53/(parametros_manuales!$M$42*C54*C83*parametros_manuales!$B$6))</f>
        <v>0.09888083333</v>
      </c>
      <c r="D25" s="47">
        <f>IF(D54*D83*parametros_manuales!$M$42*parametros_manuales!$B$6=0,0,'Demanda puesto con sobrestock'!$P$81/(parametros_manuales!$M$42*D54*D83*parametros_manuales!$B$6))</f>
        <v>0.1220175</v>
      </c>
      <c r="E25" s="47">
        <f>IF(E54*E83*parametros_manuales!$M$42*parametros_manuales!$B$6=0,0,'Demanda puesto con sobrestock'!$P$109/(parametros_manuales!$M$42*E54*E83*parametros_manuales!$B$6))</f>
        <v>0.1593625</v>
      </c>
      <c r="F25" s="47">
        <f>IF(F54*F83*parametros_manuales!$M$42*parametros_manuales!$B$6=0,0,'Demanda puesto con sobrestock'!$P$137/(parametros_manuales!$M$42*F54*F83*parametros_manuales!$B$6))</f>
        <v>0.245245</v>
      </c>
      <c r="G25" s="47">
        <f>IF(G54*G83*parametros_manuales!$M$42*parametros_manuales!$B$6=0,0,'Demanda puesto con sobrestock'!$P$165/(parametros_manuales!$M$42*G54*G83*parametros_manuales!$B$6))</f>
        <v>0.3190091667</v>
      </c>
      <c r="H25" s="47">
        <f>IF(H54*H83*parametros_manuales!$M$42*parametros_manuales!$B$6=0,0,'Demanda puesto con sobrestock'!$P$193/(parametros_manuales!$M$42*H54*H83*parametros_manuales!$B$6))</f>
        <v>0.4122616667</v>
      </c>
      <c r="I25" s="47">
        <f>IF(I54*I83*parametros_manuales!$M$42*parametros_manuales!$B$6=0,0,'Demanda puesto con sobrestock'!$P$221/(parametros_manuales!$M$42*I54*I83*parametros_manuales!$B$6))</f>
        <v>0.5095933333</v>
      </c>
      <c r="J25" s="62">
        <f>IF(J54*J83*parametros_manuales!$M$42*parametros_manuales!$B$6=0,0,'Demanda puesto con sobrestock'!$P$249/(parametros_manuales!$M$42*J54*J83*parametros_manuales!$B$6))</f>
        <v>0.5865291667</v>
      </c>
      <c r="K25" s="47">
        <f>IF(K54*K83*parametros_manuales!$M$42*parametros_manuales!$B$6=0,0,'Demanda puesto con sobrestock'!$P$277/(parametros_manuales!$M$42*K54*K83*parametros_manuales!$B$6))</f>
        <v>0.6671041667</v>
      </c>
      <c r="L25" s="16"/>
      <c r="M25" s="16"/>
      <c r="N25" s="16"/>
      <c r="O25" s="16"/>
    </row>
    <row r="26" ht="14.25" customHeight="1">
      <c r="A26" s="4" t="str">
        <f>parametros_manuales!$B$43</f>
        <v>Etiquetado</v>
      </c>
      <c r="B26" s="47">
        <f>IF(B55*B84*parametros_manuales!$M$43*parametros_manuales!$B$6=0,0,'Demanda puesto con sobrestock'!$P$26/(parametros_manuales!$M$43*B55*B84*parametros_manuales!$B$6))</f>
        <v>0.06837</v>
      </c>
      <c r="C26" s="47">
        <f>IF(C55*C84*parametros_manuales!$M$43*parametros_manuales!$B$6=0,0,'Demanda puesto con sobrestock'!$P$54/(parametros_manuales!$M$43*C55*C84*parametros_manuales!$B$6))</f>
        <v>0.10787</v>
      </c>
      <c r="D26" s="47">
        <f>IF(D55*D84*parametros_manuales!$M$43*parametros_manuales!$B$6=0,0,'Demanda puesto con sobrestock'!$P$82/(parametros_manuales!$M$43*D55*D84*parametros_manuales!$B$6))</f>
        <v>0.13311</v>
      </c>
      <c r="E26" s="47">
        <f>IF(E55*E84*parametros_manuales!$M$43*parametros_manuales!$B$6=0,0,'Demanda puesto con sobrestock'!$P$110/(parametros_manuales!$M$43*E55*E84*parametros_manuales!$B$6))</f>
        <v>0.17385</v>
      </c>
      <c r="F26" s="47">
        <f>IF(F55*F84*parametros_manuales!$M$43*parametros_manuales!$B$6=0,0,'Demanda puesto con sobrestock'!$P$138/(parametros_manuales!$M$43*F55*F84*parametros_manuales!$B$6))</f>
        <v>0.26754</v>
      </c>
      <c r="G26" s="47">
        <f>IF(G55*G84*parametros_manuales!$M$43*parametros_manuales!$B$6=0,0,'Demanda puesto con sobrestock'!$P$166/(parametros_manuales!$M$43*G55*G84*parametros_manuales!$B$6))</f>
        <v>0.34801</v>
      </c>
      <c r="H26" s="47">
        <f>IF(H55*H84*parametros_manuales!$M$43*parametros_manuales!$B$6=0,0,'Demanda puesto con sobrestock'!$P$194/(parametros_manuales!$M$43*H55*H84*parametros_manuales!$B$6))</f>
        <v>0.44974</v>
      </c>
      <c r="I26" s="47">
        <f>IF(I55*I84*parametros_manuales!$M$43*parametros_manuales!$B$6=0,0,'Demanda puesto con sobrestock'!$P$222/(parametros_manuales!$M$43*I55*I84*parametros_manuales!$B$6))</f>
        <v>0.55592</v>
      </c>
      <c r="J26" s="47">
        <f>IF(J55*J84*parametros_manuales!$M$43*parametros_manuales!$B$6=0,0,'Demanda puesto con sobrestock'!$P$250/(parametros_manuales!$M$43*J55*J84*parametros_manuales!$B$6))</f>
        <v>0.63985</v>
      </c>
      <c r="K26" s="47">
        <f>IF(K55*K84*parametros_manuales!$M$43*parametros_manuales!$B$6=0,0,'Demanda puesto con sobrestock'!$P$278/(parametros_manuales!$M$43*K55*K84*parametros_manuales!$B$6))</f>
        <v>0.72775</v>
      </c>
      <c r="L26" s="16"/>
      <c r="M26" s="16"/>
      <c r="N26" s="16"/>
      <c r="O26" s="16"/>
    </row>
    <row r="27" ht="14.25" customHeight="1">
      <c r="A27" s="4" t="str">
        <f>parametros_manuales!$B$44</f>
        <v>Embalaje y paletizado</v>
      </c>
      <c r="B27" s="47">
        <f>IF(B56*B85*parametros_manuales!$M$44*parametros_manuales!$B$6=0,0,'Demanda puesto con sobrestock'!$P$27/(parametros_manuales!$M$44*B56*B85*parametros_manuales!$B$6))</f>
        <v>0.05193413677</v>
      </c>
      <c r="C27" s="47">
        <f>IF(C56*C85*parametros_manuales!$M$44*parametros_manuales!$B$6=0,0,'Demanda puesto con sobrestock'!$P$55/(parametros_manuales!$M$44*C56*C85*parametros_manuales!$B$6))</f>
        <v>0.08237724215</v>
      </c>
      <c r="D27" s="47">
        <f>IF(D56*D85*parametros_manuales!$M$44*parametros_manuales!$B$6=0,0,'Demanda puesto con sobrestock'!$P$83/(parametros_manuales!$M$44*D56*D85*parametros_manuales!$B$6))</f>
        <v>0.1745389574</v>
      </c>
      <c r="E27" s="47">
        <f>IF(E56*E85*parametros_manuales!$M$44*parametros_manuales!$B$6=0,0,'Demanda puesto con sobrestock'!$P$111/(parametros_manuales!$M$44*E56*E85*parametros_manuales!$B$6))</f>
        <v>0.3860061659</v>
      </c>
      <c r="F27" s="47">
        <f>IF(F56*F85*parametros_manuales!$M$44*parametros_manuales!$B$6=0,0,'Demanda puesto con sobrestock'!$P$139/(parametros_manuales!$M$44*F56*F85*parametros_manuales!$B$6))</f>
        <v>0.6723514574</v>
      </c>
      <c r="G27" s="62">
        <f>IF(G56*G85*parametros_manuales!$M$44*parametros_manuales!$B$6=0,0,'Demanda puesto con sobrestock'!$P$167/(parametros_manuales!$M$44*G56*G85*parametros_manuales!$B$6))</f>
        <v>0.9441448991</v>
      </c>
      <c r="H27" s="48">
        <f>IF(H56*H85*parametros_manuales!$M$44*parametros_manuales!$B$6=0,0,'Demanda puesto con sobrestock'!$P$195/(parametros_manuales!$M$44*H56*H85*parametros_manuales!$B$6))</f>
        <v>1.301455998</v>
      </c>
      <c r="I27" s="49">
        <f>IF(I56*I85*parametros_manuales!$M$44*parametros_manuales!$B$6=0,0,'Demanda puesto con sobrestock'!$P$223/(parametros_manuales!$M$44*I56*I85*parametros_manuales!$B$6))</f>
        <v>1.6617713</v>
      </c>
      <c r="J27" s="47">
        <f>IF(J56*J85*parametros_manuales!$M$44*parametros_manuales!$B$6=0,0,'Demanda puesto con sobrestock'!$P$251/(parametros_manuales!$M$44*J56*J85*parametros_manuales!$B$6))</f>
        <v>1.8748125</v>
      </c>
      <c r="K27" s="47">
        <f>IF(K56*K85*parametros_manuales!$M$44*parametros_manuales!$B$6=0,0,'Demanda puesto con sobrestock'!$P$279/(parametros_manuales!$M$44*K56*K85*parametros_manuales!$B$6))</f>
        <v>2.165319787</v>
      </c>
      <c r="L27" s="16"/>
      <c r="M27" s="16"/>
      <c r="N27" s="16"/>
      <c r="O27" s="16"/>
    </row>
    <row r="28" ht="14.25" customHeight="1">
      <c r="A28" s="14" t="s">
        <v>219</v>
      </c>
      <c r="B28" s="64">
        <f t="shared" ref="B28:K28" si="1">MAX(B2:B27)</f>
        <v>0.13726</v>
      </c>
      <c r="C28" s="64">
        <f t="shared" si="1"/>
        <v>0.21772</v>
      </c>
      <c r="D28" s="64">
        <f t="shared" si="1"/>
        <v>0.4613</v>
      </c>
      <c r="E28" s="64">
        <f t="shared" si="1"/>
        <v>1.0202</v>
      </c>
      <c r="F28" s="64">
        <f t="shared" si="1"/>
        <v>1.777</v>
      </c>
      <c r="G28" s="64">
        <f t="shared" si="1"/>
        <v>2.49534</v>
      </c>
      <c r="H28" s="64">
        <f t="shared" si="1"/>
        <v>3.4397</v>
      </c>
      <c r="I28" s="64">
        <f t="shared" si="1"/>
        <v>4.392</v>
      </c>
      <c r="J28" s="64">
        <f t="shared" si="1"/>
        <v>4.95506</v>
      </c>
      <c r="K28" s="64">
        <f t="shared" si="1"/>
        <v>5.72286</v>
      </c>
      <c r="L28" s="16"/>
      <c r="M28" s="16"/>
      <c r="N28" s="16"/>
      <c r="O28" s="16"/>
    </row>
    <row r="29" ht="14.25" customHeight="1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</row>
    <row r="30" ht="14.25" customHeight="1">
      <c r="A30" s="61" t="s">
        <v>220</v>
      </c>
      <c r="B30" s="61">
        <v>2026.0</v>
      </c>
      <c r="C30" s="61">
        <v>2027.0</v>
      </c>
      <c r="D30" s="61">
        <v>2028.0</v>
      </c>
      <c r="E30" s="61">
        <v>2029.0</v>
      </c>
      <c r="F30" s="61">
        <v>2030.0</v>
      </c>
      <c r="G30" s="61">
        <v>2031.0</v>
      </c>
      <c r="H30" s="61">
        <v>2032.0</v>
      </c>
      <c r="I30" s="61">
        <v>2033.0</v>
      </c>
      <c r="J30" s="61">
        <v>2034.0</v>
      </c>
      <c r="K30" s="61">
        <v>2035.0</v>
      </c>
      <c r="L30" s="16"/>
      <c r="M30" s="16"/>
      <c r="N30" s="16"/>
      <c r="O30" s="16"/>
    </row>
    <row r="31" ht="14.25" customHeight="1">
      <c r="A31" s="4" t="str">
        <f>parametros_manuales!$B$19</f>
        <v>Recepción de materia prima</v>
      </c>
      <c r="B31" s="3">
        <v>1.0</v>
      </c>
      <c r="C31" s="3">
        <v>1.0</v>
      </c>
      <c r="D31" s="3">
        <v>1.0</v>
      </c>
      <c r="E31" s="3">
        <v>1.0</v>
      </c>
      <c r="F31" s="3">
        <v>1.0</v>
      </c>
      <c r="G31" s="3">
        <v>1.0</v>
      </c>
      <c r="H31" s="3">
        <v>1.0</v>
      </c>
      <c r="I31" s="3">
        <v>1.0</v>
      </c>
      <c r="J31" s="3">
        <v>1.0</v>
      </c>
      <c r="K31" s="3">
        <v>1.0</v>
      </c>
      <c r="L31" s="16"/>
      <c r="M31" s="16"/>
      <c r="N31" s="16"/>
      <c r="O31" s="16"/>
    </row>
    <row r="32" ht="14.25" customHeight="1">
      <c r="A32" s="4" t="str">
        <f>parametros_manuales!$B$20</f>
        <v>Corte de chapa — 1.er corte en franjas (guillotina 1)</v>
      </c>
      <c r="B32" s="3">
        <v>1.0</v>
      </c>
      <c r="C32" s="3">
        <v>1.0</v>
      </c>
      <c r="D32" s="3">
        <v>1.0</v>
      </c>
      <c r="E32" s="3">
        <v>1.0</v>
      </c>
      <c r="F32" s="3">
        <v>1.0</v>
      </c>
      <c r="G32" s="3">
        <v>1.0</v>
      </c>
      <c r="H32" s="3">
        <v>1.0</v>
      </c>
      <c r="I32" s="3">
        <v>1.0</v>
      </c>
      <c r="J32" s="3">
        <v>1.0</v>
      </c>
      <c r="K32" s="3">
        <v>1.0</v>
      </c>
      <c r="L32" s="16"/>
      <c r="M32" s="16"/>
      <c r="N32" s="16"/>
      <c r="O32" s="16"/>
    </row>
    <row r="33" ht="14.25" customHeight="1">
      <c r="A33" s="4" t="str">
        <f>parametros_manuales!$B$21</f>
        <v>Corte de chapa — 2.º corte en piezas (guillotina 2)</v>
      </c>
      <c r="B33" s="3">
        <v>1.0</v>
      </c>
      <c r="C33" s="3">
        <v>1.0</v>
      </c>
      <c r="D33" s="3">
        <v>1.0</v>
      </c>
      <c r="E33" s="3">
        <v>1.0</v>
      </c>
      <c r="F33" s="3">
        <v>1.0</v>
      </c>
      <c r="G33" s="3">
        <v>1.0</v>
      </c>
      <c r="H33" s="3">
        <v>1.0</v>
      </c>
      <c r="I33" s="3">
        <v>1.0</v>
      </c>
      <c r="J33" s="3">
        <v>1.0</v>
      </c>
      <c r="K33" s="3">
        <v>1.0</v>
      </c>
      <c r="L33" s="16"/>
      <c r="M33" s="16"/>
      <c r="N33" s="16"/>
      <c r="O33" s="16"/>
    </row>
    <row r="34" ht="14.25" customHeight="1">
      <c r="A34" s="4" t="str">
        <f>parametros_manuales!$B$22</f>
        <v>Corte de disco y embutido (cúpula y fondo)</v>
      </c>
      <c r="B34" s="3">
        <v>1.0</v>
      </c>
      <c r="C34" s="3">
        <v>1.0</v>
      </c>
      <c r="D34" s="3">
        <v>1.0</v>
      </c>
      <c r="E34" s="3">
        <v>1.0</v>
      </c>
      <c r="F34" s="3">
        <v>1.0</v>
      </c>
      <c r="G34" s="3">
        <v>1.0</v>
      </c>
      <c r="H34" s="3">
        <v>1.0</v>
      </c>
      <c r="I34" s="3">
        <v>1.0</v>
      </c>
      <c r="J34" s="3">
        <v>1.0</v>
      </c>
      <c r="K34" s="3">
        <v>1.0</v>
      </c>
      <c r="L34" s="16"/>
      <c r="M34" s="16"/>
      <c r="N34" s="16"/>
      <c r="O34" s="16"/>
    </row>
    <row r="35" ht="14.25" customHeight="1">
      <c r="A35" s="4" t="str">
        <f>parametros_manuales!$B$23</f>
        <v>Preparación de cuello</v>
      </c>
      <c r="B35" s="3">
        <v>1.0</v>
      </c>
      <c r="C35" s="3">
        <v>1.0</v>
      </c>
      <c r="D35" s="3">
        <v>1.0</v>
      </c>
      <c r="E35" s="3">
        <v>1.0</v>
      </c>
      <c r="F35" s="3">
        <v>1.0</v>
      </c>
      <c r="G35" s="3">
        <v>1.0</v>
      </c>
      <c r="H35" s="3">
        <v>1.0</v>
      </c>
      <c r="I35" s="3">
        <v>1.0</v>
      </c>
      <c r="J35" s="3">
        <v>1.0</v>
      </c>
      <c r="K35" s="3">
        <v>1.0</v>
      </c>
      <c r="L35" s="16"/>
      <c r="M35" s="16"/>
      <c r="N35" s="16"/>
      <c r="O35" s="16"/>
    </row>
    <row r="36" ht="14.25" customHeight="1">
      <c r="A36" s="4" t="str">
        <f>parametros_manuales!$B$24</f>
        <v>Numerado de cúpula</v>
      </c>
      <c r="B36" s="3">
        <v>1.0</v>
      </c>
      <c r="C36" s="3">
        <v>1.0</v>
      </c>
      <c r="D36" s="3">
        <v>1.0</v>
      </c>
      <c r="E36" s="3">
        <v>1.0</v>
      </c>
      <c r="F36" s="3">
        <v>1.0</v>
      </c>
      <c r="G36" s="3">
        <v>1.0</v>
      </c>
      <c r="H36" s="3">
        <v>1.0</v>
      </c>
      <c r="I36" s="3">
        <v>1.0</v>
      </c>
      <c r="J36" s="3">
        <v>1.0</v>
      </c>
      <c r="K36" s="3">
        <v>1.0</v>
      </c>
      <c r="L36" s="16"/>
      <c r="M36" s="16"/>
      <c r="N36" s="16"/>
      <c r="O36" s="16"/>
    </row>
    <row r="37" ht="14.25" customHeight="1">
      <c r="A37" s="4" t="str">
        <f>parametros_manuales!$B$25</f>
        <v>Soldadura del cuello a la cúpula</v>
      </c>
      <c r="B37" s="3">
        <v>1.0</v>
      </c>
      <c r="C37" s="3">
        <v>1.0</v>
      </c>
      <c r="D37" s="3">
        <v>1.0</v>
      </c>
      <c r="E37" s="3">
        <v>1.0</v>
      </c>
      <c r="F37" s="3">
        <v>1.0</v>
      </c>
      <c r="G37" s="3">
        <v>1.0</v>
      </c>
      <c r="H37" s="3">
        <v>1.0</v>
      </c>
      <c r="I37" s="3">
        <v>1.0</v>
      </c>
      <c r="J37" s="3">
        <v>1.0</v>
      </c>
      <c r="K37" s="3">
        <v>1.0</v>
      </c>
      <c r="L37" s="16"/>
      <c r="M37" s="16"/>
      <c r="N37" s="16"/>
      <c r="O37" s="16"/>
    </row>
    <row r="38" ht="14.25" customHeight="1">
      <c r="A38" s="4" t="str">
        <f>parametros_manuales!$B$26</f>
        <v>Cilindrado</v>
      </c>
      <c r="B38" s="3">
        <v>1.0</v>
      </c>
      <c r="C38" s="3">
        <v>1.0</v>
      </c>
      <c r="D38" s="3">
        <v>1.0</v>
      </c>
      <c r="E38" s="3">
        <v>1.0</v>
      </c>
      <c r="F38" s="3">
        <v>1.0</v>
      </c>
      <c r="G38" s="3">
        <v>1.0</v>
      </c>
      <c r="H38" s="3">
        <v>1.0</v>
      </c>
      <c r="I38" s="3">
        <v>1.0</v>
      </c>
      <c r="J38" s="3">
        <v>1.0</v>
      </c>
      <c r="K38" s="3">
        <v>1.0</v>
      </c>
      <c r="L38" s="16"/>
      <c r="M38" s="16"/>
      <c r="N38" s="16"/>
      <c r="O38" s="16"/>
    </row>
    <row r="39" ht="14.25" customHeight="1">
      <c r="A39" s="4" t="str">
        <f>parametros_manuales!$B$27</f>
        <v>Soldadura longitudinal — 2,5 a 10 kg</v>
      </c>
      <c r="B39" s="3">
        <v>1.0</v>
      </c>
      <c r="C39" s="3">
        <v>1.0</v>
      </c>
      <c r="D39" s="3">
        <v>1.0</v>
      </c>
      <c r="E39" s="3">
        <v>1.0</v>
      </c>
      <c r="F39" s="3">
        <v>1.0</v>
      </c>
      <c r="G39" s="3">
        <v>1.0</v>
      </c>
      <c r="H39" s="3">
        <v>1.0</v>
      </c>
      <c r="I39" s="3">
        <v>1.0</v>
      </c>
      <c r="J39" s="3">
        <v>1.0</v>
      </c>
      <c r="K39" s="3">
        <v>1.0</v>
      </c>
      <c r="L39" s="16"/>
      <c r="M39" s="16"/>
      <c r="N39" s="16"/>
      <c r="O39" s="16"/>
    </row>
    <row r="40" ht="14.25" customHeight="1">
      <c r="A40" s="4" t="str">
        <f>parametros_manuales!$B$28</f>
        <v>Soldadura longitudinal TIG — 1 kg</v>
      </c>
      <c r="B40" s="3">
        <v>1.0</v>
      </c>
      <c r="C40" s="3">
        <v>1.0</v>
      </c>
      <c r="D40" s="3">
        <v>1.0</v>
      </c>
      <c r="E40" s="3">
        <v>1.0</v>
      </c>
      <c r="F40" s="3">
        <v>1.0</v>
      </c>
      <c r="G40" s="3">
        <v>1.0</v>
      </c>
      <c r="H40" s="3">
        <v>1.0</v>
      </c>
      <c r="I40" s="3">
        <v>1.0</v>
      </c>
      <c r="J40" s="3">
        <v>1.0</v>
      </c>
      <c r="K40" s="3">
        <v>1.0</v>
      </c>
      <c r="L40" s="16"/>
      <c r="M40" s="16"/>
      <c r="N40" s="16"/>
      <c r="O40" s="16"/>
    </row>
    <row r="41" ht="14.25" customHeight="1">
      <c r="A41" s="4" t="str">
        <f>parametros_manuales!$B$29</f>
        <v>Encastre de fondo</v>
      </c>
      <c r="B41" s="3">
        <v>1.0</v>
      </c>
      <c r="C41" s="3">
        <v>1.0</v>
      </c>
      <c r="D41" s="3">
        <v>1.0</v>
      </c>
      <c r="E41" s="3">
        <v>1.0</v>
      </c>
      <c r="F41" s="3">
        <v>1.0</v>
      </c>
      <c r="G41" s="3">
        <v>1.0</v>
      </c>
      <c r="H41" s="3">
        <v>1.0</v>
      </c>
      <c r="I41" s="3">
        <v>1.0</v>
      </c>
      <c r="J41" s="3">
        <v>1.0</v>
      </c>
      <c r="K41" s="3">
        <v>1.0</v>
      </c>
      <c r="L41" s="16"/>
      <c r="M41" s="16"/>
      <c r="N41" s="16"/>
      <c r="O41" s="16"/>
    </row>
    <row r="42" ht="14.25" customHeight="1">
      <c r="A42" s="4" t="str">
        <f>parametros_manuales!$B$30</f>
        <v>Bordoneado</v>
      </c>
      <c r="B42" s="3">
        <v>1.0</v>
      </c>
      <c r="C42" s="3">
        <v>1.0</v>
      </c>
      <c r="D42" s="3">
        <v>1.0</v>
      </c>
      <c r="E42" s="3">
        <v>1.0</v>
      </c>
      <c r="F42" s="3">
        <v>1.0</v>
      </c>
      <c r="G42" s="3">
        <v>1.0</v>
      </c>
      <c r="H42" s="3">
        <v>1.0</v>
      </c>
      <c r="I42" s="3">
        <v>1.0</v>
      </c>
      <c r="J42" s="3">
        <v>1.0</v>
      </c>
      <c r="K42" s="3">
        <v>1.0</v>
      </c>
      <c r="L42" s="16"/>
      <c r="M42" s="16"/>
      <c r="N42" s="16"/>
      <c r="O42" s="16"/>
    </row>
    <row r="43" ht="14.25" customHeight="1">
      <c r="A43" s="4" t="str">
        <f>parametros_manuales!$B$31</f>
        <v>Soldadura circunferencial de cúpula y fondo</v>
      </c>
      <c r="B43" s="3">
        <v>1.0</v>
      </c>
      <c r="C43" s="3">
        <v>1.0</v>
      </c>
      <c r="D43" s="3">
        <v>1.0</v>
      </c>
      <c r="E43" s="3">
        <v>1.0</v>
      </c>
      <c r="F43" s="3">
        <v>1.0</v>
      </c>
      <c r="G43" s="3">
        <v>1.0</v>
      </c>
      <c r="H43" s="3">
        <v>1.0</v>
      </c>
      <c r="I43" s="3">
        <v>1.0</v>
      </c>
      <c r="J43" s="3">
        <v>1.0</v>
      </c>
      <c r="K43" s="3">
        <v>1.0</v>
      </c>
      <c r="L43" s="16"/>
      <c r="M43" s="16"/>
      <c r="N43" s="16"/>
      <c r="O43" s="16"/>
    </row>
    <row r="44" ht="14.25" customHeight="1">
      <c r="A44" s="4" t="str">
        <f>parametros_manuales!$B$32</f>
        <v>Control de calidad — Espesor</v>
      </c>
      <c r="B44" s="3">
        <v>1.0</v>
      </c>
      <c r="C44" s="3">
        <v>1.0</v>
      </c>
      <c r="D44" s="3">
        <v>1.0</v>
      </c>
      <c r="E44" s="3">
        <v>1.0</v>
      </c>
      <c r="F44" s="3">
        <v>1.0</v>
      </c>
      <c r="G44" s="3">
        <v>1.0</v>
      </c>
      <c r="H44" s="3">
        <v>1.0</v>
      </c>
      <c r="I44" s="3">
        <v>1.0</v>
      </c>
      <c r="J44" s="3">
        <v>1.0</v>
      </c>
      <c r="K44" s="3">
        <v>1.0</v>
      </c>
      <c r="L44" s="16"/>
      <c r="M44" s="16"/>
      <c r="N44" s="16"/>
      <c r="O44" s="16"/>
    </row>
    <row r="45" ht="14.25" customHeight="1">
      <c r="A45" s="4" t="str">
        <f>parametros_manuales!$B$33</f>
        <v>Prueba hidráulica</v>
      </c>
      <c r="B45" s="3">
        <v>1.0</v>
      </c>
      <c r="C45" s="3">
        <v>1.0</v>
      </c>
      <c r="D45" s="3">
        <v>1.0</v>
      </c>
      <c r="E45" s="3">
        <v>1.0</v>
      </c>
      <c r="F45" s="3">
        <v>1.0</v>
      </c>
      <c r="G45" s="3">
        <v>1.0</v>
      </c>
      <c r="H45" s="3">
        <v>1.0</v>
      </c>
      <c r="I45" s="3">
        <v>1.0</v>
      </c>
      <c r="J45" s="3">
        <v>1.0</v>
      </c>
      <c r="K45" s="3">
        <v>1.0</v>
      </c>
      <c r="L45" s="16"/>
      <c r="M45" s="16"/>
      <c r="N45" s="16"/>
      <c r="O45" s="16"/>
    </row>
    <row r="46" ht="14.25" customHeight="1">
      <c r="A46" s="4" t="str">
        <f>parametros_manuales!$B$34</f>
        <v>Secado</v>
      </c>
      <c r="B46" s="3">
        <v>1.0</v>
      </c>
      <c r="C46" s="3">
        <v>1.0</v>
      </c>
      <c r="D46" s="3">
        <v>1.0</v>
      </c>
      <c r="E46" s="3">
        <v>1.0</v>
      </c>
      <c r="F46" s="3">
        <v>1.0</v>
      </c>
      <c r="G46" s="3">
        <v>1.0</v>
      </c>
      <c r="H46" s="3">
        <v>1.0</v>
      </c>
      <c r="I46" s="3">
        <v>1.0</v>
      </c>
      <c r="J46" s="3">
        <v>1.0</v>
      </c>
      <c r="K46" s="3">
        <v>1.0</v>
      </c>
      <c r="L46" s="16"/>
      <c r="M46" s="16"/>
      <c r="N46" s="16"/>
      <c r="O46" s="16"/>
    </row>
    <row r="47" ht="14.25" customHeight="1">
      <c r="A47" s="4" t="str">
        <f>parametros_manuales!$B$35</f>
        <v>Granallado</v>
      </c>
      <c r="B47" s="3">
        <v>1.0</v>
      </c>
      <c r="C47" s="3">
        <v>1.0</v>
      </c>
      <c r="D47" s="3">
        <v>1.0</v>
      </c>
      <c r="E47" s="3">
        <v>1.0</v>
      </c>
      <c r="F47" s="3">
        <v>1.0</v>
      </c>
      <c r="G47" s="3">
        <v>1.0</v>
      </c>
      <c r="H47" s="3">
        <v>1.0</v>
      </c>
      <c r="I47" s="3">
        <v>1.0</v>
      </c>
      <c r="J47" s="3">
        <v>1.0</v>
      </c>
      <c r="K47" s="3">
        <v>1.0</v>
      </c>
      <c r="L47" s="16"/>
      <c r="M47" s="16"/>
      <c r="N47" s="16"/>
      <c r="O47" s="16"/>
    </row>
    <row r="48" ht="14.25" customHeight="1">
      <c r="A48" s="4" t="str">
        <f>parametros_manuales!$B$36</f>
        <v>Detección de defectos</v>
      </c>
      <c r="B48" s="3">
        <v>1.0</v>
      </c>
      <c r="C48" s="3">
        <v>1.0</v>
      </c>
      <c r="D48" s="3">
        <v>1.0</v>
      </c>
      <c r="E48" s="3">
        <v>1.0</v>
      </c>
      <c r="F48" s="3">
        <v>1.0</v>
      </c>
      <c r="G48" s="3">
        <v>1.0</v>
      </c>
      <c r="H48" s="3">
        <v>1.0</v>
      </c>
      <c r="I48" s="3">
        <v>1.0</v>
      </c>
      <c r="J48" s="3">
        <v>1.0</v>
      </c>
      <c r="K48" s="3">
        <v>1.0</v>
      </c>
      <c r="L48" s="16"/>
      <c r="M48" s="16"/>
      <c r="N48" s="16"/>
      <c r="O48" s="16"/>
    </row>
    <row r="49" ht="14.25" customHeight="1">
      <c r="A49" s="4" t="str">
        <f>parametros_manuales!$B$37</f>
        <v>Corrección de defectos</v>
      </c>
      <c r="B49" s="3">
        <v>1.0</v>
      </c>
      <c r="C49" s="3">
        <v>1.0</v>
      </c>
      <c r="D49" s="3">
        <v>1.0</v>
      </c>
      <c r="E49" s="3">
        <v>1.0</v>
      </c>
      <c r="F49" s="3">
        <v>1.0</v>
      </c>
      <c r="G49" s="3">
        <v>1.0</v>
      </c>
      <c r="H49" s="3">
        <v>1.0</v>
      </c>
      <c r="I49" s="3">
        <v>1.0</v>
      </c>
      <c r="J49" s="3">
        <v>1.0</v>
      </c>
      <c r="K49" s="3">
        <v>1.0</v>
      </c>
      <c r="L49" s="16"/>
      <c r="M49" s="16"/>
      <c r="N49" s="16"/>
      <c r="O49" s="16"/>
    </row>
    <row r="50" ht="14.25" customHeight="1">
      <c r="A50" s="4" t="str">
        <f>parametros_manuales!$B$38</f>
        <v>Pintura en polvo + horno</v>
      </c>
      <c r="B50" s="3">
        <v>1.0</v>
      </c>
      <c r="C50" s="3">
        <v>1.0</v>
      </c>
      <c r="D50" s="3">
        <v>1.0</v>
      </c>
      <c r="E50" s="3">
        <v>1.0</v>
      </c>
      <c r="F50" s="3">
        <v>1.0</v>
      </c>
      <c r="G50" s="3">
        <v>1.0</v>
      </c>
      <c r="H50" s="3">
        <v>1.0</v>
      </c>
      <c r="I50" s="3">
        <v>1.0</v>
      </c>
      <c r="J50" s="3">
        <v>1.0</v>
      </c>
      <c r="K50" s="3">
        <v>1.0</v>
      </c>
      <c r="L50" s="16"/>
      <c r="M50" s="16"/>
      <c r="N50" s="16"/>
      <c r="O50" s="16"/>
    </row>
    <row r="51" ht="14.25" customHeight="1">
      <c r="A51" s="4" t="str">
        <f>parametros_manuales!$B$39</f>
        <v>Carga de polvo</v>
      </c>
      <c r="B51" s="3">
        <v>1.0</v>
      </c>
      <c r="C51" s="3">
        <v>1.0</v>
      </c>
      <c r="D51" s="3">
        <v>1.0</v>
      </c>
      <c r="E51" s="3">
        <v>1.0</v>
      </c>
      <c r="F51" s="3">
        <v>1.0</v>
      </c>
      <c r="G51" s="3">
        <v>1.0</v>
      </c>
      <c r="H51" s="3">
        <v>1.0</v>
      </c>
      <c r="I51" s="3">
        <v>1.0</v>
      </c>
      <c r="J51" s="3">
        <v>1.0</v>
      </c>
      <c r="K51" s="3">
        <v>1.0</v>
      </c>
      <c r="L51" s="16"/>
      <c r="M51" s="16"/>
      <c r="N51" s="16"/>
      <c r="O51" s="16"/>
    </row>
    <row r="52" ht="14.25" customHeight="1">
      <c r="A52" s="4" t="str">
        <f>parametros_manuales!$B$40</f>
        <v>Ensamblaje</v>
      </c>
      <c r="B52" s="3">
        <v>1.0</v>
      </c>
      <c r="C52" s="3">
        <v>1.0</v>
      </c>
      <c r="D52" s="3">
        <v>1.0</v>
      </c>
      <c r="E52" s="3">
        <v>1.0</v>
      </c>
      <c r="F52" s="3">
        <v>1.0</v>
      </c>
      <c r="G52" s="3">
        <v>1.0</v>
      </c>
      <c r="H52" s="3">
        <v>1.0</v>
      </c>
      <c r="I52" s="3">
        <v>1.0</v>
      </c>
      <c r="J52" s="3">
        <v>1.0</v>
      </c>
      <c r="K52" s="3">
        <v>1.0</v>
      </c>
      <c r="L52" s="16"/>
      <c r="M52" s="16"/>
      <c r="N52" s="16"/>
      <c r="O52" s="16"/>
    </row>
    <row r="53" ht="14.25" customHeight="1">
      <c r="A53" s="4" t="str">
        <f>parametros_manuales!$B$41</f>
        <v>Presurización</v>
      </c>
      <c r="B53" s="3">
        <v>1.0</v>
      </c>
      <c r="C53" s="3">
        <v>1.0</v>
      </c>
      <c r="D53" s="3">
        <v>1.0</v>
      </c>
      <c r="E53" s="3">
        <v>1.0</v>
      </c>
      <c r="F53" s="3">
        <v>1.0</v>
      </c>
      <c r="G53" s="3">
        <v>1.0</v>
      </c>
      <c r="H53" s="3">
        <v>1.0</v>
      </c>
      <c r="I53" s="3">
        <v>1.0</v>
      </c>
      <c r="J53" s="3">
        <v>1.0</v>
      </c>
      <c r="K53" s="3">
        <v>1.0</v>
      </c>
      <c r="L53" s="16"/>
      <c r="M53" s="16"/>
      <c r="N53" s="16"/>
      <c r="O53" s="16"/>
    </row>
    <row r="54" ht="14.25" customHeight="1">
      <c r="A54" s="4" t="str">
        <f>parametros_manuales!$B$42</f>
        <v>Control de calidad — Ensayo de pérdidas</v>
      </c>
      <c r="B54" s="3">
        <v>1.0</v>
      </c>
      <c r="C54" s="3">
        <v>1.0</v>
      </c>
      <c r="D54" s="3">
        <v>1.0</v>
      </c>
      <c r="E54" s="3">
        <v>1.0</v>
      </c>
      <c r="F54" s="3">
        <v>1.0</v>
      </c>
      <c r="G54" s="3">
        <v>1.0</v>
      </c>
      <c r="H54" s="3">
        <v>1.0</v>
      </c>
      <c r="I54" s="3">
        <v>1.0</v>
      </c>
      <c r="J54" s="3">
        <v>1.0</v>
      </c>
      <c r="K54" s="3">
        <v>1.0</v>
      </c>
      <c r="L54" s="16"/>
      <c r="M54" s="16"/>
      <c r="N54" s="16"/>
      <c r="O54" s="16"/>
    </row>
    <row r="55" ht="14.25" customHeight="1">
      <c r="A55" s="4" t="str">
        <f>parametros_manuales!$B$43</f>
        <v>Etiquetado</v>
      </c>
      <c r="B55" s="3">
        <v>1.0</v>
      </c>
      <c r="C55" s="3">
        <v>1.0</v>
      </c>
      <c r="D55" s="3">
        <v>1.0</v>
      </c>
      <c r="E55" s="3">
        <v>1.0</v>
      </c>
      <c r="F55" s="3">
        <v>1.0</v>
      </c>
      <c r="G55" s="3">
        <v>1.0</v>
      </c>
      <c r="H55" s="3">
        <v>1.0</v>
      </c>
      <c r="I55" s="3">
        <v>1.0</v>
      </c>
      <c r="J55" s="3">
        <v>1.0</v>
      </c>
      <c r="K55" s="3">
        <v>1.0</v>
      </c>
      <c r="L55" s="16"/>
      <c r="M55" s="16"/>
      <c r="N55" s="16"/>
      <c r="O55" s="16"/>
    </row>
    <row r="56" ht="14.25" customHeight="1">
      <c r="A56" s="4" t="str">
        <f>parametros_manuales!$B$44</f>
        <v>Embalaje y paletizado</v>
      </c>
      <c r="B56" s="3">
        <v>1.0</v>
      </c>
      <c r="C56" s="3">
        <v>1.0</v>
      </c>
      <c r="D56" s="3">
        <v>1.0</v>
      </c>
      <c r="E56" s="3">
        <v>1.0</v>
      </c>
      <c r="F56" s="3">
        <v>1.0</v>
      </c>
      <c r="G56" s="3">
        <v>1.0</v>
      </c>
      <c r="H56" s="3">
        <v>1.0</v>
      </c>
      <c r="I56" s="3">
        <v>1.0</v>
      </c>
      <c r="J56" s="3">
        <v>1.0</v>
      </c>
      <c r="K56" s="3">
        <v>1.0</v>
      </c>
      <c r="L56" s="16"/>
      <c r="M56" s="16"/>
      <c r="N56" s="16"/>
      <c r="O56" s="16"/>
    </row>
    <row r="57" ht="14.25" customHeight="1">
      <c r="A57" s="14" t="s">
        <v>221</v>
      </c>
      <c r="B57" s="60">
        <f t="shared" ref="B57:K57" si="2">SUM(B31:B56)</f>
        <v>26</v>
      </c>
      <c r="C57" s="60">
        <f t="shared" si="2"/>
        <v>26</v>
      </c>
      <c r="D57" s="60">
        <f t="shared" si="2"/>
        <v>26</v>
      </c>
      <c r="E57" s="60">
        <f t="shared" si="2"/>
        <v>26</v>
      </c>
      <c r="F57" s="60">
        <f t="shared" si="2"/>
        <v>26</v>
      </c>
      <c r="G57" s="60">
        <f t="shared" si="2"/>
        <v>26</v>
      </c>
      <c r="H57" s="60">
        <f t="shared" si="2"/>
        <v>26</v>
      </c>
      <c r="I57" s="60">
        <f t="shared" si="2"/>
        <v>26</v>
      </c>
      <c r="J57" s="60">
        <f t="shared" si="2"/>
        <v>26</v>
      </c>
      <c r="K57" s="60">
        <f t="shared" si="2"/>
        <v>26</v>
      </c>
      <c r="L57" s="16"/>
      <c r="M57" s="16"/>
      <c r="N57" s="16"/>
      <c r="O57" s="16"/>
    </row>
    <row r="58" ht="14.25" customHeight="1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</row>
    <row r="59" ht="14.25" customHeight="1">
      <c r="A59" s="61" t="s">
        <v>222</v>
      </c>
      <c r="B59" s="61">
        <v>2026.0</v>
      </c>
      <c r="C59" s="61">
        <v>2027.0</v>
      </c>
      <c r="D59" s="61">
        <v>2028.0</v>
      </c>
      <c r="E59" s="61">
        <v>2029.0</v>
      </c>
      <c r="F59" s="61">
        <v>2030.0</v>
      </c>
      <c r="G59" s="61">
        <v>2031.0</v>
      </c>
      <c r="H59" s="61">
        <v>2032.0</v>
      </c>
      <c r="I59" s="61">
        <v>2033.0</v>
      </c>
      <c r="J59" s="61">
        <v>2034.0</v>
      </c>
      <c r="K59" s="61">
        <v>2035.0</v>
      </c>
      <c r="L59" s="16"/>
      <c r="M59" s="16"/>
      <c r="N59" s="16"/>
      <c r="O59" s="16"/>
    </row>
    <row r="60" ht="14.25" customHeight="1">
      <c r="A60" s="4" t="str">
        <f>parametros_manuales!$B$19</f>
        <v>Recepción de materia prima</v>
      </c>
      <c r="B60" s="3">
        <v>1.0</v>
      </c>
      <c r="C60" s="3">
        <v>1.0</v>
      </c>
      <c r="D60" s="3">
        <v>1.0</v>
      </c>
      <c r="E60" s="3">
        <v>1.0</v>
      </c>
      <c r="F60" s="3">
        <v>1.0</v>
      </c>
      <c r="G60" s="3">
        <v>1.0</v>
      </c>
      <c r="H60" s="3">
        <v>1.0</v>
      </c>
      <c r="I60" s="3">
        <v>1.0</v>
      </c>
      <c r="J60" s="3">
        <v>1.0</v>
      </c>
      <c r="K60" s="3">
        <v>1.0</v>
      </c>
      <c r="L60" s="16"/>
      <c r="M60" s="16"/>
      <c r="N60" s="16"/>
      <c r="O60" s="16"/>
    </row>
    <row r="61" ht="14.25" customHeight="1">
      <c r="A61" s="4" t="str">
        <f>parametros_manuales!$B$20</f>
        <v>Corte de chapa — 1.er corte en franjas (guillotina 1)</v>
      </c>
      <c r="B61" s="3">
        <v>1.0</v>
      </c>
      <c r="C61" s="3">
        <v>1.0</v>
      </c>
      <c r="D61" s="3">
        <v>1.0</v>
      </c>
      <c r="E61" s="3">
        <v>1.0</v>
      </c>
      <c r="F61" s="3">
        <v>1.0</v>
      </c>
      <c r="G61" s="3">
        <v>1.0</v>
      </c>
      <c r="H61" s="3">
        <v>1.0</v>
      </c>
      <c r="I61" s="3">
        <v>1.0</v>
      </c>
      <c r="J61" s="3">
        <v>1.0</v>
      </c>
      <c r="K61" s="3">
        <v>1.0</v>
      </c>
      <c r="L61" s="16"/>
      <c r="M61" s="16"/>
      <c r="N61" s="16"/>
      <c r="O61" s="16"/>
    </row>
    <row r="62" ht="14.25" customHeight="1">
      <c r="A62" s="4" t="str">
        <f>parametros_manuales!$B$21</f>
        <v>Corte de chapa — 2.º corte en piezas (guillotina 2)</v>
      </c>
      <c r="B62" s="3">
        <v>1.0</v>
      </c>
      <c r="C62" s="3">
        <v>1.0</v>
      </c>
      <c r="D62" s="3">
        <v>1.0</v>
      </c>
      <c r="E62" s="3">
        <v>1.0</v>
      </c>
      <c r="F62" s="3">
        <v>1.0</v>
      </c>
      <c r="G62" s="3">
        <v>1.0</v>
      </c>
      <c r="H62" s="3">
        <v>1.0</v>
      </c>
      <c r="I62" s="3">
        <v>1.0</v>
      </c>
      <c r="J62" s="3">
        <v>1.0</v>
      </c>
      <c r="K62" s="3">
        <v>1.0</v>
      </c>
      <c r="L62" s="16"/>
      <c r="M62" s="16"/>
      <c r="N62" s="16"/>
      <c r="O62" s="16"/>
    </row>
    <row r="63" ht="14.25" customHeight="1">
      <c r="A63" s="4" t="str">
        <f>parametros_manuales!$B$22</f>
        <v>Corte de disco y embutido (cúpula y fondo)</v>
      </c>
      <c r="B63" s="3">
        <v>1.0</v>
      </c>
      <c r="C63" s="3">
        <v>1.0</v>
      </c>
      <c r="D63" s="3">
        <v>1.0</v>
      </c>
      <c r="E63" s="3">
        <v>1.0</v>
      </c>
      <c r="F63" s="3">
        <v>1.0</v>
      </c>
      <c r="G63" s="3">
        <v>1.0</v>
      </c>
      <c r="H63" s="3">
        <v>1.0</v>
      </c>
      <c r="I63" s="3">
        <v>1.0</v>
      </c>
      <c r="J63" s="3">
        <v>1.0</v>
      </c>
      <c r="K63" s="3">
        <v>1.0</v>
      </c>
      <c r="L63" s="16"/>
      <c r="M63" s="16"/>
      <c r="N63" s="16"/>
      <c r="O63" s="16"/>
    </row>
    <row r="64" ht="14.25" customHeight="1">
      <c r="A64" s="4" t="str">
        <f>parametros_manuales!$B$23</f>
        <v>Preparación de cuello</v>
      </c>
      <c r="B64" s="3">
        <v>1.0</v>
      </c>
      <c r="C64" s="3">
        <v>1.0</v>
      </c>
      <c r="D64" s="3">
        <v>1.0</v>
      </c>
      <c r="E64" s="3">
        <v>1.0</v>
      </c>
      <c r="F64" s="3">
        <v>1.0</v>
      </c>
      <c r="G64" s="3">
        <v>1.0</v>
      </c>
      <c r="H64" s="3">
        <v>1.0</v>
      </c>
      <c r="I64" s="3">
        <v>1.0</v>
      </c>
      <c r="J64" s="3">
        <v>1.0</v>
      </c>
      <c r="K64" s="3">
        <v>1.0</v>
      </c>
      <c r="L64" s="16"/>
      <c r="M64" s="16"/>
      <c r="N64" s="16"/>
      <c r="O64" s="16"/>
    </row>
    <row r="65" ht="14.25" customHeight="1">
      <c r="A65" s="4" t="str">
        <f>parametros_manuales!$B$24</f>
        <v>Numerado de cúpula</v>
      </c>
      <c r="B65" s="3">
        <v>1.0</v>
      </c>
      <c r="C65" s="3">
        <v>1.0</v>
      </c>
      <c r="D65" s="3">
        <v>1.0</v>
      </c>
      <c r="E65" s="3">
        <v>1.0</v>
      </c>
      <c r="F65" s="3">
        <v>1.0</v>
      </c>
      <c r="G65" s="3">
        <v>1.0</v>
      </c>
      <c r="H65" s="3">
        <v>1.0</v>
      </c>
      <c r="I65" s="3">
        <v>1.0</v>
      </c>
      <c r="J65" s="3">
        <v>1.0</v>
      </c>
      <c r="K65" s="3">
        <v>1.0</v>
      </c>
      <c r="L65" s="16"/>
      <c r="M65" s="16"/>
      <c r="N65" s="16"/>
      <c r="O65" s="16"/>
    </row>
    <row r="66" ht="14.25" customHeight="1">
      <c r="A66" s="4" t="str">
        <f>parametros_manuales!$B$25</f>
        <v>Soldadura del cuello a la cúpula</v>
      </c>
      <c r="B66" s="3">
        <v>1.0</v>
      </c>
      <c r="C66" s="3">
        <v>1.0</v>
      </c>
      <c r="D66" s="3">
        <v>1.0</v>
      </c>
      <c r="E66" s="3">
        <v>1.0</v>
      </c>
      <c r="F66" s="3">
        <v>1.0</v>
      </c>
      <c r="G66" s="3">
        <v>1.0</v>
      </c>
      <c r="H66" s="3">
        <v>1.0</v>
      </c>
      <c r="I66" s="3">
        <v>1.0</v>
      </c>
      <c r="J66" s="3">
        <v>1.0</v>
      </c>
      <c r="K66" s="3">
        <v>1.0</v>
      </c>
      <c r="L66" s="16"/>
      <c r="M66" s="16"/>
      <c r="N66" s="16"/>
      <c r="O66" s="16"/>
    </row>
    <row r="67" ht="14.25" customHeight="1">
      <c r="A67" s="4" t="str">
        <f>parametros_manuales!$B$26</f>
        <v>Cilindrado</v>
      </c>
      <c r="B67" s="3">
        <v>1.0</v>
      </c>
      <c r="C67" s="3">
        <v>1.0</v>
      </c>
      <c r="D67" s="3">
        <v>1.0</v>
      </c>
      <c r="E67" s="3">
        <v>1.0</v>
      </c>
      <c r="F67" s="3">
        <v>1.0</v>
      </c>
      <c r="G67" s="3">
        <v>1.0</v>
      </c>
      <c r="H67" s="3">
        <v>1.0</v>
      </c>
      <c r="I67" s="3">
        <v>1.0</v>
      </c>
      <c r="J67" s="3">
        <v>1.0</v>
      </c>
      <c r="K67" s="3">
        <v>1.0</v>
      </c>
      <c r="L67" s="16"/>
      <c r="M67" s="16"/>
      <c r="N67" s="16"/>
      <c r="O67" s="16"/>
    </row>
    <row r="68" ht="14.25" customHeight="1">
      <c r="A68" s="4" t="str">
        <f>parametros_manuales!$B$27</f>
        <v>Soldadura longitudinal — 2,5 a 10 kg</v>
      </c>
      <c r="B68" s="3">
        <v>1.0</v>
      </c>
      <c r="C68" s="3">
        <v>1.0</v>
      </c>
      <c r="D68" s="3">
        <v>1.0</v>
      </c>
      <c r="E68" s="3">
        <v>1.0</v>
      </c>
      <c r="F68" s="3">
        <v>1.0</v>
      </c>
      <c r="G68" s="3">
        <v>1.0</v>
      </c>
      <c r="H68" s="3">
        <v>1.0</v>
      </c>
      <c r="I68" s="3">
        <v>1.0</v>
      </c>
      <c r="J68" s="3">
        <v>1.0</v>
      </c>
      <c r="K68" s="3">
        <v>1.0</v>
      </c>
      <c r="L68" s="16"/>
      <c r="M68" s="16"/>
      <c r="N68" s="16"/>
      <c r="O68" s="16"/>
    </row>
    <row r="69" ht="14.25" customHeight="1">
      <c r="A69" s="4" t="str">
        <f>parametros_manuales!$B$28</f>
        <v>Soldadura longitudinal TIG — 1 kg</v>
      </c>
      <c r="B69" s="3">
        <v>1.0</v>
      </c>
      <c r="C69" s="3">
        <v>1.0</v>
      </c>
      <c r="D69" s="3">
        <v>1.0</v>
      </c>
      <c r="E69" s="3">
        <v>1.0</v>
      </c>
      <c r="F69" s="3">
        <v>1.0</v>
      </c>
      <c r="G69" s="3">
        <v>1.0</v>
      </c>
      <c r="H69" s="3">
        <v>1.0</v>
      </c>
      <c r="I69" s="3">
        <v>1.0</v>
      </c>
      <c r="J69" s="3">
        <v>1.0</v>
      </c>
      <c r="K69" s="3">
        <v>1.0</v>
      </c>
      <c r="L69" s="16"/>
      <c r="M69" s="16"/>
      <c r="N69" s="16"/>
      <c r="O69" s="16"/>
    </row>
    <row r="70" ht="14.25" customHeight="1">
      <c r="A70" s="4" t="str">
        <f>parametros_manuales!$B$29</f>
        <v>Encastre de fondo</v>
      </c>
      <c r="B70" s="3">
        <v>1.0</v>
      </c>
      <c r="C70" s="3">
        <v>1.0</v>
      </c>
      <c r="D70" s="3">
        <v>1.0</v>
      </c>
      <c r="E70" s="3">
        <v>1.0</v>
      </c>
      <c r="F70" s="3">
        <v>1.0</v>
      </c>
      <c r="G70" s="3">
        <v>1.0</v>
      </c>
      <c r="H70" s="3">
        <v>1.0</v>
      </c>
      <c r="I70" s="3">
        <v>1.0</v>
      </c>
      <c r="J70" s="3">
        <v>1.0</v>
      </c>
      <c r="K70" s="3">
        <v>1.0</v>
      </c>
      <c r="L70" s="16"/>
      <c r="M70" s="16"/>
      <c r="N70" s="16"/>
      <c r="O70" s="16"/>
    </row>
    <row r="71" ht="14.25" customHeight="1">
      <c r="A71" s="4" t="str">
        <f>parametros_manuales!$B$30</f>
        <v>Bordoneado</v>
      </c>
      <c r="B71" s="3">
        <v>1.0</v>
      </c>
      <c r="C71" s="3">
        <v>1.0</v>
      </c>
      <c r="D71" s="3">
        <v>1.0</v>
      </c>
      <c r="E71" s="3">
        <v>1.0</v>
      </c>
      <c r="F71" s="3">
        <v>1.0</v>
      </c>
      <c r="G71" s="3">
        <v>1.0</v>
      </c>
      <c r="H71" s="3">
        <v>1.0</v>
      </c>
      <c r="I71" s="3">
        <v>1.0</v>
      </c>
      <c r="J71" s="3">
        <v>1.0</v>
      </c>
      <c r="K71" s="3">
        <v>1.0</v>
      </c>
      <c r="L71" s="16"/>
      <c r="M71" s="16"/>
      <c r="N71" s="16"/>
      <c r="O71" s="16"/>
    </row>
    <row r="72" ht="14.25" customHeight="1">
      <c r="A72" s="4" t="str">
        <f>parametros_manuales!$B$31</f>
        <v>Soldadura circunferencial de cúpula y fondo</v>
      </c>
      <c r="B72" s="3">
        <v>1.0</v>
      </c>
      <c r="C72" s="3">
        <v>1.0</v>
      </c>
      <c r="D72" s="3">
        <v>1.0</v>
      </c>
      <c r="E72" s="3">
        <v>1.0</v>
      </c>
      <c r="F72" s="3">
        <v>1.0</v>
      </c>
      <c r="G72" s="3">
        <v>1.0</v>
      </c>
      <c r="H72" s="3">
        <v>1.0</v>
      </c>
      <c r="I72" s="3">
        <v>1.0</v>
      </c>
      <c r="J72" s="3">
        <v>1.0</v>
      </c>
      <c r="K72" s="3">
        <v>1.0</v>
      </c>
      <c r="L72" s="16"/>
      <c r="M72" s="16"/>
      <c r="N72" s="16"/>
      <c r="O72" s="16"/>
    </row>
    <row r="73" ht="14.25" customHeight="1">
      <c r="A73" s="4" t="str">
        <f>parametros_manuales!$B$32</f>
        <v>Control de calidad — Espesor</v>
      </c>
      <c r="B73" s="3">
        <v>1.0</v>
      </c>
      <c r="C73" s="3">
        <v>1.0</v>
      </c>
      <c r="D73" s="3">
        <v>1.0</v>
      </c>
      <c r="E73" s="3">
        <v>1.0</v>
      </c>
      <c r="F73" s="3">
        <v>1.0</v>
      </c>
      <c r="G73" s="3">
        <v>1.0</v>
      </c>
      <c r="H73" s="3">
        <v>1.0</v>
      </c>
      <c r="I73" s="3">
        <v>1.0</v>
      </c>
      <c r="J73" s="3">
        <v>1.0</v>
      </c>
      <c r="K73" s="3">
        <v>1.0</v>
      </c>
      <c r="L73" s="16"/>
      <c r="M73" s="16"/>
      <c r="N73" s="16"/>
      <c r="O73" s="16"/>
    </row>
    <row r="74" ht="14.25" customHeight="1">
      <c r="A74" s="4" t="str">
        <f>parametros_manuales!$B$33</f>
        <v>Prueba hidráulica</v>
      </c>
      <c r="B74" s="3">
        <v>1.0</v>
      </c>
      <c r="C74" s="3">
        <v>1.0</v>
      </c>
      <c r="D74" s="3">
        <v>1.0</v>
      </c>
      <c r="E74" s="3">
        <v>1.0</v>
      </c>
      <c r="F74" s="3">
        <v>1.0</v>
      </c>
      <c r="G74" s="3">
        <v>1.0</v>
      </c>
      <c r="H74" s="3">
        <v>1.0</v>
      </c>
      <c r="I74" s="3">
        <v>1.0</v>
      </c>
      <c r="J74" s="3">
        <v>1.0</v>
      </c>
      <c r="K74" s="3">
        <v>1.0</v>
      </c>
      <c r="L74" s="16"/>
      <c r="M74" s="16"/>
      <c r="N74" s="16"/>
      <c r="O74" s="16"/>
    </row>
    <row r="75" ht="14.25" customHeight="1">
      <c r="A75" s="4" t="str">
        <f>parametros_manuales!$B$34</f>
        <v>Secado</v>
      </c>
      <c r="B75" s="3">
        <v>1.0</v>
      </c>
      <c r="C75" s="3">
        <v>1.0</v>
      </c>
      <c r="D75" s="3">
        <v>1.0</v>
      </c>
      <c r="E75" s="3">
        <v>1.0</v>
      </c>
      <c r="F75" s="3">
        <v>1.0</v>
      </c>
      <c r="G75" s="3">
        <v>1.0</v>
      </c>
      <c r="H75" s="3">
        <v>1.0</v>
      </c>
      <c r="I75" s="3">
        <v>1.0</v>
      </c>
      <c r="J75" s="3">
        <v>1.0</v>
      </c>
      <c r="K75" s="3">
        <v>1.0</v>
      </c>
      <c r="L75" s="16"/>
      <c r="M75" s="16"/>
      <c r="N75" s="16"/>
      <c r="O75" s="16"/>
    </row>
    <row r="76" ht="14.25" customHeight="1">
      <c r="A76" s="4" t="str">
        <f>parametros_manuales!$B$35</f>
        <v>Granallado</v>
      </c>
      <c r="B76" s="3">
        <v>1.0</v>
      </c>
      <c r="C76" s="3">
        <v>1.0</v>
      </c>
      <c r="D76" s="3">
        <v>1.0</v>
      </c>
      <c r="E76" s="3">
        <v>1.0</v>
      </c>
      <c r="F76" s="3">
        <v>1.0</v>
      </c>
      <c r="G76" s="3">
        <v>1.0</v>
      </c>
      <c r="H76" s="3">
        <v>1.0</v>
      </c>
      <c r="I76" s="3">
        <v>1.0</v>
      </c>
      <c r="J76" s="3">
        <v>1.0</v>
      </c>
      <c r="K76" s="3">
        <v>1.0</v>
      </c>
      <c r="L76" s="16"/>
      <c r="M76" s="16"/>
      <c r="N76" s="16"/>
      <c r="O76" s="16"/>
    </row>
    <row r="77" ht="14.25" customHeight="1">
      <c r="A77" s="4" t="str">
        <f>parametros_manuales!$B$36</f>
        <v>Detección de defectos</v>
      </c>
      <c r="B77" s="3">
        <v>1.0</v>
      </c>
      <c r="C77" s="3">
        <v>1.0</v>
      </c>
      <c r="D77" s="3">
        <v>1.0</v>
      </c>
      <c r="E77" s="3">
        <v>1.0</v>
      </c>
      <c r="F77" s="3">
        <v>1.0</v>
      </c>
      <c r="G77" s="3">
        <v>1.0</v>
      </c>
      <c r="H77" s="3">
        <v>1.0</v>
      </c>
      <c r="I77" s="3">
        <v>1.0</v>
      </c>
      <c r="J77" s="3">
        <v>1.0</v>
      </c>
      <c r="K77" s="3">
        <v>1.0</v>
      </c>
      <c r="L77" s="16"/>
      <c r="M77" s="16"/>
      <c r="N77" s="16"/>
      <c r="O77" s="16"/>
    </row>
    <row r="78" ht="14.25" customHeight="1">
      <c r="A78" s="4" t="str">
        <f>parametros_manuales!$B$37</f>
        <v>Corrección de defectos</v>
      </c>
      <c r="B78" s="3">
        <v>1.0</v>
      </c>
      <c r="C78" s="3">
        <v>1.0</v>
      </c>
      <c r="D78" s="3">
        <v>1.0</v>
      </c>
      <c r="E78" s="3">
        <v>1.0</v>
      </c>
      <c r="F78" s="3">
        <v>1.0</v>
      </c>
      <c r="G78" s="3">
        <v>1.0</v>
      </c>
      <c r="H78" s="3">
        <v>1.0</v>
      </c>
      <c r="I78" s="3">
        <v>1.0</v>
      </c>
      <c r="J78" s="3">
        <v>1.0</v>
      </c>
      <c r="K78" s="3">
        <v>1.0</v>
      </c>
      <c r="L78" s="16"/>
      <c r="M78" s="16"/>
      <c r="N78" s="16"/>
      <c r="O78" s="16"/>
    </row>
    <row r="79" ht="14.25" customHeight="1">
      <c r="A79" s="4" t="str">
        <f>parametros_manuales!$B$38</f>
        <v>Pintura en polvo + horno</v>
      </c>
      <c r="B79" s="3">
        <v>1.0</v>
      </c>
      <c r="C79" s="3">
        <v>1.0</v>
      </c>
      <c r="D79" s="3">
        <v>1.0</v>
      </c>
      <c r="E79" s="3">
        <v>1.0</v>
      </c>
      <c r="F79" s="3">
        <v>1.0</v>
      </c>
      <c r="G79" s="3">
        <v>1.0</v>
      </c>
      <c r="H79" s="3">
        <v>1.0</v>
      </c>
      <c r="I79" s="3">
        <v>1.0</v>
      </c>
      <c r="J79" s="3">
        <v>1.0</v>
      </c>
      <c r="K79" s="3">
        <v>1.0</v>
      </c>
      <c r="L79" s="16"/>
      <c r="M79" s="16"/>
      <c r="N79" s="16"/>
      <c r="O79" s="16"/>
    </row>
    <row r="80" ht="14.25" customHeight="1">
      <c r="A80" s="4" t="str">
        <f>parametros_manuales!$B$39</f>
        <v>Carga de polvo</v>
      </c>
      <c r="B80" s="3">
        <v>1.0</v>
      </c>
      <c r="C80" s="3">
        <v>1.0</v>
      </c>
      <c r="D80" s="3">
        <v>1.0</v>
      </c>
      <c r="E80" s="3">
        <v>1.0</v>
      </c>
      <c r="F80" s="3">
        <v>1.0</v>
      </c>
      <c r="G80" s="3">
        <v>1.0</v>
      </c>
      <c r="H80" s="3">
        <v>1.0</v>
      </c>
      <c r="I80" s="3">
        <v>1.0</v>
      </c>
      <c r="J80" s="3">
        <v>1.0</v>
      </c>
      <c r="K80" s="3">
        <v>1.0</v>
      </c>
      <c r="L80" s="16"/>
      <c r="M80" s="16"/>
      <c r="N80" s="16"/>
      <c r="O80" s="16"/>
    </row>
    <row r="81" ht="14.25" customHeight="1">
      <c r="A81" s="4" t="str">
        <f>parametros_manuales!$B$40</f>
        <v>Ensamblaje</v>
      </c>
      <c r="B81" s="3">
        <v>1.0</v>
      </c>
      <c r="C81" s="3">
        <v>1.0</v>
      </c>
      <c r="D81" s="3">
        <v>1.0</v>
      </c>
      <c r="E81" s="3">
        <v>1.0</v>
      </c>
      <c r="F81" s="3">
        <v>1.0</v>
      </c>
      <c r="G81" s="3">
        <v>1.0</v>
      </c>
      <c r="H81" s="3">
        <v>1.0</v>
      </c>
      <c r="I81" s="3">
        <v>1.0</v>
      </c>
      <c r="J81" s="3">
        <v>1.0</v>
      </c>
      <c r="K81" s="3">
        <v>1.0</v>
      </c>
      <c r="L81" s="16"/>
      <c r="M81" s="16"/>
      <c r="N81" s="16"/>
      <c r="O81" s="16"/>
    </row>
    <row r="82" ht="14.25" customHeight="1">
      <c r="A82" s="4" t="str">
        <f>parametros_manuales!$B$41</f>
        <v>Presurización</v>
      </c>
      <c r="B82" s="3">
        <v>1.0</v>
      </c>
      <c r="C82" s="3">
        <v>1.0</v>
      </c>
      <c r="D82" s="3">
        <v>1.0</v>
      </c>
      <c r="E82" s="3">
        <v>1.0</v>
      </c>
      <c r="F82" s="3">
        <v>1.0</v>
      </c>
      <c r="G82" s="3">
        <v>1.0</v>
      </c>
      <c r="H82" s="3">
        <v>1.0</v>
      </c>
      <c r="I82" s="3">
        <v>1.0</v>
      </c>
      <c r="J82" s="3">
        <v>1.0</v>
      </c>
      <c r="K82" s="3">
        <v>1.0</v>
      </c>
      <c r="L82" s="16"/>
      <c r="M82" s="16"/>
      <c r="N82" s="16"/>
      <c r="O82" s="16"/>
    </row>
    <row r="83" ht="14.25" customHeight="1">
      <c r="A83" s="4" t="str">
        <f>parametros_manuales!$B$42</f>
        <v>Control de calidad — Ensayo de pérdidas</v>
      </c>
      <c r="B83" s="3">
        <v>1.0</v>
      </c>
      <c r="C83" s="3">
        <v>1.0</v>
      </c>
      <c r="D83" s="3">
        <v>1.0</v>
      </c>
      <c r="E83" s="3">
        <v>1.0</v>
      </c>
      <c r="F83" s="3">
        <v>1.0</v>
      </c>
      <c r="G83" s="3">
        <v>1.0</v>
      </c>
      <c r="H83" s="3">
        <v>1.0</v>
      </c>
      <c r="I83" s="3">
        <v>1.0</v>
      </c>
      <c r="J83" s="3">
        <v>1.0</v>
      </c>
      <c r="K83" s="3">
        <v>1.0</v>
      </c>
      <c r="L83" s="16"/>
      <c r="M83" s="16"/>
      <c r="N83" s="16"/>
      <c r="O83" s="16"/>
    </row>
    <row r="84" ht="14.25" customHeight="1">
      <c r="A84" s="4" t="str">
        <f>parametros_manuales!$B$43</f>
        <v>Etiquetado</v>
      </c>
      <c r="B84" s="3">
        <v>1.0</v>
      </c>
      <c r="C84" s="3">
        <v>1.0</v>
      </c>
      <c r="D84" s="3">
        <v>1.0</v>
      </c>
      <c r="E84" s="3">
        <v>1.0</v>
      </c>
      <c r="F84" s="3">
        <v>1.0</v>
      </c>
      <c r="G84" s="3">
        <v>1.0</v>
      </c>
      <c r="H84" s="3">
        <v>1.0</v>
      </c>
      <c r="I84" s="3">
        <v>1.0</v>
      </c>
      <c r="J84" s="3">
        <v>1.0</v>
      </c>
      <c r="K84" s="3">
        <v>1.0</v>
      </c>
      <c r="L84" s="16"/>
      <c r="M84" s="16"/>
      <c r="N84" s="16"/>
      <c r="O84" s="16"/>
    </row>
    <row r="85" ht="14.25" customHeight="1">
      <c r="A85" s="4" t="str">
        <f>parametros_manuales!$B$44</f>
        <v>Embalaje y paletizado</v>
      </c>
      <c r="B85" s="3">
        <v>1.0</v>
      </c>
      <c r="C85" s="3">
        <v>1.0</v>
      </c>
      <c r="D85" s="3">
        <v>1.0</v>
      </c>
      <c r="E85" s="3">
        <v>1.0</v>
      </c>
      <c r="F85" s="3">
        <v>1.0</v>
      </c>
      <c r="G85" s="3">
        <v>1.0</v>
      </c>
      <c r="H85" s="3">
        <v>1.0</v>
      </c>
      <c r="I85" s="3">
        <v>1.0</v>
      </c>
      <c r="J85" s="3">
        <v>1.0</v>
      </c>
      <c r="K85" s="3">
        <v>1.0</v>
      </c>
      <c r="L85" s="16"/>
      <c r="M85" s="16"/>
      <c r="N85" s="16"/>
      <c r="O85" s="16"/>
    </row>
    <row r="86" ht="14.25" customHeight="1">
      <c r="A86" s="14" t="s">
        <v>223</v>
      </c>
      <c r="B86" s="60">
        <f t="shared" ref="B86:K86" si="3">MAX(B60:B85)</f>
        <v>1</v>
      </c>
      <c r="C86" s="60">
        <f t="shared" si="3"/>
        <v>1</v>
      </c>
      <c r="D86" s="60">
        <f t="shared" si="3"/>
        <v>1</v>
      </c>
      <c r="E86" s="60">
        <f t="shared" si="3"/>
        <v>1</v>
      </c>
      <c r="F86" s="60">
        <f t="shared" si="3"/>
        <v>1</v>
      </c>
      <c r="G86" s="60">
        <f t="shared" si="3"/>
        <v>1</v>
      </c>
      <c r="H86" s="60">
        <f t="shared" si="3"/>
        <v>1</v>
      </c>
      <c r="I86" s="60">
        <f t="shared" si="3"/>
        <v>1</v>
      </c>
      <c r="J86" s="60">
        <f t="shared" si="3"/>
        <v>1</v>
      </c>
      <c r="K86" s="60">
        <f t="shared" si="3"/>
        <v>1</v>
      </c>
      <c r="L86" s="16"/>
      <c r="M86" s="16"/>
      <c r="N86" s="16"/>
      <c r="O86" s="16"/>
    </row>
    <row r="87" ht="14.2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</row>
    <row r="88" ht="14.2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</row>
    <row r="89" ht="14.25" customHeight="1">
      <c r="A89" s="65" t="s">
        <v>226</v>
      </c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</row>
    <row r="90" ht="14.25" customHeight="1">
      <c r="A90" s="61" t="s">
        <v>219</v>
      </c>
      <c r="B90" s="61">
        <v>2026.0</v>
      </c>
      <c r="C90" s="61">
        <v>2027.0</v>
      </c>
      <c r="D90" s="61">
        <v>2028.0</v>
      </c>
      <c r="E90" s="61">
        <v>2029.0</v>
      </c>
      <c r="F90" s="61">
        <v>2030.0</v>
      </c>
      <c r="G90" s="61">
        <v>2031.0</v>
      </c>
      <c r="H90" s="61">
        <v>2032.0</v>
      </c>
      <c r="I90" s="61">
        <v>2033.0</v>
      </c>
      <c r="J90" s="61">
        <v>2034.0</v>
      </c>
      <c r="K90" s="61">
        <v>2035.0</v>
      </c>
      <c r="L90" s="16"/>
      <c r="M90" s="16"/>
      <c r="N90" s="16"/>
      <c r="O90" s="16"/>
    </row>
    <row r="91" ht="14.25" customHeight="1">
      <c r="A91" s="4" t="s">
        <v>227</v>
      </c>
      <c r="B91" s="66">
        <f>'Resumen cap. sin sobrestock'!B28</f>
        <v>0.1770488889</v>
      </c>
      <c r="C91" s="66">
        <f>'Resumen cap. sin sobrestock'!C28</f>
        <v>0.2794288889</v>
      </c>
      <c r="D91" s="66">
        <f>'Resumen cap. sin sobrestock'!D28</f>
        <v>0.5960644444</v>
      </c>
      <c r="E91" s="66">
        <f>'Resumen cap. sin sobrestock'!E28</f>
        <v>1.325048889</v>
      </c>
      <c r="F91" s="66">
        <f>'Resumen cap. sin sobrestock'!F28</f>
        <v>2.309924444</v>
      </c>
      <c r="G91" s="66">
        <f>'Resumen cap. sin sobrestock'!G28</f>
        <v>3.24386</v>
      </c>
      <c r="H91" s="66">
        <f>'Resumen cap. sin sobrestock'!H28</f>
        <v>4.474464444</v>
      </c>
      <c r="I91" s="66">
        <f>'Resumen cap. sin sobrestock'!I28</f>
        <v>5.714962222</v>
      </c>
      <c r="J91" s="66">
        <f>'Resumen cap. sin sobrestock'!J28</f>
        <v>6.445946667</v>
      </c>
      <c r="K91" s="66">
        <f>'Resumen cap. sin sobrestock'!K28</f>
        <v>7.444875556</v>
      </c>
      <c r="L91" s="16"/>
      <c r="M91" s="16"/>
      <c r="N91" s="16"/>
      <c r="O91" s="16"/>
    </row>
    <row r="92" ht="14.25" customHeight="1">
      <c r="A92" s="4" t="s">
        <v>228</v>
      </c>
      <c r="B92" s="67">
        <f t="shared" ref="B92:K92" si="4">B28</f>
        <v>0.13726</v>
      </c>
      <c r="C92" s="67">
        <f t="shared" si="4"/>
        <v>0.21772</v>
      </c>
      <c r="D92" s="67">
        <f t="shared" si="4"/>
        <v>0.4613</v>
      </c>
      <c r="E92" s="67">
        <f t="shared" si="4"/>
        <v>1.0202</v>
      </c>
      <c r="F92" s="67">
        <f t="shared" si="4"/>
        <v>1.777</v>
      </c>
      <c r="G92" s="67">
        <f t="shared" si="4"/>
        <v>2.49534</v>
      </c>
      <c r="H92" s="67">
        <f t="shared" si="4"/>
        <v>3.4397</v>
      </c>
      <c r="I92" s="67">
        <f t="shared" si="4"/>
        <v>4.392</v>
      </c>
      <c r="J92" s="67">
        <f t="shared" si="4"/>
        <v>4.95506</v>
      </c>
      <c r="K92" s="67">
        <f t="shared" si="4"/>
        <v>5.72286</v>
      </c>
      <c r="L92" s="16"/>
      <c r="M92" s="16"/>
      <c r="N92" s="16"/>
      <c r="O92" s="16"/>
    </row>
    <row r="93" ht="14.2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</row>
    <row r="94" ht="14.2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</row>
    <row r="95" ht="14.25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</row>
    <row r="96" ht="14.2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</row>
    <row r="97" ht="14.2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</row>
    <row r="98" ht="14.25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</row>
    <row r="99" ht="14.2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</row>
    <row r="100" ht="14.25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</row>
    <row r="101" ht="14.25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</row>
    <row r="102" ht="14.25" customHeight="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</row>
    <row r="103" ht="14.25" customHeight="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</row>
    <row r="104" ht="14.25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</row>
    <row r="105" ht="14.25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</row>
    <row r="106" ht="14.2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</row>
    <row r="107" ht="14.25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</row>
    <row r="108" ht="14.2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</row>
    <row r="109" ht="14.25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</row>
    <row r="110" ht="14.2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</row>
    <row r="111" ht="14.2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</row>
    <row r="112" ht="14.2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</row>
    <row r="113" ht="14.2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</row>
    <row r="114" ht="14.2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</row>
    <row r="115" ht="14.2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</row>
    <row r="116" ht="14.2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</row>
    <row r="117" ht="14.2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</row>
    <row r="118" ht="14.2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</row>
    <row r="119" ht="14.2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</row>
    <row r="120" ht="14.2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</row>
    <row r="121" ht="14.2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</row>
    <row r="122" ht="14.2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</row>
    <row r="123" ht="14.2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</row>
    <row r="124" ht="14.2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</row>
    <row r="125" ht="14.2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</row>
    <row r="126" ht="14.2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</row>
    <row r="127" ht="14.2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</row>
    <row r="128" ht="14.2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</row>
    <row r="129" ht="14.2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</row>
    <row r="130" ht="14.2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</row>
    <row r="131" ht="14.2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</row>
    <row r="132" ht="14.2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</row>
    <row r="133" ht="14.2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</row>
    <row r="134" ht="14.2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</row>
    <row r="135" ht="14.2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</row>
    <row r="136" ht="14.2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</row>
    <row r="137" ht="14.2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</row>
    <row r="138" ht="14.2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</row>
    <row r="139" ht="14.2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</row>
    <row r="140" ht="14.2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</row>
    <row r="141" ht="14.2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</row>
    <row r="142" ht="14.2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</row>
    <row r="143" ht="14.2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</row>
    <row r="144" ht="14.2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</row>
    <row r="145" ht="14.2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</row>
    <row r="146" ht="14.2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</row>
    <row r="147" ht="14.2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</row>
    <row r="148" ht="14.2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</row>
    <row r="149" ht="14.2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</row>
    <row r="150" ht="14.2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</row>
    <row r="151" ht="14.25" customHeight="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</row>
    <row r="152" ht="14.25" customHeight="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</row>
    <row r="153" ht="14.2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</row>
    <row r="154" ht="14.2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</row>
    <row r="155" ht="14.2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</row>
    <row r="156" ht="14.2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</row>
    <row r="157" ht="14.2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</row>
    <row r="158" ht="14.2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</row>
    <row r="159" ht="14.2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</row>
    <row r="160" ht="14.2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</row>
    <row r="161" ht="14.2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</row>
    <row r="162" ht="14.2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</row>
    <row r="163" ht="14.2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</row>
    <row r="164" ht="14.2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</row>
    <row r="165" ht="14.2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</row>
    <row r="166" ht="14.25" customHeight="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</row>
    <row r="167" ht="14.2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</row>
    <row r="168" ht="14.2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</row>
    <row r="169" ht="14.25" customHeight="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</row>
    <row r="170" ht="14.2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</row>
    <row r="171" ht="14.2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</row>
    <row r="172" ht="14.2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</row>
    <row r="173" ht="14.2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</row>
    <row r="174" ht="14.2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</row>
    <row r="175" ht="14.2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</row>
    <row r="176" ht="14.25" customHeight="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</row>
    <row r="177" ht="14.25" customHeight="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</row>
    <row r="178" ht="14.25" customHeight="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</row>
    <row r="179" ht="14.2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</row>
    <row r="180" ht="14.2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</row>
    <row r="181" ht="14.25" customHeight="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</row>
    <row r="182" ht="14.25" customHeight="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</row>
    <row r="183" ht="14.25" customHeight="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</row>
    <row r="184" ht="14.25" customHeight="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</row>
    <row r="185" ht="14.2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</row>
    <row r="186" ht="14.25" customHeight="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</row>
    <row r="187" ht="14.25" customHeight="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</row>
    <row r="188" ht="14.25" customHeight="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</row>
    <row r="189" ht="14.25" customHeight="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</row>
    <row r="190" ht="14.25" customHeight="1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</row>
    <row r="191" ht="14.25" customHeight="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</row>
    <row r="192" ht="14.25" customHeight="1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</row>
    <row r="193" ht="14.25" customHeight="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</row>
    <row r="194" ht="14.25" customHeight="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</row>
    <row r="195" ht="14.25" customHeight="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</row>
    <row r="196" ht="14.2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</row>
    <row r="197" ht="14.25" customHeight="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</row>
    <row r="198" ht="14.25" customHeight="1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</row>
    <row r="199" ht="14.25" customHeight="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</row>
    <row r="200" ht="14.25" customHeight="1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</row>
    <row r="201" ht="14.25" customHeight="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</row>
    <row r="202" ht="14.2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</row>
    <row r="203" ht="14.25" customHeight="1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</row>
    <row r="204" ht="14.25" customHeight="1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</row>
    <row r="205" ht="14.25" customHeight="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</row>
    <row r="206" ht="14.25" customHeight="1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</row>
    <row r="207" ht="14.25" customHeight="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</row>
    <row r="208" ht="14.25" customHeight="1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</row>
    <row r="209" ht="14.25" customHeight="1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</row>
    <row r="210" ht="14.25" customHeight="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</row>
    <row r="211" ht="14.25" customHeight="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</row>
    <row r="212" ht="14.25" customHeight="1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</row>
    <row r="213" ht="14.25" customHeight="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</row>
    <row r="214" ht="14.25" customHeight="1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</row>
    <row r="215" ht="14.25" customHeight="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</row>
    <row r="216" ht="14.25" customHeight="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</row>
    <row r="217" ht="14.2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</row>
    <row r="218" ht="14.25" customHeight="1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</row>
    <row r="219" ht="14.25" customHeight="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</row>
    <row r="220" ht="14.25" customHeight="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</row>
    <row r="221" ht="14.25" customHeight="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</row>
    <row r="222" ht="14.25" customHeight="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</row>
    <row r="223" ht="14.25" customHeight="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</row>
    <row r="224" ht="14.2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</row>
    <row r="225" ht="14.2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</row>
    <row r="226" ht="14.25" customHeight="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</row>
    <row r="227" ht="14.2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</row>
    <row r="228" ht="14.2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</row>
    <row r="229" ht="14.2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</row>
    <row r="230" ht="14.25" customHeight="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</row>
    <row r="231" ht="14.2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</row>
    <row r="232" ht="14.25" customHeight="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</row>
    <row r="233" ht="14.25" customHeight="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</row>
    <row r="234" ht="14.25" customHeight="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</row>
    <row r="235" ht="14.25" customHeight="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</row>
    <row r="236" ht="14.25" customHeight="1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</row>
    <row r="237" ht="14.25" customHeight="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</row>
    <row r="238" ht="14.25" customHeight="1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</row>
    <row r="239" ht="14.25" customHeight="1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</row>
    <row r="240" ht="14.25" customHeight="1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</row>
    <row r="241" ht="14.25" customHeight="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</row>
    <row r="242" ht="14.25" customHeight="1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</row>
    <row r="243" ht="14.25" customHeight="1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</row>
    <row r="244" ht="14.25" customHeight="1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</row>
    <row r="245" ht="14.25" customHeight="1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</row>
    <row r="246" ht="14.25" customHeight="1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</row>
    <row r="247" ht="14.25" customHeight="1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</row>
    <row r="248" ht="14.25" customHeight="1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</row>
    <row r="249" ht="14.25" customHeight="1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</row>
    <row r="250" ht="14.25" customHeight="1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</row>
    <row r="251" ht="14.25" customHeight="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</row>
    <row r="252" ht="14.25" customHeight="1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</row>
    <row r="253" ht="14.25" customHeight="1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</row>
    <row r="254" ht="14.25" customHeight="1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</row>
    <row r="255" ht="14.25" customHeight="1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</row>
    <row r="256" ht="14.25" customHeight="1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</row>
    <row r="257" ht="14.25" customHeight="1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</row>
    <row r="258" ht="14.25" customHeight="1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</row>
    <row r="259" ht="14.25" customHeight="1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</row>
    <row r="260" ht="14.25" customHeight="1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</row>
    <row r="261" ht="14.25" customHeight="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</row>
    <row r="262" ht="14.25" customHeight="1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</row>
    <row r="263" ht="14.25" customHeight="1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</row>
    <row r="264" ht="14.25" customHeight="1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</row>
    <row r="265" ht="14.25" customHeight="1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</row>
    <row r="266" ht="14.25" customHeight="1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</row>
    <row r="267" ht="14.25" customHeight="1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</row>
    <row r="268" ht="14.25" customHeight="1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</row>
    <row r="269" ht="14.25" customHeight="1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</row>
    <row r="270" ht="14.25" customHeight="1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</row>
    <row r="271" ht="14.25" customHeight="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</row>
    <row r="272" ht="14.25" customHeight="1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</row>
    <row r="273" ht="14.25" customHeight="1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</row>
    <row r="274" ht="14.25" customHeight="1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</row>
    <row r="275" ht="14.25" customHeight="1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</row>
    <row r="276" ht="14.25" customHeight="1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</row>
    <row r="277" ht="14.25" customHeight="1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</row>
    <row r="278" ht="14.25" customHeight="1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</row>
    <row r="279" ht="14.25" customHeight="1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</row>
    <row r="280" ht="14.25" customHeight="1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</row>
    <row r="281" ht="14.25" customHeight="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</row>
    <row r="282" ht="14.25" customHeight="1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</row>
    <row r="283" ht="14.25" customHeight="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</row>
    <row r="284" ht="14.25" customHeight="1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</row>
    <row r="285" ht="14.25" customHeight="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</row>
    <row r="286" ht="14.25" customHeight="1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</row>
    <row r="287" ht="14.25" customHeight="1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</row>
    <row r="288" ht="14.25" customHeight="1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</row>
    <row r="289" ht="14.25" customHeight="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</row>
    <row r="290" ht="14.25" customHeight="1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</row>
    <row r="291" ht="14.25" customHeight="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</row>
    <row r="292" ht="14.25" customHeight="1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</row>
    <row r="293" ht="15.75" customHeight="1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</row>
    <row r="294" ht="15.75" customHeight="1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</row>
    <row r="295" ht="15.75" customHeight="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</row>
    <row r="296" ht="15.75" customHeight="1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</row>
    <row r="297" ht="15.75" customHeight="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</row>
    <row r="298" ht="15.75" customHeight="1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</row>
    <row r="299" ht="15.75" customHeight="1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</row>
    <row r="300" ht="15.75" customHeight="1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</row>
    <row r="301" ht="15.75" customHeight="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</row>
    <row r="302" ht="15.75" customHeight="1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</row>
    <row r="303" ht="15.75" customHeight="1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</row>
    <row r="304" ht="15.75" customHeight="1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</row>
    <row r="305" ht="15.75" customHeight="1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</row>
    <row r="306" ht="15.75" customHeight="1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</row>
    <row r="307" ht="15.75" customHeight="1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</row>
    <row r="308" ht="15.75" customHeight="1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</row>
    <row r="309" ht="15.75" customHeight="1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</row>
    <row r="310" ht="15.75" customHeight="1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</row>
    <row r="311" ht="15.75" customHeight="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</row>
    <row r="312" ht="15.75" customHeight="1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</row>
    <row r="313" ht="15.75" customHeight="1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</row>
    <row r="314" ht="15.75" customHeight="1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</row>
    <row r="315" ht="15.75" customHeight="1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</row>
    <row r="316" ht="15.75" customHeight="1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</row>
    <row r="317" ht="15.75" customHeight="1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</row>
    <row r="318" ht="15.75" customHeight="1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</row>
    <row r="319" ht="15.75" customHeight="1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</row>
    <row r="320" ht="15.75" customHeight="1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</row>
    <row r="321" ht="15.75" customHeight="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</row>
    <row r="322" ht="15.75" customHeight="1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</row>
    <row r="323" ht="15.75" customHeight="1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</row>
    <row r="324" ht="15.75" customHeight="1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</row>
    <row r="325" ht="15.75" customHeight="1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</row>
    <row r="326" ht="15.75" customHeight="1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</row>
    <row r="327" ht="15.75" customHeight="1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</row>
    <row r="328" ht="15.75" customHeight="1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</row>
    <row r="329" ht="15.75" customHeight="1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</row>
    <row r="330" ht="15.75" customHeight="1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</row>
    <row r="331" ht="15.75" customHeight="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</row>
    <row r="332" ht="15.75" customHeight="1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</row>
    <row r="333" ht="15.7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</row>
    <row r="334" ht="15.75" customHeight="1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</row>
    <row r="335" ht="15.75" customHeight="1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</row>
    <row r="336" ht="15.75" customHeight="1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</row>
    <row r="337" ht="15.75" customHeight="1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</row>
    <row r="338" ht="15.75" customHeight="1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</row>
    <row r="339" ht="15.7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</row>
    <row r="340" ht="15.75" customHeight="1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</row>
    <row r="341" ht="15.75" customHeight="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</row>
    <row r="342" ht="15.75" customHeight="1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</row>
    <row r="343" ht="15.75" customHeigh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</row>
    <row r="344" ht="15.75" customHeight="1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</row>
    <row r="345" ht="15.7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</row>
    <row r="346" ht="15.75" customHeight="1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</row>
    <row r="347" ht="15.75" customHeight="1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</row>
    <row r="348" ht="15.75" customHeight="1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</row>
    <row r="349" ht="15.75" customHeight="1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</row>
    <row r="350" ht="15.75" customHeight="1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</row>
    <row r="351" ht="15.75" customHeight="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</row>
    <row r="352" ht="15.75" customHeight="1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</row>
    <row r="353" ht="15.75" customHeight="1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</row>
    <row r="354" ht="15.75" customHeight="1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</row>
    <row r="355" ht="15.75" customHeight="1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</row>
    <row r="356" ht="15.75" customHeight="1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</row>
    <row r="357" ht="15.75" customHeight="1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</row>
    <row r="358" ht="15.75" customHeight="1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</row>
    <row r="359" ht="15.75" customHeight="1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</row>
    <row r="360" ht="15.75" customHeight="1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</row>
    <row r="361" ht="15.75" customHeight="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</row>
    <row r="362" ht="15.75" customHeight="1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</row>
    <row r="363" ht="15.75" customHeight="1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</row>
    <row r="364" ht="15.75" customHeight="1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</row>
    <row r="365" ht="15.75" customHeigh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</row>
    <row r="366" ht="15.75" customHeight="1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</row>
    <row r="367" ht="15.75" customHeight="1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</row>
    <row r="368" ht="15.75" customHeight="1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</row>
    <row r="369" ht="15.75" customHeight="1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</row>
    <row r="370" ht="15.75" customHeight="1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</row>
    <row r="371" ht="15.75" customHeight="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</row>
    <row r="372" ht="15.75" customHeight="1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</row>
    <row r="373" ht="15.75" customHeight="1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</row>
    <row r="374" ht="15.75" customHeight="1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</row>
    <row r="375" ht="15.75" customHeight="1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</row>
    <row r="376" ht="15.75" customHeight="1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</row>
    <row r="377" ht="15.75" customHeight="1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</row>
    <row r="378" ht="15.75" customHeight="1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</row>
    <row r="379" ht="15.75" customHeight="1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</row>
    <row r="380" ht="15.75" customHeight="1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</row>
    <row r="381" ht="15.75" customHeight="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</row>
    <row r="382" ht="15.75" customHeight="1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</row>
    <row r="383" ht="15.75" customHeight="1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</row>
    <row r="384" ht="15.75" customHeight="1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</row>
    <row r="385" ht="15.75" customHeight="1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</row>
    <row r="386" ht="15.75" customHeight="1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</row>
    <row r="387" ht="15.75" customHeight="1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</row>
    <row r="388" ht="15.75" customHeight="1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</row>
    <row r="389" ht="15.75" customHeigh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</row>
    <row r="390" ht="15.75" customHeight="1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</row>
    <row r="391" ht="15.75" customHeight="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</row>
    <row r="392" ht="15.75" customHeight="1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</row>
    <row r="393" ht="15.75" customHeight="1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</row>
    <row r="394" ht="15.75" customHeight="1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</row>
    <row r="395" ht="15.75" customHeight="1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</row>
    <row r="396" ht="15.75" customHeight="1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</row>
    <row r="397" ht="15.75" customHeight="1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</row>
    <row r="398" ht="15.75" customHeight="1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</row>
    <row r="399" ht="15.75" customHeight="1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</row>
    <row r="400" ht="15.75" customHeight="1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</row>
    <row r="401" ht="15.75" customHeight="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</row>
    <row r="402" ht="15.75" customHeight="1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</row>
    <row r="403" ht="15.75" customHeight="1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</row>
    <row r="404" ht="15.75" customHeight="1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</row>
    <row r="405" ht="15.75" customHeight="1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</row>
    <row r="406" ht="15.75" customHeight="1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</row>
    <row r="407" ht="15.75" customHeight="1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</row>
    <row r="408" ht="15.75" customHeight="1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</row>
    <row r="409" ht="15.75" customHeight="1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</row>
    <row r="410" ht="15.75" customHeight="1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</row>
    <row r="411" ht="15.75" customHeight="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</row>
    <row r="412" ht="15.75" customHeight="1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</row>
    <row r="413" ht="15.75" customHeight="1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</row>
    <row r="414" ht="15.75" customHeight="1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</row>
    <row r="415" ht="15.75" customHeight="1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</row>
    <row r="416" ht="15.75" customHeight="1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</row>
    <row r="417" ht="15.75" customHeight="1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</row>
    <row r="418" ht="15.75" customHeight="1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</row>
    <row r="419" ht="15.75" customHeight="1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</row>
    <row r="420" ht="15.75" customHeight="1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</row>
    <row r="421" ht="15.75" customHeight="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</row>
    <row r="422" ht="15.75" customHeight="1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</row>
    <row r="423" ht="15.75" customHeight="1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</row>
    <row r="424" ht="15.75" customHeight="1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</row>
    <row r="425" ht="15.75" customHeight="1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</row>
    <row r="426" ht="15.75" customHeight="1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</row>
    <row r="427" ht="15.75" customHeight="1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</row>
    <row r="428" ht="15.75" customHeight="1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</row>
    <row r="429" ht="15.75" customHeight="1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</row>
    <row r="430" ht="15.75" customHeight="1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</row>
    <row r="431" ht="15.75" customHeight="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</row>
    <row r="432" ht="15.75" customHeight="1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</row>
    <row r="433" ht="15.75" customHeight="1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</row>
    <row r="434" ht="15.75" customHeight="1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</row>
    <row r="435" ht="15.75" customHeigh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</row>
    <row r="436" ht="15.75" customHeight="1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</row>
    <row r="437" ht="15.75" customHeight="1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</row>
    <row r="438" ht="15.75" customHeight="1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</row>
    <row r="439" ht="15.75" customHeight="1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</row>
    <row r="440" ht="15.75" customHeight="1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</row>
    <row r="441" ht="15.75" customHeight="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</row>
    <row r="442" ht="15.75" customHeight="1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</row>
    <row r="443" ht="15.75" customHeight="1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</row>
    <row r="444" ht="15.75" customHeight="1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</row>
    <row r="445" ht="15.75" customHeight="1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</row>
    <row r="446" ht="15.75" customHeight="1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</row>
    <row r="447" ht="15.75" customHeight="1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</row>
    <row r="448" ht="15.75" customHeight="1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</row>
    <row r="449" ht="15.75" customHeight="1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</row>
    <row r="450" ht="15.75" customHeight="1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</row>
    <row r="451" ht="15.75" customHeight="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</row>
    <row r="452" ht="15.75" customHeight="1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</row>
    <row r="453" ht="15.75" customHeight="1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</row>
    <row r="454" ht="15.75" customHeight="1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</row>
    <row r="455" ht="15.75" customHeight="1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</row>
    <row r="456" ht="15.75" customHeight="1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</row>
    <row r="457" ht="15.75" customHeight="1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</row>
    <row r="458" ht="15.75" customHeight="1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</row>
    <row r="459" ht="15.75" customHeight="1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</row>
    <row r="460" ht="15.75" customHeight="1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</row>
    <row r="461" ht="15.75" customHeight="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</row>
    <row r="462" ht="15.75" customHeight="1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</row>
    <row r="463" ht="15.75" customHeight="1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</row>
    <row r="464" ht="15.75" customHeight="1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</row>
    <row r="465" ht="15.75" customHeight="1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</row>
    <row r="466" ht="15.75" customHeight="1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</row>
    <row r="467" ht="15.75" customHeight="1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</row>
    <row r="468" ht="15.75" customHeight="1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</row>
    <row r="469" ht="15.75" customHeight="1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</row>
    <row r="470" ht="15.75" customHeight="1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</row>
    <row r="471" ht="15.75" customHeight="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</row>
    <row r="472" ht="15.75" customHeight="1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</row>
    <row r="473" ht="15.75" customHeight="1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</row>
    <row r="474" ht="15.75" customHeight="1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</row>
    <row r="475" ht="15.75" customHeight="1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</row>
    <row r="476" ht="15.75" customHeight="1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</row>
    <row r="477" ht="15.75" customHeight="1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</row>
    <row r="478" ht="15.75" customHeight="1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</row>
    <row r="479" ht="15.75" customHeight="1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</row>
    <row r="480" ht="15.75" customHeight="1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</row>
    <row r="481" ht="15.75" customHeight="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</row>
    <row r="482" ht="15.75" customHeight="1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</row>
    <row r="483" ht="15.75" customHeight="1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</row>
    <row r="484" ht="15.75" customHeight="1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</row>
    <row r="485" ht="15.75" customHeight="1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</row>
    <row r="486" ht="15.75" customHeight="1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</row>
    <row r="487" ht="15.75" customHeight="1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</row>
    <row r="488" ht="15.75" customHeight="1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</row>
    <row r="489" ht="15.75" customHeight="1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</row>
    <row r="490" ht="15.75" customHeight="1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</row>
    <row r="491" ht="15.75" customHeight="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</row>
    <row r="492" ht="15.75" customHeight="1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</row>
    <row r="493" ht="15.75" customHeight="1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</row>
    <row r="494" ht="15.75" customHeight="1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</row>
    <row r="495" ht="15.75" customHeight="1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</row>
    <row r="496" ht="15.75" customHeight="1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</row>
    <row r="497" ht="15.75" customHeight="1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</row>
    <row r="498" ht="15.75" customHeight="1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</row>
    <row r="499" ht="15.75" customHeight="1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</row>
    <row r="500" ht="15.75" customHeight="1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</row>
    <row r="501" ht="15.75" customHeight="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</row>
    <row r="502" ht="15.75" customHeight="1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</row>
    <row r="503" ht="15.75" customHeight="1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</row>
    <row r="504" ht="15.75" customHeight="1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</row>
    <row r="505" ht="15.75" customHeight="1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</row>
    <row r="506" ht="15.75" customHeight="1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</row>
    <row r="507" ht="15.75" customHeight="1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</row>
    <row r="508" ht="15.75" customHeight="1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</row>
    <row r="509" ht="15.75" customHeight="1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</row>
    <row r="510" ht="15.75" customHeight="1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</row>
    <row r="511" ht="15.75" customHeight="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</row>
    <row r="512" ht="15.75" customHeight="1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</row>
    <row r="513" ht="15.75" customHeight="1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</row>
    <row r="514" ht="15.75" customHeight="1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</row>
    <row r="515" ht="15.75" customHeight="1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</row>
    <row r="516" ht="15.75" customHeight="1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</row>
    <row r="517" ht="15.75" customHeight="1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</row>
    <row r="518" ht="15.75" customHeight="1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</row>
    <row r="519" ht="15.75" customHeight="1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</row>
    <row r="520" ht="15.7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</row>
    <row r="521" ht="15.75" customHeight="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</row>
    <row r="522" ht="15.75" customHeight="1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</row>
    <row r="523" ht="15.75" customHeight="1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</row>
    <row r="524" ht="15.75" customHeight="1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</row>
    <row r="525" ht="15.75" customHeight="1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</row>
    <row r="526" ht="15.75" customHeight="1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</row>
    <row r="527" ht="15.75" customHeight="1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</row>
    <row r="528" ht="15.75" customHeight="1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</row>
    <row r="529" ht="15.75" customHeight="1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</row>
    <row r="530" ht="15.75" customHeight="1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</row>
    <row r="531" ht="15.75" customHeight="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</row>
    <row r="532" ht="15.75" customHeight="1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</row>
    <row r="533" ht="15.75" customHeight="1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</row>
    <row r="534" ht="15.75" customHeight="1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</row>
    <row r="535" ht="15.75" customHeight="1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</row>
    <row r="536" ht="15.75" customHeight="1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</row>
    <row r="537" ht="15.75" customHeight="1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</row>
    <row r="538" ht="15.75" customHeight="1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</row>
    <row r="539" ht="15.75" customHeight="1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</row>
    <row r="540" ht="15.75" customHeight="1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</row>
    <row r="541" ht="15.75" customHeight="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</row>
    <row r="542" ht="15.75" customHeight="1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</row>
    <row r="543" ht="15.75" customHeight="1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</row>
    <row r="544" ht="15.75" customHeight="1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</row>
    <row r="545" ht="15.75" customHeight="1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</row>
    <row r="546" ht="15.75" customHeight="1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</row>
    <row r="547" ht="15.75" customHeight="1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</row>
    <row r="548" ht="15.75" customHeight="1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</row>
    <row r="549" ht="15.75" customHeight="1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</row>
    <row r="550" ht="15.75" customHeight="1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</row>
    <row r="551" ht="15.75" customHeight="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</row>
    <row r="552" ht="15.75" customHeight="1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</row>
    <row r="553" ht="15.75" customHeight="1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</row>
    <row r="554" ht="15.75" customHeight="1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</row>
    <row r="555" ht="15.75" customHeight="1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</row>
    <row r="556" ht="15.75" customHeight="1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</row>
    <row r="557" ht="15.75" customHeight="1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</row>
    <row r="558" ht="15.75" customHeight="1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</row>
    <row r="559" ht="15.75" customHeight="1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</row>
    <row r="560" ht="15.75" customHeight="1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</row>
    <row r="561" ht="15.75" customHeight="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</row>
    <row r="562" ht="15.75" customHeight="1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</row>
    <row r="563" ht="15.75" customHeight="1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</row>
    <row r="564" ht="15.75" customHeight="1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</row>
    <row r="565" ht="15.75" customHeight="1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</row>
    <row r="566" ht="15.75" customHeight="1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</row>
    <row r="567" ht="15.75" customHeight="1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</row>
    <row r="568" ht="15.75" customHeight="1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</row>
    <row r="569" ht="15.75" customHeight="1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</row>
    <row r="570" ht="15.75" customHeight="1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</row>
    <row r="571" ht="15.75" customHeight="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</row>
    <row r="572" ht="15.75" customHeight="1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</row>
    <row r="573" ht="15.75" customHeigh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</row>
    <row r="574" ht="15.75" customHeight="1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</row>
    <row r="575" ht="15.75" customHeight="1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</row>
    <row r="576" ht="15.75" customHeight="1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</row>
    <row r="577" ht="15.75" customHeight="1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</row>
    <row r="578" ht="15.75" customHeight="1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</row>
    <row r="579" ht="15.75" customHeight="1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</row>
    <row r="580" ht="15.75" customHeight="1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</row>
    <row r="581" ht="15.75" customHeight="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</row>
    <row r="582" ht="15.75" customHeight="1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</row>
    <row r="583" ht="15.75" customHeight="1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</row>
    <row r="584" ht="15.75" customHeight="1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</row>
    <row r="585" ht="15.75" customHeigh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</row>
    <row r="586" ht="15.75" customHeight="1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</row>
    <row r="587" ht="15.75" customHeight="1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</row>
    <row r="588" ht="15.75" customHeight="1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</row>
    <row r="589" ht="15.75" customHeight="1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</row>
    <row r="590" ht="15.75" customHeight="1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</row>
    <row r="591" ht="15.75" customHeight="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</row>
    <row r="592" ht="15.75" customHeight="1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</row>
    <row r="593" ht="15.75" customHeight="1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</row>
    <row r="594" ht="15.75" customHeight="1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</row>
    <row r="595" ht="15.75" customHeight="1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</row>
    <row r="596" ht="15.75" customHeight="1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</row>
    <row r="597" ht="15.75" customHeight="1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</row>
    <row r="598" ht="15.75" customHeight="1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</row>
    <row r="599" ht="15.75" customHeight="1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</row>
    <row r="600" ht="15.75" customHeight="1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</row>
    <row r="601" ht="15.75" customHeight="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</row>
    <row r="602" ht="15.75" customHeight="1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</row>
    <row r="603" ht="15.75" customHeight="1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</row>
    <row r="604" ht="15.75" customHeight="1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</row>
    <row r="605" ht="15.75" customHeight="1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</row>
    <row r="606" ht="15.75" customHeight="1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</row>
    <row r="607" ht="15.75" customHeight="1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</row>
    <row r="608" ht="15.75" customHeight="1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</row>
    <row r="609" ht="15.75" customHeigh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</row>
    <row r="610" ht="15.75" customHeight="1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</row>
    <row r="611" ht="15.75" customHeight="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</row>
    <row r="612" ht="15.75" customHeight="1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</row>
    <row r="613" ht="15.75" customHeight="1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</row>
    <row r="614" ht="15.75" customHeight="1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</row>
    <row r="615" ht="15.7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</row>
    <row r="616" ht="15.75" customHeight="1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</row>
    <row r="617" ht="15.7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</row>
    <row r="618" ht="15.75" customHeight="1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</row>
    <row r="619" ht="15.7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</row>
    <row r="620" ht="15.75" customHeight="1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</row>
    <row r="621" ht="15.7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</row>
    <row r="622" ht="15.75" customHeight="1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</row>
    <row r="623" ht="15.7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</row>
    <row r="624" ht="15.75" customHeight="1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</row>
    <row r="625" ht="15.7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</row>
    <row r="626" ht="15.75" customHeight="1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</row>
    <row r="627" ht="15.7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</row>
    <row r="628" ht="15.75" customHeight="1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</row>
    <row r="629" ht="15.7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</row>
    <row r="630" ht="15.75" customHeight="1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</row>
    <row r="631" ht="15.7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</row>
    <row r="632" ht="15.75" customHeight="1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</row>
    <row r="633" ht="15.7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</row>
    <row r="634" ht="15.75" customHeight="1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</row>
    <row r="635" ht="15.7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</row>
    <row r="636" ht="15.75" customHeight="1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</row>
    <row r="637" ht="15.7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</row>
    <row r="638" ht="15.75" customHeight="1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</row>
    <row r="639" ht="15.7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</row>
    <row r="640" ht="15.75" customHeight="1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</row>
    <row r="641" ht="15.7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</row>
    <row r="642" ht="15.75" customHeight="1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</row>
    <row r="643" ht="15.7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</row>
    <row r="644" ht="15.75" customHeight="1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</row>
    <row r="645" ht="15.7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</row>
    <row r="646" ht="15.75" customHeight="1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</row>
    <row r="647" ht="15.7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</row>
    <row r="648" ht="15.75" customHeight="1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</row>
    <row r="649" ht="15.7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</row>
    <row r="650" ht="15.75" customHeight="1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</row>
    <row r="651" ht="15.7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</row>
    <row r="652" ht="15.75" customHeight="1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</row>
    <row r="653" ht="15.7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</row>
    <row r="654" ht="15.75" customHeight="1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</row>
    <row r="655" ht="15.7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</row>
    <row r="656" ht="15.75" customHeight="1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</row>
    <row r="657" ht="15.7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</row>
    <row r="658" ht="15.75" customHeight="1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</row>
    <row r="659" ht="15.7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</row>
    <row r="660" ht="15.75" customHeight="1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</row>
    <row r="661" ht="15.7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</row>
    <row r="662" ht="15.75" customHeight="1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</row>
    <row r="663" ht="15.7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</row>
    <row r="664" ht="15.75" customHeight="1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</row>
    <row r="665" ht="15.7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</row>
    <row r="666" ht="15.75" customHeight="1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</row>
    <row r="667" ht="15.7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</row>
    <row r="668" ht="15.75" customHeight="1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</row>
    <row r="669" ht="15.7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</row>
    <row r="670" ht="15.75" customHeight="1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</row>
    <row r="671" ht="15.7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</row>
    <row r="672" ht="15.75" customHeight="1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</row>
    <row r="673" ht="15.7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</row>
    <row r="674" ht="15.75" customHeight="1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</row>
    <row r="675" ht="15.7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</row>
    <row r="676" ht="15.75" customHeight="1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</row>
    <row r="677" ht="15.7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</row>
    <row r="678" ht="15.75" customHeight="1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</row>
    <row r="679" ht="15.7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</row>
    <row r="680" ht="15.75" customHeight="1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</row>
    <row r="681" ht="15.7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</row>
    <row r="682" ht="15.75" customHeight="1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</row>
    <row r="683" ht="15.7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</row>
    <row r="684" ht="15.75" customHeight="1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</row>
    <row r="685" ht="15.7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</row>
    <row r="686" ht="15.75" customHeight="1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</row>
    <row r="687" ht="15.7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</row>
    <row r="688" ht="15.75" customHeight="1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</row>
    <row r="689" ht="15.7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</row>
    <row r="690" ht="15.75" customHeight="1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</row>
    <row r="691" ht="15.7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</row>
    <row r="692" ht="15.75" customHeight="1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</row>
    <row r="693" ht="15.7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</row>
    <row r="694" ht="15.75" customHeight="1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</row>
    <row r="695" ht="15.7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</row>
    <row r="696" ht="15.75" customHeight="1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</row>
    <row r="697" ht="15.7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</row>
    <row r="698" ht="15.75" customHeight="1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</row>
    <row r="699" ht="15.7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</row>
    <row r="700" ht="15.75" customHeight="1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</row>
    <row r="701" ht="15.7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</row>
    <row r="702" ht="15.75" customHeight="1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</row>
    <row r="703" ht="15.7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</row>
    <row r="704" ht="15.75" customHeight="1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</row>
    <row r="705" ht="15.7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</row>
    <row r="706" ht="15.75" customHeight="1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</row>
    <row r="707" ht="15.7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</row>
    <row r="708" ht="15.75" customHeight="1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</row>
    <row r="709" ht="15.7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</row>
    <row r="710" ht="15.75" customHeight="1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</row>
    <row r="711" ht="15.7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</row>
    <row r="712" ht="15.75" customHeight="1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</row>
    <row r="713" ht="15.7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</row>
    <row r="714" ht="15.75" customHeight="1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</row>
    <row r="715" ht="15.7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</row>
    <row r="716" ht="15.75" customHeight="1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</row>
    <row r="717" ht="15.7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</row>
    <row r="718" ht="15.75" customHeight="1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</row>
    <row r="719" ht="15.7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</row>
    <row r="720" ht="15.75" customHeight="1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</row>
    <row r="721" ht="15.7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</row>
    <row r="722" ht="15.75" customHeight="1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</row>
    <row r="723" ht="15.7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</row>
    <row r="724" ht="15.75" customHeight="1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</row>
    <row r="725" ht="15.7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</row>
    <row r="726" ht="15.75" customHeight="1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</row>
    <row r="727" ht="15.7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</row>
    <row r="728" ht="15.75" customHeight="1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</row>
    <row r="729" ht="15.7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</row>
    <row r="730" ht="15.75" customHeight="1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</row>
    <row r="731" ht="15.7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</row>
    <row r="732" ht="15.75" customHeight="1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</row>
    <row r="733" ht="15.7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</row>
    <row r="734" ht="15.75" customHeight="1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</row>
    <row r="735" ht="15.7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</row>
    <row r="736" ht="15.75" customHeight="1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</row>
    <row r="737" ht="15.7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</row>
    <row r="738" ht="15.75" customHeight="1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</row>
    <row r="739" ht="15.7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</row>
    <row r="740" ht="15.75" customHeight="1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</row>
    <row r="741" ht="15.7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</row>
    <row r="742" ht="15.75" customHeight="1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</row>
    <row r="743" ht="15.7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</row>
    <row r="744" ht="15.75" customHeight="1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</row>
    <row r="745" ht="15.7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</row>
    <row r="746" ht="15.75" customHeight="1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</row>
    <row r="747" ht="15.7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</row>
    <row r="748" ht="15.75" customHeight="1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</row>
    <row r="749" ht="15.7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</row>
    <row r="750" ht="15.75" customHeight="1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</row>
    <row r="751" ht="15.7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</row>
    <row r="752" ht="15.75" customHeight="1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</row>
    <row r="753" ht="15.7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</row>
    <row r="754" ht="15.75" customHeight="1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</row>
    <row r="755" ht="15.7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</row>
    <row r="756" ht="15.75" customHeight="1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</row>
    <row r="757" ht="15.7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</row>
    <row r="758" ht="15.75" customHeight="1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</row>
    <row r="759" ht="15.7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</row>
    <row r="760" ht="15.75" customHeight="1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</row>
    <row r="761" ht="15.7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</row>
    <row r="762" ht="15.75" customHeight="1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</row>
    <row r="763" ht="15.7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</row>
    <row r="764" ht="15.75" customHeight="1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</row>
    <row r="765" ht="15.7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</row>
    <row r="766" ht="15.75" customHeight="1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</row>
    <row r="767" ht="15.7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</row>
    <row r="768" ht="15.75" customHeight="1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</row>
    <row r="769" ht="15.7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</row>
    <row r="770" ht="15.75" customHeight="1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</row>
    <row r="771" ht="15.7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</row>
    <row r="772" ht="15.75" customHeight="1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</row>
    <row r="773" ht="15.7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</row>
    <row r="774" ht="15.75" customHeight="1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</row>
    <row r="775" ht="15.7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</row>
    <row r="776" ht="15.75" customHeight="1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</row>
    <row r="777" ht="15.7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</row>
    <row r="778" ht="15.75" customHeight="1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</row>
    <row r="779" ht="15.7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</row>
    <row r="780" ht="15.75" customHeight="1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</row>
    <row r="781" ht="15.7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</row>
    <row r="782" ht="15.75" customHeight="1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</row>
    <row r="783" ht="15.7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</row>
    <row r="784" ht="15.75" customHeight="1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</row>
    <row r="785" ht="15.7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</row>
    <row r="786" ht="15.75" customHeight="1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</row>
    <row r="787" ht="15.7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</row>
    <row r="788" ht="15.75" customHeight="1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</row>
    <row r="789" ht="15.7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</row>
    <row r="790" ht="15.75" customHeight="1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</row>
    <row r="791" ht="15.7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</row>
    <row r="792" ht="15.75" customHeight="1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</row>
    <row r="793" ht="15.7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</row>
    <row r="794" ht="15.75" customHeight="1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</row>
    <row r="795" ht="15.7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</row>
    <row r="796" ht="15.75" customHeight="1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</row>
    <row r="797" ht="15.7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</row>
    <row r="798" ht="15.75" customHeight="1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</row>
    <row r="799" ht="15.7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</row>
    <row r="800" ht="15.7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</row>
    <row r="801" ht="15.7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</row>
    <row r="802" ht="15.7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</row>
    <row r="803" ht="15.7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</row>
    <row r="804" ht="15.75" customHeight="1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</row>
    <row r="805" ht="15.7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</row>
    <row r="806" ht="15.75" customHeight="1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</row>
    <row r="807" ht="15.7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</row>
    <row r="808" ht="15.75" customHeight="1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</row>
    <row r="809" ht="15.7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</row>
    <row r="810" ht="15.75" customHeight="1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</row>
    <row r="811" ht="15.7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</row>
    <row r="812" ht="15.75" customHeight="1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</row>
    <row r="813" ht="15.7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</row>
    <row r="814" ht="15.7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</row>
    <row r="815" ht="15.7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</row>
    <row r="816" ht="15.7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</row>
    <row r="817" ht="15.7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</row>
    <row r="818" ht="15.75" customHeight="1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</row>
    <row r="819" ht="15.7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</row>
    <row r="820" ht="15.75" customHeight="1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</row>
    <row r="821" ht="15.7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</row>
    <row r="822" ht="15.75" customHeight="1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</row>
    <row r="823" ht="15.7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</row>
    <row r="824" ht="15.75" customHeight="1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</row>
    <row r="825" ht="15.7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</row>
    <row r="826" ht="15.75" customHeight="1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</row>
    <row r="827" ht="15.7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</row>
    <row r="828" ht="15.7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</row>
    <row r="829" ht="15.7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</row>
    <row r="830" ht="15.7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</row>
    <row r="831" ht="15.7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</row>
    <row r="832" ht="15.7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</row>
    <row r="833" ht="15.7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</row>
    <row r="834" ht="15.75" customHeight="1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</row>
    <row r="835" ht="15.7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</row>
    <row r="836" ht="15.75" customHeight="1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</row>
    <row r="837" ht="15.7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</row>
    <row r="838" ht="15.75" customHeight="1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</row>
    <row r="839" ht="15.7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</row>
    <row r="840" ht="15.75" customHeight="1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</row>
    <row r="841" ht="15.7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</row>
    <row r="842" ht="15.75" customHeight="1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</row>
    <row r="843" ht="15.7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</row>
    <row r="844" ht="15.7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</row>
    <row r="845" ht="15.7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</row>
    <row r="846" ht="15.7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</row>
    <row r="847" ht="15.7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</row>
    <row r="848" ht="15.75" customHeight="1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</row>
    <row r="849" ht="15.7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</row>
    <row r="850" ht="15.75" customHeight="1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</row>
    <row r="851" ht="15.7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</row>
    <row r="852" ht="15.75" customHeight="1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</row>
    <row r="853" ht="15.7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</row>
    <row r="854" ht="15.75" customHeight="1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</row>
    <row r="855" ht="15.7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</row>
    <row r="856" ht="15.75" customHeight="1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</row>
    <row r="857" ht="15.7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</row>
    <row r="858" ht="15.75" customHeight="1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</row>
    <row r="859" ht="15.7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</row>
    <row r="860" ht="15.7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</row>
    <row r="861" ht="15.7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</row>
    <row r="862" ht="15.7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</row>
    <row r="863" ht="15.7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</row>
    <row r="864" ht="15.75" customHeight="1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</row>
    <row r="865" ht="15.7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</row>
    <row r="866" ht="15.75" customHeight="1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</row>
    <row r="867" ht="15.7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</row>
    <row r="868" ht="15.75" customHeight="1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</row>
    <row r="869" ht="15.7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</row>
    <row r="870" ht="15.75" customHeight="1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</row>
    <row r="871" ht="15.7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</row>
    <row r="872" ht="15.75" customHeight="1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</row>
    <row r="873" ht="15.7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</row>
    <row r="874" ht="15.7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</row>
    <row r="875" ht="15.7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</row>
    <row r="876" ht="15.75" customHeight="1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</row>
    <row r="877" ht="15.7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</row>
    <row r="878" ht="15.75" customHeight="1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</row>
    <row r="879" ht="15.7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</row>
    <row r="880" ht="15.75" customHeight="1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</row>
    <row r="881" ht="15.7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</row>
    <row r="882" ht="15.75" customHeight="1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</row>
    <row r="883" ht="15.7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</row>
    <row r="884" ht="15.75" customHeight="1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</row>
    <row r="885" ht="15.7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</row>
    <row r="886" ht="15.75" customHeight="1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</row>
    <row r="887" ht="15.7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</row>
    <row r="888" ht="15.75" customHeight="1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</row>
    <row r="889" ht="15.7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</row>
    <row r="890" ht="15.7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</row>
    <row r="891" ht="15.7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</row>
    <row r="892" ht="15.7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</row>
    <row r="893" ht="15.7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</row>
    <row r="894" ht="15.7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</row>
    <row r="895" ht="15.7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</row>
    <row r="896" ht="15.7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</row>
    <row r="897" ht="15.7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</row>
    <row r="898" ht="15.75" customHeight="1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</row>
    <row r="899" ht="15.7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</row>
    <row r="900" ht="15.75" customHeight="1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</row>
    <row r="901" ht="15.7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</row>
    <row r="902" ht="15.75" customHeight="1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</row>
    <row r="903" ht="15.7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</row>
    <row r="904" ht="15.75" customHeight="1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</row>
    <row r="905" ht="15.7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</row>
    <row r="906" ht="15.75" customHeight="1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</row>
    <row r="907" ht="15.7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</row>
    <row r="908" ht="15.7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</row>
    <row r="909" ht="15.7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</row>
    <row r="910" ht="15.7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</row>
    <row r="911" ht="15.7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</row>
    <row r="912" ht="15.75" customHeight="1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</row>
    <row r="913" ht="15.7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</row>
    <row r="914" ht="15.75" customHeight="1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</row>
    <row r="915" ht="15.7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</row>
    <row r="916" ht="15.75" customHeight="1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</row>
    <row r="917" ht="15.7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</row>
    <row r="918" ht="15.75" customHeight="1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</row>
    <row r="919" ht="15.7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</row>
    <row r="920" ht="15.75" customHeight="1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</row>
    <row r="921" ht="15.7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</row>
    <row r="922" ht="15.75" customHeight="1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</row>
    <row r="923" ht="15.7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</row>
    <row r="924" ht="15.75" customHeight="1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</row>
    <row r="925" ht="15.7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</row>
    <row r="926" ht="15.75" customHeight="1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</row>
    <row r="927" ht="15.7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</row>
    <row r="928" ht="15.75" customHeight="1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</row>
    <row r="929" ht="15.7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</row>
    <row r="930" ht="15.75" customHeight="1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</row>
    <row r="931" ht="15.7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</row>
    <row r="932" ht="15.75" customHeight="1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</row>
    <row r="933" ht="15.7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</row>
    <row r="934" ht="15.75" customHeight="1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</row>
    <row r="935" ht="15.7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</row>
    <row r="936" ht="15.75" customHeight="1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</row>
    <row r="937" ht="15.7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</row>
    <row r="938" ht="15.75" customHeight="1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</row>
    <row r="939" ht="15.7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</row>
    <row r="940" ht="15.75" customHeight="1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</row>
    <row r="941" ht="15.7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</row>
    <row r="942" ht="15.75" customHeight="1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</row>
    <row r="943" ht="15.7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</row>
    <row r="944" ht="15.75" customHeight="1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</row>
    <row r="945" ht="15.7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</row>
    <row r="946" ht="15.75" customHeight="1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</row>
    <row r="947" ht="15.7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</row>
    <row r="948" ht="15.75" customHeight="1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</row>
    <row r="949" ht="15.7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</row>
    <row r="950" ht="15.75" customHeight="1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</row>
    <row r="951" ht="15.7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</row>
    <row r="952" ht="15.75" customHeight="1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</row>
    <row r="953" ht="15.7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</row>
    <row r="954" ht="15.75" customHeight="1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</row>
    <row r="955" ht="15.7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</row>
    <row r="956" ht="15.75" customHeight="1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</row>
    <row r="957" ht="15.7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</row>
    <row r="958" ht="15.75" customHeight="1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</row>
    <row r="959" ht="15.7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</row>
    <row r="960" ht="15.75" customHeight="1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</row>
    <row r="961" ht="15.7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</row>
    <row r="962" ht="15.75" customHeight="1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</row>
    <row r="963" ht="15.7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</row>
    <row r="964" ht="15.75" customHeight="1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</row>
    <row r="965" ht="15.7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</row>
    <row r="966" ht="15.75" customHeight="1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</row>
    <row r="967" ht="15.7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</row>
    <row r="968" ht="15.75" customHeight="1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</row>
    <row r="969" ht="15.7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</row>
    <row r="970" ht="15.75" customHeight="1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</row>
    <row r="971" ht="15.7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</row>
    <row r="972" ht="15.75" customHeight="1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</row>
    <row r="973" ht="15.7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</row>
    <row r="974" ht="15.75" customHeight="1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</row>
    <row r="975" ht="15.7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</row>
    <row r="976" ht="15.75" customHeight="1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</row>
    <row r="977" ht="15.7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</row>
    <row r="978" ht="15.75" customHeight="1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</row>
    <row r="979" ht="15.7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</row>
    <row r="980" ht="15.75" customHeight="1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</row>
    <row r="981" ht="15.75" customHeight="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</row>
    <row r="982" ht="15.75" customHeight="1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</row>
    <row r="983" ht="15.75" customHeight="1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</row>
    <row r="984" ht="15.75" customHeight="1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</row>
    <row r="985" ht="15.75" customHeight="1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</row>
    <row r="986" ht="15.75" customHeight="1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</row>
    <row r="987" ht="15.75" customHeight="1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</row>
    <row r="988" ht="15.75" customHeight="1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</row>
    <row r="989" ht="15.75" customHeight="1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</row>
    <row r="990" ht="15.75" customHeight="1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</row>
    <row r="991" ht="15.75" customHeight="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</row>
    <row r="992" ht="15.75" customHeight="1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</row>
    <row r="993" ht="15.75" customHeight="1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</row>
    <row r="994" ht="15.75" customHeight="1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</row>
    <row r="995" ht="15.75" customHeight="1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</row>
    <row r="996" ht="15.75" customHeight="1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</row>
    <row r="997" ht="15.75" customHeight="1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</row>
    <row r="998" ht="15.75" customHeight="1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</row>
    <row r="999" ht="15.75" customHeight="1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</row>
    <row r="1000" ht="15.75" customHeight="1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</row>
  </sheetData>
  <printOptions/>
  <pageMargins bottom="1.0" footer="0.0" header="0.0" left="0.75" right="0.75" top="1.0"/>
  <pageSetup paperSize="9" orientation="portrait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2026-10-13T18:29:11Z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